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2380" yWindow="2680" windowWidth="34720" windowHeight="19840" tabRatio="740" firstSheet="2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stage_hints_failure!$B$1:$M$41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6" i="18" l="1"/>
  <c r="D56" i="18"/>
  <c r="C55" i="18"/>
  <c r="D55" i="18"/>
  <c r="C54" i="18"/>
  <c r="D54" i="18"/>
  <c r="C53" i="18"/>
  <c r="D53" i="18"/>
  <c r="C52" i="18"/>
  <c r="D52" i="18"/>
  <c r="C51" i="18"/>
  <c r="D51" i="18"/>
  <c r="C50" i="18"/>
  <c r="D50" i="18"/>
  <c r="C49" i="18"/>
  <c r="D49" i="18"/>
  <c r="C48" i="18"/>
  <c r="D48" i="18"/>
  <c r="C47" i="18"/>
  <c r="D47" i="18"/>
  <c r="C46" i="18"/>
  <c r="D46" i="18"/>
  <c r="C45" i="18"/>
  <c r="D45" i="18"/>
  <c r="C44" i="18"/>
  <c r="D44" i="18"/>
  <c r="C43" i="18"/>
  <c r="D43" i="18"/>
  <c r="C42" i="18"/>
  <c r="D42" i="18"/>
  <c r="C41" i="18"/>
  <c r="D41" i="18"/>
  <c r="C40" i="18"/>
  <c r="D40" i="18"/>
  <c r="C39" i="18"/>
  <c r="D39" i="18"/>
  <c r="C38" i="18"/>
  <c r="D38" i="18"/>
  <c r="C37" i="18"/>
  <c r="D37" i="18"/>
  <c r="C36" i="18"/>
  <c r="D36" i="18"/>
  <c r="C35" i="18"/>
  <c r="D35" i="18"/>
  <c r="C34" i="18"/>
  <c r="D34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N24" i="22"/>
  <c r="G24" i="22"/>
  <c r="F24" i="22"/>
  <c r="D24" i="22"/>
  <c r="C24" i="22"/>
  <c r="A24" i="22"/>
  <c r="N23" i="22"/>
  <c r="G23" i="22"/>
  <c r="F23" i="22"/>
  <c r="D23" i="22"/>
  <c r="C23" i="22"/>
  <c r="A23" i="22"/>
  <c r="N22" i="22"/>
  <c r="G22" i="22"/>
  <c r="F22" i="22"/>
  <c r="D22" i="22"/>
  <c r="C22" i="22"/>
  <c r="A22" i="22"/>
  <c r="N21" i="22"/>
  <c r="G21" i="22"/>
  <c r="F21" i="22"/>
  <c r="D21" i="22"/>
  <c r="C21" i="22"/>
  <c r="A21" i="22"/>
  <c r="N20" i="22"/>
  <c r="G20" i="22"/>
  <c r="F20" i="22"/>
  <c r="D20" i="22"/>
  <c r="C20" i="22"/>
  <c r="A20" i="22"/>
  <c r="N19" i="22"/>
  <c r="G19" i="22"/>
  <c r="F19" i="22"/>
  <c r="D19" i="22"/>
  <c r="C19" i="22"/>
  <c r="A19" i="22"/>
  <c r="N18" i="22"/>
  <c r="G18" i="22"/>
  <c r="F18" i="22"/>
  <c r="D18" i="22"/>
  <c r="C18" i="22"/>
  <c r="A18" i="22"/>
  <c r="N17" i="22"/>
  <c r="G17" i="22"/>
  <c r="F17" i="22"/>
  <c r="D17" i="22"/>
  <c r="C17" i="22"/>
  <c r="A17" i="22"/>
  <c r="N16" i="22"/>
  <c r="G16" i="22"/>
  <c r="F16" i="22"/>
  <c r="D16" i="22"/>
  <c r="C16" i="22"/>
  <c r="A16" i="22"/>
  <c r="N15" i="22"/>
  <c r="G15" i="22"/>
  <c r="F15" i="22"/>
  <c r="D15" i="22"/>
  <c r="C15" i="22"/>
  <c r="A15" i="22"/>
  <c r="N14" i="22"/>
  <c r="G14" i="22"/>
  <c r="F14" i="22"/>
  <c r="D14" i="22"/>
  <c r="C14" i="22"/>
  <c r="A14" i="22"/>
  <c r="N13" i="22"/>
  <c r="G13" i="22"/>
  <c r="F13" i="22"/>
  <c r="D13" i="22"/>
  <c r="C13" i="22"/>
  <c r="A13" i="22"/>
  <c r="N12" i="22"/>
  <c r="G12" i="22"/>
  <c r="F12" i="22"/>
  <c r="D12" i="22"/>
  <c r="C12" i="22"/>
  <c r="A12" i="22"/>
  <c r="N11" i="22"/>
  <c r="G11" i="22"/>
  <c r="F11" i="22"/>
  <c r="D11" i="22"/>
  <c r="C11" i="22"/>
  <c r="A11" i="22"/>
  <c r="N10" i="22"/>
  <c r="G10" i="22"/>
  <c r="F10" i="22"/>
  <c r="D10" i="22"/>
  <c r="C10" i="22"/>
  <c r="A10" i="22"/>
  <c r="N9" i="22"/>
  <c r="G9" i="22"/>
  <c r="F9" i="22"/>
  <c r="D9" i="22"/>
  <c r="C9" i="22"/>
  <c r="A9" i="22"/>
  <c r="N8" i="22"/>
  <c r="G8" i="22"/>
  <c r="F8" i="22"/>
  <c r="D8" i="22"/>
  <c r="C8" i="22"/>
  <c r="A8" i="22"/>
  <c r="N7" i="22"/>
  <c r="G7" i="22"/>
  <c r="F7" i="22"/>
  <c r="D7" i="22"/>
  <c r="C7" i="22"/>
  <c r="A7" i="22"/>
  <c r="N6" i="22"/>
  <c r="G6" i="22"/>
  <c r="F6" i="22"/>
  <c r="D6" i="22"/>
  <c r="C6" i="22"/>
  <c r="A6" i="22"/>
  <c r="N5" i="22"/>
  <c r="G5" i="22"/>
  <c r="F5" i="22"/>
  <c r="D5" i="22"/>
  <c r="C5" i="22"/>
  <c r="A5" i="22"/>
  <c r="N4" i="22"/>
  <c r="G4" i="22"/>
  <c r="F4" i="22"/>
  <c r="D4" i="22"/>
  <c r="C4" i="22"/>
  <c r="A4" i="22"/>
  <c r="N3" i="22"/>
  <c r="G3" i="22"/>
  <c r="F3" i="22"/>
  <c r="D3" i="22"/>
  <c r="C3" i="22"/>
  <c r="A3" i="22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O19" i="9"/>
  <c r="N19" i="9"/>
  <c r="M19" i="9"/>
  <c r="L19" i="9"/>
  <c r="K19" i="9"/>
  <c r="J19" i="9"/>
  <c r="I19" i="9"/>
  <c r="H19" i="9"/>
  <c r="G19" i="9"/>
  <c r="E19" i="9"/>
  <c r="D19" i="9"/>
  <c r="A19" i="9"/>
  <c r="O58" i="9"/>
  <c r="N58" i="9"/>
  <c r="M58" i="9"/>
  <c r="L58" i="9"/>
  <c r="K58" i="9"/>
  <c r="J58" i="9"/>
  <c r="I58" i="9"/>
  <c r="H58" i="9"/>
  <c r="G58" i="9"/>
  <c r="E58" i="9"/>
  <c r="D58" i="9"/>
  <c r="A58" i="9"/>
  <c r="O37" i="9"/>
  <c r="N37" i="9"/>
  <c r="M37" i="9"/>
  <c r="L37" i="9"/>
  <c r="K37" i="9"/>
  <c r="J37" i="9"/>
  <c r="I37" i="9"/>
  <c r="H37" i="9"/>
  <c r="G37" i="9"/>
  <c r="E37" i="9"/>
  <c r="D37" i="9"/>
  <c r="A37" i="9"/>
  <c r="O57" i="9"/>
  <c r="N57" i="9"/>
  <c r="M57" i="9"/>
  <c r="L57" i="9"/>
  <c r="K57" i="9"/>
  <c r="J57" i="9"/>
  <c r="I57" i="9"/>
  <c r="H57" i="9"/>
  <c r="G57" i="9"/>
  <c r="E57" i="9"/>
  <c r="D57" i="9"/>
  <c r="A57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47" i="9"/>
  <c r="N147" i="9"/>
  <c r="M147" i="9"/>
  <c r="L147" i="9"/>
  <c r="K147" i="9"/>
  <c r="J147" i="9"/>
  <c r="I147" i="9"/>
  <c r="H147" i="9"/>
  <c r="G147" i="9"/>
  <c r="E147" i="9"/>
  <c r="D147" i="9"/>
  <c r="A147" i="9"/>
  <c r="O165" i="9"/>
  <c r="N165" i="9"/>
  <c r="M165" i="9"/>
  <c r="L165" i="9"/>
  <c r="K165" i="9"/>
  <c r="J165" i="9"/>
  <c r="I165" i="9"/>
  <c r="H165" i="9"/>
  <c r="G165" i="9"/>
  <c r="E165" i="9"/>
  <c r="D165" i="9"/>
  <c r="A165" i="9"/>
  <c r="O186" i="9"/>
  <c r="N186" i="9"/>
  <c r="M186" i="9"/>
  <c r="L186" i="9"/>
  <c r="K186" i="9"/>
  <c r="J186" i="9"/>
  <c r="I186" i="9"/>
  <c r="H186" i="9"/>
  <c r="G186" i="9"/>
  <c r="E186" i="9"/>
  <c r="D186" i="9"/>
  <c r="A186" i="9"/>
  <c r="O185" i="9"/>
  <c r="N185" i="9"/>
  <c r="M185" i="9"/>
  <c r="L185" i="9"/>
  <c r="K185" i="9"/>
  <c r="J185" i="9"/>
  <c r="I185" i="9"/>
  <c r="H185" i="9"/>
  <c r="G185" i="9"/>
  <c r="E185" i="9"/>
  <c r="D185" i="9"/>
  <c r="A185" i="9"/>
  <c r="O204" i="9"/>
  <c r="N204" i="9"/>
  <c r="M204" i="9"/>
  <c r="L204" i="9"/>
  <c r="K204" i="9"/>
  <c r="J204" i="9"/>
  <c r="I204" i="9"/>
  <c r="H204" i="9"/>
  <c r="G204" i="9"/>
  <c r="E204" i="9"/>
  <c r="D204" i="9"/>
  <c r="A204" i="9"/>
  <c r="O203" i="9"/>
  <c r="N203" i="9"/>
  <c r="M203" i="9"/>
  <c r="L203" i="9"/>
  <c r="K203" i="9"/>
  <c r="J203" i="9"/>
  <c r="I203" i="9"/>
  <c r="H203" i="9"/>
  <c r="G203" i="9"/>
  <c r="E203" i="9"/>
  <c r="D203" i="9"/>
  <c r="A203" i="9"/>
  <c r="O220" i="9"/>
  <c r="N220" i="9"/>
  <c r="M220" i="9"/>
  <c r="L220" i="9"/>
  <c r="K220" i="9"/>
  <c r="J220" i="9"/>
  <c r="I220" i="9"/>
  <c r="H220" i="9"/>
  <c r="G220" i="9"/>
  <c r="E220" i="9"/>
  <c r="D220" i="9"/>
  <c r="A220" i="9"/>
  <c r="O219" i="9"/>
  <c r="N219" i="9"/>
  <c r="M219" i="9"/>
  <c r="L219" i="9"/>
  <c r="K219" i="9"/>
  <c r="J219" i="9"/>
  <c r="I219" i="9"/>
  <c r="H219" i="9"/>
  <c r="G219" i="9"/>
  <c r="E219" i="9"/>
  <c r="D219" i="9"/>
  <c r="A219" i="9"/>
  <c r="D239" i="9"/>
  <c r="O241" i="9"/>
  <c r="N241" i="9"/>
  <c r="M241" i="9"/>
  <c r="L241" i="9"/>
  <c r="K241" i="9"/>
  <c r="J241" i="9"/>
  <c r="I241" i="9"/>
  <c r="H241" i="9"/>
  <c r="G241" i="9"/>
  <c r="E241" i="9"/>
  <c r="D241" i="9"/>
  <c r="A241" i="9"/>
  <c r="O240" i="9"/>
  <c r="N240" i="9"/>
  <c r="M240" i="9"/>
  <c r="L240" i="9"/>
  <c r="K240" i="9"/>
  <c r="J240" i="9"/>
  <c r="I240" i="9"/>
  <c r="H240" i="9"/>
  <c r="G240" i="9"/>
  <c r="E240" i="9"/>
  <c r="D240" i="9"/>
  <c r="A240" i="9"/>
  <c r="O275" i="9"/>
  <c r="N275" i="9"/>
  <c r="M275" i="9"/>
  <c r="L275" i="9"/>
  <c r="K275" i="9"/>
  <c r="J275" i="9"/>
  <c r="I275" i="9"/>
  <c r="H275" i="9"/>
  <c r="G275" i="9"/>
  <c r="E275" i="9"/>
  <c r="D275" i="9"/>
  <c r="A275" i="9"/>
  <c r="O293" i="9"/>
  <c r="N293" i="9"/>
  <c r="M293" i="9"/>
  <c r="L293" i="9"/>
  <c r="K293" i="9"/>
  <c r="J293" i="9"/>
  <c r="I293" i="9"/>
  <c r="H293" i="9"/>
  <c r="G293" i="9"/>
  <c r="E293" i="9"/>
  <c r="D293" i="9"/>
  <c r="A293" i="9"/>
  <c r="O314" i="9"/>
  <c r="N314" i="9"/>
  <c r="M314" i="9"/>
  <c r="L314" i="9"/>
  <c r="K314" i="9"/>
  <c r="J314" i="9"/>
  <c r="I314" i="9"/>
  <c r="H314" i="9"/>
  <c r="G314" i="9"/>
  <c r="E314" i="9"/>
  <c r="D314" i="9"/>
  <c r="A314" i="9"/>
  <c r="O313" i="9"/>
  <c r="N313" i="9"/>
  <c r="M313" i="9"/>
  <c r="L313" i="9"/>
  <c r="K313" i="9"/>
  <c r="J313" i="9"/>
  <c r="I313" i="9"/>
  <c r="H313" i="9"/>
  <c r="G313" i="9"/>
  <c r="E313" i="9"/>
  <c r="D313" i="9"/>
  <c r="A313" i="9"/>
  <c r="O332" i="9"/>
  <c r="N332" i="9"/>
  <c r="M332" i="9"/>
  <c r="L332" i="9"/>
  <c r="K332" i="9"/>
  <c r="J332" i="9"/>
  <c r="I332" i="9"/>
  <c r="H332" i="9"/>
  <c r="G332" i="9"/>
  <c r="E332" i="9"/>
  <c r="D332" i="9"/>
  <c r="A332" i="9"/>
  <c r="O331" i="9"/>
  <c r="N331" i="9"/>
  <c r="M331" i="9"/>
  <c r="L331" i="9"/>
  <c r="K331" i="9"/>
  <c r="J331" i="9"/>
  <c r="I331" i="9"/>
  <c r="H331" i="9"/>
  <c r="G331" i="9"/>
  <c r="E331" i="9"/>
  <c r="D331" i="9"/>
  <c r="A331" i="9"/>
  <c r="O348" i="9"/>
  <c r="N348" i="9"/>
  <c r="M348" i="9"/>
  <c r="L348" i="9"/>
  <c r="K348" i="9"/>
  <c r="J348" i="9"/>
  <c r="I348" i="9"/>
  <c r="H348" i="9"/>
  <c r="G348" i="9"/>
  <c r="E348" i="9"/>
  <c r="D348" i="9"/>
  <c r="A348" i="9"/>
  <c r="O347" i="9"/>
  <c r="N347" i="9"/>
  <c r="M347" i="9"/>
  <c r="L347" i="9"/>
  <c r="K347" i="9"/>
  <c r="J347" i="9"/>
  <c r="I347" i="9"/>
  <c r="H347" i="9"/>
  <c r="G347" i="9"/>
  <c r="E347" i="9"/>
  <c r="D347" i="9"/>
  <c r="A347" i="9"/>
  <c r="O369" i="9"/>
  <c r="N369" i="9"/>
  <c r="M369" i="9"/>
  <c r="L369" i="9"/>
  <c r="K369" i="9"/>
  <c r="J369" i="9"/>
  <c r="I369" i="9"/>
  <c r="H369" i="9"/>
  <c r="G369" i="9"/>
  <c r="E369" i="9"/>
  <c r="D369" i="9"/>
  <c r="A369" i="9"/>
  <c r="O368" i="9"/>
  <c r="N368" i="9"/>
  <c r="M368" i="9"/>
  <c r="L368" i="9"/>
  <c r="K368" i="9"/>
  <c r="J368" i="9"/>
  <c r="I368" i="9"/>
  <c r="H368" i="9"/>
  <c r="G368" i="9"/>
  <c r="E368" i="9"/>
  <c r="D368" i="9"/>
  <c r="A368" i="9"/>
  <c r="J497" i="11"/>
  <c r="O497" i="9"/>
  <c r="N497" i="9"/>
  <c r="M497" i="9"/>
  <c r="L497" i="9"/>
  <c r="K497" i="9"/>
  <c r="J497" i="9"/>
  <c r="I497" i="9"/>
  <c r="H497" i="9"/>
  <c r="G497" i="9"/>
  <c r="E497" i="9"/>
  <c r="D497" i="9"/>
  <c r="A497" i="9"/>
  <c r="J496" i="11"/>
  <c r="O496" i="9"/>
  <c r="N496" i="9"/>
  <c r="M496" i="9"/>
  <c r="L496" i="9"/>
  <c r="K496" i="9"/>
  <c r="J496" i="9"/>
  <c r="I496" i="9"/>
  <c r="H496" i="9"/>
  <c r="G496" i="9"/>
  <c r="E496" i="9"/>
  <c r="D496" i="9"/>
  <c r="A496" i="9"/>
  <c r="J476" i="11"/>
  <c r="O476" i="9"/>
  <c r="N476" i="9"/>
  <c r="M476" i="9"/>
  <c r="L476" i="9"/>
  <c r="K476" i="9"/>
  <c r="J476" i="9"/>
  <c r="I476" i="9"/>
  <c r="H476" i="9"/>
  <c r="G476" i="9"/>
  <c r="E476" i="9"/>
  <c r="D476" i="9"/>
  <c r="A476" i="9"/>
  <c r="J475" i="11"/>
  <c r="O475" i="9"/>
  <c r="N475" i="9"/>
  <c r="M475" i="9"/>
  <c r="L475" i="9"/>
  <c r="K475" i="9"/>
  <c r="J475" i="9"/>
  <c r="I475" i="9"/>
  <c r="H475" i="9"/>
  <c r="G475" i="9"/>
  <c r="E475" i="9"/>
  <c r="D475" i="9"/>
  <c r="A475" i="9"/>
  <c r="J460" i="11"/>
  <c r="O460" i="9"/>
  <c r="N460" i="9"/>
  <c r="M460" i="9"/>
  <c r="L460" i="9"/>
  <c r="K460" i="9"/>
  <c r="J460" i="9"/>
  <c r="I460" i="9"/>
  <c r="H460" i="9"/>
  <c r="G460" i="9"/>
  <c r="E460" i="9"/>
  <c r="D460" i="9"/>
  <c r="A460" i="9"/>
  <c r="J459" i="11"/>
  <c r="O459" i="9"/>
  <c r="N459" i="9"/>
  <c r="M459" i="9"/>
  <c r="L459" i="9"/>
  <c r="K459" i="9"/>
  <c r="J459" i="9"/>
  <c r="I459" i="9"/>
  <c r="H459" i="9"/>
  <c r="G459" i="9"/>
  <c r="E459" i="9"/>
  <c r="D459" i="9"/>
  <c r="A459" i="9"/>
  <c r="A442" i="9"/>
  <c r="D442" i="9"/>
  <c r="E442" i="9"/>
  <c r="G442" i="9"/>
  <c r="H442" i="9"/>
  <c r="I442" i="9"/>
  <c r="J442" i="9"/>
  <c r="K442" i="9"/>
  <c r="L442" i="9"/>
  <c r="M442" i="9"/>
  <c r="N442" i="9"/>
  <c r="J442" i="11"/>
  <c r="O442" i="9"/>
  <c r="J441" i="11"/>
  <c r="O441" i="9"/>
  <c r="N441" i="9"/>
  <c r="M441" i="9"/>
  <c r="L441" i="9"/>
  <c r="K441" i="9"/>
  <c r="J441" i="9"/>
  <c r="I441" i="9"/>
  <c r="H441" i="9"/>
  <c r="G441" i="9"/>
  <c r="E441" i="9"/>
  <c r="D441" i="9"/>
  <c r="A441" i="9"/>
  <c r="J421" i="11"/>
  <c r="O421" i="9"/>
  <c r="N421" i="9"/>
  <c r="M421" i="9"/>
  <c r="L421" i="9"/>
  <c r="K421" i="9"/>
  <c r="J421" i="9"/>
  <c r="I421" i="9"/>
  <c r="H421" i="9"/>
  <c r="G421" i="9"/>
  <c r="E421" i="9"/>
  <c r="D421" i="9"/>
  <c r="A421" i="9"/>
  <c r="O403" i="9"/>
  <c r="N403" i="9"/>
  <c r="M403" i="9"/>
  <c r="L403" i="9"/>
  <c r="K403" i="9"/>
  <c r="J403" i="9"/>
  <c r="I403" i="9"/>
  <c r="H403" i="9"/>
  <c r="G403" i="9"/>
  <c r="E403" i="9"/>
  <c r="D403" i="9"/>
  <c r="A403" i="9"/>
  <c r="M293" i="10"/>
  <c r="T293" i="10"/>
  <c r="W293" i="10"/>
  <c r="V293" i="10"/>
  <c r="X293" i="10"/>
  <c r="U293" i="10"/>
  <c r="Y293" i="10"/>
  <c r="M304" i="10"/>
  <c r="M315" i="10"/>
  <c r="N315" i="10"/>
  <c r="O315" i="10"/>
  <c r="Q315" i="10"/>
  <c r="P315" i="10"/>
  <c r="R315" i="10"/>
  <c r="S315" i="10"/>
  <c r="N304" i="10"/>
  <c r="Q304" i="10"/>
  <c r="P304" i="10"/>
  <c r="R304" i="10"/>
  <c r="O304" i="10"/>
  <c r="S304" i="10"/>
  <c r="N293" i="10"/>
  <c r="Q293" i="10"/>
  <c r="P293" i="10"/>
  <c r="R293" i="10"/>
  <c r="O293" i="10"/>
  <c r="S293" i="10"/>
  <c r="G293" i="10"/>
  <c r="J293" i="10"/>
  <c r="I293" i="10"/>
  <c r="K293" i="10"/>
  <c r="H293" i="10"/>
  <c r="L293" i="10"/>
  <c r="M292" i="10"/>
  <c r="T292" i="10"/>
  <c r="W292" i="10"/>
  <c r="V292" i="10"/>
  <c r="X292" i="10"/>
  <c r="U292" i="10"/>
  <c r="Y292" i="10"/>
  <c r="M303" i="10"/>
  <c r="M314" i="10"/>
  <c r="N314" i="10"/>
  <c r="O314" i="10"/>
  <c r="Q314" i="10"/>
  <c r="P314" i="10"/>
  <c r="R314" i="10"/>
  <c r="S314" i="10"/>
  <c r="N303" i="10"/>
  <c r="Q303" i="10"/>
  <c r="P303" i="10"/>
  <c r="R303" i="10"/>
  <c r="O303" i="10"/>
  <c r="S303" i="10"/>
  <c r="N292" i="10"/>
  <c r="Q292" i="10"/>
  <c r="P292" i="10"/>
  <c r="R292" i="10"/>
  <c r="O292" i="10"/>
  <c r="S292" i="10"/>
  <c r="G292" i="10"/>
  <c r="J292" i="10"/>
  <c r="I292" i="10"/>
  <c r="K292" i="10"/>
  <c r="H292" i="10"/>
  <c r="L292" i="10"/>
  <c r="M305" i="10"/>
  <c r="T305" i="10"/>
  <c r="W305" i="10"/>
  <c r="V305" i="10"/>
  <c r="X305" i="10"/>
  <c r="U305" i="10"/>
  <c r="Y305" i="10"/>
  <c r="M316" i="10"/>
  <c r="N316" i="10"/>
  <c r="O316" i="10"/>
  <c r="Q316" i="10"/>
  <c r="P316" i="10"/>
  <c r="R316" i="10"/>
  <c r="S316" i="10"/>
  <c r="N305" i="10"/>
  <c r="Q305" i="10"/>
  <c r="P305" i="10"/>
  <c r="R305" i="10"/>
  <c r="O305" i="10"/>
  <c r="S305" i="10"/>
  <c r="G305" i="10"/>
  <c r="J305" i="10"/>
  <c r="I305" i="10"/>
  <c r="K305" i="10"/>
  <c r="H305" i="10"/>
  <c r="L305" i="10"/>
  <c r="T304" i="10"/>
  <c r="W304" i="10"/>
  <c r="V304" i="10"/>
  <c r="X304" i="10"/>
  <c r="U304" i="10"/>
  <c r="Y304" i="10"/>
  <c r="G304" i="10"/>
  <c r="J304" i="10"/>
  <c r="I304" i="10"/>
  <c r="K304" i="10"/>
  <c r="H304" i="10"/>
  <c r="L304" i="10"/>
  <c r="M284" i="10"/>
  <c r="T284" i="10"/>
  <c r="W284" i="10"/>
  <c r="V284" i="10"/>
  <c r="X284" i="10"/>
  <c r="U284" i="10"/>
  <c r="Y284" i="10"/>
  <c r="M291" i="10"/>
  <c r="M302" i="10"/>
  <c r="M313" i="10"/>
  <c r="N313" i="10"/>
  <c r="O313" i="10"/>
  <c r="Q313" i="10"/>
  <c r="P313" i="10"/>
  <c r="R313" i="10"/>
  <c r="S313" i="10"/>
  <c r="N302" i="10"/>
  <c r="Q302" i="10"/>
  <c r="P302" i="10"/>
  <c r="R302" i="10"/>
  <c r="O302" i="10"/>
  <c r="S302" i="10"/>
  <c r="N291" i="10"/>
  <c r="Q291" i="10"/>
  <c r="P291" i="10"/>
  <c r="R291" i="10"/>
  <c r="O291" i="10"/>
  <c r="S291" i="10"/>
  <c r="N284" i="10"/>
  <c r="Q284" i="10"/>
  <c r="P284" i="10"/>
  <c r="R284" i="10"/>
  <c r="O284" i="10"/>
  <c r="S284" i="10"/>
  <c r="G284" i="10"/>
  <c r="J284" i="10"/>
  <c r="I284" i="10"/>
  <c r="K284" i="10"/>
  <c r="H284" i="10"/>
  <c r="L284" i="10"/>
  <c r="M283" i="10"/>
  <c r="T283" i="10"/>
  <c r="W283" i="10"/>
  <c r="V283" i="10"/>
  <c r="X283" i="10"/>
  <c r="U283" i="10"/>
  <c r="Y283" i="10"/>
  <c r="M290" i="10"/>
  <c r="M300" i="10"/>
  <c r="M311" i="10"/>
  <c r="N311" i="10"/>
  <c r="O311" i="10"/>
  <c r="Q311" i="10"/>
  <c r="P311" i="10"/>
  <c r="R311" i="10"/>
  <c r="S311" i="10"/>
  <c r="N300" i="10"/>
  <c r="Q300" i="10"/>
  <c r="P300" i="10"/>
  <c r="R300" i="10"/>
  <c r="O300" i="10"/>
  <c r="S300" i="10"/>
  <c r="N290" i="10"/>
  <c r="Q290" i="10"/>
  <c r="P290" i="10"/>
  <c r="R290" i="10"/>
  <c r="O290" i="10"/>
  <c r="S290" i="10"/>
  <c r="N283" i="10"/>
  <c r="Q283" i="10"/>
  <c r="P283" i="10"/>
  <c r="R283" i="10"/>
  <c r="O283" i="10"/>
  <c r="S283" i="10"/>
  <c r="G283" i="10"/>
  <c r="J283" i="10"/>
  <c r="I283" i="10"/>
  <c r="K283" i="10"/>
  <c r="H283" i="10"/>
  <c r="L283" i="10"/>
  <c r="M273" i="10"/>
  <c r="T273" i="10"/>
  <c r="W273" i="10"/>
  <c r="V273" i="10"/>
  <c r="X273" i="10"/>
  <c r="U273" i="10"/>
  <c r="Y273" i="10"/>
  <c r="M288" i="10"/>
  <c r="M297" i="10"/>
  <c r="N297" i="10"/>
  <c r="Q297" i="10"/>
  <c r="P297" i="10"/>
  <c r="R297" i="10"/>
  <c r="O297" i="10"/>
  <c r="S297" i="10"/>
  <c r="N288" i="10"/>
  <c r="Q288" i="10"/>
  <c r="P288" i="10"/>
  <c r="R288" i="10"/>
  <c r="O288" i="10"/>
  <c r="S288" i="10"/>
  <c r="N273" i="10"/>
  <c r="Q273" i="10"/>
  <c r="P273" i="10"/>
  <c r="R273" i="10"/>
  <c r="O273" i="10"/>
  <c r="S273" i="10"/>
  <c r="G273" i="10"/>
  <c r="J273" i="10"/>
  <c r="I273" i="10"/>
  <c r="K273" i="10"/>
  <c r="H273" i="10"/>
  <c r="L273" i="10"/>
  <c r="M272" i="10"/>
  <c r="T272" i="10"/>
  <c r="W272" i="10"/>
  <c r="V272" i="10"/>
  <c r="X272" i="10"/>
  <c r="U272" i="10"/>
  <c r="Y272" i="10"/>
  <c r="M287" i="10"/>
  <c r="M289" i="10"/>
  <c r="M299" i="10"/>
  <c r="M310" i="10"/>
  <c r="N310" i="10"/>
  <c r="O310" i="10"/>
  <c r="Q310" i="10"/>
  <c r="P310" i="10"/>
  <c r="R310" i="10"/>
  <c r="S310" i="10"/>
  <c r="N299" i="10"/>
  <c r="Q299" i="10"/>
  <c r="P299" i="10"/>
  <c r="R299" i="10"/>
  <c r="O299" i="10"/>
  <c r="S299" i="10"/>
  <c r="N289" i="10"/>
  <c r="Q289" i="10"/>
  <c r="P289" i="10"/>
  <c r="R289" i="10"/>
  <c r="O289" i="10"/>
  <c r="S289" i="10"/>
  <c r="N287" i="10"/>
  <c r="Q287" i="10"/>
  <c r="P287" i="10"/>
  <c r="R287" i="10"/>
  <c r="O287" i="10"/>
  <c r="S287" i="10"/>
  <c r="N272" i="10"/>
  <c r="Q272" i="10"/>
  <c r="P272" i="10"/>
  <c r="R272" i="10"/>
  <c r="O272" i="10"/>
  <c r="S272" i="10"/>
  <c r="G272" i="10"/>
  <c r="J272" i="10"/>
  <c r="I272" i="10"/>
  <c r="K272" i="10"/>
  <c r="H272" i="10"/>
  <c r="L272" i="10"/>
  <c r="M259" i="10"/>
  <c r="T259" i="10"/>
  <c r="W259" i="10"/>
  <c r="V259" i="10"/>
  <c r="X259" i="10"/>
  <c r="U259" i="10"/>
  <c r="Y259" i="10"/>
  <c r="N259" i="10"/>
  <c r="Q259" i="10"/>
  <c r="P259" i="10"/>
  <c r="R259" i="10"/>
  <c r="O259" i="10"/>
  <c r="S259" i="10"/>
  <c r="G259" i="10"/>
  <c r="J259" i="10"/>
  <c r="I259" i="10"/>
  <c r="K259" i="10"/>
  <c r="H259" i="10"/>
  <c r="L259" i="10"/>
  <c r="M250" i="10"/>
  <c r="T250" i="10"/>
  <c r="W250" i="10"/>
  <c r="V250" i="10"/>
  <c r="X250" i="10"/>
  <c r="U250" i="10"/>
  <c r="Y250" i="10"/>
  <c r="M263" i="10"/>
  <c r="M266" i="10"/>
  <c r="N266" i="10"/>
  <c r="Q266" i="10"/>
  <c r="P266" i="10"/>
  <c r="R266" i="10"/>
  <c r="O266" i="10"/>
  <c r="S266" i="10"/>
  <c r="N263" i="10"/>
  <c r="Q263" i="10"/>
  <c r="P263" i="10"/>
  <c r="R263" i="10"/>
  <c r="O263" i="10"/>
  <c r="S263" i="10"/>
  <c r="N250" i="10"/>
  <c r="Q250" i="10"/>
  <c r="P250" i="10"/>
  <c r="R250" i="10"/>
  <c r="O250" i="10"/>
  <c r="S250" i="10"/>
  <c r="G250" i="10"/>
  <c r="J250" i="10"/>
  <c r="I250" i="10"/>
  <c r="K250" i="10"/>
  <c r="H250" i="10"/>
  <c r="L250" i="10"/>
  <c r="J129" i="11"/>
  <c r="J128" i="11"/>
  <c r="J127" i="11"/>
  <c r="J126" i="11"/>
  <c r="J125" i="11"/>
  <c r="J124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M81" i="10"/>
  <c r="T81" i="10"/>
  <c r="W81" i="10"/>
  <c r="V81" i="10"/>
  <c r="X81" i="10"/>
  <c r="U81" i="10"/>
  <c r="Y81" i="10"/>
  <c r="M91" i="10"/>
  <c r="M103" i="10"/>
  <c r="M106" i="10"/>
  <c r="N106" i="10"/>
  <c r="Q106" i="10"/>
  <c r="P106" i="10"/>
  <c r="R106" i="10"/>
  <c r="O106" i="10"/>
  <c r="S106" i="10"/>
  <c r="N103" i="10"/>
  <c r="Q103" i="10"/>
  <c r="P103" i="10"/>
  <c r="R103" i="10"/>
  <c r="O103" i="10"/>
  <c r="S103" i="10"/>
  <c r="N91" i="10"/>
  <c r="Q91" i="10"/>
  <c r="P91" i="10"/>
  <c r="R91" i="10"/>
  <c r="O91" i="10"/>
  <c r="S9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M161" i="10"/>
  <c r="T161" i="10"/>
  <c r="W161" i="10"/>
  <c r="V161" i="10"/>
  <c r="X161" i="10"/>
  <c r="U161" i="10"/>
  <c r="Y161" i="10"/>
  <c r="M171" i="10"/>
  <c r="M183" i="10"/>
  <c r="M186" i="10"/>
  <c r="N186" i="10"/>
  <c r="Q186" i="10"/>
  <c r="P186" i="10"/>
  <c r="R186" i="10"/>
  <c r="O186" i="10"/>
  <c r="S186" i="10"/>
  <c r="N183" i="10"/>
  <c r="Q183" i="10"/>
  <c r="P183" i="10"/>
  <c r="R183" i="10"/>
  <c r="O183" i="10"/>
  <c r="S183" i="10"/>
  <c r="N171" i="10"/>
  <c r="Q171" i="10"/>
  <c r="P171" i="10"/>
  <c r="R171" i="10"/>
  <c r="O171" i="10"/>
  <c r="S171" i="10"/>
  <c r="N161" i="10"/>
  <c r="Q161" i="10"/>
  <c r="P161" i="10"/>
  <c r="R161" i="10"/>
  <c r="O161" i="10"/>
  <c r="S161" i="10"/>
  <c r="G161" i="10"/>
  <c r="J161" i="10"/>
  <c r="I161" i="10"/>
  <c r="K161" i="10"/>
  <c r="H161" i="10"/>
  <c r="L161" i="10"/>
  <c r="M160" i="10"/>
  <c r="T160" i="10"/>
  <c r="W160" i="10"/>
  <c r="V160" i="10"/>
  <c r="X160" i="10"/>
  <c r="U160" i="10"/>
  <c r="Y160" i="10"/>
  <c r="N160" i="10"/>
  <c r="Q160" i="10"/>
  <c r="P160" i="10"/>
  <c r="R160" i="10"/>
  <c r="O160" i="10"/>
  <c r="S160" i="10"/>
  <c r="G160" i="10"/>
  <c r="J160" i="10"/>
  <c r="I160" i="10"/>
  <c r="K160" i="10"/>
  <c r="H160" i="10"/>
  <c r="L160" i="10"/>
  <c r="M159" i="10"/>
  <c r="T159" i="10"/>
  <c r="W159" i="10"/>
  <c r="V159" i="10"/>
  <c r="X159" i="10"/>
  <c r="U159" i="10"/>
  <c r="Y159" i="10"/>
  <c r="N159" i="10"/>
  <c r="Q159" i="10"/>
  <c r="P159" i="10"/>
  <c r="R159" i="10"/>
  <c r="O159" i="10"/>
  <c r="S159" i="10"/>
  <c r="G159" i="10"/>
  <c r="J159" i="10"/>
  <c r="I159" i="10"/>
  <c r="K159" i="10"/>
  <c r="H159" i="10"/>
  <c r="L159" i="10"/>
  <c r="M158" i="10"/>
  <c r="T158" i="10"/>
  <c r="W158" i="10"/>
  <c r="V158" i="10"/>
  <c r="X158" i="10"/>
  <c r="U158" i="10"/>
  <c r="Y158" i="10"/>
  <c r="N158" i="10"/>
  <c r="Q158" i="10"/>
  <c r="P158" i="10"/>
  <c r="R158" i="10"/>
  <c r="O158" i="10"/>
  <c r="S158" i="10"/>
  <c r="G158" i="10"/>
  <c r="J158" i="10"/>
  <c r="I158" i="10"/>
  <c r="K158" i="10"/>
  <c r="H158" i="10"/>
  <c r="L158" i="10"/>
  <c r="M157" i="10"/>
  <c r="T157" i="10"/>
  <c r="W157" i="10"/>
  <c r="V157" i="10"/>
  <c r="X157" i="10"/>
  <c r="U157" i="10"/>
  <c r="Y157" i="10"/>
  <c r="N157" i="10"/>
  <c r="Q157" i="10"/>
  <c r="P157" i="10"/>
  <c r="R157" i="10"/>
  <c r="O157" i="10"/>
  <c r="S157" i="10"/>
  <c r="G157" i="10"/>
  <c r="J157" i="10"/>
  <c r="I157" i="10"/>
  <c r="K157" i="10"/>
  <c r="H157" i="10"/>
  <c r="L157" i="10"/>
  <c r="M156" i="10"/>
  <c r="T156" i="10"/>
  <c r="W156" i="10"/>
  <c r="V156" i="10"/>
  <c r="X156" i="10"/>
  <c r="U156" i="10"/>
  <c r="Y156" i="10"/>
  <c r="N156" i="10"/>
  <c r="Q156" i="10"/>
  <c r="P156" i="10"/>
  <c r="R156" i="10"/>
  <c r="O156" i="10"/>
  <c r="S156" i="10"/>
  <c r="G156" i="10"/>
  <c r="J156" i="10"/>
  <c r="I156" i="10"/>
  <c r="K156" i="10"/>
  <c r="H156" i="10"/>
  <c r="L156" i="10"/>
  <c r="M155" i="10"/>
  <c r="T155" i="10"/>
  <c r="W155" i="10"/>
  <c r="V155" i="10"/>
  <c r="X155" i="10"/>
  <c r="U155" i="10"/>
  <c r="Y155" i="10"/>
  <c r="N155" i="10"/>
  <c r="Q155" i="10"/>
  <c r="P155" i="10"/>
  <c r="R155" i="10"/>
  <c r="O155" i="10"/>
  <c r="S155" i="10"/>
  <c r="G155" i="10"/>
  <c r="J155" i="10"/>
  <c r="I155" i="10"/>
  <c r="K155" i="10"/>
  <c r="H155" i="10"/>
  <c r="L155" i="10"/>
  <c r="M154" i="10"/>
  <c r="T154" i="10"/>
  <c r="W154" i="10"/>
  <c r="V154" i="10"/>
  <c r="X154" i="10"/>
  <c r="U154" i="10"/>
  <c r="Y154" i="10"/>
  <c r="N154" i="10"/>
  <c r="Q154" i="10"/>
  <c r="P154" i="10"/>
  <c r="R154" i="10"/>
  <c r="O154" i="10"/>
  <c r="S154" i="10"/>
  <c r="G154" i="10"/>
  <c r="J154" i="10"/>
  <c r="I154" i="10"/>
  <c r="K154" i="10"/>
  <c r="H154" i="10"/>
  <c r="L154" i="10"/>
  <c r="M153" i="10"/>
  <c r="T153" i="10"/>
  <c r="W153" i="10"/>
  <c r="V153" i="10"/>
  <c r="X153" i="10"/>
  <c r="U153" i="10"/>
  <c r="Y153" i="10"/>
  <c r="N153" i="10"/>
  <c r="Q153" i="10"/>
  <c r="P153" i="10"/>
  <c r="R153" i="10"/>
  <c r="O153" i="10"/>
  <c r="S153" i="10"/>
  <c r="G153" i="10"/>
  <c r="J153" i="10"/>
  <c r="I153" i="10"/>
  <c r="K153" i="10"/>
  <c r="H153" i="10"/>
  <c r="L153" i="10"/>
  <c r="M152" i="10"/>
  <c r="T152" i="10"/>
  <c r="W152" i="10"/>
  <c r="V152" i="10"/>
  <c r="X152" i="10"/>
  <c r="U152" i="10"/>
  <c r="Y152" i="10"/>
  <c r="N152" i="10"/>
  <c r="Q152" i="10"/>
  <c r="P152" i="10"/>
  <c r="R152" i="10"/>
  <c r="O152" i="10"/>
  <c r="S152" i="10"/>
  <c r="G152" i="10"/>
  <c r="J152" i="10"/>
  <c r="I152" i="10"/>
  <c r="K152" i="10"/>
  <c r="H152" i="10"/>
  <c r="L152" i="10"/>
  <c r="M151" i="10"/>
  <c r="T151" i="10"/>
  <c r="W151" i="10"/>
  <c r="V151" i="10"/>
  <c r="X151" i="10"/>
  <c r="U151" i="10"/>
  <c r="Y151" i="10"/>
  <c r="N151" i="10"/>
  <c r="Q151" i="10"/>
  <c r="P151" i="10"/>
  <c r="R151" i="10"/>
  <c r="O151" i="10"/>
  <c r="S151" i="10"/>
  <c r="G151" i="10"/>
  <c r="J151" i="10"/>
  <c r="I151" i="10"/>
  <c r="K151" i="10"/>
  <c r="H151" i="10"/>
  <c r="L151" i="10"/>
  <c r="M150" i="10"/>
  <c r="T150" i="10"/>
  <c r="W150" i="10"/>
  <c r="V150" i="10"/>
  <c r="X150" i="10"/>
  <c r="U150" i="10"/>
  <c r="Y150" i="10"/>
  <c r="N150" i="10"/>
  <c r="Q150" i="10"/>
  <c r="P150" i="10"/>
  <c r="R150" i="10"/>
  <c r="O150" i="10"/>
  <c r="S150" i="10"/>
  <c r="G150" i="10"/>
  <c r="J150" i="10"/>
  <c r="I150" i="10"/>
  <c r="K150" i="10"/>
  <c r="H150" i="10"/>
  <c r="L150" i="10"/>
  <c r="M149" i="10"/>
  <c r="T149" i="10"/>
  <c r="W149" i="10"/>
  <c r="V149" i="10"/>
  <c r="X149" i="10"/>
  <c r="U149" i="10"/>
  <c r="Y149" i="10"/>
  <c r="N149" i="10"/>
  <c r="Q149" i="10"/>
  <c r="P149" i="10"/>
  <c r="R149" i="10"/>
  <c r="O149" i="10"/>
  <c r="S149" i="10"/>
  <c r="G149" i="10"/>
  <c r="J149" i="10"/>
  <c r="I149" i="10"/>
  <c r="K149" i="10"/>
  <c r="H149" i="10"/>
  <c r="L149" i="10"/>
  <c r="M148" i="10"/>
  <c r="T148" i="10"/>
  <c r="W148" i="10"/>
  <c r="V148" i="10"/>
  <c r="X148" i="10"/>
  <c r="U148" i="10"/>
  <c r="Y148" i="10"/>
  <c r="N148" i="10"/>
  <c r="Q148" i="10"/>
  <c r="P148" i="10"/>
  <c r="R148" i="10"/>
  <c r="O148" i="10"/>
  <c r="S148" i="10"/>
  <c r="G148" i="10"/>
  <c r="J148" i="10"/>
  <c r="I148" i="10"/>
  <c r="K148" i="10"/>
  <c r="H148" i="10"/>
  <c r="L148" i="10"/>
  <c r="M147" i="10"/>
  <c r="T147" i="10"/>
  <c r="W147" i="10"/>
  <c r="V147" i="10"/>
  <c r="X147" i="10"/>
  <c r="U147" i="10"/>
  <c r="Y147" i="10"/>
  <c r="N147" i="10"/>
  <c r="Q147" i="10"/>
  <c r="P147" i="10"/>
  <c r="R147" i="10"/>
  <c r="O147" i="10"/>
  <c r="S147" i="10"/>
  <c r="G147" i="10"/>
  <c r="J147" i="10"/>
  <c r="I147" i="10"/>
  <c r="K147" i="10"/>
  <c r="H147" i="10"/>
  <c r="L147" i="10"/>
  <c r="M146" i="10"/>
  <c r="T146" i="10"/>
  <c r="W146" i="10"/>
  <c r="V146" i="10"/>
  <c r="X146" i="10"/>
  <c r="U146" i="10"/>
  <c r="Y146" i="10"/>
  <c r="N146" i="10"/>
  <c r="Q146" i="10"/>
  <c r="P146" i="10"/>
  <c r="R146" i="10"/>
  <c r="O146" i="10"/>
  <c r="S146" i="10"/>
  <c r="G146" i="10"/>
  <c r="J146" i="10"/>
  <c r="I146" i="10"/>
  <c r="K146" i="10"/>
  <c r="H146" i="10"/>
  <c r="L146" i="10"/>
  <c r="M143" i="10"/>
  <c r="T143" i="10"/>
  <c r="W143" i="10"/>
  <c r="V143" i="10"/>
  <c r="X143" i="10"/>
  <c r="U143" i="10"/>
  <c r="Y143" i="10"/>
  <c r="N143" i="10"/>
  <c r="Q143" i="10"/>
  <c r="P143" i="10"/>
  <c r="R143" i="10"/>
  <c r="O143" i="10"/>
  <c r="S143" i="10"/>
  <c r="G143" i="10"/>
  <c r="J143" i="10"/>
  <c r="I143" i="10"/>
  <c r="K143" i="10"/>
  <c r="H143" i="10"/>
  <c r="L143" i="10"/>
  <c r="M142" i="10"/>
  <c r="T142" i="10"/>
  <c r="W142" i="10"/>
  <c r="V142" i="10"/>
  <c r="X142" i="10"/>
  <c r="U142" i="10"/>
  <c r="Y142" i="10"/>
  <c r="N142" i="10"/>
  <c r="Q142" i="10"/>
  <c r="P142" i="10"/>
  <c r="R142" i="10"/>
  <c r="O142" i="10"/>
  <c r="S142" i="10"/>
  <c r="G142" i="10"/>
  <c r="J142" i="10"/>
  <c r="I142" i="10"/>
  <c r="K142" i="10"/>
  <c r="H142" i="10"/>
  <c r="L142" i="10"/>
  <c r="M141" i="10"/>
  <c r="T141" i="10"/>
  <c r="W141" i="10"/>
  <c r="V141" i="10"/>
  <c r="X141" i="10"/>
  <c r="U141" i="10"/>
  <c r="Y141" i="10"/>
  <c r="N141" i="10"/>
  <c r="Q141" i="10"/>
  <c r="P141" i="10"/>
  <c r="R141" i="10"/>
  <c r="O141" i="10"/>
  <c r="S141" i="10"/>
  <c r="G141" i="10"/>
  <c r="J141" i="10"/>
  <c r="I141" i="10"/>
  <c r="K141" i="10"/>
  <c r="H141" i="10"/>
  <c r="L141" i="10"/>
  <c r="M140" i="10"/>
  <c r="T140" i="10"/>
  <c r="W140" i="10"/>
  <c r="V140" i="10"/>
  <c r="X140" i="10"/>
  <c r="U140" i="10"/>
  <c r="Y140" i="10"/>
  <c r="N140" i="10"/>
  <c r="Q140" i="10"/>
  <c r="P140" i="10"/>
  <c r="R140" i="10"/>
  <c r="O140" i="10"/>
  <c r="S140" i="10"/>
  <c r="G140" i="10"/>
  <c r="J140" i="10"/>
  <c r="I140" i="10"/>
  <c r="K140" i="10"/>
  <c r="H140" i="10"/>
  <c r="L140" i="10"/>
  <c r="M139" i="10"/>
  <c r="T139" i="10"/>
  <c r="W139" i="10"/>
  <c r="V139" i="10"/>
  <c r="X139" i="10"/>
  <c r="U139" i="10"/>
  <c r="Y139" i="10"/>
  <c r="N139" i="10"/>
  <c r="Q139" i="10"/>
  <c r="P139" i="10"/>
  <c r="R139" i="10"/>
  <c r="O139" i="10"/>
  <c r="S139" i="10"/>
  <c r="G139" i="10"/>
  <c r="J139" i="10"/>
  <c r="I139" i="10"/>
  <c r="K139" i="10"/>
  <c r="H139" i="10"/>
  <c r="L139" i="10"/>
  <c r="M138" i="10"/>
  <c r="T138" i="10"/>
  <c r="W138" i="10"/>
  <c r="V138" i="10"/>
  <c r="X138" i="10"/>
  <c r="U138" i="10"/>
  <c r="Y138" i="10"/>
  <c r="N138" i="10"/>
  <c r="Q138" i="10"/>
  <c r="P138" i="10"/>
  <c r="R138" i="10"/>
  <c r="O138" i="10"/>
  <c r="S138" i="10"/>
  <c r="G138" i="10"/>
  <c r="J138" i="10"/>
  <c r="I138" i="10"/>
  <c r="K138" i="10"/>
  <c r="H138" i="10"/>
  <c r="L138" i="10"/>
  <c r="M137" i="10"/>
  <c r="T137" i="10"/>
  <c r="W137" i="10"/>
  <c r="V137" i="10"/>
  <c r="X137" i="10"/>
  <c r="U137" i="10"/>
  <c r="Y137" i="10"/>
  <c r="N137" i="10"/>
  <c r="Q137" i="10"/>
  <c r="P137" i="10"/>
  <c r="R137" i="10"/>
  <c r="O137" i="10"/>
  <c r="S137" i="10"/>
  <c r="G137" i="10"/>
  <c r="J137" i="10"/>
  <c r="I137" i="10"/>
  <c r="K137" i="10"/>
  <c r="H137" i="10"/>
  <c r="L137" i="10"/>
  <c r="M136" i="10"/>
  <c r="T136" i="10"/>
  <c r="W136" i="10"/>
  <c r="V136" i="10"/>
  <c r="X136" i="10"/>
  <c r="U136" i="10"/>
  <c r="Y136" i="10"/>
  <c r="N136" i="10"/>
  <c r="Q136" i="10"/>
  <c r="P136" i="10"/>
  <c r="R136" i="10"/>
  <c r="O136" i="10"/>
  <c r="S136" i="10"/>
  <c r="G136" i="10"/>
  <c r="J136" i="10"/>
  <c r="I136" i="10"/>
  <c r="K136" i="10"/>
  <c r="H136" i="10"/>
  <c r="L136" i="10"/>
  <c r="M135" i="10"/>
  <c r="T135" i="10"/>
  <c r="W135" i="10"/>
  <c r="V135" i="10"/>
  <c r="X135" i="10"/>
  <c r="U135" i="10"/>
  <c r="Y135" i="10"/>
  <c r="N135" i="10"/>
  <c r="Q135" i="10"/>
  <c r="P135" i="10"/>
  <c r="R135" i="10"/>
  <c r="O135" i="10"/>
  <c r="S135" i="10"/>
  <c r="G135" i="10"/>
  <c r="J135" i="10"/>
  <c r="I135" i="10"/>
  <c r="K135" i="10"/>
  <c r="H135" i="10"/>
  <c r="L135" i="10"/>
  <c r="M134" i="10"/>
  <c r="T134" i="10"/>
  <c r="W134" i="10"/>
  <c r="V134" i="10"/>
  <c r="X134" i="10"/>
  <c r="U134" i="10"/>
  <c r="Y134" i="10"/>
  <c r="N134" i="10"/>
  <c r="Q134" i="10"/>
  <c r="P134" i="10"/>
  <c r="R134" i="10"/>
  <c r="O134" i="10"/>
  <c r="S134" i="10"/>
  <c r="G134" i="10"/>
  <c r="J134" i="10"/>
  <c r="I134" i="10"/>
  <c r="K134" i="10"/>
  <c r="H134" i="10"/>
  <c r="L134" i="10"/>
  <c r="M131" i="10"/>
  <c r="T131" i="10"/>
  <c r="W131" i="10"/>
  <c r="V131" i="10"/>
  <c r="X131" i="10"/>
  <c r="U131" i="10"/>
  <c r="Y131" i="10"/>
  <c r="N131" i="10"/>
  <c r="Q131" i="10"/>
  <c r="P131" i="10"/>
  <c r="R131" i="10"/>
  <c r="O131" i="10"/>
  <c r="S131" i="10"/>
  <c r="G131" i="10"/>
  <c r="J131" i="10"/>
  <c r="I131" i="10"/>
  <c r="K131" i="10"/>
  <c r="H131" i="10"/>
  <c r="L131" i="10"/>
  <c r="M130" i="10"/>
  <c r="T130" i="10"/>
  <c r="W130" i="10"/>
  <c r="V130" i="10"/>
  <c r="X130" i="10"/>
  <c r="U130" i="10"/>
  <c r="Y130" i="10"/>
  <c r="N130" i="10"/>
  <c r="Q130" i="10"/>
  <c r="P130" i="10"/>
  <c r="R130" i="10"/>
  <c r="O130" i="10"/>
  <c r="S130" i="10"/>
  <c r="G130" i="10"/>
  <c r="J130" i="10"/>
  <c r="I130" i="10"/>
  <c r="K130" i="10"/>
  <c r="H130" i="10"/>
  <c r="L130" i="10"/>
  <c r="M129" i="10"/>
  <c r="T129" i="10"/>
  <c r="W129" i="10"/>
  <c r="V129" i="10"/>
  <c r="X129" i="10"/>
  <c r="U129" i="10"/>
  <c r="Y129" i="10"/>
  <c r="N129" i="10"/>
  <c r="Q129" i="10"/>
  <c r="P129" i="10"/>
  <c r="R129" i="10"/>
  <c r="O129" i="10"/>
  <c r="S129" i="10"/>
  <c r="G129" i="10"/>
  <c r="J129" i="10"/>
  <c r="I129" i="10"/>
  <c r="K129" i="10"/>
  <c r="H129" i="10"/>
  <c r="L129" i="10"/>
  <c r="M128" i="10"/>
  <c r="T128" i="10"/>
  <c r="W128" i="10"/>
  <c r="V128" i="10"/>
  <c r="X128" i="10"/>
  <c r="U128" i="10"/>
  <c r="Y128" i="10"/>
  <c r="N128" i="10"/>
  <c r="Q128" i="10"/>
  <c r="P128" i="10"/>
  <c r="R128" i="10"/>
  <c r="O128" i="10"/>
  <c r="S128" i="10"/>
  <c r="G128" i="10"/>
  <c r="J128" i="10"/>
  <c r="I128" i="10"/>
  <c r="K128" i="10"/>
  <c r="H128" i="10"/>
  <c r="L128" i="10"/>
  <c r="M127" i="10"/>
  <c r="T127" i="10"/>
  <c r="W127" i="10"/>
  <c r="V127" i="10"/>
  <c r="X127" i="10"/>
  <c r="U127" i="10"/>
  <c r="Y127" i="10"/>
  <c r="N127" i="10"/>
  <c r="Q127" i="10"/>
  <c r="P127" i="10"/>
  <c r="R127" i="10"/>
  <c r="O127" i="10"/>
  <c r="S127" i="10"/>
  <c r="G127" i="10"/>
  <c r="J127" i="10"/>
  <c r="I127" i="10"/>
  <c r="K127" i="10"/>
  <c r="H127" i="10"/>
  <c r="L127" i="10"/>
  <c r="M126" i="10"/>
  <c r="T126" i="10"/>
  <c r="W126" i="10"/>
  <c r="V126" i="10"/>
  <c r="X126" i="10"/>
  <c r="U126" i="10"/>
  <c r="Y126" i="10"/>
  <c r="N126" i="10"/>
  <c r="Q126" i="10"/>
  <c r="P126" i="10"/>
  <c r="R126" i="10"/>
  <c r="O126" i="10"/>
  <c r="S126" i="10"/>
  <c r="G126" i="10"/>
  <c r="J126" i="10"/>
  <c r="I126" i="10"/>
  <c r="K126" i="10"/>
  <c r="H126" i="10"/>
  <c r="L126" i="10"/>
  <c r="M125" i="10"/>
  <c r="T125" i="10"/>
  <c r="W125" i="10"/>
  <c r="V125" i="10"/>
  <c r="X125" i="10"/>
  <c r="U125" i="10"/>
  <c r="Y125" i="10"/>
  <c r="N125" i="10"/>
  <c r="Q125" i="10"/>
  <c r="P125" i="10"/>
  <c r="R125" i="10"/>
  <c r="O125" i="10"/>
  <c r="S125" i="10"/>
  <c r="G125" i="10"/>
  <c r="J125" i="10"/>
  <c r="I125" i="10"/>
  <c r="K125" i="10"/>
  <c r="H125" i="10"/>
  <c r="L125" i="10"/>
  <c r="M122" i="10"/>
  <c r="T122" i="10"/>
  <c r="W122" i="10"/>
  <c r="V122" i="10"/>
  <c r="X122" i="10"/>
  <c r="U122" i="10"/>
  <c r="Y122" i="10"/>
  <c r="N122" i="10"/>
  <c r="Q122" i="10"/>
  <c r="P122" i="10"/>
  <c r="R122" i="10"/>
  <c r="O122" i="10"/>
  <c r="S122" i="10"/>
  <c r="G122" i="10"/>
  <c r="J122" i="10"/>
  <c r="I122" i="10"/>
  <c r="K122" i="10"/>
  <c r="H122" i="10"/>
  <c r="L122" i="10"/>
  <c r="M121" i="10"/>
  <c r="T121" i="10"/>
  <c r="W121" i="10"/>
  <c r="V121" i="10"/>
  <c r="X121" i="10"/>
  <c r="U121" i="10"/>
  <c r="Y121" i="10"/>
  <c r="N121" i="10"/>
  <c r="Q121" i="10"/>
  <c r="P121" i="10"/>
  <c r="R121" i="10"/>
  <c r="O121" i="10"/>
  <c r="S121" i="10"/>
  <c r="G121" i="10"/>
  <c r="J121" i="10"/>
  <c r="I121" i="10"/>
  <c r="K121" i="10"/>
  <c r="H121" i="10"/>
  <c r="L121" i="10"/>
  <c r="M120" i="10"/>
  <c r="T120" i="10"/>
  <c r="W120" i="10"/>
  <c r="V120" i="10"/>
  <c r="X120" i="10"/>
  <c r="U120" i="10"/>
  <c r="Y120" i="10"/>
  <c r="N120" i="10"/>
  <c r="Q120" i="10"/>
  <c r="P120" i="10"/>
  <c r="R120" i="10"/>
  <c r="O120" i="10"/>
  <c r="S120" i="10"/>
  <c r="G120" i="10"/>
  <c r="J120" i="10"/>
  <c r="I120" i="10"/>
  <c r="K120" i="10"/>
  <c r="H120" i="10"/>
  <c r="L120" i="10"/>
  <c r="M119" i="10"/>
  <c r="T119" i="10"/>
  <c r="W119" i="10"/>
  <c r="V119" i="10"/>
  <c r="X119" i="10"/>
  <c r="U119" i="10"/>
  <c r="Y119" i="10"/>
  <c r="N119" i="10"/>
  <c r="Q119" i="10"/>
  <c r="P119" i="10"/>
  <c r="R119" i="10"/>
  <c r="O119" i="10"/>
  <c r="S119" i="10"/>
  <c r="G119" i="10"/>
  <c r="J119" i="10"/>
  <c r="I119" i="10"/>
  <c r="K119" i="10"/>
  <c r="H119" i="10"/>
  <c r="L119" i="10"/>
  <c r="M118" i="10"/>
  <c r="T118" i="10"/>
  <c r="W118" i="10"/>
  <c r="V118" i="10"/>
  <c r="X118" i="10"/>
  <c r="U118" i="10"/>
  <c r="Y118" i="10"/>
  <c r="N118" i="10"/>
  <c r="Q118" i="10"/>
  <c r="P118" i="10"/>
  <c r="R118" i="10"/>
  <c r="O118" i="10"/>
  <c r="S118" i="10"/>
  <c r="G118" i="10"/>
  <c r="J118" i="10"/>
  <c r="I118" i="10"/>
  <c r="K118" i="10"/>
  <c r="H118" i="10"/>
  <c r="L118" i="10"/>
  <c r="M117" i="10"/>
  <c r="T117" i="10"/>
  <c r="W117" i="10"/>
  <c r="V117" i="10"/>
  <c r="X117" i="10"/>
  <c r="U117" i="10"/>
  <c r="Y117" i="10"/>
  <c r="N117" i="10"/>
  <c r="Q117" i="10"/>
  <c r="P117" i="10"/>
  <c r="R117" i="10"/>
  <c r="O117" i="10"/>
  <c r="S117" i="10"/>
  <c r="G117" i="10"/>
  <c r="J117" i="10"/>
  <c r="I117" i="10"/>
  <c r="K117" i="10"/>
  <c r="H117" i="10"/>
  <c r="L117" i="10"/>
  <c r="M116" i="10"/>
  <c r="T116" i="10"/>
  <c r="W116" i="10"/>
  <c r="V116" i="10"/>
  <c r="X116" i="10"/>
  <c r="U116" i="10"/>
  <c r="Y116" i="10"/>
  <c r="N116" i="10"/>
  <c r="Q116" i="10"/>
  <c r="P116" i="10"/>
  <c r="R116" i="10"/>
  <c r="O116" i="10"/>
  <c r="S116" i="10"/>
  <c r="G116" i="10"/>
  <c r="J116" i="10"/>
  <c r="I116" i="10"/>
  <c r="K116" i="10"/>
  <c r="H116" i="10"/>
  <c r="L116" i="10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T106" i="10"/>
  <c r="W106" i="10"/>
  <c r="V106" i="10"/>
  <c r="X106" i="10"/>
  <c r="U106" i="10"/>
  <c r="Y106" i="10"/>
  <c r="G106" i="10"/>
  <c r="J106" i="10"/>
  <c r="I106" i="10"/>
  <c r="K106" i="10"/>
  <c r="H106" i="10"/>
  <c r="L106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T103" i="10"/>
  <c r="W103" i="10"/>
  <c r="V103" i="10"/>
  <c r="X103" i="10"/>
  <c r="U103" i="10"/>
  <c r="Y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T91" i="10"/>
  <c r="W91" i="10"/>
  <c r="V91" i="10"/>
  <c r="X91" i="10"/>
  <c r="U91" i="10"/>
  <c r="Y91" i="10"/>
  <c r="G91" i="10"/>
  <c r="J91" i="10"/>
  <c r="I91" i="10"/>
  <c r="K91" i="10"/>
  <c r="H91" i="10"/>
  <c r="L91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241" i="10"/>
  <c r="T241" i="10"/>
  <c r="W241" i="10"/>
  <c r="V241" i="10"/>
  <c r="X241" i="10"/>
  <c r="U241" i="10"/>
  <c r="Y241" i="10"/>
  <c r="M251" i="10"/>
  <c r="N251" i="10"/>
  <c r="Q251" i="10"/>
  <c r="P251" i="10"/>
  <c r="R251" i="10"/>
  <c r="O251" i="10"/>
  <c r="S251" i="10"/>
  <c r="N241" i="10"/>
  <c r="Q241" i="10"/>
  <c r="P241" i="10"/>
  <c r="R241" i="10"/>
  <c r="O241" i="10"/>
  <c r="S241" i="10"/>
  <c r="G241" i="10"/>
  <c r="J241" i="10"/>
  <c r="I241" i="10"/>
  <c r="K241" i="10"/>
  <c r="H241" i="10"/>
  <c r="L241" i="10"/>
  <c r="M240" i="10"/>
  <c r="T240" i="10"/>
  <c r="W240" i="10"/>
  <c r="V240" i="10"/>
  <c r="X240" i="10"/>
  <c r="U240" i="10"/>
  <c r="Y240" i="10"/>
  <c r="N240" i="10"/>
  <c r="Q240" i="10"/>
  <c r="P240" i="10"/>
  <c r="R240" i="10"/>
  <c r="O240" i="10"/>
  <c r="S240" i="10"/>
  <c r="G240" i="10"/>
  <c r="J240" i="10"/>
  <c r="I240" i="10"/>
  <c r="K240" i="10"/>
  <c r="H240" i="10"/>
  <c r="L240" i="10"/>
  <c r="M239" i="10"/>
  <c r="T239" i="10"/>
  <c r="W239" i="10"/>
  <c r="V239" i="10"/>
  <c r="X239" i="10"/>
  <c r="U239" i="10"/>
  <c r="Y239" i="10"/>
  <c r="N239" i="10"/>
  <c r="Q239" i="10"/>
  <c r="P239" i="10"/>
  <c r="R239" i="10"/>
  <c r="O239" i="10"/>
  <c r="S239" i="10"/>
  <c r="G239" i="10"/>
  <c r="J239" i="10"/>
  <c r="I239" i="10"/>
  <c r="K239" i="10"/>
  <c r="H239" i="10"/>
  <c r="L239" i="10"/>
  <c r="M238" i="10"/>
  <c r="T238" i="10"/>
  <c r="W238" i="10"/>
  <c r="V238" i="10"/>
  <c r="X238" i="10"/>
  <c r="U238" i="10"/>
  <c r="Y238" i="10"/>
  <c r="N238" i="10"/>
  <c r="Q238" i="10"/>
  <c r="P238" i="10"/>
  <c r="R238" i="10"/>
  <c r="O238" i="10"/>
  <c r="S238" i="10"/>
  <c r="G238" i="10"/>
  <c r="J238" i="10"/>
  <c r="I238" i="10"/>
  <c r="K238" i="10"/>
  <c r="H238" i="10"/>
  <c r="L238" i="10"/>
  <c r="M237" i="10"/>
  <c r="T237" i="10"/>
  <c r="W237" i="10"/>
  <c r="V237" i="10"/>
  <c r="X237" i="10"/>
  <c r="U237" i="10"/>
  <c r="Y237" i="10"/>
  <c r="N237" i="10"/>
  <c r="Q237" i="10"/>
  <c r="P237" i="10"/>
  <c r="R237" i="10"/>
  <c r="O237" i="10"/>
  <c r="S237" i="10"/>
  <c r="G237" i="10"/>
  <c r="J237" i="10"/>
  <c r="I237" i="10"/>
  <c r="K237" i="10"/>
  <c r="H237" i="10"/>
  <c r="L237" i="10"/>
  <c r="M236" i="10"/>
  <c r="T236" i="10"/>
  <c r="W236" i="10"/>
  <c r="V236" i="10"/>
  <c r="X236" i="10"/>
  <c r="U236" i="10"/>
  <c r="Y236" i="10"/>
  <c r="N236" i="10"/>
  <c r="Q236" i="10"/>
  <c r="P236" i="10"/>
  <c r="R236" i="10"/>
  <c r="O236" i="10"/>
  <c r="S236" i="10"/>
  <c r="G236" i="10"/>
  <c r="J236" i="10"/>
  <c r="I236" i="10"/>
  <c r="K236" i="10"/>
  <c r="H236" i="10"/>
  <c r="L236" i="10"/>
  <c r="M235" i="10"/>
  <c r="T235" i="10"/>
  <c r="W235" i="10"/>
  <c r="V235" i="10"/>
  <c r="X235" i="10"/>
  <c r="U235" i="10"/>
  <c r="Y235" i="10"/>
  <c r="N235" i="10"/>
  <c r="Q235" i="10"/>
  <c r="P235" i="10"/>
  <c r="R235" i="10"/>
  <c r="O235" i="10"/>
  <c r="S235" i="10"/>
  <c r="G235" i="10"/>
  <c r="J235" i="10"/>
  <c r="I235" i="10"/>
  <c r="K235" i="10"/>
  <c r="H235" i="10"/>
  <c r="L235" i="10"/>
  <c r="M234" i="10"/>
  <c r="T234" i="10"/>
  <c r="W234" i="10"/>
  <c r="V234" i="10"/>
  <c r="X234" i="10"/>
  <c r="U234" i="10"/>
  <c r="Y234" i="10"/>
  <c r="N234" i="10"/>
  <c r="Q234" i="10"/>
  <c r="P234" i="10"/>
  <c r="R234" i="10"/>
  <c r="O234" i="10"/>
  <c r="S234" i="10"/>
  <c r="G234" i="10"/>
  <c r="J234" i="10"/>
  <c r="I234" i="10"/>
  <c r="K234" i="10"/>
  <c r="H234" i="10"/>
  <c r="L234" i="10"/>
  <c r="M233" i="10"/>
  <c r="T233" i="10"/>
  <c r="W233" i="10"/>
  <c r="V233" i="10"/>
  <c r="X233" i="10"/>
  <c r="U233" i="10"/>
  <c r="Y233" i="10"/>
  <c r="N233" i="10"/>
  <c r="Q233" i="10"/>
  <c r="P233" i="10"/>
  <c r="R233" i="10"/>
  <c r="O233" i="10"/>
  <c r="S233" i="10"/>
  <c r="G233" i="10"/>
  <c r="J233" i="10"/>
  <c r="I233" i="10"/>
  <c r="K233" i="10"/>
  <c r="H233" i="10"/>
  <c r="L233" i="10"/>
  <c r="M232" i="10"/>
  <c r="T232" i="10"/>
  <c r="W232" i="10"/>
  <c r="V232" i="10"/>
  <c r="X232" i="10"/>
  <c r="U232" i="10"/>
  <c r="Y232" i="10"/>
  <c r="N232" i="10"/>
  <c r="Q232" i="10"/>
  <c r="P232" i="10"/>
  <c r="R232" i="10"/>
  <c r="O232" i="10"/>
  <c r="S232" i="10"/>
  <c r="G232" i="10"/>
  <c r="J232" i="10"/>
  <c r="I232" i="10"/>
  <c r="K232" i="10"/>
  <c r="H232" i="10"/>
  <c r="L232" i="10"/>
  <c r="M231" i="10"/>
  <c r="T231" i="10"/>
  <c r="W231" i="10"/>
  <c r="V231" i="10"/>
  <c r="X231" i="10"/>
  <c r="U231" i="10"/>
  <c r="Y231" i="10"/>
  <c r="N231" i="10"/>
  <c r="Q231" i="10"/>
  <c r="P231" i="10"/>
  <c r="R231" i="10"/>
  <c r="O231" i="10"/>
  <c r="S231" i="10"/>
  <c r="G231" i="10"/>
  <c r="J231" i="10"/>
  <c r="I231" i="10"/>
  <c r="K231" i="10"/>
  <c r="H231" i="10"/>
  <c r="L231" i="10"/>
  <c r="M230" i="10"/>
  <c r="T230" i="10"/>
  <c r="W230" i="10"/>
  <c r="V230" i="10"/>
  <c r="X230" i="10"/>
  <c r="U230" i="10"/>
  <c r="Y230" i="10"/>
  <c r="N230" i="10"/>
  <c r="Q230" i="10"/>
  <c r="P230" i="10"/>
  <c r="R230" i="10"/>
  <c r="O230" i="10"/>
  <c r="S230" i="10"/>
  <c r="G230" i="10"/>
  <c r="J230" i="10"/>
  <c r="I230" i="10"/>
  <c r="K230" i="10"/>
  <c r="H230" i="10"/>
  <c r="L230" i="10"/>
  <c r="M229" i="10"/>
  <c r="T229" i="10"/>
  <c r="W229" i="10"/>
  <c r="V229" i="10"/>
  <c r="X229" i="10"/>
  <c r="U229" i="10"/>
  <c r="Y229" i="10"/>
  <c r="N229" i="10"/>
  <c r="Q229" i="10"/>
  <c r="P229" i="10"/>
  <c r="R229" i="10"/>
  <c r="O229" i="10"/>
  <c r="S229" i="10"/>
  <c r="G229" i="10"/>
  <c r="J229" i="10"/>
  <c r="I229" i="10"/>
  <c r="K229" i="10"/>
  <c r="H229" i="10"/>
  <c r="L229" i="10"/>
  <c r="M228" i="10"/>
  <c r="T228" i="10"/>
  <c r="W228" i="10"/>
  <c r="V228" i="10"/>
  <c r="X228" i="10"/>
  <c r="U228" i="10"/>
  <c r="Y228" i="10"/>
  <c r="N228" i="10"/>
  <c r="Q228" i="10"/>
  <c r="P228" i="10"/>
  <c r="R228" i="10"/>
  <c r="O228" i="10"/>
  <c r="S228" i="10"/>
  <c r="G228" i="10"/>
  <c r="J228" i="10"/>
  <c r="I228" i="10"/>
  <c r="K228" i="10"/>
  <c r="H228" i="10"/>
  <c r="L228" i="10"/>
  <c r="M227" i="10"/>
  <c r="T227" i="10"/>
  <c r="W227" i="10"/>
  <c r="V227" i="10"/>
  <c r="X227" i="10"/>
  <c r="U227" i="10"/>
  <c r="Y227" i="10"/>
  <c r="N227" i="10"/>
  <c r="Q227" i="10"/>
  <c r="P227" i="10"/>
  <c r="R227" i="10"/>
  <c r="O227" i="10"/>
  <c r="S227" i="10"/>
  <c r="G227" i="10"/>
  <c r="J227" i="10"/>
  <c r="I227" i="10"/>
  <c r="K227" i="10"/>
  <c r="H227" i="10"/>
  <c r="L227" i="10"/>
  <c r="M226" i="10"/>
  <c r="T226" i="10"/>
  <c r="W226" i="10"/>
  <c r="V226" i="10"/>
  <c r="X226" i="10"/>
  <c r="U226" i="10"/>
  <c r="Y226" i="10"/>
  <c r="N226" i="10"/>
  <c r="Q226" i="10"/>
  <c r="P226" i="10"/>
  <c r="R226" i="10"/>
  <c r="O226" i="10"/>
  <c r="S226" i="10"/>
  <c r="G226" i="10"/>
  <c r="J226" i="10"/>
  <c r="I226" i="10"/>
  <c r="K226" i="10"/>
  <c r="H226" i="10"/>
  <c r="L226" i="10"/>
  <c r="M223" i="10"/>
  <c r="T223" i="10"/>
  <c r="W223" i="10"/>
  <c r="V223" i="10"/>
  <c r="X223" i="10"/>
  <c r="U223" i="10"/>
  <c r="Y223" i="10"/>
  <c r="N223" i="10"/>
  <c r="Q223" i="10"/>
  <c r="P223" i="10"/>
  <c r="R223" i="10"/>
  <c r="O223" i="10"/>
  <c r="S223" i="10"/>
  <c r="G223" i="10"/>
  <c r="J223" i="10"/>
  <c r="I223" i="10"/>
  <c r="K223" i="10"/>
  <c r="H223" i="10"/>
  <c r="L223" i="10"/>
  <c r="M222" i="10"/>
  <c r="T222" i="10"/>
  <c r="W222" i="10"/>
  <c r="V222" i="10"/>
  <c r="X222" i="10"/>
  <c r="U222" i="10"/>
  <c r="Y222" i="10"/>
  <c r="N222" i="10"/>
  <c r="Q222" i="10"/>
  <c r="P222" i="10"/>
  <c r="R222" i="10"/>
  <c r="O222" i="10"/>
  <c r="S222" i="10"/>
  <c r="G222" i="10"/>
  <c r="J222" i="10"/>
  <c r="I222" i="10"/>
  <c r="K222" i="10"/>
  <c r="H222" i="10"/>
  <c r="L222" i="10"/>
  <c r="M221" i="10"/>
  <c r="T221" i="10"/>
  <c r="W221" i="10"/>
  <c r="V221" i="10"/>
  <c r="X221" i="10"/>
  <c r="U221" i="10"/>
  <c r="Y221" i="10"/>
  <c r="N221" i="10"/>
  <c r="Q221" i="10"/>
  <c r="P221" i="10"/>
  <c r="R221" i="10"/>
  <c r="O221" i="10"/>
  <c r="S221" i="10"/>
  <c r="G221" i="10"/>
  <c r="J221" i="10"/>
  <c r="I221" i="10"/>
  <c r="K221" i="10"/>
  <c r="H221" i="10"/>
  <c r="L221" i="10"/>
  <c r="M220" i="10"/>
  <c r="T220" i="10"/>
  <c r="W220" i="10"/>
  <c r="V220" i="10"/>
  <c r="X220" i="10"/>
  <c r="U220" i="10"/>
  <c r="Y220" i="10"/>
  <c r="N220" i="10"/>
  <c r="Q220" i="10"/>
  <c r="P220" i="10"/>
  <c r="R220" i="10"/>
  <c r="O220" i="10"/>
  <c r="S220" i="10"/>
  <c r="G220" i="10"/>
  <c r="J220" i="10"/>
  <c r="I220" i="10"/>
  <c r="K220" i="10"/>
  <c r="H220" i="10"/>
  <c r="L220" i="10"/>
  <c r="M219" i="10"/>
  <c r="T219" i="10"/>
  <c r="W219" i="10"/>
  <c r="V219" i="10"/>
  <c r="X219" i="10"/>
  <c r="U219" i="10"/>
  <c r="Y219" i="10"/>
  <c r="N219" i="10"/>
  <c r="Q219" i="10"/>
  <c r="P219" i="10"/>
  <c r="R219" i="10"/>
  <c r="O219" i="10"/>
  <c r="S219" i="10"/>
  <c r="G219" i="10"/>
  <c r="J219" i="10"/>
  <c r="I219" i="10"/>
  <c r="K219" i="10"/>
  <c r="H219" i="10"/>
  <c r="L219" i="10"/>
  <c r="M218" i="10"/>
  <c r="T218" i="10"/>
  <c r="W218" i="10"/>
  <c r="V218" i="10"/>
  <c r="X218" i="10"/>
  <c r="U218" i="10"/>
  <c r="Y218" i="10"/>
  <c r="N218" i="10"/>
  <c r="Q218" i="10"/>
  <c r="P218" i="10"/>
  <c r="R218" i="10"/>
  <c r="O218" i="10"/>
  <c r="S218" i="10"/>
  <c r="G218" i="10"/>
  <c r="J218" i="10"/>
  <c r="I218" i="10"/>
  <c r="K218" i="10"/>
  <c r="H218" i="10"/>
  <c r="L218" i="10"/>
  <c r="M217" i="10"/>
  <c r="T217" i="10"/>
  <c r="W217" i="10"/>
  <c r="V217" i="10"/>
  <c r="X217" i="10"/>
  <c r="U217" i="10"/>
  <c r="Y217" i="10"/>
  <c r="N217" i="10"/>
  <c r="Q217" i="10"/>
  <c r="P217" i="10"/>
  <c r="R217" i="10"/>
  <c r="O217" i="10"/>
  <c r="S217" i="10"/>
  <c r="G217" i="10"/>
  <c r="J217" i="10"/>
  <c r="I217" i="10"/>
  <c r="K217" i="10"/>
  <c r="H217" i="10"/>
  <c r="L217" i="10"/>
  <c r="M216" i="10"/>
  <c r="T216" i="10"/>
  <c r="W216" i="10"/>
  <c r="V216" i="10"/>
  <c r="X216" i="10"/>
  <c r="U216" i="10"/>
  <c r="Y216" i="10"/>
  <c r="N216" i="10"/>
  <c r="Q216" i="10"/>
  <c r="P216" i="10"/>
  <c r="R216" i="10"/>
  <c r="O216" i="10"/>
  <c r="S216" i="10"/>
  <c r="G216" i="10"/>
  <c r="J216" i="10"/>
  <c r="I216" i="10"/>
  <c r="K216" i="10"/>
  <c r="H216" i="10"/>
  <c r="L216" i="10"/>
  <c r="M215" i="10"/>
  <c r="T215" i="10"/>
  <c r="W215" i="10"/>
  <c r="V215" i="10"/>
  <c r="X215" i="10"/>
  <c r="U215" i="10"/>
  <c r="Y215" i="10"/>
  <c r="N215" i="10"/>
  <c r="Q215" i="10"/>
  <c r="P215" i="10"/>
  <c r="R215" i="10"/>
  <c r="O215" i="10"/>
  <c r="S215" i="10"/>
  <c r="G215" i="10"/>
  <c r="J215" i="10"/>
  <c r="I215" i="10"/>
  <c r="K215" i="10"/>
  <c r="H215" i="10"/>
  <c r="L215" i="10"/>
  <c r="M214" i="10"/>
  <c r="T214" i="10"/>
  <c r="W214" i="10"/>
  <c r="V214" i="10"/>
  <c r="X214" i="10"/>
  <c r="U214" i="10"/>
  <c r="Y214" i="10"/>
  <c r="N214" i="10"/>
  <c r="Q214" i="10"/>
  <c r="P214" i="10"/>
  <c r="R214" i="10"/>
  <c r="O214" i="10"/>
  <c r="S214" i="10"/>
  <c r="G214" i="10"/>
  <c r="J214" i="10"/>
  <c r="I214" i="10"/>
  <c r="K214" i="10"/>
  <c r="H214" i="10"/>
  <c r="L214" i="10"/>
  <c r="M211" i="10"/>
  <c r="T211" i="10"/>
  <c r="W211" i="10"/>
  <c r="V211" i="10"/>
  <c r="X211" i="10"/>
  <c r="U211" i="10"/>
  <c r="Y211" i="10"/>
  <c r="N211" i="10"/>
  <c r="Q211" i="10"/>
  <c r="P211" i="10"/>
  <c r="R211" i="10"/>
  <c r="O211" i="10"/>
  <c r="S211" i="10"/>
  <c r="G211" i="10"/>
  <c r="J211" i="10"/>
  <c r="I211" i="10"/>
  <c r="K211" i="10"/>
  <c r="H211" i="10"/>
  <c r="L211" i="10"/>
  <c r="M210" i="10"/>
  <c r="T210" i="10"/>
  <c r="W210" i="10"/>
  <c r="V210" i="10"/>
  <c r="X210" i="10"/>
  <c r="U210" i="10"/>
  <c r="Y210" i="10"/>
  <c r="N210" i="10"/>
  <c r="Q210" i="10"/>
  <c r="P210" i="10"/>
  <c r="R210" i="10"/>
  <c r="O210" i="10"/>
  <c r="S210" i="10"/>
  <c r="G210" i="10"/>
  <c r="J210" i="10"/>
  <c r="I210" i="10"/>
  <c r="K210" i="10"/>
  <c r="H210" i="10"/>
  <c r="L210" i="10"/>
  <c r="M209" i="10"/>
  <c r="T209" i="10"/>
  <c r="W209" i="10"/>
  <c r="V209" i="10"/>
  <c r="X209" i="10"/>
  <c r="U209" i="10"/>
  <c r="Y209" i="10"/>
  <c r="N209" i="10"/>
  <c r="Q209" i="10"/>
  <c r="P209" i="10"/>
  <c r="R209" i="10"/>
  <c r="O209" i="10"/>
  <c r="S209" i="10"/>
  <c r="G209" i="10"/>
  <c r="J209" i="10"/>
  <c r="I209" i="10"/>
  <c r="K209" i="10"/>
  <c r="H209" i="10"/>
  <c r="L209" i="10"/>
  <c r="M208" i="10"/>
  <c r="T208" i="10"/>
  <c r="W208" i="10"/>
  <c r="V208" i="10"/>
  <c r="X208" i="10"/>
  <c r="U208" i="10"/>
  <c r="Y208" i="10"/>
  <c r="N208" i="10"/>
  <c r="Q208" i="10"/>
  <c r="P208" i="10"/>
  <c r="R208" i="10"/>
  <c r="O208" i="10"/>
  <c r="S208" i="10"/>
  <c r="G208" i="10"/>
  <c r="J208" i="10"/>
  <c r="I208" i="10"/>
  <c r="K208" i="10"/>
  <c r="H208" i="10"/>
  <c r="L208" i="10"/>
  <c r="M207" i="10"/>
  <c r="T207" i="10"/>
  <c r="W207" i="10"/>
  <c r="V207" i="10"/>
  <c r="X207" i="10"/>
  <c r="U207" i="10"/>
  <c r="Y207" i="10"/>
  <c r="N207" i="10"/>
  <c r="Q207" i="10"/>
  <c r="P207" i="10"/>
  <c r="R207" i="10"/>
  <c r="O207" i="10"/>
  <c r="S207" i="10"/>
  <c r="G207" i="10"/>
  <c r="J207" i="10"/>
  <c r="I207" i="10"/>
  <c r="K207" i="10"/>
  <c r="H207" i="10"/>
  <c r="L207" i="10"/>
  <c r="M206" i="10"/>
  <c r="T206" i="10"/>
  <c r="W206" i="10"/>
  <c r="V206" i="10"/>
  <c r="X206" i="10"/>
  <c r="U206" i="10"/>
  <c r="Y206" i="10"/>
  <c r="N206" i="10"/>
  <c r="Q206" i="10"/>
  <c r="P206" i="10"/>
  <c r="R206" i="10"/>
  <c r="O206" i="10"/>
  <c r="S206" i="10"/>
  <c r="G206" i="10"/>
  <c r="J206" i="10"/>
  <c r="I206" i="10"/>
  <c r="K206" i="10"/>
  <c r="H206" i="10"/>
  <c r="L206" i="10"/>
  <c r="M205" i="10"/>
  <c r="T205" i="10"/>
  <c r="W205" i="10"/>
  <c r="V205" i="10"/>
  <c r="X205" i="10"/>
  <c r="U205" i="10"/>
  <c r="Y205" i="10"/>
  <c r="N205" i="10"/>
  <c r="Q205" i="10"/>
  <c r="P205" i="10"/>
  <c r="R205" i="10"/>
  <c r="O205" i="10"/>
  <c r="S205" i="10"/>
  <c r="G205" i="10"/>
  <c r="J205" i="10"/>
  <c r="I205" i="10"/>
  <c r="K205" i="10"/>
  <c r="H205" i="10"/>
  <c r="L205" i="10"/>
  <c r="M202" i="10"/>
  <c r="T202" i="10"/>
  <c r="W202" i="10"/>
  <c r="V202" i="10"/>
  <c r="X202" i="10"/>
  <c r="U202" i="10"/>
  <c r="Y202" i="10"/>
  <c r="N202" i="10"/>
  <c r="Q202" i="10"/>
  <c r="P202" i="10"/>
  <c r="R202" i="10"/>
  <c r="O202" i="10"/>
  <c r="S202" i="10"/>
  <c r="G202" i="10"/>
  <c r="J202" i="10"/>
  <c r="I202" i="10"/>
  <c r="K202" i="10"/>
  <c r="H202" i="10"/>
  <c r="L202" i="10"/>
  <c r="M201" i="10"/>
  <c r="T201" i="10"/>
  <c r="W201" i="10"/>
  <c r="V201" i="10"/>
  <c r="X201" i="10"/>
  <c r="U201" i="10"/>
  <c r="Y201" i="10"/>
  <c r="N201" i="10"/>
  <c r="Q201" i="10"/>
  <c r="P201" i="10"/>
  <c r="R201" i="10"/>
  <c r="O201" i="10"/>
  <c r="S201" i="10"/>
  <c r="G201" i="10"/>
  <c r="J201" i="10"/>
  <c r="I201" i="10"/>
  <c r="K201" i="10"/>
  <c r="H201" i="10"/>
  <c r="L201" i="10"/>
  <c r="M200" i="10"/>
  <c r="T200" i="10"/>
  <c r="W200" i="10"/>
  <c r="V200" i="10"/>
  <c r="X200" i="10"/>
  <c r="U200" i="10"/>
  <c r="Y200" i="10"/>
  <c r="N200" i="10"/>
  <c r="Q200" i="10"/>
  <c r="P200" i="10"/>
  <c r="R200" i="10"/>
  <c r="O200" i="10"/>
  <c r="S200" i="10"/>
  <c r="G200" i="10"/>
  <c r="J200" i="10"/>
  <c r="I200" i="10"/>
  <c r="K200" i="10"/>
  <c r="H200" i="10"/>
  <c r="L200" i="10"/>
  <c r="M199" i="10"/>
  <c r="T199" i="10"/>
  <c r="W199" i="10"/>
  <c r="V199" i="10"/>
  <c r="X199" i="10"/>
  <c r="U199" i="10"/>
  <c r="Y199" i="10"/>
  <c r="N199" i="10"/>
  <c r="Q199" i="10"/>
  <c r="P199" i="10"/>
  <c r="R199" i="10"/>
  <c r="O199" i="10"/>
  <c r="S199" i="10"/>
  <c r="G199" i="10"/>
  <c r="J199" i="10"/>
  <c r="I199" i="10"/>
  <c r="K199" i="10"/>
  <c r="H199" i="10"/>
  <c r="L199" i="10"/>
  <c r="M198" i="10"/>
  <c r="T198" i="10"/>
  <c r="W198" i="10"/>
  <c r="V198" i="10"/>
  <c r="X198" i="10"/>
  <c r="U198" i="10"/>
  <c r="Y198" i="10"/>
  <c r="N198" i="10"/>
  <c r="Q198" i="10"/>
  <c r="P198" i="10"/>
  <c r="R198" i="10"/>
  <c r="O198" i="10"/>
  <c r="S198" i="10"/>
  <c r="G198" i="10"/>
  <c r="J198" i="10"/>
  <c r="I198" i="10"/>
  <c r="K198" i="10"/>
  <c r="H198" i="10"/>
  <c r="L198" i="10"/>
  <c r="M197" i="10"/>
  <c r="T197" i="10"/>
  <c r="W197" i="10"/>
  <c r="V197" i="10"/>
  <c r="X197" i="10"/>
  <c r="U197" i="10"/>
  <c r="Y197" i="10"/>
  <c r="N197" i="10"/>
  <c r="Q197" i="10"/>
  <c r="P197" i="10"/>
  <c r="R197" i="10"/>
  <c r="O197" i="10"/>
  <c r="S197" i="10"/>
  <c r="G197" i="10"/>
  <c r="J197" i="10"/>
  <c r="I197" i="10"/>
  <c r="K197" i="10"/>
  <c r="H197" i="10"/>
  <c r="L197" i="10"/>
  <c r="M196" i="10"/>
  <c r="T196" i="10"/>
  <c r="W196" i="10"/>
  <c r="V196" i="10"/>
  <c r="X196" i="10"/>
  <c r="U196" i="10"/>
  <c r="Y196" i="10"/>
  <c r="N196" i="10"/>
  <c r="Q196" i="10"/>
  <c r="P196" i="10"/>
  <c r="R196" i="10"/>
  <c r="O196" i="10"/>
  <c r="S196" i="10"/>
  <c r="G196" i="10"/>
  <c r="J196" i="10"/>
  <c r="I196" i="10"/>
  <c r="K196" i="10"/>
  <c r="H196" i="10"/>
  <c r="L196" i="10"/>
  <c r="M195" i="10"/>
  <c r="T195" i="10"/>
  <c r="W195" i="10"/>
  <c r="V195" i="10"/>
  <c r="X195" i="10"/>
  <c r="U195" i="10"/>
  <c r="Y195" i="10"/>
  <c r="N195" i="10"/>
  <c r="Q195" i="10"/>
  <c r="P195" i="10"/>
  <c r="R195" i="10"/>
  <c r="O195" i="10"/>
  <c r="S195" i="10"/>
  <c r="G195" i="10"/>
  <c r="J195" i="10"/>
  <c r="I195" i="10"/>
  <c r="K195" i="10"/>
  <c r="H195" i="10"/>
  <c r="L195" i="10"/>
  <c r="M194" i="10"/>
  <c r="T194" i="10"/>
  <c r="W194" i="10"/>
  <c r="V194" i="10"/>
  <c r="X194" i="10"/>
  <c r="U194" i="10"/>
  <c r="Y194" i="10"/>
  <c r="N194" i="10"/>
  <c r="Q194" i="10"/>
  <c r="P194" i="10"/>
  <c r="R194" i="10"/>
  <c r="O194" i="10"/>
  <c r="S194" i="10"/>
  <c r="G194" i="10"/>
  <c r="J194" i="10"/>
  <c r="I194" i="10"/>
  <c r="K194" i="10"/>
  <c r="H194" i="10"/>
  <c r="L194" i="10"/>
  <c r="M191" i="10"/>
  <c r="T191" i="10"/>
  <c r="W191" i="10"/>
  <c r="V191" i="10"/>
  <c r="X191" i="10"/>
  <c r="U191" i="10"/>
  <c r="Y191" i="10"/>
  <c r="N191" i="10"/>
  <c r="Q191" i="10"/>
  <c r="P191" i="10"/>
  <c r="R191" i="10"/>
  <c r="O191" i="10"/>
  <c r="S191" i="10"/>
  <c r="G191" i="10"/>
  <c r="J191" i="10"/>
  <c r="I191" i="10"/>
  <c r="K191" i="10"/>
  <c r="H191" i="10"/>
  <c r="L191" i="10"/>
  <c r="M190" i="10"/>
  <c r="T190" i="10"/>
  <c r="W190" i="10"/>
  <c r="V190" i="10"/>
  <c r="X190" i="10"/>
  <c r="U190" i="10"/>
  <c r="Y190" i="10"/>
  <c r="N190" i="10"/>
  <c r="Q190" i="10"/>
  <c r="P190" i="10"/>
  <c r="R190" i="10"/>
  <c r="O190" i="10"/>
  <c r="S190" i="10"/>
  <c r="G190" i="10"/>
  <c r="J190" i="10"/>
  <c r="I190" i="10"/>
  <c r="K190" i="10"/>
  <c r="H190" i="10"/>
  <c r="L190" i="10"/>
  <c r="M189" i="10"/>
  <c r="T189" i="10"/>
  <c r="W189" i="10"/>
  <c r="V189" i="10"/>
  <c r="X189" i="10"/>
  <c r="U189" i="10"/>
  <c r="Y189" i="10"/>
  <c r="N189" i="10"/>
  <c r="Q189" i="10"/>
  <c r="P189" i="10"/>
  <c r="R189" i="10"/>
  <c r="O189" i="10"/>
  <c r="S189" i="10"/>
  <c r="G189" i="10"/>
  <c r="J189" i="10"/>
  <c r="I189" i="10"/>
  <c r="K189" i="10"/>
  <c r="H189" i="10"/>
  <c r="L189" i="10"/>
  <c r="M188" i="10"/>
  <c r="T188" i="10"/>
  <c r="W188" i="10"/>
  <c r="V188" i="10"/>
  <c r="X188" i="10"/>
  <c r="U188" i="10"/>
  <c r="Y188" i="10"/>
  <c r="N188" i="10"/>
  <c r="Q188" i="10"/>
  <c r="P188" i="10"/>
  <c r="R188" i="10"/>
  <c r="O188" i="10"/>
  <c r="S188" i="10"/>
  <c r="G188" i="10"/>
  <c r="J188" i="10"/>
  <c r="I188" i="10"/>
  <c r="K188" i="10"/>
  <c r="H188" i="10"/>
  <c r="L188" i="10"/>
  <c r="M187" i="10"/>
  <c r="T187" i="10"/>
  <c r="W187" i="10"/>
  <c r="V187" i="10"/>
  <c r="X187" i="10"/>
  <c r="U187" i="10"/>
  <c r="Y187" i="10"/>
  <c r="N187" i="10"/>
  <c r="Q187" i="10"/>
  <c r="P187" i="10"/>
  <c r="R187" i="10"/>
  <c r="O187" i="10"/>
  <c r="S187" i="10"/>
  <c r="G187" i="10"/>
  <c r="J187" i="10"/>
  <c r="I187" i="10"/>
  <c r="K187" i="10"/>
  <c r="H187" i="10"/>
  <c r="L187" i="10"/>
  <c r="T186" i="10"/>
  <c r="W186" i="10"/>
  <c r="V186" i="10"/>
  <c r="X186" i="10"/>
  <c r="U186" i="10"/>
  <c r="Y186" i="10"/>
  <c r="G186" i="10"/>
  <c r="J186" i="10"/>
  <c r="I186" i="10"/>
  <c r="K186" i="10"/>
  <c r="H186" i="10"/>
  <c r="L186" i="10"/>
  <c r="M185" i="10"/>
  <c r="T185" i="10"/>
  <c r="W185" i="10"/>
  <c r="V185" i="10"/>
  <c r="X185" i="10"/>
  <c r="U185" i="10"/>
  <c r="Y185" i="10"/>
  <c r="N185" i="10"/>
  <c r="Q185" i="10"/>
  <c r="P185" i="10"/>
  <c r="R185" i="10"/>
  <c r="O185" i="10"/>
  <c r="S185" i="10"/>
  <c r="G185" i="10"/>
  <c r="J185" i="10"/>
  <c r="I185" i="10"/>
  <c r="K185" i="10"/>
  <c r="H185" i="10"/>
  <c r="L185" i="10"/>
  <c r="M184" i="10"/>
  <c r="T184" i="10"/>
  <c r="W184" i="10"/>
  <c r="V184" i="10"/>
  <c r="X184" i="10"/>
  <c r="U184" i="10"/>
  <c r="Y184" i="10"/>
  <c r="N184" i="10"/>
  <c r="Q184" i="10"/>
  <c r="P184" i="10"/>
  <c r="R184" i="10"/>
  <c r="O184" i="10"/>
  <c r="S184" i="10"/>
  <c r="G184" i="10"/>
  <c r="J184" i="10"/>
  <c r="I184" i="10"/>
  <c r="K184" i="10"/>
  <c r="H184" i="10"/>
  <c r="L184" i="10"/>
  <c r="T183" i="10"/>
  <c r="W183" i="10"/>
  <c r="V183" i="10"/>
  <c r="X183" i="10"/>
  <c r="U183" i="10"/>
  <c r="Y183" i="10"/>
  <c r="G183" i="10"/>
  <c r="J183" i="10"/>
  <c r="I183" i="10"/>
  <c r="K183" i="10"/>
  <c r="H183" i="10"/>
  <c r="L183" i="10"/>
  <c r="M182" i="10"/>
  <c r="T182" i="10"/>
  <c r="W182" i="10"/>
  <c r="V182" i="10"/>
  <c r="X182" i="10"/>
  <c r="U182" i="10"/>
  <c r="Y182" i="10"/>
  <c r="N182" i="10"/>
  <c r="Q182" i="10"/>
  <c r="P182" i="10"/>
  <c r="R182" i="10"/>
  <c r="O182" i="10"/>
  <c r="S182" i="10"/>
  <c r="G182" i="10"/>
  <c r="J182" i="10"/>
  <c r="I182" i="10"/>
  <c r="K182" i="10"/>
  <c r="H182" i="10"/>
  <c r="L182" i="10"/>
  <c r="M181" i="10"/>
  <c r="T181" i="10"/>
  <c r="W181" i="10"/>
  <c r="V181" i="10"/>
  <c r="X181" i="10"/>
  <c r="U181" i="10"/>
  <c r="Y181" i="10"/>
  <c r="N181" i="10"/>
  <c r="Q181" i="10"/>
  <c r="P181" i="10"/>
  <c r="R181" i="10"/>
  <c r="O181" i="10"/>
  <c r="S181" i="10"/>
  <c r="G181" i="10"/>
  <c r="J181" i="10"/>
  <c r="I181" i="10"/>
  <c r="K181" i="10"/>
  <c r="H181" i="10"/>
  <c r="L181" i="10"/>
  <c r="M180" i="10"/>
  <c r="T180" i="10"/>
  <c r="W180" i="10"/>
  <c r="V180" i="10"/>
  <c r="X180" i="10"/>
  <c r="U180" i="10"/>
  <c r="Y180" i="10"/>
  <c r="N180" i="10"/>
  <c r="Q180" i="10"/>
  <c r="P180" i="10"/>
  <c r="R180" i="10"/>
  <c r="O180" i="10"/>
  <c r="S180" i="10"/>
  <c r="G180" i="10"/>
  <c r="J180" i="10"/>
  <c r="I180" i="10"/>
  <c r="K180" i="10"/>
  <c r="H180" i="10"/>
  <c r="L180" i="10"/>
  <c r="M178" i="10"/>
  <c r="T178" i="10"/>
  <c r="W178" i="10"/>
  <c r="V178" i="10"/>
  <c r="X178" i="10"/>
  <c r="U178" i="10"/>
  <c r="Y178" i="10"/>
  <c r="N178" i="10"/>
  <c r="Q178" i="10"/>
  <c r="P178" i="10"/>
  <c r="R178" i="10"/>
  <c r="O178" i="10"/>
  <c r="S178" i="10"/>
  <c r="G178" i="10"/>
  <c r="J178" i="10"/>
  <c r="I178" i="10"/>
  <c r="K178" i="10"/>
  <c r="H178" i="10"/>
  <c r="L178" i="10"/>
  <c r="M177" i="10"/>
  <c r="T177" i="10"/>
  <c r="W177" i="10"/>
  <c r="V177" i="10"/>
  <c r="X177" i="10"/>
  <c r="U177" i="10"/>
  <c r="Y177" i="10"/>
  <c r="N177" i="10"/>
  <c r="Q177" i="10"/>
  <c r="P177" i="10"/>
  <c r="R177" i="10"/>
  <c r="O177" i="10"/>
  <c r="S177" i="10"/>
  <c r="G177" i="10"/>
  <c r="J177" i="10"/>
  <c r="I177" i="10"/>
  <c r="K177" i="10"/>
  <c r="H177" i="10"/>
  <c r="L177" i="10"/>
  <c r="M176" i="10"/>
  <c r="T176" i="10"/>
  <c r="W176" i="10"/>
  <c r="V176" i="10"/>
  <c r="X176" i="10"/>
  <c r="U176" i="10"/>
  <c r="Y176" i="10"/>
  <c r="N176" i="10"/>
  <c r="Q176" i="10"/>
  <c r="P176" i="10"/>
  <c r="R176" i="10"/>
  <c r="O176" i="10"/>
  <c r="S176" i="10"/>
  <c r="G176" i="10"/>
  <c r="J176" i="10"/>
  <c r="I176" i="10"/>
  <c r="K176" i="10"/>
  <c r="H176" i="10"/>
  <c r="L176" i="10"/>
  <c r="M175" i="10"/>
  <c r="T175" i="10"/>
  <c r="W175" i="10"/>
  <c r="V175" i="10"/>
  <c r="X175" i="10"/>
  <c r="U175" i="10"/>
  <c r="Y175" i="10"/>
  <c r="N175" i="10"/>
  <c r="Q175" i="10"/>
  <c r="P175" i="10"/>
  <c r="R175" i="10"/>
  <c r="O175" i="10"/>
  <c r="S175" i="10"/>
  <c r="G175" i="10"/>
  <c r="J175" i="10"/>
  <c r="I175" i="10"/>
  <c r="K175" i="10"/>
  <c r="H175" i="10"/>
  <c r="L175" i="10"/>
  <c r="M174" i="10"/>
  <c r="T174" i="10"/>
  <c r="W174" i="10"/>
  <c r="V174" i="10"/>
  <c r="X174" i="10"/>
  <c r="U174" i="10"/>
  <c r="Y174" i="10"/>
  <c r="N174" i="10"/>
  <c r="Q174" i="10"/>
  <c r="P174" i="10"/>
  <c r="R174" i="10"/>
  <c r="O174" i="10"/>
  <c r="S174" i="10"/>
  <c r="G174" i="10"/>
  <c r="J174" i="10"/>
  <c r="I174" i="10"/>
  <c r="K174" i="10"/>
  <c r="H174" i="10"/>
  <c r="L174" i="10"/>
  <c r="M173" i="10"/>
  <c r="T173" i="10"/>
  <c r="W173" i="10"/>
  <c r="V173" i="10"/>
  <c r="X173" i="10"/>
  <c r="U173" i="10"/>
  <c r="Y173" i="10"/>
  <c r="N173" i="10"/>
  <c r="Q173" i="10"/>
  <c r="P173" i="10"/>
  <c r="R173" i="10"/>
  <c r="O173" i="10"/>
  <c r="S173" i="10"/>
  <c r="G173" i="10"/>
  <c r="J173" i="10"/>
  <c r="I173" i="10"/>
  <c r="K173" i="10"/>
  <c r="H173" i="10"/>
  <c r="L173" i="10"/>
  <c r="M172" i="10"/>
  <c r="T172" i="10"/>
  <c r="W172" i="10"/>
  <c r="V172" i="10"/>
  <c r="X172" i="10"/>
  <c r="U172" i="10"/>
  <c r="Y172" i="10"/>
  <c r="N172" i="10"/>
  <c r="Q172" i="10"/>
  <c r="P172" i="10"/>
  <c r="R172" i="10"/>
  <c r="O172" i="10"/>
  <c r="S172" i="10"/>
  <c r="G172" i="10"/>
  <c r="J172" i="10"/>
  <c r="I172" i="10"/>
  <c r="K172" i="10"/>
  <c r="H172" i="10"/>
  <c r="L172" i="10"/>
  <c r="T171" i="10"/>
  <c r="W171" i="10"/>
  <c r="V171" i="10"/>
  <c r="X171" i="10"/>
  <c r="U171" i="10"/>
  <c r="Y171" i="10"/>
  <c r="G171" i="10"/>
  <c r="J171" i="10"/>
  <c r="I171" i="10"/>
  <c r="K171" i="10"/>
  <c r="H171" i="10"/>
  <c r="L171" i="10"/>
  <c r="M169" i="10"/>
  <c r="T169" i="10"/>
  <c r="W169" i="10"/>
  <c r="V169" i="10"/>
  <c r="X169" i="10"/>
  <c r="U169" i="10"/>
  <c r="Y169" i="10"/>
  <c r="N169" i="10"/>
  <c r="Q169" i="10"/>
  <c r="P169" i="10"/>
  <c r="R169" i="10"/>
  <c r="O169" i="10"/>
  <c r="S169" i="10"/>
  <c r="G169" i="10"/>
  <c r="J169" i="10"/>
  <c r="I169" i="10"/>
  <c r="K169" i="10"/>
  <c r="H169" i="10"/>
  <c r="L169" i="10"/>
  <c r="M168" i="10"/>
  <c r="T168" i="10"/>
  <c r="W168" i="10"/>
  <c r="V168" i="10"/>
  <c r="X168" i="10"/>
  <c r="U168" i="10"/>
  <c r="Y168" i="10"/>
  <c r="N168" i="10"/>
  <c r="Q168" i="10"/>
  <c r="P168" i="10"/>
  <c r="R168" i="10"/>
  <c r="O168" i="10"/>
  <c r="S168" i="10"/>
  <c r="G168" i="10"/>
  <c r="J168" i="10"/>
  <c r="I168" i="10"/>
  <c r="K168" i="10"/>
  <c r="H168" i="10"/>
  <c r="L168" i="10"/>
  <c r="M167" i="10"/>
  <c r="T167" i="10"/>
  <c r="W167" i="10"/>
  <c r="V167" i="10"/>
  <c r="X167" i="10"/>
  <c r="U167" i="10"/>
  <c r="Y167" i="10"/>
  <c r="N167" i="10"/>
  <c r="Q167" i="10"/>
  <c r="P167" i="10"/>
  <c r="R167" i="10"/>
  <c r="O167" i="10"/>
  <c r="S167" i="10"/>
  <c r="G167" i="10"/>
  <c r="J167" i="10"/>
  <c r="I167" i="10"/>
  <c r="K167" i="10"/>
  <c r="H167" i="10"/>
  <c r="L167" i="10"/>
  <c r="M166" i="10"/>
  <c r="T166" i="10"/>
  <c r="W166" i="10"/>
  <c r="V166" i="10"/>
  <c r="X166" i="10"/>
  <c r="U166" i="10"/>
  <c r="Y166" i="10"/>
  <c r="N166" i="10"/>
  <c r="Q166" i="10"/>
  <c r="P166" i="10"/>
  <c r="R166" i="10"/>
  <c r="O166" i="10"/>
  <c r="S166" i="10"/>
  <c r="G166" i="10"/>
  <c r="J166" i="10"/>
  <c r="I166" i="10"/>
  <c r="K166" i="10"/>
  <c r="H166" i="10"/>
  <c r="L166" i="10"/>
  <c r="M165" i="10"/>
  <c r="T165" i="10"/>
  <c r="W165" i="10"/>
  <c r="V165" i="10"/>
  <c r="X165" i="10"/>
  <c r="U165" i="10"/>
  <c r="Y165" i="10"/>
  <c r="N165" i="10"/>
  <c r="Q165" i="10"/>
  <c r="P165" i="10"/>
  <c r="R165" i="10"/>
  <c r="O165" i="10"/>
  <c r="S165" i="10"/>
  <c r="G165" i="10"/>
  <c r="J165" i="10"/>
  <c r="I165" i="10"/>
  <c r="K165" i="10"/>
  <c r="H165" i="10"/>
  <c r="L165" i="10"/>
  <c r="M164" i="10"/>
  <c r="T164" i="10"/>
  <c r="W164" i="10"/>
  <c r="V164" i="10"/>
  <c r="X164" i="10"/>
  <c r="U164" i="10"/>
  <c r="Y164" i="10"/>
  <c r="N164" i="10"/>
  <c r="Q164" i="10"/>
  <c r="P164" i="10"/>
  <c r="R164" i="10"/>
  <c r="O164" i="10"/>
  <c r="S164" i="10"/>
  <c r="G164" i="10"/>
  <c r="J164" i="10"/>
  <c r="I164" i="10"/>
  <c r="K164" i="10"/>
  <c r="H164" i="10"/>
  <c r="L164" i="10"/>
  <c r="M163" i="10"/>
  <c r="T163" i="10"/>
  <c r="W163" i="10"/>
  <c r="V163" i="10"/>
  <c r="X163" i="10"/>
  <c r="U163" i="10"/>
  <c r="Y163" i="10"/>
  <c r="N163" i="10"/>
  <c r="Q163" i="10"/>
  <c r="P163" i="10"/>
  <c r="R163" i="10"/>
  <c r="O163" i="10"/>
  <c r="S163" i="10"/>
  <c r="G163" i="10"/>
  <c r="J163" i="10"/>
  <c r="I163" i="10"/>
  <c r="K163" i="10"/>
  <c r="H163" i="10"/>
  <c r="L163" i="10"/>
  <c r="M162" i="10"/>
  <c r="T162" i="10"/>
  <c r="W162" i="10"/>
  <c r="V162" i="10"/>
  <c r="X162" i="10"/>
  <c r="U162" i="10"/>
  <c r="Y162" i="10"/>
  <c r="N162" i="10"/>
  <c r="Q162" i="10"/>
  <c r="P162" i="10"/>
  <c r="R162" i="10"/>
  <c r="O162" i="10"/>
  <c r="S162" i="10"/>
  <c r="G162" i="10"/>
  <c r="J162" i="10"/>
  <c r="I162" i="10"/>
  <c r="K162" i="10"/>
  <c r="H162" i="10"/>
  <c r="L162" i="10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O129" i="9"/>
  <c r="N129" i="9"/>
  <c r="M129" i="9"/>
  <c r="L129" i="9"/>
  <c r="K129" i="9"/>
  <c r="J129" i="9"/>
  <c r="I129" i="9"/>
  <c r="H129" i="9"/>
  <c r="E129" i="9"/>
  <c r="D129" i="9"/>
  <c r="A129" i="9"/>
  <c r="O128" i="9"/>
  <c r="N128" i="9"/>
  <c r="M128" i="9"/>
  <c r="L128" i="9"/>
  <c r="K128" i="9"/>
  <c r="J128" i="9"/>
  <c r="I128" i="9"/>
  <c r="H128" i="9"/>
  <c r="E128" i="9"/>
  <c r="D128" i="9"/>
  <c r="A128" i="9"/>
  <c r="O127" i="9"/>
  <c r="N127" i="9"/>
  <c r="M127" i="9"/>
  <c r="L127" i="9"/>
  <c r="K127" i="9"/>
  <c r="J127" i="9"/>
  <c r="I127" i="9"/>
  <c r="H127" i="9"/>
  <c r="E127" i="9"/>
  <c r="D127" i="9"/>
  <c r="A127" i="9"/>
  <c r="O126" i="9"/>
  <c r="N126" i="9"/>
  <c r="M126" i="9"/>
  <c r="L126" i="9"/>
  <c r="K126" i="9"/>
  <c r="J126" i="9"/>
  <c r="I126" i="9"/>
  <c r="H126" i="9"/>
  <c r="E126" i="9"/>
  <c r="D126" i="9"/>
  <c r="A126" i="9"/>
  <c r="O125" i="9"/>
  <c r="N125" i="9"/>
  <c r="M125" i="9"/>
  <c r="L125" i="9"/>
  <c r="K125" i="9"/>
  <c r="J125" i="9"/>
  <c r="I125" i="9"/>
  <c r="H125" i="9"/>
  <c r="E125" i="9"/>
  <c r="D125" i="9"/>
  <c r="A125" i="9"/>
  <c r="O124" i="9"/>
  <c r="N124" i="9"/>
  <c r="M124" i="9"/>
  <c r="L124" i="9"/>
  <c r="K124" i="9"/>
  <c r="J124" i="9"/>
  <c r="I124" i="9"/>
  <c r="H124" i="9"/>
  <c r="E124" i="9"/>
  <c r="D124" i="9"/>
  <c r="A124" i="9"/>
  <c r="O123" i="9"/>
  <c r="N123" i="9"/>
  <c r="M123" i="9"/>
  <c r="L123" i="9"/>
  <c r="K123" i="9"/>
  <c r="J123" i="9"/>
  <c r="I123" i="9"/>
  <c r="H123" i="9"/>
  <c r="E123" i="9"/>
  <c r="D123" i="9"/>
  <c r="A123" i="9"/>
  <c r="O122" i="9"/>
  <c r="N122" i="9"/>
  <c r="M122" i="9"/>
  <c r="L122" i="9"/>
  <c r="K122" i="9"/>
  <c r="J122" i="9"/>
  <c r="I122" i="9"/>
  <c r="H122" i="9"/>
  <c r="E122" i="9"/>
  <c r="D122" i="9"/>
  <c r="A122" i="9"/>
  <c r="O121" i="9"/>
  <c r="N121" i="9"/>
  <c r="M121" i="9"/>
  <c r="L121" i="9"/>
  <c r="K121" i="9"/>
  <c r="J121" i="9"/>
  <c r="I121" i="9"/>
  <c r="H121" i="9"/>
  <c r="E121" i="9"/>
  <c r="D121" i="9"/>
  <c r="A121" i="9"/>
  <c r="O120" i="9"/>
  <c r="N120" i="9"/>
  <c r="M120" i="9"/>
  <c r="L120" i="9"/>
  <c r="K120" i="9"/>
  <c r="J120" i="9"/>
  <c r="I120" i="9"/>
  <c r="H120" i="9"/>
  <c r="E120" i="9"/>
  <c r="D120" i="9"/>
  <c r="A120" i="9"/>
  <c r="O119" i="9"/>
  <c r="N119" i="9"/>
  <c r="M119" i="9"/>
  <c r="L119" i="9"/>
  <c r="K119" i="9"/>
  <c r="J119" i="9"/>
  <c r="I119" i="9"/>
  <c r="H119" i="9"/>
  <c r="E119" i="9"/>
  <c r="D119" i="9"/>
  <c r="A119" i="9"/>
  <c r="O118" i="9"/>
  <c r="N118" i="9"/>
  <c r="M118" i="9"/>
  <c r="L118" i="9"/>
  <c r="K118" i="9"/>
  <c r="J118" i="9"/>
  <c r="I118" i="9"/>
  <c r="H118" i="9"/>
  <c r="E118" i="9"/>
  <c r="D118" i="9"/>
  <c r="A118" i="9"/>
  <c r="O117" i="9"/>
  <c r="N117" i="9"/>
  <c r="M117" i="9"/>
  <c r="L117" i="9"/>
  <c r="K117" i="9"/>
  <c r="J117" i="9"/>
  <c r="I117" i="9"/>
  <c r="H117" i="9"/>
  <c r="E117" i="9"/>
  <c r="D117" i="9"/>
  <c r="A117" i="9"/>
  <c r="O116" i="9"/>
  <c r="N116" i="9"/>
  <c r="M116" i="9"/>
  <c r="L116" i="9"/>
  <c r="K116" i="9"/>
  <c r="J116" i="9"/>
  <c r="I116" i="9"/>
  <c r="H116" i="9"/>
  <c r="E116" i="9"/>
  <c r="D116" i="9"/>
  <c r="A116" i="9"/>
  <c r="O115" i="9"/>
  <c r="N115" i="9"/>
  <c r="M115" i="9"/>
  <c r="L115" i="9"/>
  <c r="K115" i="9"/>
  <c r="J115" i="9"/>
  <c r="I115" i="9"/>
  <c r="H115" i="9"/>
  <c r="E115" i="9"/>
  <c r="D115" i="9"/>
  <c r="A115" i="9"/>
  <c r="O114" i="9"/>
  <c r="N114" i="9"/>
  <c r="M114" i="9"/>
  <c r="L114" i="9"/>
  <c r="K114" i="9"/>
  <c r="J114" i="9"/>
  <c r="I114" i="9"/>
  <c r="H114" i="9"/>
  <c r="E114" i="9"/>
  <c r="D114" i="9"/>
  <c r="A114" i="9"/>
  <c r="O111" i="9"/>
  <c r="N111" i="9"/>
  <c r="M111" i="9"/>
  <c r="L111" i="9"/>
  <c r="K111" i="9"/>
  <c r="J111" i="9"/>
  <c r="I111" i="9"/>
  <c r="H111" i="9"/>
  <c r="E111" i="9"/>
  <c r="D111" i="9"/>
  <c r="A111" i="9"/>
  <c r="O110" i="9"/>
  <c r="N110" i="9"/>
  <c r="M110" i="9"/>
  <c r="L110" i="9"/>
  <c r="K110" i="9"/>
  <c r="J110" i="9"/>
  <c r="I110" i="9"/>
  <c r="H110" i="9"/>
  <c r="E110" i="9"/>
  <c r="D110" i="9"/>
  <c r="A110" i="9"/>
  <c r="O109" i="9"/>
  <c r="N109" i="9"/>
  <c r="M109" i="9"/>
  <c r="L109" i="9"/>
  <c r="K109" i="9"/>
  <c r="J109" i="9"/>
  <c r="I109" i="9"/>
  <c r="H109" i="9"/>
  <c r="E109" i="9"/>
  <c r="D109" i="9"/>
  <c r="A109" i="9"/>
  <c r="O108" i="9"/>
  <c r="N108" i="9"/>
  <c r="M108" i="9"/>
  <c r="L108" i="9"/>
  <c r="K108" i="9"/>
  <c r="J108" i="9"/>
  <c r="I108" i="9"/>
  <c r="H108" i="9"/>
  <c r="E108" i="9"/>
  <c r="D108" i="9"/>
  <c r="A108" i="9"/>
  <c r="O107" i="9"/>
  <c r="N107" i="9"/>
  <c r="M107" i="9"/>
  <c r="L107" i="9"/>
  <c r="K107" i="9"/>
  <c r="J107" i="9"/>
  <c r="I107" i="9"/>
  <c r="H107" i="9"/>
  <c r="E107" i="9"/>
  <c r="D107" i="9"/>
  <c r="A107" i="9"/>
  <c r="O106" i="9"/>
  <c r="N106" i="9"/>
  <c r="M106" i="9"/>
  <c r="L106" i="9"/>
  <c r="K106" i="9"/>
  <c r="J106" i="9"/>
  <c r="I106" i="9"/>
  <c r="H106" i="9"/>
  <c r="E106" i="9"/>
  <c r="D106" i="9"/>
  <c r="A106" i="9"/>
  <c r="O105" i="9"/>
  <c r="N105" i="9"/>
  <c r="M105" i="9"/>
  <c r="L105" i="9"/>
  <c r="K105" i="9"/>
  <c r="J105" i="9"/>
  <c r="I105" i="9"/>
  <c r="H105" i="9"/>
  <c r="E105" i="9"/>
  <c r="D105" i="9"/>
  <c r="A105" i="9"/>
  <c r="O104" i="9"/>
  <c r="N104" i="9"/>
  <c r="M104" i="9"/>
  <c r="L104" i="9"/>
  <c r="K104" i="9"/>
  <c r="J104" i="9"/>
  <c r="I104" i="9"/>
  <c r="H104" i="9"/>
  <c r="E104" i="9"/>
  <c r="D104" i="9"/>
  <c r="A104" i="9"/>
  <c r="O103" i="9"/>
  <c r="N103" i="9"/>
  <c r="M103" i="9"/>
  <c r="L103" i="9"/>
  <c r="K103" i="9"/>
  <c r="J103" i="9"/>
  <c r="I103" i="9"/>
  <c r="H103" i="9"/>
  <c r="E103" i="9"/>
  <c r="D103" i="9"/>
  <c r="A103" i="9"/>
  <c r="O102" i="9"/>
  <c r="N102" i="9"/>
  <c r="M102" i="9"/>
  <c r="L102" i="9"/>
  <c r="K102" i="9"/>
  <c r="J102" i="9"/>
  <c r="I102" i="9"/>
  <c r="H102" i="9"/>
  <c r="E102" i="9"/>
  <c r="D102" i="9"/>
  <c r="A102" i="9"/>
  <c r="O101" i="9"/>
  <c r="N101" i="9"/>
  <c r="M101" i="9"/>
  <c r="L101" i="9"/>
  <c r="K101" i="9"/>
  <c r="J101" i="9"/>
  <c r="I101" i="9"/>
  <c r="H101" i="9"/>
  <c r="E101" i="9"/>
  <c r="D101" i="9"/>
  <c r="A101" i="9"/>
  <c r="O100" i="9"/>
  <c r="N100" i="9"/>
  <c r="M100" i="9"/>
  <c r="L100" i="9"/>
  <c r="K100" i="9"/>
  <c r="J100" i="9"/>
  <c r="I100" i="9"/>
  <c r="H100" i="9"/>
  <c r="E100" i="9"/>
  <c r="D100" i="9"/>
  <c r="A100" i="9"/>
  <c r="O99" i="9"/>
  <c r="N99" i="9"/>
  <c r="M99" i="9"/>
  <c r="L99" i="9"/>
  <c r="K99" i="9"/>
  <c r="J99" i="9"/>
  <c r="I99" i="9"/>
  <c r="H99" i="9"/>
  <c r="E99" i="9"/>
  <c r="D99" i="9"/>
  <c r="A99" i="9"/>
  <c r="O98" i="9"/>
  <c r="N98" i="9"/>
  <c r="M98" i="9"/>
  <c r="L98" i="9"/>
  <c r="K98" i="9"/>
  <c r="J98" i="9"/>
  <c r="I98" i="9"/>
  <c r="H98" i="9"/>
  <c r="E98" i="9"/>
  <c r="D98" i="9"/>
  <c r="A98" i="9"/>
  <c r="O97" i="9"/>
  <c r="N97" i="9"/>
  <c r="M97" i="9"/>
  <c r="L97" i="9"/>
  <c r="K97" i="9"/>
  <c r="J97" i="9"/>
  <c r="I97" i="9"/>
  <c r="H97" i="9"/>
  <c r="E97" i="9"/>
  <c r="D97" i="9"/>
  <c r="A97" i="9"/>
  <c r="O96" i="9"/>
  <c r="N96" i="9"/>
  <c r="M96" i="9"/>
  <c r="L96" i="9"/>
  <c r="K96" i="9"/>
  <c r="J96" i="9"/>
  <c r="I96" i="9"/>
  <c r="H96" i="9"/>
  <c r="E96" i="9"/>
  <c r="D96" i="9"/>
  <c r="A96" i="9"/>
  <c r="O95" i="9"/>
  <c r="N95" i="9"/>
  <c r="M95" i="9"/>
  <c r="L95" i="9"/>
  <c r="K95" i="9"/>
  <c r="J95" i="9"/>
  <c r="I95" i="9"/>
  <c r="H95" i="9"/>
  <c r="E95" i="9"/>
  <c r="D95" i="9"/>
  <c r="A95" i="9"/>
  <c r="O94" i="9"/>
  <c r="N94" i="9"/>
  <c r="M94" i="9"/>
  <c r="L94" i="9"/>
  <c r="K94" i="9"/>
  <c r="J94" i="9"/>
  <c r="I94" i="9"/>
  <c r="H94" i="9"/>
  <c r="E94" i="9"/>
  <c r="D94" i="9"/>
  <c r="A94" i="9"/>
  <c r="O93" i="9"/>
  <c r="N93" i="9"/>
  <c r="M93" i="9"/>
  <c r="L93" i="9"/>
  <c r="K93" i="9"/>
  <c r="J93" i="9"/>
  <c r="I93" i="9"/>
  <c r="H93" i="9"/>
  <c r="E93" i="9"/>
  <c r="D93" i="9"/>
  <c r="A93" i="9"/>
  <c r="O90" i="9"/>
  <c r="N90" i="9"/>
  <c r="M90" i="9"/>
  <c r="L90" i="9"/>
  <c r="K90" i="9"/>
  <c r="J90" i="9"/>
  <c r="I90" i="9"/>
  <c r="H90" i="9"/>
  <c r="E90" i="9"/>
  <c r="D90" i="9"/>
  <c r="A90" i="9"/>
  <c r="O89" i="9"/>
  <c r="N89" i="9"/>
  <c r="M89" i="9"/>
  <c r="L89" i="9"/>
  <c r="K89" i="9"/>
  <c r="J89" i="9"/>
  <c r="I89" i="9"/>
  <c r="H89" i="9"/>
  <c r="E89" i="9"/>
  <c r="D89" i="9"/>
  <c r="A89" i="9"/>
  <c r="O88" i="9"/>
  <c r="N88" i="9"/>
  <c r="M88" i="9"/>
  <c r="L88" i="9"/>
  <c r="K88" i="9"/>
  <c r="J88" i="9"/>
  <c r="I88" i="9"/>
  <c r="H88" i="9"/>
  <c r="E88" i="9"/>
  <c r="D88" i="9"/>
  <c r="A88" i="9"/>
  <c r="O87" i="9"/>
  <c r="N87" i="9"/>
  <c r="M87" i="9"/>
  <c r="L87" i="9"/>
  <c r="K87" i="9"/>
  <c r="J87" i="9"/>
  <c r="I87" i="9"/>
  <c r="H87" i="9"/>
  <c r="E87" i="9"/>
  <c r="D87" i="9"/>
  <c r="A87" i="9"/>
  <c r="O86" i="9"/>
  <c r="N86" i="9"/>
  <c r="M86" i="9"/>
  <c r="L86" i="9"/>
  <c r="K86" i="9"/>
  <c r="J86" i="9"/>
  <c r="I86" i="9"/>
  <c r="H86" i="9"/>
  <c r="E86" i="9"/>
  <c r="D86" i="9"/>
  <c r="A86" i="9"/>
  <c r="O85" i="9"/>
  <c r="N85" i="9"/>
  <c r="M85" i="9"/>
  <c r="L85" i="9"/>
  <c r="K85" i="9"/>
  <c r="J85" i="9"/>
  <c r="I85" i="9"/>
  <c r="H85" i="9"/>
  <c r="E85" i="9"/>
  <c r="D85" i="9"/>
  <c r="A85" i="9"/>
  <c r="O84" i="9"/>
  <c r="N84" i="9"/>
  <c r="M84" i="9"/>
  <c r="L84" i="9"/>
  <c r="K84" i="9"/>
  <c r="J84" i="9"/>
  <c r="I84" i="9"/>
  <c r="H84" i="9"/>
  <c r="E84" i="9"/>
  <c r="D84" i="9"/>
  <c r="A84" i="9"/>
  <c r="O83" i="9"/>
  <c r="N83" i="9"/>
  <c r="M83" i="9"/>
  <c r="L83" i="9"/>
  <c r="K83" i="9"/>
  <c r="J83" i="9"/>
  <c r="I83" i="9"/>
  <c r="H83" i="9"/>
  <c r="E83" i="9"/>
  <c r="D83" i="9"/>
  <c r="A83" i="9"/>
  <c r="O82" i="9"/>
  <c r="N82" i="9"/>
  <c r="M82" i="9"/>
  <c r="L82" i="9"/>
  <c r="K82" i="9"/>
  <c r="J82" i="9"/>
  <c r="I82" i="9"/>
  <c r="H82" i="9"/>
  <c r="E82" i="9"/>
  <c r="D82" i="9"/>
  <c r="A82" i="9"/>
  <c r="O81" i="9"/>
  <c r="N81" i="9"/>
  <c r="M81" i="9"/>
  <c r="L81" i="9"/>
  <c r="K81" i="9"/>
  <c r="J81" i="9"/>
  <c r="I81" i="9"/>
  <c r="H81" i="9"/>
  <c r="E81" i="9"/>
  <c r="D81" i="9"/>
  <c r="A81" i="9"/>
  <c r="O80" i="9"/>
  <c r="N80" i="9"/>
  <c r="M80" i="9"/>
  <c r="L80" i="9"/>
  <c r="K80" i="9"/>
  <c r="J80" i="9"/>
  <c r="I80" i="9"/>
  <c r="H80" i="9"/>
  <c r="E80" i="9"/>
  <c r="D80" i="9"/>
  <c r="A80" i="9"/>
  <c r="O79" i="9"/>
  <c r="N79" i="9"/>
  <c r="M79" i="9"/>
  <c r="L79" i="9"/>
  <c r="K79" i="9"/>
  <c r="J79" i="9"/>
  <c r="I79" i="9"/>
  <c r="H79" i="9"/>
  <c r="E79" i="9"/>
  <c r="D79" i="9"/>
  <c r="A79" i="9"/>
  <c r="O78" i="9"/>
  <c r="N78" i="9"/>
  <c r="M78" i="9"/>
  <c r="L78" i="9"/>
  <c r="K78" i="9"/>
  <c r="J78" i="9"/>
  <c r="I78" i="9"/>
  <c r="H78" i="9"/>
  <c r="E78" i="9"/>
  <c r="D78" i="9"/>
  <c r="A78" i="9"/>
  <c r="O77" i="9"/>
  <c r="N77" i="9"/>
  <c r="M77" i="9"/>
  <c r="L77" i="9"/>
  <c r="K77" i="9"/>
  <c r="J77" i="9"/>
  <c r="I77" i="9"/>
  <c r="H77" i="9"/>
  <c r="E77" i="9"/>
  <c r="D77" i="9"/>
  <c r="A77" i="9"/>
  <c r="O74" i="9"/>
  <c r="N74" i="9"/>
  <c r="M74" i="9"/>
  <c r="L74" i="9"/>
  <c r="K74" i="9"/>
  <c r="J74" i="9"/>
  <c r="I74" i="9"/>
  <c r="H74" i="9"/>
  <c r="E74" i="9"/>
  <c r="D74" i="9"/>
  <c r="A74" i="9"/>
  <c r="O73" i="9"/>
  <c r="N73" i="9"/>
  <c r="M73" i="9"/>
  <c r="L73" i="9"/>
  <c r="K73" i="9"/>
  <c r="J73" i="9"/>
  <c r="I73" i="9"/>
  <c r="H73" i="9"/>
  <c r="E73" i="9"/>
  <c r="D73" i="9"/>
  <c r="A73" i="9"/>
  <c r="O72" i="9"/>
  <c r="N72" i="9"/>
  <c r="M72" i="9"/>
  <c r="L72" i="9"/>
  <c r="K72" i="9"/>
  <c r="J72" i="9"/>
  <c r="I72" i="9"/>
  <c r="H72" i="9"/>
  <c r="E72" i="9"/>
  <c r="D72" i="9"/>
  <c r="A72" i="9"/>
  <c r="O71" i="9"/>
  <c r="N71" i="9"/>
  <c r="M71" i="9"/>
  <c r="L71" i="9"/>
  <c r="K71" i="9"/>
  <c r="J71" i="9"/>
  <c r="I71" i="9"/>
  <c r="H71" i="9"/>
  <c r="E71" i="9"/>
  <c r="D71" i="9"/>
  <c r="A71" i="9"/>
  <c r="O70" i="9"/>
  <c r="N70" i="9"/>
  <c r="M70" i="9"/>
  <c r="L70" i="9"/>
  <c r="K70" i="9"/>
  <c r="J70" i="9"/>
  <c r="I70" i="9"/>
  <c r="H70" i="9"/>
  <c r="E70" i="9"/>
  <c r="D70" i="9"/>
  <c r="A70" i="9"/>
  <c r="O69" i="9"/>
  <c r="N69" i="9"/>
  <c r="M69" i="9"/>
  <c r="L69" i="9"/>
  <c r="K69" i="9"/>
  <c r="J69" i="9"/>
  <c r="I69" i="9"/>
  <c r="H69" i="9"/>
  <c r="E69" i="9"/>
  <c r="D69" i="9"/>
  <c r="A69" i="9"/>
  <c r="O68" i="9"/>
  <c r="N68" i="9"/>
  <c r="M68" i="9"/>
  <c r="L68" i="9"/>
  <c r="K68" i="9"/>
  <c r="J68" i="9"/>
  <c r="I68" i="9"/>
  <c r="H68" i="9"/>
  <c r="E68" i="9"/>
  <c r="D68" i="9"/>
  <c r="A68" i="9"/>
  <c r="O67" i="9"/>
  <c r="N67" i="9"/>
  <c r="M67" i="9"/>
  <c r="L67" i="9"/>
  <c r="K67" i="9"/>
  <c r="J67" i="9"/>
  <c r="I67" i="9"/>
  <c r="H67" i="9"/>
  <c r="E67" i="9"/>
  <c r="D67" i="9"/>
  <c r="A67" i="9"/>
  <c r="O66" i="9"/>
  <c r="N66" i="9"/>
  <c r="M66" i="9"/>
  <c r="L66" i="9"/>
  <c r="K66" i="9"/>
  <c r="J66" i="9"/>
  <c r="I66" i="9"/>
  <c r="H66" i="9"/>
  <c r="E66" i="9"/>
  <c r="D66" i="9"/>
  <c r="A66" i="9"/>
  <c r="O65" i="9"/>
  <c r="N65" i="9"/>
  <c r="M65" i="9"/>
  <c r="L65" i="9"/>
  <c r="K65" i="9"/>
  <c r="J65" i="9"/>
  <c r="I65" i="9"/>
  <c r="H65" i="9"/>
  <c r="E65" i="9"/>
  <c r="D65" i="9"/>
  <c r="A65" i="9"/>
  <c r="O64" i="9"/>
  <c r="N64" i="9"/>
  <c r="M64" i="9"/>
  <c r="L64" i="9"/>
  <c r="K64" i="9"/>
  <c r="J64" i="9"/>
  <c r="I64" i="9"/>
  <c r="H64" i="9"/>
  <c r="E64" i="9"/>
  <c r="D64" i="9"/>
  <c r="A64" i="9"/>
  <c r="O63" i="9"/>
  <c r="N63" i="9"/>
  <c r="M63" i="9"/>
  <c r="L63" i="9"/>
  <c r="K63" i="9"/>
  <c r="J63" i="9"/>
  <c r="I63" i="9"/>
  <c r="H63" i="9"/>
  <c r="E63" i="9"/>
  <c r="D63" i="9"/>
  <c r="A63" i="9"/>
  <c r="O62" i="9"/>
  <c r="N62" i="9"/>
  <c r="M62" i="9"/>
  <c r="L62" i="9"/>
  <c r="K62" i="9"/>
  <c r="J62" i="9"/>
  <c r="I62" i="9"/>
  <c r="H62" i="9"/>
  <c r="E62" i="9"/>
  <c r="D62" i="9"/>
  <c r="A62" i="9"/>
  <c r="O61" i="9"/>
  <c r="N61" i="9"/>
  <c r="M61" i="9"/>
  <c r="L61" i="9"/>
  <c r="K61" i="9"/>
  <c r="J61" i="9"/>
  <c r="I61" i="9"/>
  <c r="H61" i="9"/>
  <c r="E61" i="9"/>
  <c r="D61" i="9"/>
  <c r="A61" i="9"/>
  <c r="O60" i="9"/>
  <c r="N60" i="9"/>
  <c r="M60" i="9"/>
  <c r="L60" i="9"/>
  <c r="K60" i="9"/>
  <c r="J60" i="9"/>
  <c r="I60" i="9"/>
  <c r="H60" i="9"/>
  <c r="E60" i="9"/>
  <c r="D60" i="9"/>
  <c r="A60" i="9"/>
  <c r="O59" i="9"/>
  <c r="N59" i="9"/>
  <c r="M59" i="9"/>
  <c r="L59" i="9"/>
  <c r="K59" i="9"/>
  <c r="J59" i="9"/>
  <c r="I59" i="9"/>
  <c r="H59" i="9"/>
  <c r="E59" i="9"/>
  <c r="D59" i="9"/>
  <c r="A59" i="9"/>
  <c r="O56" i="9"/>
  <c r="N56" i="9"/>
  <c r="M56" i="9"/>
  <c r="L56" i="9"/>
  <c r="K56" i="9"/>
  <c r="J56" i="9"/>
  <c r="I56" i="9"/>
  <c r="H56" i="9"/>
  <c r="E56" i="9"/>
  <c r="D56" i="9"/>
  <c r="A56" i="9"/>
  <c r="O55" i="9"/>
  <c r="N55" i="9"/>
  <c r="M55" i="9"/>
  <c r="L55" i="9"/>
  <c r="K55" i="9"/>
  <c r="J55" i="9"/>
  <c r="I55" i="9"/>
  <c r="H55" i="9"/>
  <c r="E55" i="9"/>
  <c r="D55" i="9"/>
  <c r="A55" i="9"/>
  <c r="O54" i="9"/>
  <c r="N54" i="9"/>
  <c r="M54" i="9"/>
  <c r="L54" i="9"/>
  <c r="K54" i="9"/>
  <c r="J54" i="9"/>
  <c r="I54" i="9"/>
  <c r="H54" i="9"/>
  <c r="E54" i="9"/>
  <c r="D54" i="9"/>
  <c r="A54" i="9"/>
  <c r="O53" i="9"/>
  <c r="N53" i="9"/>
  <c r="M53" i="9"/>
  <c r="L53" i="9"/>
  <c r="K53" i="9"/>
  <c r="J53" i="9"/>
  <c r="I53" i="9"/>
  <c r="H53" i="9"/>
  <c r="E53" i="9"/>
  <c r="D53" i="9"/>
  <c r="A53" i="9"/>
  <c r="O52" i="9"/>
  <c r="N52" i="9"/>
  <c r="M52" i="9"/>
  <c r="L52" i="9"/>
  <c r="K52" i="9"/>
  <c r="J52" i="9"/>
  <c r="I52" i="9"/>
  <c r="H52" i="9"/>
  <c r="E52" i="9"/>
  <c r="D52" i="9"/>
  <c r="A52" i="9"/>
  <c r="O51" i="9"/>
  <c r="N51" i="9"/>
  <c r="M51" i="9"/>
  <c r="L51" i="9"/>
  <c r="K51" i="9"/>
  <c r="J51" i="9"/>
  <c r="I51" i="9"/>
  <c r="H51" i="9"/>
  <c r="E51" i="9"/>
  <c r="D51" i="9"/>
  <c r="A51" i="9"/>
  <c r="O50" i="9"/>
  <c r="N50" i="9"/>
  <c r="M50" i="9"/>
  <c r="L50" i="9"/>
  <c r="K50" i="9"/>
  <c r="J50" i="9"/>
  <c r="I50" i="9"/>
  <c r="H50" i="9"/>
  <c r="E50" i="9"/>
  <c r="D50" i="9"/>
  <c r="A50" i="9"/>
  <c r="O49" i="9"/>
  <c r="N49" i="9"/>
  <c r="M49" i="9"/>
  <c r="L49" i="9"/>
  <c r="K49" i="9"/>
  <c r="J49" i="9"/>
  <c r="I49" i="9"/>
  <c r="H49" i="9"/>
  <c r="E49" i="9"/>
  <c r="D49" i="9"/>
  <c r="A49" i="9"/>
  <c r="O48" i="9"/>
  <c r="N48" i="9"/>
  <c r="M48" i="9"/>
  <c r="L48" i="9"/>
  <c r="K48" i="9"/>
  <c r="J48" i="9"/>
  <c r="I48" i="9"/>
  <c r="H48" i="9"/>
  <c r="E48" i="9"/>
  <c r="D48" i="9"/>
  <c r="A48" i="9"/>
  <c r="O47" i="9"/>
  <c r="N47" i="9"/>
  <c r="M47" i="9"/>
  <c r="L47" i="9"/>
  <c r="K47" i="9"/>
  <c r="J47" i="9"/>
  <c r="I47" i="9"/>
  <c r="H47" i="9"/>
  <c r="E47" i="9"/>
  <c r="D47" i="9"/>
  <c r="A47" i="9"/>
  <c r="O46" i="9"/>
  <c r="N46" i="9"/>
  <c r="M46" i="9"/>
  <c r="L46" i="9"/>
  <c r="K46" i="9"/>
  <c r="J46" i="9"/>
  <c r="I46" i="9"/>
  <c r="H46" i="9"/>
  <c r="E46" i="9"/>
  <c r="D46" i="9"/>
  <c r="A46" i="9"/>
  <c r="O45" i="9"/>
  <c r="N45" i="9"/>
  <c r="M45" i="9"/>
  <c r="L45" i="9"/>
  <c r="K45" i="9"/>
  <c r="J45" i="9"/>
  <c r="I45" i="9"/>
  <c r="H45" i="9"/>
  <c r="E45" i="9"/>
  <c r="D45" i="9"/>
  <c r="A45" i="9"/>
  <c r="O44" i="9"/>
  <c r="N44" i="9"/>
  <c r="M44" i="9"/>
  <c r="L44" i="9"/>
  <c r="K44" i="9"/>
  <c r="J44" i="9"/>
  <c r="I44" i="9"/>
  <c r="H44" i="9"/>
  <c r="E44" i="9"/>
  <c r="D44" i="9"/>
  <c r="A44" i="9"/>
  <c r="O43" i="9"/>
  <c r="N43" i="9"/>
  <c r="M43" i="9"/>
  <c r="L43" i="9"/>
  <c r="K43" i="9"/>
  <c r="J43" i="9"/>
  <c r="I43" i="9"/>
  <c r="H43" i="9"/>
  <c r="E43" i="9"/>
  <c r="D43" i="9"/>
  <c r="A43" i="9"/>
  <c r="O42" i="9"/>
  <c r="N42" i="9"/>
  <c r="M42" i="9"/>
  <c r="L42" i="9"/>
  <c r="K42" i="9"/>
  <c r="J42" i="9"/>
  <c r="I42" i="9"/>
  <c r="H42" i="9"/>
  <c r="E42" i="9"/>
  <c r="D42" i="9"/>
  <c r="A42" i="9"/>
  <c r="O41" i="9"/>
  <c r="N41" i="9"/>
  <c r="M41" i="9"/>
  <c r="L41" i="9"/>
  <c r="K41" i="9"/>
  <c r="J41" i="9"/>
  <c r="I41" i="9"/>
  <c r="H41" i="9"/>
  <c r="E41" i="9"/>
  <c r="D41" i="9"/>
  <c r="A41" i="9"/>
  <c r="O40" i="9"/>
  <c r="N40" i="9"/>
  <c r="M40" i="9"/>
  <c r="L40" i="9"/>
  <c r="K40" i="9"/>
  <c r="J40" i="9"/>
  <c r="I40" i="9"/>
  <c r="H40" i="9"/>
  <c r="E40" i="9"/>
  <c r="D40" i="9"/>
  <c r="A40" i="9"/>
  <c r="O39" i="9"/>
  <c r="N39" i="9"/>
  <c r="M39" i="9"/>
  <c r="L39" i="9"/>
  <c r="K39" i="9"/>
  <c r="J39" i="9"/>
  <c r="I39" i="9"/>
  <c r="H39" i="9"/>
  <c r="E39" i="9"/>
  <c r="D39" i="9"/>
  <c r="A39" i="9"/>
  <c r="O38" i="9"/>
  <c r="N38" i="9"/>
  <c r="M38" i="9"/>
  <c r="L38" i="9"/>
  <c r="K38" i="9"/>
  <c r="J38" i="9"/>
  <c r="I38" i="9"/>
  <c r="H38" i="9"/>
  <c r="E38" i="9"/>
  <c r="D38" i="9"/>
  <c r="A38" i="9"/>
  <c r="O36" i="9"/>
  <c r="N36" i="9"/>
  <c r="M36" i="9"/>
  <c r="L36" i="9"/>
  <c r="K36" i="9"/>
  <c r="J36" i="9"/>
  <c r="I36" i="9"/>
  <c r="H36" i="9"/>
  <c r="E36" i="9"/>
  <c r="D36" i="9"/>
  <c r="A36" i="9"/>
  <c r="O35" i="9"/>
  <c r="N35" i="9"/>
  <c r="M35" i="9"/>
  <c r="L35" i="9"/>
  <c r="K35" i="9"/>
  <c r="J35" i="9"/>
  <c r="I35" i="9"/>
  <c r="H35" i="9"/>
  <c r="E35" i="9"/>
  <c r="D35" i="9"/>
  <c r="A35" i="9"/>
  <c r="O34" i="9"/>
  <c r="N34" i="9"/>
  <c r="M34" i="9"/>
  <c r="L34" i="9"/>
  <c r="K34" i="9"/>
  <c r="J34" i="9"/>
  <c r="I34" i="9"/>
  <c r="H34" i="9"/>
  <c r="E34" i="9"/>
  <c r="D34" i="9"/>
  <c r="A34" i="9"/>
  <c r="O33" i="9"/>
  <c r="N33" i="9"/>
  <c r="M33" i="9"/>
  <c r="L33" i="9"/>
  <c r="K33" i="9"/>
  <c r="J33" i="9"/>
  <c r="I33" i="9"/>
  <c r="H33" i="9"/>
  <c r="E33" i="9"/>
  <c r="D33" i="9"/>
  <c r="A33" i="9"/>
  <c r="O32" i="9"/>
  <c r="N32" i="9"/>
  <c r="M32" i="9"/>
  <c r="L32" i="9"/>
  <c r="K32" i="9"/>
  <c r="J32" i="9"/>
  <c r="I32" i="9"/>
  <c r="H32" i="9"/>
  <c r="E32" i="9"/>
  <c r="D32" i="9"/>
  <c r="A32" i="9"/>
  <c r="O31" i="9"/>
  <c r="N31" i="9"/>
  <c r="M31" i="9"/>
  <c r="L31" i="9"/>
  <c r="K31" i="9"/>
  <c r="J31" i="9"/>
  <c r="I31" i="9"/>
  <c r="H31" i="9"/>
  <c r="E31" i="9"/>
  <c r="D31" i="9"/>
  <c r="A31" i="9"/>
  <c r="O30" i="9"/>
  <c r="N30" i="9"/>
  <c r="M30" i="9"/>
  <c r="L30" i="9"/>
  <c r="K30" i="9"/>
  <c r="J30" i="9"/>
  <c r="I30" i="9"/>
  <c r="H30" i="9"/>
  <c r="E30" i="9"/>
  <c r="D30" i="9"/>
  <c r="A30" i="9"/>
  <c r="O29" i="9"/>
  <c r="N29" i="9"/>
  <c r="M29" i="9"/>
  <c r="L29" i="9"/>
  <c r="K29" i="9"/>
  <c r="J29" i="9"/>
  <c r="I29" i="9"/>
  <c r="H29" i="9"/>
  <c r="E29" i="9"/>
  <c r="D29" i="9"/>
  <c r="A29" i="9"/>
  <c r="O28" i="9"/>
  <c r="N28" i="9"/>
  <c r="M28" i="9"/>
  <c r="L28" i="9"/>
  <c r="K28" i="9"/>
  <c r="J28" i="9"/>
  <c r="I28" i="9"/>
  <c r="H28" i="9"/>
  <c r="E28" i="9"/>
  <c r="D28" i="9"/>
  <c r="A28" i="9"/>
  <c r="O27" i="9"/>
  <c r="N27" i="9"/>
  <c r="M27" i="9"/>
  <c r="L27" i="9"/>
  <c r="K27" i="9"/>
  <c r="J27" i="9"/>
  <c r="I27" i="9"/>
  <c r="H27" i="9"/>
  <c r="E27" i="9"/>
  <c r="D27" i="9"/>
  <c r="A27" i="9"/>
  <c r="O26" i="9"/>
  <c r="N26" i="9"/>
  <c r="M26" i="9"/>
  <c r="L26" i="9"/>
  <c r="K26" i="9"/>
  <c r="J26" i="9"/>
  <c r="I26" i="9"/>
  <c r="H26" i="9"/>
  <c r="E26" i="9"/>
  <c r="D26" i="9"/>
  <c r="A26" i="9"/>
  <c r="O25" i="9"/>
  <c r="N25" i="9"/>
  <c r="M25" i="9"/>
  <c r="L25" i="9"/>
  <c r="K25" i="9"/>
  <c r="J25" i="9"/>
  <c r="I25" i="9"/>
  <c r="H25" i="9"/>
  <c r="E25" i="9"/>
  <c r="D25" i="9"/>
  <c r="A25" i="9"/>
  <c r="O24" i="9"/>
  <c r="N24" i="9"/>
  <c r="M24" i="9"/>
  <c r="L24" i="9"/>
  <c r="K24" i="9"/>
  <c r="J24" i="9"/>
  <c r="I24" i="9"/>
  <c r="H24" i="9"/>
  <c r="E24" i="9"/>
  <c r="D24" i="9"/>
  <c r="A24" i="9"/>
  <c r="O23" i="9"/>
  <c r="N23" i="9"/>
  <c r="M23" i="9"/>
  <c r="L23" i="9"/>
  <c r="K23" i="9"/>
  <c r="J23" i="9"/>
  <c r="I23" i="9"/>
  <c r="H23" i="9"/>
  <c r="E23" i="9"/>
  <c r="D23" i="9"/>
  <c r="A23" i="9"/>
  <c r="O22" i="9"/>
  <c r="N22" i="9"/>
  <c r="M22" i="9"/>
  <c r="L22" i="9"/>
  <c r="K22" i="9"/>
  <c r="J22" i="9"/>
  <c r="I22" i="9"/>
  <c r="H22" i="9"/>
  <c r="E22" i="9"/>
  <c r="D22" i="9"/>
  <c r="A22" i="9"/>
  <c r="O21" i="9"/>
  <c r="N21" i="9"/>
  <c r="M21" i="9"/>
  <c r="L21" i="9"/>
  <c r="K21" i="9"/>
  <c r="J21" i="9"/>
  <c r="I21" i="9"/>
  <c r="H21" i="9"/>
  <c r="E21" i="9"/>
  <c r="D21" i="9"/>
  <c r="A21" i="9"/>
  <c r="O20" i="9"/>
  <c r="N20" i="9"/>
  <c r="M20" i="9"/>
  <c r="L20" i="9"/>
  <c r="K20" i="9"/>
  <c r="J20" i="9"/>
  <c r="I20" i="9"/>
  <c r="H20" i="9"/>
  <c r="E20" i="9"/>
  <c r="D20" i="9"/>
  <c r="A20" i="9"/>
  <c r="O18" i="9"/>
  <c r="N18" i="9"/>
  <c r="M18" i="9"/>
  <c r="L18" i="9"/>
  <c r="K18" i="9"/>
  <c r="J18" i="9"/>
  <c r="I18" i="9"/>
  <c r="H18" i="9"/>
  <c r="E18" i="9"/>
  <c r="D18" i="9"/>
  <c r="A18" i="9"/>
  <c r="O17" i="9"/>
  <c r="N17" i="9"/>
  <c r="M17" i="9"/>
  <c r="L17" i="9"/>
  <c r="K17" i="9"/>
  <c r="J17" i="9"/>
  <c r="I17" i="9"/>
  <c r="H17" i="9"/>
  <c r="E17" i="9"/>
  <c r="D17" i="9"/>
  <c r="A17" i="9"/>
  <c r="O16" i="9"/>
  <c r="N16" i="9"/>
  <c r="M16" i="9"/>
  <c r="L16" i="9"/>
  <c r="K16" i="9"/>
  <c r="J16" i="9"/>
  <c r="I16" i="9"/>
  <c r="H16" i="9"/>
  <c r="E16" i="9"/>
  <c r="D16" i="9"/>
  <c r="A16" i="9"/>
  <c r="O15" i="9"/>
  <c r="N15" i="9"/>
  <c r="M15" i="9"/>
  <c r="L15" i="9"/>
  <c r="K15" i="9"/>
  <c r="J15" i="9"/>
  <c r="I15" i="9"/>
  <c r="H15" i="9"/>
  <c r="E15" i="9"/>
  <c r="D15" i="9"/>
  <c r="A15" i="9"/>
  <c r="O14" i="9"/>
  <c r="N14" i="9"/>
  <c r="M14" i="9"/>
  <c r="L14" i="9"/>
  <c r="K14" i="9"/>
  <c r="J14" i="9"/>
  <c r="I14" i="9"/>
  <c r="H14" i="9"/>
  <c r="E14" i="9"/>
  <c r="D14" i="9"/>
  <c r="A14" i="9"/>
  <c r="O13" i="9"/>
  <c r="N13" i="9"/>
  <c r="M13" i="9"/>
  <c r="L13" i="9"/>
  <c r="K13" i="9"/>
  <c r="J13" i="9"/>
  <c r="I13" i="9"/>
  <c r="H13" i="9"/>
  <c r="E13" i="9"/>
  <c r="D13" i="9"/>
  <c r="A13" i="9"/>
  <c r="O12" i="9"/>
  <c r="N12" i="9"/>
  <c r="M12" i="9"/>
  <c r="L12" i="9"/>
  <c r="K12" i="9"/>
  <c r="J12" i="9"/>
  <c r="I12" i="9"/>
  <c r="H12" i="9"/>
  <c r="E12" i="9"/>
  <c r="D12" i="9"/>
  <c r="A12" i="9"/>
  <c r="O11" i="9"/>
  <c r="N11" i="9"/>
  <c r="M11" i="9"/>
  <c r="L11" i="9"/>
  <c r="K11" i="9"/>
  <c r="J11" i="9"/>
  <c r="I11" i="9"/>
  <c r="H11" i="9"/>
  <c r="E11" i="9"/>
  <c r="D11" i="9"/>
  <c r="A11" i="9"/>
  <c r="O10" i="9"/>
  <c r="N10" i="9"/>
  <c r="M10" i="9"/>
  <c r="L10" i="9"/>
  <c r="K10" i="9"/>
  <c r="J10" i="9"/>
  <c r="I10" i="9"/>
  <c r="H10" i="9"/>
  <c r="E10" i="9"/>
  <c r="D10" i="9"/>
  <c r="A10" i="9"/>
  <c r="O9" i="9"/>
  <c r="N9" i="9"/>
  <c r="M9" i="9"/>
  <c r="L9" i="9"/>
  <c r="K9" i="9"/>
  <c r="J9" i="9"/>
  <c r="I9" i="9"/>
  <c r="H9" i="9"/>
  <c r="E9" i="9"/>
  <c r="D9" i="9"/>
  <c r="A9" i="9"/>
  <c r="O8" i="9"/>
  <c r="N8" i="9"/>
  <c r="M8" i="9"/>
  <c r="L8" i="9"/>
  <c r="K8" i="9"/>
  <c r="J8" i="9"/>
  <c r="I8" i="9"/>
  <c r="H8" i="9"/>
  <c r="E8" i="9"/>
  <c r="D8" i="9"/>
  <c r="A8" i="9"/>
  <c r="O7" i="9"/>
  <c r="N7" i="9"/>
  <c r="M7" i="9"/>
  <c r="L7" i="9"/>
  <c r="K7" i="9"/>
  <c r="J7" i="9"/>
  <c r="I7" i="9"/>
  <c r="H7" i="9"/>
  <c r="E7" i="9"/>
  <c r="D7" i="9"/>
  <c r="A7" i="9"/>
  <c r="O6" i="9"/>
  <c r="N6" i="9"/>
  <c r="M6" i="9"/>
  <c r="L6" i="9"/>
  <c r="K6" i="9"/>
  <c r="J6" i="9"/>
  <c r="I6" i="9"/>
  <c r="H6" i="9"/>
  <c r="E6" i="9"/>
  <c r="D6" i="9"/>
  <c r="A6" i="9"/>
  <c r="O5" i="9"/>
  <c r="N5" i="9"/>
  <c r="M5" i="9"/>
  <c r="L5" i="9"/>
  <c r="K5" i="9"/>
  <c r="J5" i="9"/>
  <c r="I5" i="9"/>
  <c r="H5" i="9"/>
  <c r="E5" i="9"/>
  <c r="D5" i="9"/>
  <c r="A5" i="9"/>
  <c r="O4" i="9"/>
  <c r="N4" i="9"/>
  <c r="M4" i="9"/>
  <c r="L4" i="9"/>
  <c r="K4" i="9"/>
  <c r="J4" i="9"/>
  <c r="I4" i="9"/>
  <c r="H4" i="9"/>
  <c r="E4" i="9"/>
  <c r="D4" i="9"/>
  <c r="A4" i="9"/>
  <c r="O3" i="9"/>
  <c r="N3" i="9"/>
  <c r="M3" i="9"/>
  <c r="L3" i="9"/>
  <c r="K3" i="9"/>
  <c r="J3" i="9"/>
  <c r="I3" i="9"/>
  <c r="H3" i="9"/>
  <c r="E3" i="9"/>
  <c r="D3" i="9"/>
  <c r="A3" i="9"/>
  <c r="O2" i="9"/>
  <c r="N2" i="9"/>
  <c r="M2" i="9"/>
  <c r="L2" i="9"/>
  <c r="K2" i="9"/>
  <c r="J2" i="9"/>
  <c r="I2" i="9"/>
  <c r="H2" i="9"/>
  <c r="E2" i="9"/>
  <c r="D2" i="9"/>
  <c r="A2" i="9"/>
  <c r="O257" i="9"/>
  <c r="N257" i="9"/>
  <c r="M257" i="9"/>
  <c r="L257" i="9"/>
  <c r="K257" i="9"/>
  <c r="J257" i="9"/>
  <c r="I257" i="9"/>
  <c r="H257" i="9"/>
  <c r="E257" i="9"/>
  <c r="D257" i="9"/>
  <c r="A257" i="9"/>
  <c r="O256" i="9"/>
  <c r="N256" i="9"/>
  <c r="M256" i="9"/>
  <c r="L256" i="9"/>
  <c r="K256" i="9"/>
  <c r="J256" i="9"/>
  <c r="I256" i="9"/>
  <c r="H256" i="9"/>
  <c r="E256" i="9"/>
  <c r="D256" i="9"/>
  <c r="A256" i="9"/>
  <c r="O255" i="9"/>
  <c r="N255" i="9"/>
  <c r="M255" i="9"/>
  <c r="L255" i="9"/>
  <c r="K255" i="9"/>
  <c r="J255" i="9"/>
  <c r="I255" i="9"/>
  <c r="H255" i="9"/>
  <c r="E255" i="9"/>
  <c r="D255" i="9"/>
  <c r="A255" i="9"/>
  <c r="O254" i="9"/>
  <c r="N254" i="9"/>
  <c r="M254" i="9"/>
  <c r="L254" i="9"/>
  <c r="K254" i="9"/>
  <c r="J254" i="9"/>
  <c r="I254" i="9"/>
  <c r="H254" i="9"/>
  <c r="E254" i="9"/>
  <c r="D254" i="9"/>
  <c r="A254" i="9"/>
  <c r="O253" i="9"/>
  <c r="N253" i="9"/>
  <c r="M253" i="9"/>
  <c r="L253" i="9"/>
  <c r="K253" i="9"/>
  <c r="J253" i="9"/>
  <c r="I253" i="9"/>
  <c r="H253" i="9"/>
  <c r="E253" i="9"/>
  <c r="D253" i="9"/>
  <c r="A253" i="9"/>
  <c r="O252" i="9"/>
  <c r="N252" i="9"/>
  <c r="M252" i="9"/>
  <c r="L252" i="9"/>
  <c r="K252" i="9"/>
  <c r="J252" i="9"/>
  <c r="I252" i="9"/>
  <c r="H252" i="9"/>
  <c r="E252" i="9"/>
  <c r="D252" i="9"/>
  <c r="A252" i="9"/>
  <c r="O251" i="9"/>
  <c r="N251" i="9"/>
  <c r="M251" i="9"/>
  <c r="L251" i="9"/>
  <c r="K251" i="9"/>
  <c r="J251" i="9"/>
  <c r="I251" i="9"/>
  <c r="H251" i="9"/>
  <c r="E251" i="9"/>
  <c r="D251" i="9"/>
  <c r="A251" i="9"/>
  <c r="O250" i="9"/>
  <c r="N250" i="9"/>
  <c r="M250" i="9"/>
  <c r="L250" i="9"/>
  <c r="K250" i="9"/>
  <c r="J250" i="9"/>
  <c r="I250" i="9"/>
  <c r="H250" i="9"/>
  <c r="E250" i="9"/>
  <c r="D250" i="9"/>
  <c r="A250" i="9"/>
  <c r="O249" i="9"/>
  <c r="N249" i="9"/>
  <c r="M249" i="9"/>
  <c r="L249" i="9"/>
  <c r="K249" i="9"/>
  <c r="J249" i="9"/>
  <c r="I249" i="9"/>
  <c r="H249" i="9"/>
  <c r="E249" i="9"/>
  <c r="D249" i="9"/>
  <c r="A249" i="9"/>
  <c r="O248" i="9"/>
  <c r="N248" i="9"/>
  <c r="M248" i="9"/>
  <c r="L248" i="9"/>
  <c r="K248" i="9"/>
  <c r="J248" i="9"/>
  <c r="I248" i="9"/>
  <c r="H248" i="9"/>
  <c r="E248" i="9"/>
  <c r="D248" i="9"/>
  <c r="A248" i="9"/>
  <c r="O247" i="9"/>
  <c r="N247" i="9"/>
  <c r="M247" i="9"/>
  <c r="L247" i="9"/>
  <c r="K247" i="9"/>
  <c r="J247" i="9"/>
  <c r="I247" i="9"/>
  <c r="H247" i="9"/>
  <c r="E247" i="9"/>
  <c r="D247" i="9"/>
  <c r="A247" i="9"/>
  <c r="O246" i="9"/>
  <c r="N246" i="9"/>
  <c r="M246" i="9"/>
  <c r="L246" i="9"/>
  <c r="K246" i="9"/>
  <c r="J246" i="9"/>
  <c r="I246" i="9"/>
  <c r="H246" i="9"/>
  <c r="E246" i="9"/>
  <c r="D246" i="9"/>
  <c r="A246" i="9"/>
  <c r="O245" i="9"/>
  <c r="N245" i="9"/>
  <c r="M245" i="9"/>
  <c r="L245" i="9"/>
  <c r="K245" i="9"/>
  <c r="J245" i="9"/>
  <c r="I245" i="9"/>
  <c r="H245" i="9"/>
  <c r="E245" i="9"/>
  <c r="D245" i="9"/>
  <c r="A245" i="9"/>
  <c r="O244" i="9"/>
  <c r="N244" i="9"/>
  <c r="M244" i="9"/>
  <c r="L244" i="9"/>
  <c r="K244" i="9"/>
  <c r="J244" i="9"/>
  <c r="I244" i="9"/>
  <c r="H244" i="9"/>
  <c r="E244" i="9"/>
  <c r="D244" i="9"/>
  <c r="A244" i="9"/>
  <c r="O243" i="9"/>
  <c r="N243" i="9"/>
  <c r="M243" i="9"/>
  <c r="L243" i="9"/>
  <c r="K243" i="9"/>
  <c r="J243" i="9"/>
  <c r="I243" i="9"/>
  <c r="H243" i="9"/>
  <c r="E243" i="9"/>
  <c r="D243" i="9"/>
  <c r="A243" i="9"/>
  <c r="O242" i="9"/>
  <c r="N242" i="9"/>
  <c r="M242" i="9"/>
  <c r="L242" i="9"/>
  <c r="K242" i="9"/>
  <c r="J242" i="9"/>
  <c r="I242" i="9"/>
  <c r="H242" i="9"/>
  <c r="E242" i="9"/>
  <c r="D242" i="9"/>
  <c r="A242" i="9"/>
  <c r="O239" i="9"/>
  <c r="N239" i="9"/>
  <c r="M239" i="9"/>
  <c r="L239" i="9"/>
  <c r="K239" i="9"/>
  <c r="J239" i="9"/>
  <c r="I239" i="9"/>
  <c r="H239" i="9"/>
  <c r="E239" i="9"/>
  <c r="A239" i="9"/>
  <c r="O238" i="9"/>
  <c r="N238" i="9"/>
  <c r="M238" i="9"/>
  <c r="L238" i="9"/>
  <c r="K238" i="9"/>
  <c r="J238" i="9"/>
  <c r="I238" i="9"/>
  <c r="H238" i="9"/>
  <c r="E238" i="9"/>
  <c r="D238" i="9"/>
  <c r="A238" i="9"/>
  <c r="O237" i="9"/>
  <c r="N237" i="9"/>
  <c r="M237" i="9"/>
  <c r="L237" i="9"/>
  <c r="K237" i="9"/>
  <c r="J237" i="9"/>
  <c r="I237" i="9"/>
  <c r="H237" i="9"/>
  <c r="E237" i="9"/>
  <c r="D237" i="9"/>
  <c r="A237" i="9"/>
  <c r="O236" i="9"/>
  <c r="N236" i="9"/>
  <c r="M236" i="9"/>
  <c r="L236" i="9"/>
  <c r="K236" i="9"/>
  <c r="J236" i="9"/>
  <c r="I236" i="9"/>
  <c r="H236" i="9"/>
  <c r="E236" i="9"/>
  <c r="D236" i="9"/>
  <c r="A236" i="9"/>
  <c r="O235" i="9"/>
  <c r="N235" i="9"/>
  <c r="M235" i="9"/>
  <c r="L235" i="9"/>
  <c r="K235" i="9"/>
  <c r="J235" i="9"/>
  <c r="I235" i="9"/>
  <c r="H235" i="9"/>
  <c r="E235" i="9"/>
  <c r="D235" i="9"/>
  <c r="A235" i="9"/>
  <c r="O234" i="9"/>
  <c r="N234" i="9"/>
  <c r="M234" i="9"/>
  <c r="L234" i="9"/>
  <c r="K234" i="9"/>
  <c r="J234" i="9"/>
  <c r="I234" i="9"/>
  <c r="H234" i="9"/>
  <c r="E234" i="9"/>
  <c r="D234" i="9"/>
  <c r="A234" i="9"/>
  <c r="O233" i="9"/>
  <c r="N233" i="9"/>
  <c r="M233" i="9"/>
  <c r="L233" i="9"/>
  <c r="K233" i="9"/>
  <c r="J233" i="9"/>
  <c r="I233" i="9"/>
  <c r="H233" i="9"/>
  <c r="E233" i="9"/>
  <c r="D233" i="9"/>
  <c r="A233" i="9"/>
  <c r="O232" i="9"/>
  <c r="N232" i="9"/>
  <c r="M232" i="9"/>
  <c r="L232" i="9"/>
  <c r="K232" i="9"/>
  <c r="J232" i="9"/>
  <c r="I232" i="9"/>
  <c r="H232" i="9"/>
  <c r="E232" i="9"/>
  <c r="D232" i="9"/>
  <c r="A232" i="9"/>
  <c r="O231" i="9"/>
  <c r="N231" i="9"/>
  <c r="M231" i="9"/>
  <c r="L231" i="9"/>
  <c r="K231" i="9"/>
  <c r="J231" i="9"/>
  <c r="I231" i="9"/>
  <c r="H231" i="9"/>
  <c r="E231" i="9"/>
  <c r="D231" i="9"/>
  <c r="A231" i="9"/>
  <c r="O230" i="9"/>
  <c r="N230" i="9"/>
  <c r="M230" i="9"/>
  <c r="L230" i="9"/>
  <c r="K230" i="9"/>
  <c r="J230" i="9"/>
  <c r="I230" i="9"/>
  <c r="H230" i="9"/>
  <c r="E230" i="9"/>
  <c r="D230" i="9"/>
  <c r="A230" i="9"/>
  <c r="O229" i="9"/>
  <c r="N229" i="9"/>
  <c r="M229" i="9"/>
  <c r="L229" i="9"/>
  <c r="K229" i="9"/>
  <c r="J229" i="9"/>
  <c r="I229" i="9"/>
  <c r="H229" i="9"/>
  <c r="E229" i="9"/>
  <c r="D229" i="9"/>
  <c r="A229" i="9"/>
  <c r="O228" i="9"/>
  <c r="N228" i="9"/>
  <c r="M228" i="9"/>
  <c r="L228" i="9"/>
  <c r="K228" i="9"/>
  <c r="J228" i="9"/>
  <c r="I228" i="9"/>
  <c r="H228" i="9"/>
  <c r="E228" i="9"/>
  <c r="D228" i="9"/>
  <c r="A228" i="9"/>
  <c r="O227" i="9"/>
  <c r="N227" i="9"/>
  <c r="M227" i="9"/>
  <c r="L227" i="9"/>
  <c r="K227" i="9"/>
  <c r="J227" i="9"/>
  <c r="I227" i="9"/>
  <c r="H227" i="9"/>
  <c r="E227" i="9"/>
  <c r="D227" i="9"/>
  <c r="A227" i="9"/>
  <c r="O226" i="9"/>
  <c r="N226" i="9"/>
  <c r="M226" i="9"/>
  <c r="L226" i="9"/>
  <c r="K226" i="9"/>
  <c r="J226" i="9"/>
  <c r="I226" i="9"/>
  <c r="H226" i="9"/>
  <c r="E226" i="9"/>
  <c r="D226" i="9"/>
  <c r="A226" i="9"/>
  <c r="O225" i="9"/>
  <c r="N225" i="9"/>
  <c r="M225" i="9"/>
  <c r="L225" i="9"/>
  <c r="K225" i="9"/>
  <c r="J225" i="9"/>
  <c r="I225" i="9"/>
  <c r="H225" i="9"/>
  <c r="E225" i="9"/>
  <c r="D225" i="9"/>
  <c r="A225" i="9"/>
  <c r="O224" i="9"/>
  <c r="N224" i="9"/>
  <c r="M224" i="9"/>
  <c r="L224" i="9"/>
  <c r="K224" i="9"/>
  <c r="J224" i="9"/>
  <c r="I224" i="9"/>
  <c r="H224" i="9"/>
  <c r="E224" i="9"/>
  <c r="D224" i="9"/>
  <c r="A224" i="9"/>
  <c r="O223" i="9"/>
  <c r="N223" i="9"/>
  <c r="M223" i="9"/>
  <c r="L223" i="9"/>
  <c r="K223" i="9"/>
  <c r="J223" i="9"/>
  <c r="I223" i="9"/>
  <c r="H223" i="9"/>
  <c r="E223" i="9"/>
  <c r="D223" i="9"/>
  <c r="A223" i="9"/>
  <c r="O222" i="9"/>
  <c r="N222" i="9"/>
  <c r="M222" i="9"/>
  <c r="L222" i="9"/>
  <c r="K222" i="9"/>
  <c r="J222" i="9"/>
  <c r="I222" i="9"/>
  <c r="H222" i="9"/>
  <c r="E222" i="9"/>
  <c r="D222" i="9"/>
  <c r="A222" i="9"/>
  <c r="O221" i="9"/>
  <c r="N221" i="9"/>
  <c r="M221" i="9"/>
  <c r="L221" i="9"/>
  <c r="K221" i="9"/>
  <c r="J221" i="9"/>
  <c r="I221" i="9"/>
  <c r="H221" i="9"/>
  <c r="E221" i="9"/>
  <c r="D221" i="9"/>
  <c r="A221" i="9"/>
  <c r="O218" i="9"/>
  <c r="N218" i="9"/>
  <c r="M218" i="9"/>
  <c r="L218" i="9"/>
  <c r="K218" i="9"/>
  <c r="J218" i="9"/>
  <c r="I218" i="9"/>
  <c r="H218" i="9"/>
  <c r="E218" i="9"/>
  <c r="D218" i="9"/>
  <c r="A218" i="9"/>
  <c r="O217" i="9"/>
  <c r="N217" i="9"/>
  <c r="M217" i="9"/>
  <c r="L217" i="9"/>
  <c r="K217" i="9"/>
  <c r="J217" i="9"/>
  <c r="I217" i="9"/>
  <c r="H217" i="9"/>
  <c r="E217" i="9"/>
  <c r="D217" i="9"/>
  <c r="A217" i="9"/>
  <c r="O216" i="9"/>
  <c r="N216" i="9"/>
  <c r="M216" i="9"/>
  <c r="L216" i="9"/>
  <c r="K216" i="9"/>
  <c r="J216" i="9"/>
  <c r="I216" i="9"/>
  <c r="H216" i="9"/>
  <c r="E216" i="9"/>
  <c r="D216" i="9"/>
  <c r="A216" i="9"/>
  <c r="O215" i="9"/>
  <c r="N215" i="9"/>
  <c r="M215" i="9"/>
  <c r="L215" i="9"/>
  <c r="K215" i="9"/>
  <c r="J215" i="9"/>
  <c r="I215" i="9"/>
  <c r="H215" i="9"/>
  <c r="E215" i="9"/>
  <c r="D215" i="9"/>
  <c r="A215" i="9"/>
  <c r="O214" i="9"/>
  <c r="N214" i="9"/>
  <c r="M214" i="9"/>
  <c r="L214" i="9"/>
  <c r="K214" i="9"/>
  <c r="J214" i="9"/>
  <c r="I214" i="9"/>
  <c r="H214" i="9"/>
  <c r="E214" i="9"/>
  <c r="D214" i="9"/>
  <c r="A214" i="9"/>
  <c r="O213" i="9"/>
  <c r="N213" i="9"/>
  <c r="M213" i="9"/>
  <c r="L213" i="9"/>
  <c r="K213" i="9"/>
  <c r="J213" i="9"/>
  <c r="I213" i="9"/>
  <c r="H213" i="9"/>
  <c r="E213" i="9"/>
  <c r="D213" i="9"/>
  <c r="A213" i="9"/>
  <c r="O212" i="9"/>
  <c r="N212" i="9"/>
  <c r="M212" i="9"/>
  <c r="L212" i="9"/>
  <c r="K212" i="9"/>
  <c r="J212" i="9"/>
  <c r="I212" i="9"/>
  <c r="H212" i="9"/>
  <c r="E212" i="9"/>
  <c r="D212" i="9"/>
  <c r="A212" i="9"/>
  <c r="O211" i="9"/>
  <c r="N211" i="9"/>
  <c r="M211" i="9"/>
  <c r="L211" i="9"/>
  <c r="K211" i="9"/>
  <c r="J211" i="9"/>
  <c r="I211" i="9"/>
  <c r="H211" i="9"/>
  <c r="E211" i="9"/>
  <c r="D211" i="9"/>
  <c r="A211" i="9"/>
  <c r="O210" i="9"/>
  <c r="N210" i="9"/>
  <c r="M210" i="9"/>
  <c r="L210" i="9"/>
  <c r="K210" i="9"/>
  <c r="J210" i="9"/>
  <c r="I210" i="9"/>
  <c r="H210" i="9"/>
  <c r="E210" i="9"/>
  <c r="D210" i="9"/>
  <c r="A210" i="9"/>
  <c r="O209" i="9"/>
  <c r="N209" i="9"/>
  <c r="M209" i="9"/>
  <c r="L209" i="9"/>
  <c r="K209" i="9"/>
  <c r="J209" i="9"/>
  <c r="I209" i="9"/>
  <c r="H209" i="9"/>
  <c r="E209" i="9"/>
  <c r="D209" i="9"/>
  <c r="A209" i="9"/>
  <c r="O208" i="9"/>
  <c r="N208" i="9"/>
  <c r="M208" i="9"/>
  <c r="L208" i="9"/>
  <c r="K208" i="9"/>
  <c r="J208" i="9"/>
  <c r="I208" i="9"/>
  <c r="H208" i="9"/>
  <c r="E208" i="9"/>
  <c r="D208" i="9"/>
  <c r="A208" i="9"/>
  <c r="O207" i="9"/>
  <c r="N207" i="9"/>
  <c r="M207" i="9"/>
  <c r="L207" i="9"/>
  <c r="K207" i="9"/>
  <c r="J207" i="9"/>
  <c r="I207" i="9"/>
  <c r="H207" i="9"/>
  <c r="E207" i="9"/>
  <c r="D207" i="9"/>
  <c r="A207" i="9"/>
  <c r="O206" i="9"/>
  <c r="N206" i="9"/>
  <c r="M206" i="9"/>
  <c r="L206" i="9"/>
  <c r="K206" i="9"/>
  <c r="J206" i="9"/>
  <c r="I206" i="9"/>
  <c r="H206" i="9"/>
  <c r="E206" i="9"/>
  <c r="D206" i="9"/>
  <c r="A206" i="9"/>
  <c r="O205" i="9"/>
  <c r="N205" i="9"/>
  <c r="M205" i="9"/>
  <c r="L205" i="9"/>
  <c r="K205" i="9"/>
  <c r="J205" i="9"/>
  <c r="I205" i="9"/>
  <c r="H205" i="9"/>
  <c r="E205" i="9"/>
  <c r="D205" i="9"/>
  <c r="A205" i="9"/>
  <c r="O202" i="9"/>
  <c r="N202" i="9"/>
  <c r="M202" i="9"/>
  <c r="L202" i="9"/>
  <c r="K202" i="9"/>
  <c r="J202" i="9"/>
  <c r="I202" i="9"/>
  <c r="H202" i="9"/>
  <c r="E202" i="9"/>
  <c r="D202" i="9"/>
  <c r="A202" i="9"/>
  <c r="O201" i="9"/>
  <c r="N201" i="9"/>
  <c r="M201" i="9"/>
  <c r="L201" i="9"/>
  <c r="K201" i="9"/>
  <c r="J201" i="9"/>
  <c r="I201" i="9"/>
  <c r="H201" i="9"/>
  <c r="E201" i="9"/>
  <c r="D201" i="9"/>
  <c r="A201" i="9"/>
  <c r="O200" i="9"/>
  <c r="N200" i="9"/>
  <c r="M200" i="9"/>
  <c r="L200" i="9"/>
  <c r="K200" i="9"/>
  <c r="J200" i="9"/>
  <c r="I200" i="9"/>
  <c r="H200" i="9"/>
  <c r="E200" i="9"/>
  <c r="D200" i="9"/>
  <c r="A200" i="9"/>
  <c r="O199" i="9"/>
  <c r="N199" i="9"/>
  <c r="M199" i="9"/>
  <c r="L199" i="9"/>
  <c r="K199" i="9"/>
  <c r="J199" i="9"/>
  <c r="I199" i="9"/>
  <c r="H199" i="9"/>
  <c r="E199" i="9"/>
  <c r="D199" i="9"/>
  <c r="A199" i="9"/>
  <c r="O198" i="9"/>
  <c r="N198" i="9"/>
  <c r="M198" i="9"/>
  <c r="L198" i="9"/>
  <c r="K198" i="9"/>
  <c r="J198" i="9"/>
  <c r="I198" i="9"/>
  <c r="H198" i="9"/>
  <c r="E198" i="9"/>
  <c r="D198" i="9"/>
  <c r="A198" i="9"/>
  <c r="O197" i="9"/>
  <c r="N197" i="9"/>
  <c r="M197" i="9"/>
  <c r="L197" i="9"/>
  <c r="K197" i="9"/>
  <c r="J197" i="9"/>
  <c r="I197" i="9"/>
  <c r="H197" i="9"/>
  <c r="E197" i="9"/>
  <c r="D197" i="9"/>
  <c r="A197" i="9"/>
  <c r="O196" i="9"/>
  <c r="N196" i="9"/>
  <c r="M196" i="9"/>
  <c r="L196" i="9"/>
  <c r="K196" i="9"/>
  <c r="J196" i="9"/>
  <c r="I196" i="9"/>
  <c r="H196" i="9"/>
  <c r="E196" i="9"/>
  <c r="D196" i="9"/>
  <c r="A196" i="9"/>
  <c r="O195" i="9"/>
  <c r="N195" i="9"/>
  <c r="M195" i="9"/>
  <c r="L195" i="9"/>
  <c r="K195" i="9"/>
  <c r="J195" i="9"/>
  <c r="I195" i="9"/>
  <c r="H195" i="9"/>
  <c r="E195" i="9"/>
  <c r="D195" i="9"/>
  <c r="A195" i="9"/>
  <c r="O194" i="9"/>
  <c r="N194" i="9"/>
  <c r="M194" i="9"/>
  <c r="L194" i="9"/>
  <c r="K194" i="9"/>
  <c r="J194" i="9"/>
  <c r="I194" i="9"/>
  <c r="H194" i="9"/>
  <c r="E194" i="9"/>
  <c r="D194" i="9"/>
  <c r="A194" i="9"/>
  <c r="O193" i="9"/>
  <c r="N193" i="9"/>
  <c r="M193" i="9"/>
  <c r="L193" i="9"/>
  <c r="K193" i="9"/>
  <c r="J193" i="9"/>
  <c r="I193" i="9"/>
  <c r="H193" i="9"/>
  <c r="E193" i="9"/>
  <c r="D193" i="9"/>
  <c r="A193" i="9"/>
  <c r="O192" i="9"/>
  <c r="N192" i="9"/>
  <c r="M192" i="9"/>
  <c r="L192" i="9"/>
  <c r="K192" i="9"/>
  <c r="J192" i="9"/>
  <c r="I192" i="9"/>
  <c r="H192" i="9"/>
  <c r="E192" i="9"/>
  <c r="D192" i="9"/>
  <c r="A192" i="9"/>
  <c r="O191" i="9"/>
  <c r="N191" i="9"/>
  <c r="M191" i="9"/>
  <c r="L191" i="9"/>
  <c r="K191" i="9"/>
  <c r="J191" i="9"/>
  <c r="I191" i="9"/>
  <c r="H191" i="9"/>
  <c r="E191" i="9"/>
  <c r="D191" i="9"/>
  <c r="A191" i="9"/>
  <c r="O190" i="9"/>
  <c r="N190" i="9"/>
  <c r="M190" i="9"/>
  <c r="L190" i="9"/>
  <c r="K190" i="9"/>
  <c r="J190" i="9"/>
  <c r="I190" i="9"/>
  <c r="H190" i="9"/>
  <c r="E190" i="9"/>
  <c r="D190" i="9"/>
  <c r="A190" i="9"/>
  <c r="O189" i="9"/>
  <c r="N189" i="9"/>
  <c r="M189" i="9"/>
  <c r="L189" i="9"/>
  <c r="K189" i="9"/>
  <c r="J189" i="9"/>
  <c r="I189" i="9"/>
  <c r="H189" i="9"/>
  <c r="E189" i="9"/>
  <c r="D189" i="9"/>
  <c r="A189" i="9"/>
  <c r="O188" i="9"/>
  <c r="N188" i="9"/>
  <c r="M188" i="9"/>
  <c r="L188" i="9"/>
  <c r="K188" i="9"/>
  <c r="J188" i="9"/>
  <c r="I188" i="9"/>
  <c r="H188" i="9"/>
  <c r="E188" i="9"/>
  <c r="D188" i="9"/>
  <c r="A188" i="9"/>
  <c r="O187" i="9"/>
  <c r="N187" i="9"/>
  <c r="M187" i="9"/>
  <c r="L187" i="9"/>
  <c r="K187" i="9"/>
  <c r="J187" i="9"/>
  <c r="I187" i="9"/>
  <c r="H187" i="9"/>
  <c r="E187" i="9"/>
  <c r="D187" i="9"/>
  <c r="A187" i="9"/>
  <c r="O184" i="9"/>
  <c r="N184" i="9"/>
  <c r="M184" i="9"/>
  <c r="L184" i="9"/>
  <c r="K184" i="9"/>
  <c r="J184" i="9"/>
  <c r="I184" i="9"/>
  <c r="H184" i="9"/>
  <c r="E184" i="9"/>
  <c r="D184" i="9"/>
  <c r="A184" i="9"/>
  <c r="O183" i="9"/>
  <c r="N183" i="9"/>
  <c r="M183" i="9"/>
  <c r="L183" i="9"/>
  <c r="K183" i="9"/>
  <c r="J183" i="9"/>
  <c r="I183" i="9"/>
  <c r="H183" i="9"/>
  <c r="E183" i="9"/>
  <c r="D183" i="9"/>
  <c r="A183" i="9"/>
  <c r="O182" i="9"/>
  <c r="N182" i="9"/>
  <c r="M182" i="9"/>
  <c r="L182" i="9"/>
  <c r="K182" i="9"/>
  <c r="J182" i="9"/>
  <c r="I182" i="9"/>
  <c r="H182" i="9"/>
  <c r="E182" i="9"/>
  <c r="D182" i="9"/>
  <c r="A182" i="9"/>
  <c r="O181" i="9"/>
  <c r="N181" i="9"/>
  <c r="M181" i="9"/>
  <c r="L181" i="9"/>
  <c r="K181" i="9"/>
  <c r="J181" i="9"/>
  <c r="I181" i="9"/>
  <c r="H181" i="9"/>
  <c r="E181" i="9"/>
  <c r="D181" i="9"/>
  <c r="A181" i="9"/>
  <c r="O180" i="9"/>
  <c r="N180" i="9"/>
  <c r="M180" i="9"/>
  <c r="L180" i="9"/>
  <c r="K180" i="9"/>
  <c r="J180" i="9"/>
  <c r="I180" i="9"/>
  <c r="H180" i="9"/>
  <c r="E180" i="9"/>
  <c r="D180" i="9"/>
  <c r="A180" i="9"/>
  <c r="O179" i="9"/>
  <c r="N179" i="9"/>
  <c r="M179" i="9"/>
  <c r="L179" i="9"/>
  <c r="K179" i="9"/>
  <c r="J179" i="9"/>
  <c r="I179" i="9"/>
  <c r="H179" i="9"/>
  <c r="E179" i="9"/>
  <c r="D179" i="9"/>
  <c r="A179" i="9"/>
  <c r="O178" i="9"/>
  <c r="N178" i="9"/>
  <c r="M178" i="9"/>
  <c r="L178" i="9"/>
  <c r="K178" i="9"/>
  <c r="J178" i="9"/>
  <c r="I178" i="9"/>
  <c r="H178" i="9"/>
  <c r="E178" i="9"/>
  <c r="D178" i="9"/>
  <c r="A178" i="9"/>
  <c r="O177" i="9"/>
  <c r="N177" i="9"/>
  <c r="M177" i="9"/>
  <c r="L177" i="9"/>
  <c r="K177" i="9"/>
  <c r="J177" i="9"/>
  <c r="I177" i="9"/>
  <c r="H177" i="9"/>
  <c r="E177" i="9"/>
  <c r="D177" i="9"/>
  <c r="A177" i="9"/>
  <c r="O176" i="9"/>
  <c r="N176" i="9"/>
  <c r="M176" i="9"/>
  <c r="L176" i="9"/>
  <c r="K176" i="9"/>
  <c r="J176" i="9"/>
  <c r="I176" i="9"/>
  <c r="H176" i="9"/>
  <c r="E176" i="9"/>
  <c r="D176" i="9"/>
  <c r="A176" i="9"/>
  <c r="O175" i="9"/>
  <c r="N175" i="9"/>
  <c r="M175" i="9"/>
  <c r="L175" i="9"/>
  <c r="K175" i="9"/>
  <c r="J175" i="9"/>
  <c r="I175" i="9"/>
  <c r="H175" i="9"/>
  <c r="E175" i="9"/>
  <c r="D175" i="9"/>
  <c r="A175" i="9"/>
  <c r="O174" i="9"/>
  <c r="N174" i="9"/>
  <c r="M174" i="9"/>
  <c r="L174" i="9"/>
  <c r="K174" i="9"/>
  <c r="J174" i="9"/>
  <c r="I174" i="9"/>
  <c r="H174" i="9"/>
  <c r="E174" i="9"/>
  <c r="D174" i="9"/>
  <c r="A174" i="9"/>
  <c r="O173" i="9"/>
  <c r="N173" i="9"/>
  <c r="M173" i="9"/>
  <c r="L173" i="9"/>
  <c r="K173" i="9"/>
  <c r="J173" i="9"/>
  <c r="I173" i="9"/>
  <c r="H173" i="9"/>
  <c r="E173" i="9"/>
  <c r="D173" i="9"/>
  <c r="A173" i="9"/>
  <c r="O172" i="9"/>
  <c r="N172" i="9"/>
  <c r="M172" i="9"/>
  <c r="L172" i="9"/>
  <c r="K172" i="9"/>
  <c r="J172" i="9"/>
  <c r="I172" i="9"/>
  <c r="H172" i="9"/>
  <c r="E172" i="9"/>
  <c r="D172" i="9"/>
  <c r="A172" i="9"/>
  <c r="O171" i="9"/>
  <c r="N171" i="9"/>
  <c r="M171" i="9"/>
  <c r="L171" i="9"/>
  <c r="K171" i="9"/>
  <c r="J171" i="9"/>
  <c r="I171" i="9"/>
  <c r="H171" i="9"/>
  <c r="E171" i="9"/>
  <c r="D171" i="9"/>
  <c r="A171" i="9"/>
  <c r="O170" i="9"/>
  <c r="N170" i="9"/>
  <c r="M170" i="9"/>
  <c r="L170" i="9"/>
  <c r="K170" i="9"/>
  <c r="J170" i="9"/>
  <c r="I170" i="9"/>
  <c r="H170" i="9"/>
  <c r="E170" i="9"/>
  <c r="D170" i="9"/>
  <c r="A170" i="9"/>
  <c r="O169" i="9"/>
  <c r="N169" i="9"/>
  <c r="M169" i="9"/>
  <c r="L169" i="9"/>
  <c r="K169" i="9"/>
  <c r="J169" i="9"/>
  <c r="I169" i="9"/>
  <c r="H169" i="9"/>
  <c r="E169" i="9"/>
  <c r="D169" i="9"/>
  <c r="A169" i="9"/>
  <c r="O168" i="9"/>
  <c r="N168" i="9"/>
  <c r="M168" i="9"/>
  <c r="L168" i="9"/>
  <c r="K168" i="9"/>
  <c r="J168" i="9"/>
  <c r="I168" i="9"/>
  <c r="H168" i="9"/>
  <c r="E168" i="9"/>
  <c r="D168" i="9"/>
  <c r="A168" i="9"/>
  <c r="O167" i="9"/>
  <c r="N167" i="9"/>
  <c r="M167" i="9"/>
  <c r="L167" i="9"/>
  <c r="K167" i="9"/>
  <c r="J167" i="9"/>
  <c r="I167" i="9"/>
  <c r="H167" i="9"/>
  <c r="E167" i="9"/>
  <c r="D167" i="9"/>
  <c r="A167" i="9"/>
  <c r="O166" i="9"/>
  <c r="N166" i="9"/>
  <c r="M166" i="9"/>
  <c r="L166" i="9"/>
  <c r="K166" i="9"/>
  <c r="J166" i="9"/>
  <c r="I166" i="9"/>
  <c r="H166" i="9"/>
  <c r="E166" i="9"/>
  <c r="D166" i="9"/>
  <c r="A166" i="9"/>
  <c r="O164" i="9"/>
  <c r="N164" i="9"/>
  <c r="M164" i="9"/>
  <c r="L164" i="9"/>
  <c r="K164" i="9"/>
  <c r="J164" i="9"/>
  <c r="I164" i="9"/>
  <c r="H164" i="9"/>
  <c r="E164" i="9"/>
  <c r="D164" i="9"/>
  <c r="A164" i="9"/>
  <c r="O163" i="9"/>
  <c r="N163" i="9"/>
  <c r="M163" i="9"/>
  <c r="L163" i="9"/>
  <c r="K163" i="9"/>
  <c r="J163" i="9"/>
  <c r="I163" i="9"/>
  <c r="H163" i="9"/>
  <c r="E163" i="9"/>
  <c r="D163" i="9"/>
  <c r="A163" i="9"/>
  <c r="O162" i="9"/>
  <c r="N162" i="9"/>
  <c r="M162" i="9"/>
  <c r="L162" i="9"/>
  <c r="K162" i="9"/>
  <c r="J162" i="9"/>
  <c r="I162" i="9"/>
  <c r="H162" i="9"/>
  <c r="E162" i="9"/>
  <c r="D162" i="9"/>
  <c r="A162" i="9"/>
  <c r="O161" i="9"/>
  <c r="N161" i="9"/>
  <c r="M161" i="9"/>
  <c r="L161" i="9"/>
  <c r="K161" i="9"/>
  <c r="J161" i="9"/>
  <c r="I161" i="9"/>
  <c r="H161" i="9"/>
  <c r="E161" i="9"/>
  <c r="D161" i="9"/>
  <c r="A161" i="9"/>
  <c r="O160" i="9"/>
  <c r="N160" i="9"/>
  <c r="M160" i="9"/>
  <c r="L160" i="9"/>
  <c r="K160" i="9"/>
  <c r="J160" i="9"/>
  <c r="I160" i="9"/>
  <c r="H160" i="9"/>
  <c r="E160" i="9"/>
  <c r="D160" i="9"/>
  <c r="A160" i="9"/>
  <c r="O159" i="9"/>
  <c r="N159" i="9"/>
  <c r="M159" i="9"/>
  <c r="L159" i="9"/>
  <c r="K159" i="9"/>
  <c r="J159" i="9"/>
  <c r="I159" i="9"/>
  <c r="H159" i="9"/>
  <c r="E159" i="9"/>
  <c r="D159" i="9"/>
  <c r="A159" i="9"/>
  <c r="O158" i="9"/>
  <c r="N158" i="9"/>
  <c r="M158" i="9"/>
  <c r="L158" i="9"/>
  <c r="K158" i="9"/>
  <c r="J158" i="9"/>
  <c r="I158" i="9"/>
  <c r="H158" i="9"/>
  <c r="E158" i="9"/>
  <c r="D158" i="9"/>
  <c r="A158" i="9"/>
  <c r="O157" i="9"/>
  <c r="N157" i="9"/>
  <c r="M157" i="9"/>
  <c r="L157" i="9"/>
  <c r="K157" i="9"/>
  <c r="J157" i="9"/>
  <c r="I157" i="9"/>
  <c r="H157" i="9"/>
  <c r="E157" i="9"/>
  <c r="D157" i="9"/>
  <c r="A157" i="9"/>
  <c r="O156" i="9"/>
  <c r="N156" i="9"/>
  <c r="M156" i="9"/>
  <c r="L156" i="9"/>
  <c r="K156" i="9"/>
  <c r="J156" i="9"/>
  <c r="I156" i="9"/>
  <c r="H156" i="9"/>
  <c r="E156" i="9"/>
  <c r="D156" i="9"/>
  <c r="A156" i="9"/>
  <c r="O155" i="9"/>
  <c r="N155" i="9"/>
  <c r="M155" i="9"/>
  <c r="L155" i="9"/>
  <c r="K155" i="9"/>
  <c r="J155" i="9"/>
  <c r="I155" i="9"/>
  <c r="H155" i="9"/>
  <c r="E155" i="9"/>
  <c r="D155" i="9"/>
  <c r="A155" i="9"/>
  <c r="O154" i="9"/>
  <c r="N154" i="9"/>
  <c r="M154" i="9"/>
  <c r="L154" i="9"/>
  <c r="K154" i="9"/>
  <c r="J154" i="9"/>
  <c r="I154" i="9"/>
  <c r="H154" i="9"/>
  <c r="E154" i="9"/>
  <c r="D154" i="9"/>
  <c r="A154" i="9"/>
  <c r="O153" i="9"/>
  <c r="N153" i="9"/>
  <c r="M153" i="9"/>
  <c r="L153" i="9"/>
  <c r="K153" i="9"/>
  <c r="J153" i="9"/>
  <c r="I153" i="9"/>
  <c r="H153" i="9"/>
  <c r="E153" i="9"/>
  <c r="D153" i="9"/>
  <c r="A153" i="9"/>
  <c r="O152" i="9"/>
  <c r="N152" i="9"/>
  <c r="M152" i="9"/>
  <c r="L152" i="9"/>
  <c r="K152" i="9"/>
  <c r="J152" i="9"/>
  <c r="I152" i="9"/>
  <c r="H152" i="9"/>
  <c r="E152" i="9"/>
  <c r="D152" i="9"/>
  <c r="A152" i="9"/>
  <c r="O151" i="9"/>
  <c r="N151" i="9"/>
  <c r="M151" i="9"/>
  <c r="L151" i="9"/>
  <c r="K151" i="9"/>
  <c r="J151" i="9"/>
  <c r="I151" i="9"/>
  <c r="H151" i="9"/>
  <c r="E151" i="9"/>
  <c r="D151" i="9"/>
  <c r="A151" i="9"/>
  <c r="O150" i="9"/>
  <c r="N150" i="9"/>
  <c r="M150" i="9"/>
  <c r="L150" i="9"/>
  <c r="K150" i="9"/>
  <c r="J150" i="9"/>
  <c r="I150" i="9"/>
  <c r="H150" i="9"/>
  <c r="E150" i="9"/>
  <c r="D150" i="9"/>
  <c r="A150" i="9"/>
  <c r="O149" i="9"/>
  <c r="N149" i="9"/>
  <c r="M149" i="9"/>
  <c r="L149" i="9"/>
  <c r="K149" i="9"/>
  <c r="J149" i="9"/>
  <c r="I149" i="9"/>
  <c r="H149" i="9"/>
  <c r="E149" i="9"/>
  <c r="D149" i="9"/>
  <c r="A149" i="9"/>
  <c r="O148" i="9"/>
  <c r="N148" i="9"/>
  <c r="M148" i="9"/>
  <c r="L148" i="9"/>
  <c r="K148" i="9"/>
  <c r="J148" i="9"/>
  <c r="I148" i="9"/>
  <c r="H148" i="9"/>
  <c r="E148" i="9"/>
  <c r="D148" i="9"/>
  <c r="A148" i="9"/>
  <c r="O146" i="9"/>
  <c r="N146" i="9"/>
  <c r="M146" i="9"/>
  <c r="L146" i="9"/>
  <c r="K146" i="9"/>
  <c r="J146" i="9"/>
  <c r="I146" i="9"/>
  <c r="H146" i="9"/>
  <c r="E146" i="9"/>
  <c r="D146" i="9"/>
  <c r="A146" i="9"/>
  <c r="O145" i="9"/>
  <c r="N145" i="9"/>
  <c r="M145" i="9"/>
  <c r="L145" i="9"/>
  <c r="K145" i="9"/>
  <c r="J145" i="9"/>
  <c r="I145" i="9"/>
  <c r="H145" i="9"/>
  <c r="E145" i="9"/>
  <c r="D145" i="9"/>
  <c r="A145" i="9"/>
  <c r="O144" i="9"/>
  <c r="N144" i="9"/>
  <c r="M144" i="9"/>
  <c r="L144" i="9"/>
  <c r="K144" i="9"/>
  <c r="J144" i="9"/>
  <c r="I144" i="9"/>
  <c r="H144" i="9"/>
  <c r="E144" i="9"/>
  <c r="D144" i="9"/>
  <c r="A144" i="9"/>
  <c r="O143" i="9"/>
  <c r="N143" i="9"/>
  <c r="M143" i="9"/>
  <c r="L143" i="9"/>
  <c r="K143" i="9"/>
  <c r="J143" i="9"/>
  <c r="I143" i="9"/>
  <c r="H143" i="9"/>
  <c r="E143" i="9"/>
  <c r="D143" i="9"/>
  <c r="A143" i="9"/>
  <c r="O142" i="9"/>
  <c r="N142" i="9"/>
  <c r="M142" i="9"/>
  <c r="L142" i="9"/>
  <c r="K142" i="9"/>
  <c r="J142" i="9"/>
  <c r="I142" i="9"/>
  <c r="H142" i="9"/>
  <c r="E142" i="9"/>
  <c r="D142" i="9"/>
  <c r="A142" i="9"/>
  <c r="O141" i="9"/>
  <c r="N141" i="9"/>
  <c r="M141" i="9"/>
  <c r="L141" i="9"/>
  <c r="K141" i="9"/>
  <c r="J141" i="9"/>
  <c r="I141" i="9"/>
  <c r="H141" i="9"/>
  <c r="E141" i="9"/>
  <c r="D141" i="9"/>
  <c r="A141" i="9"/>
  <c r="O140" i="9"/>
  <c r="N140" i="9"/>
  <c r="M140" i="9"/>
  <c r="L140" i="9"/>
  <c r="K140" i="9"/>
  <c r="J140" i="9"/>
  <c r="I140" i="9"/>
  <c r="H140" i="9"/>
  <c r="E140" i="9"/>
  <c r="D140" i="9"/>
  <c r="A140" i="9"/>
  <c r="O139" i="9"/>
  <c r="N139" i="9"/>
  <c r="M139" i="9"/>
  <c r="L139" i="9"/>
  <c r="K139" i="9"/>
  <c r="J139" i="9"/>
  <c r="I139" i="9"/>
  <c r="H139" i="9"/>
  <c r="E139" i="9"/>
  <c r="D139" i="9"/>
  <c r="A139" i="9"/>
  <c r="O138" i="9"/>
  <c r="N138" i="9"/>
  <c r="M138" i="9"/>
  <c r="L138" i="9"/>
  <c r="K138" i="9"/>
  <c r="J138" i="9"/>
  <c r="I138" i="9"/>
  <c r="H138" i="9"/>
  <c r="E138" i="9"/>
  <c r="D138" i="9"/>
  <c r="A138" i="9"/>
  <c r="O137" i="9"/>
  <c r="N137" i="9"/>
  <c r="M137" i="9"/>
  <c r="L137" i="9"/>
  <c r="K137" i="9"/>
  <c r="J137" i="9"/>
  <c r="I137" i="9"/>
  <c r="H137" i="9"/>
  <c r="E137" i="9"/>
  <c r="D137" i="9"/>
  <c r="A137" i="9"/>
  <c r="O136" i="9"/>
  <c r="N136" i="9"/>
  <c r="M136" i="9"/>
  <c r="L136" i="9"/>
  <c r="K136" i="9"/>
  <c r="J136" i="9"/>
  <c r="I136" i="9"/>
  <c r="H136" i="9"/>
  <c r="E136" i="9"/>
  <c r="D136" i="9"/>
  <c r="A136" i="9"/>
  <c r="O135" i="9"/>
  <c r="N135" i="9"/>
  <c r="M135" i="9"/>
  <c r="L135" i="9"/>
  <c r="K135" i="9"/>
  <c r="J135" i="9"/>
  <c r="I135" i="9"/>
  <c r="H135" i="9"/>
  <c r="E135" i="9"/>
  <c r="D135" i="9"/>
  <c r="A135" i="9"/>
  <c r="O134" i="9"/>
  <c r="N134" i="9"/>
  <c r="M134" i="9"/>
  <c r="L134" i="9"/>
  <c r="K134" i="9"/>
  <c r="J134" i="9"/>
  <c r="I134" i="9"/>
  <c r="H134" i="9"/>
  <c r="E134" i="9"/>
  <c r="D134" i="9"/>
  <c r="A134" i="9"/>
  <c r="O133" i="9"/>
  <c r="N133" i="9"/>
  <c r="M133" i="9"/>
  <c r="L133" i="9"/>
  <c r="K133" i="9"/>
  <c r="J133" i="9"/>
  <c r="I133" i="9"/>
  <c r="H133" i="9"/>
  <c r="E133" i="9"/>
  <c r="D133" i="9"/>
  <c r="A133" i="9"/>
  <c r="O132" i="9"/>
  <c r="N132" i="9"/>
  <c r="M132" i="9"/>
  <c r="L132" i="9"/>
  <c r="K132" i="9"/>
  <c r="J132" i="9"/>
  <c r="I132" i="9"/>
  <c r="H132" i="9"/>
  <c r="E132" i="9"/>
  <c r="D132" i="9"/>
  <c r="A132" i="9"/>
  <c r="O131" i="9"/>
  <c r="N131" i="9"/>
  <c r="M131" i="9"/>
  <c r="L131" i="9"/>
  <c r="K131" i="9"/>
  <c r="J131" i="9"/>
  <c r="I131" i="9"/>
  <c r="H131" i="9"/>
  <c r="E131" i="9"/>
  <c r="D131" i="9"/>
  <c r="A131" i="9"/>
  <c r="O130" i="9"/>
  <c r="N130" i="9"/>
  <c r="M130" i="9"/>
  <c r="L130" i="9"/>
  <c r="K130" i="9"/>
  <c r="J130" i="9"/>
  <c r="I130" i="9"/>
  <c r="H130" i="9"/>
  <c r="E130" i="9"/>
  <c r="D130" i="9"/>
  <c r="A130" i="9"/>
  <c r="O385" i="9"/>
  <c r="N385" i="9"/>
  <c r="M385" i="9"/>
  <c r="L385" i="9"/>
  <c r="K385" i="9"/>
  <c r="J385" i="9"/>
  <c r="I385" i="9"/>
  <c r="H385" i="9"/>
  <c r="E385" i="9"/>
  <c r="D385" i="9"/>
  <c r="A385" i="9"/>
  <c r="O384" i="9"/>
  <c r="N384" i="9"/>
  <c r="M384" i="9"/>
  <c r="L384" i="9"/>
  <c r="K384" i="9"/>
  <c r="J384" i="9"/>
  <c r="I384" i="9"/>
  <c r="H384" i="9"/>
  <c r="E384" i="9"/>
  <c r="D384" i="9"/>
  <c r="A384" i="9"/>
  <c r="O383" i="9"/>
  <c r="N383" i="9"/>
  <c r="M383" i="9"/>
  <c r="L383" i="9"/>
  <c r="K383" i="9"/>
  <c r="J383" i="9"/>
  <c r="I383" i="9"/>
  <c r="H383" i="9"/>
  <c r="E383" i="9"/>
  <c r="D383" i="9"/>
  <c r="A383" i="9"/>
  <c r="O382" i="9"/>
  <c r="N382" i="9"/>
  <c r="M382" i="9"/>
  <c r="L382" i="9"/>
  <c r="K382" i="9"/>
  <c r="J382" i="9"/>
  <c r="I382" i="9"/>
  <c r="H382" i="9"/>
  <c r="E382" i="9"/>
  <c r="D382" i="9"/>
  <c r="A382" i="9"/>
  <c r="O381" i="9"/>
  <c r="N381" i="9"/>
  <c r="M381" i="9"/>
  <c r="L381" i="9"/>
  <c r="K381" i="9"/>
  <c r="J381" i="9"/>
  <c r="I381" i="9"/>
  <c r="H381" i="9"/>
  <c r="E381" i="9"/>
  <c r="D381" i="9"/>
  <c r="A381" i="9"/>
  <c r="O380" i="9"/>
  <c r="N380" i="9"/>
  <c r="M380" i="9"/>
  <c r="L380" i="9"/>
  <c r="K380" i="9"/>
  <c r="J380" i="9"/>
  <c r="I380" i="9"/>
  <c r="H380" i="9"/>
  <c r="E380" i="9"/>
  <c r="D380" i="9"/>
  <c r="A380" i="9"/>
  <c r="O379" i="9"/>
  <c r="N379" i="9"/>
  <c r="M379" i="9"/>
  <c r="L379" i="9"/>
  <c r="K379" i="9"/>
  <c r="J379" i="9"/>
  <c r="I379" i="9"/>
  <c r="H379" i="9"/>
  <c r="E379" i="9"/>
  <c r="D379" i="9"/>
  <c r="A379" i="9"/>
  <c r="O378" i="9"/>
  <c r="N378" i="9"/>
  <c r="M378" i="9"/>
  <c r="L378" i="9"/>
  <c r="K378" i="9"/>
  <c r="J378" i="9"/>
  <c r="I378" i="9"/>
  <c r="H378" i="9"/>
  <c r="E378" i="9"/>
  <c r="D378" i="9"/>
  <c r="A378" i="9"/>
  <c r="O377" i="9"/>
  <c r="N377" i="9"/>
  <c r="M377" i="9"/>
  <c r="L377" i="9"/>
  <c r="K377" i="9"/>
  <c r="J377" i="9"/>
  <c r="I377" i="9"/>
  <c r="H377" i="9"/>
  <c r="E377" i="9"/>
  <c r="D377" i="9"/>
  <c r="A377" i="9"/>
  <c r="O376" i="9"/>
  <c r="N376" i="9"/>
  <c r="M376" i="9"/>
  <c r="L376" i="9"/>
  <c r="K376" i="9"/>
  <c r="J376" i="9"/>
  <c r="I376" i="9"/>
  <c r="H376" i="9"/>
  <c r="E376" i="9"/>
  <c r="D376" i="9"/>
  <c r="A376" i="9"/>
  <c r="O375" i="9"/>
  <c r="N375" i="9"/>
  <c r="M375" i="9"/>
  <c r="L375" i="9"/>
  <c r="K375" i="9"/>
  <c r="J375" i="9"/>
  <c r="I375" i="9"/>
  <c r="H375" i="9"/>
  <c r="E375" i="9"/>
  <c r="D375" i="9"/>
  <c r="A375" i="9"/>
  <c r="O374" i="9"/>
  <c r="N374" i="9"/>
  <c r="M374" i="9"/>
  <c r="L374" i="9"/>
  <c r="K374" i="9"/>
  <c r="J374" i="9"/>
  <c r="I374" i="9"/>
  <c r="H374" i="9"/>
  <c r="E374" i="9"/>
  <c r="D374" i="9"/>
  <c r="A374" i="9"/>
  <c r="O373" i="9"/>
  <c r="N373" i="9"/>
  <c r="M373" i="9"/>
  <c r="L373" i="9"/>
  <c r="K373" i="9"/>
  <c r="J373" i="9"/>
  <c r="I373" i="9"/>
  <c r="H373" i="9"/>
  <c r="E373" i="9"/>
  <c r="D373" i="9"/>
  <c r="A373" i="9"/>
  <c r="O372" i="9"/>
  <c r="N372" i="9"/>
  <c r="M372" i="9"/>
  <c r="L372" i="9"/>
  <c r="K372" i="9"/>
  <c r="J372" i="9"/>
  <c r="I372" i="9"/>
  <c r="H372" i="9"/>
  <c r="E372" i="9"/>
  <c r="D372" i="9"/>
  <c r="A372" i="9"/>
  <c r="O371" i="9"/>
  <c r="N371" i="9"/>
  <c r="M371" i="9"/>
  <c r="L371" i="9"/>
  <c r="K371" i="9"/>
  <c r="J371" i="9"/>
  <c r="I371" i="9"/>
  <c r="H371" i="9"/>
  <c r="E371" i="9"/>
  <c r="D371" i="9"/>
  <c r="A371" i="9"/>
  <c r="O370" i="9"/>
  <c r="N370" i="9"/>
  <c r="M370" i="9"/>
  <c r="L370" i="9"/>
  <c r="K370" i="9"/>
  <c r="J370" i="9"/>
  <c r="I370" i="9"/>
  <c r="H370" i="9"/>
  <c r="E370" i="9"/>
  <c r="D370" i="9"/>
  <c r="A370" i="9"/>
  <c r="O367" i="9"/>
  <c r="N367" i="9"/>
  <c r="M367" i="9"/>
  <c r="L367" i="9"/>
  <c r="K367" i="9"/>
  <c r="J367" i="9"/>
  <c r="I367" i="9"/>
  <c r="H367" i="9"/>
  <c r="E367" i="9"/>
  <c r="D367" i="9"/>
  <c r="A367" i="9"/>
  <c r="O366" i="9"/>
  <c r="N366" i="9"/>
  <c r="M366" i="9"/>
  <c r="L366" i="9"/>
  <c r="K366" i="9"/>
  <c r="J366" i="9"/>
  <c r="I366" i="9"/>
  <c r="H366" i="9"/>
  <c r="E366" i="9"/>
  <c r="D366" i="9"/>
  <c r="A366" i="9"/>
  <c r="O365" i="9"/>
  <c r="N365" i="9"/>
  <c r="M365" i="9"/>
  <c r="L365" i="9"/>
  <c r="K365" i="9"/>
  <c r="J365" i="9"/>
  <c r="I365" i="9"/>
  <c r="H365" i="9"/>
  <c r="E365" i="9"/>
  <c r="D365" i="9"/>
  <c r="A365" i="9"/>
  <c r="O364" i="9"/>
  <c r="N364" i="9"/>
  <c r="M364" i="9"/>
  <c r="L364" i="9"/>
  <c r="K364" i="9"/>
  <c r="J364" i="9"/>
  <c r="I364" i="9"/>
  <c r="H364" i="9"/>
  <c r="E364" i="9"/>
  <c r="D364" i="9"/>
  <c r="A364" i="9"/>
  <c r="O363" i="9"/>
  <c r="N363" i="9"/>
  <c r="M363" i="9"/>
  <c r="L363" i="9"/>
  <c r="K363" i="9"/>
  <c r="J363" i="9"/>
  <c r="I363" i="9"/>
  <c r="H363" i="9"/>
  <c r="E363" i="9"/>
  <c r="D363" i="9"/>
  <c r="A363" i="9"/>
  <c r="O362" i="9"/>
  <c r="N362" i="9"/>
  <c r="M362" i="9"/>
  <c r="L362" i="9"/>
  <c r="K362" i="9"/>
  <c r="J362" i="9"/>
  <c r="I362" i="9"/>
  <c r="H362" i="9"/>
  <c r="E362" i="9"/>
  <c r="D362" i="9"/>
  <c r="A362" i="9"/>
  <c r="O361" i="9"/>
  <c r="N361" i="9"/>
  <c r="M361" i="9"/>
  <c r="L361" i="9"/>
  <c r="K361" i="9"/>
  <c r="J361" i="9"/>
  <c r="I361" i="9"/>
  <c r="H361" i="9"/>
  <c r="E361" i="9"/>
  <c r="D361" i="9"/>
  <c r="A361" i="9"/>
  <c r="O360" i="9"/>
  <c r="N360" i="9"/>
  <c r="M360" i="9"/>
  <c r="L360" i="9"/>
  <c r="K360" i="9"/>
  <c r="J360" i="9"/>
  <c r="I360" i="9"/>
  <c r="H360" i="9"/>
  <c r="E360" i="9"/>
  <c r="D360" i="9"/>
  <c r="A360" i="9"/>
  <c r="O359" i="9"/>
  <c r="N359" i="9"/>
  <c r="M359" i="9"/>
  <c r="L359" i="9"/>
  <c r="K359" i="9"/>
  <c r="J359" i="9"/>
  <c r="I359" i="9"/>
  <c r="H359" i="9"/>
  <c r="E359" i="9"/>
  <c r="D359" i="9"/>
  <c r="A359" i="9"/>
  <c r="O358" i="9"/>
  <c r="N358" i="9"/>
  <c r="M358" i="9"/>
  <c r="L358" i="9"/>
  <c r="K358" i="9"/>
  <c r="J358" i="9"/>
  <c r="I358" i="9"/>
  <c r="H358" i="9"/>
  <c r="E358" i="9"/>
  <c r="D358" i="9"/>
  <c r="A358" i="9"/>
  <c r="O357" i="9"/>
  <c r="N357" i="9"/>
  <c r="M357" i="9"/>
  <c r="L357" i="9"/>
  <c r="K357" i="9"/>
  <c r="J357" i="9"/>
  <c r="I357" i="9"/>
  <c r="H357" i="9"/>
  <c r="E357" i="9"/>
  <c r="D357" i="9"/>
  <c r="A357" i="9"/>
  <c r="O356" i="9"/>
  <c r="N356" i="9"/>
  <c r="M356" i="9"/>
  <c r="L356" i="9"/>
  <c r="K356" i="9"/>
  <c r="J356" i="9"/>
  <c r="I356" i="9"/>
  <c r="H356" i="9"/>
  <c r="E356" i="9"/>
  <c r="D356" i="9"/>
  <c r="A356" i="9"/>
  <c r="O355" i="9"/>
  <c r="N355" i="9"/>
  <c r="M355" i="9"/>
  <c r="L355" i="9"/>
  <c r="K355" i="9"/>
  <c r="J355" i="9"/>
  <c r="I355" i="9"/>
  <c r="H355" i="9"/>
  <c r="E355" i="9"/>
  <c r="D355" i="9"/>
  <c r="A355" i="9"/>
  <c r="O354" i="9"/>
  <c r="N354" i="9"/>
  <c r="M354" i="9"/>
  <c r="L354" i="9"/>
  <c r="K354" i="9"/>
  <c r="J354" i="9"/>
  <c r="I354" i="9"/>
  <c r="H354" i="9"/>
  <c r="E354" i="9"/>
  <c r="D354" i="9"/>
  <c r="A354" i="9"/>
  <c r="O353" i="9"/>
  <c r="N353" i="9"/>
  <c r="M353" i="9"/>
  <c r="L353" i="9"/>
  <c r="K353" i="9"/>
  <c r="J353" i="9"/>
  <c r="I353" i="9"/>
  <c r="H353" i="9"/>
  <c r="E353" i="9"/>
  <c r="D353" i="9"/>
  <c r="A353" i="9"/>
  <c r="O352" i="9"/>
  <c r="N352" i="9"/>
  <c r="M352" i="9"/>
  <c r="L352" i="9"/>
  <c r="K352" i="9"/>
  <c r="J352" i="9"/>
  <c r="I352" i="9"/>
  <c r="H352" i="9"/>
  <c r="E352" i="9"/>
  <c r="D352" i="9"/>
  <c r="A352" i="9"/>
  <c r="O351" i="9"/>
  <c r="N351" i="9"/>
  <c r="M351" i="9"/>
  <c r="L351" i="9"/>
  <c r="K351" i="9"/>
  <c r="J351" i="9"/>
  <c r="I351" i="9"/>
  <c r="H351" i="9"/>
  <c r="E351" i="9"/>
  <c r="D351" i="9"/>
  <c r="A351" i="9"/>
  <c r="O350" i="9"/>
  <c r="N350" i="9"/>
  <c r="M350" i="9"/>
  <c r="L350" i="9"/>
  <c r="K350" i="9"/>
  <c r="J350" i="9"/>
  <c r="I350" i="9"/>
  <c r="H350" i="9"/>
  <c r="E350" i="9"/>
  <c r="D350" i="9"/>
  <c r="A350" i="9"/>
  <c r="O349" i="9"/>
  <c r="N349" i="9"/>
  <c r="M349" i="9"/>
  <c r="L349" i="9"/>
  <c r="K349" i="9"/>
  <c r="J349" i="9"/>
  <c r="I349" i="9"/>
  <c r="H349" i="9"/>
  <c r="E349" i="9"/>
  <c r="D349" i="9"/>
  <c r="A349" i="9"/>
  <c r="O346" i="9"/>
  <c r="N346" i="9"/>
  <c r="M346" i="9"/>
  <c r="L346" i="9"/>
  <c r="K346" i="9"/>
  <c r="J346" i="9"/>
  <c r="I346" i="9"/>
  <c r="H346" i="9"/>
  <c r="E346" i="9"/>
  <c r="D346" i="9"/>
  <c r="A346" i="9"/>
  <c r="O345" i="9"/>
  <c r="N345" i="9"/>
  <c r="M345" i="9"/>
  <c r="L345" i="9"/>
  <c r="K345" i="9"/>
  <c r="J345" i="9"/>
  <c r="I345" i="9"/>
  <c r="H345" i="9"/>
  <c r="E345" i="9"/>
  <c r="D345" i="9"/>
  <c r="A345" i="9"/>
  <c r="O344" i="9"/>
  <c r="N344" i="9"/>
  <c r="M344" i="9"/>
  <c r="L344" i="9"/>
  <c r="K344" i="9"/>
  <c r="J344" i="9"/>
  <c r="I344" i="9"/>
  <c r="H344" i="9"/>
  <c r="E344" i="9"/>
  <c r="D344" i="9"/>
  <c r="A344" i="9"/>
  <c r="O343" i="9"/>
  <c r="N343" i="9"/>
  <c r="M343" i="9"/>
  <c r="L343" i="9"/>
  <c r="K343" i="9"/>
  <c r="J343" i="9"/>
  <c r="I343" i="9"/>
  <c r="H343" i="9"/>
  <c r="E343" i="9"/>
  <c r="D343" i="9"/>
  <c r="A343" i="9"/>
  <c r="O342" i="9"/>
  <c r="N342" i="9"/>
  <c r="M342" i="9"/>
  <c r="L342" i="9"/>
  <c r="K342" i="9"/>
  <c r="J342" i="9"/>
  <c r="I342" i="9"/>
  <c r="H342" i="9"/>
  <c r="E342" i="9"/>
  <c r="D342" i="9"/>
  <c r="A342" i="9"/>
  <c r="O341" i="9"/>
  <c r="N341" i="9"/>
  <c r="M341" i="9"/>
  <c r="L341" i="9"/>
  <c r="K341" i="9"/>
  <c r="J341" i="9"/>
  <c r="I341" i="9"/>
  <c r="H341" i="9"/>
  <c r="E341" i="9"/>
  <c r="D341" i="9"/>
  <c r="A341" i="9"/>
  <c r="O340" i="9"/>
  <c r="N340" i="9"/>
  <c r="M340" i="9"/>
  <c r="L340" i="9"/>
  <c r="K340" i="9"/>
  <c r="J340" i="9"/>
  <c r="I340" i="9"/>
  <c r="H340" i="9"/>
  <c r="E340" i="9"/>
  <c r="D340" i="9"/>
  <c r="A340" i="9"/>
  <c r="O339" i="9"/>
  <c r="N339" i="9"/>
  <c r="M339" i="9"/>
  <c r="L339" i="9"/>
  <c r="K339" i="9"/>
  <c r="J339" i="9"/>
  <c r="I339" i="9"/>
  <c r="H339" i="9"/>
  <c r="E339" i="9"/>
  <c r="D339" i="9"/>
  <c r="A339" i="9"/>
  <c r="O338" i="9"/>
  <c r="N338" i="9"/>
  <c r="M338" i="9"/>
  <c r="L338" i="9"/>
  <c r="K338" i="9"/>
  <c r="J338" i="9"/>
  <c r="I338" i="9"/>
  <c r="H338" i="9"/>
  <c r="E338" i="9"/>
  <c r="D338" i="9"/>
  <c r="A338" i="9"/>
  <c r="O337" i="9"/>
  <c r="N337" i="9"/>
  <c r="M337" i="9"/>
  <c r="L337" i="9"/>
  <c r="K337" i="9"/>
  <c r="J337" i="9"/>
  <c r="I337" i="9"/>
  <c r="H337" i="9"/>
  <c r="E337" i="9"/>
  <c r="D337" i="9"/>
  <c r="A337" i="9"/>
  <c r="O336" i="9"/>
  <c r="N336" i="9"/>
  <c r="M336" i="9"/>
  <c r="L336" i="9"/>
  <c r="K336" i="9"/>
  <c r="J336" i="9"/>
  <c r="I336" i="9"/>
  <c r="H336" i="9"/>
  <c r="E336" i="9"/>
  <c r="D336" i="9"/>
  <c r="A336" i="9"/>
  <c r="O335" i="9"/>
  <c r="N335" i="9"/>
  <c r="M335" i="9"/>
  <c r="L335" i="9"/>
  <c r="K335" i="9"/>
  <c r="J335" i="9"/>
  <c r="I335" i="9"/>
  <c r="H335" i="9"/>
  <c r="E335" i="9"/>
  <c r="D335" i="9"/>
  <c r="A335" i="9"/>
  <c r="O334" i="9"/>
  <c r="N334" i="9"/>
  <c r="M334" i="9"/>
  <c r="L334" i="9"/>
  <c r="K334" i="9"/>
  <c r="J334" i="9"/>
  <c r="I334" i="9"/>
  <c r="H334" i="9"/>
  <c r="E334" i="9"/>
  <c r="D334" i="9"/>
  <c r="A334" i="9"/>
  <c r="O333" i="9"/>
  <c r="N333" i="9"/>
  <c r="M333" i="9"/>
  <c r="L333" i="9"/>
  <c r="K333" i="9"/>
  <c r="J333" i="9"/>
  <c r="I333" i="9"/>
  <c r="H333" i="9"/>
  <c r="E333" i="9"/>
  <c r="D333" i="9"/>
  <c r="A333" i="9"/>
  <c r="O330" i="9"/>
  <c r="N330" i="9"/>
  <c r="M330" i="9"/>
  <c r="L330" i="9"/>
  <c r="K330" i="9"/>
  <c r="J330" i="9"/>
  <c r="I330" i="9"/>
  <c r="H330" i="9"/>
  <c r="E330" i="9"/>
  <c r="D330" i="9"/>
  <c r="A330" i="9"/>
  <c r="O329" i="9"/>
  <c r="N329" i="9"/>
  <c r="M329" i="9"/>
  <c r="L329" i="9"/>
  <c r="K329" i="9"/>
  <c r="J329" i="9"/>
  <c r="I329" i="9"/>
  <c r="H329" i="9"/>
  <c r="E329" i="9"/>
  <c r="D329" i="9"/>
  <c r="A329" i="9"/>
  <c r="O328" i="9"/>
  <c r="N328" i="9"/>
  <c r="M328" i="9"/>
  <c r="L328" i="9"/>
  <c r="K328" i="9"/>
  <c r="J328" i="9"/>
  <c r="I328" i="9"/>
  <c r="H328" i="9"/>
  <c r="E328" i="9"/>
  <c r="D328" i="9"/>
  <c r="A328" i="9"/>
  <c r="O327" i="9"/>
  <c r="N327" i="9"/>
  <c r="M327" i="9"/>
  <c r="L327" i="9"/>
  <c r="K327" i="9"/>
  <c r="J327" i="9"/>
  <c r="I327" i="9"/>
  <c r="H327" i="9"/>
  <c r="E327" i="9"/>
  <c r="D327" i="9"/>
  <c r="A327" i="9"/>
  <c r="O326" i="9"/>
  <c r="N326" i="9"/>
  <c r="M326" i="9"/>
  <c r="L326" i="9"/>
  <c r="K326" i="9"/>
  <c r="J326" i="9"/>
  <c r="I326" i="9"/>
  <c r="H326" i="9"/>
  <c r="E326" i="9"/>
  <c r="D326" i="9"/>
  <c r="A326" i="9"/>
  <c r="O325" i="9"/>
  <c r="N325" i="9"/>
  <c r="M325" i="9"/>
  <c r="L325" i="9"/>
  <c r="K325" i="9"/>
  <c r="J325" i="9"/>
  <c r="I325" i="9"/>
  <c r="H325" i="9"/>
  <c r="E325" i="9"/>
  <c r="D325" i="9"/>
  <c r="A325" i="9"/>
  <c r="O324" i="9"/>
  <c r="N324" i="9"/>
  <c r="M324" i="9"/>
  <c r="L324" i="9"/>
  <c r="K324" i="9"/>
  <c r="J324" i="9"/>
  <c r="I324" i="9"/>
  <c r="H324" i="9"/>
  <c r="E324" i="9"/>
  <c r="D324" i="9"/>
  <c r="A324" i="9"/>
  <c r="O323" i="9"/>
  <c r="N323" i="9"/>
  <c r="M323" i="9"/>
  <c r="L323" i="9"/>
  <c r="K323" i="9"/>
  <c r="J323" i="9"/>
  <c r="I323" i="9"/>
  <c r="H323" i="9"/>
  <c r="E323" i="9"/>
  <c r="D323" i="9"/>
  <c r="A323" i="9"/>
  <c r="O322" i="9"/>
  <c r="N322" i="9"/>
  <c r="M322" i="9"/>
  <c r="L322" i="9"/>
  <c r="K322" i="9"/>
  <c r="J322" i="9"/>
  <c r="I322" i="9"/>
  <c r="H322" i="9"/>
  <c r="E322" i="9"/>
  <c r="D322" i="9"/>
  <c r="A322" i="9"/>
  <c r="O321" i="9"/>
  <c r="N321" i="9"/>
  <c r="M321" i="9"/>
  <c r="L321" i="9"/>
  <c r="K321" i="9"/>
  <c r="J321" i="9"/>
  <c r="I321" i="9"/>
  <c r="H321" i="9"/>
  <c r="E321" i="9"/>
  <c r="D321" i="9"/>
  <c r="A321" i="9"/>
  <c r="O320" i="9"/>
  <c r="N320" i="9"/>
  <c r="M320" i="9"/>
  <c r="L320" i="9"/>
  <c r="K320" i="9"/>
  <c r="J320" i="9"/>
  <c r="I320" i="9"/>
  <c r="H320" i="9"/>
  <c r="E320" i="9"/>
  <c r="D320" i="9"/>
  <c r="A320" i="9"/>
  <c r="O319" i="9"/>
  <c r="N319" i="9"/>
  <c r="M319" i="9"/>
  <c r="L319" i="9"/>
  <c r="K319" i="9"/>
  <c r="J319" i="9"/>
  <c r="I319" i="9"/>
  <c r="H319" i="9"/>
  <c r="E319" i="9"/>
  <c r="D319" i="9"/>
  <c r="A319" i="9"/>
  <c r="O318" i="9"/>
  <c r="N318" i="9"/>
  <c r="M318" i="9"/>
  <c r="L318" i="9"/>
  <c r="K318" i="9"/>
  <c r="J318" i="9"/>
  <c r="I318" i="9"/>
  <c r="H318" i="9"/>
  <c r="E318" i="9"/>
  <c r="D318" i="9"/>
  <c r="A318" i="9"/>
  <c r="O317" i="9"/>
  <c r="N317" i="9"/>
  <c r="M317" i="9"/>
  <c r="L317" i="9"/>
  <c r="K317" i="9"/>
  <c r="J317" i="9"/>
  <c r="I317" i="9"/>
  <c r="H317" i="9"/>
  <c r="E317" i="9"/>
  <c r="D317" i="9"/>
  <c r="A317" i="9"/>
  <c r="O316" i="9"/>
  <c r="N316" i="9"/>
  <c r="M316" i="9"/>
  <c r="L316" i="9"/>
  <c r="K316" i="9"/>
  <c r="J316" i="9"/>
  <c r="I316" i="9"/>
  <c r="H316" i="9"/>
  <c r="E316" i="9"/>
  <c r="D316" i="9"/>
  <c r="A316" i="9"/>
  <c r="O315" i="9"/>
  <c r="N315" i="9"/>
  <c r="M315" i="9"/>
  <c r="L315" i="9"/>
  <c r="K315" i="9"/>
  <c r="J315" i="9"/>
  <c r="I315" i="9"/>
  <c r="H315" i="9"/>
  <c r="E315" i="9"/>
  <c r="D315" i="9"/>
  <c r="A315" i="9"/>
  <c r="O312" i="9"/>
  <c r="N312" i="9"/>
  <c r="M312" i="9"/>
  <c r="L312" i="9"/>
  <c r="K312" i="9"/>
  <c r="J312" i="9"/>
  <c r="I312" i="9"/>
  <c r="H312" i="9"/>
  <c r="E312" i="9"/>
  <c r="D312" i="9"/>
  <c r="A312" i="9"/>
  <c r="O311" i="9"/>
  <c r="N311" i="9"/>
  <c r="M311" i="9"/>
  <c r="L311" i="9"/>
  <c r="K311" i="9"/>
  <c r="J311" i="9"/>
  <c r="I311" i="9"/>
  <c r="H311" i="9"/>
  <c r="E311" i="9"/>
  <c r="D311" i="9"/>
  <c r="A311" i="9"/>
  <c r="O310" i="9"/>
  <c r="N310" i="9"/>
  <c r="M310" i="9"/>
  <c r="L310" i="9"/>
  <c r="K310" i="9"/>
  <c r="J310" i="9"/>
  <c r="I310" i="9"/>
  <c r="H310" i="9"/>
  <c r="E310" i="9"/>
  <c r="D310" i="9"/>
  <c r="A310" i="9"/>
  <c r="O309" i="9"/>
  <c r="N309" i="9"/>
  <c r="M309" i="9"/>
  <c r="L309" i="9"/>
  <c r="K309" i="9"/>
  <c r="J309" i="9"/>
  <c r="I309" i="9"/>
  <c r="H309" i="9"/>
  <c r="E309" i="9"/>
  <c r="D309" i="9"/>
  <c r="A309" i="9"/>
  <c r="O308" i="9"/>
  <c r="N308" i="9"/>
  <c r="M308" i="9"/>
  <c r="L308" i="9"/>
  <c r="K308" i="9"/>
  <c r="J308" i="9"/>
  <c r="I308" i="9"/>
  <c r="H308" i="9"/>
  <c r="E308" i="9"/>
  <c r="D308" i="9"/>
  <c r="A308" i="9"/>
  <c r="O307" i="9"/>
  <c r="N307" i="9"/>
  <c r="M307" i="9"/>
  <c r="L307" i="9"/>
  <c r="K307" i="9"/>
  <c r="J307" i="9"/>
  <c r="I307" i="9"/>
  <c r="H307" i="9"/>
  <c r="E307" i="9"/>
  <c r="D307" i="9"/>
  <c r="A307" i="9"/>
  <c r="O306" i="9"/>
  <c r="N306" i="9"/>
  <c r="M306" i="9"/>
  <c r="L306" i="9"/>
  <c r="K306" i="9"/>
  <c r="J306" i="9"/>
  <c r="I306" i="9"/>
  <c r="H306" i="9"/>
  <c r="E306" i="9"/>
  <c r="D306" i="9"/>
  <c r="A306" i="9"/>
  <c r="O305" i="9"/>
  <c r="N305" i="9"/>
  <c r="M305" i="9"/>
  <c r="L305" i="9"/>
  <c r="K305" i="9"/>
  <c r="J305" i="9"/>
  <c r="I305" i="9"/>
  <c r="H305" i="9"/>
  <c r="E305" i="9"/>
  <c r="D305" i="9"/>
  <c r="A305" i="9"/>
  <c r="O304" i="9"/>
  <c r="N304" i="9"/>
  <c r="M304" i="9"/>
  <c r="L304" i="9"/>
  <c r="K304" i="9"/>
  <c r="J304" i="9"/>
  <c r="I304" i="9"/>
  <c r="H304" i="9"/>
  <c r="E304" i="9"/>
  <c r="D304" i="9"/>
  <c r="A304" i="9"/>
  <c r="O303" i="9"/>
  <c r="N303" i="9"/>
  <c r="M303" i="9"/>
  <c r="L303" i="9"/>
  <c r="K303" i="9"/>
  <c r="J303" i="9"/>
  <c r="I303" i="9"/>
  <c r="H303" i="9"/>
  <c r="E303" i="9"/>
  <c r="D303" i="9"/>
  <c r="A303" i="9"/>
  <c r="O302" i="9"/>
  <c r="N302" i="9"/>
  <c r="M302" i="9"/>
  <c r="L302" i="9"/>
  <c r="K302" i="9"/>
  <c r="J302" i="9"/>
  <c r="I302" i="9"/>
  <c r="H302" i="9"/>
  <c r="E302" i="9"/>
  <c r="D302" i="9"/>
  <c r="A302" i="9"/>
  <c r="O301" i="9"/>
  <c r="N301" i="9"/>
  <c r="M301" i="9"/>
  <c r="L301" i="9"/>
  <c r="K301" i="9"/>
  <c r="J301" i="9"/>
  <c r="I301" i="9"/>
  <c r="H301" i="9"/>
  <c r="E301" i="9"/>
  <c r="D301" i="9"/>
  <c r="A301" i="9"/>
  <c r="O300" i="9"/>
  <c r="N300" i="9"/>
  <c r="M300" i="9"/>
  <c r="L300" i="9"/>
  <c r="K300" i="9"/>
  <c r="J300" i="9"/>
  <c r="I300" i="9"/>
  <c r="H300" i="9"/>
  <c r="E300" i="9"/>
  <c r="D300" i="9"/>
  <c r="A300" i="9"/>
  <c r="O299" i="9"/>
  <c r="N299" i="9"/>
  <c r="M299" i="9"/>
  <c r="L299" i="9"/>
  <c r="K299" i="9"/>
  <c r="J299" i="9"/>
  <c r="I299" i="9"/>
  <c r="H299" i="9"/>
  <c r="E299" i="9"/>
  <c r="D299" i="9"/>
  <c r="A299" i="9"/>
  <c r="O298" i="9"/>
  <c r="N298" i="9"/>
  <c r="M298" i="9"/>
  <c r="L298" i="9"/>
  <c r="K298" i="9"/>
  <c r="J298" i="9"/>
  <c r="I298" i="9"/>
  <c r="H298" i="9"/>
  <c r="E298" i="9"/>
  <c r="D298" i="9"/>
  <c r="A298" i="9"/>
  <c r="O297" i="9"/>
  <c r="N297" i="9"/>
  <c r="M297" i="9"/>
  <c r="L297" i="9"/>
  <c r="K297" i="9"/>
  <c r="J297" i="9"/>
  <c r="I297" i="9"/>
  <c r="H297" i="9"/>
  <c r="E297" i="9"/>
  <c r="D297" i="9"/>
  <c r="A297" i="9"/>
  <c r="O296" i="9"/>
  <c r="N296" i="9"/>
  <c r="M296" i="9"/>
  <c r="L296" i="9"/>
  <c r="K296" i="9"/>
  <c r="J296" i="9"/>
  <c r="I296" i="9"/>
  <c r="H296" i="9"/>
  <c r="E296" i="9"/>
  <c r="D296" i="9"/>
  <c r="A296" i="9"/>
  <c r="O295" i="9"/>
  <c r="N295" i="9"/>
  <c r="M295" i="9"/>
  <c r="L295" i="9"/>
  <c r="K295" i="9"/>
  <c r="J295" i="9"/>
  <c r="I295" i="9"/>
  <c r="H295" i="9"/>
  <c r="E295" i="9"/>
  <c r="D295" i="9"/>
  <c r="A295" i="9"/>
  <c r="O294" i="9"/>
  <c r="N294" i="9"/>
  <c r="M294" i="9"/>
  <c r="L294" i="9"/>
  <c r="K294" i="9"/>
  <c r="J294" i="9"/>
  <c r="I294" i="9"/>
  <c r="H294" i="9"/>
  <c r="E294" i="9"/>
  <c r="D294" i="9"/>
  <c r="A294" i="9"/>
  <c r="O292" i="9"/>
  <c r="N292" i="9"/>
  <c r="M292" i="9"/>
  <c r="L292" i="9"/>
  <c r="K292" i="9"/>
  <c r="J292" i="9"/>
  <c r="I292" i="9"/>
  <c r="H292" i="9"/>
  <c r="E292" i="9"/>
  <c r="D292" i="9"/>
  <c r="A292" i="9"/>
  <c r="O291" i="9"/>
  <c r="N291" i="9"/>
  <c r="M291" i="9"/>
  <c r="L291" i="9"/>
  <c r="K291" i="9"/>
  <c r="J291" i="9"/>
  <c r="I291" i="9"/>
  <c r="H291" i="9"/>
  <c r="E291" i="9"/>
  <c r="D291" i="9"/>
  <c r="A291" i="9"/>
  <c r="O290" i="9"/>
  <c r="N290" i="9"/>
  <c r="M290" i="9"/>
  <c r="L290" i="9"/>
  <c r="K290" i="9"/>
  <c r="J290" i="9"/>
  <c r="I290" i="9"/>
  <c r="H290" i="9"/>
  <c r="E290" i="9"/>
  <c r="D290" i="9"/>
  <c r="A290" i="9"/>
  <c r="O289" i="9"/>
  <c r="N289" i="9"/>
  <c r="M289" i="9"/>
  <c r="L289" i="9"/>
  <c r="K289" i="9"/>
  <c r="J289" i="9"/>
  <c r="I289" i="9"/>
  <c r="H289" i="9"/>
  <c r="E289" i="9"/>
  <c r="D289" i="9"/>
  <c r="A289" i="9"/>
  <c r="O288" i="9"/>
  <c r="N288" i="9"/>
  <c r="M288" i="9"/>
  <c r="L288" i="9"/>
  <c r="K288" i="9"/>
  <c r="J288" i="9"/>
  <c r="I288" i="9"/>
  <c r="H288" i="9"/>
  <c r="E288" i="9"/>
  <c r="D288" i="9"/>
  <c r="A288" i="9"/>
  <c r="O287" i="9"/>
  <c r="N287" i="9"/>
  <c r="M287" i="9"/>
  <c r="L287" i="9"/>
  <c r="K287" i="9"/>
  <c r="J287" i="9"/>
  <c r="I287" i="9"/>
  <c r="H287" i="9"/>
  <c r="E287" i="9"/>
  <c r="D287" i="9"/>
  <c r="A287" i="9"/>
  <c r="O286" i="9"/>
  <c r="N286" i="9"/>
  <c r="M286" i="9"/>
  <c r="L286" i="9"/>
  <c r="K286" i="9"/>
  <c r="J286" i="9"/>
  <c r="I286" i="9"/>
  <c r="H286" i="9"/>
  <c r="E286" i="9"/>
  <c r="D286" i="9"/>
  <c r="A286" i="9"/>
  <c r="O285" i="9"/>
  <c r="N285" i="9"/>
  <c r="M285" i="9"/>
  <c r="L285" i="9"/>
  <c r="K285" i="9"/>
  <c r="J285" i="9"/>
  <c r="I285" i="9"/>
  <c r="H285" i="9"/>
  <c r="E285" i="9"/>
  <c r="D285" i="9"/>
  <c r="A285" i="9"/>
  <c r="O284" i="9"/>
  <c r="N284" i="9"/>
  <c r="M284" i="9"/>
  <c r="L284" i="9"/>
  <c r="K284" i="9"/>
  <c r="J284" i="9"/>
  <c r="I284" i="9"/>
  <c r="H284" i="9"/>
  <c r="E284" i="9"/>
  <c r="D284" i="9"/>
  <c r="A284" i="9"/>
  <c r="O283" i="9"/>
  <c r="N283" i="9"/>
  <c r="M283" i="9"/>
  <c r="L283" i="9"/>
  <c r="K283" i="9"/>
  <c r="J283" i="9"/>
  <c r="I283" i="9"/>
  <c r="H283" i="9"/>
  <c r="E283" i="9"/>
  <c r="D283" i="9"/>
  <c r="A283" i="9"/>
  <c r="O282" i="9"/>
  <c r="N282" i="9"/>
  <c r="M282" i="9"/>
  <c r="L282" i="9"/>
  <c r="K282" i="9"/>
  <c r="J282" i="9"/>
  <c r="I282" i="9"/>
  <c r="H282" i="9"/>
  <c r="E282" i="9"/>
  <c r="D282" i="9"/>
  <c r="A282" i="9"/>
  <c r="O281" i="9"/>
  <c r="N281" i="9"/>
  <c r="M281" i="9"/>
  <c r="L281" i="9"/>
  <c r="K281" i="9"/>
  <c r="J281" i="9"/>
  <c r="I281" i="9"/>
  <c r="H281" i="9"/>
  <c r="E281" i="9"/>
  <c r="D281" i="9"/>
  <c r="A281" i="9"/>
  <c r="O280" i="9"/>
  <c r="N280" i="9"/>
  <c r="M280" i="9"/>
  <c r="L280" i="9"/>
  <c r="K280" i="9"/>
  <c r="J280" i="9"/>
  <c r="I280" i="9"/>
  <c r="H280" i="9"/>
  <c r="E280" i="9"/>
  <c r="D280" i="9"/>
  <c r="A280" i="9"/>
  <c r="O279" i="9"/>
  <c r="N279" i="9"/>
  <c r="M279" i="9"/>
  <c r="L279" i="9"/>
  <c r="K279" i="9"/>
  <c r="J279" i="9"/>
  <c r="I279" i="9"/>
  <c r="H279" i="9"/>
  <c r="E279" i="9"/>
  <c r="D279" i="9"/>
  <c r="A279" i="9"/>
  <c r="O278" i="9"/>
  <c r="N278" i="9"/>
  <c r="M278" i="9"/>
  <c r="L278" i="9"/>
  <c r="K278" i="9"/>
  <c r="J278" i="9"/>
  <c r="I278" i="9"/>
  <c r="H278" i="9"/>
  <c r="E278" i="9"/>
  <c r="D278" i="9"/>
  <c r="A278" i="9"/>
  <c r="O277" i="9"/>
  <c r="N277" i="9"/>
  <c r="M277" i="9"/>
  <c r="L277" i="9"/>
  <c r="K277" i="9"/>
  <c r="J277" i="9"/>
  <c r="I277" i="9"/>
  <c r="H277" i="9"/>
  <c r="E277" i="9"/>
  <c r="D277" i="9"/>
  <c r="A277" i="9"/>
  <c r="O276" i="9"/>
  <c r="N276" i="9"/>
  <c r="M276" i="9"/>
  <c r="L276" i="9"/>
  <c r="K276" i="9"/>
  <c r="J276" i="9"/>
  <c r="I276" i="9"/>
  <c r="H276" i="9"/>
  <c r="E276" i="9"/>
  <c r="D276" i="9"/>
  <c r="A276" i="9"/>
  <c r="O274" i="9"/>
  <c r="N274" i="9"/>
  <c r="M274" i="9"/>
  <c r="L274" i="9"/>
  <c r="K274" i="9"/>
  <c r="J274" i="9"/>
  <c r="I274" i="9"/>
  <c r="H274" i="9"/>
  <c r="E274" i="9"/>
  <c r="D274" i="9"/>
  <c r="A274" i="9"/>
  <c r="O273" i="9"/>
  <c r="N273" i="9"/>
  <c r="M273" i="9"/>
  <c r="L273" i="9"/>
  <c r="K273" i="9"/>
  <c r="J273" i="9"/>
  <c r="I273" i="9"/>
  <c r="H273" i="9"/>
  <c r="E273" i="9"/>
  <c r="D273" i="9"/>
  <c r="A273" i="9"/>
  <c r="O272" i="9"/>
  <c r="N272" i="9"/>
  <c r="M272" i="9"/>
  <c r="L272" i="9"/>
  <c r="K272" i="9"/>
  <c r="J272" i="9"/>
  <c r="I272" i="9"/>
  <c r="H272" i="9"/>
  <c r="E272" i="9"/>
  <c r="D272" i="9"/>
  <c r="A272" i="9"/>
  <c r="O271" i="9"/>
  <c r="N271" i="9"/>
  <c r="M271" i="9"/>
  <c r="L271" i="9"/>
  <c r="K271" i="9"/>
  <c r="J271" i="9"/>
  <c r="I271" i="9"/>
  <c r="H271" i="9"/>
  <c r="E271" i="9"/>
  <c r="D271" i="9"/>
  <c r="A271" i="9"/>
  <c r="O270" i="9"/>
  <c r="N270" i="9"/>
  <c r="M270" i="9"/>
  <c r="L270" i="9"/>
  <c r="K270" i="9"/>
  <c r="J270" i="9"/>
  <c r="I270" i="9"/>
  <c r="H270" i="9"/>
  <c r="E270" i="9"/>
  <c r="D270" i="9"/>
  <c r="A270" i="9"/>
  <c r="O269" i="9"/>
  <c r="N269" i="9"/>
  <c r="M269" i="9"/>
  <c r="L269" i="9"/>
  <c r="K269" i="9"/>
  <c r="J269" i="9"/>
  <c r="I269" i="9"/>
  <c r="H269" i="9"/>
  <c r="E269" i="9"/>
  <c r="D269" i="9"/>
  <c r="A269" i="9"/>
  <c r="O268" i="9"/>
  <c r="N268" i="9"/>
  <c r="M268" i="9"/>
  <c r="L268" i="9"/>
  <c r="K268" i="9"/>
  <c r="J268" i="9"/>
  <c r="I268" i="9"/>
  <c r="H268" i="9"/>
  <c r="E268" i="9"/>
  <c r="D268" i="9"/>
  <c r="A268" i="9"/>
  <c r="O267" i="9"/>
  <c r="N267" i="9"/>
  <c r="M267" i="9"/>
  <c r="L267" i="9"/>
  <c r="K267" i="9"/>
  <c r="J267" i="9"/>
  <c r="I267" i="9"/>
  <c r="H267" i="9"/>
  <c r="E267" i="9"/>
  <c r="D267" i="9"/>
  <c r="A267" i="9"/>
  <c r="O266" i="9"/>
  <c r="N266" i="9"/>
  <c r="M266" i="9"/>
  <c r="L266" i="9"/>
  <c r="K266" i="9"/>
  <c r="J266" i="9"/>
  <c r="I266" i="9"/>
  <c r="H266" i="9"/>
  <c r="E266" i="9"/>
  <c r="D266" i="9"/>
  <c r="A266" i="9"/>
  <c r="O265" i="9"/>
  <c r="N265" i="9"/>
  <c r="M265" i="9"/>
  <c r="L265" i="9"/>
  <c r="K265" i="9"/>
  <c r="J265" i="9"/>
  <c r="I265" i="9"/>
  <c r="H265" i="9"/>
  <c r="E265" i="9"/>
  <c r="D265" i="9"/>
  <c r="A265" i="9"/>
  <c r="O264" i="9"/>
  <c r="N264" i="9"/>
  <c r="M264" i="9"/>
  <c r="L264" i="9"/>
  <c r="K264" i="9"/>
  <c r="J264" i="9"/>
  <c r="I264" i="9"/>
  <c r="H264" i="9"/>
  <c r="E264" i="9"/>
  <c r="D264" i="9"/>
  <c r="A264" i="9"/>
  <c r="O263" i="9"/>
  <c r="N263" i="9"/>
  <c r="M263" i="9"/>
  <c r="L263" i="9"/>
  <c r="K263" i="9"/>
  <c r="J263" i="9"/>
  <c r="I263" i="9"/>
  <c r="H263" i="9"/>
  <c r="E263" i="9"/>
  <c r="D263" i="9"/>
  <c r="A263" i="9"/>
  <c r="O262" i="9"/>
  <c r="N262" i="9"/>
  <c r="M262" i="9"/>
  <c r="L262" i="9"/>
  <c r="K262" i="9"/>
  <c r="J262" i="9"/>
  <c r="I262" i="9"/>
  <c r="H262" i="9"/>
  <c r="E262" i="9"/>
  <c r="D262" i="9"/>
  <c r="A262" i="9"/>
  <c r="O261" i="9"/>
  <c r="N261" i="9"/>
  <c r="M261" i="9"/>
  <c r="L261" i="9"/>
  <c r="K261" i="9"/>
  <c r="J261" i="9"/>
  <c r="I261" i="9"/>
  <c r="H261" i="9"/>
  <c r="E261" i="9"/>
  <c r="D261" i="9"/>
  <c r="A261" i="9"/>
  <c r="O260" i="9"/>
  <c r="N260" i="9"/>
  <c r="M260" i="9"/>
  <c r="L260" i="9"/>
  <c r="K260" i="9"/>
  <c r="J260" i="9"/>
  <c r="I260" i="9"/>
  <c r="H260" i="9"/>
  <c r="E260" i="9"/>
  <c r="D260" i="9"/>
  <c r="A260" i="9"/>
  <c r="O259" i="9"/>
  <c r="N259" i="9"/>
  <c r="M259" i="9"/>
  <c r="L259" i="9"/>
  <c r="K259" i="9"/>
  <c r="J259" i="9"/>
  <c r="I259" i="9"/>
  <c r="H259" i="9"/>
  <c r="E259" i="9"/>
  <c r="D259" i="9"/>
  <c r="A259" i="9"/>
  <c r="O258" i="9"/>
  <c r="N258" i="9"/>
  <c r="M258" i="9"/>
  <c r="L258" i="9"/>
  <c r="K258" i="9"/>
  <c r="J258" i="9"/>
  <c r="I258" i="9"/>
  <c r="H258" i="9"/>
  <c r="E258" i="9"/>
  <c r="D258" i="9"/>
  <c r="A258" i="9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I27" i="21"/>
  <c r="J27" i="21"/>
  <c r="G27" i="21"/>
  <c r="F27" i="21"/>
  <c r="D27" i="21"/>
  <c r="C27" i="21"/>
  <c r="I26" i="21"/>
  <c r="J26" i="21"/>
  <c r="G26" i="21"/>
  <c r="F26" i="21"/>
  <c r="D26" i="21"/>
  <c r="C26" i="21"/>
  <c r="I25" i="21"/>
  <c r="J25" i="21"/>
  <c r="G25" i="21"/>
  <c r="F25" i="21"/>
  <c r="D25" i="21"/>
  <c r="C25" i="21"/>
  <c r="I24" i="21"/>
  <c r="J24" i="21"/>
  <c r="G24" i="21"/>
  <c r="F24" i="21"/>
  <c r="D24" i="21"/>
  <c r="C24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I40" i="21"/>
  <c r="J40" i="21"/>
  <c r="G40" i="21"/>
  <c r="F40" i="21"/>
  <c r="D40" i="21"/>
  <c r="C40" i="21"/>
  <c r="I39" i="21"/>
  <c r="J39" i="21"/>
  <c r="G39" i="21"/>
  <c r="F39" i="21"/>
  <c r="D39" i="21"/>
  <c r="C39" i="21"/>
  <c r="I38" i="21"/>
  <c r="J38" i="21"/>
  <c r="G38" i="21"/>
  <c r="F38" i="21"/>
  <c r="D38" i="21"/>
  <c r="C38" i="21"/>
  <c r="I37" i="21"/>
  <c r="J37" i="21"/>
  <c r="G37" i="21"/>
  <c r="F37" i="21"/>
  <c r="D37" i="21"/>
  <c r="C37" i="21"/>
  <c r="I36" i="21"/>
  <c r="J36" i="21"/>
  <c r="G36" i="21"/>
  <c r="F36" i="21"/>
  <c r="D36" i="21"/>
  <c r="C36" i="21"/>
  <c r="B35" i="21"/>
  <c r="I35" i="21"/>
  <c r="J35" i="21"/>
  <c r="G35" i="21"/>
  <c r="F35" i="21"/>
  <c r="D35" i="21"/>
  <c r="C35" i="21"/>
  <c r="B34" i="21"/>
  <c r="I34" i="21"/>
  <c r="J34" i="21"/>
  <c r="G34" i="21"/>
  <c r="F34" i="21"/>
  <c r="D34" i="21"/>
  <c r="C34" i="21"/>
  <c r="B33" i="21"/>
  <c r="I33" i="21"/>
  <c r="J33" i="21"/>
  <c r="G33" i="21"/>
  <c r="F33" i="21"/>
  <c r="D33" i="21"/>
  <c r="C33" i="21"/>
  <c r="B32" i="21"/>
  <c r="I32" i="21"/>
  <c r="J32" i="21"/>
  <c r="G32" i="21"/>
  <c r="F32" i="21"/>
  <c r="D32" i="21"/>
  <c r="C32" i="21"/>
  <c r="B31" i="21"/>
  <c r="I31" i="21"/>
  <c r="J31" i="21"/>
  <c r="G31" i="21"/>
  <c r="F31" i="21"/>
  <c r="D31" i="21"/>
  <c r="C31" i="21"/>
  <c r="B30" i="21"/>
  <c r="I30" i="21"/>
  <c r="J30" i="21"/>
  <c r="G30" i="21"/>
  <c r="F30" i="21"/>
  <c r="D30" i="21"/>
  <c r="C30" i="21"/>
  <c r="B29" i="21"/>
  <c r="I29" i="21"/>
  <c r="J29" i="21"/>
  <c r="G29" i="21"/>
  <c r="F29" i="21"/>
  <c r="D29" i="21"/>
  <c r="C29" i="21"/>
  <c r="B28" i="21"/>
  <c r="I28" i="21"/>
  <c r="J28" i="21"/>
  <c r="G28" i="21"/>
  <c r="F28" i="21"/>
  <c r="D28" i="21"/>
  <c r="C28" i="21"/>
  <c r="I53" i="21"/>
  <c r="J53" i="21"/>
  <c r="G53" i="21"/>
  <c r="F53" i="21"/>
  <c r="D53" i="21"/>
  <c r="C53" i="21"/>
  <c r="I52" i="21"/>
  <c r="J52" i="21"/>
  <c r="G52" i="21"/>
  <c r="F52" i="21"/>
  <c r="D52" i="21"/>
  <c r="C52" i="21"/>
  <c r="I51" i="21"/>
  <c r="J51" i="21"/>
  <c r="G51" i="21"/>
  <c r="F51" i="21"/>
  <c r="D51" i="21"/>
  <c r="C51" i="21"/>
  <c r="I50" i="21"/>
  <c r="J50" i="21"/>
  <c r="G50" i="21"/>
  <c r="F50" i="21"/>
  <c r="D50" i="21"/>
  <c r="C50" i="21"/>
  <c r="B48" i="21"/>
  <c r="I48" i="21"/>
  <c r="J48" i="21"/>
  <c r="G48" i="21"/>
  <c r="F48" i="21"/>
  <c r="D48" i="21"/>
  <c r="C48" i="21"/>
  <c r="B47" i="21"/>
  <c r="I47" i="21"/>
  <c r="J47" i="21"/>
  <c r="G47" i="21"/>
  <c r="F47" i="21"/>
  <c r="D47" i="21"/>
  <c r="C47" i="21"/>
  <c r="B46" i="21"/>
  <c r="I46" i="21"/>
  <c r="J46" i="21"/>
  <c r="G46" i="21"/>
  <c r="F46" i="21"/>
  <c r="D46" i="21"/>
  <c r="C46" i="21"/>
  <c r="B45" i="21"/>
  <c r="I45" i="21"/>
  <c r="J45" i="21"/>
  <c r="G45" i="21"/>
  <c r="F45" i="21"/>
  <c r="D45" i="21"/>
  <c r="C45" i="21"/>
  <c r="B44" i="21"/>
  <c r="I44" i="21"/>
  <c r="J44" i="21"/>
  <c r="G44" i="21"/>
  <c r="F44" i="21"/>
  <c r="D44" i="21"/>
  <c r="C44" i="21"/>
  <c r="B43" i="21"/>
  <c r="I43" i="21"/>
  <c r="J43" i="21"/>
  <c r="G43" i="21"/>
  <c r="F43" i="21"/>
  <c r="D43" i="21"/>
  <c r="C43" i="21"/>
  <c r="B42" i="21"/>
  <c r="I42" i="21"/>
  <c r="J42" i="21"/>
  <c r="G42" i="21"/>
  <c r="F42" i="21"/>
  <c r="D42" i="21"/>
  <c r="C42" i="21"/>
  <c r="I49" i="21"/>
  <c r="J49" i="21"/>
  <c r="G49" i="21"/>
  <c r="F49" i="21"/>
  <c r="D49" i="21"/>
  <c r="C49" i="21"/>
  <c r="J440" i="11"/>
  <c r="O440" i="9"/>
  <c r="N440" i="9"/>
  <c r="M440" i="9"/>
  <c r="L440" i="9"/>
  <c r="K440" i="9"/>
  <c r="J440" i="9"/>
  <c r="I440" i="9"/>
  <c r="H440" i="9"/>
  <c r="G440" i="9"/>
  <c r="E440" i="9"/>
  <c r="D440" i="9"/>
  <c r="A440" i="9"/>
  <c r="J439" i="11"/>
  <c r="O439" i="9"/>
  <c r="N439" i="9"/>
  <c r="M439" i="9"/>
  <c r="L439" i="9"/>
  <c r="K439" i="9"/>
  <c r="J439" i="9"/>
  <c r="I439" i="9"/>
  <c r="H439" i="9"/>
  <c r="G439" i="9"/>
  <c r="E439" i="9"/>
  <c r="D439" i="9"/>
  <c r="A439" i="9"/>
  <c r="J438" i="11"/>
  <c r="O438" i="9"/>
  <c r="N438" i="9"/>
  <c r="M438" i="9"/>
  <c r="L438" i="9"/>
  <c r="K438" i="9"/>
  <c r="J438" i="9"/>
  <c r="I438" i="9"/>
  <c r="H438" i="9"/>
  <c r="G438" i="9"/>
  <c r="E438" i="9"/>
  <c r="D438" i="9"/>
  <c r="A438" i="9"/>
  <c r="J437" i="11"/>
  <c r="O437" i="9"/>
  <c r="N437" i="9"/>
  <c r="M437" i="9"/>
  <c r="L437" i="9"/>
  <c r="K437" i="9"/>
  <c r="J437" i="9"/>
  <c r="I437" i="9"/>
  <c r="H437" i="9"/>
  <c r="G437" i="9"/>
  <c r="E437" i="9"/>
  <c r="D437" i="9"/>
  <c r="A437" i="9"/>
  <c r="J436" i="11"/>
  <c r="O436" i="9"/>
  <c r="N436" i="9"/>
  <c r="M436" i="9"/>
  <c r="L436" i="9"/>
  <c r="K436" i="9"/>
  <c r="J436" i="9"/>
  <c r="I436" i="9"/>
  <c r="H436" i="9"/>
  <c r="G436" i="9"/>
  <c r="E436" i="9"/>
  <c r="D436" i="9"/>
  <c r="A436" i="9"/>
  <c r="J435" i="11"/>
  <c r="O435" i="9"/>
  <c r="N435" i="9"/>
  <c r="M435" i="9"/>
  <c r="L435" i="9"/>
  <c r="K435" i="9"/>
  <c r="J435" i="9"/>
  <c r="I435" i="9"/>
  <c r="H435" i="9"/>
  <c r="G435" i="9"/>
  <c r="E435" i="9"/>
  <c r="D435" i="9"/>
  <c r="A435" i="9"/>
  <c r="J434" i="11"/>
  <c r="O434" i="9"/>
  <c r="N434" i="9"/>
  <c r="M434" i="9"/>
  <c r="L434" i="9"/>
  <c r="K434" i="9"/>
  <c r="J434" i="9"/>
  <c r="I434" i="9"/>
  <c r="H434" i="9"/>
  <c r="G434" i="9"/>
  <c r="E434" i="9"/>
  <c r="D434" i="9"/>
  <c r="A434" i="9"/>
  <c r="J433" i="11"/>
  <c r="O433" i="9"/>
  <c r="N433" i="9"/>
  <c r="M433" i="9"/>
  <c r="L433" i="9"/>
  <c r="K433" i="9"/>
  <c r="J433" i="9"/>
  <c r="I433" i="9"/>
  <c r="H433" i="9"/>
  <c r="G433" i="9"/>
  <c r="E433" i="9"/>
  <c r="D433" i="9"/>
  <c r="A433" i="9"/>
  <c r="J432" i="11"/>
  <c r="O432" i="9"/>
  <c r="N432" i="9"/>
  <c r="M432" i="9"/>
  <c r="L432" i="9"/>
  <c r="K432" i="9"/>
  <c r="J432" i="9"/>
  <c r="I432" i="9"/>
  <c r="H432" i="9"/>
  <c r="G432" i="9"/>
  <c r="E432" i="9"/>
  <c r="D432" i="9"/>
  <c r="A432" i="9"/>
  <c r="J431" i="11"/>
  <c r="O431" i="9"/>
  <c r="N431" i="9"/>
  <c r="M431" i="9"/>
  <c r="L431" i="9"/>
  <c r="K431" i="9"/>
  <c r="J431" i="9"/>
  <c r="I431" i="9"/>
  <c r="H431" i="9"/>
  <c r="G431" i="9"/>
  <c r="E431" i="9"/>
  <c r="D431" i="9"/>
  <c r="A431" i="9"/>
  <c r="J430" i="11"/>
  <c r="O430" i="9"/>
  <c r="N430" i="9"/>
  <c r="M430" i="9"/>
  <c r="L430" i="9"/>
  <c r="K430" i="9"/>
  <c r="J430" i="9"/>
  <c r="I430" i="9"/>
  <c r="H430" i="9"/>
  <c r="G430" i="9"/>
  <c r="E430" i="9"/>
  <c r="D430" i="9"/>
  <c r="A430" i="9"/>
  <c r="M271" i="10"/>
  <c r="T271" i="10"/>
  <c r="W271" i="10"/>
  <c r="V271" i="10"/>
  <c r="X271" i="10"/>
  <c r="U271" i="10"/>
  <c r="Y271" i="10"/>
  <c r="M286" i="10"/>
  <c r="N286" i="10"/>
  <c r="Q286" i="10"/>
  <c r="P286" i="10"/>
  <c r="R286" i="10"/>
  <c r="O286" i="10"/>
  <c r="S286" i="10"/>
  <c r="N271" i="10"/>
  <c r="Q271" i="10"/>
  <c r="P271" i="10"/>
  <c r="R271" i="10"/>
  <c r="O271" i="10"/>
  <c r="S271" i="10"/>
  <c r="G271" i="10"/>
  <c r="J271" i="10"/>
  <c r="I271" i="10"/>
  <c r="K271" i="10"/>
  <c r="H271" i="10"/>
  <c r="L271" i="10"/>
  <c r="M270" i="10"/>
  <c r="T270" i="10"/>
  <c r="W270" i="10"/>
  <c r="V270" i="10"/>
  <c r="X270" i="10"/>
  <c r="U270" i="10"/>
  <c r="Y270" i="10"/>
  <c r="M285" i="10"/>
  <c r="N285" i="10"/>
  <c r="Q285" i="10"/>
  <c r="P285" i="10"/>
  <c r="R285" i="10"/>
  <c r="O285" i="10"/>
  <c r="S285" i="10"/>
  <c r="N270" i="10"/>
  <c r="Q270" i="10"/>
  <c r="P270" i="10"/>
  <c r="R270" i="10"/>
  <c r="O270" i="10"/>
  <c r="S270" i="10"/>
  <c r="G270" i="10"/>
  <c r="J270" i="10"/>
  <c r="I270" i="10"/>
  <c r="K270" i="10"/>
  <c r="H270" i="10"/>
  <c r="L270" i="10"/>
  <c r="M269" i="10"/>
  <c r="T269" i="10"/>
  <c r="W269" i="10"/>
  <c r="V269" i="10"/>
  <c r="X269" i="10"/>
  <c r="U269" i="10"/>
  <c r="Y269" i="10"/>
  <c r="M281" i="10"/>
  <c r="N281" i="10"/>
  <c r="Q281" i="10"/>
  <c r="P281" i="10"/>
  <c r="R281" i="10"/>
  <c r="O281" i="10"/>
  <c r="S281" i="10"/>
  <c r="N269" i="10"/>
  <c r="Q269" i="10"/>
  <c r="P269" i="10"/>
  <c r="R269" i="10"/>
  <c r="O269" i="10"/>
  <c r="S269" i="10"/>
  <c r="G269" i="10"/>
  <c r="J269" i="10"/>
  <c r="I269" i="10"/>
  <c r="K269" i="10"/>
  <c r="H269" i="10"/>
  <c r="L269" i="10"/>
  <c r="M268" i="10"/>
  <c r="T268" i="10"/>
  <c r="W268" i="10"/>
  <c r="V268" i="10"/>
  <c r="X268" i="10"/>
  <c r="U268" i="10"/>
  <c r="Y268" i="10"/>
  <c r="M280" i="10"/>
  <c r="N280" i="10"/>
  <c r="Q280" i="10"/>
  <c r="P280" i="10"/>
  <c r="R280" i="10"/>
  <c r="O280" i="10"/>
  <c r="S280" i="10"/>
  <c r="N268" i="10"/>
  <c r="Q268" i="10"/>
  <c r="P268" i="10"/>
  <c r="R268" i="10"/>
  <c r="O268" i="10"/>
  <c r="S268" i="10"/>
  <c r="G268" i="10"/>
  <c r="J268" i="10"/>
  <c r="I268" i="10"/>
  <c r="K268" i="10"/>
  <c r="H268" i="10"/>
  <c r="L268" i="10"/>
  <c r="J408" i="11"/>
  <c r="O408" i="9"/>
  <c r="N408" i="9"/>
  <c r="M408" i="9"/>
  <c r="L408" i="9"/>
  <c r="K408" i="9"/>
  <c r="J408" i="9"/>
  <c r="I408" i="9"/>
  <c r="H408" i="9"/>
  <c r="G408" i="9"/>
  <c r="E408" i="9"/>
  <c r="D408" i="9"/>
  <c r="A408" i="9"/>
  <c r="O388" i="9"/>
  <c r="N388" i="9"/>
  <c r="M388" i="9"/>
  <c r="L388" i="9"/>
  <c r="K388" i="9"/>
  <c r="J388" i="9"/>
  <c r="I388" i="9"/>
  <c r="H388" i="9"/>
  <c r="G388" i="9"/>
  <c r="E388" i="9"/>
  <c r="D388" i="9"/>
  <c r="A388" i="9"/>
  <c r="O389" i="9"/>
  <c r="N389" i="9"/>
  <c r="M389" i="9"/>
  <c r="L389" i="9"/>
  <c r="K389" i="9"/>
  <c r="J389" i="9"/>
  <c r="I389" i="9"/>
  <c r="H389" i="9"/>
  <c r="G389" i="9"/>
  <c r="E389" i="9"/>
  <c r="D389" i="9"/>
  <c r="A389" i="9"/>
  <c r="J405" i="11"/>
  <c r="G252" i="10"/>
  <c r="H252" i="10"/>
  <c r="I252" i="10"/>
  <c r="J252" i="10"/>
  <c r="K252" i="10"/>
  <c r="L252" i="10"/>
  <c r="M252" i="10"/>
  <c r="N252" i="10"/>
  <c r="O252" i="10"/>
  <c r="P252" i="10"/>
  <c r="Q252" i="10"/>
  <c r="R252" i="10"/>
  <c r="S252" i="10"/>
  <c r="T252" i="10"/>
  <c r="U252" i="10"/>
  <c r="V252" i="10"/>
  <c r="W252" i="10"/>
  <c r="X252" i="10"/>
  <c r="Y252" i="10"/>
  <c r="M243" i="10"/>
  <c r="T243" i="10"/>
  <c r="W243" i="10"/>
  <c r="V243" i="10"/>
  <c r="X243" i="10"/>
  <c r="U243" i="10"/>
  <c r="Y243" i="10"/>
  <c r="M255" i="10"/>
  <c r="M275" i="10"/>
  <c r="N275" i="10"/>
  <c r="Q275" i="10"/>
  <c r="P275" i="10"/>
  <c r="R275" i="10"/>
  <c r="O275" i="10"/>
  <c r="S275" i="10"/>
  <c r="N255" i="10"/>
  <c r="Q255" i="10"/>
  <c r="P255" i="10"/>
  <c r="R255" i="10"/>
  <c r="O255" i="10"/>
  <c r="S255" i="10"/>
  <c r="N243" i="10"/>
  <c r="Q243" i="10"/>
  <c r="P243" i="10"/>
  <c r="R243" i="10"/>
  <c r="O243" i="10"/>
  <c r="S243" i="10"/>
  <c r="G243" i="10"/>
  <c r="J243" i="10"/>
  <c r="I243" i="10"/>
  <c r="K243" i="10"/>
  <c r="H243" i="10"/>
  <c r="L243" i="10"/>
  <c r="J481" i="11"/>
  <c r="O481" i="9"/>
  <c r="N481" i="9"/>
  <c r="M481" i="9"/>
  <c r="L481" i="9"/>
  <c r="K481" i="9"/>
  <c r="J481" i="9"/>
  <c r="I481" i="9"/>
  <c r="H481" i="9"/>
  <c r="G481" i="9"/>
  <c r="E481" i="9"/>
  <c r="D481" i="9"/>
  <c r="A481" i="9"/>
  <c r="M298" i="10"/>
  <c r="T298" i="10"/>
  <c r="W298" i="10"/>
  <c r="V298" i="10"/>
  <c r="X298" i="10"/>
  <c r="U298" i="10"/>
  <c r="Y298" i="10"/>
  <c r="N298" i="10"/>
  <c r="Q298" i="10"/>
  <c r="P298" i="10"/>
  <c r="R298" i="10"/>
  <c r="O298" i="10"/>
  <c r="S298" i="10"/>
  <c r="G298" i="10"/>
  <c r="J298" i="10"/>
  <c r="I298" i="10"/>
  <c r="K298" i="10"/>
  <c r="H298" i="10"/>
  <c r="L298" i="10"/>
  <c r="J425" i="11"/>
  <c r="J513" i="11"/>
  <c r="O513" i="9"/>
  <c r="N513" i="9"/>
  <c r="M513" i="9"/>
  <c r="L513" i="9"/>
  <c r="K513" i="9"/>
  <c r="J513" i="9"/>
  <c r="I513" i="9"/>
  <c r="H513" i="9"/>
  <c r="G513" i="9"/>
  <c r="E513" i="9"/>
  <c r="D513" i="9"/>
  <c r="A513" i="9"/>
  <c r="J512" i="11"/>
  <c r="O512" i="9"/>
  <c r="N512" i="9"/>
  <c r="M512" i="9"/>
  <c r="L512" i="9"/>
  <c r="K512" i="9"/>
  <c r="J512" i="9"/>
  <c r="I512" i="9"/>
  <c r="H512" i="9"/>
  <c r="G512" i="9"/>
  <c r="E512" i="9"/>
  <c r="D512" i="9"/>
  <c r="A512" i="9"/>
  <c r="J511" i="11"/>
  <c r="O511" i="9"/>
  <c r="N511" i="9"/>
  <c r="M511" i="9"/>
  <c r="L511" i="9"/>
  <c r="K511" i="9"/>
  <c r="J511" i="9"/>
  <c r="I511" i="9"/>
  <c r="H511" i="9"/>
  <c r="G511" i="9"/>
  <c r="E511" i="9"/>
  <c r="D511" i="9"/>
  <c r="A511" i="9"/>
  <c r="J510" i="11"/>
  <c r="O510" i="9"/>
  <c r="N510" i="9"/>
  <c r="M510" i="9"/>
  <c r="L510" i="9"/>
  <c r="K510" i="9"/>
  <c r="J510" i="9"/>
  <c r="I510" i="9"/>
  <c r="H510" i="9"/>
  <c r="G510" i="9"/>
  <c r="E510" i="9"/>
  <c r="D510" i="9"/>
  <c r="A510" i="9"/>
  <c r="J509" i="11"/>
  <c r="O509" i="9"/>
  <c r="N509" i="9"/>
  <c r="M509" i="9"/>
  <c r="L509" i="9"/>
  <c r="K509" i="9"/>
  <c r="J509" i="9"/>
  <c r="I509" i="9"/>
  <c r="H509" i="9"/>
  <c r="G509" i="9"/>
  <c r="E509" i="9"/>
  <c r="D509" i="9"/>
  <c r="A509" i="9"/>
  <c r="J508" i="11"/>
  <c r="O508" i="9"/>
  <c r="N508" i="9"/>
  <c r="M508" i="9"/>
  <c r="L508" i="9"/>
  <c r="K508" i="9"/>
  <c r="J508" i="9"/>
  <c r="I508" i="9"/>
  <c r="H508" i="9"/>
  <c r="G508" i="9"/>
  <c r="E508" i="9"/>
  <c r="D508" i="9"/>
  <c r="A508" i="9"/>
  <c r="J507" i="11"/>
  <c r="O507" i="9"/>
  <c r="N507" i="9"/>
  <c r="M507" i="9"/>
  <c r="L507" i="9"/>
  <c r="K507" i="9"/>
  <c r="J507" i="9"/>
  <c r="I507" i="9"/>
  <c r="H507" i="9"/>
  <c r="G507" i="9"/>
  <c r="E507" i="9"/>
  <c r="D507" i="9"/>
  <c r="A507" i="9"/>
  <c r="J506" i="11"/>
  <c r="O506" i="9"/>
  <c r="N506" i="9"/>
  <c r="M506" i="9"/>
  <c r="L506" i="9"/>
  <c r="K506" i="9"/>
  <c r="J506" i="9"/>
  <c r="I506" i="9"/>
  <c r="H506" i="9"/>
  <c r="G506" i="9"/>
  <c r="E506" i="9"/>
  <c r="D506" i="9"/>
  <c r="A506" i="9"/>
  <c r="J505" i="11"/>
  <c r="O505" i="9"/>
  <c r="N505" i="9"/>
  <c r="M505" i="9"/>
  <c r="L505" i="9"/>
  <c r="K505" i="9"/>
  <c r="J505" i="9"/>
  <c r="I505" i="9"/>
  <c r="H505" i="9"/>
  <c r="G505" i="9"/>
  <c r="E505" i="9"/>
  <c r="D505" i="9"/>
  <c r="A505" i="9"/>
  <c r="J504" i="11"/>
  <c r="O504" i="9"/>
  <c r="N504" i="9"/>
  <c r="M504" i="9"/>
  <c r="L504" i="9"/>
  <c r="K504" i="9"/>
  <c r="J504" i="9"/>
  <c r="I504" i="9"/>
  <c r="H504" i="9"/>
  <c r="G504" i="9"/>
  <c r="E504" i="9"/>
  <c r="D504" i="9"/>
  <c r="A504" i="9"/>
  <c r="M321" i="10"/>
  <c r="T321" i="10"/>
  <c r="W321" i="10"/>
  <c r="V321" i="10"/>
  <c r="X321" i="10"/>
  <c r="U321" i="10"/>
  <c r="Y321" i="10"/>
  <c r="N321" i="10"/>
  <c r="Q321" i="10"/>
  <c r="P321" i="10"/>
  <c r="R321" i="10"/>
  <c r="O321" i="10"/>
  <c r="S321" i="10"/>
  <c r="G321" i="10"/>
  <c r="J321" i="10"/>
  <c r="I321" i="10"/>
  <c r="K321" i="10"/>
  <c r="H321" i="10"/>
  <c r="L321" i="10"/>
  <c r="M320" i="10"/>
  <c r="T320" i="10"/>
  <c r="W320" i="10"/>
  <c r="V320" i="10"/>
  <c r="X320" i="10"/>
  <c r="U320" i="10"/>
  <c r="Y320" i="10"/>
  <c r="N320" i="10"/>
  <c r="Q320" i="10"/>
  <c r="P320" i="10"/>
  <c r="R320" i="10"/>
  <c r="O320" i="10"/>
  <c r="S320" i="10"/>
  <c r="G320" i="10"/>
  <c r="J320" i="10"/>
  <c r="I320" i="10"/>
  <c r="K320" i="10"/>
  <c r="H320" i="10"/>
  <c r="L320" i="10"/>
  <c r="M319" i="10"/>
  <c r="T319" i="10"/>
  <c r="W319" i="10"/>
  <c r="V319" i="10"/>
  <c r="X319" i="10"/>
  <c r="U319" i="10"/>
  <c r="Y319" i="10"/>
  <c r="N319" i="10"/>
  <c r="Q319" i="10"/>
  <c r="P319" i="10"/>
  <c r="R319" i="10"/>
  <c r="O319" i="10"/>
  <c r="S319" i="10"/>
  <c r="G319" i="10"/>
  <c r="J319" i="10"/>
  <c r="I319" i="10"/>
  <c r="K319" i="10"/>
  <c r="H319" i="10"/>
  <c r="L319" i="10"/>
  <c r="M318" i="10"/>
  <c r="T318" i="10"/>
  <c r="W318" i="10"/>
  <c r="V318" i="10"/>
  <c r="X318" i="10"/>
  <c r="U318" i="10"/>
  <c r="Y318" i="10"/>
  <c r="N318" i="10"/>
  <c r="Q318" i="10"/>
  <c r="P318" i="10"/>
  <c r="R318" i="10"/>
  <c r="O318" i="10"/>
  <c r="S318" i="10"/>
  <c r="G318" i="10"/>
  <c r="J318" i="10"/>
  <c r="I318" i="10"/>
  <c r="K318" i="10"/>
  <c r="H318" i="10"/>
  <c r="L318" i="10"/>
  <c r="M317" i="10"/>
  <c r="T317" i="10"/>
  <c r="W317" i="10"/>
  <c r="V317" i="10"/>
  <c r="X317" i="10"/>
  <c r="U317" i="10"/>
  <c r="Y317" i="10"/>
  <c r="N317" i="10"/>
  <c r="Q317" i="10"/>
  <c r="P317" i="10"/>
  <c r="R317" i="10"/>
  <c r="O317" i="10"/>
  <c r="S317" i="10"/>
  <c r="G317" i="10"/>
  <c r="J317" i="10"/>
  <c r="I317" i="10"/>
  <c r="K317" i="10"/>
  <c r="H317" i="10"/>
  <c r="L317" i="10"/>
  <c r="T316" i="10"/>
  <c r="W316" i="10"/>
  <c r="V316" i="10"/>
  <c r="X316" i="10"/>
  <c r="U316" i="10"/>
  <c r="Y316" i="10"/>
  <c r="G316" i="10"/>
  <c r="J316" i="10"/>
  <c r="I316" i="10"/>
  <c r="K316" i="10"/>
  <c r="H316" i="10"/>
  <c r="L316" i="10"/>
  <c r="T315" i="10"/>
  <c r="W315" i="10"/>
  <c r="V315" i="10"/>
  <c r="X315" i="10"/>
  <c r="U315" i="10"/>
  <c r="Y315" i="10"/>
  <c r="G315" i="10"/>
  <c r="J315" i="10"/>
  <c r="I315" i="10"/>
  <c r="K315" i="10"/>
  <c r="H315" i="10"/>
  <c r="L315" i="10"/>
  <c r="T314" i="10"/>
  <c r="W314" i="10"/>
  <c r="V314" i="10"/>
  <c r="X314" i="10"/>
  <c r="U314" i="10"/>
  <c r="Y314" i="10"/>
  <c r="G314" i="10"/>
  <c r="J314" i="10"/>
  <c r="I314" i="10"/>
  <c r="K314" i="10"/>
  <c r="H314" i="10"/>
  <c r="L314" i="10"/>
  <c r="T313" i="10"/>
  <c r="W313" i="10"/>
  <c r="V313" i="10"/>
  <c r="X313" i="10"/>
  <c r="U313" i="10"/>
  <c r="Y313" i="10"/>
  <c r="G313" i="10"/>
  <c r="J313" i="10"/>
  <c r="I313" i="10"/>
  <c r="K313" i="10"/>
  <c r="H313" i="10"/>
  <c r="L313" i="10"/>
  <c r="M312" i="10"/>
  <c r="T312" i="10"/>
  <c r="W312" i="10"/>
  <c r="V312" i="10"/>
  <c r="X312" i="10"/>
  <c r="U312" i="10"/>
  <c r="Y312" i="10"/>
  <c r="N312" i="10"/>
  <c r="Q312" i="10"/>
  <c r="P312" i="10"/>
  <c r="R312" i="10"/>
  <c r="O312" i="10"/>
  <c r="S312" i="10"/>
  <c r="G312" i="10"/>
  <c r="J312" i="10"/>
  <c r="I312" i="10"/>
  <c r="K312" i="10"/>
  <c r="H312" i="10"/>
  <c r="L312" i="10"/>
  <c r="J503" i="11"/>
  <c r="O503" i="9"/>
  <c r="N503" i="9"/>
  <c r="M503" i="9"/>
  <c r="L503" i="9"/>
  <c r="K503" i="9"/>
  <c r="J503" i="9"/>
  <c r="I503" i="9"/>
  <c r="H503" i="9"/>
  <c r="G503" i="9"/>
  <c r="E503" i="9"/>
  <c r="D503" i="9"/>
  <c r="A503" i="9"/>
  <c r="J502" i="11"/>
  <c r="O502" i="9"/>
  <c r="N502" i="9"/>
  <c r="M502" i="9"/>
  <c r="L502" i="9"/>
  <c r="K502" i="9"/>
  <c r="J502" i="9"/>
  <c r="I502" i="9"/>
  <c r="H502" i="9"/>
  <c r="G502" i="9"/>
  <c r="E502" i="9"/>
  <c r="D502" i="9"/>
  <c r="A502" i="9"/>
  <c r="J501" i="11"/>
  <c r="O501" i="9"/>
  <c r="N501" i="9"/>
  <c r="M501" i="9"/>
  <c r="L501" i="9"/>
  <c r="K501" i="9"/>
  <c r="J501" i="9"/>
  <c r="I501" i="9"/>
  <c r="H501" i="9"/>
  <c r="G501" i="9"/>
  <c r="E501" i="9"/>
  <c r="D501" i="9"/>
  <c r="A501" i="9"/>
  <c r="J500" i="11"/>
  <c r="O500" i="9"/>
  <c r="N500" i="9"/>
  <c r="M500" i="9"/>
  <c r="L500" i="9"/>
  <c r="K500" i="9"/>
  <c r="J500" i="9"/>
  <c r="I500" i="9"/>
  <c r="H500" i="9"/>
  <c r="G500" i="9"/>
  <c r="E500" i="9"/>
  <c r="D500" i="9"/>
  <c r="A500" i="9"/>
  <c r="J499" i="11"/>
  <c r="O499" i="9"/>
  <c r="N499" i="9"/>
  <c r="M499" i="9"/>
  <c r="L499" i="9"/>
  <c r="K499" i="9"/>
  <c r="J499" i="9"/>
  <c r="I499" i="9"/>
  <c r="H499" i="9"/>
  <c r="G499" i="9"/>
  <c r="E499" i="9"/>
  <c r="D499" i="9"/>
  <c r="A499" i="9"/>
  <c r="J498" i="11"/>
  <c r="O498" i="9"/>
  <c r="N498" i="9"/>
  <c r="M498" i="9"/>
  <c r="L498" i="9"/>
  <c r="K498" i="9"/>
  <c r="J498" i="9"/>
  <c r="I498" i="9"/>
  <c r="H498" i="9"/>
  <c r="G498" i="9"/>
  <c r="E498" i="9"/>
  <c r="D498" i="9"/>
  <c r="A498" i="9"/>
  <c r="T311" i="10"/>
  <c r="W311" i="10"/>
  <c r="V311" i="10"/>
  <c r="X311" i="10"/>
  <c r="U311" i="10"/>
  <c r="Y311" i="10"/>
  <c r="G311" i="10"/>
  <c r="J311" i="10"/>
  <c r="I311" i="10"/>
  <c r="K311" i="10"/>
  <c r="H311" i="10"/>
  <c r="L311" i="10"/>
  <c r="T310" i="10"/>
  <c r="W310" i="10"/>
  <c r="V310" i="10"/>
  <c r="X310" i="10"/>
  <c r="U310" i="10"/>
  <c r="Y310" i="10"/>
  <c r="G310" i="10"/>
  <c r="J310" i="10"/>
  <c r="I310" i="10"/>
  <c r="K310" i="10"/>
  <c r="H310" i="10"/>
  <c r="L310" i="10"/>
  <c r="M309" i="10"/>
  <c r="T309" i="10"/>
  <c r="W309" i="10"/>
  <c r="V309" i="10"/>
  <c r="X309" i="10"/>
  <c r="U309" i="10"/>
  <c r="Y309" i="10"/>
  <c r="N309" i="10"/>
  <c r="Q309" i="10"/>
  <c r="P309" i="10"/>
  <c r="R309" i="10"/>
  <c r="O309" i="10"/>
  <c r="S309" i="10"/>
  <c r="G309" i="10"/>
  <c r="J309" i="10"/>
  <c r="I309" i="10"/>
  <c r="K309" i="10"/>
  <c r="H309" i="10"/>
  <c r="L309" i="10"/>
  <c r="M308" i="10"/>
  <c r="T308" i="10"/>
  <c r="W308" i="10"/>
  <c r="V308" i="10"/>
  <c r="X308" i="10"/>
  <c r="U308" i="10"/>
  <c r="Y308" i="10"/>
  <c r="N308" i="10"/>
  <c r="Q308" i="10"/>
  <c r="P308" i="10"/>
  <c r="R308" i="10"/>
  <c r="O308" i="10"/>
  <c r="S308" i="10"/>
  <c r="G308" i="10"/>
  <c r="J308" i="10"/>
  <c r="I308" i="10"/>
  <c r="K308" i="10"/>
  <c r="H308" i="10"/>
  <c r="L308" i="10"/>
  <c r="M307" i="10"/>
  <c r="T307" i="10"/>
  <c r="W307" i="10"/>
  <c r="V307" i="10"/>
  <c r="X307" i="10"/>
  <c r="U307" i="10"/>
  <c r="Y307" i="10"/>
  <c r="N307" i="10"/>
  <c r="Q307" i="10"/>
  <c r="P307" i="10"/>
  <c r="R307" i="10"/>
  <c r="O307" i="10"/>
  <c r="S307" i="10"/>
  <c r="G307" i="10"/>
  <c r="J307" i="10"/>
  <c r="I307" i="10"/>
  <c r="K307" i="10"/>
  <c r="H307" i="10"/>
  <c r="L307" i="10"/>
  <c r="M306" i="10"/>
  <c r="T306" i="10"/>
  <c r="W306" i="10"/>
  <c r="V306" i="10"/>
  <c r="X306" i="10"/>
  <c r="U306" i="10"/>
  <c r="Y306" i="10"/>
  <c r="N306" i="10"/>
  <c r="Q306" i="10"/>
  <c r="P306" i="10"/>
  <c r="R306" i="10"/>
  <c r="O306" i="10"/>
  <c r="S306" i="10"/>
  <c r="G306" i="10"/>
  <c r="J306" i="10"/>
  <c r="I306" i="10"/>
  <c r="K306" i="10"/>
  <c r="H306" i="10"/>
  <c r="L306" i="10"/>
  <c r="J495" i="11"/>
  <c r="O495" i="9"/>
  <c r="N495" i="9"/>
  <c r="M495" i="9"/>
  <c r="L495" i="9"/>
  <c r="K495" i="9"/>
  <c r="J495" i="9"/>
  <c r="I495" i="9"/>
  <c r="H495" i="9"/>
  <c r="G495" i="9"/>
  <c r="E495" i="9"/>
  <c r="D495" i="9"/>
  <c r="A495" i="9"/>
  <c r="J494" i="11"/>
  <c r="O494" i="9"/>
  <c r="N494" i="9"/>
  <c r="M494" i="9"/>
  <c r="L494" i="9"/>
  <c r="K494" i="9"/>
  <c r="J494" i="9"/>
  <c r="I494" i="9"/>
  <c r="H494" i="9"/>
  <c r="G494" i="9"/>
  <c r="E494" i="9"/>
  <c r="D494" i="9"/>
  <c r="A494" i="9"/>
  <c r="J493" i="11"/>
  <c r="O493" i="9"/>
  <c r="N493" i="9"/>
  <c r="M493" i="9"/>
  <c r="L493" i="9"/>
  <c r="K493" i="9"/>
  <c r="J493" i="9"/>
  <c r="I493" i="9"/>
  <c r="H493" i="9"/>
  <c r="G493" i="9"/>
  <c r="E493" i="9"/>
  <c r="D493" i="9"/>
  <c r="A493" i="9"/>
  <c r="J492" i="11"/>
  <c r="O492" i="9"/>
  <c r="N492" i="9"/>
  <c r="M492" i="9"/>
  <c r="L492" i="9"/>
  <c r="K492" i="9"/>
  <c r="J492" i="9"/>
  <c r="I492" i="9"/>
  <c r="H492" i="9"/>
  <c r="G492" i="9"/>
  <c r="E492" i="9"/>
  <c r="D492" i="9"/>
  <c r="A492" i="9"/>
  <c r="J491" i="11"/>
  <c r="O491" i="9"/>
  <c r="N491" i="9"/>
  <c r="M491" i="9"/>
  <c r="L491" i="9"/>
  <c r="K491" i="9"/>
  <c r="J491" i="9"/>
  <c r="I491" i="9"/>
  <c r="H491" i="9"/>
  <c r="G491" i="9"/>
  <c r="E491" i="9"/>
  <c r="D491" i="9"/>
  <c r="A491" i="9"/>
  <c r="J490" i="11"/>
  <c r="O490" i="9"/>
  <c r="N490" i="9"/>
  <c r="M490" i="9"/>
  <c r="L490" i="9"/>
  <c r="K490" i="9"/>
  <c r="J490" i="9"/>
  <c r="I490" i="9"/>
  <c r="H490" i="9"/>
  <c r="G490" i="9"/>
  <c r="E490" i="9"/>
  <c r="D490" i="9"/>
  <c r="A490" i="9"/>
  <c r="J489" i="11"/>
  <c r="O489" i="9"/>
  <c r="N489" i="9"/>
  <c r="M489" i="9"/>
  <c r="L489" i="9"/>
  <c r="K489" i="9"/>
  <c r="J489" i="9"/>
  <c r="I489" i="9"/>
  <c r="H489" i="9"/>
  <c r="G489" i="9"/>
  <c r="E489" i="9"/>
  <c r="D489" i="9"/>
  <c r="A489" i="9"/>
  <c r="J488" i="11"/>
  <c r="O488" i="9"/>
  <c r="N488" i="9"/>
  <c r="M488" i="9"/>
  <c r="L488" i="9"/>
  <c r="K488" i="9"/>
  <c r="J488" i="9"/>
  <c r="I488" i="9"/>
  <c r="H488" i="9"/>
  <c r="G488" i="9"/>
  <c r="E488" i="9"/>
  <c r="D488" i="9"/>
  <c r="A488" i="9"/>
  <c r="J487" i="11"/>
  <c r="O487" i="9"/>
  <c r="N487" i="9"/>
  <c r="M487" i="9"/>
  <c r="L487" i="9"/>
  <c r="K487" i="9"/>
  <c r="J487" i="9"/>
  <c r="I487" i="9"/>
  <c r="H487" i="9"/>
  <c r="G487" i="9"/>
  <c r="E487" i="9"/>
  <c r="D487" i="9"/>
  <c r="A487" i="9"/>
  <c r="J486" i="11"/>
  <c r="O486" i="9"/>
  <c r="N486" i="9"/>
  <c r="M486" i="9"/>
  <c r="L486" i="9"/>
  <c r="K486" i="9"/>
  <c r="J486" i="9"/>
  <c r="I486" i="9"/>
  <c r="H486" i="9"/>
  <c r="G486" i="9"/>
  <c r="E486" i="9"/>
  <c r="D486" i="9"/>
  <c r="A486" i="9"/>
  <c r="J485" i="11"/>
  <c r="O485" i="9"/>
  <c r="N485" i="9"/>
  <c r="M485" i="9"/>
  <c r="L485" i="9"/>
  <c r="K485" i="9"/>
  <c r="J485" i="9"/>
  <c r="I485" i="9"/>
  <c r="H485" i="9"/>
  <c r="G485" i="9"/>
  <c r="E485" i="9"/>
  <c r="D485" i="9"/>
  <c r="A485" i="9"/>
  <c r="J484" i="11"/>
  <c r="O484" i="9"/>
  <c r="N484" i="9"/>
  <c r="M484" i="9"/>
  <c r="L484" i="9"/>
  <c r="K484" i="9"/>
  <c r="J484" i="9"/>
  <c r="I484" i="9"/>
  <c r="H484" i="9"/>
  <c r="G484" i="9"/>
  <c r="E484" i="9"/>
  <c r="D484" i="9"/>
  <c r="A484" i="9"/>
  <c r="J483" i="11"/>
  <c r="O483" i="9"/>
  <c r="N483" i="9"/>
  <c r="M483" i="9"/>
  <c r="L483" i="9"/>
  <c r="K483" i="9"/>
  <c r="J483" i="9"/>
  <c r="I483" i="9"/>
  <c r="H483" i="9"/>
  <c r="G483" i="9"/>
  <c r="E483" i="9"/>
  <c r="D483" i="9"/>
  <c r="A483" i="9"/>
  <c r="J482" i="11"/>
  <c r="O482" i="9"/>
  <c r="N482" i="9"/>
  <c r="M482" i="9"/>
  <c r="L482" i="9"/>
  <c r="K482" i="9"/>
  <c r="J482" i="9"/>
  <c r="I482" i="9"/>
  <c r="H482" i="9"/>
  <c r="G482" i="9"/>
  <c r="E482" i="9"/>
  <c r="D482" i="9"/>
  <c r="A482" i="9"/>
  <c r="J480" i="11"/>
  <c r="O480" i="9"/>
  <c r="N480" i="9"/>
  <c r="M480" i="9"/>
  <c r="L480" i="9"/>
  <c r="K480" i="9"/>
  <c r="J480" i="9"/>
  <c r="I480" i="9"/>
  <c r="H480" i="9"/>
  <c r="G480" i="9"/>
  <c r="E480" i="9"/>
  <c r="D480" i="9"/>
  <c r="A480" i="9"/>
  <c r="J479" i="11"/>
  <c r="O479" i="9"/>
  <c r="N479" i="9"/>
  <c r="M479" i="9"/>
  <c r="L479" i="9"/>
  <c r="K479" i="9"/>
  <c r="J479" i="9"/>
  <c r="I479" i="9"/>
  <c r="H479" i="9"/>
  <c r="G479" i="9"/>
  <c r="E479" i="9"/>
  <c r="D479" i="9"/>
  <c r="A479" i="9"/>
  <c r="J478" i="11"/>
  <c r="O478" i="9"/>
  <c r="N478" i="9"/>
  <c r="M478" i="9"/>
  <c r="L478" i="9"/>
  <c r="K478" i="9"/>
  <c r="J478" i="9"/>
  <c r="I478" i="9"/>
  <c r="H478" i="9"/>
  <c r="G478" i="9"/>
  <c r="E478" i="9"/>
  <c r="D478" i="9"/>
  <c r="A478" i="9"/>
  <c r="J477" i="11"/>
  <c r="O477" i="9"/>
  <c r="N477" i="9"/>
  <c r="M477" i="9"/>
  <c r="L477" i="9"/>
  <c r="K477" i="9"/>
  <c r="J477" i="9"/>
  <c r="I477" i="9"/>
  <c r="H477" i="9"/>
  <c r="G477" i="9"/>
  <c r="E477" i="9"/>
  <c r="D477" i="9"/>
  <c r="A477" i="9"/>
  <c r="T303" i="10"/>
  <c r="W303" i="10"/>
  <c r="V303" i="10"/>
  <c r="X303" i="10"/>
  <c r="U303" i="10"/>
  <c r="Y303" i="10"/>
  <c r="G303" i="10"/>
  <c r="J303" i="10"/>
  <c r="I303" i="10"/>
  <c r="K303" i="10"/>
  <c r="H303" i="10"/>
  <c r="L303" i="10"/>
  <c r="T302" i="10"/>
  <c r="W302" i="10"/>
  <c r="V302" i="10"/>
  <c r="X302" i="10"/>
  <c r="U302" i="10"/>
  <c r="Y302" i="10"/>
  <c r="G302" i="10"/>
  <c r="J302" i="10"/>
  <c r="I302" i="10"/>
  <c r="K302" i="10"/>
  <c r="H302" i="10"/>
  <c r="L302" i="10"/>
  <c r="M301" i="10"/>
  <c r="T301" i="10"/>
  <c r="W301" i="10"/>
  <c r="V301" i="10"/>
  <c r="X301" i="10"/>
  <c r="U301" i="10"/>
  <c r="Y301" i="10"/>
  <c r="N301" i="10"/>
  <c r="Q301" i="10"/>
  <c r="P301" i="10"/>
  <c r="R301" i="10"/>
  <c r="O301" i="10"/>
  <c r="S301" i="10"/>
  <c r="G301" i="10"/>
  <c r="J301" i="10"/>
  <c r="I301" i="10"/>
  <c r="K301" i="10"/>
  <c r="H301" i="10"/>
  <c r="L301" i="10"/>
  <c r="T300" i="10"/>
  <c r="W300" i="10"/>
  <c r="V300" i="10"/>
  <c r="X300" i="10"/>
  <c r="U300" i="10"/>
  <c r="Y300" i="10"/>
  <c r="G300" i="10"/>
  <c r="J300" i="10"/>
  <c r="I300" i="10"/>
  <c r="K300" i="10"/>
  <c r="H300" i="10"/>
  <c r="L300" i="10"/>
  <c r="T299" i="10"/>
  <c r="W299" i="10"/>
  <c r="V299" i="10"/>
  <c r="X299" i="10"/>
  <c r="U299" i="10"/>
  <c r="Y299" i="10"/>
  <c r="G299" i="10"/>
  <c r="J299" i="10"/>
  <c r="I299" i="10"/>
  <c r="K299" i="10"/>
  <c r="H299" i="10"/>
  <c r="L299" i="10"/>
  <c r="T297" i="10"/>
  <c r="W297" i="10"/>
  <c r="V297" i="10"/>
  <c r="X297" i="10"/>
  <c r="U297" i="10"/>
  <c r="Y297" i="10"/>
  <c r="G297" i="10"/>
  <c r="J297" i="10"/>
  <c r="I297" i="10"/>
  <c r="K297" i="10"/>
  <c r="H297" i="10"/>
  <c r="L297" i="10"/>
  <c r="M296" i="10"/>
  <c r="T296" i="10"/>
  <c r="W296" i="10"/>
  <c r="V296" i="10"/>
  <c r="X296" i="10"/>
  <c r="U296" i="10"/>
  <c r="Y296" i="10"/>
  <c r="N296" i="10"/>
  <c r="Q296" i="10"/>
  <c r="P296" i="10"/>
  <c r="R296" i="10"/>
  <c r="O296" i="10"/>
  <c r="S296" i="10"/>
  <c r="G296" i="10"/>
  <c r="J296" i="10"/>
  <c r="I296" i="10"/>
  <c r="K296" i="10"/>
  <c r="H296" i="10"/>
  <c r="L296" i="10"/>
  <c r="M295" i="10"/>
  <c r="T295" i="10"/>
  <c r="W295" i="10"/>
  <c r="V295" i="10"/>
  <c r="X295" i="10"/>
  <c r="U295" i="10"/>
  <c r="Y295" i="10"/>
  <c r="N295" i="10"/>
  <c r="Q295" i="10"/>
  <c r="P295" i="10"/>
  <c r="R295" i="10"/>
  <c r="O295" i="10"/>
  <c r="S295" i="10"/>
  <c r="G295" i="10"/>
  <c r="J295" i="10"/>
  <c r="I295" i="10"/>
  <c r="K295" i="10"/>
  <c r="H295" i="10"/>
  <c r="L295" i="10"/>
  <c r="M294" i="10"/>
  <c r="T294" i="10"/>
  <c r="W294" i="10"/>
  <c r="V294" i="10"/>
  <c r="X294" i="10"/>
  <c r="U294" i="10"/>
  <c r="Y294" i="10"/>
  <c r="N294" i="10"/>
  <c r="Q294" i="10"/>
  <c r="P294" i="10"/>
  <c r="R294" i="10"/>
  <c r="O294" i="10"/>
  <c r="S294" i="10"/>
  <c r="G294" i="10"/>
  <c r="J294" i="10"/>
  <c r="I294" i="10"/>
  <c r="K294" i="10"/>
  <c r="H294" i="10"/>
  <c r="L294" i="10"/>
  <c r="J474" i="11"/>
  <c r="O474" i="9"/>
  <c r="N474" i="9"/>
  <c r="M474" i="9"/>
  <c r="L474" i="9"/>
  <c r="K474" i="9"/>
  <c r="J474" i="9"/>
  <c r="I474" i="9"/>
  <c r="H474" i="9"/>
  <c r="G474" i="9"/>
  <c r="E474" i="9"/>
  <c r="D474" i="9"/>
  <c r="A474" i="9"/>
  <c r="J473" i="11"/>
  <c r="O473" i="9"/>
  <c r="N473" i="9"/>
  <c r="M473" i="9"/>
  <c r="L473" i="9"/>
  <c r="K473" i="9"/>
  <c r="J473" i="9"/>
  <c r="I473" i="9"/>
  <c r="H473" i="9"/>
  <c r="G473" i="9"/>
  <c r="E473" i="9"/>
  <c r="D473" i="9"/>
  <c r="A473" i="9"/>
  <c r="J472" i="11"/>
  <c r="O472" i="9"/>
  <c r="N472" i="9"/>
  <c r="M472" i="9"/>
  <c r="L472" i="9"/>
  <c r="K472" i="9"/>
  <c r="J472" i="9"/>
  <c r="I472" i="9"/>
  <c r="H472" i="9"/>
  <c r="G472" i="9"/>
  <c r="E472" i="9"/>
  <c r="D472" i="9"/>
  <c r="A472" i="9"/>
  <c r="J471" i="11"/>
  <c r="O471" i="9"/>
  <c r="N471" i="9"/>
  <c r="M471" i="9"/>
  <c r="L471" i="9"/>
  <c r="K471" i="9"/>
  <c r="J471" i="9"/>
  <c r="I471" i="9"/>
  <c r="H471" i="9"/>
  <c r="G471" i="9"/>
  <c r="E471" i="9"/>
  <c r="D471" i="9"/>
  <c r="A471" i="9"/>
  <c r="J470" i="11"/>
  <c r="O470" i="9"/>
  <c r="N470" i="9"/>
  <c r="M470" i="9"/>
  <c r="L470" i="9"/>
  <c r="K470" i="9"/>
  <c r="J470" i="9"/>
  <c r="I470" i="9"/>
  <c r="H470" i="9"/>
  <c r="G470" i="9"/>
  <c r="E470" i="9"/>
  <c r="D470" i="9"/>
  <c r="A470" i="9"/>
  <c r="J469" i="11"/>
  <c r="O469" i="9"/>
  <c r="N469" i="9"/>
  <c r="M469" i="9"/>
  <c r="L469" i="9"/>
  <c r="K469" i="9"/>
  <c r="J469" i="9"/>
  <c r="I469" i="9"/>
  <c r="H469" i="9"/>
  <c r="G469" i="9"/>
  <c r="E469" i="9"/>
  <c r="D469" i="9"/>
  <c r="A469" i="9"/>
  <c r="J468" i="11"/>
  <c r="O468" i="9"/>
  <c r="N468" i="9"/>
  <c r="M468" i="9"/>
  <c r="L468" i="9"/>
  <c r="K468" i="9"/>
  <c r="J468" i="9"/>
  <c r="I468" i="9"/>
  <c r="H468" i="9"/>
  <c r="G468" i="9"/>
  <c r="E468" i="9"/>
  <c r="D468" i="9"/>
  <c r="A468" i="9"/>
  <c r="J467" i="11"/>
  <c r="O467" i="9"/>
  <c r="N467" i="9"/>
  <c r="M467" i="9"/>
  <c r="L467" i="9"/>
  <c r="K467" i="9"/>
  <c r="J467" i="9"/>
  <c r="I467" i="9"/>
  <c r="H467" i="9"/>
  <c r="G467" i="9"/>
  <c r="E467" i="9"/>
  <c r="D467" i="9"/>
  <c r="A467" i="9"/>
  <c r="J466" i="11"/>
  <c r="O466" i="9"/>
  <c r="N466" i="9"/>
  <c r="M466" i="9"/>
  <c r="L466" i="9"/>
  <c r="K466" i="9"/>
  <c r="J466" i="9"/>
  <c r="I466" i="9"/>
  <c r="H466" i="9"/>
  <c r="G466" i="9"/>
  <c r="E466" i="9"/>
  <c r="D466" i="9"/>
  <c r="A466" i="9"/>
  <c r="J465" i="11"/>
  <c r="O465" i="9"/>
  <c r="N465" i="9"/>
  <c r="M465" i="9"/>
  <c r="L465" i="9"/>
  <c r="K465" i="9"/>
  <c r="J465" i="9"/>
  <c r="I465" i="9"/>
  <c r="H465" i="9"/>
  <c r="G465" i="9"/>
  <c r="E465" i="9"/>
  <c r="D465" i="9"/>
  <c r="A465" i="9"/>
  <c r="J464" i="11"/>
  <c r="O464" i="9"/>
  <c r="N464" i="9"/>
  <c r="M464" i="9"/>
  <c r="L464" i="9"/>
  <c r="K464" i="9"/>
  <c r="J464" i="9"/>
  <c r="I464" i="9"/>
  <c r="H464" i="9"/>
  <c r="G464" i="9"/>
  <c r="E464" i="9"/>
  <c r="D464" i="9"/>
  <c r="A464" i="9"/>
  <c r="J463" i="11"/>
  <c r="O463" i="9"/>
  <c r="N463" i="9"/>
  <c r="M463" i="9"/>
  <c r="L463" i="9"/>
  <c r="K463" i="9"/>
  <c r="J463" i="9"/>
  <c r="I463" i="9"/>
  <c r="H463" i="9"/>
  <c r="G463" i="9"/>
  <c r="E463" i="9"/>
  <c r="D463" i="9"/>
  <c r="A463" i="9"/>
  <c r="J462" i="11"/>
  <c r="O462" i="9"/>
  <c r="N462" i="9"/>
  <c r="M462" i="9"/>
  <c r="L462" i="9"/>
  <c r="K462" i="9"/>
  <c r="J462" i="9"/>
  <c r="I462" i="9"/>
  <c r="H462" i="9"/>
  <c r="G462" i="9"/>
  <c r="E462" i="9"/>
  <c r="D462" i="9"/>
  <c r="A462" i="9"/>
  <c r="J461" i="11"/>
  <c r="O461" i="9"/>
  <c r="N461" i="9"/>
  <c r="M461" i="9"/>
  <c r="L461" i="9"/>
  <c r="K461" i="9"/>
  <c r="J461" i="9"/>
  <c r="I461" i="9"/>
  <c r="H461" i="9"/>
  <c r="G461" i="9"/>
  <c r="E461" i="9"/>
  <c r="D461" i="9"/>
  <c r="A461" i="9"/>
  <c r="T291" i="10"/>
  <c r="W291" i="10"/>
  <c r="V291" i="10"/>
  <c r="X291" i="10"/>
  <c r="U291" i="10"/>
  <c r="Y291" i="10"/>
  <c r="G291" i="10"/>
  <c r="J291" i="10"/>
  <c r="I291" i="10"/>
  <c r="K291" i="10"/>
  <c r="H291" i="10"/>
  <c r="L291" i="10"/>
  <c r="T290" i="10"/>
  <c r="W290" i="10"/>
  <c r="V290" i="10"/>
  <c r="X290" i="10"/>
  <c r="U290" i="10"/>
  <c r="Y290" i="10"/>
  <c r="G290" i="10"/>
  <c r="J290" i="10"/>
  <c r="I290" i="10"/>
  <c r="K290" i="10"/>
  <c r="H290" i="10"/>
  <c r="L290" i="10"/>
  <c r="T289" i="10"/>
  <c r="W289" i="10"/>
  <c r="V289" i="10"/>
  <c r="X289" i="10"/>
  <c r="U289" i="10"/>
  <c r="Y289" i="10"/>
  <c r="G289" i="10"/>
  <c r="J289" i="10"/>
  <c r="I289" i="10"/>
  <c r="K289" i="10"/>
  <c r="H289" i="10"/>
  <c r="L289" i="10"/>
  <c r="T288" i="10"/>
  <c r="W288" i="10"/>
  <c r="V288" i="10"/>
  <c r="X288" i="10"/>
  <c r="U288" i="10"/>
  <c r="Y288" i="10"/>
  <c r="G288" i="10"/>
  <c r="J288" i="10"/>
  <c r="I288" i="10"/>
  <c r="K288" i="10"/>
  <c r="H288" i="10"/>
  <c r="L288" i="10"/>
  <c r="T287" i="10"/>
  <c r="W287" i="10"/>
  <c r="V287" i="10"/>
  <c r="X287" i="10"/>
  <c r="U287" i="10"/>
  <c r="Y287" i="10"/>
  <c r="G287" i="10"/>
  <c r="J287" i="10"/>
  <c r="I287" i="10"/>
  <c r="K287" i="10"/>
  <c r="H287" i="10"/>
  <c r="L287" i="10"/>
  <c r="T286" i="10"/>
  <c r="W286" i="10"/>
  <c r="V286" i="10"/>
  <c r="X286" i="10"/>
  <c r="U286" i="10"/>
  <c r="Y286" i="10"/>
  <c r="G286" i="10"/>
  <c r="J286" i="10"/>
  <c r="I286" i="10"/>
  <c r="K286" i="10"/>
  <c r="H286" i="10"/>
  <c r="L286" i="10"/>
  <c r="T285" i="10"/>
  <c r="W285" i="10"/>
  <c r="V285" i="10"/>
  <c r="X285" i="10"/>
  <c r="U285" i="10"/>
  <c r="Y285" i="10"/>
  <c r="G285" i="10"/>
  <c r="J285" i="10"/>
  <c r="I285" i="10"/>
  <c r="K285" i="10"/>
  <c r="H285" i="10"/>
  <c r="L285" i="10"/>
  <c r="J458" i="11"/>
  <c r="O458" i="9"/>
  <c r="N458" i="9"/>
  <c r="M458" i="9"/>
  <c r="L458" i="9"/>
  <c r="K458" i="9"/>
  <c r="J458" i="9"/>
  <c r="I458" i="9"/>
  <c r="H458" i="9"/>
  <c r="G458" i="9"/>
  <c r="E458" i="9"/>
  <c r="D458" i="9"/>
  <c r="A458" i="9"/>
  <c r="J457" i="11"/>
  <c r="O457" i="9"/>
  <c r="N457" i="9"/>
  <c r="M457" i="9"/>
  <c r="L457" i="9"/>
  <c r="K457" i="9"/>
  <c r="J457" i="9"/>
  <c r="I457" i="9"/>
  <c r="H457" i="9"/>
  <c r="G457" i="9"/>
  <c r="E457" i="9"/>
  <c r="D457" i="9"/>
  <c r="A457" i="9"/>
  <c r="J456" i="11"/>
  <c r="O456" i="9"/>
  <c r="N456" i="9"/>
  <c r="M456" i="9"/>
  <c r="L456" i="9"/>
  <c r="K456" i="9"/>
  <c r="J456" i="9"/>
  <c r="I456" i="9"/>
  <c r="H456" i="9"/>
  <c r="G456" i="9"/>
  <c r="E456" i="9"/>
  <c r="D456" i="9"/>
  <c r="A456" i="9"/>
  <c r="J455" i="11"/>
  <c r="O455" i="9"/>
  <c r="N455" i="9"/>
  <c r="M455" i="9"/>
  <c r="L455" i="9"/>
  <c r="K455" i="9"/>
  <c r="J455" i="9"/>
  <c r="I455" i="9"/>
  <c r="H455" i="9"/>
  <c r="G455" i="9"/>
  <c r="E455" i="9"/>
  <c r="D455" i="9"/>
  <c r="A455" i="9"/>
  <c r="J454" i="11"/>
  <c r="O454" i="9"/>
  <c r="N454" i="9"/>
  <c r="M454" i="9"/>
  <c r="L454" i="9"/>
  <c r="K454" i="9"/>
  <c r="J454" i="9"/>
  <c r="I454" i="9"/>
  <c r="H454" i="9"/>
  <c r="G454" i="9"/>
  <c r="E454" i="9"/>
  <c r="D454" i="9"/>
  <c r="A454" i="9"/>
  <c r="J453" i="11"/>
  <c r="O453" i="9"/>
  <c r="N453" i="9"/>
  <c r="M453" i="9"/>
  <c r="L453" i="9"/>
  <c r="K453" i="9"/>
  <c r="J453" i="9"/>
  <c r="I453" i="9"/>
  <c r="H453" i="9"/>
  <c r="G453" i="9"/>
  <c r="E453" i="9"/>
  <c r="D453" i="9"/>
  <c r="A453" i="9"/>
  <c r="J452" i="11"/>
  <c r="O452" i="9"/>
  <c r="N452" i="9"/>
  <c r="M452" i="9"/>
  <c r="L452" i="9"/>
  <c r="K452" i="9"/>
  <c r="J452" i="9"/>
  <c r="I452" i="9"/>
  <c r="H452" i="9"/>
  <c r="G452" i="9"/>
  <c r="E452" i="9"/>
  <c r="D452" i="9"/>
  <c r="A452" i="9"/>
  <c r="J451" i="11"/>
  <c r="O451" i="9"/>
  <c r="N451" i="9"/>
  <c r="M451" i="9"/>
  <c r="L451" i="9"/>
  <c r="K451" i="9"/>
  <c r="J451" i="9"/>
  <c r="I451" i="9"/>
  <c r="H451" i="9"/>
  <c r="G451" i="9"/>
  <c r="E451" i="9"/>
  <c r="D451" i="9"/>
  <c r="A451" i="9"/>
  <c r="J450" i="11"/>
  <c r="O450" i="9"/>
  <c r="N450" i="9"/>
  <c r="M450" i="9"/>
  <c r="L450" i="9"/>
  <c r="K450" i="9"/>
  <c r="J450" i="9"/>
  <c r="I450" i="9"/>
  <c r="H450" i="9"/>
  <c r="G450" i="9"/>
  <c r="E450" i="9"/>
  <c r="D450" i="9"/>
  <c r="A450" i="9"/>
  <c r="J449" i="11"/>
  <c r="O449" i="9"/>
  <c r="N449" i="9"/>
  <c r="M449" i="9"/>
  <c r="L449" i="9"/>
  <c r="K449" i="9"/>
  <c r="J449" i="9"/>
  <c r="I449" i="9"/>
  <c r="H449" i="9"/>
  <c r="G449" i="9"/>
  <c r="E449" i="9"/>
  <c r="D449" i="9"/>
  <c r="A449" i="9"/>
  <c r="J448" i="11"/>
  <c r="O448" i="9"/>
  <c r="N448" i="9"/>
  <c r="M448" i="9"/>
  <c r="L448" i="9"/>
  <c r="K448" i="9"/>
  <c r="J448" i="9"/>
  <c r="I448" i="9"/>
  <c r="H448" i="9"/>
  <c r="G448" i="9"/>
  <c r="E448" i="9"/>
  <c r="D448" i="9"/>
  <c r="A448" i="9"/>
  <c r="J447" i="11"/>
  <c r="O447" i="9"/>
  <c r="N447" i="9"/>
  <c r="M447" i="9"/>
  <c r="L447" i="9"/>
  <c r="K447" i="9"/>
  <c r="J447" i="9"/>
  <c r="I447" i="9"/>
  <c r="H447" i="9"/>
  <c r="G447" i="9"/>
  <c r="E447" i="9"/>
  <c r="D447" i="9"/>
  <c r="A447" i="9"/>
  <c r="J446" i="11"/>
  <c r="O446" i="9"/>
  <c r="N446" i="9"/>
  <c r="M446" i="9"/>
  <c r="L446" i="9"/>
  <c r="K446" i="9"/>
  <c r="J446" i="9"/>
  <c r="I446" i="9"/>
  <c r="H446" i="9"/>
  <c r="G446" i="9"/>
  <c r="E446" i="9"/>
  <c r="D446" i="9"/>
  <c r="A446" i="9"/>
  <c r="J445" i="11"/>
  <c r="O445" i="9"/>
  <c r="N445" i="9"/>
  <c r="M445" i="9"/>
  <c r="L445" i="9"/>
  <c r="K445" i="9"/>
  <c r="J445" i="9"/>
  <c r="I445" i="9"/>
  <c r="H445" i="9"/>
  <c r="G445" i="9"/>
  <c r="E445" i="9"/>
  <c r="D445" i="9"/>
  <c r="A445" i="9"/>
  <c r="J444" i="11"/>
  <c r="O444" i="9"/>
  <c r="N444" i="9"/>
  <c r="M444" i="9"/>
  <c r="L444" i="9"/>
  <c r="K444" i="9"/>
  <c r="J444" i="9"/>
  <c r="I444" i="9"/>
  <c r="H444" i="9"/>
  <c r="G444" i="9"/>
  <c r="E444" i="9"/>
  <c r="D444" i="9"/>
  <c r="A444" i="9"/>
  <c r="J443" i="11"/>
  <c r="O443" i="9"/>
  <c r="N443" i="9"/>
  <c r="M443" i="9"/>
  <c r="L443" i="9"/>
  <c r="K443" i="9"/>
  <c r="J443" i="9"/>
  <c r="I443" i="9"/>
  <c r="H443" i="9"/>
  <c r="G443" i="9"/>
  <c r="E443" i="9"/>
  <c r="D443" i="9"/>
  <c r="A443" i="9"/>
  <c r="M282" i="10"/>
  <c r="T282" i="10"/>
  <c r="W282" i="10"/>
  <c r="V282" i="10"/>
  <c r="X282" i="10"/>
  <c r="U282" i="10"/>
  <c r="Y282" i="10"/>
  <c r="N282" i="10"/>
  <c r="Q282" i="10"/>
  <c r="P282" i="10"/>
  <c r="R282" i="10"/>
  <c r="O282" i="10"/>
  <c r="S282" i="10"/>
  <c r="G282" i="10"/>
  <c r="J282" i="10"/>
  <c r="I282" i="10"/>
  <c r="K282" i="10"/>
  <c r="H282" i="10"/>
  <c r="L282" i="10"/>
  <c r="T281" i="10"/>
  <c r="W281" i="10"/>
  <c r="V281" i="10"/>
  <c r="X281" i="10"/>
  <c r="U281" i="10"/>
  <c r="Y281" i="10"/>
  <c r="G281" i="10"/>
  <c r="J281" i="10"/>
  <c r="I281" i="10"/>
  <c r="K281" i="10"/>
  <c r="H281" i="10"/>
  <c r="L281" i="10"/>
  <c r="T280" i="10"/>
  <c r="W280" i="10"/>
  <c r="V280" i="10"/>
  <c r="X280" i="10"/>
  <c r="U280" i="10"/>
  <c r="Y280" i="10"/>
  <c r="G280" i="10"/>
  <c r="J280" i="10"/>
  <c r="I280" i="10"/>
  <c r="K280" i="10"/>
  <c r="H280" i="10"/>
  <c r="L280" i="10"/>
  <c r="M279" i="10"/>
  <c r="T279" i="10"/>
  <c r="W279" i="10"/>
  <c r="V279" i="10"/>
  <c r="X279" i="10"/>
  <c r="U279" i="10"/>
  <c r="Y279" i="10"/>
  <c r="N279" i="10"/>
  <c r="Q279" i="10"/>
  <c r="P279" i="10"/>
  <c r="R279" i="10"/>
  <c r="O279" i="10"/>
  <c r="S279" i="10"/>
  <c r="G279" i="10"/>
  <c r="J279" i="10"/>
  <c r="I279" i="10"/>
  <c r="K279" i="10"/>
  <c r="H279" i="10"/>
  <c r="L279" i="10"/>
  <c r="M278" i="10"/>
  <c r="T278" i="10"/>
  <c r="W278" i="10"/>
  <c r="V278" i="10"/>
  <c r="X278" i="10"/>
  <c r="U278" i="10"/>
  <c r="Y278" i="10"/>
  <c r="N278" i="10"/>
  <c r="Q278" i="10"/>
  <c r="P278" i="10"/>
  <c r="R278" i="10"/>
  <c r="O278" i="10"/>
  <c r="S278" i="10"/>
  <c r="G278" i="10"/>
  <c r="J278" i="10"/>
  <c r="I278" i="10"/>
  <c r="K278" i="10"/>
  <c r="H278" i="10"/>
  <c r="L278" i="10"/>
  <c r="M277" i="10"/>
  <c r="T277" i="10"/>
  <c r="W277" i="10"/>
  <c r="V277" i="10"/>
  <c r="X277" i="10"/>
  <c r="U277" i="10"/>
  <c r="Y277" i="10"/>
  <c r="N277" i="10"/>
  <c r="Q277" i="10"/>
  <c r="P277" i="10"/>
  <c r="R277" i="10"/>
  <c r="O277" i="10"/>
  <c r="S277" i="10"/>
  <c r="G277" i="10"/>
  <c r="J277" i="10"/>
  <c r="I277" i="10"/>
  <c r="K277" i="10"/>
  <c r="H277" i="10"/>
  <c r="L277" i="10"/>
  <c r="M276" i="10"/>
  <c r="T276" i="10"/>
  <c r="W276" i="10"/>
  <c r="V276" i="10"/>
  <c r="X276" i="10"/>
  <c r="U276" i="10"/>
  <c r="Y276" i="10"/>
  <c r="N276" i="10"/>
  <c r="Q276" i="10"/>
  <c r="P276" i="10"/>
  <c r="R276" i="10"/>
  <c r="O276" i="10"/>
  <c r="S276" i="10"/>
  <c r="G276" i="10"/>
  <c r="J276" i="10"/>
  <c r="I276" i="10"/>
  <c r="K276" i="10"/>
  <c r="H276" i="10"/>
  <c r="L276" i="10"/>
  <c r="T275" i="10"/>
  <c r="W275" i="10"/>
  <c r="V275" i="10"/>
  <c r="X275" i="10"/>
  <c r="U275" i="10"/>
  <c r="Y275" i="10"/>
  <c r="G275" i="10"/>
  <c r="J275" i="10"/>
  <c r="I275" i="10"/>
  <c r="K275" i="10"/>
  <c r="H275" i="10"/>
  <c r="L275" i="10"/>
  <c r="M274" i="10"/>
  <c r="T274" i="10"/>
  <c r="W274" i="10"/>
  <c r="V274" i="10"/>
  <c r="X274" i="10"/>
  <c r="U274" i="10"/>
  <c r="Y274" i="10"/>
  <c r="N274" i="10"/>
  <c r="Q274" i="10"/>
  <c r="P274" i="10"/>
  <c r="R274" i="10"/>
  <c r="O274" i="10"/>
  <c r="S274" i="10"/>
  <c r="G274" i="10"/>
  <c r="J274" i="10"/>
  <c r="I274" i="10"/>
  <c r="K274" i="10"/>
  <c r="H274" i="10"/>
  <c r="L274" i="10"/>
  <c r="J429" i="11"/>
  <c r="O429" i="9"/>
  <c r="N429" i="9"/>
  <c r="M429" i="9"/>
  <c r="L429" i="9"/>
  <c r="K429" i="9"/>
  <c r="J429" i="9"/>
  <c r="I429" i="9"/>
  <c r="H429" i="9"/>
  <c r="G429" i="9"/>
  <c r="E429" i="9"/>
  <c r="D429" i="9"/>
  <c r="A429" i="9"/>
  <c r="J428" i="11"/>
  <c r="O428" i="9"/>
  <c r="N428" i="9"/>
  <c r="M428" i="9"/>
  <c r="L428" i="9"/>
  <c r="K428" i="9"/>
  <c r="J428" i="9"/>
  <c r="I428" i="9"/>
  <c r="H428" i="9"/>
  <c r="G428" i="9"/>
  <c r="E428" i="9"/>
  <c r="D428" i="9"/>
  <c r="A428" i="9"/>
  <c r="M267" i="10"/>
  <c r="T267" i="10"/>
  <c r="W267" i="10"/>
  <c r="V267" i="10"/>
  <c r="X267" i="10"/>
  <c r="U267" i="10"/>
  <c r="Y267" i="10"/>
  <c r="N267" i="10"/>
  <c r="Q267" i="10"/>
  <c r="P267" i="10"/>
  <c r="R267" i="10"/>
  <c r="O267" i="10"/>
  <c r="S267" i="10"/>
  <c r="G267" i="10"/>
  <c r="J267" i="10"/>
  <c r="I267" i="10"/>
  <c r="K267" i="10"/>
  <c r="H267" i="10"/>
  <c r="L267" i="10"/>
  <c r="T266" i="10"/>
  <c r="W266" i="10"/>
  <c r="V266" i="10"/>
  <c r="X266" i="10"/>
  <c r="U266" i="10"/>
  <c r="Y266" i="10"/>
  <c r="G266" i="10"/>
  <c r="J266" i="10"/>
  <c r="I266" i="10"/>
  <c r="K266" i="10"/>
  <c r="H266" i="10"/>
  <c r="L266" i="10"/>
  <c r="J427" i="11"/>
  <c r="O427" i="9"/>
  <c r="N427" i="9"/>
  <c r="M427" i="9"/>
  <c r="L427" i="9"/>
  <c r="K427" i="9"/>
  <c r="J427" i="9"/>
  <c r="I427" i="9"/>
  <c r="H427" i="9"/>
  <c r="G427" i="9"/>
  <c r="E427" i="9"/>
  <c r="D427" i="9"/>
  <c r="A427" i="9"/>
  <c r="J426" i="11"/>
  <c r="O426" i="9"/>
  <c r="N426" i="9"/>
  <c r="M426" i="9"/>
  <c r="L426" i="9"/>
  <c r="K426" i="9"/>
  <c r="J426" i="9"/>
  <c r="I426" i="9"/>
  <c r="H426" i="9"/>
  <c r="G426" i="9"/>
  <c r="E426" i="9"/>
  <c r="D426" i="9"/>
  <c r="A426" i="9"/>
  <c r="M265" i="10"/>
  <c r="T265" i="10"/>
  <c r="W265" i="10"/>
  <c r="V265" i="10"/>
  <c r="X265" i="10"/>
  <c r="U265" i="10"/>
  <c r="Y265" i="10"/>
  <c r="N265" i="10"/>
  <c r="Q265" i="10"/>
  <c r="P265" i="10"/>
  <c r="R265" i="10"/>
  <c r="O265" i="10"/>
  <c r="S265" i="10"/>
  <c r="G265" i="10"/>
  <c r="J265" i="10"/>
  <c r="I265" i="10"/>
  <c r="K265" i="10"/>
  <c r="H265" i="10"/>
  <c r="L265" i="10"/>
  <c r="M264" i="10"/>
  <c r="T264" i="10"/>
  <c r="W264" i="10"/>
  <c r="V264" i="10"/>
  <c r="X264" i="10"/>
  <c r="U264" i="10"/>
  <c r="Y264" i="10"/>
  <c r="N264" i="10"/>
  <c r="Q264" i="10"/>
  <c r="P264" i="10"/>
  <c r="R264" i="10"/>
  <c r="O264" i="10"/>
  <c r="S264" i="10"/>
  <c r="G264" i="10"/>
  <c r="J264" i="10"/>
  <c r="I264" i="10"/>
  <c r="K264" i="10"/>
  <c r="H264" i="10"/>
  <c r="L264" i="10"/>
  <c r="O425" i="9"/>
  <c r="N425" i="9"/>
  <c r="M425" i="9"/>
  <c r="L425" i="9"/>
  <c r="K425" i="9"/>
  <c r="J425" i="9"/>
  <c r="I425" i="9"/>
  <c r="H425" i="9"/>
  <c r="G425" i="9"/>
  <c r="E425" i="9"/>
  <c r="D425" i="9"/>
  <c r="A425" i="9"/>
  <c r="J424" i="11"/>
  <c r="O424" i="9"/>
  <c r="N424" i="9"/>
  <c r="M424" i="9"/>
  <c r="L424" i="9"/>
  <c r="K424" i="9"/>
  <c r="J424" i="9"/>
  <c r="I424" i="9"/>
  <c r="H424" i="9"/>
  <c r="G424" i="9"/>
  <c r="E424" i="9"/>
  <c r="D424" i="9"/>
  <c r="A424" i="9"/>
  <c r="J423" i="11"/>
  <c r="O423" i="9"/>
  <c r="N423" i="9"/>
  <c r="M423" i="9"/>
  <c r="L423" i="9"/>
  <c r="K423" i="9"/>
  <c r="J423" i="9"/>
  <c r="I423" i="9"/>
  <c r="H423" i="9"/>
  <c r="G423" i="9"/>
  <c r="E423" i="9"/>
  <c r="D423" i="9"/>
  <c r="A423" i="9"/>
  <c r="J422" i="11"/>
  <c r="O422" i="9"/>
  <c r="N422" i="9"/>
  <c r="M422" i="9"/>
  <c r="L422" i="9"/>
  <c r="K422" i="9"/>
  <c r="J422" i="9"/>
  <c r="I422" i="9"/>
  <c r="H422" i="9"/>
  <c r="G422" i="9"/>
  <c r="E422" i="9"/>
  <c r="D422" i="9"/>
  <c r="A422" i="9"/>
  <c r="T263" i="10"/>
  <c r="W263" i="10"/>
  <c r="V263" i="10"/>
  <c r="X263" i="10"/>
  <c r="U263" i="10"/>
  <c r="Y263" i="10"/>
  <c r="G263" i="10"/>
  <c r="J263" i="10"/>
  <c r="I263" i="10"/>
  <c r="K263" i="10"/>
  <c r="H263" i="10"/>
  <c r="L263" i="10"/>
  <c r="M262" i="10"/>
  <c r="T262" i="10"/>
  <c r="W262" i="10"/>
  <c r="V262" i="10"/>
  <c r="X262" i="10"/>
  <c r="U262" i="10"/>
  <c r="Y262" i="10"/>
  <c r="N262" i="10"/>
  <c r="Q262" i="10"/>
  <c r="P262" i="10"/>
  <c r="R262" i="10"/>
  <c r="O262" i="10"/>
  <c r="S262" i="10"/>
  <c r="G262" i="10"/>
  <c r="J262" i="10"/>
  <c r="I262" i="10"/>
  <c r="K262" i="10"/>
  <c r="H262" i="10"/>
  <c r="L262" i="10"/>
  <c r="M261" i="10"/>
  <c r="T261" i="10"/>
  <c r="W261" i="10"/>
  <c r="V261" i="10"/>
  <c r="X261" i="10"/>
  <c r="U261" i="10"/>
  <c r="Y261" i="10"/>
  <c r="N261" i="10"/>
  <c r="Q261" i="10"/>
  <c r="P261" i="10"/>
  <c r="R261" i="10"/>
  <c r="O261" i="10"/>
  <c r="S261" i="10"/>
  <c r="G261" i="10"/>
  <c r="J261" i="10"/>
  <c r="I261" i="10"/>
  <c r="K261" i="10"/>
  <c r="H261" i="10"/>
  <c r="L261" i="10"/>
  <c r="M260" i="10"/>
  <c r="T260" i="10"/>
  <c r="W260" i="10"/>
  <c r="V260" i="10"/>
  <c r="X260" i="10"/>
  <c r="U260" i="10"/>
  <c r="Y260" i="10"/>
  <c r="N260" i="10"/>
  <c r="Q260" i="10"/>
  <c r="P260" i="10"/>
  <c r="R260" i="10"/>
  <c r="O260" i="10"/>
  <c r="S260" i="10"/>
  <c r="G260" i="10"/>
  <c r="J260" i="10"/>
  <c r="I260" i="10"/>
  <c r="K260" i="10"/>
  <c r="H260" i="10"/>
  <c r="L260" i="10"/>
  <c r="J420" i="11"/>
  <c r="O420" i="9"/>
  <c r="N420" i="9"/>
  <c r="M420" i="9"/>
  <c r="L420" i="9"/>
  <c r="K420" i="9"/>
  <c r="J420" i="9"/>
  <c r="I420" i="9"/>
  <c r="H420" i="9"/>
  <c r="G420" i="9"/>
  <c r="E420" i="9"/>
  <c r="D420" i="9"/>
  <c r="A420" i="9"/>
  <c r="J419" i="11"/>
  <c r="O419" i="9"/>
  <c r="N419" i="9"/>
  <c r="M419" i="9"/>
  <c r="L419" i="9"/>
  <c r="K419" i="9"/>
  <c r="J419" i="9"/>
  <c r="I419" i="9"/>
  <c r="H419" i="9"/>
  <c r="G419" i="9"/>
  <c r="E419" i="9"/>
  <c r="D419" i="9"/>
  <c r="A419" i="9"/>
  <c r="J418" i="11"/>
  <c r="O418" i="9"/>
  <c r="N418" i="9"/>
  <c r="M418" i="9"/>
  <c r="L418" i="9"/>
  <c r="K418" i="9"/>
  <c r="J418" i="9"/>
  <c r="I418" i="9"/>
  <c r="H418" i="9"/>
  <c r="G418" i="9"/>
  <c r="E418" i="9"/>
  <c r="D418" i="9"/>
  <c r="A418" i="9"/>
  <c r="J417" i="11"/>
  <c r="O417" i="9"/>
  <c r="N417" i="9"/>
  <c r="M417" i="9"/>
  <c r="L417" i="9"/>
  <c r="K417" i="9"/>
  <c r="J417" i="9"/>
  <c r="I417" i="9"/>
  <c r="H417" i="9"/>
  <c r="G417" i="9"/>
  <c r="E417" i="9"/>
  <c r="D417" i="9"/>
  <c r="A417" i="9"/>
  <c r="J416" i="11"/>
  <c r="O416" i="9"/>
  <c r="N416" i="9"/>
  <c r="M416" i="9"/>
  <c r="L416" i="9"/>
  <c r="K416" i="9"/>
  <c r="J416" i="9"/>
  <c r="I416" i="9"/>
  <c r="H416" i="9"/>
  <c r="G416" i="9"/>
  <c r="E416" i="9"/>
  <c r="D416" i="9"/>
  <c r="A416" i="9"/>
  <c r="J415" i="11"/>
  <c r="O415" i="9"/>
  <c r="N415" i="9"/>
  <c r="M415" i="9"/>
  <c r="L415" i="9"/>
  <c r="K415" i="9"/>
  <c r="J415" i="9"/>
  <c r="I415" i="9"/>
  <c r="H415" i="9"/>
  <c r="G415" i="9"/>
  <c r="E415" i="9"/>
  <c r="D415" i="9"/>
  <c r="A415" i="9"/>
  <c r="J414" i="11"/>
  <c r="O414" i="9"/>
  <c r="N414" i="9"/>
  <c r="M414" i="9"/>
  <c r="L414" i="9"/>
  <c r="K414" i="9"/>
  <c r="J414" i="9"/>
  <c r="I414" i="9"/>
  <c r="H414" i="9"/>
  <c r="G414" i="9"/>
  <c r="E414" i="9"/>
  <c r="D414" i="9"/>
  <c r="A414" i="9"/>
  <c r="J413" i="11"/>
  <c r="O413" i="9"/>
  <c r="N413" i="9"/>
  <c r="M413" i="9"/>
  <c r="L413" i="9"/>
  <c r="K413" i="9"/>
  <c r="J413" i="9"/>
  <c r="I413" i="9"/>
  <c r="H413" i="9"/>
  <c r="G413" i="9"/>
  <c r="E413" i="9"/>
  <c r="D413" i="9"/>
  <c r="A413" i="9"/>
  <c r="J412" i="11"/>
  <c r="O412" i="9"/>
  <c r="N412" i="9"/>
  <c r="M412" i="9"/>
  <c r="L412" i="9"/>
  <c r="K412" i="9"/>
  <c r="J412" i="9"/>
  <c r="I412" i="9"/>
  <c r="H412" i="9"/>
  <c r="G412" i="9"/>
  <c r="E412" i="9"/>
  <c r="D412" i="9"/>
  <c r="A412" i="9"/>
  <c r="J411" i="11"/>
  <c r="O411" i="9"/>
  <c r="N411" i="9"/>
  <c r="M411" i="9"/>
  <c r="L411" i="9"/>
  <c r="K411" i="9"/>
  <c r="J411" i="9"/>
  <c r="I411" i="9"/>
  <c r="H411" i="9"/>
  <c r="G411" i="9"/>
  <c r="E411" i="9"/>
  <c r="D411" i="9"/>
  <c r="A411" i="9"/>
  <c r="J410" i="11"/>
  <c r="O410" i="9"/>
  <c r="N410" i="9"/>
  <c r="M410" i="9"/>
  <c r="L410" i="9"/>
  <c r="K410" i="9"/>
  <c r="J410" i="9"/>
  <c r="I410" i="9"/>
  <c r="H410" i="9"/>
  <c r="G410" i="9"/>
  <c r="E410" i="9"/>
  <c r="D410" i="9"/>
  <c r="A410" i="9"/>
  <c r="J409" i="11"/>
  <c r="O409" i="9"/>
  <c r="N409" i="9"/>
  <c r="M409" i="9"/>
  <c r="L409" i="9"/>
  <c r="K409" i="9"/>
  <c r="J409" i="9"/>
  <c r="I409" i="9"/>
  <c r="H409" i="9"/>
  <c r="G409" i="9"/>
  <c r="E409" i="9"/>
  <c r="D409" i="9"/>
  <c r="A409" i="9"/>
  <c r="J407" i="11"/>
  <c r="O407" i="9"/>
  <c r="N407" i="9"/>
  <c r="M407" i="9"/>
  <c r="L407" i="9"/>
  <c r="K407" i="9"/>
  <c r="J407" i="9"/>
  <c r="I407" i="9"/>
  <c r="H407" i="9"/>
  <c r="G407" i="9"/>
  <c r="E407" i="9"/>
  <c r="D407" i="9"/>
  <c r="A407" i="9"/>
  <c r="J406" i="11"/>
  <c r="O406" i="9"/>
  <c r="N406" i="9"/>
  <c r="M406" i="9"/>
  <c r="L406" i="9"/>
  <c r="K406" i="9"/>
  <c r="J406" i="9"/>
  <c r="I406" i="9"/>
  <c r="H406" i="9"/>
  <c r="G406" i="9"/>
  <c r="E406" i="9"/>
  <c r="D406" i="9"/>
  <c r="A406" i="9"/>
  <c r="O405" i="9"/>
  <c r="N405" i="9"/>
  <c r="M405" i="9"/>
  <c r="L405" i="9"/>
  <c r="K405" i="9"/>
  <c r="J405" i="9"/>
  <c r="I405" i="9"/>
  <c r="H405" i="9"/>
  <c r="G405" i="9"/>
  <c r="E405" i="9"/>
  <c r="D405" i="9"/>
  <c r="A405" i="9"/>
  <c r="J404" i="11"/>
  <c r="O404" i="9"/>
  <c r="N404" i="9"/>
  <c r="M404" i="9"/>
  <c r="L404" i="9"/>
  <c r="K404" i="9"/>
  <c r="J404" i="9"/>
  <c r="I404" i="9"/>
  <c r="H404" i="9"/>
  <c r="G404" i="9"/>
  <c r="E404" i="9"/>
  <c r="D404" i="9"/>
  <c r="A404" i="9"/>
  <c r="O402" i="9"/>
  <c r="N402" i="9"/>
  <c r="M402" i="9"/>
  <c r="L402" i="9"/>
  <c r="K402" i="9"/>
  <c r="J402" i="9"/>
  <c r="I402" i="9"/>
  <c r="H402" i="9"/>
  <c r="G402" i="9"/>
  <c r="E402" i="9"/>
  <c r="D402" i="9"/>
  <c r="A402" i="9"/>
  <c r="O401" i="9"/>
  <c r="N401" i="9"/>
  <c r="M401" i="9"/>
  <c r="L401" i="9"/>
  <c r="K401" i="9"/>
  <c r="J401" i="9"/>
  <c r="I401" i="9"/>
  <c r="H401" i="9"/>
  <c r="G401" i="9"/>
  <c r="E401" i="9"/>
  <c r="D401" i="9"/>
  <c r="A401" i="9"/>
  <c r="O400" i="9"/>
  <c r="N400" i="9"/>
  <c r="M400" i="9"/>
  <c r="L400" i="9"/>
  <c r="K400" i="9"/>
  <c r="J400" i="9"/>
  <c r="I400" i="9"/>
  <c r="H400" i="9"/>
  <c r="G400" i="9"/>
  <c r="E400" i="9"/>
  <c r="D400" i="9"/>
  <c r="A400" i="9"/>
  <c r="O399" i="9"/>
  <c r="N399" i="9"/>
  <c r="M399" i="9"/>
  <c r="L399" i="9"/>
  <c r="K399" i="9"/>
  <c r="J399" i="9"/>
  <c r="I399" i="9"/>
  <c r="H399" i="9"/>
  <c r="G399" i="9"/>
  <c r="E399" i="9"/>
  <c r="D399" i="9"/>
  <c r="A399" i="9"/>
  <c r="O398" i="9"/>
  <c r="N398" i="9"/>
  <c r="M398" i="9"/>
  <c r="L398" i="9"/>
  <c r="K398" i="9"/>
  <c r="J398" i="9"/>
  <c r="I398" i="9"/>
  <c r="H398" i="9"/>
  <c r="G398" i="9"/>
  <c r="E398" i="9"/>
  <c r="D398" i="9"/>
  <c r="A398" i="9"/>
  <c r="O397" i="9"/>
  <c r="N397" i="9"/>
  <c r="M397" i="9"/>
  <c r="L397" i="9"/>
  <c r="K397" i="9"/>
  <c r="J397" i="9"/>
  <c r="I397" i="9"/>
  <c r="H397" i="9"/>
  <c r="G397" i="9"/>
  <c r="E397" i="9"/>
  <c r="D397" i="9"/>
  <c r="A397" i="9"/>
  <c r="O396" i="9"/>
  <c r="N396" i="9"/>
  <c r="M396" i="9"/>
  <c r="L396" i="9"/>
  <c r="K396" i="9"/>
  <c r="J396" i="9"/>
  <c r="I396" i="9"/>
  <c r="H396" i="9"/>
  <c r="G396" i="9"/>
  <c r="E396" i="9"/>
  <c r="D396" i="9"/>
  <c r="A396" i="9"/>
  <c r="O395" i="9"/>
  <c r="N395" i="9"/>
  <c r="M395" i="9"/>
  <c r="L395" i="9"/>
  <c r="K395" i="9"/>
  <c r="J395" i="9"/>
  <c r="I395" i="9"/>
  <c r="H395" i="9"/>
  <c r="G395" i="9"/>
  <c r="E395" i="9"/>
  <c r="D395" i="9"/>
  <c r="A395" i="9"/>
  <c r="O394" i="9"/>
  <c r="N394" i="9"/>
  <c r="M394" i="9"/>
  <c r="L394" i="9"/>
  <c r="K394" i="9"/>
  <c r="J394" i="9"/>
  <c r="I394" i="9"/>
  <c r="H394" i="9"/>
  <c r="G394" i="9"/>
  <c r="E394" i="9"/>
  <c r="D394" i="9"/>
  <c r="A394" i="9"/>
  <c r="O393" i="9"/>
  <c r="N393" i="9"/>
  <c r="M393" i="9"/>
  <c r="L393" i="9"/>
  <c r="K393" i="9"/>
  <c r="J393" i="9"/>
  <c r="I393" i="9"/>
  <c r="H393" i="9"/>
  <c r="G393" i="9"/>
  <c r="E393" i="9"/>
  <c r="D393" i="9"/>
  <c r="A393" i="9"/>
  <c r="O392" i="9"/>
  <c r="N392" i="9"/>
  <c r="M392" i="9"/>
  <c r="L392" i="9"/>
  <c r="K392" i="9"/>
  <c r="J392" i="9"/>
  <c r="I392" i="9"/>
  <c r="H392" i="9"/>
  <c r="G392" i="9"/>
  <c r="E392" i="9"/>
  <c r="D392" i="9"/>
  <c r="A392" i="9"/>
  <c r="O391" i="9"/>
  <c r="N391" i="9"/>
  <c r="M391" i="9"/>
  <c r="L391" i="9"/>
  <c r="K391" i="9"/>
  <c r="J391" i="9"/>
  <c r="I391" i="9"/>
  <c r="H391" i="9"/>
  <c r="G391" i="9"/>
  <c r="E391" i="9"/>
  <c r="D391" i="9"/>
  <c r="A391" i="9"/>
  <c r="O390" i="9"/>
  <c r="N390" i="9"/>
  <c r="M390" i="9"/>
  <c r="L390" i="9"/>
  <c r="K390" i="9"/>
  <c r="J390" i="9"/>
  <c r="I390" i="9"/>
  <c r="H390" i="9"/>
  <c r="G390" i="9"/>
  <c r="E390" i="9"/>
  <c r="D390" i="9"/>
  <c r="A390" i="9"/>
  <c r="O387" i="9"/>
  <c r="N387" i="9"/>
  <c r="M387" i="9"/>
  <c r="L387" i="9"/>
  <c r="K387" i="9"/>
  <c r="J387" i="9"/>
  <c r="I387" i="9"/>
  <c r="H387" i="9"/>
  <c r="G387" i="9"/>
  <c r="E387" i="9"/>
  <c r="D387" i="9"/>
  <c r="A387" i="9"/>
  <c r="M258" i="10"/>
  <c r="T258" i="10"/>
  <c r="W258" i="10"/>
  <c r="V258" i="10"/>
  <c r="X258" i="10"/>
  <c r="U258" i="10"/>
  <c r="Y258" i="10"/>
  <c r="N258" i="10"/>
  <c r="Q258" i="10"/>
  <c r="P258" i="10"/>
  <c r="R258" i="10"/>
  <c r="O258" i="10"/>
  <c r="S258" i="10"/>
  <c r="G258" i="10"/>
  <c r="J258" i="10"/>
  <c r="I258" i="10"/>
  <c r="K258" i="10"/>
  <c r="H258" i="10"/>
  <c r="L258" i="10"/>
  <c r="M257" i="10"/>
  <c r="T257" i="10"/>
  <c r="W257" i="10"/>
  <c r="V257" i="10"/>
  <c r="X257" i="10"/>
  <c r="U257" i="10"/>
  <c r="Y257" i="10"/>
  <c r="N257" i="10"/>
  <c r="Q257" i="10"/>
  <c r="P257" i="10"/>
  <c r="R257" i="10"/>
  <c r="O257" i="10"/>
  <c r="S257" i="10"/>
  <c r="G257" i="10"/>
  <c r="J257" i="10"/>
  <c r="I257" i="10"/>
  <c r="K257" i="10"/>
  <c r="H257" i="10"/>
  <c r="L257" i="10"/>
  <c r="M256" i="10"/>
  <c r="T256" i="10"/>
  <c r="W256" i="10"/>
  <c r="V256" i="10"/>
  <c r="X256" i="10"/>
  <c r="U256" i="10"/>
  <c r="Y256" i="10"/>
  <c r="N256" i="10"/>
  <c r="Q256" i="10"/>
  <c r="P256" i="10"/>
  <c r="R256" i="10"/>
  <c r="O256" i="10"/>
  <c r="S256" i="10"/>
  <c r="G256" i="10"/>
  <c r="J256" i="10"/>
  <c r="I256" i="10"/>
  <c r="K256" i="10"/>
  <c r="H256" i="10"/>
  <c r="L256" i="10"/>
  <c r="T255" i="10"/>
  <c r="W255" i="10"/>
  <c r="V255" i="10"/>
  <c r="X255" i="10"/>
  <c r="U255" i="10"/>
  <c r="Y255" i="10"/>
  <c r="G255" i="10"/>
  <c r="J255" i="10"/>
  <c r="I255" i="10"/>
  <c r="K255" i="10"/>
  <c r="H255" i="10"/>
  <c r="L255" i="10"/>
  <c r="M254" i="10"/>
  <c r="T254" i="10"/>
  <c r="W254" i="10"/>
  <c r="V254" i="10"/>
  <c r="X254" i="10"/>
  <c r="U254" i="10"/>
  <c r="Y254" i="10"/>
  <c r="N254" i="10"/>
  <c r="Q254" i="10"/>
  <c r="P254" i="10"/>
  <c r="R254" i="10"/>
  <c r="O254" i="10"/>
  <c r="S254" i="10"/>
  <c r="G254" i="10"/>
  <c r="J254" i="10"/>
  <c r="I254" i="10"/>
  <c r="K254" i="10"/>
  <c r="H254" i="10"/>
  <c r="L254" i="10"/>
  <c r="M253" i="10"/>
  <c r="T253" i="10"/>
  <c r="W253" i="10"/>
  <c r="V253" i="10"/>
  <c r="X253" i="10"/>
  <c r="U253" i="10"/>
  <c r="Y253" i="10"/>
  <c r="N253" i="10"/>
  <c r="Q253" i="10"/>
  <c r="P253" i="10"/>
  <c r="R253" i="10"/>
  <c r="O253" i="10"/>
  <c r="S253" i="10"/>
  <c r="G253" i="10"/>
  <c r="J253" i="10"/>
  <c r="I253" i="10"/>
  <c r="K253" i="10"/>
  <c r="H253" i="10"/>
  <c r="L253" i="10"/>
  <c r="T251" i="10"/>
  <c r="W251" i="10"/>
  <c r="V251" i="10"/>
  <c r="X251" i="10"/>
  <c r="U251" i="10"/>
  <c r="Y251" i="10"/>
  <c r="G251" i="10"/>
  <c r="J251" i="10"/>
  <c r="I251" i="10"/>
  <c r="K251" i="10"/>
  <c r="H251" i="10"/>
  <c r="L251" i="10"/>
  <c r="M249" i="10"/>
  <c r="T249" i="10"/>
  <c r="W249" i="10"/>
  <c r="V249" i="10"/>
  <c r="X249" i="10"/>
  <c r="U249" i="10"/>
  <c r="Y249" i="10"/>
  <c r="N249" i="10"/>
  <c r="Q249" i="10"/>
  <c r="P249" i="10"/>
  <c r="R249" i="10"/>
  <c r="O249" i="10"/>
  <c r="S249" i="10"/>
  <c r="G249" i="10"/>
  <c r="J249" i="10"/>
  <c r="I249" i="10"/>
  <c r="K249" i="10"/>
  <c r="H249" i="10"/>
  <c r="L249" i="10"/>
  <c r="M248" i="10"/>
  <c r="T248" i="10"/>
  <c r="W248" i="10"/>
  <c r="V248" i="10"/>
  <c r="X248" i="10"/>
  <c r="U248" i="10"/>
  <c r="Y248" i="10"/>
  <c r="N248" i="10"/>
  <c r="Q248" i="10"/>
  <c r="P248" i="10"/>
  <c r="R248" i="10"/>
  <c r="O248" i="10"/>
  <c r="S248" i="10"/>
  <c r="G248" i="10"/>
  <c r="J248" i="10"/>
  <c r="I248" i="10"/>
  <c r="K248" i="10"/>
  <c r="H248" i="10"/>
  <c r="L248" i="10"/>
  <c r="M247" i="10"/>
  <c r="T247" i="10"/>
  <c r="W247" i="10"/>
  <c r="V247" i="10"/>
  <c r="X247" i="10"/>
  <c r="U247" i="10"/>
  <c r="Y247" i="10"/>
  <c r="N247" i="10"/>
  <c r="Q247" i="10"/>
  <c r="P247" i="10"/>
  <c r="R247" i="10"/>
  <c r="O247" i="10"/>
  <c r="S247" i="10"/>
  <c r="G247" i="10"/>
  <c r="J247" i="10"/>
  <c r="I247" i="10"/>
  <c r="K247" i="10"/>
  <c r="H247" i="10"/>
  <c r="L247" i="10"/>
  <c r="M246" i="10"/>
  <c r="T246" i="10"/>
  <c r="W246" i="10"/>
  <c r="V246" i="10"/>
  <c r="X246" i="10"/>
  <c r="U246" i="10"/>
  <c r="Y246" i="10"/>
  <c r="N246" i="10"/>
  <c r="Q246" i="10"/>
  <c r="P246" i="10"/>
  <c r="R246" i="10"/>
  <c r="O246" i="10"/>
  <c r="S246" i="10"/>
  <c r="G246" i="10"/>
  <c r="J246" i="10"/>
  <c r="I246" i="10"/>
  <c r="K246" i="10"/>
  <c r="H246" i="10"/>
  <c r="L246" i="10"/>
  <c r="M245" i="10"/>
  <c r="T245" i="10"/>
  <c r="W245" i="10"/>
  <c r="V245" i="10"/>
  <c r="X245" i="10"/>
  <c r="U245" i="10"/>
  <c r="Y245" i="10"/>
  <c r="N245" i="10"/>
  <c r="Q245" i="10"/>
  <c r="P245" i="10"/>
  <c r="R245" i="10"/>
  <c r="O245" i="10"/>
  <c r="S245" i="10"/>
  <c r="G245" i="10"/>
  <c r="J245" i="10"/>
  <c r="I245" i="10"/>
  <c r="K245" i="10"/>
  <c r="H245" i="10"/>
  <c r="L245" i="10"/>
  <c r="M244" i="10"/>
  <c r="T244" i="10"/>
  <c r="W244" i="10"/>
  <c r="V244" i="10"/>
  <c r="X244" i="10"/>
  <c r="U244" i="10"/>
  <c r="Y244" i="10"/>
  <c r="N244" i="10"/>
  <c r="Q244" i="10"/>
  <c r="P244" i="10"/>
  <c r="R244" i="10"/>
  <c r="O244" i="10"/>
  <c r="S244" i="10"/>
  <c r="G244" i="10"/>
  <c r="J244" i="10"/>
  <c r="I244" i="10"/>
  <c r="K244" i="10"/>
  <c r="H244" i="10"/>
  <c r="L244" i="10"/>
  <c r="Y17" i="7"/>
  <c r="W17" i="7"/>
  <c r="U17" i="7"/>
  <c r="R17" i="7"/>
  <c r="Q17" i="7"/>
  <c r="P17" i="7"/>
  <c r="O17" i="7"/>
  <c r="N17" i="7"/>
  <c r="H1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J17" i="7"/>
  <c r="I17" i="7"/>
  <c r="D17" i="7"/>
  <c r="F17" i="7"/>
  <c r="E17" i="7"/>
  <c r="A17" i="7"/>
  <c r="Y16" i="7"/>
  <c r="W16" i="7"/>
  <c r="U16" i="7"/>
  <c r="R16" i="7"/>
  <c r="Q16" i="7"/>
  <c r="P16" i="7"/>
  <c r="O16" i="7"/>
  <c r="N16" i="7"/>
  <c r="H16" i="7"/>
  <c r="J16" i="7"/>
  <c r="I16" i="7"/>
  <c r="D16" i="7"/>
  <c r="F16" i="7"/>
  <c r="E16" i="7"/>
  <c r="A16" i="7"/>
  <c r="Y15" i="7"/>
  <c r="W15" i="7"/>
  <c r="U15" i="7"/>
  <c r="R15" i="7"/>
  <c r="Q15" i="7"/>
  <c r="P15" i="7"/>
  <c r="O15" i="7"/>
  <c r="N15" i="7"/>
  <c r="H15" i="7"/>
  <c r="J15" i="7"/>
  <c r="I15" i="7"/>
  <c r="D15" i="7"/>
  <c r="F15" i="7"/>
  <c r="E15" i="7"/>
  <c r="A15" i="7"/>
  <c r="Y14" i="7"/>
  <c r="W14" i="7"/>
  <c r="U14" i="7"/>
  <c r="R14" i="7"/>
  <c r="Q14" i="7"/>
  <c r="P14" i="7"/>
  <c r="O14" i="7"/>
  <c r="N14" i="7"/>
  <c r="H14" i="7"/>
  <c r="J14" i="7"/>
  <c r="I14" i="7"/>
  <c r="D14" i="7"/>
  <c r="F14" i="7"/>
  <c r="E14" i="7"/>
  <c r="A14" i="7"/>
  <c r="Y13" i="7"/>
  <c r="W13" i="7"/>
  <c r="U13" i="7"/>
  <c r="R13" i="7"/>
  <c r="Q13" i="7"/>
  <c r="P13" i="7"/>
  <c r="O13" i="7"/>
  <c r="N13" i="7"/>
  <c r="H13" i="7"/>
  <c r="J13" i="7"/>
  <c r="I13" i="7"/>
  <c r="D13" i="7"/>
  <c r="F13" i="7"/>
  <c r="E13" i="7"/>
  <c r="A13" i="7"/>
  <c r="Y12" i="7"/>
  <c r="W12" i="7"/>
  <c r="U12" i="7"/>
  <c r="R12" i="7"/>
  <c r="Q12" i="7"/>
  <c r="P12" i="7"/>
  <c r="O12" i="7"/>
  <c r="N12" i="7"/>
  <c r="H12" i="7"/>
  <c r="J12" i="7"/>
  <c r="I12" i="7"/>
  <c r="D12" i="7"/>
  <c r="F12" i="7"/>
  <c r="E12" i="7"/>
  <c r="A12" i="7"/>
  <c r="Y11" i="7"/>
  <c r="W11" i="7"/>
  <c r="U11" i="7"/>
  <c r="R11" i="7"/>
  <c r="Q11" i="7"/>
  <c r="P11" i="7"/>
  <c r="O11" i="7"/>
  <c r="N11" i="7"/>
  <c r="H11" i="7"/>
  <c r="J11" i="7"/>
  <c r="I11" i="7"/>
  <c r="D11" i="7"/>
  <c r="F11" i="7"/>
  <c r="E11" i="7"/>
  <c r="A11" i="7"/>
  <c r="Y10" i="7"/>
  <c r="W10" i="7"/>
  <c r="U10" i="7"/>
  <c r="R10" i="7"/>
  <c r="Q10" i="7"/>
  <c r="P10" i="7"/>
  <c r="O10" i="7"/>
  <c r="N10" i="7"/>
  <c r="H10" i="7"/>
  <c r="J10" i="7"/>
  <c r="I10" i="7"/>
  <c r="D10" i="7"/>
  <c r="F10" i="7"/>
  <c r="E10" i="7"/>
  <c r="A10" i="7"/>
  <c r="Y9" i="7"/>
  <c r="W9" i="7"/>
  <c r="U9" i="7"/>
  <c r="R9" i="7"/>
  <c r="Q9" i="7"/>
  <c r="P9" i="7"/>
  <c r="O9" i="7"/>
  <c r="N9" i="7"/>
  <c r="H9" i="7"/>
  <c r="J9" i="7"/>
  <c r="I9" i="7"/>
  <c r="D9" i="7"/>
  <c r="F9" i="7"/>
  <c r="E9" i="7"/>
  <c r="A9" i="7"/>
  <c r="Y8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25" i="1"/>
  <c r="AF25" i="1"/>
  <c r="AI25" i="1"/>
  <c r="AG25" i="1"/>
  <c r="AE25" i="1"/>
  <c r="X25" i="1"/>
  <c r="V25" i="1"/>
  <c r="T25" i="1"/>
  <c r="Q25" i="1"/>
  <c r="P25" i="1"/>
  <c r="O25" i="1"/>
  <c r="N25" i="1"/>
  <c r="M25" i="1"/>
  <c r="H25" i="1"/>
  <c r="J25" i="1"/>
  <c r="I25" i="1"/>
  <c r="D25" i="1"/>
  <c r="F25" i="1"/>
  <c r="E25" i="1"/>
  <c r="A25" i="1"/>
  <c r="AD24" i="1"/>
  <c r="AF24" i="1"/>
  <c r="AI24" i="1"/>
  <c r="AG24" i="1"/>
  <c r="AE24" i="1"/>
  <c r="X24" i="1"/>
  <c r="V24" i="1"/>
  <c r="T24" i="1"/>
  <c r="Q24" i="1"/>
  <c r="P24" i="1"/>
  <c r="O24" i="1"/>
  <c r="N24" i="1"/>
  <c r="M24" i="1"/>
  <c r="H24" i="1"/>
  <c r="J24" i="1"/>
  <c r="I24" i="1"/>
  <c r="D24" i="1"/>
  <c r="F24" i="1"/>
  <c r="E24" i="1"/>
  <c r="A24" i="1"/>
  <c r="AD23" i="1"/>
  <c r="AF23" i="1"/>
  <c r="AI23" i="1"/>
  <c r="AG23" i="1"/>
  <c r="AE23" i="1"/>
  <c r="X23" i="1"/>
  <c r="V23" i="1"/>
  <c r="T23" i="1"/>
  <c r="Q23" i="1"/>
  <c r="P23" i="1"/>
  <c r="O23" i="1"/>
  <c r="N23" i="1"/>
  <c r="M23" i="1"/>
  <c r="H23" i="1"/>
  <c r="J23" i="1"/>
  <c r="I23" i="1"/>
  <c r="D23" i="1"/>
  <c r="F23" i="1"/>
  <c r="E23" i="1"/>
  <c r="A23" i="1"/>
  <c r="AD22" i="1"/>
  <c r="AF22" i="1"/>
  <c r="AI22" i="1"/>
  <c r="AG22" i="1"/>
  <c r="AE22" i="1"/>
  <c r="X22" i="1"/>
  <c r="V22" i="1"/>
  <c r="T22" i="1"/>
  <c r="Q22" i="1"/>
  <c r="P22" i="1"/>
  <c r="O22" i="1"/>
  <c r="N22" i="1"/>
  <c r="M22" i="1"/>
  <c r="H22" i="1"/>
  <c r="J22" i="1"/>
  <c r="I22" i="1"/>
  <c r="D22" i="1"/>
  <c r="F22" i="1"/>
  <c r="E22" i="1"/>
  <c r="A22" i="1"/>
  <c r="AD21" i="1"/>
  <c r="AF21" i="1"/>
  <c r="AI21" i="1"/>
  <c r="AG21" i="1"/>
  <c r="AE21" i="1"/>
  <c r="X21" i="1"/>
  <c r="V21" i="1"/>
  <c r="T21" i="1"/>
  <c r="Q21" i="1"/>
  <c r="P21" i="1"/>
  <c r="O21" i="1"/>
  <c r="N21" i="1"/>
  <c r="M21" i="1"/>
  <c r="H21" i="1"/>
  <c r="J21" i="1"/>
  <c r="I21" i="1"/>
  <c r="D21" i="1"/>
  <c r="F21" i="1"/>
  <c r="E21" i="1"/>
  <c r="A21" i="1"/>
  <c r="AD20" i="1"/>
  <c r="AF20" i="1"/>
  <c r="AI20" i="1"/>
  <c r="AG20" i="1"/>
  <c r="AE20" i="1"/>
  <c r="X20" i="1"/>
  <c r="V20" i="1"/>
  <c r="T20" i="1"/>
  <c r="Q20" i="1"/>
  <c r="P20" i="1"/>
  <c r="O20" i="1"/>
  <c r="N20" i="1"/>
  <c r="M20" i="1"/>
  <c r="H20" i="1"/>
  <c r="J20" i="1"/>
  <c r="I20" i="1"/>
  <c r="D20" i="1"/>
  <c r="F20" i="1"/>
  <c r="E20" i="1"/>
  <c r="A20" i="1"/>
  <c r="AD19" i="1"/>
  <c r="AF19" i="1"/>
  <c r="AI19" i="1"/>
  <c r="AG19" i="1"/>
  <c r="AE19" i="1"/>
  <c r="X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D18" i="1"/>
  <c r="AF18" i="1"/>
  <c r="AI18" i="1"/>
  <c r="AG18" i="1"/>
  <c r="AE18" i="1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D17" i="1"/>
  <c r="AF17" i="1"/>
  <c r="AI17" i="1"/>
  <c r="AG17" i="1"/>
  <c r="AE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17" i="2"/>
  <c r="E17" i="2"/>
  <c r="D17" i="2"/>
  <c r="H2" i="1"/>
  <c r="B17" i="2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E13" i="16"/>
  <c r="N2" i="22"/>
  <c r="G2" i="22"/>
  <c r="F2" i="22"/>
  <c r="D2" i="22"/>
  <c r="C2" i="22"/>
  <c r="A2" i="22"/>
  <c r="B41" i="21"/>
  <c r="I41" i="21"/>
  <c r="J41" i="21"/>
  <c r="G41" i="21"/>
  <c r="F41" i="21"/>
  <c r="D41" i="21"/>
  <c r="C41" i="21"/>
  <c r="E12" i="16"/>
  <c r="E11" i="16"/>
  <c r="E10" i="16"/>
  <c r="C2" i="18"/>
  <c r="D2" i="18"/>
  <c r="O386" i="9"/>
  <c r="N386" i="9"/>
  <c r="M386" i="9"/>
  <c r="L386" i="9"/>
  <c r="K386" i="9"/>
  <c r="J386" i="9"/>
  <c r="I386" i="9"/>
  <c r="H386" i="9"/>
  <c r="G386" i="9"/>
  <c r="E386" i="9"/>
  <c r="D386" i="9"/>
  <c r="E9" i="16"/>
  <c r="Y2" i="7"/>
  <c r="X2" i="1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42" i="10"/>
  <c r="T242" i="10"/>
  <c r="V242" i="10"/>
  <c r="N242" i="10"/>
  <c r="P242" i="10"/>
  <c r="G242" i="10"/>
  <c r="I242" i="10"/>
  <c r="X242" i="10"/>
  <c r="W242" i="10"/>
  <c r="U242" i="10"/>
  <c r="Y242" i="10"/>
  <c r="R242" i="10"/>
  <c r="Q242" i="10"/>
  <c r="O242" i="10"/>
  <c r="S242" i="10"/>
  <c r="K242" i="10"/>
  <c r="J242" i="10"/>
  <c r="H242" i="10"/>
  <c r="L242" i="10"/>
  <c r="AI2" i="1"/>
  <c r="H2" i="7"/>
  <c r="J2" i="7"/>
  <c r="E8" i="16"/>
  <c r="E7" i="16"/>
  <c r="E6" i="16"/>
  <c r="E5" i="16"/>
  <c r="E4" i="16"/>
  <c r="E3" i="16"/>
  <c r="E2" i="16"/>
  <c r="A2" i="1"/>
  <c r="A386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<sst xmlns="http://schemas.openxmlformats.org/spreadsheetml/2006/main" count="3760" uniqueCount="633">
  <si>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</si>
  <si>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</si>
  <si>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</si>
  <si>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</si>
  <si>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</si>
  <si>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</si>
  <si>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</si>
  <si>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</si>
  <si>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</si>
  <si>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</si>
  <si>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</si>
  <si>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</si>
  <si>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</si>
  <si>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</si>
  <si>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</si>
  <si>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</si>
  <si>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</si>
  <si>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</si>
  <si>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</si>
  <si>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</si>
  <si>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</si>
  <si>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</si>
  <si>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</si>
  <si>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</si>
  <si>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</si>
  <si>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</si>
  <si>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</si>
  <si>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</si>
  <si>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</si>
  <si>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</si>
  <si>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</si>
  <si>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</si>
  <si>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</si>
  <si>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</si>
  <si>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</si>
  <si>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</si>
  <si>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</si>
  <si>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</si>
  <si>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</si>
  <si>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</si>
  <si>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</si>
  <si>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</si>
  <si>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</si>
  <si>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</si>
  <si>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</si>
  <si>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</si>
  <si>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</si>
  <si>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</si>
  <si>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</si>
  <si>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</si>
  <si>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</si>
  <si>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</si>
  <si>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</si>
  <si>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</si>
  <si>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</si>
  <si>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</si>
  <si>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</si>
  <si>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</si>
  <si>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</si>
  <si>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</si>
  <si>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</si>
  <si>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</si>
  <si>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</si>
  <si>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</si>
  <si>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</si>
  <si>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</si>
  <si>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</si>
  <si>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</si>
  <si>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</si>
  <si>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</si>
  <si>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</si>
  <si>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</si>
  <si>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</si>
  <si>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</si>
  <si>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</si>
  <si>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</si>
  <si>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</si>
  <si>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</si>
  <si>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</si>
  <si>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</si>
  <si>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</si>
  <si>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</si>
  <si>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</si>
  <si>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</si>
  <si>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</si>
  <si>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</si>
  <si>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</si>
  <si>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</si>
  <si>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</si>
  <si>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</si>
  <si>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</si>
  <si>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</si>
  <si>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</si>
  <si>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</si>
  <si>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</si>
  <si>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</si>
  <si>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</si>
  <si>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</si>
  <si>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</si>
  <si>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</si>
  <si>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</si>
  <si>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</si>
  <si>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</si>
  <si>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</si>
  <si>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</si>
  <si>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</si>
  <si>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</si>
  <si>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</si>
  <si>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</si>
  <si>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</si>
  <si>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</si>
  <si>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</si>
  <si>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</si>
  <si>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</si>
  <si>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</si>
  <si>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</si>
  <si>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</si>
  <si>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</si>
  <si>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</si>
  <si>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</si>
  <si>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</si>
  <si>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</si>
  <si>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</si>
  <si>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</si>
  <si>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</si>
  <si>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</si>
  <si>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</si>
  <si>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</si>
  <si>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</si>
  <si>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</si>
  <si>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</si>
  <si>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</si>
  <si>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</si>
  <si>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</si>
  <si>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</si>
  <si>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</si>
  <si>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</si>
  <si>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</si>
  <si>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</si>
  <si>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</si>
  <si>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</si>
  <si>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</si>
  <si>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</si>
  <si>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</si>
  <si>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</si>
  <si>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</si>
  <si>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</si>
  <si>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</si>
  <si>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</si>
  <si>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</si>
  <si>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</si>
  <si>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</si>
  <si>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</si>
  <si>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</si>
  <si>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</si>
  <si>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</si>
  <si>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</si>
  <si>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</si>
  <si>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</si>
  <si>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</si>
  <si>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</si>
  <si>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</si>
  <si>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</si>
  <si>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</si>
  <si>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</si>
  <si>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</si>
  <si>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</si>
  <si>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</si>
  <si>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</si>
  <si>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</si>
  <si>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</si>
  <si>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</si>
  <si>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</si>
  <si>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</si>
  <si>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</si>
  <si>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</si>
  <si>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</si>
  <si>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</si>
  <si>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</si>
  <si>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</si>
  <si>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</si>
  <si>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</si>
  <si>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</si>
  <si>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</si>
  <si>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</si>
  <si>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</si>
  <si>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</si>
  <si>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</si>
  <si>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</si>
  <si>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</si>
  <si>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</si>
  <si>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</si>
  <si>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</si>
  <si>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</si>
  <si>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</si>
  <si>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</si>
  <si>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</si>
  <si>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</si>
  <si>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</si>
  <si>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</si>
  <si>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</si>
  <si>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</si>
  <si>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</si>
  <si>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</si>
  <si>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</si>
  <si>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</si>
  <si>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</si>
  <si>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</si>
  <si>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</si>
  <si>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</si>
  <si>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</si>
  <si>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</si>
  <si>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</si>
  <si>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</si>
  <si>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</si>
  <si>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</si>
  <si>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</si>
  <si>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</si>
  <si>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</si>
  <si>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</si>
  <si>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</si>
  <si>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</si>
  <si>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</si>
  <si>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</si>
  <si>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</si>
  <si>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</si>
  <si>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</si>
  <si>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</si>
  <si>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</si>
  <si>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</si>
  <si>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</si>
  <si>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</si>
  <si>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</si>
  <si>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</si>
  <si>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</si>
  <si>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</si>
  <si>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</si>
  <si>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</si>
  <si>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</si>
  <si>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</si>
  <si>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</si>
  <si>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</si>
  <si>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</si>
  <si>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</si>
  <si>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</si>
  <si>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</si>
  <si>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</si>
  <si>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</si>
  <si>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</si>
  <si>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</si>
  <si>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</si>
  <si>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</si>
  <si>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</si>
  <si>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</si>
  <si>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</si>
  <si>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</si>
  <si>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全体攻撃</t>
  </si>
  <si>
    <t>全体攻撃</t>
    <phoneticPr fontId="5"/>
  </si>
  <si>
    <t>全体攻撃</t>
    <phoneticPr fontId="5"/>
  </si>
  <si>
    <t>赤パネルを青のダメージパネルに変換+単体攻撃</t>
  </si>
  <si>
    <t>緑パネルを青のダメージパネルに変換+単体攻撃</t>
  </si>
  <si>
    <t>緑パネルを青パネルに変換+単体攻撃</t>
    <phoneticPr fontId="5"/>
  </si>
  <si>
    <t>全体攻撃</t>
    <phoneticPr fontId="5"/>
  </si>
  <si>
    <t>null</t>
    <phoneticPr fontId="5"/>
  </si>
  <si>
    <t>雪の妖精みたい…綺麗ね…</t>
    <phoneticPr fontId="5"/>
  </si>
  <si>
    <t>ふふっ名前の通り
聖夜がお似合いね♪</t>
    <phoneticPr fontId="5"/>
  </si>
  <si>
    <t>聖夜に舞う天使…ってところかしら？</t>
    <phoneticPr fontId="5"/>
  </si>
  <si>
    <t>あら、今年はプロメテウスはいないの？
きっと悲しんでるわよ？</t>
    <phoneticPr fontId="5"/>
  </si>
  <si>
    <t>そのバイクならプレゼント運びも楽チンね♪</t>
    <phoneticPr fontId="5"/>
  </si>
  <si>
    <t>美しいサンタクロースだな…
まぁ、テラベルや俺程ではないがな！</t>
    <phoneticPr fontId="5"/>
  </si>
  <si>
    <t>その綺麗な声で
キャロルを聞かせてくれるのか？</t>
    <phoneticPr fontId="5"/>
  </si>
  <si>
    <t>おや、俺たちに福音を届けてくれるのか？
天使様らしいな</t>
    <phoneticPr fontId="5"/>
  </si>
  <si>
    <t>去年より一段と色っぽいな
あいつが見たらどう思うのか…</t>
    <phoneticPr fontId="5"/>
  </si>
  <si>
    <t>ベリアル、今年もご苦労さん
さてプレゼントは何かな…？</t>
    <phoneticPr fontId="5"/>
  </si>
  <si>
    <t>わぁ！ラチカさん
聖夜に雪を降らせてくださいな！</t>
    <phoneticPr fontId="5"/>
  </si>
  <si>
    <t>マリアさん！
聖夜の奇跡見せてください！</t>
    <phoneticPr fontId="5"/>
  </si>
  <si>
    <t>オセさん、皆の笑顔のために
一緒に頑張りましょ♪</t>
    <phoneticPr fontId="5"/>
  </si>
  <si>
    <t>ベリアルさんのバイクの後ろに
乗ってみたいです！</t>
    <phoneticPr fontId="5"/>
  </si>
  <si>
    <t>さーて、ラチカ！みんなを驚かす為に
手伝ってくれよな！</t>
    <phoneticPr fontId="5"/>
  </si>
  <si>
    <t>やっぱりクリスマスの夜は
マリアがいなくちゃ始まらねぇな！</t>
    <phoneticPr fontId="5"/>
  </si>
  <si>
    <t>ミカエル！今年も
かっ飛ばしていこうぜ！</t>
    <phoneticPr fontId="5"/>
  </si>
  <si>
    <t>さぁ、オセ！
クリスマスは俺たちの独壇場だぜ！</t>
    <phoneticPr fontId="5"/>
  </si>
  <si>
    <t>あら、新入りさん？
可愛らしいサンタさんね♪</t>
    <phoneticPr fontId="5"/>
  </si>
  <si>
    <t>今年も聖夜を祝福しているのね！
ふふっ私もやる気が湧いてきたわ！</t>
    <phoneticPr fontId="5"/>
  </si>
  <si>
    <t>快活なサンタさんね！
さぁ一緒に頑張りましょ！</t>
    <phoneticPr fontId="5"/>
  </si>
  <si>
    <t>え？プロメテウスにも見せてやりたい？
も、もう！やめてよね！</t>
    <phoneticPr fontId="5"/>
  </si>
  <si>
    <t>ラチカ…君は僕の心を
救うことができるかい…？</t>
    <phoneticPr fontId="5"/>
  </si>
  <si>
    <t>聖母の名にふさわしい優しさ…
見せてくれるかな？</t>
    <phoneticPr fontId="5"/>
  </si>
  <si>
    <t>僕にも天使の祝福を…？
もったいないよ…</t>
    <phoneticPr fontId="5"/>
  </si>
  <si>
    <t>随分大胆な衣装のサンタだね…
プレゼントをくれるのかい？</t>
    <phoneticPr fontId="5"/>
  </si>
  <si>
    <t>その君の熱さで僕の凍った心…
溶かすことができるかい？</t>
    <phoneticPr fontId="5"/>
  </si>
  <si>
    <t>黄パネルを青のダメージパネルに5個変換+単体攻撃</t>
    <phoneticPr fontId="5"/>
  </si>
  <si>
    <t>2回連続全体攻撃+
ハートパネルを赤のダメージパネルに変換</t>
    <phoneticPr fontId="5"/>
  </si>
  <si>
    <t>ハートパネルを吸収して攻撃</t>
    <phoneticPr fontId="5"/>
  </si>
  <si>
    <t>ハートパネルドロップ率DOWN+フィーバーゲージ減少</t>
    <phoneticPr fontId="5"/>
  </si>
  <si>
    <t>ハートパネルドロップ率DOWN</t>
  </si>
  <si>
    <t>ハートパネルを青のダメージパネルに変換+単体攻撃</t>
    <phoneticPr fontId="5"/>
  </si>
  <si>
    <t>25回連続攻撃</t>
    <phoneticPr fontId="5"/>
  </si>
  <si>
    <t>青パネルを赤パネルに10個変換+単体攻撃+行動頻度UP</t>
    <phoneticPr fontId="5"/>
  </si>
  <si>
    <t>赤パネルを青パネルに変換+単体攻撃</t>
    <phoneticPr fontId="5"/>
  </si>
  <si>
    <t>？？？「待って下さい！」</t>
    <phoneticPr fontId="5"/>
  </si>
  <si>
    <t>それでは、楽しいクリスマスを心から祈っています！</t>
    <phoneticPr fontId="5"/>
  </si>
  <si>
    <t>大きな雪だるま…？
そういえばさっき見た気がするな</t>
    <phoneticPr fontId="5"/>
  </si>
  <si>
    <t>メリークリスマス♪</t>
    <phoneticPr fontId="5"/>
  </si>
  <si>
    <t>素敵な夜ね
あなた方も楽しんでいるかしら？</t>
    <phoneticPr fontId="5"/>
  </si>
  <si>
    <t>それにしても今日は特別に寒いわね…
何かあったのかしら…</t>
    <phoneticPr fontId="5"/>
  </si>
  <si>
    <t>このプレゼントか？
たまにはこんな事でもしてみようかと思ってな</t>
    <phoneticPr fontId="5"/>
  </si>
  <si>
    <t>メリークリスマス！っと</t>
    <phoneticPr fontId="5"/>
  </si>
  <si>
    <t>星誕の降儀・白式</t>
    <phoneticPr fontId="5"/>
  </si>
  <si>
    <t>……</t>
    <phoneticPr fontId="5"/>
  </si>
  <si>
    <t>その結晶は鏡の欠片のよう</t>
    <phoneticPr fontId="5"/>
  </si>
  <si>
    <t>……！！</t>
    <phoneticPr fontId="5"/>
  </si>
  <si>
    <t>眠りに誘う氷激</t>
    <phoneticPr fontId="5"/>
  </si>
  <si>
    <t>みなさんお揃いですか！</t>
    <phoneticPr fontId="5"/>
  </si>
  <si>
    <t>この後の予定…？
それくらい私にだってあるわよ！</t>
    <phoneticPr fontId="5"/>
  </si>
  <si>
    <t>…えぇ、この寒さは彼の影響でもあるんです</t>
    <phoneticPr fontId="5"/>
  </si>
  <si>
    <t>よう、お前達！
プレゼントを持ってきてやったぜ！</t>
    <phoneticPr fontId="5"/>
  </si>
  <si>
    <t>心が燃えていれば
寒さなんか感じないってね！</t>
    <phoneticPr fontId="5"/>
  </si>
  <si>
    <t>聖夜のエキゾーストノート</t>
    <phoneticPr fontId="5"/>
  </si>
  <si>
    <t>まだ追ってくるのかい？
…しつこいんだね</t>
    <phoneticPr fontId="5"/>
  </si>
  <si>
    <t>雪の精とともに</t>
    <phoneticPr fontId="5"/>
  </si>
  <si>
    <t>炎も凍てつく氷の中へ</t>
    <phoneticPr fontId="5"/>
  </si>
  <si>
    <t>僕だって好きでこうなったわけじゃないんだ！</t>
    <phoneticPr fontId="5"/>
  </si>
  <si>
    <t>仲間…そんなもの全部嘘だったんだ…</t>
    <phoneticPr fontId="5"/>
  </si>
  <si>
    <t>いい加減にしてくれないかな…</t>
    <phoneticPr fontId="5"/>
  </si>
  <si>
    <t>僕は何も覚えてなんかいないし…</t>
    <phoneticPr fontId="5"/>
  </si>
  <si>
    <t>今更…何を言おうと…</t>
    <phoneticPr fontId="5"/>
  </si>
  <si>
    <t>あれ…？　これは何が…？</t>
    <phoneticPr fontId="5"/>
  </si>
  <si>
    <t>なぜ、勝手に…！？</t>
    <phoneticPr fontId="5"/>
  </si>
  <si>
    <t>えっ？
シュプールの事、代わりに探してくれるの？</t>
    <phoneticPr fontId="5"/>
  </si>
  <si>
    <t>君達はなぜ…僕なんかに…</t>
    <phoneticPr fontId="5"/>
  </si>
  <si>
    <t>涙氷の礫</t>
    <phoneticPr fontId="5"/>
  </si>
  <si>
    <t>デビルズギフト</t>
    <phoneticPr fontId="5"/>
  </si>
  <si>
    <t>二度と見せたくなかったのに…！</t>
    <phoneticPr fontId="5"/>
  </si>
  <si>
    <t>Day 25</t>
    <phoneticPr fontId="5"/>
  </si>
  <si>
    <t>吐く息は白く</t>
    <phoneticPr fontId="5"/>
  </si>
  <si>
    <t>ダイヤモンドフロスト</t>
    <phoneticPr fontId="5"/>
  </si>
  <si>
    <t>緑に踊る細氷</t>
    <phoneticPr fontId="5"/>
  </si>
  <si>
    <t>急いでるんでな！
飛ばしていくぜ！</t>
    <phoneticPr fontId="5"/>
  </si>
  <si>
    <t>ja</t>
    <phoneticPr fontId="5"/>
  </si>
  <si>
    <t>うん…本当は分かっていたんだ…</t>
    <phoneticPr fontId="5"/>
  </si>
  <si>
    <t>みんなも待っていてくれるんだね…うん、行くよ！</t>
    <phoneticPr fontId="5"/>
  </si>
  <si>
    <t>灯火に踊る細氷</t>
    <phoneticPr fontId="5"/>
  </si>
  <si>
    <t>なんだ、雪だるまならさっき見かけたぜ</t>
    <phoneticPr fontId="5"/>
  </si>
  <si>
    <t>ありがとう…諦めないでいてくれて…</t>
    <phoneticPr fontId="5"/>
  </si>
  <si>
    <t>ハートパネルドロップ率DOWN</t>
    <phoneticPr fontId="5"/>
  </si>
  <si>
    <t>シュプールを覆う強烈な冷気が治まってゆく</t>
    <phoneticPr fontId="5"/>
  </si>
  <si>
    <t>マシン・シュプールは逃げようとしている！</t>
    <phoneticPr fontId="5"/>
  </si>
  <si>
    <t>マシン・シュプールの中からシュプールが姿を現した</t>
    <phoneticPr fontId="5"/>
  </si>
  <si>
    <t>complete</t>
  </si>
  <si>
    <t>ja</t>
    <phoneticPr fontId="5"/>
  </si>
  <si>
    <t>NULL</t>
    <phoneticPr fontId="5"/>
  </si>
  <si>
    <t>1フロア目のエネミーはパーティー内に
編成されたユニットに応じてプレイヤーに
エンハンスを付与することがあります</t>
    <phoneticPr fontId="5"/>
  </si>
  <si>
    <t>2フロア目で出現するマシン・シュプールは
HPが50%以下になるとハートパネルを
青パネルに変換し攻撃頻度がUPします</t>
    <phoneticPr fontId="5"/>
  </si>
  <si>
    <t>ベリアルはHPが30％以下になると
ハートパネル吸収攻撃を使用します</t>
    <phoneticPr fontId="5"/>
  </si>
  <si>
    <t>オセは数ターン後に撤退します
無理に倒そうとせずにパネルを温存しても
よいでしょう</t>
    <phoneticPr fontId="5"/>
  </si>
  <si>
    <t>シュプールの1ゲージ目は
特定のユニットが編成されていると
開幕でフィーバーゲージ減少を
使用しません</t>
    <phoneticPr fontId="5"/>
  </si>
  <si>
    <t>シュプールの2ゲージ目は
数ターン経過すると3ゲージ目に
移行します</t>
    <phoneticPr fontId="5"/>
  </si>
  <si>
    <t>シュプールの3ゲージ目は
ハートパネルと青パネルの吸収攻撃を
定期的に使用します</t>
    <phoneticPr fontId="5"/>
  </si>
  <si>
    <t>シュプールの3ゲージ目は
ターン経過で撤退します</t>
    <phoneticPr fontId="5"/>
  </si>
  <si>
    <t>シュプールと仲間たち</t>
  </si>
  <si>
    <t>女王が暴走する前まではシュプールも
グループの仲間達とALICEの世界での
日々を楽しんでいました</t>
    <phoneticPr fontId="5"/>
  </si>
  <si>
    <t>凍えていく心</t>
    <phoneticPr fontId="5"/>
  </si>
  <si>
    <t>女王暴走後仲間達は身を守るため姿を
隠したのですが
それを見捨てられたと勘違いした
シュプールは次第に自分の殻に
引きこもっていきました</t>
    <phoneticPr fontId="5"/>
  </si>
  <si>
    <t>孤独を雪に埋めて</t>
    <phoneticPr fontId="5"/>
  </si>
  <si>
    <t>雪だるまの姿に身を包んだシュプール
その悲しみや孤独は日に日に募り
ついにはALICEの気象に異常を及ぼす程に
膨れ上がりました</t>
    <phoneticPr fontId="5"/>
  </si>
  <si>
    <t>シュプールの仲間たち</t>
    <phoneticPr fontId="5"/>
  </si>
  <si>
    <t>ALICEを覆う氷河が消えていく中
皆の元へと帰ってきたシュプールを
かつての仲間たちは以前と変わらない
笑顔で迎え入れました</t>
    <phoneticPr fontId="5"/>
  </si>
  <si>
    <t>良い子にはプレゼントを</t>
    <phoneticPr fontId="5"/>
  </si>
  <si>
    <t>ラチカはクリスマスの夜にプレゼントを
届けてくれる心優しいアバターです
彼女を包む仄かな光は出会う人々に
暖かな安らぎを与えます</t>
    <phoneticPr fontId="5"/>
  </si>
  <si>
    <t>2回連続全体攻撃+
ハートパネルを赤のダメージパネルに5個変換</t>
    <phoneticPr fontId="5"/>
  </si>
  <si>
    <t>せっかくの夜なのに何やってくれちゃってるのよ、もう！
【3ターン暗闇+赤パネルを緑のダメージパネルに5個変換】</t>
    <phoneticPr fontId="5"/>
  </si>
  <si>
    <t>ハートパネルを青のダメージパネルに5個変換+単体攻撃</t>
    <phoneticPr fontId="5"/>
  </si>
  <si>
    <t>赤パネルを青のダメージパネルに5個変換+単体攻撃</t>
    <phoneticPr fontId="5"/>
  </si>
  <si>
    <t>緑パネルを青のダメージパネルに5個変換+単体攻撃</t>
    <phoneticPr fontId="5"/>
  </si>
  <si>
    <t>黄パネルを青のダメージパネルに3個変換+単体攻撃</t>
    <phoneticPr fontId="5"/>
  </si>
  <si>
    <t>2回連続全体攻撃+
ハートパネルを赤のダメージパネルに3個変換</t>
    <phoneticPr fontId="5"/>
  </si>
  <si>
    <t>せっかくの夜なのに何やってくれちゃってるのよ、もう！
【3ターン暗闇+赤パネルを緑のダメージパネルに3個変換】</t>
    <phoneticPr fontId="5"/>
  </si>
  <si>
    <t>ハートパネルを青のダメージパネルに3個変換+単体攻撃</t>
    <phoneticPr fontId="5"/>
  </si>
  <si>
    <t>赤パネルを青のダメージパネルに3個変換+単体攻撃</t>
    <phoneticPr fontId="5"/>
  </si>
  <si>
    <t>緑パネルを青のダメージパネルに3個変換+単体攻撃</t>
    <phoneticPr fontId="5"/>
  </si>
  <si>
    <t>青パネルを吸収して全体攻撃</t>
    <phoneticPr fontId="5"/>
  </si>
  <si>
    <t>青パネルを吸収して全体攻撃</t>
    <phoneticPr fontId="5"/>
  </si>
  <si>
    <t>青パネルを吸収して全体攻撃</t>
    <phoneticPr fontId="5"/>
  </si>
  <si>
    <t>青パネルを吸収して全体攻撃</t>
    <phoneticPr fontId="5"/>
  </si>
  <si>
    <t>メリークリスマス♪
あら、ワイルドなサンタさんね</t>
    <phoneticPr fontId="5"/>
  </si>
  <si>
    <t>メリークリスマス！っと
おや、雅なサンタクロースだな</t>
    <phoneticPr fontId="5"/>
  </si>
  <si>
    <t>エスタブさん！
一緒に幸せを配りましょう！</t>
    <phoneticPr fontId="5"/>
  </si>
  <si>
    <t>卑弥呼さん！
一緒に幸せを配りましょう！</t>
    <phoneticPr fontId="5"/>
  </si>
  <si>
    <t>今年はエスタブも参加か？
熱くいこうぜ！</t>
    <phoneticPr fontId="5"/>
  </si>
  <si>
    <t>今年は卑弥呼も参加か？
熱くいこうぜ！</t>
    <phoneticPr fontId="5"/>
  </si>
  <si>
    <t>エスタブ！
メリークリスマスね♪</t>
    <phoneticPr fontId="5"/>
  </si>
  <si>
    <t>卑弥呼！
メリークリスマスね♪</t>
    <phoneticPr fontId="5"/>
  </si>
  <si>
    <t>エスタブかい…？
君には憧れるよ…色々と…</t>
    <phoneticPr fontId="5"/>
  </si>
  <si>
    <t>卑弥呼かい…？
僕をどうするんだい…？</t>
    <phoneticPr fontId="5"/>
  </si>
  <si>
    <t>赤パネルを緑のダメージパネルに5個変換</t>
    <phoneticPr fontId="5"/>
  </si>
  <si>
    <t>赤パネルを緑のダメージパネルに3個変換</t>
    <phoneticPr fontId="5"/>
  </si>
  <si>
    <t>マシン・シュプールの中からシュプールが姿を現した</t>
    <phoneticPr fontId="5"/>
  </si>
  <si>
    <t>黄パネルを青のダメージパネルに2個変換+単体攻撃</t>
    <phoneticPr fontId="5"/>
  </si>
  <si>
    <t>2回連続全体攻撃+
ハートパネルを赤のダメージパネルに2個変換</t>
    <phoneticPr fontId="5"/>
  </si>
  <si>
    <t>せっかくの夜なのに何やってくれちゃってるのよ、もう！
【3ターン暗闇+赤パネルを緑のダメージパネルに2個変換】</t>
    <phoneticPr fontId="5"/>
  </si>
  <si>
    <t>赤パネルを緑のダメージパネルに2個変換</t>
    <phoneticPr fontId="5"/>
  </si>
  <si>
    <t>赤パネルを青のダメージパネルに2個変換+単体攻撃</t>
    <phoneticPr fontId="5"/>
  </si>
  <si>
    <t>item</t>
  </si>
  <si>
    <t>item</t>
    <phoneticPr fontId="5"/>
  </si>
  <si>
    <t>item</t>
    <phoneticPr fontId="5"/>
  </si>
  <si>
    <t>item</t>
    <phoneticPr fontId="5"/>
  </si>
  <si>
    <t>item</t>
    <phoneticPr fontId="5"/>
  </si>
  <si>
    <t>item</t>
    <phoneticPr fontId="5"/>
  </si>
  <si>
    <t>item</t>
    <phoneticPr fontId="5"/>
  </si>
  <si>
    <t>no_continue</t>
    <phoneticPr fontId="5"/>
  </si>
  <si>
    <t>full_member</t>
    <phoneticPr fontId="5"/>
  </si>
  <si>
    <t>item</t>
    <phoneticPr fontId="5"/>
  </si>
  <si>
    <t>null</t>
    <phoneticPr fontId="5"/>
  </si>
  <si>
    <t>unit</t>
  </si>
  <si>
    <t>unit</t>
    <phoneticPr fontId="5"/>
  </si>
  <si>
    <t>link</t>
    <phoneticPr fontId="5"/>
  </si>
  <si>
    <t>unit</t>
    <phoneticPr fontId="5"/>
  </si>
  <si>
    <t>item</t>
    <phoneticPr fontId="5"/>
  </si>
  <si>
    <t>unit</t>
    <phoneticPr fontId="5"/>
  </si>
  <si>
    <t>item</t>
    <phoneticPr fontId="5"/>
  </si>
  <si>
    <t>item</t>
    <phoneticPr fontId="5"/>
  </si>
  <si>
    <t>item</t>
    <phoneticPr fontId="5"/>
  </si>
  <si>
    <t>item</t>
    <phoneticPr fontId="5"/>
  </si>
  <si>
    <t>緑パネルを青のダメージパネルに2個変換+単体攻撃</t>
    <phoneticPr fontId="5"/>
  </si>
  <si>
    <t>？？？「いつまでも閉じこもって困ったものです…あら？」</t>
    <phoneticPr fontId="5"/>
  </si>
  <si>
    <t>？？？「いつまでも閉じこもって困ったものです…あら？」</t>
    <phoneticPr fontId="5"/>
  </si>
  <si>
    <t>赤パネルを緑のダメージパネルに5個変換</t>
    <phoneticPr fontId="5"/>
  </si>
  <si>
    <t>せっかくの夜なのに何やってくれちゃってるのよ、もう！
【3ターン暗闇+赤パネルを緑のダメージパネルに5個変換】</t>
    <phoneticPr fontId="5"/>
  </si>
  <si>
    <t>ハートパネル&amp;青パネルを吸収して全体攻撃</t>
  </si>
  <si>
    <t>4回連続攻撃</t>
    <phoneticPr fontId="5"/>
  </si>
  <si>
    <t>……僕に構わないでくれ</t>
  </si>
  <si>
    <t>あ！そこのあなた達この辺で
大きな雪だるまを見なかった？</t>
  </si>
  <si>
    <t>あ！そこのあなた達この辺で
大きな雪だるまを見なかった？</t>
    <phoneticPr fontId="5"/>
  </si>
  <si>
    <t>そう…そ、それならお任せしちゃおうかしら…
じゃあね！メリークリスマス♪</t>
  </si>
  <si>
    <t>そう…そ、それならお任せしちゃおうかしら…
じゃあね！メリークリスマス♪</t>
    <phoneticPr fontId="5"/>
  </si>
  <si>
    <t>い、嫌だ…！もうこの姿は…</t>
  </si>
  <si>
    <t>い、嫌だ…！もうこの姿は…</t>
    <phoneticPr fontId="5"/>
  </si>
  <si>
    <t>あ！そこのあなた達この辺で
大きな雪だるまを見なかった？</t>
    <phoneticPr fontId="5"/>
  </si>
  <si>
    <t>そう…そ、それならお任せしちゃおうかしら…
じゃあね！メリークリスマス♪</t>
    <phoneticPr fontId="5"/>
  </si>
  <si>
    <t>い、嫌だ…！もうこの姿は…</t>
    <phoneticPr fontId="5"/>
  </si>
  <si>
    <t>残りHPの20%消費+全体攻撃+
ランダムで青のダメージパネルに最大2個変換</t>
  </si>
  <si>
    <t>残りHPの20%消費+全体攻撃+
ランダムで青のダメージパネルに最大2個変換</t>
    <rPh sb="32" eb="34">
      <t>サイダイ</t>
    </rPh>
    <phoneticPr fontId="5"/>
  </si>
  <si>
    <t>残りHPの25%消費+全体攻撃+
ランダムで青のダメージパネルに最大2個変換</t>
  </si>
  <si>
    <t>残りHPの25%消費+全体攻撃+
ランダムで青のダメージパネルに最大2個変換</t>
    <rPh sb="32" eb="34">
      <t>サイダイ</t>
    </rPh>
    <phoneticPr fontId="5"/>
  </si>
  <si>
    <t>残りHPの33%消費+全体攻撃+
ランダムで青のダメージパネルに最大2個変換</t>
  </si>
  <si>
    <t>残りHPの33%消費+全体攻撃+
ランダムで青のダメージパネルに最大2個変換</t>
    <rPh sb="32" eb="34">
      <t>サイダイ</t>
    </rPh>
    <phoneticPr fontId="5"/>
  </si>
  <si>
    <t>残りHPの50%消費+全体攻撃+
ランダムで青のダメージパネルに最大2個変換</t>
  </si>
  <si>
    <t>残りHPの50%消費+全体攻撃+
ランダムで青のダメージパネルに最大2個変換</t>
    <rPh sb="32" eb="34">
      <t>サイダイ</t>
    </rPh>
    <phoneticPr fontId="5"/>
  </si>
  <si>
    <t>残りHPの100%消費+全体攻撃+
ランダムで青のダメージパネルに最大2個変換</t>
  </si>
  <si>
    <t>残りHPの100%消費+全体攻撃+
ランダムで青のダメージパネルに最大2個変換</t>
    <rPh sb="33" eb="35">
      <t>サイダイ</t>
    </rPh>
    <phoneticPr fontId="5"/>
  </si>
  <si>
    <t>マシン・シュプールはこちらの様子を伺っている
【解除するまで全属性の攻撃をカウンター】</t>
  </si>
  <si>
    <t>マシン・シュプールはこちらの様子を伺っている
【解除するまで全属性の攻撃をカウンター】</t>
    <rPh sb="30" eb="33">
      <t>ゼンゾクセイ</t>
    </rPh>
    <phoneticPr fontId="5"/>
  </si>
  <si>
    <t>攻撃力大UP</t>
    <rPh sb="3" eb="4">
      <t>ダイ</t>
    </rPh>
    <phoneticPr fontId="5"/>
  </si>
  <si>
    <t>残りHPの95%消費+
全ユニットのスキルゲージを4ターン減少+
全ユニットのCパネル生成短縮(効果大)</t>
    <rPh sb="0" eb="1">
      <t>ノコリ</t>
    </rPh>
    <rPh sb="8" eb="10">
      <t>ショウヒ</t>
    </rPh>
    <phoneticPr fontId="5"/>
  </si>
  <si>
    <t>残りHPの80%消費+
全ユニットのスキルゲージを4ターン減少+
全ユニットのCパネル生成短縮(効果大)</t>
  </si>
  <si>
    <t>残りHPの80%消費+
全ユニットのスキルゲージを4ターン減少+
全ユニットのCパネル生成短縮(効果大)</t>
    <rPh sb="0" eb="1">
      <t>ノコリ</t>
    </rPh>
    <rPh sb="8" eb="10">
      <t>ショウヒ</t>
    </rPh>
    <phoneticPr fontId="5"/>
  </si>
  <si>
    <t>マシン・シュプールはこちらの様子を伺っている
【解除するまで全属性の攻撃をカウンター】</t>
    <rPh sb="30" eb="33">
      <t>ゼンゾクセイノ</t>
    </rPh>
    <phoneticPr fontId="5"/>
  </si>
  <si>
    <t>温かい光が辺りを包む
【回復効果付与】</t>
  </si>
  <si>
    <t>温かい光が辺りを包む
【回復効果付与】</t>
    <rPh sb="12" eb="16">
      <t>カイフクコウカ</t>
    </rPh>
    <rPh sb="16" eb="18">
      <t>フヨ</t>
    </rPh>
    <phoneticPr fontId="5"/>
  </si>
  <si>
    <t>温かい光が辺りを包む
【回復効果付与】</t>
    <rPh sb="12" eb="16">
      <t>カイフク</t>
    </rPh>
    <rPh sb="16" eb="18">
      <t>フヨ</t>
    </rPh>
    <phoneticPr fontId="5"/>
  </si>
  <si>
    <t>温かい光が辺りを包む
【回復効果付与】</t>
    <phoneticPr fontId="5"/>
  </si>
  <si>
    <t>温かい光が辺りを包む
【回復効果付与】</t>
    <phoneticPr fontId="5"/>
  </si>
  <si>
    <t>残りHPの80%消費+
全ユニットのスキルゲージを4ターン減少+
全ユニットのCパネル生成短縮(効果大)</t>
    <phoneticPr fontId="5"/>
  </si>
  <si>
    <t>残りHPの50%消費+
全ユニットのスキルゲージを2ターン減少+
全ユニットのCパネル生成短縮</t>
  </si>
  <si>
    <t>残りHPの50%消費+
全ユニットのスキルゲージを2ターン減少+
全ユニットのCパネル生成短縮</t>
    <phoneticPr fontId="5"/>
  </si>
  <si>
    <t>残りHPの95%消費+
全ユニットのスキルゲージを4ターン減少+
全ユニットのボムの爆風を20%UP</t>
  </si>
  <si>
    <t>残りHPの95%消費+
全ユニットのスキルゲージを4ターン減少+
全ユニットのボムの爆風を20%UP</t>
    <phoneticPr fontId="5"/>
  </si>
  <si>
    <t>残りHPの95%消費+
全ユニットのスキルゲージを4ターン減少+
全ユニットのボムの爆風を20%UP</t>
    <phoneticPr fontId="5"/>
  </si>
  <si>
    <t>残りHPの80%消費+
全ユニットのスキルゲージを4ターン減少+
全ユニットのボムの爆風を20%UP</t>
  </si>
  <si>
    <t>残りHPの80%消費+
全ユニットのスキルゲージを4ターン減少+
全ユニットのボムの爆風を20%UP</t>
    <phoneticPr fontId="5"/>
  </si>
  <si>
    <t>残りHPの80%消費+
全ユニットのスキルゲージを4ターン減少+
全ユニットのボムの爆風を20%UP</t>
    <phoneticPr fontId="5"/>
  </si>
  <si>
    <t>残りHPの50%消費+
全ユニットのスキルゲージを2ターン減少+
全ユニットのボムの爆風を10%UP</t>
  </si>
  <si>
    <t>残りHPの50%消費+
全ユニットのスキルゲージを2ターン減少+
全ユニットのボムの爆風を10%UP</t>
    <phoneticPr fontId="5"/>
  </si>
  <si>
    <t>2ターンユニット1体にスリープ+単体攻撃</t>
    <phoneticPr fontId="5"/>
  </si>
  <si>
    <t>ハートパネルを青パネルに5個変換+行動頻度UP</t>
  </si>
  <si>
    <t>ハートパネルを青パネルに5個変換+行動頻度UP</t>
    <rPh sb="17" eb="19">
      <t>コウドウ</t>
    </rPh>
    <phoneticPr fontId="5"/>
  </si>
  <si>
    <t>ミカエルはまばゆい光とともに飛び去った
【黄パネルドロップ率DOWN】</t>
    <phoneticPr fontId="5"/>
  </si>
  <si>
    <t>2ターン攻撃力大UP</t>
  </si>
  <si>
    <t>2ターン攻撃力大UP</t>
    <rPh sb="7" eb="8">
      <t>ダイ</t>
    </rPh>
    <phoneticPr fontId="5"/>
  </si>
  <si>
    <t>2ターン攻撃力大UP</t>
    <phoneticPr fontId="5"/>
  </si>
  <si>
    <t>2ターン攻撃力大UP</t>
    <phoneticPr fontId="5"/>
  </si>
  <si>
    <t>2ターンユニット1体にスリープ+単体攻撃</t>
    <phoneticPr fontId="5"/>
  </si>
  <si>
    <t>ミカエルはまばゆい光とともに飛び去った
【黄パネルドロップ率DOWN】</t>
    <phoneticPr fontId="5"/>
  </si>
  <si>
    <t>温かい光が辺りを包む
【回復効果付与】</t>
    <phoneticPr fontId="5"/>
  </si>
  <si>
    <t>残りHPの20%消費+全体攻撃+
ランダムで青のダメージパネルに最大4個変換</t>
  </si>
  <si>
    <t>残りHPの25%消費+全体攻撃+
ランダムで青のダメージパネルに最大4個変換</t>
  </si>
  <si>
    <t>残りHPの33%消費+全体攻撃+
ランダムで青のダメージパネルに最大4個変換</t>
  </si>
  <si>
    <t>残りHPの50%消費+全体攻撃+
ランダムで青のダメージパネルに最大4個変換</t>
  </si>
  <si>
    <t>残りHPの100%消費+全体攻撃+
ランダムで青のダメージパネルに最大4個変換</t>
  </si>
  <si>
    <t>残りHPの95%消費+
全ユニットのスキルゲージを4ターン減少+
全ユニットのCパネル生成短縮(効果大)</t>
    <phoneticPr fontId="5"/>
  </si>
  <si>
    <t>[effect:enemy_message, val1:1.2, val2:2.0],[effect:fix_speed, target:myself, turn:1]</t>
  </si>
  <si>
    <t>[effect:enemy_message, val1:1.2, val2:1.2],[effect:rush, count:4, val:0.3]</t>
  </si>
  <si>
    <t>[effect:enemy_message, val1:2.7, val2:1.2],[effect:enhance_enemy, target:enemy_all, turn:-1, status:attack, val:0.5, calc:mul, animation:enemy_enhance_attack]</t>
  </si>
  <si>
    <t>[effect:enemy_message, val1:1.2, val2:5.0],[effect:fix_speed, target:myself, turn:1],[effect:sp_boost, target:unit_all, val:4],[effect:crash_condition, target:unit_all, turn:-1, val:-2, animation:crash_panel_reduce04],[effect:suicide, val:0.95]</t>
  </si>
  <si>
    <t>[effect:enemy_message, val1:1.7, val2:5.0],[effect:fix_speed, target:myself, turn:1],[effect:sp_boost, target:unit_all, val:4],[effect:crash_condition, target:unit_all, turn:-1, val:-2, animation:crash_panel_reduce04],[effect:suicide, val:0.95]</t>
  </si>
  <si>
    <t>[effect:enemy_message, val1:1.7, val2:5.0],[effect:fix_speed, target:myself, turn:1],[effect:sp_boost, target:unit_all, val:4],[effect:crash_condition, target:unit_all, turn:-1, val:-2, animation:crash_panel_reduce04],[effect:suicide, val:0.8]</t>
  </si>
  <si>
    <t>[effect:enemy_message, val1:2.9, val2:5.0],[effect:fix_speed, target:myself, turn:1],[effect:sp_boost, target:unit_all, val:4],[effect:crash_condition, target:unit_all, turn:-1, val:-2, animation:crash_panel_reduce04],[effect:suicide, val:0.8]</t>
  </si>
  <si>
    <t>[effect:enemy_message, val1:2.0, val2:5.0],[effect:fix_speed, target:myself, turn:1],[effect:sp_boost, target:unit_all, val:4],[effect:crash_condition, target:unit_all, turn:-1, val:-2, animation:crash_panel_reduce04],[effect:suicide, val:0.8]</t>
  </si>
  <si>
    <t>[effect:enemy_message, val1:2.3, val2:4.5],[effect:fix_speed, target:myself, turn:1],[effect:sp_boost, target:unit_all, val:2],[effect:crash_condition, target:unit_all, turn:-1, val:-1, animation:crash_panel_reduce03],[effect:suicide, val:0.5]</t>
  </si>
  <si>
    <t>[effect:enemy_message, val1:1.2, val2:3.0],[effect:fix_speed, target:myself, turn:2]</t>
  </si>
  <si>
    <t>[effect:enemy_message, val1:1.2, val2:1.2],[effect:spread, val:0.3]</t>
  </si>
  <si>
    <t>[effect:enemy_message, val1:2.4, val2:1.2],[effect:enhance_enemy, target:enemy_all, turn:-1, status:attack, val:0.5, calc:mul, animation:enemy_enhance_attack]</t>
  </si>
  <si>
    <t>[effect:enemy_message, val1:3.0, val2:4.8],[effect:fix_speed, target:myself, turn:2],[effect:sp_boost, target:unit_all, val:4],[effect:change_bomb_range, target:unit_all, val:1.2, rate:1, turn:-1, animation:bomb_big],[effect:suicide, val:0.95]</t>
  </si>
  <si>
    <t>[effect:enemy_message, val1:2.2, val2:4.8],[effect:fix_speed, target:myself, turn:2],[effect:sp_boost, target:unit_all, val:4],[effect:change_bomb_range, target:unit_all, val:1.2, rate:1, turn:-1, animation:bomb_big],[effect:suicide, val:0.95]</t>
  </si>
  <si>
    <t>[effect:enemy_message, val1:2.6, val2:4.8],[effect:fix_speed, target:myself, turn:2],[effect:sp_boost, target:unit_all, val:4],[effect:change_bomb_range, target:unit_all, val:1.2, rate:1, turn:-1, animation:bomb_big],[effect:suicide, val:0.8]</t>
  </si>
  <si>
    <t>[effect:enemy_message, val1:2.5, val2:4.8],[effect:fix_speed, target:myself, turn:2],[effect:sp_boost, target:unit_all, val:2],[effect:change_bomb_range, target:unit_all, val:1.1, rate:1, turn:-1, animation:bomb_big],[effect:suicide, val:0.5]</t>
  </si>
  <si>
    <t>[effect:enemy_message, val1:1.2, val2:4.2],[effect:enemy_counter, target:myself, invoke_condition:unit_all, counter_target:attacker, turn:-1, val:0.1, animation:enemy_counter],[effect:fix_speed, target:myself, turn:2]</t>
  </si>
  <si>
    <t xml:space="preserve">[effect:enemy_message, val1:1.2, val2:2.4],[effect:force_change_block, new_block:damage, target:block_yellow, count:2, val:0.01],[effect:rush, count:1, val:1.0]    </t>
  </si>
  <si>
    <t>[effect:enemy_message, val1:1.2, val2:2.0],[effect:damage_abnormal, target:unit_one, val:1, status:sleep, turn:2, rate:1, animation:sleep02]</t>
  </si>
  <si>
    <t>[effect:enemy_message, val1:1.2, val2:2.3],[effect:force_change_block, new_block:block_blue, target:block_heart, count:5, val:0],[effect:freq_turn, target:myself, turn:-1, val:1, animation:enemy_freq_turn]</t>
  </si>
  <si>
    <t>[effect:enemy_message, val1:1.2, val2:2.0],[effect:ability_lock, target:unit_all, turn:1],[effect:sleep, target:unit_all, turn:1, rate:1],[effect:fix_speed, target:myself, turn:1]</t>
  </si>
  <si>
    <t>[effect:enemy_message, val1:1.2, val2:2.7],[effect:suicide, target:myself, val:1, dead_type:escape]</t>
  </si>
  <si>
    <t>[effect:enemy_message, val1:2.4, val2:3.4],[effect:change_panel_ratio, turn:-1, block_type:yellow, val:0.02, animation:block_incidence04],[effect:suicide, target:myself, val:1, dead_type:escape]</t>
  </si>
  <si>
    <t>[effect:enemy_message, val1:2.3, val2:1.8],[effect:ability_lock, target:unit_all, turn:1],[effect:sleep, target:unit_all, turn:1, rate:1],[effect:regenerate, turn:-1, target:unit_all, val:1225, type:fix, animation:heal01],[effect:fix_speed, target:myself, turn:1]</t>
  </si>
  <si>
    <t>[effect:enemy_message, val1:1.9, val2:1.8],[effect:ability_lock, target:unit_all, turn:1],[effect:sleep, target:unit_all, turn:1, rate:1],[effect:regenerate, turn:-1, target:unit_all, val:1225, type:fix, animation:heal01],[effect:fix_speed, target:myself, turn:1]</t>
  </si>
  <si>
    <t>[effect:enemy_message, val1:2.0, val2:1.8],[effect:ability_lock, target:unit_all, turn:1],[effect:sleep, target:unit_all, turn:1, rate:1],[effect:regenerate, turn:1, target:unit_all, val:1225, type:fix, animation:heal01_unit01],[effect:fix_speed, target:myself, turn:1]</t>
  </si>
  <si>
    <t>[effect:enemy_message, val1:1.9, val2:1.8],[effect:ability_lock, target:unit_all, turn:1],[effect:sleep, target:unit_all, turn:1, rate:1],[effect:regenerate, turn:1, target:unit_all, val:1225, type:fix, animation:heal01_unit01],[effect:fix_speed, target:myself, turn:1]</t>
  </si>
  <si>
    <t>[effect:enemy_message, val1:2.3, val2:1.2],[effect:enhance_enemy, target:enemy_all, turn:2, status:attack, val:0.5, calc:mul, animation:enemy_enhance_attack],[effect:fix_speed, target:myself, turn:2]</t>
  </si>
  <si>
    <t>[effect:enemy_message, val1:2.1, val2:3.0],[effect:force_change_block, new_block:damage, target:block_heart, count:2, val:0.01],[effect:spread, val:0.1],[effect:spread, val:0.1]</t>
  </si>
  <si>
    <t>[effect:enemy_message, val1:1.6, val2:2.7],[effect:force_change_block, new_block:block_red, target:block_blue, count:10, val:0],[effect:rush, count:1, val:1.0],[effect:freq_turn, target:myself, turn:-1, val:1, animation:enemy_freq_turn]</t>
  </si>
  <si>
    <t>[effect:enemy_message, val1:1.2, val2:1.2],[effect:spread, val:0.25]</t>
  </si>
  <si>
    <t>[effect:enemy_message, val1:1.8, val2:1.3],[effect:break_attack_fix, target:unit_one, val:400, lowest_val:1600, count:-1, color:red, block_color:block_heart, block01:block_heart]</t>
  </si>
  <si>
    <t>[effect:enemy_message, val1:2.6, val2:1.2],[effect:enhance_enemy, target:enemy_all, turn:2, status:attack, val:0.5, calc:mul, animation:enemy_enhance_attack],[effect:fix_speed, target:myself, turn:2]</t>
  </si>
  <si>
    <t>[effect:enemy_message, val1:2.8, val2:1.2],[effect:enhance_enemy, target:enemy_all, turn:2, status:attack, val:0.5, calc:mul, animation:enemy_enhance_attack],[effect:fix_speed, target:myself, turn:2]</t>
  </si>
  <si>
    <t>[effect:enemy_message, val1:1.9, val2:1.2],[effect:enhance_enemy, target:enemy_all, turn:2, status:attack, val:0.5, calc:mul, animation:enemy_enhance_attack],[effect:fix_speed, target:myself, turn:2]</t>
  </si>
  <si>
    <t>[effect:enemy_message, val1:2.2, val2:1.2],[effect:enhance_enemy, target:enemy_all, turn:2, status:attack, val:0.5, calc:mul, animation:enemy_enhance_attack],[effect:fix_speed, target:myself, turn:2]</t>
  </si>
  <si>
    <t>[effect:enemy_message, val1:1.8, val2:1.2],[effect:enhance_enemy, target:enemy_all, turn:2, status:attack, val:0.5, calc:mul, animation:enemy_enhance_attack],[effect:fix_speed, target:myself, turn:2]</t>
  </si>
  <si>
    <t>[effect:enemy_message, val1:2.7, val2:5.4],[effect:dark, target:unit_all, turn:3, animation:enemy_dark],[effect:force_change_block, new_block:damage, target:block_red, count:2, val:0.01],[effect:fix_speed, target:myself, turn:2]</t>
  </si>
  <si>
    <t>[effect:enemy_message, val1:2.3, val2:1.2],[effect:spread, val:0.25]</t>
  </si>
  <si>
    <t>[effect:enemy_message, val1:2.3, val2:3.5],[effect:suicide, target:myself, val:1, dead_type:escape]</t>
  </si>
  <si>
    <t>[effect:enemy_message, val1:2.1, val2:1.9],[effect:force_change_block, new_block:damage, target:block_red, count:2, val:0.01],[effect:fix_speed, target:myself, turn:2]</t>
  </si>
  <si>
    <t>[effect:enemy_message, val1:3.1, val2:1.9],[effect:force_change_block, new_block:damage, target:block_red, count:2, val:0.01],[effect:fix_speed, target:myself, turn:2]</t>
  </si>
  <si>
    <t>[effect:enemy_message, val1:2.2, val2:1.9],[effect:force_change_block, new_block:damage, target:block_red, count:2, val:0.01],[effect:fix_speed, target:myself, turn:2]</t>
  </si>
  <si>
    <t>[effect:enemy_message, val1:2.9, val2:1.9],[effect:force_change_block, new_block:damage, target:block_red, count:2, val:0.01],[effect:fix_speed, target:myself, turn:2]</t>
  </si>
  <si>
    <t>[effect:enemy_message, val1:1.5, val2:1.9],[effect:force_change_block, new_block:damage, target:block_red, count:2, val:0.01],[effect:fix_speed, target:myself, turn:2]</t>
  </si>
  <si>
    <t>[effect:enemy_message, val1:1.4, val2:1.9],[effect:force_change_block, new_block:damage, target:block_red, count:2, val:0.01],[effect:fix_speed, target:myself, turn:2]</t>
  </si>
  <si>
    <t>[effect:enemy_message, val1:1.9, val2:2.6],[effect:change_panel_ratio, turn:-1, block_type:heal, val:0.05, animation:block_incidence04],[effect:degrade_fever, val:1000, animation:fevergauge_down],[effect:fix_speed, target:myself, turn:2]</t>
  </si>
  <si>
    <t xml:space="preserve">[effect:enemy_message, val1:1.2, val2:2.6],[effect:force_change_block, new_block:damage, target:block_heart, count:2, val:0.01],[effect:rush, count:1, val:1.0]    </t>
  </si>
  <si>
    <t xml:space="preserve">[effect:enemy_message, val1:1.2, val2:1.7],[effect:force_change_block, new_block:block_blue, target:block_red, count:0, val:0],[effect:rush, count:1, val:1.0]    </t>
  </si>
  <si>
    <t>[effect:enemy_message, val1:1.2, val2:1.3],[effect:break_attack_fix, target:unit_all, val:100, lowest_val:400, count:-1, color:blue, block01:block_blue]</t>
  </si>
  <si>
    <t xml:space="preserve">[effect:enemy_message, val1:1.7, val2:1.7],[effect:force_change_block, new_block:block_blue, target:block_green, count:0, val:0],[effect:rush, count:1, val:1.0]    </t>
  </si>
  <si>
    <t>[effect:enemy_message, val1:2.2, val2:1.5],[effect:change_panel_ratio, turn:-1, block_type:heal, val:0.05, animation:block_incidence04],[effect:fix_speed, target:myself, turn:2]</t>
  </si>
  <si>
    <t>[effect:enemy_message, val1:2.3, val2:1.5],[effect:change_panel_ratio, turn:-1, block_type:heal, val:0.05, animation:block_incidence04],[effect:fix_speed, target:myself, turn:2]</t>
  </si>
  <si>
    <t>[effect:enemy_message, val1:1.9, val2:1.5],[effect:change_panel_ratio, turn:-1, block_type:heal, val:0.05, animation:block_incidence04],[effect:fix_speed, target:myself, turn:2]</t>
  </si>
  <si>
    <t>[effect:enemy_message, val1:2.7, val2:1.5],[effect:change_panel_ratio, turn:-1, block_type:heal, val:0.05, animation:block_incidence04],[effect:fix_speed, target:myself, turn:2]</t>
  </si>
  <si>
    <t>[effect:enemy_message, val1:2.6, val2:1.5],[effect:change_panel_ratio, turn:-1, block_type:heal, val:0.05, animation:block_incidence04],[effect:fix_speed, target:myself, turn:2]</t>
  </si>
  <si>
    <t>[effect:enemy_message, val1:2.0, val2:1.5],[effect:change_panel_ratio, turn:-1, block_type:heal, val:0.05, animation:block_incidence04],[effect:fix_speed, target:myself, turn:2]</t>
  </si>
  <si>
    <t>[effect:enemy_message, val1:1.8, val2:1.5],[effect:change_panel_ratio, turn:-1, block_type:heal, val:0.05, animation:block_incidence04],[effect:fix_speed, target:myself, turn:2]</t>
  </si>
  <si>
    <t>[effect:enemy_message, val1:1.4, val2:4.6],[effect:degrade_unit, target:unit_all, turn:5, status:action, val:2, calc:add, animation:enemy_tap_down],[effect:tolerance, target:myself, turn:-1, count:-1, tolerance_effect:all, animation:enemy_tolerance],[effect:fix_speed, target:myself, turn:1]</t>
  </si>
  <si>
    <t>[effect:enemy_message, val1:1.5, val2:3.7],[effect:suicide, val:0.2],[effect:spread, val:0.25],[effect:force_change_block, new_block:damage, target:block_all, ignore01:block_positive, ignore02:block_negative, count:2, val:0.01]</t>
  </si>
  <si>
    <t>[effect:enemy_message, val1:1.2, val2:3.7],[effect:suicide, val:0.25],[effect:spread, val:0.26],[effect:force_change_block, new_block:damage, target:block_all, ignore01:block_positive, ignore02:block_negative, count:2, val:0.01]</t>
  </si>
  <si>
    <t>[effect:enemy_message, val1:1.2, val2:3.7],[effect:suicide, val:0.33],[effect:spread, val:0.27],[effect:force_change_block, new_block:damage, target:block_all, ignore01:block_positive, ignore02:block_negative, count:2, val:0.01]</t>
  </si>
  <si>
    <t>[effect:enemy_message, val1:1.2, val2:3.7],[effect:suicide, val:0.50],[effect:spread, val:0.28],[effect:force_change_block, new_block:damage, target:block_all, ignore01:block_positive, ignore02:block_negative, count:2, val:0.01]</t>
  </si>
  <si>
    <t>[effect:enemy_message, val1:1.3, val2:3.8],[effect:suicide, val:1.0, dead_type:suicide],[effect:spread, val:0.29],[effect:force_change_block, new_block:damage, target:block_all, ignore01:block_positive, ignore02:block_negative, count:2, val:0.01]</t>
  </si>
  <si>
    <t>[effect:enemy_message, val1:1.5, val2:2.4],[effect:enemy_message, val1:1.0, val2:0],[effect:fix_speed, target:myself, turn:1]</t>
  </si>
  <si>
    <t>[effect:enemy_message, val1:1.2, val2:1.2],[effect:spread, val:0.33]</t>
  </si>
  <si>
    <t>[effect:enemy_message, val1:2.1, val2:2.0],[effect:break_attack_fix, target:unit_all, val:100, lowest_val:400, count:-1, color:blue, block01:block_blue, color:blue, block02:block_heart]</t>
  </si>
  <si>
    <t xml:space="preserve">[effect:enemy_message, val1:1.2, val2:2.4],[effect:force_change_block, new_block:damage, target:block_red, count:2, val:0.01],[effect:rush, count:1, val:1.0]    </t>
  </si>
  <si>
    <t>[effect:enemy_message, val1:1.2, val2:1.2],[effect:spread, val:0.35]</t>
  </si>
  <si>
    <t>[effect:enemy_message, val1:1.2, val2:2.0],[effect:break_attack_fix, target:unit_all, val:100, lowest_val:400, count:-1, color:blue, block01:block_blue, color:blue, block02:block_heart]</t>
  </si>
  <si>
    <t xml:space="preserve">[effect:enemy_message, val1:1.2, val2:2.4],[effect:force_change_block, new_block:damage, target:block_green, count:2, val:0.01],[effect:rush, count:1, val:1.0]    </t>
  </si>
  <si>
    <t xml:space="preserve">[effect:enemy_message, val1:1.2, val2:1.2],[effect:rush, count:24, val:0.07],[effect:critical, val:1.4] </t>
  </si>
  <si>
    <t>[effect:enemy_message, val1:1.5, val2:2.0],[effect:suicide, val:1, dead_type:suicide]</t>
  </si>
  <si>
    <t>[effect:enemy_message, val1:2.2, val2:2.8]</t>
  </si>
  <si>
    <t xml:space="preserve">[effect:enemy_message, val1:1.2, val2:2.4],[effect:force_change_block, new_block:damage, target:block_yellow, count:3, val:0.02],[effect:rush, count:1, val:1.0]    </t>
  </si>
  <si>
    <t>[effect:enemy_message, val1:2.1, val2:3.0],[effect:force_change_block, new_block:damage, target:block_heart, count:3, val:0.02],[effect:spread, val:0.1],[effect:spread, val:0.1]</t>
  </si>
  <si>
    <t>[effect:enemy_message, val1:1.8, val2:1.3],[effect:break_attack_fix, target:unit_one, val:600, lowest_val:2400, count:-1, color:red, block_color:block_heart, block01:block_heart]</t>
  </si>
  <si>
    <t>[effect:enemy_message, val1:2.7, val2:5.4],[effect:dark, target:unit_all, turn:3, animation:enemy_dark],[effect:force_change_block, new_block:damage, target:block_red, count:3, val:0.02],[effect:fix_speed, target:myself, turn:2]</t>
  </si>
  <si>
    <t>[effect:enemy_message, val1:2.1, val2:1.9],[effect:force_change_block, new_block:damage, target:block_red, count:3, val:0.02],[effect:fix_speed, target:myself, turn:2]</t>
  </si>
  <si>
    <t>[effect:enemy_message, val1:3.1, val2:1.9],[effect:force_change_block, new_block:damage, target:block_red, count:3, val:0.02],[effect:fix_speed, target:myself, turn:2]</t>
  </si>
  <si>
    <t>[effect:enemy_message, val1:2.2, val2:1.9],[effect:force_change_block, new_block:damage, target:block_red, count:3, val:0.02],[effect:fix_speed, target:myself, turn:2]</t>
  </si>
  <si>
    <t>[effect:enemy_message, val1:2.9, val2:1.9],[effect:force_change_block, new_block:damage, target:block_red, count:3, val:0.02],[effect:fix_speed, target:myself, turn:2]</t>
  </si>
  <si>
    <t>[effect:enemy_message, val1:1.5, val2:1.9],[effect:force_change_block, new_block:damage, target:block_red, count:3, val:0.02],[effect:fix_speed, target:myself, turn:2]</t>
  </si>
  <si>
    <t>[effect:enemy_message, val1:1.4, val2:1.9],[effect:force_change_block, new_block:damage, target:block_red, count:3, val:0.02],[effect:fix_speed, target:myself, turn:2]</t>
  </si>
  <si>
    <t xml:space="preserve">[effect:enemy_message, val1:1.2, val2:2.6],[effect:force_change_block, new_block:damage, target:block_heart, count:3, val:0.02],[effect:rush, count:1, val:1.0]    </t>
  </si>
  <si>
    <t>[effect:enemy_message, val1:1.2, val2:1.7],[effect:force_change_block, new_block:block_blue, target:block_red, count:0, val:0],[effect:rush, count:1, val:1.0]</t>
  </si>
  <si>
    <t>[effect:enemy_message, val1:1.2, val2:1.3],[effect:break_attack_fix, target:unit_all, val:150, lowest_val:600, count:-1, color:blue, block01:block_blue]</t>
  </si>
  <si>
    <t>[effect:enemy_message, val1:1.5, val2:3.7],[effect:suicide, val:0.2],[effect:spread, val:0.25],[effect:force_change_block, new_block:damage, target:block_all, ignore01:block_positive, ignore02:block_negative, count:2, val:0.02]</t>
  </si>
  <si>
    <t>[effect:enemy_message, val1:1.2, val2:3.7],[effect:suicide, val:0.25],[effect:spread, val:0.26],[effect:force_change_block, new_block:damage, target:block_all, ignore01:block_positive, ignore02:block_negative, count:2, val:0.02]</t>
  </si>
  <si>
    <t>[effect:enemy_message, val1:1.2, val2:3.7],[effect:suicide, val:0.33],[effect:spread, val:0.27],[effect:force_change_block, new_block:damage, target:block_all, ignore01:block_positive, ignore02:block_negative, count:2, val:0.02]</t>
  </si>
  <si>
    <t>[effect:enemy_message, val1:1.2, val2:3.7],[effect:suicide, val:0.50],[effect:spread, val:0.28],[effect:force_change_block, new_block:damage, target:block_all, ignore01:block_positive, ignore02:block_negative, count:2, val:0.02]</t>
  </si>
  <si>
    <t>[effect:enemy_message, val1:1.3, val2:3.8],[effect:suicide, val:1.0, dead_type:suicide],[effect:spread, val:0.29],[effect:force_change_block, new_block:damage, target:block_all, ignore01:block_positive, ignore02:block_negative, count:2, val:0.02]</t>
  </si>
  <si>
    <t>[effect:enemy_message, val1:2.1, val2:2.0],[effect:break_attack_fix, target:unit_all, val:150, lowest_val:600, count:-1, color:blue, block01:block_blue, color:blue, block02:block_heart]</t>
  </si>
  <si>
    <t xml:space="preserve">[effect:enemy_message, val1:1.2, val2:2.4],[effect:force_change_block, new_block:damage, target:block_red, count:3, val:0.02],[effect:rush, count:1, val:1.0]    </t>
  </si>
  <si>
    <t>[effect:enemy_message, val1:1.2, val2:2.0],[effect:break_attack_fix, target:unit_all, val:150, lowest_val:600, count:-1, color:blue, block01:block_blue, color:blue, block02:block_heart]</t>
  </si>
  <si>
    <t xml:space="preserve">[effect:enemy_message, val1:1.2, val2:2.4],[effect:force_change_block, new_block:damage, target:block_green, count:3, val:0.02],[effect:rush, count:1, val:1.0]    </t>
  </si>
  <si>
    <t xml:space="preserve">[effect:enemy_message, val1:1.2, val2:2.4],[effect:force_change_block, new_block:damage, target:block_yellow, count:5, val:0.03],[effect:rush, count:1, val:1.0]    </t>
  </si>
  <si>
    <t>[effect:enemy_message, val1:2.1, val2:3.0],[effect:force_change_block, new_block:damage, target:block_heart, count:5, val:0.03],[effect:spread, val:0.1],[effect:spread, val:0.1]</t>
  </si>
  <si>
    <t>[effect:enemy_message, val1:1.6, val2:2.7],[effect:force_change_block, new_block:block_red, target:block_blue,  count:10, val:0],[effect:rush, count:1, val:1.0],[effect:freq_turn, target:myself, turn:-1, val:1, animation:enemy_freq_turn]</t>
  </si>
  <si>
    <t>[effect:enemy_message, val1:1.8, val2:1.3],[effect:break_attack_fix, target:unit_one, val:700, lowest_val:2800, count:-1, color:red, block_color:block_heart, block01:block_heart]</t>
  </si>
  <si>
    <t>[effect:enemy_message, val1:2.7, val2:5.4],[effect:dark, target:unit_all, turn:3, animation:enemy_dark],[effect:force_change_block, new_block:damage, target:block_red, count:5, val:0.03],[effect:fix_speed, target:myself, turn:2]</t>
  </si>
  <si>
    <t>[effect:enemy_message, val1:2.1, val2:1.9],[effect:force_change_block, new_block:damage, target:block_red, count:5, val:0.03],[effect:fix_speed, target:myself, turn:2]</t>
  </si>
  <si>
    <t>[effect:enemy_message, val1:3.1, val2:1.9],[effect:force_change_block, new_block:damage, target:block_red, count:5, val:0.03],[effect:fix_speed, target:myself, turn:2]</t>
  </si>
  <si>
    <t>[effect:enemy_message, val1:2.2, val2:1.9],[effect:force_change_block, new_block:damage, target:block_red, count:5, val:0.03],[effect:fix_speed, target:myself, turn:2]</t>
  </si>
  <si>
    <t>[effect:enemy_message, val1:2.9, val2:1.9],[effect:force_change_block, new_block:damage, target:block_red, count:5, val:0.03],[effect:fix_speed, target:myself, turn:2]</t>
  </si>
  <si>
    <t>[effect:enemy_message, val1:1.5, val2:1.9],[effect:force_change_block, new_block:damage, target:block_red, count:5, val:0.03],[effect:fix_speed, target:myself, turn:2]</t>
  </si>
  <si>
    <t>[effect:enemy_message, val1:1.4, val2:1.9],[effect:force_change_block, new_block:damage, target:block_red, count:5, val:0.03],[effect:fix_speed, target:myself, turn:2]</t>
  </si>
  <si>
    <t xml:space="preserve">[effect:enemy_message, val1:1.2, val2:2.6],[effect:force_change_block, new_block:damage, target:block_heart, count:5, val:0.03],[effect:rush, count:1, val:1.0]    </t>
  </si>
  <si>
    <t>[effect:enemy_message, val1:1.2, val2:1.3],[effect:break_attack_fix, target:unit_all, val:180, lowest_val:700, count:-1, color:blue, block01:block_blue]</t>
  </si>
  <si>
    <t>[effect:enemy_message, val1:1.7, val2:1.7],[effect:force_change_block, new_block:block_blue, target:block_green, count:0, val:0],[effect:rush, count:1, val:1.0]</t>
  </si>
  <si>
    <t>[effect:enemy_message, val1:1.5, val2:3.7],[effect:suicide, val:0.2],[effect:spread, val:0.25],[effect:force_change_block, new_block:damage, target:block_all, ignore01:block_positive, ignore02:block_negative, count:4, val:0.03]</t>
  </si>
  <si>
    <t>[effect:enemy_message, val1:1.2, val2:3.7],[effect:suicide, val:0.25],[effect:spread, val:0.26],[effect:force_change_block, new_block:damage, target:block_all, ignore01:block_positive, ignore02:block_negative, count:4, val:0.03]</t>
  </si>
  <si>
    <t>[effect:enemy_message, val1:1.2, val2:3.7],[effect:suicide, val:0.33],[effect:spread, val:0.27],[effect:force_change_block, new_block:damage, target:block_all, ignore01:block_positive, ignore02:block_negative, count:4, val:0.03]</t>
  </si>
  <si>
    <t>[effect:enemy_message, val1:1.2, val2:3.7],[effect:suicide, val:0.50],[effect:spread, val:0.28],[effect:force_change_block, new_block:damage, target:block_all, ignore01:block_positive, ignore02:block_negative, count:4, val:0.03]</t>
  </si>
  <si>
    <t>[effect:enemy_message, val1:1.3, val2:3.8],[effect:suicide, val:1.0, dead_type:suicide],[effect:spread, val:0.29],[effect:force_change_block, new_block:damage, target:block_all, ignore01:block_positive, ignore02:block_negative, count:4, val:0.03]</t>
  </si>
  <si>
    <t>[effect:enemy_message, val1:2.1, val2:2.0],[effect:break_attack_fix, target:unit_all, val:140, lowest_val:700, count:-1, color:blue, block01:block_blue, color:blue, block02:block_heart]</t>
  </si>
  <si>
    <t xml:space="preserve">[effect:enemy_message, val1:1.2, val2:2.4],[effect:force_change_block, new_block:damage, target:block_red, count:5, val:0.03],[effect:rush, count:1, val:1.0]    </t>
  </si>
  <si>
    <t>[effect:enemy_message, val1:1.2, val2:2.0],[effect:break_attack_fix, target:unit_all, val:140, lowest_val:700, count:-1, color:blue, block01:block_blue, color:blue, block02:block_heart]</t>
  </si>
  <si>
    <t xml:space="preserve">[effect:enemy_message, val1:1.2, val2:2.4],[effect:force_change_block, new_block:damage, target:block_green, count:5, val:0.03],[effect:rush, count:1, val:1.0]    </t>
  </si>
  <si>
    <t xml:space="preserve">[effect:enemy_message, val1:1.2, val2:2.4],[effect:force_change_block, new_block:damage, target:block_yellow, count:5, val:0.05],[effect:rush, count:1, val:1.0]    </t>
  </si>
  <si>
    <t>[effect:enemy_message, val1:2.1, val2:2.8],[effect:force_change_block, new_block:damage, target:block_heart, count:0, val:0.05],[effect:spread, val:0.1],[effect:spread, val:0.1]</t>
  </si>
  <si>
    <t>[effect:enemy_message, val1:1.8, val2:1.3],[effect:break_attack_fix, target:unit_one, val:1000, lowest_val:4000, count:-1, color:red, block_color:block_heart, block01:block_heart]</t>
  </si>
  <si>
    <t>[effect:enemy_message, val1:2.7, val2:5.4],[effect:dark, target:unit_all, turn:3, animation:enemy_dark],[effect:force_change_block, new_block:damage, target:block_red, count:5, val:0.05],[effect:fix_speed, target:myself, turn:2]</t>
  </si>
  <si>
    <t>[effect:enemy_message, val1:2.1, val2:1.9],[effect:force_change_block, new_block:damage, target:block_red, count:5, val:0.05],[effect:fix_speed, target:myself, turn:2]</t>
  </si>
  <si>
    <t>[effect:enemy_message, val1:3.1, val2:1.9],[effect:force_change_block, new_block:damage, target:block_red, count:5, val:0.05],[effect:fix_speed, target:myself, turn:2]</t>
  </si>
  <si>
    <t>[effect:enemy_message, val1:2.2, val2:1.9],[effect:force_change_block, new_block:damage, target:block_red, count:5, val:0.05],[effect:fix_speed, target:myself, turn:2]</t>
  </si>
  <si>
    <t>[effect:enemy_message, val1:2.9, val2:1.9],[effect:force_change_block, new_block:damage, target:block_red, count:5, val:0.05],[effect:fix_speed, target:myself, turn:2]</t>
  </si>
  <si>
    <t>[effect:enemy_message, val1:1.5, val2:1.9],[effect:force_change_block, new_block:damage, target:block_red, count:5, val:0.05],[effect:fix_speed, target:myself, turn:2]</t>
  </si>
  <si>
    <t>[effect:enemy_message, val1:1.4, val2:1.9],[effect:force_change_block, new_block:damage, target:block_red, count:5, val:0.05],[effect:fix_speed, target:myself, turn:2]</t>
  </si>
  <si>
    <t xml:space="preserve">[effect:enemy_message, val1:1.2, val2:2.4],[effect:force_change_block, new_block:damage, target:block_heart, count:0, val:0.05],[effect:rush, count:1, val:1.0]    </t>
  </si>
  <si>
    <t>[effect:enemy_message, val1:1.2, val2:1.3],[effect:break_attack_fix, target:unit_all, val:300, lowest_val:1200, count:-1, color:blue, block01:block_blue]</t>
  </si>
  <si>
    <t>[effect:enemy_message, val1:1.5, val2:3.7],[effect:suicide, val:0.2],[effect:spread, val:0.25],[effect:force_change_block, new_block:damage, target:block_all, ignore01:block_positive, ignore02:block_negative, count:4, val:0.05]</t>
  </si>
  <si>
    <t>[effect:enemy_message, val1:1.2, val2:3.7],[effect:suicide, val:0.25],[effect:spread, val:0.26],[effect:force_change_block, new_block:damage, target:block_all, ignore01:block_positive, ignore02:block_negative, count:4, val:0.05]</t>
  </si>
  <si>
    <t>[effect:enemy_message, val1:1.2, val2:3.7],[effect:suicide, val:0.33],[effect:spread, val:0.27],[effect:force_change_block, new_block:damage, target:block_all, ignore01:block_positive, ignore02:block_negative, count:4, val:0.05]</t>
  </si>
  <si>
    <t>[effect:enemy_message, val1:1.2, val2:3.7],[effect:suicide, val:0.50],[effect:spread, val:0.28],[effect:force_change_block, new_block:damage, target:block_all, ignore01:block_positive, ignore02:block_negative, count:4, val:0.05]</t>
  </si>
  <si>
    <t>[effect:enemy_message, val1:1.3, val2:3.8],[effect:suicide, val:1.0, dead_type:suicide],[effect:spread, val:0.29],[effect:force_change_block, new_block:damage, target:block_all, ignore01:block_positive, ignore02:block_negative, count:4, val:0.05]</t>
  </si>
  <si>
    <t>[effect:enemy_message, val1:2.1, val2:2.0],[effect:break_attack_fix, target:unit_all, val:200, lowest_val:1000, count:-1, color:blue, block01:block_blue, color:blue, block02:block_heart]</t>
  </si>
  <si>
    <t xml:space="preserve">[effect:enemy_message, val1:1.2, val2:2.2],[effect:force_change_block, new_block:damage, target:block_red, count:0, val:0.05],[effect:rush, count:1, val:1.0]    </t>
  </si>
  <si>
    <t>[effect:enemy_message, val1:1.2, val2:2.0],[effect:break_attack_fix, target:unit_all, val:200, lowest_val:1000, count:-1, color:blue, block01:block_blue, color:blue, block02:block_heart]</t>
  </si>
  <si>
    <t xml:space="preserve">[effect:enemy_message, val1:1.2, val2:2.2],[effect:force_change_block, new_block:damage, target:block_green, count:0, val:0.05],[effect:rush, count:1, val:1.0]    </t>
  </si>
  <si>
    <t>マシン・シュプールの姿に亀裂が入り出している
【状態異常耐性+
　5ターン全ユニットのタップ回数を2DOWN】</t>
    <phoneticPr fontId="5"/>
  </si>
  <si>
    <t>マシン・シュプールの姿に亀裂が入り出している
【状態異常耐性+
　5ターン全ユニットのタップ回数を2DOWN】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</si>
</sst>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13" borderId="6" xfId="0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32" borderId="9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8" fillId="13" borderId="4" xfId="0" applyFont="1" applyFill="1" applyBorder="1" applyAlignment="1">
      <alignment vertical="center"/>
    </xf>
    <xf numFmtId="0" fontId="4" fillId="13" borderId="5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 wrapText="1"/>
    </xf>
    <xf numFmtId="0" fontId="27" fillId="13" borderId="7" xfId="0" applyFont="1" applyFill="1" applyBorder="1"/>
    <xf numFmtId="38" fontId="16" fillId="0" borderId="7" xfId="628" applyFont="1" applyFill="1" applyBorder="1" applyAlignment="1">
      <alignment wrapText="1"/>
    </xf>
    <xf numFmtId="0" fontId="31" fillId="13" borderId="7" xfId="0" applyFont="1" applyFill="1" applyBorder="1"/>
    <xf numFmtId="38" fontId="16" fillId="13" borderId="7" xfId="628" applyFont="1" applyFill="1" applyBorder="1" applyAlignment="1">
      <alignment wrapText="1"/>
    </xf>
    <xf numFmtId="0" fontId="28" fillId="13" borderId="7" xfId="0" applyFont="1" applyFill="1" applyBorder="1"/>
    <xf numFmtId="0" fontId="29" fillId="13" borderId="12" xfId="0" applyFont="1" applyFill="1" applyBorder="1" applyAlignment="1">
      <alignment vertical="center"/>
    </xf>
    <xf numFmtId="0" fontId="30" fillId="13" borderId="7" xfId="0" applyFont="1" applyFill="1" applyBorder="1"/>
    <xf numFmtId="177" fontId="8" fillId="13" borderId="4" xfId="0" applyNumberFormat="1" applyFont="1" applyFill="1" applyBorder="1" applyAlignment="1">
      <alignment vertical="center"/>
    </xf>
    <xf numFmtId="0" fontId="6" fillId="32" borderId="3" xfId="0" applyFont="1" applyFill="1" applyBorder="1" applyAlignment="1">
      <alignment vertical="center"/>
    </xf>
    <xf numFmtId="0" fontId="6" fillId="1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 wrapText="1"/>
    </xf>
    <xf numFmtId="0" fontId="4" fillId="13" borderId="1" xfId="0" applyFont="1" applyFill="1" applyBorder="1" applyAlignment="1">
      <alignment vertical="center"/>
    </xf>
    <xf numFmtId="0" fontId="0" fillId="37" borderId="7" xfId="0" applyFill="1" applyBorder="1"/>
    <xf numFmtId="0" fontId="16" fillId="6" borderId="7" xfId="0" applyFont="1" applyFill="1" applyBorder="1" applyAlignment="1">
      <alignment vertical="center" wrapText="1"/>
    </xf>
    <xf numFmtId="0" fontId="16" fillId="0" borderId="7" xfId="0" applyFont="1" applyFill="1" applyBorder="1" applyAlignment="1">
      <alignment vertical="center" wrapText="1"/>
    </xf>
    <xf numFmtId="0" fontId="16" fillId="37" borderId="7" xfId="0" applyFont="1" applyFill="1" applyBorder="1" applyAlignment="1">
      <alignment vertical="center" wrapText="1"/>
    </xf>
    <xf numFmtId="0" fontId="16" fillId="36" borderId="7" xfId="0" applyFont="1" applyFill="1" applyBorder="1" applyAlignment="1">
      <alignment vertical="center" wrapText="1"/>
    </xf>
    <xf numFmtId="0" fontId="16" fillId="33" borderId="7" xfId="0" applyFont="1" applyFill="1" applyBorder="1" applyAlignment="1">
      <alignment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48101</v>
          </cell>
        </row>
        <row r="257">
          <cell r="A257">
            <v>48501</v>
          </cell>
        </row>
        <row r="258">
          <cell r="A258">
            <v>48502</v>
          </cell>
        </row>
        <row r="259">
          <cell r="A259">
            <v>48503</v>
          </cell>
        </row>
        <row r="260">
          <cell r="A260">
            <v>48701</v>
          </cell>
        </row>
        <row r="261">
          <cell r="A261">
            <v>48702</v>
          </cell>
        </row>
        <row r="262">
          <cell r="A262">
            <v>41001</v>
          </cell>
        </row>
        <row r="263">
          <cell r="A263">
            <v>41002</v>
          </cell>
        </row>
        <row r="264">
          <cell r="A264">
            <v>41003</v>
          </cell>
        </row>
        <row r="265">
          <cell r="A265">
            <v>41004</v>
          </cell>
        </row>
        <row r="266">
          <cell r="A266">
            <v>41005</v>
          </cell>
        </row>
        <row r="267">
          <cell r="A267">
            <v>41006</v>
          </cell>
        </row>
        <row r="268">
          <cell r="A268">
            <v>41007</v>
          </cell>
        </row>
        <row r="269">
          <cell r="A269">
            <v>41008</v>
          </cell>
        </row>
        <row r="270">
          <cell r="A270">
            <v>41009</v>
          </cell>
        </row>
        <row r="271">
          <cell r="A271">
            <v>41010</v>
          </cell>
        </row>
        <row r="272">
          <cell r="A272">
            <v>41011</v>
          </cell>
        </row>
        <row r="273">
          <cell r="A273">
            <v>41012</v>
          </cell>
        </row>
        <row r="274">
          <cell r="A274">
            <v>41013</v>
          </cell>
        </row>
        <row r="275">
          <cell r="A275">
            <v>41014</v>
          </cell>
        </row>
        <row r="276">
          <cell r="A276">
            <v>41015</v>
          </cell>
        </row>
        <row r="277">
          <cell r="A277">
            <v>47001</v>
          </cell>
        </row>
        <row r="278">
          <cell r="A278">
            <v>47002</v>
          </cell>
        </row>
        <row r="279">
          <cell r="A279">
            <v>47003</v>
          </cell>
        </row>
        <row r="280">
          <cell r="A280">
            <v>47004</v>
          </cell>
        </row>
        <row r="281">
          <cell r="A281">
            <v>47005</v>
          </cell>
        </row>
        <row r="282">
          <cell r="A282">
            <v>47006</v>
          </cell>
        </row>
        <row r="283">
          <cell r="A283">
            <v>47007</v>
          </cell>
        </row>
        <row r="284">
          <cell r="A284">
            <v>47008</v>
          </cell>
        </row>
        <row r="285">
          <cell r="A285">
            <v>47009</v>
          </cell>
        </row>
        <row r="286">
          <cell r="A286">
            <v>47010</v>
          </cell>
        </row>
        <row r="287">
          <cell r="A287">
            <v>47011</v>
          </cell>
        </row>
        <row r="288">
          <cell r="A288">
            <v>47012</v>
          </cell>
        </row>
        <row r="289">
          <cell r="A289">
            <v>47013</v>
          </cell>
        </row>
        <row r="290">
          <cell r="A290">
            <v>47014</v>
          </cell>
        </row>
        <row r="291">
          <cell r="A291">
            <v>49001</v>
          </cell>
        </row>
        <row r="292">
          <cell r="A292">
            <v>49002</v>
          </cell>
        </row>
        <row r="293">
          <cell r="A293">
            <v>49003</v>
          </cell>
        </row>
        <row r="294">
          <cell r="A294">
            <v>49004</v>
          </cell>
        </row>
        <row r="295">
          <cell r="A295">
            <v>49005</v>
          </cell>
        </row>
        <row r="296">
          <cell r="A296">
            <v>49006</v>
          </cell>
        </row>
        <row r="297">
          <cell r="A297">
            <v>49007</v>
          </cell>
        </row>
        <row r="298">
          <cell r="A298">
            <v>49008</v>
          </cell>
        </row>
        <row r="299">
          <cell r="A299">
            <v>49009</v>
          </cell>
        </row>
        <row r="300">
          <cell r="A300">
            <v>49010</v>
          </cell>
        </row>
        <row r="301">
          <cell r="A301">
            <v>49011</v>
          </cell>
        </row>
        <row r="302">
          <cell r="A302">
            <v>49012</v>
          </cell>
        </row>
        <row r="303">
          <cell r="A303">
            <v>49013</v>
          </cell>
        </row>
        <row r="304">
          <cell r="A304">
            <v>49014</v>
          </cell>
        </row>
        <row r="305">
          <cell r="A305">
            <v>49015</v>
          </cell>
        </row>
        <row r="306">
          <cell r="A306">
            <v>49016</v>
          </cell>
        </row>
        <row r="307">
          <cell r="A307">
            <v>50001</v>
          </cell>
        </row>
        <row r="308">
          <cell r="A308">
            <v>50002</v>
          </cell>
        </row>
        <row r="309">
          <cell r="A309">
            <v>50003</v>
          </cell>
        </row>
        <row r="310">
          <cell r="A310">
            <v>50004</v>
          </cell>
        </row>
        <row r="311">
          <cell r="A311">
            <v>50005</v>
          </cell>
        </row>
        <row r="312">
          <cell r="A312">
            <v>50006</v>
          </cell>
        </row>
        <row r="313">
          <cell r="A313">
            <v>50007</v>
          </cell>
        </row>
        <row r="314">
          <cell r="A314">
            <v>50008</v>
          </cell>
        </row>
        <row r="315">
          <cell r="A315">
            <v>50009</v>
          </cell>
        </row>
        <row r="316">
          <cell r="A316">
            <v>50010</v>
          </cell>
        </row>
        <row r="317">
          <cell r="A317">
            <v>50011</v>
          </cell>
        </row>
        <row r="318">
          <cell r="A318">
            <v>50012</v>
          </cell>
        </row>
        <row r="319">
          <cell r="A319">
            <v>50013</v>
          </cell>
        </row>
        <row r="320">
          <cell r="A320">
            <v>50014</v>
          </cell>
        </row>
        <row r="321">
          <cell r="A321">
            <v>50015</v>
          </cell>
        </row>
        <row r="322">
          <cell r="A322">
            <v>50016</v>
          </cell>
        </row>
        <row r="323">
          <cell r="A323">
            <v>51001</v>
          </cell>
        </row>
        <row r="324">
          <cell r="A324">
            <v>51002</v>
          </cell>
        </row>
        <row r="325">
          <cell r="A325">
            <v>58001</v>
          </cell>
        </row>
        <row r="326">
          <cell r="A326">
            <v>58002</v>
          </cell>
        </row>
        <row r="327">
          <cell r="A327">
            <v>58101</v>
          </cell>
        </row>
        <row r="328">
          <cell r="A328">
            <v>59001</v>
          </cell>
        </row>
        <row r="329">
          <cell r="A329">
            <v>59002</v>
          </cell>
        </row>
        <row r="330">
          <cell r="A330">
            <v>59003</v>
          </cell>
        </row>
        <row r="331">
          <cell r="A331">
            <v>60001</v>
          </cell>
        </row>
        <row r="332">
          <cell r="A332">
            <v>60002</v>
          </cell>
        </row>
        <row r="333">
          <cell r="A333">
            <v>60003</v>
          </cell>
        </row>
        <row r="334">
          <cell r="A334">
            <v>60004</v>
          </cell>
        </row>
        <row r="335">
          <cell r="A335">
            <v>60005</v>
          </cell>
        </row>
        <row r="336">
          <cell r="A336">
            <v>60006</v>
          </cell>
        </row>
        <row r="337">
          <cell r="A337">
            <v>60007</v>
          </cell>
        </row>
        <row r="338">
          <cell r="A338">
            <v>60010</v>
          </cell>
        </row>
        <row r="339">
          <cell r="A339">
            <v>60011</v>
          </cell>
        </row>
        <row r="340">
          <cell r="A340">
            <v>61011</v>
          </cell>
        </row>
        <row r="341">
          <cell r="A341">
            <v>60012</v>
          </cell>
        </row>
        <row r="342">
          <cell r="A342">
            <v>60013</v>
          </cell>
        </row>
        <row r="343">
          <cell r="A343">
            <v>60014</v>
          </cell>
        </row>
        <row r="344">
          <cell r="A344">
            <v>60015</v>
          </cell>
        </row>
        <row r="345">
          <cell r="A345">
            <v>60016</v>
          </cell>
        </row>
        <row r="346">
          <cell r="A346">
            <v>60017</v>
          </cell>
        </row>
        <row r="347">
          <cell r="A347">
            <v>60018</v>
          </cell>
        </row>
        <row r="348">
          <cell r="A348">
            <v>60019</v>
          </cell>
        </row>
        <row r="349">
          <cell r="A349">
            <v>60020</v>
          </cell>
        </row>
        <row r="350">
          <cell r="A350">
            <v>60025</v>
          </cell>
        </row>
        <row r="351">
          <cell r="A351">
            <v>60026</v>
          </cell>
        </row>
        <row r="352">
          <cell r="A352">
            <v>60027</v>
          </cell>
        </row>
        <row r="353">
          <cell r="A353">
            <v>60028</v>
          </cell>
        </row>
        <row r="354">
          <cell r="A354">
            <v>60029</v>
          </cell>
        </row>
        <row r="355">
          <cell r="A355">
            <v>60030</v>
          </cell>
        </row>
        <row r="356">
          <cell r="A356">
            <v>60031</v>
          </cell>
        </row>
        <row r="357">
          <cell r="A357">
            <v>65523</v>
          </cell>
        </row>
        <row r="358">
          <cell r="A358">
            <v>65524</v>
          </cell>
        </row>
        <row r="359">
          <cell r="A359">
            <v>65525</v>
          </cell>
        </row>
        <row r="360">
          <cell r="A360">
            <v>65526</v>
          </cell>
        </row>
        <row r="361">
          <cell r="A361">
            <v>65527</v>
          </cell>
        </row>
        <row r="362">
          <cell r="A362">
            <v>65528</v>
          </cell>
        </row>
        <row r="363">
          <cell r="A363">
            <v>65529</v>
          </cell>
        </row>
        <row r="364">
          <cell r="A364">
            <v>65530</v>
          </cell>
        </row>
        <row r="365">
          <cell r="A365">
            <v>65531</v>
          </cell>
        </row>
        <row r="366">
          <cell r="A366">
            <v>65532</v>
          </cell>
        </row>
        <row r="367">
          <cell r="A367">
            <v>65533</v>
          </cell>
        </row>
        <row r="368">
          <cell r="A368">
            <v>65534</v>
          </cell>
        </row>
        <row r="369">
          <cell r="A369">
            <v>65535</v>
          </cell>
        </row>
        <row r="370">
          <cell r="A370">
            <v>60021</v>
          </cell>
        </row>
        <row r="371">
          <cell r="A371">
            <v>60022</v>
          </cell>
        </row>
        <row r="372">
          <cell r="A372">
            <v>60023</v>
          </cell>
        </row>
        <row r="373">
          <cell r="A37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39014_2</v>
          </cell>
        </row>
        <row r="726">
          <cell r="A726" t="str">
            <v>40001_1</v>
          </cell>
        </row>
        <row r="727">
          <cell r="A727" t="str">
            <v>40002_1</v>
          </cell>
        </row>
        <row r="728">
          <cell r="A728" t="str">
            <v>40002_2</v>
          </cell>
        </row>
        <row r="729">
          <cell r="A729" t="str">
            <v>40002_3</v>
          </cell>
        </row>
        <row r="730">
          <cell r="A730" t="str">
            <v>40003_1</v>
          </cell>
        </row>
        <row r="731">
          <cell r="A731" t="str">
            <v>40004_1</v>
          </cell>
        </row>
        <row r="732">
          <cell r="A732" t="str">
            <v>40005_1</v>
          </cell>
        </row>
        <row r="733">
          <cell r="A733" t="str">
            <v>40006_1</v>
          </cell>
        </row>
        <row r="734">
          <cell r="A734" t="str">
            <v>40007_1</v>
          </cell>
        </row>
        <row r="735">
          <cell r="A735" t="str">
            <v>40008_1</v>
          </cell>
        </row>
        <row r="736">
          <cell r="A736" t="str">
            <v>40009_1</v>
          </cell>
        </row>
        <row r="737">
          <cell r="A737" t="str">
            <v>40010_1</v>
          </cell>
        </row>
        <row r="738">
          <cell r="A738" t="str">
            <v>40011_1</v>
          </cell>
        </row>
        <row r="739">
          <cell r="A739" t="str">
            <v>40012_1</v>
          </cell>
        </row>
        <row r="740">
          <cell r="A740" t="str">
            <v>40013_1</v>
          </cell>
        </row>
        <row r="741">
          <cell r="A741" t="str">
            <v>40014_1</v>
          </cell>
        </row>
        <row r="742">
          <cell r="A742" t="str">
            <v>40015_1</v>
          </cell>
        </row>
        <row r="743">
          <cell r="A743" t="str">
            <v>40016_1</v>
          </cell>
        </row>
        <row r="744">
          <cell r="A744" t="str">
            <v>40016_2</v>
          </cell>
        </row>
        <row r="745">
          <cell r="A745" t="str">
            <v>40017_1</v>
          </cell>
        </row>
        <row r="746">
          <cell r="A746" t="str">
            <v>40017_2</v>
          </cell>
        </row>
        <row r="747">
          <cell r="A747" t="str">
            <v>40017_3</v>
          </cell>
        </row>
        <row r="748">
          <cell r="A748" t="str">
            <v>40018_1</v>
          </cell>
        </row>
        <row r="749">
          <cell r="A749" t="str">
            <v>40018_2</v>
          </cell>
        </row>
        <row r="750">
          <cell r="A750" t="str">
            <v>40018_3</v>
          </cell>
        </row>
        <row r="751">
          <cell r="A751" t="str">
            <v>40019_1</v>
          </cell>
        </row>
        <row r="752">
          <cell r="A752" t="str">
            <v>40019_2</v>
          </cell>
        </row>
        <row r="753">
          <cell r="A753" t="str">
            <v>40019_3</v>
          </cell>
        </row>
        <row r="754">
          <cell r="A754" t="str">
            <v>40021_1</v>
          </cell>
        </row>
        <row r="755">
          <cell r="A755" t="str">
            <v>40021_2</v>
          </cell>
        </row>
        <row r="756">
          <cell r="A756" t="str">
            <v>40022_1</v>
          </cell>
        </row>
        <row r="757">
          <cell r="A757" t="str">
            <v>40022_2</v>
          </cell>
        </row>
        <row r="758">
          <cell r="A758" t="str">
            <v>40023_1</v>
          </cell>
        </row>
        <row r="759">
          <cell r="A759" t="str">
            <v>40023_2</v>
          </cell>
        </row>
        <row r="760">
          <cell r="A760" t="str">
            <v>40024_1</v>
          </cell>
        </row>
        <row r="761">
          <cell r="A761" t="str">
            <v>40024_2</v>
          </cell>
        </row>
        <row r="762">
          <cell r="A762" t="str">
            <v>40025_1</v>
          </cell>
        </row>
        <row r="763">
          <cell r="A763" t="str">
            <v>40025_2</v>
          </cell>
        </row>
        <row r="764">
          <cell r="A764" t="str">
            <v>40026_1</v>
          </cell>
        </row>
        <row r="765">
          <cell r="A765" t="str">
            <v>40026_2</v>
          </cell>
        </row>
        <row r="766">
          <cell r="A766" t="str">
            <v>40027_1</v>
          </cell>
        </row>
        <row r="767">
          <cell r="A767" t="str">
            <v>40027_2</v>
          </cell>
        </row>
        <row r="768">
          <cell r="A768" t="str">
            <v>40028_1</v>
          </cell>
        </row>
        <row r="769">
          <cell r="A769" t="str">
            <v>40028_2</v>
          </cell>
        </row>
        <row r="770">
          <cell r="A770" t="str">
            <v>40029_1</v>
          </cell>
        </row>
        <row r="771">
          <cell r="A771" t="str">
            <v>40029_2</v>
          </cell>
        </row>
        <row r="772">
          <cell r="A772" t="str">
            <v>40030_1</v>
          </cell>
        </row>
        <row r="773">
          <cell r="A773" t="str">
            <v>40030_2</v>
          </cell>
        </row>
        <row r="774">
          <cell r="A774" t="str">
            <v>40031_1</v>
          </cell>
        </row>
        <row r="775">
          <cell r="A775" t="str">
            <v>40031_2</v>
          </cell>
        </row>
        <row r="776">
          <cell r="A776" t="str">
            <v>40032_1</v>
          </cell>
        </row>
        <row r="777">
          <cell r="A777" t="str">
            <v>40032_2</v>
          </cell>
        </row>
        <row r="778">
          <cell r="A778" t="str">
            <v>40033_1</v>
          </cell>
        </row>
        <row r="779">
          <cell r="A779" t="str">
            <v>40033_2</v>
          </cell>
        </row>
        <row r="780">
          <cell r="A780" t="str">
            <v>40034_1</v>
          </cell>
        </row>
        <row r="781">
          <cell r="A781" t="str">
            <v>40034_2</v>
          </cell>
        </row>
        <row r="782">
          <cell r="A782" t="str">
            <v>40035_1</v>
          </cell>
        </row>
        <row r="783">
          <cell r="A783" t="str">
            <v>40035_2</v>
          </cell>
        </row>
        <row r="784">
          <cell r="A784" t="str">
            <v>40036_1</v>
          </cell>
        </row>
        <row r="785">
          <cell r="A785" t="str">
            <v>40036_2</v>
          </cell>
        </row>
        <row r="786">
          <cell r="A786" t="str">
            <v>40037_1</v>
          </cell>
        </row>
        <row r="787">
          <cell r="A787" t="str">
            <v>40037_2</v>
          </cell>
        </row>
        <row r="788">
          <cell r="A788" t="str">
            <v>40038_1</v>
          </cell>
        </row>
        <row r="789">
          <cell r="A789" t="str">
            <v>40038_2</v>
          </cell>
        </row>
        <row r="790">
          <cell r="A790" t="str">
            <v>40039_1</v>
          </cell>
        </row>
        <row r="791">
          <cell r="A791" t="str">
            <v>40039_2</v>
          </cell>
        </row>
        <row r="792">
          <cell r="A792" t="str">
            <v>40040_1</v>
          </cell>
        </row>
        <row r="793">
          <cell r="A793" t="str">
            <v>40040_2</v>
          </cell>
        </row>
        <row r="794">
          <cell r="A794" t="str">
            <v>40041_1</v>
          </cell>
        </row>
        <row r="795">
          <cell r="A795" t="str">
            <v>40041_2</v>
          </cell>
        </row>
        <row r="796">
          <cell r="A796" t="str">
            <v>40042_1</v>
          </cell>
        </row>
        <row r="797">
          <cell r="A797" t="str">
            <v>40042_2</v>
          </cell>
        </row>
        <row r="798">
          <cell r="A798" t="str">
            <v>40043_1</v>
          </cell>
        </row>
        <row r="799">
          <cell r="A799" t="str">
            <v>40043_2</v>
          </cell>
        </row>
        <row r="800">
          <cell r="A800" t="str">
            <v>40044_1</v>
          </cell>
        </row>
        <row r="801">
          <cell r="A801" t="str">
            <v>40044_2</v>
          </cell>
        </row>
        <row r="802">
          <cell r="A802" t="str">
            <v>40045_1</v>
          </cell>
        </row>
        <row r="803">
          <cell r="A803" t="str">
            <v>40045_2</v>
          </cell>
        </row>
        <row r="804">
          <cell r="A804" t="str">
            <v>40046_1</v>
          </cell>
        </row>
        <row r="805">
          <cell r="A805" t="str">
            <v>40046_2</v>
          </cell>
        </row>
        <row r="806">
          <cell r="A806" t="str">
            <v>41001_1</v>
          </cell>
        </row>
        <row r="807">
          <cell r="A807" t="str">
            <v>41001_2</v>
          </cell>
        </row>
        <row r="808">
          <cell r="A808" t="str">
            <v>41001_3</v>
          </cell>
        </row>
        <row r="809">
          <cell r="A809" t="str">
            <v>41002_1</v>
          </cell>
        </row>
        <row r="810">
          <cell r="A810" t="str">
            <v>41002_2</v>
          </cell>
        </row>
        <row r="811">
          <cell r="A811" t="str">
            <v>41002_3</v>
          </cell>
        </row>
        <row r="812">
          <cell r="A812" t="str">
            <v>41003_1</v>
          </cell>
        </row>
        <row r="813">
          <cell r="A813" t="str">
            <v>41003_2</v>
          </cell>
        </row>
        <row r="814">
          <cell r="A814" t="str">
            <v>41003_3</v>
          </cell>
        </row>
        <row r="815">
          <cell r="A815" t="str">
            <v>41004_1</v>
          </cell>
        </row>
        <row r="816">
          <cell r="A816" t="str">
            <v>41004_2</v>
          </cell>
        </row>
        <row r="817">
          <cell r="A817" t="str">
            <v>41004_3</v>
          </cell>
        </row>
        <row r="818">
          <cell r="A818" t="str">
            <v>41005_1</v>
          </cell>
        </row>
        <row r="819">
          <cell r="A819" t="str">
            <v>41005_2</v>
          </cell>
        </row>
        <row r="820">
          <cell r="A820" t="str">
            <v>41005_3</v>
          </cell>
        </row>
        <row r="821">
          <cell r="A821" t="str">
            <v>41006_1</v>
          </cell>
        </row>
        <row r="822">
          <cell r="A822" t="str">
            <v>41006_2</v>
          </cell>
        </row>
        <row r="823">
          <cell r="A823" t="str">
            <v>41006_3</v>
          </cell>
        </row>
        <row r="824">
          <cell r="A824" t="str">
            <v>41007_1</v>
          </cell>
        </row>
        <row r="825">
          <cell r="A825" t="str">
            <v>41007_2</v>
          </cell>
        </row>
        <row r="826">
          <cell r="A826" t="str">
            <v>41007_3</v>
          </cell>
        </row>
        <row r="827">
          <cell r="A827" t="str">
            <v>41008_1</v>
          </cell>
        </row>
        <row r="828">
          <cell r="A828" t="str">
            <v>41008_2</v>
          </cell>
        </row>
        <row r="829">
          <cell r="A829" t="str">
            <v>41008_3</v>
          </cell>
        </row>
        <row r="830">
          <cell r="A830" t="str">
            <v>41009_1</v>
          </cell>
        </row>
        <row r="831">
          <cell r="A831" t="str">
            <v>41009_2</v>
          </cell>
        </row>
        <row r="832">
          <cell r="A832" t="str">
            <v>41009_3</v>
          </cell>
        </row>
        <row r="833">
          <cell r="A833" t="str">
            <v>41010_1</v>
          </cell>
        </row>
        <row r="834">
          <cell r="A834" t="str">
            <v>41010_2</v>
          </cell>
        </row>
        <row r="835">
          <cell r="A835" t="str">
            <v>41010_3</v>
          </cell>
        </row>
        <row r="836">
          <cell r="A836" t="str">
            <v>41011_1</v>
          </cell>
        </row>
        <row r="837">
          <cell r="A837" t="str">
            <v>41011_2</v>
          </cell>
        </row>
        <row r="838">
          <cell r="A838" t="str">
            <v>41012_1</v>
          </cell>
        </row>
        <row r="839">
          <cell r="A839" t="str">
            <v>41012_2</v>
          </cell>
        </row>
        <row r="840">
          <cell r="A840" t="str">
            <v>41013_1</v>
          </cell>
        </row>
        <row r="841">
          <cell r="A841" t="str">
            <v>41013_2</v>
          </cell>
        </row>
        <row r="842">
          <cell r="A842" t="str">
            <v>41014_1</v>
          </cell>
        </row>
        <row r="843">
          <cell r="A843" t="str">
            <v>41014_2</v>
          </cell>
        </row>
        <row r="844">
          <cell r="A844" t="str">
            <v>41015_1</v>
          </cell>
        </row>
        <row r="845">
          <cell r="A845" t="str">
            <v>41015_2</v>
          </cell>
        </row>
        <row r="846">
          <cell r="A846" t="str">
            <v>47001_1</v>
          </cell>
        </row>
        <row r="847">
          <cell r="A847" t="str">
            <v>47001_2</v>
          </cell>
        </row>
        <row r="848">
          <cell r="A848" t="str">
            <v>47002_1</v>
          </cell>
        </row>
        <row r="849">
          <cell r="A849" t="str">
            <v>47002_2</v>
          </cell>
        </row>
        <row r="850">
          <cell r="A850" t="str">
            <v>47003_1</v>
          </cell>
        </row>
        <row r="851">
          <cell r="A851" t="str">
            <v>47003_2</v>
          </cell>
        </row>
        <row r="852">
          <cell r="A852" t="str">
            <v>47003_3</v>
          </cell>
        </row>
        <row r="853">
          <cell r="A853" t="str">
            <v>47003_4</v>
          </cell>
        </row>
        <row r="854">
          <cell r="A854" t="str">
            <v>47004_1</v>
          </cell>
        </row>
        <row r="855">
          <cell r="A855" t="str">
            <v>47004_2</v>
          </cell>
        </row>
        <row r="856">
          <cell r="A856" t="str">
            <v>47004_3</v>
          </cell>
        </row>
        <row r="857">
          <cell r="A857" t="str">
            <v>47004_4</v>
          </cell>
        </row>
        <row r="858">
          <cell r="A858" t="str">
            <v>47005_1</v>
          </cell>
        </row>
        <row r="859">
          <cell r="A859" t="str">
            <v>47006_1</v>
          </cell>
        </row>
        <row r="860">
          <cell r="A860" t="str">
            <v>47006_2</v>
          </cell>
        </row>
        <row r="861">
          <cell r="A861" t="str">
            <v>47007_1</v>
          </cell>
        </row>
        <row r="862">
          <cell r="A862" t="str">
            <v>47007_2</v>
          </cell>
        </row>
        <row r="863">
          <cell r="A863" t="str">
            <v>47008_1</v>
          </cell>
        </row>
        <row r="864">
          <cell r="A864" t="str">
            <v>47008_2</v>
          </cell>
        </row>
        <row r="865">
          <cell r="A865" t="str">
            <v>47009_1</v>
          </cell>
        </row>
        <row r="866">
          <cell r="A866" t="str">
            <v>47009_2</v>
          </cell>
        </row>
        <row r="867">
          <cell r="A867" t="str">
            <v>47010_1</v>
          </cell>
        </row>
        <row r="868">
          <cell r="A868" t="str">
            <v>47010_2</v>
          </cell>
        </row>
        <row r="869">
          <cell r="A869" t="str">
            <v>47011_1</v>
          </cell>
        </row>
        <row r="870">
          <cell r="A870" t="str">
            <v>47012_1</v>
          </cell>
        </row>
        <row r="871">
          <cell r="A871" t="str">
            <v>47012_2</v>
          </cell>
        </row>
        <row r="872">
          <cell r="A872" t="str">
            <v>47013_1</v>
          </cell>
        </row>
        <row r="873">
          <cell r="A873" t="str">
            <v>47013_2</v>
          </cell>
        </row>
        <row r="874">
          <cell r="A874" t="str">
            <v>47013_3</v>
          </cell>
        </row>
        <row r="875">
          <cell r="A875" t="str">
            <v>47013_4</v>
          </cell>
        </row>
        <row r="876">
          <cell r="A876" t="str">
            <v>47014_1</v>
          </cell>
        </row>
        <row r="877">
          <cell r="A877" t="str">
            <v>47014_2</v>
          </cell>
        </row>
        <row r="878">
          <cell r="A878" t="str">
            <v>47014_3</v>
          </cell>
        </row>
        <row r="879">
          <cell r="A879" t="str">
            <v>48001_1</v>
          </cell>
        </row>
        <row r="880">
          <cell r="A880" t="str">
            <v>48002_1</v>
          </cell>
        </row>
        <row r="881">
          <cell r="A881" t="str">
            <v>48002_2</v>
          </cell>
        </row>
        <row r="882">
          <cell r="A882" t="str">
            <v>48002_3</v>
          </cell>
        </row>
        <row r="883">
          <cell r="A883" t="str">
            <v>48003_1</v>
          </cell>
        </row>
        <row r="884">
          <cell r="A884" t="str">
            <v>48003_2</v>
          </cell>
        </row>
        <row r="885">
          <cell r="A885" t="str">
            <v>48004_1</v>
          </cell>
        </row>
        <row r="886">
          <cell r="A886" t="str">
            <v>48004_2</v>
          </cell>
        </row>
        <row r="887">
          <cell r="A887" t="str">
            <v>48005_1</v>
          </cell>
        </row>
        <row r="888">
          <cell r="A888" t="str">
            <v>48005_2</v>
          </cell>
        </row>
        <row r="889">
          <cell r="A889" t="str">
            <v>48006_1</v>
          </cell>
        </row>
        <row r="890">
          <cell r="A890" t="str">
            <v>48006_2</v>
          </cell>
        </row>
        <row r="891">
          <cell r="A891" t="str">
            <v>48007_1</v>
          </cell>
        </row>
        <row r="892">
          <cell r="A892" t="str">
            <v>48007_2</v>
          </cell>
        </row>
        <row r="893">
          <cell r="A893" t="str">
            <v>48008_1</v>
          </cell>
        </row>
        <row r="894">
          <cell r="A894" t="str">
            <v>48008_2</v>
          </cell>
        </row>
        <row r="895">
          <cell r="A895" t="str">
            <v>48009_1</v>
          </cell>
        </row>
        <row r="896">
          <cell r="A896" t="str">
            <v>48009_2</v>
          </cell>
        </row>
        <row r="897">
          <cell r="A897" t="str">
            <v>48010_1</v>
          </cell>
        </row>
        <row r="898">
          <cell r="A898" t="str">
            <v>48011_1</v>
          </cell>
        </row>
        <row r="899">
          <cell r="A899" t="str">
            <v>48011_2</v>
          </cell>
        </row>
        <row r="900">
          <cell r="A900" t="str">
            <v>48012_1</v>
          </cell>
        </row>
        <row r="901">
          <cell r="A901" t="str">
            <v>48012_2</v>
          </cell>
        </row>
        <row r="902">
          <cell r="A902" t="str">
            <v>48013_1</v>
          </cell>
        </row>
        <row r="903">
          <cell r="A903" t="str">
            <v>48013_2</v>
          </cell>
        </row>
        <row r="904">
          <cell r="A904" t="str">
            <v>48014_1</v>
          </cell>
        </row>
        <row r="905">
          <cell r="A905" t="str">
            <v>48014_2</v>
          </cell>
        </row>
        <row r="906">
          <cell r="A906" t="str">
            <v>48101_1</v>
          </cell>
        </row>
        <row r="907">
          <cell r="A907" t="str">
            <v>48101_2</v>
          </cell>
        </row>
        <row r="908">
          <cell r="A908" t="str">
            <v>48501_1</v>
          </cell>
        </row>
        <row r="909">
          <cell r="A909" t="str">
            <v>48501_2</v>
          </cell>
        </row>
        <row r="910">
          <cell r="A910" t="str">
            <v>48502_1</v>
          </cell>
        </row>
        <row r="911">
          <cell r="A911" t="str">
            <v>48502_2</v>
          </cell>
        </row>
        <row r="912">
          <cell r="A912" t="str">
            <v>48503_1</v>
          </cell>
        </row>
        <row r="913">
          <cell r="A913" t="str">
            <v>48503_2</v>
          </cell>
        </row>
        <row r="914">
          <cell r="A914" t="str">
            <v>48701_1</v>
          </cell>
        </row>
        <row r="915">
          <cell r="A915" t="str">
            <v>48701_2</v>
          </cell>
        </row>
        <row r="916">
          <cell r="A916" t="str">
            <v>48702_1</v>
          </cell>
        </row>
        <row r="917">
          <cell r="A917" t="str">
            <v>48702_2</v>
          </cell>
        </row>
        <row r="918">
          <cell r="A918" t="str">
            <v>49001_1</v>
          </cell>
        </row>
        <row r="919">
          <cell r="A919" t="str">
            <v>49002_1</v>
          </cell>
        </row>
        <row r="920">
          <cell r="A920" t="str">
            <v>49002_2</v>
          </cell>
        </row>
        <row r="921">
          <cell r="A921" t="str">
            <v>49003_1</v>
          </cell>
        </row>
        <row r="922">
          <cell r="A922" t="str">
            <v>49003_2</v>
          </cell>
        </row>
        <row r="923">
          <cell r="A923" t="str">
            <v>49004_1</v>
          </cell>
        </row>
        <row r="924">
          <cell r="A924" t="str">
            <v>49004_2</v>
          </cell>
        </row>
        <row r="925">
          <cell r="A925" t="str">
            <v>49004_3</v>
          </cell>
        </row>
        <row r="926">
          <cell r="A926" t="str">
            <v>49005_1</v>
          </cell>
        </row>
        <row r="927">
          <cell r="A927" t="str">
            <v>49006_1</v>
          </cell>
        </row>
        <row r="928">
          <cell r="A928" t="str">
            <v>49006_2</v>
          </cell>
        </row>
        <row r="929">
          <cell r="A929" t="str">
            <v>49007_1</v>
          </cell>
        </row>
        <row r="930">
          <cell r="A930" t="str">
            <v>49007_2</v>
          </cell>
        </row>
        <row r="931">
          <cell r="A931" t="str">
            <v>49007_3</v>
          </cell>
        </row>
        <row r="932">
          <cell r="A932" t="str">
            <v>49008_1</v>
          </cell>
        </row>
        <row r="933">
          <cell r="A933" t="str">
            <v>49009_1</v>
          </cell>
        </row>
        <row r="934">
          <cell r="A934" t="str">
            <v>49010_1</v>
          </cell>
        </row>
        <row r="935">
          <cell r="A935" t="str">
            <v>49011_1</v>
          </cell>
        </row>
        <row r="936">
          <cell r="A936" t="str">
            <v>49012_1</v>
          </cell>
        </row>
        <row r="937">
          <cell r="A937" t="str">
            <v>49013_1</v>
          </cell>
        </row>
        <row r="938">
          <cell r="A938" t="str">
            <v>49014_1</v>
          </cell>
        </row>
        <row r="939">
          <cell r="A939" t="str">
            <v>49014_2</v>
          </cell>
        </row>
        <row r="940">
          <cell r="A940" t="str">
            <v>49015_1</v>
          </cell>
        </row>
        <row r="941">
          <cell r="A941" t="str">
            <v>49015_2</v>
          </cell>
        </row>
        <row r="942">
          <cell r="A942" t="str">
            <v>49015_3</v>
          </cell>
        </row>
        <row r="943">
          <cell r="A943" t="str">
            <v>49016_1</v>
          </cell>
        </row>
        <row r="944">
          <cell r="A944" t="str">
            <v>49016_2</v>
          </cell>
        </row>
        <row r="945">
          <cell r="A945" t="str">
            <v>50001_1</v>
          </cell>
        </row>
        <row r="946">
          <cell r="A946" t="str">
            <v>50002_1</v>
          </cell>
        </row>
        <row r="947">
          <cell r="A947" t="str">
            <v>50003_1</v>
          </cell>
        </row>
        <row r="948">
          <cell r="A948" t="str">
            <v>50004_1</v>
          </cell>
        </row>
        <row r="949">
          <cell r="A949" t="str">
            <v>50005_1</v>
          </cell>
        </row>
        <row r="950">
          <cell r="A950" t="str">
            <v>50006_1</v>
          </cell>
        </row>
        <row r="951">
          <cell r="A951" t="str">
            <v>50007_1</v>
          </cell>
        </row>
        <row r="952">
          <cell r="A952" t="str">
            <v>50008_1</v>
          </cell>
        </row>
        <row r="953">
          <cell r="A953" t="str">
            <v>50009_1</v>
          </cell>
        </row>
        <row r="954">
          <cell r="A954" t="str">
            <v>50010_1</v>
          </cell>
        </row>
        <row r="955">
          <cell r="A955" t="str">
            <v>50011_1</v>
          </cell>
        </row>
        <row r="956">
          <cell r="A956" t="str">
            <v>50012_1</v>
          </cell>
        </row>
        <row r="957">
          <cell r="A957" t="str">
            <v>50013_1</v>
          </cell>
        </row>
        <row r="958">
          <cell r="A958" t="str">
            <v>50014_1</v>
          </cell>
        </row>
        <row r="959">
          <cell r="A959" t="str">
            <v>50015_1</v>
          </cell>
        </row>
        <row r="960">
          <cell r="A960" t="str">
            <v>50016_1</v>
          </cell>
        </row>
        <row r="961">
          <cell r="A961" t="str">
            <v>51001_1</v>
          </cell>
        </row>
        <row r="962">
          <cell r="A962" t="str">
            <v>51002_1</v>
          </cell>
        </row>
        <row r="963">
          <cell r="A963" t="str">
            <v>58001_1</v>
          </cell>
        </row>
        <row r="964">
          <cell r="A964" t="str">
            <v>58002_1</v>
          </cell>
        </row>
        <row r="965">
          <cell r="A965" t="str">
            <v>58101_1</v>
          </cell>
        </row>
        <row r="966">
          <cell r="A966" t="str">
            <v>59001_1</v>
          </cell>
        </row>
        <row r="967">
          <cell r="A967" t="str">
            <v>59002_1</v>
          </cell>
        </row>
        <row r="968">
          <cell r="A968" t="str">
            <v>59003_1</v>
          </cell>
        </row>
        <row r="969">
          <cell r="A969" t="str">
            <v>59003_2</v>
          </cell>
        </row>
        <row r="970">
          <cell r="A970" t="str">
            <v>60001_1</v>
          </cell>
        </row>
        <row r="971">
          <cell r="A971" t="str">
            <v>60002_1</v>
          </cell>
        </row>
        <row r="972">
          <cell r="A972" t="str">
            <v>60002_2</v>
          </cell>
        </row>
        <row r="973">
          <cell r="A973" t="str">
            <v>60003_1</v>
          </cell>
        </row>
        <row r="974">
          <cell r="A974" t="str">
            <v>60003_2</v>
          </cell>
        </row>
        <row r="975">
          <cell r="A975" t="str">
            <v>60003_3</v>
          </cell>
        </row>
        <row r="976">
          <cell r="A976" t="str">
            <v>60004_1</v>
          </cell>
        </row>
        <row r="977">
          <cell r="A977" t="str">
            <v>60005_1</v>
          </cell>
        </row>
        <row r="978">
          <cell r="A978" t="str">
            <v>60006_1</v>
          </cell>
        </row>
        <row r="979">
          <cell r="A979" t="str">
            <v>60006_2</v>
          </cell>
        </row>
        <row r="980">
          <cell r="A980" t="str">
            <v>60006_3</v>
          </cell>
        </row>
        <row r="981">
          <cell r="A981" t="str">
            <v>60007_1</v>
          </cell>
        </row>
        <row r="982">
          <cell r="A982" t="str">
            <v>60007_2</v>
          </cell>
        </row>
        <row r="983">
          <cell r="A983" t="str">
            <v>60007_3</v>
          </cell>
        </row>
        <row r="984">
          <cell r="A984" t="str">
            <v>60010_1</v>
          </cell>
        </row>
        <row r="985">
          <cell r="A985" t="str">
            <v>60011_1</v>
          </cell>
        </row>
        <row r="986">
          <cell r="A986" t="str">
            <v>60011_2</v>
          </cell>
        </row>
        <row r="987">
          <cell r="A987" t="str">
            <v>60012_1</v>
          </cell>
        </row>
        <row r="988">
          <cell r="A988" t="str">
            <v>60013_1</v>
          </cell>
        </row>
        <row r="989">
          <cell r="A989" t="str">
            <v>60013_2</v>
          </cell>
        </row>
        <row r="990">
          <cell r="A990" t="str">
            <v>60013_3</v>
          </cell>
        </row>
        <row r="991">
          <cell r="A991" t="str">
            <v>60014_1</v>
          </cell>
        </row>
        <row r="992">
          <cell r="A992" t="str">
            <v>60015_1</v>
          </cell>
        </row>
        <row r="993">
          <cell r="A993" t="str">
            <v>60016_1</v>
          </cell>
        </row>
        <row r="994">
          <cell r="A994" t="str">
            <v>60017_1</v>
          </cell>
        </row>
        <row r="995">
          <cell r="A995" t="str">
            <v>60018_1</v>
          </cell>
        </row>
        <row r="996">
          <cell r="A996" t="str">
            <v>60019_1</v>
          </cell>
        </row>
        <row r="997">
          <cell r="A997" t="str">
            <v>60020_1</v>
          </cell>
        </row>
        <row r="998">
          <cell r="A998" t="str">
            <v>60021_3</v>
          </cell>
        </row>
        <row r="999">
          <cell r="A999" t="str">
            <v>60022_3</v>
          </cell>
        </row>
        <row r="1000">
          <cell r="A1000" t="str">
            <v>60023_3</v>
          </cell>
        </row>
        <row r="1001">
          <cell r="A1001" t="str">
            <v>60024_3</v>
          </cell>
        </row>
        <row r="1002">
          <cell r="A1002" t="str">
            <v>60025_1</v>
          </cell>
        </row>
        <row r="1003">
          <cell r="A1003" t="str">
            <v>60026_1</v>
          </cell>
        </row>
        <row r="1004">
          <cell r="A1004" t="str">
            <v>61011_1</v>
          </cell>
        </row>
        <row r="1005">
          <cell r="A1005" t="str">
            <v>60027_1</v>
          </cell>
        </row>
        <row r="1006">
          <cell r="A1006" t="str">
            <v>60028_1</v>
          </cell>
        </row>
        <row r="1007">
          <cell r="A1007" t="str">
            <v>60029_1</v>
          </cell>
        </row>
        <row r="1008">
          <cell r="A1008" t="str">
            <v>60030_1</v>
          </cell>
        </row>
        <row r="1009">
          <cell r="A1009" t="str">
            <v>60031_1</v>
          </cell>
        </row>
        <row r="1010">
          <cell r="A1010" t="str">
            <v>65523_1</v>
          </cell>
        </row>
        <row r="1011">
          <cell r="A1011" t="str">
            <v>65523_2</v>
          </cell>
        </row>
        <row r="1012">
          <cell r="A1012" t="str">
            <v>65523_3</v>
          </cell>
        </row>
        <row r="1013">
          <cell r="A1013" t="str">
            <v>65524_1</v>
          </cell>
        </row>
        <row r="1014">
          <cell r="A1014" t="str">
            <v>65524_2</v>
          </cell>
        </row>
        <row r="1015">
          <cell r="A1015" t="str">
            <v>65525_1</v>
          </cell>
        </row>
        <row r="1016">
          <cell r="A1016" t="str">
            <v>65526_1</v>
          </cell>
        </row>
        <row r="1017">
          <cell r="A1017" t="str">
            <v>65526_2</v>
          </cell>
        </row>
        <row r="1018">
          <cell r="A1018" t="str">
            <v>65527_1</v>
          </cell>
        </row>
        <row r="1019">
          <cell r="A1019" t="str">
            <v>65528_1</v>
          </cell>
        </row>
        <row r="1020">
          <cell r="A1020" t="str">
            <v>65529_1</v>
          </cell>
        </row>
        <row r="1021">
          <cell r="A1021" t="str">
            <v>65530_1</v>
          </cell>
        </row>
        <row r="1022">
          <cell r="A1022" t="str">
            <v>65531_1</v>
          </cell>
        </row>
        <row r="1023">
          <cell r="A1023" t="str">
            <v>65531_2</v>
          </cell>
        </row>
        <row r="1024">
          <cell r="A1024" t="str">
            <v>65532_1</v>
          </cell>
        </row>
        <row r="1025">
          <cell r="A1025" t="str">
            <v>65532_2</v>
          </cell>
        </row>
        <row r="1026">
          <cell r="A1026" t="str">
            <v>65533_1</v>
          </cell>
        </row>
        <row r="1027">
          <cell r="A1027" t="str">
            <v>65533_2</v>
          </cell>
        </row>
        <row r="1028">
          <cell r="A1028" t="str">
            <v>65534_1</v>
          </cell>
        </row>
        <row r="1029">
          <cell r="A1029" t="str">
            <v>65535_1</v>
          </cell>
        </row>
        <row r="1030">
          <cell r="A1030" t="str">
            <v>65535_2</v>
          </cell>
        </row>
        <row r="1031">
          <cell r="A1031" t="str">
            <v>65535_3</v>
          </cell>
        </row>
        <row r="1032">
          <cell r="A1032" t="str">
            <v>65535_4</v>
          </cell>
        </row>
        <row r="1033">
          <cell r="A1033" t="str">
            <v>65535_5</v>
          </cell>
        </row>
        <row r="1034">
          <cell r="A1034" t="str">
            <v>65535_6</v>
          </cell>
        </row>
        <row r="1035">
          <cell r="A1035" t="str">
            <v>65535_7</v>
          </cell>
        </row>
        <row r="1036">
          <cell r="A1036" t="str">
            <v>65535_8</v>
          </cell>
        </row>
        <row r="1037">
          <cell r="A1037" t="str">
            <v>65535_9</v>
          </cell>
        </row>
        <row r="1038">
          <cell r="A103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5001</v>
          </cell>
        </row>
        <row r="1434">
          <cell r="A1434">
            <v>5002</v>
          </cell>
        </row>
        <row r="1435">
          <cell r="A1435">
            <v>5003</v>
          </cell>
        </row>
        <row r="1436">
          <cell r="A1436">
            <v>5004</v>
          </cell>
        </row>
        <row r="1437">
          <cell r="A1437">
            <v>5005</v>
          </cell>
        </row>
        <row r="1438">
          <cell r="A1438">
            <v>5006</v>
          </cell>
        </row>
        <row r="1439">
          <cell r="A1439">
            <v>5007</v>
          </cell>
        </row>
        <row r="1440">
          <cell r="A1440">
            <v>5008</v>
          </cell>
        </row>
        <row r="1441">
          <cell r="A1441">
            <v>6001</v>
          </cell>
        </row>
        <row r="1442">
          <cell r="A1442">
            <v>6002</v>
          </cell>
        </row>
        <row r="1443">
          <cell r="A1443">
            <v>6003</v>
          </cell>
        </row>
        <row r="1444">
          <cell r="A1444">
            <v>6004</v>
          </cell>
        </row>
        <row r="1445">
          <cell r="A1445">
            <v>6005</v>
          </cell>
        </row>
        <row r="1446">
          <cell r="A1446">
            <v>6006</v>
          </cell>
        </row>
        <row r="1447">
          <cell r="A1447">
            <v>6007</v>
          </cell>
        </row>
        <row r="1448">
          <cell r="A1448">
            <v>6008</v>
          </cell>
        </row>
        <row r="1449">
          <cell r="A1449">
            <v>6009</v>
          </cell>
        </row>
        <row r="1450">
          <cell r="A1450">
            <v>6010</v>
          </cell>
        </row>
        <row r="1451">
          <cell r="A1451">
            <v>6011</v>
          </cell>
        </row>
        <row r="1452">
          <cell r="A1452">
            <v>6012</v>
          </cell>
        </row>
        <row r="1453">
          <cell r="A1453">
            <v>6013</v>
          </cell>
        </row>
        <row r="1454">
          <cell r="A1454">
            <v>6014</v>
          </cell>
        </row>
        <row r="1455">
          <cell r="A1455">
            <v>6015</v>
          </cell>
        </row>
        <row r="1456">
          <cell r="A1456">
            <v>6016</v>
          </cell>
        </row>
        <row r="1457">
          <cell r="A1457">
            <v>6017</v>
          </cell>
        </row>
        <row r="1458">
          <cell r="A1458">
            <v>6018</v>
          </cell>
        </row>
        <row r="1459">
          <cell r="A1459">
            <v>6019</v>
          </cell>
        </row>
        <row r="1460">
          <cell r="A1460">
            <v>6020</v>
          </cell>
        </row>
        <row r="1461">
          <cell r="A1461">
            <v>8001</v>
          </cell>
        </row>
        <row r="1462">
          <cell r="A1462">
            <v>8002</v>
          </cell>
        </row>
        <row r="1463">
          <cell r="A1463">
            <v>8003</v>
          </cell>
        </row>
        <row r="1464">
          <cell r="A1464">
            <v>8004</v>
          </cell>
        </row>
        <row r="1465">
          <cell r="A1465">
            <v>8005</v>
          </cell>
        </row>
        <row r="1466">
          <cell r="A1466">
            <v>8006</v>
          </cell>
        </row>
        <row r="1467">
          <cell r="A1467">
            <v>8007</v>
          </cell>
        </row>
        <row r="1468">
          <cell r="A1468">
            <v>8008</v>
          </cell>
        </row>
        <row r="1469">
          <cell r="A1469">
            <v>8009</v>
          </cell>
        </row>
        <row r="1470">
          <cell r="A1470">
            <v>8010</v>
          </cell>
        </row>
        <row r="1471">
          <cell r="A1471">
            <v>8011</v>
          </cell>
        </row>
        <row r="1472">
          <cell r="A1472">
            <v>8012</v>
          </cell>
        </row>
        <row r="1473">
          <cell r="A1473">
            <v>8013</v>
          </cell>
        </row>
        <row r="1474">
          <cell r="A1474">
            <v>8014</v>
          </cell>
        </row>
        <row r="1475">
          <cell r="A1475">
            <v>8015</v>
          </cell>
        </row>
        <row r="1476">
          <cell r="A1476">
            <v>8016</v>
          </cell>
        </row>
        <row r="1477">
          <cell r="A1477">
            <v>8017</v>
          </cell>
        </row>
        <row r="1478">
          <cell r="A1478">
            <v>8018</v>
          </cell>
        </row>
        <row r="1479">
          <cell r="A1479">
            <v>8019</v>
          </cell>
        </row>
        <row r="1480">
          <cell r="A1480">
            <v>8020</v>
          </cell>
        </row>
        <row r="1481">
          <cell r="A1481">
            <v>8021</v>
          </cell>
        </row>
        <row r="1482">
          <cell r="A1482">
            <v>8022</v>
          </cell>
        </row>
        <row r="1483">
          <cell r="A1483">
            <v>8023</v>
          </cell>
        </row>
        <row r="1484">
          <cell r="A1484">
            <v>8024</v>
          </cell>
        </row>
        <row r="1485">
          <cell r="A1485">
            <v>8025</v>
          </cell>
        </row>
        <row r="1486">
          <cell r="A1486">
            <v>8026</v>
          </cell>
        </row>
        <row r="1487">
          <cell r="A1487">
            <v>8027</v>
          </cell>
        </row>
        <row r="1488">
          <cell r="A1488">
            <v>8028</v>
          </cell>
        </row>
        <row r="1489">
          <cell r="A1489">
            <v>8029</v>
          </cell>
        </row>
        <row r="1490">
          <cell r="A1490">
            <v>8030</v>
          </cell>
        </row>
        <row r="1491">
          <cell r="A1491">
            <v>8031</v>
          </cell>
        </row>
        <row r="1492">
          <cell r="A1492">
            <v>8032</v>
          </cell>
        </row>
        <row r="1493">
          <cell r="A1493">
            <v>8033</v>
          </cell>
        </row>
        <row r="1494">
          <cell r="A1494">
            <v>8034</v>
          </cell>
        </row>
        <row r="1495">
          <cell r="A1495">
            <v>8035</v>
          </cell>
        </row>
        <row r="1496">
          <cell r="A1496">
            <v>8036</v>
          </cell>
        </row>
        <row r="1497">
          <cell r="A1497">
            <v>8037</v>
          </cell>
        </row>
        <row r="1498">
          <cell r="A1498">
            <v>8038</v>
          </cell>
        </row>
        <row r="1499">
          <cell r="A1499">
            <v>8039</v>
          </cell>
        </row>
        <row r="1500">
          <cell r="A1500">
            <v>8040</v>
          </cell>
        </row>
        <row r="1501">
          <cell r="A1501">
            <v>8041</v>
          </cell>
        </row>
        <row r="1502">
          <cell r="A1502">
            <v>8042</v>
          </cell>
        </row>
        <row r="1503">
          <cell r="A1503">
            <v>8043</v>
          </cell>
        </row>
        <row r="1504">
          <cell r="A1504">
            <v>8044</v>
          </cell>
        </row>
        <row r="1505">
          <cell r="A1505">
            <v>8045</v>
          </cell>
        </row>
        <row r="1506">
          <cell r="A1506">
            <v>8046</v>
          </cell>
        </row>
        <row r="1507">
          <cell r="A1507">
            <v>8047</v>
          </cell>
        </row>
        <row r="1508">
          <cell r="A1508">
            <v>8048</v>
          </cell>
        </row>
        <row r="1509">
          <cell r="A1509">
            <v>8049</v>
          </cell>
        </row>
        <row r="1510">
          <cell r="A1510">
            <v>8050</v>
          </cell>
        </row>
        <row r="1511">
          <cell r="A1511">
            <v>8051</v>
          </cell>
        </row>
        <row r="1512">
          <cell r="A1512">
            <v>8052</v>
          </cell>
        </row>
        <row r="1513">
          <cell r="A1513">
            <v>8053</v>
          </cell>
        </row>
        <row r="1514">
          <cell r="A1514">
            <v>8054</v>
          </cell>
        </row>
        <row r="1515">
          <cell r="A1515">
            <v>8055</v>
          </cell>
        </row>
        <row r="1516">
          <cell r="A1516">
            <v>8056</v>
          </cell>
        </row>
        <row r="1517">
          <cell r="A1517">
            <v>8057</v>
          </cell>
        </row>
        <row r="1518">
          <cell r="A1518">
            <v>8058</v>
          </cell>
        </row>
        <row r="1519">
          <cell r="A1519">
            <v>8059</v>
          </cell>
        </row>
        <row r="1520">
          <cell r="A1520">
            <v>8060</v>
          </cell>
        </row>
        <row r="1521">
          <cell r="A1521">
            <v>8061</v>
          </cell>
        </row>
        <row r="1522">
          <cell r="A1522">
            <v>8062</v>
          </cell>
        </row>
        <row r="1523">
          <cell r="A1523">
            <v>8063</v>
          </cell>
        </row>
        <row r="1524">
          <cell r="A1524">
            <v>8064</v>
          </cell>
        </row>
        <row r="1525">
          <cell r="A1525">
            <v>8065</v>
          </cell>
        </row>
        <row r="1526">
          <cell r="A1526">
            <v>8066</v>
          </cell>
        </row>
        <row r="1527">
          <cell r="A1527">
            <v>8067</v>
          </cell>
        </row>
        <row r="1528">
          <cell r="A1528">
            <v>8068</v>
          </cell>
        </row>
        <row r="1529">
          <cell r="A1529">
            <v>8069</v>
          </cell>
        </row>
        <row r="1530">
          <cell r="A1530">
            <v>8070</v>
          </cell>
        </row>
        <row r="1531">
          <cell r="A1531">
            <v>8071</v>
          </cell>
        </row>
        <row r="1532">
          <cell r="A1532">
            <v>8072</v>
          </cell>
        </row>
        <row r="1533">
          <cell r="A1533">
            <v>8073</v>
          </cell>
        </row>
        <row r="1534">
          <cell r="A1534">
            <v>8074</v>
          </cell>
        </row>
        <row r="1535">
          <cell r="A1535">
            <v>8077</v>
          </cell>
        </row>
        <row r="1536">
          <cell r="A1536">
            <v>8078</v>
          </cell>
        </row>
        <row r="1537">
          <cell r="A1537">
            <v>8079</v>
          </cell>
        </row>
        <row r="1538">
          <cell r="A1538">
            <v>8080</v>
          </cell>
        </row>
        <row r="1539">
          <cell r="A1539">
            <v>8081</v>
          </cell>
        </row>
        <row r="1540">
          <cell r="A1540">
            <v>8082</v>
          </cell>
        </row>
        <row r="1541">
          <cell r="A1541">
            <v>8083</v>
          </cell>
        </row>
        <row r="1542">
          <cell r="A1542">
            <v>8084</v>
          </cell>
        </row>
        <row r="1543">
          <cell r="A1543">
            <v>8085</v>
          </cell>
        </row>
        <row r="1544">
          <cell r="A1544">
            <v>8086</v>
          </cell>
        </row>
        <row r="1545">
          <cell r="A1545">
            <v>8087</v>
          </cell>
        </row>
        <row r="1546">
          <cell r="A1546">
            <v>8088</v>
          </cell>
        </row>
        <row r="1547">
          <cell r="A1547">
            <v>8089</v>
          </cell>
        </row>
        <row r="1548">
          <cell r="A1548">
            <v>8090</v>
          </cell>
        </row>
        <row r="1549">
          <cell r="A1549">
            <v>8095</v>
          </cell>
        </row>
        <row r="1550">
          <cell r="A1550">
            <v>8096</v>
          </cell>
        </row>
        <row r="1551">
          <cell r="A1551">
            <v>8097</v>
          </cell>
        </row>
        <row r="1552">
          <cell r="A1552">
            <v>8098</v>
          </cell>
        </row>
        <row r="1553">
          <cell r="A1553">
            <v>8099</v>
          </cell>
        </row>
        <row r="1554">
          <cell r="A1554">
            <v>8100</v>
          </cell>
        </row>
        <row r="1555">
          <cell r="A1555">
            <v>8101</v>
          </cell>
        </row>
        <row r="1556">
          <cell r="A1556">
            <v>8102</v>
          </cell>
        </row>
        <row r="1557">
          <cell r="A1557">
            <v>8103</v>
          </cell>
        </row>
        <row r="1558">
          <cell r="A1558">
            <v>8104</v>
          </cell>
        </row>
        <row r="1559">
          <cell r="A1559">
            <v>8105</v>
          </cell>
        </row>
        <row r="1560">
          <cell r="A1560">
            <v>8106</v>
          </cell>
        </row>
        <row r="1561">
          <cell r="A1561">
            <v>8111</v>
          </cell>
        </row>
        <row r="1562">
          <cell r="A1562">
            <v>8112</v>
          </cell>
        </row>
        <row r="1563">
          <cell r="A1563">
            <v>8113</v>
          </cell>
        </row>
        <row r="1564">
          <cell r="A1564">
            <v>8114</v>
          </cell>
        </row>
        <row r="1565">
          <cell r="A1565">
            <v>8115</v>
          </cell>
        </row>
        <row r="1566">
          <cell r="A1566">
            <v>8116</v>
          </cell>
        </row>
        <row r="1567">
          <cell r="A1567">
            <v>8117</v>
          </cell>
        </row>
        <row r="1568">
          <cell r="A1568">
            <v>8118</v>
          </cell>
        </row>
        <row r="1569">
          <cell r="A1569">
            <v>8119</v>
          </cell>
        </row>
        <row r="1570">
          <cell r="A1570">
            <v>8120</v>
          </cell>
        </row>
        <row r="1571">
          <cell r="A1571">
            <v>8121</v>
          </cell>
        </row>
        <row r="1572">
          <cell r="A1572">
            <v>8122</v>
          </cell>
        </row>
        <row r="1573">
          <cell r="A1573">
            <v>8127</v>
          </cell>
        </row>
        <row r="1574">
          <cell r="A1574">
            <v>8128</v>
          </cell>
        </row>
        <row r="1575">
          <cell r="A1575">
            <v>8129</v>
          </cell>
        </row>
        <row r="1576">
          <cell r="A1576">
            <v>8130</v>
          </cell>
        </row>
        <row r="1577">
          <cell r="A1577">
            <v>8131</v>
          </cell>
        </row>
        <row r="1578">
          <cell r="A1578">
            <v>8132</v>
          </cell>
        </row>
        <row r="1579">
          <cell r="A1579">
            <v>8133</v>
          </cell>
        </row>
        <row r="1580">
          <cell r="A1580">
            <v>8134</v>
          </cell>
        </row>
        <row r="1581">
          <cell r="A1581">
            <v>8135</v>
          </cell>
        </row>
        <row r="1582">
          <cell r="A1582">
            <v>8136</v>
          </cell>
        </row>
        <row r="1583">
          <cell r="A1583">
            <v>8137</v>
          </cell>
        </row>
        <row r="1584">
          <cell r="A1584">
            <v>8138</v>
          </cell>
        </row>
        <row r="1585">
          <cell r="A1585">
            <v>9001</v>
          </cell>
        </row>
        <row r="1586">
          <cell r="A1586">
            <v>9002</v>
          </cell>
        </row>
        <row r="1587">
          <cell r="A1587">
            <v>9003</v>
          </cell>
        </row>
        <row r="1588">
          <cell r="A1588">
            <v>9004</v>
          </cell>
        </row>
        <row r="1589">
          <cell r="A1589">
            <v>9005</v>
          </cell>
        </row>
        <row r="1590">
          <cell r="A1590">
            <v>9006</v>
          </cell>
        </row>
        <row r="1591">
          <cell r="A1591">
            <v>9007</v>
          </cell>
        </row>
        <row r="1592">
          <cell r="A1592">
            <v>9008</v>
          </cell>
        </row>
        <row r="1593">
          <cell r="A1593">
            <v>10101</v>
          </cell>
        </row>
        <row r="1594">
          <cell r="A1594">
            <v>10102</v>
          </cell>
        </row>
        <row r="1595">
          <cell r="A1595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1687</v>
          </cell>
        </row>
        <row r="1565">
          <cell r="A1565">
            <v>1688</v>
          </cell>
        </row>
        <row r="1566">
          <cell r="A1566">
            <v>1689</v>
          </cell>
        </row>
        <row r="1567">
          <cell r="A1567">
            <v>1690</v>
          </cell>
        </row>
        <row r="1568">
          <cell r="A1568">
            <v>1691</v>
          </cell>
        </row>
        <row r="1569">
          <cell r="A1569">
            <v>1692</v>
          </cell>
        </row>
        <row r="1570">
          <cell r="A1570">
            <v>1693</v>
          </cell>
        </row>
        <row r="1571">
          <cell r="A1571">
            <v>1694</v>
          </cell>
        </row>
        <row r="1572">
          <cell r="A1572">
            <v>1695</v>
          </cell>
        </row>
        <row r="1573">
          <cell r="A1573">
            <v>1696</v>
          </cell>
        </row>
        <row r="1574">
          <cell r="A1574">
            <v>5001</v>
          </cell>
        </row>
        <row r="1575">
          <cell r="A1575">
            <v>5002</v>
          </cell>
        </row>
        <row r="1576">
          <cell r="A1576">
            <v>5003</v>
          </cell>
        </row>
        <row r="1577">
          <cell r="A1577">
            <v>5004</v>
          </cell>
        </row>
        <row r="1578">
          <cell r="A1578">
            <v>5005</v>
          </cell>
        </row>
        <row r="1579">
          <cell r="A1579">
            <v>5006</v>
          </cell>
        </row>
        <row r="1580">
          <cell r="A1580">
            <v>5007</v>
          </cell>
        </row>
        <row r="1581">
          <cell r="A1581">
            <v>5008</v>
          </cell>
        </row>
        <row r="1582">
          <cell r="A1582">
            <v>6001</v>
          </cell>
        </row>
        <row r="1583">
          <cell r="A1583">
            <v>6002</v>
          </cell>
        </row>
        <row r="1584">
          <cell r="A1584">
            <v>6003</v>
          </cell>
        </row>
        <row r="1585">
          <cell r="A1585">
            <v>6004</v>
          </cell>
        </row>
        <row r="1586">
          <cell r="A1586">
            <v>6005</v>
          </cell>
        </row>
        <row r="1587">
          <cell r="A1587">
            <v>6006</v>
          </cell>
        </row>
        <row r="1588">
          <cell r="A1588">
            <v>6007</v>
          </cell>
        </row>
        <row r="1589">
          <cell r="A1589">
            <v>6008</v>
          </cell>
        </row>
        <row r="1590">
          <cell r="A1590">
            <v>6009</v>
          </cell>
        </row>
        <row r="1591">
          <cell r="A1591">
            <v>6010</v>
          </cell>
        </row>
        <row r="1592">
          <cell r="A1592">
            <v>6011</v>
          </cell>
        </row>
        <row r="1593">
          <cell r="A1593">
            <v>6012</v>
          </cell>
        </row>
        <row r="1594">
          <cell r="A1594">
            <v>6013</v>
          </cell>
        </row>
        <row r="1595">
          <cell r="A1595">
            <v>6014</v>
          </cell>
        </row>
        <row r="1596">
          <cell r="A1596">
            <v>6015</v>
          </cell>
        </row>
        <row r="1597">
          <cell r="A1597">
            <v>6016</v>
          </cell>
        </row>
        <row r="1598">
          <cell r="A1598">
            <v>6017</v>
          </cell>
        </row>
        <row r="1599">
          <cell r="A1599">
            <v>6018</v>
          </cell>
        </row>
        <row r="1600">
          <cell r="A1600">
            <v>6019</v>
          </cell>
        </row>
        <row r="1601">
          <cell r="A1601">
            <v>6020</v>
          </cell>
        </row>
        <row r="1602">
          <cell r="A1602">
            <v>8001</v>
          </cell>
        </row>
        <row r="1603">
          <cell r="A1603">
            <v>8002</v>
          </cell>
        </row>
        <row r="1604">
          <cell r="A1604">
            <v>8003</v>
          </cell>
        </row>
        <row r="1605">
          <cell r="A1605">
            <v>8004</v>
          </cell>
        </row>
        <row r="1606">
          <cell r="A1606">
            <v>8005</v>
          </cell>
        </row>
        <row r="1607">
          <cell r="A1607">
            <v>8006</v>
          </cell>
        </row>
        <row r="1608">
          <cell r="A1608">
            <v>8007</v>
          </cell>
        </row>
        <row r="1609">
          <cell r="A1609">
            <v>8008</v>
          </cell>
        </row>
        <row r="1610">
          <cell r="A1610">
            <v>8009</v>
          </cell>
        </row>
        <row r="1611">
          <cell r="A1611">
            <v>8010</v>
          </cell>
        </row>
        <row r="1612">
          <cell r="A1612">
            <v>8011</v>
          </cell>
        </row>
        <row r="1613">
          <cell r="A1613">
            <v>8012</v>
          </cell>
        </row>
        <row r="1614">
          <cell r="A1614">
            <v>8013</v>
          </cell>
        </row>
        <row r="1615">
          <cell r="A1615">
            <v>8014</v>
          </cell>
        </row>
        <row r="1616">
          <cell r="A1616">
            <v>8015</v>
          </cell>
        </row>
        <row r="1617">
          <cell r="A1617">
            <v>8016</v>
          </cell>
        </row>
        <row r="1618">
          <cell r="A1618">
            <v>8017</v>
          </cell>
        </row>
        <row r="1619">
          <cell r="A1619">
            <v>8018</v>
          </cell>
        </row>
        <row r="1620">
          <cell r="A1620">
            <v>8019</v>
          </cell>
        </row>
        <row r="1621">
          <cell r="A1621">
            <v>8020</v>
          </cell>
        </row>
        <row r="1622">
          <cell r="A1622">
            <v>8021</v>
          </cell>
        </row>
        <row r="1623">
          <cell r="A1623">
            <v>8022</v>
          </cell>
        </row>
        <row r="1624">
          <cell r="A1624">
            <v>8023</v>
          </cell>
        </row>
        <row r="1625">
          <cell r="A1625">
            <v>8024</v>
          </cell>
        </row>
        <row r="1626">
          <cell r="A1626">
            <v>8025</v>
          </cell>
        </row>
        <row r="1627">
          <cell r="A1627">
            <v>8026</v>
          </cell>
        </row>
        <row r="1628">
          <cell r="A1628">
            <v>8027</v>
          </cell>
        </row>
        <row r="1629">
          <cell r="A1629">
            <v>8028</v>
          </cell>
        </row>
        <row r="1630">
          <cell r="A1630">
            <v>8029</v>
          </cell>
        </row>
        <row r="1631">
          <cell r="A1631">
            <v>8030</v>
          </cell>
        </row>
        <row r="1632">
          <cell r="A1632">
            <v>8031</v>
          </cell>
        </row>
        <row r="1633">
          <cell r="A1633">
            <v>8032</v>
          </cell>
        </row>
        <row r="1634">
          <cell r="A1634">
            <v>8033</v>
          </cell>
        </row>
        <row r="1635">
          <cell r="A1635">
            <v>8034</v>
          </cell>
        </row>
        <row r="1636">
          <cell r="A1636">
            <v>8035</v>
          </cell>
        </row>
        <row r="1637">
          <cell r="A1637">
            <v>8036</v>
          </cell>
        </row>
        <row r="1638">
          <cell r="A1638">
            <v>8037</v>
          </cell>
        </row>
        <row r="1639">
          <cell r="A1639">
            <v>8038</v>
          </cell>
        </row>
        <row r="1640">
          <cell r="A1640">
            <v>8039</v>
          </cell>
        </row>
        <row r="1641">
          <cell r="A1641">
            <v>8040</v>
          </cell>
        </row>
        <row r="1642">
          <cell r="A1642">
            <v>8041</v>
          </cell>
        </row>
        <row r="1643">
          <cell r="A1643">
            <v>8042</v>
          </cell>
        </row>
        <row r="1644">
          <cell r="A1644">
            <v>8043</v>
          </cell>
        </row>
        <row r="1645">
          <cell r="A1645">
            <v>8044</v>
          </cell>
        </row>
        <row r="1646">
          <cell r="A1646">
            <v>8045</v>
          </cell>
        </row>
        <row r="1647">
          <cell r="A1647">
            <v>8046</v>
          </cell>
        </row>
        <row r="1648">
          <cell r="A1648">
            <v>8047</v>
          </cell>
        </row>
        <row r="1649">
          <cell r="A1649">
            <v>8048</v>
          </cell>
        </row>
        <row r="1650">
          <cell r="A1650">
            <v>8049</v>
          </cell>
        </row>
        <row r="1651">
          <cell r="A1651">
            <v>8050</v>
          </cell>
        </row>
        <row r="1652">
          <cell r="A1652">
            <v>8051</v>
          </cell>
        </row>
        <row r="1653">
          <cell r="A1653">
            <v>8052</v>
          </cell>
        </row>
        <row r="1654">
          <cell r="A1654">
            <v>8053</v>
          </cell>
        </row>
        <row r="1655">
          <cell r="A1655">
            <v>8054</v>
          </cell>
        </row>
        <row r="1656">
          <cell r="A1656">
            <v>8055</v>
          </cell>
        </row>
        <row r="1657">
          <cell r="A1657">
            <v>8056</v>
          </cell>
        </row>
        <row r="1658">
          <cell r="A1658">
            <v>8057</v>
          </cell>
        </row>
        <row r="1659">
          <cell r="A1659">
            <v>8058</v>
          </cell>
        </row>
        <row r="1660">
          <cell r="A1660">
            <v>8059</v>
          </cell>
        </row>
        <row r="1661">
          <cell r="A1661">
            <v>8060</v>
          </cell>
        </row>
        <row r="1662">
          <cell r="A1662">
            <v>8061</v>
          </cell>
        </row>
        <row r="1663">
          <cell r="A1663">
            <v>8062</v>
          </cell>
        </row>
        <row r="1664">
          <cell r="A1664">
            <v>8063</v>
          </cell>
        </row>
        <row r="1665">
          <cell r="A1665">
            <v>8064</v>
          </cell>
        </row>
        <row r="1666">
          <cell r="A1666">
            <v>8065</v>
          </cell>
        </row>
        <row r="1667">
          <cell r="A1667">
            <v>8066</v>
          </cell>
        </row>
        <row r="1668">
          <cell r="A1668">
            <v>8067</v>
          </cell>
        </row>
        <row r="1669">
          <cell r="A1669">
            <v>8068</v>
          </cell>
        </row>
        <row r="1670">
          <cell r="A1670">
            <v>8069</v>
          </cell>
        </row>
        <row r="1671">
          <cell r="A1671">
            <v>8070</v>
          </cell>
        </row>
        <row r="1672">
          <cell r="A1672">
            <v>8071</v>
          </cell>
        </row>
        <row r="1673">
          <cell r="A1673">
            <v>8072</v>
          </cell>
        </row>
        <row r="1674">
          <cell r="A1674">
            <v>8073</v>
          </cell>
        </row>
        <row r="1675">
          <cell r="A1675">
            <v>8074</v>
          </cell>
        </row>
        <row r="1676">
          <cell r="A1676">
            <v>8075</v>
          </cell>
        </row>
        <row r="1677">
          <cell r="A1677">
            <v>8076</v>
          </cell>
        </row>
        <row r="1678">
          <cell r="A1678">
            <v>8077</v>
          </cell>
        </row>
        <row r="1679">
          <cell r="A1679">
            <v>8078</v>
          </cell>
        </row>
        <row r="1680">
          <cell r="A1680">
            <v>8079</v>
          </cell>
        </row>
        <row r="1681">
          <cell r="A1681">
            <v>8080</v>
          </cell>
        </row>
        <row r="1682">
          <cell r="A1682">
            <v>8081</v>
          </cell>
        </row>
        <row r="1683">
          <cell r="A1683">
            <v>8082</v>
          </cell>
        </row>
        <row r="1684">
          <cell r="A1684">
            <v>8083</v>
          </cell>
        </row>
        <row r="1685">
          <cell r="A1685">
            <v>8084</v>
          </cell>
        </row>
        <row r="1686">
          <cell r="A1686">
            <v>8085</v>
          </cell>
        </row>
        <row r="1687">
          <cell r="A1687">
            <v>8086</v>
          </cell>
        </row>
        <row r="1688">
          <cell r="A1688">
            <v>8087</v>
          </cell>
        </row>
        <row r="1689">
          <cell r="A1689">
            <v>8088</v>
          </cell>
        </row>
        <row r="1690">
          <cell r="A1690">
            <v>8089</v>
          </cell>
        </row>
        <row r="1691">
          <cell r="A1691">
            <v>8090</v>
          </cell>
        </row>
        <row r="1692">
          <cell r="A1692">
            <v>8095</v>
          </cell>
        </row>
        <row r="1693">
          <cell r="A1693">
            <v>8096</v>
          </cell>
        </row>
        <row r="1694">
          <cell r="A1694">
            <v>8097</v>
          </cell>
        </row>
        <row r="1695">
          <cell r="A1695">
            <v>8098</v>
          </cell>
        </row>
        <row r="1696">
          <cell r="A1696">
            <v>8099</v>
          </cell>
        </row>
        <row r="1697">
          <cell r="A1697">
            <v>8100</v>
          </cell>
        </row>
        <row r="1698">
          <cell r="A1698">
            <v>8101</v>
          </cell>
        </row>
        <row r="1699">
          <cell r="A1699">
            <v>8102</v>
          </cell>
        </row>
        <row r="1700">
          <cell r="A1700">
            <v>8103</v>
          </cell>
        </row>
        <row r="1701">
          <cell r="A1701">
            <v>8104</v>
          </cell>
        </row>
        <row r="1702">
          <cell r="A1702">
            <v>8105</v>
          </cell>
        </row>
        <row r="1703">
          <cell r="A1703">
            <v>8106</v>
          </cell>
        </row>
        <row r="1704">
          <cell r="A1704">
            <v>8111</v>
          </cell>
        </row>
        <row r="1705">
          <cell r="A1705">
            <v>8112</v>
          </cell>
        </row>
        <row r="1706">
          <cell r="A1706">
            <v>8113</v>
          </cell>
        </row>
        <row r="1707">
          <cell r="A1707">
            <v>8114</v>
          </cell>
        </row>
        <row r="1708">
          <cell r="A1708">
            <v>8115</v>
          </cell>
        </row>
        <row r="1709">
          <cell r="A1709">
            <v>8116</v>
          </cell>
        </row>
        <row r="1710">
          <cell r="A1710">
            <v>8117</v>
          </cell>
        </row>
        <row r="1711">
          <cell r="A1711">
            <v>8118</v>
          </cell>
        </row>
        <row r="1712">
          <cell r="A1712">
            <v>8119</v>
          </cell>
        </row>
        <row r="1713">
          <cell r="A1713">
            <v>8120</v>
          </cell>
        </row>
        <row r="1714">
          <cell r="A1714">
            <v>8121</v>
          </cell>
        </row>
        <row r="1715">
          <cell r="A1715">
            <v>8122</v>
          </cell>
        </row>
        <row r="1716">
          <cell r="A1716">
            <v>8123</v>
          </cell>
        </row>
        <row r="1717">
          <cell r="A1717">
            <v>8124</v>
          </cell>
        </row>
        <row r="1718">
          <cell r="A1718">
            <v>8125</v>
          </cell>
        </row>
        <row r="1719">
          <cell r="A1719">
            <v>8126</v>
          </cell>
        </row>
        <row r="1720">
          <cell r="A1720">
            <v>8127</v>
          </cell>
        </row>
        <row r="1721">
          <cell r="A1721">
            <v>8128</v>
          </cell>
        </row>
        <row r="1722">
          <cell r="A1722">
            <v>8129</v>
          </cell>
        </row>
        <row r="1723">
          <cell r="A1723">
            <v>8130</v>
          </cell>
        </row>
        <row r="1724">
          <cell r="A1724">
            <v>8131</v>
          </cell>
        </row>
        <row r="1725">
          <cell r="A1725">
            <v>8132</v>
          </cell>
        </row>
        <row r="1726">
          <cell r="A1726">
            <v>8133</v>
          </cell>
        </row>
        <row r="1727">
          <cell r="A1727">
            <v>8134</v>
          </cell>
        </row>
        <row r="1728">
          <cell r="A1728">
            <v>8135</v>
          </cell>
        </row>
        <row r="1729">
          <cell r="A1729">
            <v>8136</v>
          </cell>
        </row>
        <row r="1730">
          <cell r="A1730">
            <v>8137</v>
          </cell>
        </row>
        <row r="1731">
          <cell r="A1731">
            <v>8138</v>
          </cell>
        </row>
        <row r="1732">
          <cell r="A1732">
            <v>9001</v>
          </cell>
        </row>
        <row r="1733">
          <cell r="A1733">
            <v>9002</v>
          </cell>
        </row>
        <row r="1734">
          <cell r="A1734">
            <v>9003</v>
          </cell>
        </row>
        <row r="1735">
          <cell r="A1735">
            <v>9004</v>
          </cell>
        </row>
        <row r="1736">
          <cell r="A1736">
            <v>9005</v>
          </cell>
        </row>
        <row r="1737">
          <cell r="A1737">
            <v>9006</v>
          </cell>
        </row>
        <row r="1738">
          <cell r="A1738">
            <v>9007</v>
          </cell>
        </row>
        <row r="1739">
          <cell r="A1739">
            <v>9008</v>
          </cell>
        </row>
        <row r="1740">
          <cell r="A1740">
            <v>10001</v>
          </cell>
        </row>
        <row r="1741">
          <cell r="A1741">
            <v>10002</v>
          </cell>
        </row>
        <row r="1742">
          <cell r="A1742">
            <v>10003</v>
          </cell>
        </row>
        <row r="1743">
          <cell r="A1743">
            <v>10004</v>
          </cell>
        </row>
        <row r="1744">
          <cell r="A1744">
            <v>10005</v>
          </cell>
        </row>
        <row r="1745">
          <cell r="A1745">
            <v>10006</v>
          </cell>
        </row>
        <row r="1746">
          <cell r="A1746">
            <v>10007</v>
          </cell>
        </row>
        <row r="1747">
          <cell r="A1747">
            <v>10008</v>
          </cell>
        </row>
        <row r="1748">
          <cell r="A1748">
            <v>10009</v>
          </cell>
        </row>
        <row r="1749">
          <cell r="A1749">
            <v>10010</v>
          </cell>
        </row>
        <row r="1750">
          <cell r="A1750">
            <v>10011</v>
          </cell>
        </row>
        <row r="1751">
          <cell r="A1751">
            <v>10012</v>
          </cell>
        </row>
        <row r="1752">
          <cell r="A1752">
            <v>10013</v>
          </cell>
        </row>
        <row r="1753">
          <cell r="A1753">
            <v>10014</v>
          </cell>
        </row>
        <row r="1754">
          <cell r="A1754">
            <v>10015</v>
          </cell>
        </row>
        <row r="1755">
          <cell r="A1755">
            <v>10016</v>
          </cell>
        </row>
        <row r="1756">
          <cell r="A1756">
            <v>10017</v>
          </cell>
        </row>
        <row r="1757">
          <cell r="A1757">
            <v>10018</v>
          </cell>
        </row>
        <row r="1758">
          <cell r="A1758">
            <v>10019</v>
          </cell>
        </row>
        <row r="1759">
          <cell r="A1759">
            <v>10020</v>
          </cell>
        </row>
        <row r="1760">
          <cell r="A1760">
            <v>10021</v>
          </cell>
        </row>
        <row r="1761">
          <cell r="A1761">
            <v>10022</v>
          </cell>
        </row>
        <row r="1762">
          <cell r="A1762">
            <v>10023</v>
          </cell>
        </row>
        <row r="1763">
          <cell r="A1763">
            <v>10024</v>
          </cell>
        </row>
        <row r="1764">
          <cell r="A1764">
            <v>10025</v>
          </cell>
        </row>
        <row r="1765">
          <cell r="A1765">
            <v>10026</v>
          </cell>
        </row>
        <row r="1766">
          <cell r="A1766">
            <v>10027</v>
          </cell>
        </row>
        <row r="1767">
          <cell r="A1767">
            <v>10028</v>
          </cell>
        </row>
        <row r="1768">
          <cell r="A1768">
            <v>10029</v>
          </cell>
        </row>
        <row r="1769">
          <cell r="A1769">
            <v>10030</v>
          </cell>
        </row>
        <row r="1770">
          <cell r="A1770">
            <v>10031</v>
          </cell>
        </row>
        <row r="1771">
          <cell r="A1771">
            <v>10032</v>
          </cell>
        </row>
        <row r="1772">
          <cell r="A1772">
            <v>10033</v>
          </cell>
        </row>
        <row r="1773">
          <cell r="A1773">
            <v>10034</v>
          </cell>
        </row>
        <row r="1774">
          <cell r="A1774">
            <v>10035</v>
          </cell>
        </row>
        <row r="1775">
          <cell r="A1775">
            <v>10036</v>
          </cell>
        </row>
        <row r="1776">
          <cell r="A1776">
            <v>10037</v>
          </cell>
        </row>
        <row r="1777">
          <cell r="A1777">
            <v>10038</v>
          </cell>
        </row>
        <row r="1778">
          <cell r="A1778">
            <v>10039</v>
          </cell>
        </row>
        <row r="1779">
          <cell r="A1779">
            <v>10040</v>
          </cell>
        </row>
        <row r="1780">
          <cell r="A1780">
            <v>10041</v>
          </cell>
        </row>
        <row r="1781">
          <cell r="A1781">
            <v>10042</v>
          </cell>
        </row>
        <row r="1782">
          <cell r="A1782">
            <v>10043</v>
          </cell>
        </row>
        <row r="1783">
          <cell r="A1783">
            <v>10044</v>
          </cell>
        </row>
        <row r="1784">
          <cell r="A1784">
            <v>10045</v>
          </cell>
        </row>
        <row r="1785">
          <cell r="A1785">
            <v>10046</v>
          </cell>
        </row>
        <row r="1786">
          <cell r="A1786">
            <v>10047</v>
          </cell>
        </row>
        <row r="1787">
          <cell r="A1787">
            <v>10048</v>
          </cell>
        </row>
        <row r="1788">
          <cell r="A1788">
            <v>10049</v>
          </cell>
        </row>
        <row r="1789">
          <cell r="A1789">
            <v>10050</v>
          </cell>
        </row>
        <row r="1790">
          <cell r="A1790">
            <v>10051</v>
          </cell>
        </row>
        <row r="1791">
          <cell r="A1791">
            <v>10052</v>
          </cell>
        </row>
        <row r="1792">
          <cell r="A1792">
            <v>10053</v>
          </cell>
        </row>
        <row r="1793">
          <cell r="A1793">
            <v>10054</v>
          </cell>
        </row>
        <row r="1794">
          <cell r="A1794">
            <v>10055</v>
          </cell>
        </row>
        <row r="1795">
          <cell r="A1795">
            <v>10056</v>
          </cell>
        </row>
        <row r="1796">
          <cell r="A1796">
            <v>10057</v>
          </cell>
        </row>
        <row r="1797">
          <cell r="A1797">
            <v>10058</v>
          </cell>
        </row>
        <row r="1798">
          <cell r="A1798">
            <v>10059</v>
          </cell>
        </row>
        <row r="1799">
          <cell r="A1799">
            <v>10060</v>
          </cell>
        </row>
        <row r="1800">
          <cell r="A1800">
            <v>10061</v>
          </cell>
        </row>
        <row r="1801">
          <cell r="A1801">
            <v>10062</v>
          </cell>
        </row>
        <row r="1802">
          <cell r="A1802">
            <v>10063</v>
          </cell>
        </row>
        <row r="1803">
          <cell r="A1803">
            <v>10064</v>
          </cell>
        </row>
        <row r="1804">
          <cell r="A1804">
            <v>10065</v>
          </cell>
        </row>
        <row r="1805">
          <cell r="A1805">
            <v>10066</v>
          </cell>
        </row>
        <row r="1806">
          <cell r="A1806">
            <v>10067</v>
          </cell>
        </row>
        <row r="1807">
          <cell r="A1807">
            <v>10068</v>
          </cell>
        </row>
        <row r="1808">
          <cell r="A1808">
            <v>10069</v>
          </cell>
        </row>
        <row r="1809">
          <cell r="A1809">
            <v>10070</v>
          </cell>
        </row>
        <row r="1810">
          <cell r="A1810">
            <v>10071</v>
          </cell>
        </row>
        <row r="1811">
          <cell r="A1811">
            <v>10072</v>
          </cell>
        </row>
        <row r="1812">
          <cell r="A1812">
            <v>10073</v>
          </cell>
        </row>
        <row r="1813">
          <cell r="A1813">
            <v>10074</v>
          </cell>
        </row>
        <row r="1814">
          <cell r="A1814">
            <v>10075</v>
          </cell>
        </row>
        <row r="1815">
          <cell r="A1815">
            <v>10076</v>
          </cell>
        </row>
        <row r="1816">
          <cell r="A1816">
            <v>10077</v>
          </cell>
        </row>
        <row r="1817">
          <cell r="A1817">
            <v>10078</v>
          </cell>
        </row>
        <row r="1818">
          <cell r="A1818">
            <v>10079</v>
          </cell>
        </row>
        <row r="1819">
          <cell r="A1819">
            <v>10080</v>
          </cell>
        </row>
        <row r="1820">
          <cell r="A1820">
            <v>10081</v>
          </cell>
        </row>
        <row r="1821">
          <cell r="A1821">
            <v>10082</v>
          </cell>
        </row>
        <row r="1822">
          <cell r="A1822">
            <v>10083</v>
          </cell>
        </row>
        <row r="1823">
          <cell r="A1823">
            <v>10084</v>
          </cell>
        </row>
        <row r="1824">
          <cell r="A1824">
            <v>10085</v>
          </cell>
        </row>
        <row r="1825">
          <cell r="A1825">
            <v>10086</v>
          </cell>
        </row>
        <row r="1826">
          <cell r="A1826">
            <v>10087</v>
          </cell>
        </row>
        <row r="1827">
          <cell r="A1827">
            <v>10088</v>
          </cell>
        </row>
        <row r="1828">
          <cell r="A1828">
            <v>10089</v>
          </cell>
        </row>
        <row r="1829">
          <cell r="A1829">
            <v>10090</v>
          </cell>
        </row>
        <row r="1830">
          <cell r="A1830">
            <v>10101</v>
          </cell>
        </row>
        <row r="1831">
          <cell r="A1831">
            <v>10102</v>
          </cell>
        </row>
        <row r="1832">
          <cell r="A1832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9" sqref="B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255</v>
      </c>
      <c r="B2" s="57" t="s">
        <v>106</v>
      </c>
      <c r="C2" s="62">
        <v>47004</v>
      </c>
      <c r="D2" s="57" t="s">
        <v>107</v>
      </c>
      <c r="E2" s="56" t="str">
        <f>B2&amp;C2&amp;D2</f>
        <v>floors_47004.tmp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255</v>
      </c>
      <c r="B3" s="57" t="s">
        <v>109</v>
      </c>
      <c r="C3" s="62">
        <v>47004</v>
      </c>
      <c r="D3" s="57" t="s">
        <v>107</v>
      </c>
      <c r="E3" s="56" t="str">
        <f>B3&amp;C3&amp;D3</f>
        <v>enemy_habitats_47004.tmp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255</v>
      </c>
      <c r="B4" s="57" t="s">
        <v>111</v>
      </c>
      <c r="C4" s="62">
        <v>47004</v>
      </c>
      <c r="D4" s="57" t="s">
        <v>107</v>
      </c>
      <c r="E4" s="56" t="str">
        <f>B4&amp;C4&amp;D4</f>
        <v>enemy_habitat_S_47004.tmp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255</v>
      </c>
      <c r="B5" s="57" t="s">
        <v>113</v>
      </c>
      <c r="C5" s="62">
        <v>47004</v>
      </c>
      <c r="D5" s="57" t="s">
        <v>107</v>
      </c>
      <c r="E5" s="56" t="str">
        <f>B5&amp;C5&amp;D5</f>
        <v>enemy_skill_sets_47004.tmp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255</v>
      </c>
      <c r="B6" s="57" t="s">
        <v>115</v>
      </c>
      <c r="C6" s="62">
        <v>47004</v>
      </c>
      <c r="D6" s="57" t="s">
        <v>116</v>
      </c>
      <c r="E6" s="56" t="str">
        <f t="shared" ref="E6:E10" si="0">B6&amp;C6&amp;D6</f>
        <v>enemy_skills_tmp_47004.tmp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255</v>
      </c>
      <c r="B7" s="57" t="s">
        <v>117</v>
      </c>
      <c r="C7" s="62">
        <v>47004</v>
      </c>
      <c r="D7" s="57" t="s">
        <v>107</v>
      </c>
      <c r="E7" s="56" t="str">
        <f>B7&amp;C7&amp;D7</f>
        <v>enemy_skills_i18n_47004.tmp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255</v>
      </c>
      <c r="B8" s="57" t="s">
        <v>119</v>
      </c>
      <c r="C8" s="62">
        <v>47004</v>
      </c>
      <c r="D8" s="57" t="s">
        <v>120</v>
      </c>
      <c r="E8" s="56" t="str">
        <f t="shared" si="0"/>
        <v>enemy_skill_triggers_47004.tmp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255</v>
      </c>
      <c r="B9" s="67" t="s">
        <v>178</v>
      </c>
      <c r="C9" s="62">
        <v>47004</v>
      </c>
      <c r="D9" s="67" t="s">
        <v>172</v>
      </c>
      <c r="E9" s="68" t="str">
        <f t="shared" si="0"/>
        <v>stage_bug_bonuses_47004.tmp</v>
      </c>
      <c r="F9" s="67" t="s">
        <v>173</v>
      </c>
      <c r="G9" s="64" t="s">
        <v>150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188</v>
      </c>
      <c r="B10" s="67" t="s">
        <v>202</v>
      </c>
      <c r="C10" s="62">
        <v>47004</v>
      </c>
      <c r="D10" s="67" t="s">
        <v>181</v>
      </c>
      <c r="E10" s="68" t="str">
        <f t="shared" si="0"/>
        <v>stage_hints_data_c_47004.tmp</v>
      </c>
      <c r="F10" s="67" t="s">
        <v>210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66" t="s">
        <v>185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255</v>
      </c>
      <c r="B11" s="67" t="s">
        <v>203</v>
      </c>
      <c r="C11" s="62">
        <v>47004</v>
      </c>
      <c r="D11" s="67" t="s">
        <v>172</v>
      </c>
      <c r="E11" s="68" t="str">
        <f t="shared" ref="E11:E13" si="1">B11&amp;C11&amp;D11</f>
        <v>stage_hints_data_f_47004.tmp</v>
      </c>
      <c r="F11" s="67" t="s">
        <v>211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66" t="s">
        <v>185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1" t="s">
        <v>255</v>
      </c>
      <c r="B12" s="67" t="s">
        <v>204</v>
      </c>
      <c r="C12" s="62">
        <v>47004</v>
      </c>
      <c r="D12" s="67" t="s">
        <v>172</v>
      </c>
      <c r="E12" s="68" t="str">
        <f t="shared" si="1"/>
        <v>stage_hints_i18n_47004.tmp</v>
      </c>
      <c r="F12" s="67" t="s">
        <v>212</v>
      </c>
      <c r="G12" s="74" t="s">
        <v>205</v>
      </c>
      <c r="H12" s="93" t="s">
        <v>206</v>
      </c>
      <c r="I12" s="73" t="s">
        <v>207</v>
      </c>
      <c r="J12" s="101" t="s">
        <v>208</v>
      </c>
      <c r="K12" s="66" t="s">
        <v>209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1" t="s">
        <v>255</v>
      </c>
      <c r="B13" s="67" t="s">
        <v>252</v>
      </c>
      <c r="C13" s="62">
        <v>47004</v>
      </c>
      <c r="D13" s="67" t="s">
        <v>233</v>
      </c>
      <c r="E13" s="68" t="str">
        <f t="shared" si="1"/>
        <v>stage_bonuses_47004.tmp</v>
      </c>
      <c r="F13" s="67" t="s">
        <v>232</v>
      </c>
      <c r="G13" s="73" t="s">
        <v>234</v>
      </c>
      <c r="H13" s="73" t="s">
        <v>235</v>
      </c>
      <c r="I13" s="73" t="s">
        <v>236</v>
      </c>
      <c r="J13" s="73" t="s">
        <v>237</v>
      </c>
      <c r="K13" s="73" t="s">
        <v>238</v>
      </c>
      <c r="L13" s="73" t="s">
        <v>239</v>
      </c>
      <c r="M13" s="73" t="s">
        <v>240</v>
      </c>
      <c r="N13" s="73" t="s">
        <v>241</v>
      </c>
      <c r="O13" s="73" t="s">
        <v>242</v>
      </c>
      <c r="P13" s="73" t="s">
        <v>243</v>
      </c>
      <c r="Q13" s="73" t="s">
        <v>244</v>
      </c>
      <c r="R13" s="73" t="s">
        <v>245</v>
      </c>
      <c r="S13" s="73" t="s">
        <v>246</v>
      </c>
      <c r="T13" s="73" t="s">
        <v>247</v>
      </c>
      <c r="U13" s="73" t="s">
        <v>248</v>
      </c>
      <c r="V13" s="73" t="s">
        <v>249</v>
      </c>
      <c r="W13" s="73" t="s">
        <v>250</v>
      </c>
      <c r="X13" s="73" t="s">
        <v>251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7"/>
  <sheetViews>
    <sheetView showGridLines="0" workbookViewId="0">
      <pane ySplit="1" topLeftCell="A2" activePane="bottomLeft" state="frozen"/>
      <selection activeCell="V2" sqref="V2:X34"/>
      <selection pane="bottomLeft" activeCell="G16" sqref="G1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47004_1-1</v>
      </c>
      <c r="B2" s="16" t="str">
        <f>IF(COUNTIF(enemy_habitats!$H:$H,A2),"OK","NG")</f>
        <v>OK</v>
      </c>
      <c r="C2" s="7">
        <v>47004</v>
      </c>
      <c r="D2" s="11" t="str">
        <f ca="1">VLOOKUP($C2,OFFSET([2]quests!$A$1,0,0,COUNTA([2]quests!$A:$A),MATCH(D$1,[2]quests!$1:$1,0)-MATCH($C$1,[2]quests!$1:$1,0)+1),MATCH(D$1,[2]quests!$1:$1,0)-MATCH($C$1,[2]quests!$1:$1,0)+1,FALSE)</f>
        <v>聖なる夜に祝福を</v>
      </c>
      <c r="E2" s="18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21">
        <v>1</v>
      </c>
      <c r="G2" s="23" t="str">
        <f>C2&amp;"_"&amp;F2</f>
        <v>47004_1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【上級】聖なる夜に祝福を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13" si="0">G3&amp;"-"&amp;I3</f>
        <v>47004_1-2</v>
      </c>
      <c r="B3" s="16" t="str">
        <f>IF(COUNTIF(enemy_habitats!$H:$H,A3),"OK","NG")</f>
        <v>OK</v>
      </c>
      <c r="C3" s="7">
        <v>47004</v>
      </c>
      <c r="D3" s="11" t="str">
        <f ca="1">VLOOKUP($C3,OFFSET([2]quests!$A$1,0,0,COUNTA([2]quests!$A:$A),MATCH(D$1,[2]quests!$1:$1,0)-MATCH($C$1,[2]quests!$1:$1,0)+1),MATCH(D$1,[2]quests!$1:$1,0)-MATCH($C$1,[2]quests!$1:$1,0)+1,FALSE)</f>
        <v>聖なる夜に祝福を</v>
      </c>
      <c r="E3" s="18" t="str">
        <f ca="1">VLOOKUP($C3,OFFSET([2]quests!$A$1,0,0,COUNTA([2]quests!$A:$A),MATCH(E$1,[2]quests!$1:$1,0)-MATCH($C$1,[2]quests!$1:$1,0)+1),MATCH(E$1,[2]quests!$1:$1,0)-MATCH($C$1,[2]quests!$1:$1,0)+1,FALSE)</f>
        <v>季節イベント</v>
      </c>
      <c r="F3" s="21">
        <v>1</v>
      </c>
      <c r="G3" s="23" t="str">
        <f t="shared" ref="G3:G13" si="1">C3&amp;"_"&amp;F3</f>
        <v>47004_1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【上級】聖なる夜に祝福を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47004_1-3</v>
      </c>
      <c r="B4" s="16" t="str">
        <f>IF(COUNTIF(enemy_habitats!$H:$H,A4),"OK","NG")</f>
        <v>OK</v>
      </c>
      <c r="C4" s="7">
        <v>47004</v>
      </c>
      <c r="D4" s="11" t="str">
        <f ca="1">VLOOKUP($C4,OFFSET([2]quests!$A$1,0,0,COUNTA([2]quests!$A:$A),MATCH(D$1,[2]quests!$1:$1,0)-MATCH($C$1,[2]quests!$1:$1,0)+1),MATCH(D$1,[2]quests!$1:$1,0)-MATCH($C$1,[2]quests!$1:$1,0)+1,FALSE)</f>
        <v>聖なる夜に祝福を</v>
      </c>
      <c r="E4" s="18" t="str">
        <f ca="1">VLOOKUP($C4,OFFSET([2]quests!$A$1,0,0,COUNTA([2]quests!$A:$A),MATCH(E$1,[2]quests!$1:$1,0)-MATCH($C$1,[2]quests!$1:$1,0)+1),MATCH(E$1,[2]quests!$1:$1,0)-MATCH($C$1,[2]quests!$1:$1,0)+1,FALSE)</f>
        <v>季節イベント</v>
      </c>
      <c r="F4" s="21">
        <v>1</v>
      </c>
      <c r="G4" s="23" t="str">
        <f t="shared" si="1"/>
        <v>47004_1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【上級】聖なる夜に祝福を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47004_1-4</v>
      </c>
      <c r="B5" s="16" t="str">
        <f>IF(COUNTIF(enemy_habitats!$H:$H,A5),"OK","NG")</f>
        <v>OK</v>
      </c>
      <c r="C5" s="7">
        <v>47004</v>
      </c>
      <c r="D5" s="11" t="str">
        <f ca="1">VLOOKUP($C5,OFFSET([2]quests!$A$1,0,0,COUNTA([2]quests!$A:$A),MATCH(D$1,[2]quests!$1:$1,0)-MATCH($C$1,[2]quests!$1:$1,0)+1),MATCH(D$1,[2]quests!$1:$1,0)-MATCH($C$1,[2]quests!$1:$1,0)+1,FALSE)</f>
        <v>聖なる夜に祝福を</v>
      </c>
      <c r="E5" s="18" t="str">
        <f ca="1">VLOOKUP($C5,OFFSET([2]quests!$A$1,0,0,COUNTA([2]quests!$A:$A),MATCH(E$1,[2]quests!$1:$1,0)-MATCH($C$1,[2]quests!$1:$1,0)+1),MATCH(E$1,[2]quests!$1:$1,0)-MATCH($C$1,[2]quests!$1:$1,0)+1,FALSE)</f>
        <v>季節イベント</v>
      </c>
      <c r="F5" s="21">
        <v>1</v>
      </c>
      <c r="G5" s="23" t="str">
        <f t="shared" si="1"/>
        <v>47004_1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【上級】聖なる夜に祝福を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47004_2-1</v>
      </c>
      <c r="B6" s="16" t="str">
        <f>IF(COUNTIF(enemy_habitats!$H:$H,A6),"OK","NG")</f>
        <v>OK</v>
      </c>
      <c r="C6" s="7">
        <v>47004</v>
      </c>
      <c r="D6" s="11" t="str">
        <f ca="1">VLOOKUP($C6,OFFSET([2]quests!$A$1,0,0,COUNTA([2]quests!$A:$A),MATCH(D$1,[2]quests!$1:$1,0)-MATCH($C$1,[2]quests!$1:$1,0)+1),MATCH(D$1,[2]quests!$1:$1,0)-MATCH($C$1,[2]quests!$1:$1,0)+1,FALSE)</f>
        <v>聖なる夜に祝福を</v>
      </c>
      <c r="E6" s="18" t="str">
        <f ca="1">VLOOKUP($C6,OFFSET([2]quests!$A$1,0,0,COUNTA([2]quests!$A:$A),MATCH(E$1,[2]quests!$1:$1,0)-MATCH($C$1,[2]quests!$1:$1,0)+1),MATCH(E$1,[2]quests!$1:$1,0)-MATCH($C$1,[2]quests!$1:$1,0)+1,FALSE)</f>
        <v>季節イベント</v>
      </c>
      <c r="F6" s="21">
        <v>2</v>
      </c>
      <c r="G6" s="23" t="str">
        <f t="shared" si="1"/>
        <v>47004_2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【超級】聖なる夜に祝福を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47004_2-2</v>
      </c>
      <c r="B7" s="16" t="str">
        <f>IF(COUNTIF(enemy_habitats!$H:$H,A7),"OK","NG")</f>
        <v>OK</v>
      </c>
      <c r="C7" s="7">
        <v>47004</v>
      </c>
      <c r="D7" s="11" t="str">
        <f ca="1">VLOOKUP($C7,OFFSET([2]quests!$A$1,0,0,COUNTA([2]quests!$A:$A),MATCH(D$1,[2]quests!$1:$1,0)-MATCH($C$1,[2]quests!$1:$1,0)+1),MATCH(D$1,[2]quests!$1:$1,0)-MATCH($C$1,[2]quests!$1:$1,0)+1,FALSE)</f>
        <v>聖なる夜に祝福を</v>
      </c>
      <c r="E7" s="18" t="str">
        <f ca="1">VLOOKUP($C7,OFFSET([2]quests!$A$1,0,0,COUNTA([2]quests!$A:$A),MATCH(E$1,[2]quests!$1:$1,0)-MATCH($C$1,[2]quests!$1:$1,0)+1),MATCH(E$1,[2]quests!$1:$1,0)-MATCH($C$1,[2]quests!$1:$1,0)+1,FALSE)</f>
        <v>季節イベント</v>
      </c>
      <c r="F7" s="21">
        <v>2</v>
      </c>
      <c r="G7" s="23" t="str">
        <f t="shared" si="1"/>
        <v>47004_2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【超級】聖なる夜に祝福を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47004_2-3</v>
      </c>
      <c r="B8" s="16" t="str">
        <f>IF(COUNTIF(enemy_habitats!$H:$H,A8),"OK","NG")</f>
        <v>OK</v>
      </c>
      <c r="C8" s="7">
        <v>47004</v>
      </c>
      <c r="D8" s="11" t="str">
        <f ca="1">VLOOKUP($C8,OFFSET([2]quests!$A$1,0,0,COUNTA([2]quests!$A:$A),MATCH(D$1,[2]quests!$1:$1,0)-MATCH($C$1,[2]quests!$1:$1,0)+1),MATCH(D$1,[2]quests!$1:$1,0)-MATCH($C$1,[2]quests!$1:$1,0)+1,FALSE)</f>
        <v>聖なる夜に祝福を</v>
      </c>
      <c r="E8" s="18" t="str">
        <f ca="1">VLOOKUP($C8,OFFSET([2]quests!$A$1,0,0,COUNTA([2]quests!$A:$A),MATCH(E$1,[2]quests!$1:$1,0)-MATCH($C$1,[2]quests!$1:$1,0)+1),MATCH(E$1,[2]quests!$1:$1,0)-MATCH($C$1,[2]quests!$1:$1,0)+1,FALSE)</f>
        <v>季節イベント</v>
      </c>
      <c r="F8" s="21">
        <v>2</v>
      </c>
      <c r="G8" s="23" t="str">
        <f t="shared" si="1"/>
        <v>47004_2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【超級】聖なる夜に祝福を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47004_2-4</v>
      </c>
      <c r="B9" s="16" t="str">
        <f>IF(COUNTIF(enemy_habitats!$H:$H,A9),"OK","NG")</f>
        <v>OK</v>
      </c>
      <c r="C9" s="7">
        <v>47004</v>
      </c>
      <c r="D9" s="11" t="str">
        <f ca="1">VLOOKUP($C9,OFFSET([2]quests!$A$1,0,0,COUNTA([2]quests!$A:$A),MATCH(D$1,[2]quests!$1:$1,0)-MATCH($C$1,[2]quests!$1:$1,0)+1),MATCH(D$1,[2]quests!$1:$1,0)-MATCH($C$1,[2]quests!$1:$1,0)+1,FALSE)</f>
        <v>聖なる夜に祝福を</v>
      </c>
      <c r="E9" s="18" t="str">
        <f ca="1">VLOOKUP($C9,OFFSET([2]quests!$A$1,0,0,COUNTA([2]quests!$A:$A),MATCH(E$1,[2]quests!$1:$1,0)-MATCH($C$1,[2]quests!$1:$1,0)+1),MATCH(E$1,[2]quests!$1:$1,0)-MATCH($C$1,[2]quests!$1:$1,0)+1,FALSE)</f>
        <v>季節イベント</v>
      </c>
      <c r="F9" s="21">
        <v>2</v>
      </c>
      <c r="G9" s="23" t="str">
        <f t="shared" si="1"/>
        <v>47004_2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【超級】聖なる夜に祝福を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47004_3-1</v>
      </c>
      <c r="B10" s="16" t="str">
        <f>IF(COUNTIF(enemy_habitats!$H:$H,A10),"OK","NG")</f>
        <v>OK</v>
      </c>
      <c r="C10" s="7">
        <v>47004</v>
      </c>
      <c r="D10" s="11" t="str">
        <f ca="1">VLOOKUP($C10,OFFSET([2]quests!$A$1,0,0,COUNTA([2]quests!$A:$A),MATCH(D$1,[2]quests!$1:$1,0)-MATCH($C$1,[2]quests!$1:$1,0)+1),MATCH(D$1,[2]quests!$1:$1,0)-MATCH($C$1,[2]quests!$1:$1,0)+1,FALSE)</f>
        <v>聖なる夜に祝福を</v>
      </c>
      <c r="E10" s="18" t="str">
        <f ca="1">VLOOKUP($C10,OFFSET([2]quests!$A$1,0,0,COUNTA([2]quests!$A:$A),MATCH(E$1,[2]quests!$1:$1,0)-MATCH($C$1,[2]quests!$1:$1,0)+1),MATCH(E$1,[2]quests!$1:$1,0)-MATCH($C$1,[2]quests!$1:$1,0)+1,FALSE)</f>
        <v>季節イベント</v>
      </c>
      <c r="F10" s="21">
        <v>3</v>
      </c>
      <c r="G10" s="23" t="str">
        <f t="shared" si="1"/>
        <v>47004_3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【超絶級】聖なる夜に祝福を</v>
      </c>
      <c r="I10" s="21">
        <v>1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47004_3-2</v>
      </c>
      <c r="B11" s="16" t="str">
        <f>IF(COUNTIF(enemy_habitats!$H:$H,A11),"OK","NG")</f>
        <v>OK</v>
      </c>
      <c r="C11" s="7">
        <v>47004</v>
      </c>
      <c r="D11" s="11" t="str">
        <f ca="1">VLOOKUP($C11,OFFSET([2]quests!$A$1,0,0,COUNTA([2]quests!$A:$A),MATCH(D$1,[2]quests!$1:$1,0)-MATCH($C$1,[2]quests!$1:$1,0)+1),MATCH(D$1,[2]quests!$1:$1,0)-MATCH($C$1,[2]quests!$1:$1,0)+1,FALSE)</f>
        <v>聖なる夜に祝福を</v>
      </c>
      <c r="E11" s="18" t="str">
        <f ca="1">VLOOKUP($C11,OFFSET([2]quests!$A$1,0,0,COUNTA([2]quests!$A:$A),MATCH(E$1,[2]quests!$1:$1,0)-MATCH($C$1,[2]quests!$1:$1,0)+1),MATCH(E$1,[2]quests!$1:$1,0)-MATCH($C$1,[2]quests!$1:$1,0)+1,FALSE)</f>
        <v>季節イベント</v>
      </c>
      <c r="F11" s="21">
        <v>3</v>
      </c>
      <c r="G11" s="23" t="str">
        <f t="shared" si="1"/>
        <v>47004_3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【超絶級】聖なる夜に祝福を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47004_3-3</v>
      </c>
      <c r="B12" s="16" t="str">
        <f>IF(COUNTIF(enemy_habitats!$H:$H,A12),"OK","NG")</f>
        <v>OK</v>
      </c>
      <c r="C12" s="7">
        <v>47004</v>
      </c>
      <c r="D12" s="11" t="str">
        <f ca="1">VLOOKUP($C12,OFFSET([2]quests!$A$1,0,0,COUNTA([2]quests!$A:$A),MATCH(D$1,[2]quests!$1:$1,0)-MATCH($C$1,[2]quests!$1:$1,0)+1),MATCH(D$1,[2]quests!$1:$1,0)-MATCH($C$1,[2]quests!$1:$1,0)+1,FALSE)</f>
        <v>聖なる夜に祝福を</v>
      </c>
      <c r="E12" s="18" t="str">
        <f ca="1">VLOOKUP($C12,OFFSET([2]quests!$A$1,0,0,COUNTA([2]quests!$A:$A),MATCH(E$1,[2]quests!$1:$1,0)-MATCH($C$1,[2]quests!$1:$1,0)+1),MATCH(E$1,[2]quests!$1:$1,0)-MATCH($C$1,[2]quests!$1:$1,0)+1,FALSE)</f>
        <v>季節イベント</v>
      </c>
      <c r="F12" s="21">
        <v>3</v>
      </c>
      <c r="G12" s="23" t="str">
        <f t="shared" si="1"/>
        <v>47004_3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【超絶級】聖なる夜に祝福を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47004_3-4</v>
      </c>
      <c r="B13" s="16" t="str">
        <f>IF(COUNTIF(enemy_habitats!$H:$H,A13),"OK","NG")</f>
        <v>OK</v>
      </c>
      <c r="C13" s="7">
        <v>47004</v>
      </c>
      <c r="D13" s="11" t="str">
        <f ca="1">VLOOKUP($C13,OFFSET([2]quests!$A$1,0,0,COUNTA([2]quests!$A:$A),MATCH(D$1,[2]quests!$1:$1,0)-MATCH($C$1,[2]quests!$1:$1,0)+1),MATCH(D$1,[2]quests!$1:$1,0)-MATCH($C$1,[2]quests!$1:$1,0)+1,FALSE)</f>
        <v>聖なる夜に祝福を</v>
      </c>
      <c r="E13" s="18" t="str">
        <f ca="1">VLOOKUP($C13,OFFSET([2]quests!$A$1,0,0,COUNTA([2]quests!$A:$A),MATCH(E$1,[2]quests!$1:$1,0)-MATCH($C$1,[2]quests!$1:$1,0)+1),MATCH(E$1,[2]quests!$1:$1,0)-MATCH($C$1,[2]quests!$1:$1,0)+1,FALSE)</f>
        <v>季節イベント</v>
      </c>
      <c r="F13" s="21">
        <v>3</v>
      </c>
      <c r="G13" s="23" t="str">
        <f t="shared" si="1"/>
        <v>47004_3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【超絶級】聖なる夜に祝福を</v>
      </c>
      <c r="I13" s="21">
        <v>4</v>
      </c>
      <c r="J13" s="12">
        <v>60</v>
      </c>
      <c r="K13" s="12">
        <v>60</v>
      </c>
    </row>
    <row r="14" spans="1:11" ht="21" customHeight="1" x14ac:dyDescent="0.15">
      <c r="A14" s="16" t="str">
        <f t="shared" ref="A14:A17" si="2">G14&amp;"-"&amp;I14</f>
        <v>47004_4-1</v>
      </c>
      <c r="B14" s="16" t="str">
        <f>IF(COUNTIF(enemy_habitats!$H:$H,A14),"OK","NG")</f>
        <v>OK</v>
      </c>
      <c r="C14" s="7">
        <v>47004</v>
      </c>
      <c r="D14" s="11" t="str">
        <f ca="1">VLOOKUP($C14,OFFSET([2]quests!$A$1,0,0,COUNTA([2]quests!$A:$A),MATCH(D$1,[2]quests!$1:$1,0)-MATCH($C$1,[2]quests!$1:$1,0)+1),MATCH(D$1,[2]quests!$1:$1,0)-MATCH($C$1,[2]quests!$1:$1,0)+1,FALSE)</f>
        <v>聖なる夜に祝福を</v>
      </c>
      <c r="E14" s="18" t="str">
        <f ca="1">VLOOKUP($C14,OFFSET([2]quests!$A$1,0,0,COUNTA([2]quests!$A:$A),MATCH(E$1,[2]quests!$1:$1,0)-MATCH($C$1,[2]quests!$1:$1,0)+1),MATCH(E$1,[2]quests!$1:$1,0)-MATCH($C$1,[2]quests!$1:$1,0)+1,FALSE)</f>
        <v>季節イベント</v>
      </c>
      <c r="F14" s="21">
        <v>4</v>
      </c>
      <c r="G14" s="23" t="str">
        <f t="shared" ref="G14:G17" si="3">C14&amp;"_"&amp;F14</f>
        <v>47004_4</v>
      </c>
      <c r="H14" s="15" t="str">
        <f ca="1">VLOOKUP($G14,OFFSET([2]stages!$A$1,0,0,COUNTA([2]stages!$A:$A),MATCH(H$1,[2]stages!$2:$2,0)-MATCH($G$1,[2]stages!$2:$2,0)+1),MATCH(H$1,[2]stages!$2:$2,0)-MATCH($G$1,[2]stages!$2:$2,0)+1,FALSE)</f>
        <v>【ウィザード級】聖なる夜に祝福を</v>
      </c>
      <c r="I14" s="21">
        <v>1</v>
      </c>
      <c r="J14" s="12">
        <v>60</v>
      </c>
      <c r="K14" s="12">
        <v>60</v>
      </c>
    </row>
    <row r="15" spans="1:11" ht="21" customHeight="1" x14ac:dyDescent="0.15">
      <c r="A15" s="16" t="str">
        <f t="shared" si="2"/>
        <v>47004_4-2</v>
      </c>
      <c r="B15" s="16" t="str">
        <f>IF(COUNTIF(enemy_habitats!$H:$H,A15),"OK","NG")</f>
        <v>OK</v>
      </c>
      <c r="C15" s="7">
        <v>47004</v>
      </c>
      <c r="D15" s="11" t="str">
        <f ca="1">VLOOKUP($C15,OFFSET([2]quests!$A$1,0,0,COUNTA([2]quests!$A:$A),MATCH(D$1,[2]quests!$1:$1,0)-MATCH($C$1,[2]quests!$1:$1,0)+1),MATCH(D$1,[2]quests!$1:$1,0)-MATCH($C$1,[2]quests!$1:$1,0)+1,FALSE)</f>
        <v>聖なる夜に祝福を</v>
      </c>
      <c r="E15" s="18" t="str">
        <f ca="1">VLOOKUP($C15,OFFSET([2]quests!$A$1,0,0,COUNTA([2]quests!$A:$A),MATCH(E$1,[2]quests!$1:$1,0)-MATCH($C$1,[2]quests!$1:$1,0)+1),MATCH(E$1,[2]quests!$1:$1,0)-MATCH($C$1,[2]quests!$1:$1,0)+1,FALSE)</f>
        <v>季節イベント</v>
      </c>
      <c r="F15" s="21">
        <v>4</v>
      </c>
      <c r="G15" s="23" t="str">
        <f t="shared" si="3"/>
        <v>47004_4</v>
      </c>
      <c r="H15" s="15" t="str">
        <f ca="1">VLOOKUP($G15,OFFSET([2]stages!$A$1,0,0,COUNTA([2]stages!$A:$A),MATCH(H$1,[2]stages!$2:$2,0)-MATCH($G$1,[2]stages!$2:$2,0)+1),MATCH(H$1,[2]stages!$2:$2,0)-MATCH($G$1,[2]stages!$2:$2,0)+1,FALSE)</f>
        <v>【ウィザード級】聖なる夜に祝福を</v>
      </c>
      <c r="I15" s="21">
        <v>2</v>
      </c>
      <c r="J15" s="12">
        <v>60</v>
      </c>
      <c r="K15" s="12">
        <v>60</v>
      </c>
    </row>
    <row r="16" spans="1:11" ht="21" customHeight="1" x14ac:dyDescent="0.15">
      <c r="A16" s="16" t="str">
        <f t="shared" si="2"/>
        <v>47004_4-3</v>
      </c>
      <c r="B16" s="16" t="str">
        <f>IF(COUNTIF(enemy_habitats!$H:$H,A16),"OK","NG")</f>
        <v>OK</v>
      </c>
      <c r="C16" s="7">
        <v>47004</v>
      </c>
      <c r="D16" s="11" t="str">
        <f ca="1">VLOOKUP($C16,OFFSET([2]quests!$A$1,0,0,COUNTA([2]quests!$A:$A),MATCH(D$1,[2]quests!$1:$1,0)-MATCH($C$1,[2]quests!$1:$1,0)+1),MATCH(D$1,[2]quests!$1:$1,0)-MATCH($C$1,[2]quests!$1:$1,0)+1,FALSE)</f>
        <v>聖なる夜に祝福を</v>
      </c>
      <c r="E16" s="18" t="str">
        <f ca="1">VLOOKUP($C16,OFFSET([2]quests!$A$1,0,0,COUNTA([2]quests!$A:$A),MATCH(E$1,[2]quests!$1:$1,0)-MATCH($C$1,[2]quests!$1:$1,0)+1),MATCH(E$1,[2]quests!$1:$1,0)-MATCH($C$1,[2]quests!$1:$1,0)+1,FALSE)</f>
        <v>季節イベント</v>
      </c>
      <c r="F16" s="21">
        <v>4</v>
      </c>
      <c r="G16" s="23" t="str">
        <f t="shared" si="3"/>
        <v>47004_4</v>
      </c>
      <c r="H16" s="15" t="str">
        <f ca="1">VLOOKUP($G16,OFFSET([2]stages!$A$1,0,0,COUNTA([2]stages!$A:$A),MATCH(H$1,[2]stages!$2:$2,0)-MATCH($G$1,[2]stages!$2:$2,0)+1),MATCH(H$1,[2]stages!$2:$2,0)-MATCH($G$1,[2]stages!$2:$2,0)+1,FALSE)</f>
        <v>【ウィザード級】聖なる夜に祝福を</v>
      </c>
      <c r="I16" s="21">
        <v>3</v>
      </c>
      <c r="J16" s="12">
        <v>60</v>
      </c>
      <c r="K16" s="12">
        <v>60</v>
      </c>
    </row>
    <row r="17" spans="1:11" ht="21" customHeight="1" x14ac:dyDescent="0.15">
      <c r="A17" s="16" t="str">
        <f t="shared" si="2"/>
        <v>47004_4-4</v>
      </c>
      <c r="B17" s="16" t="str">
        <f>IF(COUNTIF(enemy_habitats!$H:$H,A17),"OK","NG")</f>
        <v>OK</v>
      </c>
      <c r="C17" s="7">
        <v>47004</v>
      </c>
      <c r="D17" s="11" t="str">
        <f ca="1">VLOOKUP($C17,OFFSET([2]quests!$A$1,0,0,COUNTA([2]quests!$A:$A),MATCH(D$1,[2]quests!$1:$1,0)-MATCH($C$1,[2]quests!$1:$1,0)+1),MATCH(D$1,[2]quests!$1:$1,0)-MATCH($C$1,[2]quests!$1:$1,0)+1,FALSE)</f>
        <v>聖なる夜に祝福を</v>
      </c>
      <c r="E17" s="18" t="str">
        <f ca="1">VLOOKUP($C17,OFFSET([2]quests!$A$1,0,0,COUNTA([2]quests!$A:$A),MATCH(E$1,[2]quests!$1:$1,0)-MATCH($C$1,[2]quests!$1:$1,0)+1),MATCH(E$1,[2]quests!$1:$1,0)-MATCH($C$1,[2]quests!$1:$1,0)+1,FALSE)</f>
        <v>季節イベント</v>
      </c>
      <c r="F17" s="21">
        <v>4</v>
      </c>
      <c r="G17" s="23" t="str">
        <f t="shared" si="3"/>
        <v>47004_4</v>
      </c>
      <c r="H17" s="15" t="str">
        <f ca="1">VLOOKUP($G17,OFFSET([2]stages!$A$1,0,0,COUNTA([2]stages!$A:$A),MATCH(H$1,[2]stages!$2:$2,0)-MATCH($G$1,[2]stages!$2:$2,0)+1),MATCH(H$1,[2]stages!$2:$2,0)-MATCH($G$1,[2]stages!$2:$2,0)+1,FALSE)</f>
        <v>【ウィザード級】聖なる夜に祝福を</v>
      </c>
      <c r="I17" s="21">
        <v>4</v>
      </c>
      <c r="J17" s="12">
        <v>60</v>
      </c>
      <c r="K1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5"/>
  <sheetViews>
    <sheetView showGridLines="0" zoomScale="90" zoomScaleNormal="90" zoomScalePageLayoutView="9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25" sqref="U25"/>
    </sheetView>
  </sheetViews>
  <sheetFormatPr baseColWidth="12" defaultColWidth="13" defaultRowHeight="21" customHeight="1" outlineLevelCol="1" x14ac:dyDescent="0.15"/>
  <cols>
    <col min="1" max="1" width="22.664062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7.164062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253</v>
      </c>
      <c r="U1" s="26" t="s">
        <v>50</v>
      </c>
      <c r="V1" s="102" t="s">
        <v>254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>B2&amp;"_"&amp;C2&amp;"-"&amp;G2&amp;"/"&amp;L2&amp;"&lt;lv"&amp;R2&amp;"&gt;s"&amp;AC2</f>
        <v>47004_1-1/1280&lt;lv40&gt;s1</v>
      </c>
      <c r="B2" s="22">
        <v>47004</v>
      </c>
      <c r="C2" s="106">
        <v>1</v>
      </c>
      <c r="D2" s="2" t="str">
        <f>B2&amp;"_"&amp;C2</f>
        <v>47004_1</v>
      </c>
      <c r="E2" s="4" t="str">
        <f ca="1">VLOOKUP($B2,OFFSET([2]quests!$A$1,0,0,COUNTA([2]quests!$A:$A),MATCH(E$1,[2]quests!$1:$1,0)-MATCH($B$1,[2]quests!$1:$1,0)+1),MATCH(E$1,[2]quests!$1:$1,0)-MATCH($B$1,[2]quests!$1:$1,0)+1,FALSE)</f>
        <v>聖なる夜に祝福を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【上級】聖なる夜に祝福を</v>
      </c>
      <c r="G2" s="21">
        <v>1</v>
      </c>
      <c r="H2" s="15" t="str">
        <f>B2&amp;"_"&amp;C2&amp;"-"&amp;G2</f>
        <v>47004_1-1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1280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聖装の始祖帝 クリスマス卑弥呼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40</v>
      </c>
      <c r="S2" s="124">
        <v>1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66317</v>
      </c>
      <c r="U2" s="124">
        <v>0.4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1758.8000000000002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">
        <v>47004000</v>
      </c>
      <c r="Z2" s="6">
        <v>0</v>
      </c>
      <c r="AA2" s="115">
        <v>50</v>
      </c>
      <c r="AB2" s="6">
        <v>0</v>
      </c>
      <c r="AC2" s="108">
        <v>1</v>
      </c>
      <c r="AD2" s="24">
        <f>L2</f>
        <v>1280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聖装の始祖帝 クリスマス卑弥呼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4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ref="A3:A7" si="0">B3&amp;"_"&amp;C3&amp;"-"&amp;G3&amp;"/"&amp;L3&amp;"&lt;lv"&amp;R3&amp;"&gt;s"&amp;AC3</f>
        <v>47004_1-1/1281&lt;lv40&gt;s1</v>
      </c>
      <c r="B3" s="22">
        <v>47004</v>
      </c>
      <c r="C3" s="106">
        <v>1</v>
      </c>
      <c r="D3" s="2" t="str">
        <f t="shared" ref="D3:D7" si="1">B3&amp;"_"&amp;C3</f>
        <v>47004_1</v>
      </c>
      <c r="E3" s="4" t="str">
        <f ca="1">VLOOKUP($B3,OFFSET([2]quests!$A$1,0,0,COUNTA([2]quests!$A:$A),MATCH(E$1,[2]quests!$1:$1,0)-MATCH($B$1,[2]quests!$1:$1,0)+1),MATCH(E$1,[2]quests!$1:$1,0)-MATCH($B$1,[2]quests!$1:$1,0)+1,FALSE)</f>
        <v>聖なる夜に祝福を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【上級】聖なる夜に祝福を</v>
      </c>
      <c r="G3" s="21">
        <v>1</v>
      </c>
      <c r="H3" s="15" t="str">
        <f t="shared" ref="H3:H7" si="2">B3&amp;"_"&amp;C3&amp;"-"&amp;G3</f>
        <v>47004_1-1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1281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愛贈の白魔 ノエル・エスタブ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40</v>
      </c>
      <c r="S3" s="124">
        <v>0.7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47350.1</v>
      </c>
      <c r="U3" s="124">
        <v>0.4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2339.2000000000003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">
        <v>47004020</v>
      </c>
      <c r="Z3" s="6">
        <v>0</v>
      </c>
      <c r="AA3" s="115">
        <v>50</v>
      </c>
      <c r="AB3" s="6">
        <v>0</v>
      </c>
      <c r="AC3" s="108">
        <v>1</v>
      </c>
      <c r="AD3" s="24">
        <f t="shared" ref="AD3:AD7" si="3">L3</f>
        <v>1281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愛贈の白魔 ノエル・エスタブ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4">
        <f t="shared" ref="AI3:AI7" ca="1" si="4">AF3</f>
        <v>5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47004_1-2/1284&lt;lv40&gt;s1</v>
      </c>
      <c r="B4" s="22">
        <v>47004</v>
      </c>
      <c r="C4" s="106">
        <v>1</v>
      </c>
      <c r="D4" s="2" t="str">
        <f t="shared" si="1"/>
        <v>47004_1</v>
      </c>
      <c r="E4" s="4" t="str">
        <f ca="1">VLOOKUP($B4,OFFSET([2]quests!$A$1,0,0,COUNTA([2]quests!$A:$A),MATCH(E$1,[2]quests!$1:$1,0)-MATCH($B$1,[2]quests!$1:$1,0)+1),MATCH(E$1,[2]quests!$1:$1,0)-MATCH($B$1,[2]quests!$1:$1,0)+1,FALSE)</f>
        <v>聖なる夜に祝福を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【上級】聖なる夜に祝福を</v>
      </c>
      <c r="G4" s="107">
        <v>2</v>
      </c>
      <c r="H4" s="15" t="str">
        <f t="shared" si="2"/>
        <v>47004_1-2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1284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マシン・シュプール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40</v>
      </c>
      <c r="S4" s="124">
        <v>1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102298</v>
      </c>
      <c r="U4" s="124">
        <v>0.7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2642.5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">
        <v>47004040</v>
      </c>
      <c r="Z4" s="6">
        <v>0</v>
      </c>
      <c r="AA4" s="6">
        <v>100</v>
      </c>
      <c r="AB4" s="6">
        <v>0</v>
      </c>
      <c r="AC4" s="108">
        <v>1</v>
      </c>
      <c r="AD4" s="24">
        <f t="shared" si="3"/>
        <v>1284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マシン・シュプール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4">
        <f t="shared" ca="1" si="4"/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47004_1-3/1275&lt;lv40&gt;s1</v>
      </c>
      <c r="B5" s="22">
        <v>47004</v>
      </c>
      <c r="C5" s="106">
        <v>1</v>
      </c>
      <c r="D5" s="2" t="str">
        <f t="shared" si="1"/>
        <v>47004_1</v>
      </c>
      <c r="E5" s="4" t="str">
        <f ca="1">VLOOKUP($B5,OFFSET([2]quests!$A$1,0,0,COUNTA([2]quests!$A:$A),MATCH(E$1,[2]quests!$1:$1,0)-MATCH($B$1,[2]quests!$1:$1,0)+1),MATCH(E$1,[2]quests!$1:$1,0)-MATCH($B$1,[2]quests!$1:$1,0)+1,FALSE)</f>
        <v>聖なる夜に祝福を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【上級】聖なる夜に祝福を</v>
      </c>
      <c r="G5" s="21">
        <v>3</v>
      </c>
      <c r="H5" s="15" t="str">
        <f t="shared" si="2"/>
        <v>47004_1-3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1275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聖進の贈炎 クリスマス・ベリアル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40</v>
      </c>
      <c r="S5" s="124">
        <v>1.4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94819.199999999997</v>
      </c>
      <c r="U5" s="124">
        <v>0.4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2508.4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">
        <v>47004080</v>
      </c>
      <c r="Z5" s="6">
        <v>0</v>
      </c>
      <c r="AA5" s="115">
        <v>80</v>
      </c>
      <c r="AB5" s="6">
        <v>0</v>
      </c>
      <c r="AC5" s="108">
        <v>1</v>
      </c>
      <c r="AD5" s="24">
        <f t="shared" si="3"/>
        <v>1275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聖進の贈炎 クリスマス・ベリアル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6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4">
        <f t="shared" ca="1" si="4"/>
        <v>6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47004_1-3/1276&lt;lv40&gt;s1</v>
      </c>
      <c r="B6" s="22">
        <v>47004</v>
      </c>
      <c r="C6" s="106">
        <v>1</v>
      </c>
      <c r="D6" s="2" t="str">
        <f t="shared" si="1"/>
        <v>47004_1</v>
      </c>
      <c r="E6" s="4" t="str">
        <f ca="1">VLOOKUP($B6,OFFSET([2]quests!$A$1,0,0,COUNTA([2]quests!$A:$A),MATCH(E$1,[2]quests!$1:$1,0)-MATCH($B$1,[2]quests!$1:$1,0)+1),MATCH(E$1,[2]quests!$1:$1,0)-MATCH($B$1,[2]quests!$1:$1,0)+1,FALSE)</f>
        <v>聖なる夜に祝福を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【上級】聖なる夜に祝福を</v>
      </c>
      <c r="G6" s="21">
        <v>3</v>
      </c>
      <c r="H6" s="15" t="str">
        <f t="shared" si="2"/>
        <v>47004_1-3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1276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聖宴の主彩 サンタクロース・オセ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40</v>
      </c>
      <c r="S6" s="124">
        <v>1.2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82899.599999999991</v>
      </c>
      <c r="U6" s="124">
        <v>0.3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1807.5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">
        <v>47004110</v>
      </c>
      <c r="Z6" s="6">
        <v>0</v>
      </c>
      <c r="AA6" s="115">
        <v>20</v>
      </c>
      <c r="AB6" s="6">
        <v>0</v>
      </c>
      <c r="AC6" s="108">
        <v>1</v>
      </c>
      <c r="AD6" s="24">
        <f t="shared" si="3"/>
        <v>1276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聖宴の主彩 サンタクロース・オセ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6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4">
        <f t="shared" ca="1" si="4"/>
        <v>6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47004_1-4/1284&lt;lv40&gt;s1</v>
      </c>
      <c r="B7" s="22">
        <v>47004</v>
      </c>
      <c r="C7" s="106">
        <v>1</v>
      </c>
      <c r="D7" s="2" t="str">
        <f t="shared" si="1"/>
        <v>47004_1</v>
      </c>
      <c r="E7" s="4" t="str">
        <f ca="1">VLOOKUP($B7,OFFSET([2]quests!$A$1,0,0,COUNTA([2]quests!$A:$A),MATCH(E$1,[2]quests!$1:$1,0)-MATCH($B$1,[2]quests!$1:$1,0)+1),MATCH(E$1,[2]quests!$1:$1,0)-MATCH($B$1,[2]quests!$1:$1,0)+1,FALSE)</f>
        <v>聖なる夜に祝福を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【上級】聖なる夜に祝福を</v>
      </c>
      <c r="G7" s="107">
        <v>4</v>
      </c>
      <c r="H7" s="15" t="str">
        <f t="shared" si="2"/>
        <v>47004_1-4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20">
        <v>1284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マシン・シュプール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40</v>
      </c>
      <c r="S7" s="124">
        <v>1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102298</v>
      </c>
      <c r="U7" s="124">
        <v>0.8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3020</v>
      </c>
      <c r="W7" s="5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">
        <v>47004150</v>
      </c>
      <c r="Z7" s="6">
        <v>0</v>
      </c>
      <c r="AA7" s="6">
        <v>100</v>
      </c>
      <c r="AB7" s="6">
        <v>1</v>
      </c>
      <c r="AC7" s="108">
        <v>1</v>
      </c>
      <c r="AD7" s="24">
        <f t="shared" si="3"/>
        <v>1284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マシン・シュプール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4">
        <f t="shared" ca="1" si="4"/>
        <v>5</v>
      </c>
      <c r="AJ7" s="105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>B8&amp;"_"&amp;C8&amp;"-"&amp;G8&amp;"/"&amp;L8&amp;"&lt;lv"&amp;R8&amp;"&gt;s"&amp;AC8</f>
        <v>47004_2-1/1280&lt;lv60&gt;s1</v>
      </c>
      <c r="B8" s="22">
        <v>47004</v>
      </c>
      <c r="C8" s="21">
        <v>2</v>
      </c>
      <c r="D8" s="2" t="str">
        <f>B8&amp;"_"&amp;C8</f>
        <v>47004_2</v>
      </c>
      <c r="E8" s="4" t="str">
        <f ca="1">VLOOKUP($B8,OFFSET([2]quests!$A$1,0,0,COUNTA([2]quests!$A:$A),MATCH(E$1,[2]quests!$1:$1,0)-MATCH($B$1,[2]quests!$1:$1,0)+1),MATCH(E$1,[2]quests!$1:$1,0)-MATCH($B$1,[2]quests!$1:$1,0)+1,FALSE)</f>
        <v>聖なる夜に祝福を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【超級】聖なる夜に祝福を</v>
      </c>
      <c r="G8" s="21">
        <v>1</v>
      </c>
      <c r="H8" s="15" t="str">
        <f>B8&amp;"_"&amp;C8&amp;"-"&amp;G8</f>
        <v>47004_2-1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1280</v>
      </c>
      <c r="M8" s="17" t="str">
        <f ca="1">VLOOKUP($L8,OFFSET([3]enemies!$A$1,0,0,COUNTA([3]enemies!$A:$A),MATCH(M$1,[3]enemies!$1:$1,0)-MATCH($L$1,[3]enemies!$1:$1,0)+1),MATCH(M$1,[3]enemies!$1:$1,0)-MATCH($L$1,[3]enemies!$1:$1,0)+1,FALSE)</f>
        <v>聖装の始祖帝 クリスマス卑弥呼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60</v>
      </c>
      <c r="S8" s="25">
        <v>1.3</v>
      </c>
      <c r="T8" s="10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127760.1</v>
      </c>
      <c r="U8" s="25">
        <v>0.4</v>
      </c>
      <c r="V8" s="10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2606.4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4">
        <v>47004250</v>
      </c>
      <c r="Z8" s="6">
        <v>0</v>
      </c>
      <c r="AA8" s="115">
        <v>50</v>
      </c>
      <c r="AB8" s="6">
        <v>0</v>
      </c>
      <c r="AC8" s="108">
        <v>1</v>
      </c>
      <c r="AD8" s="24">
        <f>L8</f>
        <v>1280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聖装の始祖帝 クリスマス卑弥呼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4">
        <f ca="1">AF8</f>
        <v>5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ref="A9:A13" si="5">B9&amp;"_"&amp;C9&amp;"-"&amp;G9&amp;"/"&amp;L9&amp;"&lt;lv"&amp;R9&amp;"&gt;s"&amp;AC9</f>
        <v>47004_2-1/1281&lt;lv60&gt;s1</v>
      </c>
      <c r="B9" s="22">
        <v>47004</v>
      </c>
      <c r="C9" s="21">
        <v>2</v>
      </c>
      <c r="D9" s="2" t="str">
        <f t="shared" ref="D9:D13" si="6">B9&amp;"_"&amp;C9</f>
        <v>47004_2</v>
      </c>
      <c r="E9" s="4" t="str">
        <f ca="1">VLOOKUP($B9,OFFSET([2]quests!$A$1,0,0,COUNTA([2]quests!$A:$A),MATCH(E$1,[2]quests!$1:$1,0)-MATCH($B$1,[2]quests!$1:$1,0)+1),MATCH(E$1,[2]quests!$1:$1,0)-MATCH($B$1,[2]quests!$1:$1,0)+1,FALSE)</f>
        <v>聖なる夜に祝福を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【超級】聖なる夜に祝福を</v>
      </c>
      <c r="G9" s="21">
        <v>1</v>
      </c>
      <c r="H9" s="15" t="str">
        <f t="shared" ref="H9:H13" si="7">B9&amp;"_"&amp;C9&amp;"-"&amp;G9</f>
        <v>47004_2-1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1281</v>
      </c>
      <c r="M9" s="17" t="str">
        <f ca="1">VLOOKUP($L9,OFFSET([3]enemies!$A$1,0,0,COUNTA([3]enemies!$A:$A),MATCH(M$1,[3]enemies!$1:$1,0)-MATCH($L$1,[3]enemies!$1:$1,0)+1),MATCH(M$1,[3]enemies!$1:$1,0)-MATCH($L$1,[3]enemies!$1:$1,0)+1,FALSE)</f>
        <v>愛贈の白魔 ノエル・エスタブ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60</v>
      </c>
      <c r="S9" s="25">
        <v>0.8</v>
      </c>
      <c r="T9" s="103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80194.400000000009</v>
      </c>
      <c r="U9" s="25">
        <v>0.4</v>
      </c>
      <c r="V9" s="103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3466.4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4">
        <v>47004270</v>
      </c>
      <c r="Z9" s="6">
        <v>0</v>
      </c>
      <c r="AA9" s="115">
        <v>50</v>
      </c>
      <c r="AB9" s="6">
        <v>0</v>
      </c>
      <c r="AC9" s="108">
        <v>1</v>
      </c>
      <c r="AD9" s="24">
        <f t="shared" ref="AD9:AD13" si="8">L9</f>
        <v>1281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愛贈の白魔 ノエル・エスタブ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9" s="7">
        <v>1</v>
      </c>
      <c r="AI9" s="24">
        <f t="shared" ref="AI9:AI13" ca="1" si="9">AF9</f>
        <v>5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5"/>
        <v>47004_2-2/1284&lt;lv60&gt;s1</v>
      </c>
      <c r="B10" s="22">
        <v>47004</v>
      </c>
      <c r="C10" s="21">
        <v>2</v>
      </c>
      <c r="D10" s="2" t="str">
        <f t="shared" si="6"/>
        <v>47004_2</v>
      </c>
      <c r="E10" s="4" t="str">
        <f ca="1">VLOOKUP($B10,OFFSET([2]quests!$A$1,0,0,COUNTA([2]quests!$A:$A),MATCH(E$1,[2]quests!$1:$1,0)-MATCH($B$1,[2]quests!$1:$1,0)+1),MATCH(E$1,[2]quests!$1:$1,0)-MATCH($B$1,[2]quests!$1:$1,0)+1,FALSE)</f>
        <v>聖なる夜に祝福を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【超級】聖なる夜に祝福を</v>
      </c>
      <c r="G10" s="107">
        <v>2</v>
      </c>
      <c r="H10" s="15" t="str">
        <f t="shared" si="7"/>
        <v>47004_2-2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20">
        <v>1284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マシン・シュプール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60</v>
      </c>
      <c r="S10" s="25">
        <v>1.1000000000000001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166757.80000000002</v>
      </c>
      <c r="U10" s="25">
        <v>0.7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3915.7999999999997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4">
        <v>47004290</v>
      </c>
      <c r="Z10" s="6">
        <v>0</v>
      </c>
      <c r="AA10" s="6">
        <v>100</v>
      </c>
      <c r="AB10" s="6">
        <v>0</v>
      </c>
      <c r="AC10" s="108">
        <v>1</v>
      </c>
      <c r="AD10" s="24">
        <f t="shared" si="8"/>
        <v>1284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マシン・シュプール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7">
        <v>1</v>
      </c>
      <c r="AI10" s="24">
        <f t="shared" ca="1" si="9"/>
        <v>5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5"/>
        <v>47004_2-3/1275&lt;lv60&gt;s1</v>
      </c>
      <c r="B11" s="22">
        <v>47004</v>
      </c>
      <c r="C11" s="21">
        <v>2</v>
      </c>
      <c r="D11" s="2" t="str">
        <f t="shared" si="6"/>
        <v>47004_2</v>
      </c>
      <c r="E11" s="4" t="str">
        <f ca="1">VLOOKUP($B11,OFFSET([2]quests!$A$1,0,0,COUNTA([2]quests!$A:$A),MATCH(E$1,[2]quests!$1:$1,0)-MATCH($B$1,[2]quests!$1:$1,0)+1),MATCH(E$1,[2]quests!$1:$1,0)-MATCH($B$1,[2]quests!$1:$1,0)+1,FALSE)</f>
        <v>聖なる夜に祝福を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【超級】聖なる夜に祝福を</v>
      </c>
      <c r="G11" s="21">
        <v>3</v>
      </c>
      <c r="H11" s="15" t="str">
        <f t="shared" si="7"/>
        <v>47004_2-3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1275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聖進の贈炎 クリスマス・ベリアル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60</v>
      </c>
      <c r="S11" s="25">
        <v>1.6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160588.80000000002</v>
      </c>
      <c r="U11" s="25">
        <v>0.4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3717.2000000000003</v>
      </c>
      <c r="W11" s="5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4">
        <v>47004330</v>
      </c>
      <c r="Z11" s="6">
        <v>0</v>
      </c>
      <c r="AA11" s="115">
        <v>80</v>
      </c>
      <c r="AB11" s="6">
        <v>0</v>
      </c>
      <c r="AC11" s="108">
        <v>1</v>
      </c>
      <c r="AD11" s="24">
        <f t="shared" si="8"/>
        <v>1275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聖進の贈炎 クリスマス・ベリアル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6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1" s="7">
        <v>1</v>
      </c>
      <c r="AI11" s="24">
        <f t="shared" ca="1" si="9"/>
        <v>6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5"/>
        <v>47004_2-3/1276&lt;lv60&gt;s1</v>
      </c>
      <c r="B12" s="22">
        <v>47004</v>
      </c>
      <c r="C12" s="21">
        <v>2</v>
      </c>
      <c r="D12" s="2" t="str">
        <f t="shared" si="6"/>
        <v>47004_2</v>
      </c>
      <c r="E12" s="4" t="str">
        <f ca="1">VLOOKUP($B12,OFFSET([2]quests!$A$1,0,0,COUNTA([2]quests!$A:$A),MATCH(E$1,[2]quests!$1:$1,0)-MATCH($B$1,[2]quests!$1:$1,0)+1),MATCH(E$1,[2]quests!$1:$1,0)-MATCH($B$1,[2]quests!$1:$1,0)+1,FALSE)</f>
        <v>聖なる夜に祝福を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【超級】聖なる夜に祝福を</v>
      </c>
      <c r="G12" s="21">
        <v>3</v>
      </c>
      <c r="H12" s="15" t="str">
        <f t="shared" si="7"/>
        <v>47004_2-3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1276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聖宴の主彩 サンタクロース・オセ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god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60</v>
      </c>
      <c r="S12" s="25">
        <v>1.3</v>
      </c>
      <c r="T12" s="10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133087.5</v>
      </c>
      <c r="U12" s="25">
        <v>0.3</v>
      </c>
      <c r="V12" s="10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2678.4</v>
      </c>
      <c r="W12" s="5">
        <v>0</v>
      </c>
      <c r="X12" s="4" t="e">
        <f ca="1">VLOOKUP($Y12,OFFSET([5]enemy_skill_sets!$B$1,0,0,COUNTA([5]enemy_skill_sets!$B:$B),MATCH(M$1,[5]enemy_skill_sets!$1:$1,0)-MATCH($Y$1,[5]enemy_skill_sets!$1:$1,0)+2),MATCH(M$1,[5]enemy_skill_sets!$1:$1,0)-MATCH($Y$1,[5]enemy_skill_sets!$1:$1,0)+2,FALSE)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2" s="4">
        <v>47004360</v>
      </c>
      <c r="Z12" s="6">
        <v>0</v>
      </c>
      <c r="AA12" s="115">
        <v>20</v>
      </c>
      <c r="AB12" s="6">
        <v>0</v>
      </c>
      <c r="AC12" s="108">
        <v>1</v>
      </c>
      <c r="AD12" s="24">
        <f t="shared" si="8"/>
        <v>1276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聖宴の主彩 サンタクロース・オセ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6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2" s="7">
        <v>1</v>
      </c>
      <c r="AI12" s="24">
        <f t="shared" ca="1" si="9"/>
        <v>6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si="5"/>
        <v>47004_2-4/1284&lt;lv60&gt;s1</v>
      </c>
      <c r="B13" s="22">
        <v>47004</v>
      </c>
      <c r="C13" s="21">
        <v>2</v>
      </c>
      <c r="D13" s="2" t="str">
        <f t="shared" si="6"/>
        <v>47004_2</v>
      </c>
      <c r="E13" s="4" t="str">
        <f ca="1">VLOOKUP($B13,OFFSET([2]quests!$A$1,0,0,COUNTA([2]quests!$A:$A),MATCH(E$1,[2]quests!$1:$1,0)-MATCH($B$1,[2]quests!$1:$1,0)+1),MATCH(E$1,[2]quests!$1:$1,0)-MATCH($B$1,[2]quests!$1:$1,0)+1,FALSE)</f>
        <v>聖なる夜に祝福を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【超級】聖なる夜に祝福を</v>
      </c>
      <c r="G13" s="107">
        <v>4</v>
      </c>
      <c r="H13" s="15" t="str">
        <f t="shared" si="7"/>
        <v>47004_2-4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2</v>
      </c>
      <c r="L13" s="20">
        <v>1284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マシン・シュプール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60</v>
      </c>
      <c r="S13" s="25">
        <v>1</v>
      </c>
      <c r="T13" s="10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151598</v>
      </c>
      <c r="U13" s="25">
        <v>0.8</v>
      </c>
      <c r="V13" s="10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4475.2</v>
      </c>
      <c r="W13" s="5">
        <v>0</v>
      </c>
      <c r="X13" s="4" t="e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3" s="4">
        <v>47004400</v>
      </c>
      <c r="Z13" s="6">
        <v>0</v>
      </c>
      <c r="AA13" s="6">
        <v>100</v>
      </c>
      <c r="AB13" s="6">
        <v>1</v>
      </c>
      <c r="AC13" s="108">
        <v>1</v>
      </c>
      <c r="AD13" s="24">
        <f t="shared" si="8"/>
        <v>1284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マシン・シュプール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ca="1" si="9"/>
        <v>5</v>
      </c>
      <c r="AJ13" s="105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14" spans="1:42" ht="21" customHeight="1" x14ac:dyDescent="0.15">
      <c r="A14" s="16" t="str">
        <f>B14&amp;"_"&amp;C14&amp;"-"&amp;G14&amp;"/"&amp;L14&amp;"&lt;lv"&amp;R14&amp;"&gt;s"&amp;AC14</f>
        <v>47004_3-1/1280&lt;lv80&gt;s1</v>
      </c>
      <c r="B14" s="22">
        <v>47004</v>
      </c>
      <c r="C14" s="106">
        <v>3</v>
      </c>
      <c r="D14" s="2" t="str">
        <f>B14&amp;"_"&amp;C14</f>
        <v>47004_3</v>
      </c>
      <c r="E14" s="4" t="str">
        <f ca="1">VLOOKUP($B14,OFFSET([2]quests!$A$1,0,0,COUNTA([2]quests!$A:$A),MATCH(E$1,[2]quests!$1:$1,0)-MATCH($B$1,[2]quests!$1:$1,0)+1),MATCH(E$1,[2]quests!$1:$1,0)-MATCH($B$1,[2]quests!$1:$1,0)+1,FALSE)</f>
        <v>聖なる夜に祝福を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【超絶級】聖なる夜に祝福を</v>
      </c>
      <c r="G14" s="21">
        <v>1</v>
      </c>
      <c r="H14" s="15" t="str">
        <f>B14&amp;"_"&amp;C14&amp;"-"&amp;G14</f>
        <v>47004_3-1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1280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聖装の始祖帝 クリスマス卑弥呼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7">
        <f ca="1">VLOOKUP($L14,OFFSET([3]enemies!$A$1,0,0,COUNTA([3]enemies!$A:$A),MATCH(Q$1,[3]enemies!$1:$1,0)-MATCH($L$1,[3]enemies!$1:$1,0)+1),MATCH(Q$1,[3]enemies!$1:$1,0)-MATCH($L$1,[3]enemies!$1:$1,0)+1,FALSE)</f>
        <v>60</v>
      </c>
      <c r="R14" s="5">
        <v>80</v>
      </c>
      <c r="S14" s="124">
        <v>1.4</v>
      </c>
      <c r="T14" s="103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182331.8</v>
      </c>
      <c r="U14" s="124">
        <v>0.4</v>
      </c>
      <c r="V14" s="103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3454</v>
      </c>
      <c r="W14" s="5">
        <v>0</v>
      </c>
      <c r="X14" s="4" t="e">
        <f ca="1">VLOOKUP($Y14,OFFSET([5]enemy_skill_sets!$B$1,0,0,COUNTA([5]enemy_skill_sets!$B:$B),MATCH(M$1,[5]enemy_skill_sets!$1:$1,0)-MATCH($Y$1,[5]enemy_skill_sets!$1:$1,0)+2),MATCH(M$1,[5]enemy_skill_sets!$1:$1,0)-MATCH($Y$1,[5]enemy_skill_sets!$1:$1,0)+2,FALSE)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4" s="125">
        <v>47004500</v>
      </c>
      <c r="Z14" s="6">
        <v>0</v>
      </c>
      <c r="AA14" s="115">
        <v>50</v>
      </c>
      <c r="AB14" s="6">
        <v>0</v>
      </c>
      <c r="AC14" s="108">
        <v>1</v>
      </c>
      <c r="AD14" s="24">
        <f>L14</f>
        <v>1280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聖装の始祖帝 クリスマス卑弥呼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5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4" s="7">
        <v>1</v>
      </c>
      <c r="AI14" s="24">
        <f ca="1">AF14</f>
        <v>5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9">
        <v>1</v>
      </c>
    </row>
    <row r="15" spans="1:42" ht="21" customHeight="1" x14ac:dyDescent="0.15">
      <c r="A15" s="16" t="str">
        <f t="shared" ref="A15:A19" si="10">B15&amp;"_"&amp;C15&amp;"-"&amp;G15&amp;"/"&amp;L15&amp;"&lt;lv"&amp;R15&amp;"&gt;s"&amp;AC15</f>
        <v>47004_3-1/1281&lt;lv80&gt;s1</v>
      </c>
      <c r="B15" s="22">
        <v>47004</v>
      </c>
      <c r="C15" s="106">
        <v>3</v>
      </c>
      <c r="D15" s="2" t="str">
        <f t="shared" ref="D15:D19" si="11">B15&amp;"_"&amp;C15</f>
        <v>47004_3</v>
      </c>
      <c r="E15" s="4" t="str">
        <f ca="1">VLOOKUP($B15,OFFSET([2]quests!$A$1,0,0,COUNTA([2]quests!$A:$A),MATCH(E$1,[2]quests!$1:$1,0)-MATCH($B$1,[2]quests!$1:$1,0)+1),MATCH(E$1,[2]quests!$1:$1,0)-MATCH($B$1,[2]quests!$1:$1,0)+1,FALSE)</f>
        <v>聖なる夜に祝福を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【超絶級】聖なる夜に祝福を</v>
      </c>
      <c r="G15" s="21">
        <v>1</v>
      </c>
      <c r="H15" s="15" t="str">
        <f t="shared" ref="H15:H19" si="12">B15&amp;"_"&amp;C15&amp;"-"&amp;G15</f>
        <v>47004_3-1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1281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愛贈の白魔 ノエル・エスタブ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60</v>
      </c>
      <c r="R15" s="5">
        <v>80</v>
      </c>
      <c r="S15" s="124">
        <v>1</v>
      </c>
      <c r="T15" s="103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132842</v>
      </c>
      <c r="U15" s="124">
        <v>0.4</v>
      </c>
      <c r="V15" s="103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4593.6000000000004</v>
      </c>
      <c r="W15" s="5">
        <v>0</v>
      </c>
      <c r="X15" s="4" t="e">
        <f ca="1">VLOOKUP($Y15,OFFSET([5]enemy_skill_sets!$B$1,0,0,COUNTA([5]enemy_skill_sets!$B:$B),MATCH(M$1,[5]enemy_skill_sets!$1:$1,0)-MATCH($Y$1,[5]enemy_skill_sets!$1:$1,0)+2),MATCH(M$1,[5]enemy_skill_sets!$1:$1,0)-MATCH($Y$1,[5]enemy_skill_sets!$1:$1,0)+2,FALSE)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5" s="125">
        <v>47004520</v>
      </c>
      <c r="Z15" s="6">
        <v>0</v>
      </c>
      <c r="AA15" s="115">
        <v>50</v>
      </c>
      <c r="AB15" s="6">
        <v>0</v>
      </c>
      <c r="AC15" s="108">
        <v>1</v>
      </c>
      <c r="AD15" s="24">
        <f t="shared" ref="AD15:AD19" si="13">L15</f>
        <v>1281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愛贈の白魔 ノエル・エスタブ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5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5" s="7">
        <v>1</v>
      </c>
      <c r="AI15" s="24">
        <f t="shared" ref="AI15:AI19" ca="1" si="14">AF15</f>
        <v>5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  <row r="16" spans="1:42" ht="21" customHeight="1" x14ac:dyDescent="0.15">
      <c r="A16" s="16" t="str">
        <f t="shared" si="10"/>
        <v>47004_3-2/1284&lt;lv80&gt;s1</v>
      </c>
      <c r="B16" s="22">
        <v>47004</v>
      </c>
      <c r="C16" s="106">
        <v>3</v>
      </c>
      <c r="D16" s="2" t="str">
        <f t="shared" si="11"/>
        <v>47004_3</v>
      </c>
      <c r="E16" s="4" t="str">
        <f ca="1">VLOOKUP($B16,OFFSET([2]quests!$A$1,0,0,COUNTA([2]quests!$A:$A),MATCH(E$1,[2]quests!$1:$1,0)-MATCH($B$1,[2]quests!$1:$1,0)+1),MATCH(E$1,[2]quests!$1:$1,0)-MATCH($B$1,[2]quests!$1:$1,0)+1,FALSE)</f>
        <v>聖なる夜に祝福を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【超絶級】聖なる夜に祝福を</v>
      </c>
      <c r="G16" s="107">
        <v>2</v>
      </c>
      <c r="H16" s="15" t="str">
        <f t="shared" si="12"/>
        <v>47004_3-2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1</v>
      </c>
      <c r="L16" s="20">
        <v>1284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マシン・シュプール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DropWizS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60</v>
      </c>
      <c r="R16" s="5">
        <v>80</v>
      </c>
      <c r="S16" s="124">
        <v>1.4</v>
      </c>
      <c r="T16" s="103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281257.19999999995</v>
      </c>
      <c r="U16" s="124">
        <v>0.7</v>
      </c>
      <c r="V16" s="103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5189.7999999999993</v>
      </c>
      <c r="W16" s="5">
        <v>0</v>
      </c>
      <c r="X16" s="4" t="e">
        <f ca="1">VLOOKUP($Y16,OFFSET([5]enemy_skill_sets!$B$1,0,0,COUNTA([5]enemy_skill_sets!$B:$B),MATCH(M$1,[5]enemy_skill_sets!$1:$1,0)-MATCH($Y$1,[5]enemy_skill_sets!$1:$1,0)+2),MATCH(M$1,[5]enemy_skill_sets!$1:$1,0)-MATCH($Y$1,[5]enemy_skill_sets!$1:$1,0)+2,FALSE)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6" s="125">
        <v>47004540</v>
      </c>
      <c r="Z16" s="6">
        <v>0</v>
      </c>
      <c r="AA16" s="6">
        <v>100</v>
      </c>
      <c r="AB16" s="6">
        <v>0</v>
      </c>
      <c r="AC16" s="108">
        <v>1</v>
      </c>
      <c r="AD16" s="24">
        <f t="shared" si="13"/>
        <v>1284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マシン・シュプール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5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6" s="7">
        <v>1</v>
      </c>
      <c r="AI16" s="24">
        <f t="shared" ca="1" si="14"/>
        <v>5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9">
        <v>1</v>
      </c>
    </row>
    <row r="17" spans="1:42" ht="21" customHeight="1" x14ac:dyDescent="0.15">
      <c r="A17" s="16" t="str">
        <f t="shared" si="10"/>
        <v>47004_3-3/1275&lt;lv80&gt;s1</v>
      </c>
      <c r="B17" s="22">
        <v>47004</v>
      </c>
      <c r="C17" s="106">
        <v>3</v>
      </c>
      <c r="D17" s="2" t="str">
        <f t="shared" si="11"/>
        <v>47004_3</v>
      </c>
      <c r="E17" s="4" t="str">
        <f ca="1">VLOOKUP($B17,OFFSET([2]quests!$A$1,0,0,COUNTA([2]quests!$A:$A),MATCH(E$1,[2]quests!$1:$1,0)-MATCH($B$1,[2]quests!$1:$1,0)+1),MATCH(E$1,[2]quests!$1:$1,0)-MATCH($B$1,[2]quests!$1:$1,0)+1,FALSE)</f>
        <v>聖なる夜に祝福を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【超絶級】聖なる夜に祝福を</v>
      </c>
      <c r="G17" s="21">
        <v>3</v>
      </c>
      <c r="H17" s="15" t="str">
        <f t="shared" si="12"/>
        <v>47004_3-3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1275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聖進の贈炎 クリスマス・ベリアル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god</v>
      </c>
      <c r="Q17" s="17">
        <f ca="1">VLOOKUP($L17,OFFSET([3]enemies!$A$1,0,0,COUNTA([3]enemies!$A:$A),MATCH(Q$1,[3]enemies!$1:$1,0)-MATCH($L$1,[3]enemies!$1:$1,0)+1),MATCH(Q$1,[3]enemies!$1:$1,0)-MATCH($L$1,[3]enemies!$1:$1,0)+1,FALSE)</f>
        <v>60</v>
      </c>
      <c r="R17" s="5">
        <v>80</v>
      </c>
      <c r="S17" s="124">
        <v>1.8</v>
      </c>
      <c r="T17" s="103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239414.39999999999</v>
      </c>
      <c r="U17" s="124">
        <v>0.4</v>
      </c>
      <c r="V17" s="103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4926</v>
      </c>
      <c r="W17" s="5">
        <v>0</v>
      </c>
      <c r="X17" s="4" t="e">
        <f ca="1">VLOOKUP($Y17,OFFSET([5]enemy_skill_sets!$B$1,0,0,COUNTA([5]enemy_skill_sets!$B:$B),MATCH(M$1,[5]enemy_skill_sets!$1:$1,0)-MATCH($Y$1,[5]enemy_skill_sets!$1:$1,0)+2),MATCH(M$1,[5]enemy_skill_sets!$1:$1,0)-MATCH($Y$1,[5]enemy_skill_sets!$1:$1,0)+2,FALSE)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7" s="125">
        <v>47004580</v>
      </c>
      <c r="Z17" s="6">
        <v>0</v>
      </c>
      <c r="AA17" s="115">
        <v>80</v>
      </c>
      <c r="AB17" s="6">
        <v>0</v>
      </c>
      <c r="AC17" s="108">
        <v>1</v>
      </c>
      <c r="AD17" s="24">
        <f t="shared" si="13"/>
        <v>1275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聖進の贈炎 クリスマス・ベリアル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6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7" s="7">
        <v>1</v>
      </c>
      <c r="AI17" s="24">
        <f t="shared" ca="1" si="14"/>
        <v>6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9">
        <v>1</v>
      </c>
    </row>
    <row r="18" spans="1:42" ht="21" customHeight="1" x14ac:dyDescent="0.15">
      <c r="A18" s="16" t="str">
        <f t="shared" si="10"/>
        <v>47004_3-3/1276&lt;lv80&gt;s1</v>
      </c>
      <c r="B18" s="22">
        <v>47004</v>
      </c>
      <c r="C18" s="106">
        <v>3</v>
      </c>
      <c r="D18" s="2" t="str">
        <f t="shared" si="11"/>
        <v>47004_3</v>
      </c>
      <c r="E18" s="4" t="str">
        <f ca="1">VLOOKUP($B18,OFFSET([2]quests!$A$1,0,0,COUNTA([2]quests!$A:$A),MATCH(E$1,[2]quests!$1:$1,0)-MATCH($B$1,[2]quests!$1:$1,0)+1),MATCH(E$1,[2]quests!$1:$1,0)-MATCH($B$1,[2]quests!$1:$1,0)+1,FALSE)</f>
        <v>聖なる夜に祝福を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【超絶級】聖なる夜に祝福を</v>
      </c>
      <c r="G18" s="21">
        <v>3</v>
      </c>
      <c r="H18" s="15" t="str">
        <f t="shared" si="12"/>
        <v>47004_3-3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1276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聖宴の主彩 サンタクロース・オセ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god</v>
      </c>
      <c r="Q18" s="17">
        <f ca="1">VLOOKUP($L18,OFFSET([3]enemies!$A$1,0,0,COUNTA([3]enemies!$A:$A),MATCH(Q$1,[3]enemies!$1:$1,0)-MATCH($L$1,[3]enemies!$1:$1,0)+1),MATCH(Q$1,[3]enemies!$1:$1,0)-MATCH($L$1,[3]enemies!$1:$1,0)+1,FALSE)</f>
        <v>60</v>
      </c>
      <c r="R18" s="5">
        <v>80</v>
      </c>
      <c r="S18" s="124">
        <v>1.5</v>
      </c>
      <c r="T18" s="103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203502</v>
      </c>
      <c r="U18" s="124">
        <v>0.3</v>
      </c>
      <c r="V18" s="103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3549.6</v>
      </c>
      <c r="W18" s="5">
        <v>0</v>
      </c>
      <c r="X18" s="4" t="e">
        <f ca="1">VLOOKUP($Y18,OFFSET([5]enemy_skill_sets!$B$1,0,0,COUNTA([5]enemy_skill_sets!$B:$B),MATCH(M$1,[5]enemy_skill_sets!$1:$1,0)-MATCH($Y$1,[5]enemy_skill_sets!$1:$1,0)+2),MATCH(M$1,[5]enemy_skill_sets!$1:$1,0)-MATCH($Y$1,[5]enemy_skill_sets!$1:$1,0)+2,FALSE)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8" s="125">
        <v>47004610</v>
      </c>
      <c r="Z18" s="6">
        <v>0</v>
      </c>
      <c r="AA18" s="115">
        <v>20</v>
      </c>
      <c r="AB18" s="6">
        <v>0</v>
      </c>
      <c r="AC18" s="108">
        <v>1</v>
      </c>
      <c r="AD18" s="24">
        <f t="shared" si="13"/>
        <v>1276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聖宴の主彩 サンタクロース・オセ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6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8" s="7">
        <v>1</v>
      </c>
      <c r="AI18" s="24">
        <f t="shared" ca="1" si="14"/>
        <v>6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9">
        <v>1</v>
      </c>
    </row>
    <row r="19" spans="1:42" ht="21" customHeight="1" x14ac:dyDescent="0.15">
      <c r="A19" s="16" t="str">
        <f t="shared" si="10"/>
        <v>47004_3-4/1284&lt;lv80&gt;s1</v>
      </c>
      <c r="B19" s="22">
        <v>47004</v>
      </c>
      <c r="C19" s="106">
        <v>3</v>
      </c>
      <c r="D19" s="2" t="str">
        <f t="shared" si="11"/>
        <v>47004_3</v>
      </c>
      <c r="E19" s="4" t="str">
        <f ca="1">VLOOKUP($B19,OFFSET([2]quests!$A$1,0,0,COUNTA([2]quests!$A:$A),MATCH(E$1,[2]quests!$1:$1,0)-MATCH($B$1,[2]quests!$1:$1,0)+1),MATCH(E$1,[2]quests!$1:$1,0)-MATCH($B$1,[2]quests!$1:$1,0)+1,FALSE)</f>
        <v>聖なる夜に祝福を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【超絶級】聖なる夜に祝福を</v>
      </c>
      <c r="G19" s="107">
        <v>4</v>
      </c>
      <c r="H19" s="15" t="str">
        <f t="shared" si="12"/>
        <v>47004_3-4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2</v>
      </c>
      <c r="L19" s="20">
        <v>1284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マシン・シュプール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DropWizS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7">
        <f ca="1">VLOOKUP($L19,OFFSET([3]enemies!$A$1,0,0,COUNTA([3]enemies!$A:$A),MATCH(Q$1,[3]enemies!$1:$1,0)-MATCH($L$1,[3]enemies!$1:$1,0)+1),MATCH(Q$1,[3]enemies!$1:$1,0)-MATCH($L$1,[3]enemies!$1:$1,0)+1,FALSE)</f>
        <v>60</v>
      </c>
      <c r="R19" s="5">
        <v>80</v>
      </c>
      <c r="S19" s="124">
        <v>1.7</v>
      </c>
      <c r="T19" s="103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341526.6</v>
      </c>
      <c r="U19" s="124">
        <v>0.8</v>
      </c>
      <c r="V19" s="103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5931.2000000000007</v>
      </c>
      <c r="W19" s="5">
        <v>0</v>
      </c>
      <c r="X19" s="4" t="e">
        <f ca="1">VLOOKUP($Y19,OFFSET([5]enemy_skill_sets!$B$1,0,0,COUNTA([5]enemy_skill_sets!$B:$B),MATCH(M$1,[5]enemy_skill_sets!$1:$1,0)-MATCH($Y$1,[5]enemy_skill_sets!$1:$1,0)+2),MATCH(M$1,[5]enemy_skill_sets!$1:$1,0)-MATCH($Y$1,[5]enemy_skill_sets!$1:$1,0)+2,FALSE)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9" s="125">
        <v>47004650</v>
      </c>
      <c r="Z19" s="6">
        <v>0</v>
      </c>
      <c r="AA19" s="6">
        <v>100</v>
      </c>
      <c r="AB19" s="6">
        <v>1</v>
      </c>
      <c r="AC19" s="108">
        <v>1</v>
      </c>
      <c r="AD19" s="24">
        <f t="shared" si="13"/>
        <v>1284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マシン・シュプール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5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9" s="7">
        <v>1</v>
      </c>
      <c r="AI19" s="130">
        <f t="shared" ca="1" si="14"/>
        <v>5</v>
      </c>
      <c r="AJ19" s="105">
        <v>35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9">
        <v>1</v>
      </c>
    </row>
    <row r="20" spans="1:42" ht="21" customHeight="1" x14ac:dyDescent="0.15">
      <c r="A20" s="16" t="str">
        <f>B20&amp;"_"&amp;C20&amp;"-"&amp;G20&amp;"/"&amp;L20&amp;"&lt;lv"&amp;R20&amp;"&gt;s"&amp;AC20</f>
        <v>47004_4-1/1280&lt;lv80&gt;s1</v>
      </c>
      <c r="B20" s="22">
        <v>47004</v>
      </c>
      <c r="C20" s="21">
        <v>4</v>
      </c>
      <c r="D20" s="2" t="str">
        <f>B20&amp;"_"&amp;C20</f>
        <v>47004_4</v>
      </c>
      <c r="E20" s="4" t="str">
        <f ca="1">VLOOKUP($B20,OFFSET([2]quests!$A$1,0,0,COUNTA([2]quests!$A:$A),MATCH(E$1,[2]quests!$1:$1,0)-MATCH($B$1,[2]quests!$1:$1,0)+1),MATCH(E$1,[2]quests!$1:$1,0)-MATCH($B$1,[2]quests!$1:$1,0)+1,FALSE)</f>
        <v>聖なる夜に祝福を</v>
      </c>
      <c r="F20" s="4" t="str">
        <f ca="1">VLOOKUP($D20,OFFSET([2]stages!$A$1,0,0,COUNTA([2]stages!$A:$A),MATCH(F$1,[2]stages!$2:$2,0)-MATCH($D$1,[2]stages!$2:$2,0)+1),MATCH(F$1,[2]stages!$2:$2,0)-MATCH($D$1,[2]stages!$2:$2,0)+1,FALSE)</f>
        <v>【ウィザード級】聖なる夜に祝福を</v>
      </c>
      <c r="G20" s="21">
        <v>1</v>
      </c>
      <c r="H20" s="15" t="str">
        <f>B20&amp;"_"&amp;C20&amp;"-"&amp;G20</f>
        <v>47004_4-1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 t="s">
        <v>53</v>
      </c>
      <c r="L20" s="20">
        <v>1280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聖装の始祖帝 クリスマス卑弥呼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PremiumS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human</v>
      </c>
      <c r="Q20" s="17">
        <f ca="1">VLOOKUP($L20,OFFSET([3]enemies!$A$1,0,0,COUNTA([3]enemies!$A:$A),MATCH(Q$1,[3]enemies!$1:$1,0)-MATCH($L$1,[3]enemies!$1:$1,0)+1),MATCH(Q$1,[3]enemies!$1:$1,0)-MATCH($L$1,[3]enemies!$1:$1,0)+1,FALSE)</f>
        <v>60</v>
      </c>
      <c r="R20" s="5">
        <v>80</v>
      </c>
      <c r="S20" s="25">
        <v>2</v>
      </c>
      <c r="T20" s="103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260474</v>
      </c>
      <c r="U20" s="25">
        <v>0.5</v>
      </c>
      <c r="V20" s="103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4317.5</v>
      </c>
      <c r="W20" s="5">
        <v>0</v>
      </c>
      <c r="X20" s="4" t="e">
        <f ca="1">VLOOKUP($Y20,OFFSET([5]enemy_skill_sets!$B$1,0,0,COUNTA([5]enemy_skill_sets!$B:$B),MATCH(M$1,[5]enemy_skill_sets!$1:$1,0)-MATCH($Y$1,[5]enemy_skill_sets!$1:$1,0)+2),MATCH(M$1,[5]enemy_skill_sets!$1:$1,0)-MATCH($Y$1,[5]enemy_skill_sets!$1:$1,0)+2,FALSE)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0" s="4">
        <v>47004750</v>
      </c>
      <c r="Z20" s="6">
        <v>0</v>
      </c>
      <c r="AA20" s="115">
        <v>50</v>
      </c>
      <c r="AB20" s="6">
        <v>0</v>
      </c>
      <c r="AC20" s="108">
        <v>1</v>
      </c>
      <c r="AD20" s="24">
        <f>L20</f>
        <v>1280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聖装の始祖帝 クリスマス卑弥呼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5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0" s="7">
        <v>1</v>
      </c>
      <c r="AI20" s="24">
        <f ca="1">AF20</f>
        <v>5</v>
      </c>
      <c r="AJ20" s="8">
        <v>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69">
        <v>1</v>
      </c>
    </row>
    <row r="21" spans="1:42" ht="21" customHeight="1" x14ac:dyDescent="0.15">
      <c r="A21" s="16" t="str">
        <f t="shared" ref="A21:A25" si="15">B21&amp;"_"&amp;C21&amp;"-"&amp;G21&amp;"/"&amp;L21&amp;"&lt;lv"&amp;R21&amp;"&gt;s"&amp;AC21</f>
        <v>47004_4-1/1281&lt;lv80&gt;s1</v>
      </c>
      <c r="B21" s="22">
        <v>47004</v>
      </c>
      <c r="C21" s="21">
        <v>4</v>
      </c>
      <c r="D21" s="2" t="str">
        <f t="shared" ref="D21:D25" si="16">B21&amp;"_"&amp;C21</f>
        <v>47004_4</v>
      </c>
      <c r="E21" s="4" t="str">
        <f ca="1">VLOOKUP($B21,OFFSET([2]quests!$A$1,0,0,COUNTA([2]quests!$A:$A),MATCH(E$1,[2]quests!$1:$1,0)-MATCH($B$1,[2]quests!$1:$1,0)+1),MATCH(E$1,[2]quests!$1:$1,0)-MATCH($B$1,[2]quests!$1:$1,0)+1,FALSE)</f>
        <v>聖なる夜に祝福を</v>
      </c>
      <c r="F21" s="4" t="str">
        <f ca="1">VLOOKUP($D21,OFFSET([2]stages!$A$1,0,0,COUNTA([2]stages!$A:$A),MATCH(F$1,[2]stages!$2:$2,0)-MATCH($D$1,[2]stages!$2:$2,0)+1),MATCH(F$1,[2]stages!$2:$2,0)-MATCH($D$1,[2]stages!$2:$2,0)+1,FALSE)</f>
        <v>【ウィザード級】聖なる夜に祝福を</v>
      </c>
      <c r="G21" s="21">
        <v>1</v>
      </c>
      <c r="H21" s="15" t="str">
        <f t="shared" ref="H21:H25" si="17">B21&amp;"_"&amp;C21&amp;"-"&amp;G21</f>
        <v>47004_4-1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 t="s">
        <v>53</v>
      </c>
      <c r="L21" s="20">
        <v>1281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愛贈の白魔 ノエル・エスタブ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PremiumS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17">
        <f ca="1">VLOOKUP($L21,OFFSET([3]enemies!$A$1,0,0,COUNTA([3]enemies!$A:$A),MATCH(Q$1,[3]enemies!$1:$1,0)-MATCH($L$1,[3]enemies!$1:$1,0)+1),MATCH(Q$1,[3]enemies!$1:$1,0)-MATCH($L$1,[3]enemies!$1:$1,0)+1,FALSE)</f>
        <v>60</v>
      </c>
      <c r="R21" s="5">
        <v>80</v>
      </c>
      <c r="S21" s="25">
        <v>1.5</v>
      </c>
      <c r="T21" s="103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199263</v>
      </c>
      <c r="U21" s="25">
        <v>0.6</v>
      </c>
      <c r="V21" s="103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6890.4</v>
      </c>
      <c r="W21" s="5">
        <v>0</v>
      </c>
      <c r="X21" s="4" t="e">
        <f ca="1">VLOOKUP($Y21,OFFSET([5]enemy_skill_sets!$B$1,0,0,COUNTA([5]enemy_skill_sets!$B:$B),MATCH(M$1,[5]enemy_skill_sets!$1:$1,0)-MATCH($Y$1,[5]enemy_skill_sets!$1:$1,0)+2),MATCH(M$1,[5]enemy_skill_sets!$1:$1,0)-MATCH($Y$1,[5]enemy_skill_sets!$1:$1,0)+2,FALSE)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1" s="4">
        <v>47004770</v>
      </c>
      <c r="Z21" s="6">
        <v>0</v>
      </c>
      <c r="AA21" s="115">
        <v>50</v>
      </c>
      <c r="AB21" s="6">
        <v>0</v>
      </c>
      <c r="AC21" s="108">
        <v>1</v>
      </c>
      <c r="AD21" s="24">
        <f t="shared" ref="AD21:AD25" si="18">L21</f>
        <v>1281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愛贈の白魔 ノエル・エスタブ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5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1" s="7">
        <v>1</v>
      </c>
      <c r="AI21" s="24">
        <f t="shared" ref="AI21:AI25" ca="1" si="19">AF21</f>
        <v>5</v>
      </c>
      <c r="AJ21" s="8">
        <v>0</v>
      </c>
      <c r="AK21" s="7">
        <v>0</v>
      </c>
      <c r="AL21" s="7">
        <v>0</v>
      </c>
      <c r="AM21" s="7">
        <v>0</v>
      </c>
      <c r="AN21" s="7">
        <v>0</v>
      </c>
      <c r="AO21" s="7">
        <v>1</v>
      </c>
      <c r="AP21" s="69">
        <v>1</v>
      </c>
    </row>
    <row r="22" spans="1:42" ht="21" customHeight="1" x14ac:dyDescent="0.15">
      <c r="A22" s="16" t="str">
        <f t="shared" si="15"/>
        <v>47004_4-2/1284&lt;lv80&gt;s1</v>
      </c>
      <c r="B22" s="22">
        <v>47004</v>
      </c>
      <c r="C22" s="21">
        <v>4</v>
      </c>
      <c r="D22" s="2" t="str">
        <f t="shared" si="16"/>
        <v>47004_4</v>
      </c>
      <c r="E22" s="4" t="str">
        <f ca="1">VLOOKUP($B22,OFFSET([2]quests!$A$1,0,0,COUNTA([2]quests!$A:$A),MATCH(E$1,[2]quests!$1:$1,0)-MATCH($B$1,[2]quests!$1:$1,0)+1),MATCH(E$1,[2]quests!$1:$1,0)-MATCH($B$1,[2]quests!$1:$1,0)+1,FALSE)</f>
        <v>聖なる夜に祝福を</v>
      </c>
      <c r="F22" s="4" t="str">
        <f ca="1">VLOOKUP($D22,OFFSET([2]stages!$A$1,0,0,COUNTA([2]stages!$A:$A),MATCH(F$1,[2]stages!$2:$2,0)-MATCH($D$1,[2]stages!$2:$2,0)+1),MATCH(F$1,[2]stages!$2:$2,0)-MATCH($D$1,[2]stages!$2:$2,0)+1,FALSE)</f>
        <v>【ウィザード級】聖なる夜に祝福を</v>
      </c>
      <c r="G22" s="107">
        <v>2</v>
      </c>
      <c r="H22" s="15" t="str">
        <f t="shared" si="17"/>
        <v>47004_4-2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>
        <v>1</v>
      </c>
      <c r="L22" s="20">
        <v>1284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マシン・シュプール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blue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DropWizS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7">
        <f ca="1">VLOOKUP($L22,OFFSET([3]enemies!$A$1,0,0,COUNTA([3]enemies!$A:$A),MATCH(Q$1,[3]enemies!$1:$1,0)-MATCH($L$1,[3]enemies!$1:$1,0)+1),MATCH(Q$1,[3]enemies!$1:$1,0)-MATCH($L$1,[3]enemies!$1:$1,0)+1,FALSE)</f>
        <v>60</v>
      </c>
      <c r="R22" s="5">
        <v>80</v>
      </c>
      <c r="S22" s="25">
        <v>3</v>
      </c>
      <c r="T22" s="103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602694</v>
      </c>
      <c r="U22" s="25">
        <v>1</v>
      </c>
      <c r="V22" s="103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7414</v>
      </c>
      <c r="W22" s="5">
        <v>0</v>
      </c>
      <c r="X22" s="4" t="e">
        <f ca="1">VLOOKUP($Y22,OFFSET([5]enemy_skill_sets!$B$1,0,0,COUNTA([5]enemy_skill_sets!$B:$B),MATCH(M$1,[5]enemy_skill_sets!$1:$1,0)-MATCH($Y$1,[5]enemy_skill_sets!$1:$1,0)+2),MATCH(M$1,[5]enemy_skill_sets!$1:$1,0)-MATCH($Y$1,[5]enemy_skill_sets!$1:$1,0)+2,FALSE)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2" s="4">
        <v>47004790</v>
      </c>
      <c r="Z22" s="6">
        <v>0</v>
      </c>
      <c r="AA22" s="6">
        <v>100</v>
      </c>
      <c r="AB22" s="6">
        <v>0</v>
      </c>
      <c r="AC22" s="108">
        <v>1</v>
      </c>
      <c r="AD22" s="24">
        <f t="shared" si="18"/>
        <v>1284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マシン・シュプール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5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2" s="7">
        <v>1</v>
      </c>
      <c r="AI22" s="24">
        <f t="shared" ca="1" si="19"/>
        <v>5</v>
      </c>
      <c r="AJ22" s="8">
        <v>0</v>
      </c>
      <c r="AK22" s="7">
        <v>0</v>
      </c>
      <c r="AL22" s="7">
        <v>0</v>
      </c>
      <c r="AM22" s="7">
        <v>0</v>
      </c>
      <c r="AN22" s="7">
        <v>0</v>
      </c>
      <c r="AO22" s="7">
        <v>1</v>
      </c>
      <c r="AP22" s="69">
        <v>1</v>
      </c>
    </row>
    <row r="23" spans="1:42" ht="21" customHeight="1" x14ac:dyDescent="0.15">
      <c r="A23" s="16" t="str">
        <f t="shared" si="15"/>
        <v>47004_4-3/1275&lt;lv80&gt;s1</v>
      </c>
      <c r="B23" s="22">
        <v>47004</v>
      </c>
      <c r="C23" s="21">
        <v>4</v>
      </c>
      <c r="D23" s="2" t="str">
        <f t="shared" si="16"/>
        <v>47004_4</v>
      </c>
      <c r="E23" s="4" t="str">
        <f ca="1">VLOOKUP($B23,OFFSET([2]quests!$A$1,0,0,COUNTA([2]quests!$A:$A),MATCH(E$1,[2]quests!$1:$1,0)-MATCH($B$1,[2]quests!$1:$1,0)+1),MATCH(E$1,[2]quests!$1:$1,0)-MATCH($B$1,[2]quests!$1:$1,0)+1,FALSE)</f>
        <v>聖なる夜に祝福を</v>
      </c>
      <c r="F23" s="4" t="str">
        <f ca="1">VLOOKUP($D23,OFFSET([2]stages!$A$1,0,0,COUNTA([2]stages!$A:$A),MATCH(F$1,[2]stages!$2:$2,0)-MATCH($D$1,[2]stages!$2:$2,0)+1),MATCH(F$1,[2]stages!$2:$2,0)-MATCH($D$1,[2]stages!$2:$2,0)+1,FALSE)</f>
        <v>【ウィザード級】聖なる夜に祝福を</v>
      </c>
      <c r="G23" s="21">
        <v>3</v>
      </c>
      <c r="H23" s="15" t="str">
        <f t="shared" si="17"/>
        <v>47004_4-3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8" t="s">
        <v>53</v>
      </c>
      <c r="L23" s="20">
        <v>1275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聖進の贈炎 クリスマス・ベリアル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red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PremiumS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god</v>
      </c>
      <c r="Q23" s="17">
        <f ca="1">VLOOKUP($L23,OFFSET([3]enemies!$A$1,0,0,COUNTA([3]enemies!$A:$A),MATCH(Q$1,[3]enemies!$1:$1,0)-MATCH($L$1,[3]enemies!$1:$1,0)+1),MATCH(Q$1,[3]enemies!$1:$1,0)-MATCH($L$1,[3]enemies!$1:$1,0)+1,FALSE)</f>
        <v>60</v>
      </c>
      <c r="R23" s="5">
        <v>80</v>
      </c>
      <c r="S23" s="25">
        <v>2.7</v>
      </c>
      <c r="T23" s="103">
        <f ca="1">ROUND(VLOOKUP(R23,[3]enemy_base_stats!$A:$F,2,FALSE)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INDIRECT("[EnemyMasterData.xlsm]enemies!AD"&amp;(L23+1))*[4]ステータス!$B$2,0)*S23</f>
        <v>359121.60000000003</v>
      </c>
      <c r="U23" s="25">
        <v>0.6</v>
      </c>
      <c r="V23" s="103">
        <f ca="1">ROUND(VLOOKUP(R23,[3]enemy_base_stats!$A:$F,3,FALSE)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INDIRECT("[EnemyMasterData.xlsm]enemies!AE"&amp;(L23+1))*[4]ステータス!$C$2,0)*U23</f>
        <v>7389</v>
      </c>
      <c r="W23" s="5">
        <v>0</v>
      </c>
      <c r="X23" s="4" t="e">
        <f ca="1">VLOOKUP($Y23,OFFSET([5]enemy_skill_sets!$B$1,0,0,COUNTA([5]enemy_skill_sets!$B:$B),MATCH(M$1,[5]enemy_skill_sets!$1:$1,0)-MATCH($Y$1,[5]enemy_skill_sets!$1:$1,0)+2),MATCH(M$1,[5]enemy_skill_sets!$1:$1,0)-MATCH($Y$1,[5]enemy_skill_sets!$1:$1,0)+2,FALSE)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3" s="4">
        <v>47004830</v>
      </c>
      <c r="Z23" s="6">
        <v>0</v>
      </c>
      <c r="AA23" s="115">
        <v>80</v>
      </c>
      <c r="AB23" s="6">
        <v>0</v>
      </c>
      <c r="AC23" s="108">
        <v>1</v>
      </c>
      <c r="AD23" s="24">
        <f t="shared" si="18"/>
        <v>1275</v>
      </c>
      <c r="AE23" s="4" t="str">
        <f ca="1">VLOOKUP($AD23,OFFSET([4]characters!$A$1,0,0,COUNTA([4]characters!$A:$A),MATCH(AE$1,[4]characters!$1:$1,0)-MATCH("character_id",[4]characters!$1:$1,0)+1),MATCH(AE$1,[4]characters!$1:$1,0)-MATCH("character_id",[4]characters!$1:$1,0)+1,FALSE)</f>
        <v>聖進の贈炎 クリスマス・ベリアル</v>
      </c>
      <c r="AF23" s="4">
        <f ca="1">VLOOKUP($AD23,OFFSET([4]characters!$A$1,0,0,COUNTA([4]characters!$A:$A),MATCH(AF$1,[4]characters!$1:$1,0)-MATCH("character_id",[4]characters!$1:$1,0)+1),MATCH(AF$1,[4]characters!$1:$1,0)-MATCH("character_id",[4]characters!$1:$1,0)+1,FALSE)</f>
        <v>6</v>
      </c>
      <c r="AG23" s="4" t="str">
        <f ca="1">VLOOKUP($AD23,OFFSET([4]characters!$A$1,0,0,COUNTA([4]characters!$A:$A),MATCH(AG$1,[4]characters!$1:$1,0)-MATCH("character_id",[4]characters!$1:$1,0)+1),MATCH(AG$1,[4]characters!$1:$1,0)-MATCH("character_id",[4]characters!$1:$1,0)+1,FALSE)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3" s="7">
        <v>1</v>
      </c>
      <c r="AI23" s="24">
        <f t="shared" ca="1" si="19"/>
        <v>6</v>
      </c>
      <c r="AJ23" s="8">
        <v>0</v>
      </c>
      <c r="AK23" s="7">
        <v>0</v>
      </c>
      <c r="AL23" s="7">
        <v>0</v>
      </c>
      <c r="AM23" s="7">
        <v>0</v>
      </c>
      <c r="AN23" s="7">
        <v>0</v>
      </c>
      <c r="AO23" s="7">
        <v>1</v>
      </c>
      <c r="AP23" s="69">
        <v>1</v>
      </c>
    </row>
    <row r="24" spans="1:42" ht="21" customHeight="1" x14ac:dyDescent="0.15">
      <c r="A24" s="16" t="str">
        <f t="shared" si="15"/>
        <v>47004_4-3/1276&lt;lv80&gt;s1</v>
      </c>
      <c r="B24" s="22">
        <v>47004</v>
      </c>
      <c r="C24" s="21">
        <v>4</v>
      </c>
      <c r="D24" s="2" t="str">
        <f t="shared" si="16"/>
        <v>47004_4</v>
      </c>
      <c r="E24" s="4" t="str">
        <f ca="1">VLOOKUP($B24,OFFSET([2]quests!$A$1,0,0,COUNTA([2]quests!$A:$A),MATCH(E$1,[2]quests!$1:$1,0)-MATCH($B$1,[2]quests!$1:$1,0)+1),MATCH(E$1,[2]quests!$1:$1,0)-MATCH($B$1,[2]quests!$1:$1,0)+1,FALSE)</f>
        <v>聖なる夜に祝福を</v>
      </c>
      <c r="F24" s="4" t="str">
        <f ca="1">VLOOKUP($D24,OFFSET([2]stages!$A$1,0,0,COUNTA([2]stages!$A:$A),MATCH(F$1,[2]stages!$2:$2,0)-MATCH($D$1,[2]stages!$2:$2,0)+1),MATCH(F$1,[2]stages!$2:$2,0)-MATCH($D$1,[2]stages!$2:$2,0)+1,FALSE)</f>
        <v>【ウィザード級】聖なる夜に祝福を</v>
      </c>
      <c r="G24" s="21">
        <v>3</v>
      </c>
      <c r="H24" s="15" t="str">
        <f t="shared" si="17"/>
        <v>47004_4-3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8" t="s">
        <v>53</v>
      </c>
      <c r="L24" s="20">
        <v>1276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聖宴の主彩 サンタクロース・オセ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green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PremiumS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god</v>
      </c>
      <c r="Q24" s="17">
        <f ca="1">VLOOKUP($L24,OFFSET([3]enemies!$A$1,0,0,COUNTA([3]enemies!$A:$A),MATCH(Q$1,[3]enemies!$1:$1,0)-MATCH($L$1,[3]enemies!$1:$1,0)+1),MATCH(Q$1,[3]enemies!$1:$1,0)-MATCH($L$1,[3]enemies!$1:$1,0)+1,FALSE)</f>
        <v>60</v>
      </c>
      <c r="R24" s="5">
        <v>80</v>
      </c>
      <c r="S24" s="25">
        <v>2.1</v>
      </c>
      <c r="T24" s="103">
        <f ca="1">ROUND(VLOOKUP(R24,[3]enemy_base_stats!$A:$F,2,FALSE) *INDIRECT("[EnemyMasterData.xlsm]enemies!Y"&amp;(L24+1))*  INDIRECT("[EnemyMasterData.xlsm]enemies!J"&amp;(L24+1))* INDIRECT("[EnemyMasterData.xlsm]enemies!O"&amp;(L24+1))* INDIRECT("[EnemyMasterData.xlsm]enemies!E"&amp;(L24+1))* INDIRECT("[EnemyMasterData.xlsm]enemies!S"&amp;(L24+1))* INDIRECT("[EnemyMasterData.xlsm]enemies!AD"&amp;(L24+1))*[4]ステータス!$B$2,0)*S24</f>
        <v>284902.8</v>
      </c>
      <c r="U24" s="25">
        <v>0.5</v>
      </c>
      <c r="V24" s="103">
        <f ca="1">ROUND(VLOOKUP(R24,[3]enemy_base_stats!$A:$F,3,FALSE) *INDIRECT("[EnemyMasterData.xlsm]enemies!Z"&amp;(L24+1))*  INDIRECT("[EnemyMasterData.xlsm]enemies!K"&amp;(L24+1))* INDIRECT("[EnemyMasterData.xlsm]enemies!P"&amp;(L24+1))* INDIRECT("[EnemyMasterData.xlsm]enemies!F"&amp;(L24+1))* INDIRECT("[EnemyMasterData.xlsm]enemies!T"&amp;(L24+1))* INDIRECT("[EnemyMasterData.xlsm]enemies!AE"&amp;(L24+1))*[4]ステータス!$C$2,0)*U24</f>
        <v>5916</v>
      </c>
      <c r="W24" s="5">
        <v>0</v>
      </c>
      <c r="X24" s="4" t="e">
        <f ca="1">VLOOKUP($Y24,OFFSET([5]enemy_skill_sets!$B$1,0,0,COUNTA([5]enemy_skill_sets!$B:$B),MATCH(M$1,[5]enemy_skill_sets!$1:$1,0)-MATCH($Y$1,[5]enemy_skill_sets!$1:$1,0)+2),MATCH(M$1,[5]enemy_skill_sets!$1:$1,0)-MATCH($Y$1,[5]enemy_skill_sets!$1:$1,0)+2,FALSE)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4" s="4">
        <v>47004860</v>
      </c>
      <c r="Z24" s="6">
        <v>0</v>
      </c>
      <c r="AA24" s="115">
        <v>20</v>
      </c>
      <c r="AB24" s="6">
        <v>0</v>
      </c>
      <c r="AC24" s="108">
        <v>1</v>
      </c>
      <c r="AD24" s="24">
        <f t="shared" si="18"/>
        <v>1276</v>
      </c>
      <c r="AE24" s="4" t="str">
        <f ca="1">VLOOKUP($AD24,OFFSET([4]characters!$A$1,0,0,COUNTA([4]characters!$A:$A),MATCH(AE$1,[4]characters!$1:$1,0)-MATCH("character_id",[4]characters!$1:$1,0)+1),MATCH(AE$1,[4]characters!$1:$1,0)-MATCH("character_id",[4]characters!$1:$1,0)+1,FALSE)</f>
        <v>聖宴の主彩 サンタクロース・オセ</v>
      </c>
      <c r="AF24" s="4">
        <f ca="1">VLOOKUP($AD24,OFFSET([4]characters!$A$1,0,0,COUNTA([4]characters!$A:$A),MATCH(AF$1,[4]characters!$1:$1,0)-MATCH("character_id",[4]characters!$1:$1,0)+1),MATCH(AF$1,[4]characters!$1:$1,0)-MATCH("character_id",[4]characters!$1:$1,0)+1,FALSE)</f>
        <v>6</v>
      </c>
      <c r="AG24" s="4" t="str">
        <f ca="1">VLOOKUP($AD24,OFFSET([4]characters!$A$1,0,0,COUNTA([4]characters!$A:$A),MATCH(AG$1,[4]characters!$1:$1,0)-MATCH("character_id",[4]characters!$1:$1,0)+1),MATCH(AG$1,[4]characters!$1:$1,0)-MATCH("character_id",[4]characters!$1:$1,0)+1,FALSE)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4" s="7">
        <v>1</v>
      </c>
      <c r="AI24" s="24">
        <f t="shared" ca="1" si="19"/>
        <v>6</v>
      </c>
      <c r="AJ24" s="8">
        <v>0</v>
      </c>
      <c r="AK24" s="7">
        <v>0</v>
      </c>
      <c r="AL24" s="7">
        <v>0</v>
      </c>
      <c r="AM24" s="7">
        <v>0</v>
      </c>
      <c r="AN24" s="7">
        <v>0</v>
      </c>
      <c r="AO24" s="7">
        <v>1</v>
      </c>
      <c r="AP24" s="69">
        <v>1</v>
      </c>
    </row>
    <row r="25" spans="1:42" ht="21" customHeight="1" x14ac:dyDescent="0.15">
      <c r="A25" s="16" t="str">
        <f t="shared" si="15"/>
        <v>47004_4-4/1284&lt;lv80&gt;s1</v>
      </c>
      <c r="B25" s="22">
        <v>47004</v>
      </c>
      <c r="C25" s="21">
        <v>4</v>
      </c>
      <c r="D25" s="2" t="str">
        <f t="shared" si="16"/>
        <v>47004_4</v>
      </c>
      <c r="E25" s="4" t="str">
        <f ca="1">VLOOKUP($B25,OFFSET([2]quests!$A$1,0,0,COUNTA([2]quests!$A:$A),MATCH(E$1,[2]quests!$1:$1,0)-MATCH($B$1,[2]quests!$1:$1,0)+1),MATCH(E$1,[2]quests!$1:$1,0)-MATCH($B$1,[2]quests!$1:$1,0)+1,FALSE)</f>
        <v>聖なる夜に祝福を</v>
      </c>
      <c r="F25" s="4" t="str">
        <f ca="1">VLOOKUP($D25,OFFSET([2]stages!$A$1,0,0,COUNTA([2]stages!$A:$A),MATCH(F$1,[2]stages!$2:$2,0)-MATCH($D$1,[2]stages!$2:$2,0)+1),MATCH(F$1,[2]stages!$2:$2,0)-MATCH($D$1,[2]stages!$2:$2,0)+1,FALSE)</f>
        <v>【ウィザード級】聖なる夜に祝福を</v>
      </c>
      <c r="G25" s="107">
        <v>4</v>
      </c>
      <c r="H25" s="15" t="str">
        <f t="shared" si="17"/>
        <v>47004_4-4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8">
        <v>2</v>
      </c>
      <c r="L25" s="20">
        <v>1284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マシン・シュプール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blue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DropWizS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17">
        <f ca="1">VLOOKUP($L25,OFFSET([3]enemies!$A$1,0,0,COUNTA([3]enemies!$A:$A),MATCH(Q$1,[3]enemies!$1:$1,0)-MATCH($L$1,[3]enemies!$1:$1,0)+1),MATCH(Q$1,[3]enemies!$1:$1,0)-MATCH($L$1,[3]enemies!$1:$1,0)+1,FALSE)</f>
        <v>60</v>
      </c>
      <c r="R25" s="5">
        <v>80</v>
      </c>
      <c r="S25" s="25">
        <v>3.5</v>
      </c>
      <c r="T25" s="103">
        <f ca="1">ROUND(VLOOKUP(R25,[3]enemy_base_stats!$A:$F,2,FALSE) *INDIRECT("[EnemyMasterData.xlsm]enemies!Y"&amp;(L25+1))*  INDIRECT("[EnemyMasterData.xlsm]enemies!J"&amp;(L25+1))* INDIRECT("[EnemyMasterData.xlsm]enemies!O"&amp;(L25+1))* INDIRECT("[EnemyMasterData.xlsm]enemies!E"&amp;(L25+1))* INDIRECT("[EnemyMasterData.xlsm]enemies!S"&amp;(L25+1))* INDIRECT("[EnemyMasterData.xlsm]enemies!AD"&amp;(L25+1))*[4]ステータス!$B$2,0)*S25</f>
        <v>703143</v>
      </c>
      <c r="U25" s="25">
        <v>1.2</v>
      </c>
      <c r="V25" s="103">
        <f ca="1">ROUND(VLOOKUP(R25,[3]enemy_base_stats!$A:$F,3,FALSE) *INDIRECT("[EnemyMasterData.xlsm]enemies!Z"&amp;(L25+1))*  INDIRECT("[EnemyMasterData.xlsm]enemies!K"&amp;(L25+1))* INDIRECT("[EnemyMasterData.xlsm]enemies!P"&amp;(L25+1))* INDIRECT("[EnemyMasterData.xlsm]enemies!F"&amp;(L25+1))* INDIRECT("[EnemyMasterData.xlsm]enemies!T"&amp;(L25+1))* INDIRECT("[EnemyMasterData.xlsm]enemies!AE"&amp;(L25+1))*[4]ステータス!$C$2,0)*U25</f>
        <v>8896.7999999999993</v>
      </c>
      <c r="W25" s="5">
        <v>0</v>
      </c>
      <c r="X25" s="4" t="e">
        <f ca="1">VLOOKUP($Y25,OFFSET([5]enemy_skill_sets!$B$1,0,0,COUNTA([5]enemy_skill_sets!$B:$B),MATCH(M$1,[5]enemy_skill_sets!$1:$1,0)-MATCH($Y$1,[5]enemy_skill_sets!$1:$1,0)+2),MATCH(M$1,[5]enemy_skill_sets!$1:$1,0)-MATCH($Y$1,[5]enemy_skill_sets!$1:$1,0)+2,FALSE)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5" s="4">
        <v>47004900</v>
      </c>
      <c r="Z25" s="6">
        <v>0</v>
      </c>
      <c r="AA25" s="6">
        <v>100</v>
      </c>
      <c r="AB25" s="6">
        <v>1</v>
      </c>
      <c r="AC25" s="108">
        <v>1</v>
      </c>
      <c r="AD25" s="24">
        <f t="shared" si="18"/>
        <v>1284</v>
      </c>
      <c r="AE25" s="4" t="str">
        <f ca="1">VLOOKUP($AD25,OFFSET([4]characters!$A$1,0,0,COUNTA([4]characters!$A:$A),MATCH(AE$1,[4]characters!$1:$1,0)-MATCH("character_id",[4]characters!$1:$1,0)+1),MATCH(AE$1,[4]characters!$1:$1,0)-MATCH("character_id",[4]characters!$1:$1,0)+1,FALSE)</f>
        <v>マシン・シュプール</v>
      </c>
      <c r="AF25" s="4">
        <f ca="1">VLOOKUP($AD25,OFFSET([4]characters!$A$1,0,0,COUNTA([4]characters!$A:$A),MATCH(AF$1,[4]characters!$1:$1,0)-MATCH("character_id",[4]characters!$1:$1,0)+1),MATCH(AF$1,[4]characters!$1:$1,0)-MATCH("character_id",[4]characters!$1:$1,0)+1,FALSE)</f>
        <v>5</v>
      </c>
      <c r="AG25" s="4" t="str">
        <f ca="1">VLOOKUP($AD25,OFFSET([4]characters!$A$1,0,0,COUNTA([4]characters!$A:$A),MATCH(AG$1,[4]characters!$1:$1,0)-MATCH("character_id",[4]characters!$1:$1,0)+1),MATCH(AG$1,[4]characters!$1:$1,0)-MATCH("character_id",[4]characters!$1:$1,0)+1,FALSE)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5" s="7">
        <v>1</v>
      </c>
      <c r="AI25" s="130">
        <f t="shared" ca="1" si="19"/>
        <v>5</v>
      </c>
      <c r="AJ25" s="105">
        <v>70</v>
      </c>
      <c r="AK25" s="7">
        <v>0</v>
      </c>
      <c r="AL25" s="7">
        <v>0</v>
      </c>
      <c r="AM25" s="7">
        <v>0</v>
      </c>
      <c r="AN25" s="7">
        <v>0</v>
      </c>
      <c r="AO25" s="7">
        <v>1</v>
      </c>
      <c r="AP25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7"/>
  <sheetViews>
    <sheetView showGridLines="0" zoomScale="75" zoomScaleNormal="75" zoomScalePageLayoutView="75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V17" sqref="V17"/>
    </sheetView>
  </sheetViews>
  <sheetFormatPr baseColWidth="12" defaultColWidth="13" defaultRowHeight="21" customHeight="1" outlineLevelCol="1" x14ac:dyDescent="0.15"/>
  <cols>
    <col min="1" max="1" width="26.164062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253</v>
      </c>
      <c r="V1" s="26" t="s">
        <v>50</v>
      </c>
      <c r="W1" s="102" t="s">
        <v>254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47004_1-2/1284&lt;lv40&gt;sq1st2</v>
      </c>
      <c r="B2" s="22">
        <v>47004</v>
      </c>
      <c r="C2" s="106">
        <v>1</v>
      </c>
      <c r="D2" s="2" t="str">
        <f>B2&amp;"_"&amp;C2</f>
        <v>47004_1</v>
      </c>
      <c r="E2" s="4" t="str">
        <f ca="1">VLOOKUP($B2,OFFSET([2]quests!$A$1,0,0,COUNTA([2]quests!$A:$A),MATCH(E$1,[2]quests!$1:$1,0)-MATCH($B$1,[2]quests!$1:$1,0)+1),MATCH(E$1,[2]quests!$1:$1,0)-MATCH($B$1,[2]quests!$1:$1,0)+1,FALSE)</f>
        <v>聖なる夜に祝福を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【上級】聖なる夜に祝福を</v>
      </c>
      <c r="G2" s="106">
        <v>2</v>
      </c>
      <c r="H2" s="15" t="str">
        <f>B2&amp;"_"&amp;C2&amp;"-"&amp;G2</f>
        <v>47004_1-2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126">
        <v>1</v>
      </c>
      <c r="L2" s="126">
        <v>2</v>
      </c>
      <c r="M2" s="106">
        <v>1284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マシン・シュプール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114">
        <v>40</v>
      </c>
      <c r="T2" s="124">
        <v>1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102298</v>
      </c>
      <c r="V2" s="124">
        <v>1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3775</v>
      </c>
      <c r="X2" s="114">
        <v>999999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47004050</v>
      </c>
      <c r="AA2" s="70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47004_1-2/1277&lt;lv40&gt;sq1st3</v>
      </c>
      <c r="B3" s="22">
        <v>47004</v>
      </c>
      <c r="C3" s="106">
        <v>1</v>
      </c>
      <c r="D3" s="2" t="str">
        <f>B3&amp;"_"&amp;C3</f>
        <v>47004_1</v>
      </c>
      <c r="E3" s="4" t="str">
        <f ca="1">VLOOKUP($B3,OFFSET([2]quests!$A$1,0,0,COUNTA([2]quests!$A:$A),MATCH(E$1,[2]quests!$1:$1,0)-MATCH($B$1,[2]quests!$1:$1,0)+1),MATCH(E$1,[2]quests!$1:$1,0)-MATCH($B$1,[2]quests!$1:$1,0)+1,FALSE)</f>
        <v>聖なる夜に祝福を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【上級】聖なる夜に祝福を</v>
      </c>
      <c r="G3" s="106">
        <v>2</v>
      </c>
      <c r="H3" s="15" t="str">
        <f>B3&amp;"_"&amp;C3&amp;"-"&amp;G3</f>
        <v>47004_1-2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126">
        <v>1</v>
      </c>
      <c r="L3" s="126">
        <v>3</v>
      </c>
      <c r="M3" s="106">
        <v>1277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彩鈴鳴らす聖天使 ミカエル・イヴ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114">
        <v>40</v>
      </c>
      <c r="T3" s="124">
        <v>1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66373</v>
      </c>
      <c r="V3" s="124">
        <v>1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6209</v>
      </c>
      <c r="X3" s="114">
        <v>999999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47004060</v>
      </c>
      <c r="AA3" s="70">
        <v>1</v>
      </c>
    </row>
    <row r="4" spans="1:27" ht="21" customHeight="1" x14ac:dyDescent="0.15">
      <c r="A4" s="16" t="str">
        <f t="shared" ref="A4:A5" si="0">B4&amp;"_"&amp;C4&amp;"-"&amp;G4&amp;"/"&amp;M4&amp;"&lt;lv"&amp;S4&amp;"&gt;sq"&amp;K4&amp;"st"&amp;L4</f>
        <v>47004_1-4/1284&lt;lv40&gt;sq2st2</v>
      </c>
      <c r="B4" s="22">
        <v>47004</v>
      </c>
      <c r="C4" s="106">
        <v>1</v>
      </c>
      <c r="D4" s="2" t="str">
        <f t="shared" ref="D4:D5" si="1">B4&amp;"_"&amp;C4</f>
        <v>47004_1</v>
      </c>
      <c r="E4" s="4" t="str">
        <f ca="1">VLOOKUP($B4,OFFSET([2]quests!$A$1,0,0,COUNTA([2]quests!$A:$A),MATCH(E$1,[2]quests!$1:$1,0)-MATCH($B$1,[2]quests!$1:$1,0)+1),MATCH(E$1,[2]quests!$1:$1,0)-MATCH($B$1,[2]quests!$1:$1,0)+1,FALSE)</f>
        <v>聖なる夜に祝福を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【上級】聖なる夜に祝福を</v>
      </c>
      <c r="G4" s="106">
        <v>4</v>
      </c>
      <c r="H4" s="15" t="str">
        <f t="shared" ref="H4:H5" si="2">B4&amp;"_"&amp;C4&amp;"-"&amp;G4</f>
        <v>47004_1-4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26">
        <v>2</v>
      </c>
      <c r="L4" s="126">
        <v>2</v>
      </c>
      <c r="M4" s="106">
        <v>1284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マシン・シュプール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114">
        <v>40</v>
      </c>
      <c r="T4" s="124">
        <v>2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204596</v>
      </c>
      <c r="V4" s="124">
        <v>0.7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2642.5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47004180</v>
      </c>
      <c r="AA4" s="70">
        <v>1</v>
      </c>
    </row>
    <row r="5" spans="1:27" ht="21" customHeight="1" x14ac:dyDescent="0.15">
      <c r="A5" s="16" t="str">
        <f t="shared" si="0"/>
        <v>47004_1-4/1285&lt;lv40&gt;sq2st3</v>
      </c>
      <c r="B5" s="22">
        <v>47004</v>
      </c>
      <c r="C5" s="106">
        <v>1</v>
      </c>
      <c r="D5" s="2" t="str">
        <f t="shared" si="1"/>
        <v>47004_1</v>
      </c>
      <c r="E5" s="4" t="str">
        <f ca="1">VLOOKUP($B5,OFFSET([2]quests!$A$1,0,0,COUNTA([2]quests!$A:$A),MATCH(E$1,[2]quests!$1:$1,0)-MATCH($B$1,[2]quests!$1:$1,0)+1),MATCH(E$1,[2]quests!$1:$1,0)-MATCH($B$1,[2]quests!$1:$1,0)+1,FALSE)</f>
        <v>聖なる夜に祝福を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【上級】聖なる夜に祝福を</v>
      </c>
      <c r="G5" s="106">
        <v>4</v>
      </c>
      <c r="H5" s="15" t="str">
        <f t="shared" si="2"/>
        <v>47004_1-4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26">
        <v>2</v>
      </c>
      <c r="L5" s="126">
        <v>3</v>
      </c>
      <c r="M5" s="106">
        <v>1285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災氷の魔導 シュプール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114">
        <v>40</v>
      </c>
      <c r="T5" s="124">
        <v>1.2</v>
      </c>
      <c r="U5" s="10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122757.59999999999</v>
      </c>
      <c r="V5" s="124">
        <v>0.8</v>
      </c>
      <c r="W5" s="10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3020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">
        <v>47004210</v>
      </c>
      <c r="AA5" s="70">
        <v>1</v>
      </c>
    </row>
    <row r="6" spans="1:27" ht="21" customHeight="1" x14ac:dyDescent="0.15">
      <c r="A6" s="16" t="str">
        <f>B6&amp;"_"&amp;C6&amp;"-"&amp;G6&amp;"/"&amp;M6&amp;"&lt;lv"&amp;S6&amp;"&gt;sq"&amp;K6&amp;"st"&amp;L6</f>
        <v>47004_2-2/1284&lt;lv60&gt;sq1st2</v>
      </c>
      <c r="B6" s="22">
        <v>47004</v>
      </c>
      <c r="C6" s="21">
        <v>2</v>
      </c>
      <c r="D6" s="2" t="str">
        <f>B6&amp;"_"&amp;C6</f>
        <v>47004_2</v>
      </c>
      <c r="E6" s="4" t="str">
        <f ca="1">VLOOKUP($B6,OFFSET([2]quests!$A$1,0,0,COUNTA([2]quests!$A:$A),MATCH(E$1,[2]quests!$1:$1,0)-MATCH($B$1,[2]quests!$1:$1,0)+1),MATCH(E$1,[2]quests!$1:$1,0)-MATCH($B$1,[2]quests!$1:$1,0)+1,FALSE)</f>
        <v>聖なる夜に祝福を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【超級】聖なる夜に祝福を</v>
      </c>
      <c r="G6" s="21">
        <v>2</v>
      </c>
      <c r="H6" s="15" t="str">
        <f>B6&amp;"_"&amp;C6&amp;"-"&amp;G6</f>
        <v>47004_2-2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38">
        <v>2</v>
      </c>
      <c r="M6" s="20">
        <v>1284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マシン・シュプール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unknown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60</v>
      </c>
      <c r="T6" s="25">
        <v>1</v>
      </c>
      <c r="U6" s="103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151598</v>
      </c>
      <c r="V6" s="25">
        <v>1</v>
      </c>
      <c r="W6" s="103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5594</v>
      </c>
      <c r="X6" s="114">
        <v>999999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4">
        <v>47004300</v>
      </c>
      <c r="AA6" s="70">
        <v>1</v>
      </c>
    </row>
    <row r="7" spans="1:27" ht="21" customHeight="1" x14ac:dyDescent="0.15">
      <c r="A7" s="16" t="str">
        <f>B7&amp;"_"&amp;C7&amp;"-"&amp;G7&amp;"/"&amp;M7&amp;"&lt;lv"&amp;S7&amp;"&gt;sq"&amp;K7&amp;"st"&amp;L7</f>
        <v>47004_2-2/1277&lt;lv60&gt;sq1st3</v>
      </c>
      <c r="B7" s="22">
        <v>47004</v>
      </c>
      <c r="C7" s="21">
        <v>2</v>
      </c>
      <c r="D7" s="2" t="str">
        <f>B7&amp;"_"&amp;C7</f>
        <v>47004_2</v>
      </c>
      <c r="E7" s="4" t="str">
        <f ca="1">VLOOKUP($B7,OFFSET([2]quests!$A$1,0,0,COUNTA([2]quests!$A:$A),MATCH(E$1,[2]quests!$1:$1,0)-MATCH($B$1,[2]quests!$1:$1,0)+1),MATCH(E$1,[2]quests!$1:$1,0)-MATCH($B$1,[2]quests!$1:$1,0)+1,FALSE)</f>
        <v>聖なる夜に祝福を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【超級】聖なる夜に祝福を</v>
      </c>
      <c r="G7" s="21">
        <v>2</v>
      </c>
      <c r="H7" s="15" t="str">
        <f>B7&amp;"_"&amp;C7&amp;"-"&amp;G7</f>
        <v>47004_2-2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38">
        <v>3</v>
      </c>
      <c r="M7" s="20">
        <v>1277</v>
      </c>
      <c r="N7" s="17" t="str">
        <f ca="1">VLOOKUP($M7,OFFSET([3]enemies!$A$1,0,0,COUNTA([3]enemies!$A:$A),MATCH(N$1,[3]enemies!$1:$1,0)-MATCH($M$1,[3]enemies!$1:$1,0)+1),MATCH(N$1,[3]enemies!$1:$1,0)-MATCH($M$1,[3]enemies!$1:$1,0)+1,FALSE)</f>
        <v>彩鈴鳴らす聖天使 ミカエル・イヴ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60</v>
      </c>
      <c r="T7" s="25">
        <v>1</v>
      </c>
      <c r="U7" s="103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98361</v>
      </c>
      <c r="V7" s="25">
        <v>1</v>
      </c>
      <c r="W7" s="103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9202</v>
      </c>
      <c r="X7" s="114">
        <v>999999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">
        <v>47004310</v>
      </c>
      <c r="AA7" s="70">
        <v>1</v>
      </c>
    </row>
    <row r="8" spans="1:27" ht="21" customHeight="1" x14ac:dyDescent="0.15">
      <c r="A8" s="16" t="str">
        <f t="shared" ref="A8:A9" si="3">B8&amp;"_"&amp;C8&amp;"-"&amp;G8&amp;"/"&amp;M8&amp;"&lt;lv"&amp;S8&amp;"&gt;sq"&amp;K8&amp;"st"&amp;L8</f>
        <v>47004_2-4/1284&lt;lv60&gt;sq2st2</v>
      </c>
      <c r="B8" s="22">
        <v>47004</v>
      </c>
      <c r="C8" s="21">
        <v>2</v>
      </c>
      <c r="D8" s="2" t="str">
        <f t="shared" ref="D8:D9" si="4">B8&amp;"_"&amp;C8</f>
        <v>47004_2</v>
      </c>
      <c r="E8" s="4" t="str">
        <f ca="1">VLOOKUP($B8,OFFSET([2]quests!$A$1,0,0,COUNTA([2]quests!$A:$A),MATCH(E$1,[2]quests!$1:$1,0)-MATCH($B$1,[2]quests!$1:$1,0)+1),MATCH(E$1,[2]quests!$1:$1,0)-MATCH($B$1,[2]quests!$1:$1,0)+1,FALSE)</f>
        <v>聖なる夜に祝福を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【超級】聖なる夜に祝福を</v>
      </c>
      <c r="G8" s="21">
        <v>4</v>
      </c>
      <c r="H8" s="15" t="str">
        <f t="shared" ref="H8:H9" si="5">B8&amp;"_"&amp;C8&amp;"-"&amp;G8</f>
        <v>47004_2-4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2</v>
      </c>
      <c r="L8" s="38">
        <v>2</v>
      </c>
      <c r="M8" s="20">
        <v>1284</v>
      </c>
      <c r="N8" s="17" t="str">
        <f ca="1">VLOOKUP($M8,OFFSET([3]enemies!$A$1,0,0,COUNTA([3]enemies!$A:$A),MATCH(N$1,[3]enemies!$1:$1,0)-MATCH($M$1,[3]enemies!$1:$1,0)+1),MATCH(N$1,[3]enemies!$1:$1,0)-MATCH($M$1,[3]enemies!$1:$1,0)+1,FALSE)</f>
        <v>マシン・シュプール</v>
      </c>
      <c r="O8" s="17" t="str">
        <f ca="1">VLOOKUP($M8,OFFSET([3]enemies!$A$1,0,0,COUNTA([3]enemies!$A:$A),MATCH(O$1,[3]enemies!$1:$1,0)-MATCH($M$1,[3]enemies!$1:$1,0)+1),MATCH(O$1,[3]enemies!$1:$1,0)-MATCH($M$1,[3]enemies!$1:$1,0)+1,FALSE)</f>
        <v>blue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unknown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60</v>
      </c>
      <c r="T8" s="25">
        <v>2.5</v>
      </c>
      <c r="U8" s="103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378995</v>
      </c>
      <c r="V8" s="25">
        <v>0.7</v>
      </c>
      <c r="W8" s="103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3915.7999999999997</v>
      </c>
      <c r="X8" s="5">
        <v>0</v>
      </c>
      <c r="Y8" s="4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8" s="4">
        <v>47004430</v>
      </c>
      <c r="AA8" s="70">
        <v>1</v>
      </c>
    </row>
    <row r="9" spans="1:27" ht="21" customHeight="1" x14ac:dyDescent="0.15">
      <c r="A9" s="16" t="str">
        <f t="shared" si="3"/>
        <v>47004_2-4/1285&lt;lv60&gt;sq2st3</v>
      </c>
      <c r="B9" s="22">
        <v>47004</v>
      </c>
      <c r="C9" s="21">
        <v>2</v>
      </c>
      <c r="D9" s="2" t="str">
        <f t="shared" si="4"/>
        <v>47004_2</v>
      </c>
      <c r="E9" s="4" t="str">
        <f ca="1">VLOOKUP($B9,OFFSET([2]quests!$A$1,0,0,COUNTA([2]quests!$A:$A),MATCH(E$1,[2]quests!$1:$1,0)-MATCH($B$1,[2]quests!$1:$1,0)+1),MATCH(E$1,[2]quests!$1:$1,0)-MATCH($B$1,[2]quests!$1:$1,0)+1,FALSE)</f>
        <v>聖なる夜に祝福を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【超級】聖なる夜に祝福を</v>
      </c>
      <c r="G9" s="21">
        <v>4</v>
      </c>
      <c r="H9" s="15" t="str">
        <f t="shared" si="5"/>
        <v>47004_2-4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38">
        <v>3</v>
      </c>
      <c r="M9" s="20">
        <v>1285</v>
      </c>
      <c r="N9" s="17" t="str">
        <f ca="1">VLOOKUP($M9,OFFSET([3]enemies!$A$1,0,0,COUNTA([3]enemies!$A:$A),MATCH(N$1,[3]enemies!$1:$1,0)-MATCH($M$1,[3]enemies!$1:$1,0)+1),MATCH(N$1,[3]enemies!$1:$1,0)-MATCH($M$1,[3]enemies!$1:$1,0)+1,FALSE)</f>
        <v>災氷の魔導 シュプール</v>
      </c>
      <c r="O9" s="17" t="str">
        <f ca="1">VLOOKUP($M9,OFFSET([3]enemies!$A$1,0,0,COUNTA([3]enemies!$A:$A),MATCH(O$1,[3]enemies!$1:$1,0)-MATCH($M$1,[3]enemies!$1:$1,0)+1),MATCH(O$1,[3]enemies!$1:$1,0)-MATCH($M$1,[3]enemies!$1:$1,0)+1,FALSE)</f>
        <v>blue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unknown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60</v>
      </c>
      <c r="T9" s="25">
        <v>1.2</v>
      </c>
      <c r="U9" s="103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181917.6</v>
      </c>
      <c r="V9" s="25">
        <v>0.8</v>
      </c>
      <c r="W9" s="103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4475.2</v>
      </c>
      <c r="X9" s="5">
        <v>0</v>
      </c>
      <c r="Y9" s="4" t="e">
        <f ca="1">VLOOKUP($Z9,OFFSET([5]enemy_skill_sets!$B$1,0,0,COUNTA([5]enemy_skill_sets!$B:$B),MATCH(N$1,[5]enemy_skill_sets!$1:$1,0)-MATCH($Z$1,[5]enemy_skill_sets!$1:$1,0)+2),MATCH(N$1,[5]enemy_skill_sets!$1:$1,0)-MATCH($Z$1,[5]enemy_skill_sets!$1:$1,0)+2,FALSE)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9" s="4">
        <v>47004460</v>
      </c>
      <c r="AA9" s="70">
        <v>1</v>
      </c>
    </row>
    <row r="10" spans="1:27" ht="21" customHeight="1" x14ac:dyDescent="0.15">
      <c r="A10" s="16" t="str">
        <f>B10&amp;"_"&amp;C10&amp;"-"&amp;G10&amp;"/"&amp;M10&amp;"&lt;lv"&amp;S10&amp;"&gt;sq"&amp;K10&amp;"st"&amp;L10</f>
        <v>47004_3-2/1284&lt;lv80&gt;sq1st2</v>
      </c>
      <c r="B10" s="22">
        <v>47004</v>
      </c>
      <c r="C10" s="106">
        <v>3</v>
      </c>
      <c r="D10" s="2" t="str">
        <f>B10&amp;"_"&amp;C10</f>
        <v>47004_3</v>
      </c>
      <c r="E10" s="4" t="str">
        <f ca="1">VLOOKUP($B10,OFFSET([2]quests!$A$1,0,0,COUNTA([2]quests!$A:$A),MATCH(E$1,[2]quests!$1:$1,0)-MATCH($B$1,[2]quests!$1:$1,0)+1),MATCH(E$1,[2]quests!$1:$1,0)-MATCH($B$1,[2]quests!$1:$1,0)+1,FALSE)</f>
        <v>聖なる夜に祝福を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【超絶級】聖なる夜に祝福を</v>
      </c>
      <c r="G10" s="106">
        <v>2</v>
      </c>
      <c r="H10" s="15" t="str">
        <f>B10&amp;"_"&amp;C10&amp;"-"&amp;G10</f>
        <v>47004_3-2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126">
        <v>1</v>
      </c>
      <c r="L10" s="126">
        <v>2</v>
      </c>
      <c r="M10" s="106">
        <v>1284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マシン・シュプール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blue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unknown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114">
        <v>80</v>
      </c>
      <c r="T10" s="124">
        <v>1</v>
      </c>
      <c r="U10" s="103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200898</v>
      </c>
      <c r="V10" s="124">
        <v>1</v>
      </c>
      <c r="W10" s="103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7414</v>
      </c>
      <c r="X10" s="114">
        <v>999999</v>
      </c>
      <c r="Y10" s="4" t="e">
        <f ca="1">VLOOKUP($Z10,OFFSET([5]enemy_skill_sets!$B$1,0,0,COUNTA([5]enemy_skill_sets!$B:$B),MATCH(N$1,[5]enemy_skill_sets!$1:$1,0)-MATCH($Z$1,[5]enemy_skill_sets!$1:$1,0)+2),MATCH(N$1,[5]enemy_skill_sets!$1:$1,0)-MATCH($Z$1,[5]enemy_skill_sets!$1:$1,0)+2,FALSE)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0" s="4">
        <v>47004550</v>
      </c>
      <c r="AA10" s="70">
        <v>1</v>
      </c>
    </row>
    <row r="11" spans="1:27" ht="21" customHeight="1" x14ac:dyDescent="0.15">
      <c r="A11" s="16" t="str">
        <f>B11&amp;"_"&amp;C11&amp;"-"&amp;G11&amp;"/"&amp;M11&amp;"&lt;lv"&amp;S11&amp;"&gt;sq"&amp;K11&amp;"st"&amp;L11</f>
        <v>47004_3-2/1277&lt;lv80&gt;sq1st3</v>
      </c>
      <c r="B11" s="22">
        <v>47004</v>
      </c>
      <c r="C11" s="106">
        <v>3</v>
      </c>
      <c r="D11" s="2" t="str">
        <f>B11&amp;"_"&amp;C11</f>
        <v>47004_3</v>
      </c>
      <c r="E11" s="4" t="str">
        <f ca="1">VLOOKUP($B11,OFFSET([2]quests!$A$1,0,0,COUNTA([2]quests!$A:$A),MATCH(E$1,[2]quests!$1:$1,0)-MATCH($B$1,[2]quests!$1:$1,0)+1),MATCH(E$1,[2]quests!$1:$1,0)-MATCH($B$1,[2]quests!$1:$1,0)+1,FALSE)</f>
        <v>聖なる夜に祝福を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【超絶級】聖なる夜に祝福を</v>
      </c>
      <c r="G11" s="106">
        <v>2</v>
      </c>
      <c r="H11" s="15" t="str">
        <f>B11&amp;"_"&amp;C11&amp;"-"&amp;G11</f>
        <v>47004_3-2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126">
        <v>1</v>
      </c>
      <c r="L11" s="126">
        <v>3</v>
      </c>
      <c r="M11" s="106">
        <v>1277</v>
      </c>
      <c r="N11" s="17" t="str">
        <f ca="1">VLOOKUP($M11,OFFSET([3]enemies!$A$1,0,0,COUNTA([3]enemies!$A:$A),MATCH(N$1,[3]enemies!$1:$1,0)-MATCH($M$1,[3]enemies!$1:$1,0)+1),MATCH(N$1,[3]enemies!$1:$1,0)-MATCH($M$1,[3]enemies!$1:$1,0)+1,FALSE)</f>
        <v>彩鈴鳴らす聖天使 ミカエル・イヴ</v>
      </c>
      <c r="O11" s="17" t="str">
        <f ca="1">VLOOKUP($M11,OFFSET([3]enemies!$A$1,0,0,COUNTA([3]enemies!$A:$A),MATCH(O$1,[3]enemies!$1:$1,0)-MATCH($M$1,[3]enemies!$1:$1,0)+1),MATCH(O$1,[3]enemies!$1:$1,0)-MATCH($M$1,[3]enemies!$1:$1,0)+1,FALSE)</f>
        <v>yellow</v>
      </c>
      <c r="P11" s="17" t="str">
        <f ca="1">VLOOKUP($M11,OFFSET([4]characters!$A$1,0,0,COUNTA([4]characters!$A:$A),MATCH(P$1,[4]characters!$1:$1,0)-MATCH($M$1,[4]characters!$1:$1,0)+1),MATCH(P$1,[4]characters!$1:$1,0)-MATCH($M$1,[4]characters!$1:$1,0)+1,FALSE)</f>
        <v>PremiumS</v>
      </c>
      <c r="Q11" s="17" t="str">
        <f ca="1">VLOOKUP($M11,OFFSET([3]enemies!$A$1,0,0,COUNTA([3]enemies!$A:$A),MATCH(Q$1,[3]enemies!$1:$1,0)-MATCH($M$1,[3]enemies!$1:$1,0)+1),MATCH(Q$1,[3]enemies!$1:$1,0)-MATCH($M$1,[3]enemies!$1:$1,0)+1,FALSE)</f>
        <v>god</v>
      </c>
      <c r="R11" s="17">
        <f ca="1">VLOOKUP($M11,OFFSET([3]enemies!$A$1,0,0,COUNTA([3]enemies!$A:$A),MATCH(R$1,[3]enemies!$1:$1,0)-MATCH($M$1,[3]enemies!$1:$1,0)+1),MATCH(R$1,[3]enemies!$1:$1,0)-MATCH($M$1,[3]enemies!$1:$1,0)+1,FALSE)</f>
        <v>60</v>
      </c>
      <c r="S11" s="114">
        <v>80</v>
      </c>
      <c r="T11" s="124">
        <v>1</v>
      </c>
      <c r="U11" s="103">
        <f ca="1">ROUND(VLOOKUP(S11,[3]enemy_base_stats!$A:$F,2,FALSE) *INDIRECT("[EnemyMasterData.xlsm]enemies!Y"&amp;(M11+1))*  INDIRECT("[EnemyMasterData.xlsm]enemies!J"&amp;(M11+1))* INDIRECT("[EnemyMasterData.xlsm]enemies!O"&amp;(M11+1))* INDIRECT("[EnemyMasterData.xlsm]enemies!E"&amp;(M11+1))* INDIRECT("[EnemyMasterData.xlsm]enemies!S"&amp;(M11+1))* INDIRECT("[EnemyMasterData.xlsm]enemies!AD"&amp;(M11+1))*[4]ステータス!$B$2,0)*T11</f>
        <v>130348</v>
      </c>
      <c r="V11" s="124">
        <v>1</v>
      </c>
      <c r="W11" s="103">
        <f ca="1">ROUND(VLOOKUP(S11,[3]enemy_base_stats!$A:$F,3,FALSE) *INDIRECT("[EnemyMasterData.xlsm]enemies!Z"&amp;(M11+1))*  INDIRECT("[EnemyMasterData.xlsm]enemies!K"&amp;(M11+1))* INDIRECT("[EnemyMasterData.xlsm]enemies!P"&amp;(M11+1))* INDIRECT("[EnemyMasterData.xlsm]enemies!F"&amp;(M11+1))* INDIRECT("[EnemyMasterData.xlsm]enemies!T"&amp;(M11+1))* INDIRECT("[EnemyMasterData.xlsm]enemies!AE"&amp;(M11+1))*[4]ステータス!$C$2,0)*V11</f>
        <v>12194</v>
      </c>
      <c r="X11" s="114">
        <v>999999</v>
      </c>
      <c r="Y11" s="4" t="e">
        <f ca="1">VLOOKUP($Z11,OFFSET([5]enemy_skill_sets!$B$1,0,0,COUNTA([5]enemy_skill_sets!$B:$B),MATCH(N$1,[5]enemy_skill_sets!$1:$1,0)-MATCH($Z$1,[5]enemy_skill_sets!$1:$1,0)+2),MATCH(N$1,[5]enemy_skill_sets!$1:$1,0)-MATCH($Z$1,[5]enemy_skill_sets!$1:$1,0)+2,FALSE)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1" s="4">
        <v>47004560</v>
      </c>
      <c r="AA11" s="70">
        <v>1</v>
      </c>
    </row>
    <row r="12" spans="1:27" ht="21" customHeight="1" x14ac:dyDescent="0.15">
      <c r="A12" s="16" t="str">
        <f t="shared" ref="A12:A13" si="6">B12&amp;"_"&amp;C12&amp;"-"&amp;G12&amp;"/"&amp;M12&amp;"&lt;lv"&amp;S12&amp;"&gt;sq"&amp;K12&amp;"st"&amp;L12</f>
        <v>47004_3-4/1284&lt;lv80&gt;sq2st2</v>
      </c>
      <c r="B12" s="22">
        <v>47004</v>
      </c>
      <c r="C12" s="106">
        <v>3</v>
      </c>
      <c r="D12" s="2" t="str">
        <f t="shared" ref="D12:D13" si="7">B12&amp;"_"&amp;C12</f>
        <v>47004_3</v>
      </c>
      <c r="E12" s="4" t="str">
        <f ca="1">VLOOKUP($B12,OFFSET([2]quests!$A$1,0,0,COUNTA([2]quests!$A:$A),MATCH(E$1,[2]quests!$1:$1,0)-MATCH($B$1,[2]quests!$1:$1,0)+1),MATCH(E$1,[2]quests!$1:$1,0)-MATCH($B$1,[2]quests!$1:$1,0)+1,FALSE)</f>
        <v>聖なる夜に祝福を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【超絶級】聖なる夜に祝福を</v>
      </c>
      <c r="G12" s="106">
        <v>4</v>
      </c>
      <c r="H12" s="15" t="str">
        <f t="shared" ref="H12:H13" si="8">B12&amp;"_"&amp;C12&amp;"-"&amp;G12</f>
        <v>47004_3-4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126">
        <v>2</v>
      </c>
      <c r="L12" s="126">
        <v>2</v>
      </c>
      <c r="M12" s="106">
        <v>1284</v>
      </c>
      <c r="N12" s="17" t="str">
        <f ca="1">VLOOKUP($M12,OFFSET([3]enemies!$A$1,0,0,COUNTA([3]enemies!$A:$A),MATCH(N$1,[3]enemies!$1:$1,0)-MATCH($M$1,[3]enemies!$1:$1,0)+1),MATCH(N$1,[3]enemies!$1:$1,0)-MATCH($M$1,[3]enemies!$1:$1,0)+1,FALSE)</f>
        <v>マシン・シュプール</v>
      </c>
      <c r="O12" s="17" t="str">
        <f ca="1">VLOOKUP($M12,OFFSET([3]enemies!$A$1,0,0,COUNTA([3]enemies!$A:$A),MATCH(O$1,[3]enemies!$1:$1,0)-MATCH($M$1,[3]enemies!$1:$1,0)+1),MATCH(O$1,[3]enemies!$1:$1,0)-MATCH($M$1,[3]enemies!$1:$1,0)+1,FALSE)</f>
        <v>blue</v>
      </c>
      <c r="P12" s="17" t="str">
        <f ca="1">VLOOKUP($M12,OFFSET([4]characters!$A$1,0,0,COUNTA([4]characters!$A:$A),MATCH(P$1,[4]characters!$1:$1,0)-MATCH($M$1,[4]characters!$1:$1,0)+1),MATCH(P$1,[4]characters!$1:$1,0)-MATCH($M$1,[4]characters!$1:$1,0)+1,FALSE)</f>
        <v>DropWizS</v>
      </c>
      <c r="Q12" s="17" t="str">
        <f ca="1">VLOOKUP($M12,OFFSET([3]enemies!$A$1,0,0,COUNTA([3]enemies!$A:$A),MATCH(Q$1,[3]enemies!$1:$1,0)-MATCH($M$1,[3]enemies!$1:$1,0)+1),MATCH(Q$1,[3]enemies!$1:$1,0)-MATCH($M$1,[3]enemies!$1:$1,0)+1,FALSE)</f>
        <v>unknown</v>
      </c>
      <c r="R12" s="17">
        <f ca="1">VLOOKUP($M12,OFFSET([3]enemies!$A$1,0,0,COUNTA([3]enemies!$A:$A),MATCH(R$1,[3]enemies!$1:$1,0)-MATCH($M$1,[3]enemies!$1:$1,0)+1),MATCH(R$1,[3]enemies!$1:$1,0)-MATCH($M$1,[3]enemies!$1:$1,0)+1,FALSE)</f>
        <v>60</v>
      </c>
      <c r="S12" s="114">
        <v>80</v>
      </c>
      <c r="T12" s="124">
        <v>3</v>
      </c>
      <c r="U12" s="103">
        <f ca="1">ROUND(VLOOKUP(S12,[3]enemy_base_stats!$A:$F,2,FALSE) *INDIRECT("[EnemyMasterData.xlsm]enemies!Y"&amp;(M12+1))*  INDIRECT("[EnemyMasterData.xlsm]enemies!J"&amp;(M12+1))* INDIRECT("[EnemyMasterData.xlsm]enemies!O"&amp;(M12+1))* INDIRECT("[EnemyMasterData.xlsm]enemies!E"&amp;(M12+1))* INDIRECT("[EnemyMasterData.xlsm]enemies!S"&amp;(M12+1))* INDIRECT("[EnemyMasterData.xlsm]enemies!AD"&amp;(M12+1))*[4]ステータス!$B$2,0)*T12</f>
        <v>602694</v>
      </c>
      <c r="V12" s="124">
        <v>0.7</v>
      </c>
      <c r="W12" s="103">
        <f ca="1">ROUND(VLOOKUP(S12,[3]enemy_base_stats!$A:$F,3,FALSE) *INDIRECT("[EnemyMasterData.xlsm]enemies!Z"&amp;(M12+1))*  INDIRECT("[EnemyMasterData.xlsm]enemies!K"&amp;(M12+1))* INDIRECT("[EnemyMasterData.xlsm]enemies!P"&amp;(M12+1))* INDIRECT("[EnemyMasterData.xlsm]enemies!F"&amp;(M12+1))* INDIRECT("[EnemyMasterData.xlsm]enemies!T"&amp;(M12+1))* INDIRECT("[EnemyMasterData.xlsm]enemies!AE"&amp;(M12+1))*[4]ステータス!$C$2,0)*V12</f>
        <v>5189.7999999999993</v>
      </c>
      <c r="X12" s="5">
        <v>0</v>
      </c>
      <c r="Y12" s="4" t="e">
        <f ca="1">VLOOKUP($Z12,OFFSET([5]enemy_skill_sets!$B$1,0,0,COUNTA([5]enemy_skill_sets!$B:$B),MATCH(N$1,[5]enemy_skill_sets!$1:$1,0)-MATCH($Z$1,[5]enemy_skill_sets!$1:$1,0)+2),MATCH(N$1,[5]enemy_skill_sets!$1:$1,0)-MATCH($Z$1,[5]enemy_skill_sets!$1:$1,0)+2,FALSE)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2" s="4">
        <v>47004680</v>
      </c>
      <c r="AA12" s="70">
        <v>1</v>
      </c>
    </row>
    <row r="13" spans="1:27" ht="21" customHeight="1" x14ac:dyDescent="0.15">
      <c r="A13" s="16" t="str">
        <f t="shared" si="6"/>
        <v>47004_3-4/1285&lt;lv80&gt;sq2st3</v>
      </c>
      <c r="B13" s="22">
        <v>47004</v>
      </c>
      <c r="C13" s="106">
        <v>3</v>
      </c>
      <c r="D13" s="2" t="str">
        <f t="shared" si="7"/>
        <v>47004_3</v>
      </c>
      <c r="E13" s="4" t="str">
        <f ca="1">VLOOKUP($B13,OFFSET([2]quests!$A$1,0,0,COUNTA([2]quests!$A:$A),MATCH(E$1,[2]quests!$1:$1,0)-MATCH($B$1,[2]quests!$1:$1,0)+1),MATCH(E$1,[2]quests!$1:$1,0)-MATCH($B$1,[2]quests!$1:$1,0)+1,FALSE)</f>
        <v>聖なる夜に祝福を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【超絶級】聖なる夜に祝福を</v>
      </c>
      <c r="G13" s="106">
        <v>4</v>
      </c>
      <c r="H13" s="15" t="str">
        <f t="shared" si="8"/>
        <v>47004_3-4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126">
        <v>2</v>
      </c>
      <c r="L13" s="126">
        <v>3</v>
      </c>
      <c r="M13" s="106">
        <v>1285</v>
      </c>
      <c r="N13" s="17" t="str">
        <f ca="1">VLOOKUP($M13,OFFSET([3]enemies!$A$1,0,0,COUNTA([3]enemies!$A:$A),MATCH(N$1,[3]enemies!$1:$1,0)-MATCH($M$1,[3]enemies!$1:$1,0)+1),MATCH(N$1,[3]enemies!$1:$1,0)-MATCH($M$1,[3]enemies!$1:$1,0)+1,FALSE)</f>
        <v>災氷の魔導 シュプール</v>
      </c>
      <c r="O13" s="17" t="str">
        <f ca="1">VLOOKUP($M13,OFFSET([3]enemies!$A$1,0,0,COUNTA([3]enemies!$A:$A),MATCH(O$1,[3]enemies!$1:$1,0)-MATCH($M$1,[3]enemies!$1:$1,0)+1),MATCH(O$1,[3]enemies!$1:$1,0)-MATCH($M$1,[3]enemies!$1:$1,0)+1,FALSE)</f>
        <v>blue</v>
      </c>
      <c r="P13" s="17" t="str">
        <f ca="1">VLOOKUP($M13,OFFSET([4]characters!$A$1,0,0,COUNTA([4]characters!$A:$A),MATCH(P$1,[4]characters!$1:$1,0)-MATCH($M$1,[4]characters!$1:$1,0)+1),MATCH(P$1,[4]characters!$1:$1,0)-MATCH($M$1,[4]characters!$1:$1,0)+1,FALSE)</f>
        <v>DropWizS</v>
      </c>
      <c r="Q13" s="17" t="str">
        <f ca="1">VLOOKUP($M13,OFFSET([3]enemies!$A$1,0,0,COUNTA([3]enemies!$A:$A),MATCH(Q$1,[3]enemies!$1:$1,0)-MATCH($M$1,[3]enemies!$1:$1,0)+1),MATCH(Q$1,[3]enemies!$1:$1,0)-MATCH($M$1,[3]enemies!$1:$1,0)+1,FALSE)</f>
        <v>unknown</v>
      </c>
      <c r="R13" s="17">
        <f ca="1">VLOOKUP($M13,OFFSET([3]enemies!$A$1,0,0,COUNTA([3]enemies!$A:$A),MATCH(R$1,[3]enemies!$1:$1,0)-MATCH($M$1,[3]enemies!$1:$1,0)+1),MATCH(R$1,[3]enemies!$1:$1,0)-MATCH($M$1,[3]enemies!$1:$1,0)+1,FALSE)</f>
        <v>60</v>
      </c>
      <c r="S13" s="114">
        <v>80</v>
      </c>
      <c r="T13" s="124">
        <v>2.2999999999999998</v>
      </c>
      <c r="U13" s="103">
        <f ca="1">ROUND(VLOOKUP(S13,[3]enemy_base_stats!$A:$F,2,FALSE) *INDIRECT("[EnemyMasterData.xlsm]enemies!Y"&amp;(M13+1))*  INDIRECT("[EnemyMasterData.xlsm]enemies!J"&amp;(M13+1))* INDIRECT("[EnemyMasterData.xlsm]enemies!O"&amp;(M13+1))* INDIRECT("[EnemyMasterData.xlsm]enemies!E"&amp;(M13+1))* INDIRECT("[EnemyMasterData.xlsm]enemies!S"&amp;(M13+1))* INDIRECT("[EnemyMasterData.xlsm]enemies!AD"&amp;(M13+1))*[4]ステータス!$B$2,0)*T13</f>
        <v>462065.39999999997</v>
      </c>
      <c r="V13" s="124">
        <v>0.8</v>
      </c>
      <c r="W13" s="103">
        <f ca="1">ROUND(VLOOKUP(S13,[3]enemy_base_stats!$A:$F,3,FALSE) *INDIRECT("[EnemyMasterData.xlsm]enemies!Z"&amp;(M13+1))*  INDIRECT("[EnemyMasterData.xlsm]enemies!K"&amp;(M13+1))* INDIRECT("[EnemyMasterData.xlsm]enemies!P"&amp;(M13+1))* INDIRECT("[EnemyMasterData.xlsm]enemies!F"&amp;(M13+1))* INDIRECT("[EnemyMasterData.xlsm]enemies!T"&amp;(M13+1))* INDIRECT("[EnemyMasterData.xlsm]enemies!AE"&amp;(M13+1))*[4]ステータス!$C$2,0)*V13</f>
        <v>5931.2000000000007</v>
      </c>
      <c r="X13" s="5">
        <v>0</v>
      </c>
      <c r="Y13" s="4" t="e">
        <f ca="1">VLOOKUP($Z13,OFFSET([5]enemy_skill_sets!$B$1,0,0,COUNTA([5]enemy_skill_sets!$B:$B),MATCH(N$1,[5]enemy_skill_sets!$1:$1,0)-MATCH($Z$1,[5]enemy_skill_sets!$1:$1,0)+2),MATCH(N$1,[5]enemy_skill_sets!$1:$1,0)-MATCH($Z$1,[5]enemy_skill_sets!$1:$1,0)+2,FALSE)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3" s="4">
        <v>47004710</v>
      </c>
      <c r="AA13" s="70">
        <v>1</v>
      </c>
    </row>
    <row r="14" spans="1:27" ht="21" customHeight="1" x14ac:dyDescent="0.15">
      <c r="A14" s="16" t="str">
        <f>B14&amp;"_"&amp;C14&amp;"-"&amp;G14&amp;"/"&amp;M14&amp;"&lt;lv"&amp;S14&amp;"&gt;sq"&amp;K14&amp;"st"&amp;L14</f>
        <v>47004_4-2/1284&lt;lv80&gt;sq1st2</v>
      </c>
      <c r="B14" s="22">
        <v>47004</v>
      </c>
      <c r="C14" s="21">
        <v>4</v>
      </c>
      <c r="D14" s="2" t="str">
        <f>B14&amp;"_"&amp;C14</f>
        <v>47004_4</v>
      </c>
      <c r="E14" s="4" t="str">
        <f ca="1">VLOOKUP($B14,OFFSET([2]quests!$A$1,0,0,COUNTA([2]quests!$A:$A),MATCH(E$1,[2]quests!$1:$1,0)-MATCH($B$1,[2]quests!$1:$1,0)+1),MATCH(E$1,[2]quests!$1:$1,0)-MATCH($B$1,[2]quests!$1:$1,0)+1,FALSE)</f>
        <v>聖なる夜に祝福を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【ウィザード級】聖なる夜に祝福を</v>
      </c>
      <c r="G14" s="21">
        <v>2</v>
      </c>
      <c r="H14" s="15" t="str">
        <f>B14&amp;"_"&amp;C14&amp;"-"&amp;G14</f>
        <v>47004_4-2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>
        <v>1</v>
      </c>
      <c r="L14" s="38">
        <v>2</v>
      </c>
      <c r="M14" s="20">
        <v>1284</v>
      </c>
      <c r="N14" s="17" t="str">
        <f ca="1">VLOOKUP($M14,OFFSET([3]enemies!$A$1,0,0,COUNTA([3]enemies!$A:$A),MATCH(N$1,[3]enemies!$1:$1,0)-MATCH($M$1,[3]enemies!$1:$1,0)+1),MATCH(N$1,[3]enemies!$1:$1,0)-MATCH($M$1,[3]enemies!$1:$1,0)+1,FALSE)</f>
        <v>マシン・シュプール</v>
      </c>
      <c r="O14" s="17" t="str">
        <f ca="1">VLOOKUP($M14,OFFSET([3]enemies!$A$1,0,0,COUNTA([3]enemies!$A:$A),MATCH(O$1,[3]enemies!$1:$1,0)-MATCH($M$1,[3]enemies!$1:$1,0)+1),MATCH(O$1,[3]enemies!$1:$1,0)-MATCH($M$1,[3]enemies!$1:$1,0)+1,FALSE)</f>
        <v>blue</v>
      </c>
      <c r="P14" s="17" t="str">
        <f ca="1">VLOOKUP($M14,OFFSET([4]characters!$A$1,0,0,COUNTA([4]characters!$A:$A),MATCH(P$1,[4]characters!$1:$1,0)-MATCH($M$1,[4]characters!$1:$1,0)+1),MATCH(P$1,[4]characters!$1:$1,0)-MATCH($M$1,[4]characters!$1:$1,0)+1,FALSE)</f>
        <v>DropWizS</v>
      </c>
      <c r="Q14" s="17" t="str">
        <f ca="1">VLOOKUP($M14,OFFSET([3]enemies!$A$1,0,0,COUNTA([3]enemies!$A:$A),MATCH(Q$1,[3]enemies!$1:$1,0)-MATCH($M$1,[3]enemies!$1:$1,0)+1),MATCH(Q$1,[3]enemies!$1:$1,0)-MATCH($M$1,[3]enemies!$1:$1,0)+1,FALSE)</f>
        <v>unknown</v>
      </c>
      <c r="R14" s="17">
        <f ca="1">VLOOKUP($M14,OFFSET([3]enemies!$A$1,0,0,COUNTA([3]enemies!$A:$A),MATCH(R$1,[3]enemies!$1:$1,0)-MATCH($M$1,[3]enemies!$1:$1,0)+1),MATCH(R$1,[3]enemies!$1:$1,0)-MATCH($M$1,[3]enemies!$1:$1,0)+1,FALSE)</f>
        <v>60</v>
      </c>
      <c r="S14" s="5">
        <v>80</v>
      </c>
      <c r="T14" s="25">
        <v>1</v>
      </c>
      <c r="U14" s="103">
        <f ca="1">ROUND(VLOOKUP(S14,[3]enemy_base_stats!$A:$F,2,FALSE) *INDIRECT("[EnemyMasterData.xlsm]enemies!Y"&amp;(M14+1))*  INDIRECT("[EnemyMasterData.xlsm]enemies!J"&amp;(M14+1))* INDIRECT("[EnemyMasterData.xlsm]enemies!O"&amp;(M14+1))* INDIRECT("[EnemyMasterData.xlsm]enemies!E"&amp;(M14+1))* INDIRECT("[EnemyMasterData.xlsm]enemies!S"&amp;(M14+1))* INDIRECT("[EnemyMasterData.xlsm]enemies!AD"&amp;(M14+1))*[4]ステータス!$B$2,0)*T14</f>
        <v>200898</v>
      </c>
      <c r="V14" s="25">
        <v>1</v>
      </c>
      <c r="W14" s="103">
        <f ca="1">ROUND(VLOOKUP(S14,[3]enemy_base_stats!$A:$F,3,FALSE) *INDIRECT("[EnemyMasterData.xlsm]enemies!Z"&amp;(M14+1))*  INDIRECT("[EnemyMasterData.xlsm]enemies!K"&amp;(M14+1))* INDIRECT("[EnemyMasterData.xlsm]enemies!P"&amp;(M14+1))* INDIRECT("[EnemyMasterData.xlsm]enemies!F"&amp;(M14+1))* INDIRECT("[EnemyMasterData.xlsm]enemies!T"&amp;(M14+1))* INDIRECT("[EnemyMasterData.xlsm]enemies!AE"&amp;(M14+1))*[4]ステータス!$C$2,0)*V14</f>
        <v>7414</v>
      </c>
      <c r="X14" s="114">
        <v>999999</v>
      </c>
      <c r="Y14" s="4" t="e">
        <f ca="1">VLOOKUP($Z14,OFFSET([5]enemy_skill_sets!$B$1,0,0,COUNTA([5]enemy_skill_sets!$B:$B),MATCH(N$1,[5]enemy_skill_sets!$1:$1,0)-MATCH($Z$1,[5]enemy_skill_sets!$1:$1,0)+2),MATCH(N$1,[5]enemy_skill_sets!$1:$1,0)-MATCH($Z$1,[5]enemy_skill_sets!$1:$1,0)+2,FALSE)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4" s="4">
        <v>47004800</v>
      </c>
      <c r="AA14" s="70">
        <v>1</v>
      </c>
    </row>
    <row r="15" spans="1:27" ht="21" customHeight="1" x14ac:dyDescent="0.15">
      <c r="A15" s="16" t="str">
        <f>B15&amp;"_"&amp;C15&amp;"-"&amp;G15&amp;"/"&amp;M15&amp;"&lt;lv"&amp;S15&amp;"&gt;sq"&amp;K15&amp;"st"&amp;L15</f>
        <v>47004_4-2/1277&lt;lv80&gt;sq1st3</v>
      </c>
      <c r="B15" s="22">
        <v>47004</v>
      </c>
      <c r="C15" s="21">
        <v>4</v>
      </c>
      <c r="D15" s="2" t="str">
        <f>B15&amp;"_"&amp;C15</f>
        <v>47004_4</v>
      </c>
      <c r="E15" s="4" t="str">
        <f ca="1">VLOOKUP($B15,OFFSET([2]quests!$A$1,0,0,COUNTA([2]quests!$A:$A),MATCH(E$1,[2]quests!$1:$1,0)-MATCH($B$1,[2]quests!$1:$1,0)+1),MATCH(E$1,[2]quests!$1:$1,0)-MATCH($B$1,[2]quests!$1:$1,0)+1,FALSE)</f>
        <v>聖なる夜に祝福を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【ウィザード級】聖なる夜に祝福を</v>
      </c>
      <c r="G15" s="21">
        <v>2</v>
      </c>
      <c r="H15" s="15" t="str">
        <f>B15&amp;"_"&amp;C15&amp;"-"&amp;G15</f>
        <v>47004_4-2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1</v>
      </c>
      <c r="L15" s="38">
        <v>3</v>
      </c>
      <c r="M15" s="20">
        <v>1277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彩鈴鳴らす聖天使 ミカエル・イヴ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yellow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PremiumS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god</v>
      </c>
      <c r="R15" s="17">
        <f ca="1">VLOOKUP($M15,OFFSET([3]enemies!$A$1,0,0,COUNTA([3]enemies!$A:$A),MATCH(R$1,[3]enemies!$1:$1,0)-MATCH($M$1,[3]enemies!$1:$1,0)+1),MATCH(R$1,[3]enemies!$1:$1,0)-MATCH($M$1,[3]enemies!$1:$1,0)+1,FALSE)</f>
        <v>60</v>
      </c>
      <c r="S15" s="5">
        <v>80</v>
      </c>
      <c r="T15" s="25">
        <v>1</v>
      </c>
      <c r="U15" s="103">
        <f ca="1">ROUND(VLOOKUP(S15,[3]enemy_base_stats!$A:$F,2,FALSE) *INDIRECT("[EnemyMasterData.xlsm]enemies!Y"&amp;(M15+1))*  INDIRECT("[EnemyMasterData.xlsm]enemies!J"&amp;(M15+1))* INDIRECT("[EnemyMasterData.xlsm]enemies!O"&amp;(M15+1))* INDIRECT("[EnemyMasterData.xlsm]enemies!E"&amp;(M15+1))* INDIRECT("[EnemyMasterData.xlsm]enemies!S"&amp;(M15+1))* INDIRECT("[EnemyMasterData.xlsm]enemies!AD"&amp;(M15+1))*[4]ステータス!$B$2,0)*T15</f>
        <v>130348</v>
      </c>
      <c r="V15" s="25">
        <v>1</v>
      </c>
      <c r="W15" s="103">
        <f ca="1">ROUND(VLOOKUP(S15,[3]enemy_base_stats!$A:$F,3,FALSE) *INDIRECT("[EnemyMasterData.xlsm]enemies!Z"&amp;(M15+1))*  INDIRECT("[EnemyMasterData.xlsm]enemies!K"&amp;(M15+1))* INDIRECT("[EnemyMasterData.xlsm]enemies!P"&amp;(M15+1))* INDIRECT("[EnemyMasterData.xlsm]enemies!F"&amp;(M15+1))* INDIRECT("[EnemyMasterData.xlsm]enemies!T"&amp;(M15+1))* INDIRECT("[EnemyMasterData.xlsm]enemies!AE"&amp;(M15+1))*[4]ステータス!$C$2,0)*V15</f>
        <v>12194</v>
      </c>
      <c r="X15" s="114">
        <v>999999</v>
      </c>
      <c r="Y15" s="4" t="e">
        <f ca="1">VLOOKUP($Z15,OFFSET([5]enemy_skill_sets!$B$1,0,0,COUNTA([5]enemy_skill_sets!$B:$B),MATCH(N$1,[5]enemy_skill_sets!$1:$1,0)-MATCH($Z$1,[5]enemy_skill_sets!$1:$1,0)+2),MATCH(N$1,[5]enemy_skill_sets!$1:$1,0)-MATCH($Z$1,[5]enemy_skill_sets!$1:$1,0)+2,FALSE)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5" s="4">
        <v>47004810</v>
      </c>
      <c r="AA15" s="70">
        <v>1</v>
      </c>
    </row>
    <row r="16" spans="1:27" ht="21" customHeight="1" x14ac:dyDescent="0.15">
      <c r="A16" s="16" t="str">
        <f t="shared" ref="A16:A17" si="9">B16&amp;"_"&amp;C16&amp;"-"&amp;G16&amp;"/"&amp;M16&amp;"&lt;lv"&amp;S16&amp;"&gt;sq"&amp;K16&amp;"st"&amp;L16</f>
        <v>47004_4-4/1284&lt;lv80&gt;sq2st2</v>
      </c>
      <c r="B16" s="22">
        <v>47004</v>
      </c>
      <c r="C16" s="21">
        <v>4</v>
      </c>
      <c r="D16" s="2" t="str">
        <f t="shared" ref="D16:D17" si="10">B16&amp;"_"&amp;C16</f>
        <v>47004_4</v>
      </c>
      <c r="E16" s="4" t="str">
        <f ca="1">VLOOKUP($B16,OFFSET([2]quests!$A$1,0,0,COUNTA([2]quests!$A:$A),MATCH(E$1,[2]quests!$1:$1,0)-MATCH($B$1,[2]quests!$1:$1,0)+1),MATCH(E$1,[2]quests!$1:$1,0)-MATCH($B$1,[2]quests!$1:$1,0)+1,FALSE)</f>
        <v>聖なる夜に祝福を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【ウィザード級】聖なる夜に祝福を</v>
      </c>
      <c r="G16" s="21">
        <v>4</v>
      </c>
      <c r="H16" s="15" t="str">
        <f t="shared" ref="H16:H17" si="11">B16&amp;"_"&amp;C16&amp;"-"&amp;G16</f>
        <v>47004_4-4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2</v>
      </c>
      <c r="L16" s="38">
        <v>2</v>
      </c>
      <c r="M16" s="20">
        <v>1284</v>
      </c>
      <c r="N16" s="17" t="str">
        <f ca="1">VLOOKUP($M16,OFFSET([3]enemies!$A$1,0,0,COUNTA([3]enemies!$A:$A),MATCH(N$1,[3]enemies!$1:$1,0)-MATCH($M$1,[3]enemies!$1:$1,0)+1),MATCH(N$1,[3]enemies!$1:$1,0)-MATCH($M$1,[3]enemies!$1:$1,0)+1,FALSE)</f>
        <v>マシン・シュプール</v>
      </c>
      <c r="O16" s="17" t="str">
        <f ca="1">VLOOKUP($M16,OFFSET([3]enemies!$A$1,0,0,COUNTA([3]enemies!$A:$A),MATCH(O$1,[3]enemies!$1:$1,0)-MATCH($M$1,[3]enemies!$1:$1,0)+1),MATCH(O$1,[3]enemies!$1:$1,0)-MATCH($M$1,[3]enemies!$1:$1,0)+1,FALSE)</f>
        <v>blue</v>
      </c>
      <c r="P16" s="17" t="str">
        <f ca="1">VLOOKUP($M16,OFFSET([4]characters!$A$1,0,0,COUNTA([4]characters!$A:$A),MATCH(P$1,[4]characters!$1:$1,0)-MATCH($M$1,[4]characters!$1:$1,0)+1),MATCH(P$1,[4]characters!$1:$1,0)-MATCH($M$1,[4]characters!$1:$1,0)+1,FALSE)</f>
        <v>DropWizS</v>
      </c>
      <c r="Q16" s="17" t="str">
        <f ca="1">VLOOKUP($M16,OFFSET([3]enemies!$A$1,0,0,COUNTA([3]enemies!$A:$A),MATCH(Q$1,[3]enemies!$1:$1,0)-MATCH($M$1,[3]enemies!$1:$1,0)+1),MATCH(Q$1,[3]enemies!$1:$1,0)-MATCH($M$1,[3]enemies!$1:$1,0)+1,FALSE)</f>
        <v>unknown</v>
      </c>
      <c r="R16" s="17">
        <f ca="1">VLOOKUP($M16,OFFSET([3]enemies!$A$1,0,0,COUNTA([3]enemies!$A:$A),MATCH(R$1,[3]enemies!$1:$1,0)-MATCH($M$1,[3]enemies!$1:$1,0)+1),MATCH(R$1,[3]enemies!$1:$1,0)-MATCH($M$1,[3]enemies!$1:$1,0)+1,FALSE)</f>
        <v>60</v>
      </c>
      <c r="S16" s="5">
        <v>80</v>
      </c>
      <c r="T16" s="25">
        <v>6.6</v>
      </c>
      <c r="U16" s="103">
        <f ca="1">ROUND(VLOOKUP(S16,[3]enemy_base_stats!$A:$F,2,FALSE) *INDIRECT("[EnemyMasterData.xlsm]enemies!Y"&amp;(M16+1))*  INDIRECT("[EnemyMasterData.xlsm]enemies!J"&amp;(M16+1))* INDIRECT("[EnemyMasterData.xlsm]enemies!O"&amp;(M16+1))* INDIRECT("[EnemyMasterData.xlsm]enemies!E"&amp;(M16+1))* INDIRECT("[EnemyMasterData.xlsm]enemies!S"&amp;(M16+1))* INDIRECT("[EnemyMasterData.xlsm]enemies!AD"&amp;(M16+1))*[4]ステータス!$B$2,0)*T16</f>
        <v>1325926.7999999998</v>
      </c>
      <c r="V16" s="25">
        <v>1</v>
      </c>
      <c r="W16" s="103">
        <f ca="1">ROUND(VLOOKUP(S16,[3]enemy_base_stats!$A:$F,3,FALSE) *INDIRECT("[EnemyMasterData.xlsm]enemies!Z"&amp;(M16+1))*  INDIRECT("[EnemyMasterData.xlsm]enemies!K"&amp;(M16+1))* INDIRECT("[EnemyMasterData.xlsm]enemies!P"&amp;(M16+1))* INDIRECT("[EnemyMasterData.xlsm]enemies!F"&amp;(M16+1))* INDIRECT("[EnemyMasterData.xlsm]enemies!T"&amp;(M16+1))* INDIRECT("[EnemyMasterData.xlsm]enemies!AE"&amp;(M16+1))*[4]ステータス!$C$2,0)*V16</f>
        <v>7414</v>
      </c>
      <c r="X16" s="5">
        <v>0</v>
      </c>
      <c r="Y16" s="4" t="e">
        <f ca="1">VLOOKUP($Z16,OFFSET([5]enemy_skill_sets!$B$1,0,0,COUNTA([5]enemy_skill_sets!$B:$B),MATCH(N$1,[5]enemy_skill_sets!$1:$1,0)-MATCH($Z$1,[5]enemy_skill_sets!$1:$1,0)+2),MATCH(N$1,[5]enemy_skill_sets!$1:$1,0)-MATCH($Z$1,[5]enemy_skill_sets!$1:$1,0)+2,FALSE)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6" s="4">
        <v>47004930</v>
      </c>
      <c r="AA16" s="70">
        <v>1</v>
      </c>
    </row>
    <row r="17" spans="1:27" ht="21" customHeight="1" x14ac:dyDescent="0.15">
      <c r="A17" s="16" t="str">
        <f t="shared" si="9"/>
        <v>47004_4-4/1285&lt;lv80&gt;sq2st3</v>
      </c>
      <c r="B17" s="22">
        <v>47004</v>
      </c>
      <c r="C17" s="21">
        <v>4</v>
      </c>
      <c r="D17" s="2" t="str">
        <f t="shared" si="10"/>
        <v>47004_4</v>
      </c>
      <c r="E17" s="4" t="str">
        <f ca="1">VLOOKUP($B17,OFFSET([2]quests!$A$1,0,0,COUNTA([2]quests!$A:$A),MATCH(E$1,[2]quests!$1:$1,0)-MATCH($B$1,[2]quests!$1:$1,0)+1),MATCH(E$1,[2]quests!$1:$1,0)-MATCH($B$1,[2]quests!$1:$1,0)+1,FALSE)</f>
        <v>聖なる夜に祝福を</v>
      </c>
      <c r="F17" s="4" t="str">
        <f ca="1">VLOOKUP($D17,OFFSET([2]stages!$A$1,0,0,COUNTA([2]stages!$A:$A),MATCH(F$1,[2]stages!$2:$2,0)-MATCH($D$1,[2]stages!$2:$2,0)+1),MATCH(F$1,[2]stages!$2:$2,0)-MATCH($D$1,[2]stages!$2:$2,0)+1,FALSE)</f>
        <v>【ウィザード級】聖なる夜に祝福を</v>
      </c>
      <c r="G17" s="21">
        <v>4</v>
      </c>
      <c r="H17" s="15" t="str">
        <f t="shared" si="11"/>
        <v>47004_4-4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>
        <v>2</v>
      </c>
      <c r="L17" s="38">
        <v>3</v>
      </c>
      <c r="M17" s="20">
        <v>1285</v>
      </c>
      <c r="N17" s="17" t="str">
        <f ca="1">VLOOKUP($M17,OFFSET([3]enemies!$A$1,0,0,COUNTA([3]enemies!$A:$A),MATCH(N$1,[3]enemies!$1:$1,0)-MATCH($M$1,[3]enemies!$1:$1,0)+1),MATCH(N$1,[3]enemies!$1:$1,0)-MATCH($M$1,[3]enemies!$1:$1,0)+1,FALSE)</f>
        <v>災氷の魔導 シュプール</v>
      </c>
      <c r="O17" s="17" t="str">
        <f ca="1">VLOOKUP($M17,OFFSET([3]enemies!$A$1,0,0,COUNTA([3]enemies!$A:$A),MATCH(O$1,[3]enemies!$1:$1,0)-MATCH($M$1,[3]enemies!$1:$1,0)+1),MATCH(O$1,[3]enemies!$1:$1,0)-MATCH($M$1,[3]enemies!$1:$1,0)+1,FALSE)</f>
        <v>blue</v>
      </c>
      <c r="P17" s="17" t="str">
        <f ca="1">VLOOKUP($M17,OFFSET([4]characters!$A$1,0,0,COUNTA([4]characters!$A:$A),MATCH(P$1,[4]characters!$1:$1,0)-MATCH($M$1,[4]characters!$1:$1,0)+1),MATCH(P$1,[4]characters!$1:$1,0)-MATCH($M$1,[4]characters!$1:$1,0)+1,FALSE)</f>
        <v>DropWizS</v>
      </c>
      <c r="Q17" s="17" t="str">
        <f ca="1">VLOOKUP($M17,OFFSET([3]enemies!$A$1,0,0,COUNTA([3]enemies!$A:$A),MATCH(Q$1,[3]enemies!$1:$1,0)-MATCH($M$1,[3]enemies!$1:$1,0)+1),MATCH(Q$1,[3]enemies!$1:$1,0)-MATCH($M$1,[3]enemies!$1:$1,0)+1,FALSE)</f>
        <v>unknown</v>
      </c>
      <c r="R17" s="17">
        <f ca="1">VLOOKUP($M17,OFFSET([3]enemies!$A$1,0,0,COUNTA([3]enemies!$A:$A),MATCH(R$1,[3]enemies!$1:$1,0)-MATCH($M$1,[3]enemies!$1:$1,0)+1),MATCH(R$1,[3]enemies!$1:$1,0)-MATCH($M$1,[3]enemies!$1:$1,0)+1,FALSE)</f>
        <v>60</v>
      </c>
      <c r="S17" s="5">
        <v>80</v>
      </c>
      <c r="T17" s="25">
        <v>4.7</v>
      </c>
      <c r="U17" s="103">
        <f ca="1">ROUND(VLOOKUP(S17,[3]enemy_base_stats!$A:$F,2,FALSE) *INDIRECT("[EnemyMasterData.xlsm]enemies!Y"&amp;(M17+1))*  INDIRECT("[EnemyMasterData.xlsm]enemies!J"&amp;(M17+1))* INDIRECT("[EnemyMasterData.xlsm]enemies!O"&amp;(M17+1))* INDIRECT("[EnemyMasterData.xlsm]enemies!E"&amp;(M17+1))* INDIRECT("[EnemyMasterData.xlsm]enemies!S"&amp;(M17+1))* INDIRECT("[EnemyMasterData.xlsm]enemies!AD"&amp;(M17+1))*[4]ステータス!$B$2,0)*T17</f>
        <v>944220.60000000009</v>
      </c>
      <c r="V17" s="25">
        <v>0.9</v>
      </c>
      <c r="W17" s="103">
        <f ca="1">ROUND(VLOOKUP(S17,[3]enemy_base_stats!$A:$F,3,FALSE) *INDIRECT("[EnemyMasterData.xlsm]enemies!Z"&amp;(M17+1))*  INDIRECT("[EnemyMasterData.xlsm]enemies!K"&amp;(M17+1))* INDIRECT("[EnemyMasterData.xlsm]enemies!P"&amp;(M17+1))* INDIRECT("[EnemyMasterData.xlsm]enemies!F"&amp;(M17+1))* INDIRECT("[EnemyMasterData.xlsm]enemies!T"&amp;(M17+1))* INDIRECT("[EnemyMasterData.xlsm]enemies!AE"&amp;(M17+1))*[4]ステータス!$C$2,0)*V17</f>
        <v>6672.6</v>
      </c>
      <c r="X17" s="5">
        <v>0</v>
      </c>
      <c r="Y17" s="4" t="e">
        <f ca="1">VLOOKUP($Z17,OFFSET([5]enemy_skill_sets!$B$1,0,0,COUNTA([5]enemy_skill_sets!$B:$B),MATCH(N$1,[5]enemy_skill_sets!$1:$1,0)-MATCH($Z$1,[5]enemy_skill_sets!$1:$1,0)+2),MATCH(N$1,[5]enemy_skill_sets!$1:$1,0)-MATCH($Z$1,[5]enemy_skill_sets!$1:$1,0)+2,FALSE)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7" s="4">
        <v>47004960</v>
      </c>
      <c r="AA17" s="70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13"/>
  <sheetViews>
    <sheetView showGridLines="0" workbookViewId="0">
      <pane xSplit="5" ySplit="1" topLeftCell="G118" activePane="bottomRight" state="frozen"/>
      <selection pane="topRight"/>
      <selection pane="bottomLeft"/>
      <selection pane="bottomRight" activeCell="D25" sqref="D25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50.1640625" style="49" bestFit="1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69" si="0">B2&amp;"_"&amp;C2</f>
        <v>47004000_47004001</v>
      </c>
      <c r="B2" s="47">
        <v>47004000</v>
      </c>
      <c r="C2" s="47">
        <v>47004001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メリークリスマス♪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素敵な夜ね_x000D_あなた方も楽しんでいるかしら？</v>
      </c>
      <c r="F2" s="47">
        <v>47004001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47004000_47004002</v>
      </c>
      <c r="B3" s="47">
        <v>47004000</v>
      </c>
      <c r="C3" s="47">
        <v>47004002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星誕の降儀・白式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" s="47">
        <v>47004002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47004000_47004003</v>
      </c>
      <c r="B4" s="47">
        <v>47004000</v>
      </c>
      <c r="C4" s="47">
        <v>47004003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それにしても今日は特別に寒いわね…_x000D_何かあったのかしら…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4" s="47">
        <v>47004003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0"/>
        <v>47004000_47004004</v>
      </c>
      <c r="B5" s="47">
        <v>47004000</v>
      </c>
      <c r="C5" s="47">
        <v>47004004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雪の妖精みたい…綺麗ね…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5" s="47">
        <v>47004004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47004000_47004004</v>
      </c>
      <c r="B6" s="47">
        <v>47004000</v>
      </c>
      <c r="C6" s="47">
        <v>47004004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雪の妖精みたい…綺麗ね…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6" s="47">
        <v>47004005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47004000_47004005</v>
      </c>
      <c r="B7" s="47">
        <v>47004000</v>
      </c>
      <c r="C7" s="47">
        <v>47004005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ふふっ名前の通り_x000D_聖夜がお似合いね♪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7" s="47">
        <v>47004006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47004000_47004005</v>
      </c>
      <c r="B8" s="47">
        <v>47004000</v>
      </c>
      <c r="C8" s="47">
        <v>47004005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ふふっ名前の通り_x000D_聖夜がお似合いね♪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8" s="47">
        <v>47004007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47004000_47004005</v>
      </c>
      <c r="B9" s="47">
        <v>47004000</v>
      </c>
      <c r="C9" s="47">
        <v>47004005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ふふっ名前の通り_x000D_聖夜がお似合いね♪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9" s="47">
        <v>47004008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47004000_47004006</v>
      </c>
      <c r="B10" s="47">
        <v>47004000</v>
      </c>
      <c r="C10" s="47">
        <v>47004006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聖夜に舞う天使…ってところかしら？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0" s="47">
        <v>47004009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0"/>
        <v>47004000_47004006</v>
      </c>
      <c r="B11" s="47">
        <v>47004000</v>
      </c>
      <c r="C11" s="47">
        <v>47004006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聖夜に舞う天使…ってところかしら？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1" s="47">
        <v>47004010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0"/>
        <v>47004000_47004006</v>
      </c>
      <c r="B12" s="47">
        <v>47004000</v>
      </c>
      <c r="C12" s="47">
        <v>47004006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聖夜に舞う天使…ってところかしら？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2" s="47">
        <v>47004011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0"/>
        <v>47004000_47004007</v>
      </c>
      <c r="B13" s="47">
        <v>47004000</v>
      </c>
      <c r="C13" s="47">
        <v>47004007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あら、今年はプロメテウスはいないの？_x000D_きっと悲しんでるわよ？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3" s="47">
        <v>47004012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0"/>
        <v>47004000_47004007</v>
      </c>
      <c r="B14" s="47">
        <v>47004000</v>
      </c>
      <c r="C14" s="47">
        <v>47004007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あら、今年はプロメテウスはいないの？_x000D_きっと悲しんでるわよ？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4" s="47">
        <v>47004013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0"/>
        <v>47004000_47004007</v>
      </c>
      <c r="B15" s="47">
        <v>47004000</v>
      </c>
      <c r="C15" s="47">
        <v>47004007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あら、今年はプロメテウスはいないの？_x000D_きっと悲しんでるわよ？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5" s="47">
        <v>47004014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47004000_47004008</v>
      </c>
      <c r="B16" s="47">
        <v>47004000</v>
      </c>
      <c r="C16" s="47">
        <v>47004008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そのバイクならプレゼント運びも楽チンね♪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6" s="47">
        <v>47004015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0"/>
        <v>47004000_47004008</v>
      </c>
      <c r="B17" s="47">
        <v>47004000</v>
      </c>
      <c r="C17" s="47">
        <v>47004008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そのバイクならプレゼント運びも楽チンね♪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7" s="47">
        <v>47004016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0"/>
        <v>47004000_47004008</v>
      </c>
      <c r="B18" s="47">
        <v>47004000</v>
      </c>
      <c r="C18" s="47">
        <v>47004008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そのバイクならプレゼント運びも楽チンね♪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8" s="47">
        <v>47004017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ref="A19" si="1">B19&amp;"_"&amp;C19</f>
        <v>47004000_47004009</v>
      </c>
      <c r="B19" s="47">
        <v>47004000</v>
      </c>
      <c r="C19" s="47">
        <v>47004009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メリークリスマス♪_x000D_あら、ワイルドなサンタさんね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残りHPの50%消費+_x000D_全ユニットのスキルゲージを2ターン減少+_x000D_全ユニットのCパネル生成短縮</v>
      </c>
      <c r="F19" s="47">
        <v>47004018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0"/>
        <v>47004020_47004021</v>
      </c>
      <c r="B20" s="47">
        <v>47004020</v>
      </c>
      <c r="C20" s="47">
        <v>47004021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メリークリスマス！っと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このプレゼントか？_x000D_たまにはこんな事でもしてみようかと思ってな</v>
      </c>
      <c r="F20" s="47">
        <v>47004021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0"/>
        <v>47004020_47004022</v>
      </c>
      <c r="B21" s="47">
        <v>47004020</v>
      </c>
      <c r="C21" s="47">
        <v>47004022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デビルズギフト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1" s="47">
        <v>47004022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0"/>
        <v>47004020_47004023</v>
      </c>
      <c r="B22" s="47">
        <v>47004020</v>
      </c>
      <c r="C22" s="47">
        <v>47004023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大きな雪だるま…？_x000D_そういえばさっき見た気がするな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22" s="47">
        <v>47004023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0"/>
        <v>47004020_47004024</v>
      </c>
      <c r="B23" s="47">
        <v>47004020</v>
      </c>
      <c r="C23" s="47">
        <v>47004024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美しいサンタクロースだな…_x000D_まぁ、テラベルや俺程ではないがな！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23" s="47">
        <v>47004024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0"/>
        <v>47004020_47004024</v>
      </c>
      <c r="B24" s="47">
        <v>47004020</v>
      </c>
      <c r="C24" s="47">
        <v>47004024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美しいサンタクロースだな…_x000D_まぁ、テラベルや俺程ではないがな！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24" s="47">
        <v>47004025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0"/>
        <v>47004020_47004025</v>
      </c>
      <c r="B25" s="47">
        <v>47004020</v>
      </c>
      <c r="C25" s="47">
        <v>47004025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その綺麗な声で_x000D_キャロルを聞かせてくれるのか？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25" s="47">
        <v>47004026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0"/>
        <v>47004020_47004025</v>
      </c>
      <c r="B26" s="47">
        <v>47004020</v>
      </c>
      <c r="C26" s="47">
        <v>47004025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その綺麗な声で_x000D_キャロルを聞かせてくれるのか？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26" s="47">
        <v>47004027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0"/>
        <v>47004020_47004025</v>
      </c>
      <c r="B27" s="47">
        <v>47004020</v>
      </c>
      <c r="C27" s="47">
        <v>47004025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その綺麗な声で_x000D_キャロルを聞かせてくれるのか？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27" s="47">
        <v>47004028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0"/>
        <v>47004020_47004026</v>
      </c>
      <c r="B28" s="47">
        <v>47004020</v>
      </c>
      <c r="C28" s="47">
        <v>47004026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おや、俺たちに福音を届けてくれるのか？_x000D_天使様らしいな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28" s="47">
        <v>47004029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0"/>
        <v>47004020_47004026</v>
      </c>
      <c r="B29" s="47">
        <v>47004020</v>
      </c>
      <c r="C29" s="47">
        <v>47004026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おや、俺たちに福音を届けてくれるのか？_x000D_天使様らしいな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29" s="47">
        <v>47004030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0"/>
        <v>47004020_47004026</v>
      </c>
      <c r="B30" s="47">
        <v>47004020</v>
      </c>
      <c r="C30" s="47">
        <v>47004026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おや、俺たちに福音を届けてくれるのか？_x000D_天使様らしいな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30" s="47">
        <v>47004031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0"/>
        <v>47004020_47004027</v>
      </c>
      <c r="B31" s="47">
        <v>47004020</v>
      </c>
      <c r="C31" s="47">
        <v>47004027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去年より一段と色っぽいな_x000D_あいつが見たらどう思うのか…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31" s="47">
        <v>47004032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0"/>
        <v>47004020_47004027</v>
      </c>
      <c r="B32" s="47">
        <v>47004020</v>
      </c>
      <c r="C32" s="47">
        <v>47004027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去年より一段と色っぽいな_x000D_あいつが見たらどう思うのか…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32" s="47">
        <v>47004033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0"/>
        <v>47004020_47004027</v>
      </c>
      <c r="B33" s="47">
        <v>47004020</v>
      </c>
      <c r="C33" s="47">
        <v>47004027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去年より一段と色っぽいな_x000D_あいつが見たらどう思うのか…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33" s="47">
        <v>47004034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0"/>
        <v>47004020_47004028</v>
      </c>
      <c r="B34" s="47">
        <v>47004020</v>
      </c>
      <c r="C34" s="47">
        <v>47004028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ベリアル、今年もご苦労さん_x000D_さてプレゼントは何かな…？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34" s="47">
        <v>47004035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0"/>
        <v>47004020_47004028</v>
      </c>
      <c r="B35" s="47">
        <v>47004020</v>
      </c>
      <c r="C35" s="47">
        <v>47004028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ベリアル、今年もご苦労さん_x000D_さてプレゼントは何かな…？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35" s="47">
        <v>47004036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0"/>
        <v>47004020_47004028</v>
      </c>
      <c r="B36" s="47">
        <v>47004020</v>
      </c>
      <c r="C36" s="47">
        <v>47004028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ベリアル、今年もご苦労さん_x000D_さてプレゼントは何かな…？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36" s="47">
        <v>47004037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ref="A37" si="2">B37&amp;"_"&amp;C37</f>
        <v>47004020_47004029</v>
      </c>
      <c r="B37" s="47">
        <v>47004020</v>
      </c>
      <c r="C37" s="47">
        <v>47004029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メリークリスマス！っと_x000D_おや、雅なサンタクロースだな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残りHPの50%消費+_x000D_全ユニットのスキルゲージを2ターン減少+_x000D_全ユニットのボムの爆風を10%UP</v>
      </c>
      <c r="F37" s="47">
        <v>47004038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0"/>
        <v>47004040_47004041</v>
      </c>
      <c r="B38" s="47">
        <v>47004040</v>
      </c>
      <c r="C38" s="47">
        <v>47004041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……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マシン・シュプールはこちらの様子を伺っている_x000D_【解除するまで全属性の攻撃をカウンター】</v>
      </c>
      <c r="F38" s="47">
        <v>47004041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0"/>
        <v>47004040_47004042</v>
      </c>
      <c r="B39" s="47">
        <v>47004040</v>
      </c>
      <c r="C39" s="47">
        <v>47004042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その結晶は鏡の欠片のよう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黄パネルを青のダメージパネルに2個変換+単体攻撃</v>
      </c>
      <c r="F39" s="47">
        <v>47004042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0"/>
        <v>47004040_47004043</v>
      </c>
      <c r="B40" s="47">
        <v>47004040</v>
      </c>
      <c r="C40" s="47">
        <v>47004043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眠りに誘う氷激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2ターンユニット1体にスリープ+単体攻撃</v>
      </c>
      <c r="F40" s="47">
        <v>47004043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0"/>
        <v>47004040_47004044</v>
      </c>
      <c r="B41" s="47">
        <v>47004040</v>
      </c>
      <c r="C41" s="47">
        <v>47004044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……僕に構わないでくれ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ハートパネルを青パネルに5個変換+行動頻度UP</v>
      </c>
      <c r="F41" s="47">
        <v>47004044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0"/>
        <v>47004050_47004051</v>
      </c>
      <c r="B42" s="47">
        <v>47004050</v>
      </c>
      <c r="C42" s="47">
        <v>47004051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……！！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マシン・シュプールは逃げようとしている！</v>
      </c>
      <c r="F42" s="47">
        <v>47004051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0"/>
        <v>47004050_47004052</v>
      </c>
      <c r="B43" s="47">
        <v>47004050</v>
      </c>
      <c r="C43" s="47">
        <v>47004052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？？？「待って下さい！」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？？？「いつまでも閉じこもって困ったものです…あら？」</v>
      </c>
      <c r="F43" s="47">
        <v>47004052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0"/>
        <v>47004060_47004061</v>
      </c>
      <c r="B44" s="47">
        <v>47004060</v>
      </c>
      <c r="C44" s="47">
        <v>47004061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みなさんお揃いですか！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…えぇ、この寒さは彼の影響でもあるんです</v>
      </c>
      <c r="F44" s="47">
        <v>47004061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0"/>
        <v>47004060_47004062</v>
      </c>
      <c r="B45" s="47">
        <v>47004060</v>
      </c>
      <c r="C45" s="47">
        <v>47004062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それでは、楽しいクリスマスを心から祈っています！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ミカエルはまばゆい光とともに飛び去った_x000D_【黄パネルドロップ率DOWN】</v>
      </c>
      <c r="F45" s="47">
        <v>47004062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0"/>
        <v>47004060_47004063</v>
      </c>
      <c r="B46" s="47">
        <v>47004060</v>
      </c>
      <c r="C46" s="47">
        <v>47004063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わぁ！ラチカさん_x000D_聖夜に雪を降らせてくださいな！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6" s="47">
        <v>47004063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0"/>
        <v>47004060_47004063</v>
      </c>
      <c r="B47" s="47">
        <v>47004060</v>
      </c>
      <c r="C47" s="47">
        <v>47004063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わぁ！ラチカさん_x000D_聖夜に雪を降らせてくださいな！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7" s="47">
        <v>47004064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0"/>
        <v>47004060_47004064</v>
      </c>
      <c r="B48" s="47">
        <v>47004060</v>
      </c>
      <c r="C48" s="47">
        <v>47004064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マリアさん！_x000D_聖夜の奇跡見せてください！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8" s="47">
        <v>47004065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0"/>
        <v>47004060_47004064</v>
      </c>
      <c r="B49" s="47">
        <v>47004060</v>
      </c>
      <c r="C49" s="47">
        <v>47004064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マリアさん！_x000D_聖夜の奇跡見せてください！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9" s="47">
        <v>47004066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0"/>
        <v>47004060_47004064</v>
      </c>
      <c r="B50" s="47">
        <v>47004060</v>
      </c>
      <c r="C50" s="47">
        <v>47004064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マリアさん！_x000D_聖夜の奇跡見せてください！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50" s="47">
        <v>47004067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0"/>
        <v>47004060_47004065</v>
      </c>
      <c r="B51" s="47">
        <v>47004060</v>
      </c>
      <c r="C51" s="47">
        <v>47004065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オセさん、皆の笑顔のために_x000D_一緒に頑張りましょ♪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51" s="47">
        <v>47004068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0"/>
        <v>47004060_47004065</v>
      </c>
      <c r="B52" s="47">
        <v>47004060</v>
      </c>
      <c r="C52" s="47">
        <v>47004065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オセさん、皆の笑顔のために_x000D_一緒に頑張りましょ♪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52" s="47">
        <v>47004069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0"/>
        <v>47004060_47004065</v>
      </c>
      <c r="B53" s="47">
        <v>47004060</v>
      </c>
      <c r="C53" s="47">
        <v>47004065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オセさん、皆の笑顔のために_x000D_一緒に頑張りましょ♪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53" s="47">
        <v>47004070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0"/>
        <v>47004060_47004066</v>
      </c>
      <c r="B54" s="47">
        <v>47004060</v>
      </c>
      <c r="C54" s="47">
        <v>47004066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ベリアルさんのバイクの後ろに_x000D_乗ってみたいです！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54" s="47">
        <v>47004071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0"/>
        <v>47004060_47004066</v>
      </c>
      <c r="B55" s="47">
        <v>47004060</v>
      </c>
      <c r="C55" s="47">
        <v>47004066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ベリアルさんのバイクの後ろに_x000D_乗ってみたいです！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55" s="47">
        <v>47004072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0"/>
        <v>47004060_47004066</v>
      </c>
      <c r="B56" s="47">
        <v>47004060</v>
      </c>
      <c r="C56" s="47">
        <v>47004066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ベリアルさんのバイクの後ろに_x000D_乗ってみたいです！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56" s="47">
        <v>47004073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ref="A57" si="3">B57&amp;"_"&amp;C57</f>
        <v>47004060_47004067</v>
      </c>
      <c r="B57" s="47">
        <v>47004060</v>
      </c>
      <c r="C57" s="47">
        <v>47004067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エスタブさん！_x000D_一緒に幸せを配りましょう！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57" s="47">
        <v>47004074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ref="A58" si="4">B58&amp;"_"&amp;C58</f>
        <v>47004060_47004068</v>
      </c>
      <c r="B58" s="47">
        <v>47004060</v>
      </c>
      <c r="C58" s="47">
        <v>47004068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卑弥呼さん！_x000D_一緒に幸せを配りましょう！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58" s="47">
        <v>47004075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0"/>
        <v>47004080_47004081</v>
      </c>
      <c r="B59" s="47">
        <v>47004080</v>
      </c>
      <c r="C59" s="47">
        <v>47004081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よう、お前達！_x000D_プレゼントを持ってきてやったぜ！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59" s="47">
        <v>47004081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0"/>
        <v>47004080_47004082</v>
      </c>
      <c r="B60" s="47">
        <v>47004080</v>
      </c>
      <c r="C60" s="47">
        <v>47004082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心が燃えていれば_x000D_寒さなんか感じないってね！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2回連続全体攻撃+_x000D_ハートパネルを赤のダメージパネルに2個変換</v>
      </c>
      <c r="F60" s="47">
        <v>47004082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0"/>
        <v>47004080_47004083</v>
      </c>
      <c r="B61" s="47">
        <v>47004080</v>
      </c>
      <c r="C61" s="47">
        <v>47004083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急いでるんでな！_x000D_飛ばしていくぜ！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青パネルを赤パネルに10個変換+単体攻撃+行動頻度UP</v>
      </c>
      <c r="F61" s="47">
        <v>47004083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0"/>
        <v>47004080_47004084</v>
      </c>
      <c r="B62" s="47">
        <v>47004080</v>
      </c>
      <c r="C62" s="47">
        <v>47004084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聖夜のエキゾーストノート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2" s="47">
        <v>47004084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0"/>
        <v>47004080_47004085</v>
      </c>
      <c r="B63" s="47">
        <v>47004080</v>
      </c>
      <c r="C63" s="47">
        <v>47004085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なんだ、雪だるまならさっき見かけたぜ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63" s="47">
        <v>47004085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0"/>
        <v>47004080_47004086</v>
      </c>
      <c r="B64" s="47">
        <v>47004080</v>
      </c>
      <c r="C64" s="47">
        <v>47004086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さーて、ラチカ！みんなを驚かす為に_x000D_手伝ってくれよな！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64" s="47">
        <v>47004086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0"/>
        <v>47004080_47004086</v>
      </c>
      <c r="B65" s="47">
        <v>47004080</v>
      </c>
      <c r="C65" s="47">
        <v>47004086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さーて、ラチカ！みんなを驚かす為に_x000D_手伝ってくれよな！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65" s="47">
        <v>47004087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0"/>
        <v>47004080_47004087</v>
      </c>
      <c r="B66" s="47">
        <v>47004080</v>
      </c>
      <c r="C66" s="47">
        <v>47004087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やっぱりクリスマスの夜は_x000D_マリアがいなくちゃ始まらねぇな！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66" s="47">
        <v>47004088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0"/>
        <v>47004080_47004087</v>
      </c>
      <c r="B67" s="47">
        <v>47004080</v>
      </c>
      <c r="C67" s="47">
        <v>47004087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やっぱりクリスマスの夜は_x000D_マリアがいなくちゃ始まらねぇな！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67" s="47">
        <v>47004089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0"/>
        <v>47004080_47004087</v>
      </c>
      <c r="B68" s="47">
        <v>47004080</v>
      </c>
      <c r="C68" s="47">
        <v>47004087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やっぱりクリスマスの夜は_x000D_マリアがいなくちゃ始まらねぇな！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68" s="47">
        <v>47004090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0"/>
        <v>47004080_47004088</v>
      </c>
      <c r="B69" s="47">
        <v>47004080</v>
      </c>
      <c r="C69" s="47">
        <v>47004088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ミカエル！今年も_x000D_かっ飛ばしていこうぜ！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69" s="47">
        <v>47004091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ref="A70:A129" si="5">B70&amp;"_"&amp;C70</f>
        <v>47004080_47004088</v>
      </c>
      <c r="B70" s="47">
        <v>47004080</v>
      </c>
      <c r="C70" s="47">
        <v>47004088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ミカエル！今年も_x000D_かっ飛ばしていこうぜ！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70" s="47">
        <v>47004092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5"/>
        <v>47004080_47004088</v>
      </c>
      <c r="B71" s="47">
        <v>47004080</v>
      </c>
      <c r="C71" s="47">
        <v>47004088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ミカエル！今年も_x000D_かっ飛ばしていこうぜ！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71" s="47">
        <v>47004093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5"/>
        <v>47004080_47004089</v>
      </c>
      <c r="B72" s="47">
        <v>47004080</v>
      </c>
      <c r="C72" s="47">
        <v>47004089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さぁ、オセ！_x000D_クリスマスは俺たちの独壇場だぜ！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72" s="47">
        <v>47004094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5"/>
        <v>47004080_47004089</v>
      </c>
      <c r="B73" s="47">
        <v>47004080</v>
      </c>
      <c r="C73" s="47">
        <v>47004089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さぁ、オセ！_x000D_クリスマスは俺たちの独壇場だぜ！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73" s="47">
        <v>47004095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5"/>
        <v>47004080_47004089</v>
      </c>
      <c r="B74" s="47">
        <v>47004080</v>
      </c>
      <c r="C74" s="47">
        <v>47004089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さぁ、オセ！_x000D_クリスマスは俺たちの独壇場だぜ！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74" s="47">
        <v>47004096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ref="A75:A76" si="6">B75&amp;"_"&amp;C75</f>
        <v>47004080_47004090</v>
      </c>
      <c r="B75" s="47">
        <v>47004080</v>
      </c>
      <c r="C75" s="47">
        <v>47004090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今年はエスタブも参加か？_x000D_熱くいこうぜ！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75" s="47">
        <v>47004097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219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6"/>
        <v>47004080_47004091</v>
      </c>
      <c r="B76" s="47">
        <v>47004080</v>
      </c>
      <c r="C76" s="47">
        <v>47004091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今年は卑弥呼も参加か？_x000D_熱くいこうぜ！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76" s="47">
        <v>47004098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218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5"/>
        <v>47004110_47004111</v>
      </c>
      <c r="B77" s="47">
        <v>47004110</v>
      </c>
      <c r="C77" s="47">
        <v>47004111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あ！そこのあなた達この辺で_x000D_大きな雪だるまを見なかった？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せっかくの夜なのに何やってくれちゃってるのよ、もう！_x000D_【3ターン暗闇+赤パネルを緑のダメージパネルに2個変換】</v>
      </c>
      <c r="F77" s="47">
        <v>47004111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5"/>
        <v>47004110_47004112</v>
      </c>
      <c r="B78" s="47">
        <v>47004110</v>
      </c>
      <c r="C78" s="47">
        <v>47004112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この後の予定…？_x000D_それくらい私にだってあるわよ！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8" s="47">
        <v>47004112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5"/>
        <v>47004110_47004113</v>
      </c>
      <c r="B79" s="47">
        <v>47004110</v>
      </c>
      <c r="C79" s="47">
        <v>47004113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えっ？_x000D_シュプールの事、代わりに探してくれるの？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そう…そ、それならお任せしちゃおうかしら…_x000D_じゃあね！メリークリスマス♪</v>
      </c>
      <c r="F79" s="47">
        <v>47004113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5"/>
        <v>47004110_47004114</v>
      </c>
      <c r="B80" s="47">
        <v>47004110</v>
      </c>
      <c r="C80" s="47">
        <v>47004114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あら、新入りさん？_x000D_可愛らしいサンタさんね♪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赤パネルを緑のダメージパネルに2個変換</v>
      </c>
      <c r="F80" s="47">
        <v>47004114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5"/>
        <v>47004110_47004114</v>
      </c>
      <c r="B81" s="47">
        <v>47004110</v>
      </c>
      <c r="C81" s="47">
        <v>47004114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あら、新入りさん？_x000D_可愛らしいサンタさんね♪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赤パネルを緑のダメージパネルに2個変換</v>
      </c>
      <c r="F81" s="47">
        <v>47004115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5"/>
        <v>47004110_47004115</v>
      </c>
      <c r="B82" s="47">
        <v>47004110</v>
      </c>
      <c r="C82" s="47">
        <v>47004115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今年も聖夜を祝福しているのね！_x000D_ふふっ私もやる気が湧いてきたわ！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赤パネルを緑のダメージパネルに2個変換</v>
      </c>
      <c r="F82" s="47">
        <v>47004116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5"/>
        <v>47004110_47004115</v>
      </c>
      <c r="B83" s="47">
        <v>47004110</v>
      </c>
      <c r="C83" s="47">
        <v>47004115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今年も聖夜を祝福しているのね！_x000D_ふふっ私もやる気が湧いてきたわ！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赤パネルを緑のダメージパネルに2個変換</v>
      </c>
      <c r="F83" s="47">
        <v>47004117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5"/>
        <v>47004110_47004115</v>
      </c>
      <c r="B84" s="47">
        <v>47004110</v>
      </c>
      <c r="C84" s="47">
        <v>47004115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今年も聖夜を祝福しているのね！_x000D_ふふっ私もやる気が湧いてきたわ！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赤パネルを緑のダメージパネルに2個変換</v>
      </c>
      <c r="F84" s="47">
        <v>47004118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5"/>
        <v>47004110_47004116</v>
      </c>
      <c r="B85" s="47">
        <v>47004110</v>
      </c>
      <c r="C85" s="47">
        <v>47004116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快活なサンタさんね！_x000D_さぁ一緒に頑張りましょ！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赤パネルを緑のダメージパネルに2個変換</v>
      </c>
      <c r="F85" s="47">
        <v>47004119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5"/>
        <v>47004110_47004116</v>
      </c>
      <c r="B86" s="47">
        <v>47004110</v>
      </c>
      <c r="C86" s="47">
        <v>47004116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快活なサンタさんね！_x000D_さぁ一緒に頑張りましょ！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赤パネルを緑のダメージパネルに2個変換</v>
      </c>
      <c r="F86" s="47">
        <v>47004120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5"/>
        <v>47004110_47004116</v>
      </c>
      <c r="B87" s="47">
        <v>47004110</v>
      </c>
      <c r="C87" s="47">
        <v>47004116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快活なサンタさんね！_x000D_さぁ一緒に頑張りましょ！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赤パネルを緑のダメージパネルに2個変換</v>
      </c>
      <c r="F87" s="47">
        <v>47004121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5"/>
        <v>47004110_47004117</v>
      </c>
      <c r="B88" s="47">
        <v>47004110</v>
      </c>
      <c r="C88" s="47">
        <v>47004117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え？プロメテウスにも見せてやりたい？_x000D_も、もう！やめてよね！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赤パネルを緑のダメージパネルに2個変換</v>
      </c>
      <c r="F88" s="47">
        <v>47004122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5"/>
        <v>47004110_47004117</v>
      </c>
      <c r="B89" s="47">
        <v>47004110</v>
      </c>
      <c r="C89" s="47">
        <v>47004117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え？プロメテウスにも見せてやりたい？_x000D_も、もう！やめてよね！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赤パネルを緑のダメージパネルに2個変換</v>
      </c>
      <c r="F89" s="47">
        <v>47004123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5"/>
        <v>47004110_47004117</v>
      </c>
      <c r="B90" s="47">
        <v>47004110</v>
      </c>
      <c r="C90" s="47">
        <v>47004117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え？プロメテウスにも見せてやりたい？_x000D_も、もう！やめてよね！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赤パネルを緑のダメージパネルに2個変換</v>
      </c>
      <c r="F90" s="47">
        <v>47004124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ref="A91:A92" si="7">B91&amp;"_"&amp;C91</f>
        <v>47004110_47004118</v>
      </c>
      <c r="B91" s="47">
        <v>47004110</v>
      </c>
      <c r="C91" s="47">
        <v>47004118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エスタブ！_x000D_メリークリスマスね♪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赤パネルを緑のダメージパネルに2個変換</v>
      </c>
      <c r="F91" s="47">
        <v>47004125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7"/>
        <v>47004110_47004119</v>
      </c>
      <c r="B92" s="47">
        <v>47004110</v>
      </c>
      <c r="C92" s="47">
        <v>47004119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卑弥呼！_x000D_メリークリスマスね♪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赤パネルを緑のダメージパネルに2個変換</v>
      </c>
      <c r="F92" s="47">
        <v>47004126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5"/>
        <v>47004150_47004151</v>
      </c>
      <c r="B93" s="47">
        <v>47004150</v>
      </c>
      <c r="C93" s="47">
        <v>47004151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まだ追ってくるのかい？_x000D_…しつこいんだね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ハートパネルドロップ率DOWN+フィーバーゲージ減少</v>
      </c>
      <c r="F93" s="47">
        <v>47004151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5"/>
        <v>47004150_47004152</v>
      </c>
      <c r="B94" s="47">
        <v>47004150</v>
      </c>
      <c r="C94" s="47">
        <v>47004152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雪の精とともに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ハートパネルを青のダメージパネルに3個変換+単体攻撃</v>
      </c>
      <c r="F94" s="47">
        <v>47004152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 t="str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4" s="48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5"/>
        <v>47004150_47004153</v>
      </c>
      <c r="B95" s="47">
        <v>47004150</v>
      </c>
      <c r="C95" s="47">
        <v>47004153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炎も凍てつく氷の中へ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赤パネルを青パネルに変換+単体攻撃</v>
      </c>
      <c r="F95" s="47">
        <v>47004153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48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5" s="48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5"/>
        <v>47004150_47004154</v>
      </c>
      <c r="B96" s="47">
        <v>47004150</v>
      </c>
      <c r="C96" s="47">
        <v>47004154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吐く息は白く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96" s="47">
        <v>47004154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48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6" s="48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5"/>
        <v>47004150_47004155</v>
      </c>
      <c r="B97" s="47">
        <v>47004150</v>
      </c>
      <c r="C97" s="47">
        <v>47004155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仲間…そんなもの全部嘘だったんだ…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緑パネルを青パネルに変換+単体攻撃</v>
      </c>
      <c r="F97" s="47">
        <v>47004155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 t="str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7" s="48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5"/>
        <v>47004150_47004156</v>
      </c>
      <c r="B98" s="47">
        <v>47004150</v>
      </c>
      <c r="C98" s="47">
        <v>47004156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ラチカ…君は僕の心を_x000D_救うことができるかい…？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98" s="47">
        <v>47004156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5"/>
        <v>47004150_47004156</v>
      </c>
      <c r="B99" s="47">
        <v>47004150</v>
      </c>
      <c r="C99" s="47">
        <v>47004156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ラチカ…君は僕の心を_x000D_救うことができるかい…？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99" s="47">
        <v>47004157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5"/>
        <v>47004150_47004157</v>
      </c>
      <c r="B100" s="47">
        <v>47004150</v>
      </c>
      <c r="C100" s="47">
        <v>47004157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聖母の名にふさわしい優しさ…_x000D_見せてくれるかな？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00" s="47">
        <v>47004158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5"/>
        <v>47004150_47004157</v>
      </c>
      <c r="B101" s="47">
        <v>47004150</v>
      </c>
      <c r="C101" s="47">
        <v>47004157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聖母の名にふさわしい優しさ…_x000D_見せてくれるかな？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01" s="47">
        <v>47004159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5"/>
        <v>47004150_47004157</v>
      </c>
      <c r="B102" s="47">
        <v>47004150</v>
      </c>
      <c r="C102" s="47">
        <v>47004157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聖母の名にふさわしい優しさ…_x000D_見せてくれるかな？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02" s="47">
        <v>47004160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5"/>
        <v>47004150_47004158</v>
      </c>
      <c r="B103" s="47">
        <v>47004150</v>
      </c>
      <c r="C103" s="47">
        <v>47004158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僕にも天使の祝福を…？_x000D_もったいないよ…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03" s="47">
        <v>47004161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5"/>
        <v>47004150_47004158</v>
      </c>
      <c r="B104" s="47">
        <v>47004150</v>
      </c>
      <c r="C104" s="47">
        <v>47004158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僕にも天使の祝福を…？_x000D_もったいないよ…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04" s="47">
        <v>47004162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5"/>
        <v>47004150_47004158</v>
      </c>
      <c r="B105" s="47">
        <v>47004150</v>
      </c>
      <c r="C105" s="47">
        <v>47004158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僕にも天使の祝福を…？_x000D_もったいないよ…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05" s="47">
        <v>47004163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5"/>
        <v>47004150_47004159</v>
      </c>
      <c r="B106" s="47">
        <v>47004150</v>
      </c>
      <c r="C106" s="47">
        <v>47004159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随分大胆な衣装のサンタだね…_x000D_プレゼントをくれるのかい？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06" s="47">
        <v>47004164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5"/>
        <v>47004150_47004159</v>
      </c>
      <c r="B107" s="47">
        <v>47004150</v>
      </c>
      <c r="C107" s="47">
        <v>47004159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随分大胆な衣装のサンタだね…_x000D_プレゼントをくれるのかい？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07" s="47">
        <v>47004165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5"/>
        <v>47004150_47004159</v>
      </c>
      <c r="B108" s="47">
        <v>47004150</v>
      </c>
      <c r="C108" s="47">
        <v>47004159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随分大胆な衣装のサンタだね…_x000D_プレゼントをくれるのかい？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08" s="47">
        <v>47004166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5"/>
        <v>47004150_47004160</v>
      </c>
      <c r="B109" s="47">
        <v>47004150</v>
      </c>
      <c r="C109" s="47">
        <v>47004160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その君の熱さで僕の凍った心…_x000D_溶かすことができるかい？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09" s="47">
        <v>47004167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5"/>
        <v>47004150_47004160</v>
      </c>
      <c r="B110" s="47">
        <v>47004150</v>
      </c>
      <c r="C110" s="47">
        <v>47004160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その君の熱さで僕の凍った心…_x000D_溶かすことができるかい？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10" s="47">
        <v>47004168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8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8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si="5"/>
        <v>47004150_47004160</v>
      </c>
      <c r="B111" s="47">
        <v>47004150</v>
      </c>
      <c r="C111" s="47">
        <v>47004160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その君の熱さで僕の凍った心…_x000D_溶かすことができるかい？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11" s="47">
        <v>47004169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8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8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ref="A112:A113" si="8">B112&amp;"_"&amp;C112</f>
        <v>47004150_47004161</v>
      </c>
      <c r="B112" s="47">
        <v>47004150</v>
      </c>
      <c r="C112" s="47">
        <v>47004161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エスタブかい…？_x000D_君には憧れるよ…色々と…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12" s="47">
        <v>47004170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8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8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8"/>
        <v>47004150_47004162</v>
      </c>
      <c r="B113" s="47">
        <v>47004150</v>
      </c>
      <c r="C113" s="47">
        <v>47004162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卑弥呼かい…？_x000D_僕をどうするんだい…？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113" s="47">
        <v>47004171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8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8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5"/>
        <v>47004180_47004181</v>
      </c>
      <c r="B114" s="47">
        <v>47004180</v>
      </c>
      <c r="C114" s="47">
        <v>47004181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いい加減にしてくれないかな…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マシン・シュプールの姿に亀裂が入り出している_x000D_【状態異常耐性+_x000D_　5ターン全ユニットのタップ回数を2DOWN】</v>
      </c>
      <c r="F114" s="47">
        <v>47004181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8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8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5"/>
        <v>47004180_47004182</v>
      </c>
      <c r="B115" s="47">
        <v>47004180</v>
      </c>
      <c r="C115" s="47">
        <v>47004182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僕は何も覚えてなんかいないし…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残りHPの20%消費+全体攻撃+_x000D_ランダムで青のダメージパネルに最大2個変換</v>
      </c>
      <c r="F115" s="47">
        <v>47004182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8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5" s="48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5"/>
        <v>47004180_47004183</v>
      </c>
      <c r="B116" s="47">
        <v>47004180</v>
      </c>
      <c r="C116" s="47">
        <v>47004183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今更…何を言おうと…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残りHPの25%消費+全体攻撃+_x000D_ランダムで青のダメージパネルに最大2個変換</v>
      </c>
      <c r="F116" s="47">
        <v>47004183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8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6" s="48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5"/>
        <v>47004180_47004184</v>
      </c>
      <c r="B117" s="47">
        <v>47004180</v>
      </c>
      <c r="C117" s="47">
        <v>47004184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あれ…？　これは何が…？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残りHPの33%消費+全体攻撃+_x000D_ランダムで青のダメージパネルに最大2個変換</v>
      </c>
      <c r="F117" s="47">
        <v>47004184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8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7" s="48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si="5"/>
        <v>47004180_47004185</v>
      </c>
      <c r="B118" s="47">
        <v>47004180</v>
      </c>
      <c r="C118" s="47">
        <v>47004185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なぜ、勝手に…！？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残りHPの50%消費+全体攻撃+_x000D_ランダムで青のダメージパネルに最大2個変換</v>
      </c>
      <c r="F118" s="47">
        <v>47004185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8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8" s="48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si="5"/>
        <v>47004180_47004186</v>
      </c>
      <c r="B119" s="47">
        <v>47004180</v>
      </c>
      <c r="C119" s="47">
        <v>47004186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い、嫌だ…！もうこの姿は…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残りHPの100%消費+全体攻撃+_x000D_ランダムで青のダメージパネルに最大2個変換</v>
      </c>
      <c r="F119" s="47">
        <v>47004186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8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19" s="48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si="5"/>
        <v>47004210_47004211</v>
      </c>
      <c r="B120" s="47">
        <v>47004210</v>
      </c>
      <c r="C120" s="47">
        <v>47004211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二度と見せたくなかったのに…！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マシン・シュプールの中からシュプールが姿を現した</v>
      </c>
      <c r="F120" s="47">
        <v>47004211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si="5"/>
        <v>47004210_47004212</v>
      </c>
      <c r="B121" s="47">
        <v>47004210</v>
      </c>
      <c r="C121" s="47">
        <v>47004212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ダイヤモンドフロスト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21" s="47">
        <v>47004212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8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1" s="48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5"/>
        <v>47004210_47004213</v>
      </c>
      <c r="B122" s="47">
        <v>47004210</v>
      </c>
      <c r="C122" s="47">
        <v>47004213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僕だって好きでこうなったわけじゃないんだ！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ハートパネル&amp;青パネルを吸収して全体攻撃</v>
      </c>
      <c r="F122" s="47">
        <v>47004213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48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2" s="48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5"/>
        <v>47004210_47004214</v>
      </c>
      <c r="B123" s="47">
        <v>47004210</v>
      </c>
      <c r="C123" s="47">
        <v>47004214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灯火に踊る細氷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赤パネルを青のダメージパネルに2個変換+単体攻撃</v>
      </c>
      <c r="F123" s="47">
        <v>47004214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8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3" s="48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si="5"/>
        <v>47004210_47004215</v>
      </c>
      <c r="B124" s="47">
        <v>47004210</v>
      </c>
      <c r="C124" s="47">
        <v>47004215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涙氷の礫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24" s="47">
        <v>47004215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8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24" s="48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si="5"/>
        <v>47004210_47004216</v>
      </c>
      <c r="B125" s="47">
        <v>47004210</v>
      </c>
      <c r="C125" s="47">
        <v>47004216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君達はなぜ…僕なんかに…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ハートパネル&amp;青パネルを吸収して全体攻撃</v>
      </c>
      <c r="F125" s="47">
        <v>47004216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5" s="48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25" s="48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21" customHeight="1" x14ac:dyDescent="0.15">
      <c r="A126" s="39" t="str">
        <f t="shared" si="5"/>
        <v>47004210_47004217</v>
      </c>
      <c r="B126" s="47">
        <v>47004210</v>
      </c>
      <c r="C126" s="47">
        <v>47004217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緑に踊る細氷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緑パネルを青のダメージパネルに2個変換+単体攻撃</v>
      </c>
      <c r="F126" s="47">
        <v>47004217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6" s="48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26" s="48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27" spans="1:18" ht="21" customHeight="1" x14ac:dyDescent="0.15">
      <c r="A127" s="39" t="str">
        <f t="shared" si="5"/>
        <v>47004210_47004218</v>
      </c>
      <c r="B127" s="47">
        <v>47004210</v>
      </c>
      <c r="C127" s="47">
        <v>47004218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Day 25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25回連続攻撃</v>
      </c>
      <c r="F127" s="47">
        <v>47004218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8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7" s="48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27" s="48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7"/>
      <c r="Q127" s="47"/>
      <c r="R127" s="47"/>
    </row>
    <row r="128" spans="1:18" ht="21" customHeight="1" x14ac:dyDescent="0.15">
      <c r="A128" s="39" t="str">
        <f t="shared" si="5"/>
        <v>47004210_47004219</v>
      </c>
      <c r="B128" s="47">
        <v>47004210</v>
      </c>
      <c r="C128" s="47">
        <v>47004219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うん…本当は分かっていたんだ…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シュプールを覆う強烈な冷気が治まってゆく</v>
      </c>
      <c r="F128" s="47">
        <v>47004219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8" s="48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28" s="48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21" customHeight="1" x14ac:dyDescent="0.15">
      <c r="A129" s="39" t="str">
        <f t="shared" si="5"/>
        <v>47004210_47004220</v>
      </c>
      <c r="B129" s="47">
        <v>47004210</v>
      </c>
      <c r="C129" s="47">
        <v>47004220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ありがとう…諦めないでいてくれて…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みんなも待っていてくれるんだね…うん、行くよ！</v>
      </c>
      <c r="F129" s="47">
        <v>47004220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48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9" s="48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ref="A130:A197" si="9">B130&amp;"_"&amp;C130</f>
        <v>47004250_47004251</v>
      </c>
      <c r="B130" s="128">
        <v>47004250</v>
      </c>
      <c r="C130" s="47">
        <v>47004251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メリークリスマス♪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素敵な夜ね_x000D_あなた方も楽しんでいるかしら？</v>
      </c>
      <c r="F130" s="47">
        <v>47004251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0" s="48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8" t="str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/>
    </row>
    <row r="131" spans="1:18" ht="21" customHeight="1" x14ac:dyDescent="0.15">
      <c r="A131" s="39" t="str">
        <f t="shared" si="9"/>
        <v>47004250_47004252</v>
      </c>
      <c r="B131" s="128">
        <v>47004250</v>
      </c>
      <c r="C131" s="47">
        <v>47004252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星誕の降儀・白式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31" s="47">
        <v>47004252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 t="str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1" s="48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31" s="48" t="str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/>
    </row>
    <row r="132" spans="1:18" ht="21" customHeight="1" x14ac:dyDescent="0.15">
      <c r="A132" s="39" t="str">
        <f t="shared" si="9"/>
        <v>47004250_47004253</v>
      </c>
      <c r="B132" s="128">
        <v>47004250</v>
      </c>
      <c r="C132" s="47">
        <v>47004253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それにしても今日は特別に寒いわね…_x000D_何かあったのかしら…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132" s="47">
        <v>47004253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2" s="48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32" s="48" t="str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/>
    </row>
    <row r="133" spans="1:18" ht="21" customHeight="1" x14ac:dyDescent="0.15">
      <c r="A133" s="39" t="str">
        <f t="shared" si="9"/>
        <v>47004250_47004254</v>
      </c>
      <c r="B133" s="128">
        <v>47004250</v>
      </c>
      <c r="C133" s="47">
        <v>47004254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雪の妖精みたい…綺麗ね…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133" s="47">
        <v>47004254</v>
      </c>
      <c r="G133" s="4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3" s="4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133" s="4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8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3" s="48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48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133" s="4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7"/>
      <c r="Q133" s="47"/>
      <c r="R133" s="47"/>
    </row>
    <row r="134" spans="1:18" ht="21" customHeight="1" x14ac:dyDescent="0.15">
      <c r="A134" s="39" t="str">
        <f t="shared" si="9"/>
        <v>47004250_47004254</v>
      </c>
      <c r="B134" s="128">
        <v>47004250</v>
      </c>
      <c r="C134" s="47">
        <v>47004254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雪の妖精みたい…綺麗ね…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134" s="47">
        <v>47004255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48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8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21" customHeight="1" x14ac:dyDescent="0.15">
      <c r="A135" s="39" t="str">
        <f t="shared" si="9"/>
        <v>47004250_47004255</v>
      </c>
      <c r="B135" s="128">
        <v>47004250</v>
      </c>
      <c r="C135" s="47">
        <v>47004255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ふふっ名前の通り_x000D_聖夜がお似合いね♪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135" s="47">
        <v>47004256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5" s="48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48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21" customHeight="1" x14ac:dyDescent="0.15">
      <c r="A136" s="39" t="str">
        <f t="shared" si="9"/>
        <v>47004250_47004255</v>
      </c>
      <c r="B136" s="128">
        <v>47004250</v>
      </c>
      <c r="C136" s="47">
        <v>47004255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ふふっ名前の通り_x000D_聖夜がお似合いね♪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136" s="47">
        <v>47004257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6" s="48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8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21" customHeight="1" x14ac:dyDescent="0.15">
      <c r="A137" s="39" t="str">
        <f t="shared" si="9"/>
        <v>47004250_47004255</v>
      </c>
      <c r="B137" s="128">
        <v>47004250</v>
      </c>
      <c r="C137" s="47">
        <v>47004255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ふふっ名前の通り_x000D_聖夜がお似合いね♪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137" s="47">
        <v>47004258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7" s="48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48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/>
    </row>
    <row r="138" spans="1:18" ht="21" customHeight="1" x14ac:dyDescent="0.15">
      <c r="A138" s="39" t="str">
        <f t="shared" si="9"/>
        <v>47004250_47004256</v>
      </c>
      <c r="B138" s="128">
        <v>47004250</v>
      </c>
      <c r="C138" s="47">
        <v>47004256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聖夜に舞う天使…ってところかしら？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38" s="47">
        <v>47004259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8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8" s="48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48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7"/>
      <c r="Q138" s="47"/>
      <c r="R138" s="47"/>
    </row>
    <row r="139" spans="1:18" ht="21" customHeight="1" x14ac:dyDescent="0.15">
      <c r="A139" s="39" t="str">
        <f t="shared" si="9"/>
        <v>47004250_47004256</v>
      </c>
      <c r="B139" s="128">
        <v>47004250</v>
      </c>
      <c r="C139" s="47">
        <v>47004256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聖夜に舞う天使…ってところかしら？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39" s="47">
        <v>47004260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9" s="48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48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/>
    </row>
    <row r="140" spans="1:18" ht="21" customHeight="1" x14ac:dyDescent="0.15">
      <c r="A140" s="39" t="str">
        <f t="shared" si="9"/>
        <v>47004250_47004256</v>
      </c>
      <c r="B140" s="128">
        <v>47004250</v>
      </c>
      <c r="C140" s="47">
        <v>47004256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聖夜に舞う天使…ってところかしら？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40" s="47">
        <v>47004261</v>
      </c>
      <c r="G140" s="4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140" s="4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8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0" s="48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48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140" s="4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7"/>
      <c r="Q140" s="47"/>
      <c r="R140" s="47"/>
    </row>
    <row r="141" spans="1:18" ht="21" customHeight="1" x14ac:dyDescent="0.15">
      <c r="A141" s="39" t="str">
        <f t="shared" si="9"/>
        <v>47004250_47004257</v>
      </c>
      <c r="B141" s="128">
        <v>47004250</v>
      </c>
      <c r="C141" s="47">
        <v>47004257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あら、今年はプロメテウスはいないの？_x000D_きっと悲しんでるわよ？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41" s="47">
        <v>47004262</v>
      </c>
      <c r="G141" s="48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1" s="48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141" s="48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8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8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8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1" s="48" t="str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1" s="48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141" s="48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7"/>
      <c r="Q141" s="47"/>
      <c r="R141" s="47"/>
    </row>
    <row r="142" spans="1:18" ht="21" customHeight="1" x14ac:dyDescent="0.15">
      <c r="A142" s="39" t="str">
        <f t="shared" si="9"/>
        <v>47004250_47004257</v>
      </c>
      <c r="B142" s="128">
        <v>47004250</v>
      </c>
      <c r="C142" s="47">
        <v>47004257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あら、今年はプロメテウスはいないの？_x000D_きっと悲しんでるわよ？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42" s="47">
        <v>47004263</v>
      </c>
      <c r="G142" s="48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2" s="48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142" s="48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8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8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8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2" s="48" t="str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2" s="48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142" s="48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7"/>
      <c r="Q142" s="47"/>
      <c r="R142" s="47"/>
    </row>
    <row r="143" spans="1:18" ht="21" customHeight="1" x14ac:dyDescent="0.15">
      <c r="A143" s="39" t="str">
        <f t="shared" si="9"/>
        <v>47004250_47004257</v>
      </c>
      <c r="B143" s="128">
        <v>47004250</v>
      </c>
      <c r="C143" s="47">
        <v>47004257</v>
      </c>
      <c r="D143" s="46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あら、今年はプロメテウスはいないの？_x000D_きっと悲しんでるわよ？</v>
      </c>
      <c r="E143" s="46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43" s="47">
        <v>47004264</v>
      </c>
      <c r="G143" s="48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48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143" s="48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8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8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8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3" s="48" t="str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3" s="48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143" s="48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7"/>
      <c r="Q143" s="47"/>
      <c r="R143" s="47"/>
    </row>
    <row r="144" spans="1:18" ht="21" customHeight="1" x14ac:dyDescent="0.15">
      <c r="A144" s="39" t="str">
        <f t="shared" si="9"/>
        <v>47004250_47004258</v>
      </c>
      <c r="B144" s="128">
        <v>47004250</v>
      </c>
      <c r="C144" s="47">
        <v>47004258</v>
      </c>
      <c r="D144" s="46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そのバイクならプレゼント運びも楽チンね♪</v>
      </c>
      <c r="E144" s="46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44" s="47">
        <v>47004265</v>
      </c>
      <c r="G144" s="48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48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44" s="48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8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8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8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4" s="48" t="str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4" s="48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144" s="48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7"/>
      <c r="Q144" s="47"/>
      <c r="R144" s="47"/>
    </row>
    <row r="145" spans="1:18" ht="21" customHeight="1" x14ac:dyDescent="0.15">
      <c r="A145" s="39" t="str">
        <f t="shared" si="9"/>
        <v>47004250_47004258</v>
      </c>
      <c r="B145" s="128">
        <v>47004250</v>
      </c>
      <c r="C145" s="47">
        <v>47004258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そのバイクならプレゼント運びも楽チンね♪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45" s="47">
        <v>47004266</v>
      </c>
      <c r="G145" s="48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48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145" s="48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8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8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8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5" s="48" t="str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5" s="48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145" s="48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7"/>
      <c r="Q145" s="47"/>
      <c r="R145" s="47"/>
    </row>
    <row r="146" spans="1:18" ht="21" customHeight="1" x14ac:dyDescent="0.15">
      <c r="A146" s="39" t="str">
        <f t="shared" si="9"/>
        <v>47004250_47004258</v>
      </c>
      <c r="B146" s="128">
        <v>47004250</v>
      </c>
      <c r="C146" s="47">
        <v>47004258</v>
      </c>
      <c r="D146" s="46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そのバイクならプレゼント運びも楽チンね♪</v>
      </c>
      <c r="E146" s="46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146" s="47">
        <v>47004267</v>
      </c>
      <c r="G146" s="48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6" s="48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146" s="48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48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48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8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6" s="48" t="str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6" s="48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146" s="48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47"/>
      <c r="Q146" s="47"/>
      <c r="R146" s="47"/>
    </row>
    <row r="147" spans="1:18" ht="21" customHeight="1" x14ac:dyDescent="0.15">
      <c r="A147" s="39" t="str">
        <f t="shared" ref="A147" si="10">B147&amp;"_"&amp;C147</f>
        <v>47004250_47004259</v>
      </c>
      <c r="B147" s="128">
        <v>47004250</v>
      </c>
      <c r="C147" s="47">
        <v>47004259</v>
      </c>
      <c r="D147" s="46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メリークリスマス♪_x000D_あら、ワイルドなサンタさんね</v>
      </c>
      <c r="E147" s="46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残りHPの50%消費+_x000D_全ユニットのスキルゲージを2ターン減少+_x000D_全ユニットのCパネル生成短縮</v>
      </c>
      <c r="F147" s="47">
        <v>47004268</v>
      </c>
      <c r="G147" s="48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48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147" s="48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8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48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8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7" s="48" t="str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7" s="48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147" s="48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7"/>
      <c r="Q147" s="47"/>
      <c r="R147" s="47"/>
    </row>
    <row r="148" spans="1:18" ht="21" customHeight="1" x14ac:dyDescent="0.15">
      <c r="A148" s="39" t="str">
        <f t="shared" si="9"/>
        <v>47004270_47004271</v>
      </c>
      <c r="B148" s="128">
        <v>47004270</v>
      </c>
      <c r="C148" s="47">
        <v>47004271</v>
      </c>
      <c r="D148" s="46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メリークリスマス！っと</v>
      </c>
      <c r="E148" s="46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このプレゼントか？_x000D_たまにはこんな事でもしてみようかと思ってな</v>
      </c>
      <c r="F148" s="47">
        <v>47004271</v>
      </c>
      <c r="G148" s="48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8" s="48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8" s="48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48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48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48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8" s="48" t="str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8" s="48" t="str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8" s="48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47"/>
      <c r="Q148" s="47"/>
      <c r="R148" s="47"/>
    </row>
    <row r="149" spans="1:18" ht="21" customHeight="1" x14ac:dyDescent="0.15">
      <c r="A149" s="39" t="str">
        <f t="shared" si="9"/>
        <v>47004270_47004272</v>
      </c>
      <c r="B149" s="128">
        <v>47004270</v>
      </c>
      <c r="C149" s="47">
        <v>47004272</v>
      </c>
      <c r="D149" s="46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デビルズギフト</v>
      </c>
      <c r="E149" s="46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9" s="47">
        <v>47004272</v>
      </c>
      <c r="G149" s="48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9" s="48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49" s="48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48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48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48" t="str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9" s="48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9" s="48" t="str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9" s="48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47"/>
      <c r="Q149" s="47"/>
      <c r="R149" s="47"/>
    </row>
    <row r="150" spans="1:18" ht="21" customHeight="1" x14ac:dyDescent="0.15">
      <c r="A150" s="39" t="str">
        <f t="shared" si="9"/>
        <v>47004270_47004273</v>
      </c>
      <c r="B150" s="128">
        <v>47004270</v>
      </c>
      <c r="C150" s="47">
        <v>47004273</v>
      </c>
      <c r="D150" s="46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大きな雪だるま…？_x000D_そういえばさっき見た気がするな</v>
      </c>
      <c r="E150" s="46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150" s="47">
        <v>47004273</v>
      </c>
      <c r="G150" s="48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0" s="48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50" s="48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48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48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48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0" s="48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0" s="48" t="str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0" s="48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47"/>
      <c r="Q150" s="47"/>
      <c r="R150" s="47"/>
    </row>
    <row r="151" spans="1:18" ht="21" customHeight="1" x14ac:dyDescent="0.15">
      <c r="A151" s="39" t="str">
        <f t="shared" si="9"/>
        <v>47004270_47004274</v>
      </c>
      <c r="B151" s="128">
        <v>47004270</v>
      </c>
      <c r="C151" s="47">
        <v>47004274</v>
      </c>
      <c r="D151" s="46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美しいサンタクロースだな…_x000D_まぁ、テラベルや俺程ではないがな！</v>
      </c>
      <c r="E151" s="46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151" s="47">
        <v>47004274</v>
      </c>
      <c r="G151" s="48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1" s="48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151" s="48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1" s="48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48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8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1" s="48" t="str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1" s="48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151" s="48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1" s="47"/>
      <c r="Q151" s="47"/>
      <c r="R151" s="47"/>
    </row>
    <row r="152" spans="1:18" ht="21" customHeight="1" x14ac:dyDescent="0.15">
      <c r="A152" s="39" t="str">
        <f t="shared" si="9"/>
        <v>47004270_47004274</v>
      </c>
      <c r="B152" s="128">
        <v>47004270</v>
      </c>
      <c r="C152" s="47">
        <v>47004274</v>
      </c>
      <c r="D152" s="46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美しいサンタクロースだな…_x000D_まぁ、テラベルや俺程ではないがな！</v>
      </c>
      <c r="E152" s="46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152" s="47">
        <v>47004275</v>
      </c>
      <c r="G152" s="48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2" s="48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152" s="48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8" t="str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2" s="48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8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2" s="48" t="str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2" s="48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152" s="48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7"/>
      <c r="Q152" s="47"/>
      <c r="R152" s="47"/>
    </row>
    <row r="153" spans="1:18" ht="21" customHeight="1" x14ac:dyDescent="0.15">
      <c r="A153" s="39" t="str">
        <f t="shared" si="9"/>
        <v>47004270_47004275</v>
      </c>
      <c r="B153" s="128">
        <v>47004270</v>
      </c>
      <c r="C153" s="47">
        <v>47004275</v>
      </c>
      <c r="D153" s="46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その綺麗な声で_x000D_キャロルを聞かせてくれるのか？</v>
      </c>
      <c r="E153" s="46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153" s="47">
        <v>47004276</v>
      </c>
      <c r="G153" s="48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3" s="48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153" s="48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48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48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48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3" s="48" t="str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3" s="48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153" s="48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47"/>
      <c r="Q153" s="47"/>
      <c r="R153" s="47"/>
    </row>
    <row r="154" spans="1:18" ht="21" customHeight="1" x14ac:dyDescent="0.15">
      <c r="A154" s="39" t="str">
        <f t="shared" si="9"/>
        <v>47004270_47004275</v>
      </c>
      <c r="B154" s="128">
        <v>47004270</v>
      </c>
      <c r="C154" s="47">
        <v>47004275</v>
      </c>
      <c r="D154" s="46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その綺麗な声で_x000D_キャロルを聞かせてくれるのか？</v>
      </c>
      <c r="E154" s="46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154" s="47">
        <v>47004277</v>
      </c>
      <c r="G154" s="48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4" s="48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154" s="48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48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48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48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4" s="48" t="str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4" s="48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154" s="48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47"/>
      <c r="Q154" s="47"/>
      <c r="R154" s="47"/>
    </row>
    <row r="155" spans="1:18" ht="21" customHeight="1" x14ac:dyDescent="0.15">
      <c r="A155" s="39" t="str">
        <f t="shared" si="9"/>
        <v>47004270_47004275</v>
      </c>
      <c r="B155" s="128">
        <v>47004270</v>
      </c>
      <c r="C155" s="47">
        <v>47004275</v>
      </c>
      <c r="D155" s="46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その綺麗な声で_x000D_キャロルを聞かせてくれるのか？</v>
      </c>
      <c r="E155" s="46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155" s="47">
        <v>47004278</v>
      </c>
      <c r="G155" s="48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5" s="48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155" s="48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48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48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48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5" s="48" t="str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5" s="48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155" s="48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47"/>
      <c r="Q155" s="47"/>
      <c r="R155" s="47"/>
    </row>
    <row r="156" spans="1:18" ht="21" customHeight="1" x14ac:dyDescent="0.15">
      <c r="A156" s="39" t="str">
        <f t="shared" si="9"/>
        <v>47004270_47004276</v>
      </c>
      <c r="B156" s="128">
        <v>47004270</v>
      </c>
      <c r="C156" s="47">
        <v>47004276</v>
      </c>
      <c r="D156" s="46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おや、俺たちに福音を届けてくれるのか？_x000D_天使様らしいな</v>
      </c>
      <c r="E156" s="46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156" s="47">
        <v>47004279</v>
      </c>
      <c r="G156" s="48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6" s="48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156" s="48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48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8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48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6" s="48" t="str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6" s="48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156" s="48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47"/>
      <c r="Q156" s="47"/>
      <c r="R156" s="47"/>
    </row>
    <row r="157" spans="1:18" ht="21" customHeight="1" x14ac:dyDescent="0.15">
      <c r="A157" s="39" t="str">
        <f t="shared" si="9"/>
        <v>47004270_47004276</v>
      </c>
      <c r="B157" s="128">
        <v>47004270</v>
      </c>
      <c r="C157" s="47">
        <v>47004276</v>
      </c>
      <c r="D157" s="46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おや、俺たちに福音を届けてくれるのか？_x000D_天使様らしいな</v>
      </c>
      <c r="E157" s="46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157" s="47">
        <v>47004280</v>
      </c>
      <c r="G157" s="48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7" s="48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157" s="48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48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48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48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7" s="48" t="str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7" s="48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157" s="48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47"/>
      <c r="Q157" s="47"/>
      <c r="R157" s="47"/>
    </row>
    <row r="158" spans="1:18" ht="21" customHeight="1" x14ac:dyDescent="0.15">
      <c r="A158" s="39" t="str">
        <f t="shared" si="9"/>
        <v>47004270_47004276</v>
      </c>
      <c r="B158" s="128">
        <v>47004270</v>
      </c>
      <c r="C158" s="47">
        <v>47004276</v>
      </c>
      <c r="D158" s="46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おや、俺たちに福音を届けてくれるのか？_x000D_天使様らしいな</v>
      </c>
      <c r="E158" s="46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158" s="47">
        <v>47004281</v>
      </c>
      <c r="G158" s="48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8" s="48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158" s="48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48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48" t="str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8" s="48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8" s="48" t="str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8" s="48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158" s="48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47"/>
      <c r="Q158" s="47"/>
      <c r="R158" s="47"/>
    </row>
    <row r="159" spans="1:18" ht="21" customHeight="1" x14ac:dyDescent="0.15">
      <c r="A159" s="39" t="str">
        <f t="shared" si="9"/>
        <v>47004270_47004277</v>
      </c>
      <c r="B159" s="128">
        <v>47004270</v>
      </c>
      <c r="C159" s="47">
        <v>47004277</v>
      </c>
      <c r="D159" s="46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去年より一段と色っぽいな_x000D_あいつが見たらどう思うのか…</v>
      </c>
      <c r="E159" s="46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159" s="47">
        <v>47004282</v>
      </c>
      <c r="G159" s="48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9" s="48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159" s="48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48" t="str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9" s="48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48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9" s="48" t="str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9" s="48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159" s="48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47"/>
      <c r="Q159" s="47"/>
      <c r="R159" s="47"/>
    </row>
    <row r="160" spans="1:18" ht="21" customHeight="1" x14ac:dyDescent="0.15">
      <c r="A160" s="39" t="str">
        <f t="shared" si="9"/>
        <v>47004270_47004277</v>
      </c>
      <c r="B160" s="128">
        <v>47004270</v>
      </c>
      <c r="C160" s="47">
        <v>47004277</v>
      </c>
      <c r="D160" s="46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去年より一段と色っぽいな_x000D_あいつが見たらどう思うのか…</v>
      </c>
      <c r="E160" s="46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160" s="47">
        <v>47004283</v>
      </c>
      <c r="G160" s="48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48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160" s="48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48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48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48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0" s="48" t="str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0" s="48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160" s="48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47"/>
      <c r="Q160" s="47"/>
      <c r="R160" s="47"/>
    </row>
    <row r="161" spans="1:18" ht="21" customHeight="1" x14ac:dyDescent="0.15">
      <c r="A161" s="39" t="str">
        <f t="shared" si="9"/>
        <v>47004270_47004277</v>
      </c>
      <c r="B161" s="128">
        <v>47004270</v>
      </c>
      <c r="C161" s="47">
        <v>47004277</v>
      </c>
      <c r="D161" s="46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去年より一段と色っぽいな_x000D_あいつが見たらどう思うのか…</v>
      </c>
      <c r="E161" s="46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161" s="47">
        <v>47004284</v>
      </c>
      <c r="G161" s="48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1" s="48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161" s="48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48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48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48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1" s="48" t="str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1" s="48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161" s="48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47"/>
      <c r="Q161" s="47"/>
      <c r="R161" s="47"/>
    </row>
    <row r="162" spans="1:18" ht="21" customHeight="1" x14ac:dyDescent="0.15">
      <c r="A162" s="39" t="str">
        <f t="shared" si="9"/>
        <v>47004270_47004278</v>
      </c>
      <c r="B162" s="128">
        <v>47004270</v>
      </c>
      <c r="C162" s="47">
        <v>47004278</v>
      </c>
      <c r="D162" s="46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ベリアル、今年もご苦労さん_x000D_さてプレゼントは何かな…？</v>
      </c>
      <c r="E162" s="46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162" s="47">
        <v>47004285</v>
      </c>
      <c r="G162" s="48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2" s="48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62" s="48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48" t="str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2" s="48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48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2" s="48" t="str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2" s="48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162" s="48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47"/>
      <c r="Q162" s="47"/>
      <c r="R162" s="47"/>
    </row>
    <row r="163" spans="1:18" ht="21" customHeight="1" x14ac:dyDescent="0.15">
      <c r="A163" s="39" t="str">
        <f t="shared" si="9"/>
        <v>47004270_47004278</v>
      </c>
      <c r="B163" s="128">
        <v>47004270</v>
      </c>
      <c r="C163" s="47">
        <v>47004278</v>
      </c>
      <c r="D163" s="46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ベリアル、今年もご苦労さん_x000D_さてプレゼントは何かな…？</v>
      </c>
      <c r="E163" s="46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163" s="47">
        <v>47004286</v>
      </c>
      <c r="G163" s="48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3" s="48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163" s="48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48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48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48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3" s="48" t="str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3" s="48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163" s="48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47"/>
      <c r="Q163" s="47"/>
      <c r="R163" s="47"/>
    </row>
    <row r="164" spans="1:18" ht="21" customHeight="1" x14ac:dyDescent="0.15">
      <c r="A164" s="39" t="str">
        <f t="shared" si="9"/>
        <v>47004270_47004278</v>
      </c>
      <c r="B164" s="128">
        <v>47004270</v>
      </c>
      <c r="C164" s="47">
        <v>47004278</v>
      </c>
      <c r="D164" s="46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ベリアル、今年もご苦労さん_x000D_さてプレゼントは何かな…？</v>
      </c>
      <c r="E164" s="46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164" s="47">
        <v>47004287</v>
      </c>
      <c r="G164" s="48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4" s="48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164" s="48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4" s="48" t="str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4" s="48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8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4" s="48" t="str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4" s="48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164" s="48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4" s="47"/>
      <c r="Q164" s="47"/>
      <c r="R164" s="47"/>
    </row>
    <row r="165" spans="1:18" ht="21" customHeight="1" x14ac:dyDescent="0.15">
      <c r="A165" s="39" t="str">
        <f t="shared" ref="A165" si="11">B165&amp;"_"&amp;C165</f>
        <v>47004270_47004279</v>
      </c>
      <c r="B165" s="128">
        <v>47004270</v>
      </c>
      <c r="C165" s="47">
        <v>47004279</v>
      </c>
      <c r="D165" s="46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メリークリスマス！っと_x000D_おや、雅なサンタクロースだな</v>
      </c>
      <c r="E165" s="46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残りHPの50%消費+_x000D_全ユニットのスキルゲージを2ターン減少+_x000D_全ユニットのボムの爆風を10%UP</v>
      </c>
      <c r="F165" s="47">
        <v>47004288</v>
      </c>
      <c r="G165" s="48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5" s="48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165" s="48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48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48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48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5" s="48" t="str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5" s="48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165" s="48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47"/>
      <c r="Q165" s="47"/>
      <c r="R165" s="47"/>
    </row>
    <row r="166" spans="1:18" ht="21" customHeight="1" x14ac:dyDescent="0.15">
      <c r="A166" s="39" t="str">
        <f t="shared" si="9"/>
        <v>47004290_47004291</v>
      </c>
      <c r="B166" s="128">
        <v>47004290</v>
      </c>
      <c r="C166" s="47">
        <v>47004291</v>
      </c>
      <c r="D166" s="46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……</v>
      </c>
      <c r="E166" s="46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マシン・シュプールはこちらの様子を伺っている_x000D_【解除するまで全属性の攻撃をカウンター】</v>
      </c>
      <c r="F166" s="47">
        <v>47004291</v>
      </c>
      <c r="G166" s="48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6" s="48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6" s="48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48" t="str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6" s="48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48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6" s="48" t="str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6" s="48" t="str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6" s="48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47"/>
      <c r="Q166" s="47"/>
      <c r="R166" s="47"/>
    </row>
    <row r="167" spans="1:18" ht="21" customHeight="1" x14ac:dyDescent="0.15">
      <c r="A167" s="39" t="str">
        <f t="shared" si="9"/>
        <v>47004290_47004292</v>
      </c>
      <c r="B167" s="128">
        <v>47004290</v>
      </c>
      <c r="C167" s="47">
        <v>47004292</v>
      </c>
      <c r="D167" s="46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その結晶は鏡の欠片のよう</v>
      </c>
      <c r="E167" s="46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黄パネルを青のダメージパネルに3個変換+単体攻撃</v>
      </c>
      <c r="F167" s="47">
        <v>47004292</v>
      </c>
      <c r="G167" s="48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7" s="48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67" s="48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48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48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48" t="str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7" s="48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7" s="48" t="str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7" s="48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47"/>
      <c r="Q167" s="47"/>
      <c r="R167" s="47"/>
    </row>
    <row r="168" spans="1:18" ht="21" customHeight="1" x14ac:dyDescent="0.15">
      <c r="A168" s="39" t="str">
        <f t="shared" si="9"/>
        <v>47004290_47004293</v>
      </c>
      <c r="B168" s="128">
        <v>47004290</v>
      </c>
      <c r="C168" s="47">
        <v>47004293</v>
      </c>
      <c r="D168" s="46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眠りに誘う氷激</v>
      </c>
      <c r="E168" s="46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2ターンユニット1体にスリープ+単体攻撃</v>
      </c>
      <c r="F168" s="47">
        <v>47004293</v>
      </c>
      <c r="G168" s="48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8" s="48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68" s="48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8" s="48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48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48" t="str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8" s="48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8" s="48" t="str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8" s="48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8" s="47"/>
      <c r="Q168" s="47"/>
      <c r="R168" s="47"/>
    </row>
    <row r="169" spans="1:18" ht="21" customHeight="1" x14ac:dyDescent="0.15">
      <c r="A169" s="39" t="str">
        <f t="shared" si="9"/>
        <v>47004290_47004294</v>
      </c>
      <c r="B169" s="128">
        <v>47004290</v>
      </c>
      <c r="C169" s="47">
        <v>47004294</v>
      </c>
      <c r="D169" s="46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……僕に構わないでくれ</v>
      </c>
      <c r="E169" s="46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ハートパネルを青パネルに5個変換+行動頻度UP</v>
      </c>
      <c r="F169" s="47">
        <v>47004294</v>
      </c>
      <c r="G169" s="48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9" s="48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69" s="48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9" s="48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9" s="48" t="str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9" s="48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9" s="48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9" s="48" t="str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9" s="48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9" s="47"/>
      <c r="Q169" s="47"/>
      <c r="R169" s="47"/>
    </row>
    <row r="170" spans="1:18" ht="21" customHeight="1" x14ac:dyDescent="0.15">
      <c r="A170" s="39" t="str">
        <f t="shared" si="9"/>
        <v>47004300_47004301</v>
      </c>
      <c r="B170" s="128">
        <v>47004300</v>
      </c>
      <c r="C170" s="47">
        <v>47004301</v>
      </c>
      <c r="D170" s="46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……！！</v>
      </c>
      <c r="E170" s="46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マシン・シュプールは逃げようとしている！</v>
      </c>
      <c r="F170" s="47">
        <v>47004301</v>
      </c>
      <c r="G170" s="48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0" s="48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0" s="48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0" s="48" t="str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0" s="48" t="str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0" s="48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0" s="48" t="str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0" s="48" t="str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0" s="48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0" s="47"/>
      <c r="Q170" s="47"/>
      <c r="R170" s="47"/>
    </row>
    <row r="171" spans="1:18" ht="21" customHeight="1" x14ac:dyDescent="0.15">
      <c r="A171" s="39" t="str">
        <f t="shared" si="9"/>
        <v>47004300_47004302</v>
      </c>
      <c r="B171" s="128">
        <v>47004300</v>
      </c>
      <c r="C171" s="47">
        <v>47004302</v>
      </c>
      <c r="D171" s="46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？？？「待って下さい！」</v>
      </c>
      <c r="E171" s="46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？？？「いつまでも閉じこもって困ったものです…あら？」</v>
      </c>
      <c r="F171" s="47">
        <v>47004302</v>
      </c>
      <c r="G171" s="48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1" s="48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71" s="48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1" s="48" t="str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1" s="48" t="str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1" s="48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1" s="48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1" s="48" t="str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1" s="48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1" s="47"/>
      <c r="Q171" s="47"/>
      <c r="R171" s="47"/>
    </row>
    <row r="172" spans="1:18" ht="21" customHeight="1" x14ac:dyDescent="0.15">
      <c r="A172" s="39" t="str">
        <f t="shared" si="9"/>
        <v>47004310_47004311</v>
      </c>
      <c r="B172" s="128">
        <v>47004310</v>
      </c>
      <c r="C172" s="47">
        <v>47004311</v>
      </c>
      <c r="D172" s="46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みなさんお揃いですか！</v>
      </c>
      <c r="E172" s="46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…えぇ、この寒さは彼の影響でもあるんです</v>
      </c>
      <c r="F172" s="47">
        <v>47004311</v>
      </c>
      <c r="G172" s="48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2" s="48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2" s="48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2" s="48" t="str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2" s="48" t="str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2" s="48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2" s="48" t="str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2" s="48" t="str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2" s="48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2" s="47"/>
      <c r="Q172" s="47"/>
      <c r="R172" s="47"/>
    </row>
    <row r="173" spans="1:18" ht="21" customHeight="1" x14ac:dyDescent="0.15">
      <c r="A173" s="39" t="str">
        <f t="shared" si="9"/>
        <v>47004310_47004312</v>
      </c>
      <c r="B173" s="128">
        <v>47004310</v>
      </c>
      <c r="C173" s="47">
        <v>47004312</v>
      </c>
      <c r="D173" s="46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それでは、楽しいクリスマスを心から祈っています！</v>
      </c>
      <c r="E173" s="46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ミカエルはまばゆい光とともに飛び去った_x000D_【黄パネルドロップ率DOWN】</v>
      </c>
      <c r="F173" s="47">
        <v>47004312</v>
      </c>
      <c r="G173" s="48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3" s="48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73" s="48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3" s="48" t="str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3" s="48" t="str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3" s="48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3" s="48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3" s="48" t="str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3" s="48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3" s="47"/>
      <c r="Q173" s="47"/>
      <c r="R173" s="47"/>
    </row>
    <row r="174" spans="1:18" ht="21" customHeight="1" x14ac:dyDescent="0.15">
      <c r="A174" s="39" t="str">
        <f t="shared" si="9"/>
        <v>47004310_47004313</v>
      </c>
      <c r="B174" s="128">
        <v>47004310</v>
      </c>
      <c r="C174" s="47">
        <v>47004313</v>
      </c>
      <c r="D174" s="46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わぁ！ラチカさん_x000D_聖夜に雪を降らせてくださいな！</v>
      </c>
      <c r="E174" s="46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174" s="47">
        <v>47004313</v>
      </c>
      <c r="G174" s="48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4" s="48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174" s="48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4" s="48" t="str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4" s="48" t="str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4" s="48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4" s="48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4" s="48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174" s="48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4" s="47"/>
      <c r="Q174" s="47"/>
      <c r="R174" s="47"/>
    </row>
    <row r="175" spans="1:18" ht="21" customHeight="1" x14ac:dyDescent="0.15">
      <c r="A175" s="39" t="str">
        <f t="shared" si="9"/>
        <v>47004310_47004313</v>
      </c>
      <c r="B175" s="128">
        <v>47004310</v>
      </c>
      <c r="C175" s="47">
        <v>47004313</v>
      </c>
      <c r="D175" s="46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わぁ！ラチカさん_x000D_聖夜に雪を降らせてくださいな！</v>
      </c>
      <c r="E175" s="46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175" s="47">
        <v>47004314</v>
      </c>
      <c r="G175" s="48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5" s="48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175" s="48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5" s="48" t="str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5" s="48" t="str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5" s="48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5" s="48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5" s="48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175" s="48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5" s="47"/>
      <c r="Q175" s="47"/>
      <c r="R175" s="47"/>
    </row>
    <row r="176" spans="1:18" ht="21" customHeight="1" x14ac:dyDescent="0.15">
      <c r="A176" s="39" t="str">
        <f t="shared" si="9"/>
        <v>47004310_47004314</v>
      </c>
      <c r="B176" s="128">
        <v>47004310</v>
      </c>
      <c r="C176" s="47">
        <v>47004314</v>
      </c>
      <c r="D176" s="46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マリアさん！_x000D_聖夜の奇跡見せてください！</v>
      </c>
      <c r="E176" s="46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176" s="47">
        <v>47004315</v>
      </c>
      <c r="G176" s="48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6" s="48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176" s="48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6" s="48" t="str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6" s="48" t="str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6" s="48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6" s="48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6" s="48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176" s="48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6" s="47"/>
      <c r="Q176" s="47"/>
      <c r="R176" s="47"/>
    </row>
    <row r="177" spans="1:18" ht="21" customHeight="1" x14ac:dyDescent="0.15">
      <c r="A177" s="39" t="str">
        <f t="shared" si="9"/>
        <v>47004310_47004314</v>
      </c>
      <c r="B177" s="128">
        <v>47004310</v>
      </c>
      <c r="C177" s="47">
        <v>47004314</v>
      </c>
      <c r="D177" s="46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マリアさん！_x000D_聖夜の奇跡見せてください！</v>
      </c>
      <c r="E177" s="46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177" s="47">
        <v>47004316</v>
      </c>
      <c r="G177" s="48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7" s="48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177" s="48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48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48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48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7" s="48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7" s="48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177" s="48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47"/>
      <c r="Q177" s="47"/>
      <c r="R177" s="47"/>
    </row>
    <row r="178" spans="1:18" ht="21" customHeight="1" x14ac:dyDescent="0.15">
      <c r="A178" s="39" t="str">
        <f t="shared" si="9"/>
        <v>47004310_47004314</v>
      </c>
      <c r="B178" s="128">
        <v>47004310</v>
      </c>
      <c r="C178" s="47">
        <v>47004314</v>
      </c>
      <c r="D178" s="46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マリアさん！_x000D_聖夜の奇跡見せてください！</v>
      </c>
      <c r="E178" s="46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178" s="47">
        <v>47004317</v>
      </c>
      <c r="G178" s="48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8" s="48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178" s="48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8" s="48" t="str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8" s="48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48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8" s="48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8" s="48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178" s="48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8" s="47"/>
      <c r="Q178" s="47"/>
      <c r="R178" s="47"/>
    </row>
    <row r="179" spans="1:18" ht="21" customHeight="1" x14ac:dyDescent="0.15">
      <c r="A179" s="39" t="str">
        <f t="shared" si="9"/>
        <v>47004310_47004315</v>
      </c>
      <c r="B179" s="128">
        <v>47004310</v>
      </c>
      <c r="C179" s="47">
        <v>47004315</v>
      </c>
      <c r="D179" s="46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オセさん、皆の笑顔のために_x000D_一緒に頑張りましょ♪</v>
      </c>
      <c r="E179" s="46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179" s="47">
        <v>47004318</v>
      </c>
      <c r="G179" s="48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9" s="48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179" s="48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9" s="48" t="str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9" s="48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48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9" s="48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9" s="48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179" s="48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9" s="47"/>
      <c r="Q179" s="47"/>
      <c r="R179" s="47"/>
    </row>
    <row r="180" spans="1:18" ht="21" customHeight="1" x14ac:dyDescent="0.15">
      <c r="A180" s="39" t="str">
        <f t="shared" si="9"/>
        <v>47004310_47004315</v>
      </c>
      <c r="B180" s="128">
        <v>47004310</v>
      </c>
      <c r="C180" s="47">
        <v>47004315</v>
      </c>
      <c r="D180" s="46" t="str">
        <f ca="1">VLOOKUP($C180,OFFSET(enemy_skills!$A$1,0,0,COUNTA(enemy_skills!$A:$A),MATCH(D$1,enemy_skills!$1:$1,0)-MATCH("enemy_skill_id",enemy_skills!$1:$1,0)+1),MATCH(D$1,enemy_skills!$1:$1,0)-MATCH("enemy_skill_id",enemy_skills!$1:$1,0)+1,FALSE)</f>
        <v>オセさん、皆の笑顔のために_x000D_一緒に頑張りましょ♪</v>
      </c>
      <c r="E180" s="46" t="str">
        <f ca="1">VLOOKUP($C180,OFFSET(enemy_skills!$A$1,0,0,COUNTA(enemy_skills!$A:$A),MATCH(E$1,enemy_skills!$1:$1,0)-MATCH("enemy_skill_id",enemy_skills!$1:$1,0)+1),MATCH(E$1,enemy_skills!$1:$1,0)-MATCH("enemy_skill_id",enemy_skills!$1:$1,0)+1,FALSE)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180" s="47">
        <v>47004319</v>
      </c>
      <c r="G180" s="48">
        <f ca="1">VLOOKUP($F180,OFFSET(enemy_skill_triggers!$A$1,0,0,COUNTA(enemy_skill_triggers!$A:$A),MATCH(G$1,enemy_skill_triggers!$1:$1,0)-MATCH($F$1,enemy_skill_triggers!$1:$1,0)+1),MATCH(G$1,enemy_skill_triggers!$1:$1,0)-MATCH($F$1,enemy_skill_triggers!$1:$1,0)+1,FALSE)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0" s="48">
        <f ca="1">VLOOKUP($F180,OFFSET(enemy_skill_triggers!$A$1,0,0,COUNTA(enemy_skill_triggers!$A:$A),MATCH(H$1,enemy_skill_triggers!$1:$1,0)-MATCH($F$1,enemy_skill_triggers!$1:$1,0)+1),MATCH(H$1,enemy_skill_triggers!$1:$1,0)-MATCH($F$1,enemy_skill_triggers!$1:$1,0)+1,FALSE)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180" s="48">
        <f ca="1">VLOOKUP($F180,OFFSET(enemy_skill_triggers!$A$1,0,0,COUNTA(enemy_skill_triggers!$A:$A),MATCH(I$1,enemy_skill_triggers!$1:$1,0)-MATCH($F$1,enemy_skill_triggers!$1:$1,0)+1),MATCH(I$1,enemy_skill_triggers!$1:$1,0)-MATCH($F$1,enemy_skill_triggers!$1:$1,0)+1,FALSE)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0" s="48" t="str">
        <f ca="1">VLOOKUP($F180,OFFSET(enemy_skill_triggers!$A$1,0,0,COUNTA(enemy_skill_triggers!$A:$A),MATCH(J$1,enemy_skill_triggers!$1:$1,0)-MATCH($F$1,enemy_skill_triggers!$1:$1,0)+1),MATCH(J$1,enemy_skill_triggers!$1:$1,0)-MATCH($F$1,enemy_skill_triggers!$1:$1,0)+1,FALSE)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0" s="48" t="str">
        <f ca="1">VLOOKUP($F180,OFFSET(enemy_skill_triggers!$A$1,0,0,COUNTA(enemy_skill_triggers!$A:$A),MATCH(K$1,enemy_skill_triggers!$1:$1,0)-MATCH($F$1,enemy_skill_triggers!$1:$1,0)+1),MATCH(K$1,enemy_skill_triggers!$1:$1,0)-MATCH($F$1,enemy_skill_triggers!$1:$1,0)+1,FALSE)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0" s="48">
        <f ca="1">VLOOKUP($F180,OFFSET(enemy_skill_triggers!$A$1,0,0,COUNTA(enemy_skill_triggers!$A:$A),MATCH(L$1,enemy_skill_triggers!$1:$1,0)-MATCH($F$1,enemy_skill_triggers!$1:$1,0)+1),MATCH(L$1,enemy_skill_triggers!$1:$1,0)-MATCH($F$1,enemy_skill_triggers!$1:$1,0)+1,FALSE)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0" s="48">
        <f ca="1">VLOOKUP($F180,OFFSET(enemy_skill_triggers!$A$1,0,0,COUNTA(enemy_skill_triggers!$A:$A),MATCH(M$1,enemy_skill_triggers!$1:$1,0)-MATCH($F$1,enemy_skill_triggers!$1:$1,0)+1),MATCH(M$1,enemy_skill_triggers!$1:$1,0)-MATCH($F$1,enemy_skill_triggers!$1:$1,0)+1,FALSE)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0" s="48">
        <f ca="1">VLOOKUP($F180,OFFSET(enemy_skill_triggers!$A$1,0,0,COUNTA(enemy_skill_triggers!$A:$A),MATCH(N$1,enemy_skill_triggers!$1:$1,0)-MATCH($F$1,enemy_skill_triggers!$1:$1,0)+1),MATCH(N$1,enemy_skill_triggers!$1:$1,0)-MATCH($F$1,enemy_skill_triggers!$1:$1,0)+1,FALSE)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180" s="48">
        <f ca="1">VLOOKUP($F180,OFFSET(enemy_skill_triggers!$A$1,0,0,COUNTA(enemy_skill_triggers!$A:$A),MATCH(O$1,enemy_skill_triggers!$1:$1,0)-MATCH($F$1,enemy_skill_triggers!$1:$1,0)+1),MATCH(O$1,enemy_skill_triggers!$1:$1,0)-MATCH($F$1,enemy_skill_triggers!$1:$1,0)+1,FALSE)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0" s="47"/>
      <c r="Q180" s="47"/>
      <c r="R180" s="47"/>
    </row>
    <row r="181" spans="1:18" ht="21" customHeight="1" x14ac:dyDescent="0.15">
      <c r="A181" s="39" t="str">
        <f t="shared" si="9"/>
        <v>47004310_47004315</v>
      </c>
      <c r="B181" s="128">
        <v>47004310</v>
      </c>
      <c r="C181" s="47">
        <v>47004315</v>
      </c>
      <c r="D181" s="46" t="str">
        <f ca="1">VLOOKUP($C181,OFFSET(enemy_skills!$A$1,0,0,COUNTA(enemy_skills!$A:$A),MATCH(D$1,enemy_skills!$1:$1,0)-MATCH("enemy_skill_id",enemy_skills!$1:$1,0)+1),MATCH(D$1,enemy_skills!$1:$1,0)-MATCH("enemy_skill_id",enemy_skills!$1:$1,0)+1,FALSE)</f>
        <v>オセさん、皆の笑顔のために_x000D_一緒に頑張りましょ♪</v>
      </c>
      <c r="E181" s="46" t="str">
        <f ca="1">VLOOKUP($C181,OFFSET(enemy_skills!$A$1,0,0,COUNTA(enemy_skills!$A:$A),MATCH(E$1,enemy_skills!$1:$1,0)-MATCH("enemy_skill_id",enemy_skills!$1:$1,0)+1),MATCH(E$1,enemy_skills!$1:$1,0)-MATCH("enemy_skill_id",enemy_skills!$1:$1,0)+1,FALSE)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181" s="47">
        <v>47004320</v>
      </c>
      <c r="G181" s="48">
        <f ca="1">VLOOKUP($F181,OFFSET(enemy_skill_triggers!$A$1,0,0,COUNTA(enemy_skill_triggers!$A:$A),MATCH(G$1,enemy_skill_triggers!$1:$1,0)-MATCH($F$1,enemy_skill_triggers!$1:$1,0)+1),MATCH(G$1,enemy_skill_triggers!$1:$1,0)-MATCH($F$1,enemy_skill_triggers!$1:$1,0)+1,FALSE)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1" s="48">
        <f ca="1">VLOOKUP($F181,OFFSET(enemy_skill_triggers!$A$1,0,0,COUNTA(enemy_skill_triggers!$A:$A),MATCH(H$1,enemy_skill_triggers!$1:$1,0)-MATCH($F$1,enemy_skill_triggers!$1:$1,0)+1),MATCH(H$1,enemy_skill_triggers!$1:$1,0)-MATCH($F$1,enemy_skill_triggers!$1:$1,0)+1,FALSE)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181" s="48">
        <f ca="1">VLOOKUP($F181,OFFSET(enemy_skill_triggers!$A$1,0,0,COUNTA(enemy_skill_triggers!$A:$A),MATCH(I$1,enemy_skill_triggers!$1:$1,0)-MATCH($F$1,enemy_skill_triggers!$1:$1,0)+1),MATCH(I$1,enemy_skill_triggers!$1:$1,0)-MATCH($F$1,enemy_skill_triggers!$1:$1,0)+1,FALSE)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1" s="48" t="str">
        <f ca="1">VLOOKUP($F181,OFFSET(enemy_skill_triggers!$A$1,0,0,COUNTA(enemy_skill_triggers!$A:$A),MATCH(J$1,enemy_skill_triggers!$1:$1,0)-MATCH($F$1,enemy_skill_triggers!$1:$1,0)+1),MATCH(J$1,enemy_skill_triggers!$1:$1,0)-MATCH($F$1,enemy_skill_triggers!$1:$1,0)+1,FALSE)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1" s="48" t="str">
        <f ca="1">VLOOKUP($F181,OFFSET(enemy_skill_triggers!$A$1,0,0,COUNTA(enemy_skill_triggers!$A:$A),MATCH(K$1,enemy_skill_triggers!$1:$1,0)-MATCH($F$1,enemy_skill_triggers!$1:$1,0)+1),MATCH(K$1,enemy_skill_triggers!$1:$1,0)-MATCH($F$1,enemy_skill_triggers!$1:$1,0)+1,FALSE)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1" s="48">
        <f ca="1">VLOOKUP($F181,OFFSET(enemy_skill_triggers!$A$1,0,0,COUNTA(enemy_skill_triggers!$A:$A),MATCH(L$1,enemy_skill_triggers!$1:$1,0)-MATCH($F$1,enemy_skill_triggers!$1:$1,0)+1),MATCH(L$1,enemy_skill_triggers!$1:$1,0)-MATCH($F$1,enemy_skill_triggers!$1:$1,0)+1,FALSE)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1" s="48">
        <f ca="1">VLOOKUP($F181,OFFSET(enemy_skill_triggers!$A$1,0,0,COUNTA(enemy_skill_triggers!$A:$A),MATCH(M$1,enemy_skill_triggers!$1:$1,0)-MATCH($F$1,enemy_skill_triggers!$1:$1,0)+1),MATCH(M$1,enemy_skill_triggers!$1:$1,0)-MATCH($F$1,enemy_skill_triggers!$1:$1,0)+1,FALSE)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1" s="48">
        <f ca="1">VLOOKUP($F181,OFFSET(enemy_skill_triggers!$A$1,0,0,COUNTA(enemy_skill_triggers!$A:$A),MATCH(N$1,enemy_skill_triggers!$1:$1,0)-MATCH($F$1,enemy_skill_triggers!$1:$1,0)+1),MATCH(N$1,enemy_skill_triggers!$1:$1,0)-MATCH($F$1,enemy_skill_triggers!$1:$1,0)+1,FALSE)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181" s="48">
        <f ca="1">VLOOKUP($F181,OFFSET(enemy_skill_triggers!$A$1,0,0,COUNTA(enemy_skill_triggers!$A:$A),MATCH(O$1,enemy_skill_triggers!$1:$1,0)-MATCH($F$1,enemy_skill_triggers!$1:$1,0)+1),MATCH(O$1,enemy_skill_triggers!$1:$1,0)-MATCH($F$1,enemy_skill_triggers!$1:$1,0)+1,FALSE)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1" s="47"/>
      <c r="Q181" s="47"/>
      <c r="R181" s="47"/>
    </row>
    <row r="182" spans="1:18" ht="21" customHeight="1" x14ac:dyDescent="0.15">
      <c r="A182" s="39" t="str">
        <f t="shared" si="9"/>
        <v>47004310_47004316</v>
      </c>
      <c r="B182" s="128">
        <v>47004310</v>
      </c>
      <c r="C182" s="47">
        <v>47004316</v>
      </c>
      <c r="D182" s="46" t="str">
        <f ca="1">VLOOKUP($C182,OFFSET(enemy_skills!$A$1,0,0,COUNTA(enemy_skills!$A:$A),MATCH(D$1,enemy_skills!$1:$1,0)-MATCH("enemy_skill_id",enemy_skills!$1:$1,0)+1),MATCH(D$1,enemy_skills!$1:$1,0)-MATCH("enemy_skill_id",enemy_skills!$1:$1,0)+1,FALSE)</f>
        <v>ベリアルさんのバイクの後ろに_x000D_乗ってみたいです！</v>
      </c>
      <c r="E182" s="46" t="str">
        <f ca="1">VLOOKUP($C182,OFFSET(enemy_skills!$A$1,0,0,COUNTA(enemy_skills!$A:$A),MATCH(E$1,enemy_skills!$1:$1,0)-MATCH("enemy_skill_id",enemy_skills!$1:$1,0)+1),MATCH(E$1,enemy_skills!$1:$1,0)-MATCH("enemy_skill_id",enemy_skills!$1:$1,0)+1,FALSE)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182" s="47">
        <v>47004321</v>
      </c>
      <c r="G182" s="48">
        <f ca="1">VLOOKUP($F182,OFFSET(enemy_skill_triggers!$A$1,0,0,COUNTA(enemy_skill_triggers!$A:$A),MATCH(G$1,enemy_skill_triggers!$1:$1,0)-MATCH($F$1,enemy_skill_triggers!$1:$1,0)+1),MATCH(G$1,enemy_skill_triggers!$1:$1,0)-MATCH($F$1,enemy_skill_triggers!$1:$1,0)+1,FALSE)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2" s="48">
        <f ca="1">VLOOKUP($F182,OFFSET(enemy_skill_triggers!$A$1,0,0,COUNTA(enemy_skill_triggers!$A:$A),MATCH(H$1,enemy_skill_triggers!$1:$1,0)-MATCH($F$1,enemy_skill_triggers!$1:$1,0)+1),MATCH(H$1,enemy_skill_triggers!$1:$1,0)-MATCH($F$1,enemy_skill_triggers!$1:$1,0)+1,FALSE)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82" s="48">
        <f ca="1">VLOOKUP($F182,OFFSET(enemy_skill_triggers!$A$1,0,0,COUNTA(enemy_skill_triggers!$A:$A),MATCH(I$1,enemy_skill_triggers!$1:$1,0)-MATCH($F$1,enemy_skill_triggers!$1:$1,0)+1),MATCH(I$1,enemy_skill_triggers!$1:$1,0)-MATCH($F$1,enemy_skill_triggers!$1:$1,0)+1,FALSE)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2" s="48" t="str">
        <f ca="1">VLOOKUP($F182,OFFSET(enemy_skill_triggers!$A$1,0,0,COUNTA(enemy_skill_triggers!$A:$A),MATCH(J$1,enemy_skill_triggers!$1:$1,0)-MATCH($F$1,enemy_skill_triggers!$1:$1,0)+1),MATCH(J$1,enemy_skill_triggers!$1:$1,0)-MATCH($F$1,enemy_skill_triggers!$1:$1,0)+1,FALSE)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2" s="48" t="str">
        <f ca="1">VLOOKUP($F182,OFFSET(enemy_skill_triggers!$A$1,0,0,COUNTA(enemy_skill_triggers!$A:$A),MATCH(K$1,enemy_skill_triggers!$1:$1,0)-MATCH($F$1,enemy_skill_triggers!$1:$1,0)+1),MATCH(K$1,enemy_skill_triggers!$1:$1,0)-MATCH($F$1,enemy_skill_triggers!$1:$1,0)+1,FALSE)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2" s="48">
        <f ca="1">VLOOKUP($F182,OFFSET(enemy_skill_triggers!$A$1,0,0,COUNTA(enemy_skill_triggers!$A:$A),MATCH(L$1,enemy_skill_triggers!$1:$1,0)-MATCH($F$1,enemy_skill_triggers!$1:$1,0)+1),MATCH(L$1,enemy_skill_triggers!$1:$1,0)-MATCH($F$1,enemy_skill_triggers!$1:$1,0)+1,FALSE)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2" s="48">
        <f ca="1">VLOOKUP($F182,OFFSET(enemy_skill_triggers!$A$1,0,0,COUNTA(enemy_skill_triggers!$A:$A),MATCH(M$1,enemy_skill_triggers!$1:$1,0)-MATCH($F$1,enemy_skill_triggers!$1:$1,0)+1),MATCH(M$1,enemy_skill_triggers!$1:$1,0)-MATCH($F$1,enemy_skill_triggers!$1:$1,0)+1,FALSE)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2" s="48">
        <f ca="1">VLOOKUP($F182,OFFSET(enemy_skill_triggers!$A$1,0,0,COUNTA(enemy_skill_triggers!$A:$A),MATCH(N$1,enemy_skill_triggers!$1:$1,0)-MATCH($F$1,enemy_skill_triggers!$1:$1,0)+1),MATCH(N$1,enemy_skill_triggers!$1:$1,0)-MATCH($F$1,enemy_skill_triggers!$1:$1,0)+1,FALSE)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182" s="48">
        <f ca="1">VLOOKUP($F182,OFFSET(enemy_skill_triggers!$A$1,0,0,COUNTA(enemy_skill_triggers!$A:$A),MATCH(O$1,enemy_skill_triggers!$1:$1,0)-MATCH($F$1,enemy_skill_triggers!$1:$1,0)+1),MATCH(O$1,enemy_skill_triggers!$1:$1,0)-MATCH($F$1,enemy_skill_triggers!$1:$1,0)+1,FALSE)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2" s="47"/>
      <c r="Q182" s="47"/>
      <c r="R182" s="47"/>
    </row>
    <row r="183" spans="1:18" ht="21" customHeight="1" x14ac:dyDescent="0.15">
      <c r="A183" s="39" t="str">
        <f t="shared" si="9"/>
        <v>47004310_47004316</v>
      </c>
      <c r="B183" s="128">
        <v>47004310</v>
      </c>
      <c r="C183" s="47">
        <v>47004316</v>
      </c>
      <c r="D183" s="46" t="str">
        <f ca="1">VLOOKUP($C183,OFFSET(enemy_skills!$A$1,0,0,COUNTA(enemy_skills!$A:$A),MATCH(D$1,enemy_skills!$1:$1,0)-MATCH("enemy_skill_id",enemy_skills!$1:$1,0)+1),MATCH(D$1,enemy_skills!$1:$1,0)-MATCH("enemy_skill_id",enemy_skills!$1:$1,0)+1,FALSE)</f>
        <v>ベリアルさんのバイクの後ろに_x000D_乗ってみたいです！</v>
      </c>
      <c r="E183" s="46" t="str">
        <f ca="1">VLOOKUP($C183,OFFSET(enemy_skills!$A$1,0,0,COUNTA(enemy_skills!$A:$A),MATCH(E$1,enemy_skills!$1:$1,0)-MATCH("enemy_skill_id",enemy_skills!$1:$1,0)+1),MATCH(E$1,enemy_skills!$1:$1,0)-MATCH("enemy_skill_id",enemy_skills!$1:$1,0)+1,FALSE)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183" s="47">
        <v>47004322</v>
      </c>
      <c r="G183" s="48">
        <f ca="1">VLOOKUP($F183,OFFSET(enemy_skill_triggers!$A$1,0,0,COUNTA(enemy_skill_triggers!$A:$A),MATCH(G$1,enemy_skill_triggers!$1:$1,0)-MATCH($F$1,enemy_skill_triggers!$1:$1,0)+1),MATCH(G$1,enemy_skill_triggers!$1:$1,0)-MATCH($F$1,enemy_skill_triggers!$1:$1,0)+1,FALSE)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3" s="48">
        <f ca="1">VLOOKUP($F183,OFFSET(enemy_skill_triggers!$A$1,0,0,COUNTA(enemy_skill_triggers!$A:$A),MATCH(H$1,enemy_skill_triggers!$1:$1,0)-MATCH($F$1,enemy_skill_triggers!$1:$1,0)+1),MATCH(H$1,enemy_skill_triggers!$1:$1,0)-MATCH($F$1,enemy_skill_triggers!$1:$1,0)+1,FALSE)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183" s="48">
        <f ca="1">VLOOKUP($F183,OFFSET(enemy_skill_triggers!$A$1,0,0,COUNTA(enemy_skill_triggers!$A:$A),MATCH(I$1,enemy_skill_triggers!$1:$1,0)-MATCH($F$1,enemy_skill_triggers!$1:$1,0)+1),MATCH(I$1,enemy_skill_triggers!$1:$1,0)-MATCH($F$1,enemy_skill_triggers!$1:$1,0)+1,FALSE)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3" s="48" t="str">
        <f ca="1">VLOOKUP($F183,OFFSET(enemy_skill_triggers!$A$1,0,0,COUNTA(enemy_skill_triggers!$A:$A),MATCH(J$1,enemy_skill_triggers!$1:$1,0)-MATCH($F$1,enemy_skill_triggers!$1:$1,0)+1),MATCH(J$1,enemy_skill_triggers!$1:$1,0)-MATCH($F$1,enemy_skill_triggers!$1:$1,0)+1,FALSE)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3" s="48" t="str">
        <f ca="1">VLOOKUP($F183,OFFSET(enemy_skill_triggers!$A$1,0,0,COUNTA(enemy_skill_triggers!$A:$A),MATCH(K$1,enemy_skill_triggers!$1:$1,0)-MATCH($F$1,enemy_skill_triggers!$1:$1,0)+1),MATCH(K$1,enemy_skill_triggers!$1:$1,0)-MATCH($F$1,enemy_skill_triggers!$1:$1,0)+1,FALSE)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3" s="48">
        <f ca="1">VLOOKUP($F183,OFFSET(enemy_skill_triggers!$A$1,0,0,COUNTA(enemy_skill_triggers!$A:$A),MATCH(L$1,enemy_skill_triggers!$1:$1,0)-MATCH($F$1,enemy_skill_triggers!$1:$1,0)+1),MATCH(L$1,enemy_skill_triggers!$1:$1,0)-MATCH($F$1,enemy_skill_triggers!$1:$1,0)+1,FALSE)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3" s="48">
        <f ca="1">VLOOKUP($F183,OFFSET(enemy_skill_triggers!$A$1,0,0,COUNTA(enemy_skill_triggers!$A:$A),MATCH(M$1,enemy_skill_triggers!$1:$1,0)-MATCH($F$1,enemy_skill_triggers!$1:$1,0)+1),MATCH(M$1,enemy_skill_triggers!$1:$1,0)-MATCH($F$1,enemy_skill_triggers!$1:$1,0)+1,FALSE)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3" s="48">
        <f ca="1">VLOOKUP($F183,OFFSET(enemy_skill_triggers!$A$1,0,0,COUNTA(enemy_skill_triggers!$A:$A),MATCH(N$1,enemy_skill_triggers!$1:$1,0)-MATCH($F$1,enemy_skill_triggers!$1:$1,0)+1),MATCH(N$1,enemy_skill_triggers!$1:$1,0)-MATCH($F$1,enemy_skill_triggers!$1:$1,0)+1,FALSE)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183" s="48">
        <f ca="1">VLOOKUP($F183,OFFSET(enemy_skill_triggers!$A$1,0,0,COUNTA(enemy_skill_triggers!$A:$A),MATCH(O$1,enemy_skill_triggers!$1:$1,0)-MATCH($F$1,enemy_skill_triggers!$1:$1,0)+1),MATCH(O$1,enemy_skill_triggers!$1:$1,0)-MATCH($F$1,enemy_skill_triggers!$1:$1,0)+1,FALSE)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3" s="47"/>
      <c r="Q183" s="47"/>
      <c r="R183" s="47"/>
    </row>
    <row r="184" spans="1:18" ht="21" customHeight="1" x14ac:dyDescent="0.15">
      <c r="A184" s="39" t="str">
        <f t="shared" si="9"/>
        <v>47004310_47004316</v>
      </c>
      <c r="B184" s="128">
        <v>47004310</v>
      </c>
      <c r="C184" s="47">
        <v>47004316</v>
      </c>
      <c r="D184" s="46" t="str">
        <f ca="1">VLOOKUP($C184,OFFSET(enemy_skills!$A$1,0,0,COUNTA(enemy_skills!$A:$A),MATCH(D$1,enemy_skills!$1:$1,0)-MATCH("enemy_skill_id",enemy_skills!$1:$1,0)+1),MATCH(D$1,enemy_skills!$1:$1,0)-MATCH("enemy_skill_id",enemy_skills!$1:$1,0)+1,FALSE)</f>
        <v>ベリアルさんのバイクの後ろに_x000D_乗ってみたいです！</v>
      </c>
      <c r="E184" s="46" t="str">
        <f ca="1">VLOOKUP($C184,OFFSET(enemy_skills!$A$1,0,0,COUNTA(enemy_skills!$A:$A),MATCH(E$1,enemy_skills!$1:$1,0)-MATCH("enemy_skill_id",enemy_skills!$1:$1,0)+1),MATCH(E$1,enemy_skills!$1:$1,0)-MATCH("enemy_skill_id",enemy_skills!$1:$1,0)+1,FALSE)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184" s="47">
        <v>47004323</v>
      </c>
      <c r="G184" s="48">
        <f ca="1">VLOOKUP($F184,OFFSET(enemy_skill_triggers!$A$1,0,0,COUNTA(enemy_skill_triggers!$A:$A),MATCH(G$1,enemy_skill_triggers!$1:$1,0)-MATCH($F$1,enemy_skill_triggers!$1:$1,0)+1),MATCH(G$1,enemy_skill_triggers!$1:$1,0)-MATCH($F$1,enemy_skill_triggers!$1:$1,0)+1,FALSE)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4" s="48">
        <f ca="1">VLOOKUP($F184,OFFSET(enemy_skill_triggers!$A$1,0,0,COUNTA(enemy_skill_triggers!$A:$A),MATCH(H$1,enemy_skill_triggers!$1:$1,0)-MATCH($F$1,enemy_skill_triggers!$1:$1,0)+1),MATCH(H$1,enemy_skill_triggers!$1:$1,0)-MATCH($F$1,enemy_skill_triggers!$1:$1,0)+1,FALSE)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184" s="48">
        <f ca="1">VLOOKUP($F184,OFFSET(enemy_skill_triggers!$A$1,0,0,COUNTA(enemy_skill_triggers!$A:$A),MATCH(I$1,enemy_skill_triggers!$1:$1,0)-MATCH($F$1,enemy_skill_triggers!$1:$1,0)+1),MATCH(I$1,enemy_skill_triggers!$1:$1,0)-MATCH($F$1,enemy_skill_triggers!$1:$1,0)+1,FALSE)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4" s="48" t="str">
        <f ca="1">VLOOKUP($F184,OFFSET(enemy_skill_triggers!$A$1,0,0,COUNTA(enemy_skill_triggers!$A:$A),MATCH(J$1,enemy_skill_triggers!$1:$1,0)-MATCH($F$1,enemy_skill_triggers!$1:$1,0)+1),MATCH(J$1,enemy_skill_triggers!$1:$1,0)-MATCH($F$1,enemy_skill_triggers!$1:$1,0)+1,FALSE)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4" s="48" t="str">
        <f ca="1">VLOOKUP($F184,OFFSET(enemy_skill_triggers!$A$1,0,0,COUNTA(enemy_skill_triggers!$A:$A),MATCH(K$1,enemy_skill_triggers!$1:$1,0)-MATCH($F$1,enemy_skill_triggers!$1:$1,0)+1),MATCH(K$1,enemy_skill_triggers!$1:$1,0)-MATCH($F$1,enemy_skill_triggers!$1:$1,0)+1,FALSE)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4" s="48">
        <f ca="1">VLOOKUP($F184,OFFSET(enemy_skill_triggers!$A$1,0,0,COUNTA(enemy_skill_triggers!$A:$A),MATCH(L$1,enemy_skill_triggers!$1:$1,0)-MATCH($F$1,enemy_skill_triggers!$1:$1,0)+1),MATCH(L$1,enemy_skill_triggers!$1:$1,0)-MATCH($F$1,enemy_skill_triggers!$1:$1,0)+1,FALSE)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4" s="48">
        <f ca="1">VLOOKUP($F184,OFFSET(enemy_skill_triggers!$A$1,0,0,COUNTA(enemy_skill_triggers!$A:$A),MATCH(M$1,enemy_skill_triggers!$1:$1,0)-MATCH($F$1,enemy_skill_triggers!$1:$1,0)+1),MATCH(M$1,enemy_skill_triggers!$1:$1,0)-MATCH($F$1,enemy_skill_triggers!$1:$1,0)+1,FALSE)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4" s="48">
        <f ca="1">VLOOKUP($F184,OFFSET(enemy_skill_triggers!$A$1,0,0,COUNTA(enemy_skill_triggers!$A:$A),MATCH(N$1,enemy_skill_triggers!$1:$1,0)-MATCH($F$1,enemy_skill_triggers!$1:$1,0)+1),MATCH(N$1,enemy_skill_triggers!$1:$1,0)-MATCH($F$1,enemy_skill_triggers!$1:$1,0)+1,FALSE)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184" s="48">
        <f ca="1">VLOOKUP($F184,OFFSET(enemy_skill_triggers!$A$1,0,0,COUNTA(enemy_skill_triggers!$A:$A),MATCH(O$1,enemy_skill_triggers!$1:$1,0)-MATCH($F$1,enemy_skill_triggers!$1:$1,0)+1),MATCH(O$1,enemy_skill_triggers!$1:$1,0)-MATCH($F$1,enemy_skill_triggers!$1:$1,0)+1,FALSE)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4" s="47"/>
      <c r="Q184" s="47"/>
      <c r="R184" s="47"/>
    </row>
    <row r="185" spans="1:18" ht="21" customHeight="1" x14ac:dyDescent="0.15">
      <c r="A185" s="39" t="str">
        <f t="shared" ref="A185:A186" si="12">B185&amp;"_"&amp;C185</f>
        <v>47004310_47004317</v>
      </c>
      <c r="B185" s="128">
        <v>47004310</v>
      </c>
      <c r="C185" s="47">
        <v>47004317</v>
      </c>
      <c r="D185" s="46" t="str">
        <f ca="1">VLOOKUP($C185,OFFSET(enemy_skills!$A$1,0,0,COUNTA(enemy_skills!$A:$A),MATCH(D$1,enemy_skills!$1:$1,0)-MATCH("enemy_skill_id",enemy_skills!$1:$1,0)+1),MATCH(D$1,enemy_skills!$1:$1,0)-MATCH("enemy_skill_id",enemy_skills!$1:$1,0)+1,FALSE)</f>
        <v>エスタブさん！_x000D_一緒に幸せを配りましょう！</v>
      </c>
      <c r="E185" s="46" t="str">
        <f ca="1">VLOOKUP($C185,OFFSET(enemy_skills!$A$1,0,0,COUNTA(enemy_skills!$A:$A),MATCH(E$1,enemy_skills!$1:$1,0)-MATCH("enemy_skill_id",enemy_skills!$1:$1,0)+1),MATCH(E$1,enemy_skills!$1:$1,0)-MATCH("enemy_skill_id",enemy_skills!$1:$1,0)+1,FALSE)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185" s="47">
        <v>47004324</v>
      </c>
      <c r="G185" s="48">
        <f ca="1">VLOOKUP($F185,OFFSET(enemy_skill_triggers!$A$1,0,0,COUNTA(enemy_skill_triggers!$A:$A),MATCH(G$1,enemy_skill_triggers!$1:$1,0)-MATCH($F$1,enemy_skill_triggers!$1:$1,0)+1),MATCH(G$1,enemy_skill_triggers!$1:$1,0)-MATCH($F$1,enemy_skill_triggers!$1:$1,0)+1,FALSE)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5" s="48">
        <f ca="1">VLOOKUP($F185,OFFSET(enemy_skill_triggers!$A$1,0,0,COUNTA(enemy_skill_triggers!$A:$A),MATCH(H$1,enemy_skill_triggers!$1:$1,0)-MATCH($F$1,enemy_skill_triggers!$1:$1,0)+1),MATCH(H$1,enemy_skill_triggers!$1:$1,0)-MATCH($F$1,enemy_skill_triggers!$1:$1,0)+1,FALSE)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185" s="48">
        <f ca="1">VLOOKUP($F185,OFFSET(enemy_skill_triggers!$A$1,0,0,COUNTA(enemy_skill_triggers!$A:$A),MATCH(I$1,enemy_skill_triggers!$1:$1,0)-MATCH($F$1,enemy_skill_triggers!$1:$1,0)+1),MATCH(I$1,enemy_skill_triggers!$1:$1,0)-MATCH($F$1,enemy_skill_triggers!$1:$1,0)+1,FALSE)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5" s="48" t="str">
        <f ca="1">VLOOKUP($F185,OFFSET(enemy_skill_triggers!$A$1,0,0,COUNTA(enemy_skill_triggers!$A:$A),MATCH(J$1,enemy_skill_triggers!$1:$1,0)-MATCH($F$1,enemy_skill_triggers!$1:$1,0)+1),MATCH(J$1,enemy_skill_triggers!$1:$1,0)-MATCH($F$1,enemy_skill_triggers!$1:$1,0)+1,FALSE)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5" s="48" t="str">
        <f ca="1">VLOOKUP($F185,OFFSET(enemy_skill_triggers!$A$1,0,0,COUNTA(enemy_skill_triggers!$A:$A),MATCH(K$1,enemy_skill_triggers!$1:$1,0)-MATCH($F$1,enemy_skill_triggers!$1:$1,0)+1),MATCH(K$1,enemy_skill_triggers!$1:$1,0)-MATCH($F$1,enemy_skill_triggers!$1:$1,0)+1,FALSE)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5" s="48">
        <f ca="1">VLOOKUP($F185,OFFSET(enemy_skill_triggers!$A$1,0,0,COUNTA(enemy_skill_triggers!$A:$A),MATCH(L$1,enemy_skill_triggers!$1:$1,0)-MATCH($F$1,enemy_skill_triggers!$1:$1,0)+1),MATCH(L$1,enemy_skill_triggers!$1:$1,0)-MATCH($F$1,enemy_skill_triggers!$1:$1,0)+1,FALSE)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5" s="48">
        <f ca="1">VLOOKUP($F185,OFFSET(enemy_skill_triggers!$A$1,0,0,COUNTA(enemy_skill_triggers!$A:$A),MATCH(M$1,enemy_skill_triggers!$1:$1,0)-MATCH($F$1,enemy_skill_triggers!$1:$1,0)+1),MATCH(M$1,enemy_skill_triggers!$1:$1,0)-MATCH($F$1,enemy_skill_triggers!$1:$1,0)+1,FALSE)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5" s="48">
        <f ca="1">VLOOKUP($F185,OFFSET(enemy_skill_triggers!$A$1,0,0,COUNTA(enemy_skill_triggers!$A:$A),MATCH(N$1,enemy_skill_triggers!$1:$1,0)-MATCH($F$1,enemy_skill_triggers!$1:$1,0)+1),MATCH(N$1,enemy_skill_triggers!$1:$1,0)-MATCH($F$1,enemy_skill_triggers!$1:$1,0)+1,FALSE)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185" s="48">
        <f ca="1">VLOOKUP($F185,OFFSET(enemy_skill_triggers!$A$1,0,0,COUNTA(enemy_skill_triggers!$A:$A),MATCH(O$1,enemy_skill_triggers!$1:$1,0)-MATCH($F$1,enemy_skill_triggers!$1:$1,0)+1),MATCH(O$1,enemy_skill_triggers!$1:$1,0)-MATCH($F$1,enemy_skill_triggers!$1:$1,0)+1,FALSE)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5" s="47"/>
      <c r="Q185" s="47"/>
      <c r="R185" s="47"/>
    </row>
    <row r="186" spans="1:18" ht="21" customHeight="1" x14ac:dyDescent="0.15">
      <c r="A186" s="39" t="str">
        <f t="shared" si="12"/>
        <v>47004310_47004318</v>
      </c>
      <c r="B186" s="128">
        <v>47004310</v>
      </c>
      <c r="C186" s="47">
        <v>47004318</v>
      </c>
      <c r="D186" s="46" t="str">
        <f ca="1">VLOOKUP($C186,OFFSET(enemy_skills!$A$1,0,0,COUNTA(enemy_skills!$A:$A),MATCH(D$1,enemy_skills!$1:$1,0)-MATCH("enemy_skill_id",enemy_skills!$1:$1,0)+1),MATCH(D$1,enemy_skills!$1:$1,0)-MATCH("enemy_skill_id",enemy_skills!$1:$1,0)+1,FALSE)</f>
        <v>卑弥呼さん！_x000D_一緒に幸せを配りましょう！</v>
      </c>
      <c r="E186" s="46" t="str">
        <f ca="1">VLOOKUP($C186,OFFSET(enemy_skills!$A$1,0,0,COUNTA(enemy_skills!$A:$A),MATCH(E$1,enemy_skills!$1:$1,0)-MATCH("enemy_skill_id",enemy_skills!$1:$1,0)+1),MATCH(E$1,enemy_skills!$1:$1,0)-MATCH("enemy_skill_id",enemy_skills!$1:$1,0)+1,FALSE)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186" s="47">
        <v>47004325</v>
      </c>
      <c r="G186" s="48">
        <f ca="1">VLOOKUP($F186,OFFSET(enemy_skill_triggers!$A$1,0,0,COUNTA(enemy_skill_triggers!$A:$A),MATCH(G$1,enemy_skill_triggers!$1:$1,0)-MATCH($F$1,enemy_skill_triggers!$1:$1,0)+1),MATCH(G$1,enemy_skill_triggers!$1:$1,0)-MATCH($F$1,enemy_skill_triggers!$1:$1,0)+1,FALSE)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6" s="48">
        <f ca="1">VLOOKUP($F186,OFFSET(enemy_skill_triggers!$A$1,0,0,COUNTA(enemy_skill_triggers!$A:$A),MATCH(H$1,enemy_skill_triggers!$1:$1,0)-MATCH($F$1,enemy_skill_triggers!$1:$1,0)+1),MATCH(H$1,enemy_skill_triggers!$1:$1,0)-MATCH($F$1,enemy_skill_triggers!$1:$1,0)+1,FALSE)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186" s="48">
        <f ca="1">VLOOKUP($F186,OFFSET(enemy_skill_triggers!$A$1,0,0,COUNTA(enemy_skill_triggers!$A:$A),MATCH(I$1,enemy_skill_triggers!$1:$1,0)-MATCH($F$1,enemy_skill_triggers!$1:$1,0)+1),MATCH(I$1,enemy_skill_triggers!$1:$1,0)-MATCH($F$1,enemy_skill_triggers!$1:$1,0)+1,FALSE)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6" s="48" t="str">
        <f ca="1">VLOOKUP($F186,OFFSET(enemy_skill_triggers!$A$1,0,0,COUNTA(enemy_skill_triggers!$A:$A),MATCH(J$1,enemy_skill_triggers!$1:$1,0)-MATCH($F$1,enemy_skill_triggers!$1:$1,0)+1),MATCH(J$1,enemy_skill_triggers!$1:$1,0)-MATCH($F$1,enemy_skill_triggers!$1:$1,0)+1,FALSE)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6" s="48" t="str">
        <f ca="1">VLOOKUP($F186,OFFSET(enemy_skill_triggers!$A$1,0,0,COUNTA(enemy_skill_triggers!$A:$A),MATCH(K$1,enemy_skill_triggers!$1:$1,0)-MATCH($F$1,enemy_skill_triggers!$1:$1,0)+1),MATCH(K$1,enemy_skill_triggers!$1:$1,0)-MATCH($F$1,enemy_skill_triggers!$1:$1,0)+1,FALSE)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6" s="48">
        <f ca="1">VLOOKUP($F186,OFFSET(enemy_skill_triggers!$A$1,0,0,COUNTA(enemy_skill_triggers!$A:$A),MATCH(L$1,enemy_skill_triggers!$1:$1,0)-MATCH($F$1,enemy_skill_triggers!$1:$1,0)+1),MATCH(L$1,enemy_skill_triggers!$1:$1,0)-MATCH($F$1,enemy_skill_triggers!$1:$1,0)+1,FALSE)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6" s="48">
        <f ca="1">VLOOKUP($F186,OFFSET(enemy_skill_triggers!$A$1,0,0,COUNTA(enemy_skill_triggers!$A:$A),MATCH(M$1,enemy_skill_triggers!$1:$1,0)-MATCH($F$1,enemy_skill_triggers!$1:$1,0)+1),MATCH(M$1,enemy_skill_triggers!$1:$1,0)-MATCH($F$1,enemy_skill_triggers!$1:$1,0)+1,FALSE)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6" s="48">
        <f ca="1">VLOOKUP($F186,OFFSET(enemy_skill_triggers!$A$1,0,0,COUNTA(enemy_skill_triggers!$A:$A),MATCH(N$1,enemy_skill_triggers!$1:$1,0)-MATCH($F$1,enemy_skill_triggers!$1:$1,0)+1),MATCH(N$1,enemy_skill_triggers!$1:$1,0)-MATCH($F$1,enemy_skill_triggers!$1:$1,0)+1,FALSE)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186" s="48">
        <f ca="1">VLOOKUP($F186,OFFSET(enemy_skill_triggers!$A$1,0,0,COUNTA(enemy_skill_triggers!$A:$A),MATCH(O$1,enemy_skill_triggers!$1:$1,0)-MATCH($F$1,enemy_skill_triggers!$1:$1,0)+1),MATCH(O$1,enemy_skill_triggers!$1:$1,0)-MATCH($F$1,enemy_skill_triggers!$1:$1,0)+1,FALSE)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6" s="47"/>
      <c r="Q186" s="47"/>
      <c r="R186" s="47"/>
    </row>
    <row r="187" spans="1:18" ht="21" customHeight="1" x14ac:dyDescent="0.15">
      <c r="A187" s="39" t="str">
        <f t="shared" si="9"/>
        <v>47004330_47004331</v>
      </c>
      <c r="B187" s="128">
        <v>47004330</v>
      </c>
      <c r="C187" s="47">
        <v>47004331</v>
      </c>
      <c r="D187" s="46" t="str">
        <f ca="1">VLOOKUP($C187,OFFSET(enemy_skills!$A$1,0,0,COUNTA(enemy_skills!$A:$A),MATCH(D$1,enemy_skills!$1:$1,0)-MATCH("enemy_skill_id",enemy_skills!$1:$1,0)+1),MATCH(D$1,enemy_skills!$1:$1,0)-MATCH("enemy_skill_id",enemy_skills!$1:$1,0)+1,FALSE)</f>
        <v>よう、お前達！_x000D_プレゼントを持ってきてやったぜ！</v>
      </c>
      <c r="E187" s="46" t="str">
        <f ca="1">VLOOKUP($C187,OFFSET(enemy_skills!$A$1,0,0,COUNTA(enemy_skills!$A:$A),MATCH(E$1,enemy_skills!$1:$1,0)-MATCH("enemy_skill_id",enemy_skills!$1:$1,0)+1),MATCH(E$1,enemy_skills!$1:$1,0)-MATCH("enemy_skill_id",enemy_skills!$1:$1,0)+1,FALSE)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187" s="47">
        <v>47004331</v>
      </c>
      <c r="G187" s="48">
        <f ca="1">VLOOKUP($F187,OFFSET(enemy_skill_triggers!$A$1,0,0,COUNTA(enemy_skill_triggers!$A:$A),MATCH(G$1,enemy_skill_triggers!$1:$1,0)-MATCH($F$1,enemy_skill_triggers!$1:$1,0)+1),MATCH(G$1,enemy_skill_triggers!$1:$1,0)-MATCH($F$1,enemy_skill_triggers!$1:$1,0)+1,FALSE)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7" s="48">
        <f ca="1">VLOOKUP($F187,OFFSET(enemy_skill_triggers!$A$1,0,0,COUNTA(enemy_skill_triggers!$A:$A),MATCH(H$1,enemy_skill_triggers!$1:$1,0)-MATCH($F$1,enemy_skill_triggers!$1:$1,0)+1),MATCH(H$1,enemy_skill_triggers!$1:$1,0)-MATCH($F$1,enemy_skill_triggers!$1:$1,0)+1,FALSE)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7" s="48">
        <f ca="1">VLOOKUP($F187,OFFSET(enemy_skill_triggers!$A$1,0,0,COUNTA(enemy_skill_triggers!$A:$A),MATCH(I$1,enemy_skill_triggers!$1:$1,0)-MATCH($F$1,enemy_skill_triggers!$1:$1,0)+1),MATCH(I$1,enemy_skill_triggers!$1:$1,0)-MATCH($F$1,enemy_skill_triggers!$1:$1,0)+1,FALSE)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7" s="48" t="str">
        <f ca="1">VLOOKUP($F187,OFFSET(enemy_skill_triggers!$A$1,0,0,COUNTA(enemy_skill_triggers!$A:$A),MATCH(J$1,enemy_skill_triggers!$1:$1,0)-MATCH($F$1,enemy_skill_triggers!$1:$1,0)+1),MATCH(J$1,enemy_skill_triggers!$1:$1,0)-MATCH($F$1,enemy_skill_triggers!$1:$1,0)+1,FALSE)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7" s="48" t="str">
        <f ca="1">VLOOKUP($F187,OFFSET(enemy_skill_triggers!$A$1,0,0,COUNTA(enemy_skill_triggers!$A:$A),MATCH(K$1,enemy_skill_triggers!$1:$1,0)-MATCH($F$1,enemy_skill_triggers!$1:$1,0)+1),MATCH(K$1,enemy_skill_triggers!$1:$1,0)-MATCH($F$1,enemy_skill_triggers!$1:$1,0)+1,FALSE)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7" s="48">
        <f ca="1">VLOOKUP($F187,OFFSET(enemy_skill_triggers!$A$1,0,0,COUNTA(enemy_skill_triggers!$A:$A),MATCH(L$1,enemy_skill_triggers!$1:$1,0)-MATCH($F$1,enemy_skill_triggers!$1:$1,0)+1),MATCH(L$1,enemy_skill_triggers!$1:$1,0)-MATCH($F$1,enemy_skill_triggers!$1:$1,0)+1,FALSE)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7" s="48" t="str">
        <f ca="1">VLOOKUP($F187,OFFSET(enemy_skill_triggers!$A$1,0,0,COUNTA(enemy_skill_triggers!$A:$A),MATCH(M$1,enemy_skill_triggers!$1:$1,0)-MATCH($F$1,enemy_skill_triggers!$1:$1,0)+1),MATCH(M$1,enemy_skill_triggers!$1:$1,0)-MATCH($F$1,enemy_skill_triggers!$1:$1,0)+1,FALSE)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7" s="48" t="str">
        <f ca="1">VLOOKUP($F187,OFFSET(enemy_skill_triggers!$A$1,0,0,COUNTA(enemy_skill_triggers!$A:$A),MATCH(N$1,enemy_skill_triggers!$1:$1,0)-MATCH($F$1,enemy_skill_triggers!$1:$1,0)+1),MATCH(N$1,enemy_skill_triggers!$1:$1,0)-MATCH($F$1,enemy_skill_triggers!$1:$1,0)+1,FALSE)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7" s="48">
        <f ca="1">VLOOKUP($F187,OFFSET(enemy_skill_triggers!$A$1,0,0,COUNTA(enemy_skill_triggers!$A:$A),MATCH(O$1,enemy_skill_triggers!$1:$1,0)-MATCH($F$1,enemy_skill_triggers!$1:$1,0)+1),MATCH(O$1,enemy_skill_triggers!$1:$1,0)-MATCH($F$1,enemy_skill_triggers!$1:$1,0)+1,FALSE)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7" s="47"/>
      <c r="Q187" s="47"/>
      <c r="R187" s="47"/>
    </row>
    <row r="188" spans="1:18" ht="21" customHeight="1" x14ac:dyDescent="0.15">
      <c r="A188" s="39" t="str">
        <f t="shared" si="9"/>
        <v>47004330_47004332</v>
      </c>
      <c r="B188" s="128">
        <v>47004330</v>
      </c>
      <c r="C188" s="47">
        <v>47004332</v>
      </c>
      <c r="D188" s="46" t="str">
        <f ca="1">VLOOKUP($C188,OFFSET(enemy_skills!$A$1,0,0,COUNTA(enemy_skills!$A:$A),MATCH(D$1,enemy_skills!$1:$1,0)-MATCH("enemy_skill_id",enemy_skills!$1:$1,0)+1),MATCH(D$1,enemy_skills!$1:$1,0)-MATCH("enemy_skill_id",enemy_skills!$1:$1,0)+1,FALSE)</f>
        <v>心が燃えていれば_x000D_寒さなんか感じないってね！</v>
      </c>
      <c r="E188" s="46" t="str">
        <f ca="1">VLOOKUP($C188,OFFSET(enemy_skills!$A$1,0,0,COUNTA(enemy_skills!$A:$A),MATCH(E$1,enemy_skills!$1:$1,0)-MATCH("enemy_skill_id",enemy_skills!$1:$1,0)+1),MATCH(E$1,enemy_skills!$1:$1,0)-MATCH("enemy_skill_id",enemy_skills!$1:$1,0)+1,FALSE)</f>
        <v>2回連続全体攻撃+_x000D_ハートパネルを赤のダメージパネルに3個変換</v>
      </c>
      <c r="F188" s="47">
        <v>47004332</v>
      </c>
      <c r="G188" s="48">
        <f ca="1">VLOOKUP($F188,OFFSET(enemy_skill_triggers!$A$1,0,0,COUNTA(enemy_skill_triggers!$A:$A),MATCH(G$1,enemy_skill_triggers!$1:$1,0)-MATCH($F$1,enemy_skill_triggers!$1:$1,0)+1),MATCH(G$1,enemy_skill_triggers!$1:$1,0)-MATCH($F$1,enemy_skill_triggers!$1:$1,0)+1,FALSE)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8" s="48">
        <f ca="1">VLOOKUP($F188,OFFSET(enemy_skill_triggers!$A$1,0,0,COUNTA(enemy_skill_triggers!$A:$A),MATCH(H$1,enemy_skill_triggers!$1:$1,0)-MATCH($F$1,enemy_skill_triggers!$1:$1,0)+1),MATCH(H$1,enemy_skill_triggers!$1:$1,0)-MATCH($F$1,enemy_skill_triggers!$1:$1,0)+1,FALSE)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88" s="48">
        <f ca="1">VLOOKUP($F188,OFFSET(enemy_skill_triggers!$A$1,0,0,COUNTA(enemy_skill_triggers!$A:$A),MATCH(I$1,enemy_skill_triggers!$1:$1,0)-MATCH($F$1,enemy_skill_triggers!$1:$1,0)+1),MATCH(I$1,enemy_skill_triggers!$1:$1,0)-MATCH($F$1,enemy_skill_triggers!$1:$1,0)+1,FALSE)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8" s="48" t="str">
        <f ca="1">VLOOKUP($F188,OFFSET(enemy_skill_triggers!$A$1,0,0,COUNTA(enemy_skill_triggers!$A:$A),MATCH(J$1,enemy_skill_triggers!$1:$1,0)-MATCH($F$1,enemy_skill_triggers!$1:$1,0)+1),MATCH(J$1,enemy_skill_triggers!$1:$1,0)-MATCH($F$1,enemy_skill_triggers!$1:$1,0)+1,FALSE)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8" s="48" t="str">
        <f ca="1">VLOOKUP($F188,OFFSET(enemy_skill_triggers!$A$1,0,0,COUNTA(enemy_skill_triggers!$A:$A),MATCH(K$1,enemy_skill_triggers!$1:$1,0)-MATCH($F$1,enemy_skill_triggers!$1:$1,0)+1),MATCH(K$1,enemy_skill_triggers!$1:$1,0)-MATCH($F$1,enemy_skill_triggers!$1:$1,0)+1,FALSE)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8" s="48">
        <f ca="1">VLOOKUP($F188,OFFSET(enemy_skill_triggers!$A$1,0,0,COUNTA(enemy_skill_triggers!$A:$A),MATCH(L$1,enemy_skill_triggers!$1:$1,0)-MATCH($F$1,enemy_skill_triggers!$1:$1,0)+1),MATCH(L$1,enemy_skill_triggers!$1:$1,0)-MATCH($F$1,enemy_skill_triggers!$1:$1,0)+1,FALSE)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8" s="48">
        <f ca="1">VLOOKUP($F188,OFFSET(enemy_skill_triggers!$A$1,0,0,COUNTA(enemy_skill_triggers!$A:$A),MATCH(M$1,enemy_skill_triggers!$1:$1,0)-MATCH($F$1,enemy_skill_triggers!$1:$1,0)+1),MATCH(M$1,enemy_skill_triggers!$1:$1,0)-MATCH($F$1,enemy_skill_triggers!$1:$1,0)+1,FALSE)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8" s="48" t="str">
        <f ca="1">VLOOKUP($F188,OFFSET(enemy_skill_triggers!$A$1,0,0,COUNTA(enemy_skill_triggers!$A:$A),MATCH(N$1,enemy_skill_triggers!$1:$1,0)-MATCH($F$1,enemy_skill_triggers!$1:$1,0)+1),MATCH(N$1,enemy_skill_triggers!$1:$1,0)-MATCH($F$1,enemy_skill_triggers!$1:$1,0)+1,FALSE)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8" s="48">
        <f ca="1">VLOOKUP($F188,OFFSET(enemy_skill_triggers!$A$1,0,0,COUNTA(enemy_skill_triggers!$A:$A),MATCH(O$1,enemy_skill_triggers!$1:$1,0)-MATCH($F$1,enemy_skill_triggers!$1:$1,0)+1),MATCH(O$1,enemy_skill_triggers!$1:$1,0)-MATCH($F$1,enemy_skill_triggers!$1:$1,0)+1,FALSE)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8" s="47"/>
      <c r="Q188" s="47"/>
      <c r="R188" s="47"/>
    </row>
    <row r="189" spans="1:18" ht="21" customHeight="1" x14ac:dyDescent="0.15">
      <c r="A189" s="39" t="str">
        <f t="shared" si="9"/>
        <v>47004330_47004333</v>
      </c>
      <c r="B189" s="128">
        <v>47004330</v>
      </c>
      <c r="C189" s="47">
        <v>47004333</v>
      </c>
      <c r="D189" s="46" t="str">
        <f ca="1">VLOOKUP($C189,OFFSET(enemy_skills!$A$1,0,0,COUNTA(enemy_skills!$A:$A),MATCH(D$1,enemy_skills!$1:$1,0)-MATCH("enemy_skill_id",enemy_skills!$1:$1,0)+1),MATCH(D$1,enemy_skills!$1:$1,0)-MATCH("enemy_skill_id",enemy_skills!$1:$1,0)+1,FALSE)</f>
        <v>急いでるんでな！_x000D_飛ばしていくぜ！</v>
      </c>
      <c r="E189" s="46" t="str">
        <f ca="1">VLOOKUP($C189,OFFSET(enemy_skills!$A$1,0,0,COUNTA(enemy_skills!$A:$A),MATCH(E$1,enemy_skills!$1:$1,0)-MATCH("enemy_skill_id",enemy_skills!$1:$1,0)+1),MATCH(E$1,enemy_skills!$1:$1,0)-MATCH("enemy_skill_id",enemy_skills!$1:$1,0)+1,FALSE)</f>
        <v>青パネルを赤パネルに10個変換+単体攻撃+行動頻度UP</v>
      </c>
      <c r="F189" s="47">
        <v>47004333</v>
      </c>
      <c r="G189" s="48">
        <f ca="1">VLOOKUP($F189,OFFSET(enemy_skill_triggers!$A$1,0,0,COUNTA(enemy_skill_triggers!$A:$A),MATCH(G$1,enemy_skill_triggers!$1:$1,0)-MATCH($F$1,enemy_skill_triggers!$1:$1,0)+1),MATCH(G$1,enemy_skill_triggers!$1:$1,0)-MATCH($F$1,enemy_skill_triggers!$1:$1,0)+1,FALSE)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9" s="48">
        <f ca="1">VLOOKUP($F189,OFFSET(enemy_skill_triggers!$A$1,0,0,COUNTA(enemy_skill_triggers!$A:$A),MATCH(H$1,enemy_skill_triggers!$1:$1,0)-MATCH($F$1,enemy_skill_triggers!$1:$1,0)+1),MATCH(H$1,enemy_skill_triggers!$1:$1,0)-MATCH($F$1,enemy_skill_triggers!$1:$1,0)+1,FALSE)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189" s="48">
        <f ca="1">VLOOKUP($F189,OFFSET(enemy_skill_triggers!$A$1,0,0,COUNTA(enemy_skill_triggers!$A:$A),MATCH(I$1,enemy_skill_triggers!$1:$1,0)-MATCH($F$1,enemy_skill_triggers!$1:$1,0)+1),MATCH(I$1,enemy_skill_triggers!$1:$1,0)-MATCH($F$1,enemy_skill_triggers!$1:$1,0)+1,FALSE)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9" s="48" t="str">
        <f ca="1">VLOOKUP($F189,OFFSET(enemy_skill_triggers!$A$1,0,0,COUNTA(enemy_skill_triggers!$A:$A),MATCH(J$1,enemy_skill_triggers!$1:$1,0)-MATCH($F$1,enemy_skill_triggers!$1:$1,0)+1),MATCH(J$1,enemy_skill_triggers!$1:$1,0)-MATCH($F$1,enemy_skill_triggers!$1:$1,0)+1,FALSE)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9" s="48" t="str">
        <f ca="1">VLOOKUP($F189,OFFSET(enemy_skill_triggers!$A$1,0,0,COUNTA(enemy_skill_triggers!$A:$A),MATCH(K$1,enemy_skill_triggers!$1:$1,0)-MATCH($F$1,enemy_skill_triggers!$1:$1,0)+1),MATCH(K$1,enemy_skill_triggers!$1:$1,0)-MATCH($F$1,enemy_skill_triggers!$1:$1,0)+1,FALSE)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9" s="48">
        <f ca="1">VLOOKUP($F189,OFFSET(enemy_skill_triggers!$A$1,0,0,COUNTA(enemy_skill_triggers!$A:$A),MATCH(L$1,enemy_skill_triggers!$1:$1,0)-MATCH($F$1,enemy_skill_triggers!$1:$1,0)+1),MATCH(L$1,enemy_skill_triggers!$1:$1,0)-MATCH($F$1,enemy_skill_triggers!$1:$1,0)+1,FALSE)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9" s="48">
        <f ca="1">VLOOKUP($F189,OFFSET(enemy_skill_triggers!$A$1,0,0,COUNTA(enemy_skill_triggers!$A:$A),MATCH(M$1,enemy_skill_triggers!$1:$1,0)-MATCH($F$1,enemy_skill_triggers!$1:$1,0)+1),MATCH(M$1,enemy_skill_triggers!$1:$1,0)-MATCH($F$1,enemy_skill_triggers!$1:$1,0)+1,FALSE)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9" s="48" t="str">
        <f ca="1">VLOOKUP($F189,OFFSET(enemy_skill_triggers!$A$1,0,0,COUNTA(enemy_skill_triggers!$A:$A),MATCH(N$1,enemy_skill_triggers!$1:$1,0)-MATCH($F$1,enemy_skill_triggers!$1:$1,0)+1),MATCH(N$1,enemy_skill_triggers!$1:$1,0)-MATCH($F$1,enemy_skill_triggers!$1:$1,0)+1,FALSE)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9" s="48">
        <f ca="1">VLOOKUP($F189,OFFSET(enemy_skill_triggers!$A$1,0,0,COUNTA(enemy_skill_triggers!$A:$A),MATCH(O$1,enemy_skill_triggers!$1:$1,0)-MATCH($F$1,enemy_skill_triggers!$1:$1,0)+1),MATCH(O$1,enemy_skill_triggers!$1:$1,0)-MATCH($F$1,enemy_skill_triggers!$1:$1,0)+1,FALSE)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9" s="47"/>
      <c r="Q189" s="47"/>
      <c r="R189" s="47"/>
    </row>
    <row r="190" spans="1:18" ht="21" customHeight="1" x14ac:dyDescent="0.15">
      <c r="A190" s="39" t="str">
        <f t="shared" si="9"/>
        <v>47004330_47004334</v>
      </c>
      <c r="B190" s="128">
        <v>47004330</v>
      </c>
      <c r="C190" s="47">
        <v>47004334</v>
      </c>
      <c r="D190" s="46" t="str">
        <f ca="1">VLOOKUP($C190,OFFSET(enemy_skills!$A$1,0,0,COUNTA(enemy_skills!$A:$A),MATCH(D$1,enemy_skills!$1:$1,0)-MATCH("enemy_skill_id",enemy_skills!$1:$1,0)+1),MATCH(D$1,enemy_skills!$1:$1,0)-MATCH("enemy_skill_id",enemy_skills!$1:$1,0)+1,FALSE)</f>
        <v>聖夜のエキゾーストノート</v>
      </c>
      <c r="E190" s="46" t="str">
        <f ca="1">VLOOKUP($C190,OFFSET(enemy_skills!$A$1,0,0,COUNTA(enemy_skills!$A:$A),MATCH(E$1,enemy_skills!$1:$1,0)-MATCH("enemy_skill_id",enemy_skills!$1:$1,0)+1),MATCH(E$1,enemy_skills!$1:$1,0)-MATCH("enemy_skill_id",enemy_skills!$1:$1,0)+1,FALSE)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0" s="47">
        <v>47004334</v>
      </c>
      <c r="G190" s="48">
        <f ca="1">VLOOKUP($F190,OFFSET(enemy_skill_triggers!$A$1,0,0,COUNTA(enemy_skill_triggers!$A:$A),MATCH(G$1,enemy_skill_triggers!$1:$1,0)-MATCH($F$1,enemy_skill_triggers!$1:$1,0)+1),MATCH(G$1,enemy_skill_triggers!$1:$1,0)-MATCH($F$1,enemy_skill_triggers!$1:$1,0)+1,FALSE)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0" s="48">
        <f ca="1">VLOOKUP($F190,OFFSET(enemy_skill_triggers!$A$1,0,0,COUNTA(enemy_skill_triggers!$A:$A),MATCH(H$1,enemy_skill_triggers!$1:$1,0)-MATCH($F$1,enemy_skill_triggers!$1:$1,0)+1),MATCH(H$1,enemy_skill_triggers!$1:$1,0)-MATCH($F$1,enemy_skill_triggers!$1:$1,0)+1,FALSE)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90" s="48">
        <f ca="1">VLOOKUP($F190,OFFSET(enemy_skill_triggers!$A$1,0,0,COUNTA(enemy_skill_triggers!$A:$A),MATCH(I$1,enemy_skill_triggers!$1:$1,0)-MATCH($F$1,enemy_skill_triggers!$1:$1,0)+1),MATCH(I$1,enemy_skill_triggers!$1:$1,0)-MATCH($F$1,enemy_skill_triggers!$1:$1,0)+1,FALSE)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0" s="48" t="str">
        <f ca="1">VLOOKUP($F190,OFFSET(enemy_skill_triggers!$A$1,0,0,COUNTA(enemy_skill_triggers!$A:$A),MATCH(J$1,enemy_skill_triggers!$1:$1,0)-MATCH($F$1,enemy_skill_triggers!$1:$1,0)+1),MATCH(J$1,enemy_skill_triggers!$1:$1,0)-MATCH($F$1,enemy_skill_triggers!$1:$1,0)+1,FALSE)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0" s="48" t="str">
        <f ca="1">VLOOKUP($F190,OFFSET(enemy_skill_triggers!$A$1,0,0,COUNTA(enemy_skill_triggers!$A:$A),MATCH(K$1,enemy_skill_triggers!$1:$1,0)-MATCH($F$1,enemy_skill_triggers!$1:$1,0)+1),MATCH(K$1,enemy_skill_triggers!$1:$1,0)-MATCH($F$1,enemy_skill_triggers!$1:$1,0)+1,FALSE)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0" s="48" t="str">
        <f ca="1">VLOOKUP($F190,OFFSET(enemy_skill_triggers!$A$1,0,0,COUNTA(enemy_skill_triggers!$A:$A),MATCH(L$1,enemy_skill_triggers!$1:$1,0)-MATCH($F$1,enemy_skill_triggers!$1:$1,0)+1),MATCH(L$1,enemy_skill_triggers!$1:$1,0)-MATCH($F$1,enemy_skill_triggers!$1:$1,0)+1,FALSE)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0" s="48">
        <f ca="1">VLOOKUP($F190,OFFSET(enemy_skill_triggers!$A$1,0,0,COUNTA(enemy_skill_triggers!$A:$A),MATCH(M$1,enemy_skill_triggers!$1:$1,0)-MATCH($F$1,enemy_skill_triggers!$1:$1,0)+1),MATCH(M$1,enemy_skill_triggers!$1:$1,0)-MATCH($F$1,enemy_skill_triggers!$1:$1,0)+1,FALSE)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0" s="48" t="str">
        <f ca="1">VLOOKUP($F190,OFFSET(enemy_skill_triggers!$A$1,0,0,COUNTA(enemy_skill_triggers!$A:$A),MATCH(N$1,enemy_skill_triggers!$1:$1,0)-MATCH($F$1,enemy_skill_triggers!$1:$1,0)+1),MATCH(N$1,enemy_skill_triggers!$1:$1,0)-MATCH($F$1,enemy_skill_triggers!$1:$1,0)+1,FALSE)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0" s="48">
        <f ca="1">VLOOKUP($F190,OFFSET(enemy_skill_triggers!$A$1,0,0,COUNTA(enemy_skill_triggers!$A:$A),MATCH(O$1,enemy_skill_triggers!$1:$1,0)-MATCH($F$1,enemy_skill_triggers!$1:$1,0)+1),MATCH(O$1,enemy_skill_triggers!$1:$1,0)-MATCH($F$1,enemy_skill_triggers!$1:$1,0)+1,FALSE)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0" s="47"/>
      <c r="Q190" s="47"/>
      <c r="R190" s="47"/>
    </row>
    <row r="191" spans="1:18" ht="21" customHeight="1" x14ac:dyDescent="0.15">
      <c r="A191" s="39" t="str">
        <f t="shared" si="9"/>
        <v>47004330_47004335</v>
      </c>
      <c r="B191" s="128">
        <v>47004330</v>
      </c>
      <c r="C191" s="47">
        <v>47004335</v>
      </c>
      <c r="D191" s="46" t="str">
        <f ca="1">VLOOKUP($C191,OFFSET(enemy_skills!$A$1,0,0,COUNTA(enemy_skills!$A:$A),MATCH(D$1,enemy_skills!$1:$1,0)-MATCH("enemy_skill_id",enemy_skills!$1:$1,0)+1),MATCH(D$1,enemy_skills!$1:$1,0)-MATCH("enemy_skill_id",enemy_skills!$1:$1,0)+1,FALSE)</f>
        <v>なんだ、雪だるまならさっき見かけたぜ</v>
      </c>
      <c r="E191" s="46" t="str">
        <f ca="1">VLOOKUP($C191,OFFSET(enemy_skills!$A$1,0,0,COUNTA(enemy_skills!$A:$A),MATCH(E$1,enemy_skills!$1:$1,0)-MATCH("enemy_skill_id",enemy_skills!$1:$1,0)+1),MATCH(E$1,enemy_skills!$1:$1,0)-MATCH("enemy_skill_id",enemy_skills!$1:$1,0)+1,FALSE)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191" s="47">
        <v>47004335</v>
      </c>
      <c r="G191" s="48">
        <f ca="1">VLOOKUP($F191,OFFSET(enemy_skill_triggers!$A$1,0,0,COUNTA(enemy_skill_triggers!$A:$A),MATCH(G$1,enemy_skill_triggers!$1:$1,0)-MATCH($F$1,enemy_skill_triggers!$1:$1,0)+1),MATCH(G$1,enemy_skill_triggers!$1:$1,0)-MATCH($F$1,enemy_skill_triggers!$1:$1,0)+1,FALSE)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1" s="48">
        <f ca="1">VLOOKUP($F191,OFFSET(enemy_skill_triggers!$A$1,0,0,COUNTA(enemy_skill_triggers!$A:$A),MATCH(H$1,enemy_skill_triggers!$1:$1,0)-MATCH($F$1,enemy_skill_triggers!$1:$1,0)+1),MATCH(H$1,enemy_skill_triggers!$1:$1,0)-MATCH($F$1,enemy_skill_triggers!$1:$1,0)+1,FALSE)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191" s="48">
        <f ca="1">VLOOKUP($F191,OFFSET(enemy_skill_triggers!$A$1,0,0,COUNTA(enemy_skill_triggers!$A:$A),MATCH(I$1,enemy_skill_triggers!$1:$1,0)-MATCH($F$1,enemy_skill_triggers!$1:$1,0)+1),MATCH(I$1,enemy_skill_triggers!$1:$1,0)-MATCH($F$1,enemy_skill_triggers!$1:$1,0)+1,FALSE)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1" s="48">
        <f ca="1">VLOOKUP($F191,OFFSET(enemy_skill_triggers!$A$1,0,0,COUNTA(enemy_skill_triggers!$A:$A),MATCH(J$1,enemy_skill_triggers!$1:$1,0)-MATCH($F$1,enemy_skill_triggers!$1:$1,0)+1),MATCH(J$1,enemy_skill_triggers!$1:$1,0)-MATCH($F$1,enemy_skill_triggers!$1:$1,0)+1,FALSE)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91" s="48" t="str">
        <f ca="1">VLOOKUP($F191,OFFSET(enemy_skill_triggers!$A$1,0,0,COUNTA(enemy_skill_triggers!$A:$A),MATCH(K$1,enemy_skill_triggers!$1:$1,0)-MATCH($F$1,enemy_skill_triggers!$1:$1,0)+1),MATCH(K$1,enemy_skill_triggers!$1:$1,0)-MATCH($F$1,enemy_skill_triggers!$1:$1,0)+1,FALSE)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1" s="48">
        <f ca="1">VLOOKUP($F191,OFFSET(enemy_skill_triggers!$A$1,0,0,COUNTA(enemy_skill_triggers!$A:$A),MATCH(L$1,enemy_skill_triggers!$1:$1,0)-MATCH($F$1,enemy_skill_triggers!$1:$1,0)+1),MATCH(L$1,enemy_skill_triggers!$1:$1,0)-MATCH($F$1,enemy_skill_triggers!$1:$1,0)+1,FALSE)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1" s="48">
        <f ca="1">VLOOKUP($F191,OFFSET(enemy_skill_triggers!$A$1,0,0,COUNTA(enemy_skill_triggers!$A:$A),MATCH(M$1,enemy_skill_triggers!$1:$1,0)-MATCH($F$1,enemy_skill_triggers!$1:$1,0)+1),MATCH(M$1,enemy_skill_triggers!$1:$1,0)-MATCH($F$1,enemy_skill_triggers!$1:$1,0)+1,FALSE)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1" s="48" t="str">
        <f ca="1">VLOOKUP($F191,OFFSET(enemy_skill_triggers!$A$1,0,0,COUNTA(enemy_skill_triggers!$A:$A),MATCH(N$1,enemy_skill_triggers!$1:$1,0)-MATCH($F$1,enemy_skill_triggers!$1:$1,0)+1),MATCH(N$1,enemy_skill_triggers!$1:$1,0)-MATCH($F$1,enemy_skill_triggers!$1:$1,0)+1,FALSE)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1" s="48">
        <f ca="1">VLOOKUP($F191,OFFSET(enemy_skill_triggers!$A$1,0,0,COUNTA(enemy_skill_triggers!$A:$A),MATCH(O$1,enemy_skill_triggers!$1:$1,0)-MATCH($F$1,enemy_skill_triggers!$1:$1,0)+1),MATCH(O$1,enemy_skill_triggers!$1:$1,0)-MATCH($F$1,enemy_skill_triggers!$1:$1,0)+1,FALSE)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1" s="47"/>
      <c r="Q191" s="47"/>
      <c r="R191" s="47"/>
    </row>
    <row r="192" spans="1:18" ht="21" customHeight="1" x14ac:dyDescent="0.15">
      <c r="A192" s="39" t="str">
        <f t="shared" si="9"/>
        <v>47004330_47004336</v>
      </c>
      <c r="B192" s="128">
        <v>47004330</v>
      </c>
      <c r="C192" s="47">
        <v>47004336</v>
      </c>
      <c r="D192" s="46" t="str">
        <f ca="1">VLOOKUP($C192,OFFSET(enemy_skills!$A$1,0,0,COUNTA(enemy_skills!$A:$A),MATCH(D$1,enemy_skills!$1:$1,0)-MATCH("enemy_skill_id",enemy_skills!$1:$1,0)+1),MATCH(D$1,enemy_skills!$1:$1,0)-MATCH("enemy_skill_id",enemy_skills!$1:$1,0)+1,FALSE)</f>
        <v>さーて、ラチカ！みんなを驚かす為に_x000D_手伝ってくれよな！</v>
      </c>
      <c r="E192" s="46" t="str">
        <f ca="1">VLOOKUP($C192,OFFSET(enemy_skills!$A$1,0,0,COUNTA(enemy_skills!$A:$A),MATCH(E$1,enemy_skills!$1:$1,0)-MATCH("enemy_skill_id",enemy_skills!$1:$1,0)+1),MATCH(E$1,enemy_skills!$1:$1,0)-MATCH("enemy_skill_id",enemy_skills!$1:$1,0)+1,FALSE)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192" s="47">
        <v>47004336</v>
      </c>
      <c r="G192" s="48">
        <f ca="1">VLOOKUP($F192,OFFSET(enemy_skill_triggers!$A$1,0,0,COUNTA(enemy_skill_triggers!$A:$A),MATCH(G$1,enemy_skill_triggers!$1:$1,0)-MATCH($F$1,enemy_skill_triggers!$1:$1,0)+1),MATCH(G$1,enemy_skill_triggers!$1:$1,0)-MATCH($F$1,enemy_skill_triggers!$1:$1,0)+1,FALSE)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2" s="48">
        <f ca="1">VLOOKUP($F192,OFFSET(enemy_skill_triggers!$A$1,0,0,COUNTA(enemy_skill_triggers!$A:$A),MATCH(H$1,enemy_skill_triggers!$1:$1,0)-MATCH($F$1,enemy_skill_triggers!$1:$1,0)+1),MATCH(H$1,enemy_skill_triggers!$1:$1,0)-MATCH($F$1,enemy_skill_triggers!$1:$1,0)+1,FALSE)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192" s="48">
        <f ca="1">VLOOKUP($F192,OFFSET(enemy_skill_triggers!$A$1,0,0,COUNTA(enemy_skill_triggers!$A:$A),MATCH(I$1,enemy_skill_triggers!$1:$1,0)-MATCH($F$1,enemy_skill_triggers!$1:$1,0)+1),MATCH(I$1,enemy_skill_triggers!$1:$1,0)-MATCH($F$1,enemy_skill_triggers!$1:$1,0)+1,FALSE)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2" s="48" t="str">
        <f ca="1">VLOOKUP($F192,OFFSET(enemy_skill_triggers!$A$1,0,0,COUNTA(enemy_skill_triggers!$A:$A),MATCH(J$1,enemy_skill_triggers!$1:$1,0)-MATCH($F$1,enemy_skill_triggers!$1:$1,0)+1),MATCH(J$1,enemy_skill_triggers!$1:$1,0)-MATCH($F$1,enemy_skill_triggers!$1:$1,0)+1,FALSE)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2" s="48" t="str">
        <f ca="1">VLOOKUP($F192,OFFSET(enemy_skill_triggers!$A$1,0,0,COUNTA(enemy_skill_triggers!$A:$A),MATCH(K$1,enemy_skill_triggers!$1:$1,0)-MATCH($F$1,enemy_skill_triggers!$1:$1,0)+1),MATCH(K$1,enemy_skill_triggers!$1:$1,0)-MATCH($F$1,enemy_skill_triggers!$1:$1,0)+1,FALSE)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2" s="48">
        <f ca="1">VLOOKUP($F192,OFFSET(enemy_skill_triggers!$A$1,0,0,COUNTA(enemy_skill_triggers!$A:$A),MATCH(L$1,enemy_skill_triggers!$1:$1,0)-MATCH($F$1,enemy_skill_triggers!$1:$1,0)+1),MATCH(L$1,enemy_skill_triggers!$1:$1,0)-MATCH($F$1,enemy_skill_triggers!$1:$1,0)+1,FALSE)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2" s="48" t="str">
        <f ca="1">VLOOKUP($F192,OFFSET(enemy_skill_triggers!$A$1,0,0,COUNTA(enemy_skill_triggers!$A:$A),MATCH(M$1,enemy_skill_triggers!$1:$1,0)-MATCH($F$1,enemy_skill_triggers!$1:$1,0)+1),MATCH(M$1,enemy_skill_triggers!$1:$1,0)-MATCH($F$1,enemy_skill_triggers!$1:$1,0)+1,FALSE)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2" s="48">
        <f ca="1">VLOOKUP($F192,OFFSET(enemy_skill_triggers!$A$1,0,0,COUNTA(enemy_skill_triggers!$A:$A),MATCH(N$1,enemy_skill_triggers!$1:$1,0)-MATCH($F$1,enemy_skill_triggers!$1:$1,0)+1),MATCH(N$1,enemy_skill_triggers!$1:$1,0)-MATCH($F$1,enemy_skill_triggers!$1:$1,0)+1,FALSE)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192" s="48">
        <f ca="1">VLOOKUP($F192,OFFSET(enemy_skill_triggers!$A$1,0,0,COUNTA(enemy_skill_triggers!$A:$A),MATCH(O$1,enemy_skill_triggers!$1:$1,0)-MATCH($F$1,enemy_skill_triggers!$1:$1,0)+1),MATCH(O$1,enemy_skill_triggers!$1:$1,0)-MATCH($F$1,enemy_skill_triggers!$1:$1,0)+1,FALSE)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2" s="47"/>
      <c r="Q192" s="47"/>
      <c r="R192" s="47"/>
    </row>
    <row r="193" spans="1:18" ht="21" customHeight="1" x14ac:dyDescent="0.15">
      <c r="A193" s="39" t="str">
        <f t="shared" si="9"/>
        <v>47004330_47004336</v>
      </c>
      <c r="B193" s="128">
        <v>47004330</v>
      </c>
      <c r="C193" s="47">
        <v>47004336</v>
      </c>
      <c r="D193" s="46" t="str">
        <f ca="1">VLOOKUP($C193,OFFSET(enemy_skills!$A$1,0,0,COUNTA(enemy_skills!$A:$A),MATCH(D$1,enemy_skills!$1:$1,0)-MATCH("enemy_skill_id",enemy_skills!$1:$1,0)+1),MATCH(D$1,enemy_skills!$1:$1,0)-MATCH("enemy_skill_id",enemy_skills!$1:$1,0)+1,FALSE)</f>
        <v>さーて、ラチカ！みんなを驚かす為に_x000D_手伝ってくれよな！</v>
      </c>
      <c r="E193" s="46" t="str">
        <f ca="1">VLOOKUP($C193,OFFSET(enemy_skills!$A$1,0,0,COUNTA(enemy_skills!$A:$A),MATCH(E$1,enemy_skills!$1:$1,0)-MATCH("enemy_skill_id",enemy_skills!$1:$1,0)+1),MATCH(E$1,enemy_skills!$1:$1,0)-MATCH("enemy_skill_id",enemy_skills!$1:$1,0)+1,FALSE)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193" s="47">
        <v>47004337</v>
      </c>
      <c r="G193" s="48">
        <f ca="1">VLOOKUP($F193,OFFSET(enemy_skill_triggers!$A$1,0,0,COUNTA(enemy_skill_triggers!$A:$A),MATCH(G$1,enemy_skill_triggers!$1:$1,0)-MATCH($F$1,enemy_skill_triggers!$1:$1,0)+1),MATCH(G$1,enemy_skill_triggers!$1:$1,0)-MATCH($F$1,enemy_skill_triggers!$1:$1,0)+1,FALSE)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3" s="48">
        <f ca="1">VLOOKUP($F193,OFFSET(enemy_skill_triggers!$A$1,0,0,COUNTA(enemy_skill_triggers!$A:$A),MATCH(H$1,enemy_skill_triggers!$1:$1,0)-MATCH($F$1,enemy_skill_triggers!$1:$1,0)+1),MATCH(H$1,enemy_skill_triggers!$1:$1,0)-MATCH($F$1,enemy_skill_triggers!$1:$1,0)+1,FALSE)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193" s="48">
        <f ca="1">VLOOKUP($F193,OFFSET(enemy_skill_triggers!$A$1,0,0,COUNTA(enemy_skill_triggers!$A:$A),MATCH(I$1,enemy_skill_triggers!$1:$1,0)-MATCH($F$1,enemy_skill_triggers!$1:$1,0)+1),MATCH(I$1,enemy_skill_triggers!$1:$1,0)-MATCH($F$1,enemy_skill_triggers!$1:$1,0)+1,FALSE)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3" s="48" t="str">
        <f ca="1">VLOOKUP($F193,OFFSET(enemy_skill_triggers!$A$1,0,0,COUNTA(enemy_skill_triggers!$A:$A),MATCH(J$1,enemy_skill_triggers!$1:$1,0)-MATCH($F$1,enemy_skill_triggers!$1:$1,0)+1),MATCH(J$1,enemy_skill_triggers!$1:$1,0)-MATCH($F$1,enemy_skill_triggers!$1:$1,0)+1,FALSE)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3" s="48" t="str">
        <f ca="1">VLOOKUP($F193,OFFSET(enemy_skill_triggers!$A$1,0,0,COUNTA(enemy_skill_triggers!$A:$A),MATCH(K$1,enemy_skill_triggers!$1:$1,0)-MATCH($F$1,enemy_skill_triggers!$1:$1,0)+1),MATCH(K$1,enemy_skill_triggers!$1:$1,0)-MATCH($F$1,enemy_skill_triggers!$1:$1,0)+1,FALSE)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3" s="48">
        <f ca="1">VLOOKUP($F193,OFFSET(enemy_skill_triggers!$A$1,0,0,COUNTA(enemy_skill_triggers!$A:$A),MATCH(L$1,enemy_skill_triggers!$1:$1,0)-MATCH($F$1,enemy_skill_triggers!$1:$1,0)+1),MATCH(L$1,enemy_skill_triggers!$1:$1,0)-MATCH($F$1,enemy_skill_triggers!$1:$1,0)+1,FALSE)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3" s="48" t="str">
        <f ca="1">VLOOKUP($F193,OFFSET(enemy_skill_triggers!$A$1,0,0,COUNTA(enemy_skill_triggers!$A:$A),MATCH(M$1,enemy_skill_triggers!$1:$1,0)-MATCH($F$1,enemy_skill_triggers!$1:$1,0)+1),MATCH(M$1,enemy_skill_triggers!$1:$1,0)-MATCH($F$1,enemy_skill_triggers!$1:$1,0)+1,FALSE)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3" s="48">
        <f ca="1">VLOOKUP($F193,OFFSET(enemy_skill_triggers!$A$1,0,0,COUNTA(enemy_skill_triggers!$A:$A),MATCH(N$1,enemy_skill_triggers!$1:$1,0)-MATCH($F$1,enemy_skill_triggers!$1:$1,0)+1),MATCH(N$1,enemy_skill_triggers!$1:$1,0)-MATCH($F$1,enemy_skill_triggers!$1:$1,0)+1,FALSE)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193" s="48">
        <f ca="1">VLOOKUP($F193,OFFSET(enemy_skill_triggers!$A$1,0,0,COUNTA(enemy_skill_triggers!$A:$A),MATCH(O$1,enemy_skill_triggers!$1:$1,0)-MATCH($F$1,enemy_skill_triggers!$1:$1,0)+1),MATCH(O$1,enemy_skill_triggers!$1:$1,0)-MATCH($F$1,enemy_skill_triggers!$1:$1,0)+1,FALSE)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3" s="47"/>
      <c r="Q193" s="47"/>
      <c r="R193" s="47"/>
    </row>
    <row r="194" spans="1:18" ht="21" customHeight="1" x14ac:dyDescent="0.15">
      <c r="A194" s="39" t="str">
        <f t="shared" si="9"/>
        <v>47004330_47004337</v>
      </c>
      <c r="B194" s="128">
        <v>47004330</v>
      </c>
      <c r="C194" s="47">
        <v>47004337</v>
      </c>
      <c r="D194" s="46" t="str">
        <f ca="1">VLOOKUP($C194,OFFSET(enemy_skills!$A$1,0,0,COUNTA(enemy_skills!$A:$A),MATCH(D$1,enemy_skills!$1:$1,0)-MATCH("enemy_skill_id",enemy_skills!$1:$1,0)+1),MATCH(D$1,enemy_skills!$1:$1,0)-MATCH("enemy_skill_id",enemy_skills!$1:$1,0)+1,FALSE)</f>
        <v>やっぱりクリスマスの夜は_x000D_マリアがいなくちゃ始まらねぇな！</v>
      </c>
      <c r="E194" s="46" t="str">
        <f ca="1">VLOOKUP($C194,OFFSET(enemy_skills!$A$1,0,0,COUNTA(enemy_skills!$A:$A),MATCH(E$1,enemy_skills!$1:$1,0)-MATCH("enemy_skill_id",enemy_skills!$1:$1,0)+1),MATCH(E$1,enemy_skills!$1:$1,0)-MATCH("enemy_skill_id",enemy_skills!$1:$1,0)+1,FALSE)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194" s="47">
        <v>47004338</v>
      </c>
      <c r="G194" s="48">
        <f ca="1">VLOOKUP($F194,OFFSET(enemy_skill_triggers!$A$1,0,0,COUNTA(enemy_skill_triggers!$A:$A),MATCH(G$1,enemy_skill_triggers!$1:$1,0)-MATCH($F$1,enemy_skill_triggers!$1:$1,0)+1),MATCH(G$1,enemy_skill_triggers!$1:$1,0)-MATCH($F$1,enemy_skill_triggers!$1:$1,0)+1,FALSE)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4" s="48">
        <f ca="1">VLOOKUP($F194,OFFSET(enemy_skill_triggers!$A$1,0,0,COUNTA(enemy_skill_triggers!$A:$A),MATCH(H$1,enemy_skill_triggers!$1:$1,0)-MATCH($F$1,enemy_skill_triggers!$1:$1,0)+1),MATCH(H$1,enemy_skill_triggers!$1:$1,0)-MATCH($F$1,enemy_skill_triggers!$1:$1,0)+1,FALSE)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194" s="48">
        <f ca="1">VLOOKUP($F194,OFFSET(enemy_skill_triggers!$A$1,0,0,COUNTA(enemy_skill_triggers!$A:$A),MATCH(I$1,enemy_skill_triggers!$1:$1,0)-MATCH($F$1,enemy_skill_triggers!$1:$1,0)+1),MATCH(I$1,enemy_skill_triggers!$1:$1,0)-MATCH($F$1,enemy_skill_triggers!$1:$1,0)+1,FALSE)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4" s="48" t="str">
        <f ca="1">VLOOKUP($F194,OFFSET(enemy_skill_triggers!$A$1,0,0,COUNTA(enemy_skill_triggers!$A:$A),MATCH(J$1,enemy_skill_triggers!$1:$1,0)-MATCH($F$1,enemy_skill_triggers!$1:$1,0)+1),MATCH(J$1,enemy_skill_triggers!$1:$1,0)-MATCH($F$1,enemy_skill_triggers!$1:$1,0)+1,FALSE)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4" s="48" t="str">
        <f ca="1">VLOOKUP($F194,OFFSET(enemy_skill_triggers!$A$1,0,0,COUNTA(enemy_skill_triggers!$A:$A),MATCH(K$1,enemy_skill_triggers!$1:$1,0)-MATCH($F$1,enemy_skill_triggers!$1:$1,0)+1),MATCH(K$1,enemy_skill_triggers!$1:$1,0)-MATCH($F$1,enemy_skill_triggers!$1:$1,0)+1,FALSE)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4" s="48">
        <f ca="1">VLOOKUP($F194,OFFSET(enemy_skill_triggers!$A$1,0,0,COUNTA(enemy_skill_triggers!$A:$A),MATCH(L$1,enemy_skill_triggers!$1:$1,0)-MATCH($F$1,enemy_skill_triggers!$1:$1,0)+1),MATCH(L$1,enemy_skill_triggers!$1:$1,0)-MATCH($F$1,enemy_skill_triggers!$1:$1,0)+1,FALSE)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4" s="48" t="str">
        <f ca="1">VLOOKUP($F194,OFFSET(enemy_skill_triggers!$A$1,0,0,COUNTA(enemy_skill_triggers!$A:$A),MATCH(M$1,enemy_skill_triggers!$1:$1,0)-MATCH($F$1,enemy_skill_triggers!$1:$1,0)+1),MATCH(M$1,enemy_skill_triggers!$1:$1,0)-MATCH($F$1,enemy_skill_triggers!$1:$1,0)+1,FALSE)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4" s="48">
        <f ca="1">VLOOKUP($F194,OFFSET(enemy_skill_triggers!$A$1,0,0,COUNTA(enemy_skill_triggers!$A:$A),MATCH(N$1,enemy_skill_triggers!$1:$1,0)-MATCH($F$1,enemy_skill_triggers!$1:$1,0)+1),MATCH(N$1,enemy_skill_triggers!$1:$1,0)-MATCH($F$1,enemy_skill_triggers!$1:$1,0)+1,FALSE)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194" s="48">
        <f ca="1">VLOOKUP($F194,OFFSET(enemy_skill_triggers!$A$1,0,0,COUNTA(enemy_skill_triggers!$A:$A),MATCH(O$1,enemy_skill_triggers!$1:$1,0)-MATCH($F$1,enemy_skill_triggers!$1:$1,0)+1),MATCH(O$1,enemy_skill_triggers!$1:$1,0)-MATCH($F$1,enemy_skill_triggers!$1:$1,0)+1,FALSE)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4" s="47"/>
      <c r="Q194" s="47"/>
      <c r="R194" s="47"/>
    </row>
    <row r="195" spans="1:18" ht="21" customHeight="1" x14ac:dyDescent="0.15">
      <c r="A195" s="39" t="str">
        <f t="shared" si="9"/>
        <v>47004330_47004337</v>
      </c>
      <c r="B195" s="128">
        <v>47004330</v>
      </c>
      <c r="C195" s="47">
        <v>47004337</v>
      </c>
      <c r="D195" s="46" t="str">
        <f ca="1">VLOOKUP($C195,OFFSET(enemy_skills!$A$1,0,0,COUNTA(enemy_skills!$A:$A),MATCH(D$1,enemy_skills!$1:$1,0)-MATCH("enemy_skill_id",enemy_skills!$1:$1,0)+1),MATCH(D$1,enemy_skills!$1:$1,0)-MATCH("enemy_skill_id",enemy_skills!$1:$1,0)+1,FALSE)</f>
        <v>やっぱりクリスマスの夜は_x000D_マリアがいなくちゃ始まらねぇな！</v>
      </c>
      <c r="E195" s="46" t="str">
        <f ca="1">VLOOKUP($C195,OFFSET(enemy_skills!$A$1,0,0,COUNTA(enemy_skills!$A:$A),MATCH(E$1,enemy_skills!$1:$1,0)-MATCH("enemy_skill_id",enemy_skills!$1:$1,0)+1),MATCH(E$1,enemy_skills!$1:$1,0)-MATCH("enemy_skill_id",enemy_skills!$1:$1,0)+1,FALSE)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195" s="47">
        <v>47004339</v>
      </c>
      <c r="G195" s="48">
        <f ca="1">VLOOKUP($F195,OFFSET(enemy_skill_triggers!$A$1,0,0,COUNTA(enemy_skill_triggers!$A:$A),MATCH(G$1,enemy_skill_triggers!$1:$1,0)-MATCH($F$1,enemy_skill_triggers!$1:$1,0)+1),MATCH(G$1,enemy_skill_triggers!$1:$1,0)-MATCH($F$1,enemy_skill_triggers!$1:$1,0)+1,FALSE)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5" s="48">
        <f ca="1">VLOOKUP($F195,OFFSET(enemy_skill_triggers!$A$1,0,0,COUNTA(enemy_skill_triggers!$A:$A),MATCH(H$1,enemy_skill_triggers!$1:$1,0)-MATCH($F$1,enemy_skill_triggers!$1:$1,0)+1),MATCH(H$1,enemy_skill_triggers!$1:$1,0)-MATCH($F$1,enemy_skill_triggers!$1:$1,0)+1,FALSE)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195" s="48">
        <f ca="1">VLOOKUP($F195,OFFSET(enemy_skill_triggers!$A$1,0,0,COUNTA(enemy_skill_triggers!$A:$A),MATCH(I$1,enemy_skill_triggers!$1:$1,0)-MATCH($F$1,enemy_skill_triggers!$1:$1,0)+1),MATCH(I$1,enemy_skill_triggers!$1:$1,0)-MATCH($F$1,enemy_skill_triggers!$1:$1,0)+1,FALSE)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5" s="48" t="str">
        <f ca="1">VLOOKUP($F195,OFFSET(enemy_skill_triggers!$A$1,0,0,COUNTA(enemy_skill_triggers!$A:$A),MATCH(J$1,enemy_skill_triggers!$1:$1,0)-MATCH($F$1,enemy_skill_triggers!$1:$1,0)+1),MATCH(J$1,enemy_skill_triggers!$1:$1,0)-MATCH($F$1,enemy_skill_triggers!$1:$1,0)+1,FALSE)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5" s="48" t="str">
        <f ca="1">VLOOKUP($F195,OFFSET(enemy_skill_triggers!$A$1,0,0,COUNTA(enemy_skill_triggers!$A:$A),MATCH(K$1,enemy_skill_triggers!$1:$1,0)-MATCH($F$1,enemy_skill_triggers!$1:$1,0)+1),MATCH(K$1,enemy_skill_triggers!$1:$1,0)-MATCH($F$1,enemy_skill_triggers!$1:$1,0)+1,FALSE)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5" s="48">
        <f ca="1">VLOOKUP($F195,OFFSET(enemy_skill_triggers!$A$1,0,0,COUNTA(enemy_skill_triggers!$A:$A),MATCH(L$1,enemy_skill_triggers!$1:$1,0)-MATCH($F$1,enemy_skill_triggers!$1:$1,0)+1),MATCH(L$1,enemy_skill_triggers!$1:$1,0)-MATCH($F$1,enemy_skill_triggers!$1:$1,0)+1,FALSE)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5" s="48" t="str">
        <f ca="1">VLOOKUP($F195,OFFSET(enemy_skill_triggers!$A$1,0,0,COUNTA(enemy_skill_triggers!$A:$A),MATCH(M$1,enemy_skill_triggers!$1:$1,0)-MATCH($F$1,enemy_skill_triggers!$1:$1,0)+1),MATCH(M$1,enemy_skill_triggers!$1:$1,0)-MATCH($F$1,enemy_skill_triggers!$1:$1,0)+1,FALSE)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5" s="48">
        <f ca="1">VLOOKUP($F195,OFFSET(enemy_skill_triggers!$A$1,0,0,COUNTA(enemy_skill_triggers!$A:$A),MATCH(N$1,enemy_skill_triggers!$1:$1,0)-MATCH($F$1,enemy_skill_triggers!$1:$1,0)+1),MATCH(N$1,enemy_skill_triggers!$1:$1,0)-MATCH($F$1,enemy_skill_triggers!$1:$1,0)+1,FALSE)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195" s="48">
        <f ca="1">VLOOKUP($F195,OFFSET(enemy_skill_triggers!$A$1,0,0,COUNTA(enemy_skill_triggers!$A:$A),MATCH(O$1,enemy_skill_triggers!$1:$1,0)-MATCH($F$1,enemy_skill_triggers!$1:$1,0)+1),MATCH(O$1,enemy_skill_triggers!$1:$1,0)-MATCH($F$1,enemy_skill_triggers!$1:$1,0)+1,FALSE)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5" s="47"/>
      <c r="Q195" s="47"/>
      <c r="R195" s="47"/>
    </row>
    <row r="196" spans="1:18" ht="21" customHeight="1" x14ac:dyDescent="0.15">
      <c r="A196" s="39" t="str">
        <f t="shared" si="9"/>
        <v>47004330_47004337</v>
      </c>
      <c r="B196" s="128">
        <v>47004330</v>
      </c>
      <c r="C196" s="47">
        <v>47004337</v>
      </c>
      <c r="D196" s="46" t="str">
        <f ca="1">VLOOKUP($C196,OFFSET(enemy_skills!$A$1,0,0,COUNTA(enemy_skills!$A:$A),MATCH(D$1,enemy_skills!$1:$1,0)-MATCH("enemy_skill_id",enemy_skills!$1:$1,0)+1),MATCH(D$1,enemy_skills!$1:$1,0)-MATCH("enemy_skill_id",enemy_skills!$1:$1,0)+1,FALSE)</f>
        <v>やっぱりクリスマスの夜は_x000D_マリアがいなくちゃ始まらねぇな！</v>
      </c>
      <c r="E196" s="46" t="str">
        <f ca="1">VLOOKUP($C196,OFFSET(enemy_skills!$A$1,0,0,COUNTA(enemy_skills!$A:$A),MATCH(E$1,enemy_skills!$1:$1,0)-MATCH("enemy_skill_id",enemy_skills!$1:$1,0)+1),MATCH(E$1,enemy_skills!$1:$1,0)-MATCH("enemy_skill_id",enemy_skills!$1:$1,0)+1,FALSE)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196" s="47">
        <v>47004340</v>
      </c>
      <c r="G196" s="48">
        <f ca="1">VLOOKUP($F196,OFFSET(enemy_skill_triggers!$A$1,0,0,COUNTA(enemy_skill_triggers!$A:$A),MATCH(G$1,enemy_skill_triggers!$1:$1,0)-MATCH($F$1,enemy_skill_triggers!$1:$1,0)+1),MATCH(G$1,enemy_skill_triggers!$1:$1,0)-MATCH($F$1,enemy_skill_triggers!$1:$1,0)+1,FALSE)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6" s="48">
        <f ca="1">VLOOKUP($F196,OFFSET(enemy_skill_triggers!$A$1,0,0,COUNTA(enemy_skill_triggers!$A:$A),MATCH(H$1,enemy_skill_triggers!$1:$1,0)-MATCH($F$1,enemy_skill_triggers!$1:$1,0)+1),MATCH(H$1,enemy_skill_triggers!$1:$1,0)-MATCH($F$1,enemy_skill_triggers!$1:$1,0)+1,FALSE)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196" s="48">
        <f ca="1">VLOOKUP($F196,OFFSET(enemy_skill_triggers!$A$1,0,0,COUNTA(enemy_skill_triggers!$A:$A),MATCH(I$1,enemy_skill_triggers!$1:$1,0)-MATCH($F$1,enemy_skill_triggers!$1:$1,0)+1),MATCH(I$1,enemy_skill_triggers!$1:$1,0)-MATCH($F$1,enemy_skill_triggers!$1:$1,0)+1,FALSE)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6" s="48" t="str">
        <f ca="1">VLOOKUP($F196,OFFSET(enemy_skill_triggers!$A$1,0,0,COUNTA(enemy_skill_triggers!$A:$A),MATCH(J$1,enemy_skill_triggers!$1:$1,0)-MATCH($F$1,enemy_skill_triggers!$1:$1,0)+1),MATCH(J$1,enemy_skill_triggers!$1:$1,0)-MATCH($F$1,enemy_skill_triggers!$1:$1,0)+1,FALSE)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6" s="48" t="str">
        <f ca="1">VLOOKUP($F196,OFFSET(enemy_skill_triggers!$A$1,0,0,COUNTA(enemy_skill_triggers!$A:$A),MATCH(K$1,enemy_skill_triggers!$1:$1,0)-MATCH($F$1,enemy_skill_triggers!$1:$1,0)+1),MATCH(K$1,enemy_skill_triggers!$1:$1,0)-MATCH($F$1,enemy_skill_triggers!$1:$1,0)+1,FALSE)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6" s="48">
        <f ca="1">VLOOKUP($F196,OFFSET(enemy_skill_triggers!$A$1,0,0,COUNTA(enemy_skill_triggers!$A:$A),MATCH(L$1,enemy_skill_triggers!$1:$1,0)-MATCH($F$1,enemy_skill_triggers!$1:$1,0)+1),MATCH(L$1,enemy_skill_triggers!$1:$1,0)-MATCH($F$1,enemy_skill_triggers!$1:$1,0)+1,FALSE)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6" s="48" t="str">
        <f ca="1">VLOOKUP($F196,OFFSET(enemy_skill_triggers!$A$1,0,0,COUNTA(enemy_skill_triggers!$A:$A),MATCH(M$1,enemy_skill_triggers!$1:$1,0)-MATCH($F$1,enemy_skill_triggers!$1:$1,0)+1),MATCH(M$1,enemy_skill_triggers!$1:$1,0)-MATCH($F$1,enemy_skill_triggers!$1:$1,0)+1,FALSE)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6" s="48">
        <f ca="1">VLOOKUP($F196,OFFSET(enemy_skill_triggers!$A$1,0,0,COUNTA(enemy_skill_triggers!$A:$A),MATCH(N$1,enemy_skill_triggers!$1:$1,0)-MATCH($F$1,enemy_skill_triggers!$1:$1,0)+1),MATCH(N$1,enemy_skill_triggers!$1:$1,0)-MATCH($F$1,enemy_skill_triggers!$1:$1,0)+1,FALSE)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196" s="48">
        <f ca="1">VLOOKUP($F196,OFFSET(enemy_skill_triggers!$A$1,0,0,COUNTA(enemy_skill_triggers!$A:$A),MATCH(O$1,enemy_skill_triggers!$1:$1,0)-MATCH($F$1,enemy_skill_triggers!$1:$1,0)+1),MATCH(O$1,enemy_skill_triggers!$1:$1,0)-MATCH($F$1,enemy_skill_triggers!$1:$1,0)+1,FALSE)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6" s="47"/>
      <c r="Q196" s="47"/>
      <c r="R196" s="47"/>
    </row>
    <row r="197" spans="1:18" ht="21" customHeight="1" x14ac:dyDescent="0.15">
      <c r="A197" s="39" t="str">
        <f t="shared" si="9"/>
        <v>47004330_47004338</v>
      </c>
      <c r="B197" s="128">
        <v>47004330</v>
      </c>
      <c r="C197" s="47">
        <v>47004338</v>
      </c>
      <c r="D197" s="46" t="str">
        <f ca="1">VLOOKUP($C197,OFFSET(enemy_skills!$A$1,0,0,COUNTA(enemy_skills!$A:$A),MATCH(D$1,enemy_skills!$1:$1,0)-MATCH("enemy_skill_id",enemy_skills!$1:$1,0)+1),MATCH(D$1,enemy_skills!$1:$1,0)-MATCH("enemy_skill_id",enemy_skills!$1:$1,0)+1,FALSE)</f>
        <v>ミカエル！今年も_x000D_かっ飛ばしていこうぜ！</v>
      </c>
      <c r="E197" s="46" t="str">
        <f ca="1">VLOOKUP($C197,OFFSET(enemy_skills!$A$1,0,0,COUNTA(enemy_skills!$A:$A),MATCH(E$1,enemy_skills!$1:$1,0)-MATCH("enemy_skill_id",enemy_skills!$1:$1,0)+1),MATCH(E$1,enemy_skills!$1:$1,0)-MATCH("enemy_skill_id",enemy_skills!$1:$1,0)+1,FALSE)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197" s="47">
        <v>47004341</v>
      </c>
      <c r="G197" s="48">
        <f ca="1">VLOOKUP($F197,OFFSET(enemy_skill_triggers!$A$1,0,0,COUNTA(enemy_skill_triggers!$A:$A),MATCH(G$1,enemy_skill_triggers!$1:$1,0)-MATCH($F$1,enemy_skill_triggers!$1:$1,0)+1),MATCH(G$1,enemy_skill_triggers!$1:$1,0)-MATCH($F$1,enemy_skill_triggers!$1:$1,0)+1,FALSE)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7" s="48">
        <f ca="1">VLOOKUP($F197,OFFSET(enemy_skill_triggers!$A$1,0,0,COUNTA(enemy_skill_triggers!$A:$A),MATCH(H$1,enemy_skill_triggers!$1:$1,0)-MATCH($F$1,enemy_skill_triggers!$1:$1,0)+1),MATCH(H$1,enemy_skill_triggers!$1:$1,0)-MATCH($F$1,enemy_skill_triggers!$1:$1,0)+1,FALSE)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197" s="48">
        <f ca="1">VLOOKUP($F197,OFFSET(enemy_skill_triggers!$A$1,0,0,COUNTA(enemy_skill_triggers!$A:$A),MATCH(I$1,enemy_skill_triggers!$1:$1,0)-MATCH($F$1,enemy_skill_triggers!$1:$1,0)+1),MATCH(I$1,enemy_skill_triggers!$1:$1,0)-MATCH($F$1,enemy_skill_triggers!$1:$1,0)+1,FALSE)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7" s="48" t="str">
        <f ca="1">VLOOKUP($F197,OFFSET(enemy_skill_triggers!$A$1,0,0,COUNTA(enemy_skill_triggers!$A:$A),MATCH(J$1,enemy_skill_triggers!$1:$1,0)-MATCH($F$1,enemy_skill_triggers!$1:$1,0)+1),MATCH(J$1,enemy_skill_triggers!$1:$1,0)-MATCH($F$1,enemy_skill_triggers!$1:$1,0)+1,FALSE)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7" s="48" t="str">
        <f ca="1">VLOOKUP($F197,OFFSET(enemy_skill_triggers!$A$1,0,0,COUNTA(enemy_skill_triggers!$A:$A),MATCH(K$1,enemy_skill_triggers!$1:$1,0)-MATCH($F$1,enemy_skill_triggers!$1:$1,0)+1),MATCH(K$1,enemy_skill_triggers!$1:$1,0)-MATCH($F$1,enemy_skill_triggers!$1:$1,0)+1,FALSE)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7" s="48">
        <f ca="1">VLOOKUP($F197,OFFSET(enemy_skill_triggers!$A$1,0,0,COUNTA(enemy_skill_triggers!$A:$A),MATCH(L$1,enemy_skill_triggers!$1:$1,0)-MATCH($F$1,enemy_skill_triggers!$1:$1,0)+1),MATCH(L$1,enemy_skill_triggers!$1:$1,0)-MATCH($F$1,enemy_skill_triggers!$1:$1,0)+1,FALSE)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7" s="48" t="str">
        <f ca="1">VLOOKUP($F197,OFFSET(enemy_skill_triggers!$A$1,0,0,COUNTA(enemy_skill_triggers!$A:$A),MATCH(M$1,enemy_skill_triggers!$1:$1,0)-MATCH($F$1,enemy_skill_triggers!$1:$1,0)+1),MATCH(M$1,enemy_skill_triggers!$1:$1,0)-MATCH($F$1,enemy_skill_triggers!$1:$1,0)+1,FALSE)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7" s="48">
        <f ca="1">VLOOKUP($F197,OFFSET(enemy_skill_triggers!$A$1,0,0,COUNTA(enemy_skill_triggers!$A:$A),MATCH(N$1,enemy_skill_triggers!$1:$1,0)-MATCH($F$1,enemy_skill_triggers!$1:$1,0)+1),MATCH(N$1,enemy_skill_triggers!$1:$1,0)-MATCH($F$1,enemy_skill_triggers!$1:$1,0)+1,FALSE)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197" s="48">
        <f ca="1">VLOOKUP($F197,OFFSET(enemy_skill_triggers!$A$1,0,0,COUNTA(enemy_skill_triggers!$A:$A),MATCH(O$1,enemy_skill_triggers!$1:$1,0)-MATCH($F$1,enemy_skill_triggers!$1:$1,0)+1),MATCH(O$1,enemy_skill_triggers!$1:$1,0)-MATCH($F$1,enemy_skill_triggers!$1:$1,0)+1,FALSE)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7" s="47"/>
      <c r="Q197" s="47"/>
      <c r="R197" s="47"/>
    </row>
    <row r="198" spans="1:18" ht="21" customHeight="1" x14ac:dyDescent="0.15">
      <c r="A198" s="39" t="str">
        <f t="shared" ref="A198:A257" si="13">B198&amp;"_"&amp;C198</f>
        <v>47004330_47004338</v>
      </c>
      <c r="B198" s="128">
        <v>47004330</v>
      </c>
      <c r="C198" s="47">
        <v>47004338</v>
      </c>
      <c r="D198" s="46" t="str">
        <f ca="1">VLOOKUP($C198,OFFSET(enemy_skills!$A$1,0,0,COUNTA(enemy_skills!$A:$A),MATCH(D$1,enemy_skills!$1:$1,0)-MATCH("enemy_skill_id",enemy_skills!$1:$1,0)+1),MATCH(D$1,enemy_skills!$1:$1,0)-MATCH("enemy_skill_id",enemy_skills!$1:$1,0)+1,FALSE)</f>
        <v>ミカエル！今年も_x000D_かっ飛ばしていこうぜ！</v>
      </c>
      <c r="E198" s="46" t="str">
        <f ca="1">VLOOKUP($C198,OFFSET(enemy_skills!$A$1,0,0,COUNTA(enemy_skills!$A:$A),MATCH(E$1,enemy_skills!$1:$1,0)-MATCH("enemy_skill_id",enemy_skills!$1:$1,0)+1),MATCH(E$1,enemy_skills!$1:$1,0)-MATCH("enemy_skill_id",enemy_skills!$1:$1,0)+1,FALSE)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198" s="47">
        <v>47004342</v>
      </c>
      <c r="G198" s="48">
        <f ca="1">VLOOKUP($F198,OFFSET(enemy_skill_triggers!$A$1,0,0,COUNTA(enemy_skill_triggers!$A:$A),MATCH(G$1,enemy_skill_triggers!$1:$1,0)-MATCH($F$1,enemy_skill_triggers!$1:$1,0)+1),MATCH(G$1,enemy_skill_triggers!$1:$1,0)-MATCH($F$1,enemy_skill_triggers!$1:$1,0)+1,FALSE)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8" s="48">
        <f ca="1">VLOOKUP($F198,OFFSET(enemy_skill_triggers!$A$1,0,0,COUNTA(enemy_skill_triggers!$A:$A),MATCH(H$1,enemy_skill_triggers!$1:$1,0)-MATCH($F$1,enemy_skill_triggers!$1:$1,0)+1),MATCH(H$1,enemy_skill_triggers!$1:$1,0)-MATCH($F$1,enemy_skill_triggers!$1:$1,0)+1,FALSE)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198" s="48">
        <f ca="1">VLOOKUP($F198,OFFSET(enemy_skill_triggers!$A$1,0,0,COUNTA(enemy_skill_triggers!$A:$A),MATCH(I$1,enemy_skill_triggers!$1:$1,0)-MATCH($F$1,enemy_skill_triggers!$1:$1,0)+1),MATCH(I$1,enemy_skill_triggers!$1:$1,0)-MATCH($F$1,enemy_skill_triggers!$1:$1,0)+1,FALSE)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8" s="48" t="str">
        <f ca="1">VLOOKUP($F198,OFFSET(enemy_skill_triggers!$A$1,0,0,COUNTA(enemy_skill_triggers!$A:$A),MATCH(J$1,enemy_skill_triggers!$1:$1,0)-MATCH($F$1,enemy_skill_triggers!$1:$1,0)+1),MATCH(J$1,enemy_skill_triggers!$1:$1,0)-MATCH($F$1,enemy_skill_triggers!$1:$1,0)+1,FALSE)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8" s="48" t="str">
        <f ca="1">VLOOKUP($F198,OFFSET(enemy_skill_triggers!$A$1,0,0,COUNTA(enemy_skill_triggers!$A:$A),MATCH(K$1,enemy_skill_triggers!$1:$1,0)-MATCH($F$1,enemy_skill_triggers!$1:$1,0)+1),MATCH(K$1,enemy_skill_triggers!$1:$1,0)-MATCH($F$1,enemy_skill_triggers!$1:$1,0)+1,FALSE)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8" s="48">
        <f ca="1">VLOOKUP($F198,OFFSET(enemy_skill_triggers!$A$1,0,0,COUNTA(enemy_skill_triggers!$A:$A),MATCH(L$1,enemy_skill_triggers!$1:$1,0)-MATCH($F$1,enemy_skill_triggers!$1:$1,0)+1),MATCH(L$1,enemy_skill_triggers!$1:$1,0)-MATCH($F$1,enemy_skill_triggers!$1:$1,0)+1,FALSE)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8" s="48" t="str">
        <f ca="1">VLOOKUP($F198,OFFSET(enemy_skill_triggers!$A$1,0,0,COUNTA(enemy_skill_triggers!$A:$A),MATCH(M$1,enemy_skill_triggers!$1:$1,0)-MATCH($F$1,enemy_skill_triggers!$1:$1,0)+1),MATCH(M$1,enemy_skill_triggers!$1:$1,0)-MATCH($F$1,enemy_skill_triggers!$1:$1,0)+1,FALSE)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8" s="48">
        <f ca="1">VLOOKUP($F198,OFFSET(enemy_skill_triggers!$A$1,0,0,COUNTA(enemy_skill_triggers!$A:$A),MATCH(N$1,enemy_skill_triggers!$1:$1,0)-MATCH($F$1,enemy_skill_triggers!$1:$1,0)+1),MATCH(N$1,enemy_skill_triggers!$1:$1,0)-MATCH($F$1,enemy_skill_triggers!$1:$1,0)+1,FALSE)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198" s="48">
        <f ca="1">VLOOKUP($F198,OFFSET(enemy_skill_triggers!$A$1,0,0,COUNTA(enemy_skill_triggers!$A:$A),MATCH(O$1,enemy_skill_triggers!$1:$1,0)-MATCH($F$1,enemy_skill_triggers!$1:$1,0)+1),MATCH(O$1,enemy_skill_triggers!$1:$1,0)-MATCH($F$1,enemy_skill_triggers!$1:$1,0)+1,FALSE)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8" s="47"/>
      <c r="Q198" s="47"/>
      <c r="R198" s="47"/>
    </row>
    <row r="199" spans="1:18" ht="21" customHeight="1" x14ac:dyDescent="0.15">
      <c r="A199" s="39" t="str">
        <f t="shared" si="13"/>
        <v>47004330_47004338</v>
      </c>
      <c r="B199" s="128">
        <v>47004330</v>
      </c>
      <c r="C199" s="47">
        <v>47004338</v>
      </c>
      <c r="D199" s="46" t="str">
        <f ca="1">VLOOKUP($C199,OFFSET(enemy_skills!$A$1,0,0,COUNTA(enemy_skills!$A:$A),MATCH(D$1,enemy_skills!$1:$1,0)-MATCH("enemy_skill_id",enemy_skills!$1:$1,0)+1),MATCH(D$1,enemy_skills!$1:$1,0)-MATCH("enemy_skill_id",enemy_skills!$1:$1,0)+1,FALSE)</f>
        <v>ミカエル！今年も_x000D_かっ飛ばしていこうぜ！</v>
      </c>
      <c r="E199" s="46" t="str">
        <f ca="1">VLOOKUP($C199,OFFSET(enemy_skills!$A$1,0,0,COUNTA(enemy_skills!$A:$A),MATCH(E$1,enemy_skills!$1:$1,0)-MATCH("enemy_skill_id",enemy_skills!$1:$1,0)+1),MATCH(E$1,enemy_skills!$1:$1,0)-MATCH("enemy_skill_id",enemy_skills!$1:$1,0)+1,FALSE)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199" s="47">
        <v>47004343</v>
      </c>
      <c r="G199" s="48">
        <f ca="1">VLOOKUP($F199,OFFSET(enemy_skill_triggers!$A$1,0,0,COUNTA(enemy_skill_triggers!$A:$A),MATCH(G$1,enemy_skill_triggers!$1:$1,0)-MATCH($F$1,enemy_skill_triggers!$1:$1,0)+1),MATCH(G$1,enemy_skill_triggers!$1:$1,0)-MATCH($F$1,enemy_skill_triggers!$1:$1,0)+1,FALSE)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9" s="48">
        <f ca="1">VLOOKUP($F199,OFFSET(enemy_skill_triggers!$A$1,0,0,COUNTA(enemy_skill_triggers!$A:$A),MATCH(H$1,enemy_skill_triggers!$1:$1,0)-MATCH($F$1,enemy_skill_triggers!$1:$1,0)+1),MATCH(H$1,enemy_skill_triggers!$1:$1,0)-MATCH($F$1,enemy_skill_triggers!$1:$1,0)+1,FALSE)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199" s="48">
        <f ca="1">VLOOKUP($F199,OFFSET(enemy_skill_triggers!$A$1,0,0,COUNTA(enemy_skill_triggers!$A:$A),MATCH(I$1,enemy_skill_triggers!$1:$1,0)-MATCH($F$1,enemy_skill_triggers!$1:$1,0)+1),MATCH(I$1,enemy_skill_triggers!$1:$1,0)-MATCH($F$1,enemy_skill_triggers!$1:$1,0)+1,FALSE)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9" s="48" t="str">
        <f ca="1">VLOOKUP($F199,OFFSET(enemy_skill_triggers!$A$1,0,0,COUNTA(enemy_skill_triggers!$A:$A),MATCH(J$1,enemy_skill_triggers!$1:$1,0)-MATCH($F$1,enemy_skill_triggers!$1:$1,0)+1),MATCH(J$1,enemy_skill_triggers!$1:$1,0)-MATCH($F$1,enemy_skill_triggers!$1:$1,0)+1,FALSE)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9" s="48" t="str">
        <f ca="1">VLOOKUP($F199,OFFSET(enemy_skill_triggers!$A$1,0,0,COUNTA(enemy_skill_triggers!$A:$A),MATCH(K$1,enemy_skill_triggers!$1:$1,0)-MATCH($F$1,enemy_skill_triggers!$1:$1,0)+1),MATCH(K$1,enemy_skill_triggers!$1:$1,0)-MATCH($F$1,enemy_skill_triggers!$1:$1,0)+1,FALSE)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9" s="48">
        <f ca="1">VLOOKUP($F199,OFFSET(enemy_skill_triggers!$A$1,0,0,COUNTA(enemy_skill_triggers!$A:$A),MATCH(L$1,enemy_skill_triggers!$1:$1,0)-MATCH($F$1,enemy_skill_triggers!$1:$1,0)+1),MATCH(L$1,enemy_skill_triggers!$1:$1,0)-MATCH($F$1,enemy_skill_triggers!$1:$1,0)+1,FALSE)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9" s="48" t="str">
        <f ca="1">VLOOKUP($F199,OFFSET(enemy_skill_triggers!$A$1,0,0,COUNTA(enemy_skill_triggers!$A:$A),MATCH(M$1,enemy_skill_triggers!$1:$1,0)-MATCH($F$1,enemy_skill_triggers!$1:$1,0)+1),MATCH(M$1,enemy_skill_triggers!$1:$1,0)-MATCH($F$1,enemy_skill_triggers!$1:$1,0)+1,FALSE)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9" s="48">
        <f ca="1">VLOOKUP($F199,OFFSET(enemy_skill_triggers!$A$1,0,0,COUNTA(enemy_skill_triggers!$A:$A),MATCH(N$1,enemy_skill_triggers!$1:$1,0)-MATCH($F$1,enemy_skill_triggers!$1:$1,0)+1),MATCH(N$1,enemy_skill_triggers!$1:$1,0)-MATCH($F$1,enemy_skill_triggers!$1:$1,0)+1,FALSE)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199" s="48">
        <f ca="1">VLOOKUP($F199,OFFSET(enemy_skill_triggers!$A$1,0,0,COUNTA(enemy_skill_triggers!$A:$A),MATCH(O$1,enemy_skill_triggers!$1:$1,0)-MATCH($F$1,enemy_skill_triggers!$1:$1,0)+1),MATCH(O$1,enemy_skill_triggers!$1:$1,0)-MATCH($F$1,enemy_skill_triggers!$1:$1,0)+1,FALSE)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9" s="47"/>
      <c r="Q199" s="47"/>
      <c r="R199" s="47"/>
    </row>
    <row r="200" spans="1:18" ht="21" customHeight="1" x14ac:dyDescent="0.15">
      <c r="A200" s="39" t="str">
        <f t="shared" si="13"/>
        <v>47004330_47004339</v>
      </c>
      <c r="B200" s="128">
        <v>47004330</v>
      </c>
      <c r="C200" s="47">
        <v>47004339</v>
      </c>
      <c r="D200" s="46" t="str">
        <f ca="1">VLOOKUP($C200,OFFSET(enemy_skills!$A$1,0,0,COUNTA(enemy_skills!$A:$A),MATCH(D$1,enemy_skills!$1:$1,0)-MATCH("enemy_skill_id",enemy_skills!$1:$1,0)+1),MATCH(D$1,enemy_skills!$1:$1,0)-MATCH("enemy_skill_id",enemy_skills!$1:$1,0)+1,FALSE)</f>
        <v>さぁ、オセ！_x000D_クリスマスは俺たちの独壇場だぜ！</v>
      </c>
      <c r="E200" s="46" t="str">
        <f ca="1">VLOOKUP($C200,OFFSET(enemy_skills!$A$1,0,0,COUNTA(enemy_skills!$A:$A),MATCH(E$1,enemy_skills!$1:$1,0)-MATCH("enemy_skill_id",enemy_skills!$1:$1,0)+1),MATCH(E$1,enemy_skills!$1:$1,0)-MATCH("enemy_skill_id",enemy_skills!$1:$1,0)+1,FALSE)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200" s="47">
        <v>47004344</v>
      </c>
      <c r="G200" s="48">
        <f ca="1">VLOOKUP($F200,OFFSET(enemy_skill_triggers!$A$1,0,0,COUNTA(enemy_skill_triggers!$A:$A),MATCH(G$1,enemy_skill_triggers!$1:$1,0)-MATCH($F$1,enemy_skill_triggers!$1:$1,0)+1),MATCH(G$1,enemy_skill_triggers!$1:$1,0)-MATCH($F$1,enemy_skill_triggers!$1:$1,0)+1,FALSE)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0" s="48">
        <f ca="1">VLOOKUP($F200,OFFSET(enemy_skill_triggers!$A$1,0,0,COUNTA(enemy_skill_triggers!$A:$A),MATCH(H$1,enemy_skill_triggers!$1:$1,0)-MATCH($F$1,enemy_skill_triggers!$1:$1,0)+1),MATCH(H$1,enemy_skill_triggers!$1:$1,0)-MATCH($F$1,enemy_skill_triggers!$1:$1,0)+1,FALSE)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200" s="48">
        <f ca="1">VLOOKUP($F200,OFFSET(enemy_skill_triggers!$A$1,0,0,COUNTA(enemy_skill_triggers!$A:$A),MATCH(I$1,enemy_skill_triggers!$1:$1,0)-MATCH($F$1,enemy_skill_triggers!$1:$1,0)+1),MATCH(I$1,enemy_skill_triggers!$1:$1,0)-MATCH($F$1,enemy_skill_triggers!$1:$1,0)+1,FALSE)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0" s="48" t="str">
        <f ca="1">VLOOKUP($F200,OFFSET(enemy_skill_triggers!$A$1,0,0,COUNTA(enemy_skill_triggers!$A:$A),MATCH(J$1,enemy_skill_triggers!$1:$1,0)-MATCH($F$1,enemy_skill_triggers!$1:$1,0)+1),MATCH(J$1,enemy_skill_triggers!$1:$1,0)-MATCH($F$1,enemy_skill_triggers!$1:$1,0)+1,FALSE)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0" s="48" t="str">
        <f ca="1">VLOOKUP($F200,OFFSET(enemy_skill_triggers!$A$1,0,0,COUNTA(enemy_skill_triggers!$A:$A),MATCH(K$1,enemy_skill_triggers!$1:$1,0)-MATCH($F$1,enemy_skill_triggers!$1:$1,0)+1),MATCH(K$1,enemy_skill_triggers!$1:$1,0)-MATCH($F$1,enemy_skill_triggers!$1:$1,0)+1,FALSE)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0" s="48">
        <f ca="1">VLOOKUP($F200,OFFSET(enemy_skill_triggers!$A$1,0,0,COUNTA(enemy_skill_triggers!$A:$A),MATCH(L$1,enemy_skill_triggers!$1:$1,0)-MATCH($F$1,enemy_skill_triggers!$1:$1,0)+1),MATCH(L$1,enemy_skill_triggers!$1:$1,0)-MATCH($F$1,enemy_skill_triggers!$1:$1,0)+1,FALSE)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0" s="48" t="str">
        <f ca="1">VLOOKUP($F200,OFFSET(enemy_skill_triggers!$A$1,0,0,COUNTA(enemy_skill_triggers!$A:$A),MATCH(M$1,enemy_skill_triggers!$1:$1,0)-MATCH($F$1,enemy_skill_triggers!$1:$1,0)+1),MATCH(M$1,enemy_skill_triggers!$1:$1,0)-MATCH($F$1,enemy_skill_triggers!$1:$1,0)+1,FALSE)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0" s="48">
        <f ca="1">VLOOKUP($F200,OFFSET(enemy_skill_triggers!$A$1,0,0,COUNTA(enemy_skill_triggers!$A:$A),MATCH(N$1,enemy_skill_triggers!$1:$1,0)-MATCH($F$1,enemy_skill_triggers!$1:$1,0)+1),MATCH(N$1,enemy_skill_triggers!$1:$1,0)-MATCH($F$1,enemy_skill_triggers!$1:$1,0)+1,FALSE)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200" s="48">
        <f ca="1">VLOOKUP($F200,OFFSET(enemy_skill_triggers!$A$1,0,0,COUNTA(enemy_skill_triggers!$A:$A),MATCH(O$1,enemy_skill_triggers!$1:$1,0)-MATCH($F$1,enemy_skill_triggers!$1:$1,0)+1),MATCH(O$1,enemy_skill_triggers!$1:$1,0)-MATCH($F$1,enemy_skill_triggers!$1:$1,0)+1,FALSE)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0" s="47"/>
      <c r="Q200" s="47"/>
      <c r="R200" s="47"/>
    </row>
    <row r="201" spans="1:18" ht="21" customHeight="1" x14ac:dyDescent="0.15">
      <c r="A201" s="39" t="str">
        <f t="shared" si="13"/>
        <v>47004330_47004339</v>
      </c>
      <c r="B201" s="128">
        <v>47004330</v>
      </c>
      <c r="C201" s="47">
        <v>47004339</v>
      </c>
      <c r="D201" s="46" t="str">
        <f ca="1">VLOOKUP($C201,OFFSET(enemy_skills!$A$1,0,0,COUNTA(enemy_skills!$A:$A),MATCH(D$1,enemy_skills!$1:$1,0)-MATCH("enemy_skill_id",enemy_skills!$1:$1,0)+1),MATCH(D$1,enemy_skills!$1:$1,0)-MATCH("enemy_skill_id",enemy_skills!$1:$1,0)+1,FALSE)</f>
        <v>さぁ、オセ！_x000D_クリスマスは俺たちの独壇場だぜ！</v>
      </c>
      <c r="E201" s="46" t="str">
        <f ca="1">VLOOKUP($C201,OFFSET(enemy_skills!$A$1,0,0,COUNTA(enemy_skills!$A:$A),MATCH(E$1,enemy_skills!$1:$1,0)-MATCH("enemy_skill_id",enemy_skills!$1:$1,0)+1),MATCH(E$1,enemy_skills!$1:$1,0)-MATCH("enemy_skill_id",enemy_skills!$1:$1,0)+1,FALSE)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201" s="47">
        <v>47004345</v>
      </c>
      <c r="G201" s="48">
        <f ca="1">VLOOKUP($F201,OFFSET(enemy_skill_triggers!$A$1,0,0,COUNTA(enemy_skill_triggers!$A:$A),MATCH(G$1,enemy_skill_triggers!$1:$1,0)-MATCH($F$1,enemy_skill_triggers!$1:$1,0)+1),MATCH(G$1,enemy_skill_triggers!$1:$1,0)-MATCH($F$1,enemy_skill_triggers!$1:$1,0)+1,FALSE)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1" s="48">
        <f ca="1">VLOOKUP($F201,OFFSET(enemy_skill_triggers!$A$1,0,0,COUNTA(enemy_skill_triggers!$A:$A),MATCH(H$1,enemy_skill_triggers!$1:$1,0)-MATCH($F$1,enemy_skill_triggers!$1:$1,0)+1),MATCH(H$1,enemy_skill_triggers!$1:$1,0)-MATCH($F$1,enemy_skill_triggers!$1:$1,0)+1,FALSE)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201" s="48">
        <f ca="1">VLOOKUP($F201,OFFSET(enemy_skill_triggers!$A$1,0,0,COUNTA(enemy_skill_triggers!$A:$A),MATCH(I$1,enemy_skill_triggers!$1:$1,0)-MATCH($F$1,enemy_skill_triggers!$1:$1,0)+1),MATCH(I$1,enemy_skill_triggers!$1:$1,0)-MATCH($F$1,enemy_skill_triggers!$1:$1,0)+1,FALSE)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1" s="48" t="str">
        <f ca="1">VLOOKUP($F201,OFFSET(enemy_skill_triggers!$A$1,0,0,COUNTA(enemy_skill_triggers!$A:$A),MATCH(J$1,enemy_skill_triggers!$1:$1,0)-MATCH($F$1,enemy_skill_triggers!$1:$1,0)+1),MATCH(J$1,enemy_skill_triggers!$1:$1,0)-MATCH($F$1,enemy_skill_triggers!$1:$1,0)+1,FALSE)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1" s="48" t="str">
        <f ca="1">VLOOKUP($F201,OFFSET(enemy_skill_triggers!$A$1,0,0,COUNTA(enemy_skill_triggers!$A:$A),MATCH(K$1,enemy_skill_triggers!$1:$1,0)-MATCH($F$1,enemy_skill_triggers!$1:$1,0)+1),MATCH(K$1,enemy_skill_triggers!$1:$1,0)-MATCH($F$1,enemy_skill_triggers!$1:$1,0)+1,FALSE)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1" s="48">
        <f ca="1">VLOOKUP($F201,OFFSET(enemy_skill_triggers!$A$1,0,0,COUNTA(enemy_skill_triggers!$A:$A),MATCH(L$1,enemy_skill_triggers!$1:$1,0)-MATCH($F$1,enemy_skill_triggers!$1:$1,0)+1),MATCH(L$1,enemy_skill_triggers!$1:$1,0)-MATCH($F$1,enemy_skill_triggers!$1:$1,0)+1,FALSE)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1" s="48" t="str">
        <f ca="1">VLOOKUP($F201,OFFSET(enemy_skill_triggers!$A$1,0,0,COUNTA(enemy_skill_triggers!$A:$A),MATCH(M$1,enemy_skill_triggers!$1:$1,0)-MATCH($F$1,enemy_skill_triggers!$1:$1,0)+1),MATCH(M$1,enemy_skill_triggers!$1:$1,0)-MATCH($F$1,enemy_skill_triggers!$1:$1,0)+1,FALSE)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1" s="48">
        <f ca="1">VLOOKUP($F201,OFFSET(enemy_skill_triggers!$A$1,0,0,COUNTA(enemy_skill_triggers!$A:$A),MATCH(N$1,enemy_skill_triggers!$1:$1,0)-MATCH($F$1,enemy_skill_triggers!$1:$1,0)+1),MATCH(N$1,enemy_skill_triggers!$1:$1,0)-MATCH($F$1,enemy_skill_triggers!$1:$1,0)+1,FALSE)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201" s="48">
        <f ca="1">VLOOKUP($F201,OFFSET(enemy_skill_triggers!$A$1,0,0,COUNTA(enemy_skill_triggers!$A:$A),MATCH(O$1,enemy_skill_triggers!$1:$1,0)-MATCH($F$1,enemy_skill_triggers!$1:$1,0)+1),MATCH(O$1,enemy_skill_triggers!$1:$1,0)-MATCH($F$1,enemy_skill_triggers!$1:$1,0)+1,FALSE)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1" s="47"/>
      <c r="Q201" s="47"/>
      <c r="R201" s="47"/>
    </row>
    <row r="202" spans="1:18" ht="21" customHeight="1" x14ac:dyDescent="0.15">
      <c r="A202" s="39" t="str">
        <f t="shared" si="13"/>
        <v>47004330_47004339</v>
      </c>
      <c r="B202" s="128">
        <v>47004330</v>
      </c>
      <c r="C202" s="47">
        <v>47004339</v>
      </c>
      <c r="D202" s="46" t="str">
        <f ca="1">VLOOKUP($C202,OFFSET(enemy_skills!$A$1,0,0,COUNTA(enemy_skills!$A:$A),MATCH(D$1,enemy_skills!$1:$1,0)-MATCH("enemy_skill_id",enemy_skills!$1:$1,0)+1),MATCH(D$1,enemy_skills!$1:$1,0)-MATCH("enemy_skill_id",enemy_skills!$1:$1,0)+1,FALSE)</f>
        <v>さぁ、オセ！_x000D_クリスマスは俺たちの独壇場だぜ！</v>
      </c>
      <c r="E202" s="46" t="str">
        <f ca="1">VLOOKUP($C202,OFFSET(enemy_skills!$A$1,0,0,COUNTA(enemy_skills!$A:$A),MATCH(E$1,enemy_skills!$1:$1,0)-MATCH("enemy_skill_id",enemy_skills!$1:$1,0)+1),MATCH(E$1,enemy_skills!$1:$1,0)-MATCH("enemy_skill_id",enemy_skills!$1:$1,0)+1,FALSE)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202" s="47">
        <v>47004346</v>
      </c>
      <c r="G202" s="48">
        <f ca="1">VLOOKUP($F202,OFFSET(enemy_skill_triggers!$A$1,0,0,COUNTA(enemy_skill_triggers!$A:$A),MATCH(G$1,enemy_skill_triggers!$1:$1,0)-MATCH($F$1,enemy_skill_triggers!$1:$1,0)+1),MATCH(G$1,enemy_skill_triggers!$1:$1,0)-MATCH($F$1,enemy_skill_triggers!$1:$1,0)+1,FALSE)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2" s="48">
        <f ca="1">VLOOKUP($F202,OFFSET(enemy_skill_triggers!$A$1,0,0,COUNTA(enemy_skill_triggers!$A:$A),MATCH(H$1,enemy_skill_triggers!$1:$1,0)-MATCH($F$1,enemy_skill_triggers!$1:$1,0)+1),MATCH(H$1,enemy_skill_triggers!$1:$1,0)-MATCH($F$1,enemy_skill_triggers!$1:$1,0)+1,FALSE)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202" s="48">
        <f ca="1">VLOOKUP($F202,OFFSET(enemy_skill_triggers!$A$1,0,0,COUNTA(enemy_skill_triggers!$A:$A),MATCH(I$1,enemy_skill_triggers!$1:$1,0)-MATCH($F$1,enemy_skill_triggers!$1:$1,0)+1),MATCH(I$1,enemy_skill_triggers!$1:$1,0)-MATCH($F$1,enemy_skill_triggers!$1:$1,0)+1,FALSE)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2" s="48" t="str">
        <f ca="1">VLOOKUP($F202,OFFSET(enemy_skill_triggers!$A$1,0,0,COUNTA(enemy_skill_triggers!$A:$A),MATCH(J$1,enemy_skill_triggers!$1:$1,0)-MATCH($F$1,enemy_skill_triggers!$1:$1,0)+1),MATCH(J$1,enemy_skill_triggers!$1:$1,0)-MATCH($F$1,enemy_skill_triggers!$1:$1,0)+1,FALSE)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2" s="48" t="str">
        <f ca="1">VLOOKUP($F202,OFFSET(enemy_skill_triggers!$A$1,0,0,COUNTA(enemy_skill_triggers!$A:$A),MATCH(K$1,enemy_skill_triggers!$1:$1,0)-MATCH($F$1,enemy_skill_triggers!$1:$1,0)+1),MATCH(K$1,enemy_skill_triggers!$1:$1,0)-MATCH($F$1,enemy_skill_triggers!$1:$1,0)+1,FALSE)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2" s="48">
        <f ca="1">VLOOKUP($F202,OFFSET(enemy_skill_triggers!$A$1,0,0,COUNTA(enemy_skill_triggers!$A:$A),MATCH(L$1,enemy_skill_triggers!$1:$1,0)-MATCH($F$1,enemy_skill_triggers!$1:$1,0)+1),MATCH(L$1,enemy_skill_triggers!$1:$1,0)-MATCH($F$1,enemy_skill_triggers!$1:$1,0)+1,FALSE)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2" s="48" t="str">
        <f ca="1">VLOOKUP($F202,OFFSET(enemy_skill_triggers!$A$1,0,0,COUNTA(enemy_skill_triggers!$A:$A),MATCH(M$1,enemy_skill_triggers!$1:$1,0)-MATCH($F$1,enemy_skill_triggers!$1:$1,0)+1),MATCH(M$1,enemy_skill_triggers!$1:$1,0)-MATCH($F$1,enemy_skill_triggers!$1:$1,0)+1,FALSE)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2" s="48">
        <f ca="1">VLOOKUP($F202,OFFSET(enemy_skill_triggers!$A$1,0,0,COUNTA(enemy_skill_triggers!$A:$A),MATCH(N$1,enemy_skill_triggers!$1:$1,0)-MATCH($F$1,enemy_skill_triggers!$1:$1,0)+1),MATCH(N$1,enemy_skill_triggers!$1:$1,0)-MATCH($F$1,enemy_skill_triggers!$1:$1,0)+1,FALSE)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202" s="48">
        <f ca="1">VLOOKUP($F202,OFFSET(enemy_skill_triggers!$A$1,0,0,COUNTA(enemy_skill_triggers!$A:$A),MATCH(O$1,enemy_skill_triggers!$1:$1,0)-MATCH($F$1,enemy_skill_triggers!$1:$1,0)+1),MATCH(O$1,enemy_skill_triggers!$1:$1,0)-MATCH($F$1,enemy_skill_triggers!$1:$1,0)+1,FALSE)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2" s="47"/>
      <c r="Q202" s="47"/>
      <c r="R202" s="47"/>
    </row>
    <row r="203" spans="1:18" ht="21" customHeight="1" x14ac:dyDescent="0.15">
      <c r="A203" s="39" t="str">
        <f t="shared" ref="A203:A204" si="14">B203&amp;"_"&amp;C203</f>
        <v>47004330_47004340</v>
      </c>
      <c r="B203" s="128">
        <v>47004330</v>
      </c>
      <c r="C203" s="47">
        <v>47004340</v>
      </c>
      <c r="D203" s="46" t="str">
        <f ca="1">VLOOKUP($C203,OFFSET(enemy_skills!$A$1,0,0,COUNTA(enemy_skills!$A:$A),MATCH(D$1,enemy_skills!$1:$1,0)-MATCH("enemy_skill_id",enemy_skills!$1:$1,0)+1),MATCH(D$1,enemy_skills!$1:$1,0)-MATCH("enemy_skill_id",enemy_skills!$1:$1,0)+1,FALSE)</f>
        <v>今年はエスタブも参加か？_x000D_熱くいこうぜ！</v>
      </c>
      <c r="E203" s="46" t="str">
        <f ca="1">VLOOKUP($C203,OFFSET(enemy_skills!$A$1,0,0,COUNTA(enemy_skills!$A:$A),MATCH(E$1,enemy_skills!$1:$1,0)-MATCH("enemy_skill_id",enemy_skills!$1:$1,0)+1),MATCH(E$1,enemy_skills!$1:$1,0)-MATCH("enemy_skill_id",enemy_skills!$1:$1,0)+1,FALSE)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203" s="47">
        <v>47004347</v>
      </c>
      <c r="G203" s="48">
        <f ca="1">VLOOKUP($F203,OFFSET(enemy_skill_triggers!$A$1,0,0,COUNTA(enemy_skill_triggers!$A:$A),MATCH(G$1,enemy_skill_triggers!$1:$1,0)-MATCH($F$1,enemy_skill_triggers!$1:$1,0)+1),MATCH(G$1,enemy_skill_triggers!$1:$1,0)-MATCH($F$1,enemy_skill_triggers!$1:$1,0)+1,FALSE)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3" s="48">
        <f ca="1">VLOOKUP($F203,OFFSET(enemy_skill_triggers!$A$1,0,0,COUNTA(enemy_skill_triggers!$A:$A),MATCH(H$1,enemy_skill_triggers!$1:$1,0)-MATCH($F$1,enemy_skill_triggers!$1:$1,0)+1),MATCH(H$1,enemy_skill_triggers!$1:$1,0)-MATCH($F$1,enemy_skill_triggers!$1:$1,0)+1,FALSE)</f>
        <v>219</v>
      </c>
      <c r="I203" s="48">
        <f ca="1">VLOOKUP($F203,OFFSET(enemy_skill_triggers!$A$1,0,0,COUNTA(enemy_skill_triggers!$A:$A),MATCH(I$1,enemy_skill_triggers!$1:$1,0)-MATCH($F$1,enemy_skill_triggers!$1:$1,0)+1),MATCH(I$1,enemy_skill_triggers!$1:$1,0)-MATCH($F$1,enemy_skill_triggers!$1:$1,0)+1,FALSE)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3" s="48" t="str">
        <f ca="1">VLOOKUP($F203,OFFSET(enemy_skill_triggers!$A$1,0,0,COUNTA(enemy_skill_triggers!$A:$A),MATCH(J$1,enemy_skill_triggers!$1:$1,0)-MATCH($F$1,enemy_skill_triggers!$1:$1,0)+1),MATCH(J$1,enemy_skill_triggers!$1:$1,0)-MATCH($F$1,enemy_skill_triggers!$1:$1,0)+1,FALSE)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3" s="48" t="str">
        <f ca="1">VLOOKUP($F203,OFFSET(enemy_skill_triggers!$A$1,0,0,COUNTA(enemy_skill_triggers!$A:$A),MATCH(K$1,enemy_skill_triggers!$1:$1,0)-MATCH($F$1,enemy_skill_triggers!$1:$1,0)+1),MATCH(K$1,enemy_skill_triggers!$1:$1,0)-MATCH($F$1,enemy_skill_triggers!$1:$1,0)+1,FALSE)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3" s="48">
        <f ca="1">VLOOKUP($F203,OFFSET(enemy_skill_triggers!$A$1,0,0,COUNTA(enemy_skill_triggers!$A:$A),MATCH(L$1,enemy_skill_triggers!$1:$1,0)-MATCH($F$1,enemy_skill_triggers!$1:$1,0)+1),MATCH(L$1,enemy_skill_triggers!$1:$1,0)-MATCH($F$1,enemy_skill_triggers!$1:$1,0)+1,FALSE)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3" s="48" t="str">
        <f ca="1">VLOOKUP($F203,OFFSET(enemy_skill_triggers!$A$1,0,0,COUNTA(enemy_skill_triggers!$A:$A),MATCH(M$1,enemy_skill_triggers!$1:$1,0)-MATCH($F$1,enemy_skill_triggers!$1:$1,0)+1),MATCH(M$1,enemy_skill_triggers!$1:$1,0)-MATCH($F$1,enemy_skill_triggers!$1:$1,0)+1,FALSE)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3" s="48">
        <f ca="1">VLOOKUP($F203,OFFSET(enemy_skill_triggers!$A$1,0,0,COUNTA(enemy_skill_triggers!$A:$A),MATCH(N$1,enemy_skill_triggers!$1:$1,0)-MATCH($F$1,enemy_skill_triggers!$1:$1,0)+1),MATCH(N$1,enemy_skill_triggers!$1:$1,0)-MATCH($F$1,enemy_skill_triggers!$1:$1,0)+1,FALSE)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203" s="48">
        <f ca="1">VLOOKUP($F203,OFFSET(enemy_skill_triggers!$A$1,0,0,COUNTA(enemy_skill_triggers!$A:$A),MATCH(O$1,enemy_skill_triggers!$1:$1,0)-MATCH($F$1,enemy_skill_triggers!$1:$1,0)+1),MATCH(O$1,enemy_skill_triggers!$1:$1,0)-MATCH($F$1,enemy_skill_triggers!$1:$1,0)+1,FALSE)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3" s="47"/>
      <c r="Q203" s="47"/>
      <c r="R203" s="47"/>
    </row>
    <row r="204" spans="1:18" ht="21" customHeight="1" x14ac:dyDescent="0.15">
      <c r="A204" s="39" t="str">
        <f t="shared" si="14"/>
        <v>47004330_47004341</v>
      </c>
      <c r="B204" s="128">
        <v>47004330</v>
      </c>
      <c r="C204" s="47">
        <v>47004341</v>
      </c>
      <c r="D204" s="46" t="str">
        <f ca="1">VLOOKUP($C204,OFFSET(enemy_skills!$A$1,0,0,COUNTA(enemy_skills!$A:$A),MATCH(D$1,enemy_skills!$1:$1,0)-MATCH("enemy_skill_id",enemy_skills!$1:$1,0)+1),MATCH(D$1,enemy_skills!$1:$1,0)-MATCH("enemy_skill_id",enemy_skills!$1:$1,0)+1,FALSE)</f>
        <v>今年は卑弥呼も参加か？_x000D_熱くいこうぜ！</v>
      </c>
      <c r="E204" s="46" t="str">
        <f ca="1">VLOOKUP($C204,OFFSET(enemy_skills!$A$1,0,0,COUNTA(enemy_skills!$A:$A),MATCH(E$1,enemy_skills!$1:$1,0)-MATCH("enemy_skill_id",enemy_skills!$1:$1,0)+1),MATCH(E$1,enemy_skills!$1:$1,0)-MATCH("enemy_skill_id",enemy_skills!$1:$1,0)+1,FALSE)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204" s="47">
        <v>47004348</v>
      </c>
      <c r="G204" s="48">
        <f ca="1">VLOOKUP($F204,OFFSET(enemy_skill_triggers!$A$1,0,0,COUNTA(enemy_skill_triggers!$A:$A),MATCH(G$1,enemy_skill_triggers!$1:$1,0)-MATCH($F$1,enemy_skill_triggers!$1:$1,0)+1),MATCH(G$1,enemy_skill_triggers!$1:$1,0)-MATCH($F$1,enemy_skill_triggers!$1:$1,0)+1,FALSE)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4" s="48">
        <f ca="1">VLOOKUP($F204,OFFSET(enemy_skill_triggers!$A$1,0,0,COUNTA(enemy_skill_triggers!$A:$A),MATCH(H$1,enemy_skill_triggers!$1:$1,0)-MATCH($F$1,enemy_skill_triggers!$1:$1,0)+1),MATCH(H$1,enemy_skill_triggers!$1:$1,0)-MATCH($F$1,enemy_skill_triggers!$1:$1,0)+1,FALSE)</f>
        <v>218</v>
      </c>
      <c r="I204" s="48">
        <f ca="1">VLOOKUP($F204,OFFSET(enemy_skill_triggers!$A$1,0,0,COUNTA(enemy_skill_triggers!$A:$A),MATCH(I$1,enemy_skill_triggers!$1:$1,0)-MATCH($F$1,enemy_skill_triggers!$1:$1,0)+1),MATCH(I$1,enemy_skill_triggers!$1:$1,0)-MATCH($F$1,enemy_skill_triggers!$1:$1,0)+1,FALSE)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4" s="48" t="str">
        <f ca="1">VLOOKUP($F204,OFFSET(enemy_skill_triggers!$A$1,0,0,COUNTA(enemy_skill_triggers!$A:$A),MATCH(J$1,enemy_skill_triggers!$1:$1,0)-MATCH($F$1,enemy_skill_triggers!$1:$1,0)+1),MATCH(J$1,enemy_skill_triggers!$1:$1,0)-MATCH($F$1,enemy_skill_triggers!$1:$1,0)+1,FALSE)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4" s="48" t="str">
        <f ca="1">VLOOKUP($F204,OFFSET(enemy_skill_triggers!$A$1,0,0,COUNTA(enemy_skill_triggers!$A:$A),MATCH(K$1,enemy_skill_triggers!$1:$1,0)-MATCH($F$1,enemy_skill_triggers!$1:$1,0)+1),MATCH(K$1,enemy_skill_triggers!$1:$1,0)-MATCH($F$1,enemy_skill_triggers!$1:$1,0)+1,FALSE)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4" s="48">
        <f ca="1">VLOOKUP($F204,OFFSET(enemy_skill_triggers!$A$1,0,0,COUNTA(enemy_skill_triggers!$A:$A),MATCH(L$1,enemy_skill_triggers!$1:$1,0)-MATCH($F$1,enemy_skill_triggers!$1:$1,0)+1),MATCH(L$1,enemy_skill_triggers!$1:$1,0)-MATCH($F$1,enemy_skill_triggers!$1:$1,0)+1,FALSE)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4" s="48" t="str">
        <f ca="1">VLOOKUP($F204,OFFSET(enemy_skill_triggers!$A$1,0,0,COUNTA(enemy_skill_triggers!$A:$A),MATCH(M$1,enemy_skill_triggers!$1:$1,0)-MATCH($F$1,enemy_skill_triggers!$1:$1,0)+1),MATCH(M$1,enemy_skill_triggers!$1:$1,0)-MATCH($F$1,enemy_skill_triggers!$1:$1,0)+1,FALSE)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4" s="48">
        <f ca="1">VLOOKUP($F204,OFFSET(enemy_skill_triggers!$A$1,0,0,COUNTA(enemy_skill_triggers!$A:$A),MATCH(N$1,enemy_skill_triggers!$1:$1,0)-MATCH($F$1,enemy_skill_triggers!$1:$1,0)+1),MATCH(N$1,enemy_skill_triggers!$1:$1,0)-MATCH($F$1,enemy_skill_triggers!$1:$1,0)+1,FALSE)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204" s="48">
        <f ca="1">VLOOKUP($F204,OFFSET(enemy_skill_triggers!$A$1,0,0,COUNTA(enemy_skill_triggers!$A:$A),MATCH(O$1,enemy_skill_triggers!$1:$1,0)-MATCH($F$1,enemy_skill_triggers!$1:$1,0)+1),MATCH(O$1,enemy_skill_triggers!$1:$1,0)-MATCH($F$1,enemy_skill_triggers!$1:$1,0)+1,FALSE)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4" s="47"/>
      <c r="Q204" s="47"/>
      <c r="R204" s="47"/>
    </row>
    <row r="205" spans="1:18" ht="21" customHeight="1" x14ac:dyDescent="0.15">
      <c r="A205" s="39" t="str">
        <f t="shared" si="13"/>
        <v>47004360_47004361</v>
      </c>
      <c r="B205" s="128">
        <v>47004360</v>
      </c>
      <c r="C205" s="47">
        <v>47004361</v>
      </c>
      <c r="D205" s="46" t="str">
        <f ca="1">VLOOKUP($C205,OFFSET(enemy_skills!$A$1,0,0,COUNTA(enemy_skills!$A:$A),MATCH(D$1,enemy_skills!$1:$1,0)-MATCH("enemy_skill_id",enemy_skills!$1:$1,0)+1),MATCH(D$1,enemy_skills!$1:$1,0)-MATCH("enemy_skill_id",enemy_skills!$1:$1,0)+1,FALSE)</f>
        <v>あ！そこのあなた達この辺で_x000D_大きな雪だるまを見なかった？</v>
      </c>
      <c r="E205" s="46" t="str">
        <f ca="1">VLOOKUP($C205,OFFSET(enemy_skills!$A$1,0,0,COUNTA(enemy_skills!$A:$A),MATCH(E$1,enemy_skills!$1:$1,0)-MATCH("enemy_skill_id",enemy_skills!$1:$1,0)+1),MATCH(E$1,enemy_skills!$1:$1,0)-MATCH("enemy_skill_id",enemy_skills!$1:$1,0)+1,FALSE)</f>
        <v>せっかくの夜なのに何やってくれちゃってるのよ、もう！_x000D_【3ターン暗闇+赤パネルを緑のダメージパネルに3個変換】</v>
      </c>
      <c r="F205" s="47">
        <v>47004361</v>
      </c>
      <c r="G205" s="48">
        <f ca="1">VLOOKUP($F205,OFFSET(enemy_skill_triggers!$A$1,0,0,COUNTA(enemy_skill_triggers!$A:$A),MATCH(G$1,enemy_skill_triggers!$1:$1,0)-MATCH($F$1,enemy_skill_triggers!$1:$1,0)+1),MATCH(G$1,enemy_skill_triggers!$1:$1,0)-MATCH($F$1,enemy_skill_triggers!$1:$1,0)+1,FALSE)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5" s="48">
        <f ca="1">VLOOKUP($F205,OFFSET(enemy_skill_triggers!$A$1,0,0,COUNTA(enemy_skill_triggers!$A:$A),MATCH(H$1,enemy_skill_triggers!$1:$1,0)-MATCH($F$1,enemy_skill_triggers!$1:$1,0)+1),MATCH(H$1,enemy_skill_triggers!$1:$1,0)-MATCH($F$1,enemy_skill_triggers!$1:$1,0)+1,FALSE)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5" s="48">
        <f ca="1">VLOOKUP($F205,OFFSET(enemy_skill_triggers!$A$1,0,0,COUNTA(enemy_skill_triggers!$A:$A),MATCH(I$1,enemy_skill_triggers!$1:$1,0)-MATCH($F$1,enemy_skill_triggers!$1:$1,0)+1),MATCH(I$1,enemy_skill_triggers!$1:$1,0)-MATCH($F$1,enemy_skill_triggers!$1:$1,0)+1,FALSE)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5" s="48" t="str">
        <f ca="1">VLOOKUP($F205,OFFSET(enemy_skill_triggers!$A$1,0,0,COUNTA(enemy_skill_triggers!$A:$A),MATCH(J$1,enemy_skill_triggers!$1:$1,0)-MATCH($F$1,enemy_skill_triggers!$1:$1,0)+1),MATCH(J$1,enemy_skill_triggers!$1:$1,0)-MATCH($F$1,enemy_skill_triggers!$1:$1,0)+1,FALSE)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5" s="48" t="str">
        <f ca="1">VLOOKUP($F205,OFFSET(enemy_skill_triggers!$A$1,0,0,COUNTA(enemy_skill_triggers!$A:$A),MATCH(K$1,enemy_skill_triggers!$1:$1,0)-MATCH($F$1,enemy_skill_triggers!$1:$1,0)+1),MATCH(K$1,enemy_skill_triggers!$1:$1,0)-MATCH($F$1,enemy_skill_triggers!$1:$1,0)+1,FALSE)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5" s="48">
        <f ca="1">VLOOKUP($F205,OFFSET(enemy_skill_triggers!$A$1,0,0,COUNTA(enemy_skill_triggers!$A:$A),MATCH(L$1,enemy_skill_triggers!$1:$1,0)-MATCH($F$1,enemy_skill_triggers!$1:$1,0)+1),MATCH(L$1,enemy_skill_triggers!$1:$1,0)-MATCH($F$1,enemy_skill_triggers!$1:$1,0)+1,FALSE)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5" s="48" t="str">
        <f ca="1">VLOOKUP($F205,OFFSET(enemy_skill_triggers!$A$1,0,0,COUNTA(enemy_skill_triggers!$A:$A),MATCH(M$1,enemy_skill_triggers!$1:$1,0)-MATCH($F$1,enemy_skill_triggers!$1:$1,0)+1),MATCH(M$1,enemy_skill_triggers!$1:$1,0)-MATCH($F$1,enemy_skill_triggers!$1:$1,0)+1,FALSE)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5" s="48" t="str">
        <f ca="1">VLOOKUP($F205,OFFSET(enemy_skill_triggers!$A$1,0,0,COUNTA(enemy_skill_triggers!$A:$A),MATCH(N$1,enemy_skill_triggers!$1:$1,0)-MATCH($F$1,enemy_skill_triggers!$1:$1,0)+1),MATCH(N$1,enemy_skill_triggers!$1:$1,0)-MATCH($F$1,enemy_skill_triggers!$1:$1,0)+1,FALSE)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5" s="48">
        <f ca="1">VLOOKUP($F205,OFFSET(enemy_skill_triggers!$A$1,0,0,COUNTA(enemy_skill_triggers!$A:$A),MATCH(O$1,enemy_skill_triggers!$1:$1,0)-MATCH($F$1,enemy_skill_triggers!$1:$1,0)+1),MATCH(O$1,enemy_skill_triggers!$1:$1,0)-MATCH($F$1,enemy_skill_triggers!$1:$1,0)+1,FALSE)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5" s="47"/>
      <c r="Q205" s="47"/>
      <c r="R205" s="47"/>
    </row>
    <row r="206" spans="1:18" ht="21" customHeight="1" x14ac:dyDescent="0.15">
      <c r="A206" s="39" t="str">
        <f t="shared" si="13"/>
        <v>47004360_47004362</v>
      </c>
      <c r="B206" s="128">
        <v>47004360</v>
      </c>
      <c r="C206" s="47">
        <v>47004362</v>
      </c>
      <c r="D206" s="46" t="str">
        <f ca="1">VLOOKUP($C206,OFFSET(enemy_skills!$A$1,0,0,COUNTA(enemy_skills!$A:$A),MATCH(D$1,enemy_skills!$1:$1,0)-MATCH("enemy_skill_id",enemy_skills!$1:$1,0)+1),MATCH(D$1,enemy_skills!$1:$1,0)-MATCH("enemy_skill_id",enemy_skills!$1:$1,0)+1,FALSE)</f>
        <v>この後の予定…？_x000D_それくらい私にだってあるわよ！</v>
      </c>
      <c r="E206" s="46" t="str">
        <f ca="1">VLOOKUP($C206,OFFSET(enemy_skills!$A$1,0,0,COUNTA(enemy_skills!$A:$A),MATCH(E$1,enemy_skills!$1:$1,0)-MATCH("enemy_skill_id",enemy_skills!$1:$1,0)+1),MATCH(E$1,enemy_skills!$1:$1,0)-MATCH("enemy_skill_id",enemy_skills!$1:$1,0)+1,FALSE)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06" s="47">
        <v>47004362</v>
      </c>
      <c r="G206" s="48">
        <f ca="1">VLOOKUP($F206,OFFSET(enemy_skill_triggers!$A$1,0,0,COUNTA(enemy_skill_triggers!$A:$A),MATCH(G$1,enemy_skill_triggers!$1:$1,0)-MATCH($F$1,enemy_skill_triggers!$1:$1,0)+1),MATCH(G$1,enemy_skill_triggers!$1:$1,0)-MATCH($F$1,enemy_skill_triggers!$1:$1,0)+1,FALSE)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6" s="48">
        <f ca="1">VLOOKUP($F206,OFFSET(enemy_skill_triggers!$A$1,0,0,COUNTA(enemy_skill_triggers!$A:$A),MATCH(H$1,enemy_skill_triggers!$1:$1,0)-MATCH($F$1,enemy_skill_triggers!$1:$1,0)+1),MATCH(H$1,enemy_skill_triggers!$1:$1,0)-MATCH($F$1,enemy_skill_triggers!$1:$1,0)+1,FALSE)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06" s="48">
        <f ca="1">VLOOKUP($F206,OFFSET(enemy_skill_triggers!$A$1,0,0,COUNTA(enemy_skill_triggers!$A:$A),MATCH(I$1,enemy_skill_triggers!$1:$1,0)-MATCH($F$1,enemy_skill_triggers!$1:$1,0)+1),MATCH(I$1,enemy_skill_triggers!$1:$1,0)-MATCH($F$1,enemy_skill_triggers!$1:$1,0)+1,FALSE)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6" s="48" t="str">
        <f ca="1">VLOOKUP($F206,OFFSET(enemy_skill_triggers!$A$1,0,0,COUNTA(enemy_skill_triggers!$A:$A),MATCH(J$1,enemy_skill_triggers!$1:$1,0)-MATCH($F$1,enemy_skill_triggers!$1:$1,0)+1),MATCH(J$1,enemy_skill_triggers!$1:$1,0)-MATCH($F$1,enemy_skill_triggers!$1:$1,0)+1,FALSE)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6" s="48" t="str">
        <f ca="1">VLOOKUP($F206,OFFSET(enemy_skill_triggers!$A$1,0,0,COUNTA(enemy_skill_triggers!$A:$A),MATCH(K$1,enemy_skill_triggers!$1:$1,0)-MATCH($F$1,enemy_skill_triggers!$1:$1,0)+1),MATCH(K$1,enemy_skill_triggers!$1:$1,0)-MATCH($F$1,enemy_skill_triggers!$1:$1,0)+1,FALSE)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6" s="48">
        <f ca="1">VLOOKUP($F206,OFFSET(enemy_skill_triggers!$A$1,0,0,COUNTA(enemy_skill_triggers!$A:$A),MATCH(L$1,enemy_skill_triggers!$1:$1,0)-MATCH($F$1,enemy_skill_triggers!$1:$1,0)+1),MATCH(L$1,enemy_skill_triggers!$1:$1,0)-MATCH($F$1,enemy_skill_triggers!$1:$1,0)+1,FALSE)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6" s="48">
        <f ca="1">VLOOKUP($F206,OFFSET(enemy_skill_triggers!$A$1,0,0,COUNTA(enemy_skill_triggers!$A:$A),MATCH(M$1,enemy_skill_triggers!$1:$1,0)-MATCH($F$1,enemy_skill_triggers!$1:$1,0)+1),MATCH(M$1,enemy_skill_triggers!$1:$1,0)-MATCH($F$1,enemy_skill_triggers!$1:$1,0)+1,FALSE)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6" s="48" t="str">
        <f ca="1">VLOOKUP($F206,OFFSET(enemy_skill_triggers!$A$1,0,0,COUNTA(enemy_skill_triggers!$A:$A),MATCH(N$1,enemy_skill_triggers!$1:$1,0)-MATCH($F$1,enemy_skill_triggers!$1:$1,0)+1),MATCH(N$1,enemy_skill_triggers!$1:$1,0)-MATCH($F$1,enemy_skill_triggers!$1:$1,0)+1,FALSE)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6" s="48">
        <f ca="1">VLOOKUP($F206,OFFSET(enemy_skill_triggers!$A$1,0,0,COUNTA(enemy_skill_triggers!$A:$A),MATCH(O$1,enemy_skill_triggers!$1:$1,0)-MATCH($F$1,enemy_skill_triggers!$1:$1,0)+1),MATCH(O$1,enemy_skill_triggers!$1:$1,0)-MATCH($F$1,enemy_skill_triggers!$1:$1,0)+1,FALSE)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6" s="47"/>
      <c r="Q206" s="47"/>
      <c r="R206" s="47"/>
    </row>
    <row r="207" spans="1:18" ht="21" customHeight="1" x14ac:dyDescent="0.15">
      <c r="A207" s="39" t="str">
        <f t="shared" si="13"/>
        <v>47004360_47004363</v>
      </c>
      <c r="B207" s="128">
        <v>47004360</v>
      </c>
      <c r="C207" s="47">
        <v>47004363</v>
      </c>
      <c r="D207" s="46" t="str">
        <f ca="1">VLOOKUP($C207,OFFSET(enemy_skills!$A$1,0,0,COUNTA(enemy_skills!$A:$A),MATCH(D$1,enemy_skills!$1:$1,0)-MATCH("enemy_skill_id",enemy_skills!$1:$1,0)+1),MATCH(D$1,enemy_skills!$1:$1,0)-MATCH("enemy_skill_id",enemy_skills!$1:$1,0)+1,FALSE)</f>
        <v>えっ？_x000D_シュプールの事、代わりに探してくれるの？</v>
      </c>
      <c r="E207" s="46" t="str">
        <f ca="1">VLOOKUP($C207,OFFSET(enemy_skills!$A$1,0,0,COUNTA(enemy_skills!$A:$A),MATCH(E$1,enemy_skills!$1:$1,0)-MATCH("enemy_skill_id",enemy_skills!$1:$1,0)+1),MATCH(E$1,enemy_skills!$1:$1,0)-MATCH("enemy_skill_id",enemy_skills!$1:$1,0)+1,FALSE)</f>
        <v>そう…そ、それならお任せしちゃおうかしら…_x000D_じゃあね！メリークリスマス♪</v>
      </c>
      <c r="F207" s="47">
        <v>47004363</v>
      </c>
      <c r="G207" s="48">
        <f ca="1">VLOOKUP($F207,OFFSET(enemy_skill_triggers!$A$1,0,0,COUNTA(enemy_skill_triggers!$A:$A),MATCH(G$1,enemy_skill_triggers!$1:$1,0)-MATCH($F$1,enemy_skill_triggers!$1:$1,0)+1),MATCH(G$1,enemy_skill_triggers!$1:$1,0)-MATCH($F$1,enemy_skill_triggers!$1:$1,0)+1,FALSE)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7" s="48">
        <f ca="1">VLOOKUP($F207,OFFSET(enemy_skill_triggers!$A$1,0,0,COUNTA(enemy_skill_triggers!$A:$A),MATCH(H$1,enemy_skill_triggers!$1:$1,0)-MATCH($F$1,enemy_skill_triggers!$1:$1,0)+1),MATCH(H$1,enemy_skill_triggers!$1:$1,0)-MATCH($F$1,enemy_skill_triggers!$1:$1,0)+1,FALSE)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07" s="48">
        <f ca="1">VLOOKUP($F207,OFFSET(enemy_skill_triggers!$A$1,0,0,COUNTA(enemy_skill_triggers!$A:$A),MATCH(I$1,enemy_skill_triggers!$1:$1,0)-MATCH($F$1,enemy_skill_triggers!$1:$1,0)+1),MATCH(I$1,enemy_skill_triggers!$1:$1,0)-MATCH($F$1,enemy_skill_triggers!$1:$1,0)+1,FALSE)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7" s="48" t="str">
        <f ca="1">VLOOKUP($F207,OFFSET(enemy_skill_triggers!$A$1,0,0,COUNTA(enemy_skill_triggers!$A:$A),MATCH(J$1,enemy_skill_triggers!$1:$1,0)-MATCH($F$1,enemy_skill_triggers!$1:$1,0)+1),MATCH(J$1,enemy_skill_triggers!$1:$1,0)-MATCH($F$1,enemy_skill_triggers!$1:$1,0)+1,FALSE)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7" s="48" t="str">
        <f ca="1">VLOOKUP($F207,OFFSET(enemy_skill_triggers!$A$1,0,0,COUNTA(enemy_skill_triggers!$A:$A),MATCH(K$1,enemy_skill_triggers!$1:$1,0)-MATCH($F$1,enemy_skill_triggers!$1:$1,0)+1),MATCH(K$1,enemy_skill_triggers!$1:$1,0)-MATCH($F$1,enemy_skill_triggers!$1:$1,0)+1,FALSE)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7" s="48">
        <f ca="1">VLOOKUP($F207,OFFSET(enemy_skill_triggers!$A$1,0,0,COUNTA(enemy_skill_triggers!$A:$A),MATCH(L$1,enemy_skill_triggers!$1:$1,0)-MATCH($F$1,enemy_skill_triggers!$1:$1,0)+1),MATCH(L$1,enemy_skill_triggers!$1:$1,0)-MATCH($F$1,enemy_skill_triggers!$1:$1,0)+1,FALSE)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7" s="48">
        <f ca="1">VLOOKUP($F207,OFFSET(enemy_skill_triggers!$A$1,0,0,COUNTA(enemy_skill_triggers!$A:$A),MATCH(M$1,enemy_skill_triggers!$1:$1,0)-MATCH($F$1,enemy_skill_triggers!$1:$1,0)+1),MATCH(M$1,enemy_skill_triggers!$1:$1,0)-MATCH($F$1,enemy_skill_triggers!$1:$1,0)+1,FALSE)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7" s="48" t="str">
        <f ca="1">VLOOKUP($F207,OFFSET(enemy_skill_triggers!$A$1,0,0,COUNTA(enemy_skill_triggers!$A:$A),MATCH(N$1,enemy_skill_triggers!$1:$1,0)-MATCH($F$1,enemy_skill_triggers!$1:$1,0)+1),MATCH(N$1,enemy_skill_triggers!$1:$1,0)-MATCH($F$1,enemy_skill_triggers!$1:$1,0)+1,FALSE)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7" s="48">
        <f ca="1">VLOOKUP($F207,OFFSET(enemy_skill_triggers!$A$1,0,0,COUNTA(enemy_skill_triggers!$A:$A),MATCH(O$1,enemy_skill_triggers!$1:$1,0)-MATCH($F$1,enemy_skill_triggers!$1:$1,0)+1),MATCH(O$1,enemy_skill_triggers!$1:$1,0)-MATCH($F$1,enemy_skill_triggers!$1:$1,0)+1,FALSE)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7" s="47"/>
      <c r="Q207" s="47"/>
      <c r="R207" s="47"/>
    </row>
    <row r="208" spans="1:18" ht="21" customHeight="1" x14ac:dyDescent="0.15">
      <c r="A208" s="39" t="str">
        <f t="shared" si="13"/>
        <v>47004360_47004364</v>
      </c>
      <c r="B208" s="128">
        <v>47004360</v>
      </c>
      <c r="C208" s="47">
        <v>47004364</v>
      </c>
      <c r="D208" s="46" t="str">
        <f ca="1">VLOOKUP($C208,OFFSET(enemy_skills!$A$1,0,0,COUNTA(enemy_skills!$A:$A),MATCH(D$1,enemy_skills!$1:$1,0)-MATCH("enemy_skill_id",enemy_skills!$1:$1,0)+1),MATCH(D$1,enemy_skills!$1:$1,0)-MATCH("enemy_skill_id",enemy_skills!$1:$1,0)+1,FALSE)</f>
        <v>あら、新入りさん？_x000D_可愛らしいサンタさんね♪</v>
      </c>
      <c r="E208" s="46" t="str">
        <f ca="1">VLOOKUP($C208,OFFSET(enemy_skills!$A$1,0,0,COUNTA(enemy_skills!$A:$A),MATCH(E$1,enemy_skills!$1:$1,0)-MATCH("enemy_skill_id",enemy_skills!$1:$1,0)+1),MATCH(E$1,enemy_skills!$1:$1,0)-MATCH("enemy_skill_id",enemy_skills!$1:$1,0)+1,FALSE)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赤パネルを緑のダメージパネルに3個変換</v>
      </c>
      <c r="F208" s="47">
        <v>47004364</v>
      </c>
      <c r="G208" s="48">
        <f ca="1">VLOOKUP($F208,OFFSET(enemy_skill_triggers!$A$1,0,0,COUNTA(enemy_skill_triggers!$A:$A),MATCH(G$1,enemy_skill_triggers!$1:$1,0)-MATCH($F$1,enemy_skill_triggers!$1:$1,0)+1),MATCH(G$1,enemy_skill_triggers!$1:$1,0)-MATCH($F$1,enemy_skill_triggers!$1:$1,0)+1,FALSE)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8" s="48">
        <f ca="1">VLOOKUP($F208,OFFSET(enemy_skill_triggers!$A$1,0,0,COUNTA(enemy_skill_triggers!$A:$A),MATCH(H$1,enemy_skill_triggers!$1:$1,0)-MATCH($F$1,enemy_skill_triggers!$1:$1,0)+1),MATCH(H$1,enemy_skill_triggers!$1:$1,0)-MATCH($F$1,enemy_skill_triggers!$1:$1,0)+1,FALSE)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08" s="48">
        <f ca="1">VLOOKUP($F208,OFFSET(enemy_skill_triggers!$A$1,0,0,COUNTA(enemy_skill_triggers!$A:$A),MATCH(I$1,enemy_skill_triggers!$1:$1,0)-MATCH($F$1,enemy_skill_triggers!$1:$1,0)+1),MATCH(I$1,enemy_skill_triggers!$1:$1,0)-MATCH($F$1,enemy_skill_triggers!$1:$1,0)+1,FALSE)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8" s="48" t="str">
        <f ca="1">VLOOKUP($F208,OFFSET(enemy_skill_triggers!$A$1,0,0,COUNTA(enemy_skill_triggers!$A:$A),MATCH(J$1,enemy_skill_triggers!$1:$1,0)-MATCH($F$1,enemy_skill_triggers!$1:$1,0)+1),MATCH(J$1,enemy_skill_triggers!$1:$1,0)-MATCH($F$1,enemy_skill_triggers!$1:$1,0)+1,FALSE)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8" s="48" t="str">
        <f ca="1">VLOOKUP($F208,OFFSET(enemy_skill_triggers!$A$1,0,0,COUNTA(enemy_skill_triggers!$A:$A),MATCH(K$1,enemy_skill_triggers!$1:$1,0)-MATCH($F$1,enemy_skill_triggers!$1:$1,0)+1),MATCH(K$1,enemy_skill_triggers!$1:$1,0)-MATCH($F$1,enemy_skill_triggers!$1:$1,0)+1,FALSE)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8" s="48">
        <f ca="1">VLOOKUP($F208,OFFSET(enemy_skill_triggers!$A$1,0,0,COUNTA(enemy_skill_triggers!$A:$A),MATCH(L$1,enemy_skill_triggers!$1:$1,0)-MATCH($F$1,enemy_skill_triggers!$1:$1,0)+1),MATCH(L$1,enemy_skill_triggers!$1:$1,0)-MATCH($F$1,enemy_skill_triggers!$1:$1,0)+1,FALSE)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8" s="48" t="str">
        <f ca="1">VLOOKUP($F208,OFFSET(enemy_skill_triggers!$A$1,0,0,COUNTA(enemy_skill_triggers!$A:$A),MATCH(M$1,enemy_skill_triggers!$1:$1,0)-MATCH($F$1,enemy_skill_triggers!$1:$1,0)+1),MATCH(M$1,enemy_skill_triggers!$1:$1,0)-MATCH($F$1,enemy_skill_triggers!$1:$1,0)+1,FALSE)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8" s="48">
        <f ca="1">VLOOKUP($F208,OFFSET(enemy_skill_triggers!$A$1,0,0,COUNTA(enemy_skill_triggers!$A:$A),MATCH(N$1,enemy_skill_triggers!$1:$1,0)-MATCH($F$1,enemy_skill_triggers!$1:$1,0)+1),MATCH(N$1,enemy_skill_triggers!$1:$1,0)-MATCH($F$1,enemy_skill_triggers!$1:$1,0)+1,FALSE)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208" s="48">
        <f ca="1">VLOOKUP($F208,OFFSET(enemy_skill_triggers!$A$1,0,0,COUNTA(enemy_skill_triggers!$A:$A),MATCH(O$1,enemy_skill_triggers!$1:$1,0)-MATCH($F$1,enemy_skill_triggers!$1:$1,0)+1),MATCH(O$1,enemy_skill_triggers!$1:$1,0)-MATCH($F$1,enemy_skill_triggers!$1:$1,0)+1,FALSE)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8" s="47"/>
      <c r="Q208" s="47"/>
      <c r="R208" s="47"/>
    </row>
    <row r="209" spans="1:18" ht="21" customHeight="1" x14ac:dyDescent="0.15">
      <c r="A209" s="39" t="str">
        <f t="shared" si="13"/>
        <v>47004360_47004364</v>
      </c>
      <c r="B209" s="128">
        <v>47004360</v>
      </c>
      <c r="C209" s="47">
        <v>47004364</v>
      </c>
      <c r="D209" s="46" t="str">
        <f ca="1">VLOOKUP($C209,OFFSET(enemy_skills!$A$1,0,0,COUNTA(enemy_skills!$A:$A),MATCH(D$1,enemy_skills!$1:$1,0)-MATCH("enemy_skill_id",enemy_skills!$1:$1,0)+1),MATCH(D$1,enemy_skills!$1:$1,0)-MATCH("enemy_skill_id",enemy_skills!$1:$1,0)+1,FALSE)</f>
        <v>あら、新入りさん？_x000D_可愛らしいサンタさんね♪</v>
      </c>
      <c r="E209" s="46" t="str">
        <f ca="1">VLOOKUP($C209,OFFSET(enemy_skills!$A$1,0,0,COUNTA(enemy_skills!$A:$A),MATCH(E$1,enemy_skills!$1:$1,0)-MATCH("enemy_skill_id",enemy_skills!$1:$1,0)+1),MATCH(E$1,enemy_skills!$1:$1,0)-MATCH("enemy_skill_id",enemy_skills!$1:$1,0)+1,FALSE)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赤パネルを緑のダメージパネルに3個変換</v>
      </c>
      <c r="F209" s="47">
        <v>47004365</v>
      </c>
      <c r="G209" s="48">
        <f ca="1">VLOOKUP($F209,OFFSET(enemy_skill_triggers!$A$1,0,0,COUNTA(enemy_skill_triggers!$A:$A),MATCH(G$1,enemy_skill_triggers!$1:$1,0)-MATCH($F$1,enemy_skill_triggers!$1:$1,0)+1),MATCH(G$1,enemy_skill_triggers!$1:$1,0)-MATCH($F$1,enemy_skill_triggers!$1:$1,0)+1,FALSE)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9" s="48">
        <f ca="1">VLOOKUP($F209,OFFSET(enemy_skill_triggers!$A$1,0,0,COUNTA(enemy_skill_triggers!$A:$A),MATCH(H$1,enemy_skill_triggers!$1:$1,0)-MATCH($F$1,enemy_skill_triggers!$1:$1,0)+1),MATCH(H$1,enemy_skill_triggers!$1:$1,0)-MATCH($F$1,enemy_skill_triggers!$1:$1,0)+1,FALSE)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209" s="48">
        <f ca="1">VLOOKUP($F209,OFFSET(enemy_skill_triggers!$A$1,0,0,COUNTA(enemy_skill_triggers!$A:$A),MATCH(I$1,enemy_skill_triggers!$1:$1,0)-MATCH($F$1,enemy_skill_triggers!$1:$1,0)+1),MATCH(I$1,enemy_skill_triggers!$1:$1,0)-MATCH($F$1,enemy_skill_triggers!$1:$1,0)+1,FALSE)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9" s="48" t="str">
        <f ca="1">VLOOKUP($F209,OFFSET(enemy_skill_triggers!$A$1,0,0,COUNTA(enemy_skill_triggers!$A:$A),MATCH(J$1,enemy_skill_triggers!$1:$1,0)-MATCH($F$1,enemy_skill_triggers!$1:$1,0)+1),MATCH(J$1,enemy_skill_triggers!$1:$1,0)-MATCH($F$1,enemy_skill_triggers!$1:$1,0)+1,FALSE)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9" s="48" t="str">
        <f ca="1">VLOOKUP($F209,OFFSET(enemy_skill_triggers!$A$1,0,0,COUNTA(enemy_skill_triggers!$A:$A),MATCH(K$1,enemy_skill_triggers!$1:$1,0)-MATCH($F$1,enemy_skill_triggers!$1:$1,0)+1),MATCH(K$1,enemy_skill_triggers!$1:$1,0)-MATCH($F$1,enemy_skill_triggers!$1:$1,0)+1,FALSE)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9" s="48">
        <f ca="1">VLOOKUP($F209,OFFSET(enemy_skill_triggers!$A$1,0,0,COUNTA(enemy_skill_triggers!$A:$A),MATCH(L$1,enemy_skill_triggers!$1:$1,0)-MATCH($F$1,enemy_skill_triggers!$1:$1,0)+1),MATCH(L$1,enemy_skill_triggers!$1:$1,0)-MATCH($F$1,enemy_skill_triggers!$1:$1,0)+1,FALSE)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9" s="48" t="str">
        <f ca="1">VLOOKUP($F209,OFFSET(enemy_skill_triggers!$A$1,0,0,COUNTA(enemy_skill_triggers!$A:$A),MATCH(M$1,enemy_skill_triggers!$1:$1,0)-MATCH($F$1,enemy_skill_triggers!$1:$1,0)+1),MATCH(M$1,enemy_skill_triggers!$1:$1,0)-MATCH($F$1,enemy_skill_triggers!$1:$1,0)+1,FALSE)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9" s="48">
        <f ca="1">VLOOKUP($F209,OFFSET(enemy_skill_triggers!$A$1,0,0,COUNTA(enemy_skill_triggers!$A:$A),MATCH(N$1,enemy_skill_triggers!$1:$1,0)-MATCH($F$1,enemy_skill_triggers!$1:$1,0)+1),MATCH(N$1,enemy_skill_triggers!$1:$1,0)-MATCH($F$1,enemy_skill_triggers!$1:$1,0)+1,FALSE)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209" s="48">
        <f ca="1">VLOOKUP($F209,OFFSET(enemy_skill_triggers!$A$1,0,0,COUNTA(enemy_skill_triggers!$A:$A),MATCH(O$1,enemy_skill_triggers!$1:$1,0)-MATCH($F$1,enemy_skill_triggers!$1:$1,0)+1),MATCH(O$1,enemy_skill_triggers!$1:$1,0)-MATCH($F$1,enemy_skill_triggers!$1:$1,0)+1,FALSE)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9" s="47"/>
      <c r="Q209" s="47"/>
      <c r="R209" s="47"/>
    </row>
    <row r="210" spans="1:18" ht="21" customHeight="1" x14ac:dyDescent="0.15">
      <c r="A210" s="39" t="str">
        <f t="shared" si="13"/>
        <v>47004360_47004365</v>
      </c>
      <c r="B210" s="128">
        <v>47004360</v>
      </c>
      <c r="C210" s="47">
        <v>47004365</v>
      </c>
      <c r="D210" s="46" t="str">
        <f ca="1">VLOOKUP($C210,OFFSET(enemy_skills!$A$1,0,0,COUNTA(enemy_skills!$A:$A),MATCH(D$1,enemy_skills!$1:$1,0)-MATCH("enemy_skill_id",enemy_skills!$1:$1,0)+1),MATCH(D$1,enemy_skills!$1:$1,0)-MATCH("enemy_skill_id",enemy_skills!$1:$1,0)+1,FALSE)</f>
        <v>今年も聖夜を祝福しているのね！_x000D_ふふっ私もやる気が湧いてきたわ！</v>
      </c>
      <c r="E210" s="46" t="str">
        <f ca="1">VLOOKUP($C210,OFFSET(enemy_skills!$A$1,0,0,COUNTA(enemy_skills!$A:$A),MATCH(E$1,enemy_skills!$1:$1,0)-MATCH("enemy_skill_id",enemy_skills!$1:$1,0)+1),MATCH(E$1,enemy_skills!$1:$1,0)-MATCH("enemy_skill_id",enemy_skills!$1:$1,0)+1,FALSE)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赤パネルを緑のダメージパネルに3個変換</v>
      </c>
      <c r="F210" s="47">
        <v>47004366</v>
      </c>
      <c r="G210" s="48">
        <f ca="1">VLOOKUP($F210,OFFSET(enemy_skill_triggers!$A$1,0,0,COUNTA(enemy_skill_triggers!$A:$A),MATCH(G$1,enemy_skill_triggers!$1:$1,0)-MATCH($F$1,enemy_skill_triggers!$1:$1,0)+1),MATCH(G$1,enemy_skill_triggers!$1:$1,0)-MATCH($F$1,enemy_skill_triggers!$1:$1,0)+1,FALSE)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0" s="48">
        <f ca="1">VLOOKUP($F210,OFFSET(enemy_skill_triggers!$A$1,0,0,COUNTA(enemy_skill_triggers!$A:$A),MATCH(H$1,enemy_skill_triggers!$1:$1,0)-MATCH($F$1,enemy_skill_triggers!$1:$1,0)+1),MATCH(H$1,enemy_skill_triggers!$1:$1,0)-MATCH($F$1,enemy_skill_triggers!$1:$1,0)+1,FALSE)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210" s="48">
        <f ca="1">VLOOKUP($F210,OFFSET(enemy_skill_triggers!$A$1,0,0,COUNTA(enemy_skill_triggers!$A:$A),MATCH(I$1,enemy_skill_triggers!$1:$1,0)-MATCH($F$1,enemy_skill_triggers!$1:$1,0)+1),MATCH(I$1,enemy_skill_triggers!$1:$1,0)-MATCH($F$1,enemy_skill_triggers!$1:$1,0)+1,FALSE)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0" s="48" t="str">
        <f ca="1">VLOOKUP($F210,OFFSET(enemy_skill_triggers!$A$1,0,0,COUNTA(enemy_skill_triggers!$A:$A),MATCH(J$1,enemy_skill_triggers!$1:$1,0)-MATCH($F$1,enemy_skill_triggers!$1:$1,0)+1),MATCH(J$1,enemy_skill_triggers!$1:$1,0)-MATCH($F$1,enemy_skill_triggers!$1:$1,0)+1,FALSE)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0" s="48" t="str">
        <f ca="1">VLOOKUP($F210,OFFSET(enemy_skill_triggers!$A$1,0,0,COUNTA(enemy_skill_triggers!$A:$A),MATCH(K$1,enemy_skill_triggers!$1:$1,0)-MATCH($F$1,enemy_skill_triggers!$1:$1,0)+1),MATCH(K$1,enemy_skill_triggers!$1:$1,0)-MATCH($F$1,enemy_skill_triggers!$1:$1,0)+1,FALSE)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0" s="48">
        <f ca="1">VLOOKUP($F210,OFFSET(enemy_skill_triggers!$A$1,0,0,COUNTA(enemy_skill_triggers!$A:$A),MATCH(L$1,enemy_skill_triggers!$1:$1,0)-MATCH($F$1,enemy_skill_triggers!$1:$1,0)+1),MATCH(L$1,enemy_skill_triggers!$1:$1,0)-MATCH($F$1,enemy_skill_triggers!$1:$1,0)+1,FALSE)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0" s="48" t="str">
        <f ca="1">VLOOKUP($F210,OFFSET(enemy_skill_triggers!$A$1,0,0,COUNTA(enemy_skill_triggers!$A:$A),MATCH(M$1,enemy_skill_triggers!$1:$1,0)-MATCH($F$1,enemy_skill_triggers!$1:$1,0)+1),MATCH(M$1,enemy_skill_triggers!$1:$1,0)-MATCH($F$1,enemy_skill_triggers!$1:$1,0)+1,FALSE)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0" s="48">
        <f ca="1">VLOOKUP($F210,OFFSET(enemy_skill_triggers!$A$1,0,0,COUNTA(enemy_skill_triggers!$A:$A),MATCH(N$1,enemy_skill_triggers!$1:$1,0)-MATCH($F$1,enemy_skill_triggers!$1:$1,0)+1),MATCH(N$1,enemy_skill_triggers!$1:$1,0)-MATCH($F$1,enemy_skill_triggers!$1:$1,0)+1,FALSE)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210" s="48">
        <f ca="1">VLOOKUP($F210,OFFSET(enemy_skill_triggers!$A$1,0,0,COUNTA(enemy_skill_triggers!$A:$A),MATCH(O$1,enemy_skill_triggers!$1:$1,0)-MATCH($F$1,enemy_skill_triggers!$1:$1,0)+1),MATCH(O$1,enemy_skill_triggers!$1:$1,0)-MATCH($F$1,enemy_skill_triggers!$1:$1,0)+1,FALSE)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0" s="47"/>
      <c r="Q210" s="47"/>
      <c r="R210" s="47"/>
    </row>
    <row r="211" spans="1:18" ht="21" customHeight="1" x14ac:dyDescent="0.15">
      <c r="A211" s="39" t="str">
        <f t="shared" si="13"/>
        <v>47004360_47004365</v>
      </c>
      <c r="B211" s="128">
        <v>47004360</v>
      </c>
      <c r="C211" s="47">
        <v>47004365</v>
      </c>
      <c r="D211" s="46" t="str">
        <f ca="1">VLOOKUP($C211,OFFSET(enemy_skills!$A$1,0,0,COUNTA(enemy_skills!$A:$A),MATCH(D$1,enemy_skills!$1:$1,0)-MATCH("enemy_skill_id",enemy_skills!$1:$1,0)+1),MATCH(D$1,enemy_skills!$1:$1,0)-MATCH("enemy_skill_id",enemy_skills!$1:$1,0)+1,FALSE)</f>
        <v>今年も聖夜を祝福しているのね！_x000D_ふふっ私もやる気が湧いてきたわ！</v>
      </c>
      <c r="E211" s="46" t="str">
        <f ca="1">VLOOKUP($C211,OFFSET(enemy_skills!$A$1,0,0,COUNTA(enemy_skills!$A:$A),MATCH(E$1,enemy_skills!$1:$1,0)-MATCH("enemy_skill_id",enemy_skills!$1:$1,0)+1),MATCH(E$1,enemy_skills!$1:$1,0)-MATCH("enemy_skill_id",enemy_skills!$1:$1,0)+1,FALSE)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赤パネルを緑のダメージパネルに3個変換</v>
      </c>
      <c r="F211" s="47">
        <v>47004367</v>
      </c>
      <c r="G211" s="48">
        <f ca="1">VLOOKUP($F211,OFFSET(enemy_skill_triggers!$A$1,0,0,COUNTA(enemy_skill_triggers!$A:$A),MATCH(G$1,enemy_skill_triggers!$1:$1,0)-MATCH($F$1,enemy_skill_triggers!$1:$1,0)+1),MATCH(G$1,enemy_skill_triggers!$1:$1,0)-MATCH($F$1,enemy_skill_triggers!$1:$1,0)+1,FALSE)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1" s="48">
        <f ca="1">VLOOKUP($F211,OFFSET(enemy_skill_triggers!$A$1,0,0,COUNTA(enemy_skill_triggers!$A:$A),MATCH(H$1,enemy_skill_triggers!$1:$1,0)-MATCH($F$1,enemy_skill_triggers!$1:$1,0)+1),MATCH(H$1,enemy_skill_triggers!$1:$1,0)-MATCH($F$1,enemy_skill_triggers!$1:$1,0)+1,FALSE)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211" s="48">
        <f ca="1">VLOOKUP($F211,OFFSET(enemy_skill_triggers!$A$1,0,0,COUNTA(enemy_skill_triggers!$A:$A),MATCH(I$1,enemy_skill_triggers!$1:$1,0)-MATCH($F$1,enemy_skill_triggers!$1:$1,0)+1),MATCH(I$1,enemy_skill_triggers!$1:$1,0)-MATCH($F$1,enemy_skill_triggers!$1:$1,0)+1,FALSE)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1" s="48" t="str">
        <f ca="1">VLOOKUP($F211,OFFSET(enemy_skill_triggers!$A$1,0,0,COUNTA(enemy_skill_triggers!$A:$A),MATCH(J$1,enemy_skill_triggers!$1:$1,0)-MATCH($F$1,enemy_skill_triggers!$1:$1,0)+1),MATCH(J$1,enemy_skill_triggers!$1:$1,0)-MATCH($F$1,enemy_skill_triggers!$1:$1,0)+1,FALSE)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1" s="48" t="str">
        <f ca="1">VLOOKUP($F211,OFFSET(enemy_skill_triggers!$A$1,0,0,COUNTA(enemy_skill_triggers!$A:$A),MATCH(K$1,enemy_skill_triggers!$1:$1,0)-MATCH($F$1,enemy_skill_triggers!$1:$1,0)+1),MATCH(K$1,enemy_skill_triggers!$1:$1,0)-MATCH($F$1,enemy_skill_triggers!$1:$1,0)+1,FALSE)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1" s="48">
        <f ca="1">VLOOKUP($F211,OFFSET(enemy_skill_triggers!$A$1,0,0,COUNTA(enemy_skill_triggers!$A:$A),MATCH(L$1,enemy_skill_triggers!$1:$1,0)-MATCH($F$1,enemy_skill_triggers!$1:$1,0)+1),MATCH(L$1,enemy_skill_triggers!$1:$1,0)-MATCH($F$1,enemy_skill_triggers!$1:$1,0)+1,FALSE)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1" s="48" t="str">
        <f ca="1">VLOOKUP($F211,OFFSET(enemy_skill_triggers!$A$1,0,0,COUNTA(enemy_skill_triggers!$A:$A),MATCH(M$1,enemy_skill_triggers!$1:$1,0)-MATCH($F$1,enemy_skill_triggers!$1:$1,0)+1),MATCH(M$1,enemy_skill_triggers!$1:$1,0)-MATCH($F$1,enemy_skill_triggers!$1:$1,0)+1,FALSE)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1" s="48">
        <f ca="1">VLOOKUP($F211,OFFSET(enemy_skill_triggers!$A$1,0,0,COUNTA(enemy_skill_triggers!$A:$A),MATCH(N$1,enemy_skill_triggers!$1:$1,0)-MATCH($F$1,enemy_skill_triggers!$1:$1,0)+1),MATCH(N$1,enemy_skill_triggers!$1:$1,0)-MATCH($F$1,enemy_skill_triggers!$1:$1,0)+1,FALSE)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211" s="48">
        <f ca="1">VLOOKUP($F211,OFFSET(enemy_skill_triggers!$A$1,0,0,COUNTA(enemy_skill_triggers!$A:$A),MATCH(O$1,enemy_skill_triggers!$1:$1,0)-MATCH($F$1,enemy_skill_triggers!$1:$1,0)+1),MATCH(O$1,enemy_skill_triggers!$1:$1,0)-MATCH($F$1,enemy_skill_triggers!$1:$1,0)+1,FALSE)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1" s="47"/>
      <c r="Q211" s="47"/>
      <c r="R211" s="47"/>
    </row>
    <row r="212" spans="1:18" ht="21" customHeight="1" x14ac:dyDescent="0.15">
      <c r="A212" s="39" t="str">
        <f t="shared" si="13"/>
        <v>47004360_47004365</v>
      </c>
      <c r="B212" s="128">
        <v>47004360</v>
      </c>
      <c r="C212" s="47">
        <v>47004365</v>
      </c>
      <c r="D212" s="46" t="str">
        <f ca="1">VLOOKUP($C212,OFFSET(enemy_skills!$A$1,0,0,COUNTA(enemy_skills!$A:$A),MATCH(D$1,enemy_skills!$1:$1,0)-MATCH("enemy_skill_id",enemy_skills!$1:$1,0)+1),MATCH(D$1,enemy_skills!$1:$1,0)-MATCH("enemy_skill_id",enemy_skills!$1:$1,0)+1,FALSE)</f>
        <v>今年も聖夜を祝福しているのね！_x000D_ふふっ私もやる気が湧いてきたわ！</v>
      </c>
      <c r="E212" s="46" t="str">
        <f ca="1">VLOOKUP($C212,OFFSET(enemy_skills!$A$1,0,0,COUNTA(enemy_skills!$A:$A),MATCH(E$1,enemy_skills!$1:$1,0)-MATCH("enemy_skill_id",enemy_skills!$1:$1,0)+1),MATCH(E$1,enemy_skills!$1:$1,0)-MATCH("enemy_skill_id",enemy_skills!$1:$1,0)+1,FALSE)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赤パネルを緑のダメージパネルに3個変換</v>
      </c>
      <c r="F212" s="47">
        <v>47004368</v>
      </c>
      <c r="G212" s="48">
        <f ca="1">VLOOKUP($F212,OFFSET(enemy_skill_triggers!$A$1,0,0,COUNTA(enemy_skill_triggers!$A:$A),MATCH(G$1,enemy_skill_triggers!$1:$1,0)-MATCH($F$1,enemy_skill_triggers!$1:$1,0)+1),MATCH(G$1,enemy_skill_triggers!$1:$1,0)-MATCH($F$1,enemy_skill_triggers!$1:$1,0)+1,FALSE)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2" s="48">
        <f ca="1">VLOOKUP($F212,OFFSET(enemy_skill_triggers!$A$1,0,0,COUNTA(enemy_skill_triggers!$A:$A),MATCH(H$1,enemy_skill_triggers!$1:$1,0)-MATCH($F$1,enemy_skill_triggers!$1:$1,0)+1),MATCH(H$1,enemy_skill_triggers!$1:$1,0)-MATCH($F$1,enemy_skill_triggers!$1:$1,0)+1,FALSE)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212" s="48">
        <f ca="1">VLOOKUP($F212,OFFSET(enemy_skill_triggers!$A$1,0,0,COUNTA(enemy_skill_triggers!$A:$A),MATCH(I$1,enemy_skill_triggers!$1:$1,0)-MATCH($F$1,enemy_skill_triggers!$1:$1,0)+1),MATCH(I$1,enemy_skill_triggers!$1:$1,0)-MATCH($F$1,enemy_skill_triggers!$1:$1,0)+1,FALSE)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2" s="48" t="str">
        <f ca="1">VLOOKUP($F212,OFFSET(enemy_skill_triggers!$A$1,0,0,COUNTA(enemy_skill_triggers!$A:$A),MATCH(J$1,enemy_skill_triggers!$1:$1,0)-MATCH($F$1,enemy_skill_triggers!$1:$1,0)+1),MATCH(J$1,enemy_skill_triggers!$1:$1,0)-MATCH($F$1,enemy_skill_triggers!$1:$1,0)+1,FALSE)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2" s="48" t="str">
        <f ca="1">VLOOKUP($F212,OFFSET(enemy_skill_triggers!$A$1,0,0,COUNTA(enemy_skill_triggers!$A:$A),MATCH(K$1,enemy_skill_triggers!$1:$1,0)-MATCH($F$1,enemy_skill_triggers!$1:$1,0)+1),MATCH(K$1,enemy_skill_triggers!$1:$1,0)-MATCH($F$1,enemy_skill_triggers!$1:$1,0)+1,FALSE)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2" s="48">
        <f ca="1">VLOOKUP($F212,OFFSET(enemy_skill_triggers!$A$1,0,0,COUNTA(enemy_skill_triggers!$A:$A),MATCH(L$1,enemy_skill_triggers!$1:$1,0)-MATCH($F$1,enemy_skill_triggers!$1:$1,0)+1),MATCH(L$1,enemy_skill_triggers!$1:$1,0)-MATCH($F$1,enemy_skill_triggers!$1:$1,0)+1,FALSE)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2" s="48" t="str">
        <f ca="1">VLOOKUP($F212,OFFSET(enemy_skill_triggers!$A$1,0,0,COUNTA(enemy_skill_triggers!$A:$A),MATCH(M$1,enemy_skill_triggers!$1:$1,0)-MATCH($F$1,enemy_skill_triggers!$1:$1,0)+1),MATCH(M$1,enemy_skill_triggers!$1:$1,0)-MATCH($F$1,enemy_skill_triggers!$1:$1,0)+1,FALSE)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2" s="48">
        <f ca="1">VLOOKUP($F212,OFFSET(enemy_skill_triggers!$A$1,0,0,COUNTA(enemy_skill_triggers!$A:$A),MATCH(N$1,enemy_skill_triggers!$1:$1,0)-MATCH($F$1,enemy_skill_triggers!$1:$1,0)+1),MATCH(N$1,enemy_skill_triggers!$1:$1,0)-MATCH($F$1,enemy_skill_triggers!$1:$1,0)+1,FALSE)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212" s="48">
        <f ca="1">VLOOKUP($F212,OFFSET(enemy_skill_triggers!$A$1,0,0,COUNTA(enemy_skill_triggers!$A:$A),MATCH(O$1,enemy_skill_triggers!$1:$1,0)-MATCH($F$1,enemy_skill_triggers!$1:$1,0)+1),MATCH(O$1,enemy_skill_triggers!$1:$1,0)-MATCH($F$1,enemy_skill_triggers!$1:$1,0)+1,FALSE)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2" s="47"/>
      <c r="Q212" s="47"/>
      <c r="R212" s="47"/>
    </row>
    <row r="213" spans="1:18" ht="21" customHeight="1" x14ac:dyDescent="0.15">
      <c r="A213" s="39" t="str">
        <f t="shared" si="13"/>
        <v>47004360_47004366</v>
      </c>
      <c r="B213" s="128">
        <v>47004360</v>
      </c>
      <c r="C213" s="47">
        <v>47004366</v>
      </c>
      <c r="D213" s="46" t="str">
        <f ca="1">VLOOKUP($C213,OFFSET(enemy_skills!$A$1,0,0,COUNTA(enemy_skills!$A:$A),MATCH(D$1,enemy_skills!$1:$1,0)-MATCH("enemy_skill_id",enemy_skills!$1:$1,0)+1),MATCH(D$1,enemy_skills!$1:$1,0)-MATCH("enemy_skill_id",enemy_skills!$1:$1,0)+1,FALSE)</f>
        <v>快活なサンタさんね！_x000D_さぁ一緒に頑張りましょ！</v>
      </c>
      <c r="E213" s="46" t="str">
        <f ca="1">VLOOKUP($C213,OFFSET(enemy_skills!$A$1,0,0,COUNTA(enemy_skills!$A:$A),MATCH(E$1,enemy_skills!$1:$1,0)-MATCH("enemy_skill_id",enemy_skills!$1:$1,0)+1),MATCH(E$1,enemy_skills!$1:$1,0)-MATCH("enemy_skill_id",enemy_skills!$1:$1,0)+1,FALSE)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赤パネルを緑のダメージパネルに3個変換</v>
      </c>
      <c r="F213" s="47">
        <v>47004369</v>
      </c>
      <c r="G213" s="48">
        <f ca="1">VLOOKUP($F213,OFFSET(enemy_skill_triggers!$A$1,0,0,COUNTA(enemy_skill_triggers!$A:$A),MATCH(G$1,enemy_skill_triggers!$1:$1,0)-MATCH($F$1,enemy_skill_triggers!$1:$1,0)+1),MATCH(G$1,enemy_skill_triggers!$1:$1,0)-MATCH($F$1,enemy_skill_triggers!$1:$1,0)+1,FALSE)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3" s="48">
        <f ca="1">VLOOKUP($F213,OFFSET(enemy_skill_triggers!$A$1,0,0,COUNTA(enemy_skill_triggers!$A:$A),MATCH(H$1,enemy_skill_triggers!$1:$1,0)-MATCH($F$1,enemy_skill_triggers!$1:$1,0)+1),MATCH(H$1,enemy_skill_triggers!$1:$1,0)-MATCH($F$1,enemy_skill_triggers!$1:$1,0)+1,FALSE)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213" s="48">
        <f ca="1">VLOOKUP($F213,OFFSET(enemy_skill_triggers!$A$1,0,0,COUNTA(enemy_skill_triggers!$A:$A),MATCH(I$1,enemy_skill_triggers!$1:$1,0)-MATCH($F$1,enemy_skill_triggers!$1:$1,0)+1),MATCH(I$1,enemy_skill_triggers!$1:$1,0)-MATCH($F$1,enemy_skill_triggers!$1:$1,0)+1,FALSE)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3" s="48" t="str">
        <f ca="1">VLOOKUP($F213,OFFSET(enemy_skill_triggers!$A$1,0,0,COUNTA(enemy_skill_triggers!$A:$A),MATCH(J$1,enemy_skill_triggers!$1:$1,0)-MATCH($F$1,enemy_skill_triggers!$1:$1,0)+1),MATCH(J$1,enemy_skill_triggers!$1:$1,0)-MATCH($F$1,enemy_skill_triggers!$1:$1,0)+1,FALSE)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3" s="48" t="str">
        <f ca="1">VLOOKUP($F213,OFFSET(enemy_skill_triggers!$A$1,0,0,COUNTA(enemy_skill_triggers!$A:$A),MATCH(K$1,enemy_skill_triggers!$1:$1,0)-MATCH($F$1,enemy_skill_triggers!$1:$1,0)+1),MATCH(K$1,enemy_skill_triggers!$1:$1,0)-MATCH($F$1,enemy_skill_triggers!$1:$1,0)+1,FALSE)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3" s="48">
        <f ca="1">VLOOKUP($F213,OFFSET(enemy_skill_triggers!$A$1,0,0,COUNTA(enemy_skill_triggers!$A:$A),MATCH(L$1,enemy_skill_triggers!$1:$1,0)-MATCH($F$1,enemy_skill_triggers!$1:$1,0)+1),MATCH(L$1,enemy_skill_triggers!$1:$1,0)-MATCH($F$1,enemy_skill_triggers!$1:$1,0)+1,FALSE)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3" s="48" t="str">
        <f ca="1">VLOOKUP($F213,OFFSET(enemy_skill_triggers!$A$1,0,0,COUNTA(enemy_skill_triggers!$A:$A),MATCH(M$1,enemy_skill_triggers!$1:$1,0)-MATCH($F$1,enemy_skill_triggers!$1:$1,0)+1),MATCH(M$1,enemy_skill_triggers!$1:$1,0)-MATCH($F$1,enemy_skill_triggers!$1:$1,0)+1,FALSE)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3" s="48">
        <f ca="1">VLOOKUP($F213,OFFSET(enemy_skill_triggers!$A$1,0,0,COUNTA(enemy_skill_triggers!$A:$A),MATCH(N$1,enemy_skill_triggers!$1:$1,0)-MATCH($F$1,enemy_skill_triggers!$1:$1,0)+1),MATCH(N$1,enemy_skill_triggers!$1:$1,0)-MATCH($F$1,enemy_skill_triggers!$1:$1,0)+1,FALSE)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213" s="48">
        <f ca="1">VLOOKUP($F213,OFFSET(enemy_skill_triggers!$A$1,0,0,COUNTA(enemy_skill_triggers!$A:$A),MATCH(O$1,enemy_skill_triggers!$1:$1,0)-MATCH($F$1,enemy_skill_triggers!$1:$1,0)+1),MATCH(O$1,enemy_skill_triggers!$1:$1,0)-MATCH($F$1,enemy_skill_triggers!$1:$1,0)+1,FALSE)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3" s="47"/>
      <c r="Q213" s="47"/>
      <c r="R213" s="47"/>
    </row>
    <row r="214" spans="1:18" ht="21" customHeight="1" x14ac:dyDescent="0.15">
      <c r="A214" s="39" t="str">
        <f t="shared" si="13"/>
        <v>47004360_47004366</v>
      </c>
      <c r="B214" s="128">
        <v>47004360</v>
      </c>
      <c r="C214" s="47">
        <v>47004366</v>
      </c>
      <c r="D214" s="46" t="str">
        <f ca="1">VLOOKUP($C214,OFFSET(enemy_skills!$A$1,0,0,COUNTA(enemy_skills!$A:$A),MATCH(D$1,enemy_skills!$1:$1,0)-MATCH("enemy_skill_id",enemy_skills!$1:$1,0)+1),MATCH(D$1,enemy_skills!$1:$1,0)-MATCH("enemy_skill_id",enemy_skills!$1:$1,0)+1,FALSE)</f>
        <v>快活なサンタさんね！_x000D_さぁ一緒に頑張りましょ！</v>
      </c>
      <c r="E214" s="46" t="str">
        <f ca="1">VLOOKUP($C214,OFFSET(enemy_skills!$A$1,0,0,COUNTA(enemy_skills!$A:$A),MATCH(E$1,enemy_skills!$1:$1,0)-MATCH("enemy_skill_id",enemy_skills!$1:$1,0)+1),MATCH(E$1,enemy_skills!$1:$1,0)-MATCH("enemy_skill_id",enemy_skills!$1:$1,0)+1,FALSE)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赤パネルを緑のダメージパネルに3個変換</v>
      </c>
      <c r="F214" s="47">
        <v>47004370</v>
      </c>
      <c r="G214" s="48">
        <f ca="1">VLOOKUP($F214,OFFSET(enemy_skill_triggers!$A$1,0,0,COUNTA(enemy_skill_triggers!$A:$A),MATCH(G$1,enemy_skill_triggers!$1:$1,0)-MATCH($F$1,enemy_skill_triggers!$1:$1,0)+1),MATCH(G$1,enemy_skill_triggers!$1:$1,0)-MATCH($F$1,enemy_skill_triggers!$1:$1,0)+1,FALSE)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4" s="48">
        <f ca="1">VLOOKUP($F214,OFFSET(enemy_skill_triggers!$A$1,0,0,COUNTA(enemy_skill_triggers!$A:$A),MATCH(H$1,enemy_skill_triggers!$1:$1,0)-MATCH($F$1,enemy_skill_triggers!$1:$1,0)+1),MATCH(H$1,enemy_skill_triggers!$1:$1,0)-MATCH($F$1,enemy_skill_triggers!$1:$1,0)+1,FALSE)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214" s="48">
        <f ca="1">VLOOKUP($F214,OFFSET(enemy_skill_triggers!$A$1,0,0,COUNTA(enemy_skill_triggers!$A:$A),MATCH(I$1,enemy_skill_triggers!$1:$1,0)-MATCH($F$1,enemy_skill_triggers!$1:$1,0)+1),MATCH(I$1,enemy_skill_triggers!$1:$1,0)-MATCH($F$1,enemy_skill_triggers!$1:$1,0)+1,FALSE)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4" s="48" t="str">
        <f ca="1">VLOOKUP($F214,OFFSET(enemy_skill_triggers!$A$1,0,0,COUNTA(enemy_skill_triggers!$A:$A),MATCH(J$1,enemy_skill_triggers!$1:$1,0)-MATCH($F$1,enemy_skill_triggers!$1:$1,0)+1),MATCH(J$1,enemy_skill_triggers!$1:$1,0)-MATCH($F$1,enemy_skill_triggers!$1:$1,0)+1,FALSE)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4" s="48" t="str">
        <f ca="1">VLOOKUP($F214,OFFSET(enemy_skill_triggers!$A$1,0,0,COUNTA(enemy_skill_triggers!$A:$A),MATCH(K$1,enemy_skill_triggers!$1:$1,0)-MATCH($F$1,enemy_skill_triggers!$1:$1,0)+1),MATCH(K$1,enemy_skill_triggers!$1:$1,0)-MATCH($F$1,enemy_skill_triggers!$1:$1,0)+1,FALSE)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4" s="48">
        <f ca="1">VLOOKUP($F214,OFFSET(enemy_skill_triggers!$A$1,0,0,COUNTA(enemy_skill_triggers!$A:$A),MATCH(L$1,enemy_skill_triggers!$1:$1,0)-MATCH($F$1,enemy_skill_triggers!$1:$1,0)+1),MATCH(L$1,enemy_skill_triggers!$1:$1,0)-MATCH($F$1,enemy_skill_triggers!$1:$1,0)+1,FALSE)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4" s="48" t="str">
        <f ca="1">VLOOKUP($F214,OFFSET(enemy_skill_triggers!$A$1,0,0,COUNTA(enemy_skill_triggers!$A:$A),MATCH(M$1,enemy_skill_triggers!$1:$1,0)-MATCH($F$1,enemy_skill_triggers!$1:$1,0)+1),MATCH(M$1,enemy_skill_triggers!$1:$1,0)-MATCH($F$1,enemy_skill_triggers!$1:$1,0)+1,FALSE)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4" s="48">
        <f ca="1">VLOOKUP($F214,OFFSET(enemy_skill_triggers!$A$1,0,0,COUNTA(enemy_skill_triggers!$A:$A),MATCH(N$1,enemy_skill_triggers!$1:$1,0)-MATCH($F$1,enemy_skill_triggers!$1:$1,0)+1),MATCH(N$1,enemy_skill_triggers!$1:$1,0)-MATCH($F$1,enemy_skill_triggers!$1:$1,0)+1,FALSE)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214" s="48">
        <f ca="1">VLOOKUP($F214,OFFSET(enemy_skill_triggers!$A$1,0,0,COUNTA(enemy_skill_triggers!$A:$A),MATCH(O$1,enemy_skill_triggers!$1:$1,0)-MATCH($F$1,enemy_skill_triggers!$1:$1,0)+1),MATCH(O$1,enemy_skill_triggers!$1:$1,0)-MATCH($F$1,enemy_skill_triggers!$1:$1,0)+1,FALSE)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4" s="47"/>
      <c r="Q214" s="47"/>
      <c r="R214" s="47"/>
    </row>
    <row r="215" spans="1:18" ht="21" customHeight="1" x14ac:dyDescent="0.15">
      <c r="A215" s="39" t="str">
        <f t="shared" si="13"/>
        <v>47004360_47004366</v>
      </c>
      <c r="B215" s="128">
        <v>47004360</v>
      </c>
      <c r="C215" s="47">
        <v>47004366</v>
      </c>
      <c r="D215" s="46" t="str">
        <f ca="1">VLOOKUP($C215,OFFSET(enemy_skills!$A$1,0,0,COUNTA(enemy_skills!$A:$A),MATCH(D$1,enemy_skills!$1:$1,0)-MATCH("enemy_skill_id",enemy_skills!$1:$1,0)+1),MATCH(D$1,enemy_skills!$1:$1,0)-MATCH("enemy_skill_id",enemy_skills!$1:$1,0)+1,FALSE)</f>
        <v>快活なサンタさんね！_x000D_さぁ一緒に頑張りましょ！</v>
      </c>
      <c r="E215" s="46" t="str">
        <f ca="1">VLOOKUP($C215,OFFSET(enemy_skills!$A$1,0,0,COUNTA(enemy_skills!$A:$A),MATCH(E$1,enemy_skills!$1:$1,0)-MATCH("enemy_skill_id",enemy_skills!$1:$1,0)+1),MATCH(E$1,enemy_skills!$1:$1,0)-MATCH("enemy_skill_id",enemy_skills!$1:$1,0)+1,FALSE)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赤パネルを緑のダメージパネルに3個変換</v>
      </c>
      <c r="F215" s="47">
        <v>47004371</v>
      </c>
      <c r="G215" s="48">
        <f ca="1">VLOOKUP($F215,OFFSET(enemy_skill_triggers!$A$1,0,0,COUNTA(enemy_skill_triggers!$A:$A),MATCH(G$1,enemy_skill_triggers!$1:$1,0)-MATCH($F$1,enemy_skill_triggers!$1:$1,0)+1),MATCH(G$1,enemy_skill_triggers!$1:$1,0)-MATCH($F$1,enemy_skill_triggers!$1:$1,0)+1,FALSE)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5" s="48">
        <f ca="1">VLOOKUP($F215,OFFSET(enemy_skill_triggers!$A$1,0,0,COUNTA(enemy_skill_triggers!$A:$A),MATCH(H$1,enemy_skill_triggers!$1:$1,0)-MATCH($F$1,enemy_skill_triggers!$1:$1,0)+1),MATCH(H$1,enemy_skill_triggers!$1:$1,0)-MATCH($F$1,enemy_skill_triggers!$1:$1,0)+1,FALSE)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215" s="48">
        <f ca="1">VLOOKUP($F215,OFFSET(enemy_skill_triggers!$A$1,0,0,COUNTA(enemy_skill_triggers!$A:$A),MATCH(I$1,enemy_skill_triggers!$1:$1,0)-MATCH($F$1,enemy_skill_triggers!$1:$1,0)+1),MATCH(I$1,enemy_skill_triggers!$1:$1,0)-MATCH($F$1,enemy_skill_triggers!$1:$1,0)+1,FALSE)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5" s="48" t="str">
        <f ca="1">VLOOKUP($F215,OFFSET(enemy_skill_triggers!$A$1,0,0,COUNTA(enemy_skill_triggers!$A:$A),MATCH(J$1,enemy_skill_triggers!$1:$1,0)-MATCH($F$1,enemy_skill_triggers!$1:$1,0)+1),MATCH(J$1,enemy_skill_triggers!$1:$1,0)-MATCH($F$1,enemy_skill_triggers!$1:$1,0)+1,FALSE)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5" s="48" t="str">
        <f ca="1">VLOOKUP($F215,OFFSET(enemy_skill_triggers!$A$1,0,0,COUNTA(enemy_skill_triggers!$A:$A),MATCH(K$1,enemy_skill_triggers!$1:$1,0)-MATCH($F$1,enemy_skill_triggers!$1:$1,0)+1),MATCH(K$1,enemy_skill_triggers!$1:$1,0)-MATCH($F$1,enemy_skill_triggers!$1:$1,0)+1,FALSE)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5" s="48">
        <f ca="1">VLOOKUP($F215,OFFSET(enemy_skill_triggers!$A$1,0,0,COUNTA(enemy_skill_triggers!$A:$A),MATCH(L$1,enemy_skill_triggers!$1:$1,0)-MATCH($F$1,enemy_skill_triggers!$1:$1,0)+1),MATCH(L$1,enemy_skill_triggers!$1:$1,0)-MATCH($F$1,enemy_skill_triggers!$1:$1,0)+1,FALSE)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5" s="48" t="str">
        <f ca="1">VLOOKUP($F215,OFFSET(enemy_skill_triggers!$A$1,0,0,COUNTA(enemy_skill_triggers!$A:$A),MATCH(M$1,enemy_skill_triggers!$1:$1,0)-MATCH($F$1,enemy_skill_triggers!$1:$1,0)+1),MATCH(M$1,enemy_skill_triggers!$1:$1,0)-MATCH($F$1,enemy_skill_triggers!$1:$1,0)+1,FALSE)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5" s="48">
        <f ca="1">VLOOKUP($F215,OFFSET(enemy_skill_triggers!$A$1,0,0,COUNTA(enemy_skill_triggers!$A:$A),MATCH(N$1,enemy_skill_triggers!$1:$1,0)-MATCH($F$1,enemy_skill_triggers!$1:$1,0)+1),MATCH(N$1,enemy_skill_triggers!$1:$1,0)-MATCH($F$1,enemy_skill_triggers!$1:$1,0)+1,FALSE)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215" s="48">
        <f ca="1">VLOOKUP($F215,OFFSET(enemy_skill_triggers!$A$1,0,0,COUNTA(enemy_skill_triggers!$A:$A),MATCH(O$1,enemy_skill_triggers!$1:$1,0)-MATCH($F$1,enemy_skill_triggers!$1:$1,0)+1),MATCH(O$1,enemy_skill_triggers!$1:$1,0)-MATCH($F$1,enemy_skill_triggers!$1:$1,0)+1,FALSE)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5" s="47"/>
      <c r="Q215" s="47"/>
      <c r="R215" s="47"/>
    </row>
    <row r="216" spans="1:18" ht="21" customHeight="1" x14ac:dyDescent="0.15">
      <c r="A216" s="39" t="str">
        <f t="shared" si="13"/>
        <v>47004360_47004367</v>
      </c>
      <c r="B216" s="128">
        <v>47004360</v>
      </c>
      <c r="C216" s="47">
        <v>47004367</v>
      </c>
      <c r="D216" s="46" t="str">
        <f ca="1">VLOOKUP($C216,OFFSET(enemy_skills!$A$1,0,0,COUNTA(enemy_skills!$A:$A),MATCH(D$1,enemy_skills!$1:$1,0)-MATCH("enemy_skill_id",enemy_skills!$1:$1,0)+1),MATCH(D$1,enemy_skills!$1:$1,0)-MATCH("enemy_skill_id",enemy_skills!$1:$1,0)+1,FALSE)</f>
        <v>え？プロメテウスにも見せてやりたい？_x000D_も、もう！やめてよね！</v>
      </c>
      <c r="E216" s="46" t="str">
        <f ca="1">VLOOKUP($C216,OFFSET(enemy_skills!$A$1,0,0,COUNTA(enemy_skills!$A:$A),MATCH(E$1,enemy_skills!$1:$1,0)-MATCH("enemy_skill_id",enemy_skills!$1:$1,0)+1),MATCH(E$1,enemy_skills!$1:$1,0)-MATCH("enemy_skill_id",enemy_skills!$1:$1,0)+1,FALSE)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赤パネルを緑のダメージパネルに3個変換</v>
      </c>
      <c r="F216" s="47">
        <v>47004372</v>
      </c>
      <c r="G216" s="48">
        <f ca="1">VLOOKUP($F216,OFFSET(enemy_skill_triggers!$A$1,0,0,COUNTA(enemy_skill_triggers!$A:$A),MATCH(G$1,enemy_skill_triggers!$1:$1,0)-MATCH($F$1,enemy_skill_triggers!$1:$1,0)+1),MATCH(G$1,enemy_skill_triggers!$1:$1,0)-MATCH($F$1,enemy_skill_triggers!$1:$1,0)+1,FALSE)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6" s="48">
        <f ca="1">VLOOKUP($F216,OFFSET(enemy_skill_triggers!$A$1,0,0,COUNTA(enemy_skill_triggers!$A:$A),MATCH(H$1,enemy_skill_triggers!$1:$1,0)-MATCH($F$1,enemy_skill_triggers!$1:$1,0)+1),MATCH(H$1,enemy_skill_triggers!$1:$1,0)-MATCH($F$1,enemy_skill_triggers!$1:$1,0)+1,FALSE)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216" s="48">
        <f ca="1">VLOOKUP($F216,OFFSET(enemy_skill_triggers!$A$1,0,0,COUNTA(enemy_skill_triggers!$A:$A),MATCH(I$1,enemy_skill_triggers!$1:$1,0)-MATCH($F$1,enemy_skill_triggers!$1:$1,0)+1),MATCH(I$1,enemy_skill_triggers!$1:$1,0)-MATCH($F$1,enemy_skill_triggers!$1:$1,0)+1,FALSE)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6" s="48" t="str">
        <f ca="1">VLOOKUP($F216,OFFSET(enemy_skill_triggers!$A$1,0,0,COUNTA(enemy_skill_triggers!$A:$A),MATCH(J$1,enemy_skill_triggers!$1:$1,0)-MATCH($F$1,enemy_skill_triggers!$1:$1,0)+1),MATCH(J$1,enemy_skill_triggers!$1:$1,0)-MATCH($F$1,enemy_skill_triggers!$1:$1,0)+1,FALSE)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6" s="48" t="str">
        <f ca="1">VLOOKUP($F216,OFFSET(enemy_skill_triggers!$A$1,0,0,COUNTA(enemy_skill_triggers!$A:$A),MATCH(K$1,enemy_skill_triggers!$1:$1,0)-MATCH($F$1,enemy_skill_triggers!$1:$1,0)+1),MATCH(K$1,enemy_skill_triggers!$1:$1,0)-MATCH($F$1,enemy_skill_triggers!$1:$1,0)+1,FALSE)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6" s="48">
        <f ca="1">VLOOKUP($F216,OFFSET(enemy_skill_triggers!$A$1,0,0,COUNTA(enemy_skill_triggers!$A:$A),MATCH(L$1,enemy_skill_triggers!$1:$1,0)-MATCH($F$1,enemy_skill_triggers!$1:$1,0)+1),MATCH(L$1,enemy_skill_triggers!$1:$1,0)-MATCH($F$1,enemy_skill_triggers!$1:$1,0)+1,FALSE)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6" s="48" t="str">
        <f ca="1">VLOOKUP($F216,OFFSET(enemy_skill_triggers!$A$1,0,0,COUNTA(enemy_skill_triggers!$A:$A),MATCH(M$1,enemy_skill_triggers!$1:$1,0)-MATCH($F$1,enemy_skill_triggers!$1:$1,0)+1),MATCH(M$1,enemy_skill_triggers!$1:$1,0)-MATCH($F$1,enemy_skill_triggers!$1:$1,0)+1,FALSE)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6" s="48">
        <f ca="1">VLOOKUP($F216,OFFSET(enemy_skill_triggers!$A$1,0,0,COUNTA(enemy_skill_triggers!$A:$A),MATCH(N$1,enemy_skill_triggers!$1:$1,0)-MATCH($F$1,enemy_skill_triggers!$1:$1,0)+1),MATCH(N$1,enemy_skill_triggers!$1:$1,0)-MATCH($F$1,enemy_skill_triggers!$1:$1,0)+1,FALSE)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216" s="48">
        <f ca="1">VLOOKUP($F216,OFFSET(enemy_skill_triggers!$A$1,0,0,COUNTA(enemy_skill_triggers!$A:$A),MATCH(O$1,enemy_skill_triggers!$1:$1,0)-MATCH($F$1,enemy_skill_triggers!$1:$1,0)+1),MATCH(O$1,enemy_skill_triggers!$1:$1,0)-MATCH($F$1,enemy_skill_triggers!$1:$1,0)+1,FALSE)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6" s="47"/>
      <c r="Q216" s="47"/>
      <c r="R216" s="47"/>
    </row>
    <row r="217" spans="1:18" ht="21" customHeight="1" x14ac:dyDescent="0.15">
      <c r="A217" s="39" t="str">
        <f t="shared" si="13"/>
        <v>47004360_47004367</v>
      </c>
      <c r="B217" s="128">
        <v>47004360</v>
      </c>
      <c r="C217" s="47">
        <v>47004367</v>
      </c>
      <c r="D217" s="46" t="str">
        <f ca="1">VLOOKUP($C217,OFFSET(enemy_skills!$A$1,0,0,COUNTA(enemy_skills!$A:$A),MATCH(D$1,enemy_skills!$1:$1,0)-MATCH("enemy_skill_id",enemy_skills!$1:$1,0)+1),MATCH(D$1,enemy_skills!$1:$1,0)-MATCH("enemy_skill_id",enemy_skills!$1:$1,0)+1,FALSE)</f>
        <v>え？プロメテウスにも見せてやりたい？_x000D_も、もう！やめてよね！</v>
      </c>
      <c r="E217" s="46" t="str">
        <f ca="1">VLOOKUP($C217,OFFSET(enemy_skills!$A$1,0,0,COUNTA(enemy_skills!$A:$A),MATCH(E$1,enemy_skills!$1:$1,0)-MATCH("enemy_skill_id",enemy_skills!$1:$1,0)+1),MATCH(E$1,enemy_skills!$1:$1,0)-MATCH("enemy_skill_id",enemy_skills!$1:$1,0)+1,FALSE)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赤パネルを緑のダメージパネルに3個変換</v>
      </c>
      <c r="F217" s="47">
        <v>47004373</v>
      </c>
      <c r="G217" s="48">
        <f ca="1">VLOOKUP($F217,OFFSET(enemy_skill_triggers!$A$1,0,0,COUNTA(enemy_skill_triggers!$A:$A),MATCH(G$1,enemy_skill_triggers!$1:$1,0)-MATCH($F$1,enemy_skill_triggers!$1:$1,0)+1),MATCH(G$1,enemy_skill_triggers!$1:$1,0)-MATCH($F$1,enemy_skill_triggers!$1:$1,0)+1,FALSE)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7" s="48">
        <f ca="1">VLOOKUP($F217,OFFSET(enemy_skill_triggers!$A$1,0,0,COUNTA(enemy_skill_triggers!$A:$A),MATCH(H$1,enemy_skill_triggers!$1:$1,0)-MATCH($F$1,enemy_skill_triggers!$1:$1,0)+1),MATCH(H$1,enemy_skill_triggers!$1:$1,0)-MATCH($F$1,enemy_skill_triggers!$1:$1,0)+1,FALSE)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217" s="48">
        <f ca="1">VLOOKUP($F217,OFFSET(enemy_skill_triggers!$A$1,0,0,COUNTA(enemy_skill_triggers!$A:$A),MATCH(I$1,enemy_skill_triggers!$1:$1,0)-MATCH($F$1,enemy_skill_triggers!$1:$1,0)+1),MATCH(I$1,enemy_skill_triggers!$1:$1,0)-MATCH($F$1,enemy_skill_triggers!$1:$1,0)+1,FALSE)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7" s="48" t="str">
        <f ca="1">VLOOKUP($F217,OFFSET(enemy_skill_triggers!$A$1,0,0,COUNTA(enemy_skill_triggers!$A:$A),MATCH(J$1,enemy_skill_triggers!$1:$1,0)-MATCH($F$1,enemy_skill_triggers!$1:$1,0)+1),MATCH(J$1,enemy_skill_triggers!$1:$1,0)-MATCH($F$1,enemy_skill_triggers!$1:$1,0)+1,FALSE)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7" s="48" t="str">
        <f ca="1">VLOOKUP($F217,OFFSET(enemy_skill_triggers!$A$1,0,0,COUNTA(enemy_skill_triggers!$A:$A),MATCH(K$1,enemy_skill_triggers!$1:$1,0)-MATCH($F$1,enemy_skill_triggers!$1:$1,0)+1),MATCH(K$1,enemy_skill_triggers!$1:$1,0)-MATCH($F$1,enemy_skill_triggers!$1:$1,0)+1,FALSE)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7" s="48">
        <f ca="1">VLOOKUP($F217,OFFSET(enemy_skill_triggers!$A$1,0,0,COUNTA(enemy_skill_triggers!$A:$A),MATCH(L$1,enemy_skill_triggers!$1:$1,0)-MATCH($F$1,enemy_skill_triggers!$1:$1,0)+1),MATCH(L$1,enemy_skill_triggers!$1:$1,0)-MATCH($F$1,enemy_skill_triggers!$1:$1,0)+1,FALSE)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7" s="48" t="str">
        <f ca="1">VLOOKUP($F217,OFFSET(enemy_skill_triggers!$A$1,0,0,COUNTA(enemy_skill_triggers!$A:$A),MATCH(M$1,enemy_skill_triggers!$1:$1,0)-MATCH($F$1,enemy_skill_triggers!$1:$1,0)+1),MATCH(M$1,enemy_skill_triggers!$1:$1,0)-MATCH($F$1,enemy_skill_triggers!$1:$1,0)+1,FALSE)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7" s="48">
        <f ca="1">VLOOKUP($F217,OFFSET(enemy_skill_triggers!$A$1,0,0,COUNTA(enemy_skill_triggers!$A:$A),MATCH(N$1,enemy_skill_triggers!$1:$1,0)-MATCH($F$1,enemy_skill_triggers!$1:$1,0)+1),MATCH(N$1,enemy_skill_triggers!$1:$1,0)-MATCH($F$1,enemy_skill_triggers!$1:$1,0)+1,FALSE)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217" s="48">
        <f ca="1">VLOOKUP($F217,OFFSET(enemy_skill_triggers!$A$1,0,0,COUNTA(enemy_skill_triggers!$A:$A),MATCH(O$1,enemy_skill_triggers!$1:$1,0)-MATCH($F$1,enemy_skill_triggers!$1:$1,0)+1),MATCH(O$1,enemy_skill_triggers!$1:$1,0)-MATCH($F$1,enemy_skill_triggers!$1:$1,0)+1,FALSE)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7" s="47"/>
      <c r="Q217" s="47"/>
      <c r="R217" s="47"/>
    </row>
    <row r="218" spans="1:18" ht="21" customHeight="1" x14ac:dyDescent="0.15">
      <c r="A218" s="39" t="str">
        <f t="shared" si="13"/>
        <v>47004360_47004367</v>
      </c>
      <c r="B218" s="128">
        <v>47004360</v>
      </c>
      <c r="C218" s="47">
        <v>47004367</v>
      </c>
      <c r="D218" s="46" t="str">
        <f ca="1">VLOOKUP($C218,OFFSET(enemy_skills!$A$1,0,0,COUNTA(enemy_skills!$A:$A),MATCH(D$1,enemy_skills!$1:$1,0)-MATCH("enemy_skill_id",enemy_skills!$1:$1,0)+1),MATCH(D$1,enemy_skills!$1:$1,0)-MATCH("enemy_skill_id",enemy_skills!$1:$1,0)+1,FALSE)</f>
        <v>え？プロメテウスにも見せてやりたい？_x000D_も、もう！やめてよね！</v>
      </c>
      <c r="E218" s="46" t="str">
        <f ca="1">VLOOKUP($C218,OFFSET(enemy_skills!$A$1,0,0,COUNTA(enemy_skills!$A:$A),MATCH(E$1,enemy_skills!$1:$1,0)-MATCH("enemy_skill_id",enemy_skills!$1:$1,0)+1),MATCH(E$1,enemy_skills!$1:$1,0)-MATCH("enemy_skill_id",enemy_skills!$1:$1,0)+1,FALSE)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赤パネルを緑のダメージパネルに3個変換</v>
      </c>
      <c r="F218" s="47">
        <v>47004374</v>
      </c>
      <c r="G218" s="48">
        <f ca="1">VLOOKUP($F218,OFFSET(enemy_skill_triggers!$A$1,0,0,COUNTA(enemy_skill_triggers!$A:$A),MATCH(G$1,enemy_skill_triggers!$1:$1,0)-MATCH($F$1,enemy_skill_triggers!$1:$1,0)+1),MATCH(G$1,enemy_skill_triggers!$1:$1,0)-MATCH($F$1,enemy_skill_triggers!$1:$1,0)+1,FALSE)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8" s="48">
        <f ca="1">VLOOKUP($F218,OFFSET(enemy_skill_triggers!$A$1,0,0,COUNTA(enemy_skill_triggers!$A:$A),MATCH(H$1,enemy_skill_triggers!$1:$1,0)-MATCH($F$1,enemy_skill_triggers!$1:$1,0)+1),MATCH(H$1,enemy_skill_triggers!$1:$1,0)-MATCH($F$1,enemy_skill_triggers!$1:$1,0)+1,FALSE)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218" s="48">
        <f ca="1">VLOOKUP($F218,OFFSET(enemy_skill_triggers!$A$1,0,0,COUNTA(enemy_skill_triggers!$A:$A),MATCH(I$1,enemy_skill_triggers!$1:$1,0)-MATCH($F$1,enemy_skill_triggers!$1:$1,0)+1),MATCH(I$1,enemy_skill_triggers!$1:$1,0)-MATCH($F$1,enemy_skill_triggers!$1:$1,0)+1,FALSE)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8" s="48" t="str">
        <f ca="1">VLOOKUP($F218,OFFSET(enemy_skill_triggers!$A$1,0,0,COUNTA(enemy_skill_triggers!$A:$A),MATCH(J$1,enemy_skill_triggers!$1:$1,0)-MATCH($F$1,enemy_skill_triggers!$1:$1,0)+1),MATCH(J$1,enemy_skill_triggers!$1:$1,0)-MATCH($F$1,enemy_skill_triggers!$1:$1,0)+1,FALSE)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8" s="48" t="str">
        <f ca="1">VLOOKUP($F218,OFFSET(enemy_skill_triggers!$A$1,0,0,COUNTA(enemy_skill_triggers!$A:$A),MATCH(K$1,enemy_skill_triggers!$1:$1,0)-MATCH($F$1,enemy_skill_triggers!$1:$1,0)+1),MATCH(K$1,enemy_skill_triggers!$1:$1,0)-MATCH($F$1,enemy_skill_triggers!$1:$1,0)+1,FALSE)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8" s="48">
        <f ca="1">VLOOKUP($F218,OFFSET(enemy_skill_triggers!$A$1,0,0,COUNTA(enemy_skill_triggers!$A:$A),MATCH(L$1,enemy_skill_triggers!$1:$1,0)-MATCH($F$1,enemy_skill_triggers!$1:$1,0)+1),MATCH(L$1,enemy_skill_triggers!$1:$1,0)-MATCH($F$1,enemy_skill_triggers!$1:$1,0)+1,FALSE)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8" s="48" t="str">
        <f ca="1">VLOOKUP($F218,OFFSET(enemy_skill_triggers!$A$1,0,0,COUNTA(enemy_skill_triggers!$A:$A),MATCH(M$1,enemy_skill_triggers!$1:$1,0)-MATCH($F$1,enemy_skill_triggers!$1:$1,0)+1),MATCH(M$1,enemy_skill_triggers!$1:$1,0)-MATCH($F$1,enemy_skill_triggers!$1:$1,0)+1,FALSE)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8" s="48">
        <f ca="1">VLOOKUP($F218,OFFSET(enemy_skill_triggers!$A$1,0,0,COUNTA(enemy_skill_triggers!$A:$A),MATCH(N$1,enemy_skill_triggers!$1:$1,0)-MATCH($F$1,enemy_skill_triggers!$1:$1,0)+1),MATCH(N$1,enemy_skill_triggers!$1:$1,0)-MATCH($F$1,enemy_skill_triggers!$1:$1,0)+1,FALSE)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218" s="48">
        <f ca="1">VLOOKUP($F218,OFFSET(enemy_skill_triggers!$A$1,0,0,COUNTA(enemy_skill_triggers!$A:$A),MATCH(O$1,enemy_skill_triggers!$1:$1,0)-MATCH($F$1,enemy_skill_triggers!$1:$1,0)+1),MATCH(O$1,enemy_skill_triggers!$1:$1,0)-MATCH($F$1,enemy_skill_triggers!$1:$1,0)+1,FALSE)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8" s="47"/>
      <c r="Q218" s="47"/>
      <c r="R218" s="47"/>
    </row>
    <row r="219" spans="1:18" ht="21" customHeight="1" x14ac:dyDescent="0.15">
      <c r="A219" s="39" t="str">
        <f t="shared" ref="A219:A220" si="15">B219&amp;"_"&amp;C219</f>
        <v>47004360_47004368</v>
      </c>
      <c r="B219" s="128">
        <v>47004360</v>
      </c>
      <c r="C219" s="47">
        <v>47004368</v>
      </c>
      <c r="D219" s="46" t="str">
        <f ca="1">VLOOKUP($C219,OFFSET(enemy_skills!$A$1,0,0,COUNTA(enemy_skills!$A:$A),MATCH(D$1,enemy_skills!$1:$1,0)-MATCH("enemy_skill_id",enemy_skills!$1:$1,0)+1),MATCH(D$1,enemy_skills!$1:$1,0)-MATCH("enemy_skill_id",enemy_skills!$1:$1,0)+1,FALSE)</f>
        <v>エスタブ！_x000D_メリークリスマスね♪</v>
      </c>
      <c r="E219" s="46" t="str">
        <f ca="1">VLOOKUP($C219,OFFSET(enemy_skills!$A$1,0,0,COUNTA(enemy_skills!$A:$A),MATCH(E$1,enemy_skills!$1:$1,0)-MATCH("enemy_skill_id",enemy_skills!$1:$1,0)+1),MATCH(E$1,enemy_skills!$1:$1,0)-MATCH("enemy_skill_id",enemy_skills!$1:$1,0)+1,FALSE)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赤パネルを緑のダメージパネルに3個変換</v>
      </c>
      <c r="F219" s="47">
        <v>47004375</v>
      </c>
      <c r="G219" s="48">
        <f ca="1">VLOOKUP($F219,OFFSET(enemy_skill_triggers!$A$1,0,0,COUNTA(enemy_skill_triggers!$A:$A),MATCH(G$1,enemy_skill_triggers!$1:$1,0)-MATCH($F$1,enemy_skill_triggers!$1:$1,0)+1),MATCH(G$1,enemy_skill_triggers!$1:$1,0)-MATCH($F$1,enemy_skill_triggers!$1:$1,0)+1,FALSE)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9" s="48">
        <f ca="1">VLOOKUP($F219,OFFSET(enemy_skill_triggers!$A$1,0,0,COUNTA(enemy_skill_triggers!$A:$A),MATCH(H$1,enemy_skill_triggers!$1:$1,0)-MATCH($F$1,enemy_skill_triggers!$1:$1,0)+1),MATCH(H$1,enemy_skill_triggers!$1:$1,0)-MATCH($F$1,enemy_skill_triggers!$1:$1,0)+1,FALSE)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219" s="48">
        <f ca="1">VLOOKUP($F219,OFFSET(enemy_skill_triggers!$A$1,0,0,COUNTA(enemy_skill_triggers!$A:$A),MATCH(I$1,enemy_skill_triggers!$1:$1,0)-MATCH($F$1,enemy_skill_triggers!$1:$1,0)+1),MATCH(I$1,enemy_skill_triggers!$1:$1,0)-MATCH($F$1,enemy_skill_triggers!$1:$1,0)+1,FALSE)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9" s="48" t="str">
        <f ca="1">VLOOKUP($F219,OFFSET(enemy_skill_triggers!$A$1,0,0,COUNTA(enemy_skill_triggers!$A:$A),MATCH(J$1,enemy_skill_triggers!$1:$1,0)-MATCH($F$1,enemy_skill_triggers!$1:$1,0)+1),MATCH(J$1,enemy_skill_triggers!$1:$1,0)-MATCH($F$1,enemy_skill_triggers!$1:$1,0)+1,FALSE)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9" s="48" t="str">
        <f ca="1">VLOOKUP($F219,OFFSET(enemy_skill_triggers!$A$1,0,0,COUNTA(enemy_skill_triggers!$A:$A),MATCH(K$1,enemy_skill_triggers!$1:$1,0)-MATCH($F$1,enemy_skill_triggers!$1:$1,0)+1),MATCH(K$1,enemy_skill_triggers!$1:$1,0)-MATCH($F$1,enemy_skill_triggers!$1:$1,0)+1,FALSE)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9" s="48">
        <f ca="1">VLOOKUP($F219,OFFSET(enemy_skill_triggers!$A$1,0,0,COUNTA(enemy_skill_triggers!$A:$A),MATCH(L$1,enemy_skill_triggers!$1:$1,0)-MATCH($F$1,enemy_skill_triggers!$1:$1,0)+1),MATCH(L$1,enemy_skill_triggers!$1:$1,0)-MATCH($F$1,enemy_skill_triggers!$1:$1,0)+1,FALSE)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9" s="48" t="str">
        <f ca="1">VLOOKUP($F219,OFFSET(enemy_skill_triggers!$A$1,0,0,COUNTA(enemy_skill_triggers!$A:$A),MATCH(M$1,enemy_skill_triggers!$1:$1,0)-MATCH($F$1,enemy_skill_triggers!$1:$1,0)+1),MATCH(M$1,enemy_skill_triggers!$1:$1,0)-MATCH($F$1,enemy_skill_triggers!$1:$1,0)+1,FALSE)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9" s="48">
        <f ca="1">VLOOKUP($F219,OFFSET(enemy_skill_triggers!$A$1,0,0,COUNTA(enemy_skill_triggers!$A:$A),MATCH(N$1,enemy_skill_triggers!$1:$1,0)-MATCH($F$1,enemy_skill_triggers!$1:$1,0)+1),MATCH(N$1,enemy_skill_triggers!$1:$1,0)-MATCH($F$1,enemy_skill_triggers!$1:$1,0)+1,FALSE)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219" s="48">
        <f ca="1">VLOOKUP($F219,OFFSET(enemy_skill_triggers!$A$1,0,0,COUNTA(enemy_skill_triggers!$A:$A),MATCH(O$1,enemy_skill_triggers!$1:$1,0)-MATCH($F$1,enemy_skill_triggers!$1:$1,0)+1),MATCH(O$1,enemy_skill_triggers!$1:$1,0)-MATCH($F$1,enemy_skill_triggers!$1:$1,0)+1,FALSE)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9" s="47"/>
      <c r="Q219" s="47"/>
      <c r="R219" s="47"/>
    </row>
    <row r="220" spans="1:18" ht="21" customHeight="1" x14ac:dyDescent="0.15">
      <c r="A220" s="39" t="str">
        <f t="shared" si="15"/>
        <v>47004360_47004369</v>
      </c>
      <c r="B220" s="128">
        <v>47004360</v>
      </c>
      <c r="C220" s="47">
        <v>47004369</v>
      </c>
      <c r="D220" s="46" t="str">
        <f ca="1">VLOOKUP($C220,OFFSET(enemy_skills!$A$1,0,0,COUNTA(enemy_skills!$A:$A),MATCH(D$1,enemy_skills!$1:$1,0)-MATCH("enemy_skill_id",enemy_skills!$1:$1,0)+1),MATCH(D$1,enemy_skills!$1:$1,0)-MATCH("enemy_skill_id",enemy_skills!$1:$1,0)+1,FALSE)</f>
        <v>卑弥呼！_x000D_メリークリスマスね♪</v>
      </c>
      <c r="E220" s="46" t="str">
        <f ca="1">VLOOKUP($C220,OFFSET(enemy_skills!$A$1,0,0,COUNTA(enemy_skills!$A:$A),MATCH(E$1,enemy_skills!$1:$1,0)-MATCH("enemy_skill_id",enemy_skills!$1:$1,0)+1),MATCH(E$1,enemy_skills!$1:$1,0)-MATCH("enemy_skill_id",enemy_skills!$1:$1,0)+1,FALSE)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赤パネルを緑のダメージパネルに3個変換</v>
      </c>
      <c r="F220" s="47">
        <v>47004376</v>
      </c>
      <c r="G220" s="48">
        <f ca="1">VLOOKUP($F220,OFFSET(enemy_skill_triggers!$A$1,0,0,COUNTA(enemy_skill_triggers!$A:$A),MATCH(G$1,enemy_skill_triggers!$1:$1,0)-MATCH($F$1,enemy_skill_triggers!$1:$1,0)+1),MATCH(G$1,enemy_skill_triggers!$1:$1,0)-MATCH($F$1,enemy_skill_triggers!$1:$1,0)+1,FALSE)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0" s="48">
        <f ca="1">VLOOKUP($F220,OFFSET(enemy_skill_triggers!$A$1,0,0,COUNTA(enemy_skill_triggers!$A:$A),MATCH(H$1,enemy_skill_triggers!$1:$1,0)-MATCH($F$1,enemy_skill_triggers!$1:$1,0)+1),MATCH(H$1,enemy_skill_triggers!$1:$1,0)-MATCH($F$1,enemy_skill_triggers!$1:$1,0)+1,FALSE)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220" s="48">
        <f ca="1">VLOOKUP($F220,OFFSET(enemy_skill_triggers!$A$1,0,0,COUNTA(enemy_skill_triggers!$A:$A),MATCH(I$1,enemy_skill_triggers!$1:$1,0)-MATCH($F$1,enemy_skill_triggers!$1:$1,0)+1),MATCH(I$1,enemy_skill_triggers!$1:$1,0)-MATCH($F$1,enemy_skill_triggers!$1:$1,0)+1,FALSE)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0" s="48" t="str">
        <f ca="1">VLOOKUP($F220,OFFSET(enemy_skill_triggers!$A$1,0,0,COUNTA(enemy_skill_triggers!$A:$A),MATCH(J$1,enemy_skill_triggers!$1:$1,0)-MATCH($F$1,enemy_skill_triggers!$1:$1,0)+1),MATCH(J$1,enemy_skill_triggers!$1:$1,0)-MATCH($F$1,enemy_skill_triggers!$1:$1,0)+1,FALSE)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0" s="48" t="str">
        <f ca="1">VLOOKUP($F220,OFFSET(enemy_skill_triggers!$A$1,0,0,COUNTA(enemy_skill_triggers!$A:$A),MATCH(K$1,enemy_skill_triggers!$1:$1,0)-MATCH($F$1,enemy_skill_triggers!$1:$1,0)+1),MATCH(K$1,enemy_skill_triggers!$1:$1,0)-MATCH($F$1,enemy_skill_triggers!$1:$1,0)+1,FALSE)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0" s="48">
        <f ca="1">VLOOKUP($F220,OFFSET(enemy_skill_triggers!$A$1,0,0,COUNTA(enemy_skill_triggers!$A:$A),MATCH(L$1,enemy_skill_triggers!$1:$1,0)-MATCH($F$1,enemy_skill_triggers!$1:$1,0)+1),MATCH(L$1,enemy_skill_triggers!$1:$1,0)-MATCH($F$1,enemy_skill_triggers!$1:$1,0)+1,FALSE)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0" s="48" t="str">
        <f ca="1">VLOOKUP($F220,OFFSET(enemy_skill_triggers!$A$1,0,0,COUNTA(enemy_skill_triggers!$A:$A),MATCH(M$1,enemy_skill_triggers!$1:$1,0)-MATCH($F$1,enemy_skill_triggers!$1:$1,0)+1),MATCH(M$1,enemy_skill_triggers!$1:$1,0)-MATCH($F$1,enemy_skill_triggers!$1:$1,0)+1,FALSE)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0" s="48">
        <f ca="1">VLOOKUP($F220,OFFSET(enemy_skill_triggers!$A$1,0,0,COUNTA(enemy_skill_triggers!$A:$A),MATCH(N$1,enemy_skill_triggers!$1:$1,0)-MATCH($F$1,enemy_skill_triggers!$1:$1,0)+1),MATCH(N$1,enemy_skill_triggers!$1:$1,0)-MATCH($F$1,enemy_skill_triggers!$1:$1,0)+1,FALSE)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220" s="48">
        <f ca="1">VLOOKUP($F220,OFFSET(enemy_skill_triggers!$A$1,0,0,COUNTA(enemy_skill_triggers!$A:$A),MATCH(O$1,enemy_skill_triggers!$1:$1,0)-MATCH($F$1,enemy_skill_triggers!$1:$1,0)+1),MATCH(O$1,enemy_skill_triggers!$1:$1,0)-MATCH($F$1,enemy_skill_triggers!$1:$1,0)+1,FALSE)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0" s="47"/>
      <c r="Q220" s="47"/>
      <c r="R220" s="47"/>
    </row>
    <row r="221" spans="1:18" ht="21" customHeight="1" x14ac:dyDescent="0.15">
      <c r="A221" s="39" t="str">
        <f t="shared" si="13"/>
        <v>47004400_47004401</v>
      </c>
      <c r="B221" s="128">
        <v>47004400</v>
      </c>
      <c r="C221" s="47">
        <v>47004401</v>
      </c>
      <c r="D221" s="46" t="str">
        <f ca="1">VLOOKUP($C221,OFFSET(enemy_skills!$A$1,0,0,COUNTA(enemy_skills!$A:$A),MATCH(D$1,enemy_skills!$1:$1,0)-MATCH("enemy_skill_id",enemy_skills!$1:$1,0)+1),MATCH(D$1,enemy_skills!$1:$1,0)-MATCH("enemy_skill_id",enemy_skills!$1:$1,0)+1,FALSE)</f>
        <v>まだ追ってくるのかい？_x000D_…しつこいんだね</v>
      </c>
      <c r="E221" s="46" t="str">
        <f ca="1">VLOOKUP($C221,OFFSET(enemy_skills!$A$1,0,0,COUNTA(enemy_skills!$A:$A),MATCH(E$1,enemy_skills!$1:$1,0)-MATCH("enemy_skill_id",enemy_skills!$1:$1,0)+1),MATCH(E$1,enemy_skills!$1:$1,0)-MATCH("enemy_skill_id",enemy_skills!$1:$1,0)+1,FALSE)</f>
        <v>ハートパネルドロップ率DOWN+フィーバーゲージ減少</v>
      </c>
      <c r="F221" s="47">
        <v>47004401</v>
      </c>
      <c r="G221" s="48">
        <f ca="1">VLOOKUP($F221,OFFSET(enemy_skill_triggers!$A$1,0,0,COUNTA(enemy_skill_triggers!$A:$A),MATCH(G$1,enemy_skill_triggers!$1:$1,0)-MATCH($F$1,enemy_skill_triggers!$1:$1,0)+1),MATCH(G$1,enemy_skill_triggers!$1:$1,0)-MATCH($F$1,enemy_skill_triggers!$1:$1,0)+1,FALSE)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1" s="48">
        <f ca="1">VLOOKUP($F221,OFFSET(enemy_skill_triggers!$A$1,0,0,COUNTA(enemy_skill_triggers!$A:$A),MATCH(H$1,enemy_skill_triggers!$1:$1,0)-MATCH($F$1,enemy_skill_triggers!$1:$1,0)+1),MATCH(H$1,enemy_skill_triggers!$1:$1,0)-MATCH($F$1,enemy_skill_triggers!$1:$1,0)+1,FALSE)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1" s="48">
        <f ca="1">VLOOKUP($F221,OFFSET(enemy_skill_triggers!$A$1,0,0,COUNTA(enemy_skill_triggers!$A:$A),MATCH(I$1,enemy_skill_triggers!$1:$1,0)-MATCH($F$1,enemy_skill_triggers!$1:$1,0)+1),MATCH(I$1,enemy_skill_triggers!$1:$1,0)-MATCH($F$1,enemy_skill_triggers!$1:$1,0)+1,FALSE)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1" s="48" t="str">
        <f ca="1">VLOOKUP($F221,OFFSET(enemy_skill_triggers!$A$1,0,0,COUNTA(enemy_skill_triggers!$A:$A),MATCH(J$1,enemy_skill_triggers!$1:$1,0)-MATCH($F$1,enemy_skill_triggers!$1:$1,0)+1),MATCH(J$1,enemy_skill_triggers!$1:$1,0)-MATCH($F$1,enemy_skill_triggers!$1:$1,0)+1,FALSE)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1" s="48" t="str">
        <f ca="1">VLOOKUP($F221,OFFSET(enemy_skill_triggers!$A$1,0,0,COUNTA(enemy_skill_triggers!$A:$A),MATCH(K$1,enemy_skill_triggers!$1:$1,0)-MATCH($F$1,enemy_skill_triggers!$1:$1,0)+1),MATCH(K$1,enemy_skill_triggers!$1:$1,0)-MATCH($F$1,enemy_skill_triggers!$1:$1,0)+1,FALSE)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1" s="48">
        <f ca="1">VLOOKUP($F221,OFFSET(enemy_skill_triggers!$A$1,0,0,COUNTA(enemy_skill_triggers!$A:$A),MATCH(L$1,enemy_skill_triggers!$1:$1,0)-MATCH($F$1,enemy_skill_triggers!$1:$1,0)+1),MATCH(L$1,enemy_skill_triggers!$1:$1,0)-MATCH($F$1,enemy_skill_triggers!$1:$1,0)+1,FALSE)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1" s="48" t="str">
        <f ca="1">VLOOKUP($F221,OFFSET(enemy_skill_triggers!$A$1,0,0,COUNTA(enemy_skill_triggers!$A:$A),MATCH(M$1,enemy_skill_triggers!$1:$1,0)-MATCH($F$1,enemy_skill_triggers!$1:$1,0)+1),MATCH(M$1,enemy_skill_triggers!$1:$1,0)-MATCH($F$1,enemy_skill_triggers!$1:$1,0)+1,FALSE)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1" s="48" t="str">
        <f ca="1">VLOOKUP($F221,OFFSET(enemy_skill_triggers!$A$1,0,0,COUNTA(enemy_skill_triggers!$A:$A),MATCH(N$1,enemy_skill_triggers!$1:$1,0)-MATCH($F$1,enemy_skill_triggers!$1:$1,0)+1),MATCH(N$1,enemy_skill_triggers!$1:$1,0)-MATCH($F$1,enemy_skill_triggers!$1:$1,0)+1,FALSE)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1" s="48">
        <f ca="1">VLOOKUP($F221,OFFSET(enemy_skill_triggers!$A$1,0,0,COUNTA(enemy_skill_triggers!$A:$A),MATCH(O$1,enemy_skill_triggers!$1:$1,0)-MATCH($F$1,enemy_skill_triggers!$1:$1,0)+1),MATCH(O$1,enemy_skill_triggers!$1:$1,0)-MATCH($F$1,enemy_skill_triggers!$1:$1,0)+1,FALSE)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1" s="47"/>
      <c r="Q221" s="47"/>
      <c r="R221" s="47"/>
    </row>
    <row r="222" spans="1:18" ht="21" customHeight="1" x14ac:dyDescent="0.15">
      <c r="A222" s="39" t="str">
        <f t="shared" si="13"/>
        <v>47004400_47004402</v>
      </c>
      <c r="B222" s="128">
        <v>47004400</v>
      </c>
      <c r="C222" s="47">
        <v>47004402</v>
      </c>
      <c r="D222" s="46" t="str">
        <f ca="1">VLOOKUP($C222,OFFSET(enemy_skills!$A$1,0,0,COUNTA(enemy_skills!$A:$A),MATCH(D$1,enemy_skills!$1:$1,0)-MATCH("enemy_skill_id",enemy_skills!$1:$1,0)+1),MATCH(D$1,enemy_skills!$1:$1,0)-MATCH("enemy_skill_id",enemy_skills!$1:$1,0)+1,FALSE)</f>
        <v>雪の精とともに</v>
      </c>
      <c r="E222" s="46" t="str">
        <f ca="1">VLOOKUP($C222,OFFSET(enemy_skills!$A$1,0,0,COUNTA(enemy_skills!$A:$A),MATCH(E$1,enemy_skills!$1:$1,0)-MATCH("enemy_skill_id",enemy_skills!$1:$1,0)+1),MATCH(E$1,enemy_skills!$1:$1,0)-MATCH("enemy_skill_id",enemy_skills!$1:$1,0)+1,FALSE)</f>
        <v>ハートパネルを青のダメージパネルに3個変換+単体攻撃</v>
      </c>
      <c r="F222" s="47">
        <v>47004402</v>
      </c>
      <c r="G222" s="48">
        <f ca="1">VLOOKUP($F222,OFFSET(enemy_skill_triggers!$A$1,0,0,COUNTA(enemy_skill_triggers!$A:$A),MATCH(G$1,enemy_skill_triggers!$1:$1,0)-MATCH($F$1,enemy_skill_triggers!$1:$1,0)+1),MATCH(G$1,enemy_skill_triggers!$1:$1,0)-MATCH($F$1,enemy_skill_triggers!$1:$1,0)+1,FALSE)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2" s="48">
        <f ca="1">VLOOKUP($F222,OFFSET(enemy_skill_triggers!$A$1,0,0,COUNTA(enemy_skill_triggers!$A:$A),MATCH(H$1,enemy_skill_triggers!$1:$1,0)-MATCH($F$1,enemy_skill_triggers!$1:$1,0)+1),MATCH(H$1,enemy_skill_triggers!$1:$1,0)-MATCH($F$1,enemy_skill_triggers!$1:$1,0)+1,FALSE)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22" s="48">
        <f ca="1">VLOOKUP($F222,OFFSET(enemy_skill_triggers!$A$1,0,0,COUNTA(enemy_skill_triggers!$A:$A),MATCH(I$1,enemy_skill_triggers!$1:$1,0)-MATCH($F$1,enemy_skill_triggers!$1:$1,0)+1),MATCH(I$1,enemy_skill_triggers!$1:$1,0)-MATCH($F$1,enemy_skill_triggers!$1:$1,0)+1,FALSE)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2" s="48" t="str">
        <f ca="1">VLOOKUP($F222,OFFSET(enemy_skill_triggers!$A$1,0,0,COUNTA(enemy_skill_triggers!$A:$A),MATCH(J$1,enemy_skill_triggers!$1:$1,0)-MATCH($F$1,enemy_skill_triggers!$1:$1,0)+1),MATCH(J$1,enemy_skill_triggers!$1:$1,0)-MATCH($F$1,enemy_skill_triggers!$1:$1,0)+1,FALSE)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2" s="48" t="str">
        <f ca="1">VLOOKUP($F222,OFFSET(enemy_skill_triggers!$A$1,0,0,COUNTA(enemy_skill_triggers!$A:$A),MATCH(K$1,enemy_skill_triggers!$1:$1,0)-MATCH($F$1,enemy_skill_triggers!$1:$1,0)+1),MATCH(K$1,enemy_skill_triggers!$1:$1,0)-MATCH($F$1,enemy_skill_triggers!$1:$1,0)+1,FALSE)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2" s="48" t="str">
        <f ca="1">VLOOKUP($F222,OFFSET(enemy_skill_triggers!$A$1,0,0,COUNTA(enemy_skill_triggers!$A:$A),MATCH(L$1,enemy_skill_triggers!$1:$1,0)-MATCH($F$1,enemy_skill_triggers!$1:$1,0)+1),MATCH(L$1,enemy_skill_triggers!$1:$1,0)-MATCH($F$1,enemy_skill_triggers!$1:$1,0)+1,FALSE)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2" s="48">
        <f ca="1">VLOOKUP($F222,OFFSET(enemy_skill_triggers!$A$1,0,0,COUNTA(enemy_skill_triggers!$A:$A),MATCH(M$1,enemy_skill_triggers!$1:$1,0)-MATCH($F$1,enemy_skill_triggers!$1:$1,0)+1),MATCH(M$1,enemy_skill_triggers!$1:$1,0)-MATCH($F$1,enemy_skill_triggers!$1:$1,0)+1,FALSE)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2" s="48" t="str">
        <f ca="1">VLOOKUP($F222,OFFSET(enemy_skill_triggers!$A$1,0,0,COUNTA(enemy_skill_triggers!$A:$A),MATCH(N$1,enemy_skill_triggers!$1:$1,0)-MATCH($F$1,enemy_skill_triggers!$1:$1,0)+1),MATCH(N$1,enemy_skill_triggers!$1:$1,0)-MATCH($F$1,enemy_skill_triggers!$1:$1,0)+1,FALSE)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2" s="48">
        <f ca="1">VLOOKUP($F222,OFFSET(enemy_skill_triggers!$A$1,0,0,COUNTA(enemy_skill_triggers!$A:$A),MATCH(O$1,enemy_skill_triggers!$1:$1,0)-MATCH($F$1,enemy_skill_triggers!$1:$1,0)+1),MATCH(O$1,enemy_skill_triggers!$1:$1,0)-MATCH($F$1,enemy_skill_triggers!$1:$1,0)+1,FALSE)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2" s="47"/>
      <c r="Q222" s="47"/>
      <c r="R222" s="47"/>
    </row>
    <row r="223" spans="1:18" ht="21" customHeight="1" x14ac:dyDescent="0.15">
      <c r="A223" s="39" t="str">
        <f t="shared" si="13"/>
        <v>47004400_47004403</v>
      </c>
      <c r="B223" s="128">
        <v>47004400</v>
      </c>
      <c r="C223" s="47">
        <v>47004403</v>
      </c>
      <c r="D223" s="46" t="str">
        <f ca="1">VLOOKUP($C223,OFFSET(enemy_skills!$A$1,0,0,COUNTA(enemy_skills!$A:$A),MATCH(D$1,enemy_skills!$1:$1,0)-MATCH("enemy_skill_id",enemy_skills!$1:$1,0)+1),MATCH(D$1,enemy_skills!$1:$1,0)-MATCH("enemy_skill_id",enemy_skills!$1:$1,0)+1,FALSE)</f>
        <v>炎も凍てつく氷の中へ</v>
      </c>
      <c r="E223" s="46" t="str">
        <f ca="1">VLOOKUP($C223,OFFSET(enemy_skills!$A$1,0,0,COUNTA(enemy_skills!$A:$A),MATCH(E$1,enemy_skills!$1:$1,0)-MATCH("enemy_skill_id",enemy_skills!$1:$1,0)+1),MATCH(E$1,enemy_skills!$1:$1,0)-MATCH("enemy_skill_id",enemy_skills!$1:$1,0)+1,FALSE)</f>
        <v>赤パネルを青パネルに変換+単体攻撃</v>
      </c>
      <c r="F223" s="47">
        <v>47004403</v>
      </c>
      <c r="G223" s="48">
        <f ca="1">VLOOKUP($F223,OFFSET(enemy_skill_triggers!$A$1,0,0,COUNTA(enemy_skill_triggers!$A:$A),MATCH(G$1,enemy_skill_triggers!$1:$1,0)-MATCH($F$1,enemy_skill_triggers!$1:$1,0)+1),MATCH(G$1,enemy_skill_triggers!$1:$1,0)-MATCH($F$1,enemy_skill_triggers!$1:$1,0)+1,FALSE)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3" s="48">
        <f ca="1">VLOOKUP($F223,OFFSET(enemy_skill_triggers!$A$1,0,0,COUNTA(enemy_skill_triggers!$A:$A),MATCH(H$1,enemy_skill_triggers!$1:$1,0)-MATCH($F$1,enemy_skill_triggers!$1:$1,0)+1),MATCH(H$1,enemy_skill_triggers!$1:$1,0)-MATCH($F$1,enemy_skill_triggers!$1:$1,0)+1,FALSE)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23" s="48">
        <f ca="1">VLOOKUP($F223,OFFSET(enemy_skill_triggers!$A$1,0,0,COUNTA(enemy_skill_triggers!$A:$A),MATCH(I$1,enemy_skill_triggers!$1:$1,0)-MATCH($F$1,enemy_skill_triggers!$1:$1,0)+1),MATCH(I$1,enemy_skill_triggers!$1:$1,0)-MATCH($F$1,enemy_skill_triggers!$1:$1,0)+1,FALSE)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3" s="48" t="str">
        <f ca="1">VLOOKUP($F223,OFFSET(enemy_skill_triggers!$A$1,0,0,COUNTA(enemy_skill_triggers!$A:$A),MATCH(J$1,enemy_skill_triggers!$1:$1,0)-MATCH($F$1,enemy_skill_triggers!$1:$1,0)+1),MATCH(J$1,enemy_skill_triggers!$1:$1,0)-MATCH($F$1,enemy_skill_triggers!$1:$1,0)+1,FALSE)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3" s="48" t="str">
        <f ca="1">VLOOKUP($F223,OFFSET(enemy_skill_triggers!$A$1,0,0,COUNTA(enemy_skill_triggers!$A:$A),MATCH(K$1,enemy_skill_triggers!$1:$1,0)-MATCH($F$1,enemy_skill_triggers!$1:$1,0)+1),MATCH(K$1,enemy_skill_triggers!$1:$1,0)-MATCH($F$1,enemy_skill_triggers!$1:$1,0)+1,FALSE)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3" s="48" t="str">
        <f ca="1">VLOOKUP($F223,OFFSET(enemy_skill_triggers!$A$1,0,0,COUNTA(enemy_skill_triggers!$A:$A),MATCH(L$1,enemy_skill_triggers!$1:$1,0)-MATCH($F$1,enemy_skill_triggers!$1:$1,0)+1),MATCH(L$1,enemy_skill_triggers!$1:$1,0)-MATCH($F$1,enemy_skill_triggers!$1:$1,0)+1,FALSE)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3" s="48">
        <f ca="1">VLOOKUP($F223,OFFSET(enemy_skill_triggers!$A$1,0,0,COUNTA(enemy_skill_triggers!$A:$A),MATCH(M$1,enemy_skill_triggers!$1:$1,0)-MATCH($F$1,enemy_skill_triggers!$1:$1,0)+1),MATCH(M$1,enemy_skill_triggers!$1:$1,0)-MATCH($F$1,enemy_skill_triggers!$1:$1,0)+1,FALSE)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3" s="48" t="str">
        <f ca="1">VLOOKUP($F223,OFFSET(enemy_skill_triggers!$A$1,0,0,COUNTA(enemy_skill_triggers!$A:$A),MATCH(N$1,enemy_skill_triggers!$1:$1,0)-MATCH($F$1,enemy_skill_triggers!$1:$1,0)+1),MATCH(N$1,enemy_skill_triggers!$1:$1,0)-MATCH($F$1,enemy_skill_triggers!$1:$1,0)+1,FALSE)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3" s="48">
        <f ca="1">VLOOKUP($F223,OFFSET(enemy_skill_triggers!$A$1,0,0,COUNTA(enemy_skill_triggers!$A:$A),MATCH(O$1,enemy_skill_triggers!$1:$1,0)-MATCH($F$1,enemy_skill_triggers!$1:$1,0)+1),MATCH(O$1,enemy_skill_triggers!$1:$1,0)-MATCH($F$1,enemy_skill_triggers!$1:$1,0)+1,FALSE)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3" s="47"/>
      <c r="Q223" s="47"/>
      <c r="R223" s="47"/>
    </row>
    <row r="224" spans="1:18" ht="21" customHeight="1" x14ac:dyDescent="0.15">
      <c r="A224" s="39" t="str">
        <f t="shared" si="13"/>
        <v>47004400_47004404</v>
      </c>
      <c r="B224" s="128">
        <v>47004400</v>
      </c>
      <c r="C224" s="47">
        <v>47004404</v>
      </c>
      <c r="D224" s="46" t="str">
        <f ca="1">VLOOKUP($C224,OFFSET(enemy_skills!$A$1,0,0,COUNTA(enemy_skills!$A:$A),MATCH(D$1,enemy_skills!$1:$1,0)-MATCH("enemy_skill_id",enemy_skills!$1:$1,0)+1),MATCH(D$1,enemy_skills!$1:$1,0)-MATCH("enemy_skill_id",enemy_skills!$1:$1,0)+1,FALSE)</f>
        <v>吐く息は白く</v>
      </c>
      <c r="E224" s="46" t="str">
        <f ca="1">VLOOKUP($C224,OFFSET(enemy_skills!$A$1,0,0,COUNTA(enemy_skills!$A:$A),MATCH(E$1,enemy_skills!$1:$1,0)-MATCH("enemy_skill_id",enemy_skills!$1:$1,0)+1),MATCH(E$1,enemy_skills!$1:$1,0)-MATCH("enemy_skill_id",enemy_skills!$1:$1,0)+1,FALSE)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224" s="47">
        <v>47004404</v>
      </c>
      <c r="G224" s="48">
        <f ca="1">VLOOKUP($F224,OFFSET(enemy_skill_triggers!$A$1,0,0,COUNTA(enemy_skill_triggers!$A:$A),MATCH(G$1,enemy_skill_triggers!$1:$1,0)-MATCH($F$1,enemy_skill_triggers!$1:$1,0)+1),MATCH(G$1,enemy_skill_triggers!$1:$1,0)-MATCH($F$1,enemy_skill_triggers!$1:$1,0)+1,FALSE)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4" s="48">
        <f ca="1">VLOOKUP($F224,OFFSET(enemy_skill_triggers!$A$1,0,0,COUNTA(enemy_skill_triggers!$A:$A),MATCH(H$1,enemy_skill_triggers!$1:$1,0)-MATCH($F$1,enemy_skill_triggers!$1:$1,0)+1),MATCH(H$1,enemy_skill_triggers!$1:$1,0)-MATCH($F$1,enemy_skill_triggers!$1:$1,0)+1,FALSE)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24" s="48">
        <f ca="1">VLOOKUP($F224,OFFSET(enemy_skill_triggers!$A$1,0,0,COUNTA(enemy_skill_triggers!$A:$A),MATCH(I$1,enemy_skill_triggers!$1:$1,0)-MATCH($F$1,enemy_skill_triggers!$1:$1,0)+1),MATCH(I$1,enemy_skill_triggers!$1:$1,0)-MATCH($F$1,enemy_skill_triggers!$1:$1,0)+1,FALSE)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4" s="48" t="str">
        <f ca="1">VLOOKUP($F224,OFFSET(enemy_skill_triggers!$A$1,0,0,COUNTA(enemy_skill_triggers!$A:$A),MATCH(J$1,enemy_skill_triggers!$1:$1,0)-MATCH($F$1,enemy_skill_triggers!$1:$1,0)+1),MATCH(J$1,enemy_skill_triggers!$1:$1,0)-MATCH($F$1,enemy_skill_triggers!$1:$1,0)+1,FALSE)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4" s="48" t="str">
        <f ca="1">VLOOKUP($F224,OFFSET(enemy_skill_triggers!$A$1,0,0,COUNTA(enemy_skill_triggers!$A:$A),MATCH(K$1,enemy_skill_triggers!$1:$1,0)-MATCH($F$1,enemy_skill_triggers!$1:$1,0)+1),MATCH(K$1,enemy_skill_triggers!$1:$1,0)-MATCH($F$1,enemy_skill_triggers!$1:$1,0)+1,FALSE)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4" s="48" t="str">
        <f ca="1">VLOOKUP($F224,OFFSET(enemy_skill_triggers!$A$1,0,0,COUNTA(enemy_skill_triggers!$A:$A),MATCH(L$1,enemy_skill_triggers!$1:$1,0)-MATCH($F$1,enemy_skill_triggers!$1:$1,0)+1),MATCH(L$1,enemy_skill_triggers!$1:$1,0)-MATCH($F$1,enemy_skill_triggers!$1:$1,0)+1,FALSE)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4" s="48">
        <f ca="1">VLOOKUP($F224,OFFSET(enemy_skill_triggers!$A$1,0,0,COUNTA(enemy_skill_triggers!$A:$A),MATCH(M$1,enemy_skill_triggers!$1:$1,0)-MATCH($F$1,enemy_skill_triggers!$1:$1,0)+1),MATCH(M$1,enemy_skill_triggers!$1:$1,0)-MATCH($F$1,enemy_skill_triggers!$1:$1,0)+1,FALSE)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24" s="48" t="str">
        <f ca="1">VLOOKUP($F224,OFFSET(enemy_skill_triggers!$A$1,0,0,COUNTA(enemy_skill_triggers!$A:$A),MATCH(N$1,enemy_skill_triggers!$1:$1,0)-MATCH($F$1,enemy_skill_triggers!$1:$1,0)+1),MATCH(N$1,enemy_skill_triggers!$1:$1,0)-MATCH($F$1,enemy_skill_triggers!$1:$1,0)+1,FALSE)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4" s="48">
        <f ca="1">VLOOKUP($F224,OFFSET(enemy_skill_triggers!$A$1,0,0,COUNTA(enemy_skill_triggers!$A:$A),MATCH(O$1,enemy_skill_triggers!$1:$1,0)-MATCH($F$1,enemy_skill_triggers!$1:$1,0)+1),MATCH(O$1,enemy_skill_triggers!$1:$1,0)-MATCH($F$1,enemy_skill_triggers!$1:$1,0)+1,FALSE)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4" s="47"/>
      <c r="Q224" s="47"/>
      <c r="R224" s="47"/>
    </row>
    <row r="225" spans="1:18" ht="21" customHeight="1" x14ac:dyDescent="0.15">
      <c r="A225" s="39" t="str">
        <f t="shared" si="13"/>
        <v>47004400_47004405</v>
      </c>
      <c r="B225" s="128">
        <v>47004400</v>
      </c>
      <c r="C225" s="47">
        <v>47004405</v>
      </c>
      <c r="D225" s="46" t="str">
        <f ca="1">VLOOKUP($C225,OFFSET(enemy_skills!$A$1,0,0,COUNTA(enemy_skills!$A:$A),MATCH(D$1,enemy_skills!$1:$1,0)-MATCH("enemy_skill_id",enemy_skills!$1:$1,0)+1),MATCH(D$1,enemy_skills!$1:$1,0)-MATCH("enemy_skill_id",enemy_skills!$1:$1,0)+1,FALSE)</f>
        <v>仲間…そんなもの全部嘘だったんだ…</v>
      </c>
      <c r="E225" s="46" t="str">
        <f ca="1">VLOOKUP($C225,OFFSET(enemy_skills!$A$1,0,0,COUNTA(enemy_skills!$A:$A),MATCH(E$1,enemy_skills!$1:$1,0)-MATCH("enemy_skill_id",enemy_skills!$1:$1,0)+1),MATCH(E$1,enemy_skills!$1:$1,0)-MATCH("enemy_skill_id",enemy_skills!$1:$1,0)+1,FALSE)</f>
        <v>緑パネルを青パネルに変換+単体攻撃</v>
      </c>
      <c r="F225" s="47">
        <v>47004405</v>
      </c>
      <c r="G225" s="48">
        <f ca="1">VLOOKUP($F225,OFFSET(enemy_skill_triggers!$A$1,0,0,COUNTA(enemy_skill_triggers!$A:$A),MATCH(G$1,enemy_skill_triggers!$1:$1,0)-MATCH($F$1,enemy_skill_triggers!$1:$1,0)+1),MATCH(G$1,enemy_skill_triggers!$1:$1,0)-MATCH($F$1,enemy_skill_triggers!$1:$1,0)+1,FALSE)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5" s="48">
        <f ca="1">VLOOKUP($F225,OFFSET(enemy_skill_triggers!$A$1,0,0,COUNTA(enemy_skill_triggers!$A:$A),MATCH(H$1,enemy_skill_triggers!$1:$1,0)-MATCH($F$1,enemy_skill_triggers!$1:$1,0)+1),MATCH(H$1,enemy_skill_triggers!$1:$1,0)-MATCH($F$1,enemy_skill_triggers!$1:$1,0)+1,FALSE)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25" s="48">
        <f ca="1">VLOOKUP($F225,OFFSET(enemy_skill_triggers!$A$1,0,0,COUNTA(enemy_skill_triggers!$A:$A),MATCH(I$1,enemy_skill_triggers!$1:$1,0)-MATCH($F$1,enemy_skill_triggers!$1:$1,0)+1),MATCH(I$1,enemy_skill_triggers!$1:$1,0)-MATCH($F$1,enemy_skill_triggers!$1:$1,0)+1,FALSE)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5" s="48" t="str">
        <f ca="1">VLOOKUP($F225,OFFSET(enemy_skill_triggers!$A$1,0,0,COUNTA(enemy_skill_triggers!$A:$A),MATCH(J$1,enemy_skill_triggers!$1:$1,0)-MATCH($F$1,enemy_skill_triggers!$1:$1,0)+1),MATCH(J$1,enemy_skill_triggers!$1:$1,0)-MATCH($F$1,enemy_skill_triggers!$1:$1,0)+1,FALSE)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5" s="48" t="str">
        <f ca="1">VLOOKUP($F225,OFFSET(enemy_skill_triggers!$A$1,0,0,COUNTA(enemy_skill_triggers!$A:$A),MATCH(K$1,enemy_skill_triggers!$1:$1,0)-MATCH($F$1,enemy_skill_triggers!$1:$1,0)+1),MATCH(K$1,enemy_skill_triggers!$1:$1,0)-MATCH($F$1,enemy_skill_triggers!$1:$1,0)+1,FALSE)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5" s="48" t="str">
        <f ca="1">VLOOKUP($F225,OFFSET(enemy_skill_triggers!$A$1,0,0,COUNTA(enemy_skill_triggers!$A:$A),MATCH(L$1,enemy_skill_triggers!$1:$1,0)-MATCH($F$1,enemy_skill_triggers!$1:$1,0)+1),MATCH(L$1,enemy_skill_triggers!$1:$1,0)-MATCH($F$1,enemy_skill_triggers!$1:$1,0)+1,FALSE)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5" s="48">
        <f ca="1">VLOOKUP($F225,OFFSET(enemy_skill_triggers!$A$1,0,0,COUNTA(enemy_skill_triggers!$A:$A),MATCH(M$1,enemy_skill_triggers!$1:$1,0)-MATCH($F$1,enemy_skill_triggers!$1:$1,0)+1),MATCH(M$1,enemy_skill_triggers!$1:$1,0)-MATCH($F$1,enemy_skill_triggers!$1:$1,0)+1,FALSE)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25" s="48" t="str">
        <f ca="1">VLOOKUP($F225,OFFSET(enemy_skill_triggers!$A$1,0,0,COUNTA(enemy_skill_triggers!$A:$A),MATCH(N$1,enemy_skill_triggers!$1:$1,0)-MATCH($F$1,enemy_skill_triggers!$1:$1,0)+1),MATCH(N$1,enemy_skill_triggers!$1:$1,0)-MATCH($F$1,enemy_skill_triggers!$1:$1,0)+1,FALSE)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5" s="48">
        <f ca="1">VLOOKUP($F225,OFFSET(enemy_skill_triggers!$A$1,0,0,COUNTA(enemy_skill_triggers!$A:$A),MATCH(O$1,enemy_skill_triggers!$1:$1,0)-MATCH($F$1,enemy_skill_triggers!$1:$1,0)+1),MATCH(O$1,enemy_skill_triggers!$1:$1,0)-MATCH($F$1,enemy_skill_triggers!$1:$1,0)+1,FALSE)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5" s="47"/>
      <c r="Q225" s="47"/>
      <c r="R225" s="47"/>
    </row>
    <row r="226" spans="1:18" ht="21" customHeight="1" x14ac:dyDescent="0.15">
      <c r="A226" s="39" t="str">
        <f t="shared" si="13"/>
        <v>47004400_47004406</v>
      </c>
      <c r="B226" s="128">
        <v>47004400</v>
      </c>
      <c r="C226" s="47">
        <v>47004406</v>
      </c>
      <c r="D226" s="46" t="str">
        <f ca="1">VLOOKUP($C226,OFFSET(enemy_skills!$A$1,0,0,COUNTA(enemy_skills!$A:$A),MATCH(D$1,enemy_skills!$1:$1,0)-MATCH("enemy_skill_id",enemy_skills!$1:$1,0)+1),MATCH(D$1,enemy_skills!$1:$1,0)-MATCH("enemy_skill_id",enemy_skills!$1:$1,0)+1,FALSE)</f>
        <v>ラチカ…君は僕の心を_x000D_救うことができるかい…？</v>
      </c>
      <c r="E226" s="46" t="str">
        <f ca="1">VLOOKUP($C226,OFFSET(enemy_skills!$A$1,0,0,COUNTA(enemy_skills!$A:$A),MATCH(E$1,enemy_skills!$1:$1,0)-MATCH("enemy_skill_id",enemy_skills!$1:$1,0)+1),MATCH(E$1,enemy_skills!$1:$1,0)-MATCH("enemy_skill_id",enemy_skills!$1:$1,0)+1,FALSE)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26" s="47">
        <v>47004406</v>
      </c>
      <c r="G226" s="48">
        <f ca="1">VLOOKUP($F226,OFFSET(enemy_skill_triggers!$A$1,0,0,COUNTA(enemy_skill_triggers!$A:$A),MATCH(G$1,enemy_skill_triggers!$1:$1,0)-MATCH($F$1,enemy_skill_triggers!$1:$1,0)+1),MATCH(G$1,enemy_skill_triggers!$1:$1,0)-MATCH($F$1,enemy_skill_triggers!$1:$1,0)+1,FALSE)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6" s="48">
        <f ca="1">VLOOKUP($F226,OFFSET(enemy_skill_triggers!$A$1,0,0,COUNTA(enemy_skill_triggers!$A:$A),MATCH(H$1,enemy_skill_triggers!$1:$1,0)-MATCH($F$1,enemy_skill_triggers!$1:$1,0)+1),MATCH(H$1,enemy_skill_triggers!$1:$1,0)-MATCH($F$1,enemy_skill_triggers!$1:$1,0)+1,FALSE)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26" s="48">
        <f ca="1">VLOOKUP($F226,OFFSET(enemy_skill_triggers!$A$1,0,0,COUNTA(enemy_skill_triggers!$A:$A),MATCH(I$1,enemy_skill_triggers!$1:$1,0)-MATCH($F$1,enemy_skill_triggers!$1:$1,0)+1),MATCH(I$1,enemy_skill_triggers!$1:$1,0)-MATCH($F$1,enemy_skill_triggers!$1:$1,0)+1,FALSE)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6" s="48" t="str">
        <f ca="1">VLOOKUP($F226,OFFSET(enemy_skill_triggers!$A$1,0,0,COUNTA(enemy_skill_triggers!$A:$A),MATCH(J$1,enemy_skill_triggers!$1:$1,0)-MATCH($F$1,enemy_skill_triggers!$1:$1,0)+1),MATCH(J$1,enemy_skill_triggers!$1:$1,0)-MATCH($F$1,enemy_skill_triggers!$1:$1,0)+1,FALSE)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6" s="48" t="str">
        <f ca="1">VLOOKUP($F226,OFFSET(enemy_skill_triggers!$A$1,0,0,COUNTA(enemy_skill_triggers!$A:$A),MATCH(K$1,enemy_skill_triggers!$1:$1,0)-MATCH($F$1,enemy_skill_triggers!$1:$1,0)+1),MATCH(K$1,enemy_skill_triggers!$1:$1,0)-MATCH($F$1,enemy_skill_triggers!$1:$1,0)+1,FALSE)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6" s="48">
        <f ca="1">VLOOKUP($F226,OFFSET(enemy_skill_triggers!$A$1,0,0,COUNTA(enemy_skill_triggers!$A:$A),MATCH(L$1,enemy_skill_triggers!$1:$1,0)-MATCH($F$1,enemy_skill_triggers!$1:$1,0)+1),MATCH(L$1,enemy_skill_triggers!$1:$1,0)-MATCH($F$1,enemy_skill_triggers!$1:$1,0)+1,FALSE)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6" s="48" t="str">
        <f ca="1">VLOOKUP($F226,OFFSET(enemy_skill_triggers!$A$1,0,0,COUNTA(enemy_skill_triggers!$A:$A),MATCH(M$1,enemy_skill_triggers!$1:$1,0)-MATCH($F$1,enemy_skill_triggers!$1:$1,0)+1),MATCH(M$1,enemy_skill_triggers!$1:$1,0)-MATCH($F$1,enemy_skill_triggers!$1:$1,0)+1,FALSE)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6" s="48">
        <f ca="1">VLOOKUP($F226,OFFSET(enemy_skill_triggers!$A$1,0,0,COUNTA(enemy_skill_triggers!$A:$A),MATCH(N$1,enemy_skill_triggers!$1:$1,0)-MATCH($F$1,enemy_skill_triggers!$1:$1,0)+1),MATCH(N$1,enemy_skill_triggers!$1:$1,0)-MATCH($F$1,enemy_skill_triggers!$1:$1,0)+1,FALSE)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226" s="48">
        <f ca="1">VLOOKUP($F226,OFFSET(enemy_skill_triggers!$A$1,0,0,COUNTA(enemy_skill_triggers!$A:$A),MATCH(O$1,enemy_skill_triggers!$1:$1,0)-MATCH($F$1,enemy_skill_triggers!$1:$1,0)+1),MATCH(O$1,enemy_skill_triggers!$1:$1,0)-MATCH($F$1,enemy_skill_triggers!$1:$1,0)+1,FALSE)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6" s="47"/>
      <c r="Q226" s="47"/>
      <c r="R226" s="47"/>
    </row>
    <row r="227" spans="1:18" ht="21" customHeight="1" x14ac:dyDescent="0.15">
      <c r="A227" s="39" t="str">
        <f t="shared" si="13"/>
        <v>47004400_47004406</v>
      </c>
      <c r="B227" s="128">
        <v>47004400</v>
      </c>
      <c r="C227" s="47">
        <v>47004406</v>
      </c>
      <c r="D227" s="46" t="str">
        <f ca="1">VLOOKUP($C227,OFFSET(enemy_skills!$A$1,0,0,COUNTA(enemy_skills!$A:$A),MATCH(D$1,enemy_skills!$1:$1,0)-MATCH("enemy_skill_id",enemy_skills!$1:$1,0)+1),MATCH(D$1,enemy_skills!$1:$1,0)-MATCH("enemy_skill_id",enemy_skills!$1:$1,0)+1,FALSE)</f>
        <v>ラチカ…君は僕の心を_x000D_救うことができるかい…？</v>
      </c>
      <c r="E227" s="46" t="str">
        <f ca="1">VLOOKUP($C227,OFFSET(enemy_skills!$A$1,0,0,COUNTA(enemy_skills!$A:$A),MATCH(E$1,enemy_skills!$1:$1,0)-MATCH("enemy_skill_id",enemy_skills!$1:$1,0)+1),MATCH(E$1,enemy_skills!$1:$1,0)-MATCH("enemy_skill_id",enemy_skills!$1:$1,0)+1,FALSE)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27" s="47">
        <v>47004407</v>
      </c>
      <c r="G227" s="48">
        <f ca="1">VLOOKUP($F227,OFFSET(enemy_skill_triggers!$A$1,0,0,COUNTA(enemy_skill_triggers!$A:$A),MATCH(G$1,enemy_skill_triggers!$1:$1,0)-MATCH($F$1,enemy_skill_triggers!$1:$1,0)+1),MATCH(G$1,enemy_skill_triggers!$1:$1,0)-MATCH($F$1,enemy_skill_triggers!$1:$1,0)+1,FALSE)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7" s="48">
        <f ca="1">VLOOKUP($F227,OFFSET(enemy_skill_triggers!$A$1,0,0,COUNTA(enemy_skill_triggers!$A:$A),MATCH(H$1,enemy_skill_triggers!$1:$1,0)-MATCH($F$1,enemy_skill_triggers!$1:$1,0)+1),MATCH(H$1,enemy_skill_triggers!$1:$1,0)-MATCH($F$1,enemy_skill_triggers!$1:$1,0)+1,FALSE)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227" s="48">
        <f ca="1">VLOOKUP($F227,OFFSET(enemy_skill_triggers!$A$1,0,0,COUNTA(enemy_skill_triggers!$A:$A),MATCH(I$1,enemy_skill_triggers!$1:$1,0)-MATCH($F$1,enemy_skill_triggers!$1:$1,0)+1),MATCH(I$1,enemy_skill_triggers!$1:$1,0)-MATCH($F$1,enemy_skill_triggers!$1:$1,0)+1,FALSE)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7" s="48" t="str">
        <f ca="1">VLOOKUP($F227,OFFSET(enemy_skill_triggers!$A$1,0,0,COUNTA(enemy_skill_triggers!$A:$A),MATCH(J$1,enemy_skill_triggers!$1:$1,0)-MATCH($F$1,enemy_skill_triggers!$1:$1,0)+1),MATCH(J$1,enemy_skill_triggers!$1:$1,0)-MATCH($F$1,enemy_skill_triggers!$1:$1,0)+1,FALSE)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7" s="48" t="str">
        <f ca="1">VLOOKUP($F227,OFFSET(enemy_skill_triggers!$A$1,0,0,COUNTA(enemy_skill_triggers!$A:$A),MATCH(K$1,enemy_skill_triggers!$1:$1,0)-MATCH($F$1,enemy_skill_triggers!$1:$1,0)+1),MATCH(K$1,enemy_skill_triggers!$1:$1,0)-MATCH($F$1,enemy_skill_triggers!$1:$1,0)+1,FALSE)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7" s="48">
        <f ca="1">VLOOKUP($F227,OFFSET(enemy_skill_triggers!$A$1,0,0,COUNTA(enemy_skill_triggers!$A:$A),MATCH(L$1,enemy_skill_triggers!$1:$1,0)-MATCH($F$1,enemy_skill_triggers!$1:$1,0)+1),MATCH(L$1,enemy_skill_triggers!$1:$1,0)-MATCH($F$1,enemy_skill_triggers!$1:$1,0)+1,FALSE)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7" s="48" t="str">
        <f ca="1">VLOOKUP($F227,OFFSET(enemy_skill_triggers!$A$1,0,0,COUNTA(enemy_skill_triggers!$A:$A),MATCH(M$1,enemy_skill_triggers!$1:$1,0)-MATCH($F$1,enemy_skill_triggers!$1:$1,0)+1),MATCH(M$1,enemy_skill_triggers!$1:$1,0)-MATCH($F$1,enemy_skill_triggers!$1:$1,0)+1,FALSE)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7" s="48">
        <f ca="1">VLOOKUP($F227,OFFSET(enemy_skill_triggers!$A$1,0,0,COUNTA(enemy_skill_triggers!$A:$A),MATCH(N$1,enemy_skill_triggers!$1:$1,0)-MATCH($F$1,enemy_skill_triggers!$1:$1,0)+1),MATCH(N$1,enemy_skill_triggers!$1:$1,0)-MATCH($F$1,enemy_skill_triggers!$1:$1,0)+1,FALSE)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227" s="48">
        <f ca="1">VLOOKUP($F227,OFFSET(enemy_skill_triggers!$A$1,0,0,COUNTA(enemy_skill_triggers!$A:$A),MATCH(O$1,enemy_skill_triggers!$1:$1,0)-MATCH($F$1,enemy_skill_triggers!$1:$1,0)+1),MATCH(O$1,enemy_skill_triggers!$1:$1,0)-MATCH($F$1,enemy_skill_triggers!$1:$1,0)+1,FALSE)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7" s="47"/>
      <c r="Q227" s="47"/>
      <c r="R227" s="47"/>
    </row>
    <row r="228" spans="1:18" ht="21" customHeight="1" x14ac:dyDescent="0.15">
      <c r="A228" s="39" t="str">
        <f t="shared" si="13"/>
        <v>47004400_47004407</v>
      </c>
      <c r="B228" s="128">
        <v>47004400</v>
      </c>
      <c r="C228" s="47">
        <v>47004407</v>
      </c>
      <c r="D228" s="46" t="str">
        <f ca="1">VLOOKUP($C228,OFFSET(enemy_skills!$A$1,0,0,COUNTA(enemy_skills!$A:$A),MATCH(D$1,enemy_skills!$1:$1,0)-MATCH("enemy_skill_id",enemy_skills!$1:$1,0)+1),MATCH(D$1,enemy_skills!$1:$1,0)-MATCH("enemy_skill_id",enemy_skills!$1:$1,0)+1,FALSE)</f>
        <v>聖母の名にふさわしい優しさ…_x000D_見せてくれるかな？</v>
      </c>
      <c r="E228" s="46" t="str">
        <f ca="1">VLOOKUP($C228,OFFSET(enemy_skills!$A$1,0,0,COUNTA(enemy_skills!$A:$A),MATCH(E$1,enemy_skills!$1:$1,0)-MATCH("enemy_skill_id",enemy_skills!$1:$1,0)+1),MATCH(E$1,enemy_skills!$1:$1,0)-MATCH("enemy_skill_id",enemy_skills!$1:$1,0)+1,FALSE)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28" s="47">
        <v>47004408</v>
      </c>
      <c r="G228" s="48">
        <f ca="1">VLOOKUP($F228,OFFSET(enemy_skill_triggers!$A$1,0,0,COUNTA(enemy_skill_triggers!$A:$A),MATCH(G$1,enemy_skill_triggers!$1:$1,0)-MATCH($F$1,enemy_skill_triggers!$1:$1,0)+1),MATCH(G$1,enemy_skill_triggers!$1:$1,0)-MATCH($F$1,enemy_skill_triggers!$1:$1,0)+1,FALSE)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8" s="48">
        <f ca="1">VLOOKUP($F228,OFFSET(enemy_skill_triggers!$A$1,0,0,COUNTA(enemy_skill_triggers!$A:$A),MATCH(H$1,enemy_skill_triggers!$1:$1,0)-MATCH($F$1,enemy_skill_triggers!$1:$1,0)+1),MATCH(H$1,enemy_skill_triggers!$1:$1,0)-MATCH($F$1,enemy_skill_triggers!$1:$1,0)+1,FALSE)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228" s="48">
        <f ca="1">VLOOKUP($F228,OFFSET(enemy_skill_triggers!$A$1,0,0,COUNTA(enemy_skill_triggers!$A:$A),MATCH(I$1,enemy_skill_triggers!$1:$1,0)-MATCH($F$1,enemy_skill_triggers!$1:$1,0)+1),MATCH(I$1,enemy_skill_triggers!$1:$1,0)-MATCH($F$1,enemy_skill_triggers!$1:$1,0)+1,FALSE)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8" s="48" t="str">
        <f ca="1">VLOOKUP($F228,OFFSET(enemy_skill_triggers!$A$1,0,0,COUNTA(enemy_skill_triggers!$A:$A),MATCH(J$1,enemy_skill_triggers!$1:$1,0)-MATCH($F$1,enemy_skill_triggers!$1:$1,0)+1),MATCH(J$1,enemy_skill_triggers!$1:$1,0)-MATCH($F$1,enemy_skill_triggers!$1:$1,0)+1,FALSE)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8" s="48" t="str">
        <f ca="1">VLOOKUP($F228,OFFSET(enemy_skill_triggers!$A$1,0,0,COUNTA(enemy_skill_triggers!$A:$A),MATCH(K$1,enemy_skill_triggers!$1:$1,0)-MATCH($F$1,enemy_skill_triggers!$1:$1,0)+1),MATCH(K$1,enemy_skill_triggers!$1:$1,0)-MATCH($F$1,enemy_skill_triggers!$1:$1,0)+1,FALSE)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8" s="48">
        <f ca="1">VLOOKUP($F228,OFFSET(enemy_skill_triggers!$A$1,0,0,COUNTA(enemy_skill_triggers!$A:$A),MATCH(L$1,enemy_skill_triggers!$1:$1,0)-MATCH($F$1,enemy_skill_triggers!$1:$1,0)+1),MATCH(L$1,enemy_skill_triggers!$1:$1,0)-MATCH($F$1,enemy_skill_triggers!$1:$1,0)+1,FALSE)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8" s="48" t="str">
        <f ca="1">VLOOKUP($F228,OFFSET(enemy_skill_triggers!$A$1,0,0,COUNTA(enemy_skill_triggers!$A:$A),MATCH(M$1,enemy_skill_triggers!$1:$1,0)-MATCH($F$1,enemy_skill_triggers!$1:$1,0)+1),MATCH(M$1,enemy_skill_triggers!$1:$1,0)-MATCH($F$1,enemy_skill_triggers!$1:$1,0)+1,FALSE)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8" s="48">
        <f ca="1">VLOOKUP($F228,OFFSET(enemy_skill_triggers!$A$1,0,0,COUNTA(enemy_skill_triggers!$A:$A),MATCH(N$1,enemy_skill_triggers!$1:$1,0)-MATCH($F$1,enemy_skill_triggers!$1:$1,0)+1),MATCH(N$1,enemy_skill_triggers!$1:$1,0)-MATCH($F$1,enemy_skill_triggers!$1:$1,0)+1,FALSE)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228" s="48">
        <f ca="1">VLOOKUP($F228,OFFSET(enemy_skill_triggers!$A$1,0,0,COUNTA(enemy_skill_triggers!$A:$A),MATCH(O$1,enemy_skill_triggers!$1:$1,0)-MATCH($F$1,enemy_skill_triggers!$1:$1,0)+1),MATCH(O$1,enemy_skill_triggers!$1:$1,0)-MATCH($F$1,enemy_skill_triggers!$1:$1,0)+1,FALSE)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8" s="47"/>
      <c r="Q228" s="47"/>
      <c r="R228" s="47"/>
    </row>
    <row r="229" spans="1:18" ht="21" customHeight="1" x14ac:dyDescent="0.15">
      <c r="A229" s="39" t="str">
        <f t="shared" si="13"/>
        <v>47004400_47004407</v>
      </c>
      <c r="B229" s="128">
        <v>47004400</v>
      </c>
      <c r="C229" s="47">
        <v>47004407</v>
      </c>
      <c r="D229" s="46" t="str">
        <f ca="1">VLOOKUP($C229,OFFSET(enemy_skills!$A$1,0,0,COUNTA(enemy_skills!$A:$A),MATCH(D$1,enemy_skills!$1:$1,0)-MATCH("enemy_skill_id",enemy_skills!$1:$1,0)+1),MATCH(D$1,enemy_skills!$1:$1,0)-MATCH("enemy_skill_id",enemy_skills!$1:$1,0)+1,FALSE)</f>
        <v>聖母の名にふさわしい優しさ…_x000D_見せてくれるかな？</v>
      </c>
      <c r="E229" s="46" t="str">
        <f ca="1">VLOOKUP($C229,OFFSET(enemy_skills!$A$1,0,0,COUNTA(enemy_skills!$A:$A),MATCH(E$1,enemy_skills!$1:$1,0)-MATCH("enemy_skill_id",enemy_skills!$1:$1,0)+1),MATCH(E$1,enemy_skills!$1:$1,0)-MATCH("enemy_skill_id",enemy_skills!$1:$1,0)+1,FALSE)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29" s="47">
        <v>47004409</v>
      </c>
      <c r="G229" s="48">
        <f ca="1">VLOOKUP($F229,OFFSET(enemy_skill_triggers!$A$1,0,0,COUNTA(enemy_skill_triggers!$A:$A),MATCH(G$1,enemy_skill_triggers!$1:$1,0)-MATCH($F$1,enemy_skill_triggers!$1:$1,0)+1),MATCH(G$1,enemy_skill_triggers!$1:$1,0)-MATCH($F$1,enemy_skill_triggers!$1:$1,0)+1,FALSE)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9" s="48">
        <f ca="1">VLOOKUP($F229,OFFSET(enemy_skill_triggers!$A$1,0,0,COUNTA(enemy_skill_triggers!$A:$A),MATCH(H$1,enemy_skill_triggers!$1:$1,0)-MATCH($F$1,enemy_skill_triggers!$1:$1,0)+1),MATCH(H$1,enemy_skill_triggers!$1:$1,0)-MATCH($F$1,enemy_skill_triggers!$1:$1,0)+1,FALSE)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229" s="48">
        <f ca="1">VLOOKUP($F229,OFFSET(enemy_skill_triggers!$A$1,0,0,COUNTA(enemy_skill_triggers!$A:$A),MATCH(I$1,enemy_skill_triggers!$1:$1,0)-MATCH($F$1,enemy_skill_triggers!$1:$1,0)+1),MATCH(I$1,enemy_skill_triggers!$1:$1,0)-MATCH($F$1,enemy_skill_triggers!$1:$1,0)+1,FALSE)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9" s="48" t="str">
        <f ca="1">VLOOKUP($F229,OFFSET(enemy_skill_triggers!$A$1,0,0,COUNTA(enemy_skill_triggers!$A:$A),MATCH(J$1,enemy_skill_triggers!$1:$1,0)-MATCH($F$1,enemy_skill_triggers!$1:$1,0)+1),MATCH(J$1,enemy_skill_triggers!$1:$1,0)-MATCH($F$1,enemy_skill_triggers!$1:$1,0)+1,FALSE)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9" s="48" t="str">
        <f ca="1">VLOOKUP($F229,OFFSET(enemy_skill_triggers!$A$1,0,0,COUNTA(enemy_skill_triggers!$A:$A),MATCH(K$1,enemy_skill_triggers!$1:$1,0)-MATCH($F$1,enemy_skill_triggers!$1:$1,0)+1),MATCH(K$1,enemy_skill_triggers!$1:$1,0)-MATCH($F$1,enemy_skill_triggers!$1:$1,0)+1,FALSE)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9" s="48">
        <f ca="1">VLOOKUP($F229,OFFSET(enemy_skill_triggers!$A$1,0,0,COUNTA(enemy_skill_triggers!$A:$A),MATCH(L$1,enemy_skill_triggers!$1:$1,0)-MATCH($F$1,enemy_skill_triggers!$1:$1,0)+1),MATCH(L$1,enemy_skill_triggers!$1:$1,0)-MATCH($F$1,enemy_skill_triggers!$1:$1,0)+1,FALSE)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9" s="48" t="str">
        <f ca="1">VLOOKUP($F229,OFFSET(enemy_skill_triggers!$A$1,0,0,COUNTA(enemy_skill_triggers!$A:$A),MATCH(M$1,enemy_skill_triggers!$1:$1,0)-MATCH($F$1,enemy_skill_triggers!$1:$1,0)+1),MATCH(M$1,enemy_skill_triggers!$1:$1,0)-MATCH($F$1,enemy_skill_triggers!$1:$1,0)+1,FALSE)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9" s="48">
        <f ca="1">VLOOKUP($F229,OFFSET(enemy_skill_triggers!$A$1,0,0,COUNTA(enemy_skill_triggers!$A:$A),MATCH(N$1,enemy_skill_triggers!$1:$1,0)-MATCH($F$1,enemy_skill_triggers!$1:$1,0)+1),MATCH(N$1,enemy_skill_triggers!$1:$1,0)-MATCH($F$1,enemy_skill_triggers!$1:$1,0)+1,FALSE)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229" s="48">
        <f ca="1">VLOOKUP($F229,OFFSET(enemy_skill_triggers!$A$1,0,0,COUNTA(enemy_skill_triggers!$A:$A),MATCH(O$1,enemy_skill_triggers!$1:$1,0)-MATCH($F$1,enemy_skill_triggers!$1:$1,0)+1),MATCH(O$1,enemy_skill_triggers!$1:$1,0)-MATCH($F$1,enemy_skill_triggers!$1:$1,0)+1,FALSE)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9" s="47"/>
      <c r="Q229" s="47"/>
      <c r="R229" s="47"/>
    </row>
    <row r="230" spans="1:18" ht="21" customHeight="1" x14ac:dyDescent="0.15">
      <c r="A230" s="39" t="str">
        <f t="shared" si="13"/>
        <v>47004400_47004407</v>
      </c>
      <c r="B230" s="128">
        <v>47004400</v>
      </c>
      <c r="C230" s="47">
        <v>47004407</v>
      </c>
      <c r="D230" s="46" t="str">
        <f ca="1">VLOOKUP($C230,OFFSET(enemy_skills!$A$1,0,0,COUNTA(enemy_skills!$A:$A),MATCH(D$1,enemy_skills!$1:$1,0)-MATCH("enemy_skill_id",enemy_skills!$1:$1,0)+1),MATCH(D$1,enemy_skills!$1:$1,0)-MATCH("enemy_skill_id",enemy_skills!$1:$1,0)+1,FALSE)</f>
        <v>聖母の名にふさわしい優しさ…_x000D_見せてくれるかな？</v>
      </c>
      <c r="E230" s="46" t="str">
        <f ca="1">VLOOKUP($C230,OFFSET(enemy_skills!$A$1,0,0,COUNTA(enemy_skills!$A:$A),MATCH(E$1,enemy_skills!$1:$1,0)-MATCH("enemy_skill_id",enemy_skills!$1:$1,0)+1),MATCH(E$1,enemy_skills!$1:$1,0)-MATCH("enemy_skill_id",enemy_skills!$1:$1,0)+1,FALSE)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30" s="47">
        <v>47004410</v>
      </c>
      <c r="G230" s="48">
        <f ca="1">VLOOKUP($F230,OFFSET(enemy_skill_triggers!$A$1,0,0,COUNTA(enemy_skill_triggers!$A:$A),MATCH(G$1,enemy_skill_triggers!$1:$1,0)-MATCH($F$1,enemy_skill_triggers!$1:$1,0)+1),MATCH(G$1,enemy_skill_triggers!$1:$1,0)-MATCH($F$1,enemy_skill_triggers!$1:$1,0)+1,FALSE)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0" s="48">
        <f ca="1">VLOOKUP($F230,OFFSET(enemy_skill_triggers!$A$1,0,0,COUNTA(enemy_skill_triggers!$A:$A),MATCH(H$1,enemy_skill_triggers!$1:$1,0)-MATCH($F$1,enemy_skill_triggers!$1:$1,0)+1),MATCH(H$1,enemy_skill_triggers!$1:$1,0)-MATCH($F$1,enemy_skill_triggers!$1:$1,0)+1,FALSE)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230" s="48">
        <f ca="1">VLOOKUP($F230,OFFSET(enemy_skill_triggers!$A$1,0,0,COUNTA(enemy_skill_triggers!$A:$A),MATCH(I$1,enemy_skill_triggers!$1:$1,0)-MATCH($F$1,enemy_skill_triggers!$1:$1,0)+1),MATCH(I$1,enemy_skill_triggers!$1:$1,0)-MATCH($F$1,enemy_skill_triggers!$1:$1,0)+1,FALSE)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0" s="48" t="str">
        <f ca="1">VLOOKUP($F230,OFFSET(enemy_skill_triggers!$A$1,0,0,COUNTA(enemy_skill_triggers!$A:$A),MATCH(J$1,enemy_skill_triggers!$1:$1,0)-MATCH($F$1,enemy_skill_triggers!$1:$1,0)+1),MATCH(J$1,enemy_skill_triggers!$1:$1,0)-MATCH($F$1,enemy_skill_triggers!$1:$1,0)+1,FALSE)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0" s="48" t="str">
        <f ca="1">VLOOKUP($F230,OFFSET(enemy_skill_triggers!$A$1,0,0,COUNTA(enemy_skill_triggers!$A:$A),MATCH(K$1,enemy_skill_triggers!$1:$1,0)-MATCH($F$1,enemy_skill_triggers!$1:$1,0)+1),MATCH(K$1,enemy_skill_triggers!$1:$1,0)-MATCH($F$1,enemy_skill_triggers!$1:$1,0)+1,FALSE)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0" s="48">
        <f ca="1">VLOOKUP($F230,OFFSET(enemy_skill_triggers!$A$1,0,0,COUNTA(enemy_skill_triggers!$A:$A),MATCH(L$1,enemy_skill_triggers!$1:$1,0)-MATCH($F$1,enemy_skill_triggers!$1:$1,0)+1),MATCH(L$1,enemy_skill_triggers!$1:$1,0)-MATCH($F$1,enemy_skill_triggers!$1:$1,0)+1,FALSE)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0" s="48" t="str">
        <f ca="1">VLOOKUP($F230,OFFSET(enemy_skill_triggers!$A$1,0,0,COUNTA(enemy_skill_triggers!$A:$A),MATCH(M$1,enemy_skill_triggers!$1:$1,0)-MATCH($F$1,enemy_skill_triggers!$1:$1,0)+1),MATCH(M$1,enemy_skill_triggers!$1:$1,0)-MATCH($F$1,enemy_skill_triggers!$1:$1,0)+1,FALSE)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0" s="48">
        <f ca="1">VLOOKUP($F230,OFFSET(enemy_skill_triggers!$A$1,0,0,COUNTA(enemy_skill_triggers!$A:$A),MATCH(N$1,enemy_skill_triggers!$1:$1,0)-MATCH($F$1,enemy_skill_triggers!$1:$1,0)+1),MATCH(N$1,enemy_skill_triggers!$1:$1,0)-MATCH($F$1,enemy_skill_triggers!$1:$1,0)+1,FALSE)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230" s="48">
        <f ca="1">VLOOKUP($F230,OFFSET(enemy_skill_triggers!$A$1,0,0,COUNTA(enemy_skill_triggers!$A:$A),MATCH(O$1,enemy_skill_triggers!$1:$1,0)-MATCH($F$1,enemy_skill_triggers!$1:$1,0)+1),MATCH(O$1,enemy_skill_triggers!$1:$1,0)-MATCH($F$1,enemy_skill_triggers!$1:$1,0)+1,FALSE)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0" s="47"/>
      <c r="Q230" s="47"/>
      <c r="R230" s="47"/>
    </row>
    <row r="231" spans="1:18" ht="21" customHeight="1" x14ac:dyDescent="0.15">
      <c r="A231" s="39" t="str">
        <f t="shared" si="13"/>
        <v>47004400_47004408</v>
      </c>
      <c r="B231" s="128">
        <v>47004400</v>
      </c>
      <c r="C231" s="47">
        <v>47004408</v>
      </c>
      <c r="D231" s="46" t="str">
        <f ca="1">VLOOKUP($C231,OFFSET(enemy_skills!$A$1,0,0,COUNTA(enemy_skills!$A:$A),MATCH(D$1,enemy_skills!$1:$1,0)-MATCH("enemy_skill_id",enemy_skills!$1:$1,0)+1),MATCH(D$1,enemy_skills!$1:$1,0)-MATCH("enemy_skill_id",enemy_skills!$1:$1,0)+1,FALSE)</f>
        <v>僕にも天使の祝福を…？_x000D_もったいないよ…</v>
      </c>
      <c r="E231" s="46" t="str">
        <f ca="1">VLOOKUP($C231,OFFSET(enemy_skills!$A$1,0,0,COUNTA(enemy_skills!$A:$A),MATCH(E$1,enemy_skills!$1:$1,0)-MATCH("enemy_skill_id",enemy_skills!$1:$1,0)+1),MATCH(E$1,enemy_skills!$1:$1,0)-MATCH("enemy_skill_id",enemy_skills!$1:$1,0)+1,FALSE)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31" s="47">
        <v>47004411</v>
      </c>
      <c r="G231" s="48">
        <f ca="1">VLOOKUP($F231,OFFSET(enemy_skill_triggers!$A$1,0,0,COUNTA(enemy_skill_triggers!$A:$A),MATCH(G$1,enemy_skill_triggers!$1:$1,0)-MATCH($F$1,enemy_skill_triggers!$1:$1,0)+1),MATCH(G$1,enemy_skill_triggers!$1:$1,0)-MATCH($F$1,enemy_skill_triggers!$1:$1,0)+1,FALSE)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1" s="48">
        <f ca="1">VLOOKUP($F231,OFFSET(enemy_skill_triggers!$A$1,0,0,COUNTA(enemy_skill_triggers!$A:$A),MATCH(H$1,enemy_skill_triggers!$1:$1,0)-MATCH($F$1,enemy_skill_triggers!$1:$1,0)+1),MATCH(H$1,enemy_skill_triggers!$1:$1,0)-MATCH($F$1,enemy_skill_triggers!$1:$1,0)+1,FALSE)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231" s="48">
        <f ca="1">VLOOKUP($F231,OFFSET(enemy_skill_triggers!$A$1,0,0,COUNTA(enemy_skill_triggers!$A:$A),MATCH(I$1,enemy_skill_triggers!$1:$1,0)-MATCH($F$1,enemy_skill_triggers!$1:$1,0)+1),MATCH(I$1,enemy_skill_triggers!$1:$1,0)-MATCH($F$1,enemy_skill_triggers!$1:$1,0)+1,FALSE)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1" s="48" t="str">
        <f ca="1">VLOOKUP($F231,OFFSET(enemy_skill_triggers!$A$1,0,0,COUNTA(enemy_skill_triggers!$A:$A),MATCH(J$1,enemy_skill_triggers!$1:$1,0)-MATCH($F$1,enemy_skill_triggers!$1:$1,0)+1),MATCH(J$1,enemy_skill_triggers!$1:$1,0)-MATCH($F$1,enemy_skill_triggers!$1:$1,0)+1,FALSE)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1" s="48" t="str">
        <f ca="1">VLOOKUP($F231,OFFSET(enemy_skill_triggers!$A$1,0,0,COUNTA(enemy_skill_triggers!$A:$A),MATCH(K$1,enemy_skill_triggers!$1:$1,0)-MATCH($F$1,enemy_skill_triggers!$1:$1,0)+1),MATCH(K$1,enemy_skill_triggers!$1:$1,0)-MATCH($F$1,enemy_skill_triggers!$1:$1,0)+1,FALSE)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1" s="48">
        <f ca="1">VLOOKUP($F231,OFFSET(enemy_skill_triggers!$A$1,0,0,COUNTA(enemy_skill_triggers!$A:$A),MATCH(L$1,enemy_skill_triggers!$1:$1,0)-MATCH($F$1,enemy_skill_triggers!$1:$1,0)+1),MATCH(L$1,enemy_skill_triggers!$1:$1,0)-MATCH($F$1,enemy_skill_triggers!$1:$1,0)+1,FALSE)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1" s="48" t="str">
        <f ca="1">VLOOKUP($F231,OFFSET(enemy_skill_triggers!$A$1,0,0,COUNTA(enemy_skill_triggers!$A:$A),MATCH(M$1,enemy_skill_triggers!$1:$1,0)-MATCH($F$1,enemy_skill_triggers!$1:$1,0)+1),MATCH(M$1,enemy_skill_triggers!$1:$1,0)-MATCH($F$1,enemy_skill_triggers!$1:$1,0)+1,FALSE)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1" s="48">
        <f ca="1">VLOOKUP($F231,OFFSET(enemy_skill_triggers!$A$1,0,0,COUNTA(enemy_skill_triggers!$A:$A),MATCH(N$1,enemy_skill_triggers!$1:$1,0)-MATCH($F$1,enemy_skill_triggers!$1:$1,0)+1),MATCH(N$1,enemy_skill_triggers!$1:$1,0)-MATCH($F$1,enemy_skill_triggers!$1:$1,0)+1,FALSE)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231" s="48">
        <f ca="1">VLOOKUP($F231,OFFSET(enemy_skill_triggers!$A$1,0,0,COUNTA(enemy_skill_triggers!$A:$A),MATCH(O$1,enemy_skill_triggers!$1:$1,0)-MATCH($F$1,enemy_skill_triggers!$1:$1,0)+1),MATCH(O$1,enemy_skill_triggers!$1:$1,0)-MATCH($F$1,enemy_skill_triggers!$1:$1,0)+1,FALSE)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1" s="47"/>
      <c r="Q231" s="47"/>
      <c r="R231" s="47"/>
    </row>
    <row r="232" spans="1:18" ht="21" customHeight="1" x14ac:dyDescent="0.15">
      <c r="A232" s="39" t="str">
        <f t="shared" si="13"/>
        <v>47004400_47004408</v>
      </c>
      <c r="B232" s="128">
        <v>47004400</v>
      </c>
      <c r="C232" s="47">
        <v>47004408</v>
      </c>
      <c r="D232" s="46" t="str">
        <f ca="1">VLOOKUP($C232,OFFSET(enemy_skills!$A$1,0,0,COUNTA(enemy_skills!$A:$A),MATCH(D$1,enemy_skills!$1:$1,0)-MATCH("enemy_skill_id",enemy_skills!$1:$1,0)+1),MATCH(D$1,enemy_skills!$1:$1,0)-MATCH("enemy_skill_id",enemy_skills!$1:$1,0)+1,FALSE)</f>
        <v>僕にも天使の祝福を…？_x000D_もったいないよ…</v>
      </c>
      <c r="E232" s="46" t="str">
        <f ca="1">VLOOKUP($C232,OFFSET(enemy_skills!$A$1,0,0,COUNTA(enemy_skills!$A:$A),MATCH(E$1,enemy_skills!$1:$1,0)-MATCH("enemy_skill_id",enemy_skills!$1:$1,0)+1),MATCH(E$1,enemy_skills!$1:$1,0)-MATCH("enemy_skill_id",enemy_skills!$1:$1,0)+1,FALSE)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32" s="47">
        <v>47004412</v>
      </c>
      <c r="G232" s="48">
        <f ca="1">VLOOKUP($F232,OFFSET(enemy_skill_triggers!$A$1,0,0,COUNTA(enemy_skill_triggers!$A:$A),MATCH(G$1,enemy_skill_triggers!$1:$1,0)-MATCH($F$1,enemy_skill_triggers!$1:$1,0)+1),MATCH(G$1,enemy_skill_triggers!$1:$1,0)-MATCH($F$1,enemy_skill_triggers!$1:$1,0)+1,FALSE)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2" s="48">
        <f ca="1">VLOOKUP($F232,OFFSET(enemy_skill_triggers!$A$1,0,0,COUNTA(enemy_skill_triggers!$A:$A),MATCH(H$1,enemy_skill_triggers!$1:$1,0)-MATCH($F$1,enemy_skill_triggers!$1:$1,0)+1),MATCH(H$1,enemy_skill_triggers!$1:$1,0)-MATCH($F$1,enemy_skill_triggers!$1:$1,0)+1,FALSE)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232" s="48">
        <f ca="1">VLOOKUP($F232,OFFSET(enemy_skill_triggers!$A$1,0,0,COUNTA(enemy_skill_triggers!$A:$A),MATCH(I$1,enemy_skill_triggers!$1:$1,0)-MATCH($F$1,enemy_skill_triggers!$1:$1,0)+1),MATCH(I$1,enemy_skill_triggers!$1:$1,0)-MATCH($F$1,enemy_skill_triggers!$1:$1,0)+1,FALSE)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2" s="48" t="str">
        <f ca="1">VLOOKUP($F232,OFFSET(enemy_skill_triggers!$A$1,0,0,COUNTA(enemy_skill_triggers!$A:$A),MATCH(J$1,enemy_skill_triggers!$1:$1,0)-MATCH($F$1,enemy_skill_triggers!$1:$1,0)+1),MATCH(J$1,enemy_skill_triggers!$1:$1,0)-MATCH($F$1,enemy_skill_triggers!$1:$1,0)+1,FALSE)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2" s="48" t="str">
        <f ca="1">VLOOKUP($F232,OFFSET(enemy_skill_triggers!$A$1,0,0,COUNTA(enemy_skill_triggers!$A:$A),MATCH(K$1,enemy_skill_triggers!$1:$1,0)-MATCH($F$1,enemy_skill_triggers!$1:$1,0)+1),MATCH(K$1,enemy_skill_triggers!$1:$1,0)-MATCH($F$1,enemy_skill_triggers!$1:$1,0)+1,FALSE)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2" s="48">
        <f ca="1">VLOOKUP($F232,OFFSET(enemy_skill_triggers!$A$1,0,0,COUNTA(enemy_skill_triggers!$A:$A),MATCH(L$1,enemy_skill_triggers!$1:$1,0)-MATCH($F$1,enemy_skill_triggers!$1:$1,0)+1),MATCH(L$1,enemy_skill_triggers!$1:$1,0)-MATCH($F$1,enemy_skill_triggers!$1:$1,0)+1,FALSE)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2" s="48" t="str">
        <f ca="1">VLOOKUP($F232,OFFSET(enemy_skill_triggers!$A$1,0,0,COUNTA(enemy_skill_triggers!$A:$A),MATCH(M$1,enemy_skill_triggers!$1:$1,0)-MATCH($F$1,enemy_skill_triggers!$1:$1,0)+1),MATCH(M$1,enemy_skill_triggers!$1:$1,0)-MATCH($F$1,enemy_skill_triggers!$1:$1,0)+1,FALSE)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2" s="48">
        <f ca="1">VLOOKUP($F232,OFFSET(enemy_skill_triggers!$A$1,0,0,COUNTA(enemy_skill_triggers!$A:$A),MATCH(N$1,enemy_skill_triggers!$1:$1,0)-MATCH($F$1,enemy_skill_triggers!$1:$1,0)+1),MATCH(N$1,enemy_skill_triggers!$1:$1,0)-MATCH($F$1,enemy_skill_triggers!$1:$1,0)+1,FALSE)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232" s="48">
        <f ca="1">VLOOKUP($F232,OFFSET(enemy_skill_triggers!$A$1,0,0,COUNTA(enemy_skill_triggers!$A:$A),MATCH(O$1,enemy_skill_triggers!$1:$1,0)-MATCH($F$1,enemy_skill_triggers!$1:$1,0)+1),MATCH(O$1,enemy_skill_triggers!$1:$1,0)-MATCH($F$1,enemy_skill_triggers!$1:$1,0)+1,FALSE)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2" s="47"/>
      <c r="Q232" s="47"/>
      <c r="R232" s="47"/>
    </row>
    <row r="233" spans="1:18" ht="21" customHeight="1" x14ac:dyDescent="0.15">
      <c r="A233" s="39" t="str">
        <f t="shared" si="13"/>
        <v>47004400_47004408</v>
      </c>
      <c r="B233" s="128">
        <v>47004400</v>
      </c>
      <c r="C233" s="47">
        <v>47004408</v>
      </c>
      <c r="D233" s="46" t="str">
        <f ca="1">VLOOKUP($C233,OFFSET(enemy_skills!$A$1,0,0,COUNTA(enemy_skills!$A:$A),MATCH(D$1,enemy_skills!$1:$1,0)-MATCH("enemy_skill_id",enemy_skills!$1:$1,0)+1),MATCH(D$1,enemy_skills!$1:$1,0)-MATCH("enemy_skill_id",enemy_skills!$1:$1,0)+1,FALSE)</f>
        <v>僕にも天使の祝福を…？_x000D_もったいないよ…</v>
      </c>
      <c r="E233" s="46" t="str">
        <f ca="1">VLOOKUP($C233,OFFSET(enemy_skills!$A$1,0,0,COUNTA(enemy_skills!$A:$A),MATCH(E$1,enemy_skills!$1:$1,0)-MATCH("enemy_skill_id",enemy_skills!$1:$1,0)+1),MATCH(E$1,enemy_skills!$1:$1,0)-MATCH("enemy_skill_id",enemy_skills!$1:$1,0)+1,FALSE)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33" s="47">
        <v>47004413</v>
      </c>
      <c r="G233" s="48">
        <f ca="1">VLOOKUP($F233,OFFSET(enemy_skill_triggers!$A$1,0,0,COUNTA(enemy_skill_triggers!$A:$A),MATCH(G$1,enemy_skill_triggers!$1:$1,0)-MATCH($F$1,enemy_skill_triggers!$1:$1,0)+1),MATCH(G$1,enemy_skill_triggers!$1:$1,0)-MATCH($F$1,enemy_skill_triggers!$1:$1,0)+1,FALSE)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3" s="48">
        <f ca="1">VLOOKUP($F233,OFFSET(enemy_skill_triggers!$A$1,0,0,COUNTA(enemy_skill_triggers!$A:$A),MATCH(H$1,enemy_skill_triggers!$1:$1,0)-MATCH($F$1,enemy_skill_triggers!$1:$1,0)+1),MATCH(H$1,enemy_skill_triggers!$1:$1,0)-MATCH($F$1,enemy_skill_triggers!$1:$1,0)+1,FALSE)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233" s="48">
        <f ca="1">VLOOKUP($F233,OFFSET(enemy_skill_triggers!$A$1,0,0,COUNTA(enemy_skill_triggers!$A:$A),MATCH(I$1,enemy_skill_triggers!$1:$1,0)-MATCH($F$1,enemy_skill_triggers!$1:$1,0)+1),MATCH(I$1,enemy_skill_triggers!$1:$1,0)-MATCH($F$1,enemy_skill_triggers!$1:$1,0)+1,FALSE)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3" s="48" t="str">
        <f ca="1">VLOOKUP($F233,OFFSET(enemy_skill_triggers!$A$1,0,0,COUNTA(enemy_skill_triggers!$A:$A),MATCH(J$1,enemy_skill_triggers!$1:$1,0)-MATCH($F$1,enemy_skill_triggers!$1:$1,0)+1),MATCH(J$1,enemy_skill_triggers!$1:$1,0)-MATCH($F$1,enemy_skill_triggers!$1:$1,0)+1,FALSE)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3" s="48" t="str">
        <f ca="1">VLOOKUP($F233,OFFSET(enemy_skill_triggers!$A$1,0,0,COUNTA(enemy_skill_triggers!$A:$A),MATCH(K$1,enemy_skill_triggers!$1:$1,0)-MATCH($F$1,enemy_skill_triggers!$1:$1,0)+1),MATCH(K$1,enemy_skill_triggers!$1:$1,0)-MATCH($F$1,enemy_skill_triggers!$1:$1,0)+1,FALSE)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3" s="48">
        <f ca="1">VLOOKUP($F233,OFFSET(enemy_skill_triggers!$A$1,0,0,COUNTA(enemy_skill_triggers!$A:$A),MATCH(L$1,enemy_skill_triggers!$1:$1,0)-MATCH($F$1,enemy_skill_triggers!$1:$1,0)+1),MATCH(L$1,enemy_skill_triggers!$1:$1,0)-MATCH($F$1,enemy_skill_triggers!$1:$1,0)+1,FALSE)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3" s="48" t="str">
        <f ca="1">VLOOKUP($F233,OFFSET(enemy_skill_triggers!$A$1,0,0,COUNTA(enemy_skill_triggers!$A:$A),MATCH(M$1,enemy_skill_triggers!$1:$1,0)-MATCH($F$1,enemy_skill_triggers!$1:$1,0)+1),MATCH(M$1,enemy_skill_triggers!$1:$1,0)-MATCH($F$1,enemy_skill_triggers!$1:$1,0)+1,FALSE)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3" s="48">
        <f ca="1">VLOOKUP($F233,OFFSET(enemy_skill_triggers!$A$1,0,0,COUNTA(enemy_skill_triggers!$A:$A),MATCH(N$1,enemy_skill_triggers!$1:$1,0)-MATCH($F$1,enemy_skill_triggers!$1:$1,0)+1),MATCH(N$1,enemy_skill_triggers!$1:$1,0)-MATCH($F$1,enemy_skill_triggers!$1:$1,0)+1,FALSE)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233" s="48">
        <f ca="1">VLOOKUP($F233,OFFSET(enemy_skill_triggers!$A$1,0,0,COUNTA(enemy_skill_triggers!$A:$A),MATCH(O$1,enemy_skill_triggers!$1:$1,0)-MATCH($F$1,enemy_skill_triggers!$1:$1,0)+1),MATCH(O$1,enemy_skill_triggers!$1:$1,0)-MATCH($F$1,enemy_skill_triggers!$1:$1,0)+1,FALSE)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3" s="47"/>
      <c r="Q233" s="47"/>
      <c r="R233" s="47"/>
    </row>
    <row r="234" spans="1:18" ht="21" customHeight="1" x14ac:dyDescent="0.15">
      <c r="A234" s="39" t="str">
        <f t="shared" si="13"/>
        <v>47004400_47004409</v>
      </c>
      <c r="B234" s="128">
        <v>47004400</v>
      </c>
      <c r="C234" s="47">
        <v>47004409</v>
      </c>
      <c r="D234" s="46" t="str">
        <f ca="1">VLOOKUP($C234,OFFSET(enemy_skills!$A$1,0,0,COUNTA(enemy_skills!$A:$A),MATCH(D$1,enemy_skills!$1:$1,0)-MATCH("enemy_skill_id",enemy_skills!$1:$1,0)+1),MATCH(D$1,enemy_skills!$1:$1,0)-MATCH("enemy_skill_id",enemy_skills!$1:$1,0)+1,FALSE)</f>
        <v>随分大胆な衣装のサンタだね…_x000D_プレゼントをくれるのかい？</v>
      </c>
      <c r="E234" s="46" t="str">
        <f ca="1">VLOOKUP($C234,OFFSET(enemy_skills!$A$1,0,0,COUNTA(enemy_skills!$A:$A),MATCH(E$1,enemy_skills!$1:$1,0)-MATCH("enemy_skill_id",enemy_skills!$1:$1,0)+1),MATCH(E$1,enemy_skills!$1:$1,0)-MATCH("enemy_skill_id",enemy_skills!$1:$1,0)+1,FALSE)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34" s="47">
        <v>47004414</v>
      </c>
      <c r="G234" s="48">
        <f ca="1">VLOOKUP($F234,OFFSET(enemy_skill_triggers!$A$1,0,0,COUNTA(enemy_skill_triggers!$A:$A),MATCH(G$1,enemy_skill_triggers!$1:$1,0)-MATCH($F$1,enemy_skill_triggers!$1:$1,0)+1),MATCH(G$1,enemy_skill_triggers!$1:$1,0)-MATCH($F$1,enemy_skill_triggers!$1:$1,0)+1,FALSE)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4" s="48">
        <f ca="1">VLOOKUP($F234,OFFSET(enemy_skill_triggers!$A$1,0,0,COUNTA(enemy_skill_triggers!$A:$A),MATCH(H$1,enemy_skill_triggers!$1:$1,0)-MATCH($F$1,enemy_skill_triggers!$1:$1,0)+1),MATCH(H$1,enemy_skill_triggers!$1:$1,0)-MATCH($F$1,enemy_skill_triggers!$1:$1,0)+1,FALSE)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234" s="48">
        <f ca="1">VLOOKUP($F234,OFFSET(enemy_skill_triggers!$A$1,0,0,COUNTA(enemy_skill_triggers!$A:$A),MATCH(I$1,enemy_skill_triggers!$1:$1,0)-MATCH($F$1,enemy_skill_triggers!$1:$1,0)+1),MATCH(I$1,enemy_skill_triggers!$1:$1,0)-MATCH($F$1,enemy_skill_triggers!$1:$1,0)+1,FALSE)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4" s="48" t="str">
        <f ca="1">VLOOKUP($F234,OFFSET(enemy_skill_triggers!$A$1,0,0,COUNTA(enemy_skill_triggers!$A:$A),MATCH(J$1,enemy_skill_triggers!$1:$1,0)-MATCH($F$1,enemy_skill_triggers!$1:$1,0)+1),MATCH(J$1,enemy_skill_triggers!$1:$1,0)-MATCH($F$1,enemy_skill_triggers!$1:$1,0)+1,FALSE)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4" s="48" t="str">
        <f ca="1">VLOOKUP($F234,OFFSET(enemy_skill_triggers!$A$1,0,0,COUNTA(enemy_skill_triggers!$A:$A),MATCH(K$1,enemy_skill_triggers!$1:$1,0)-MATCH($F$1,enemy_skill_triggers!$1:$1,0)+1),MATCH(K$1,enemy_skill_triggers!$1:$1,0)-MATCH($F$1,enemy_skill_triggers!$1:$1,0)+1,FALSE)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4" s="48">
        <f ca="1">VLOOKUP($F234,OFFSET(enemy_skill_triggers!$A$1,0,0,COUNTA(enemy_skill_triggers!$A:$A),MATCH(L$1,enemy_skill_triggers!$1:$1,0)-MATCH($F$1,enemy_skill_triggers!$1:$1,0)+1),MATCH(L$1,enemy_skill_triggers!$1:$1,0)-MATCH($F$1,enemy_skill_triggers!$1:$1,0)+1,FALSE)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4" s="48" t="str">
        <f ca="1">VLOOKUP($F234,OFFSET(enemy_skill_triggers!$A$1,0,0,COUNTA(enemy_skill_triggers!$A:$A),MATCH(M$1,enemy_skill_triggers!$1:$1,0)-MATCH($F$1,enemy_skill_triggers!$1:$1,0)+1),MATCH(M$1,enemy_skill_triggers!$1:$1,0)-MATCH($F$1,enemy_skill_triggers!$1:$1,0)+1,FALSE)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4" s="48">
        <f ca="1">VLOOKUP($F234,OFFSET(enemy_skill_triggers!$A$1,0,0,COUNTA(enemy_skill_triggers!$A:$A),MATCH(N$1,enemy_skill_triggers!$1:$1,0)-MATCH($F$1,enemy_skill_triggers!$1:$1,0)+1),MATCH(N$1,enemy_skill_triggers!$1:$1,0)-MATCH($F$1,enemy_skill_triggers!$1:$1,0)+1,FALSE)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234" s="48">
        <f ca="1">VLOOKUP($F234,OFFSET(enemy_skill_triggers!$A$1,0,0,COUNTA(enemy_skill_triggers!$A:$A),MATCH(O$1,enemy_skill_triggers!$1:$1,0)-MATCH($F$1,enemy_skill_triggers!$1:$1,0)+1),MATCH(O$1,enemy_skill_triggers!$1:$1,0)-MATCH($F$1,enemy_skill_triggers!$1:$1,0)+1,FALSE)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4" s="47"/>
      <c r="Q234" s="47"/>
      <c r="R234" s="47"/>
    </row>
    <row r="235" spans="1:18" ht="21" customHeight="1" x14ac:dyDescent="0.15">
      <c r="A235" s="39" t="str">
        <f t="shared" si="13"/>
        <v>47004400_47004409</v>
      </c>
      <c r="B235" s="128">
        <v>47004400</v>
      </c>
      <c r="C235" s="47">
        <v>47004409</v>
      </c>
      <c r="D235" s="46" t="str">
        <f ca="1">VLOOKUP($C235,OFFSET(enemy_skills!$A$1,0,0,COUNTA(enemy_skills!$A:$A),MATCH(D$1,enemy_skills!$1:$1,0)-MATCH("enemy_skill_id",enemy_skills!$1:$1,0)+1),MATCH(D$1,enemy_skills!$1:$1,0)-MATCH("enemy_skill_id",enemy_skills!$1:$1,0)+1,FALSE)</f>
        <v>随分大胆な衣装のサンタだね…_x000D_プレゼントをくれるのかい？</v>
      </c>
      <c r="E235" s="46" t="str">
        <f ca="1">VLOOKUP($C235,OFFSET(enemy_skills!$A$1,0,0,COUNTA(enemy_skills!$A:$A),MATCH(E$1,enemy_skills!$1:$1,0)-MATCH("enemy_skill_id",enemy_skills!$1:$1,0)+1),MATCH(E$1,enemy_skills!$1:$1,0)-MATCH("enemy_skill_id",enemy_skills!$1:$1,0)+1,FALSE)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35" s="47">
        <v>47004415</v>
      </c>
      <c r="G235" s="48">
        <f ca="1">VLOOKUP($F235,OFFSET(enemy_skill_triggers!$A$1,0,0,COUNTA(enemy_skill_triggers!$A:$A),MATCH(G$1,enemy_skill_triggers!$1:$1,0)-MATCH($F$1,enemy_skill_triggers!$1:$1,0)+1),MATCH(G$1,enemy_skill_triggers!$1:$1,0)-MATCH($F$1,enemy_skill_triggers!$1:$1,0)+1,FALSE)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5" s="48">
        <f ca="1">VLOOKUP($F235,OFFSET(enemy_skill_triggers!$A$1,0,0,COUNTA(enemy_skill_triggers!$A:$A),MATCH(H$1,enemy_skill_triggers!$1:$1,0)-MATCH($F$1,enemy_skill_triggers!$1:$1,0)+1),MATCH(H$1,enemy_skill_triggers!$1:$1,0)-MATCH($F$1,enemy_skill_triggers!$1:$1,0)+1,FALSE)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235" s="48">
        <f ca="1">VLOOKUP($F235,OFFSET(enemy_skill_triggers!$A$1,0,0,COUNTA(enemy_skill_triggers!$A:$A),MATCH(I$1,enemy_skill_triggers!$1:$1,0)-MATCH($F$1,enemy_skill_triggers!$1:$1,0)+1),MATCH(I$1,enemy_skill_triggers!$1:$1,0)-MATCH($F$1,enemy_skill_triggers!$1:$1,0)+1,FALSE)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5" s="48" t="str">
        <f ca="1">VLOOKUP($F235,OFFSET(enemy_skill_triggers!$A$1,0,0,COUNTA(enemy_skill_triggers!$A:$A),MATCH(J$1,enemy_skill_triggers!$1:$1,0)-MATCH($F$1,enemy_skill_triggers!$1:$1,0)+1),MATCH(J$1,enemy_skill_triggers!$1:$1,0)-MATCH($F$1,enemy_skill_triggers!$1:$1,0)+1,FALSE)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5" s="48" t="str">
        <f ca="1">VLOOKUP($F235,OFFSET(enemy_skill_triggers!$A$1,0,0,COUNTA(enemy_skill_triggers!$A:$A),MATCH(K$1,enemy_skill_triggers!$1:$1,0)-MATCH($F$1,enemy_skill_triggers!$1:$1,0)+1),MATCH(K$1,enemy_skill_triggers!$1:$1,0)-MATCH($F$1,enemy_skill_triggers!$1:$1,0)+1,FALSE)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5" s="48">
        <f ca="1">VLOOKUP($F235,OFFSET(enemy_skill_triggers!$A$1,0,0,COUNTA(enemy_skill_triggers!$A:$A),MATCH(L$1,enemy_skill_triggers!$1:$1,0)-MATCH($F$1,enemy_skill_triggers!$1:$1,0)+1),MATCH(L$1,enemy_skill_triggers!$1:$1,0)-MATCH($F$1,enemy_skill_triggers!$1:$1,0)+1,FALSE)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5" s="48" t="str">
        <f ca="1">VLOOKUP($F235,OFFSET(enemy_skill_triggers!$A$1,0,0,COUNTA(enemy_skill_triggers!$A:$A),MATCH(M$1,enemy_skill_triggers!$1:$1,0)-MATCH($F$1,enemy_skill_triggers!$1:$1,0)+1),MATCH(M$1,enemy_skill_triggers!$1:$1,0)-MATCH($F$1,enemy_skill_triggers!$1:$1,0)+1,FALSE)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5" s="48">
        <f ca="1">VLOOKUP($F235,OFFSET(enemy_skill_triggers!$A$1,0,0,COUNTA(enemy_skill_triggers!$A:$A),MATCH(N$1,enemy_skill_triggers!$1:$1,0)-MATCH($F$1,enemy_skill_triggers!$1:$1,0)+1),MATCH(N$1,enemy_skill_triggers!$1:$1,0)-MATCH($F$1,enemy_skill_triggers!$1:$1,0)+1,FALSE)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235" s="48">
        <f ca="1">VLOOKUP($F235,OFFSET(enemy_skill_triggers!$A$1,0,0,COUNTA(enemy_skill_triggers!$A:$A),MATCH(O$1,enemy_skill_triggers!$1:$1,0)-MATCH($F$1,enemy_skill_triggers!$1:$1,0)+1),MATCH(O$1,enemy_skill_triggers!$1:$1,0)-MATCH($F$1,enemy_skill_triggers!$1:$1,0)+1,FALSE)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5" s="47"/>
      <c r="Q235" s="47"/>
      <c r="R235" s="47"/>
    </row>
    <row r="236" spans="1:18" ht="21" customHeight="1" x14ac:dyDescent="0.15">
      <c r="A236" s="39" t="str">
        <f t="shared" si="13"/>
        <v>47004400_47004409</v>
      </c>
      <c r="B236" s="128">
        <v>47004400</v>
      </c>
      <c r="C236" s="47">
        <v>47004409</v>
      </c>
      <c r="D236" s="46" t="str">
        <f ca="1">VLOOKUP($C236,OFFSET(enemy_skills!$A$1,0,0,COUNTA(enemy_skills!$A:$A),MATCH(D$1,enemy_skills!$1:$1,0)-MATCH("enemy_skill_id",enemy_skills!$1:$1,0)+1),MATCH(D$1,enemy_skills!$1:$1,0)-MATCH("enemy_skill_id",enemy_skills!$1:$1,0)+1,FALSE)</f>
        <v>随分大胆な衣装のサンタだね…_x000D_プレゼントをくれるのかい？</v>
      </c>
      <c r="E236" s="46" t="str">
        <f ca="1">VLOOKUP($C236,OFFSET(enemy_skills!$A$1,0,0,COUNTA(enemy_skills!$A:$A),MATCH(E$1,enemy_skills!$1:$1,0)-MATCH("enemy_skill_id",enemy_skills!$1:$1,0)+1),MATCH(E$1,enemy_skills!$1:$1,0)-MATCH("enemy_skill_id",enemy_skills!$1:$1,0)+1,FALSE)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36" s="47">
        <v>47004416</v>
      </c>
      <c r="G236" s="48">
        <f ca="1">VLOOKUP($F236,OFFSET(enemy_skill_triggers!$A$1,0,0,COUNTA(enemy_skill_triggers!$A:$A),MATCH(G$1,enemy_skill_triggers!$1:$1,0)-MATCH($F$1,enemy_skill_triggers!$1:$1,0)+1),MATCH(G$1,enemy_skill_triggers!$1:$1,0)-MATCH($F$1,enemy_skill_triggers!$1:$1,0)+1,FALSE)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6" s="48">
        <f ca="1">VLOOKUP($F236,OFFSET(enemy_skill_triggers!$A$1,0,0,COUNTA(enemy_skill_triggers!$A:$A),MATCH(H$1,enemy_skill_triggers!$1:$1,0)-MATCH($F$1,enemy_skill_triggers!$1:$1,0)+1),MATCH(H$1,enemy_skill_triggers!$1:$1,0)-MATCH($F$1,enemy_skill_triggers!$1:$1,0)+1,FALSE)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236" s="48">
        <f ca="1">VLOOKUP($F236,OFFSET(enemy_skill_triggers!$A$1,0,0,COUNTA(enemy_skill_triggers!$A:$A),MATCH(I$1,enemy_skill_triggers!$1:$1,0)-MATCH($F$1,enemy_skill_triggers!$1:$1,0)+1),MATCH(I$1,enemy_skill_triggers!$1:$1,0)-MATCH($F$1,enemy_skill_triggers!$1:$1,0)+1,FALSE)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6" s="48" t="str">
        <f ca="1">VLOOKUP($F236,OFFSET(enemy_skill_triggers!$A$1,0,0,COUNTA(enemy_skill_triggers!$A:$A),MATCH(J$1,enemy_skill_triggers!$1:$1,0)-MATCH($F$1,enemy_skill_triggers!$1:$1,0)+1),MATCH(J$1,enemy_skill_triggers!$1:$1,0)-MATCH($F$1,enemy_skill_triggers!$1:$1,0)+1,FALSE)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6" s="48" t="str">
        <f ca="1">VLOOKUP($F236,OFFSET(enemy_skill_triggers!$A$1,0,0,COUNTA(enemy_skill_triggers!$A:$A),MATCH(K$1,enemy_skill_triggers!$1:$1,0)-MATCH($F$1,enemy_skill_triggers!$1:$1,0)+1),MATCH(K$1,enemy_skill_triggers!$1:$1,0)-MATCH($F$1,enemy_skill_triggers!$1:$1,0)+1,FALSE)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6" s="48">
        <f ca="1">VLOOKUP($F236,OFFSET(enemy_skill_triggers!$A$1,0,0,COUNTA(enemy_skill_triggers!$A:$A),MATCH(L$1,enemy_skill_triggers!$1:$1,0)-MATCH($F$1,enemy_skill_triggers!$1:$1,0)+1),MATCH(L$1,enemy_skill_triggers!$1:$1,0)-MATCH($F$1,enemy_skill_triggers!$1:$1,0)+1,FALSE)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6" s="48" t="str">
        <f ca="1">VLOOKUP($F236,OFFSET(enemy_skill_triggers!$A$1,0,0,COUNTA(enemy_skill_triggers!$A:$A),MATCH(M$1,enemy_skill_triggers!$1:$1,0)-MATCH($F$1,enemy_skill_triggers!$1:$1,0)+1),MATCH(M$1,enemy_skill_triggers!$1:$1,0)-MATCH($F$1,enemy_skill_triggers!$1:$1,0)+1,FALSE)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6" s="48">
        <f ca="1">VLOOKUP($F236,OFFSET(enemy_skill_triggers!$A$1,0,0,COUNTA(enemy_skill_triggers!$A:$A),MATCH(N$1,enemy_skill_triggers!$1:$1,0)-MATCH($F$1,enemy_skill_triggers!$1:$1,0)+1),MATCH(N$1,enemy_skill_triggers!$1:$1,0)-MATCH($F$1,enemy_skill_triggers!$1:$1,0)+1,FALSE)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236" s="48">
        <f ca="1">VLOOKUP($F236,OFFSET(enemy_skill_triggers!$A$1,0,0,COUNTA(enemy_skill_triggers!$A:$A),MATCH(O$1,enemy_skill_triggers!$1:$1,0)-MATCH($F$1,enemy_skill_triggers!$1:$1,0)+1),MATCH(O$1,enemy_skill_triggers!$1:$1,0)-MATCH($F$1,enemy_skill_triggers!$1:$1,0)+1,FALSE)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6" s="47"/>
      <c r="Q236" s="47"/>
      <c r="R236" s="47"/>
    </row>
    <row r="237" spans="1:18" ht="21" customHeight="1" x14ac:dyDescent="0.15">
      <c r="A237" s="39" t="str">
        <f t="shared" si="13"/>
        <v>47004400_47004410</v>
      </c>
      <c r="B237" s="128">
        <v>47004400</v>
      </c>
      <c r="C237" s="47">
        <v>47004410</v>
      </c>
      <c r="D237" s="46" t="str">
        <f ca="1">VLOOKUP($C237,OFFSET(enemy_skills!$A$1,0,0,COUNTA(enemy_skills!$A:$A),MATCH(D$1,enemy_skills!$1:$1,0)-MATCH("enemy_skill_id",enemy_skills!$1:$1,0)+1),MATCH(D$1,enemy_skills!$1:$1,0)-MATCH("enemy_skill_id",enemy_skills!$1:$1,0)+1,FALSE)</f>
        <v>その君の熱さで僕の凍った心…_x000D_溶かすことができるかい？</v>
      </c>
      <c r="E237" s="46" t="str">
        <f ca="1">VLOOKUP($C237,OFFSET(enemy_skills!$A$1,0,0,COUNTA(enemy_skills!$A:$A),MATCH(E$1,enemy_skills!$1:$1,0)-MATCH("enemy_skill_id",enemy_skills!$1:$1,0)+1),MATCH(E$1,enemy_skills!$1:$1,0)-MATCH("enemy_skill_id",enemy_skills!$1:$1,0)+1,FALSE)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37" s="47">
        <v>47004417</v>
      </c>
      <c r="G237" s="48">
        <f ca="1">VLOOKUP($F237,OFFSET(enemy_skill_triggers!$A$1,0,0,COUNTA(enemy_skill_triggers!$A:$A),MATCH(G$1,enemy_skill_triggers!$1:$1,0)-MATCH($F$1,enemy_skill_triggers!$1:$1,0)+1),MATCH(G$1,enemy_skill_triggers!$1:$1,0)-MATCH($F$1,enemy_skill_triggers!$1:$1,0)+1,FALSE)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7" s="48">
        <f ca="1">VLOOKUP($F237,OFFSET(enemy_skill_triggers!$A$1,0,0,COUNTA(enemy_skill_triggers!$A:$A),MATCH(H$1,enemy_skill_triggers!$1:$1,0)-MATCH($F$1,enemy_skill_triggers!$1:$1,0)+1),MATCH(H$1,enemy_skill_triggers!$1:$1,0)-MATCH($F$1,enemy_skill_triggers!$1:$1,0)+1,FALSE)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237" s="48">
        <f ca="1">VLOOKUP($F237,OFFSET(enemy_skill_triggers!$A$1,0,0,COUNTA(enemy_skill_triggers!$A:$A),MATCH(I$1,enemy_skill_triggers!$1:$1,0)-MATCH($F$1,enemy_skill_triggers!$1:$1,0)+1),MATCH(I$1,enemy_skill_triggers!$1:$1,0)-MATCH($F$1,enemy_skill_triggers!$1:$1,0)+1,FALSE)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7" s="48" t="str">
        <f ca="1">VLOOKUP($F237,OFFSET(enemy_skill_triggers!$A$1,0,0,COUNTA(enemy_skill_triggers!$A:$A),MATCH(J$1,enemy_skill_triggers!$1:$1,0)-MATCH($F$1,enemy_skill_triggers!$1:$1,0)+1),MATCH(J$1,enemy_skill_triggers!$1:$1,0)-MATCH($F$1,enemy_skill_triggers!$1:$1,0)+1,FALSE)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7" s="48" t="str">
        <f ca="1">VLOOKUP($F237,OFFSET(enemy_skill_triggers!$A$1,0,0,COUNTA(enemy_skill_triggers!$A:$A),MATCH(K$1,enemy_skill_triggers!$1:$1,0)-MATCH($F$1,enemy_skill_triggers!$1:$1,0)+1),MATCH(K$1,enemy_skill_triggers!$1:$1,0)-MATCH($F$1,enemy_skill_triggers!$1:$1,0)+1,FALSE)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7" s="48">
        <f ca="1">VLOOKUP($F237,OFFSET(enemy_skill_triggers!$A$1,0,0,COUNTA(enemy_skill_triggers!$A:$A),MATCH(L$1,enemy_skill_triggers!$1:$1,0)-MATCH($F$1,enemy_skill_triggers!$1:$1,0)+1),MATCH(L$1,enemy_skill_triggers!$1:$1,0)-MATCH($F$1,enemy_skill_triggers!$1:$1,0)+1,FALSE)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7" s="48" t="str">
        <f ca="1">VLOOKUP($F237,OFFSET(enemy_skill_triggers!$A$1,0,0,COUNTA(enemy_skill_triggers!$A:$A),MATCH(M$1,enemy_skill_triggers!$1:$1,0)-MATCH($F$1,enemy_skill_triggers!$1:$1,0)+1),MATCH(M$1,enemy_skill_triggers!$1:$1,0)-MATCH($F$1,enemy_skill_triggers!$1:$1,0)+1,FALSE)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7" s="48">
        <f ca="1">VLOOKUP($F237,OFFSET(enemy_skill_triggers!$A$1,0,0,COUNTA(enemy_skill_triggers!$A:$A),MATCH(N$1,enemy_skill_triggers!$1:$1,0)-MATCH($F$1,enemy_skill_triggers!$1:$1,0)+1),MATCH(N$1,enemy_skill_triggers!$1:$1,0)-MATCH($F$1,enemy_skill_triggers!$1:$1,0)+1,FALSE)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237" s="48">
        <f ca="1">VLOOKUP($F237,OFFSET(enemy_skill_triggers!$A$1,0,0,COUNTA(enemy_skill_triggers!$A:$A),MATCH(O$1,enemy_skill_triggers!$1:$1,0)-MATCH($F$1,enemy_skill_triggers!$1:$1,0)+1),MATCH(O$1,enemy_skill_triggers!$1:$1,0)-MATCH($F$1,enemy_skill_triggers!$1:$1,0)+1,FALSE)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7" s="47"/>
      <c r="Q237" s="47"/>
      <c r="R237" s="47"/>
    </row>
    <row r="238" spans="1:18" ht="21" customHeight="1" x14ac:dyDescent="0.15">
      <c r="A238" s="39" t="str">
        <f t="shared" si="13"/>
        <v>47004400_47004410</v>
      </c>
      <c r="B238" s="128">
        <v>47004400</v>
      </c>
      <c r="C238" s="47">
        <v>47004410</v>
      </c>
      <c r="D238" s="46" t="str">
        <f ca="1">VLOOKUP($C238,OFFSET(enemy_skills!$A$1,0,0,COUNTA(enemy_skills!$A:$A),MATCH(D$1,enemy_skills!$1:$1,0)-MATCH("enemy_skill_id",enemy_skills!$1:$1,0)+1),MATCH(D$1,enemy_skills!$1:$1,0)-MATCH("enemy_skill_id",enemy_skills!$1:$1,0)+1,FALSE)</f>
        <v>その君の熱さで僕の凍った心…_x000D_溶かすことができるかい？</v>
      </c>
      <c r="E238" s="46" t="str">
        <f ca="1">VLOOKUP($C238,OFFSET(enemy_skills!$A$1,0,0,COUNTA(enemy_skills!$A:$A),MATCH(E$1,enemy_skills!$1:$1,0)-MATCH("enemy_skill_id",enemy_skills!$1:$1,0)+1),MATCH(E$1,enemy_skills!$1:$1,0)-MATCH("enemy_skill_id",enemy_skills!$1:$1,0)+1,FALSE)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38" s="47">
        <v>47004418</v>
      </c>
      <c r="G238" s="48">
        <f ca="1">VLOOKUP($F238,OFFSET(enemy_skill_triggers!$A$1,0,0,COUNTA(enemy_skill_triggers!$A:$A),MATCH(G$1,enemy_skill_triggers!$1:$1,0)-MATCH($F$1,enemy_skill_triggers!$1:$1,0)+1),MATCH(G$1,enemy_skill_triggers!$1:$1,0)-MATCH($F$1,enemy_skill_triggers!$1:$1,0)+1,FALSE)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8" s="48">
        <f ca="1">VLOOKUP($F238,OFFSET(enemy_skill_triggers!$A$1,0,0,COUNTA(enemy_skill_triggers!$A:$A),MATCH(H$1,enemy_skill_triggers!$1:$1,0)-MATCH($F$1,enemy_skill_triggers!$1:$1,0)+1),MATCH(H$1,enemy_skill_triggers!$1:$1,0)-MATCH($F$1,enemy_skill_triggers!$1:$1,0)+1,FALSE)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238" s="48">
        <f ca="1">VLOOKUP($F238,OFFSET(enemy_skill_triggers!$A$1,0,0,COUNTA(enemy_skill_triggers!$A:$A),MATCH(I$1,enemy_skill_triggers!$1:$1,0)-MATCH($F$1,enemy_skill_triggers!$1:$1,0)+1),MATCH(I$1,enemy_skill_triggers!$1:$1,0)-MATCH($F$1,enemy_skill_triggers!$1:$1,0)+1,FALSE)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8" s="48" t="str">
        <f ca="1">VLOOKUP($F238,OFFSET(enemy_skill_triggers!$A$1,0,0,COUNTA(enemy_skill_triggers!$A:$A),MATCH(J$1,enemy_skill_triggers!$1:$1,0)-MATCH($F$1,enemy_skill_triggers!$1:$1,0)+1),MATCH(J$1,enemy_skill_triggers!$1:$1,0)-MATCH($F$1,enemy_skill_triggers!$1:$1,0)+1,FALSE)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8" s="48" t="str">
        <f ca="1">VLOOKUP($F238,OFFSET(enemy_skill_triggers!$A$1,0,0,COUNTA(enemy_skill_triggers!$A:$A),MATCH(K$1,enemy_skill_triggers!$1:$1,0)-MATCH($F$1,enemy_skill_triggers!$1:$1,0)+1),MATCH(K$1,enemy_skill_triggers!$1:$1,0)-MATCH($F$1,enemy_skill_triggers!$1:$1,0)+1,FALSE)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8" s="48">
        <f ca="1">VLOOKUP($F238,OFFSET(enemy_skill_triggers!$A$1,0,0,COUNTA(enemy_skill_triggers!$A:$A),MATCH(L$1,enemy_skill_triggers!$1:$1,0)-MATCH($F$1,enemy_skill_triggers!$1:$1,0)+1),MATCH(L$1,enemy_skill_triggers!$1:$1,0)-MATCH($F$1,enemy_skill_triggers!$1:$1,0)+1,FALSE)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8" s="48" t="str">
        <f ca="1">VLOOKUP($F238,OFFSET(enemy_skill_triggers!$A$1,0,0,COUNTA(enemy_skill_triggers!$A:$A),MATCH(M$1,enemy_skill_triggers!$1:$1,0)-MATCH($F$1,enemy_skill_triggers!$1:$1,0)+1),MATCH(M$1,enemy_skill_triggers!$1:$1,0)-MATCH($F$1,enemy_skill_triggers!$1:$1,0)+1,FALSE)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8" s="48">
        <f ca="1">VLOOKUP($F238,OFFSET(enemy_skill_triggers!$A$1,0,0,COUNTA(enemy_skill_triggers!$A:$A),MATCH(N$1,enemy_skill_triggers!$1:$1,0)-MATCH($F$1,enemy_skill_triggers!$1:$1,0)+1),MATCH(N$1,enemy_skill_triggers!$1:$1,0)-MATCH($F$1,enemy_skill_triggers!$1:$1,0)+1,FALSE)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238" s="48">
        <f ca="1">VLOOKUP($F238,OFFSET(enemy_skill_triggers!$A$1,0,0,COUNTA(enemy_skill_triggers!$A:$A),MATCH(O$1,enemy_skill_triggers!$1:$1,0)-MATCH($F$1,enemy_skill_triggers!$1:$1,0)+1),MATCH(O$1,enemy_skill_triggers!$1:$1,0)-MATCH($F$1,enemy_skill_triggers!$1:$1,0)+1,FALSE)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8" s="47"/>
      <c r="Q238" s="47"/>
      <c r="R238" s="47"/>
    </row>
    <row r="239" spans="1:18" ht="21" customHeight="1" x14ac:dyDescent="0.15">
      <c r="A239" s="39" t="str">
        <f t="shared" si="13"/>
        <v>47004400_47004410</v>
      </c>
      <c r="B239" s="128">
        <v>47004400</v>
      </c>
      <c r="C239" s="47">
        <v>47004410</v>
      </c>
      <c r="D239" s="46" t="str">
        <f ca="1">VLOOKUP($C239,OFFSET(enemy_skills!$A$1,0,0,COUNTA(enemy_skills!$A:$A),MATCH(D$1,enemy_skills!$1:$1,0)-MATCH("enemy_skill_id",enemy_skills!$1:$1,0)+1),MATCH(D$1,enemy_skills!$1:$1,0)-MATCH("enemy_skill_id",enemy_skills!$1:$1,0)+1,FALSE)</f>
        <v>その君の熱さで僕の凍った心…_x000D_溶かすことができるかい？</v>
      </c>
      <c r="E239" s="46" t="str">
        <f ca="1">VLOOKUP($C239,OFFSET(enemy_skills!$A$1,0,0,COUNTA(enemy_skills!$A:$A),MATCH(E$1,enemy_skills!$1:$1,0)-MATCH("enemy_skill_id",enemy_skills!$1:$1,0)+1),MATCH(E$1,enemy_skills!$1:$1,0)-MATCH("enemy_skill_id",enemy_skills!$1:$1,0)+1,FALSE)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39" s="47">
        <v>47004419</v>
      </c>
      <c r="G239" s="48">
        <f ca="1">VLOOKUP($F239,OFFSET(enemy_skill_triggers!$A$1,0,0,COUNTA(enemy_skill_triggers!$A:$A),MATCH(G$1,enemy_skill_triggers!$1:$1,0)-MATCH($F$1,enemy_skill_triggers!$1:$1,0)+1),MATCH(G$1,enemy_skill_triggers!$1:$1,0)-MATCH($F$1,enemy_skill_triggers!$1:$1,0)+1,FALSE)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9" s="48">
        <f ca="1">VLOOKUP($F239,OFFSET(enemy_skill_triggers!$A$1,0,0,COUNTA(enemy_skill_triggers!$A:$A),MATCH(H$1,enemy_skill_triggers!$1:$1,0)-MATCH($F$1,enemy_skill_triggers!$1:$1,0)+1),MATCH(H$1,enemy_skill_triggers!$1:$1,0)-MATCH($F$1,enemy_skill_triggers!$1:$1,0)+1,FALSE)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239" s="48">
        <f ca="1">VLOOKUP($F239,OFFSET(enemy_skill_triggers!$A$1,0,0,COUNTA(enemy_skill_triggers!$A:$A),MATCH(I$1,enemy_skill_triggers!$1:$1,0)-MATCH($F$1,enemy_skill_triggers!$1:$1,0)+1),MATCH(I$1,enemy_skill_triggers!$1:$1,0)-MATCH($F$1,enemy_skill_triggers!$1:$1,0)+1,FALSE)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9" s="48" t="str">
        <f ca="1">VLOOKUP($F239,OFFSET(enemy_skill_triggers!$A$1,0,0,COUNTA(enemy_skill_triggers!$A:$A),MATCH(J$1,enemy_skill_triggers!$1:$1,0)-MATCH($F$1,enemy_skill_triggers!$1:$1,0)+1),MATCH(J$1,enemy_skill_triggers!$1:$1,0)-MATCH($F$1,enemy_skill_triggers!$1:$1,0)+1,FALSE)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9" s="48" t="str">
        <f ca="1">VLOOKUP($F239,OFFSET(enemy_skill_triggers!$A$1,0,0,COUNTA(enemy_skill_triggers!$A:$A),MATCH(K$1,enemy_skill_triggers!$1:$1,0)-MATCH($F$1,enemy_skill_triggers!$1:$1,0)+1),MATCH(K$1,enemy_skill_triggers!$1:$1,0)-MATCH($F$1,enemy_skill_triggers!$1:$1,0)+1,FALSE)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9" s="48">
        <f ca="1">VLOOKUP($F239,OFFSET(enemy_skill_triggers!$A$1,0,0,COUNTA(enemy_skill_triggers!$A:$A),MATCH(L$1,enemy_skill_triggers!$1:$1,0)-MATCH($F$1,enemy_skill_triggers!$1:$1,0)+1),MATCH(L$1,enemy_skill_triggers!$1:$1,0)-MATCH($F$1,enemy_skill_triggers!$1:$1,0)+1,FALSE)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9" s="48" t="str">
        <f ca="1">VLOOKUP($F239,OFFSET(enemy_skill_triggers!$A$1,0,0,COUNTA(enemy_skill_triggers!$A:$A),MATCH(M$1,enemy_skill_triggers!$1:$1,0)-MATCH($F$1,enemy_skill_triggers!$1:$1,0)+1),MATCH(M$1,enemy_skill_triggers!$1:$1,0)-MATCH($F$1,enemy_skill_triggers!$1:$1,0)+1,FALSE)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9" s="48">
        <f ca="1">VLOOKUP($F239,OFFSET(enemy_skill_triggers!$A$1,0,0,COUNTA(enemy_skill_triggers!$A:$A),MATCH(N$1,enemy_skill_triggers!$1:$1,0)-MATCH($F$1,enemy_skill_triggers!$1:$1,0)+1),MATCH(N$1,enemy_skill_triggers!$1:$1,0)-MATCH($F$1,enemy_skill_triggers!$1:$1,0)+1,FALSE)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239" s="48">
        <f ca="1">VLOOKUP($F239,OFFSET(enemy_skill_triggers!$A$1,0,0,COUNTA(enemy_skill_triggers!$A:$A),MATCH(O$1,enemy_skill_triggers!$1:$1,0)-MATCH($F$1,enemy_skill_triggers!$1:$1,0)+1),MATCH(O$1,enemy_skill_triggers!$1:$1,0)-MATCH($F$1,enemy_skill_triggers!$1:$1,0)+1,FALSE)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9" s="47"/>
      <c r="Q239" s="47"/>
      <c r="R239" s="47"/>
    </row>
    <row r="240" spans="1:18" ht="21" customHeight="1" x14ac:dyDescent="0.15">
      <c r="A240" s="39" t="str">
        <f t="shared" ref="A240:A241" si="16">B240&amp;"_"&amp;C240</f>
        <v>47004400_47004411</v>
      </c>
      <c r="B240" s="128">
        <v>47004400</v>
      </c>
      <c r="C240" s="47">
        <v>47004411</v>
      </c>
      <c r="D240" s="46" t="str">
        <f ca="1">VLOOKUP($C240,OFFSET(enemy_skills!$A$1,0,0,COUNTA(enemy_skills!$A:$A),MATCH(D$1,enemy_skills!$1:$1,0)-MATCH("enemy_skill_id",enemy_skills!$1:$1,0)+1),MATCH(D$1,enemy_skills!$1:$1,0)-MATCH("enemy_skill_id",enemy_skills!$1:$1,0)+1,FALSE)</f>
        <v>エスタブかい…？_x000D_君には憧れるよ…色々と…</v>
      </c>
      <c r="E240" s="46" t="str">
        <f ca="1">VLOOKUP($C240,OFFSET(enemy_skills!$A$1,0,0,COUNTA(enemy_skills!$A:$A),MATCH(E$1,enemy_skills!$1:$1,0)-MATCH("enemy_skill_id",enemy_skills!$1:$1,0)+1),MATCH(E$1,enemy_skills!$1:$1,0)-MATCH("enemy_skill_id",enemy_skills!$1:$1,0)+1,FALSE)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40" s="47">
        <v>47004420</v>
      </c>
      <c r="G240" s="48">
        <f ca="1">VLOOKUP($F240,OFFSET(enemy_skill_triggers!$A$1,0,0,COUNTA(enemy_skill_triggers!$A:$A),MATCH(G$1,enemy_skill_triggers!$1:$1,0)-MATCH($F$1,enemy_skill_triggers!$1:$1,0)+1),MATCH(G$1,enemy_skill_triggers!$1:$1,0)-MATCH($F$1,enemy_skill_triggers!$1:$1,0)+1,FALSE)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0" s="48">
        <f ca="1">VLOOKUP($F240,OFFSET(enemy_skill_triggers!$A$1,0,0,COUNTA(enemy_skill_triggers!$A:$A),MATCH(H$1,enemy_skill_triggers!$1:$1,0)-MATCH($F$1,enemy_skill_triggers!$1:$1,0)+1),MATCH(H$1,enemy_skill_triggers!$1:$1,0)-MATCH($F$1,enemy_skill_triggers!$1:$1,0)+1,FALSE)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240" s="48">
        <f ca="1">VLOOKUP($F240,OFFSET(enemy_skill_triggers!$A$1,0,0,COUNTA(enemy_skill_triggers!$A:$A),MATCH(I$1,enemy_skill_triggers!$1:$1,0)-MATCH($F$1,enemy_skill_triggers!$1:$1,0)+1),MATCH(I$1,enemy_skill_triggers!$1:$1,0)-MATCH($F$1,enemy_skill_triggers!$1:$1,0)+1,FALSE)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0" s="48" t="str">
        <f ca="1">VLOOKUP($F240,OFFSET(enemy_skill_triggers!$A$1,0,0,COUNTA(enemy_skill_triggers!$A:$A),MATCH(J$1,enemy_skill_triggers!$1:$1,0)-MATCH($F$1,enemy_skill_triggers!$1:$1,0)+1),MATCH(J$1,enemy_skill_triggers!$1:$1,0)-MATCH($F$1,enemy_skill_triggers!$1:$1,0)+1,FALSE)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0" s="48" t="str">
        <f ca="1">VLOOKUP($F240,OFFSET(enemy_skill_triggers!$A$1,0,0,COUNTA(enemy_skill_triggers!$A:$A),MATCH(K$1,enemy_skill_triggers!$1:$1,0)-MATCH($F$1,enemy_skill_triggers!$1:$1,0)+1),MATCH(K$1,enemy_skill_triggers!$1:$1,0)-MATCH($F$1,enemy_skill_triggers!$1:$1,0)+1,FALSE)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0" s="48">
        <f ca="1">VLOOKUP($F240,OFFSET(enemy_skill_triggers!$A$1,0,0,COUNTA(enemy_skill_triggers!$A:$A),MATCH(L$1,enemy_skill_triggers!$1:$1,0)-MATCH($F$1,enemy_skill_triggers!$1:$1,0)+1),MATCH(L$1,enemy_skill_triggers!$1:$1,0)-MATCH($F$1,enemy_skill_triggers!$1:$1,0)+1,FALSE)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0" s="48" t="str">
        <f ca="1">VLOOKUP($F240,OFFSET(enemy_skill_triggers!$A$1,0,0,COUNTA(enemy_skill_triggers!$A:$A),MATCH(M$1,enemy_skill_triggers!$1:$1,0)-MATCH($F$1,enemy_skill_triggers!$1:$1,0)+1),MATCH(M$1,enemy_skill_triggers!$1:$1,0)-MATCH($F$1,enemy_skill_triggers!$1:$1,0)+1,FALSE)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0" s="48">
        <f ca="1">VLOOKUP($F240,OFFSET(enemy_skill_triggers!$A$1,0,0,COUNTA(enemy_skill_triggers!$A:$A),MATCH(N$1,enemy_skill_triggers!$1:$1,0)-MATCH($F$1,enemy_skill_triggers!$1:$1,0)+1),MATCH(N$1,enemy_skill_triggers!$1:$1,0)-MATCH($F$1,enemy_skill_triggers!$1:$1,0)+1,FALSE)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240" s="48">
        <f ca="1">VLOOKUP($F240,OFFSET(enemy_skill_triggers!$A$1,0,0,COUNTA(enemy_skill_triggers!$A:$A),MATCH(O$1,enemy_skill_triggers!$1:$1,0)-MATCH($F$1,enemy_skill_triggers!$1:$1,0)+1),MATCH(O$1,enemy_skill_triggers!$1:$1,0)-MATCH($F$1,enemy_skill_triggers!$1:$1,0)+1,FALSE)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0" s="47"/>
      <c r="Q240" s="47"/>
      <c r="R240" s="47"/>
    </row>
    <row r="241" spans="1:18" ht="21" customHeight="1" x14ac:dyDescent="0.15">
      <c r="A241" s="39" t="str">
        <f t="shared" si="16"/>
        <v>47004400_47004412</v>
      </c>
      <c r="B241" s="128">
        <v>47004400</v>
      </c>
      <c r="C241" s="47">
        <v>47004412</v>
      </c>
      <c r="D241" s="46" t="str">
        <f ca="1">VLOOKUP($C241,OFFSET(enemy_skills!$A$1,0,0,COUNTA(enemy_skills!$A:$A),MATCH(D$1,enemy_skills!$1:$1,0)-MATCH("enemy_skill_id",enemy_skills!$1:$1,0)+1),MATCH(D$1,enemy_skills!$1:$1,0)-MATCH("enemy_skill_id",enemy_skills!$1:$1,0)+1,FALSE)</f>
        <v>卑弥呼かい…？_x000D_僕をどうするんだい…？</v>
      </c>
      <c r="E241" s="46" t="str">
        <f ca="1">VLOOKUP($C241,OFFSET(enemy_skills!$A$1,0,0,COUNTA(enemy_skills!$A:$A),MATCH(E$1,enemy_skills!$1:$1,0)-MATCH("enemy_skill_id",enemy_skills!$1:$1,0)+1),MATCH(E$1,enemy_skills!$1:$1,0)-MATCH("enemy_skill_id",enemy_skills!$1:$1,0)+1,FALSE)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241" s="47">
        <v>47004421</v>
      </c>
      <c r="G241" s="48">
        <f ca="1">VLOOKUP($F241,OFFSET(enemy_skill_triggers!$A$1,0,0,COUNTA(enemy_skill_triggers!$A:$A),MATCH(G$1,enemy_skill_triggers!$1:$1,0)-MATCH($F$1,enemy_skill_triggers!$1:$1,0)+1),MATCH(G$1,enemy_skill_triggers!$1:$1,0)-MATCH($F$1,enemy_skill_triggers!$1:$1,0)+1,FALSE)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1" s="48">
        <f ca="1">VLOOKUP($F241,OFFSET(enemy_skill_triggers!$A$1,0,0,COUNTA(enemy_skill_triggers!$A:$A),MATCH(H$1,enemy_skill_triggers!$1:$1,0)-MATCH($F$1,enemy_skill_triggers!$1:$1,0)+1),MATCH(H$1,enemy_skill_triggers!$1:$1,0)-MATCH($F$1,enemy_skill_triggers!$1:$1,0)+1,FALSE)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241" s="48">
        <f ca="1">VLOOKUP($F241,OFFSET(enemy_skill_triggers!$A$1,0,0,COUNTA(enemy_skill_triggers!$A:$A),MATCH(I$1,enemy_skill_triggers!$1:$1,0)-MATCH($F$1,enemy_skill_triggers!$1:$1,0)+1),MATCH(I$1,enemy_skill_triggers!$1:$1,0)-MATCH($F$1,enemy_skill_triggers!$1:$1,0)+1,FALSE)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1" s="48" t="str">
        <f ca="1">VLOOKUP($F241,OFFSET(enemy_skill_triggers!$A$1,0,0,COUNTA(enemy_skill_triggers!$A:$A),MATCH(J$1,enemy_skill_triggers!$1:$1,0)-MATCH($F$1,enemy_skill_triggers!$1:$1,0)+1),MATCH(J$1,enemy_skill_triggers!$1:$1,0)-MATCH($F$1,enemy_skill_triggers!$1:$1,0)+1,FALSE)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1" s="48" t="str">
        <f ca="1">VLOOKUP($F241,OFFSET(enemy_skill_triggers!$A$1,0,0,COUNTA(enemy_skill_triggers!$A:$A),MATCH(K$1,enemy_skill_triggers!$1:$1,0)-MATCH($F$1,enemy_skill_triggers!$1:$1,0)+1),MATCH(K$1,enemy_skill_triggers!$1:$1,0)-MATCH($F$1,enemy_skill_triggers!$1:$1,0)+1,FALSE)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1" s="48">
        <f ca="1">VLOOKUP($F241,OFFSET(enemy_skill_triggers!$A$1,0,0,COUNTA(enemy_skill_triggers!$A:$A),MATCH(L$1,enemy_skill_triggers!$1:$1,0)-MATCH($F$1,enemy_skill_triggers!$1:$1,0)+1),MATCH(L$1,enemy_skill_triggers!$1:$1,0)-MATCH($F$1,enemy_skill_triggers!$1:$1,0)+1,FALSE)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1" s="48" t="str">
        <f ca="1">VLOOKUP($F241,OFFSET(enemy_skill_triggers!$A$1,0,0,COUNTA(enemy_skill_triggers!$A:$A),MATCH(M$1,enemy_skill_triggers!$1:$1,0)-MATCH($F$1,enemy_skill_triggers!$1:$1,0)+1),MATCH(M$1,enemy_skill_triggers!$1:$1,0)-MATCH($F$1,enemy_skill_triggers!$1:$1,0)+1,FALSE)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1" s="48">
        <f ca="1">VLOOKUP($F241,OFFSET(enemy_skill_triggers!$A$1,0,0,COUNTA(enemy_skill_triggers!$A:$A),MATCH(N$1,enemy_skill_triggers!$1:$1,0)-MATCH($F$1,enemy_skill_triggers!$1:$1,0)+1),MATCH(N$1,enemy_skill_triggers!$1:$1,0)-MATCH($F$1,enemy_skill_triggers!$1:$1,0)+1,FALSE)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241" s="48">
        <f ca="1">VLOOKUP($F241,OFFSET(enemy_skill_triggers!$A$1,0,0,COUNTA(enemy_skill_triggers!$A:$A),MATCH(O$1,enemy_skill_triggers!$1:$1,0)-MATCH($F$1,enemy_skill_triggers!$1:$1,0)+1),MATCH(O$1,enemy_skill_triggers!$1:$1,0)-MATCH($F$1,enemy_skill_triggers!$1:$1,0)+1,FALSE)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1" s="47"/>
      <c r="Q241" s="47"/>
      <c r="R241" s="47"/>
    </row>
    <row r="242" spans="1:18" ht="21" customHeight="1" x14ac:dyDescent="0.15">
      <c r="A242" s="39" t="str">
        <f t="shared" si="13"/>
        <v>47004430_47004431</v>
      </c>
      <c r="B242" s="128">
        <v>47004430</v>
      </c>
      <c r="C242" s="47">
        <v>47004431</v>
      </c>
      <c r="D242" s="46" t="str">
        <f ca="1">VLOOKUP($C242,OFFSET(enemy_skills!$A$1,0,0,COUNTA(enemy_skills!$A:$A),MATCH(D$1,enemy_skills!$1:$1,0)-MATCH("enemy_skill_id",enemy_skills!$1:$1,0)+1),MATCH(D$1,enemy_skills!$1:$1,0)-MATCH("enemy_skill_id",enemy_skills!$1:$1,0)+1,FALSE)</f>
        <v>いい加減にしてくれないかな…</v>
      </c>
      <c r="E242" s="46" t="str">
        <f ca="1">VLOOKUP($C242,OFFSET(enemy_skills!$A$1,0,0,COUNTA(enemy_skills!$A:$A),MATCH(E$1,enemy_skills!$1:$1,0)-MATCH("enemy_skill_id",enemy_skills!$1:$1,0)+1),MATCH(E$1,enemy_skills!$1:$1,0)-MATCH("enemy_skill_id",enemy_skills!$1:$1,0)+1,FALSE)</f>
        <v>マシン・シュプールの姿に亀裂が入り出している_x000D_【状態異常耐性+_x000D_　5ターン全ユニットのタップ回数を2DOWN】</v>
      </c>
      <c r="F242" s="47">
        <v>47004431</v>
      </c>
      <c r="G242" s="48">
        <f ca="1">VLOOKUP($F242,OFFSET(enemy_skill_triggers!$A$1,0,0,COUNTA(enemy_skill_triggers!$A:$A),MATCH(G$1,enemy_skill_triggers!$1:$1,0)-MATCH($F$1,enemy_skill_triggers!$1:$1,0)+1),MATCH(G$1,enemy_skill_triggers!$1:$1,0)-MATCH($F$1,enemy_skill_triggers!$1:$1,0)+1,FALSE)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2" s="48">
        <f ca="1">VLOOKUP($F242,OFFSET(enemy_skill_triggers!$A$1,0,0,COUNTA(enemy_skill_triggers!$A:$A),MATCH(H$1,enemy_skill_triggers!$1:$1,0)-MATCH($F$1,enemy_skill_triggers!$1:$1,0)+1),MATCH(H$1,enemy_skill_triggers!$1:$1,0)-MATCH($F$1,enemy_skill_triggers!$1:$1,0)+1,FALSE)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2" s="48">
        <f ca="1">VLOOKUP($F242,OFFSET(enemy_skill_triggers!$A$1,0,0,COUNTA(enemy_skill_triggers!$A:$A),MATCH(I$1,enemy_skill_triggers!$1:$1,0)-MATCH($F$1,enemy_skill_triggers!$1:$1,0)+1),MATCH(I$1,enemy_skill_triggers!$1:$1,0)-MATCH($F$1,enemy_skill_triggers!$1:$1,0)+1,FALSE)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2" s="48" t="str">
        <f ca="1">VLOOKUP($F242,OFFSET(enemy_skill_triggers!$A$1,0,0,COUNTA(enemy_skill_triggers!$A:$A),MATCH(J$1,enemy_skill_triggers!$1:$1,0)-MATCH($F$1,enemy_skill_triggers!$1:$1,0)+1),MATCH(J$1,enemy_skill_triggers!$1:$1,0)-MATCH($F$1,enemy_skill_triggers!$1:$1,0)+1,FALSE)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2" s="48" t="str">
        <f ca="1">VLOOKUP($F242,OFFSET(enemy_skill_triggers!$A$1,0,0,COUNTA(enemy_skill_triggers!$A:$A),MATCH(K$1,enemy_skill_triggers!$1:$1,0)-MATCH($F$1,enemy_skill_triggers!$1:$1,0)+1),MATCH(K$1,enemy_skill_triggers!$1:$1,0)-MATCH($F$1,enemy_skill_triggers!$1:$1,0)+1,FALSE)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2" s="48">
        <f ca="1">VLOOKUP($F242,OFFSET(enemy_skill_triggers!$A$1,0,0,COUNTA(enemy_skill_triggers!$A:$A),MATCH(L$1,enemy_skill_triggers!$1:$1,0)-MATCH($F$1,enemy_skill_triggers!$1:$1,0)+1),MATCH(L$1,enemy_skill_triggers!$1:$1,0)-MATCH($F$1,enemy_skill_triggers!$1:$1,0)+1,FALSE)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2" s="48" t="str">
        <f ca="1">VLOOKUP($F242,OFFSET(enemy_skill_triggers!$A$1,0,0,COUNTA(enemy_skill_triggers!$A:$A),MATCH(M$1,enemy_skill_triggers!$1:$1,0)-MATCH($F$1,enemy_skill_triggers!$1:$1,0)+1),MATCH(M$1,enemy_skill_triggers!$1:$1,0)-MATCH($F$1,enemy_skill_triggers!$1:$1,0)+1,FALSE)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2" s="48" t="str">
        <f ca="1">VLOOKUP($F242,OFFSET(enemy_skill_triggers!$A$1,0,0,COUNTA(enemy_skill_triggers!$A:$A),MATCH(N$1,enemy_skill_triggers!$1:$1,0)-MATCH($F$1,enemy_skill_triggers!$1:$1,0)+1),MATCH(N$1,enemy_skill_triggers!$1:$1,0)-MATCH($F$1,enemy_skill_triggers!$1:$1,0)+1,FALSE)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2" s="48">
        <f ca="1">VLOOKUP($F242,OFFSET(enemy_skill_triggers!$A$1,0,0,COUNTA(enemy_skill_triggers!$A:$A),MATCH(O$1,enemy_skill_triggers!$1:$1,0)-MATCH($F$1,enemy_skill_triggers!$1:$1,0)+1),MATCH(O$1,enemy_skill_triggers!$1:$1,0)-MATCH($F$1,enemy_skill_triggers!$1:$1,0)+1,FALSE)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2" s="47"/>
      <c r="Q242" s="47"/>
      <c r="R242" s="47"/>
    </row>
    <row r="243" spans="1:18" ht="21" customHeight="1" x14ac:dyDescent="0.15">
      <c r="A243" s="39" t="str">
        <f t="shared" si="13"/>
        <v>47004430_47004432</v>
      </c>
      <c r="B243" s="128">
        <v>47004430</v>
      </c>
      <c r="C243" s="47">
        <v>47004432</v>
      </c>
      <c r="D243" s="46" t="str">
        <f ca="1">VLOOKUP($C243,OFFSET(enemy_skills!$A$1,0,0,COUNTA(enemy_skills!$A:$A),MATCH(D$1,enemy_skills!$1:$1,0)-MATCH("enemy_skill_id",enemy_skills!$1:$1,0)+1),MATCH(D$1,enemy_skills!$1:$1,0)-MATCH("enemy_skill_id",enemy_skills!$1:$1,0)+1,FALSE)</f>
        <v>僕は何も覚えてなんかいないし…</v>
      </c>
      <c r="E243" s="46" t="str">
        <f ca="1">VLOOKUP($C243,OFFSET(enemy_skills!$A$1,0,0,COUNTA(enemy_skills!$A:$A),MATCH(E$1,enemy_skills!$1:$1,0)-MATCH("enemy_skill_id",enemy_skills!$1:$1,0)+1),MATCH(E$1,enemy_skills!$1:$1,0)-MATCH("enemy_skill_id",enemy_skills!$1:$1,0)+1,FALSE)</f>
        <v>残りHPの20%消費+全体攻撃+_x000D_ランダムで青のダメージパネルに最大2個変換</v>
      </c>
      <c r="F243" s="47">
        <v>47004432</v>
      </c>
      <c r="G243" s="48">
        <f ca="1">VLOOKUP($F243,OFFSET(enemy_skill_triggers!$A$1,0,0,COUNTA(enemy_skill_triggers!$A:$A),MATCH(G$1,enemy_skill_triggers!$1:$1,0)-MATCH($F$1,enemy_skill_triggers!$1:$1,0)+1),MATCH(G$1,enemy_skill_triggers!$1:$1,0)-MATCH($F$1,enemy_skill_triggers!$1:$1,0)+1,FALSE)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3" s="48">
        <f ca="1">VLOOKUP($F243,OFFSET(enemy_skill_triggers!$A$1,0,0,COUNTA(enemy_skill_triggers!$A:$A),MATCH(H$1,enemy_skill_triggers!$1:$1,0)-MATCH($F$1,enemy_skill_triggers!$1:$1,0)+1),MATCH(H$1,enemy_skill_triggers!$1:$1,0)-MATCH($F$1,enemy_skill_triggers!$1:$1,0)+1,FALSE)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43" s="48">
        <f ca="1">VLOOKUP($F243,OFFSET(enemy_skill_triggers!$A$1,0,0,COUNTA(enemy_skill_triggers!$A:$A),MATCH(I$1,enemy_skill_triggers!$1:$1,0)-MATCH($F$1,enemy_skill_triggers!$1:$1,0)+1),MATCH(I$1,enemy_skill_triggers!$1:$1,0)-MATCH($F$1,enemy_skill_triggers!$1:$1,0)+1,FALSE)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3" s="48" t="str">
        <f ca="1">VLOOKUP($F243,OFFSET(enemy_skill_triggers!$A$1,0,0,COUNTA(enemy_skill_triggers!$A:$A),MATCH(J$1,enemy_skill_triggers!$1:$1,0)-MATCH($F$1,enemy_skill_triggers!$1:$1,0)+1),MATCH(J$1,enemy_skill_triggers!$1:$1,0)-MATCH($F$1,enemy_skill_triggers!$1:$1,0)+1,FALSE)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3" s="48" t="str">
        <f ca="1">VLOOKUP($F243,OFFSET(enemy_skill_triggers!$A$1,0,0,COUNTA(enemy_skill_triggers!$A:$A),MATCH(K$1,enemy_skill_triggers!$1:$1,0)-MATCH($F$1,enemy_skill_triggers!$1:$1,0)+1),MATCH(K$1,enemy_skill_triggers!$1:$1,0)-MATCH($F$1,enemy_skill_triggers!$1:$1,0)+1,FALSE)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3" s="48">
        <f ca="1">VLOOKUP($F243,OFFSET(enemy_skill_triggers!$A$1,0,0,COUNTA(enemy_skill_triggers!$A:$A),MATCH(L$1,enemy_skill_triggers!$1:$1,0)-MATCH($F$1,enemy_skill_triggers!$1:$1,0)+1),MATCH(L$1,enemy_skill_triggers!$1:$1,0)-MATCH($F$1,enemy_skill_triggers!$1:$1,0)+1,FALSE)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3" s="48">
        <f ca="1">VLOOKUP($F243,OFFSET(enemy_skill_triggers!$A$1,0,0,COUNTA(enemy_skill_triggers!$A:$A),MATCH(M$1,enemy_skill_triggers!$1:$1,0)-MATCH($F$1,enemy_skill_triggers!$1:$1,0)+1),MATCH(M$1,enemy_skill_triggers!$1:$1,0)-MATCH($F$1,enemy_skill_triggers!$1:$1,0)+1,FALSE)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3" s="48" t="str">
        <f ca="1">VLOOKUP($F243,OFFSET(enemy_skill_triggers!$A$1,0,0,COUNTA(enemy_skill_triggers!$A:$A),MATCH(N$1,enemy_skill_triggers!$1:$1,0)-MATCH($F$1,enemy_skill_triggers!$1:$1,0)+1),MATCH(N$1,enemy_skill_triggers!$1:$1,0)-MATCH($F$1,enemy_skill_triggers!$1:$1,0)+1,FALSE)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3" s="48">
        <f ca="1">VLOOKUP($F243,OFFSET(enemy_skill_triggers!$A$1,0,0,COUNTA(enemy_skill_triggers!$A:$A),MATCH(O$1,enemy_skill_triggers!$1:$1,0)-MATCH($F$1,enemy_skill_triggers!$1:$1,0)+1),MATCH(O$1,enemy_skill_triggers!$1:$1,0)-MATCH($F$1,enemy_skill_triggers!$1:$1,0)+1,FALSE)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3" s="47"/>
      <c r="Q243" s="47"/>
      <c r="R243" s="47"/>
    </row>
    <row r="244" spans="1:18" ht="21" customHeight="1" x14ac:dyDescent="0.15">
      <c r="A244" s="39" t="str">
        <f t="shared" si="13"/>
        <v>47004430_47004433</v>
      </c>
      <c r="B244" s="128">
        <v>47004430</v>
      </c>
      <c r="C244" s="47">
        <v>47004433</v>
      </c>
      <c r="D244" s="46" t="str">
        <f ca="1">VLOOKUP($C244,OFFSET(enemy_skills!$A$1,0,0,COUNTA(enemy_skills!$A:$A),MATCH(D$1,enemy_skills!$1:$1,0)-MATCH("enemy_skill_id",enemy_skills!$1:$1,0)+1),MATCH(D$1,enemy_skills!$1:$1,0)-MATCH("enemy_skill_id",enemy_skills!$1:$1,0)+1,FALSE)</f>
        <v>今更…何を言おうと…</v>
      </c>
      <c r="E244" s="46" t="str">
        <f ca="1">VLOOKUP($C244,OFFSET(enemy_skills!$A$1,0,0,COUNTA(enemy_skills!$A:$A),MATCH(E$1,enemy_skills!$1:$1,0)-MATCH("enemy_skill_id",enemy_skills!$1:$1,0)+1),MATCH(E$1,enemy_skills!$1:$1,0)-MATCH("enemy_skill_id",enemy_skills!$1:$1,0)+1,FALSE)</f>
        <v>残りHPの25%消費+全体攻撃+_x000D_ランダムで青のダメージパネルに最大2個変換</v>
      </c>
      <c r="F244" s="47">
        <v>47004433</v>
      </c>
      <c r="G244" s="48">
        <f ca="1">VLOOKUP($F244,OFFSET(enemy_skill_triggers!$A$1,0,0,COUNTA(enemy_skill_triggers!$A:$A),MATCH(G$1,enemy_skill_triggers!$1:$1,0)-MATCH($F$1,enemy_skill_triggers!$1:$1,0)+1),MATCH(G$1,enemy_skill_triggers!$1:$1,0)-MATCH($F$1,enemy_skill_triggers!$1:$1,0)+1,FALSE)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4" s="48">
        <f ca="1">VLOOKUP($F244,OFFSET(enemy_skill_triggers!$A$1,0,0,COUNTA(enemy_skill_triggers!$A:$A),MATCH(H$1,enemy_skill_triggers!$1:$1,0)-MATCH($F$1,enemy_skill_triggers!$1:$1,0)+1),MATCH(H$1,enemy_skill_triggers!$1:$1,0)-MATCH($F$1,enemy_skill_triggers!$1:$1,0)+1,FALSE)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44" s="48">
        <f ca="1">VLOOKUP($F244,OFFSET(enemy_skill_triggers!$A$1,0,0,COUNTA(enemy_skill_triggers!$A:$A),MATCH(I$1,enemy_skill_triggers!$1:$1,0)-MATCH($F$1,enemy_skill_triggers!$1:$1,0)+1),MATCH(I$1,enemy_skill_triggers!$1:$1,0)-MATCH($F$1,enemy_skill_triggers!$1:$1,0)+1,FALSE)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4" s="48" t="str">
        <f ca="1">VLOOKUP($F244,OFFSET(enemy_skill_triggers!$A$1,0,0,COUNTA(enemy_skill_triggers!$A:$A),MATCH(J$1,enemy_skill_triggers!$1:$1,0)-MATCH($F$1,enemy_skill_triggers!$1:$1,0)+1),MATCH(J$1,enemy_skill_triggers!$1:$1,0)-MATCH($F$1,enemy_skill_triggers!$1:$1,0)+1,FALSE)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4" s="48" t="str">
        <f ca="1">VLOOKUP($F244,OFFSET(enemy_skill_triggers!$A$1,0,0,COUNTA(enemy_skill_triggers!$A:$A),MATCH(K$1,enemy_skill_triggers!$1:$1,0)-MATCH($F$1,enemy_skill_triggers!$1:$1,0)+1),MATCH(K$1,enemy_skill_triggers!$1:$1,0)-MATCH($F$1,enemy_skill_triggers!$1:$1,0)+1,FALSE)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4" s="48">
        <f ca="1">VLOOKUP($F244,OFFSET(enemy_skill_triggers!$A$1,0,0,COUNTA(enemy_skill_triggers!$A:$A),MATCH(L$1,enemy_skill_triggers!$1:$1,0)-MATCH($F$1,enemy_skill_triggers!$1:$1,0)+1),MATCH(L$1,enemy_skill_triggers!$1:$1,0)-MATCH($F$1,enemy_skill_triggers!$1:$1,0)+1,FALSE)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4" s="48">
        <f ca="1">VLOOKUP($F244,OFFSET(enemy_skill_triggers!$A$1,0,0,COUNTA(enemy_skill_triggers!$A:$A),MATCH(M$1,enemy_skill_triggers!$1:$1,0)-MATCH($F$1,enemy_skill_triggers!$1:$1,0)+1),MATCH(M$1,enemy_skill_triggers!$1:$1,0)-MATCH($F$1,enemy_skill_triggers!$1:$1,0)+1,FALSE)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4" s="48" t="str">
        <f ca="1">VLOOKUP($F244,OFFSET(enemy_skill_triggers!$A$1,0,0,COUNTA(enemy_skill_triggers!$A:$A),MATCH(N$1,enemy_skill_triggers!$1:$1,0)-MATCH($F$1,enemy_skill_triggers!$1:$1,0)+1),MATCH(N$1,enemy_skill_triggers!$1:$1,0)-MATCH($F$1,enemy_skill_triggers!$1:$1,0)+1,FALSE)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4" s="48">
        <f ca="1">VLOOKUP($F244,OFFSET(enemy_skill_triggers!$A$1,0,0,COUNTA(enemy_skill_triggers!$A:$A),MATCH(O$1,enemy_skill_triggers!$1:$1,0)-MATCH($F$1,enemy_skill_triggers!$1:$1,0)+1),MATCH(O$1,enemy_skill_triggers!$1:$1,0)-MATCH($F$1,enemy_skill_triggers!$1:$1,0)+1,FALSE)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4" s="47"/>
      <c r="Q244" s="47"/>
      <c r="R244" s="47"/>
    </row>
    <row r="245" spans="1:18" ht="21" customHeight="1" x14ac:dyDescent="0.15">
      <c r="A245" s="39" t="str">
        <f t="shared" si="13"/>
        <v>47004430_47004434</v>
      </c>
      <c r="B245" s="128">
        <v>47004430</v>
      </c>
      <c r="C245" s="47">
        <v>47004434</v>
      </c>
      <c r="D245" s="46" t="str">
        <f ca="1">VLOOKUP($C245,OFFSET(enemy_skills!$A$1,0,0,COUNTA(enemy_skills!$A:$A),MATCH(D$1,enemy_skills!$1:$1,0)-MATCH("enemy_skill_id",enemy_skills!$1:$1,0)+1),MATCH(D$1,enemy_skills!$1:$1,0)-MATCH("enemy_skill_id",enemy_skills!$1:$1,0)+1,FALSE)</f>
        <v>あれ…？　これは何が…？</v>
      </c>
      <c r="E245" s="46" t="str">
        <f ca="1">VLOOKUP($C245,OFFSET(enemy_skills!$A$1,0,0,COUNTA(enemy_skills!$A:$A),MATCH(E$1,enemy_skills!$1:$1,0)-MATCH("enemy_skill_id",enemy_skills!$1:$1,0)+1),MATCH(E$1,enemy_skills!$1:$1,0)-MATCH("enemy_skill_id",enemy_skills!$1:$1,0)+1,FALSE)</f>
        <v>残りHPの33%消費+全体攻撃+_x000D_ランダムで青のダメージパネルに最大2個変換</v>
      </c>
      <c r="F245" s="47">
        <v>47004434</v>
      </c>
      <c r="G245" s="48">
        <f ca="1">VLOOKUP($F245,OFFSET(enemy_skill_triggers!$A$1,0,0,COUNTA(enemy_skill_triggers!$A:$A),MATCH(G$1,enemy_skill_triggers!$1:$1,0)-MATCH($F$1,enemy_skill_triggers!$1:$1,0)+1),MATCH(G$1,enemy_skill_triggers!$1:$1,0)-MATCH($F$1,enemy_skill_triggers!$1:$1,0)+1,FALSE)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5" s="48">
        <f ca="1">VLOOKUP($F245,OFFSET(enemy_skill_triggers!$A$1,0,0,COUNTA(enemy_skill_triggers!$A:$A),MATCH(H$1,enemy_skill_triggers!$1:$1,0)-MATCH($F$1,enemy_skill_triggers!$1:$1,0)+1),MATCH(H$1,enemy_skill_triggers!$1:$1,0)-MATCH($F$1,enemy_skill_triggers!$1:$1,0)+1,FALSE)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45" s="48">
        <f ca="1">VLOOKUP($F245,OFFSET(enemy_skill_triggers!$A$1,0,0,COUNTA(enemy_skill_triggers!$A:$A),MATCH(I$1,enemy_skill_triggers!$1:$1,0)-MATCH($F$1,enemy_skill_triggers!$1:$1,0)+1),MATCH(I$1,enemy_skill_triggers!$1:$1,0)-MATCH($F$1,enemy_skill_triggers!$1:$1,0)+1,FALSE)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5" s="48" t="str">
        <f ca="1">VLOOKUP($F245,OFFSET(enemy_skill_triggers!$A$1,0,0,COUNTA(enemy_skill_triggers!$A:$A),MATCH(J$1,enemy_skill_triggers!$1:$1,0)-MATCH($F$1,enemy_skill_triggers!$1:$1,0)+1),MATCH(J$1,enemy_skill_triggers!$1:$1,0)-MATCH($F$1,enemy_skill_triggers!$1:$1,0)+1,FALSE)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5" s="48" t="str">
        <f ca="1">VLOOKUP($F245,OFFSET(enemy_skill_triggers!$A$1,0,0,COUNTA(enemy_skill_triggers!$A:$A),MATCH(K$1,enemy_skill_triggers!$1:$1,0)-MATCH($F$1,enemy_skill_triggers!$1:$1,0)+1),MATCH(K$1,enemy_skill_triggers!$1:$1,0)-MATCH($F$1,enemy_skill_triggers!$1:$1,0)+1,FALSE)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5" s="48">
        <f ca="1">VLOOKUP($F245,OFFSET(enemy_skill_triggers!$A$1,0,0,COUNTA(enemy_skill_triggers!$A:$A),MATCH(L$1,enemy_skill_triggers!$1:$1,0)-MATCH($F$1,enemy_skill_triggers!$1:$1,0)+1),MATCH(L$1,enemy_skill_triggers!$1:$1,0)-MATCH($F$1,enemy_skill_triggers!$1:$1,0)+1,FALSE)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5" s="48">
        <f ca="1">VLOOKUP($F245,OFFSET(enemy_skill_triggers!$A$1,0,0,COUNTA(enemy_skill_triggers!$A:$A),MATCH(M$1,enemy_skill_triggers!$1:$1,0)-MATCH($F$1,enemy_skill_triggers!$1:$1,0)+1),MATCH(M$1,enemy_skill_triggers!$1:$1,0)-MATCH($F$1,enemy_skill_triggers!$1:$1,0)+1,FALSE)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5" s="48" t="str">
        <f ca="1">VLOOKUP($F245,OFFSET(enemy_skill_triggers!$A$1,0,0,COUNTA(enemy_skill_triggers!$A:$A),MATCH(N$1,enemy_skill_triggers!$1:$1,0)-MATCH($F$1,enemy_skill_triggers!$1:$1,0)+1),MATCH(N$1,enemy_skill_triggers!$1:$1,0)-MATCH($F$1,enemy_skill_triggers!$1:$1,0)+1,FALSE)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5" s="48">
        <f ca="1">VLOOKUP($F245,OFFSET(enemy_skill_triggers!$A$1,0,0,COUNTA(enemy_skill_triggers!$A:$A),MATCH(O$1,enemy_skill_triggers!$1:$1,0)-MATCH($F$1,enemy_skill_triggers!$1:$1,0)+1),MATCH(O$1,enemy_skill_triggers!$1:$1,0)-MATCH($F$1,enemy_skill_triggers!$1:$1,0)+1,FALSE)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5" s="47"/>
      <c r="Q245" s="47"/>
      <c r="R245" s="47"/>
    </row>
    <row r="246" spans="1:18" ht="21" customHeight="1" x14ac:dyDescent="0.15">
      <c r="A246" s="39" t="str">
        <f t="shared" si="13"/>
        <v>47004430_47004435</v>
      </c>
      <c r="B246" s="128">
        <v>47004430</v>
      </c>
      <c r="C246" s="47">
        <v>47004435</v>
      </c>
      <c r="D246" s="46" t="str">
        <f ca="1">VLOOKUP($C246,OFFSET(enemy_skills!$A$1,0,0,COUNTA(enemy_skills!$A:$A),MATCH(D$1,enemy_skills!$1:$1,0)-MATCH("enemy_skill_id",enemy_skills!$1:$1,0)+1),MATCH(D$1,enemy_skills!$1:$1,0)-MATCH("enemy_skill_id",enemy_skills!$1:$1,0)+1,FALSE)</f>
        <v>なぜ、勝手に…！？</v>
      </c>
      <c r="E246" s="46" t="str">
        <f ca="1">VLOOKUP($C246,OFFSET(enemy_skills!$A$1,0,0,COUNTA(enemy_skills!$A:$A),MATCH(E$1,enemy_skills!$1:$1,0)-MATCH("enemy_skill_id",enemy_skills!$1:$1,0)+1),MATCH(E$1,enemy_skills!$1:$1,0)-MATCH("enemy_skill_id",enemy_skills!$1:$1,0)+1,FALSE)</f>
        <v>残りHPの50%消費+全体攻撃+_x000D_ランダムで青のダメージパネルに最大2個変換</v>
      </c>
      <c r="F246" s="47">
        <v>47004435</v>
      </c>
      <c r="G246" s="48">
        <f ca="1">VLOOKUP($F246,OFFSET(enemy_skill_triggers!$A$1,0,0,COUNTA(enemy_skill_triggers!$A:$A),MATCH(G$1,enemy_skill_triggers!$1:$1,0)-MATCH($F$1,enemy_skill_triggers!$1:$1,0)+1),MATCH(G$1,enemy_skill_triggers!$1:$1,0)-MATCH($F$1,enemy_skill_triggers!$1:$1,0)+1,FALSE)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6" s="48">
        <f ca="1">VLOOKUP($F246,OFFSET(enemy_skill_triggers!$A$1,0,0,COUNTA(enemy_skill_triggers!$A:$A),MATCH(H$1,enemy_skill_triggers!$1:$1,0)-MATCH($F$1,enemy_skill_triggers!$1:$1,0)+1),MATCH(H$1,enemy_skill_triggers!$1:$1,0)-MATCH($F$1,enemy_skill_triggers!$1:$1,0)+1,FALSE)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46" s="48">
        <f ca="1">VLOOKUP($F246,OFFSET(enemy_skill_triggers!$A$1,0,0,COUNTA(enemy_skill_triggers!$A:$A),MATCH(I$1,enemy_skill_triggers!$1:$1,0)-MATCH($F$1,enemy_skill_triggers!$1:$1,0)+1),MATCH(I$1,enemy_skill_triggers!$1:$1,0)-MATCH($F$1,enemy_skill_triggers!$1:$1,0)+1,FALSE)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6" s="48" t="str">
        <f ca="1">VLOOKUP($F246,OFFSET(enemy_skill_triggers!$A$1,0,0,COUNTA(enemy_skill_triggers!$A:$A),MATCH(J$1,enemy_skill_triggers!$1:$1,0)-MATCH($F$1,enemy_skill_triggers!$1:$1,0)+1),MATCH(J$1,enemy_skill_triggers!$1:$1,0)-MATCH($F$1,enemy_skill_triggers!$1:$1,0)+1,FALSE)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6" s="48" t="str">
        <f ca="1">VLOOKUP($F246,OFFSET(enemy_skill_triggers!$A$1,0,0,COUNTA(enemy_skill_triggers!$A:$A),MATCH(K$1,enemy_skill_triggers!$1:$1,0)-MATCH($F$1,enemy_skill_triggers!$1:$1,0)+1),MATCH(K$1,enemy_skill_triggers!$1:$1,0)-MATCH($F$1,enemy_skill_triggers!$1:$1,0)+1,FALSE)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6" s="48">
        <f ca="1">VLOOKUP($F246,OFFSET(enemy_skill_triggers!$A$1,0,0,COUNTA(enemy_skill_triggers!$A:$A),MATCH(L$1,enemy_skill_triggers!$1:$1,0)-MATCH($F$1,enemy_skill_triggers!$1:$1,0)+1),MATCH(L$1,enemy_skill_triggers!$1:$1,0)-MATCH($F$1,enemy_skill_triggers!$1:$1,0)+1,FALSE)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6" s="48">
        <f ca="1">VLOOKUP($F246,OFFSET(enemy_skill_triggers!$A$1,0,0,COUNTA(enemy_skill_triggers!$A:$A),MATCH(M$1,enemy_skill_triggers!$1:$1,0)-MATCH($F$1,enemy_skill_triggers!$1:$1,0)+1),MATCH(M$1,enemy_skill_triggers!$1:$1,0)-MATCH($F$1,enemy_skill_triggers!$1:$1,0)+1,FALSE)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46" s="48" t="str">
        <f ca="1">VLOOKUP($F246,OFFSET(enemy_skill_triggers!$A$1,0,0,COUNTA(enemy_skill_triggers!$A:$A),MATCH(N$1,enemy_skill_triggers!$1:$1,0)-MATCH($F$1,enemy_skill_triggers!$1:$1,0)+1),MATCH(N$1,enemy_skill_triggers!$1:$1,0)-MATCH($F$1,enemy_skill_triggers!$1:$1,0)+1,FALSE)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6" s="48">
        <f ca="1">VLOOKUP($F246,OFFSET(enemy_skill_triggers!$A$1,0,0,COUNTA(enemy_skill_triggers!$A:$A),MATCH(O$1,enemy_skill_triggers!$1:$1,0)-MATCH($F$1,enemy_skill_triggers!$1:$1,0)+1),MATCH(O$1,enemy_skill_triggers!$1:$1,0)-MATCH($F$1,enemy_skill_triggers!$1:$1,0)+1,FALSE)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6" s="47"/>
      <c r="Q246" s="47"/>
      <c r="R246" s="47"/>
    </row>
    <row r="247" spans="1:18" ht="21" customHeight="1" x14ac:dyDescent="0.15">
      <c r="A247" s="39" t="str">
        <f t="shared" si="13"/>
        <v>47004430_47004436</v>
      </c>
      <c r="B247" s="128">
        <v>47004430</v>
      </c>
      <c r="C247" s="47">
        <v>47004436</v>
      </c>
      <c r="D247" s="46" t="str">
        <f ca="1">VLOOKUP($C247,OFFSET(enemy_skills!$A$1,0,0,COUNTA(enemy_skills!$A:$A),MATCH(D$1,enemy_skills!$1:$1,0)-MATCH("enemy_skill_id",enemy_skills!$1:$1,0)+1),MATCH(D$1,enemy_skills!$1:$1,0)-MATCH("enemy_skill_id",enemy_skills!$1:$1,0)+1,FALSE)</f>
        <v>い、嫌だ…！もうこの姿は…</v>
      </c>
      <c r="E247" s="46" t="str">
        <f ca="1">VLOOKUP($C247,OFFSET(enemy_skills!$A$1,0,0,COUNTA(enemy_skills!$A:$A),MATCH(E$1,enemy_skills!$1:$1,0)-MATCH("enemy_skill_id",enemy_skills!$1:$1,0)+1),MATCH(E$1,enemy_skills!$1:$1,0)-MATCH("enemy_skill_id",enemy_skills!$1:$1,0)+1,FALSE)</f>
        <v>残りHPの100%消費+全体攻撃+_x000D_ランダムで青のダメージパネルに最大2個変換</v>
      </c>
      <c r="F247" s="47">
        <v>47004436</v>
      </c>
      <c r="G247" s="48">
        <f ca="1">VLOOKUP($F247,OFFSET(enemy_skill_triggers!$A$1,0,0,COUNTA(enemy_skill_triggers!$A:$A),MATCH(G$1,enemy_skill_triggers!$1:$1,0)-MATCH($F$1,enemy_skill_triggers!$1:$1,0)+1),MATCH(G$1,enemy_skill_triggers!$1:$1,0)-MATCH($F$1,enemy_skill_triggers!$1:$1,0)+1,FALSE)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7" s="48">
        <f ca="1">VLOOKUP($F247,OFFSET(enemy_skill_triggers!$A$1,0,0,COUNTA(enemy_skill_triggers!$A:$A),MATCH(H$1,enemy_skill_triggers!$1:$1,0)-MATCH($F$1,enemy_skill_triggers!$1:$1,0)+1),MATCH(H$1,enemy_skill_triggers!$1:$1,0)-MATCH($F$1,enemy_skill_triggers!$1:$1,0)+1,FALSE)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47" s="48">
        <f ca="1">VLOOKUP($F247,OFFSET(enemy_skill_triggers!$A$1,0,0,COUNTA(enemy_skill_triggers!$A:$A),MATCH(I$1,enemy_skill_triggers!$1:$1,0)-MATCH($F$1,enemy_skill_triggers!$1:$1,0)+1),MATCH(I$1,enemy_skill_triggers!$1:$1,0)-MATCH($F$1,enemy_skill_triggers!$1:$1,0)+1,FALSE)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7" s="48" t="str">
        <f ca="1">VLOOKUP($F247,OFFSET(enemy_skill_triggers!$A$1,0,0,COUNTA(enemy_skill_triggers!$A:$A),MATCH(J$1,enemy_skill_triggers!$1:$1,0)-MATCH($F$1,enemy_skill_triggers!$1:$1,0)+1),MATCH(J$1,enemy_skill_triggers!$1:$1,0)-MATCH($F$1,enemy_skill_triggers!$1:$1,0)+1,FALSE)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7" s="48" t="str">
        <f ca="1">VLOOKUP($F247,OFFSET(enemy_skill_triggers!$A$1,0,0,COUNTA(enemy_skill_triggers!$A:$A),MATCH(K$1,enemy_skill_triggers!$1:$1,0)-MATCH($F$1,enemy_skill_triggers!$1:$1,0)+1),MATCH(K$1,enemy_skill_triggers!$1:$1,0)-MATCH($F$1,enemy_skill_triggers!$1:$1,0)+1,FALSE)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7" s="48">
        <f ca="1">VLOOKUP($F247,OFFSET(enemy_skill_triggers!$A$1,0,0,COUNTA(enemy_skill_triggers!$A:$A),MATCH(L$1,enemy_skill_triggers!$1:$1,0)-MATCH($F$1,enemy_skill_triggers!$1:$1,0)+1),MATCH(L$1,enemy_skill_triggers!$1:$1,0)-MATCH($F$1,enemy_skill_triggers!$1:$1,0)+1,FALSE)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7" s="48">
        <f ca="1">VLOOKUP($F247,OFFSET(enemy_skill_triggers!$A$1,0,0,COUNTA(enemy_skill_triggers!$A:$A),MATCH(M$1,enemy_skill_triggers!$1:$1,0)-MATCH($F$1,enemy_skill_triggers!$1:$1,0)+1),MATCH(M$1,enemy_skill_triggers!$1:$1,0)-MATCH($F$1,enemy_skill_triggers!$1:$1,0)+1,FALSE)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47" s="48" t="str">
        <f ca="1">VLOOKUP($F247,OFFSET(enemy_skill_triggers!$A$1,0,0,COUNTA(enemy_skill_triggers!$A:$A),MATCH(N$1,enemy_skill_triggers!$1:$1,0)-MATCH($F$1,enemy_skill_triggers!$1:$1,0)+1),MATCH(N$1,enemy_skill_triggers!$1:$1,0)-MATCH($F$1,enemy_skill_triggers!$1:$1,0)+1,FALSE)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7" s="48">
        <f ca="1">VLOOKUP($F247,OFFSET(enemy_skill_triggers!$A$1,0,0,COUNTA(enemy_skill_triggers!$A:$A),MATCH(O$1,enemy_skill_triggers!$1:$1,0)-MATCH($F$1,enemy_skill_triggers!$1:$1,0)+1),MATCH(O$1,enemy_skill_triggers!$1:$1,0)-MATCH($F$1,enemy_skill_triggers!$1:$1,0)+1,FALSE)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7" s="47"/>
      <c r="Q247" s="47"/>
      <c r="R247" s="47"/>
    </row>
    <row r="248" spans="1:18" ht="21" customHeight="1" x14ac:dyDescent="0.15">
      <c r="A248" s="39" t="str">
        <f t="shared" si="13"/>
        <v>47004460_47004461</v>
      </c>
      <c r="B248" s="128">
        <v>47004460</v>
      </c>
      <c r="C248" s="47">
        <v>47004461</v>
      </c>
      <c r="D248" s="46" t="str">
        <f ca="1">VLOOKUP($C248,OFFSET(enemy_skills!$A$1,0,0,COUNTA(enemy_skills!$A:$A),MATCH(D$1,enemy_skills!$1:$1,0)-MATCH("enemy_skill_id",enemy_skills!$1:$1,0)+1),MATCH(D$1,enemy_skills!$1:$1,0)-MATCH("enemy_skill_id",enemy_skills!$1:$1,0)+1,FALSE)</f>
        <v>二度と見せたくなかったのに…！</v>
      </c>
      <c r="E248" s="46" t="str">
        <f ca="1">VLOOKUP($C248,OFFSET(enemy_skills!$A$1,0,0,COUNTA(enemy_skills!$A:$A),MATCH(E$1,enemy_skills!$1:$1,0)-MATCH("enemy_skill_id",enemy_skills!$1:$1,0)+1),MATCH(E$1,enemy_skills!$1:$1,0)-MATCH("enemy_skill_id",enemy_skills!$1:$1,0)+1,FALSE)</f>
        <v>マシン・シュプールの中からシュプールが姿を現した</v>
      </c>
      <c r="F248" s="47">
        <v>47004461</v>
      </c>
      <c r="G248" s="48">
        <f ca="1">VLOOKUP($F248,OFFSET(enemy_skill_triggers!$A$1,0,0,COUNTA(enemy_skill_triggers!$A:$A),MATCH(G$1,enemy_skill_triggers!$1:$1,0)-MATCH($F$1,enemy_skill_triggers!$1:$1,0)+1),MATCH(G$1,enemy_skill_triggers!$1:$1,0)-MATCH($F$1,enemy_skill_triggers!$1:$1,0)+1,FALSE)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8" s="48">
        <f ca="1">VLOOKUP($F248,OFFSET(enemy_skill_triggers!$A$1,0,0,COUNTA(enemy_skill_triggers!$A:$A),MATCH(H$1,enemy_skill_triggers!$1:$1,0)-MATCH($F$1,enemy_skill_triggers!$1:$1,0)+1),MATCH(H$1,enemy_skill_triggers!$1:$1,0)-MATCH($F$1,enemy_skill_triggers!$1:$1,0)+1,FALSE)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8" s="48">
        <f ca="1">VLOOKUP($F248,OFFSET(enemy_skill_triggers!$A$1,0,0,COUNTA(enemy_skill_triggers!$A:$A),MATCH(I$1,enemy_skill_triggers!$1:$1,0)-MATCH($F$1,enemy_skill_triggers!$1:$1,0)+1),MATCH(I$1,enemy_skill_triggers!$1:$1,0)-MATCH($F$1,enemy_skill_triggers!$1:$1,0)+1,FALSE)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8" s="48" t="str">
        <f ca="1">VLOOKUP($F248,OFFSET(enemy_skill_triggers!$A$1,0,0,COUNTA(enemy_skill_triggers!$A:$A),MATCH(J$1,enemy_skill_triggers!$1:$1,0)-MATCH($F$1,enemy_skill_triggers!$1:$1,0)+1),MATCH(J$1,enemy_skill_triggers!$1:$1,0)-MATCH($F$1,enemy_skill_triggers!$1:$1,0)+1,FALSE)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8" s="48" t="str">
        <f ca="1">VLOOKUP($F248,OFFSET(enemy_skill_triggers!$A$1,0,0,COUNTA(enemy_skill_triggers!$A:$A),MATCH(K$1,enemy_skill_triggers!$1:$1,0)-MATCH($F$1,enemy_skill_triggers!$1:$1,0)+1),MATCH(K$1,enemy_skill_triggers!$1:$1,0)-MATCH($F$1,enemy_skill_triggers!$1:$1,0)+1,FALSE)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8" s="48">
        <f ca="1">VLOOKUP($F248,OFFSET(enemy_skill_triggers!$A$1,0,0,COUNTA(enemy_skill_triggers!$A:$A),MATCH(L$1,enemy_skill_triggers!$1:$1,0)-MATCH($F$1,enemy_skill_triggers!$1:$1,0)+1),MATCH(L$1,enemy_skill_triggers!$1:$1,0)-MATCH($F$1,enemy_skill_triggers!$1:$1,0)+1,FALSE)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8" s="48" t="str">
        <f ca="1">VLOOKUP($F248,OFFSET(enemy_skill_triggers!$A$1,0,0,COUNTA(enemy_skill_triggers!$A:$A),MATCH(M$1,enemy_skill_triggers!$1:$1,0)-MATCH($F$1,enemy_skill_triggers!$1:$1,0)+1),MATCH(M$1,enemy_skill_triggers!$1:$1,0)-MATCH($F$1,enemy_skill_triggers!$1:$1,0)+1,FALSE)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8" s="48" t="str">
        <f ca="1">VLOOKUP($F248,OFFSET(enemy_skill_triggers!$A$1,0,0,COUNTA(enemy_skill_triggers!$A:$A),MATCH(N$1,enemy_skill_triggers!$1:$1,0)-MATCH($F$1,enemy_skill_triggers!$1:$1,0)+1),MATCH(N$1,enemy_skill_triggers!$1:$1,0)-MATCH($F$1,enemy_skill_triggers!$1:$1,0)+1,FALSE)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8" s="48">
        <f ca="1">VLOOKUP($F248,OFFSET(enemy_skill_triggers!$A$1,0,0,COUNTA(enemy_skill_triggers!$A:$A),MATCH(O$1,enemy_skill_triggers!$1:$1,0)-MATCH($F$1,enemy_skill_triggers!$1:$1,0)+1),MATCH(O$1,enemy_skill_triggers!$1:$1,0)-MATCH($F$1,enemy_skill_triggers!$1:$1,0)+1,FALSE)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8" s="47"/>
      <c r="Q248" s="47"/>
      <c r="R248" s="47"/>
    </row>
    <row r="249" spans="1:18" ht="21" customHeight="1" x14ac:dyDescent="0.15">
      <c r="A249" s="39" t="str">
        <f t="shared" si="13"/>
        <v>47004460_47004462</v>
      </c>
      <c r="B249" s="128">
        <v>47004460</v>
      </c>
      <c r="C249" s="47">
        <v>47004462</v>
      </c>
      <c r="D249" s="46" t="str">
        <f ca="1">VLOOKUP($C249,OFFSET(enemy_skills!$A$1,0,0,COUNTA(enemy_skills!$A:$A),MATCH(D$1,enemy_skills!$1:$1,0)-MATCH("enemy_skill_id",enemy_skills!$1:$1,0)+1),MATCH(D$1,enemy_skills!$1:$1,0)-MATCH("enemy_skill_id",enemy_skills!$1:$1,0)+1,FALSE)</f>
        <v>ダイヤモンドフロスト</v>
      </c>
      <c r="E249" s="46" t="str">
        <f ca="1">VLOOKUP($C249,OFFSET(enemy_skills!$A$1,0,0,COUNTA(enemy_skills!$A:$A),MATCH(E$1,enemy_skills!$1:$1,0)-MATCH("enemy_skill_id",enemy_skills!$1:$1,0)+1),MATCH(E$1,enemy_skills!$1:$1,0)-MATCH("enemy_skill_id",enemy_skills!$1:$1,0)+1,FALSE)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49" s="47">
        <v>47004462</v>
      </c>
      <c r="G249" s="48">
        <f ca="1">VLOOKUP($F249,OFFSET(enemy_skill_triggers!$A$1,0,0,COUNTA(enemy_skill_triggers!$A:$A),MATCH(G$1,enemy_skill_triggers!$1:$1,0)-MATCH($F$1,enemy_skill_triggers!$1:$1,0)+1),MATCH(G$1,enemy_skill_triggers!$1:$1,0)-MATCH($F$1,enemy_skill_triggers!$1:$1,0)+1,FALSE)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9" s="48">
        <f ca="1">VLOOKUP($F249,OFFSET(enemy_skill_triggers!$A$1,0,0,COUNTA(enemy_skill_triggers!$A:$A),MATCH(H$1,enemy_skill_triggers!$1:$1,0)-MATCH($F$1,enemy_skill_triggers!$1:$1,0)+1),MATCH(H$1,enemy_skill_triggers!$1:$1,0)-MATCH($F$1,enemy_skill_triggers!$1:$1,0)+1,FALSE)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49" s="48">
        <f ca="1">VLOOKUP($F249,OFFSET(enemy_skill_triggers!$A$1,0,0,COUNTA(enemy_skill_triggers!$A:$A),MATCH(I$1,enemy_skill_triggers!$1:$1,0)-MATCH($F$1,enemy_skill_triggers!$1:$1,0)+1),MATCH(I$1,enemy_skill_triggers!$1:$1,0)-MATCH($F$1,enemy_skill_triggers!$1:$1,0)+1,FALSE)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9" s="48" t="str">
        <f ca="1">VLOOKUP($F249,OFFSET(enemy_skill_triggers!$A$1,0,0,COUNTA(enemy_skill_triggers!$A:$A),MATCH(J$1,enemy_skill_triggers!$1:$1,0)-MATCH($F$1,enemy_skill_triggers!$1:$1,0)+1),MATCH(J$1,enemy_skill_triggers!$1:$1,0)-MATCH($F$1,enemy_skill_triggers!$1:$1,0)+1,FALSE)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9" s="48" t="str">
        <f ca="1">VLOOKUP($F249,OFFSET(enemy_skill_triggers!$A$1,0,0,COUNTA(enemy_skill_triggers!$A:$A),MATCH(K$1,enemy_skill_triggers!$1:$1,0)-MATCH($F$1,enemy_skill_triggers!$1:$1,0)+1),MATCH(K$1,enemy_skill_triggers!$1:$1,0)-MATCH($F$1,enemy_skill_triggers!$1:$1,0)+1,FALSE)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9" s="48">
        <f ca="1">VLOOKUP($F249,OFFSET(enemy_skill_triggers!$A$1,0,0,COUNTA(enemy_skill_triggers!$A:$A),MATCH(L$1,enemy_skill_triggers!$1:$1,0)-MATCH($F$1,enemy_skill_triggers!$1:$1,0)+1),MATCH(L$1,enemy_skill_triggers!$1:$1,0)-MATCH($F$1,enemy_skill_triggers!$1:$1,0)+1,FALSE)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9" s="48">
        <f ca="1">VLOOKUP($F249,OFFSET(enemy_skill_triggers!$A$1,0,0,COUNTA(enemy_skill_triggers!$A:$A),MATCH(M$1,enemy_skill_triggers!$1:$1,0)-MATCH($F$1,enemy_skill_triggers!$1:$1,0)+1),MATCH(M$1,enemy_skill_triggers!$1:$1,0)-MATCH($F$1,enemy_skill_triggers!$1:$1,0)+1,FALSE)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9" s="48" t="str">
        <f ca="1">VLOOKUP($F249,OFFSET(enemy_skill_triggers!$A$1,0,0,COUNTA(enemy_skill_triggers!$A:$A),MATCH(N$1,enemy_skill_triggers!$1:$1,0)-MATCH($F$1,enemy_skill_triggers!$1:$1,0)+1),MATCH(N$1,enemy_skill_triggers!$1:$1,0)-MATCH($F$1,enemy_skill_triggers!$1:$1,0)+1,FALSE)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9" s="48">
        <f ca="1">VLOOKUP($F249,OFFSET(enemy_skill_triggers!$A$1,0,0,COUNTA(enemy_skill_triggers!$A:$A),MATCH(O$1,enemy_skill_triggers!$1:$1,0)-MATCH($F$1,enemy_skill_triggers!$1:$1,0)+1),MATCH(O$1,enemy_skill_triggers!$1:$1,0)-MATCH($F$1,enemy_skill_triggers!$1:$1,0)+1,FALSE)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9" s="47"/>
      <c r="Q249" s="47"/>
      <c r="R249" s="47"/>
    </row>
    <row r="250" spans="1:18" ht="21" customHeight="1" x14ac:dyDescent="0.15">
      <c r="A250" s="39" t="str">
        <f t="shared" si="13"/>
        <v>47004460_47004463</v>
      </c>
      <c r="B250" s="128">
        <v>47004460</v>
      </c>
      <c r="C250" s="47">
        <v>47004463</v>
      </c>
      <c r="D250" s="46" t="str">
        <f ca="1">VLOOKUP($C250,OFFSET(enemy_skills!$A$1,0,0,COUNTA(enemy_skills!$A:$A),MATCH(D$1,enemy_skills!$1:$1,0)-MATCH("enemy_skill_id",enemy_skills!$1:$1,0)+1),MATCH(D$1,enemy_skills!$1:$1,0)-MATCH("enemy_skill_id",enemy_skills!$1:$1,0)+1,FALSE)</f>
        <v>僕だって好きでこうなったわけじゃないんだ！</v>
      </c>
      <c r="E250" s="46" t="str">
        <f ca="1">VLOOKUP($C250,OFFSET(enemy_skills!$A$1,0,0,COUNTA(enemy_skills!$A:$A),MATCH(E$1,enemy_skills!$1:$1,0)-MATCH("enemy_skill_id",enemy_skills!$1:$1,0)+1),MATCH(E$1,enemy_skills!$1:$1,0)-MATCH("enemy_skill_id",enemy_skills!$1:$1,0)+1,FALSE)</f>
        <v>ハートパネル&amp;青パネルを吸収して全体攻撃</v>
      </c>
      <c r="F250" s="47">
        <v>47004463</v>
      </c>
      <c r="G250" s="48">
        <f ca="1">VLOOKUP($F250,OFFSET(enemy_skill_triggers!$A$1,0,0,COUNTA(enemy_skill_triggers!$A:$A),MATCH(G$1,enemy_skill_triggers!$1:$1,0)-MATCH($F$1,enemy_skill_triggers!$1:$1,0)+1),MATCH(G$1,enemy_skill_triggers!$1:$1,0)-MATCH($F$1,enemy_skill_triggers!$1:$1,0)+1,FALSE)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0" s="48">
        <f ca="1">VLOOKUP($F250,OFFSET(enemy_skill_triggers!$A$1,0,0,COUNTA(enemy_skill_triggers!$A:$A),MATCH(H$1,enemy_skill_triggers!$1:$1,0)-MATCH($F$1,enemy_skill_triggers!$1:$1,0)+1),MATCH(H$1,enemy_skill_triggers!$1:$1,0)-MATCH($F$1,enemy_skill_triggers!$1:$1,0)+1,FALSE)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50" s="48">
        <f ca="1">VLOOKUP($F250,OFFSET(enemy_skill_triggers!$A$1,0,0,COUNTA(enemy_skill_triggers!$A:$A),MATCH(I$1,enemy_skill_triggers!$1:$1,0)-MATCH($F$1,enemy_skill_triggers!$1:$1,0)+1),MATCH(I$1,enemy_skill_triggers!$1:$1,0)-MATCH($F$1,enemy_skill_triggers!$1:$1,0)+1,FALSE)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0" s="48" t="str">
        <f ca="1">VLOOKUP($F250,OFFSET(enemy_skill_triggers!$A$1,0,0,COUNTA(enemy_skill_triggers!$A:$A),MATCH(J$1,enemy_skill_triggers!$1:$1,0)-MATCH($F$1,enemy_skill_triggers!$1:$1,0)+1),MATCH(J$1,enemy_skill_triggers!$1:$1,0)-MATCH($F$1,enemy_skill_triggers!$1:$1,0)+1,FALSE)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0" s="48" t="str">
        <f ca="1">VLOOKUP($F250,OFFSET(enemy_skill_triggers!$A$1,0,0,COUNTA(enemy_skill_triggers!$A:$A),MATCH(K$1,enemy_skill_triggers!$1:$1,0)-MATCH($F$1,enemy_skill_triggers!$1:$1,0)+1),MATCH(K$1,enemy_skill_triggers!$1:$1,0)-MATCH($F$1,enemy_skill_triggers!$1:$1,0)+1,FALSE)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0" s="48">
        <f ca="1">VLOOKUP($F250,OFFSET(enemy_skill_triggers!$A$1,0,0,COUNTA(enemy_skill_triggers!$A:$A),MATCH(L$1,enemy_skill_triggers!$1:$1,0)-MATCH($F$1,enemy_skill_triggers!$1:$1,0)+1),MATCH(L$1,enemy_skill_triggers!$1:$1,0)-MATCH($F$1,enemy_skill_triggers!$1:$1,0)+1,FALSE)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0" s="48">
        <f ca="1">VLOOKUP($F250,OFFSET(enemy_skill_triggers!$A$1,0,0,COUNTA(enemy_skill_triggers!$A:$A),MATCH(M$1,enemy_skill_triggers!$1:$1,0)-MATCH($F$1,enemy_skill_triggers!$1:$1,0)+1),MATCH(M$1,enemy_skill_triggers!$1:$1,0)-MATCH($F$1,enemy_skill_triggers!$1:$1,0)+1,FALSE)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0" s="48" t="str">
        <f ca="1">VLOOKUP($F250,OFFSET(enemy_skill_triggers!$A$1,0,0,COUNTA(enemy_skill_triggers!$A:$A),MATCH(N$1,enemy_skill_triggers!$1:$1,0)-MATCH($F$1,enemy_skill_triggers!$1:$1,0)+1),MATCH(N$1,enemy_skill_triggers!$1:$1,0)-MATCH($F$1,enemy_skill_triggers!$1:$1,0)+1,FALSE)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0" s="48">
        <f ca="1">VLOOKUP($F250,OFFSET(enemy_skill_triggers!$A$1,0,0,COUNTA(enemy_skill_triggers!$A:$A),MATCH(O$1,enemy_skill_triggers!$1:$1,0)-MATCH($F$1,enemy_skill_triggers!$1:$1,0)+1),MATCH(O$1,enemy_skill_triggers!$1:$1,0)-MATCH($F$1,enemy_skill_triggers!$1:$1,0)+1,FALSE)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0" s="47"/>
      <c r="Q250" s="47"/>
      <c r="R250" s="47"/>
    </row>
    <row r="251" spans="1:18" ht="21" customHeight="1" x14ac:dyDescent="0.15">
      <c r="A251" s="39" t="str">
        <f t="shared" si="13"/>
        <v>47004460_47004464</v>
      </c>
      <c r="B251" s="128">
        <v>47004460</v>
      </c>
      <c r="C251" s="47">
        <v>47004464</v>
      </c>
      <c r="D251" s="46" t="str">
        <f ca="1">VLOOKUP($C251,OFFSET(enemy_skills!$A$1,0,0,COUNTA(enemy_skills!$A:$A),MATCH(D$1,enemy_skills!$1:$1,0)-MATCH("enemy_skill_id",enemy_skills!$1:$1,0)+1),MATCH(D$1,enemy_skills!$1:$1,0)-MATCH("enemy_skill_id",enemy_skills!$1:$1,0)+1,FALSE)</f>
        <v>灯火に踊る細氷</v>
      </c>
      <c r="E251" s="46" t="str">
        <f ca="1">VLOOKUP($C251,OFFSET(enemy_skills!$A$1,0,0,COUNTA(enemy_skills!$A:$A),MATCH(E$1,enemy_skills!$1:$1,0)-MATCH("enemy_skill_id",enemy_skills!$1:$1,0)+1),MATCH(E$1,enemy_skills!$1:$1,0)-MATCH("enemy_skill_id",enemy_skills!$1:$1,0)+1,FALSE)</f>
        <v>赤パネルを青のダメージパネルに3個変換+単体攻撃</v>
      </c>
      <c r="F251" s="47">
        <v>47004464</v>
      </c>
      <c r="G251" s="48">
        <f ca="1">VLOOKUP($F251,OFFSET(enemy_skill_triggers!$A$1,0,0,COUNTA(enemy_skill_triggers!$A:$A),MATCH(G$1,enemy_skill_triggers!$1:$1,0)-MATCH($F$1,enemy_skill_triggers!$1:$1,0)+1),MATCH(G$1,enemy_skill_triggers!$1:$1,0)-MATCH($F$1,enemy_skill_triggers!$1:$1,0)+1,FALSE)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1" s="48">
        <f ca="1">VLOOKUP($F251,OFFSET(enemy_skill_triggers!$A$1,0,0,COUNTA(enemy_skill_triggers!$A:$A),MATCH(H$1,enemy_skill_triggers!$1:$1,0)-MATCH($F$1,enemy_skill_triggers!$1:$1,0)+1),MATCH(H$1,enemy_skill_triggers!$1:$1,0)-MATCH($F$1,enemy_skill_triggers!$1:$1,0)+1,FALSE)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51" s="48">
        <f ca="1">VLOOKUP($F251,OFFSET(enemy_skill_triggers!$A$1,0,0,COUNTA(enemy_skill_triggers!$A:$A),MATCH(I$1,enemy_skill_triggers!$1:$1,0)-MATCH($F$1,enemy_skill_triggers!$1:$1,0)+1),MATCH(I$1,enemy_skill_triggers!$1:$1,0)-MATCH($F$1,enemy_skill_triggers!$1:$1,0)+1,FALSE)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1" s="48" t="str">
        <f ca="1">VLOOKUP($F251,OFFSET(enemy_skill_triggers!$A$1,0,0,COUNTA(enemy_skill_triggers!$A:$A),MATCH(J$1,enemy_skill_triggers!$1:$1,0)-MATCH($F$1,enemy_skill_triggers!$1:$1,0)+1),MATCH(J$1,enemy_skill_triggers!$1:$1,0)-MATCH($F$1,enemy_skill_triggers!$1:$1,0)+1,FALSE)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1" s="48" t="str">
        <f ca="1">VLOOKUP($F251,OFFSET(enemy_skill_triggers!$A$1,0,0,COUNTA(enemy_skill_triggers!$A:$A),MATCH(K$1,enemy_skill_triggers!$1:$1,0)-MATCH($F$1,enemy_skill_triggers!$1:$1,0)+1),MATCH(K$1,enemy_skill_triggers!$1:$1,0)-MATCH($F$1,enemy_skill_triggers!$1:$1,0)+1,FALSE)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1" s="48">
        <f ca="1">VLOOKUP($F251,OFFSET(enemy_skill_triggers!$A$1,0,0,COUNTA(enemy_skill_triggers!$A:$A),MATCH(L$1,enemy_skill_triggers!$1:$1,0)-MATCH($F$1,enemy_skill_triggers!$1:$1,0)+1),MATCH(L$1,enemy_skill_triggers!$1:$1,0)-MATCH($F$1,enemy_skill_triggers!$1:$1,0)+1,FALSE)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1" s="48">
        <f ca="1">VLOOKUP($F251,OFFSET(enemy_skill_triggers!$A$1,0,0,COUNTA(enemy_skill_triggers!$A:$A),MATCH(M$1,enemy_skill_triggers!$1:$1,0)-MATCH($F$1,enemy_skill_triggers!$1:$1,0)+1),MATCH(M$1,enemy_skill_triggers!$1:$1,0)-MATCH($F$1,enemy_skill_triggers!$1:$1,0)+1,FALSE)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51" s="48" t="str">
        <f ca="1">VLOOKUP($F251,OFFSET(enemy_skill_triggers!$A$1,0,0,COUNTA(enemy_skill_triggers!$A:$A),MATCH(N$1,enemy_skill_triggers!$1:$1,0)-MATCH($F$1,enemy_skill_triggers!$1:$1,0)+1),MATCH(N$1,enemy_skill_triggers!$1:$1,0)-MATCH($F$1,enemy_skill_triggers!$1:$1,0)+1,FALSE)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1" s="48">
        <f ca="1">VLOOKUP($F251,OFFSET(enemy_skill_triggers!$A$1,0,0,COUNTA(enemy_skill_triggers!$A:$A),MATCH(O$1,enemy_skill_triggers!$1:$1,0)-MATCH($F$1,enemy_skill_triggers!$1:$1,0)+1),MATCH(O$1,enemy_skill_triggers!$1:$1,0)-MATCH($F$1,enemy_skill_triggers!$1:$1,0)+1,FALSE)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1" s="47"/>
      <c r="Q251" s="47"/>
      <c r="R251" s="47"/>
    </row>
    <row r="252" spans="1:18" ht="21" customHeight="1" x14ac:dyDescent="0.15">
      <c r="A252" s="39" t="str">
        <f t="shared" si="13"/>
        <v>47004460_47004465</v>
      </c>
      <c r="B252" s="128">
        <v>47004460</v>
      </c>
      <c r="C252" s="47">
        <v>47004465</v>
      </c>
      <c r="D252" s="46" t="str">
        <f ca="1">VLOOKUP($C252,OFFSET(enemy_skills!$A$1,0,0,COUNTA(enemy_skills!$A:$A),MATCH(D$1,enemy_skills!$1:$1,0)-MATCH("enemy_skill_id",enemy_skills!$1:$1,0)+1),MATCH(D$1,enemy_skills!$1:$1,0)-MATCH("enemy_skill_id",enemy_skills!$1:$1,0)+1,FALSE)</f>
        <v>涙氷の礫</v>
      </c>
      <c r="E252" s="46" t="str">
        <f ca="1">VLOOKUP($C252,OFFSET(enemy_skills!$A$1,0,0,COUNTA(enemy_skills!$A:$A),MATCH(E$1,enemy_skills!$1:$1,0)-MATCH("enemy_skill_id",enemy_skills!$1:$1,0)+1),MATCH(E$1,enemy_skills!$1:$1,0)-MATCH("enemy_skill_id",enemy_skills!$1:$1,0)+1,FALSE)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52" s="47">
        <v>47004465</v>
      </c>
      <c r="G252" s="48">
        <f ca="1">VLOOKUP($F252,OFFSET(enemy_skill_triggers!$A$1,0,0,COUNTA(enemy_skill_triggers!$A:$A),MATCH(G$1,enemy_skill_triggers!$1:$1,0)-MATCH($F$1,enemy_skill_triggers!$1:$1,0)+1),MATCH(G$1,enemy_skill_triggers!$1:$1,0)-MATCH($F$1,enemy_skill_triggers!$1:$1,0)+1,FALSE)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2" s="48">
        <f ca="1">VLOOKUP($F252,OFFSET(enemy_skill_triggers!$A$1,0,0,COUNTA(enemy_skill_triggers!$A:$A),MATCH(H$1,enemy_skill_triggers!$1:$1,0)-MATCH($F$1,enemy_skill_triggers!$1:$1,0)+1),MATCH(H$1,enemy_skill_triggers!$1:$1,0)-MATCH($F$1,enemy_skill_triggers!$1:$1,0)+1,FALSE)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252" s="48">
        <f ca="1">VLOOKUP($F252,OFFSET(enemy_skill_triggers!$A$1,0,0,COUNTA(enemy_skill_triggers!$A:$A),MATCH(I$1,enemy_skill_triggers!$1:$1,0)-MATCH($F$1,enemy_skill_triggers!$1:$1,0)+1),MATCH(I$1,enemy_skill_triggers!$1:$1,0)-MATCH($F$1,enemy_skill_triggers!$1:$1,0)+1,FALSE)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2" s="48" t="str">
        <f ca="1">VLOOKUP($F252,OFFSET(enemy_skill_triggers!$A$1,0,0,COUNTA(enemy_skill_triggers!$A:$A),MATCH(J$1,enemy_skill_triggers!$1:$1,0)-MATCH($F$1,enemy_skill_triggers!$1:$1,0)+1),MATCH(J$1,enemy_skill_triggers!$1:$1,0)-MATCH($F$1,enemy_skill_triggers!$1:$1,0)+1,FALSE)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2" s="48" t="str">
        <f ca="1">VLOOKUP($F252,OFFSET(enemy_skill_triggers!$A$1,0,0,COUNTA(enemy_skill_triggers!$A:$A),MATCH(K$1,enemy_skill_triggers!$1:$1,0)-MATCH($F$1,enemy_skill_triggers!$1:$1,0)+1),MATCH(K$1,enemy_skill_triggers!$1:$1,0)-MATCH($F$1,enemy_skill_triggers!$1:$1,0)+1,FALSE)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2" s="48">
        <f ca="1">VLOOKUP($F252,OFFSET(enemy_skill_triggers!$A$1,0,0,COUNTA(enemy_skill_triggers!$A:$A),MATCH(L$1,enemy_skill_triggers!$1:$1,0)-MATCH($F$1,enemy_skill_triggers!$1:$1,0)+1),MATCH(L$1,enemy_skill_triggers!$1:$1,0)-MATCH($F$1,enemy_skill_triggers!$1:$1,0)+1,FALSE)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2" s="48">
        <f ca="1">VLOOKUP($F252,OFFSET(enemy_skill_triggers!$A$1,0,0,COUNTA(enemy_skill_triggers!$A:$A),MATCH(M$1,enemy_skill_triggers!$1:$1,0)-MATCH($F$1,enemy_skill_triggers!$1:$1,0)+1),MATCH(M$1,enemy_skill_triggers!$1:$1,0)-MATCH($F$1,enemy_skill_triggers!$1:$1,0)+1,FALSE)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52" s="48" t="str">
        <f ca="1">VLOOKUP($F252,OFFSET(enemy_skill_triggers!$A$1,0,0,COUNTA(enemy_skill_triggers!$A:$A),MATCH(N$1,enemy_skill_triggers!$1:$1,0)-MATCH($F$1,enemy_skill_triggers!$1:$1,0)+1),MATCH(N$1,enemy_skill_triggers!$1:$1,0)-MATCH($F$1,enemy_skill_triggers!$1:$1,0)+1,FALSE)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2" s="48">
        <f ca="1">VLOOKUP($F252,OFFSET(enemy_skill_triggers!$A$1,0,0,COUNTA(enemy_skill_triggers!$A:$A),MATCH(O$1,enemy_skill_triggers!$1:$1,0)-MATCH($F$1,enemy_skill_triggers!$1:$1,0)+1),MATCH(O$1,enemy_skill_triggers!$1:$1,0)-MATCH($F$1,enemy_skill_triggers!$1:$1,0)+1,FALSE)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2" s="47"/>
      <c r="Q252" s="47"/>
      <c r="R252" s="47"/>
    </row>
    <row r="253" spans="1:18" ht="21" customHeight="1" x14ac:dyDescent="0.15">
      <c r="A253" s="39" t="str">
        <f t="shared" si="13"/>
        <v>47004460_47004466</v>
      </c>
      <c r="B253" s="128">
        <v>47004460</v>
      </c>
      <c r="C253" s="47">
        <v>47004466</v>
      </c>
      <c r="D253" s="46" t="str">
        <f ca="1">VLOOKUP($C253,OFFSET(enemy_skills!$A$1,0,0,COUNTA(enemy_skills!$A:$A),MATCH(D$1,enemy_skills!$1:$1,0)-MATCH("enemy_skill_id",enemy_skills!$1:$1,0)+1),MATCH(D$1,enemy_skills!$1:$1,0)-MATCH("enemy_skill_id",enemy_skills!$1:$1,0)+1,FALSE)</f>
        <v>君達はなぜ…僕なんかに…</v>
      </c>
      <c r="E253" s="46" t="str">
        <f ca="1">VLOOKUP($C253,OFFSET(enemy_skills!$A$1,0,0,COUNTA(enemy_skills!$A:$A),MATCH(E$1,enemy_skills!$1:$1,0)-MATCH("enemy_skill_id",enemy_skills!$1:$1,0)+1),MATCH(E$1,enemy_skills!$1:$1,0)-MATCH("enemy_skill_id",enemy_skills!$1:$1,0)+1,FALSE)</f>
        <v>ハートパネル&amp;青パネルを吸収して全体攻撃</v>
      </c>
      <c r="F253" s="47">
        <v>47004466</v>
      </c>
      <c r="G253" s="48">
        <f ca="1">VLOOKUP($F253,OFFSET(enemy_skill_triggers!$A$1,0,0,COUNTA(enemy_skill_triggers!$A:$A),MATCH(G$1,enemy_skill_triggers!$1:$1,0)-MATCH($F$1,enemy_skill_triggers!$1:$1,0)+1),MATCH(G$1,enemy_skill_triggers!$1:$1,0)-MATCH($F$1,enemy_skill_triggers!$1:$1,0)+1,FALSE)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3" s="48">
        <f ca="1">VLOOKUP($F253,OFFSET(enemy_skill_triggers!$A$1,0,0,COUNTA(enemy_skill_triggers!$A:$A),MATCH(H$1,enemy_skill_triggers!$1:$1,0)-MATCH($F$1,enemy_skill_triggers!$1:$1,0)+1),MATCH(H$1,enemy_skill_triggers!$1:$1,0)-MATCH($F$1,enemy_skill_triggers!$1:$1,0)+1,FALSE)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53" s="48">
        <f ca="1">VLOOKUP($F253,OFFSET(enemy_skill_triggers!$A$1,0,0,COUNTA(enemy_skill_triggers!$A:$A),MATCH(I$1,enemy_skill_triggers!$1:$1,0)-MATCH($F$1,enemy_skill_triggers!$1:$1,0)+1),MATCH(I$1,enemy_skill_triggers!$1:$1,0)-MATCH($F$1,enemy_skill_triggers!$1:$1,0)+1,FALSE)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3" s="48" t="str">
        <f ca="1">VLOOKUP($F253,OFFSET(enemy_skill_triggers!$A$1,0,0,COUNTA(enemy_skill_triggers!$A:$A),MATCH(J$1,enemy_skill_triggers!$1:$1,0)-MATCH($F$1,enemy_skill_triggers!$1:$1,0)+1),MATCH(J$1,enemy_skill_triggers!$1:$1,0)-MATCH($F$1,enemy_skill_triggers!$1:$1,0)+1,FALSE)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3" s="48" t="str">
        <f ca="1">VLOOKUP($F253,OFFSET(enemy_skill_triggers!$A$1,0,0,COUNTA(enemy_skill_triggers!$A:$A),MATCH(K$1,enemy_skill_triggers!$1:$1,0)-MATCH($F$1,enemy_skill_triggers!$1:$1,0)+1),MATCH(K$1,enemy_skill_triggers!$1:$1,0)-MATCH($F$1,enemy_skill_triggers!$1:$1,0)+1,FALSE)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3" s="48">
        <f ca="1">VLOOKUP($F253,OFFSET(enemy_skill_triggers!$A$1,0,0,COUNTA(enemy_skill_triggers!$A:$A),MATCH(L$1,enemy_skill_triggers!$1:$1,0)-MATCH($F$1,enemy_skill_triggers!$1:$1,0)+1),MATCH(L$1,enemy_skill_triggers!$1:$1,0)-MATCH($F$1,enemy_skill_triggers!$1:$1,0)+1,FALSE)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3" s="48">
        <f ca="1">VLOOKUP($F253,OFFSET(enemy_skill_triggers!$A$1,0,0,COUNTA(enemy_skill_triggers!$A:$A),MATCH(M$1,enemy_skill_triggers!$1:$1,0)-MATCH($F$1,enemy_skill_triggers!$1:$1,0)+1),MATCH(M$1,enemy_skill_triggers!$1:$1,0)-MATCH($F$1,enemy_skill_triggers!$1:$1,0)+1,FALSE)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53" s="48" t="str">
        <f ca="1">VLOOKUP($F253,OFFSET(enemy_skill_triggers!$A$1,0,0,COUNTA(enemy_skill_triggers!$A:$A),MATCH(N$1,enemy_skill_triggers!$1:$1,0)-MATCH($F$1,enemy_skill_triggers!$1:$1,0)+1),MATCH(N$1,enemy_skill_triggers!$1:$1,0)-MATCH($F$1,enemy_skill_triggers!$1:$1,0)+1,FALSE)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3" s="48">
        <f ca="1">VLOOKUP($F253,OFFSET(enemy_skill_triggers!$A$1,0,0,COUNTA(enemy_skill_triggers!$A:$A),MATCH(O$1,enemy_skill_triggers!$1:$1,0)-MATCH($F$1,enemy_skill_triggers!$1:$1,0)+1),MATCH(O$1,enemy_skill_triggers!$1:$1,0)-MATCH($F$1,enemy_skill_triggers!$1:$1,0)+1,FALSE)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3" s="47"/>
      <c r="Q253" s="47"/>
      <c r="R253" s="47"/>
    </row>
    <row r="254" spans="1:18" ht="21" customHeight="1" x14ac:dyDescent="0.15">
      <c r="A254" s="39" t="str">
        <f t="shared" si="13"/>
        <v>47004460_47004467</v>
      </c>
      <c r="B254" s="128">
        <v>47004460</v>
      </c>
      <c r="C254" s="47">
        <v>47004467</v>
      </c>
      <c r="D254" s="46" t="str">
        <f ca="1">VLOOKUP($C254,OFFSET(enemy_skills!$A$1,0,0,COUNTA(enemy_skills!$A:$A),MATCH(D$1,enemy_skills!$1:$1,0)-MATCH("enemy_skill_id",enemy_skills!$1:$1,0)+1),MATCH(D$1,enemy_skills!$1:$1,0)-MATCH("enemy_skill_id",enemy_skills!$1:$1,0)+1,FALSE)</f>
        <v>緑に踊る細氷</v>
      </c>
      <c r="E254" s="46" t="str">
        <f ca="1">VLOOKUP($C254,OFFSET(enemy_skills!$A$1,0,0,COUNTA(enemy_skills!$A:$A),MATCH(E$1,enemy_skills!$1:$1,0)-MATCH("enemy_skill_id",enemy_skills!$1:$1,0)+1),MATCH(E$1,enemy_skills!$1:$1,0)-MATCH("enemy_skill_id",enemy_skills!$1:$1,0)+1,FALSE)</f>
        <v>緑パネルを青のダメージパネルに3個変換+単体攻撃</v>
      </c>
      <c r="F254" s="47">
        <v>47004467</v>
      </c>
      <c r="G254" s="48">
        <f ca="1">VLOOKUP($F254,OFFSET(enemy_skill_triggers!$A$1,0,0,COUNTA(enemy_skill_triggers!$A:$A),MATCH(G$1,enemy_skill_triggers!$1:$1,0)-MATCH($F$1,enemy_skill_triggers!$1:$1,0)+1),MATCH(G$1,enemy_skill_triggers!$1:$1,0)-MATCH($F$1,enemy_skill_triggers!$1:$1,0)+1,FALSE)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4" s="48">
        <f ca="1">VLOOKUP($F254,OFFSET(enemy_skill_triggers!$A$1,0,0,COUNTA(enemy_skill_triggers!$A:$A),MATCH(H$1,enemy_skill_triggers!$1:$1,0)-MATCH($F$1,enemy_skill_triggers!$1:$1,0)+1),MATCH(H$1,enemy_skill_triggers!$1:$1,0)-MATCH($F$1,enemy_skill_triggers!$1:$1,0)+1,FALSE)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254" s="48">
        <f ca="1">VLOOKUP($F254,OFFSET(enemy_skill_triggers!$A$1,0,0,COUNTA(enemy_skill_triggers!$A:$A),MATCH(I$1,enemy_skill_triggers!$1:$1,0)-MATCH($F$1,enemy_skill_triggers!$1:$1,0)+1),MATCH(I$1,enemy_skill_triggers!$1:$1,0)-MATCH($F$1,enemy_skill_triggers!$1:$1,0)+1,FALSE)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4" s="48" t="str">
        <f ca="1">VLOOKUP($F254,OFFSET(enemy_skill_triggers!$A$1,0,0,COUNTA(enemy_skill_triggers!$A:$A),MATCH(J$1,enemy_skill_triggers!$1:$1,0)-MATCH($F$1,enemy_skill_triggers!$1:$1,0)+1),MATCH(J$1,enemy_skill_triggers!$1:$1,0)-MATCH($F$1,enemy_skill_triggers!$1:$1,0)+1,FALSE)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4" s="48" t="str">
        <f ca="1">VLOOKUP($F254,OFFSET(enemy_skill_triggers!$A$1,0,0,COUNTA(enemy_skill_triggers!$A:$A),MATCH(K$1,enemy_skill_triggers!$1:$1,0)-MATCH($F$1,enemy_skill_triggers!$1:$1,0)+1),MATCH(K$1,enemy_skill_triggers!$1:$1,0)-MATCH($F$1,enemy_skill_triggers!$1:$1,0)+1,FALSE)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4" s="48">
        <f ca="1">VLOOKUP($F254,OFFSET(enemy_skill_triggers!$A$1,0,0,COUNTA(enemy_skill_triggers!$A:$A),MATCH(L$1,enemy_skill_triggers!$1:$1,0)-MATCH($F$1,enemy_skill_triggers!$1:$1,0)+1),MATCH(L$1,enemy_skill_triggers!$1:$1,0)-MATCH($F$1,enemy_skill_triggers!$1:$1,0)+1,FALSE)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4" s="48">
        <f ca="1">VLOOKUP($F254,OFFSET(enemy_skill_triggers!$A$1,0,0,COUNTA(enemy_skill_triggers!$A:$A),MATCH(M$1,enemy_skill_triggers!$1:$1,0)-MATCH($F$1,enemy_skill_triggers!$1:$1,0)+1),MATCH(M$1,enemy_skill_triggers!$1:$1,0)-MATCH($F$1,enemy_skill_triggers!$1:$1,0)+1,FALSE)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54" s="48" t="str">
        <f ca="1">VLOOKUP($F254,OFFSET(enemy_skill_triggers!$A$1,0,0,COUNTA(enemy_skill_triggers!$A:$A),MATCH(N$1,enemy_skill_triggers!$1:$1,0)-MATCH($F$1,enemy_skill_triggers!$1:$1,0)+1),MATCH(N$1,enemy_skill_triggers!$1:$1,0)-MATCH($F$1,enemy_skill_triggers!$1:$1,0)+1,FALSE)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4" s="48">
        <f ca="1">VLOOKUP($F254,OFFSET(enemy_skill_triggers!$A$1,0,0,COUNTA(enemy_skill_triggers!$A:$A),MATCH(O$1,enemy_skill_triggers!$1:$1,0)-MATCH($F$1,enemy_skill_triggers!$1:$1,0)+1),MATCH(O$1,enemy_skill_triggers!$1:$1,0)-MATCH($F$1,enemy_skill_triggers!$1:$1,0)+1,FALSE)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4" s="47"/>
      <c r="Q254" s="47"/>
      <c r="R254" s="47"/>
    </row>
    <row r="255" spans="1:18" ht="21" customHeight="1" x14ac:dyDescent="0.15">
      <c r="A255" s="39" t="str">
        <f t="shared" si="13"/>
        <v>47004460_47004468</v>
      </c>
      <c r="B255" s="128">
        <v>47004460</v>
      </c>
      <c r="C255" s="47">
        <v>47004468</v>
      </c>
      <c r="D255" s="46" t="str">
        <f ca="1">VLOOKUP($C255,OFFSET(enemy_skills!$A$1,0,0,COUNTA(enemy_skills!$A:$A),MATCH(D$1,enemy_skills!$1:$1,0)-MATCH("enemy_skill_id",enemy_skills!$1:$1,0)+1),MATCH(D$1,enemy_skills!$1:$1,0)-MATCH("enemy_skill_id",enemy_skills!$1:$1,0)+1,FALSE)</f>
        <v>Day 25</v>
      </c>
      <c r="E255" s="46" t="str">
        <f ca="1">VLOOKUP($C255,OFFSET(enemy_skills!$A$1,0,0,COUNTA(enemy_skills!$A:$A),MATCH(E$1,enemy_skills!$1:$1,0)-MATCH("enemy_skill_id",enemy_skills!$1:$1,0)+1),MATCH(E$1,enemy_skills!$1:$1,0)-MATCH("enemy_skill_id",enemy_skills!$1:$1,0)+1,FALSE)</f>
        <v>25回連続攻撃</v>
      </c>
      <c r="F255" s="47">
        <v>47004468</v>
      </c>
      <c r="G255" s="48">
        <f ca="1">VLOOKUP($F255,OFFSET(enemy_skill_triggers!$A$1,0,0,COUNTA(enemy_skill_triggers!$A:$A),MATCH(G$1,enemy_skill_triggers!$1:$1,0)-MATCH($F$1,enemy_skill_triggers!$1:$1,0)+1),MATCH(G$1,enemy_skill_triggers!$1:$1,0)-MATCH($F$1,enemy_skill_triggers!$1:$1,0)+1,FALSE)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5" s="48">
        <f ca="1">VLOOKUP($F255,OFFSET(enemy_skill_triggers!$A$1,0,0,COUNTA(enemy_skill_triggers!$A:$A),MATCH(H$1,enemy_skill_triggers!$1:$1,0)-MATCH($F$1,enemy_skill_triggers!$1:$1,0)+1),MATCH(H$1,enemy_skill_triggers!$1:$1,0)-MATCH($F$1,enemy_skill_triggers!$1:$1,0)+1,FALSE)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255" s="48">
        <f ca="1">VLOOKUP($F255,OFFSET(enemy_skill_triggers!$A$1,0,0,COUNTA(enemy_skill_triggers!$A:$A),MATCH(I$1,enemy_skill_triggers!$1:$1,0)-MATCH($F$1,enemy_skill_triggers!$1:$1,0)+1),MATCH(I$1,enemy_skill_triggers!$1:$1,0)-MATCH($F$1,enemy_skill_triggers!$1:$1,0)+1,FALSE)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5" s="48" t="str">
        <f ca="1">VLOOKUP($F255,OFFSET(enemy_skill_triggers!$A$1,0,0,COUNTA(enemy_skill_triggers!$A:$A),MATCH(J$1,enemy_skill_triggers!$1:$1,0)-MATCH($F$1,enemy_skill_triggers!$1:$1,0)+1),MATCH(J$1,enemy_skill_triggers!$1:$1,0)-MATCH($F$1,enemy_skill_triggers!$1:$1,0)+1,FALSE)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5" s="48" t="str">
        <f ca="1">VLOOKUP($F255,OFFSET(enemy_skill_triggers!$A$1,0,0,COUNTA(enemy_skill_triggers!$A:$A),MATCH(K$1,enemy_skill_triggers!$1:$1,0)-MATCH($F$1,enemy_skill_triggers!$1:$1,0)+1),MATCH(K$1,enemy_skill_triggers!$1:$1,0)-MATCH($F$1,enemy_skill_triggers!$1:$1,0)+1,FALSE)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5" s="48">
        <f ca="1">VLOOKUP($F255,OFFSET(enemy_skill_triggers!$A$1,0,0,COUNTA(enemy_skill_triggers!$A:$A),MATCH(L$1,enemy_skill_triggers!$1:$1,0)-MATCH($F$1,enemy_skill_triggers!$1:$1,0)+1),MATCH(L$1,enemy_skill_triggers!$1:$1,0)-MATCH($F$1,enemy_skill_triggers!$1:$1,0)+1,FALSE)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5" s="48">
        <f ca="1">VLOOKUP($F255,OFFSET(enemy_skill_triggers!$A$1,0,0,COUNTA(enemy_skill_triggers!$A:$A),MATCH(M$1,enemy_skill_triggers!$1:$1,0)-MATCH($F$1,enemy_skill_triggers!$1:$1,0)+1),MATCH(M$1,enemy_skill_triggers!$1:$1,0)-MATCH($F$1,enemy_skill_triggers!$1:$1,0)+1,FALSE)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255" s="48" t="str">
        <f ca="1">VLOOKUP($F255,OFFSET(enemy_skill_triggers!$A$1,0,0,COUNTA(enemy_skill_triggers!$A:$A),MATCH(N$1,enemy_skill_triggers!$1:$1,0)-MATCH($F$1,enemy_skill_triggers!$1:$1,0)+1),MATCH(N$1,enemy_skill_triggers!$1:$1,0)-MATCH($F$1,enemy_skill_triggers!$1:$1,0)+1,FALSE)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5" s="48">
        <f ca="1">VLOOKUP($F255,OFFSET(enemy_skill_triggers!$A$1,0,0,COUNTA(enemy_skill_triggers!$A:$A),MATCH(O$1,enemy_skill_triggers!$1:$1,0)-MATCH($F$1,enemy_skill_triggers!$1:$1,0)+1),MATCH(O$1,enemy_skill_triggers!$1:$1,0)-MATCH($F$1,enemy_skill_triggers!$1:$1,0)+1,FALSE)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5" s="47"/>
      <c r="Q255" s="47"/>
      <c r="R255" s="47"/>
    </row>
    <row r="256" spans="1:18" ht="21" customHeight="1" x14ac:dyDescent="0.15">
      <c r="A256" s="39" t="str">
        <f t="shared" si="13"/>
        <v>47004460_47004469</v>
      </c>
      <c r="B256" s="128">
        <v>47004460</v>
      </c>
      <c r="C256" s="47">
        <v>47004469</v>
      </c>
      <c r="D256" s="46" t="str">
        <f ca="1">VLOOKUP($C256,OFFSET(enemy_skills!$A$1,0,0,COUNTA(enemy_skills!$A:$A),MATCH(D$1,enemy_skills!$1:$1,0)-MATCH("enemy_skill_id",enemy_skills!$1:$1,0)+1),MATCH(D$1,enemy_skills!$1:$1,0)-MATCH("enemy_skill_id",enemy_skills!$1:$1,0)+1,FALSE)</f>
        <v>うん…本当は分かっていたんだ…</v>
      </c>
      <c r="E256" s="46" t="str">
        <f ca="1">VLOOKUP($C256,OFFSET(enemy_skills!$A$1,0,0,COUNTA(enemy_skills!$A:$A),MATCH(E$1,enemy_skills!$1:$1,0)-MATCH("enemy_skill_id",enemy_skills!$1:$1,0)+1),MATCH(E$1,enemy_skills!$1:$1,0)-MATCH("enemy_skill_id",enemy_skills!$1:$1,0)+1,FALSE)</f>
        <v>シュプールを覆う強烈な冷気が治まってゆく</v>
      </c>
      <c r="F256" s="47">
        <v>47004469</v>
      </c>
      <c r="G256" s="48">
        <f ca="1">VLOOKUP($F256,OFFSET(enemy_skill_triggers!$A$1,0,0,COUNTA(enemy_skill_triggers!$A:$A),MATCH(G$1,enemy_skill_triggers!$1:$1,0)-MATCH($F$1,enemy_skill_triggers!$1:$1,0)+1),MATCH(G$1,enemy_skill_triggers!$1:$1,0)-MATCH($F$1,enemy_skill_triggers!$1:$1,0)+1,FALSE)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6" s="48">
        <f ca="1">VLOOKUP($F256,OFFSET(enemy_skill_triggers!$A$1,0,0,COUNTA(enemy_skill_triggers!$A:$A),MATCH(H$1,enemy_skill_triggers!$1:$1,0)-MATCH($F$1,enemy_skill_triggers!$1:$1,0)+1),MATCH(H$1,enemy_skill_triggers!$1:$1,0)-MATCH($F$1,enemy_skill_triggers!$1:$1,0)+1,FALSE)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256" s="48">
        <f ca="1">VLOOKUP($F256,OFFSET(enemy_skill_triggers!$A$1,0,0,COUNTA(enemy_skill_triggers!$A:$A),MATCH(I$1,enemy_skill_triggers!$1:$1,0)-MATCH($F$1,enemy_skill_triggers!$1:$1,0)+1),MATCH(I$1,enemy_skill_triggers!$1:$1,0)-MATCH($F$1,enemy_skill_triggers!$1:$1,0)+1,FALSE)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6" s="48" t="str">
        <f ca="1">VLOOKUP($F256,OFFSET(enemy_skill_triggers!$A$1,0,0,COUNTA(enemy_skill_triggers!$A:$A),MATCH(J$1,enemy_skill_triggers!$1:$1,0)-MATCH($F$1,enemy_skill_triggers!$1:$1,0)+1),MATCH(J$1,enemy_skill_triggers!$1:$1,0)-MATCH($F$1,enemy_skill_triggers!$1:$1,0)+1,FALSE)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6" s="48" t="str">
        <f ca="1">VLOOKUP($F256,OFFSET(enemy_skill_triggers!$A$1,0,0,COUNTA(enemy_skill_triggers!$A:$A),MATCH(K$1,enemy_skill_triggers!$1:$1,0)-MATCH($F$1,enemy_skill_triggers!$1:$1,0)+1),MATCH(K$1,enemy_skill_triggers!$1:$1,0)-MATCH($F$1,enemy_skill_triggers!$1:$1,0)+1,FALSE)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6" s="48">
        <f ca="1">VLOOKUP($F256,OFFSET(enemy_skill_triggers!$A$1,0,0,COUNTA(enemy_skill_triggers!$A:$A),MATCH(L$1,enemy_skill_triggers!$1:$1,0)-MATCH($F$1,enemy_skill_triggers!$1:$1,0)+1),MATCH(L$1,enemy_skill_triggers!$1:$1,0)-MATCH($F$1,enemy_skill_triggers!$1:$1,0)+1,FALSE)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6" s="48">
        <f ca="1">VLOOKUP($F256,OFFSET(enemy_skill_triggers!$A$1,0,0,COUNTA(enemy_skill_triggers!$A:$A),MATCH(M$1,enemy_skill_triggers!$1:$1,0)-MATCH($F$1,enemy_skill_triggers!$1:$1,0)+1),MATCH(M$1,enemy_skill_triggers!$1:$1,0)-MATCH($F$1,enemy_skill_triggers!$1:$1,0)+1,FALSE)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256" s="48" t="str">
        <f ca="1">VLOOKUP($F256,OFFSET(enemy_skill_triggers!$A$1,0,0,COUNTA(enemy_skill_triggers!$A:$A),MATCH(N$1,enemy_skill_triggers!$1:$1,0)-MATCH($F$1,enemy_skill_triggers!$1:$1,0)+1),MATCH(N$1,enemy_skill_triggers!$1:$1,0)-MATCH($F$1,enemy_skill_triggers!$1:$1,0)+1,FALSE)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6" s="48">
        <f ca="1">VLOOKUP($F256,OFFSET(enemy_skill_triggers!$A$1,0,0,COUNTA(enemy_skill_triggers!$A:$A),MATCH(O$1,enemy_skill_triggers!$1:$1,0)-MATCH($F$1,enemy_skill_triggers!$1:$1,0)+1),MATCH(O$1,enemy_skill_triggers!$1:$1,0)-MATCH($F$1,enemy_skill_triggers!$1:$1,0)+1,FALSE)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6" s="47"/>
      <c r="Q256" s="47"/>
      <c r="R256" s="47"/>
    </row>
    <row r="257" spans="1:18" ht="21" customHeight="1" x14ac:dyDescent="0.15">
      <c r="A257" s="39" t="str">
        <f t="shared" si="13"/>
        <v>47004460_47004470</v>
      </c>
      <c r="B257" s="128">
        <v>47004460</v>
      </c>
      <c r="C257" s="47">
        <v>47004470</v>
      </c>
      <c r="D257" s="46" t="str">
        <f ca="1">VLOOKUP($C257,OFFSET(enemy_skills!$A$1,0,0,COUNTA(enemy_skills!$A:$A),MATCH(D$1,enemy_skills!$1:$1,0)-MATCH("enemy_skill_id",enemy_skills!$1:$1,0)+1),MATCH(D$1,enemy_skills!$1:$1,0)-MATCH("enemy_skill_id",enemy_skills!$1:$1,0)+1,FALSE)</f>
        <v>ありがとう…諦めないでいてくれて…</v>
      </c>
      <c r="E257" s="46" t="str">
        <f ca="1">VLOOKUP($C257,OFFSET(enemy_skills!$A$1,0,0,COUNTA(enemy_skills!$A:$A),MATCH(E$1,enemy_skills!$1:$1,0)-MATCH("enemy_skill_id",enemy_skills!$1:$1,0)+1),MATCH(E$1,enemy_skills!$1:$1,0)-MATCH("enemy_skill_id",enemy_skills!$1:$1,0)+1,FALSE)</f>
        <v>みんなも待っていてくれるんだね…うん、行くよ！</v>
      </c>
      <c r="F257" s="47">
        <v>47004470</v>
      </c>
      <c r="G257" s="48">
        <f ca="1">VLOOKUP($F257,OFFSET(enemy_skill_triggers!$A$1,0,0,COUNTA(enemy_skill_triggers!$A:$A),MATCH(G$1,enemy_skill_triggers!$1:$1,0)-MATCH($F$1,enemy_skill_triggers!$1:$1,0)+1),MATCH(G$1,enemy_skill_triggers!$1:$1,0)-MATCH($F$1,enemy_skill_triggers!$1:$1,0)+1,FALSE)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7" s="48">
        <f ca="1">VLOOKUP($F257,OFFSET(enemy_skill_triggers!$A$1,0,0,COUNTA(enemy_skill_triggers!$A:$A),MATCH(H$1,enemy_skill_triggers!$1:$1,0)-MATCH($F$1,enemy_skill_triggers!$1:$1,0)+1),MATCH(H$1,enemy_skill_triggers!$1:$1,0)-MATCH($F$1,enemy_skill_triggers!$1:$1,0)+1,FALSE)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57" s="48">
        <f ca="1">VLOOKUP($F257,OFFSET(enemy_skill_triggers!$A$1,0,0,COUNTA(enemy_skill_triggers!$A:$A),MATCH(I$1,enemy_skill_triggers!$1:$1,0)-MATCH($F$1,enemy_skill_triggers!$1:$1,0)+1),MATCH(I$1,enemy_skill_triggers!$1:$1,0)-MATCH($F$1,enemy_skill_triggers!$1:$1,0)+1,FALSE)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7" s="48" t="str">
        <f ca="1">VLOOKUP($F257,OFFSET(enemy_skill_triggers!$A$1,0,0,COUNTA(enemy_skill_triggers!$A:$A),MATCH(J$1,enemy_skill_triggers!$1:$1,0)-MATCH($F$1,enemy_skill_triggers!$1:$1,0)+1),MATCH(J$1,enemy_skill_triggers!$1:$1,0)-MATCH($F$1,enemy_skill_triggers!$1:$1,0)+1,FALSE)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7" s="48" t="str">
        <f ca="1">VLOOKUP($F257,OFFSET(enemy_skill_triggers!$A$1,0,0,COUNTA(enemy_skill_triggers!$A:$A),MATCH(K$1,enemy_skill_triggers!$1:$1,0)-MATCH($F$1,enemy_skill_triggers!$1:$1,0)+1),MATCH(K$1,enemy_skill_triggers!$1:$1,0)-MATCH($F$1,enemy_skill_triggers!$1:$1,0)+1,FALSE)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7" s="48">
        <f ca="1">VLOOKUP($F257,OFFSET(enemy_skill_triggers!$A$1,0,0,COUNTA(enemy_skill_triggers!$A:$A),MATCH(L$1,enemy_skill_triggers!$1:$1,0)-MATCH($F$1,enemy_skill_triggers!$1:$1,0)+1),MATCH(L$1,enemy_skill_triggers!$1:$1,0)-MATCH($F$1,enemy_skill_triggers!$1:$1,0)+1,FALSE)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7" s="48">
        <f ca="1">VLOOKUP($F257,OFFSET(enemy_skill_triggers!$A$1,0,0,COUNTA(enemy_skill_triggers!$A:$A),MATCH(M$1,enemy_skill_triggers!$1:$1,0)-MATCH($F$1,enemy_skill_triggers!$1:$1,0)+1),MATCH(M$1,enemy_skill_triggers!$1:$1,0)-MATCH($F$1,enemy_skill_triggers!$1:$1,0)+1,FALSE)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7" s="48">
        <f ca="1">VLOOKUP($F257,OFFSET(enemy_skill_triggers!$A$1,0,0,COUNTA(enemy_skill_triggers!$A:$A),MATCH(N$1,enemy_skill_triggers!$1:$1,0)-MATCH($F$1,enemy_skill_triggers!$1:$1,0)+1),MATCH(N$1,enemy_skill_triggers!$1:$1,0)-MATCH($F$1,enemy_skill_triggers!$1:$1,0)+1,FALSE)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57" s="48">
        <f ca="1">VLOOKUP($F257,OFFSET(enemy_skill_triggers!$A$1,0,0,COUNTA(enemy_skill_triggers!$A:$A),MATCH(O$1,enemy_skill_triggers!$1:$1,0)-MATCH($F$1,enemy_skill_triggers!$1:$1,0)+1),MATCH(O$1,enemy_skill_triggers!$1:$1,0)-MATCH($F$1,enemy_skill_triggers!$1:$1,0)+1,FALSE)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7" s="47"/>
      <c r="Q257" s="47"/>
      <c r="R257" s="47"/>
    </row>
    <row r="258" spans="1:18" ht="21" customHeight="1" x14ac:dyDescent="0.15">
      <c r="A258" s="39" t="str">
        <f t="shared" ref="A258:A325" si="17">B258&amp;"_"&amp;C258</f>
        <v>47004500_47004501</v>
      </c>
      <c r="B258" s="127">
        <v>47004500</v>
      </c>
      <c r="C258" s="47">
        <v>47004501</v>
      </c>
      <c r="D258" s="46" t="str">
        <f ca="1">VLOOKUP($C258,OFFSET(enemy_skills!$A$1,0,0,COUNTA(enemy_skills!$A:$A),MATCH(D$1,enemy_skills!$1:$1,0)-MATCH("enemy_skill_id",enemy_skills!$1:$1,0)+1),MATCH(D$1,enemy_skills!$1:$1,0)-MATCH("enemy_skill_id",enemy_skills!$1:$1,0)+1,FALSE)</f>
        <v>メリークリスマス♪</v>
      </c>
      <c r="E258" s="46" t="str">
        <f ca="1">VLOOKUP($C258,OFFSET(enemy_skills!$A$1,0,0,COUNTA(enemy_skills!$A:$A),MATCH(E$1,enemy_skills!$1:$1,0)-MATCH("enemy_skill_id",enemy_skills!$1:$1,0)+1),MATCH(E$1,enemy_skills!$1:$1,0)-MATCH("enemy_skill_id",enemy_skills!$1:$1,0)+1,FALSE)</f>
        <v>素敵な夜ね_x000D_あなた方も楽しんでいるかしら？</v>
      </c>
      <c r="F258" s="47">
        <v>47004501</v>
      </c>
      <c r="G258" s="48">
        <f ca="1">VLOOKUP($F258,OFFSET(enemy_skill_triggers!$A$1,0,0,COUNTA(enemy_skill_triggers!$A:$A),MATCH(G$1,enemy_skill_triggers!$1:$1,0)-MATCH($F$1,enemy_skill_triggers!$1:$1,0)+1),MATCH(G$1,enemy_skill_triggers!$1:$1,0)-MATCH($F$1,enemy_skill_triggers!$1:$1,0)+1,FALSE)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8" s="48">
        <f ca="1">VLOOKUP($F258,OFFSET(enemy_skill_triggers!$A$1,0,0,COUNTA(enemy_skill_triggers!$A:$A),MATCH(H$1,enemy_skill_triggers!$1:$1,0)-MATCH($F$1,enemy_skill_triggers!$1:$1,0)+1),MATCH(H$1,enemy_skill_triggers!$1:$1,0)-MATCH($F$1,enemy_skill_triggers!$1:$1,0)+1,FALSE)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8" s="48">
        <f ca="1">VLOOKUP($F258,OFFSET(enemy_skill_triggers!$A$1,0,0,COUNTA(enemy_skill_triggers!$A:$A),MATCH(I$1,enemy_skill_triggers!$1:$1,0)-MATCH($F$1,enemy_skill_triggers!$1:$1,0)+1),MATCH(I$1,enemy_skill_triggers!$1:$1,0)-MATCH($F$1,enemy_skill_triggers!$1:$1,0)+1,FALSE)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8" s="48" t="str">
        <f ca="1">VLOOKUP($F258,OFFSET(enemy_skill_triggers!$A$1,0,0,COUNTA(enemy_skill_triggers!$A:$A),MATCH(J$1,enemy_skill_triggers!$1:$1,0)-MATCH($F$1,enemy_skill_triggers!$1:$1,0)+1),MATCH(J$1,enemy_skill_triggers!$1:$1,0)-MATCH($F$1,enemy_skill_triggers!$1:$1,0)+1,FALSE)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8" s="48" t="str">
        <f ca="1">VLOOKUP($F258,OFFSET(enemy_skill_triggers!$A$1,0,0,COUNTA(enemy_skill_triggers!$A:$A),MATCH(K$1,enemy_skill_triggers!$1:$1,0)-MATCH($F$1,enemy_skill_triggers!$1:$1,0)+1),MATCH(K$1,enemy_skill_triggers!$1:$1,0)-MATCH($F$1,enemy_skill_triggers!$1:$1,0)+1,FALSE)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8" s="48">
        <f ca="1">VLOOKUP($F258,OFFSET(enemy_skill_triggers!$A$1,0,0,COUNTA(enemy_skill_triggers!$A:$A),MATCH(L$1,enemy_skill_triggers!$1:$1,0)-MATCH($F$1,enemy_skill_triggers!$1:$1,0)+1),MATCH(L$1,enemy_skill_triggers!$1:$1,0)-MATCH($F$1,enemy_skill_triggers!$1:$1,0)+1,FALSE)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8" s="48" t="str">
        <f ca="1">VLOOKUP($F258,OFFSET(enemy_skill_triggers!$A$1,0,0,COUNTA(enemy_skill_triggers!$A:$A),MATCH(M$1,enemy_skill_triggers!$1:$1,0)-MATCH($F$1,enemy_skill_triggers!$1:$1,0)+1),MATCH(M$1,enemy_skill_triggers!$1:$1,0)-MATCH($F$1,enemy_skill_triggers!$1:$1,0)+1,FALSE)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8" s="48" t="str">
        <f ca="1">VLOOKUP($F258,OFFSET(enemy_skill_triggers!$A$1,0,0,COUNTA(enemy_skill_triggers!$A:$A),MATCH(N$1,enemy_skill_triggers!$1:$1,0)-MATCH($F$1,enemy_skill_triggers!$1:$1,0)+1),MATCH(N$1,enemy_skill_triggers!$1:$1,0)-MATCH($F$1,enemy_skill_triggers!$1:$1,0)+1,FALSE)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8" s="48">
        <f ca="1">VLOOKUP($F258,OFFSET(enemy_skill_triggers!$A$1,0,0,COUNTA(enemy_skill_triggers!$A:$A),MATCH(O$1,enemy_skill_triggers!$1:$1,0)-MATCH($F$1,enemy_skill_triggers!$1:$1,0)+1),MATCH(O$1,enemy_skill_triggers!$1:$1,0)-MATCH($F$1,enemy_skill_triggers!$1:$1,0)+1,FALSE)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8" s="47"/>
      <c r="Q258" s="47"/>
      <c r="R258" s="47"/>
    </row>
    <row r="259" spans="1:18" ht="21" customHeight="1" x14ac:dyDescent="0.15">
      <c r="A259" s="39" t="str">
        <f t="shared" si="17"/>
        <v>47004500_47004502</v>
      </c>
      <c r="B259" s="127">
        <v>47004500</v>
      </c>
      <c r="C259" s="47">
        <v>47004502</v>
      </c>
      <c r="D259" s="46" t="str">
        <f ca="1">VLOOKUP($C259,OFFSET(enemy_skills!$A$1,0,0,COUNTA(enemy_skills!$A:$A),MATCH(D$1,enemy_skills!$1:$1,0)-MATCH("enemy_skill_id",enemy_skills!$1:$1,0)+1),MATCH(D$1,enemy_skills!$1:$1,0)-MATCH("enemy_skill_id",enemy_skills!$1:$1,0)+1,FALSE)</f>
        <v>星誕の降儀・白式</v>
      </c>
      <c r="E259" s="46" t="str">
        <f ca="1">VLOOKUP($C259,OFFSET(enemy_skills!$A$1,0,0,COUNTA(enemy_skills!$A:$A),MATCH(E$1,enemy_skills!$1:$1,0)-MATCH("enemy_skill_id",enemy_skills!$1:$1,0)+1),MATCH(E$1,enemy_skills!$1:$1,0)-MATCH("enemy_skill_id",enemy_skills!$1:$1,0)+1,FALSE)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59" s="47">
        <v>47004502</v>
      </c>
      <c r="G259" s="48">
        <f ca="1">VLOOKUP($F259,OFFSET(enemy_skill_triggers!$A$1,0,0,COUNTA(enemy_skill_triggers!$A:$A),MATCH(G$1,enemy_skill_triggers!$1:$1,0)-MATCH($F$1,enemy_skill_triggers!$1:$1,0)+1),MATCH(G$1,enemy_skill_triggers!$1:$1,0)-MATCH($F$1,enemy_skill_triggers!$1:$1,0)+1,FALSE)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9" s="48">
        <f ca="1">VLOOKUP($F259,OFFSET(enemy_skill_triggers!$A$1,0,0,COUNTA(enemy_skill_triggers!$A:$A),MATCH(H$1,enemy_skill_triggers!$1:$1,0)-MATCH($F$1,enemy_skill_triggers!$1:$1,0)+1),MATCH(H$1,enemy_skill_triggers!$1:$1,0)-MATCH($F$1,enemy_skill_triggers!$1:$1,0)+1,FALSE)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59" s="48">
        <f ca="1">VLOOKUP($F259,OFFSET(enemy_skill_triggers!$A$1,0,0,COUNTA(enemy_skill_triggers!$A:$A),MATCH(I$1,enemy_skill_triggers!$1:$1,0)-MATCH($F$1,enemy_skill_triggers!$1:$1,0)+1),MATCH(I$1,enemy_skill_triggers!$1:$1,0)-MATCH($F$1,enemy_skill_triggers!$1:$1,0)+1,FALSE)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9" s="48" t="str">
        <f ca="1">VLOOKUP($F259,OFFSET(enemy_skill_triggers!$A$1,0,0,COUNTA(enemy_skill_triggers!$A:$A),MATCH(J$1,enemy_skill_triggers!$1:$1,0)-MATCH($F$1,enemy_skill_triggers!$1:$1,0)+1),MATCH(J$1,enemy_skill_triggers!$1:$1,0)-MATCH($F$1,enemy_skill_triggers!$1:$1,0)+1,FALSE)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9" s="48" t="str">
        <f ca="1">VLOOKUP($F259,OFFSET(enemy_skill_triggers!$A$1,0,0,COUNTA(enemy_skill_triggers!$A:$A),MATCH(K$1,enemy_skill_triggers!$1:$1,0)-MATCH($F$1,enemy_skill_triggers!$1:$1,0)+1),MATCH(K$1,enemy_skill_triggers!$1:$1,0)-MATCH($F$1,enemy_skill_triggers!$1:$1,0)+1,FALSE)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9" s="48" t="str">
        <f ca="1">VLOOKUP($F259,OFFSET(enemy_skill_triggers!$A$1,0,0,COUNTA(enemy_skill_triggers!$A:$A),MATCH(L$1,enemy_skill_triggers!$1:$1,0)-MATCH($F$1,enemy_skill_triggers!$1:$1,0)+1),MATCH(L$1,enemy_skill_triggers!$1:$1,0)-MATCH($F$1,enemy_skill_triggers!$1:$1,0)+1,FALSE)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9" s="48">
        <f ca="1">VLOOKUP($F259,OFFSET(enemy_skill_triggers!$A$1,0,0,COUNTA(enemy_skill_triggers!$A:$A),MATCH(M$1,enemy_skill_triggers!$1:$1,0)-MATCH($F$1,enemy_skill_triggers!$1:$1,0)+1),MATCH(M$1,enemy_skill_triggers!$1:$1,0)-MATCH($F$1,enemy_skill_triggers!$1:$1,0)+1,FALSE)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59" s="48" t="str">
        <f ca="1">VLOOKUP($F259,OFFSET(enemy_skill_triggers!$A$1,0,0,COUNTA(enemy_skill_triggers!$A:$A),MATCH(N$1,enemy_skill_triggers!$1:$1,0)-MATCH($F$1,enemy_skill_triggers!$1:$1,0)+1),MATCH(N$1,enemy_skill_triggers!$1:$1,0)-MATCH($F$1,enemy_skill_triggers!$1:$1,0)+1,FALSE)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9" s="48">
        <f ca="1">VLOOKUP($F259,OFFSET(enemy_skill_triggers!$A$1,0,0,COUNTA(enemy_skill_triggers!$A:$A),MATCH(O$1,enemy_skill_triggers!$1:$1,0)-MATCH($F$1,enemy_skill_triggers!$1:$1,0)+1),MATCH(O$1,enemy_skill_triggers!$1:$1,0)-MATCH($F$1,enemy_skill_triggers!$1:$1,0)+1,FALSE)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9" s="47"/>
      <c r="Q259" s="47"/>
      <c r="R259" s="47"/>
    </row>
    <row r="260" spans="1:18" ht="21" customHeight="1" x14ac:dyDescent="0.15">
      <c r="A260" s="39" t="str">
        <f t="shared" si="17"/>
        <v>47004500_47004503</v>
      </c>
      <c r="B260" s="127">
        <v>47004500</v>
      </c>
      <c r="C260" s="47">
        <v>47004503</v>
      </c>
      <c r="D260" s="46" t="str">
        <f ca="1">VLOOKUP($C260,OFFSET(enemy_skills!$A$1,0,0,COUNTA(enemy_skills!$A:$A),MATCH(D$1,enemy_skills!$1:$1,0)-MATCH("enemy_skill_id",enemy_skills!$1:$1,0)+1),MATCH(D$1,enemy_skills!$1:$1,0)-MATCH("enemy_skill_id",enemy_skills!$1:$1,0)+1,FALSE)</f>
        <v>それにしても今日は特別に寒いわね…_x000D_何かあったのかしら…</v>
      </c>
      <c r="E260" s="46" t="str">
        <f ca="1">VLOOKUP($C260,OFFSET(enemy_skills!$A$1,0,0,COUNTA(enemy_skills!$A:$A),MATCH(E$1,enemy_skills!$1:$1,0)-MATCH("enemy_skill_id",enemy_skills!$1:$1,0)+1),MATCH(E$1,enemy_skills!$1:$1,0)-MATCH("enemy_skill_id",enemy_skills!$1:$1,0)+1,FALSE)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260" s="47">
        <v>47004503</v>
      </c>
      <c r="G260" s="48">
        <f ca="1">VLOOKUP($F260,OFFSET(enemy_skill_triggers!$A$1,0,0,COUNTA(enemy_skill_triggers!$A:$A),MATCH(G$1,enemy_skill_triggers!$1:$1,0)-MATCH($F$1,enemy_skill_triggers!$1:$1,0)+1),MATCH(G$1,enemy_skill_triggers!$1:$1,0)-MATCH($F$1,enemy_skill_triggers!$1:$1,0)+1,FALSE)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0" s="48">
        <f ca="1">VLOOKUP($F260,OFFSET(enemy_skill_triggers!$A$1,0,0,COUNTA(enemy_skill_triggers!$A:$A),MATCH(H$1,enemy_skill_triggers!$1:$1,0)-MATCH($F$1,enemy_skill_triggers!$1:$1,0)+1),MATCH(H$1,enemy_skill_triggers!$1:$1,0)-MATCH($F$1,enemy_skill_triggers!$1:$1,0)+1,FALSE)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60" s="48">
        <f ca="1">VLOOKUP($F260,OFFSET(enemy_skill_triggers!$A$1,0,0,COUNTA(enemy_skill_triggers!$A:$A),MATCH(I$1,enemy_skill_triggers!$1:$1,0)-MATCH($F$1,enemy_skill_triggers!$1:$1,0)+1),MATCH(I$1,enemy_skill_triggers!$1:$1,0)-MATCH($F$1,enemy_skill_triggers!$1:$1,0)+1,FALSE)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0" s="48" t="str">
        <f ca="1">VLOOKUP($F260,OFFSET(enemy_skill_triggers!$A$1,0,0,COUNTA(enemy_skill_triggers!$A:$A),MATCH(J$1,enemy_skill_triggers!$1:$1,0)-MATCH($F$1,enemy_skill_triggers!$1:$1,0)+1),MATCH(J$1,enemy_skill_triggers!$1:$1,0)-MATCH($F$1,enemy_skill_triggers!$1:$1,0)+1,FALSE)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0" s="48" t="str">
        <f ca="1">VLOOKUP($F260,OFFSET(enemy_skill_triggers!$A$1,0,0,COUNTA(enemy_skill_triggers!$A:$A),MATCH(K$1,enemy_skill_triggers!$1:$1,0)-MATCH($F$1,enemy_skill_triggers!$1:$1,0)+1),MATCH(K$1,enemy_skill_triggers!$1:$1,0)-MATCH($F$1,enemy_skill_triggers!$1:$1,0)+1,FALSE)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0" s="48">
        <f ca="1">VLOOKUP($F260,OFFSET(enemy_skill_triggers!$A$1,0,0,COUNTA(enemy_skill_triggers!$A:$A),MATCH(L$1,enemy_skill_triggers!$1:$1,0)-MATCH($F$1,enemy_skill_triggers!$1:$1,0)+1),MATCH(L$1,enemy_skill_triggers!$1:$1,0)-MATCH($F$1,enemy_skill_triggers!$1:$1,0)+1,FALSE)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0" s="48">
        <f ca="1">VLOOKUP($F260,OFFSET(enemy_skill_triggers!$A$1,0,0,COUNTA(enemy_skill_triggers!$A:$A),MATCH(M$1,enemy_skill_triggers!$1:$1,0)-MATCH($F$1,enemy_skill_triggers!$1:$1,0)+1),MATCH(M$1,enemy_skill_triggers!$1:$1,0)-MATCH($F$1,enemy_skill_triggers!$1:$1,0)+1,FALSE)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60" s="48" t="str">
        <f ca="1">VLOOKUP($F260,OFFSET(enemy_skill_triggers!$A$1,0,0,COUNTA(enemy_skill_triggers!$A:$A),MATCH(N$1,enemy_skill_triggers!$1:$1,0)-MATCH($F$1,enemy_skill_triggers!$1:$1,0)+1),MATCH(N$1,enemy_skill_triggers!$1:$1,0)-MATCH($F$1,enemy_skill_triggers!$1:$1,0)+1,FALSE)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0" s="48">
        <f ca="1">VLOOKUP($F260,OFFSET(enemy_skill_triggers!$A$1,0,0,COUNTA(enemy_skill_triggers!$A:$A),MATCH(O$1,enemy_skill_triggers!$1:$1,0)-MATCH($F$1,enemy_skill_triggers!$1:$1,0)+1),MATCH(O$1,enemy_skill_triggers!$1:$1,0)-MATCH($F$1,enemy_skill_triggers!$1:$1,0)+1,FALSE)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0" s="47"/>
      <c r="Q260" s="47"/>
      <c r="R260" s="47"/>
    </row>
    <row r="261" spans="1:18" ht="21" customHeight="1" x14ac:dyDescent="0.15">
      <c r="A261" s="39" t="str">
        <f t="shared" si="17"/>
        <v>47004500_47004504</v>
      </c>
      <c r="B261" s="127">
        <v>47004500</v>
      </c>
      <c r="C261" s="47">
        <v>47004504</v>
      </c>
      <c r="D261" s="46" t="str">
        <f ca="1">VLOOKUP($C261,OFFSET(enemy_skills!$A$1,0,0,COUNTA(enemy_skills!$A:$A),MATCH(D$1,enemy_skills!$1:$1,0)-MATCH("enemy_skill_id",enemy_skills!$1:$1,0)+1),MATCH(D$1,enemy_skills!$1:$1,0)-MATCH("enemy_skill_id",enemy_skills!$1:$1,0)+1,FALSE)</f>
        <v>雪の妖精みたい…綺麗ね…</v>
      </c>
      <c r="E261" s="46" t="str">
        <f ca="1">VLOOKUP($C261,OFFSET(enemy_skills!$A$1,0,0,COUNTA(enemy_skills!$A:$A),MATCH(E$1,enemy_skills!$1:$1,0)-MATCH("enemy_skill_id",enemy_skills!$1:$1,0)+1),MATCH(E$1,enemy_skills!$1:$1,0)-MATCH("enemy_skill_id",enemy_skills!$1:$1,0)+1,FALSE)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261" s="47">
        <v>47004504</v>
      </c>
      <c r="G261" s="48">
        <f ca="1">VLOOKUP($F261,OFFSET(enemy_skill_triggers!$A$1,0,0,COUNTA(enemy_skill_triggers!$A:$A),MATCH(G$1,enemy_skill_triggers!$1:$1,0)-MATCH($F$1,enemy_skill_triggers!$1:$1,0)+1),MATCH(G$1,enemy_skill_triggers!$1:$1,0)-MATCH($F$1,enemy_skill_triggers!$1:$1,0)+1,FALSE)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1" s="48">
        <f ca="1">VLOOKUP($F261,OFFSET(enemy_skill_triggers!$A$1,0,0,COUNTA(enemy_skill_triggers!$A:$A),MATCH(H$1,enemy_skill_triggers!$1:$1,0)-MATCH($F$1,enemy_skill_triggers!$1:$1,0)+1),MATCH(H$1,enemy_skill_triggers!$1:$1,0)-MATCH($F$1,enemy_skill_triggers!$1:$1,0)+1,FALSE)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61" s="48">
        <f ca="1">VLOOKUP($F261,OFFSET(enemy_skill_triggers!$A$1,0,0,COUNTA(enemy_skill_triggers!$A:$A),MATCH(I$1,enemy_skill_triggers!$1:$1,0)-MATCH($F$1,enemy_skill_triggers!$1:$1,0)+1),MATCH(I$1,enemy_skill_triggers!$1:$1,0)-MATCH($F$1,enemy_skill_triggers!$1:$1,0)+1,FALSE)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1" s="48" t="str">
        <f ca="1">VLOOKUP($F261,OFFSET(enemy_skill_triggers!$A$1,0,0,COUNTA(enemy_skill_triggers!$A:$A),MATCH(J$1,enemy_skill_triggers!$1:$1,0)-MATCH($F$1,enemy_skill_triggers!$1:$1,0)+1),MATCH(J$1,enemy_skill_triggers!$1:$1,0)-MATCH($F$1,enemy_skill_triggers!$1:$1,0)+1,FALSE)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1" s="48" t="str">
        <f ca="1">VLOOKUP($F261,OFFSET(enemy_skill_triggers!$A$1,0,0,COUNTA(enemy_skill_triggers!$A:$A),MATCH(K$1,enemy_skill_triggers!$1:$1,0)-MATCH($F$1,enemy_skill_triggers!$1:$1,0)+1),MATCH(K$1,enemy_skill_triggers!$1:$1,0)-MATCH($F$1,enemy_skill_triggers!$1:$1,0)+1,FALSE)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1" s="48">
        <f ca="1">VLOOKUP($F261,OFFSET(enemy_skill_triggers!$A$1,0,0,COUNTA(enemy_skill_triggers!$A:$A),MATCH(L$1,enemy_skill_triggers!$1:$1,0)-MATCH($F$1,enemy_skill_triggers!$1:$1,0)+1),MATCH(L$1,enemy_skill_triggers!$1:$1,0)-MATCH($F$1,enemy_skill_triggers!$1:$1,0)+1,FALSE)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1" s="48" t="str">
        <f ca="1">VLOOKUP($F261,OFFSET(enemy_skill_triggers!$A$1,0,0,COUNTA(enemy_skill_triggers!$A:$A),MATCH(M$1,enemy_skill_triggers!$1:$1,0)-MATCH($F$1,enemy_skill_triggers!$1:$1,0)+1),MATCH(M$1,enemy_skill_triggers!$1:$1,0)-MATCH($F$1,enemy_skill_triggers!$1:$1,0)+1,FALSE)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1" s="48">
        <f ca="1">VLOOKUP($F261,OFFSET(enemy_skill_triggers!$A$1,0,0,COUNTA(enemy_skill_triggers!$A:$A),MATCH(N$1,enemy_skill_triggers!$1:$1,0)-MATCH($F$1,enemy_skill_triggers!$1:$1,0)+1),MATCH(N$1,enemy_skill_triggers!$1:$1,0)-MATCH($F$1,enemy_skill_triggers!$1:$1,0)+1,FALSE)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261" s="48">
        <f ca="1">VLOOKUP($F261,OFFSET(enemy_skill_triggers!$A$1,0,0,COUNTA(enemy_skill_triggers!$A:$A),MATCH(O$1,enemy_skill_triggers!$1:$1,0)-MATCH($F$1,enemy_skill_triggers!$1:$1,0)+1),MATCH(O$1,enemy_skill_triggers!$1:$1,0)-MATCH($F$1,enemy_skill_triggers!$1:$1,0)+1,FALSE)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1" s="47"/>
      <c r="Q261" s="47"/>
      <c r="R261" s="47"/>
    </row>
    <row r="262" spans="1:18" ht="21" customHeight="1" x14ac:dyDescent="0.15">
      <c r="A262" s="39" t="str">
        <f t="shared" si="17"/>
        <v>47004500_47004504</v>
      </c>
      <c r="B262" s="127">
        <v>47004500</v>
      </c>
      <c r="C262" s="47">
        <v>47004504</v>
      </c>
      <c r="D262" s="46" t="str">
        <f ca="1">VLOOKUP($C262,OFFSET(enemy_skills!$A$1,0,0,COUNTA(enemy_skills!$A:$A),MATCH(D$1,enemy_skills!$1:$1,0)-MATCH("enemy_skill_id",enemy_skills!$1:$1,0)+1),MATCH(D$1,enemy_skills!$1:$1,0)-MATCH("enemy_skill_id",enemy_skills!$1:$1,0)+1,FALSE)</f>
        <v>雪の妖精みたい…綺麗ね…</v>
      </c>
      <c r="E262" s="46" t="str">
        <f ca="1">VLOOKUP($C262,OFFSET(enemy_skills!$A$1,0,0,COUNTA(enemy_skills!$A:$A),MATCH(E$1,enemy_skills!$1:$1,0)-MATCH("enemy_skill_id",enemy_skills!$1:$1,0)+1),MATCH(E$1,enemy_skills!$1:$1,0)-MATCH("enemy_skill_id",enemy_skills!$1:$1,0)+1,FALSE)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262" s="47">
        <v>47004505</v>
      </c>
      <c r="G262" s="48">
        <f ca="1">VLOOKUP($F262,OFFSET(enemy_skill_triggers!$A$1,0,0,COUNTA(enemy_skill_triggers!$A:$A),MATCH(G$1,enemy_skill_triggers!$1:$1,0)-MATCH($F$1,enemy_skill_triggers!$1:$1,0)+1),MATCH(G$1,enemy_skill_triggers!$1:$1,0)-MATCH($F$1,enemy_skill_triggers!$1:$1,0)+1,FALSE)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2" s="48">
        <f ca="1">VLOOKUP($F262,OFFSET(enemy_skill_triggers!$A$1,0,0,COUNTA(enemy_skill_triggers!$A:$A),MATCH(H$1,enemy_skill_triggers!$1:$1,0)-MATCH($F$1,enemy_skill_triggers!$1:$1,0)+1),MATCH(H$1,enemy_skill_triggers!$1:$1,0)-MATCH($F$1,enemy_skill_triggers!$1:$1,0)+1,FALSE)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262" s="48">
        <f ca="1">VLOOKUP($F262,OFFSET(enemy_skill_triggers!$A$1,0,0,COUNTA(enemy_skill_triggers!$A:$A),MATCH(I$1,enemy_skill_triggers!$1:$1,0)-MATCH($F$1,enemy_skill_triggers!$1:$1,0)+1),MATCH(I$1,enemy_skill_triggers!$1:$1,0)-MATCH($F$1,enemy_skill_triggers!$1:$1,0)+1,FALSE)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2" s="48" t="str">
        <f ca="1">VLOOKUP($F262,OFFSET(enemy_skill_triggers!$A$1,0,0,COUNTA(enemy_skill_triggers!$A:$A),MATCH(J$1,enemy_skill_triggers!$1:$1,0)-MATCH($F$1,enemy_skill_triggers!$1:$1,0)+1),MATCH(J$1,enemy_skill_triggers!$1:$1,0)-MATCH($F$1,enemy_skill_triggers!$1:$1,0)+1,FALSE)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2" s="48" t="str">
        <f ca="1">VLOOKUP($F262,OFFSET(enemy_skill_triggers!$A$1,0,0,COUNTA(enemy_skill_triggers!$A:$A),MATCH(K$1,enemy_skill_triggers!$1:$1,0)-MATCH($F$1,enemy_skill_triggers!$1:$1,0)+1),MATCH(K$1,enemy_skill_triggers!$1:$1,0)-MATCH($F$1,enemy_skill_triggers!$1:$1,0)+1,FALSE)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2" s="48">
        <f ca="1">VLOOKUP($F262,OFFSET(enemy_skill_triggers!$A$1,0,0,COUNTA(enemy_skill_triggers!$A:$A),MATCH(L$1,enemy_skill_triggers!$1:$1,0)-MATCH($F$1,enemy_skill_triggers!$1:$1,0)+1),MATCH(L$1,enemy_skill_triggers!$1:$1,0)-MATCH($F$1,enemy_skill_triggers!$1:$1,0)+1,FALSE)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2" s="48" t="str">
        <f ca="1">VLOOKUP($F262,OFFSET(enemy_skill_triggers!$A$1,0,0,COUNTA(enemy_skill_triggers!$A:$A),MATCH(M$1,enemy_skill_triggers!$1:$1,0)-MATCH($F$1,enemy_skill_triggers!$1:$1,0)+1),MATCH(M$1,enemy_skill_triggers!$1:$1,0)-MATCH($F$1,enemy_skill_triggers!$1:$1,0)+1,FALSE)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2" s="48">
        <f ca="1">VLOOKUP($F262,OFFSET(enemy_skill_triggers!$A$1,0,0,COUNTA(enemy_skill_triggers!$A:$A),MATCH(N$1,enemy_skill_triggers!$1:$1,0)-MATCH($F$1,enemy_skill_triggers!$1:$1,0)+1),MATCH(N$1,enemy_skill_triggers!$1:$1,0)-MATCH($F$1,enemy_skill_triggers!$1:$1,0)+1,FALSE)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262" s="48">
        <f ca="1">VLOOKUP($F262,OFFSET(enemy_skill_triggers!$A$1,0,0,COUNTA(enemy_skill_triggers!$A:$A),MATCH(O$1,enemy_skill_triggers!$1:$1,0)-MATCH($F$1,enemy_skill_triggers!$1:$1,0)+1),MATCH(O$1,enemy_skill_triggers!$1:$1,0)-MATCH($F$1,enemy_skill_triggers!$1:$1,0)+1,FALSE)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2" s="47"/>
      <c r="Q262" s="47"/>
      <c r="R262" s="47"/>
    </row>
    <row r="263" spans="1:18" ht="21" customHeight="1" x14ac:dyDescent="0.15">
      <c r="A263" s="39" t="str">
        <f t="shared" si="17"/>
        <v>47004500_47004505</v>
      </c>
      <c r="B263" s="127">
        <v>47004500</v>
      </c>
      <c r="C263" s="47">
        <v>47004505</v>
      </c>
      <c r="D263" s="46" t="str">
        <f ca="1">VLOOKUP($C263,OFFSET(enemy_skills!$A$1,0,0,COUNTA(enemy_skills!$A:$A),MATCH(D$1,enemy_skills!$1:$1,0)-MATCH("enemy_skill_id",enemy_skills!$1:$1,0)+1),MATCH(D$1,enemy_skills!$1:$1,0)-MATCH("enemy_skill_id",enemy_skills!$1:$1,0)+1,FALSE)</f>
        <v>ふふっ名前の通り_x000D_聖夜がお似合いね♪</v>
      </c>
      <c r="E263" s="46" t="str">
        <f ca="1">VLOOKUP($C263,OFFSET(enemy_skills!$A$1,0,0,COUNTA(enemy_skills!$A:$A),MATCH(E$1,enemy_skills!$1:$1,0)-MATCH("enemy_skill_id",enemy_skills!$1:$1,0)+1),MATCH(E$1,enemy_skills!$1:$1,0)-MATCH("enemy_skill_id",enemy_skills!$1:$1,0)+1,FALSE)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263" s="47">
        <v>47004506</v>
      </c>
      <c r="G263" s="48">
        <f ca="1">VLOOKUP($F263,OFFSET(enemy_skill_triggers!$A$1,0,0,COUNTA(enemy_skill_triggers!$A:$A),MATCH(G$1,enemy_skill_triggers!$1:$1,0)-MATCH($F$1,enemy_skill_triggers!$1:$1,0)+1),MATCH(G$1,enemy_skill_triggers!$1:$1,0)-MATCH($F$1,enemy_skill_triggers!$1:$1,0)+1,FALSE)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3" s="48">
        <f ca="1">VLOOKUP($F263,OFFSET(enemy_skill_triggers!$A$1,0,0,COUNTA(enemy_skill_triggers!$A:$A),MATCH(H$1,enemy_skill_triggers!$1:$1,0)-MATCH($F$1,enemy_skill_triggers!$1:$1,0)+1),MATCH(H$1,enemy_skill_triggers!$1:$1,0)-MATCH($F$1,enemy_skill_triggers!$1:$1,0)+1,FALSE)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263" s="48">
        <f ca="1">VLOOKUP($F263,OFFSET(enemy_skill_triggers!$A$1,0,0,COUNTA(enemy_skill_triggers!$A:$A),MATCH(I$1,enemy_skill_triggers!$1:$1,0)-MATCH($F$1,enemy_skill_triggers!$1:$1,0)+1),MATCH(I$1,enemy_skill_triggers!$1:$1,0)-MATCH($F$1,enemy_skill_triggers!$1:$1,0)+1,FALSE)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3" s="48" t="str">
        <f ca="1">VLOOKUP($F263,OFFSET(enemy_skill_triggers!$A$1,0,0,COUNTA(enemy_skill_triggers!$A:$A),MATCH(J$1,enemy_skill_triggers!$1:$1,0)-MATCH($F$1,enemy_skill_triggers!$1:$1,0)+1),MATCH(J$1,enemy_skill_triggers!$1:$1,0)-MATCH($F$1,enemy_skill_triggers!$1:$1,0)+1,FALSE)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3" s="48" t="str">
        <f ca="1">VLOOKUP($F263,OFFSET(enemy_skill_triggers!$A$1,0,0,COUNTA(enemy_skill_triggers!$A:$A),MATCH(K$1,enemy_skill_triggers!$1:$1,0)-MATCH($F$1,enemy_skill_triggers!$1:$1,0)+1),MATCH(K$1,enemy_skill_triggers!$1:$1,0)-MATCH($F$1,enemy_skill_triggers!$1:$1,0)+1,FALSE)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3" s="48">
        <f ca="1">VLOOKUP($F263,OFFSET(enemy_skill_triggers!$A$1,0,0,COUNTA(enemy_skill_triggers!$A:$A),MATCH(L$1,enemy_skill_triggers!$1:$1,0)-MATCH($F$1,enemy_skill_triggers!$1:$1,0)+1),MATCH(L$1,enemy_skill_triggers!$1:$1,0)-MATCH($F$1,enemy_skill_triggers!$1:$1,0)+1,FALSE)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3" s="48" t="str">
        <f ca="1">VLOOKUP($F263,OFFSET(enemy_skill_triggers!$A$1,0,0,COUNTA(enemy_skill_triggers!$A:$A),MATCH(M$1,enemy_skill_triggers!$1:$1,0)-MATCH($F$1,enemy_skill_triggers!$1:$1,0)+1),MATCH(M$1,enemy_skill_triggers!$1:$1,0)-MATCH($F$1,enemy_skill_triggers!$1:$1,0)+1,FALSE)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3" s="48">
        <f ca="1">VLOOKUP($F263,OFFSET(enemy_skill_triggers!$A$1,0,0,COUNTA(enemy_skill_triggers!$A:$A),MATCH(N$1,enemy_skill_triggers!$1:$1,0)-MATCH($F$1,enemy_skill_triggers!$1:$1,0)+1),MATCH(N$1,enemy_skill_triggers!$1:$1,0)-MATCH($F$1,enemy_skill_triggers!$1:$1,0)+1,FALSE)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263" s="48">
        <f ca="1">VLOOKUP($F263,OFFSET(enemy_skill_triggers!$A$1,0,0,COUNTA(enemy_skill_triggers!$A:$A),MATCH(O$1,enemy_skill_triggers!$1:$1,0)-MATCH($F$1,enemy_skill_triggers!$1:$1,0)+1),MATCH(O$1,enemy_skill_triggers!$1:$1,0)-MATCH($F$1,enemy_skill_triggers!$1:$1,0)+1,FALSE)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3" s="47"/>
      <c r="Q263" s="47"/>
      <c r="R263" s="47"/>
    </row>
    <row r="264" spans="1:18" ht="21" customHeight="1" x14ac:dyDescent="0.15">
      <c r="A264" s="39" t="str">
        <f t="shared" si="17"/>
        <v>47004500_47004505</v>
      </c>
      <c r="B264" s="127">
        <v>47004500</v>
      </c>
      <c r="C264" s="47">
        <v>47004505</v>
      </c>
      <c r="D264" s="46" t="str">
        <f ca="1">VLOOKUP($C264,OFFSET(enemy_skills!$A$1,0,0,COUNTA(enemy_skills!$A:$A),MATCH(D$1,enemy_skills!$1:$1,0)-MATCH("enemy_skill_id",enemy_skills!$1:$1,0)+1),MATCH(D$1,enemy_skills!$1:$1,0)-MATCH("enemy_skill_id",enemy_skills!$1:$1,0)+1,FALSE)</f>
        <v>ふふっ名前の通り_x000D_聖夜がお似合いね♪</v>
      </c>
      <c r="E264" s="46" t="str">
        <f ca="1">VLOOKUP($C264,OFFSET(enemy_skills!$A$1,0,0,COUNTA(enemy_skills!$A:$A),MATCH(E$1,enemy_skills!$1:$1,0)-MATCH("enemy_skill_id",enemy_skills!$1:$1,0)+1),MATCH(E$1,enemy_skills!$1:$1,0)-MATCH("enemy_skill_id",enemy_skills!$1:$1,0)+1,FALSE)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264" s="47">
        <v>47004507</v>
      </c>
      <c r="G264" s="48">
        <f ca="1">VLOOKUP($F264,OFFSET(enemy_skill_triggers!$A$1,0,0,COUNTA(enemy_skill_triggers!$A:$A),MATCH(G$1,enemy_skill_triggers!$1:$1,0)-MATCH($F$1,enemy_skill_triggers!$1:$1,0)+1),MATCH(G$1,enemy_skill_triggers!$1:$1,0)-MATCH($F$1,enemy_skill_triggers!$1:$1,0)+1,FALSE)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4" s="48">
        <f ca="1">VLOOKUP($F264,OFFSET(enemy_skill_triggers!$A$1,0,0,COUNTA(enemy_skill_triggers!$A:$A),MATCH(H$1,enemy_skill_triggers!$1:$1,0)-MATCH($F$1,enemy_skill_triggers!$1:$1,0)+1),MATCH(H$1,enemy_skill_triggers!$1:$1,0)-MATCH($F$1,enemy_skill_triggers!$1:$1,0)+1,FALSE)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264" s="48">
        <f ca="1">VLOOKUP($F264,OFFSET(enemy_skill_triggers!$A$1,0,0,COUNTA(enemy_skill_triggers!$A:$A),MATCH(I$1,enemy_skill_triggers!$1:$1,0)-MATCH($F$1,enemy_skill_triggers!$1:$1,0)+1),MATCH(I$1,enemy_skill_triggers!$1:$1,0)-MATCH($F$1,enemy_skill_triggers!$1:$1,0)+1,FALSE)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4" s="48" t="str">
        <f ca="1">VLOOKUP($F264,OFFSET(enemy_skill_triggers!$A$1,0,0,COUNTA(enemy_skill_triggers!$A:$A),MATCH(J$1,enemy_skill_triggers!$1:$1,0)-MATCH($F$1,enemy_skill_triggers!$1:$1,0)+1),MATCH(J$1,enemy_skill_triggers!$1:$1,0)-MATCH($F$1,enemy_skill_triggers!$1:$1,0)+1,FALSE)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4" s="48" t="str">
        <f ca="1">VLOOKUP($F264,OFFSET(enemy_skill_triggers!$A$1,0,0,COUNTA(enemy_skill_triggers!$A:$A),MATCH(K$1,enemy_skill_triggers!$1:$1,0)-MATCH($F$1,enemy_skill_triggers!$1:$1,0)+1),MATCH(K$1,enemy_skill_triggers!$1:$1,0)-MATCH($F$1,enemy_skill_triggers!$1:$1,0)+1,FALSE)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4" s="48">
        <f ca="1">VLOOKUP($F264,OFFSET(enemy_skill_triggers!$A$1,0,0,COUNTA(enemy_skill_triggers!$A:$A),MATCH(L$1,enemy_skill_triggers!$1:$1,0)-MATCH($F$1,enemy_skill_triggers!$1:$1,0)+1),MATCH(L$1,enemy_skill_triggers!$1:$1,0)-MATCH($F$1,enemy_skill_triggers!$1:$1,0)+1,FALSE)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4" s="48" t="str">
        <f ca="1">VLOOKUP($F264,OFFSET(enemy_skill_triggers!$A$1,0,0,COUNTA(enemy_skill_triggers!$A:$A),MATCH(M$1,enemy_skill_triggers!$1:$1,0)-MATCH($F$1,enemy_skill_triggers!$1:$1,0)+1),MATCH(M$1,enemy_skill_triggers!$1:$1,0)-MATCH($F$1,enemy_skill_triggers!$1:$1,0)+1,FALSE)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4" s="48">
        <f ca="1">VLOOKUP($F264,OFFSET(enemy_skill_triggers!$A$1,0,0,COUNTA(enemy_skill_triggers!$A:$A),MATCH(N$1,enemy_skill_triggers!$1:$1,0)-MATCH($F$1,enemy_skill_triggers!$1:$1,0)+1),MATCH(N$1,enemy_skill_triggers!$1:$1,0)-MATCH($F$1,enemy_skill_triggers!$1:$1,0)+1,FALSE)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264" s="48">
        <f ca="1">VLOOKUP($F264,OFFSET(enemy_skill_triggers!$A$1,0,0,COUNTA(enemy_skill_triggers!$A:$A),MATCH(O$1,enemy_skill_triggers!$1:$1,0)-MATCH($F$1,enemy_skill_triggers!$1:$1,0)+1),MATCH(O$1,enemy_skill_triggers!$1:$1,0)-MATCH($F$1,enemy_skill_triggers!$1:$1,0)+1,FALSE)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4" s="47"/>
      <c r="Q264" s="47"/>
      <c r="R264" s="47"/>
    </row>
    <row r="265" spans="1:18" ht="21" customHeight="1" x14ac:dyDescent="0.15">
      <c r="A265" s="39" t="str">
        <f t="shared" si="17"/>
        <v>47004500_47004505</v>
      </c>
      <c r="B265" s="127">
        <v>47004500</v>
      </c>
      <c r="C265" s="47">
        <v>47004505</v>
      </c>
      <c r="D265" s="46" t="str">
        <f ca="1">VLOOKUP($C265,OFFSET(enemy_skills!$A$1,0,0,COUNTA(enemy_skills!$A:$A),MATCH(D$1,enemy_skills!$1:$1,0)-MATCH("enemy_skill_id",enemy_skills!$1:$1,0)+1),MATCH(D$1,enemy_skills!$1:$1,0)-MATCH("enemy_skill_id",enemy_skills!$1:$1,0)+1,FALSE)</f>
        <v>ふふっ名前の通り_x000D_聖夜がお似合いね♪</v>
      </c>
      <c r="E265" s="46" t="str">
        <f ca="1">VLOOKUP($C265,OFFSET(enemy_skills!$A$1,0,0,COUNTA(enemy_skills!$A:$A),MATCH(E$1,enemy_skills!$1:$1,0)-MATCH("enemy_skill_id",enemy_skills!$1:$1,0)+1),MATCH(E$1,enemy_skills!$1:$1,0)-MATCH("enemy_skill_id",enemy_skills!$1:$1,0)+1,FALSE)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265" s="47">
        <v>47004508</v>
      </c>
      <c r="G265" s="48">
        <f ca="1">VLOOKUP($F265,OFFSET(enemy_skill_triggers!$A$1,0,0,COUNTA(enemy_skill_triggers!$A:$A),MATCH(G$1,enemy_skill_triggers!$1:$1,0)-MATCH($F$1,enemy_skill_triggers!$1:$1,0)+1),MATCH(G$1,enemy_skill_triggers!$1:$1,0)-MATCH($F$1,enemy_skill_triggers!$1:$1,0)+1,FALSE)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5" s="48">
        <f ca="1">VLOOKUP($F265,OFFSET(enemy_skill_triggers!$A$1,0,0,COUNTA(enemy_skill_triggers!$A:$A),MATCH(H$1,enemy_skill_triggers!$1:$1,0)-MATCH($F$1,enemy_skill_triggers!$1:$1,0)+1),MATCH(H$1,enemy_skill_triggers!$1:$1,0)-MATCH($F$1,enemy_skill_triggers!$1:$1,0)+1,FALSE)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265" s="48">
        <f ca="1">VLOOKUP($F265,OFFSET(enemy_skill_triggers!$A$1,0,0,COUNTA(enemy_skill_triggers!$A:$A),MATCH(I$1,enemy_skill_triggers!$1:$1,0)-MATCH($F$1,enemy_skill_triggers!$1:$1,0)+1),MATCH(I$1,enemy_skill_triggers!$1:$1,0)-MATCH($F$1,enemy_skill_triggers!$1:$1,0)+1,FALSE)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5" s="48" t="str">
        <f ca="1">VLOOKUP($F265,OFFSET(enemy_skill_triggers!$A$1,0,0,COUNTA(enemy_skill_triggers!$A:$A),MATCH(J$1,enemy_skill_triggers!$1:$1,0)-MATCH($F$1,enemy_skill_triggers!$1:$1,0)+1),MATCH(J$1,enemy_skill_triggers!$1:$1,0)-MATCH($F$1,enemy_skill_triggers!$1:$1,0)+1,FALSE)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5" s="48" t="str">
        <f ca="1">VLOOKUP($F265,OFFSET(enemy_skill_triggers!$A$1,0,0,COUNTA(enemy_skill_triggers!$A:$A),MATCH(K$1,enemy_skill_triggers!$1:$1,0)-MATCH($F$1,enemy_skill_triggers!$1:$1,0)+1),MATCH(K$1,enemy_skill_triggers!$1:$1,0)-MATCH($F$1,enemy_skill_triggers!$1:$1,0)+1,FALSE)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5" s="48">
        <f ca="1">VLOOKUP($F265,OFFSET(enemy_skill_triggers!$A$1,0,0,COUNTA(enemy_skill_triggers!$A:$A),MATCH(L$1,enemy_skill_triggers!$1:$1,0)-MATCH($F$1,enemy_skill_triggers!$1:$1,0)+1),MATCH(L$1,enemy_skill_triggers!$1:$1,0)-MATCH($F$1,enemy_skill_triggers!$1:$1,0)+1,FALSE)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5" s="48" t="str">
        <f ca="1">VLOOKUP($F265,OFFSET(enemy_skill_triggers!$A$1,0,0,COUNTA(enemy_skill_triggers!$A:$A),MATCH(M$1,enemy_skill_triggers!$1:$1,0)-MATCH($F$1,enemy_skill_triggers!$1:$1,0)+1),MATCH(M$1,enemy_skill_triggers!$1:$1,0)-MATCH($F$1,enemy_skill_triggers!$1:$1,0)+1,FALSE)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5" s="48">
        <f ca="1">VLOOKUP($F265,OFFSET(enemy_skill_triggers!$A$1,0,0,COUNTA(enemy_skill_triggers!$A:$A),MATCH(N$1,enemy_skill_triggers!$1:$1,0)-MATCH($F$1,enemy_skill_triggers!$1:$1,0)+1),MATCH(N$1,enemy_skill_triggers!$1:$1,0)-MATCH($F$1,enemy_skill_triggers!$1:$1,0)+1,FALSE)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265" s="48">
        <f ca="1">VLOOKUP($F265,OFFSET(enemy_skill_triggers!$A$1,0,0,COUNTA(enemy_skill_triggers!$A:$A),MATCH(O$1,enemy_skill_triggers!$1:$1,0)-MATCH($F$1,enemy_skill_triggers!$1:$1,0)+1),MATCH(O$1,enemy_skill_triggers!$1:$1,0)-MATCH($F$1,enemy_skill_triggers!$1:$1,0)+1,FALSE)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5" s="47"/>
      <c r="Q265" s="47"/>
      <c r="R265" s="47"/>
    </row>
    <row r="266" spans="1:18" ht="21" customHeight="1" x14ac:dyDescent="0.15">
      <c r="A266" s="39" t="str">
        <f t="shared" si="17"/>
        <v>47004500_47004506</v>
      </c>
      <c r="B266" s="127">
        <v>47004500</v>
      </c>
      <c r="C266" s="47">
        <v>47004506</v>
      </c>
      <c r="D266" s="46" t="str">
        <f ca="1">VLOOKUP($C266,OFFSET(enemy_skills!$A$1,0,0,COUNTA(enemy_skills!$A:$A),MATCH(D$1,enemy_skills!$1:$1,0)-MATCH("enemy_skill_id",enemy_skills!$1:$1,0)+1),MATCH(D$1,enemy_skills!$1:$1,0)-MATCH("enemy_skill_id",enemy_skills!$1:$1,0)+1,FALSE)</f>
        <v>聖夜に舞う天使…ってところかしら？</v>
      </c>
      <c r="E266" s="46" t="str">
        <f ca="1">VLOOKUP($C266,OFFSET(enemy_skills!$A$1,0,0,COUNTA(enemy_skills!$A:$A),MATCH(E$1,enemy_skills!$1:$1,0)-MATCH("enemy_skill_id",enemy_skills!$1:$1,0)+1),MATCH(E$1,enemy_skills!$1:$1,0)-MATCH("enemy_skill_id",enemy_skills!$1:$1,0)+1,FALSE)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266" s="47">
        <v>47004509</v>
      </c>
      <c r="G266" s="48">
        <f ca="1">VLOOKUP($F266,OFFSET(enemy_skill_triggers!$A$1,0,0,COUNTA(enemy_skill_triggers!$A:$A),MATCH(G$1,enemy_skill_triggers!$1:$1,0)-MATCH($F$1,enemy_skill_triggers!$1:$1,0)+1),MATCH(G$1,enemy_skill_triggers!$1:$1,0)-MATCH($F$1,enemy_skill_triggers!$1:$1,0)+1,FALSE)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6" s="48">
        <f ca="1">VLOOKUP($F266,OFFSET(enemy_skill_triggers!$A$1,0,0,COUNTA(enemy_skill_triggers!$A:$A),MATCH(H$1,enemy_skill_triggers!$1:$1,0)-MATCH($F$1,enemy_skill_triggers!$1:$1,0)+1),MATCH(H$1,enemy_skill_triggers!$1:$1,0)-MATCH($F$1,enemy_skill_triggers!$1:$1,0)+1,FALSE)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266" s="48">
        <f ca="1">VLOOKUP($F266,OFFSET(enemy_skill_triggers!$A$1,0,0,COUNTA(enemy_skill_triggers!$A:$A),MATCH(I$1,enemy_skill_triggers!$1:$1,0)-MATCH($F$1,enemy_skill_triggers!$1:$1,0)+1),MATCH(I$1,enemy_skill_triggers!$1:$1,0)-MATCH($F$1,enemy_skill_triggers!$1:$1,0)+1,FALSE)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6" s="48" t="str">
        <f ca="1">VLOOKUP($F266,OFFSET(enemy_skill_triggers!$A$1,0,0,COUNTA(enemy_skill_triggers!$A:$A),MATCH(J$1,enemy_skill_triggers!$1:$1,0)-MATCH($F$1,enemy_skill_triggers!$1:$1,0)+1),MATCH(J$1,enemy_skill_triggers!$1:$1,0)-MATCH($F$1,enemy_skill_triggers!$1:$1,0)+1,FALSE)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6" s="48" t="str">
        <f ca="1">VLOOKUP($F266,OFFSET(enemy_skill_triggers!$A$1,0,0,COUNTA(enemy_skill_triggers!$A:$A),MATCH(K$1,enemy_skill_triggers!$1:$1,0)-MATCH($F$1,enemy_skill_triggers!$1:$1,0)+1),MATCH(K$1,enemy_skill_triggers!$1:$1,0)-MATCH($F$1,enemy_skill_triggers!$1:$1,0)+1,FALSE)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6" s="48">
        <f ca="1">VLOOKUP($F266,OFFSET(enemy_skill_triggers!$A$1,0,0,COUNTA(enemy_skill_triggers!$A:$A),MATCH(L$1,enemy_skill_triggers!$1:$1,0)-MATCH($F$1,enemy_skill_triggers!$1:$1,0)+1),MATCH(L$1,enemy_skill_triggers!$1:$1,0)-MATCH($F$1,enemy_skill_triggers!$1:$1,0)+1,FALSE)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6" s="48" t="str">
        <f ca="1">VLOOKUP($F266,OFFSET(enemy_skill_triggers!$A$1,0,0,COUNTA(enemy_skill_triggers!$A:$A),MATCH(M$1,enemy_skill_triggers!$1:$1,0)-MATCH($F$1,enemy_skill_triggers!$1:$1,0)+1),MATCH(M$1,enemy_skill_triggers!$1:$1,0)-MATCH($F$1,enemy_skill_triggers!$1:$1,0)+1,FALSE)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6" s="48">
        <f ca="1">VLOOKUP($F266,OFFSET(enemy_skill_triggers!$A$1,0,0,COUNTA(enemy_skill_triggers!$A:$A),MATCH(N$1,enemy_skill_triggers!$1:$1,0)-MATCH($F$1,enemy_skill_triggers!$1:$1,0)+1),MATCH(N$1,enemy_skill_triggers!$1:$1,0)-MATCH($F$1,enemy_skill_triggers!$1:$1,0)+1,FALSE)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266" s="48">
        <f ca="1">VLOOKUP($F266,OFFSET(enemy_skill_triggers!$A$1,0,0,COUNTA(enemy_skill_triggers!$A:$A),MATCH(O$1,enemy_skill_triggers!$1:$1,0)-MATCH($F$1,enemy_skill_triggers!$1:$1,0)+1),MATCH(O$1,enemy_skill_triggers!$1:$1,0)-MATCH($F$1,enemy_skill_triggers!$1:$1,0)+1,FALSE)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6" s="47"/>
      <c r="Q266" s="47"/>
      <c r="R266" s="47"/>
    </row>
    <row r="267" spans="1:18" ht="21" customHeight="1" x14ac:dyDescent="0.15">
      <c r="A267" s="39" t="str">
        <f t="shared" si="17"/>
        <v>47004500_47004506</v>
      </c>
      <c r="B267" s="127">
        <v>47004500</v>
      </c>
      <c r="C267" s="47">
        <v>47004506</v>
      </c>
      <c r="D267" s="46" t="str">
        <f ca="1">VLOOKUP($C267,OFFSET(enemy_skills!$A$1,0,0,COUNTA(enemy_skills!$A:$A),MATCH(D$1,enemy_skills!$1:$1,0)-MATCH("enemy_skill_id",enemy_skills!$1:$1,0)+1),MATCH(D$1,enemy_skills!$1:$1,0)-MATCH("enemy_skill_id",enemy_skills!$1:$1,0)+1,FALSE)</f>
        <v>聖夜に舞う天使…ってところかしら？</v>
      </c>
      <c r="E267" s="46" t="str">
        <f ca="1">VLOOKUP($C267,OFFSET(enemy_skills!$A$1,0,0,COUNTA(enemy_skills!$A:$A),MATCH(E$1,enemy_skills!$1:$1,0)-MATCH("enemy_skill_id",enemy_skills!$1:$1,0)+1),MATCH(E$1,enemy_skills!$1:$1,0)-MATCH("enemy_skill_id",enemy_skills!$1:$1,0)+1,FALSE)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267" s="47">
        <v>47004510</v>
      </c>
      <c r="G267" s="48">
        <f ca="1">VLOOKUP($F267,OFFSET(enemy_skill_triggers!$A$1,0,0,COUNTA(enemy_skill_triggers!$A:$A),MATCH(G$1,enemy_skill_triggers!$1:$1,0)-MATCH($F$1,enemy_skill_triggers!$1:$1,0)+1),MATCH(G$1,enemy_skill_triggers!$1:$1,0)-MATCH($F$1,enemy_skill_triggers!$1:$1,0)+1,FALSE)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7" s="48">
        <f ca="1">VLOOKUP($F267,OFFSET(enemy_skill_triggers!$A$1,0,0,COUNTA(enemy_skill_triggers!$A:$A),MATCH(H$1,enemy_skill_triggers!$1:$1,0)-MATCH($F$1,enemy_skill_triggers!$1:$1,0)+1),MATCH(H$1,enemy_skill_triggers!$1:$1,0)-MATCH($F$1,enemy_skill_triggers!$1:$1,0)+1,FALSE)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267" s="48">
        <f ca="1">VLOOKUP($F267,OFFSET(enemy_skill_triggers!$A$1,0,0,COUNTA(enemy_skill_triggers!$A:$A),MATCH(I$1,enemy_skill_triggers!$1:$1,0)-MATCH($F$1,enemy_skill_triggers!$1:$1,0)+1),MATCH(I$1,enemy_skill_triggers!$1:$1,0)-MATCH($F$1,enemy_skill_triggers!$1:$1,0)+1,FALSE)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7" s="48" t="str">
        <f ca="1">VLOOKUP($F267,OFFSET(enemy_skill_triggers!$A$1,0,0,COUNTA(enemy_skill_triggers!$A:$A),MATCH(J$1,enemy_skill_triggers!$1:$1,0)-MATCH($F$1,enemy_skill_triggers!$1:$1,0)+1),MATCH(J$1,enemy_skill_triggers!$1:$1,0)-MATCH($F$1,enemy_skill_triggers!$1:$1,0)+1,FALSE)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7" s="48" t="str">
        <f ca="1">VLOOKUP($F267,OFFSET(enemy_skill_triggers!$A$1,0,0,COUNTA(enemy_skill_triggers!$A:$A),MATCH(K$1,enemy_skill_triggers!$1:$1,0)-MATCH($F$1,enemy_skill_triggers!$1:$1,0)+1),MATCH(K$1,enemy_skill_triggers!$1:$1,0)-MATCH($F$1,enemy_skill_triggers!$1:$1,0)+1,FALSE)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7" s="48">
        <f ca="1">VLOOKUP($F267,OFFSET(enemy_skill_triggers!$A$1,0,0,COUNTA(enemy_skill_triggers!$A:$A),MATCH(L$1,enemy_skill_triggers!$1:$1,0)-MATCH($F$1,enemy_skill_triggers!$1:$1,0)+1),MATCH(L$1,enemy_skill_triggers!$1:$1,0)-MATCH($F$1,enemy_skill_triggers!$1:$1,0)+1,FALSE)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7" s="48" t="str">
        <f ca="1">VLOOKUP($F267,OFFSET(enemy_skill_triggers!$A$1,0,0,COUNTA(enemy_skill_triggers!$A:$A),MATCH(M$1,enemy_skill_triggers!$1:$1,0)-MATCH($F$1,enemy_skill_triggers!$1:$1,0)+1),MATCH(M$1,enemy_skill_triggers!$1:$1,0)-MATCH($F$1,enemy_skill_triggers!$1:$1,0)+1,FALSE)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7" s="48">
        <f ca="1">VLOOKUP($F267,OFFSET(enemy_skill_triggers!$A$1,0,0,COUNTA(enemy_skill_triggers!$A:$A),MATCH(N$1,enemy_skill_triggers!$1:$1,0)-MATCH($F$1,enemy_skill_triggers!$1:$1,0)+1),MATCH(N$1,enemy_skill_triggers!$1:$1,0)-MATCH($F$1,enemy_skill_triggers!$1:$1,0)+1,FALSE)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267" s="48">
        <f ca="1">VLOOKUP($F267,OFFSET(enemy_skill_triggers!$A$1,0,0,COUNTA(enemy_skill_triggers!$A:$A),MATCH(O$1,enemy_skill_triggers!$1:$1,0)-MATCH($F$1,enemy_skill_triggers!$1:$1,0)+1),MATCH(O$1,enemy_skill_triggers!$1:$1,0)-MATCH($F$1,enemy_skill_triggers!$1:$1,0)+1,FALSE)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7" s="47"/>
      <c r="Q267" s="47"/>
      <c r="R267" s="47"/>
    </row>
    <row r="268" spans="1:18" ht="21" customHeight="1" x14ac:dyDescent="0.15">
      <c r="A268" s="39" t="str">
        <f t="shared" si="17"/>
        <v>47004500_47004506</v>
      </c>
      <c r="B268" s="127">
        <v>47004500</v>
      </c>
      <c r="C268" s="47">
        <v>47004506</v>
      </c>
      <c r="D268" s="46" t="str">
        <f ca="1">VLOOKUP($C268,OFFSET(enemy_skills!$A$1,0,0,COUNTA(enemy_skills!$A:$A),MATCH(D$1,enemy_skills!$1:$1,0)-MATCH("enemy_skill_id",enemy_skills!$1:$1,0)+1),MATCH(D$1,enemy_skills!$1:$1,0)-MATCH("enemy_skill_id",enemy_skills!$1:$1,0)+1,FALSE)</f>
        <v>聖夜に舞う天使…ってところかしら？</v>
      </c>
      <c r="E268" s="46" t="str">
        <f ca="1">VLOOKUP($C268,OFFSET(enemy_skills!$A$1,0,0,COUNTA(enemy_skills!$A:$A),MATCH(E$1,enemy_skills!$1:$1,0)-MATCH("enemy_skill_id",enemy_skills!$1:$1,0)+1),MATCH(E$1,enemy_skills!$1:$1,0)-MATCH("enemy_skill_id",enemy_skills!$1:$1,0)+1,FALSE)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268" s="47">
        <v>47004511</v>
      </c>
      <c r="G268" s="48">
        <f ca="1">VLOOKUP($F268,OFFSET(enemy_skill_triggers!$A$1,0,0,COUNTA(enemy_skill_triggers!$A:$A),MATCH(G$1,enemy_skill_triggers!$1:$1,0)-MATCH($F$1,enemy_skill_triggers!$1:$1,0)+1),MATCH(G$1,enemy_skill_triggers!$1:$1,0)-MATCH($F$1,enemy_skill_triggers!$1:$1,0)+1,FALSE)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8" s="48">
        <f ca="1">VLOOKUP($F268,OFFSET(enemy_skill_triggers!$A$1,0,0,COUNTA(enemy_skill_triggers!$A:$A),MATCH(H$1,enemy_skill_triggers!$1:$1,0)-MATCH($F$1,enemy_skill_triggers!$1:$1,0)+1),MATCH(H$1,enemy_skill_triggers!$1:$1,0)-MATCH($F$1,enemy_skill_triggers!$1:$1,0)+1,FALSE)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268" s="48">
        <f ca="1">VLOOKUP($F268,OFFSET(enemy_skill_triggers!$A$1,0,0,COUNTA(enemy_skill_triggers!$A:$A),MATCH(I$1,enemy_skill_triggers!$1:$1,0)-MATCH($F$1,enemy_skill_triggers!$1:$1,0)+1),MATCH(I$1,enemy_skill_triggers!$1:$1,0)-MATCH($F$1,enemy_skill_triggers!$1:$1,0)+1,FALSE)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8" s="48" t="str">
        <f ca="1">VLOOKUP($F268,OFFSET(enemy_skill_triggers!$A$1,0,0,COUNTA(enemy_skill_triggers!$A:$A),MATCH(J$1,enemy_skill_triggers!$1:$1,0)-MATCH($F$1,enemy_skill_triggers!$1:$1,0)+1),MATCH(J$1,enemy_skill_triggers!$1:$1,0)-MATCH($F$1,enemy_skill_triggers!$1:$1,0)+1,FALSE)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8" s="48" t="str">
        <f ca="1">VLOOKUP($F268,OFFSET(enemy_skill_triggers!$A$1,0,0,COUNTA(enemy_skill_triggers!$A:$A),MATCH(K$1,enemy_skill_triggers!$1:$1,0)-MATCH($F$1,enemy_skill_triggers!$1:$1,0)+1),MATCH(K$1,enemy_skill_triggers!$1:$1,0)-MATCH($F$1,enemy_skill_triggers!$1:$1,0)+1,FALSE)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8" s="48">
        <f ca="1">VLOOKUP($F268,OFFSET(enemy_skill_triggers!$A$1,0,0,COUNTA(enemy_skill_triggers!$A:$A),MATCH(L$1,enemy_skill_triggers!$1:$1,0)-MATCH($F$1,enemy_skill_triggers!$1:$1,0)+1),MATCH(L$1,enemy_skill_triggers!$1:$1,0)-MATCH($F$1,enemy_skill_triggers!$1:$1,0)+1,FALSE)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8" s="48" t="str">
        <f ca="1">VLOOKUP($F268,OFFSET(enemy_skill_triggers!$A$1,0,0,COUNTA(enemy_skill_triggers!$A:$A),MATCH(M$1,enemy_skill_triggers!$1:$1,0)-MATCH($F$1,enemy_skill_triggers!$1:$1,0)+1),MATCH(M$1,enemy_skill_triggers!$1:$1,0)-MATCH($F$1,enemy_skill_triggers!$1:$1,0)+1,FALSE)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8" s="48">
        <f ca="1">VLOOKUP($F268,OFFSET(enemy_skill_triggers!$A$1,0,0,COUNTA(enemy_skill_triggers!$A:$A),MATCH(N$1,enemy_skill_triggers!$1:$1,0)-MATCH($F$1,enemy_skill_triggers!$1:$1,0)+1),MATCH(N$1,enemy_skill_triggers!$1:$1,0)-MATCH($F$1,enemy_skill_triggers!$1:$1,0)+1,FALSE)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268" s="48">
        <f ca="1">VLOOKUP($F268,OFFSET(enemy_skill_triggers!$A$1,0,0,COUNTA(enemy_skill_triggers!$A:$A),MATCH(O$1,enemy_skill_triggers!$1:$1,0)-MATCH($F$1,enemy_skill_triggers!$1:$1,0)+1),MATCH(O$1,enemy_skill_triggers!$1:$1,0)-MATCH($F$1,enemy_skill_triggers!$1:$1,0)+1,FALSE)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8" s="47"/>
      <c r="Q268" s="47"/>
      <c r="R268" s="47"/>
    </row>
    <row r="269" spans="1:18" ht="21" customHeight="1" x14ac:dyDescent="0.15">
      <c r="A269" s="39" t="str">
        <f t="shared" si="17"/>
        <v>47004500_47004507</v>
      </c>
      <c r="B269" s="127">
        <v>47004500</v>
      </c>
      <c r="C269" s="47">
        <v>47004507</v>
      </c>
      <c r="D269" s="46" t="str">
        <f ca="1">VLOOKUP($C269,OFFSET(enemy_skills!$A$1,0,0,COUNTA(enemy_skills!$A:$A),MATCH(D$1,enemy_skills!$1:$1,0)-MATCH("enemy_skill_id",enemy_skills!$1:$1,0)+1),MATCH(D$1,enemy_skills!$1:$1,0)-MATCH("enemy_skill_id",enemy_skills!$1:$1,0)+1,FALSE)</f>
        <v>あら、今年はプロメテウスはいないの？_x000D_きっと悲しんでるわよ？</v>
      </c>
      <c r="E269" s="46" t="str">
        <f ca="1">VLOOKUP($C269,OFFSET(enemy_skills!$A$1,0,0,COUNTA(enemy_skills!$A:$A),MATCH(E$1,enemy_skills!$1:$1,0)-MATCH("enemy_skill_id",enemy_skills!$1:$1,0)+1),MATCH(E$1,enemy_skills!$1:$1,0)-MATCH("enemy_skill_id",enemy_skills!$1:$1,0)+1,FALSE)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269" s="47">
        <v>47004512</v>
      </c>
      <c r="G269" s="48">
        <f ca="1">VLOOKUP($F269,OFFSET(enemy_skill_triggers!$A$1,0,0,COUNTA(enemy_skill_triggers!$A:$A),MATCH(G$1,enemy_skill_triggers!$1:$1,0)-MATCH($F$1,enemy_skill_triggers!$1:$1,0)+1),MATCH(G$1,enemy_skill_triggers!$1:$1,0)-MATCH($F$1,enemy_skill_triggers!$1:$1,0)+1,FALSE)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9" s="48">
        <f ca="1">VLOOKUP($F269,OFFSET(enemy_skill_triggers!$A$1,0,0,COUNTA(enemy_skill_triggers!$A:$A),MATCH(H$1,enemy_skill_triggers!$1:$1,0)-MATCH($F$1,enemy_skill_triggers!$1:$1,0)+1),MATCH(H$1,enemy_skill_triggers!$1:$1,0)-MATCH($F$1,enemy_skill_triggers!$1:$1,0)+1,FALSE)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269" s="48">
        <f ca="1">VLOOKUP($F269,OFFSET(enemy_skill_triggers!$A$1,0,0,COUNTA(enemy_skill_triggers!$A:$A),MATCH(I$1,enemy_skill_triggers!$1:$1,0)-MATCH($F$1,enemy_skill_triggers!$1:$1,0)+1),MATCH(I$1,enemy_skill_triggers!$1:$1,0)-MATCH($F$1,enemy_skill_triggers!$1:$1,0)+1,FALSE)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9" s="48" t="str">
        <f ca="1">VLOOKUP($F269,OFFSET(enemy_skill_triggers!$A$1,0,0,COUNTA(enemy_skill_triggers!$A:$A),MATCH(J$1,enemy_skill_triggers!$1:$1,0)-MATCH($F$1,enemy_skill_triggers!$1:$1,0)+1),MATCH(J$1,enemy_skill_triggers!$1:$1,0)-MATCH($F$1,enemy_skill_triggers!$1:$1,0)+1,FALSE)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9" s="48" t="str">
        <f ca="1">VLOOKUP($F269,OFFSET(enemy_skill_triggers!$A$1,0,0,COUNTA(enemy_skill_triggers!$A:$A),MATCH(K$1,enemy_skill_triggers!$1:$1,0)-MATCH($F$1,enemy_skill_triggers!$1:$1,0)+1),MATCH(K$1,enemy_skill_triggers!$1:$1,0)-MATCH($F$1,enemy_skill_triggers!$1:$1,0)+1,FALSE)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9" s="48">
        <f ca="1">VLOOKUP($F269,OFFSET(enemy_skill_triggers!$A$1,0,0,COUNTA(enemy_skill_triggers!$A:$A),MATCH(L$1,enemy_skill_triggers!$1:$1,0)-MATCH($F$1,enemy_skill_triggers!$1:$1,0)+1),MATCH(L$1,enemy_skill_triggers!$1:$1,0)-MATCH($F$1,enemy_skill_triggers!$1:$1,0)+1,FALSE)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9" s="48" t="str">
        <f ca="1">VLOOKUP($F269,OFFSET(enemy_skill_triggers!$A$1,0,0,COUNTA(enemy_skill_triggers!$A:$A),MATCH(M$1,enemy_skill_triggers!$1:$1,0)-MATCH($F$1,enemy_skill_triggers!$1:$1,0)+1),MATCH(M$1,enemy_skill_triggers!$1:$1,0)-MATCH($F$1,enemy_skill_triggers!$1:$1,0)+1,FALSE)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9" s="48">
        <f ca="1">VLOOKUP($F269,OFFSET(enemy_skill_triggers!$A$1,0,0,COUNTA(enemy_skill_triggers!$A:$A),MATCH(N$1,enemy_skill_triggers!$1:$1,0)-MATCH($F$1,enemy_skill_triggers!$1:$1,0)+1),MATCH(N$1,enemy_skill_triggers!$1:$1,0)-MATCH($F$1,enemy_skill_triggers!$1:$1,0)+1,FALSE)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269" s="48">
        <f ca="1">VLOOKUP($F269,OFFSET(enemy_skill_triggers!$A$1,0,0,COUNTA(enemy_skill_triggers!$A:$A),MATCH(O$1,enemy_skill_triggers!$1:$1,0)-MATCH($F$1,enemy_skill_triggers!$1:$1,0)+1),MATCH(O$1,enemy_skill_triggers!$1:$1,0)-MATCH($F$1,enemy_skill_triggers!$1:$1,0)+1,FALSE)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9" s="47"/>
      <c r="Q269" s="47"/>
      <c r="R269" s="47"/>
    </row>
    <row r="270" spans="1:18" ht="21" customHeight="1" x14ac:dyDescent="0.15">
      <c r="A270" s="39" t="str">
        <f t="shared" si="17"/>
        <v>47004500_47004507</v>
      </c>
      <c r="B270" s="127">
        <v>47004500</v>
      </c>
      <c r="C270" s="47">
        <v>47004507</v>
      </c>
      <c r="D270" s="46" t="str">
        <f ca="1">VLOOKUP($C270,OFFSET(enemy_skills!$A$1,0,0,COUNTA(enemy_skills!$A:$A),MATCH(D$1,enemy_skills!$1:$1,0)-MATCH("enemy_skill_id",enemy_skills!$1:$1,0)+1),MATCH(D$1,enemy_skills!$1:$1,0)-MATCH("enemy_skill_id",enemy_skills!$1:$1,0)+1,FALSE)</f>
        <v>あら、今年はプロメテウスはいないの？_x000D_きっと悲しんでるわよ？</v>
      </c>
      <c r="E270" s="46" t="str">
        <f ca="1">VLOOKUP($C270,OFFSET(enemy_skills!$A$1,0,0,COUNTA(enemy_skills!$A:$A),MATCH(E$1,enemy_skills!$1:$1,0)-MATCH("enemy_skill_id",enemy_skills!$1:$1,0)+1),MATCH(E$1,enemy_skills!$1:$1,0)-MATCH("enemy_skill_id",enemy_skills!$1:$1,0)+1,FALSE)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270" s="47">
        <v>47004513</v>
      </c>
      <c r="G270" s="48">
        <f ca="1">VLOOKUP($F270,OFFSET(enemy_skill_triggers!$A$1,0,0,COUNTA(enemy_skill_triggers!$A:$A),MATCH(G$1,enemy_skill_triggers!$1:$1,0)-MATCH($F$1,enemy_skill_triggers!$1:$1,0)+1),MATCH(G$1,enemy_skill_triggers!$1:$1,0)-MATCH($F$1,enemy_skill_triggers!$1:$1,0)+1,FALSE)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0" s="48">
        <f ca="1">VLOOKUP($F270,OFFSET(enemy_skill_triggers!$A$1,0,0,COUNTA(enemy_skill_triggers!$A:$A),MATCH(H$1,enemy_skill_triggers!$1:$1,0)-MATCH($F$1,enemy_skill_triggers!$1:$1,0)+1),MATCH(H$1,enemy_skill_triggers!$1:$1,0)-MATCH($F$1,enemy_skill_triggers!$1:$1,0)+1,FALSE)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270" s="48">
        <f ca="1">VLOOKUP($F270,OFFSET(enemy_skill_triggers!$A$1,0,0,COUNTA(enemy_skill_triggers!$A:$A),MATCH(I$1,enemy_skill_triggers!$1:$1,0)-MATCH($F$1,enemy_skill_triggers!$1:$1,0)+1),MATCH(I$1,enemy_skill_triggers!$1:$1,0)-MATCH($F$1,enemy_skill_triggers!$1:$1,0)+1,FALSE)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0" s="48" t="str">
        <f ca="1">VLOOKUP($F270,OFFSET(enemy_skill_triggers!$A$1,0,0,COUNTA(enemy_skill_triggers!$A:$A),MATCH(J$1,enemy_skill_triggers!$1:$1,0)-MATCH($F$1,enemy_skill_triggers!$1:$1,0)+1),MATCH(J$1,enemy_skill_triggers!$1:$1,0)-MATCH($F$1,enemy_skill_triggers!$1:$1,0)+1,FALSE)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0" s="48" t="str">
        <f ca="1">VLOOKUP($F270,OFFSET(enemy_skill_triggers!$A$1,0,0,COUNTA(enemy_skill_triggers!$A:$A),MATCH(K$1,enemy_skill_triggers!$1:$1,0)-MATCH($F$1,enemy_skill_triggers!$1:$1,0)+1),MATCH(K$1,enemy_skill_triggers!$1:$1,0)-MATCH($F$1,enemy_skill_triggers!$1:$1,0)+1,FALSE)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0" s="48">
        <f ca="1">VLOOKUP($F270,OFFSET(enemy_skill_triggers!$A$1,0,0,COUNTA(enemy_skill_triggers!$A:$A),MATCH(L$1,enemy_skill_triggers!$1:$1,0)-MATCH($F$1,enemy_skill_triggers!$1:$1,0)+1),MATCH(L$1,enemy_skill_triggers!$1:$1,0)-MATCH($F$1,enemy_skill_triggers!$1:$1,0)+1,FALSE)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0" s="48" t="str">
        <f ca="1">VLOOKUP($F270,OFFSET(enemy_skill_triggers!$A$1,0,0,COUNTA(enemy_skill_triggers!$A:$A),MATCH(M$1,enemy_skill_triggers!$1:$1,0)-MATCH($F$1,enemy_skill_triggers!$1:$1,0)+1),MATCH(M$1,enemy_skill_triggers!$1:$1,0)-MATCH($F$1,enemy_skill_triggers!$1:$1,0)+1,FALSE)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0" s="48">
        <f ca="1">VLOOKUP($F270,OFFSET(enemy_skill_triggers!$A$1,0,0,COUNTA(enemy_skill_triggers!$A:$A),MATCH(N$1,enemy_skill_triggers!$1:$1,0)-MATCH($F$1,enemy_skill_triggers!$1:$1,0)+1),MATCH(N$1,enemy_skill_triggers!$1:$1,0)-MATCH($F$1,enemy_skill_triggers!$1:$1,0)+1,FALSE)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270" s="48">
        <f ca="1">VLOOKUP($F270,OFFSET(enemy_skill_triggers!$A$1,0,0,COUNTA(enemy_skill_triggers!$A:$A),MATCH(O$1,enemy_skill_triggers!$1:$1,0)-MATCH($F$1,enemy_skill_triggers!$1:$1,0)+1),MATCH(O$1,enemy_skill_triggers!$1:$1,0)-MATCH($F$1,enemy_skill_triggers!$1:$1,0)+1,FALSE)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0" s="47"/>
      <c r="Q270" s="47"/>
      <c r="R270" s="47"/>
    </row>
    <row r="271" spans="1:18" ht="21" customHeight="1" x14ac:dyDescent="0.15">
      <c r="A271" s="39" t="str">
        <f t="shared" si="17"/>
        <v>47004500_47004507</v>
      </c>
      <c r="B271" s="127">
        <v>47004500</v>
      </c>
      <c r="C271" s="47">
        <v>47004507</v>
      </c>
      <c r="D271" s="46" t="str">
        <f ca="1">VLOOKUP($C271,OFFSET(enemy_skills!$A$1,0,0,COUNTA(enemy_skills!$A:$A),MATCH(D$1,enemy_skills!$1:$1,0)-MATCH("enemy_skill_id",enemy_skills!$1:$1,0)+1),MATCH(D$1,enemy_skills!$1:$1,0)-MATCH("enemy_skill_id",enemy_skills!$1:$1,0)+1,FALSE)</f>
        <v>あら、今年はプロメテウスはいないの？_x000D_きっと悲しんでるわよ？</v>
      </c>
      <c r="E271" s="46" t="str">
        <f ca="1">VLOOKUP($C271,OFFSET(enemy_skills!$A$1,0,0,COUNTA(enemy_skills!$A:$A),MATCH(E$1,enemy_skills!$1:$1,0)-MATCH("enemy_skill_id",enemy_skills!$1:$1,0)+1),MATCH(E$1,enemy_skills!$1:$1,0)-MATCH("enemy_skill_id",enemy_skills!$1:$1,0)+1,FALSE)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271" s="47">
        <v>47004514</v>
      </c>
      <c r="G271" s="48">
        <f ca="1">VLOOKUP($F271,OFFSET(enemy_skill_triggers!$A$1,0,0,COUNTA(enemy_skill_triggers!$A:$A),MATCH(G$1,enemy_skill_triggers!$1:$1,0)-MATCH($F$1,enemy_skill_triggers!$1:$1,0)+1),MATCH(G$1,enemy_skill_triggers!$1:$1,0)-MATCH($F$1,enemy_skill_triggers!$1:$1,0)+1,FALSE)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1" s="48">
        <f ca="1">VLOOKUP($F271,OFFSET(enemy_skill_triggers!$A$1,0,0,COUNTA(enemy_skill_triggers!$A:$A),MATCH(H$1,enemy_skill_triggers!$1:$1,0)-MATCH($F$1,enemy_skill_triggers!$1:$1,0)+1),MATCH(H$1,enemy_skill_triggers!$1:$1,0)-MATCH($F$1,enemy_skill_triggers!$1:$1,0)+1,FALSE)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271" s="48">
        <f ca="1">VLOOKUP($F271,OFFSET(enemy_skill_triggers!$A$1,0,0,COUNTA(enemy_skill_triggers!$A:$A),MATCH(I$1,enemy_skill_triggers!$1:$1,0)-MATCH($F$1,enemy_skill_triggers!$1:$1,0)+1),MATCH(I$1,enemy_skill_triggers!$1:$1,0)-MATCH($F$1,enemy_skill_triggers!$1:$1,0)+1,FALSE)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1" s="48" t="str">
        <f ca="1">VLOOKUP($F271,OFFSET(enemy_skill_triggers!$A$1,0,0,COUNTA(enemy_skill_triggers!$A:$A),MATCH(J$1,enemy_skill_triggers!$1:$1,0)-MATCH($F$1,enemy_skill_triggers!$1:$1,0)+1),MATCH(J$1,enemy_skill_triggers!$1:$1,0)-MATCH($F$1,enemy_skill_triggers!$1:$1,0)+1,FALSE)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1" s="48" t="str">
        <f ca="1">VLOOKUP($F271,OFFSET(enemy_skill_triggers!$A$1,0,0,COUNTA(enemy_skill_triggers!$A:$A),MATCH(K$1,enemy_skill_triggers!$1:$1,0)-MATCH($F$1,enemy_skill_triggers!$1:$1,0)+1),MATCH(K$1,enemy_skill_triggers!$1:$1,0)-MATCH($F$1,enemy_skill_triggers!$1:$1,0)+1,FALSE)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1" s="48">
        <f ca="1">VLOOKUP($F271,OFFSET(enemy_skill_triggers!$A$1,0,0,COUNTA(enemy_skill_triggers!$A:$A),MATCH(L$1,enemy_skill_triggers!$1:$1,0)-MATCH($F$1,enemy_skill_triggers!$1:$1,0)+1),MATCH(L$1,enemy_skill_triggers!$1:$1,0)-MATCH($F$1,enemy_skill_triggers!$1:$1,0)+1,FALSE)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1" s="48" t="str">
        <f ca="1">VLOOKUP($F271,OFFSET(enemy_skill_triggers!$A$1,0,0,COUNTA(enemy_skill_triggers!$A:$A),MATCH(M$1,enemy_skill_triggers!$1:$1,0)-MATCH($F$1,enemy_skill_triggers!$1:$1,0)+1),MATCH(M$1,enemy_skill_triggers!$1:$1,0)-MATCH($F$1,enemy_skill_triggers!$1:$1,0)+1,FALSE)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1" s="48">
        <f ca="1">VLOOKUP($F271,OFFSET(enemy_skill_triggers!$A$1,0,0,COUNTA(enemy_skill_triggers!$A:$A),MATCH(N$1,enemy_skill_triggers!$1:$1,0)-MATCH($F$1,enemy_skill_triggers!$1:$1,0)+1),MATCH(N$1,enemy_skill_triggers!$1:$1,0)-MATCH($F$1,enemy_skill_triggers!$1:$1,0)+1,FALSE)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271" s="48">
        <f ca="1">VLOOKUP($F271,OFFSET(enemy_skill_triggers!$A$1,0,0,COUNTA(enemy_skill_triggers!$A:$A),MATCH(O$1,enemy_skill_triggers!$1:$1,0)-MATCH($F$1,enemy_skill_triggers!$1:$1,0)+1),MATCH(O$1,enemy_skill_triggers!$1:$1,0)-MATCH($F$1,enemy_skill_triggers!$1:$1,0)+1,FALSE)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1" s="47"/>
      <c r="Q271" s="47"/>
      <c r="R271" s="47"/>
    </row>
    <row r="272" spans="1:18" ht="21" customHeight="1" x14ac:dyDescent="0.15">
      <c r="A272" s="39" t="str">
        <f t="shared" si="17"/>
        <v>47004500_47004508</v>
      </c>
      <c r="B272" s="127">
        <v>47004500</v>
      </c>
      <c r="C272" s="47">
        <v>47004508</v>
      </c>
      <c r="D272" s="46" t="str">
        <f ca="1">VLOOKUP($C272,OFFSET(enemy_skills!$A$1,0,0,COUNTA(enemy_skills!$A:$A),MATCH(D$1,enemy_skills!$1:$1,0)-MATCH("enemy_skill_id",enemy_skills!$1:$1,0)+1),MATCH(D$1,enemy_skills!$1:$1,0)-MATCH("enemy_skill_id",enemy_skills!$1:$1,0)+1,FALSE)</f>
        <v>そのバイクならプレゼント運びも楽チンね♪</v>
      </c>
      <c r="E272" s="46" t="str">
        <f ca="1">VLOOKUP($C272,OFFSET(enemy_skills!$A$1,0,0,COUNTA(enemy_skills!$A:$A),MATCH(E$1,enemy_skills!$1:$1,0)-MATCH("enemy_skill_id",enemy_skills!$1:$1,0)+1),MATCH(E$1,enemy_skills!$1:$1,0)-MATCH("enemy_skill_id",enemy_skills!$1:$1,0)+1,FALSE)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272" s="47">
        <v>47004515</v>
      </c>
      <c r="G272" s="48">
        <f ca="1">VLOOKUP($F272,OFFSET(enemy_skill_triggers!$A$1,0,0,COUNTA(enemy_skill_triggers!$A:$A),MATCH(G$1,enemy_skill_triggers!$1:$1,0)-MATCH($F$1,enemy_skill_triggers!$1:$1,0)+1),MATCH(G$1,enemy_skill_triggers!$1:$1,0)-MATCH($F$1,enemy_skill_triggers!$1:$1,0)+1,FALSE)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2" s="48">
        <f ca="1">VLOOKUP($F272,OFFSET(enemy_skill_triggers!$A$1,0,0,COUNTA(enemy_skill_triggers!$A:$A),MATCH(H$1,enemy_skill_triggers!$1:$1,0)-MATCH($F$1,enemy_skill_triggers!$1:$1,0)+1),MATCH(H$1,enemy_skill_triggers!$1:$1,0)-MATCH($F$1,enemy_skill_triggers!$1:$1,0)+1,FALSE)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272" s="48">
        <f ca="1">VLOOKUP($F272,OFFSET(enemy_skill_triggers!$A$1,0,0,COUNTA(enemy_skill_triggers!$A:$A),MATCH(I$1,enemy_skill_triggers!$1:$1,0)-MATCH($F$1,enemy_skill_triggers!$1:$1,0)+1),MATCH(I$1,enemy_skill_triggers!$1:$1,0)-MATCH($F$1,enemy_skill_triggers!$1:$1,0)+1,FALSE)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2" s="48" t="str">
        <f ca="1">VLOOKUP($F272,OFFSET(enemy_skill_triggers!$A$1,0,0,COUNTA(enemy_skill_triggers!$A:$A),MATCH(J$1,enemy_skill_triggers!$1:$1,0)-MATCH($F$1,enemy_skill_triggers!$1:$1,0)+1),MATCH(J$1,enemy_skill_triggers!$1:$1,0)-MATCH($F$1,enemy_skill_triggers!$1:$1,0)+1,FALSE)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2" s="48" t="str">
        <f ca="1">VLOOKUP($F272,OFFSET(enemy_skill_triggers!$A$1,0,0,COUNTA(enemy_skill_triggers!$A:$A),MATCH(K$1,enemy_skill_triggers!$1:$1,0)-MATCH($F$1,enemy_skill_triggers!$1:$1,0)+1),MATCH(K$1,enemy_skill_triggers!$1:$1,0)-MATCH($F$1,enemy_skill_triggers!$1:$1,0)+1,FALSE)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2" s="48">
        <f ca="1">VLOOKUP($F272,OFFSET(enemy_skill_triggers!$A$1,0,0,COUNTA(enemy_skill_triggers!$A:$A),MATCH(L$1,enemy_skill_triggers!$1:$1,0)-MATCH($F$1,enemy_skill_triggers!$1:$1,0)+1),MATCH(L$1,enemy_skill_triggers!$1:$1,0)-MATCH($F$1,enemy_skill_triggers!$1:$1,0)+1,FALSE)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2" s="48" t="str">
        <f ca="1">VLOOKUP($F272,OFFSET(enemy_skill_triggers!$A$1,0,0,COUNTA(enemy_skill_triggers!$A:$A),MATCH(M$1,enemy_skill_triggers!$1:$1,0)-MATCH($F$1,enemy_skill_triggers!$1:$1,0)+1),MATCH(M$1,enemy_skill_triggers!$1:$1,0)-MATCH($F$1,enemy_skill_triggers!$1:$1,0)+1,FALSE)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2" s="48">
        <f ca="1">VLOOKUP($F272,OFFSET(enemy_skill_triggers!$A$1,0,0,COUNTA(enemy_skill_triggers!$A:$A),MATCH(N$1,enemy_skill_triggers!$1:$1,0)-MATCH($F$1,enemy_skill_triggers!$1:$1,0)+1),MATCH(N$1,enemy_skill_triggers!$1:$1,0)-MATCH($F$1,enemy_skill_triggers!$1:$1,0)+1,FALSE)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272" s="48">
        <f ca="1">VLOOKUP($F272,OFFSET(enemy_skill_triggers!$A$1,0,0,COUNTA(enemy_skill_triggers!$A:$A),MATCH(O$1,enemy_skill_triggers!$1:$1,0)-MATCH($F$1,enemy_skill_triggers!$1:$1,0)+1),MATCH(O$1,enemy_skill_triggers!$1:$1,0)-MATCH($F$1,enemy_skill_triggers!$1:$1,0)+1,FALSE)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2" s="47"/>
      <c r="Q272" s="47"/>
      <c r="R272" s="47"/>
    </row>
    <row r="273" spans="1:18" ht="21" customHeight="1" x14ac:dyDescent="0.15">
      <c r="A273" s="39" t="str">
        <f t="shared" si="17"/>
        <v>47004500_47004508</v>
      </c>
      <c r="B273" s="127">
        <v>47004500</v>
      </c>
      <c r="C273" s="47">
        <v>47004508</v>
      </c>
      <c r="D273" s="46" t="str">
        <f ca="1">VLOOKUP($C273,OFFSET(enemy_skills!$A$1,0,0,COUNTA(enemy_skills!$A:$A),MATCH(D$1,enemy_skills!$1:$1,0)-MATCH("enemy_skill_id",enemy_skills!$1:$1,0)+1),MATCH(D$1,enemy_skills!$1:$1,0)-MATCH("enemy_skill_id",enemy_skills!$1:$1,0)+1,FALSE)</f>
        <v>そのバイクならプレゼント運びも楽チンね♪</v>
      </c>
      <c r="E273" s="46" t="str">
        <f ca="1">VLOOKUP($C273,OFFSET(enemy_skills!$A$1,0,0,COUNTA(enemy_skills!$A:$A),MATCH(E$1,enemy_skills!$1:$1,0)-MATCH("enemy_skill_id",enemy_skills!$1:$1,0)+1),MATCH(E$1,enemy_skills!$1:$1,0)-MATCH("enemy_skill_id",enemy_skills!$1:$1,0)+1,FALSE)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273" s="47">
        <v>47004516</v>
      </c>
      <c r="G273" s="48">
        <f ca="1">VLOOKUP($F273,OFFSET(enemy_skill_triggers!$A$1,0,0,COUNTA(enemy_skill_triggers!$A:$A),MATCH(G$1,enemy_skill_triggers!$1:$1,0)-MATCH($F$1,enemy_skill_triggers!$1:$1,0)+1),MATCH(G$1,enemy_skill_triggers!$1:$1,0)-MATCH($F$1,enemy_skill_triggers!$1:$1,0)+1,FALSE)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3" s="48">
        <f ca="1">VLOOKUP($F273,OFFSET(enemy_skill_triggers!$A$1,0,0,COUNTA(enemy_skill_triggers!$A:$A),MATCH(H$1,enemy_skill_triggers!$1:$1,0)-MATCH($F$1,enemy_skill_triggers!$1:$1,0)+1),MATCH(H$1,enemy_skill_triggers!$1:$1,0)-MATCH($F$1,enemy_skill_triggers!$1:$1,0)+1,FALSE)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273" s="48">
        <f ca="1">VLOOKUP($F273,OFFSET(enemy_skill_triggers!$A$1,0,0,COUNTA(enemy_skill_triggers!$A:$A),MATCH(I$1,enemy_skill_triggers!$1:$1,0)-MATCH($F$1,enemy_skill_triggers!$1:$1,0)+1),MATCH(I$1,enemy_skill_triggers!$1:$1,0)-MATCH($F$1,enemy_skill_triggers!$1:$1,0)+1,FALSE)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3" s="48" t="str">
        <f ca="1">VLOOKUP($F273,OFFSET(enemy_skill_triggers!$A$1,0,0,COUNTA(enemy_skill_triggers!$A:$A),MATCH(J$1,enemy_skill_triggers!$1:$1,0)-MATCH($F$1,enemy_skill_triggers!$1:$1,0)+1),MATCH(J$1,enemy_skill_triggers!$1:$1,0)-MATCH($F$1,enemy_skill_triggers!$1:$1,0)+1,FALSE)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3" s="48" t="str">
        <f ca="1">VLOOKUP($F273,OFFSET(enemy_skill_triggers!$A$1,0,0,COUNTA(enemy_skill_triggers!$A:$A),MATCH(K$1,enemy_skill_triggers!$1:$1,0)-MATCH($F$1,enemy_skill_triggers!$1:$1,0)+1),MATCH(K$1,enemy_skill_triggers!$1:$1,0)-MATCH($F$1,enemy_skill_triggers!$1:$1,0)+1,FALSE)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3" s="48">
        <f ca="1">VLOOKUP($F273,OFFSET(enemy_skill_triggers!$A$1,0,0,COUNTA(enemy_skill_triggers!$A:$A),MATCH(L$1,enemy_skill_triggers!$1:$1,0)-MATCH($F$1,enemy_skill_triggers!$1:$1,0)+1),MATCH(L$1,enemy_skill_triggers!$1:$1,0)-MATCH($F$1,enemy_skill_triggers!$1:$1,0)+1,FALSE)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3" s="48" t="str">
        <f ca="1">VLOOKUP($F273,OFFSET(enemy_skill_triggers!$A$1,0,0,COUNTA(enemy_skill_triggers!$A:$A),MATCH(M$1,enemy_skill_triggers!$1:$1,0)-MATCH($F$1,enemy_skill_triggers!$1:$1,0)+1),MATCH(M$1,enemy_skill_triggers!$1:$1,0)-MATCH($F$1,enemy_skill_triggers!$1:$1,0)+1,FALSE)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3" s="48">
        <f ca="1">VLOOKUP($F273,OFFSET(enemy_skill_triggers!$A$1,0,0,COUNTA(enemy_skill_triggers!$A:$A),MATCH(N$1,enemy_skill_triggers!$1:$1,0)-MATCH($F$1,enemy_skill_triggers!$1:$1,0)+1),MATCH(N$1,enemy_skill_triggers!$1:$1,0)-MATCH($F$1,enemy_skill_triggers!$1:$1,0)+1,FALSE)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273" s="48">
        <f ca="1">VLOOKUP($F273,OFFSET(enemy_skill_triggers!$A$1,0,0,COUNTA(enemy_skill_triggers!$A:$A),MATCH(O$1,enemy_skill_triggers!$1:$1,0)-MATCH($F$1,enemy_skill_triggers!$1:$1,0)+1),MATCH(O$1,enemy_skill_triggers!$1:$1,0)-MATCH($F$1,enemy_skill_triggers!$1:$1,0)+1,FALSE)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3" s="47"/>
      <c r="Q273" s="47"/>
      <c r="R273" s="47"/>
    </row>
    <row r="274" spans="1:18" ht="21" customHeight="1" x14ac:dyDescent="0.15">
      <c r="A274" s="39" t="str">
        <f t="shared" si="17"/>
        <v>47004500_47004508</v>
      </c>
      <c r="B274" s="127">
        <v>47004500</v>
      </c>
      <c r="C274" s="47">
        <v>47004508</v>
      </c>
      <c r="D274" s="46" t="str">
        <f ca="1">VLOOKUP($C274,OFFSET(enemy_skills!$A$1,0,0,COUNTA(enemy_skills!$A:$A),MATCH(D$1,enemy_skills!$1:$1,0)-MATCH("enemy_skill_id",enemy_skills!$1:$1,0)+1),MATCH(D$1,enemy_skills!$1:$1,0)-MATCH("enemy_skill_id",enemy_skills!$1:$1,0)+1,FALSE)</f>
        <v>そのバイクならプレゼント運びも楽チンね♪</v>
      </c>
      <c r="E274" s="46" t="str">
        <f ca="1">VLOOKUP($C274,OFFSET(enemy_skills!$A$1,0,0,COUNTA(enemy_skills!$A:$A),MATCH(E$1,enemy_skills!$1:$1,0)-MATCH("enemy_skill_id",enemy_skills!$1:$1,0)+1),MATCH(E$1,enemy_skills!$1:$1,0)-MATCH("enemy_skill_id",enemy_skills!$1:$1,0)+1,FALSE)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274" s="47">
        <v>47004517</v>
      </c>
      <c r="G274" s="48">
        <f ca="1">VLOOKUP($F274,OFFSET(enemy_skill_triggers!$A$1,0,0,COUNTA(enemy_skill_triggers!$A:$A),MATCH(G$1,enemy_skill_triggers!$1:$1,0)-MATCH($F$1,enemy_skill_triggers!$1:$1,0)+1),MATCH(G$1,enemy_skill_triggers!$1:$1,0)-MATCH($F$1,enemy_skill_triggers!$1:$1,0)+1,FALSE)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4" s="48">
        <f ca="1">VLOOKUP($F274,OFFSET(enemy_skill_triggers!$A$1,0,0,COUNTA(enemy_skill_triggers!$A:$A),MATCH(H$1,enemy_skill_triggers!$1:$1,0)-MATCH($F$1,enemy_skill_triggers!$1:$1,0)+1),MATCH(H$1,enemy_skill_triggers!$1:$1,0)-MATCH($F$1,enemy_skill_triggers!$1:$1,0)+1,FALSE)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274" s="48">
        <f ca="1">VLOOKUP($F274,OFFSET(enemy_skill_triggers!$A$1,0,0,COUNTA(enemy_skill_triggers!$A:$A),MATCH(I$1,enemy_skill_triggers!$1:$1,0)-MATCH($F$1,enemy_skill_triggers!$1:$1,0)+1),MATCH(I$1,enemy_skill_triggers!$1:$1,0)-MATCH($F$1,enemy_skill_triggers!$1:$1,0)+1,FALSE)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4" s="48" t="str">
        <f ca="1">VLOOKUP($F274,OFFSET(enemy_skill_triggers!$A$1,0,0,COUNTA(enemy_skill_triggers!$A:$A),MATCH(J$1,enemy_skill_triggers!$1:$1,0)-MATCH($F$1,enemy_skill_triggers!$1:$1,0)+1),MATCH(J$1,enemy_skill_triggers!$1:$1,0)-MATCH($F$1,enemy_skill_triggers!$1:$1,0)+1,FALSE)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4" s="48" t="str">
        <f ca="1">VLOOKUP($F274,OFFSET(enemy_skill_triggers!$A$1,0,0,COUNTA(enemy_skill_triggers!$A:$A),MATCH(K$1,enemy_skill_triggers!$1:$1,0)-MATCH($F$1,enemy_skill_triggers!$1:$1,0)+1),MATCH(K$1,enemy_skill_triggers!$1:$1,0)-MATCH($F$1,enemy_skill_triggers!$1:$1,0)+1,FALSE)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4" s="48">
        <f ca="1">VLOOKUP($F274,OFFSET(enemy_skill_triggers!$A$1,0,0,COUNTA(enemy_skill_triggers!$A:$A),MATCH(L$1,enemy_skill_triggers!$1:$1,0)-MATCH($F$1,enemy_skill_triggers!$1:$1,0)+1),MATCH(L$1,enemy_skill_triggers!$1:$1,0)-MATCH($F$1,enemy_skill_triggers!$1:$1,0)+1,FALSE)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4" s="48" t="str">
        <f ca="1">VLOOKUP($F274,OFFSET(enemy_skill_triggers!$A$1,0,0,COUNTA(enemy_skill_triggers!$A:$A),MATCH(M$1,enemy_skill_triggers!$1:$1,0)-MATCH($F$1,enemy_skill_triggers!$1:$1,0)+1),MATCH(M$1,enemy_skill_triggers!$1:$1,0)-MATCH($F$1,enemy_skill_triggers!$1:$1,0)+1,FALSE)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4" s="48">
        <f ca="1">VLOOKUP($F274,OFFSET(enemy_skill_triggers!$A$1,0,0,COUNTA(enemy_skill_triggers!$A:$A),MATCH(N$1,enemy_skill_triggers!$1:$1,0)-MATCH($F$1,enemy_skill_triggers!$1:$1,0)+1),MATCH(N$1,enemy_skill_triggers!$1:$1,0)-MATCH($F$1,enemy_skill_triggers!$1:$1,0)+1,FALSE)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274" s="48">
        <f ca="1">VLOOKUP($F274,OFFSET(enemy_skill_triggers!$A$1,0,0,COUNTA(enemy_skill_triggers!$A:$A),MATCH(O$1,enemy_skill_triggers!$1:$1,0)-MATCH($F$1,enemy_skill_triggers!$1:$1,0)+1),MATCH(O$1,enemy_skill_triggers!$1:$1,0)-MATCH($F$1,enemy_skill_triggers!$1:$1,0)+1,FALSE)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4" s="47"/>
      <c r="Q274" s="47"/>
      <c r="R274" s="47"/>
    </row>
    <row r="275" spans="1:18" ht="21" customHeight="1" x14ac:dyDescent="0.15">
      <c r="A275" s="39" t="str">
        <f t="shared" ref="A275" si="18">B275&amp;"_"&amp;C275</f>
        <v>47004500_47004509</v>
      </c>
      <c r="B275" s="127">
        <v>47004500</v>
      </c>
      <c r="C275" s="47">
        <v>47004509</v>
      </c>
      <c r="D275" s="46" t="str">
        <f ca="1">VLOOKUP($C275,OFFSET(enemy_skills!$A$1,0,0,COUNTA(enemy_skills!$A:$A),MATCH(D$1,enemy_skills!$1:$1,0)-MATCH("enemy_skill_id",enemy_skills!$1:$1,0)+1),MATCH(D$1,enemy_skills!$1:$1,0)-MATCH("enemy_skill_id",enemy_skills!$1:$1,0)+1,FALSE)</f>
        <v>メリークリスマス♪_x000D_あら、ワイルドなサンタさんね</v>
      </c>
      <c r="E275" s="46" t="str">
        <f ca="1">VLOOKUP($C275,OFFSET(enemy_skills!$A$1,0,0,COUNTA(enemy_skills!$A:$A),MATCH(E$1,enemy_skills!$1:$1,0)-MATCH("enemy_skill_id",enemy_skills!$1:$1,0)+1),MATCH(E$1,enemy_skills!$1:$1,0)-MATCH("enemy_skill_id",enemy_skills!$1:$1,0)+1,FALSE)</f>
        <v>残りHPの50%消費+_x000D_全ユニットのスキルゲージを2ターン減少+_x000D_全ユニットのCパネル生成短縮</v>
      </c>
      <c r="F275" s="47">
        <v>47004518</v>
      </c>
      <c r="G275" s="48">
        <f ca="1">VLOOKUP($F275,OFFSET(enemy_skill_triggers!$A$1,0,0,COUNTA(enemy_skill_triggers!$A:$A),MATCH(G$1,enemy_skill_triggers!$1:$1,0)-MATCH($F$1,enemy_skill_triggers!$1:$1,0)+1),MATCH(G$1,enemy_skill_triggers!$1:$1,0)-MATCH($F$1,enemy_skill_triggers!$1:$1,0)+1,FALSE)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5" s="48">
        <f ca="1">VLOOKUP($F275,OFFSET(enemy_skill_triggers!$A$1,0,0,COUNTA(enemy_skill_triggers!$A:$A),MATCH(H$1,enemy_skill_triggers!$1:$1,0)-MATCH($F$1,enemy_skill_triggers!$1:$1,0)+1),MATCH(H$1,enemy_skill_triggers!$1:$1,0)-MATCH($F$1,enemy_skill_triggers!$1:$1,0)+1,FALSE)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275" s="48">
        <f ca="1">VLOOKUP($F275,OFFSET(enemy_skill_triggers!$A$1,0,0,COUNTA(enemy_skill_triggers!$A:$A),MATCH(I$1,enemy_skill_triggers!$1:$1,0)-MATCH($F$1,enemy_skill_triggers!$1:$1,0)+1),MATCH(I$1,enemy_skill_triggers!$1:$1,0)-MATCH($F$1,enemy_skill_triggers!$1:$1,0)+1,FALSE)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5" s="48" t="str">
        <f ca="1">VLOOKUP($F275,OFFSET(enemy_skill_triggers!$A$1,0,0,COUNTA(enemy_skill_triggers!$A:$A),MATCH(J$1,enemy_skill_triggers!$1:$1,0)-MATCH($F$1,enemy_skill_triggers!$1:$1,0)+1),MATCH(J$1,enemy_skill_triggers!$1:$1,0)-MATCH($F$1,enemy_skill_triggers!$1:$1,0)+1,FALSE)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5" s="48" t="str">
        <f ca="1">VLOOKUP($F275,OFFSET(enemy_skill_triggers!$A$1,0,0,COUNTA(enemy_skill_triggers!$A:$A),MATCH(K$1,enemy_skill_triggers!$1:$1,0)-MATCH($F$1,enemy_skill_triggers!$1:$1,0)+1),MATCH(K$1,enemy_skill_triggers!$1:$1,0)-MATCH($F$1,enemy_skill_triggers!$1:$1,0)+1,FALSE)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5" s="48">
        <f ca="1">VLOOKUP($F275,OFFSET(enemy_skill_triggers!$A$1,0,0,COUNTA(enemy_skill_triggers!$A:$A),MATCH(L$1,enemy_skill_triggers!$1:$1,0)-MATCH($F$1,enemy_skill_triggers!$1:$1,0)+1),MATCH(L$1,enemy_skill_triggers!$1:$1,0)-MATCH($F$1,enemy_skill_triggers!$1:$1,0)+1,FALSE)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5" s="48" t="str">
        <f ca="1">VLOOKUP($F275,OFFSET(enemy_skill_triggers!$A$1,0,0,COUNTA(enemy_skill_triggers!$A:$A),MATCH(M$1,enemy_skill_triggers!$1:$1,0)-MATCH($F$1,enemy_skill_triggers!$1:$1,0)+1),MATCH(M$1,enemy_skill_triggers!$1:$1,0)-MATCH($F$1,enemy_skill_triggers!$1:$1,0)+1,FALSE)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5" s="48">
        <f ca="1">VLOOKUP($F275,OFFSET(enemy_skill_triggers!$A$1,0,0,COUNTA(enemy_skill_triggers!$A:$A),MATCH(N$1,enemy_skill_triggers!$1:$1,0)-MATCH($F$1,enemy_skill_triggers!$1:$1,0)+1),MATCH(N$1,enemy_skill_triggers!$1:$1,0)-MATCH($F$1,enemy_skill_triggers!$1:$1,0)+1,FALSE)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275" s="48">
        <f ca="1">VLOOKUP($F275,OFFSET(enemy_skill_triggers!$A$1,0,0,COUNTA(enemy_skill_triggers!$A:$A),MATCH(O$1,enemy_skill_triggers!$1:$1,0)-MATCH($F$1,enemy_skill_triggers!$1:$1,0)+1),MATCH(O$1,enemy_skill_triggers!$1:$1,0)-MATCH($F$1,enemy_skill_triggers!$1:$1,0)+1,FALSE)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5" s="47"/>
      <c r="Q275" s="47"/>
      <c r="R275" s="47"/>
    </row>
    <row r="276" spans="1:18" ht="21" customHeight="1" x14ac:dyDescent="0.15">
      <c r="A276" s="39" t="str">
        <f t="shared" si="17"/>
        <v>47004520_47004521</v>
      </c>
      <c r="B276" s="127">
        <v>47004520</v>
      </c>
      <c r="C276" s="47">
        <v>47004521</v>
      </c>
      <c r="D276" s="46" t="str">
        <f ca="1">VLOOKUP($C276,OFFSET(enemy_skills!$A$1,0,0,COUNTA(enemy_skills!$A:$A),MATCH(D$1,enemy_skills!$1:$1,0)-MATCH("enemy_skill_id",enemy_skills!$1:$1,0)+1),MATCH(D$1,enemy_skills!$1:$1,0)-MATCH("enemy_skill_id",enemy_skills!$1:$1,0)+1,FALSE)</f>
        <v>メリークリスマス！っと</v>
      </c>
      <c r="E276" s="46" t="str">
        <f ca="1">VLOOKUP($C276,OFFSET(enemy_skills!$A$1,0,0,COUNTA(enemy_skills!$A:$A),MATCH(E$1,enemy_skills!$1:$1,0)-MATCH("enemy_skill_id",enemy_skills!$1:$1,0)+1),MATCH(E$1,enemy_skills!$1:$1,0)-MATCH("enemy_skill_id",enemy_skills!$1:$1,0)+1,FALSE)</f>
        <v>このプレゼントか？_x000D_たまにはこんな事でもしてみようかと思ってな</v>
      </c>
      <c r="F276" s="47">
        <v>47004521</v>
      </c>
      <c r="G276" s="48">
        <f ca="1">VLOOKUP($F276,OFFSET(enemy_skill_triggers!$A$1,0,0,COUNTA(enemy_skill_triggers!$A:$A),MATCH(G$1,enemy_skill_triggers!$1:$1,0)-MATCH($F$1,enemy_skill_triggers!$1:$1,0)+1),MATCH(G$1,enemy_skill_triggers!$1:$1,0)-MATCH($F$1,enemy_skill_triggers!$1:$1,0)+1,FALSE)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6" s="48">
        <f ca="1">VLOOKUP($F276,OFFSET(enemy_skill_triggers!$A$1,0,0,COUNTA(enemy_skill_triggers!$A:$A),MATCH(H$1,enemy_skill_triggers!$1:$1,0)-MATCH($F$1,enemy_skill_triggers!$1:$1,0)+1),MATCH(H$1,enemy_skill_triggers!$1:$1,0)-MATCH($F$1,enemy_skill_triggers!$1:$1,0)+1,FALSE)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6" s="48">
        <f ca="1">VLOOKUP($F276,OFFSET(enemy_skill_triggers!$A$1,0,0,COUNTA(enemy_skill_triggers!$A:$A),MATCH(I$1,enemy_skill_triggers!$1:$1,0)-MATCH($F$1,enemy_skill_triggers!$1:$1,0)+1),MATCH(I$1,enemy_skill_triggers!$1:$1,0)-MATCH($F$1,enemy_skill_triggers!$1:$1,0)+1,FALSE)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6" s="48" t="str">
        <f ca="1">VLOOKUP($F276,OFFSET(enemy_skill_triggers!$A$1,0,0,COUNTA(enemy_skill_triggers!$A:$A),MATCH(J$1,enemy_skill_triggers!$1:$1,0)-MATCH($F$1,enemy_skill_triggers!$1:$1,0)+1),MATCH(J$1,enemy_skill_triggers!$1:$1,0)-MATCH($F$1,enemy_skill_triggers!$1:$1,0)+1,FALSE)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6" s="48" t="str">
        <f ca="1">VLOOKUP($F276,OFFSET(enemy_skill_triggers!$A$1,0,0,COUNTA(enemy_skill_triggers!$A:$A),MATCH(K$1,enemy_skill_triggers!$1:$1,0)-MATCH($F$1,enemy_skill_triggers!$1:$1,0)+1),MATCH(K$1,enemy_skill_triggers!$1:$1,0)-MATCH($F$1,enemy_skill_triggers!$1:$1,0)+1,FALSE)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6" s="48">
        <f ca="1">VLOOKUP($F276,OFFSET(enemy_skill_triggers!$A$1,0,0,COUNTA(enemy_skill_triggers!$A:$A),MATCH(L$1,enemy_skill_triggers!$1:$1,0)-MATCH($F$1,enemy_skill_triggers!$1:$1,0)+1),MATCH(L$1,enemy_skill_triggers!$1:$1,0)-MATCH($F$1,enemy_skill_triggers!$1:$1,0)+1,FALSE)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6" s="48" t="str">
        <f ca="1">VLOOKUP($F276,OFFSET(enemy_skill_triggers!$A$1,0,0,COUNTA(enemy_skill_triggers!$A:$A),MATCH(M$1,enemy_skill_triggers!$1:$1,0)-MATCH($F$1,enemy_skill_triggers!$1:$1,0)+1),MATCH(M$1,enemy_skill_triggers!$1:$1,0)-MATCH($F$1,enemy_skill_triggers!$1:$1,0)+1,FALSE)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6" s="48" t="str">
        <f ca="1">VLOOKUP($F276,OFFSET(enemy_skill_triggers!$A$1,0,0,COUNTA(enemy_skill_triggers!$A:$A),MATCH(N$1,enemy_skill_triggers!$1:$1,0)-MATCH($F$1,enemy_skill_triggers!$1:$1,0)+1),MATCH(N$1,enemy_skill_triggers!$1:$1,0)-MATCH($F$1,enemy_skill_triggers!$1:$1,0)+1,FALSE)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6" s="48">
        <f ca="1">VLOOKUP($F276,OFFSET(enemy_skill_triggers!$A$1,0,0,COUNTA(enemy_skill_triggers!$A:$A),MATCH(O$1,enemy_skill_triggers!$1:$1,0)-MATCH($F$1,enemy_skill_triggers!$1:$1,0)+1),MATCH(O$1,enemy_skill_triggers!$1:$1,0)-MATCH($F$1,enemy_skill_triggers!$1:$1,0)+1,FALSE)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6" s="47"/>
      <c r="Q276" s="47"/>
      <c r="R276" s="47"/>
    </row>
    <row r="277" spans="1:18" ht="21" customHeight="1" x14ac:dyDescent="0.15">
      <c r="A277" s="39" t="str">
        <f t="shared" si="17"/>
        <v>47004520_47004522</v>
      </c>
      <c r="B277" s="127">
        <v>47004520</v>
      </c>
      <c r="C277" s="47">
        <v>47004522</v>
      </c>
      <c r="D277" s="46" t="str">
        <f ca="1">VLOOKUP($C277,OFFSET(enemy_skills!$A$1,0,0,COUNTA(enemy_skills!$A:$A),MATCH(D$1,enemy_skills!$1:$1,0)-MATCH("enemy_skill_id",enemy_skills!$1:$1,0)+1),MATCH(D$1,enemy_skills!$1:$1,0)-MATCH("enemy_skill_id",enemy_skills!$1:$1,0)+1,FALSE)</f>
        <v>デビルズギフト</v>
      </c>
      <c r="E277" s="46" t="str">
        <f ca="1">VLOOKUP($C277,OFFSET(enemy_skills!$A$1,0,0,COUNTA(enemy_skills!$A:$A),MATCH(E$1,enemy_skills!$1:$1,0)-MATCH("enemy_skill_id",enemy_skills!$1:$1,0)+1),MATCH(E$1,enemy_skills!$1:$1,0)-MATCH("enemy_skill_id",enemy_skills!$1:$1,0)+1,FALSE)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77" s="47">
        <v>47004522</v>
      </c>
      <c r="G277" s="48">
        <f ca="1">VLOOKUP($F277,OFFSET(enemy_skill_triggers!$A$1,0,0,COUNTA(enemy_skill_triggers!$A:$A),MATCH(G$1,enemy_skill_triggers!$1:$1,0)-MATCH($F$1,enemy_skill_triggers!$1:$1,0)+1),MATCH(G$1,enemy_skill_triggers!$1:$1,0)-MATCH($F$1,enemy_skill_triggers!$1:$1,0)+1,FALSE)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7" s="48">
        <f ca="1">VLOOKUP($F277,OFFSET(enemy_skill_triggers!$A$1,0,0,COUNTA(enemy_skill_triggers!$A:$A),MATCH(H$1,enemy_skill_triggers!$1:$1,0)-MATCH($F$1,enemy_skill_triggers!$1:$1,0)+1),MATCH(H$1,enemy_skill_triggers!$1:$1,0)-MATCH($F$1,enemy_skill_triggers!$1:$1,0)+1,FALSE)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77" s="48">
        <f ca="1">VLOOKUP($F277,OFFSET(enemy_skill_triggers!$A$1,0,0,COUNTA(enemy_skill_triggers!$A:$A),MATCH(I$1,enemy_skill_triggers!$1:$1,0)-MATCH($F$1,enemy_skill_triggers!$1:$1,0)+1),MATCH(I$1,enemy_skill_triggers!$1:$1,0)-MATCH($F$1,enemy_skill_triggers!$1:$1,0)+1,FALSE)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7" s="48" t="str">
        <f ca="1">VLOOKUP($F277,OFFSET(enemy_skill_triggers!$A$1,0,0,COUNTA(enemy_skill_triggers!$A:$A),MATCH(J$1,enemy_skill_triggers!$1:$1,0)-MATCH($F$1,enemy_skill_triggers!$1:$1,0)+1),MATCH(J$1,enemy_skill_triggers!$1:$1,0)-MATCH($F$1,enemy_skill_triggers!$1:$1,0)+1,FALSE)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7" s="48" t="str">
        <f ca="1">VLOOKUP($F277,OFFSET(enemy_skill_triggers!$A$1,0,0,COUNTA(enemy_skill_triggers!$A:$A),MATCH(K$1,enemy_skill_triggers!$1:$1,0)-MATCH($F$1,enemy_skill_triggers!$1:$1,0)+1),MATCH(K$1,enemy_skill_triggers!$1:$1,0)-MATCH($F$1,enemy_skill_triggers!$1:$1,0)+1,FALSE)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7" s="48" t="str">
        <f ca="1">VLOOKUP($F277,OFFSET(enemy_skill_triggers!$A$1,0,0,COUNTA(enemy_skill_triggers!$A:$A),MATCH(L$1,enemy_skill_triggers!$1:$1,0)-MATCH($F$1,enemy_skill_triggers!$1:$1,0)+1),MATCH(L$1,enemy_skill_triggers!$1:$1,0)-MATCH($F$1,enemy_skill_triggers!$1:$1,0)+1,FALSE)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7" s="48">
        <f ca="1">VLOOKUP($F277,OFFSET(enemy_skill_triggers!$A$1,0,0,COUNTA(enemy_skill_triggers!$A:$A),MATCH(M$1,enemy_skill_triggers!$1:$1,0)-MATCH($F$1,enemy_skill_triggers!$1:$1,0)+1),MATCH(M$1,enemy_skill_triggers!$1:$1,0)-MATCH($F$1,enemy_skill_triggers!$1:$1,0)+1,FALSE)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7" s="48" t="str">
        <f ca="1">VLOOKUP($F277,OFFSET(enemy_skill_triggers!$A$1,0,0,COUNTA(enemy_skill_triggers!$A:$A),MATCH(N$1,enemy_skill_triggers!$1:$1,0)-MATCH($F$1,enemy_skill_triggers!$1:$1,0)+1),MATCH(N$1,enemy_skill_triggers!$1:$1,0)-MATCH($F$1,enemy_skill_triggers!$1:$1,0)+1,FALSE)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7" s="48">
        <f ca="1">VLOOKUP($F277,OFFSET(enemy_skill_triggers!$A$1,0,0,COUNTA(enemy_skill_triggers!$A:$A),MATCH(O$1,enemy_skill_triggers!$1:$1,0)-MATCH($F$1,enemy_skill_triggers!$1:$1,0)+1),MATCH(O$1,enemy_skill_triggers!$1:$1,0)-MATCH($F$1,enemy_skill_triggers!$1:$1,0)+1,FALSE)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7" s="47"/>
      <c r="Q277" s="47"/>
      <c r="R277" s="47"/>
    </row>
    <row r="278" spans="1:18" ht="21" customHeight="1" x14ac:dyDescent="0.15">
      <c r="A278" s="39" t="str">
        <f t="shared" si="17"/>
        <v>47004520_47004523</v>
      </c>
      <c r="B278" s="127">
        <v>47004520</v>
      </c>
      <c r="C278" s="47">
        <v>47004523</v>
      </c>
      <c r="D278" s="46" t="str">
        <f ca="1">VLOOKUP($C278,OFFSET(enemy_skills!$A$1,0,0,COUNTA(enemy_skills!$A:$A),MATCH(D$1,enemy_skills!$1:$1,0)-MATCH("enemy_skill_id",enemy_skills!$1:$1,0)+1),MATCH(D$1,enemy_skills!$1:$1,0)-MATCH("enemy_skill_id",enemy_skills!$1:$1,0)+1,FALSE)</f>
        <v>大きな雪だるま…？_x000D_そういえばさっき見た気がするな</v>
      </c>
      <c r="E278" s="46" t="str">
        <f ca="1">VLOOKUP($C278,OFFSET(enemy_skills!$A$1,0,0,COUNTA(enemy_skills!$A:$A),MATCH(E$1,enemy_skills!$1:$1,0)-MATCH("enemy_skill_id",enemy_skills!$1:$1,0)+1),MATCH(E$1,enemy_skills!$1:$1,0)-MATCH("enemy_skill_id",enemy_skills!$1:$1,0)+1,FALSE)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278" s="47">
        <v>47004523</v>
      </c>
      <c r="G278" s="48">
        <f ca="1">VLOOKUP($F278,OFFSET(enemy_skill_triggers!$A$1,0,0,COUNTA(enemy_skill_triggers!$A:$A),MATCH(G$1,enemy_skill_triggers!$1:$1,0)-MATCH($F$1,enemy_skill_triggers!$1:$1,0)+1),MATCH(G$1,enemy_skill_triggers!$1:$1,0)-MATCH($F$1,enemy_skill_triggers!$1:$1,0)+1,FALSE)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8" s="48">
        <f ca="1">VLOOKUP($F278,OFFSET(enemy_skill_triggers!$A$1,0,0,COUNTA(enemy_skill_triggers!$A:$A),MATCH(H$1,enemy_skill_triggers!$1:$1,0)-MATCH($F$1,enemy_skill_triggers!$1:$1,0)+1),MATCH(H$1,enemy_skill_triggers!$1:$1,0)-MATCH($F$1,enemy_skill_triggers!$1:$1,0)+1,FALSE)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78" s="48">
        <f ca="1">VLOOKUP($F278,OFFSET(enemy_skill_triggers!$A$1,0,0,COUNTA(enemy_skill_triggers!$A:$A),MATCH(I$1,enemy_skill_triggers!$1:$1,0)-MATCH($F$1,enemy_skill_triggers!$1:$1,0)+1),MATCH(I$1,enemy_skill_triggers!$1:$1,0)-MATCH($F$1,enemy_skill_triggers!$1:$1,0)+1,FALSE)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8" s="48" t="str">
        <f ca="1">VLOOKUP($F278,OFFSET(enemy_skill_triggers!$A$1,0,0,COUNTA(enemy_skill_triggers!$A:$A),MATCH(J$1,enemy_skill_triggers!$1:$1,0)-MATCH($F$1,enemy_skill_triggers!$1:$1,0)+1),MATCH(J$1,enemy_skill_triggers!$1:$1,0)-MATCH($F$1,enemy_skill_triggers!$1:$1,0)+1,FALSE)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8" s="48" t="str">
        <f ca="1">VLOOKUP($F278,OFFSET(enemy_skill_triggers!$A$1,0,0,COUNTA(enemy_skill_triggers!$A:$A),MATCH(K$1,enemy_skill_triggers!$1:$1,0)-MATCH($F$1,enemy_skill_triggers!$1:$1,0)+1),MATCH(K$1,enemy_skill_triggers!$1:$1,0)-MATCH($F$1,enemy_skill_triggers!$1:$1,0)+1,FALSE)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8" s="48">
        <f ca="1">VLOOKUP($F278,OFFSET(enemy_skill_triggers!$A$1,0,0,COUNTA(enemy_skill_triggers!$A:$A),MATCH(L$1,enemy_skill_triggers!$1:$1,0)-MATCH($F$1,enemy_skill_triggers!$1:$1,0)+1),MATCH(L$1,enemy_skill_triggers!$1:$1,0)-MATCH($F$1,enemy_skill_triggers!$1:$1,0)+1,FALSE)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8" s="48">
        <f ca="1">VLOOKUP($F278,OFFSET(enemy_skill_triggers!$A$1,0,0,COUNTA(enemy_skill_triggers!$A:$A),MATCH(M$1,enemy_skill_triggers!$1:$1,0)-MATCH($F$1,enemy_skill_triggers!$1:$1,0)+1),MATCH(M$1,enemy_skill_triggers!$1:$1,0)-MATCH($F$1,enemy_skill_triggers!$1:$1,0)+1,FALSE)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8" s="48" t="str">
        <f ca="1">VLOOKUP($F278,OFFSET(enemy_skill_triggers!$A$1,0,0,COUNTA(enemy_skill_triggers!$A:$A),MATCH(N$1,enemy_skill_triggers!$1:$1,0)-MATCH($F$1,enemy_skill_triggers!$1:$1,0)+1),MATCH(N$1,enemy_skill_triggers!$1:$1,0)-MATCH($F$1,enemy_skill_triggers!$1:$1,0)+1,FALSE)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8" s="48">
        <f ca="1">VLOOKUP($F278,OFFSET(enemy_skill_triggers!$A$1,0,0,COUNTA(enemy_skill_triggers!$A:$A),MATCH(O$1,enemy_skill_triggers!$1:$1,0)-MATCH($F$1,enemy_skill_triggers!$1:$1,0)+1),MATCH(O$1,enemy_skill_triggers!$1:$1,0)-MATCH($F$1,enemy_skill_triggers!$1:$1,0)+1,FALSE)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8" s="47"/>
      <c r="Q278" s="47"/>
      <c r="R278" s="47"/>
    </row>
    <row r="279" spans="1:18" ht="21" customHeight="1" x14ac:dyDescent="0.15">
      <c r="A279" s="39" t="str">
        <f t="shared" si="17"/>
        <v>47004520_47004524</v>
      </c>
      <c r="B279" s="127">
        <v>47004520</v>
      </c>
      <c r="C279" s="47">
        <v>47004524</v>
      </c>
      <c r="D279" s="46" t="str">
        <f ca="1">VLOOKUP($C279,OFFSET(enemy_skills!$A$1,0,0,COUNTA(enemy_skills!$A:$A),MATCH(D$1,enemy_skills!$1:$1,0)-MATCH("enemy_skill_id",enemy_skills!$1:$1,0)+1),MATCH(D$1,enemy_skills!$1:$1,0)-MATCH("enemy_skill_id",enemy_skills!$1:$1,0)+1,FALSE)</f>
        <v>美しいサンタクロースだな…_x000D_まぁ、テラベルや俺程ではないがな！</v>
      </c>
      <c r="E279" s="46" t="str">
        <f ca="1">VLOOKUP($C279,OFFSET(enemy_skills!$A$1,0,0,COUNTA(enemy_skills!$A:$A),MATCH(E$1,enemy_skills!$1:$1,0)-MATCH("enemy_skill_id",enemy_skills!$1:$1,0)+1),MATCH(E$1,enemy_skills!$1:$1,0)-MATCH("enemy_skill_id",enemy_skills!$1:$1,0)+1,FALSE)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279" s="47">
        <v>47004524</v>
      </c>
      <c r="G279" s="48">
        <f ca="1">VLOOKUP($F279,OFFSET(enemy_skill_triggers!$A$1,0,0,COUNTA(enemy_skill_triggers!$A:$A),MATCH(G$1,enemy_skill_triggers!$1:$1,0)-MATCH($F$1,enemy_skill_triggers!$1:$1,0)+1),MATCH(G$1,enemy_skill_triggers!$1:$1,0)-MATCH($F$1,enemy_skill_triggers!$1:$1,0)+1,FALSE)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9" s="48">
        <f ca="1">VLOOKUP($F279,OFFSET(enemy_skill_triggers!$A$1,0,0,COUNTA(enemy_skill_triggers!$A:$A),MATCH(H$1,enemy_skill_triggers!$1:$1,0)-MATCH($F$1,enemy_skill_triggers!$1:$1,0)+1),MATCH(H$1,enemy_skill_triggers!$1:$1,0)-MATCH($F$1,enemy_skill_triggers!$1:$1,0)+1,FALSE)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79" s="48">
        <f ca="1">VLOOKUP($F279,OFFSET(enemy_skill_triggers!$A$1,0,0,COUNTA(enemy_skill_triggers!$A:$A),MATCH(I$1,enemy_skill_triggers!$1:$1,0)-MATCH($F$1,enemy_skill_triggers!$1:$1,0)+1),MATCH(I$1,enemy_skill_triggers!$1:$1,0)-MATCH($F$1,enemy_skill_triggers!$1:$1,0)+1,FALSE)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9" s="48" t="str">
        <f ca="1">VLOOKUP($F279,OFFSET(enemy_skill_triggers!$A$1,0,0,COUNTA(enemy_skill_triggers!$A:$A),MATCH(J$1,enemy_skill_triggers!$1:$1,0)-MATCH($F$1,enemy_skill_triggers!$1:$1,0)+1),MATCH(J$1,enemy_skill_triggers!$1:$1,0)-MATCH($F$1,enemy_skill_triggers!$1:$1,0)+1,FALSE)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9" s="48" t="str">
        <f ca="1">VLOOKUP($F279,OFFSET(enemy_skill_triggers!$A$1,0,0,COUNTA(enemy_skill_triggers!$A:$A),MATCH(K$1,enemy_skill_triggers!$1:$1,0)-MATCH($F$1,enemy_skill_triggers!$1:$1,0)+1),MATCH(K$1,enemy_skill_triggers!$1:$1,0)-MATCH($F$1,enemy_skill_triggers!$1:$1,0)+1,FALSE)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9" s="48">
        <f ca="1">VLOOKUP($F279,OFFSET(enemy_skill_triggers!$A$1,0,0,COUNTA(enemy_skill_triggers!$A:$A),MATCH(L$1,enemy_skill_triggers!$1:$1,0)-MATCH($F$1,enemy_skill_triggers!$1:$1,0)+1),MATCH(L$1,enemy_skill_triggers!$1:$1,0)-MATCH($F$1,enemy_skill_triggers!$1:$1,0)+1,FALSE)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9" s="48" t="str">
        <f ca="1">VLOOKUP($F279,OFFSET(enemy_skill_triggers!$A$1,0,0,COUNTA(enemy_skill_triggers!$A:$A),MATCH(M$1,enemy_skill_triggers!$1:$1,0)-MATCH($F$1,enemy_skill_triggers!$1:$1,0)+1),MATCH(M$1,enemy_skill_triggers!$1:$1,0)-MATCH($F$1,enemy_skill_triggers!$1:$1,0)+1,FALSE)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9" s="48">
        <f ca="1">VLOOKUP($F279,OFFSET(enemy_skill_triggers!$A$1,0,0,COUNTA(enemy_skill_triggers!$A:$A),MATCH(N$1,enemy_skill_triggers!$1:$1,0)-MATCH($F$1,enemy_skill_triggers!$1:$1,0)+1),MATCH(N$1,enemy_skill_triggers!$1:$1,0)-MATCH($F$1,enemy_skill_triggers!$1:$1,0)+1,FALSE)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279" s="48">
        <f ca="1">VLOOKUP($F279,OFFSET(enemy_skill_triggers!$A$1,0,0,COUNTA(enemy_skill_triggers!$A:$A),MATCH(O$1,enemy_skill_triggers!$1:$1,0)-MATCH($F$1,enemy_skill_triggers!$1:$1,0)+1),MATCH(O$1,enemy_skill_triggers!$1:$1,0)-MATCH($F$1,enemy_skill_triggers!$1:$1,0)+1,FALSE)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9" s="47"/>
      <c r="Q279" s="47"/>
      <c r="R279" s="47"/>
    </row>
    <row r="280" spans="1:18" ht="21" customHeight="1" x14ac:dyDescent="0.15">
      <c r="A280" s="39" t="str">
        <f t="shared" si="17"/>
        <v>47004520_47004524</v>
      </c>
      <c r="B280" s="127">
        <v>47004520</v>
      </c>
      <c r="C280" s="47">
        <v>47004524</v>
      </c>
      <c r="D280" s="46" t="str">
        <f ca="1">VLOOKUP($C280,OFFSET(enemy_skills!$A$1,0,0,COUNTA(enemy_skills!$A:$A),MATCH(D$1,enemy_skills!$1:$1,0)-MATCH("enemy_skill_id",enemy_skills!$1:$1,0)+1),MATCH(D$1,enemy_skills!$1:$1,0)-MATCH("enemy_skill_id",enemy_skills!$1:$1,0)+1,FALSE)</f>
        <v>美しいサンタクロースだな…_x000D_まぁ、テラベルや俺程ではないがな！</v>
      </c>
      <c r="E280" s="46" t="str">
        <f ca="1">VLOOKUP($C280,OFFSET(enemy_skills!$A$1,0,0,COUNTA(enemy_skills!$A:$A),MATCH(E$1,enemy_skills!$1:$1,0)-MATCH("enemy_skill_id",enemy_skills!$1:$1,0)+1),MATCH(E$1,enemy_skills!$1:$1,0)-MATCH("enemy_skill_id",enemy_skills!$1:$1,0)+1,FALSE)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280" s="47">
        <v>47004525</v>
      </c>
      <c r="G280" s="48">
        <f ca="1">VLOOKUP($F280,OFFSET(enemy_skill_triggers!$A$1,0,0,COUNTA(enemy_skill_triggers!$A:$A),MATCH(G$1,enemy_skill_triggers!$1:$1,0)-MATCH($F$1,enemy_skill_triggers!$1:$1,0)+1),MATCH(G$1,enemy_skill_triggers!$1:$1,0)-MATCH($F$1,enemy_skill_triggers!$1:$1,0)+1,FALSE)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0" s="48">
        <f ca="1">VLOOKUP($F280,OFFSET(enemy_skill_triggers!$A$1,0,0,COUNTA(enemy_skill_triggers!$A:$A),MATCH(H$1,enemy_skill_triggers!$1:$1,0)-MATCH($F$1,enemy_skill_triggers!$1:$1,0)+1),MATCH(H$1,enemy_skill_triggers!$1:$1,0)-MATCH($F$1,enemy_skill_triggers!$1:$1,0)+1,FALSE)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280" s="48">
        <f ca="1">VLOOKUP($F280,OFFSET(enemy_skill_triggers!$A$1,0,0,COUNTA(enemy_skill_triggers!$A:$A),MATCH(I$1,enemy_skill_triggers!$1:$1,0)-MATCH($F$1,enemy_skill_triggers!$1:$1,0)+1),MATCH(I$1,enemy_skill_triggers!$1:$1,0)-MATCH($F$1,enemy_skill_triggers!$1:$1,0)+1,FALSE)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0" s="48" t="str">
        <f ca="1">VLOOKUP($F280,OFFSET(enemy_skill_triggers!$A$1,0,0,COUNTA(enemy_skill_triggers!$A:$A),MATCH(J$1,enemy_skill_triggers!$1:$1,0)-MATCH($F$1,enemy_skill_triggers!$1:$1,0)+1),MATCH(J$1,enemy_skill_triggers!$1:$1,0)-MATCH($F$1,enemy_skill_triggers!$1:$1,0)+1,FALSE)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0" s="48" t="str">
        <f ca="1">VLOOKUP($F280,OFFSET(enemy_skill_triggers!$A$1,0,0,COUNTA(enemy_skill_triggers!$A:$A),MATCH(K$1,enemy_skill_triggers!$1:$1,0)-MATCH($F$1,enemy_skill_triggers!$1:$1,0)+1),MATCH(K$1,enemy_skill_triggers!$1:$1,0)-MATCH($F$1,enemy_skill_triggers!$1:$1,0)+1,FALSE)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0" s="48">
        <f ca="1">VLOOKUP($F280,OFFSET(enemy_skill_triggers!$A$1,0,0,COUNTA(enemy_skill_triggers!$A:$A),MATCH(L$1,enemy_skill_triggers!$1:$1,0)-MATCH($F$1,enemy_skill_triggers!$1:$1,0)+1),MATCH(L$1,enemy_skill_triggers!$1:$1,0)-MATCH($F$1,enemy_skill_triggers!$1:$1,0)+1,FALSE)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0" s="48" t="str">
        <f ca="1">VLOOKUP($F280,OFFSET(enemy_skill_triggers!$A$1,0,0,COUNTA(enemy_skill_triggers!$A:$A),MATCH(M$1,enemy_skill_triggers!$1:$1,0)-MATCH($F$1,enemy_skill_triggers!$1:$1,0)+1),MATCH(M$1,enemy_skill_triggers!$1:$1,0)-MATCH($F$1,enemy_skill_triggers!$1:$1,0)+1,FALSE)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0" s="48">
        <f ca="1">VLOOKUP($F280,OFFSET(enemy_skill_triggers!$A$1,0,0,COUNTA(enemy_skill_triggers!$A:$A),MATCH(N$1,enemy_skill_triggers!$1:$1,0)-MATCH($F$1,enemy_skill_triggers!$1:$1,0)+1),MATCH(N$1,enemy_skill_triggers!$1:$1,0)-MATCH($F$1,enemy_skill_triggers!$1:$1,0)+1,FALSE)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280" s="48">
        <f ca="1">VLOOKUP($F280,OFFSET(enemy_skill_triggers!$A$1,0,0,COUNTA(enemy_skill_triggers!$A:$A),MATCH(O$1,enemy_skill_triggers!$1:$1,0)-MATCH($F$1,enemy_skill_triggers!$1:$1,0)+1),MATCH(O$1,enemy_skill_triggers!$1:$1,0)-MATCH($F$1,enemy_skill_triggers!$1:$1,0)+1,FALSE)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0" s="47"/>
      <c r="Q280" s="47"/>
      <c r="R280" s="47"/>
    </row>
    <row r="281" spans="1:18" ht="21" customHeight="1" x14ac:dyDescent="0.15">
      <c r="A281" s="39" t="str">
        <f t="shared" si="17"/>
        <v>47004520_47004525</v>
      </c>
      <c r="B281" s="127">
        <v>47004520</v>
      </c>
      <c r="C281" s="47">
        <v>47004525</v>
      </c>
      <c r="D281" s="46" t="str">
        <f ca="1">VLOOKUP($C281,OFFSET(enemy_skills!$A$1,0,0,COUNTA(enemy_skills!$A:$A),MATCH(D$1,enemy_skills!$1:$1,0)-MATCH("enemy_skill_id",enemy_skills!$1:$1,0)+1),MATCH(D$1,enemy_skills!$1:$1,0)-MATCH("enemy_skill_id",enemy_skills!$1:$1,0)+1,FALSE)</f>
        <v>その綺麗な声で_x000D_キャロルを聞かせてくれるのか？</v>
      </c>
      <c r="E281" s="46" t="str">
        <f ca="1">VLOOKUP($C281,OFFSET(enemy_skills!$A$1,0,0,COUNTA(enemy_skills!$A:$A),MATCH(E$1,enemy_skills!$1:$1,0)-MATCH("enemy_skill_id",enemy_skills!$1:$1,0)+1),MATCH(E$1,enemy_skills!$1:$1,0)-MATCH("enemy_skill_id",enemy_skills!$1:$1,0)+1,FALSE)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281" s="47">
        <v>47004526</v>
      </c>
      <c r="G281" s="48">
        <f ca="1">VLOOKUP($F281,OFFSET(enemy_skill_triggers!$A$1,0,0,COUNTA(enemy_skill_triggers!$A:$A),MATCH(G$1,enemy_skill_triggers!$1:$1,0)-MATCH($F$1,enemy_skill_triggers!$1:$1,0)+1),MATCH(G$1,enemy_skill_triggers!$1:$1,0)-MATCH($F$1,enemy_skill_triggers!$1:$1,0)+1,FALSE)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1" s="48">
        <f ca="1">VLOOKUP($F281,OFFSET(enemy_skill_triggers!$A$1,0,0,COUNTA(enemy_skill_triggers!$A:$A),MATCH(H$1,enemy_skill_triggers!$1:$1,0)-MATCH($F$1,enemy_skill_triggers!$1:$1,0)+1),MATCH(H$1,enemy_skill_triggers!$1:$1,0)-MATCH($F$1,enemy_skill_triggers!$1:$1,0)+1,FALSE)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281" s="48">
        <f ca="1">VLOOKUP($F281,OFFSET(enemy_skill_triggers!$A$1,0,0,COUNTA(enemy_skill_triggers!$A:$A),MATCH(I$1,enemy_skill_triggers!$1:$1,0)-MATCH($F$1,enemy_skill_triggers!$1:$1,0)+1),MATCH(I$1,enemy_skill_triggers!$1:$1,0)-MATCH($F$1,enemy_skill_triggers!$1:$1,0)+1,FALSE)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1" s="48" t="str">
        <f ca="1">VLOOKUP($F281,OFFSET(enemy_skill_triggers!$A$1,0,0,COUNTA(enemy_skill_triggers!$A:$A),MATCH(J$1,enemy_skill_triggers!$1:$1,0)-MATCH($F$1,enemy_skill_triggers!$1:$1,0)+1),MATCH(J$1,enemy_skill_triggers!$1:$1,0)-MATCH($F$1,enemy_skill_triggers!$1:$1,0)+1,FALSE)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1" s="48" t="str">
        <f ca="1">VLOOKUP($F281,OFFSET(enemy_skill_triggers!$A$1,0,0,COUNTA(enemy_skill_triggers!$A:$A),MATCH(K$1,enemy_skill_triggers!$1:$1,0)-MATCH($F$1,enemy_skill_triggers!$1:$1,0)+1),MATCH(K$1,enemy_skill_triggers!$1:$1,0)-MATCH($F$1,enemy_skill_triggers!$1:$1,0)+1,FALSE)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1" s="48">
        <f ca="1">VLOOKUP($F281,OFFSET(enemy_skill_triggers!$A$1,0,0,COUNTA(enemy_skill_triggers!$A:$A),MATCH(L$1,enemy_skill_triggers!$1:$1,0)-MATCH($F$1,enemy_skill_triggers!$1:$1,0)+1),MATCH(L$1,enemy_skill_triggers!$1:$1,0)-MATCH($F$1,enemy_skill_triggers!$1:$1,0)+1,FALSE)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1" s="48" t="str">
        <f ca="1">VLOOKUP($F281,OFFSET(enemy_skill_triggers!$A$1,0,0,COUNTA(enemy_skill_triggers!$A:$A),MATCH(M$1,enemy_skill_triggers!$1:$1,0)-MATCH($F$1,enemy_skill_triggers!$1:$1,0)+1),MATCH(M$1,enemy_skill_triggers!$1:$1,0)-MATCH($F$1,enemy_skill_triggers!$1:$1,0)+1,FALSE)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1" s="48">
        <f ca="1">VLOOKUP($F281,OFFSET(enemy_skill_triggers!$A$1,0,0,COUNTA(enemy_skill_triggers!$A:$A),MATCH(N$1,enemy_skill_triggers!$1:$1,0)-MATCH($F$1,enemy_skill_triggers!$1:$1,0)+1),MATCH(N$1,enemy_skill_triggers!$1:$1,0)-MATCH($F$1,enemy_skill_triggers!$1:$1,0)+1,FALSE)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281" s="48">
        <f ca="1">VLOOKUP($F281,OFFSET(enemy_skill_triggers!$A$1,0,0,COUNTA(enemy_skill_triggers!$A:$A),MATCH(O$1,enemy_skill_triggers!$1:$1,0)-MATCH($F$1,enemy_skill_triggers!$1:$1,0)+1),MATCH(O$1,enemy_skill_triggers!$1:$1,0)-MATCH($F$1,enemy_skill_triggers!$1:$1,0)+1,FALSE)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1" s="47"/>
      <c r="Q281" s="47"/>
      <c r="R281" s="47"/>
    </row>
    <row r="282" spans="1:18" ht="21" customHeight="1" x14ac:dyDescent="0.15">
      <c r="A282" s="39" t="str">
        <f t="shared" si="17"/>
        <v>47004520_47004525</v>
      </c>
      <c r="B282" s="127">
        <v>47004520</v>
      </c>
      <c r="C282" s="47">
        <v>47004525</v>
      </c>
      <c r="D282" s="46" t="str">
        <f ca="1">VLOOKUP($C282,OFFSET(enemy_skills!$A$1,0,0,COUNTA(enemy_skills!$A:$A),MATCH(D$1,enemy_skills!$1:$1,0)-MATCH("enemy_skill_id",enemy_skills!$1:$1,0)+1),MATCH(D$1,enemy_skills!$1:$1,0)-MATCH("enemy_skill_id",enemy_skills!$1:$1,0)+1,FALSE)</f>
        <v>その綺麗な声で_x000D_キャロルを聞かせてくれるのか？</v>
      </c>
      <c r="E282" s="46" t="str">
        <f ca="1">VLOOKUP($C282,OFFSET(enemy_skills!$A$1,0,0,COUNTA(enemy_skills!$A:$A),MATCH(E$1,enemy_skills!$1:$1,0)-MATCH("enemy_skill_id",enemy_skills!$1:$1,0)+1),MATCH(E$1,enemy_skills!$1:$1,0)-MATCH("enemy_skill_id",enemy_skills!$1:$1,0)+1,FALSE)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282" s="47">
        <v>47004527</v>
      </c>
      <c r="G282" s="48">
        <f ca="1">VLOOKUP($F282,OFFSET(enemy_skill_triggers!$A$1,0,0,COUNTA(enemy_skill_triggers!$A:$A),MATCH(G$1,enemy_skill_triggers!$1:$1,0)-MATCH($F$1,enemy_skill_triggers!$1:$1,0)+1),MATCH(G$1,enemy_skill_triggers!$1:$1,0)-MATCH($F$1,enemy_skill_triggers!$1:$1,0)+1,FALSE)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2" s="48">
        <f ca="1">VLOOKUP($F282,OFFSET(enemy_skill_triggers!$A$1,0,0,COUNTA(enemy_skill_triggers!$A:$A),MATCH(H$1,enemy_skill_triggers!$1:$1,0)-MATCH($F$1,enemy_skill_triggers!$1:$1,0)+1),MATCH(H$1,enemy_skill_triggers!$1:$1,0)-MATCH($F$1,enemy_skill_triggers!$1:$1,0)+1,FALSE)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282" s="48">
        <f ca="1">VLOOKUP($F282,OFFSET(enemy_skill_triggers!$A$1,0,0,COUNTA(enemy_skill_triggers!$A:$A),MATCH(I$1,enemy_skill_triggers!$1:$1,0)-MATCH($F$1,enemy_skill_triggers!$1:$1,0)+1),MATCH(I$1,enemy_skill_triggers!$1:$1,0)-MATCH($F$1,enemy_skill_triggers!$1:$1,0)+1,FALSE)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2" s="48" t="str">
        <f ca="1">VLOOKUP($F282,OFFSET(enemy_skill_triggers!$A$1,0,0,COUNTA(enemy_skill_triggers!$A:$A),MATCH(J$1,enemy_skill_triggers!$1:$1,0)-MATCH($F$1,enemy_skill_triggers!$1:$1,0)+1),MATCH(J$1,enemy_skill_triggers!$1:$1,0)-MATCH($F$1,enemy_skill_triggers!$1:$1,0)+1,FALSE)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2" s="48" t="str">
        <f ca="1">VLOOKUP($F282,OFFSET(enemy_skill_triggers!$A$1,0,0,COUNTA(enemy_skill_triggers!$A:$A),MATCH(K$1,enemy_skill_triggers!$1:$1,0)-MATCH($F$1,enemy_skill_triggers!$1:$1,0)+1),MATCH(K$1,enemy_skill_triggers!$1:$1,0)-MATCH($F$1,enemy_skill_triggers!$1:$1,0)+1,FALSE)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2" s="48">
        <f ca="1">VLOOKUP($F282,OFFSET(enemy_skill_triggers!$A$1,0,0,COUNTA(enemy_skill_triggers!$A:$A),MATCH(L$1,enemy_skill_triggers!$1:$1,0)-MATCH($F$1,enemy_skill_triggers!$1:$1,0)+1),MATCH(L$1,enemy_skill_triggers!$1:$1,0)-MATCH($F$1,enemy_skill_triggers!$1:$1,0)+1,FALSE)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2" s="48" t="str">
        <f ca="1">VLOOKUP($F282,OFFSET(enemy_skill_triggers!$A$1,0,0,COUNTA(enemy_skill_triggers!$A:$A),MATCH(M$1,enemy_skill_triggers!$1:$1,0)-MATCH($F$1,enemy_skill_triggers!$1:$1,0)+1),MATCH(M$1,enemy_skill_triggers!$1:$1,0)-MATCH($F$1,enemy_skill_triggers!$1:$1,0)+1,FALSE)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2" s="48">
        <f ca="1">VLOOKUP($F282,OFFSET(enemy_skill_triggers!$A$1,0,0,COUNTA(enemy_skill_triggers!$A:$A),MATCH(N$1,enemy_skill_triggers!$1:$1,0)-MATCH($F$1,enemy_skill_triggers!$1:$1,0)+1),MATCH(N$1,enemy_skill_triggers!$1:$1,0)-MATCH($F$1,enemy_skill_triggers!$1:$1,0)+1,FALSE)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282" s="48">
        <f ca="1">VLOOKUP($F282,OFFSET(enemy_skill_triggers!$A$1,0,0,COUNTA(enemy_skill_triggers!$A:$A),MATCH(O$1,enemy_skill_triggers!$1:$1,0)-MATCH($F$1,enemy_skill_triggers!$1:$1,0)+1),MATCH(O$1,enemy_skill_triggers!$1:$1,0)-MATCH($F$1,enemy_skill_triggers!$1:$1,0)+1,FALSE)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2" s="47"/>
      <c r="Q282" s="47"/>
      <c r="R282" s="47"/>
    </row>
    <row r="283" spans="1:18" ht="21" customHeight="1" x14ac:dyDescent="0.15">
      <c r="A283" s="39" t="str">
        <f t="shared" si="17"/>
        <v>47004520_47004525</v>
      </c>
      <c r="B283" s="127">
        <v>47004520</v>
      </c>
      <c r="C283" s="47">
        <v>47004525</v>
      </c>
      <c r="D283" s="46" t="str">
        <f ca="1">VLOOKUP($C283,OFFSET(enemy_skills!$A$1,0,0,COUNTA(enemy_skills!$A:$A),MATCH(D$1,enemy_skills!$1:$1,0)-MATCH("enemy_skill_id",enemy_skills!$1:$1,0)+1),MATCH(D$1,enemy_skills!$1:$1,0)-MATCH("enemy_skill_id",enemy_skills!$1:$1,0)+1,FALSE)</f>
        <v>その綺麗な声で_x000D_キャロルを聞かせてくれるのか？</v>
      </c>
      <c r="E283" s="46" t="str">
        <f ca="1">VLOOKUP($C283,OFFSET(enemy_skills!$A$1,0,0,COUNTA(enemy_skills!$A:$A),MATCH(E$1,enemy_skills!$1:$1,0)-MATCH("enemy_skill_id",enemy_skills!$1:$1,0)+1),MATCH(E$1,enemy_skills!$1:$1,0)-MATCH("enemy_skill_id",enemy_skills!$1:$1,0)+1,FALSE)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283" s="47">
        <v>47004528</v>
      </c>
      <c r="G283" s="48">
        <f ca="1">VLOOKUP($F283,OFFSET(enemy_skill_triggers!$A$1,0,0,COUNTA(enemy_skill_triggers!$A:$A),MATCH(G$1,enemy_skill_triggers!$1:$1,0)-MATCH($F$1,enemy_skill_triggers!$1:$1,0)+1),MATCH(G$1,enemy_skill_triggers!$1:$1,0)-MATCH($F$1,enemy_skill_triggers!$1:$1,0)+1,FALSE)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3" s="48">
        <f ca="1">VLOOKUP($F283,OFFSET(enemy_skill_triggers!$A$1,0,0,COUNTA(enemy_skill_triggers!$A:$A),MATCH(H$1,enemy_skill_triggers!$1:$1,0)-MATCH($F$1,enemy_skill_triggers!$1:$1,0)+1),MATCH(H$1,enemy_skill_triggers!$1:$1,0)-MATCH($F$1,enemy_skill_triggers!$1:$1,0)+1,FALSE)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283" s="48">
        <f ca="1">VLOOKUP($F283,OFFSET(enemy_skill_triggers!$A$1,0,0,COUNTA(enemy_skill_triggers!$A:$A),MATCH(I$1,enemy_skill_triggers!$1:$1,0)-MATCH($F$1,enemy_skill_triggers!$1:$1,0)+1),MATCH(I$1,enemy_skill_triggers!$1:$1,0)-MATCH($F$1,enemy_skill_triggers!$1:$1,0)+1,FALSE)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3" s="48" t="str">
        <f ca="1">VLOOKUP($F283,OFFSET(enemy_skill_triggers!$A$1,0,0,COUNTA(enemy_skill_triggers!$A:$A),MATCH(J$1,enemy_skill_triggers!$1:$1,0)-MATCH($F$1,enemy_skill_triggers!$1:$1,0)+1),MATCH(J$1,enemy_skill_triggers!$1:$1,0)-MATCH($F$1,enemy_skill_triggers!$1:$1,0)+1,FALSE)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3" s="48" t="str">
        <f ca="1">VLOOKUP($F283,OFFSET(enemy_skill_triggers!$A$1,0,0,COUNTA(enemy_skill_triggers!$A:$A),MATCH(K$1,enemy_skill_triggers!$1:$1,0)-MATCH($F$1,enemy_skill_triggers!$1:$1,0)+1),MATCH(K$1,enemy_skill_triggers!$1:$1,0)-MATCH($F$1,enemy_skill_triggers!$1:$1,0)+1,FALSE)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3" s="48">
        <f ca="1">VLOOKUP($F283,OFFSET(enemy_skill_triggers!$A$1,0,0,COUNTA(enemy_skill_triggers!$A:$A),MATCH(L$1,enemy_skill_triggers!$1:$1,0)-MATCH($F$1,enemy_skill_triggers!$1:$1,0)+1),MATCH(L$1,enemy_skill_triggers!$1:$1,0)-MATCH($F$1,enemy_skill_triggers!$1:$1,0)+1,FALSE)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3" s="48" t="str">
        <f ca="1">VLOOKUP($F283,OFFSET(enemy_skill_triggers!$A$1,0,0,COUNTA(enemy_skill_triggers!$A:$A),MATCH(M$1,enemy_skill_triggers!$1:$1,0)-MATCH($F$1,enemy_skill_triggers!$1:$1,0)+1),MATCH(M$1,enemy_skill_triggers!$1:$1,0)-MATCH($F$1,enemy_skill_triggers!$1:$1,0)+1,FALSE)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3" s="48">
        <f ca="1">VLOOKUP($F283,OFFSET(enemy_skill_triggers!$A$1,0,0,COUNTA(enemy_skill_triggers!$A:$A),MATCH(N$1,enemy_skill_triggers!$1:$1,0)-MATCH($F$1,enemy_skill_triggers!$1:$1,0)+1),MATCH(N$1,enemy_skill_triggers!$1:$1,0)-MATCH($F$1,enemy_skill_triggers!$1:$1,0)+1,FALSE)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283" s="48">
        <f ca="1">VLOOKUP($F283,OFFSET(enemy_skill_triggers!$A$1,0,0,COUNTA(enemy_skill_triggers!$A:$A),MATCH(O$1,enemy_skill_triggers!$1:$1,0)-MATCH($F$1,enemy_skill_triggers!$1:$1,0)+1),MATCH(O$1,enemy_skill_triggers!$1:$1,0)-MATCH($F$1,enemy_skill_triggers!$1:$1,0)+1,FALSE)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3" s="47"/>
      <c r="Q283" s="47"/>
      <c r="R283" s="47"/>
    </row>
    <row r="284" spans="1:18" ht="21" customHeight="1" x14ac:dyDescent="0.15">
      <c r="A284" s="39" t="str">
        <f t="shared" si="17"/>
        <v>47004520_47004526</v>
      </c>
      <c r="B284" s="127">
        <v>47004520</v>
      </c>
      <c r="C284" s="47">
        <v>47004526</v>
      </c>
      <c r="D284" s="46" t="str">
        <f ca="1">VLOOKUP($C284,OFFSET(enemy_skills!$A$1,0,0,COUNTA(enemy_skills!$A:$A),MATCH(D$1,enemy_skills!$1:$1,0)-MATCH("enemy_skill_id",enemy_skills!$1:$1,0)+1),MATCH(D$1,enemy_skills!$1:$1,0)-MATCH("enemy_skill_id",enemy_skills!$1:$1,0)+1,FALSE)</f>
        <v>おや、俺たちに福音を届けてくれるのか？_x000D_天使様らしいな</v>
      </c>
      <c r="E284" s="46" t="str">
        <f ca="1">VLOOKUP($C284,OFFSET(enemy_skills!$A$1,0,0,COUNTA(enemy_skills!$A:$A),MATCH(E$1,enemy_skills!$1:$1,0)-MATCH("enemy_skill_id",enemy_skills!$1:$1,0)+1),MATCH(E$1,enemy_skills!$1:$1,0)-MATCH("enemy_skill_id",enemy_skills!$1:$1,0)+1,FALSE)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284" s="47">
        <v>47004529</v>
      </c>
      <c r="G284" s="48">
        <f ca="1">VLOOKUP($F284,OFFSET(enemy_skill_triggers!$A$1,0,0,COUNTA(enemy_skill_triggers!$A:$A),MATCH(G$1,enemy_skill_triggers!$1:$1,0)-MATCH($F$1,enemy_skill_triggers!$1:$1,0)+1),MATCH(G$1,enemy_skill_triggers!$1:$1,0)-MATCH($F$1,enemy_skill_triggers!$1:$1,0)+1,FALSE)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4" s="48">
        <f ca="1">VLOOKUP($F284,OFFSET(enemy_skill_triggers!$A$1,0,0,COUNTA(enemy_skill_triggers!$A:$A),MATCH(H$1,enemy_skill_triggers!$1:$1,0)-MATCH($F$1,enemy_skill_triggers!$1:$1,0)+1),MATCH(H$1,enemy_skill_triggers!$1:$1,0)-MATCH($F$1,enemy_skill_triggers!$1:$1,0)+1,FALSE)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284" s="48">
        <f ca="1">VLOOKUP($F284,OFFSET(enemy_skill_triggers!$A$1,0,0,COUNTA(enemy_skill_triggers!$A:$A),MATCH(I$1,enemy_skill_triggers!$1:$1,0)-MATCH($F$1,enemy_skill_triggers!$1:$1,0)+1),MATCH(I$1,enemy_skill_triggers!$1:$1,0)-MATCH($F$1,enemy_skill_triggers!$1:$1,0)+1,FALSE)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4" s="48" t="str">
        <f ca="1">VLOOKUP($F284,OFFSET(enemy_skill_triggers!$A$1,0,0,COUNTA(enemy_skill_triggers!$A:$A),MATCH(J$1,enemy_skill_triggers!$1:$1,0)-MATCH($F$1,enemy_skill_triggers!$1:$1,0)+1),MATCH(J$1,enemy_skill_triggers!$1:$1,0)-MATCH($F$1,enemy_skill_triggers!$1:$1,0)+1,FALSE)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4" s="48" t="str">
        <f ca="1">VLOOKUP($F284,OFFSET(enemy_skill_triggers!$A$1,0,0,COUNTA(enemy_skill_triggers!$A:$A),MATCH(K$1,enemy_skill_triggers!$1:$1,0)-MATCH($F$1,enemy_skill_triggers!$1:$1,0)+1),MATCH(K$1,enemy_skill_triggers!$1:$1,0)-MATCH($F$1,enemy_skill_triggers!$1:$1,0)+1,FALSE)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4" s="48">
        <f ca="1">VLOOKUP($F284,OFFSET(enemy_skill_triggers!$A$1,0,0,COUNTA(enemy_skill_triggers!$A:$A),MATCH(L$1,enemy_skill_triggers!$1:$1,0)-MATCH($F$1,enemy_skill_triggers!$1:$1,0)+1),MATCH(L$1,enemy_skill_triggers!$1:$1,0)-MATCH($F$1,enemy_skill_triggers!$1:$1,0)+1,FALSE)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4" s="48" t="str">
        <f ca="1">VLOOKUP($F284,OFFSET(enemy_skill_triggers!$A$1,0,0,COUNTA(enemy_skill_triggers!$A:$A),MATCH(M$1,enemy_skill_triggers!$1:$1,0)-MATCH($F$1,enemy_skill_triggers!$1:$1,0)+1),MATCH(M$1,enemy_skill_triggers!$1:$1,0)-MATCH($F$1,enemy_skill_triggers!$1:$1,0)+1,FALSE)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4" s="48">
        <f ca="1">VLOOKUP($F284,OFFSET(enemy_skill_triggers!$A$1,0,0,COUNTA(enemy_skill_triggers!$A:$A),MATCH(N$1,enemy_skill_triggers!$1:$1,0)-MATCH($F$1,enemy_skill_triggers!$1:$1,0)+1),MATCH(N$1,enemy_skill_triggers!$1:$1,0)-MATCH($F$1,enemy_skill_triggers!$1:$1,0)+1,FALSE)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284" s="48">
        <f ca="1">VLOOKUP($F284,OFFSET(enemy_skill_triggers!$A$1,0,0,COUNTA(enemy_skill_triggers!$A:$A),MATCH(O$1,enemy_skill_triggers!$1:$1,0)-MATCH($F$1,enemy_skill_triggers!$1:$1,0)+1),MATCH(O$1,enemy_skill_triggers!$1:$1,0)-MATCH($F$1,enemy_skill_triggers!$1:$1,0)+1,FALSE)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4" s="47"/>
      <c r="Q284" s="47"/>
      <c r="R284" s="47"/>
    </row>
    <row r="285" spans="1:18" ht="21" customHeight="1" x14ac:dyDescent="0.15">
      <c r="A285" s="39" t="str">
        <f t="shared" si="17"/>
        <v>47004520_47004526</v>
      </c>
      <c r="B285" s="127">
        <v>47004520</v>
      </c>
      <c r="C285" s="47">
        <v>47004526</v>
      </c>
      <c r="D285" s="46" t="str">
        <f ca="1">VLOOKUP($C285,OFFSET(enemy_skills!$A$1,0,0,COUNTA(enemy_skills!$A:$A),MATCH(D$1,enemy_skills!$1:$1,0)-MATCH("enemy_skill_id",enemy_skills!$1:$1,0)+1),MATCH(D$1,enemy_skills!$1:$1,0)-MATCH("enemy_skill_id",enemy_skills!$1:$1,0)+1,FALSE)</f>
        <v>おや、俺たちに福音を届けてくれるのか？_x000D_天使様らしいな</v>
      </c>
      <c r="E285" s="46" t="str">
        <f ca="1">VLOOKUP($C285,OFFSET(enemy_skills!$A$1,0,0,COUNTA(enemy_skills!$A:$A),MATCH(E$1,enemy_skills!$1:$1,0)-MATCH("enemy_skill_id",enemy_skills!$1:$1,0)+1),MATCH(E$1,enemy_skills!$1:$1,0)-MATCH("enemy_skill_id",enemy_skills!$1:$1,0)+1,FALSE)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285" s="47">
        <v>47004530</v>
      </c>
      <c r="G285" s="48">
        <f ca="1">VLOOKUP($F285,OFFSET(enemy_skill_triggers!$A$1,0,0,COUNTA(enemy_skill_triggers!$A:$A),MATCH(G$1,enemy_skill_triggers!$1:$1,0)-MATCH($F$1,enemy_skill_triggers!$1:$1,0)+1),MATCH(G$1,enemy_skill_triggers!$1:$1,0)-MATCH($F$1,enemy_skill_triggers!$1:$1,0)+1,FALSE)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5" s="48">
        <f ca="1">VLOOKUP($F285,OFFSET(enemy_skill_triggers!$A$1,0,0,COUNTA(enemy_skill_triggers!$A:$A),MATCH(H$1,enemy_skill_triggers!$1:$1,0)-MATCH($F$1,enemy_skill_triggers!$1:$1,0)+1),MATCH(H$1,enemy_skill_triggers!$1:$1,0)-MATCH($F$1,enemy_skill_triggers!$1:$1,0)+1,FALSE)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285" s="48">
        <f ca="1">VLOOKUP($F285,OFFSET(enemy_skill_triggers!$A$1,0,0,COUNTA(enemy_skill_triggers!$A:$A),MATCH(I$1,enemy_skill_triggers!$1:$1,0)-MATCH($F$1,enemy_skill_triggers!$1:$1,0)+1),MATCH(I$1,enemy_skill_triggers!$1:$1,0)-MATCH($F$1,enemy_skill_triggers!$1:$1,0)+1,FALSE)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5" s="48" t="str">
        <f ca="1">VLOOKUP($F285,OFFSET(enemy_skill_triggers!$A$1,0,0,COUNTA(enemy_skill_triggers!$A:$A),MATCH(J$1,enemy_skill_triggers!$1:$1,0)-MATCH($F$1,enemy_skill_triggers!$1:$1,0)+1),MATCH(J$1,enemy_skill_triggers!$1:$1,0)-MATCH($F$1,enemy_skill_triggers!$1:$1,0)+1,FALSE)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5" s="48" t="str">
        <f ca="1">VLOOKUP($F285,OFFSET(enemy_skill_triggers!$A$1,0,0,COUNTA(enemy_skill_triggers!$A:$A),MATCH(K$1,enemy_skill_triggers!$1:$1,0)-MATCH($F$1,enemy_skill_triggers!$1:$1,0)+1),MATCH(K$1,enemy_skill_triggers!$1:$1,0)-MATCH($F$1,enemy_skill_triggers!$1:$1,0)+1,FALSE)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5" s="48">
        <f ca="1">VLOOKUP($F285,OFFSET(enemy_skill_triggers!$A$1,0,0,COUNTA(enemy_skill_triggers!$A:$A),MATCH(L$1,enemy_skill_triggers!$1:$1,0)-MATCH($F$1,enemy_skill_triggers!$1:$1,0)+1),MATCH(L$1,enemy_skill_triggers!$1:$1,0)-MATCH($F$1,enemy_skill_triggers!$1:$1,0)+1,FALSE)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5" s="48" t="str">
        <f ca="1">VLOOKUP($F285,OFFSET(enemy_skill_triggers!$A$1,0,0,COUNTA(enemy_skill_triggers!$A:$A),MATCH(M$1,enemy_skill_triggers!$1:$1,0)-MATCH($F$1,enemy_skill_triggers!$1:$1,0)+1),MATCH(M$1,enemy_skill_triggers!$1:$1,0)-MATCH($F$1,enemy_skill_triggers!$1:$1,0)+1,FALSE)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5" s="48">
        <f ca="1">VLOOKUP($F285,OFFSET(enemy_skill_triggers!$A$1,0,0,COUNTA(enemy_skill_triggers!$A:$A),MATCH(N$1,enemy_skill_triggers!$1:$1,0)-MATCH($F$1,enemy_skill_triggers!$1:$1,0)+1),MATCH(N$1,enemy_skill_triggers!$1:$1,0)-MATCH($F$1,enemy_skill_triggers!$1:$1,0)+1,FALSE)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285" s="48">
        <f ca="1">VLOOKUP($F285,OFFSET(enemy_skill_triggers!$A$1,0,0,COUNTA(enemy_skill_triggers!$A:$A),MATCH(O$1,enemy_skill_triggers!$1:$1,0)-MATCH($F$1,enemy_skill_triggers!$1:$1,0)+1),MATCH(O$1,enemy_skill_triggers!$1:$1,0)-MATCH($F$1,enemy_skill_triggers!$1:$1,0)+1,FALSE)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5" s="47"/>
      <c r="Q285" s="47"/>
      <c r="R285" s="47"/>
    </row>
    <row r="286" spans="1:18" ht="21" customHeight="1" x14ac:dyDescent="0.15">
      <c r="A286" s="39" t="str">
        <f t="shared" si="17"/>
        <v>47004520_47004526</v>
      </c>
      <c r="B286" s="127">
        <v>47004520</v>
      </c>
      <c r="C286" s="47">
        <v>47004526</v>
      </c>
      <c r="D286" s="46" t="str">
        <f ca="1">VLOOKUP($C286,OFFSET(enemy_skills!$A$1,0,0,COUNTA(enemy_skills!$A:$A),MATCH(D$1,enemy_skills!$1:$1,0)-MATCH("enemy_skill_id",enemy_skills!$1:$1,0)+1),MATCH(D$1,enemy_skills!$1:$1,0)-MATCH("enemy_skill_id",enemy_skills!$1:$1,0)+1,FALSE)</f>
        <v>おや、俺たちに福音を届けてくれるのか？_x000D_天使様らしいな</v>
      </c>
      <c r="E286" s="46" t="str">
        <f ca="1">VLOOKUP($C286,OFFSET(enemy_skills!$A$1,0,0,COUNTA(enemy_skills!$A:$A),MATCH(E$1,enemy_skills!$1:$1,0)-MATCH("enemy_skill_id",enemy_skills!$1:$1,0)+1),MATCH(E$1,enemy_skills!$1:$1,0)-MATCH("enemy_skill_id",enemy_skills!$1:$1,0)+1,FALSE)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286" s="47">
        <v>47004531</v>
      </c>
      <c r="G286" s="48">
        <f ca="1">VLOOKUP($F286,OFFSET(enemy_skill_triggers!$A$1,0,0,COUNTA(enemy_skill_triggers!$A:$A),MATCH(G$1,enemy_skill_triggers!$1:$1,0)-MATCH($F$1,enemy_skill_triggers!$1:$1,0)+1),MATCH(G$1,enemy_skill_triggers!$1:$1,0)-MATCH($F$1,enemy_skill_triggers!$1:$1,0)+1,FALSE)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6" s="48">
        <f ca="1">VLOOKUP($F286,OFFSET(enemy_skill_triggers!$A$1,0,0,COUNTA(enemy_skill_triggers!$A:$A),MATCH(H$1,enemy_skill_triggers!$1:$1,0)-MATCH($F$1,enemy_skill_triggers!$1:$1,0)+1),MATCH(H$1,enemy_skill_triggers!$1:$1,0)-MATCH($F$1,enemy_skill_triggers!$1:$1,0)+1,FALSE)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286" s="48">
        <f ca="1">VLOOKUP($F286,OFFSET(enemy_skill_triggers!$A$1,0,0,COUNTA(enemy_skill_triggers!$A:$A),MATCH(I$1,enemy_skill_triggers!$1:$1,0)-MATCH($F$1,enemy_skill_triggers!$1:$1,0)+1),MATCH(I$1,enemy_skill_triggers!$1:$1,0)-MATCH($F$1,enemy_skill_triggers!$1:$1,0)+1,FALSE)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6" s="48" t="str">
        <f ca="1">VLOOKUP($F286,OFFSET(enemy_skill_triggers!$A$1,0,0,COUNTA(enemy_skill_triggers!$A:$A),MATCH(J$1,enemy_skill_triggers!$1:$1,0)-MATCH($F$1,enemy_skill_triggers!$1:$1,0)+1),MATCH(J$1,enemy_skill_triggers!$1:$1,0)-MATCH($F$1,enemy_skill_triggers!$1:$1,0)+1,FALSE)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6" s="48" t="str">
        <f ca="1">VLOOKUP($F286,OFFSET(enemy_skill_triggers!$A$1,0,0,COUNTA(enemy_skill_triggers!$A:$A),MATCH(K$1,enemy_skill_triggers!$1:$1,0)-MATCH($F$1,enemy_skill_triggers!$1:$1,0)+1),MATCH(K$1,enemy_skill_triggers!$1:$1,0)-MATCH($F$1,enemy_skill_triggers!$1:$1,0)+1,FALSE)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6" s="48">
        <f ca="1">VLOOKUP($F286,OFFSET(enemy_skill_triggers!$A$1,0,0,COUNTA(enemy_skill_triggers!$A:$A),MATCH(L$1,enemy_skill_triggers!$1:$1,0)-MATCH($F$1,enemy_skill_triggers!$1:$1,0)+1),MATCH(L$1,enemy_skill_triggers!$1:$1,0)-MATCH($F$1,enemy_skill_triggers!$1:$1,0)+1,FALSE)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6" s="48" t="str">
        <f ca="1">VLOOKUP($F286,OFFSET(enemy_skill_triggers!$A$1,0,0,COUNTA(enemy_skill_triggers!$A:$A),MATCH(M$1,enemy_skill_triggers!$1:$1,0)-MATCH($F$1,enemy_skill_triggers!$1:$1,0)+1),MATCH(M$1,enemy_skill_triggers!$1:$1,0)-MATCH($F$1,enemy_skill_triggers!$1:$1,0)+1,FALSE)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6" s="48">
        <f ca="1">VLOOKUP($F286,OFFSET(enemy_skill_triggers!$A$1,0,0,COUNTA(enemy_skill_triggers!$A:$A),MATCH(N$1,enemy_skill_triggers!$1:$1,0)-MATCH($F$1,enemy_skill_triggers!$1:$1,0)+1),MATCH(N$1,enemy_skill_triggers!$1:$1,0)-MATCH($F$1,enemy_skill_triggers!$1:$1,0)+1,FALSE)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286" s="48">
        <f ca="1">VLOOKUP($F286,OFFSET(enemy_skill_triggers!$A$1,0,0,COUNTA(enemy_skill_triggers!$A:$A),MATCH(O$1,enemy_skill_triggers!$1:$1,0)-MATCH($F$1,enemy_skill_triggers!$1:$1,0)+1),MATCH(O$1,enemy_skill_triggers!$1:$1,0)-MATCH($F$1,enemy_skill_triggers!$1:$1,0)+1,FALSE)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6" s="47"/>
      <c r="Q286" s="47"/>
      <c r="R286" s="47"/>
    </row>
    <row r="287" spans="1:18" ht="21" customHeight="1" x14ac:dyDescent="0.15">
      <c r="A287" s="39" t="str">
        <f t="shared" si="17"/>
        <v>47004520_47004527</v>
      </c>
      <c r="B287" s="127">
        <v>47004520</v>
      </c>
      <c r="C287" s="47">
        <v>47004527</v>
      </c>
      <c r="D287" s="46" t="str">
        <f ca="1">VLOOKUP($C287,OFFSET(enemy_skills!$A$1,0,0,COUNTA(enemy_skills!$A:$A),MATCH(D$1,enemy_skills!$1:$1,0)-MATCH("enemy_skill_id",enemy_skills!$1:$1,0)+1),MATCH(D$1,enemy_skills!$1:$1,0)-MATCH("enemy_skill_id",enemy_skills!$1:$1,0)+1,FALSE)</f>
        <v>去年より一段と色っぽいな_x000D_あいつが見たらどう思うのか…</v>
      </c>
      <c r="E287" s="46" t="str">
        <f ca="1">VLOOKUP($C287,OFFSET(enemy_skills!$A$1,0,0,COUNTA(enemy_skills!$A:$A),MATCH(E$1,enemy_skills!$1:$1,0)-MATCH("enemy_skill_id",enemy_skills!$1:$1,0)+1),MATCH(E$1,enemy_skills!$1:$1,0)-MATCH("enemy_skill_id",enemy_skills!$1:$1,0)+1,FALSE)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287" s="47">
        <v>47004532</v>
      </c>
      <c r="G287" s="48">
        <f ca="1">VLOOKUP($F287,OFFSET(enemy_skill_triggers!$A$1,0,0,COUNTA(enemy_skill_triggers!$A:$A),MATCH(G$1,enemy_skill_triggers!$1:$1,0)-MATCH($F$1,enemy_skill_triggers!$1:$1,0)+1),MATCH(G$1,enemy_skill_triggers!$1:$1,0)-MATCH($F$1,enemy_skill_triggers!$1:$1,0)+1,FALSE)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7" s="48">
        <f ca="1">VLOOKUP($F287,OFFSET(enemy_skill_triggers!$A$1,0,0,COUNTA(enemy_skill_triggers!$A:$A),MATCH(H$1,enemy_skill_triggers!$1:$1,0)-MATCH($F$1,enemy_skill_triggers!$1:$1,0)+1),MATCH(H$1,enemy_skill_triggers!$1:$1,0)-MATCH($F$1,enemy_skill_triggers!$1:$1,0)+1,FALSE)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287" s="48">
        <f ca="1">VLOOKUP($F287,OFFSET(enemy_skill_triggers!$A$1,0,0,COUNTA(enemy_skill_triggers!$A:$A),MATCH(I$1,enemy_skill_triggers!$1:$1,0)-MATCH($F$1,enemy_skill_triggers!$1:$1,0)+1),MATCH(I$1,enemy_skill_triggers!$1:$1,0)-MATCH($F$1,enemy_skill_triggers!$1:$1,0)+1,FALSE)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7" s="48" t="str">
        <f ca="1">VLOOKUP($F287,OFFSET(enemy_skill_triggers!$A$1,0,0,COUNTA(enemy_skill_triggers!$A:$A),MATCH(J$1,enemy_skill_triggers!$1:$1,0)-MATCH($F$1,enemy_skill_triggers!$1:$1,0)+1),MATCH(J$1,enemy_skill_triggers!$1:$1,0)-MATCH($F$1,enemy_skill_triggers!$1:$1,0)+1,FALSE)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7" s="48" t="str">
        <f ca="1">VLOOKUP($F287,OFFSET(enemy_skill_triggers!$A$1,0,0,COUNTA(enemy_skill_triggers!$A:$A),MATCH(K$1,enemy_skill_triggers!$1:$1,0)-MATCH($F$1,enemy_skill_triggers!$1:$1,0)+1),MATCH(K$1,enemy_skill_triggers!$1:$1,0)-MATCH($F$1,enemy_skill_triggers!$1:$1,0)+1,FALSE)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7" s="48">
        <f ca="1">VLOOKUP($F287,OFFSET(enemy_skill_triggers!$A$1,0,0,COUNTA(enemy_skill_triggers!$A:$A),MATCH(L$1,enemy_skill_triggers!$1:$1,0)-MATCH($F$1,enemy_skill_triggers!$1:$1,0)+1),MATCH(L$1,enemy_skill_triggers!$1:$1,0)-MATCH($F$1,enemy_skill_triggers!$1:$1,0)+1,FALSE)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7" s="48" t="str">
        <f ca="1">VLOOKUP($F287,OFFSET(enemy_skill_triggers!$A$1,0,0,COUNTA(enemy_skill_triggers!$A:$A),MATCH(M$1,enemy_skill_triggers!$1:$1,0)-MATCH($F$1,enemy_skill_triggers!$1:$1,0)+1),MATCH(M$1,enemy_skill_triggers!$1:$1,0)-MATCH($F$1,enemy_skill_triggers!$1:$1,0)+1,FALSE)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7" s="48">
        <f ca="1">VLOOKUP($F287,OFFSET(enemy_skill_triggers!$A$1,0,0,COUNTA(enemy_skill_triggers!$A:$A),MATCH(N$1,enemy_skill_triggers!$1:$1,0)-MATCH($F$1,enemy_skill_triggers!$1:$1,0)+1),MATCH(N$1,enemy_skill_triggers!$1:$1,0)-MATCH($F$1,enemy_skill_triggers!$1:$1,0)+1,FALSE)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287" s="48">
        <f ca="1">VLOOKUP($F287,OFFSET(enemy_skill_triggers!$A$1,0,0,COUNTA(enemy_skill_triggers!$A:$A),MATCH(O$1,enemy_skill_triggers!$1:$1,0)-MATCH($F$1,enemy_skill_triggers!$1:$1,0)+1),MATCH(O$1,enemy_skill_triggers!$1:$1,0)-MATCH($F$1,enemy_skill_triggers!$1:$1,0)+1,FALSE)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7" s="47"/>
      <c r="Q287" s="47"/>
      <c r="R287" s="47"/>
    </row>
    <row r="288" spans="1:18" ht="21" customHeight="1" x14ac:dyDescent="0.15">
      <c r="A288" s="39" t="str">
        <f t="shared" si="17"/>
        <v>47004520_47004527</v>
      </c>
      <c r="B288" s="127">
        <v>47004520</v>
      </c>
      <c r="C288" s="47">
        <v>47004527</v>
      </c>
      <c r="D288" s="46" t="str">
        <f ca="1">VLOOKUP($C288,OFFSET(enemy_skills!$A$1,0,0,COUNTA(enemy_skills!$A:$A),MATCH(D$1,enemy_skills!$1:$1,0)-MATCH("enemy_skill_id",enemy_skills!$1:$1,0)+1),MATCH(D$1,enemy_skills!$1:$1,0)-MATCH("enemy_skill_id",enemy_skills!$1:$1,0)+1,FALSE)</f>
        <v>去年より一段と色っぽいな_x000D_あいつが見たらどう思うのか…</v>
      </c>
      <c r="E288" s="46" t="str">
        <f ca="1">VLOOKUP($C288,OFFSET(enemy_skills!$A$1,0,0,COUNTA(enemy_skills!$A:$A),MATCH(E$1,enemy_skills!$1:$1,0)-MATCH("enemy_skill_id",enemy_skills!$1:$1,0)+1),MATCH(E$1,enemy_skills!$1:$1,0)-MATCH("enemy_skill_id",enemy_skills!$1:$1,0)+1,FALSE)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288" s="47">
        <v>47004533</v>
      </c>
      <c r="G288" s="48">
        <f ca="1">VLOOKUP($F288,OFFSET(enemy_skill_triggers!$A$1,0,0,COUNTA(enemy_skill_triggers!$A:$A),MATCH(G$1,enemy_skill_triggers!$1:$1,0)-MATCH($F$1,enemy_skill_triggers!$1:$1,0)+1),MATCH(G$1,enemy_skill_triggers!$1:$1,0)-MATCH($F$1,enemy_skill_triggers!$1:$1,0)+1,FALSE)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8" s="48">
        <f ca="1">VLOOKUP($F288,OFFSET(enemy_skill_triggers!$A$1,0,0,COUNTA(enemy_skill_triggers!$A:$A),MATCH(H$1,enemy_skill_triggers!$1:$1,0)-MATCH($F$1,enemy_skill_triggers!$1:$1,0)+1),MATCH(H$1,enemy_skill_triggers!$1:$1,0)-MATCH($F$1,enemy_skill_triggers!$1:$1,0)+1,FALSE)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288" s="48">
        <f ca="1">VLOOKUP($F288,OFFSET(enemy_skill_triggers!$A$1,0,0,COUNTA(enemy_skill_triggers!$A:$A),MATCH(I$1,enemy_skill_triggers!$1:$1,0)-MATCH($F$1,enemy_skill_triggers!$1:$1,0)+1),MATCH(I$1,enemy_skill_triggers!$1:$1,0)-MATCH($F$1,enemy_skill_triggers!$1:$1,0)+1,FALSE)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8" s="48" t="str">
        <f ca="1">VLOOKUP($F288,OFFSET(enemy_skill_triggers!$A$1,0,0,COUNTA(enemy_skill_triggers!$A:$A),MATCH(J$1,enemy_skill_triggers!$1:$1,0)-MATCH($F$1,enemy_skill_triggers!$1:$1,0)+1),MATCH(J$1,enemy_skill_triggers!$1:$1,0)-MATCH($F$1,enemy_skill_triggers!$1:$1,0)+1,FALSE)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8" s="48" t="str">
        <f ca="1">VLOOKUP($F288,OFFSET(enemy_skill_triggers!$A$1,0,0,COUNTA(enemy_skill_triggers!$A:$A),MATCH(K$1,enemy_skill_triggers!$1:$1,0)-MATCH($F$1,enemy_skill_triggers!$1:$1,0)+1),MATCH(K$1,enemy_skill_triggers!$1:$1,0)-MATCH($F$1,enemy_skill_triggers!$1:$1,0)+1,FALSE)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8" s="48">
        <f ca="1">VLOOKUP($F288,OFFSET(enemy_skill_triggers!$A$1,0,0,COUNTA(enemy_skill_triggers!$A:$A),MATCH(L$1,enemy_skill_triggers!$1:$1,0)-MATCH($F$1,enemy_skill_triggers!$1:$1,0)+1),MATCH(L$1,enemy_skill_triggers!$1:$1,0)-MATCH($F$1,enemy_skill_triggers!$1:$1,0)+1,FALSE)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8" s="48" t="str">
        <f ca="1">VLOOKUP($F288,OFFSET(enemy_skill_triggers!$A$1,0,0,COUNTA(enemy_skill_triggers!$A:$A),MATCH(M$1,enemy_skill_triggers!$1:$1,0)-MATCH($F$1,enemy_skill_triggers!$1:$1,0)+1),MATCH(M$1,enemy_skill_triggers!$1:$1,0)-MATCH($F$1,enemy_skill_triggers!$1:$1,0)+1,FALSE)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8" s="48">
        <f ca="1">VLOOKUP($F288,OFFSET(enemy_skill_triggers!$A$1,0,0,COUNTA(enemy_skill_triggers!$A:$A),MATCH(N$1,enemy_skill_triggers!$1:$1,0)-MATCH($F$1,enemy_skill_triggers!$1:$1,0)+1),MATCH(N$1,enemy_skill_triggers!$1:$1,0)-MATCH($F$1,enemy_skill_triggers!$1:$1,0)+1,FALSE)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288" s="48">
        <f ca="1">VLOOKUP($F288,OFFSET(enemy_skill_triggers!$A$1,0,0,COUNTA(enemy_skill_triggers!$A:$A),MATCH(O$1,enemy_skill_triggers!$1:$1,0)-MATCH($F$1,enemy_skill_triggers!$1:$1,0)+1),MATCH(O$1,enemy_skill_triggers!$1:$1,0)-MATCH($F$1,enemy_skill_triggers!$1:$1,0)+1,FALSE)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8" s="47"/>
      <c r="Q288" s="47"/>
      <c r="R288" s="47"/>
    </row>
    <row r="289" spans="1:18" ht="21" customHeight="1" x14ac:dyDescent="0.15">
      <c r="A289" s="39" t="str">
        <f t="shared" si="17"/>
        <v>47004520_47004527</v>
      </c>
      <c r="B289" s="127">
        <v>47004520</v>
      </c>
      <c r="C289" s="47">
        <v>47004527</v>
      </c>
      <c r="D289" s="46" t="str">
        <f ca="1">VLOOKUP($C289,OFFSET(enemy_skills!$A$1,0,0,COUNTA(enemy_skills!$A:$A),MATCH(D$1,enemy_skills!$1:$1,0)-MATCH("enemy_skill_id",enemy_skills!$1:$1,0)+1),MATCH(D$1,enemy_skills!$1:$1,0)-MATCH("enemy_skill_id",enemy_skills!$1:$1,0)+1,FALSE)</f>
        <v>去年より一段と色っぽいな_x000D_あいつが見たらどう思うのか…</v>
      </c>
      <c r="E289" s="46" t="str">
        <f ca="1">VLOOKUP($C289,OFFSET(enemy_skills!$A$1,0,0,COUNTA(enemy_skills!$A:$A),MATCH(E$1,enemy_skills!$1:$1,0)-MATCH("enemy_skill_id",enemy_skills!$1:$1,0)+1),MATCH(E$1,enemy_skills!$1:$1,0)-MATCH("enemy_skill_id",enemy_skills!$1:$1,0)+1,FALSE)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289" s="47">
        <v>47004534</v>
      </c>
      <c r="G289" s="48">
        <f ca="1">VLOOKUP($F289,OFFSET(enemy_skill_triggers!$A$1,0,0,COUNTA(enemy_skill_triggers!$A:$A),MATCH(G$1,enemy_skill_triggers!$1:$1,0)-MATCH($F$1,enemy_skill_triggers!$1:$1,0)+1),MATCH(G$1,enemy_skill_triggers!$1:$1,0)-MATCH($F$1,enemy_skill_triggers!$1:$1,0)+1,FALSE)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9" s="48">
        <f ca="1">VLOOKUP($F289,OFFSET(enemy_skill_triggers!$A$1,0,0,COUNTA(enemy_skill_triggers!$A:$A),MATCH(H$1,enemy_skill_triggers!$1:$1,0)-MATCH($F$1,enemy_skill_triggers!$1:$1,0)+1),MATCH(H$1,enemy_skill_triggers!$1:$1,0)-MATCH($F$1,enemy_skill_triggers!$1:$1,0)+1,FALSE)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289" s="48">
        <f ca="1">VLOOKUP($F289,OFFSET(enemy_skill_triggers!$A$1,0,0,COUNTA(enemy_skill_triggers!$A:$A),MATCH(I$1,enemy_skill_triggers!$1:$1,0)-MATCH($F$1,enemy_skill_triggers!$1:$1,0)+1),MATCH(I$1,enemy_skill_triggers!$1:$1,0)-MATCH($F$1,enemy_skill_triggers!$1:$1,0)+1,FALSE)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9" s="48" t="str">
        <f ca="1">VLOOKUP($F289,OFFSET(enemy_skill_triggers!$A$1,0,0,COUNTA(enemy_skill_triggers!$A:$A),MATCH(J$1,enemy_skill_triggers!$1:$1,0)-MATCH($F$1,enemy_skill_triggers!$1:$1,0)+1),MATCH(J$1,enemy_skill_triggers!$1:$1,0)-MATCH($F$1,enemy_skill_triggers!$1:$1,0)+1,FALSE)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9" s="48" t="str">
        <f ca="1">VLOOKUP($F289,OFFSET(enemy_skill_triggers!$A$1,0,0,COUNTA(enemy_skill_triggers!$A:$A),MATCH(K$1,enemy_skill_triggers!$1:$1,0)-MATCH($F$1,enemy_skill_triggers!$1:$1,0)+1),MATCH(K$1,enemy_skill_triggers!$1:$1,0)-MATCH($F$1,enemy_skill_triggers!$1:$1,0)+1,FALSE)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9" s="48">
        <f ca="1">VLOOKUP($F289,OFFSET(enemy_skill_triggers!$A$1,0,0,COUNTA(enemy_skill_triggers!$A:$A),MATCH(L$1,enemy_skill_triggers!$1:$1,0)-MATCH($F$1,enemy_skill_triggers!$1:$1,0)+1),MATCH(L$1,enemy_skill_triggers!$1:$1,0)-MATCH($F$1,enemy_skill_triggers!$1:$1,0)+1,FALSE)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9" s="48" t="str">
        <f ca="1">VLOOKUP($F289,OFFSET(enemy_skill_triggers!$A$1,0,0,COUNTA(enemy_skill_triggers!$A:$A),MATCH(M$1,enemy_skill_triggers!$1:$1,0)-MATCH($F$1,enemy_skill_triggers!$1:$1,0)+1),MATCH(M$1,enemy_skill_triggers!$1:$1,0)-MATCH($F$1,enemy_skill_triggers!$1:$1,0)+1,FALSE)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9" s="48">
        <f ca="1">VLOOKUP($F289,OFFSET(enemy_skill_triggers!$A$1,0,0,COUNTA(enemy_skill_triggers!$A:$A),MATCH(N$1,enemy_skill_triggers!$1:$1,0)-MATCH($F$1,enemy_skill_triggers!$1:$1,0)+1),MATCH(N$1,enemy_skill_triggers!$1:$1,0)-MATCH($F$1,enemy_skill_triggers!$1:$1,0)+1,FALSE)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289" s="48">
        <f ca="1">VLOOKUP($F289,OFFSET(enemy_skill_triggers!$A$1,0,0,COUNTA(enemy_skill_triggers!$A:$A),MATCH(O$1,enemy_skill_triggers!$1:$1,0)-MATCH($F$1,enemy_skill_triggers!$1:$1,0)+1),MATCH(O$1,enemy_skill_triggers!$1:$1,0)-MATCH($F$1,enemy_skill_triggers!$1:$1,0)+1,FALSE)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9" s="47"/>
      <c r="Q289" s="47"/>
      <c r="R289" s="47"/>
    </row>
    <row r="290" spans="1:18" ht="21" customHeight="1" x14ac:dyDescent="0.15">
      <c r="A290" s="39" t="str">
        <f t="shared" si="17"/>
        <v>47004520_47004528</v>
      </c>
      <c r="B290" s="127">
        <v>47004520</v>
      </c>
      <c r="C290" s="47">
        <v>47004528</v>
      </c>
      <c r="D290" s="46" t="str">
        <f ca="1">VLOOKUP($C290,OFFSET(enemy_skills!$A$1,0,0,COUNTA(enemy_skills!$A:$A),MATCH(D$1,enemy_skills!$1:$1,0)-MATCH("enemy_skill_id",enemy_skills!$1:$1,0)+1),MATCH(D$1,enemy_skills!$1:$1,0)-MATCH("enemy_skill_id",enemy_skills!$1:$1,0)+1,FALSE)</f>
        <v>ベリアル、今年もご苦労さん_x000D_さてプレゼントは何かな…？</v>
      </c>
      <c r="E290" s="46" t="str">
        <f ca="1">VLOOKUP($C290,OFFSET(enemy_skills!$A$1,0,0,COUNTA(enemy_skills!$A:$A),MATCH(E$1,enemy_skills!$1:$1,0)-MATCH("enemy_skill_id",enemy_skills!$1:$1,0)+1),MATCH(E$1,enemy_skills!$1:$1,0)-MATCH("enemy_skill_id",enemy_skills!$1:$1,0)+1,FALSE)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290" s="47">
        <v>47004535</v>
      </c>
      <c r="G290" s="48">
        <f ca="1">VLOOKUP($F290,OFFSET(enemy_skill_triggers!$A$1,0,0,COUNTA(enemy_skill_triggers!$A:$A),MATCH(G$1,enemy_skill_triggers!$1:$1,0)-MATCH($F$1,enemy_skill_triggers!$1:$1,0)+1),MATCH(G$1,enemy_skill_triggers!$1:$1,0)-MATCH($F$1,enemy_skill_triggers!$1:$1,0)+1,FALSE)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0" s="48">
        <f ca="1">VLOOKUP($F290,OFFSET(enemy_skill_triggers!$A$1,0,0,COUNTA(enemy_skill_triggers!$A:$A),MATCH(H$1,enemy_skill_triggers!$1:$1,0)-MATCH($F$1,enemy_skill_triggers!$1:$1,0)+1),MATCH(H$1,enemy_skill_triggers!$1:$1,0)-MATCH($F$1,enemy_skill_triggers!$1:$1,0)+1,FALSE)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290" s="48">
        <f ca="1">VLOOKUP($F290,OFFSET(enemy_skill_triggers!$A$1,0,0,COUNTA(enemy_skill_triggers!$A:$A),MATCH(I$1,enemy_skill_triggers!$1:$1,0)-MATCH($F$1,enemy_skill_triggers!$1:$1,0)+1),MATCH(I$1,enemy_skill_triggers!$1:$1,0)-MATCH($F$1,enemy_skill_triggers!$1:$1,0)+1,FALSE)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0" s="48" t="str">
        <f ca="1">VLOOKUP($F290,OFFSET(enemy_skill_triggers!$A$1,0,0,COUNTA(enemy_skill_triggers!$A:$A),MATCH(J$1,enemy_skill_triggers!$1:$1,0)-MATCH($F$1,enemy_skill_triggers!$1:$1,0)+1),MATCH(J$1,enemy_skill_triggers!$1:$1,0)-MATCH($F$1,enemy_skill_triggers!$1:$1,0)+1,FALSE)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0" s="48" t="str">
        <f ca="1">VLOOKUP($F290,OFFSET(enemy_skill_triggers!$A$1,0,0,COUNTA(enemy_skill_triggers!$A:$A),MATCH(K$1,enemy_skill_triggers!$1:$1,0)-MATCH($F$1,enemy_skill_triggers!$1:$1,0)+1),MATCH(K$1,enemy_skill_triggers!$1:$1,0)-MATCH($F$1,enemy_skill_triggers!$1:$1,0)+1,FALSE)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0" s="48">
        <f ca="1">VLOOKUP($F290,OFFSET(enemy_skill_triggers!$A$1,0,0,COUNTA(enemy_skill_triggers!$A:$A),MATCH(L$1,enemy_skill_triggers!$1:$1,0)-MATCH($F$1,enemy_skill_triggers!$1:$1,0)+1),MATCH(L$1,enemy_skill_triggers!$1:$1,0)-MATCH($F$1,enemy_skill_triggers!$1:$1,0)+1,FALSE)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0" s="48" t="str">
        <f ca="1">VLOOKUP($F290,OFFSET(enemy_skill_triggers!$A$1,0,0,COUNTA(enemy_skill_triggers!$A:$A),MATCH(M$1,enemy_skill_triggers!$1:$1,0)-MATCH($F$1,enemy_skill_triggers!$1:$1,0)+1),MATCH(M$1,enemy_skill_triggers!$1:$1,0)-MATCH($F$1,enemy_skill_triggers!$1:$1,0)+1,FALSE)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0" s="48">
        <f ca="1">VLOOKUP($F290,OFFSET(enemy_skill_triggers!$A$1,0,0,COUNTA(enemy_skill_triggers!$A:$A),MATCH(N$1,enemy_skill_triggers!$1:$1,0)-MATCH($F$1,enemy_skill_triggers!$1:$1,0)+1),MATCH(N$1,enemy_skill_triggers!$1:$1,0)-MATCH($F$1,enemy_skill_triggers!$1:$1,0)+1,FALSE)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290" s="48">
        <f ca="1">VLOOKUP($F290,OFFSET(enemy_skill_triggers!$A$1,0,0,COUNTA(enemy_skill_triggers!$A:$A),MATCH(O$1,enemy_skill_triggers!$1:$1,0)-MATCH($F$1,enemy_skill_triggers!$1:$1,0)+1),MATCH(O$1,enemy_skill_triggers!$1:$1,0)-MATCH($F$1,enemy_skill_triggers!$1:$1,0)+1,FALSE)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0" s="47"/>
      <c r="Q290" s="47"/>
      <c r="R290" s="47"/>
    </row>
    <row r="291" spans="1:18" ht="21" customHeight="1" x14ac:dyDescent="0.15">
      <c r="A291" s="39" t="str">
        <f t="shared" si="17"/>
        <v>47004520_47004528</v>
      </c>
      <c r="B291" s="127">
        <v>47004520</v>
      </c>
      <c r="C291" s="47">
        <v>47004528</v>
      </c>
      <c r="D291" s="46" t="str">
        <f ca="1">VLOOKUP($C291,OFFSET(enemy_skills!$A$1,0,0,COUNTA(enemy_skills!$A:$A),MATCH(D$1,enemy_skills!$1:$1,0)-MATCH("enemy_skill_id",enemy_skills!$1:$1,0)+1),MATCH(D$1,enemy_skills!$1:$1,0)-MATCH("enemy_skill_id",enemy_skills!$1:$1,0)+1,FALSE)</f>
        <v>ベリアル、今年もご苦労さん_x000D_さてプレゼントは何かな…？</v>
      </c>
      <c r="E291" s="46" t="str">
        <f ca="1">VLOOKUP($C291,OFFSET(enemy_skills!$A$1,0,0,COUNTA(enemy_skills!$A:$A),MATCH(E$1,enemy_skills!$1:$1,0)-MATCH("enemy_skill_id",enemy_skills!$1:$1,0)+1),MATCH(E$1,enemy_skills!$1:$1,0)-MATCH("enemy_skill_id",enemy_skills!$1:$1,0)+1,FALSE)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291" s="47">
        <v>47004536</v>
      </c>
      <c r="G291" s="48">
        <f ca="1">VLOOKUP($F291,OFFSET(enemy_skill_triggers!$A$1,0,0,COUNTA(enemy_skill_triggers!$A:$A),MATCH(G$1,enemy_skill_triggers!$1:$1,0)-MATCH($F$1,enemy_skill_triggers!$1:$1,0)+1),MATCH(G$1,enemy_skill_triggers!$1:$1,0)-MATCH($F$1,enemy_skill_triggers!$1:$1,0)+1,FALSE)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1" s="48">
        <f ca="1">VLOOKUP($F291,OFFSET(enemy_skill_triggers!$A$1,0,0,COUNTA(enemy_skill_triggers!$A:$A),MATCH(H$1,enemy_skill_triggers!$1:$1,0)-MATCH($F$1,enemy_skill_triggers!$1:$1,0)+1),MATCH(H$1,enemy_skill_triggers!$1:$1,0)-MATCH($F$1,enemy_skill_triggers!$1:$1,0)+1,FALSE)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291" s="48">
        <f ca="1">VLOOKUP($F291,OFFSET(enemy_skill_triggers!$A$1,0,0,COUNTA(enemy_skill_triggers!$A:$A),MATCH(I$1,enemy_skill_triggers!$1:$1,0)-MATCH($F$1,enemy_skill_triggers!$1:$1,0)+1),MATCH(I$1,enemy_skill_triggers!$1:$1,0)-MATCH($F$1,enemy_skill_triggers!$1:$1,0)+1,FALSE)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1" s="48" t="str">
        <f ca="1">VLOOKUP($F291,OFFSET(enemy_skill_triggers!$A$1,0,0,COUNTA(enemy_skill_triggers!$A:$A),MATCH(J$1,enemy_skill_triggers!$1:$1,0)-MATCH($F$1,enemy_skill_triggers!$1:$1,0)+1),MATCH(J$1,enemy_skill_triggers!$1:$1,0)-MATCH($F$1,enemy_skill_triggers!$1:$1,0)+1,FALSE)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1" s="48" t="str">
        <f ca="1">VLOOKUP($F291,OFFSET(enemy_skill_triggers!$A$1,0,0,COUNTA(enemy_skill_triggers!$A:$A),MATCH(K$1,enemy_skill_triggers!$1:$1,0)-MATCH($F$1,enemy_skill_triggers!$1:$1,0)+1),MATCH(K$1,enemy_skill_triggers!$1:$1,0)-MATCH($F$1,enemy_skill_triggers!$1:$1,0)+1,FALSE)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1" s="48">
        <f ca="1">VLOOKUP($F291,OFFSET(enemy_skill_triggers!$A$1,0,0,COUNTA(enemy_skill_triggers!$A:$A),MATCH(L$1,enemy_skill_triggers!$1:$1,0)-MATCH($F$1,enemy_skill_triggers!$1:$1,0)+1),MATCH(L$1,enemy_skill_triggers!$1:$1,0)-MATCH($F$1,enemy_skill_triggers!$1:$1,0)+1,FALSE)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1" s="48" t="str">
        <f ca="1">VLOOKUP($F291,OFFSET(enemy_skill_triggers!$A$1,0,0,COUNTA(enemy_skill_triggers!$A:$A),MATCH(M$1,enemy_skill_triggers!$1:$1,0)-MATCH($F$1,enemy_skill_triggers!$1:$1,0)+1),MATCH(M$1,enemy_skill_triggers!$1:$1,0)-MATCH($F$1,enemy_skill_triggers!$1:$1,0)+1,FALSE)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1" s="48">
        <f ca="1">VLOOKUP($F291,OFFSET(enemy_skill_triggers!$A$1,0,0,COUNTA(enemy_skill_triggers!$A:$A),MATCH(N$1,enemy_skill_triggers!$1:$1,0)-MATCH($F$1,enemy_skill_triggers!$1:$1,0)+1),MATCH(N$1,enemy_skill_triggers!$1:$1,0)-MATCH($F$1,enemy_skill_triggers!$1:$1,0)+1,FALSE)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291" s="48">
        <f ca="1">VLOOKUP($F291,OFFSET(enemy_skill_triggers!$A$1,0,0,COUNTA(enemy_skill_triggers!$A:$A),MATCH(O$1,enemy_skill_triggers!$1:$1,0)-MATCH($F$1,enemy_skill_triggers!$1:$1,0)+1),MATCH(O$1,enemy_skill_triggers!$1:$1,0)-MATCH($F$1,enemy_skill_triggers!$1:$1,0)+1,FALSE)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1" s="47"/>
      <c r="Q291" s="47"/>
      <c r="R291" s="47"/>
    </row>
    <row r="292" spans="1:18" ht="21" customHeight="1" x14ac:dyDescent="0.15">
      <c r="A292" s="39" t="str">
        <f t="shared" si="17"/>
        <v>47004520_47004528</v>
      </c>
      <c r="B292" s="127">
        <v>47004520</v>
      </c>
      <c r="C292" s="47">
        <v>47004528</v>
      </c>
      <c r="D292" s="46" t="str">
        <f ca="1">VLOOKUP($C292,OFFSET(enemy_skills!$A$1,0,0,COUNTA(enemy_skills!$A:$A),MATCH(D$1,enemy_skills!$1:$1,0)-MATCH("enemy_skill_id",enemy_skills!$1:$1,0)+1),MATCH(D$1,enemy_skills!$1:$1,0)-MATCH("enemy_skill_id",enemy_skills!$1:$1,0)+1,FALSE)</f>
        <v>ベリアル、今年もご苦労さん_x000D_さてプレゼントは何かな…？</v>
      </c>
      <c r="E292" s="46" t="str">
        <f ca="1">VLOOKUP($C292,OFFSET(enemy_skills!$A$1,0,0,COUNTA(enemy_skills!$A:$A),MATCH(E$1,enemy_skills!$1:$1,0)-MATCH("enemy_skill_id",enemy_skills!$1:$1,0)+1),MATCH(E$1,enemy_skills!$1:$1,0)-MATCH("enemy_skill_id",enemy_skills!$1:$1,0)+1,FALSE)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292" s="47">
        <v>47004537</v>
      </c>
      <c r="G292" s="48">
        <f ca="1">VLOOKUP($F292,OFFSET(enemy_skill_triggers!$A$1,0,0,COUNTA(enemy_skill_triggers!$A:$A),MATCH(G$1,enemy_skill_triggers!$1:$1,0)-MATCH($F$1,enemy_skill_triggers!$1:$1,0)+1),MATCH(G$1,enemy_skill_triggers!$1:$1,0)-MATCH($F$1,enemy_skill_triggers!$1:$1,0)+1,FALSE)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2" s="48">
        <f ca="1">VLOOKUP($F292,OFFSET(enemy_skill_triggers!$A$1,0,0,COUNTA(enemy_skill_triggers!$A:$A),MATCH(H$1,enemy_skill_triggers!$1:$1,0)-MATCH($F$1,enemy_skill_triggers!$1:$1,0)+1),MATCH(H$1,enemy_skill_triggers!$1:$1,0)-MATCH($F$1,enemy_skill_triggers!$1:$1,0)+1,FALSE)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292" s="48">
        <f ca="1">VLOOKUP($F292,OFFSET(enemy_skill_triggers!$A$1,0,0,COUNTA(enemy_skill_triggers!$A:$A),MATCH(I$1,enemy_skill_triggers!$1:$1,0)-MATCH($F$1,enemy_skill_triggers!$1:$1,0)+1),MATCH(I$1,enemy_skill_triggers!$1:$1,0)-MATCH($F$1,enemy_skill_triggers!$1:$1,0)+1,FALSE)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2" s="48" t="str">
        <f ca="1">VLOOKUP($F292,OFFSET(enemy_skill_triggers!$A$1,0,0,COUNTA(enemy_skill_triggers!$A:$A),MATCH(J$1,enemy_skill_triggers!$1:$1,0)-MATCH($F$1,enemy_skill_triggers!$1:$1,0)+1),MATCH(J$1,enemy_skill_triggers!$1:$1,0)-MATCH($F$1,enemy_skill_triggers!$1:$1,0)+1,FALSE)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2" s="48" t="str">
        <f ca="1">VLOOKUP($F292,OFFSET(enemy_skill_triggers!$A$1,0,0,COUNTA(enemy_skill_triggers!$A:$A),MATCH(K$1,enemy_skill_triggers!$1:$1,0)-MATCH($F$1,enemy_skill_triggers!$1:$1,0)+1),MATCH(K$1,enemy_skill_triggers!$1:$1,0)-MATCH($F$1,enemy_skill_triggers!$1:$1,0)+1,FALSE)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2" s="48">
        <f ca="1">VLOOKUP($F292,OFFSET(enemy_skill_triggers!$A$1,0,0,COUNTA(enemy_skill_triggers!$A:$A),MATCH(L$1,enemy_skill_triggers!$1:$1,0)-MATCH($F$1,enemy_skill_triggers!$1:$1,0)+1),MATCH(L$1,enemy_skill_triggers!$1:$1,0)-MATCH($F$1,enemy_skill_triggers!$1:$1,0)+1,FALSE)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2" s="48" t="str">
        <f ca="1">VLOOKUP($F292,OFFSET(enemy_skill_triggers!$A$1,0,0,COUNTA(enemy_skill_triggers!$A:$A),MATCH(M$1,enemy_skill_triggers!$1:$1,0)-MATCH($F$1,enemy_skill_triggers!$1:$1,0)+1),MATCH(M$1,enemy_skill_triggers!$1:$1,0)-MATCH($F$1,enemy_skill_triggers!$1:$1,0)+1,FALSE)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2" s="48">
        <f ca="1">VLOOKUP($F292,OFFSET(enemy_skill_triggers!$A$1,0,0,COUNTA(enemy_skill_triggers!$A:$A),MATCH(N$1,enemy_skill_triggers!$1:$1,0)-MATCH($F$1,enemy_skill_triggers!$1:$1,0)+1),MATCH(N$1,enemy_skill_triggers!$1:$1,0)-MATCH($F$1,enemy_skill_triggers!$1:$1,0)+1,FALSE)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292" s="48">
        <f ca="1">VLOOKUP($F292,OFFSET(enemy_skill_triggers!$A$1,0,0,COUNTA(enemy_skill_triggers!$A:$A),MATCH(O$1,enemy_skill_triggers!$1:$1,0)-MATCH($F$1,enemy_skill_triggers!$1:$1,0)+1),MATCH(O$1,enemy_skill_triggers!$1:$1,0)-MATCH($F$1,enemy_skill_triggers!$1:$1,0)+1,FALSE)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2" s="47"/>
      <c r="Q292" s="47"/>
      <c r="R292" s="47"/>
    </row>
    <row r="293" spans="1:18" ht="21" customHeight="1" x14ac:dyDescent="0.15">
      <c r="A293" s="39" t="str">
        <f t="shared" ref="A293" si="19">B293&amp;"_"&amp;C293</f>
        <v>47004520_47004529</v>
      </c>
      <c r="B293" s="127">
        <v>47004520</v>
      </c>
      <c r="C293" s="47">
        <v>47004529</v>
      </c>
      <c r="D293" s="46" t="str">
        <f ca="1">VLOOKUP($C293,OFFSET(enemy_skills!$A$1,0,0,COUNTA(enemy_skills!$A:$A),MATCH(D$1,enemy_skills!$1:$1,0)-MATCH("enemy_skill_id",enemy_skills!$1:$1,0)+1),MATCH(D$1,enemy_skills!$1:$1,0)-MATCH("enemy_skill_id",enemy_skills!$1:$1,0)+1,FALSE)</f>
        <v>メリークリスマス！っと_x000D_おや、雅なサンタクロースだな</v>
      </c>
      <c r="E293" s="46" t="str">
        <f ca="1">VLOOKUP($C293,OFFSET(enemy_skills!$A$1,0,0,COUNTA(enemy_skills!$A:$A),MATCH(E$1,enemy_skills!$1:$1,0)-MATCH("enemy_skill_id",enemy_skills!$1:$1,0)+1),MATCH(E$1,enemy_skills!$1:$1,0)-MATCH("enemy_skill_id",enemy_skills!$1:$1,0)+1,FALSE)</f>
        <v>残りHPの50%消費+_x000D_全ユニットのスキルゲージを2ターン減少+_x000D_全ユニットのボムの爆風を10%UP</v>
      </c>
      <c r="F293" s="47">
        <v>47004538</v>
      </c>
      <c r="G293" s="48">
        <f ca="1">VLOOKUP($F293,OFFSET(enemy_skill_triggers!$A$1,0,0,COUNTA(enemy_skill_triggers!$A:$A),MATCH(G$1,enemy_skill_triggers!$1:$1,0)-MATCH($F$1,enemy_skill_triggers!$1:$1,0)+1),MATCH(G$1,enemy_skill_triggers!$1:$1,0)-MATCH($F$1,enemy_skill_triggers!$1:$1,0)+1,FALSE)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3" s="48">
        <f ca="1">VLOOKUP($F293,OFFSET(enemy_skill_triggers!$A$1,0,0,COUNTA(enemy_skill_triggers!$A:$A),MATCH(H$1,enemy_skill_triggers!$1:$1,0)-MATCH($F$1,enemy_skill_triggers!$1:$1,0)+1),MATCH(H$1,enemy_skill_triggers!$1:$1,0)-MATCH($F$1,enemy_skill_triggers!$1:$1,0)+1,FALSE)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293" s="48">
        <f ca="1">VLOOKUP($F293,OFFSET(enemy_skill_triggers!$A$1,0,0,COUNTA(enemy_skill_triggers!$A:$A),MATCH(I$1,enemy_skill_triggers!$1:$1,0)-MATCH($F$1,enemy_skill_triggers!$1:$1,0)+1),MATCH(I$1,enemy_skill_triggers!$1:$1,0)-MATCH($F$1,enemy_skill_triggers!$1:$1,0)+1,FALSE)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3" s="48" t="str">
        <f ca="1">VLOOKUP($F293,OFFSET(enemy_skill_triggers!$A$1,0,0,COUNTA(enemy_skill_triggers!$A:$A),MATCH(J$1,enemy_skill_triggers!$1:$1,0)-MATCH($F$1,enemy_skill_triggers!$1:$1,0)+1),MATCH(J$1,enemy_skill_triggers!$1:$1,0)-MATCH($F$1,enemy_skill_triggers!$1:$1,0)+1,FALSE)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3" s="48" t="str">
        <f ca="1">VLOOKUP($F293,OFFSET(enemy_skill_triggers!$A$1,0,0,COUNTA(enemy_skill_triggers!$A:$A),MATCH(K$1,enemy_skill_triggers!$1:$1,0)-MATCH($F$1,enemy_skill_triggers!$1:$1,0)+1),MATCH(K$1,enemy_skill_triggers!$1:$1,0)-MATCH($F$1,enemy_skill_triggers!$1:$1,0)+1,FALSE)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3" s="48">
        <f ca="1">VLOOKUP($F293,OFFSET(enemy_skill_triggers!$A$1,0,0,COUNTA(enemy_skill_triggers!$A:$A),MATCH(L$1,enemy_skill_triggers!$1:$1,0)-MATCH($F$1,enemy_skill_triggers!$1:$1,0)+1),MATCH(L$1,enemy_skill_triggers!$1:$1,0)-MATCH($F$1,enemy_skill_triggers!$1:$1,0)+1,FALSE)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3" s="48" t="str">
        <f ca="1">VLOOKUP($F293,OFFSET(enemy_skill_triggers!$A$1,0,0,COUNTA(enemy_skill_triggers!$A:$A),MATCH(M$1,enemy_skill_triggers!$1:$1,0)-MATCH($F$1,enemy_skill_triggers!$1:$1,0)+1),MATCH(M$1,enemy_skill_triggers!$1:$1,0)-MATCH($F$1,enemy_skill_triggers!$1:$1,0)+1,FALSE)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3" s="48">
        <f ca="1">VLOOKUP($F293,OFFSET(enemy_skill_triggers!$A$1,0,0,COUNTA(enemy_skill_triggers!$A:$A),MATCH(N$1,enemy_skill_triggers!$1:$1,0)-MATCH($F$1,enemy_skill_triggers!$1:$1,0)+1),MATCH(N$1,enemy_skill_triggers!$1:$1,0)-MATCH($F$1,enemy_skill_triggers!$1:$1,0)+1,FALSE)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293" s="48">
        <f ca="1">VLOOKUP($F293,OFFSET(enemy_skill_triggers!$A$1,0,0,COUNTA(enemy_skill_triggers!$A:$A),MATCH(O$1,enemy_skill_triggers!$1:$1,0)-MATCH($F$1,enemy_skill_triggers!$1:$1,0)+1),MATCH(O$1,enemy_skill_triggers!$1:$1,0)-MATCH($F$1,enemy_skill_triggers!$1:$1,0)+1,FALSE)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3" s="47"/>
      <c r="Q293" s="47"/>
      <c r="R293" s="47"/>
    </row>
    <row r="294" spans="1:18" ht="21" customHeight="1" x14ac:dyDescent="0.15">
      <c r="A294" s="39" t="str">
        <f t="shared" si="17"/>
        <v>47004540_47004541</v>
      </c>
      <c r="B294" s="127">
        <v>47004540</v>
      </c>
      <c r="C294" s="47">
        <v>47004541</v>
      </c>
      <c r="D294" s="46" t="str">
        <f ca="1">VLOOKUP($C294,OFFSET(enemy_skills!$A$1,0,0,COUNTA(enemy_skills!$A:$A),MATCH(D$1,enemy_skills!$1:$1,0)-MATCH("enemy_skill_id",enemy_skills!$1:$1,0)+1),MATCH(D$1,enemy_skills!$1:$1,0)-MATCH("enemy_skill_id",enemy_skills!$1:$1,0)+1,FALSE)</f>
        <v>……</v>
      </c>
      <c r="E294" s="46" t="str">
        <f ca="1">VLOOKUP($C294,OFFSET(enemy_skills!$A$1,0,0,COUNTA(enemy_skills!$A:$A),MATCH(E$1,enemy_skills!$1:$1,0)-MATCH("enemy_skill_id",enemy_skills!$1:$1,0)+1),MATCH(E$1,enemy_skills!$1:$1,0)-MATCH("enemy_skill_id",enemy_skills!$1:$1,0)+1,FALSE)</f>
        <v>マシン・シュプールはこちらの様子を伺っている_x000D_【解除するまで全属性の攻撃をカウンター】</v>
      </c>
      <c r="F294" s="47">
        <v>47004541</v>
      </c>
      <c r="G294" s="48">
        <f ca="1">VLOOKUP($F294,OFFSET(enemy_skill_triggers!$A$1,0,0,COUNTA(enemy_skill_triggers!$A:$A),MATCH(G$1,enemy_skill_triggers!$1:$1,0)-MATCH($F$1,enemy_skill_triggers!$1:$1,0)+1),MATCH(G$1,enemy_skill_triggers!$1:$1,0)-MATCH($F$1,enemy_skill_triggers!$1:$1,0)+1,FALSE)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4" s="48">
        <f ca="1">VLOOKUP($F294,OFFSET(enemy_skill_triggers!$A$1,0,0,COUNTA(enemy_skill_triggers!$A:$A),MATCH(H$1,enemy_skill_triggers!$1:$1,0)-MATCH($F$1,enemy_skill_triggers!$1:$1,0)+1),MATCH(H$1,enemy_skill_triggers!$1:$1,0)-MATCH($F$1,enemy_skill_triggers!$1:$1,0)+1,FALSE)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4" s="48">
        <f ca="1">VLOOKUP($F294,OFFSET(enemy_skill_triggers!$A$1,0,0,COUNTA(enemy_skill_triggers!$A:$A),MATCH(I$1,enemy_skill_triggers!$1:$1,0)-MATCH($F$1,enemy_skill_triggers!$1:$1,0)+1),MATCH(I$1,enemy_skill_triggers!$1:$1,0)-MATCH($F$1,enemy_skill_triggers!$1:$1,0)+1,FALSE)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4" s="48" t="str">
        <f ca="1">VLOOKUP($F294,OFFSET(enemy_skill_triggers!$A$1,0,0,COUNTA(enemy_skill_triggers!$A:$A),MATCH(J$1,enemy_skill_triggers!$1:$1,0)-MATCH($F$1,enemy_skill_triggers!$1:$1,0)+1),MATCH(J$1,enemy_skill_triggers!$1:$1,0)-MATCH($F$1,enemy_skill_triggers!$1:$1,0)+1,FALSE)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4" s="48" t="str">
        <f ca="1">VLOOKUP($F294,OFFSET(enemy_skill_triggers!$A$1,0,0,COUNTA(enemy_skill_triggers!$A:$A),MATCH(K$1,enemy_skill_triggers!$1:$1,0)-MATCH($F$1,enemy_skill_triggers!$1:$1,0)+1),MATCH(K$1,enemy_skill_triggers!$1:$1,0)-MATCH($F$1,enemy_skill_triggers!$1:$1,0)+1,FALSE)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4" s="48">
        <f ca="1">VLOOKUP($F294,OFFSET(enemy_skill_triggers!$A$1,0,0,COUNTA(enemy_skill_triggers!$A:$A),MATCH(L$1,enemy_skill_triggers!$1:$1,0)-MATCH($F$1,enemy_skill_triggers!$1:$1,0)+1),MATCH(L$1,enemy_skill_triggers!$1:$1,0)-MATCH($F$1,enemy_skill_triggers!$1:$1,0)+1,FALSE)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4" s="48" t="str">
        <f ca="1">VLOOKUP($F294,OFFSET(enemy_skill_triggers!$A$1,0,0,COUNTA(enemy_skill_triggers!$A:$A),MATCH(M$1,enemy_skill_triggers!$1:$1,0)-MATCH($F$1,enemy_skill_triggers!$1:$1,0)+1),MATCH(M$1,enemy_skill_triggers!$1:$1,0)-MATCH($F$1,enemy_skill_triggers!$1:$1,0)+1,FALSE)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4" s="48" t="str">
        <f ca="1">VLOOKUP($F294,OFFSET(enemy_skill_triggers!$A$1,0,0,COUNTA(enemy_skill_triggers!$A:$A),MATCH(N$1,enemy_skill_triggers!$1:$1,0)-MATCH($F$1,enemy_skill_triggers!$1:$1,0)+1),MATCH(N$1,enemy_skill_triggers!$1:$1,0)-MATCH($F$1,enemy_skill_triggers!$1:$1,0)+1,FALSE)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4" s="48">
        <f ca="1">VLOOKUP($F294,OFFSET(enemy_skill_triggers!$A$1,0,0,COUNTA(enemy_skill_triggers!$A:$A),MATCH(O$1,enemy_skill_triggers!$1:$1,0)-MATCH($F$1,enemy_skill_triggers!$1:$1,0)+1),MATCH(O$1,enemy_skill_triggers!$1:$1,0)-MATCH($F$1,enemy_skill_triggers!$1:$1,0)+1,FALSE)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4" s="47"/>
      <c r="Q294" s="47"/>
      <c r="R294" s="47"/>
    </row>
    <row r="295" spans="1:18" ht="21" customHeight="1" x14ac:dyDescent="0.15">
      <c r="A295" s="39" t="str">
        <f t="shared" si="17"/>
        <v>47004540_47004542</v>
      </c>
      <c r="B295" s="127">
        <v>47004540</v>
      </c>
      <c r="C295" s="47">
        <v>47004542</v>
      </c>
      <c r="D295" s="46" t="str">
        <f ca="1">VLOOKUP($C295,OFFSET(enemy_skills!$A$1,0,0,COUNTA(enemy_skills!$A:$A),MATCH(D$1,enemy_skills!$1:$1,0)-MATCH("enemy_skill_id",enemy_skills!$1:$1,0)+1),MATCH(D$1,enemy_skills!$1:$1,0)-MATCH("enemy_skill_id",enemy_skills!$1:$1,0)+1,FALSE)</f>
        <v>その結晶は鏡の欠片のよう</v>
      </c>
      <c r="E295" s="46" t="str">
        <f ca="1">VLOOKUP($C295,OFFSET(enemy_skills!$A$1,0,0,COUNTA(enemy_skills!$A:$A),MATCH(E$1,enemy_skills!$1:$1,0)-MATCH("enemy_skill_id",enemy_skills!$1:$1,0)+1),MATCH(E$1,enemy_skills!$1:$1,0)-MATCH("enemy_skill_id",enemy_skills!$1:$1,0)+1,FALSE)</f>
        <v>黄パネルを青のダメージパネルに5個変換+単体攻撃</v>
      </c>
      <c r="F295" s="47">
        <v>47004542</v>
      </c>
      <c r="G295" s="48">
        <f ca="1">VLOOKUP($F295,OFFSET(enemy_skill_triggers!$A$1,0,0,COUNTA(enemy_skill_triggers!$A:$A),MATCH(G$1,enemy_skill_triggers!$1:$1,0)-MATCH($F$1,enemy_skill_triggers!$1:$1,0)+1),MATCH(G$1,enemy_skill_triggers!$1:$1,0)-MATCH($F$1,enemy_skill_triggers!$1:$1,0)+1,FALSE)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5" s="48">
        <f ca="1">VLOOKUP($F295,OFFSET(enemy_skill_triggers!$A$1,0,0,COUNTA(enemy_skill_triggers!$A:$A),MATCH(H$1,enemy_skill_triggers!$1:$1,0)-MATCH($F$1,enemy_skill_triggers!$1:$1,0)+1),MATCH(H$1,enemy_skill_triggers!$1:$1,0)-MATCH($F$1,enemy_skill_triggers!$1:$1,0)+1,FALSE)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95" s="48">
        <f ca="1">VLOOKUP($F295,OFFSET(enemy_skill_triggers!$A$1,0,0,COUNTA(enemy_skill_triggers!$A:$A),MATCH(I$1,enemy_skill_triggers!$1:$1,0)-MATCH($F$1,enemy_skill_triggers!$1:$1,0)+1),MATCH(I$1,enemy_skill_triggers!$1:$1,0)-MATCH($F$1,enemy_skill_triggers!$1:$1,0)+1,FALSE)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5" s="48" t="str">
        <f ca="1">VLOOKUP($F295,OFFSET(enemy_skill_triggers!$A$1,0,0,COUNTA(enemy_skill_triggers!$A:$A),MATCH(J$1,enemy_skill_triggers!$1:$1,0)-MATCH($F$1,enemy_skill_triggers!$1:$1,0)+1),MATCH(J$1,enemy_skill_triggers!$1:$1,0)-MATCH($F$1,enemy_skill_triggers!$1:$1,0)+1,FALSE)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5" s="48" t="str">
        <f ca="1">VLOOKUP($F295,OFFSET(enemy_skill_triggers!$A$1,0,0,COUNTA(enemy_skill_triggers!$A:$A),MATCH(K$1,enemy_skill_triggers!$1:$1,0)-MATCH($F$1,enemy_skill_triggers!$1:$1,0)+1),MATCH(K$1,enemy_skill_triggers!$1:$1,0)-MATCH($F$1,enemy_skill_triggers!$1:$1,0)+1,FALSE)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5" s="48" t="str">
        <f ca="1">VLOOKUP($F295,OFFSET(enemy_skill_triggers!$A$1,0,0,COUNTA(enemy_skill_triggers!$A:$A),MATCH(L$1,enemy_skill_triggers!$1:$1,0)-MATCH($F$1,enemy_skill_triggers!$1:$1,0)+1),MATCH(L$1,enemy_skill_triggers!$1:$1,0)-MATCH($F$1,enemy_skill_triggers!$1:$1,0)+1,FALSE)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5" s="48">
        <f ca="1">VLOOKUP($F295,OFFSET(enemy_skill_triggers!$A$1,0,0,COUNTA(enemy_skill_triggers!$A:$A),MATCH(M$1,enemy_skill_triggers!$1:$1,0)-MATCH($F$1,enemy_skill_triggers!$1:$1,0)+1),MATCH(M$1,enemy_skill_triggers!$1:$1,0)-MATCH($F$1,enemy_skill_triggers!$1:$1,0)+1,FALSE)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5" s="48" t="str">
        <f ca="1">VLOOKUP($F295,OFFSET(enemy_skill_triggers!$A$1,0,0,COUNTA(enemy_skill_triggers!$A:$A),MATCH(N$1,enemy_skill_triggers!$1:$1,0)-MATCH($F$1,enemy_skill_triggers!$1:$1,0)+1),MATCH(N$1,enemy_skill_triggers!$1:$1,0)-MATCH($F$1,enemy_skill_triggers!$1:$1,0)+1,FALSE)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5" s="48">
        <f ca="1">VLOOKUP($F295,OFFSET(enemy_skill_triggers!$A$1,0,0,COUNTA(enemy_skill_triggers!$A:$A),MATCH(O$1,enemy_skill_triggers!$1:$1,0)-MATCH($F$1,enemy_skill_triggers!$1:$1,0)+1),MATCH(O$1,enemy_skill_triggers!$1:$1,0)-MATCH($F$1,enemy_skill_triggers!$1:$1,0)+1,FALSE)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5" s="47"/>
      <c r="Q295" s="47"/>
      <c r="R295" s="47"/>
    </row>
    <row r="296" spans="1:18" ht="21" customHeight="1" x14ac:dyDescent="0.15">
      <c r="A296" s="39" t="str">
        <f t="shared" si="17"/>
        <v>47004540_47004543</v>
      </c>
      <c r="B296" s="127">
        <v>47004540</v>
      </c>
      <c r="C296" s="47">
        <v>47004543</v>
      </c>
      <c r="D296" s="46" t="str">
        <f ca="1">VLOOKUP($C296,OFFSET(enemy_skills!$A$1,0,0,COUNTA(enemy_skills!$A:$A),MATCH(D$1,enemy_skills!$1:$1,0)-MATCH("enemy_skill_id",enemy_skills!$1:$1,0)+1),MATCH(D$1,enemy_skills!$1:$1,0)-MATCH("enemy_skill_id",enemy_skills!$1:$1,0)+1,FALSE)</f>
        <v>眠りに誘う氷激</v>
      </c>
      <c r="E296" s="46" t="str">
        <f ca="1">VLOOKUP($C296,OFFSET(enemy_skills!$A$1,0,0,COUNTA(enemy_skills!$A:$A),MATCH(E$1,enemy_skills!$1:$1,0)-MATCH("enemy_skill_id",enemy_skills!$1:$1,0)+1),MATCH(E$1,enemy_skills!$1:$1,0)-MATCH("enemy_skill_id",enemy_skills!$1:$1,0)+1,FALSE)</f>
        <v>2ターンユニット1体にスリープ+単体攻撃</v>
      </c>
      <c r="F296" s="47">
        <v>47004543</v>
      </c>
      <c r="G296" s="48">
        <f ca="1">VLOOKUP($F296,OFFSET(enemy_skill_triggers!$A$1,0,0,COUNTA(enemy_skill_triggers!$A:$A),MATCH(G$1,enemy_skill_triggers!$1:$1,0)-MATCH($F$1,enemy_skill_triggers!$1:$1,0)+1),MATCH(G$1,enemy_skill_triggers!$1:$1,0)-MATCH($F$1,enemy_skill_triggers!$1:$1,0)+1,FALSE)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6" s="48">
        <f ca="1">VLOOKUP($F296,OFFSET(enemy_skill_triggers!$A$1,0,0,COUNTA(enemy_skill_triggers!$A:$A),MATCH(H$1,enemy_skill_triggers!$1:$1,0)-MATCH($F$1,enemy_skill_triggers!$1:$1,0)+1),MATCH(H$1,enemy_skill_triggers!$1:$1,0)-MATCH($F$1,enemy_skill_triggers!$1:$1,0)+1,FALSE)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96" s="48">
        <f ca="1">VLOOKUP($F296,OFFSET(enemy_skill_triggers!$A$1,0,0,COUNTA(enemy_skill_triggers!$A:$A),MATCH(I$1,enemy_skill_triggers!$1:$1,0)-MATCH($F$1,enemy_skill_triggers!$1:$1,0)+1),MATCH(I$1,enemy_skill_triggers!$1:$1,0)-MATCH($F$1,enemy_skill_triggers!$1:$1,0)+1,FALSE)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6" s="48" t="str">
        <f ca="1">VLOOKUP($F296,OFFSET(enemy_skill_triggers!$A$1,0,0,COUNTA(enemy_skill_triggers!$A:$A),MATCH(J$1,enemy_skill_triggers!$1:$1,0)-MATCH($F$1,enemy_skill_triggers!$1:$1,0)+1),MATCH(J$1,enemy_skill_triggers!$1:$1,0)-MATCH($F$1,enemy_skill_triggers!$1:$1,0)+1,FALSE)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6" s="48" t="str">
        <f ca="1">VLOOKUP($F296,OFFSET(enemy_skill_triggers!$A$1,0,0,COUNTA(enemy_skill_triggers!$A:$A),MATCH(K$1,enemy_skill_triggers!$1:$1,0)-MATCH($F$1,enemy_skill_triggers!$1:$1,0)+1),MATCH(K$1,enemy_skill_triggers!$1:$1,0)-MATCH($F$1,enemy_skill_triggers!$1:$1,0)+1,FALSE)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6" s="48" t="str">
        <f ca="1">VLOOKUP($F296,OFFSET(enemy_skill_triggers!$A$1,0,0,COUNTA(enemy_skill_triggers!$A:$A),MATCH(L$1,enemy_skill_triggers!$1:$1,0)-MATCH($F$1,enemy_skill_triggers!$1:$1,0)+1),MATCH(L$1,enemy_skill_triggers!$1:$1,0)-MATCH($F$1,enemy_skill_triggers!$1:$1,0)+1,FALSE)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6" s="48">
        <f ca="1">VLOOKUP($F296,OFFSET(enemy_skill_triggers!$A$1,0,0,COUNTA(enemy_skill_triggers!$A:$A),MATCH(M$1,enemy_skill_triggers!$1:$1,0)-MATCH($F$1,enemy_skill_triggers!$1:$1,0)+1),MATCH(M$1,enemy_skill_triggers!$1:$1,0)-MATCH($F$1,enemy_skill_triggers!$1:$1,0)+1,FALSE)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96" s="48" t="str">
        <f ca="1">VLOOKUP($F296,OFFSET(enemy_skill_triggers!$A$1,0,0,COUNTA(enemy_skill_triggers!$A:$A),MATCH(N$1,enemy_skill_triggers!$1:$1,0)-MATCH($F$1,enemy_skill_triggers!$1:$1,0)+1),MATCH(N$1,enemy_skill_triggers!$1:$1,0)-MATCH($F$1,enemy_skill_triggers!$1:$1,0)+1,FALSE)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6" s="48">
        <f ca="1">VLOOKUP($F296,OFFSET(enemy_skill_triggers!$A$1,0,0,COUNTA(enemy_skill_triggers!$A:$A),MATCH(O$1,enemy_skill_triggers!$1:$1,0)-MATCH($F$1,enemy_skill_triggers!$1:$1,0)+1),MATCH(O$1,enemy_skill_triggers!$1:$1,0)-MATCH($F$1,enemy_skill_triggers!$1:$1,0)+1,FALSE)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6" s="47"/>
      <c r="Q296" s="47"/>
      <c r="R296" s="47"/>
    </row>
    <row r="297" spans="1:18" ht="21" customHeight="1" x14ac:dyDescent="0.15">
      <c r="A297" s="39" t="str">
        <f t="shared" si="17"/>
        <v>47004540_47004544</v>
      </c>
      <c r="B297" s="127">
        <v>47004540</v>
      </c>
      <c r="C297" s="47">
        <v>47004544</v>
      </c>
      <c r="D297" s="46" t="str">
        <f ca="1">VLOOKUP($C297,OFFSET(enemy_skills!$A$1,0,0,COUNTA(enemy_skills!$A:$A),MATCH(D$1,enemy_skills!$1:$1,0)-MATCH("enemy_skill_id",enemy_skills!$1:$1,0)+1),MATCH(D$1,enemy_skills!$1:$1,0)-MATCH("enemy_skill_id",enemy_skills!$1:$1,0)+1,FALSE)</f>
        <v>……僕に構わないでくれ</v>
      </c>
      <c r="E297" s="46" t="str">
        <f ca="1">VLOOKUP($C297,OFFSET(enemy_skills!$A$1,0,0,COUNTA(enemy_skills!$A:$A),MATCH(E$1,enemy_skills!$1:$1,0)-MATCH("enemy_skill_id",enemy_skills!$1:$1,0)+1),MATCH(E$1,enemy_skills!$1:$1,0)-MATCH("enemy_skill_id",enemy_skills!$1:$1,0)+1,FALSE)</f>
        <v>ハートパネルを青パネルに5個変換+行動頻度UP</v>
      </c>
      <c r="F297" s="47">
        <v>47004544</v>
      </c>
      <c r="G297" s="48">
        <f ca="1">VLOOKUP($F297,OFFSET(enemy_skill_triggers!$A$1,0,0,COUNTA(enemy_skill_triggers!$A:$A),MATCH(G$1,enemy_skill_triggers!$1:$1,0)-MATCH($F$1,enemy_skill_triggers!$1:$1,0)+1),MATCH(G$1,enemy_skill_triggers!$1:$1,0)-MATCH($F$1,enemy_skill_triggers!$1:$1,0)+1,FALSE)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7" s="48">
        <f ca="1">VLOOKUP($F297,OFFSET(enemy_skill_triggers!$A$1,0,0,COUNTA(enemy_skill_triggers!$A:$A),MATCH(H$1,enemy_skill_triggers!$1:$1,0)-MATCH($F$1,enemy_skill_triggers!$1:$1,0)+1),MATCH(H$1,enemy_skill_triggers!$1:$1,0)-MATCH($F$1,enemy_skill_triggers!$1:$1,0)+1,FALSE)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97" s="48">
        <f ca="1">VLOOKUP($F297,OFFSET(enemy_skill_triggers!$A$1,0,0,COUNTA(enemy_skill_triggers!$A:$A),MATCH(I$1,enemy_skill_triggers!$1:$1,0)-MATCH($F$1,enemy_skill_triggers!$1:$1,0)+1),MATCH(I$1,enemy_skill_triggers!$1:$1,0)-MATCH($F$1,enemy_skill_triggers!$1:$1,0)+1,FALSE)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7" s="48">
        <f ca="1">VLOOKUP($F297,OFFSET(enemy_skill_triggers!$A$1,0,0,COUNTA(enemy_skill_triggers!$A:$A),MATCH(J$1,enemy_skill_triggers!$1:$1,0)-MATCH($F$1,enemy_skill_triggers!$1:$1,0)+1),MATCH(J$1,enemy_skill_triggers!$1:$1,0)-MATCH($F$1,enemy_skill_triggers!$1:$1,0)+1,FALSE)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7" s="48" t="str">
        <f ca="1">VLOOKUP($F297,OFFSET(enemy_skill_triggers!$A$1,0,0,COUNTA(enemy_skill_triggers!$A:$A),MATCH(K$1,enemy_skill_triggers!$1:$1,0)-MATCH($F$1,enemy_skill_triggers!$1:$1,0)+1),MATCH(K$1,enemy_skill_triggers!$1:$1,0)-MATCH($F$1,enemy_skill_triggers!$1:$1,0)+1,FALSE)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7" s="48">
        <f ca="1">VLOOKUP($F297,OFFSET(enemy_skill_triggers!$A$1,0,0,COUNTA(enemy_skill_triggers!$A:$A),MATCH(L$1,enemy_skill_triggers!$1:$1,0)-MATCH($F$1,enemy_skill_triggers!$1:$1,0)+1),MATCH(L$1,enemy_skill_triggers!$1:$1,0)-MATCH($F$1,enemy_skill_triggers!$1:$1,0)+1,FALSE)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7" s="48">
        <f ca="1">VLOOKUP($F297,OFFSET(enemy_skill_triggers!$A$1,0,0,COUNTA(enemy_skill_triggers!$A:$A),MATCH(M$1,enemy_skill_triggers!$1:$1,0)-MATCH($F$1,enemy_skill_triggers!$1:$1,0)+1),MATCH(M$1,enemy_skill_triggers!$1:$1,0)-MATCH($F$1,enemy_skill_triggers!$1:$1,0)+1,FALSE)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7" s="48" t="str">
        <f ca="1">VLOOKUP($F297,OFFSET(enemy_skill_triggers!$A$1,0,0,COUNTA(enemy_skill_triggers!$A:$A),MATCH(N$1,enemy_skill_triggers!$1:$1,0)-MATCH($F$1,enemy_skill_triggers!$1:$1,0)+1),MATCH(N$1,enemy_skill_triggers!$1:$1,0)-MATCH($F$1,enemy_skill_triggers!$1:$1,0)+1,FALSE)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7" s="48">
        <f ca="1">VLOOKUP($F297,OFFSET(enemy_skill_triggers!$A$1,0,0,COUNTA(enemy_skill_triggers!$A:$A),MATCH(O$1,enemy_skill_triggers!$1:$1,0)-MATCH($F$1,enemy_skill_triggers!$1:$1,0)+1),MATCH(O$1,enemy_skill_triggers!$1:$1,0)-MATCH($F$1,enemy_skill_triggers!$1:$1,0)+1,FALSE)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7" s="47"/>
      <c r="Q297" s="47"/>
      <c r="R297" s="47"/>
    </row>
    <row r="298" spans="1:18" ht="21" customHeight="1" x14ac:dyDescent="0.15">
      <c r="A298" s="39" t="str">
        <f t="shared" si="17"/>
        <v>47004550_47004551</v>
      </c>
      <c r="B298" s="127">
        <v>47004550</v>
      </c>
      <c r="C298" s="47">
        <v>47004551</v>
      </c>
      <c r="D298" s="46" t="str">
        <f ca="1">VLOOKUP($C298,OFFSET(enemy_skills!$A$1,0,0,COUNTA(enemy_skills!$A:$A),MATCH(D$1,enemy_skills!$1:$1,0)-MATCH("enemy_skill_id",enemy_skills!$1:$1,0)+1),MATCH(D$1,enemy_skills!$1:$1,0)-MATCH("enemy_skill_id",enemy_skills!$1:$1,0)+1,FALSE)</f>
        <v>……！！</v>
      </c>
      <c r="E298" s="46" t="str">
        <f ca="1">VLOOKUP($C298,OFFSET(enemy_skills!$A$1,0,0,COUNTA(enemy_skills!$A:$A),MATCH(E$1,enemy_skills!$1:$1,0)-MATCH("enemy_skill_id",enemy_skills!$1:$1,0)+1),MATCH(E$1,enemy_skills!$1:$1,0)-MATCH("enemy_skill_id",enemy_skills!$1:$1,0)+1,FALSE)</f>
        <v>マシン・シュプールは逃げようとしている！</v>
      </c>
      <c r="F298" s="47">
        <v>47004551</v>
      </c>
      <c r="G298" s="48">
        <f ca="1">VLOOKUP($F298,OFFSET(enemy_skill_triggers!$A$1,0,0,COUNTA(enemy_skill_triggers!$A:$A),MATCH(G$1,enemy_skill_triggers!$1:$1,0)-MATCH($F$1,enemy_skill_triggers!$1:$1,0)+1),MATCH(G$1,enemy_skill_triggers!$1:$1,0)-MATCH($F$1,enemy_skill_triggers!$1:$1,0)+1,FALSE)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8" s="48">
        <f ca="1">VLOOKUP($F298,OFFSET(enemy_skill_triggers!$A$1,0,0,COUNTA(enemy_skill_triggers!$A:$A),MATCH(H$1,enemy_skill_triggers!$1:$1,0)-MATCH($F$1,enemy_skill_triggers!$1:$1,0)+1),MATCH(H$1,enemy_skill_triggers!$1:$1,0)-MATCH($F$1,enemy_skill_triggers!$1:$1,0)+1,FALSE)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8" s="48">
        <f ca="1">VLOOKUP($F298,OFFSET(enemy_skill_triggers!$A$1,0,0,COUNTA(enemy_skill_triggers!$A:$A),MATCH(I$1,enemy_skill_triggers!$1:$1,0)-MATCH($F$1,enemy_skill_triggers!$1:$1,0)+1),MATCH(I$1,enemy_skill_triggers!$1:$1,0)-MATCH($F$1,enemy_skill_triggers!$1:$1,0)+1,FALSE)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8" s="48" t="str">
        <f ca="1">VLOOKUP($F298,OFFSET(enemy_skill_triggers!$A$1,0,0,COUNTA(enemy_skill_triggers!$A:$A),MATCH(J$1,enemy_skill_triggers!$1:$1,0)-MATCH($F$1,enemy_skill_triggers!$1:$1,0)+1),MATCH(J$1,enemy_skill_triggers!$1:$1,0)-MATCH($F$1,enemy_skill_triggers!$1:$1,0)+1,FALSE)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8" s="48" t="str">
        <f ca="1">VLOOKUP($F298,OFFSET(enemy_skill_triggers!$A$1,0,0,COUNTA(enemy_skill_triggers!$A:$A),MATCH(K$1,enemy_skill_triggers!$1:$1,0)-MATCH($F$1,enemy_skill_triggers!$1:$1,0)+1),MATCH(K$1,enemy_skill_triggers!$1:$1,0)-MATCH($F$1,enemy_skill_triggers!$1:$1,0)+1,FALSE)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8" s="48">
        <f ca="1">VLOOKUP($F298,OFFSET(enemy_skill_triggers!$A$1,0,0,COUNTA(enemy_skill_triggers!$A:$A),MATCH(L$1,enemy_skill_triggers!$1:$1,0)-MATCH($F$1,enemy_skill_triggers!$1:$1,0)+1),MATCH(L$1,enemy_skill_triggers!$1:$1,0)-MATCH($F$1,enemy_skill_triggers!$1:$1,0)+1,FALSE)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8" s="48" t="str">
        <f ca="1">VLOOKUP($F298,OFFSET(enemy_skill_triggers!$A$1,0,0,COUNTA(enemy_skill_triggers!$A:$A),MATCH(M$1,enemy_skill_triggers!$1:$1,0)-MATCH($F$1,enemy_skill_triggers!$1:$1,0)+1),MATCH(M$1,enemy_skill_triggers!$1:$1,0)-MATCH($F$1,enemy_skill_triggers!$1:$1,0)+1,FALSE)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8" s="48" t="str">
        <f ca="1">VLOOKUP($F298,OFFSET(enemy_skill_triggers!$A$1,0,0,COUNTA(enemy_skill_triggers!$A:$A),MATCH(N$1,enemy_skill_triggers!$1:$1,0)-MATCH($F$1,enemy_skill_triggers!$1:$1,0)+1),MATCH(N$1,enemy_skill_triggers!$1:$1,0)-MATCH($F$1,enemy_skill_triggers!$1:$1,0)+1,FALSE)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8" s="48">
        <f ca="1">VLOOKUP($F298,OFFSET(enemy_skill_triggers!$A$1,0,0,COUNTA(enemy_skill_triggers!$A:$A),MATCH(O$1,enemy_skill_triggers!$1:$1,0)-MATCH($F$1,enemy_skill_triggers!$1:$1,0)+1),MATCH(O$1,enemy_skill_triggers!$1:$1,0)-MATCH($F$1,enemy_skill_triggers!$1:$1,0)+1,FALSE)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8" s="47"/>
      <c r="Q298" s="47"/>
      <c r="R298" s="47"/>
    </row>
    <row r="299" spans="1:18" ht="21" customHeight="1" x14ac:dyDescent="0.15">
      <c r="A299" s="39" t="str">
        <f t="shared" si="17"/>
        <v>47004550_47004552</v>
      </c>
      <c r="B299" s="127">
        <v>47004550</v>
      </c>
      <c r="C299" s="47">
        <v>47004552</v>
      </c>
      <c r="D299" s="46" t="str">
        <f ca="1">VLOOKUP($C299,OFFSET(enemy_skills!$A$1,0,0,COUNTA(enemy_skills!$A:$A),MATCH(D$1,enemy_skills!$1:$1,0)-MATCH("enemy_skill_id",enemy_skills!$1:$1,0)+1),MATCH(D$1,enemy_skills!$1:$1,0)-MATCH("enemy_skill_id",enemy_skills!$1:$1,0)+1,FALSE)</f>
        <v>？？？「待って下さい！」</v>
      </c>
      <c r="E299" s="46" t="str">
        <f ca="1">VLOOKUP($C299,OFFSET(enemy_skills!$A$1,0,0,COUNTA(enemy_skills!$A:$A),MATCH(E$1,enemy_skills!$1:$1,0)-MATCH("enemy_skill_id",enemy_skills!$1:$1,0)+1),MATCH(E$1,enemy_skills!$1:$1,0)-MATCH("enemy_skill_id",enemy_skills!$1:$1,0)+1,FALSE)</f>
        <v>？？？「いつまでも閉じこもって困ったものです…あら？」</v>
      </c>
      <c r="F299" s="47">
        <v>47004552</v>
      </c>
      <c r="G299" s="48">
        <f ca="1">VLOOKUP($F299,OFFSET(enemy_skill_triggers!$A$1,0,0,COUNTA(enemy_skill_triggers!$A:$A),MATCH(G$1,enemy_skill_triggers!$1:$1,0)-MATCH($F$1,enemy_skill_triggers!$1:$1,0)+1),MATCH(G$1,enemy_skill_triggers!$1:$1,0)-MATCH($F$1,enemy_skill_triggers!$1:$1,0)+1,FALSE)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9" s="48">
        <f ca="1">VLOOKUP($F299,OFFSET(enemy_skill_triggers!$A$1,0,0,COUNTA(enemy_skill_triggers!$A:$A),MATCH(H$1,enemy_skill_triggers!$1:$1,0)-MATCH($F$1,enemy_skill_triggers!$1:$1,0)+1),MATCH(H$1,enemy_skill_triggers!$1:$1,0)-MATCH($F$1,enemy_skill_triggers!$1:$1,0)+1,FALSE)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99" s="48">
        <f ca="1">VLOOKUP($F299,OFFSET(enemy_skill_triggers!$A$1,0,0,COUNTA(enemy_skill_triggers!$A:$A),MATCH(I$1,enemy_skill_triggers!$1:$1,0)-MATCH($F$1,enemy_skill_triggers!$1:$1,0)+1),MATCH(I$1,enemy_skill_triggers!$1:$1,0)-MATCH($F$1,enemy_skill_triggers!$1:$1,0)+1,FALSE)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9" s="48" t="str">
        <f ca="1">VLOOKUP($F299,OFFSET(enemy_skill_triggers!$A$1,0,0,COUNTA(enemy_skill_triggers!$A:$A),MATCH(J$1,enemy_skill_triggers!$1:$1,0)-MATCH($F$1,enemy_skill_triggers!$1:$1,0)+1),MATCH(J$1,enemy_skill_triggers!$1:$1,0)-MATCH($F$1,enemy_skill_triggers!$1:$1,0)+1,FALSE)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9" s="48" t="str">
        <f ca="1">VLOOKUP($F299,OFFSET(enemy_skill_triggers!$A$1,0,0,COUNTA(enemy_skill_triggers!$A:$A),MATCH(K$1,enemy_skill_triggers!$1:$1,0)-MATCH($F$1,enemy_skill_triggers!$1:$1,0)+1),MATCH(K$1,enemy_skill_triggers!$1:$1,0)-MATCH($F$1,enemy_skill_triggers!$1:$1,0)+1,FALSE)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9" s="48">
        <f ca="1">VLOOKUP($F299,OFFSET(enemy_skill_triggers!$A$1,0,0,COUNTA(enemy_skill_triggers!$A:$A),MATCH(L$1,enemy_skill_triggers!$1:$1,0)-MATCH($F$1,enemy_skill_triggers!$1:$1,0)+1),MATCH(L$1,enemy_skill_triggers!$1:$1,0)-MATCH($F$1,enemy_skill_triggers!$1:$1,0)+1,FALSE)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9" s="48">
        <f ca="1">VLOOKUP($F299,OFFSET(enemy_skill_triggers!$A$1,0,0,COUNTA(enemy_skill_triggers!$A:$A),MATCH(M$1,enemy_skill_triggers!$1:$1,0)-MATCH($F$1,enemy_skill_triggers!$1:$1,0)+1),MATCH(M$1,enemy_skill_triggers!$1:$1,0)-MATCH($F$1,enemy_skill_triggers!$1:$1,0)+1,FALSE)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9" s="48" t="str">
        <f ca="1">VLOOKUP($F299,OFFSET(enemy_skill_triggers!$A$1,0,0,COUNTA(enemy_skill_triggers!$A:$A),MATCH(N$1,enemy_skill_triggers!$1:$1,0)-MATCH($F$1,enemy_skill_triggers!$1:$1,0)+1),MATCH(N$1,enemy_skill_triggers!$1:$1,0)-MATCH($F$1,enemy_skill_triggers!$1:$1,0)+1,FALSE)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9" s="48">
        <f ca="1">VLOOKUP($F299,OFFSET(enemy_skill_triggers!$A$1,0,0,COUNTA(enemy_skill_triggers!$A:$A),MATCH(O$1,enemy_skill_triggers!$1:$1,0)-MATCH($F$1,enemy_skill_triggers!$1:$1,0)+1),MATCH(O$1,enemy_skill_triggers!$1:$1,0)-MATCH($F$1,enemy_skill_triggers!$1:$1,0)+1,FALSE)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9" s="47"/>
      <c r="Q299" s="47"/>
      <c r="R299" s="47"/>
    </row>
    <row r="300" spans="1:18" ht="21" customHeight="1" x14ac:dyDescent="0.15">
      <c r="A300" s="39" t="str">
        <f t="shared" si="17"/>
        <v>47004560_47004561</v>
      </c>
      <c r="B300" s="127">
        <v>47004560</v>
      </c>
      <c r="C300" s="47">
        <v>47004561</v>
      </c>
      <c r="D300" s="46" t="str">
        <f ca="1">VLOOKUP($C300,OFFSET(enemy_skills!$A$1,0,0,COUNTA(enemy_skills!$A:$A),MATCH(D$1,enemy_skills!$1:$1,0)-MATCH("enemy_skill_id",enemy_skills!$1:$1,0)+1),MATCH(D$1,enemy_skills!$1:$1,0)-MATCH("enemy_skill_id",enemy_skills!$1:$1,0)+1,FALSE)</f>
        <v>みなさんお揃いですか！</v>
      </c>
      <c r="E300" s="46" t="str">
        <f ca="1">VLOOKUP($C300,OFFSET(enemy_skills!$A$1,0,0,COUNTA(enemy_skills!$A:$A),MATCH(E$1,enemy_skills!$1:$1,0)-MATCH("enemy_skill_id",enemy_skills!$1:$1,0)+1),MATCH(E$1,enemy_skills!$1:$1,0)-MATCH("enemy_skill_id",enemy_skills!$1:$1,0)+1,FALSE)</f>
        <v>…えぇ、この寒さは彼の影響でもあるんです</v>
      </c>
      <c r="F300" s="47">
        <v>47004561</v>
      </c>
      <c r="G300" s="48">
        <f ca="1">VLOOKUP($F300,OFFSET(enemy_skill_triggers!$A$1,0,0,COUNTA(enemy_skill_triggers!$A:$A),MATCH(G$1,enemy_skill_triggers!$1:$1,0)-MATCH($F$1,enemy_skill_triggers!$1:$1,0)+1),MATCH(G$1,enemy_skill_triggers!$1:$1,0)-MATCH($F$1,enemy_skill_triggers!$1:$1,0)+1,FALSE)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0" s="48">
        <f ca="1">VLOOKUP($F300,OFFSET(enemy_skill_triggers!$A$1,0,0,COUNTA(enemy_skill_triggers!$A:$A),MATCH(H$1,enemy_skill_triggers!$1:$1,0)-MATCH($F$1,enemy_skill_triggers!$1:$1,0)+1),MATCH(H$1,enemy_skill_triggers!$1:$1,0)-MATCH($F$1,enemy_skill_triggers!$1:$1,0)+1,FALSE)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0" s="48">
        <f ca="1">VLOOKUP($F300,OFFSET(enemy_skill_triggers!$A$1,0,0,COUNTA(enemy_skill_triggers!$A:$A),MATCH(I$1,enemy_skill_triggers!$1:$1,0)-MATCH($F$1,enemy_skill_triggers!$1:$1,0)+1),MATCH(I$1,enemy_skill_triggers!$1:$1,0)-MATCH($F$1,enemy_skill_triggers!$1:$1,0)+1,FALSE)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0" s="48" t="str">
        <f ca="1">VLOOKUP($F300,OFFSET(enemy_skill_triggers!$A$1,0,0,COUNTA(enemy_skill_triggers!$A:$A),MATCH(J$1,enemy_skill_triggers!$1:$1,0)-MATCH($F$1,enemy_skill_triggers!$1:$1,0)+1),MATCH(J$1,enemy_skill_triggers!$1:$1,0)-MATCH($F$1,enemy_skill_triggers!$1:$1,0)+1,FALSE)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0" s="48" t="str">
        <f ca="1">VLOOKUP($F300,OFFSET(enemy_skill_triggers!$A$1,0,0,COUNTA(enemy_skill_triggers!$A:$A),MATCH(K$1,enemy_skill_triggers!$1:$1,0)-MATCH($F$1,enemy_skill_triggers!$1:$1,0)+1),MATCH(K$1,enemy_skill_triggers!$1:$1,0)-MATCH($F$1,enemy_skill_triggers!$1:$1,0)+1,FALSE)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0" s="48">
        <f ca="1">VLOOKUP($F300,OFFSET(enemy_skill_triggers!$A$1,0,0,COUNTA(enemy_skill_triggers!$A:$A),MATCH(L$1,enemy_skill_triggers!$1:$1,0)-MATCH($F$1,enemy_skill_triggers!$1:$1,0)+1),MATCH(L$1,enemy_skill_triggers!$1:$1,0)-MATCH($F$1,enemy_skill_triggers!$1:$1,0)+1,FALSE)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0" s="48" t="str">
        <f ca="1">VLOOKUP($F300,OFFSET(enemy_skill_triggers!$A$1,0,0,COUNTA(enemy_skill_triggers!$A:$A),MATCH(M$1,enemy_skill_triggers!$1:$1,0)-MATCH($F$1,enemy_skill_triggers!$1:$1,0)+1),MATCH(M$1,enemy_skill_triggers!$1:$1,0)-MATCH($F$1,enemy_skill_triggers!$1:$1,0)+1,FALSE)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0" s="48" t="str">
        <f ca="1">VLOOKUP($F300,OFFSET(enemy_skill_triggers!$A$1,0,0,COUNTA(enemy_skill_triggers!$A:$A),MATCH(N$1,enemy_skill_triggers!$1:$1,0)-MATCH($F$1,enemy_skill_triggers!$1:$1,0)+1),MATCH(N$1,enemy_skill_triggers!$1:$1,0)-MATCH($F$1,enemy_skill_triggers!$1:$1,0)+1,FALSE)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0" s="48">
        <f ca="1">VLOOKUP($F300,OFFSET(enemy_skill_triggers!$A$1,0,0,COUNTA(enemy_skill_triggers!$A:$A),MATCH(O$1,enemy_skill_triggers!$1:$1,0)-MATCH($F$1,enemy_skill_triggers!$1:$1,0)+1),MATCH(O$1,enemy_skill_triggers!$1:$1,0)-MATCH($F$1,enemy_skill_triggers!$1:$1,0)+1,FALSE)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0" s="47"/>
      <c r="Q300" s="47"/>
      <c r="R300" s="47"/>
    </row>
    <row r="301" spans="1:18" ht="21" customHeight="1" x14ac:dyDescent="0.15">
      <c r="A301" s="39" t="str">
        <f t="shared" si="17"/>
        <v>47004560_47004562</v>
      </c>
      <c r="B301" s="127">
        <v>47004560</v>
      </c>
      <c r="C301" s="47">
        <v>47004562</v>
      </c>
      <c r="D301" s="46" t="str">
        <f ca="1">VLOOKUP($C301,OFFSET(enemy_skills!$A$1,0,0,COUNTA(enemy_skills!$A:$A),MATCH(D$1,enemy_skills!$1:$1,0)-MATCH("enemy_skill_id",enemy_skills!$1:$1,0)+1),MATCH(D$1,enemy_skills!$1:$1,0)-MATCH("enemy_skill_id",enemy_skills!$1:$1,0)+1,FALSE)</f>
        <v>それでは、楽しいクリスマスを心から祈っています！</v>
      </c>
      <c r="E301" s="46" t="str">
        <f ca="1">VLOOKUP($C301,OFFSET(enemy_skills!$A$1,0,0,COUNTA(enemy_skills!$A:$A),MATCH(E$1,enemy_skills!$1:$1,0)-MATCH("enemy_skill_id",enemy_skills!$1:$1,0)+1),MATCH(E$1,enemy_skills!$1:$1,0)-MATCH("enemy_skill_id",enemy_skills!$1:$1,0)+1,FALSE)</f>
        <v>ミカエルはまばゆい光とともに飛び去った_x000D_【黄パネルドロップ率DOWN】</v>
      </c>
      <c r="F301" s="47">
        <v>47004562</v>
      </c>
      <c r="G301" s="48">
        <f ca="1">VLOOKUP($F301,OFFSET(enemy_skill_triggers!$A$1,0,0,COUNTA(enemy_skill_triggers!$A:$A),MATCH(G$1,enemy_skill_triggers!$1:$1,0)-MATCH($F$1,enemy_skill_triggers!$1:$1,0)+1),MATCH(G$1,enemy_skill_triggers!$1:$1,0)-MATCH($F$1,enemy_skill_triggers!$1:$1,0)+1,FALSE)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1" s="48">
        <f ca="1">VLOOKUP($F301,OFFSET(enemy_skill_triggers!$A$1,0,0,COUNTA(enemy_skill_triggers!$A:$A),MATCH(H$1,enemy_skill_triggers!$1:$1,0)-MATCH($F$1,enemy_skill_triggers!$1:$1,0)+1),MATCH(H$1,enemy_skill_triggers!$1:$1,0)-MATCH($F$1,enemy_skill_triggers!$1:$1,0)+1,FALSE)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01" s="48">
        <f ca="1">VLOOKUP($F301,OFFSET(enemy_skill_triggers!$A$1,0,0,COUNTA(enemy_skill_triggers!$A:$A),MATCH(I$1,enemy_skill_triggers!$1:$1,0)-MATCH($F$1,enemy_skill_triggers!$1:$1,0)+1),MATCH(I$1,enemy_skill_triggers!$1:$1,0)-MATCH($F$1,enemy_skill_triggers!$1:$1,0)+1,FALSE)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1" s="48" t="str">
        <f ca="1">VLOOKUP($F301,OFFSET(enemy_skill_triggers!$A$1,0,0,COUNTA(enemy_skill_triggers!$A:$A),MATCH(J$1,enemy_skill_triggers!$1:$1,0)-MATCH($F$1,enemy_skill_triggers!$1:$1,0)+1),MATCH(J$1,enemy_skill_triggers!$1:$1,0)-MATCH($F$1,enemy_skill_triggers!$1:$1,0)+1,FALSE)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1" s="48" t="str">
        <f ca="1">VLOOKUP($F301,OFFSET(enemy_skill_triggers!$A$1,0,0,COUNTA(enemy_skill_triggers!$A:$A),MATCH(K$1,enemy_skill_triggers!$1:$1,0)-MATCH($F$1,enemy_skill_triggers!$1:$1,0)+1),MATCH(K$1,enemy_skill_triggers!$1:$1,0)-MATCH($F$1,enemy_skill_triggers!$1:$1,0)+1,FALSE)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1" s="48">
        <f ca="1">VLOOKUP($F301,OFFSET(enemy_skill_triggers!$A$1,0,0,COUNTA(enemy_skill_triggers!$A:$A),MATCH(L$1,enemy_skill_triggers!$1:$1,0)-MATCH($F$1,enemy_skill_triggers!$1:$1,0)+1),MATCH(L$1,enemy_skill_triggers!$1:$1,0)-MATCH($F$1,enemy_skill_triggers!$1:$1,0)+1,FALSE)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1" s="48">
        <f ca="1">VLOOKUP($F301,OFFSET(enemy_skill_triggers!$A$1,0,0,COUNTA(enemy_skill_triggers!$A:$A),MATCH(M$1,enemy_skill_triggers!$1:$1,0)-MATCH($F$1,enemy_skill_triggers!$1:$1,0)+1),MATCH(M$1,enemy_skill_triggers!$1:$1,0)-MATCH($F$1,enemy_skill_triggers!$1:$1,0)+1,FALSE)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1" s="48" t="str">
        <f ca="1">VLOOKUP($F301,OFFSET(enemy_skill_triggers!$A$1,0,0,COUNTA(enemy_skill_triggers!$A:$A),MATCH(N$1,enemy_skill_triggers!$1:$1,0)-MATCH($F$1,enemy_skill_triggers!$1:$1,0)+1),MATCH(N$1,enemy_skill_triggers!$1:$1,0)-MATCH($F$1,enemy_skill_triggers!$1:$1,0)+1,FALSE)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1" s="48">
        <f ca="1">VLOOKUP($F301,OFFSET(enemy_skill_triggers!$A$1,0,0,COUNTA(enemy_skill_triggers!$A:$A),MATCH(O$1,enemy_skill_triggers!$1:$1,0)-MATCH($F$1,enemy_skill_triggers!$1:$1,0)+1),MATCH(O$1,enemy_skill_triggers!$1:$1,0)-MATCH($F$1,enemy_skill_triggers!$1:$1,0)+1,FALSE)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1" s="47"/>
      <c r="Q301" s="47"/>
      <c r="R301" s="47"/>
    </row>
    <row r="302" spans="1:18" ht="21" customHeight="1" x14ac:dyDescent="0.15">
      <c r="A302" s="39" t="str">
        <f t="shared" si="17"/>
        <v>47004560_47004563</v>
      </c>
      <c r="B302" s="127">
        <v>47004560</v>
      </c>
      <c r="C302" s="47">
        <v>47004563</v>
      </c>
      <c r="D302" s="46" t="str">
        <f ca="1">VLOOKUP($C302,OFFSET(enemy_skills!$A$1,0,0,COUNTA(enemy_skills!$A:$A),MATCH(D$1,enemy_skills!$1:$1,0)-MATCH("enemy_skill_id",enemy_skills!$1:$1,0)+1),MATCH(D$1,enemy_skills!$1:$1,0)-MATCH("enemy_skill_id",enemy_skills!$1:$1,0)+1,FALSE)</f>
        <v>わぁ！ラチカさん_x000D_聖夜に雪を降らせてくださいな！</v>
      </c>
      <c r="E302" s="46" t="str">
        <f ca="1">VLOOKUP($C302,OFFSET(enemy_skills!$A$1,0,0,COUNTA(enemy_skills!$A:$A),MATCH(E$1,enemy_skills!$1:$1,0)-MATCH("enemy_skill_id",enemy_skills!$1:$1,0)+1),MATCH(E$1,enemy_skills!$1:$1,0)-MATCH("enemy_skill_id",enemy_skills!$1:$1,0)+1,FALSE)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302" s="47">
        <v>47004563</v>
      </c>
      <c r="G302" s="48">
        <f ca="1">VLOOKUP($F302,OFFSET(enemy_skill_triggers!$A$1,0,0,COUNTA(enemy_skill_triggers!$A:$A),MATCH(G$1,enemy_skill_triggers!$1:$1,0)-MATCH($F$1,enemy_skill_triggers!$1:$1,0)+1),MATCH(G$1,enemy_skill_triggers!$1:$1,0)-MATCH($F$1,enemy_skill_triggers!$1:$1,0)+1,FALSE)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2" s="48">
        <f ca="1">VLOOKUP($F302,OFFSET(enemy_skill_triggers!$A$1,0,0,COUNTA(enemy_skill_triggers!$A:$A),MATCH(H$1,enemy_skill_triggers!$1:$1,0)-MATCH($F$1,enemy_skill_triggers!$1:$1,0)+1),MATCH(H$1,enemy_skill_triggers!$1:$1,0)-MATCH($F$1,enemy_skill_triggers!$1:$1,0)+1,FALSE)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302" s="48">
        <f ca="1">VLOOKUP($F302,OFFSET(enemy_skill_triggers!$A$1,0,0,COUNTA(enemy_skill_triggers!$A:$A),MATCH(I$1,enemy_skill_triggers!$1:$1,0)-MATCH($F$1,enemy_skill_triggers!$1:$1,0)+1),MATCH(I$1,enemy_skill_triggers!$1:$1,0)-MATCH($F$1,enemy_skill_triggers!$1:$1,0)+1,FALSE)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2" s="48" t="str">
        <f ca="1">VLOOKUP($F302,OFFSET(enemy_skill_triggers!$A$1,0,0,COUNTA(enemy_skill_triggers!$A:$A),MATCH(J$1,enemy_skill_triggers!$1:$1,0)-MATCH($F$1,enemy_skill_triggers!$1:$1,0)+1),MATCH(J$1,enemy_skill_triggers!$1:$1,0)-MATCH($F$1,enemy_skill_triggers!$1:$1,0)+1,FALSE)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2" s="48" t="str">
        <f ca="1">VLOOKUP($F302,OFFSET(enemy_skill_triggers!$A$1,0,0,COUNTA(enemy_skill_triggers!$A:$A),MATCH(K$1,enemy_skill_triggers!$1:$1,0)-MATCH($F$1,enemy_skill_triggers!$1:$1,0)+1),MATCH(K$1,enemy_skill_triggers!$1:$1,0)-MATCH($F$1,enemy_skill_triggers!$1:$1,0)+1,FALSE)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2" s="48">
        <f ca="1">VLOOKUP($F302,OFFSET(enemy_skill_triggers!$A$1,0,0,COUNTA(enemy_skill_triggers!$A:$A),MATCH(L$1,enemy_skill_triggers!$1:$1,0)-MATCH($F$1,enemy_skill_triggers!$1:$1,0)+1),MATCH(L$1,enemy_skill_triggers!$1:$1,0)-MATCH($F$1,enemy_skill_triggers!$1:$1,0)+1,FALSE)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2" s="48">
        <f ca="1">VLOOKUP($F302,OFFSET(enemy_skill_triggers!$A$1,0,0,COUNTA(enemy_skill_triggers!$A:$A),MATCH(M$1,enemy_skill_triggers!$1:$1,0)-MATCH($F$1,enemy_skill_triggers!$1:$1,0)+1),MATCH(M$1,enemy_skill_triggers!$1:$1,0)-MATCH($F$1,enemy_skill_triggers!$1:$1,0)+1,FALSE)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2" s="48">
        <f ca="1">VLOOKUP($F302,OFFSET(enemy_skill_triggers!$A$1,0,0,COUNTA(enemy_skill_triggers!$A:$A),MATCH(N$1,enemy_skill_triggers!$1:$1,0)-MATCH($F$1,enemy_skill_triggers!$1:$1,0)+1),MATCH(N$1,enemy_skill_triggers!$1:$1,0)-MATCH($F$1,enemy_skill_triggers!$1:$1,0)+1,FALSE)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302" s="48">
        <f ca="1">VLOOKUP($F302,OFFSET(enemy_skill_triggers!$A$1,0,0,COUNTA(enemy_skill_triggers!$A:$A),MATCH(O$1,enemy_skill_triggers!$1:$1,0)-MATCH($F$1,enemy_skill_triggers!$1:$1,0)+1),MATCH(O$1,enemy_skill_triggers!$1:$1,0)-MATCH($F$1,enemy_skill_triggers!$1:$1,0)+1,FALSE)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2" s="47"/>
      <c r="Q302" s="47"/>
      <c r="R302" s="47"/>
    </row>
    <row r="303" spans="1:18" ht="21" customHeight="1" x14ac:dyDescent="0.15">
      <c r="A303" s="39" t="str">
        <f t="shared" si="17"/>
        <v>47004560_47004563</v>
      </c>
      <c r="B303" s="127">
        <v>47004560</v>
      </c>
      <c r="C303" s="47">
        <v>47004563</v>
      </c>
      <c r="D303" s="46" t="str">
        <f ca="1">VLOOKUP($C303,OFFSET(enemy_skills!$A$1,0,0,COUNTA(enemy_skills!$A:$A),MATCH(D$1,enemy_skills!$1:$1,0)-MATCH("enemy_skill_id",enemy_skills!$1:$1,0)+1),MATCH(D$1,enemy_skills!$1:$1,0)-MATCH("enemy_skill_id",enemy_skills!$1:$1,0)+1,FALSE)</f>
        <v>わぁ！ラチカさん_x000D_聖夜に雪を降らせてくださいな！</v>
      </c>
      <c r="E303" s="46" t="str">
        <f ca="1">VLOOKUP($C303,OFFSET(enemy_skills!$A$1,0,0,COUNTA(enemy_skills!$A:$A),MATCH(E$1,enemy_skills!$1:$1,0)-MATCH("enemy_skill_id",enemy_skills!$1:$1,0)+1),MATCH(E$1,enemy_skills!$1:$1,0)-MATCH("enemy_skill_id",enemy_skills!$1:$1,0)+1,FALSE)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303" s="47">
        <v>47004564</v>
      </c>
      <c r="G303" s="48">
        <f ca="1">VLOOKUP($F303,OFFSET(enemy_skill_triggers!$A$1,0,0,COUNTA(enemy_skill_triggers!$A:$A),MATCH(G$1,enemy_skill_triggers!$1:$1,0)-MATCH($F$1,enemy_skill_triggers!$1:$1,0)+1),MATCH(G$1,enemy_skill_triggers!$1:$1,0)-MATCH($F$1,enemy_skill_triggers!$1:$1,0)+1,FALSE)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3" s="48">
        <f ca="1">VLOOKUP($F303,OFFSET(enemy_skill_triggers!$A$1,0,0,COUNTA(enemy_skill_triggers!$A:$A),MATCH(H$1,enemy_skill_triggers!$1:$1,0)-MATCH($F$1,enemy_skill_triggers!$1:$1,0)+1),MATCH(H$1,enemy_skill_triggers!$1:$1,0)-MATCH($F$1,enemy_skill_triggers!$1:$1,0)+1,FALSE)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303" s="48">
        <f ca="1">VLOOKUP($F303,OFFSET(enemy_skill_triggers!$A$1,0,0,COUNTA(enemy_skill_triggers!$A:$A),MATCH(I$1,enemy_skill_triggers!$1:$1,0)-MATCH($F$1,enemy_skill_triggers!$1:$1,0)+1),MATCH(I$1,enemy_skill_triggers!$1:$1,0)-MATCH($F$1,enemy_skill_triggers!$1:$1,0)+1,FALSE)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3" s="48" t="str">
        <f ca="1">VLOOKUP($F303,OFFSET(enemy_skill_triggers!$A$1,0,0,COUNTA(enemy_skill_triggers!$A:$A),MATCH(J$1,enemy_skill_triggers!$1:$1,0)-MATCH($F$1,enemy_skill_triggers!$1:$1,0)+1),MATCH(J$1,enemy_skill_triggers!$1:$1,0)-MATCH($F$1,enemy_skill_triggers!$1:$1,0)+1,FALSE)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3" s="48" t="str">
        <f ca="1">VLOOKUP($F303,OFFSET(enemy_skill_triggers!$A$1,0,0,COUNTA(enemy_skill_triggers!$A:$A),MATCH(K$1,enemy_skill_triggers!$1:$1,0)-MATCH($F$1,enemy_skill_triggers!$1:$1,0)+1),MATCH(K$1,enemy_skill_triggers!$1:$1,0)-MATCH($F$1,enemy_skill_triggers!$1:$1,0)+1,FALSE)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3" s="48">
        <f ca="1">VLOOKUP($F303,OFFSET(enemy_skill_triggers!$A$1,0,0,COUNTA(enemy_skill_triggers!$A:$A),MATCH(L$1,enemy_skill_triggers!$1:$1,0)-MATCH($F$1,enemy_skill_triggers!$1:$1,0)+1),MATCH(L$1,enemy_skill_triggers!$1:$1,0)-MATCH($F$1,enemy_skill_triggers!$1:$1,0)+1,FALSE)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3" s="48">
        <f ca="1">VLOOKUP($F303,OFFSET(enemy_skill_triggers!$A$1,0,0,COUNTA(enemy_skill_triggers!$A:$A),MATCH(M$1,enemy_skill_triggers!$1:$1,0)-MATCH($F$1,enemy_skill_triggers!$1:$1,0)+1),MATCH(M$1,enemy_skill_triggers!$1:$1,0)-MATCH($F$1,enemy_skill_triggers!$1:$1,0)+1,FALSE)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3" s="48">
        <f ca="1">VLOOKUP($F303,OFFSET(enemy_skill_triggers!$A$1,0,0,COUNTA(enemy_skill_triggers!$A:$A),MATCH(N$1,enemy_skill_triggers!$1:$1,0)-MATCH($F$1,enemy_skill_triggers!$1:$1,0)+1),MATCH(N$1,enemy_skill_triggers!$1:$1,0)-MATCH($F$1,enemy_skill_triggers!$1:$1,0)+1,FALSE)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303" s="48">
        <f ca="1">VLOOKUP($F303,OFFSET(enemy_skill_triggers!$A$1,0,0,COUNTA(enemy_skill_triggers!$A:$A),MATCH(O$1,enemy_skill_triggers!$1:$1,0)-MATCH($F$1,enemy_skill_triggers!$1:$1,0)+1),MATCH(O$1,enemy_skill_triggers!$1:$1,0)-MATCH($F$1,enemy_skill_triggers!$1:$1,0)+1,FALSE)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3" s="47"/>
      <c r="Q303" s="47"/>
      <c r="R303" s="47"/>
    </row>
    <row r="304" spans="1:18" ht="21" customHeight="1" x14ac:dyDescent="0.15">
      <c r="A304" s="39" t="str">
        <f t="shared" si="17"/>
        <v>47004560_47004564</v>
      </c>
      <c r="B304" s="127">
        <v>47004560</v>
      </c>
      <c r="C304" s="47">
        <v>47004564</v>
      </c>
      <c r="D304" s="46" t="str">
        <f ca="1">VLOOKUP($C304,OFFSET(enemy_skills!$A$1,0,0,COUNTA(enemy_skills!$A:$A),MATCH(D$1,enemy_skills!$1:$1,0)-MATCH("enemy_skill_id",enemy_skills!$1:$1,0)+1),MATCH(D$1,enemy_skills!$1:$1,0)-MATCH("enemy_skill_id",enemy_skills!$1:$1,0)+1,FALSE)</f>
        <v>マリアさん！_x000D_聖夜の奇跡見せてください！</v>
      </c>
      <c r="E304" s="46" t="str">
        <f ca="1">VLOOKUP($C304,OFFSET(enemy_skills!$A$1,0,0,COUNTA(enemy_skills!$A:$A),MATCH(E$1,enemy_skills!$1:$1,0)-MATCH("enemy_skill_id",enemy_skills!$1:$1,0)+1),MATCH(E$1,enemy_skills!$1:$1,0)-MATCH("enemy_skill_id",enemy_skills!$1:$1,0)+1,FALSE)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304" s="47">
        <v>47004565</v>
      </c>
      <c r="G304" s="48">
        <f ca="1">VLOOKUP($F304,OFFSET(enemy_skill_triggers!$A$1,0,0,COUNTA(enemy_skill_triggers!$A:$A),MATCH(G$1,enemy_skill_triggers!$1:$1,0)-MATCH($F$1,enemy_skill_triggers!$1:$1,0)+1),MATCH(G$1,enemy_skill_triggers!$1:$1,0)-MATCH($F$1,enemy_skill_triggers!$1:$1,0)+1,FALSE)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4" s="48">
        <f ca="1">VLOOKUP($F304,OFFSET(enemy_skill_triggers!$A$1,0,0,COUNTA(enemy_skill_triggers!$A:$A),MATCH(H$1,enemy_skill_triggers!$1:$1,0)-MATCH($F$1,enemy_skill_triggers!$1:$1,0)+1),MATCH(H$1,enemy_skill_triggers!$1:$1,0)-MATCH($F$1,enemy_skill_triggers!$1:$1,0)+1,FALSE)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304" s="48">
        <f ca="1">VLOOKUP($F304,OFFSET(enemy_skill_triggers!$A$1,0,0,COUNTA(enemy_skill_triggers!$A:$A),MATCH(I$1,enemy_skill_triggers!$1:$1,0)-MATCH($F$1,enemy_skill_triggers!$1:$1,0)+1),MATCH(I$1,enemy_skill_triggers!$1:$1,0)-MATCH($F$1,enemy_skill_triggers!$1:$1,0)+1,FALSE)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4" s="48" t="str">
        <f ca="1">VLOOKUP($F304,OFFSET(enemy_skill_triggers!$A$1,0,0,COUNTA(enemy_skill_triggers!$A:$A),MATCH(J$1,enemy_skill_triggers!$1:$1,0)-MATCH($F$1,enemy_skill_triggers!$1:$1,0)+1),MATCH(J$1,enemy_skill_triggers!$1:$1,0)-MATCH($F$1,enemy_skill_triggers!$1:$1,0)+1,FALSE)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4" s="48" t="str">
        <f ca="1">VLOOKUP($F304,OFFSET(enemy_skill_triggers!$A$1,0,0,COUNTA(enemy_skill_triggers!$A:$A),MATCH(K$1,enemy_skill_triggers!$1:$1,0)-MATCH($F$1,enemy_skill_triggers!$1:$1,0)+1),MATCH(K$1,enemy_skill_triggers!$1:$1,0)-MATCH($F$1,enemy_skill_triggers!$1:$1,0)+1,FALSE)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4" s="48">
        <f ca="1">VLOOKUP($F304,OFFSET(enemy_skill_triggers!$A$1,0,0,COUNTA(enemy_skill_triggers!$A:$A),MATCH(L$1,enemy_skill_triggers!$1:$1,0)-MATCH($F$1,enemy_skill_triggers!$1:$1,0)+1),MATCH(L$1,enemy_skill_triggers!$1:$1,0)-MATCH($F$1,enemy_skill_triggers!$1:$1,0)+1,FALSE)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4" s="48">
        <f ca="1">VLOOKUP($F304,OFFSET(enemy_skill_triggers!$A$1,0,0,COUNTA(enemy_skill_triggers!$A:$A),MATCH(M$1,enemy_skill_triggers!$1:$1,0)-MATCH($F$1,enemy_skill_triggers!$1:$1,0)+1),MATCH(M$1,enemy_skill_triggers!$1:$1,0)-MATCH($F$1,enemy_skill_triggers!$1:$1,0)+1,FALSE)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4" s="48">
        <f ca="1">VLOOKUP($F304,OFFSET(enemy_skill_triggers!$A$1,0,0,COUNTA(enemy_skill_triggers!$A:$A),MATCH(N$1,enemy_skill_triggers!$1:$1,0)-MATCH($F$1,enemy_skill_triggers!$1:$1,0)+1),MATCH(N$1,enemy_skill_triggers!$1:$1,0)-MATCH($F$1,enemy_skill_triggers!$1:$1,0)+1,FALSE)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304" s="48">
        <f ca="1">VLOOKUP($F304,OFFSET(enemy_skill_triggers!$A$1,0,0,COUNTA(enemy_skill_triggers!$A:$A),MATCH(O$1,enemy_skill_triggers!$1:$1,0)-MATCH($F$1,enemy_skill_triggers!$1:$1,0)+1),MATCH(O$1,enemy_skill_triggers!$1:$1,0)-MATCH($F$1,enemy_skill_triggers!$1:$1,0)+1,FALSE)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4" s="47"/>
      <c r="Q304" s="47"/>
      <c r="R304" s="47"/>
    </row>
    <row r="305" spans="1:18" ht="21" customHeight="1" x14ac:dyDescent="0.15">
      <c r="A305" s="39" t="str">
        <f t="shared" si="17"/>
        <v>47004560_47004564</v>
      </c>
      <c r="B305" s="127">
        <v>47004560</v>
      </c>
      <c r="C305" s="47">
        <v>47004564</v>
      </c>
      <c r="D305" s="46" t="str">
        <f ca="1">VLOOKUP($C305,OFFSET(enemy_skills!$A$1,0,0,COUNTA(enemy_skills!$A:$A),MATCH(D$1,enemy_skills!$1:$1,0)-MATCH("enemy_skill_id",enemy_skills!$1:$1,0)+1),MATCH(D$1,enemy_skills!$1:$1,0)-MATCH("enemy_skill_id",enemy_skills!$1:$1,0)+1,FALSE)</f>
        <v>マリアさん！_x000D_聖夜の奇跡見せてください！</v>
      </c>
      <c r="E305" s="46" t="str">
        <f ca="1">VLOOKUP($C305,OFFSET(enemy_skills!$A$1,0,0,COUNTA(enemy_skills!$A:$A),MATCH(E$1,enemy_skills!$1:$1,0)-MATCH("enemy_skill_id",enemy_skills!$1:$1,0)+1),MATCH(E$1,enemy_skills!$1:$1,0)-MATCH("enemy_skill_id",enemy_skills!$1:$1,0)+1,FALSE)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305" s="47">
        <v>47004566</v>
      </c>
      <c r="G305" s="48">
        <f ca="1">VLOOKUP($F305,OFFSET(enemy_skill_triggers!$A$1,0,0,COUNTA(enemy_skill_triggers!$A:$A),MATCH(G$1,enemy_skill_triggers!$1:$1,0)-MATCH($F$1,enemy_skill_triggers!$1:$1,0)+1),MATCH(G$1,enemy_skill_triggers!$1:$1,0)-MATCH($F$1,enemy_skill_triggers!$1:$1,0)+1,FALSE)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5" s="48">
        <f ca="1">VLOOKUP($F305,OFFSET(enemy_skill_triggers!$A$1,0,0,COUNTA(enemy_skill_triggers!$A:$A),MATCH(H$1,enemy_skill_triggers!$1:$1,0)-MATCH($F$1,enemy_skill_triggers!$1:$1,0)+1),MATCH(H$1,enemy_skill_triggers!$1:$1,0)-MATCH($F$1,enemy_skill_triggers!$1:$1,0)+1,FALSE)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305" s="48">
        <f ca="1">VLOOKUP($F305,OFFSET(enemy_skill_triggers!$A$1,0,0,COUNTA(enemy_skill_triggers!$A:$A),MATCH(I$1,enemy_skill_triggers!$1:$1,0)-MATCH($F$1,enemy_skill_triggers!$1:$1,0)+1),MATCH(I$1,enemy_skill_triggers!$1:$1,0)-MATCH($F$1,enemy_skill_triggers!$1:$1,0)+1,FALSE)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5" s="48" t="str">
        <f ca="1">VLOOKUP($F305,OFFSET(enemy_skill_triggers!$A$1,0,0,COUNTA(enemy_skill_triggers!$A:$A),MATCH(J$1,enemy_skill_triggers!$1:$1,0)-MATCH($F$1,enemy_skill_triggers!$1:$1,0)+1),MATCH(J$1,enemy_skill_triggers!$1:$1,0)-MATCH($F$1,enemy_skill_triggers!$1:$1,0)+1,FALSE)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5" s="48" t="str">
        <f ca="1">VLOOKUP($F305,OFFSET(enemy_skill_triggers!$A$1,0,0,COUNTA(enemy_skill_triggers!$A:$A),MATCH(K$1,enemy_skill_triggers!$1:$1,0)-MATCH($F$1,enemy_skill_triggers!$1:$1,0)+1),MATCH(K$1,enemy_skill_triggers!$1:$1,0)-MATCH($F$1,enemy_skill_triggers!$1:$1,0)+1,FALSE)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5" s="48">
        <f ca="1">VLOOKUP($F305,OFFSET(enemy_skill_triggers!$A$1,0,0,COUNTA(enemy_skill_triggers!$A:$A),MATCH(L$1,enemy_skill_triggers!$1:$1,0)-MATCH($F$1,enemy_skill_triggers!$1:$1,0)+1),MATCH(L$1,enemy_skill_triggers!$1:$1,0)-MATCH($F$1,enemy_skill_triggers!$1:$1,0)+1,FALSE)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5" s="48">
        <f ca="1">VLOOKUP($F305,OFFSET(enemy_skill_triggers!$A$1,0,0,COUNTA(enemy_skill_triggers!$A:$A),MATCH(M$1,enemy_skill_triggers!$1:$1,0)-MATCH($F$1,enemy_skill_triggers!$1:$1,0)+1),MATCH(M$1,enemy_skill_triggers!$1:$1,0)-MATCH($F$1,enemy_skill_triggers!$1:$1,0)+1,FALSE)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5" s="48">
        <f ca="1">VLOOKUP($F305,OFFSET(enemy_skill_triggers!$A$1,0,0,COUNTA(enemy_skill_triggers!$A:$A),MATCH(N$1,enemy_skill_triggers!$1:$1,0)-MATCH($F$1,enemy_skill_triggers!$1:$1,0)+1),MATCH(N$1,enemy_skill_triggers!$1:$1,0)-MATCH($F$1,enemy_skill_triggers!$1:$1,0)+1,FALSE)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305" s="48">
        <f ca="1">VLOOKUP($F305,OFFSET(enemy_skill_triggers!$A$1,0,0,COUNTA(enemy_skill_triggers!$A:$A),MATCH(O$1,enemy_skill_triggers!$1:$1,0)-MATCH($F$1,enemy_skill_triggers!$1:$1,0)+1),MATCH(O$1,enemy_skill_triggers!$1:$1,0)-MATCH($F$1,enemy_skill_triggers!$1:$1,0)+1,FALSE)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5" s="47"/>
      <c r="Q305" s="47"/>
      <c r="R305" s="47"/>
    </row>
    <row r="306" spans="1:18" ht="21" customHeight="1" x14ac:dyDescent="0.15">
      <c r="A306" s="39" t="str">
        <f t="shared" si="17"/>
        <v>47004560_47004564</v>
      </c>
      <c r="B306" s="127">
        <v>47004560</v>
      </c>
      <c r="C306" s="47">
        <v>47004564</v>
      </c>
      <c r="D306" s="46" t="str">
        <f ca="1">VLOOKUP($C306,OFFSET(enemy_skills!$A$1,0,0,COUNTA(enemy_skills!$A:$A),MATCH(D$1,enemy_skills!$1:$1,0)-MATCH("enemy_skill_id",enemy_skills!$1:$1,0)+1),MATCH(D$1,enemy_skills!$1:$1,0)-MATCH("enemy_skill_id",enemy_skills!$1:$1,0)+1,FALSE)</f>
        <v>マリアさん！_x000D_聖夜の奇跡見せてください！</v>
      </c>
      <c r="E306" s="46" t="str">
        <f ca="1">VLOOKUP($C306,OFFSET(enemy_skills!$A$1,0,0,COUNTA(enemy_skills!$A:$A),MATCH(E$1,enemy_skills!$1:$1,0)-MATCH("enemy_skill_id",enemy_skills!$1:$1,0)+1),MATCH(E$1,enemy_skills!$1:$1,0)-MATCH("enemy_skill_id",enemy_skills!$1:$1,0)+1,FALSE)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306" s="47">
        <v>47004567</v>
      </c>
      <c r="G306" s="48">
        <f ca="1">VLOOKUP($F306,OFFSET(enemy_skill_triggers!$A$1,0,0,COUNTA(enemy_skill_triggers!$A:$A),MATCH(G$1,enemy_skill_triggers!$1:$1,0)-MATCH($F$1,enemy_skill_triggers!$1:$1,0)+1),MATCH(G$1,enemy_skill_triggers!$1:$1,0)-MATCH($F$1,enemy_skill_triggers!$1:$1,0)+1,FALSE)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6" s="48">
        <f ca="1">VLOOKUP($F306,OFFSET(enemy_skill_triggers!$A$1,0,0,COUNTA(enemy_skill_triggers!$A:$A),MATCH(H$1,enemy_skill_triggers!$1:$1,0)-MATCH($F$1,enemy_skill_triggers!$1:$1,0)+1),MATCH(H$1,enemy_skill_triggers!$1:$1,0)-MATCH($F$1,enemy_skill_triggers!$1:$1,0)+1,FALSE)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306" s="48">
        <f ca="1">VLOOKUP($F306,OFFSET(enemy_skill_triggers!$A$1,0,0,COUNTA(enemy_skill_triggers!$A:$A),MATCH(I$1,enemy_skill_triggers!$1:$1,0)-MATCH($F$1,enemy_skill_triggers!$1:$1,0)+1),MATCH(I$1,enemy_skill_triggers!$1:$1,0)-MATCH($F$1,enemy_skill_triggers!$1:$1,0)+1,FALSE)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6" s="48" t="str">
        <f ca="1">VLOOKUP($F306,OFFSET(enemy_skill_triggers!$A$1,0,0,COUNTA(enemy_skill_triggers!$A:$A),MATCH(J$1,enemy_skill_triggers!$1:$1,0)-MATCH($F$1,enemy_skill_triggers!$1:$1,0)+1),MATCH(J$1,enemy_skill_triggers!$1:$1,0)-MATCH($F$1,enemy_skill_triggers!$1:$1,0)+1,FALSE)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6" s="48" t="str">
        <f ca="1">VLOOKUP($F306,OFFSET(enemy_skill_triggers!$A$1,0,0,COUNTA(enemy_skill_triggers!$A:$A),MATCH(K$1,enemy_skill_triggers!$1:$1,0)-MATCH($F$1,enemy_skill_triggers!$1:$1,0)+1),MATCH(K$1,enemy_skill_triggers!$1:$1,0)-MATCH($F$1,enemy_skill_triggers!$1:$1,0)+1,FALSE)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6" s="48">
        <f ca="1">VLOOKUP($F306,OFFSET(enemy_skill_triggers!$A$1,0,0,COUNTA(enemy_skill_triggers!$A:$A),MATCH(L$1,enemy_skill_triggers!$1:$1,0)-MATCH($F$1,enemy_skill_triggers!$1:$1,0)+1),MATCH(L$1,enemy_skill_triggers!$1:$1,0)-MATCH($F$1,enemy_skill_triggers!$1:$1,0)+1,FALSE)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6" s="48">
        <f ca="1">VLOOKUP($F306,OFFSET(enemy_skill_triggers!$A$1,0,0,COUNTA(enemy_skill_triggers!$A:$A),MATCH(M$1,enemy_skill_triggers!$1:$1,0)-MATCH($F$1,enemy_skill_triggers!$1:$1,0)+1),MATCH(M$1,enemy_skill_triggers!$1:$1,0)-MATCH($F$1,enemy_skill_triggers!$1:$1,0)+1,FALSE)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6" s="48">
        <f ca="1">VLOOKUP($F306,OFFSET(enemy_skill_triggers!$A$1,0,0,COUNTA(enemy_skill_triggers!$A:$A),MATCH(N$1,enemy_skill_triggers!$1:$1,0)-MATCH($F$1,enemy_skill_triggers!$1:$1,0)+1),MATCH(N$1,enemy_skill_triggers!$1:$1,0)-MATCH($F$1,enemy_skill_triggers!$1:$1,0)+1,FALSE)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306" s="48">
        <f ca="1">VLOOKUP($F306,OFFSET(enemy_skill_triggers!$A$1,0,0,COUNTA(enemy_skill_triggers!$A:$A),MATCH(O$1,enemy_skill_triggers!$1:$1,0)-MATCH($F$1,enemy_skill_triggers!$1:$1,0)+1),MATCH(O$1,enemy_skill_triggers!$1:$1,0)-MATCH($F$1,enemy_skill_triggers!$1:$1,0)+1,FALSE)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6" s="47"/>
      <c r="Q306" s="47"/>
      <c r="R306" s="47"/>
    </row>
    <row r="307" spans="1:18" ht="21" customHeight="1" x14ac:dyDescent="0.15">
      <c r="A307" s="39" t="str">
        <f t="shared" si="17"/>
        <v>47004560_47004565</v>
      </c>
      <c r="B307" s="127">
        <v>47004560</v>
      </c>
      <c r="C307" s="47">
        <v>47004565</v>
      </c>
      <c r="D307" s="46" t="str">
        <f ca="1">VLOOKUP($C307,OFFSET(enemy_skills!$A$1,0,0,COUNTA(enemy_skills!$A:$A),MATCH(D$1,enemy_skills!$1:$1,0)-MATCH("enemy_skill_id",enemy_skills!$1:$1,0)+1),MATCH(D$1,enemy_skills!$1:$1,0)-MATCH("enemy_skill_id",enemy_skills!$1:$1,0)+1,FALSE)</f>
        <v>オセさん、皆の笑顔のために_x000D_一緒に頑張りましょ♪</v>
      </c>
      <c r="E307" s="46" t="str">
        <f ca="1">VLOOKUP($C307,OFFSET(enemy_skills!$A$1,0,0,COUNTA(enemy_skills!$A:$A),MATCH(E$1,enemy_skills!$1:$1,0)-MATCH("enemy_skill_id",enemy_skills!$1:$1,0)+1),MATCH(E$1,enemy_skills!$1:$1,0)-MATCH("enemy_skill_id",enemy_skills!$1:$1,0)+1,FALSE)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307" s="47">
        <v>47004568</v>
      </c>
      <c r="G307" s="48">
        <f ca="1">VLOOKUP($F307,OFFSET(enemy_skill_triggers!$A$1,0,0,COUNTA(enemy_skill_triggers!$A:$A),MATCH(G$1,enemy_skill_triggers!$1:$1,0)-MATCH($F$1,enemy_skill_triggers!$1:$1,0)+1),MATCH(G$1,enemy_skill_triggers!$1:$1,0)-MATCH($F$1,enemy_skill_triggers!$1:$1,0)+1,FALSE)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7" s="48">
        <f ca="1">VLOOKUP($F307,OFFSET(enemy_skill_triggers!$A$1,0,0,COUNTA(enemy_skill_triggers!$A:$A),MATCH(H$1,enemy_skill_triggers!$1:$1,0)-MATCH($F$1,enemy_skill_triggers!$1:$1,0)+1),MATCH(H$1,enemy_skill_triggers!$1:$1,0)-MATCH($F$1,enemy_skill_triggers!$1:$1,0)+1,FALSE)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307" s="48">
        <f ca="1">VLOOKUP($F307,OFFSET(enemy_skill_triggers!$A$1,0,0,COUNTA(enemy_skill_triggers!$A:$A),MATCH(I$1,enemy_skill_triggers!$1:$1,0)-MATCH($F$1,enemy_skill_triggers!$1:$1,0)+1),MATCH(I$1,enemy_skill_triggers!$1:$1,0)-MATCH($F$1,enemy_skill_triggers!$1:$1,0)+1,FALSE)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7" s="48" t="str">
        <f ca="1">VLOOKUP($F307,OFFSET(enemy_skill_triggers!$A$1,0,0,COUNTA(enemy_skill_triggers!$A:$A),MATCH(J$1,enemy_skill_triggers!$1:$1,0)-MATCH($F$1,enemy_skill_triggers!$1:$1,0)+1),MATCH(J$1,enemy_skill_triggers!$1:$1,0)-MATCH($F$1,enemy_skill_triggers!$1:$1,0)+1,FALSE)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7" s="48" t="str">
        <f ca="1">VLOOKUP($F307,OFFSET(enemy_skill_triggers!$A$1,0,0,COUNTA(enemy_skill_triggers!$A:$A),MATCH(K$1,enemy_skill_triggers!$1:$1,0)-MATCH($F$1,enemy_skill_triggers!$1:$1,0)+1),MATCH(K$1,enemy_skill_triggers!$1:$1,0)-MATCH($F$1,enemy_skill_triggers!$1:$1,0)+1,FALSE)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7" s="48">
        <f ca="1">VLOOKUP($F307,OFFSET(enemy_skill_triggers!$A$1,0,0,COUNTA(enemy_skill_triggers!$A:$A),MATCH(L$1,enemy_skill_triggers!$1:$1,0)-MATCH($F$1,enemy_skill_triggers!$1:$1,0)+1),MATCH(L$1,enemy_skill_triggers!$1:$1,0)-MATCH($F$1,enemy_skill_triggers!$1:$1,0)+1,FALSE)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7" s="48">
        <f ca="1">VLOOKUP($F307,OFFSET(enemy_skill_triggers!$A$1,0,0,COUNTA(enemy_skill_triggers!$A:$A),MATCH(M$1,enemy_skill_triggers!$1:$1,0)-MATCH($F$1,enemy_skill_triggers!$1:$1,0)+1),MATCH(M$1,enemy_skill_triggers!$1:$1,0)-MATCH($F$1,enemy_skill_triggers!$1:$1,0)+1,FALSE)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7" s="48">
        <f ca="1">VLOOKUP($F307,OFFSET(enemy_skill_triggers!$A$1,0,0,COUNTA(enemy_skill_triggers!$A:$A),MATCH(N$1,enemy_skill_triggers!$1:$1,0)-MATCH($F$1,enemy_skill_triggers!$1:$1,0)+1),MATCH(N$1,enemy_skill_triggers!$1:$1,0)-MATCH($F$1,enemy_skill_triggers!$1:$1,0)+1,FALSE)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307" s="48">
        <f ca="1">VLOOKUP($F307,OFFSET(enemy_skill_triggers!$A$1,0,0,COUNTA(enemy_skill_triggers!$A:$A),MATCH(O$1,enemy_skill_triggers!$1:$1,0)-MATCH($F$1,enemy_skill_triggers!$1:$1,0)+1),MATCH(O$1,enemy_skill_triggers!$1:$1,0)-MATCH($F$1,enemy_skill_triggers!$1:$1,0)+1,FALSE)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7" s="47"/>
      <c r="Q307" s="47"/>
      <c r="R307" s="47"/>
    </row>
    <row r="308" spans="1:18" ht="21" customHeight="1" x14ac:dyDescent="0.15">
      <c r="A308" s="39" t="str">
        <f t="shared" si="17"/>
        <v>47004560_47004565</v>
      </c>
      <c r="B308" s="127">
        <v>47004560</v>
      </c>
      <c r="C308" s="47">
        <v>47004565</v>
      </c>
      <c r="D308" s="46" t="str">
        <f ca="1">VLOOKUP($C308,OFFSET(enemy_skills!$A$1,0,0,COUNTA(enemy_skills!$A:$A),MATCH(D$1,enemy_skills!$1:$1,0)-MATCH("enemy_skill_id",enemy_skills!$1:$1,0)+1),MATCH(D$1,enemy_skills!$1:$1,0)-MATCH("enemy_skill_id",enemy_skills!$1:$1,0)+1,FALSE)</f>
        <v>オセさん、皆の笑顔のために_x000D_一緒に頑張りましょ♪</v>
      </c>
      <c r="E308" s="46" t="str">
        <f ca="1">VLOOKUP($C308,OFFSET(enemy_skills!$A$1,0,0,COUNTA(enemy_skills!$A:$A),MATCH(E$1,enemy_skills!$1:$1,0)-MATCH("enemy_skill_id",enemy_skills!$1:$1,0)+1),MATCH(E$1,enemy_skills!$1:$1,0)-MATCH("enemy_skill_id",enemy_skills!$1:$1,0)+1,FALSE)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308" s="47">
        <v>47004569</v>
      </c>
      <c r="G308" s="48">
        <f ca="1">VLOOKUP($F308,OFFSET(enemy_skill_triggers!$A$1,0,0,COUNTA(enemy_skill_triggers!$A:$A),MATCH(G$1,enemy_skill_triggers!$1:$1,0)-MATCH($F$1,enemy_skill_triggers!$1:$1,0)+1),MATCH(G$1,enemy_skill_triggers!$1:$1,0)-MATCH($F$1,enemy_skill_triggers!$1:$1,0)+1,FALSE)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8" s="48">
        <f ca="1">VLOOKUP($F308,OFFSET(enemy_skill_triggers!$A$1,0,0,COUNTA(enemy_skill_triggers!$A:$A),MATCH(H$1,enemy_skill_triggers!$1:$1,0)-MATCH($F$1,enemy_skill_triggers!$1:$1,0)+1),MATCH(H$1,enemy_skill_triggers!$1:$1,0)-MATCH($F$1,enemy_skill_triggers!$1:$1,0)+1,FALSE)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308" s="48">
        <f ca="1">VLOOKUP($F308,OFFSET(enemy_skill_triggers!$A$1,0,0,COUNTA(enemy_skill_triggers!$A:$A),MATCH(I$1,enemy_skill_triggers!$1:$1,0)-MATCH($F$1,enemy_skill_triggers!$1:$1,0)+1),MATCH(I$1,enemy_skill_triggers!$1:$1,0)-MATCH($F$1,enemy_skill_triggers!$1:$1,0)+1,FALSE)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8" s="48" t="str">
        <f ca="1">VLOOKUP($F308,OFFSET(enemy_skill_triggers!$A$1,0,0,COUNTA(enemy_skill_triggers!$A:$A),MATCH(J$1,enemy_skill_triggers!$1:$1,0)-MATCH($F$1,enemy_skill_triggers!$1:$1,0)+1),MATCH(J$1,enemy_skill_triggers!$1:$1,0)-MATCH($F$1,enemy_skill_triggers!$1:$1,0)+1,FALSE)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8" s="48" t="str">
        <f ca="1">VLOOKUP($F308,OFFSET(enemy_skill_triggers!$A$1,0,0,COUNTA(enemy_skill_triggers!$A:$A),MATCH(K$1,enemy_skill_triggers!$1:$1,0)-MATCH($F$1,enemy_skill_triggers!$1:$1,0)+1),MATCH(K$1,enemy_skill_triggers!$1:$1,0)-MATCH($F$1,enemy_skill_triggers!$1:$1,0)+1,FALSE)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8" s="48">
        <f ca="1">VLOOKUP($F308,OFFSET(enemy_skill_triggers!$A$1,0,0,COUNTA(enemy_skill_triggers!$A:$A),MATCH(L$1,enemy_skill_triggers!$1:$1,0)-MATCH($F$1,enemy_skill_triggers!$1:$1,0)+1),MATCH(L$1,enemy_skill_triggers!$1:$1,0)-MATCH($F$1,enemy_skill_triggers!$1:$1,0)+1,FALSE)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8" s="48">
        <f ca="1">VLOOKUP($F308,OFFSET(enemy_skill_triggers!$A$1,0,0,COUNTA(enemy_skill_triggers!$A:$A),MATCH(M$1,enemy_skill_triggers!$1:$1,0)-MATCH($F$1,enemy_skill_triggers!$1:$1,0)+1),MATCH(M$1,enemy_skill_triggers!$1:$1,0)-MATCH($F$1,enemy_skill_triggers!$1:$1,0)+1,FALSE)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8" s="48">
        <f ca="1">VLOOKUP($F308,OFFSET(enemy_skill_triggers!$A$1,0,0,COUNTA(enemy_skill_triggers!$A:$A),MATCH(N$1,enemy_skill_triggers!$1:$1,0)-MATCH($F$1,enemy_skill_triggers!$1:$1,0)+1),MATCH(N$1,enemy_skill_triggers!$1:$1,0)-MATCH($F$1,enemy_skill_triggers!$1:$1,0)+1,FALSE)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308" s="48">
        <f ca="1">VLOOKUP($F308,OFFSET(enemy_skill_triggers!$A$1,0,0,COUNTA(enemy_skill_triggers!$A:$A),MATCH(O$1,enemy_skill_triggers!$1:$1,0)-MATCH($F$1,enemy_skill_triggers!$1:$1,0)+1),MATCH(O$1,enemy_skill_triggers!$1:$1,0)-MATCH($F$1,enemy_skill_triggers!$1:$1,0)+1,FALSE)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8" s="47"/>
      <c r="Q308" s="47"/>
      <c r="R308" s="47"/>
    </row>
    <row r="309" spans="1:18" ht="21" customHeight="1" x14ac:dyDescent="0.15">
      <c r="A309" s="39" t="str">
        <f t="shared" si="17"/>
        <v>47004560_47004565</v>
      </c>
      <c r="B309" s="127">
        <v>47004560</v>
      </c>
      <c r="C309" s="47">
        <v>47004565</v>
      </c>
      <c r="D309" s="46" t="str">
        <f ca="1">VLOOKUP($C309,OFFSET(enemy_skills!$A$1,0,0,COUNTA(enemy_skills!$A:$A),MATCH(D$1,enemy_skills!$1:$1,0)-MATCH("enemy_skill_id",enemy_skills!$1:$1,0)+1),MATCH(D$1,enemy_skills!$1:$1,0)-MATCH("enemy_skill_id",enemy_skills!$1:$1,0)+1,FALSE)</f>
        <v>オセさん、皆の笑顔のために_x000D_一緒に頑張りましょ♪</v>
      </c>
      <c r="E309" s="46" t="str">
        <f ca="1">VLOOKUP($C309,OFFSET(enemy_skills!$A$1,0,0,COUNTA(enemy_skills!$A:$A),MATCH(E$1,enemy_skills!$1:$1,0)-MATCH("enemy_skill_id",enemy_skills!$1:$1,0)+1),MATCH(E$1,enemy_skills!$1:$1,0)-MATCH("enemy_skill_id",enemy_skills!$1:$1,0)+1,FALSE)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309" s="47">
        <v>47004570</v>
      </c>
      <c r="G309" s="48">
        <f ca="1">VLOOKUP($F309,OFFSET(enemy_skill_triggers!$A$1,0,0,COUNTA(enemy_skill_triggers!$A:$A),MATCH(G$1,enemy_skill_triggers!$1:$1,0)-MATCH($F$1,enemy_skill_triggers!$1:$1,0)+1),MATCH(G$1,enemy_skill_triggers!$1:$1,0)-MATCH($F$1,enemy_skill_triggers!$1:$1,0)+1,FALSE)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9" s="48">
        <f ca="1">VLOOKUP($F309,OFFSET(enemy_skill_triggers!$A$1,0,0,COUNTA(enemy_skill_triggers!$A:$A),MATCH(H$1,enemy_skill_triggers!$1:$1,0)-MATCH($F$1,enemy_skill_triggers!$1:$1,0)+1),MATCH(H$1,enemy_skill_triggers!$1:$1,0)-MATCH($F$1,enemy_skill_triggers!$1:$1,0)+1,FALSE)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309" s="48">
        <f ca="1">VLOOKUP($F309,OFFSET(enemy_skill_triggers!$A$1,0,0,COUNTA(enemy_skill_triggers!$A:$A),MATCH(I$1,enemy_skill_triggers!$1:$1,0)-MATCH($F$1,enemy_skill_triggers!$1:$1,0)+1),MATCH(I$1,enemy_skill_triggers!$1:$1,0)-MATCH($F$1,enemy_skill_triggers!$1:$1,0)+1,FALSE)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9" s="48" t="str">
        <f ca="1">VLOOKUP($F309,OFFSET(enemy_skill_triggers!$A$1,0,0,COUNTA(enemy_skill_triggers!$A:$A),MATCH(J$1,enemy_skill_triggers!$1:$1,0)-MATCH($F$1,enemy_skill_triggers!$1:$1,0)+1),MATCH(J$1,enemy_skill_triggers!$1:$1,0)-MATCH($F$1,enemy_skill_triggers!$1:$1,0)+1,FALSE)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9" s="48" t="str">
        <f ca="1">VLOOKUP($F309,OFFSET(enemy_skill_triggers!$A$1,0,0,COUNTA(enemy_skill_triggers!$A:$A),MATCH(K$1,enemy_skill_triggers!$1:$1,0)-MATCH($F$1,enemy_skill_triggers!$1:$1,0)+1),MATCH(K$1,enemy_skill_triggers!$1:$1,0)-MATCH($F$1,enemy_skill_triggers!$1:$1,0)+1,FALSE)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9" s="48">
        <f ca="1">VLOOKUP($F309,OFFSET(enemy_skill_triggers!$A$1,0,0,COUNTA(enemy_skill_triggers!$A:$A),MATCH(L$1,enemy_skill_triggers!$1:$1,0)-MATCH($F$1,enemy_skill_triggers!$1:$1,0)+1),MATCH(L$1,enemy_skill_triggers!$1:$1,0)-MATCH($F$1,enemy_skill_triggers!$1:$1,0)+1,FALSE)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9" s="48">
        <f ca="1">VLOOKUP($F309,OFFSET(enemy_skill_triggers!$A$1,0,0,COUNTA(enemy_skill_triggers!$A:$A),MATCH(M$1,enemy_skill_triggers!$1:$1,0)-MATCH($F$1,enemy_skill_triggers!$1:$1,0)+1),MATCH(M$1,enemy_skill_triggers!$1:$1,0)-MATCH($F$1,enemy_skill_triggers!$1:$1,0)+1,FALSE)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9" s="48">
        <f ca="1">VLOOKUP($F309,OFFSET(enemy_skill_triggers!$A$1,0,0,COUNTA(enemy_skill_triggers!$A:$A),MATCH(N$1,enemy_skill_triggers!$1:$1,0)-MATCH($F$1,enemy_skill_triggers!$1:$1,0)+1),MATCH(N$1,enemy_skill_triggers!$1:$1,0)-MATCH($F$1,enemy_skill_triggers!$1:$1,0)+1,FALSE)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309" s="48">
        <f ca="1">VLOOKUP($F309,OFFSET(enemy_skill_triggers!$A$1,0,0,COUNTA(enemy_skill_triggers!$A:$A),MATCH(O$1,enemy_skill_triggers!$1:$1,0)-MATCH($F$1,enemy_skill_triggers!$1:$1,0)+1),MATCH(O$1,enemy_skill_triggers!$1:$1,0)-MATCH($F$1,enemy_skill_triggers!$1:$1,0)+1,FALSE)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9" s="47"/>
      <c r="Q309" s="47"/>
      <c r="R309" s="47"/>
    </row>
    <row r="310" spans="1:18" ht="21" customHeight="1" x14ac:dyDescent="0.15">
      <c r="A310" s="39" t="str">
        <f t="shared" si="17"/>
        <v>47004560_47004566</v>
      </c>
      <c r="B310" s="127">
        <v>47004560</v>
      </c>
      <c r="C310" s="47">
        <v>47004566</v>
      </c>
      <c r="D310" s="46" t="str">
        <f ca="1">VLOOKUP($C310,OFFSET(enemy_skills!$A$1,0,0,COUNTA(enemy_skills!$A:$A),MATCH(D$1,enemy_skills!$1:$1,0)-MATCH("enemy_skill_id",enemy_skills!$1:$1,0)+1),MATCH(D$1,enemy_skills!$1:$1,0)-MATCH("enemy_skill_id",enemy_skills!$1:$1,0)+1,FALSE)</f>
        <v>ベリアルさんのバイクの後ろに_x000D_乗ってみたいです！</v>
      </c>
      <c r="E310" s="46" t="str">
        <f ca="1">VLOOKUP($C310,OFFSET(enemy_skills!$A$1,0,0,COUNTA(enemy_skills!$A:$A),MATCH(E$1,enemy_skills!$1:$1,0)-MATCH("enemy_skill_id",enemy_skills!$1:$1,0)+1),MATCH(E$1,enemy_skills!$1:$1,0)-MATCH("enemy_skill_id",enemy_skills!$1:$1,0)+1,FALSE)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310" s="47">
        <v>47004571</v>
      </c>
      <c r="G310" s="48">
        <f ca="1">VLOOKUP($F310,OFFSET(enemy_skill_triggers!$A$1,0,0,COUNTA(enemy_skill_triggers!$A:$A),MATCH(G$1,enemy_skill_triggers!$1:$1,0)-MATCH($F$1,enemy_skill_triggers!$1:$1,0)+1),MATCH(G$1,enemy_skill_triggers!$1:$1,0)-MATCH($F$1,enemy_skill_triggers!$1:$1,0)+1,FALSE)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0" s="48">
        <f ca="1">VLOOKUP($F310,OFFSET(enemy_skill_triggers!$A$1,0,0,COUNTA(enemy_skill_triggers!$A:$A),MATCH(H$1,enemy_skill_triggers!$1:$1,0)-MATCH($F$1,enemy_skill_triggers!$1:$1,0)+1),MATCH(H$1,enemy_skill_triggers!$1:$1,0)-MATCH($F$1,enemy_skill_triggers!$1:$1,0)+1,FALSE)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310" s="48">
        <f ca="1">VLOOKUP($F310,OFFSET(enemy_skill_triggers!$A$1,0,0,COUNTA(enemy_skill_triggers!$A:$A),MATCH(I$1,enemy_skill_triggers!$1:$1,0)-MATCH($F$1,enemy_skill_triggers!$1:$1,0)+1),MATCH(I$1,enemy_skill_triggers!$1:$1,0)-MATCH($F$1,enemy_skill_triggers!$1:$1,0)+1,FALSE)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0" s="48" t="str">
        <f ca="1">VLOOKUP($F310,OFFSET(enemy_skill_triggers!$A$1,0,0,COUNTA(enemy_skill_triggers!$A:$A),MATCH(J$1,enemy_skill_triggers!$1:$1,0)-MATCH($F$1,enemy_skill_triggers!$1:$1,0)+1),MATCH(J$1,enemy_skill_triggers!$1:$1,0)-MATCH($F$1,enemy_skill_triggers!$1:$1,0)+1,FALSE)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0" s="48" t="str">
        <f ca="1">VLOOKUP($F310,OFFSET(enemy_skill_triggers!$A$1,0,0,COUNTA(enemy_skill_triggers!$A:$A),MATCH(K$1,enemy_skill_triggers!$1:$1,0)-MATCH($F$1,enemy_skill_triggers!$1:$1,0)+1),MATCH(K$1,enemy_skill_triggers!$1:$1,0)-MATCH($F$1,enemy_skill_triggers!$1:$1,0)+1,FALSE)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0" s="48">
        <f ca="1">VLOOKUP($F310,OFFSET(enemy_skill_triggers!$A$1,0,0,COUNTA(enemy_skill_triggers!$A:$A),MATCH(L$1,enemy_skill_triggers!$1:$1,0)-MATCH($F$1,enemy_skill_triggers!$1:$1,0)+1),MATCH(L$1,enemy_skill_triggers!$1:$1,0)-MATCH($F$1,enemy_skill_triggers!$1:$1,0)+1,FALSE)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0" s="48">
        <f ca="1">VLOOKUP($F310,OFFSET(enemy_skill_triggers!$A$1,0,0,COUNTA(enemy_skill_triggers!$A:$A),MATCH(M$1,enemy_skill_triggers!$1:$1,0)-MATCH($F$1,enemy_skill_triggers!$1:$1,0)+1),MATCH(M$1,enemy_skill_triggers!$1:$1,0)-MATCH($F$1,enemy_skill_triggers!$1:$1,0)+1,FALSE)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0" s="48">
        <f ca="1">VLOOKUP($F310,OFFSET(enemy_skill_triggers!$A$1,0,0,COUNTA(enemy_skill_triggers!$A:$A),MATCH(N$1,enemy_skill_triggers!$1:$1,0)-MATCH($F$1,enemy_skill_triggers!$1:$1,0)+1),MATCH(N$1,enemy_skill_triggers!$1:$1,0)-MATCH($F$1,enemy_skill_triggers!$1:$1,0)+1,FALSE)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310" s="48">
        <f ca="1">VLOOKUP($F310,OFFSET(enemy_skill_triggers!$A$1,0,0,COUNTA(enemy_skill_triggers!$A:$A),MATCH(O$1,enemy_skill_triggers!$1:$1,0)-MATCH($F$1,enemy_skill_triggers!$1:$1,0)+1),MATCH(O$1,enemy_skill_triggers!$1:$1,0)-MATCH($F$1,enemy_skill_triggers!$1:$1,0)+1,FALSE)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0" s="47"/>
      <c r="Q310" s="47"/>
      <c r="R310" s="47"/>
    </row>
    <row r="311" spans="1:18" ht="21" customHeight="1" x14ac:dyDescent="0.15">
      <c r="A311" s="39" t="str">
        <f t="shared" si="17"/>
        <v>47004560_47004566</v>
      </c>
      <c r="B311" s="127">
        <v>47004560</v>
      </c>
      <c r="C311" s="47">
        <v>47004566</v>
      </c>
      <c r="D311" s="46" t="str">
        <f ca="1">VLOOKUP($C311,OFFSET(enemy_skills!$A$1,0,0,COUNTA(enemy_skills!$A:$A),MATCH(D$1,enemy_skills!$1:$1,0)-MATCH("enemy_skill_id",enemy_skills!$1:$1,0)+1),MATCH(D$1,enemy_skills!$1:$1,0)-MATCH("enemy_skill_id",enemy_skills!$1:$1,0)+1,FALSE)</f>
        <v>ベリアルさんのバイクの後ろに_x000D_乗ってみたいです！</v>
      </c>
      <c r="E311" s="46" t="str">
        <f ca="1">VLOOKUP($C311,OFFSET(enemy_skills!$A$1,0,0,COUNTA(enemy_skills!$A:$A),MATCH(E$1,enemy_skills!$1:$1,0)-MATCH("enemy_skill_id",enemy_skills!$1:$1,0)+1),MATCH(E$1,enemy_skills!$1:$1,0)-MATCH("enemy_skill_id",enemy_skills!$1:$1,0)+1,FALSE)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311" s="47">
        <v>47004572</v>
      </c>
      <c r="G311" s="48">
        <f ca="1">VLOOKUP($F311,OFFSET(enemy_skill_triggers!$A$1,0,0,COUNTA(enemy_skill_triggers!$A:$A),MATCH(G$1,enemy_skill_triggers!$1:$1,0)-MATCH($F$1,enemy_skill_triggers!$1:$1,0)+1),MATCH(G$1,enemy_skill_triggers!$1:$1,0)-MATCH($F$1,enemy_skill_triggers!$1:$1,0)+1,FALSE)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1" s="48">
        <f ca="1">VLOOKUP($F311,OFFSET(enemy_skill_triggers!$A$1,0,0,COUNTA(enemy_skill_triggers!$A:$A),MATCH(H$1,enemy_skill_triggers!$1:$1,0)-MATCH($F$1,enemy_skill_triggers!$1:$1,0)+1),MATCH(H$1,enemy_skill_triggers!$1:$1,0)-MATCH($F$1,enemy_skill_triggers!$1:$1,0)+1,FALSE)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311" s="48">
        <f ca="1">VLOOKUP($F311,OFFSET(enemy_skill_triggers!$A$1,0,0,COUNTA(enemy_skill_triggers!$A:$A),MATCH(I$1,enemy_skill_triggers!$1:$1,0)-MATCH($F$1,enemy_skill_triggers!$1:$1,0)+1),MATCH(I$1,enemy_skill_triggers!$1:$1,0)-MATCH($F$1,enemy_skill_triggers!$1:$1,0)+1,FALSE)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1" s="48" t="str">
        <f ca="1">VLOOKUP($F311,OFFSET(enemy_skill_triggers!$A$1,0,0,COUNTA(enemy_skill_triggers!$A:$A),MATCH(J$1,enemy_skill_triggers!$1:$1,0)-MATCH($F$1,enemy_skill_triggers!$1:$1,0)+1),MATCH(J$1,enemy_skill_triggers!$1:$1,0)-MATCH($F$1,enemy_skill_triggers!$1:$1,0)+1,FALSE)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1" s="48" t="str">
        <f ca="1">VLOOKUP($F311,OFFSET(enemy_skill_triggers!$A$1,0,0,COUNTA(enemy_skill_triggers!$A:$A),MATCH(K$1,enemy_skill_triggers!$1:$1,0)-MATCH($F$1,enemy_skill_triggers!$1:$1,0)+1),MATCH(K$1,enemy_skill_triggers!$1:$1,0)-MATCH($F$1,enemy_skill_triggers!$1:$1,0)+1,FALSE)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1" s="48">
        <f ca="1">VLOOKUP($F311,OFFSET(enemy_skill_triggers!$A$1,0,0,COUNTA(enemy_skill_triggers!$A:$A),MATCH(L$1,enemy_skill_triggers!$1:$1,0)-MATCH($F$1,enemy_skill_triggers!$1:$1,0)+1),MATCH(L$1,enemy_skill_triggers!$1:$1,0)-MATCH($F$1,enemy_skill_triggers!$1:$1,0)+1,FALSE)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1" s="48">
        <f ca="1">VLOOKUP($F311,OFFSET(enemy_skill_triggers!$A$1,0,0,COUNTA(enemy_skill_triggers!$A:$A),MATCH(M$1,enemy_skill_triggers!$1:$1,0)-MATCH($F$1,enemy_skill_triggers!$1:$1,0)+1),MATCH(M$1,enemy_skill_triggers!$1:$1,0)-MATCH($F$1,enemy_skill_triggers!$1:$1,0)+1,FALSE)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1" s="48">
        <f ca="1">VLOOKUP($F311,OFFSET(enemy_skill_triggers!$A$1,0,0,COUNTA(enemy_skill_triggers!$A:$A),MATCH(N$1,enemy_skill_triggers!$1:$1,0)-MATCH($F$1,enemy_skill_triggers!$1:$1,0)+1),MATCH(N$1,enemy_skill_triggers!$1:$1,0)-MATCH($F$1,enemy_skill_triggers!$1:$1,0)+1,FALSE)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311" s="48">
        <f ca="1">VLOOKUP($F311,OFFSET(enemy_skill_triggers!$A$1,0,0,COUNTA(enemy_skill_triggers!$A:$A),MATCH(O$1,enemy_skill_triggers!$1:$1,0)-MATCH($F$1,enemy_skill_triggers!$1:$1,0)+1),MATCH(O$1,enemy_skill_triggers!$1:$1,0)-MATCH($F$1,enemy_skill_triggers!$1:$1,0)+1,FALSE)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1" s="47"/>
      <c r="Q311" s="47"/>
      <c r="R311" s="47"/>
    </row>
    <row r="312" spans="1:18" ht="21" customHeight="1" x14ac:dyDescent="0.15">
      <c r="A312" s="39" t="str">
        <f t="shared" si="17"/>
        <v>47004560_47004566</v>
      </c>
      <c r="B312" s="127">
        <v>47004560</v>
      </c>
      <c r="C312" s="47">
        <v>47004566</v>
      </c>
      <c r="D312" s="46" t="str">
        <f ca="1">VLOOKUP($C312,OFFSET(enemy_skills!$A$1,0,0,COUNTA(enemy_skills!$A:$A),MATCH(D$1,enemy_skills!$1:$1,0)-MATCH("enemy_skill_id",enemy_skills!$1:$1,0)+1),MATCH(D$1,enemy_skills!$1:$1,0)-MATCH("enemy_skill_id",enemy_skills!$1:$1,0)+1,FALSE)</f>
        <v>ベリアルさんのバイクの後ろに_x000D_乗ってみたいです！</v>
      </c>
      <c r="E312" s="46" t="str">
        <f ca="1">VLOOKUP($C312,OFFSET(enemy_skills!$A$1,0,0,COUNTA(enemy_skills!$A:$A),MATCH(E$1,enemy_skills!$1:$1,0)-MATCH("enemy_skill_id",enemy_skills!$1:$1,0)+1),MATCH(E$1,enemy_skills!$1:$1,0)-MATCH("enemy_skill_id",enemy_skills!$1:$1,0)+1,FALSE)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312" s="47">
        <v>47004573</v>
      </c>
      <c r="G312" s="48">
        <f ca="1">VLOOKUP($F312,OFFSET(enemy_skill_triggers!$A$1,0,0,COUNTA(enemy_skill_triggers!$A:$A),MATCH(G$1,enemy_skill_triggers!$1:$1,0)-MATCH($F$1,enemy_skill_triggers!$1:$1,0)+1),MATCH(G$1,enemy_skill_triggers!$1:$1,0)-MATCH($F$1,enemy_skill_triggers!$1:$1,0)+1,FALSE)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2" s="48">
        <f ca="1">VLOOKUP($F312,OFFSET(enemy_skill_triggers!$A$1,0,0,COUNTA(enemy_skill_triggers!$A:$A),MATCH(H$1,enemy_skill_triggers!$1:$1,0)-MATCH($F$1,enemy_skill_triggers!$1:$1,0)+1),MATCH(H$1,enemy_skill_triggers!$1:$1,0)-MATCH($F$1,enemy_skill_triggers!$1:$1,0)+1,FALSE)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312" s="48">
        <f ca="1">VLOOKUP($F312,OFFSET(enemy_skill_triggers!$A$1,0,0,COUNTA(enemy_skill_triggers!$A:$A),MATCH(I$1,enemy_skill_triggers!$1:$1,0)-MATCH($F$1,enemy_skill_triggers!$1:$1,0)+1),MATCH(I$1,enemy_skill_triggers!$1:$1,0)-MATCH($F$1,enemy_skill_triggers!$1:$1,0)+1,FALSE)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2" s="48" t="str">
        <f ca="1">VLOOKUP($F312,OFFSET(enemy_skill_triggers!$A$1,0,0,COUNTA(enemy_skill_triggers!$A:$A),MATCH(J$1,enemy_skill_triggers!$1:$1,0)-MATCH($F$1,enemy_skill_triggers!$1:$1,0)+1),MATCH(J$1,enemy_skill_triggers!$1:$1,0)-MATCH($F$1,enemy_skill_triggers!$1:$1,0)+1,FALSE)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2" s="48" t="str">
        <f ca="1">VLOOKUP($F312,OFFSET(enemy_skill_triggers!$A$1,0,0,COUNTA(enemy_skill_triggers!$A:$A),MATCH(K$1,enemy_skill_triggers!$1:$1,0)-MATCH($F$1,enemy_skill_triggers!$1:$1,0)+1),MATCH(K$1,enemy_skill_triggers!$1:$1,0)-MATCH($F$1,enemy_skill_triggers!$1:$1,0)+1,FALSE)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2" s="48">
        <f ca="1">VLOOKUP($F312,OFFSET(enemy_skill_triggers!$A$1,0,0,COUNTA(enemy_skill_triggers!$A:$A),MATCH(L$1,enemy_skill_triggers!$1:$1,0)-MATCH($F$1,enemy_skill_triggers!$1:$1,0)+1),MATCH(L$1,enemy_skill_triggers!$1:$1,0)-MATCH($F$1,enemy_skill_triggers!$1:$1,0)+1,FALSE)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2" s="48">
        <f ca="1">VLOOKUP($F312,OFFSET(enemy_skill_triggers!$A$1,0,0,COUNTA(enemy_skill_triggers!$A:$A),MATCH(M$1,enemy_skill_triggers!$1:$1,0)-MATCH($F$1,enemy_skill_triggers!$1:$1,0)+1),MATCH(M$1,enemy_skill_triggers!$1:$1,0)-MATCH($F$1,enemy_skill_triggers!$1:$1,0)+1,FALSE)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2" s="48">
        <f ca="1">VLOOKUP($F312,OFFSET(enemy_skill_triggers!$A$1,0,0,COUNTA(enemy_skill_triggers!$A:$A),MATCH(N$1,enemy_skill_triggers!$1:$1,0)-MATCH($F$1,enemy_skill_triggers!$1:$1,0)+1),MATCH(N$1,enemy_skill_triggers!$1:$1,0)-MATCH($F$1,enemy_skill_triggers!$1:$1,0)+1,FALSE)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312" s="48">
        <f ca="1">VLOOKUP($F312,OFFSET(enemy_skill_triggers!$A$1,0,0,COUNTA(enemy_skill_triggers!$A:$A),MATCH(O$1,enemy_skill_triggers!$1:$1,0)-MATCH($F$1,enemy_skill_triggers!$1:$1,0)+1),MATCH(O$1,enemy_skill_triggers!$1:$1,0)-MATCH($F$1,enemy_skill_triggers!$1:$1,0)+1,FALSE)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2" s="47"/>
      <c r="Q312" s="47"/>
      <c r="R312" s="47"/>
    </row>
    <row r="313" spans="1:18" ht="21" customHeight="1" x14ac:dyDescent="0.15">
      <c r="A313" s="39" t="str">
        <f t="shared" ref="A313:A314" si="20">B313&amp;"_"&amp;C313</f>
        <v>47004560_47004567</v>
      </c>
      <c r="B313" s="127">
        <v>47004560</v>
      </c>
      <c r="C313" s="47">
        <v>47004567</v>
      </c>
      <c r="D313" s="46" t="str">
        <f ca="1">VLOOKUP($C313,OFFSET(enemy_skills!$A$1,0,0,COUNTA(enemy_skills!$A:$A),MATCH(D$1,enemy_skills!$1:$1,0)-MATCH("enemy_skill_id",enemy_skills!$1:$1,0)+1),MATCH(D$1,enemy_skills!$1:$1,0)-MATCH("enemy_skill_id",enemy_skills!$1:$1,0)+1,FALSE)</f>
        <v>エスタブさん！_x000D_一緒に幸せを配りましょう！</v>
      </c>
      <c r="E313" s="46" t="str">
        <f ca="1">VLOOKUP($C313,OFFSET(enemy_skills!$A$1,0,0,COUNTA(enemy_skills!$A:$A),MATCH(E$1,enemy_skills!$1:$1,0)-MATCH("enemy_skill_id",enemy_skills!$1:$1,0)+1),MATCH(E$1,enemy_skills!$1:$1,0)-MATCH("enemy_skill_id",enemy_skills!$1:$1,0)+1,FALSE)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313" s="47">
        <v>47004574</v>
      </c>
      <c r="G313" s="48">
        <f ca="1">VLOOKUP($F313,OFFSET(enemy_skill_triggers!$A$1,0,0,COUNTA(enemy_skill_triggers!$A:$A),MATCH(G$1,enemy_skill_triggers!$1:$1,0)-MATCH($F$1,enemy_skill_triggers!$1:$1,0)+1),MATCH(G$1,enemy_skill_triggers!$1:$1,0)-MATCH($F$1,enemy_skill_triggers!$1:$1,0)+1,FALSE)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3" s="48">
        <f ca="1">VLOOKUP($F313,OFFSET(enemy_skill_triggers!$A$1,0,0,COUNTA(enemy_skill_triggers!$A:$A),MATCH(H$1,enemy_skill_triggers!$1:$1,0)-MATCH($F$1,enemy_skill_triggers!$1:$1,0)+1),MATCH(H$1,enemy_skill_triggers!$1:$1,0)-MATCH($F$1,enemy_skill_triggers!$1:$1,0)+1,FALSE)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313" s="48">
        <f ca="1">VLOOKUP($F313,OFFSET(enemy_skill_triggers!$A$1,0,0,COUNTA(enemy_skill_triggers!$A:$A),MATCH(I$1,enemy_skill_triggers!$1:$1,0)-MATCH($F$1,enemy_skill_triggers!$1:$1,0)+1),MATCH(I$1,enemy_skill_triggers!$1:$1,0)-MATCH($F$1,enemy_skill_triggers!$1:$1,0)+1,FALSE)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3" s="48" t="str">
        <f ca="1">VLOOKUP($F313,OFFSET(enemy_skill_triggers!$A$1,0,0,COUNTA(enemy_skill_triggers!$A:$A),MATCH(J$1,enemy_skill_triggers!$1:$1,0)-MATCH($F$1,enemy_skill_triggers!$1:$1,0)+1),MATCH(J$1,enemy_skill_triggers!$1:$1,0)-MATCH($F$1,enemy_skill_triggers!$1:$1,0)+1,FALSE)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3" s="48" t="str">
        <f ca="1">VLOOKUP($F313,OFFSET(enemy_skill_triggers!$A$1,0,0,COUNTA(enemy_skill_triggers!$A:$A),MATCH(K$1,enemy_skill_triggers!$1:$1,0)-MATCH($F$1,enemy_skill_triggers!$1:$1,0)+1),MATCH(K$1,enemy_skill_triggers!$1:$1,0)-MATCH($F$1,enemy_skill_triggers!$1:$1,0)+1,FALSE)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3" s="48">
        <f ca="1">VLOOKUP($F313,OFFSET(enemy_skill_triggers!$A$1,0,0,COUNTA(enemy_skill_triggers!$A:$A),MATCH(L$1,enemy_skill_triggers!$1:$1,0)-MATCH($F$1,enemy_skill_triggers!$1:$1,0)+1),MATCH(L$1,enemy_skill_triggers!$1:$1,0)-MATCH($F$1,enemy_skill_triggers!$1:$1,0)+1,FALSE)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3" s="48">
        <f ca="1">VLOOKUP($F313,OFFSET(enemy_skill_triggers!$A$1,0,0,COUNTA(enemy_skill_triggers!$A:$A),MATCH(M$1,enemy_skill_triggers!$1:$1,0)-MATCH($F$1,enemy_skill_triggers!$1:$1,0)+1),MATCH(M$1,enemy_skill_triggers!$1:$1,0)-MATCH($F$1,enemy_skill_triggers!$1:$1,0)+1,FALSE)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3" s="48">
        <f ca="1">VLOOKUP($F313,OFFSET(enemy_skill_triggers!$A$1,0,0,COUNTA(enemy_skill_triggers!$A:$A),MATCH(N$1,enemy_skill_triggers!$1:$1,0)-MATCH($F$1,enemy_skill_triggers!$1:$1,0)+1),MATCH(N$1,enemy_skill_triggers!$1:$1,0)-MATCH($F$1,enemy_skill_triggers!$1:$1,0)+1,FALSE)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313" s="48">
        <f ca="1">VLOOKUP($F313,OFFSET(enemy_skill_triggers!$A$1,0,0,COUNTA(enemy_skill_triggers!$A:$A),MATCH(O$1,enemy_skill_triggers!$1:$1,0)-MATCH($F$1,enemy_skill_triggers!$1:$1,0)+1),MATCH(O$1,enemy_skill_triggers!$1:$1,0)-MATCH($F$1,enemy_skill_triggers!$1:$1,0)+1,FALSE)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3" s="47"/>
      <c r="Q313" s="47"/>
      <c r="R313" s="47"/>
    </row>
    <row r="314" spans="1:18" ht="21" customHeight="1" x14ac:dyDescent="0.15">
      <c r="A314" s="39" t="str">
        <f t="shared" si="20"/>
        <v>47004560_47004568</v>
      </c>
      <c r="B314" s="127">
        <v>47004560</v>
      </c>
      <c r="C314" s="47">
        <v>47004568</v>
      </c>
      <c r="D314" s="46" t="str">
        <f ca="1">VLOOKUP($C314,OFFSET(enemy_skills!$A$1,0,0,COUNTA(enemy_skills!$A:$A),MATCH(D$1,enemy_skills!$1:$1,0)-MATCH("enemy_skill_id",enemy_skills!$1:$1,0)+1),MATCH(D$1,enemy_skills!$1:$1,0)-MATCH("enemy_skill_id",enemy_skills!$1:$1,0)+1,FALSE)</f>
        <v>卑弥呼さん！_x000D_一緒に幸せを配りましょう！</v>
      </c>
      <c r="E314" s="46" t="str">
        <f ca="1">VLOOKUP($C314,OFFSET(enemy_skills!$A$1,0,0,COUNTA(enemy_skills!$A:$A),MATCH(E$1,enemy_skills!$1:$1,0)-MATCH("enemy_skill_id",enemy_skills!$1:$1,0)+1),MATCH(E$1,enemy_skills!$1:$1,0)-MATCH("enemy_skill_id",enemy_skills!$1:$1,0)+1,FALSE)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314" s="47">
        <v>47004575</v>
      </c>
      <c r="G314" s="48">
        <f ca="1">VLOOKUP($F314,OFFSET(enemy_skill_triggers!$A$1,0,0,COUNTA(enemy_skill_triggers!$A:$A),MATCH(G$1,enemy_skill_triggers!$1:$1,0)-MATCH($F$1,enemy_skill_triggers!$1:$1,0)+1),MATCH(G$1,enemy_skill_triggers!$1:$1,0)-MATCH($F$1,enemy_skill_triggers!$1:$1,0)+1,FALSE)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4" s="48">
        <f ca="1">VLOOKUP($F314,OFFSET(enemy_skill_triggers!$A$1,0,0,COUNTA(enemy_skill_triggers!$A:$A),MATCH(H$1,enemy_skill_triggers!$1:$1,0)-MATCH($F$1,enemy_skill_triggers!$1:$1,0)+1),MATCH(H$1,enemy_skill_triggers!$1:$1,0)-MATCH($F$1,enemy_skill_triggers!$1:$1,0)+1,FALSE)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314" s="48">
        <f ca="1">VLOOKUP($F314,OFFSET(enemy_skill_triggers!$A$1,0,0,COUNTA(enemy_skill_triggers!$A:$A),MATCH(I$1,enemy_skill_triggers!$1:$1,0)-MATCH($F$1,enemy_skill_triggers!$1:$1,0)+1),MATCH(I$1,enemy_skill_triggers!$1:$1,0)-MATCH($F$1,enemy_skill_triggers!$1:$1,0)+1,FALSE)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4" s="48" t="str">
        <f ca="1">VLOOKUP($F314,OFFSET(enemy_skill_triggers!$A$1,0,0,COUNTA(enemy_skill_triggers!$A:$A),MATCH(J$1,enemy_skill_triggers!$1:$1,0)-MATCH($F$1,enemy_skill_triggers!$1:$1,0)+1),MATCH(J$1,enemy_skill_triggers!$1:$1,0)-MATCH($F$1,enemy_skill_triggers!$1:$1,0)+1,FALSE)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4" s="48" t="str">
        <f ca="1">VLOOKUP($F314,OFFSET(enemy_skill_triggers!$A$1,0,0,COUNTA(enemy_skill_triggers!$A:$A),MATCH(K$1,enemy_skill_triggers!$1:$1,0)-MATCH($F$1,enemy_skill_triggers!$1:$1,0)+1),MATCH(K$1,enemy_skill_triggers!$1:$1,0)-MATCH($F$1,enemy_skill_triggers!$1:$1,0)+1,FALSE)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4" s="48">
        <f ca="1">VLOOKUP($F314,OFFSET(enemy_skill_triggers!$A$1,0,0,COUNTA(enemy_skill_triggers!$A:$A),MATCH(L$1,enemy_skill_triggers!$1:$1,0)-MATCH($F$1,enemy_skill_triggers!$1:$1,0)+1),MATCH(L$1,enemy_skill_triggers!$1:$1,0)-MATCH($F$1,enemy_skill_triggers!$1:$1,0)+1,FALSE)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4" s="48">
        <f ca="1">VLOOKUP($F314,OFFSET(enemy_skill_triggers!$A$1,0,0,COUNTA(enemy_skill_triggers!$A:$A),MATCH(M$1,enemy_skill_triggers!$1:$1,0)-MATCH($F$1,enemy_skill_triggers!$1:$1,0)+1),MATCH(M$1,enemy_skill_triggers!$1:$1,0)-MATCH($F$1,enemy_skill_triggers!$1:$1,0)+1,FALSE)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4" s="48">
        <f ca="1">VLOOKUP($F314,OFFSET(enemy_skill_triggers!$A$1,0,0,COUNTA(enemy_skill_triggers!$A:$A),MATCH(N$1,enemy_skill_triggers!$1:$1,0)-MATCH($F$1,enemy_skill_triggers!$1:$1,0)+1),MATCH(N$1,enemy_skill_triggers!$1:$1,0)-MATCH($F$1,enemy_skill_triggers!$1:$1,0)+1,FALSE)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314" s="48">
        <f ca="1">VLOOKUP($F314,OFFSET(enemy_skill_triggers!$A$1,0,0,COUNTA(enemy_skill_triggers!$A:$A),MATCH(O$1,enemy_skill_triggers!$1:$1,0)-MATCH($F$1,enemy_skill_triggers!$1:$1,0)+1),MATCH(O$1,enemy_skill_triggers!$1:$1,0)-MATCH($F$1,enemy_skill_triggers!$1:$1,0)+1,FALSE)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4" s="47"/>
      <c r="Q314" s="47"/>
      <c r="R314" s="47"/>
    </row>
    <row r="315" spans="1:18" ht="21" customHeight="1" x14ac:dyDescent="0.15">
      <c r="A315" s="39" t="str">
        <f t="shared" si="17"/>
        <v>47004580_47004581</v>
      </c>
      <c r="B315" s="127">
        <v>47004580</v>
      </c>
      <c r="C315" s="47">
        <v>47004581</v>
      </c>
      <c r="D315" s="46" t="str">
        <f ca="1">VLOOKUP($C315,OFFSET(enemy_skills!$A$1,0,0,COUNTA(enemy_skills!$A:$A),MATCH(D$1,enemy_skills!$1:$1,0)-MATCH("enemy_skill_id",enemy_skills!$1:$1,0)+1),MATCH(D$1,enemy_skills!$1:$1,0)-MATCH("enemy_skill_id",enemy_skills!$1:$1,0)+1,FALSE)</f>
        <v>よう、お前達！_x000D_プレゼントを持ってきてやったぜ！</v>
      </c>
      <c r="E315" s="46" t="str">
        <f ca="1">VLOOKUP($C315,OFFSET(enemy_skills!$A$1,0,0,COUNTA(enemy_skills!$A:$A),MATCH(E$1,enemy_skills!$1:$1,0)-MATCH("enemy_skill_id",enemy_skills!$1:$1,0)+1),MATCH(E$1,enemy_skills!$1:$1,0)-MATCH("enemy_skill_id",enemy_skills!$1:$1,0)+1,FALSE)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15" s="47">
        <v>47004581</v>
      </c>
      <c r="G315" s="48">
        <f ca="1">VLOOKUP($F315,OFFSET(enemy_skill_triggers!$A$1,0,0,COUNTA(enemy_skill_triggers!$A:$A),MATCH(G$1,enemy_skill_triggers!$1:$1,0)-MATCH($F$1,enemy_skill_triggers!$1:$1,0)+1),MATCH(G$1,enemy_skill_triggers!$1:$1,0)-MATCH($F$1,enemy_skill_triggers!$1:$1,0)+1,FALSE)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5" s="48">
        <f ca="1">VLOOKUP($F315,OFFSET(enemy_skill_triggers!$A$1,0,0,COUNTA(enemy_skill_triggers!$A:$A),MATCH(H$1,enemy_skill_triggers!$1:$1,0)-MATCH($F$1,enemy_skill_triggers!$1:$1,0)+1),MATCH(H$1,enemy_skill_triggers!$1:$1,0)-MATCH($F$1,enemy_skill_triggers!$1:$1,0)+1,FALSE)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5" s="48">
        <f ca="1">VLOOKUP($F315,OFFSET(enemy_skill_triggers!$A$1,0,0,COUNTA(enemy_skill_triggers!$A:$A),MATCH(I$1,enemy_skill_triggers!$1:$1,0)-MATCH($F$1,enemy_skill_triggers!$1:$1,0)+1),MATCH(I$1,enemy_skill_triggers!$1:$1,0)-MATCH($F$1,enemy_skill_triggers!$1:$1,0)+1,FALSE)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5" s="48" t="str">
        <f ca="1">VLOOKUP($F315,OFFSET(enemy_skill_triggers!$A$1,0,0,COUNTA(enemy_skill_triggers!$A:$A),MATCH(J$1,enemy_skill_triggers!$1:$1,0)-MATCH($F$1,enemy_skill_triggers!$1:$1,0)+1),MATCH(J$1,enemy_skill_triggers!$1:$1,0)-MATCH($F$1,enemy_skill_triggers!$1:$1,0)+1,FALSE)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5" s="48" t="str">
        <f ca="1">VLOOKUP($F315,OFFSET(enemy_skill_triggers!$A$1,0,0,COUNTA(enemy_skill_triggers!$A:$A),MATCH(K$1,enemy_skill_triggers!$1:$1,0)-MATCH($F$1,enemy_skill_triggers!$1:$1,0)+1),MATCH(K$1,enemy_skill_triggers!$1:$1,0)-MATCH($F$1,enemy_skill_triggers!$1:$1,0)+1,FALSE)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5" s="48">
        <f ca="1">VLOOKUP($F315,OFFSET(enemy_skill_triggers!$A$1,0,0,COUNTA(enemy_skill_triggers!$A:$A),MATCH(L$1,enemy_skill_triggers!$1:$1,0)-MATCH($F$1,enemy_skill_triggers!$1:$1,0)+1),MATCH(L$1,enemy_skill_triggers!$1:$1,0)-MATCH($F$1,enemy_skill_triggers!$1:$1,0)+1,FALSE)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5" s="48" t="str">
        <f ca="1">VLOOKUP($F315,OFFSET(enemy_skill_triggers!$A$1,0,0,COUNTA(enemy_skill_triggers!$A:$A),MATCH(M$1,enemy_skill_triggers!$1:$1,0)-MATCH($F$1,enemy_skill_triggers!$1:$1,0)+1),MATCH(M$1,enemy_skill_triggers!$1:$1,0)-MATCH($F$1,enemy_skill_triggers!$1:$1,0)+1,FALSE)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5" s="48" t="str">
        <f ca="1">VLOOKUP($F315,OFFSET(enemy_skill_triggers!$A$1,0,0,COUNTA(enemy_skill_triggers!$A:$A),MATCH(N$1,enemy_skill_triggers!$1:$1,0)-MATCH($F$1,enemy_skill_triggers!$1:$1,0)+1),MATCH(N$1,enemy_skill_triggers!$1:$1,0)-MATCH($F$1,enemy_skill_triggers!$1:$1,0)+1,FALSE)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5" s="48">
        <f ca="1">VLOOKUP($F315,OFFSET(enemy_skill_triggers!$A$1,0,0,COUNTA(enemy_skill_triggers!$A:$A),MATCH(O$1,enemy_skill_triggers!$1:$1,0)-MATCH($F$1,enemy_skill_triggers!$1:$1,0)+1),MATCH(O$1,enemy_skill_triggers!$1:$1,0)-MATCH($F$1,enemy_skill_triggers!$1:$1,0)+1,FALSE)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5" s="47"/>
      <c r="Q315" s="47"/>
      <c r="R315" s="47"/>
    </row>
    <row r="316" spans="1:18" ht="21" customHeight="1" x14ac:dyDescent="0.15">
      <c r="A316" s="39" t="str">
        <f t="shared" si="17"/>
        <v>47004580_47004582</v>
      </c>
      <c r="B316" s="127">
        <v>47004580</v>
      </c>
      <c r="C316" s="47">
        <v>47004582</v>
      </c>
      <c r="D316" s="46" t="str">
        <f ca="1">VLOOKUP($C316,OFFSET(enemy_skills!$A$1,0,0,COUNTA(enemy_skills!$A:$A),MATCH(D$1,enemy_skills!$1:$1,0)-MATCH("enemy_skill_id",enemy_skills!$1:$1,0)+1),MATCH(D$1,enemy_skills!$1:$1,0)-MATCH("enemy_skill_id",enemy_skills!$1:$1,0)+1,FALSE)</f>
        <v>心が燃えていれば_x000D_寒さなんか感じないってね！</v>
      </c>
      <c r="E316" s="46" t="str">
        <f ca="1">VLOOKUP($C316,OFFSET(enemy_skills!$A$1,0,0,COUNTA(enemy_skills!$A:$A),MATCH(E$1,enemy_skills!$1:$1,0)-MATCH("enemy_skill_id",enemy_skills!$1:$1,0)+1),MATCH(E$1,enemy_skills!$1:$1,0)-MATCH("enemy_skill_id",enemy_skills!$1:$1,0)+1,FALSE)</f>
        <v>2回連続全体攻撃+_x000D_ハートパネルを赤のダメージパネルに5個変換</v>
      </c>
      <c r="F316" s="47">
        <v>47004582</v>
      </c>
      <c r="G316" s="48">
        <f ca="1">VLOOKUP($F316,OFFSET(enemy_skill_triggers!$A$1,0,0,COUNTA(enemy_skill_triggers!$A:$A),MATCH(G$1,enemy_skill_triggers!$1:$1,0)-MATCH($F$1,enemy_skill_triggers!$1:$1,0)+1),MATCH(G$1,enemy_skill_triggers!$1:$1,0)-MATCH($F$1,enemy_skill_triggers!$1:$1,0)+1,FALSE)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6" s="48">
        <f ca="1">VLOOKUP($F316,OFFSET(enemy_skill_triggers!$A$1,0,0,COUNTA(enemy_skill_triggers!$A:$A),MATCH(H$1,enemy_skill_triggers!$1:$1,0)-MATCH($F$1,enemy_skill_triggers!$1:$1,0)+1),MATCH(H$1,enemy_skill_triggers!$1:$1,0)-MATCH($F$1,enemy_skill_triggers!$1:$1,0)+1,FALSE)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16" s="48">
        <f ca="1">VLOOKUP($F316,OFFSET(enemy_skill_triggers!$A$1,0,0,COUNTA(enemy_skill_triggers!$A:$A),MATCH(I$1,enemy_skill_triggers!$1:$1,0)-MATCH($F$1,enemy_skill_triggers!$1:$1,0)+1),MATCH(I$1,enemy_skill_triggers!$1:$1,0)-MATCH($F$1,enemy_skill_triggers!$1:$1,0)+1,FALSE)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6" s="48" t="str">
        <f ca="1">VLOOKUP($F316,OFFSET(enemy_skill_triggers!$A$1,0,0,COUNTA(enemy_skill_triggers!$A:$A),MATCH(J$1,enemy_skill_triggers!$1:$1,0)-MATCH($F$1,enemy_skill_triggers!$1:$1,0)+1),MATCH(J$1,enemy_skill_triggers!$1:$1,0)-MATCH($F$1,enemy_skill_triggers!$1:$1,0)+1,FALSE)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6" s="48" t="str">
        <f ca="1">VLOOKUP($F316,OFFSET(enemy_skill_triggers!$A$1,0,0,COUNTA(enemy_skill_triggers!$A:$A),MATCH(K$1,enemy_skill_triggers!$1:$1,0)-MATCH($F$1,enemy_skill_triggers!$1:$1,0)+1),MATCH(K$1,enemy_skill_triggers!$1:$1,0)-MATCH($F$1,enemy_skill_triggers!$1:$1,0)+1,FALSE)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6" s="48">
        <f ca="1">VLOOKUP($F316,OFFSET(enemy_skill_triggers!$A$1,0,0,COUNTA(enemy_skill_triggers!$A:$A),MATCH(L$1,enemy_skill_triggers!$1:$1,0)-MATCH($F$1,enemy_skill_triggers!$1:$1,0)+1),MATCH(L$1,enemy_skill_triggers!$1:$1,0)-MATCH($F$1,enemy_skill_triggers!$1:$1,0)+1,FALSE)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6" s="48">
        <f ca="1">VLOOKUP($F316,OFFSET(enemy_skill_triggers!$A$1,0,0,COUNTA(enemy_skill_triggers!$A:$A),MATCH(M$1,enemy_skill_triggers!$1:$1,0)-MATCH($F$1,enemy_skill_triggers!$1:$1,0)+1),MATCH(M$1,enemy_skill_triggers!$1:$1,0)-MATCH($F$1,enemy_skill_triggers!$1:$1,0)+1,FALSE)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6" s="48" t="str">
        <f ca="1">VLOOKUP($F316,OFFSET(enemy_skill_triggers!$A$1,0,0,COUNTA(enemy_skill_triggers!$A:$A),MATCH(N$1,enemy_skill_triggers!$1:$1,0)-MATCH($F$1,enemy_skill_triggers!$1:$1,0)+1),MATCH(N$1,enemy_skill_triggers!$1:$1,0)-MATCH($F$1,enemy_skill_triggers!$1:$1,0)+1,FALSE)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6" s="48">
        <f ca="1">VLOOKUP($F316,OFFSET(enemy_skill_triggers!$A$1,0,0,COUNTA(enemy_skill_triggers!$A:$A),MATCH(O$1,enemy_skill_triggers!$1:$1,0)-MATCH($F$1,enemy_skill_triggers!$1:$1,0)+1),MATCH(O$1,enemy_skill_triggers!$1:$1,0)-MATCH($F$1,enemy_skill_triggers!$1:$1,0)+1,FALSE)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6" s="47"/>
      <c r="Q316" s="47"/>
      <c r="R316" s="47"/>
    </row>
    <row r="317" spans="1:18" ht="21" customHeight="1" x14ac:dyDescent="0.15">
      <c r="A317" s="39" t="str">
        <f t="shared" si="17"/>
        <v>47004580_47004583</v>
      </c>
      <c r="B317" s="127">
        <v>47004580</v>
      </c>
      <c r="C317" s="47">
        <v>47004583</v>
      </c>
      <c r="D317" s="46" t="str">
        <f ca="1">VLOOKUP($C317,OFFSET(enemy_skills!$A$1,0,0,COUNTA(enemy_skills!$A:$A),MATCH(D$1,enemy_skills!$1:$1,0)-MATCH("enemy_skill_id",enemy_skills!$1:$1,0)+1),MATCH(D$1,enemy_skills!$1:$1,0)-MATCH("enemy_skill_id",enemy_skills!$1:$1,0)+1,FALSE)</f>
        <v>急いでるんでな！_x000D_飛ばしていくぜ！</v>
      </c>
      <c r="E317" s="46" t="str">
        <f ca="1">VLOOKUP($C317,OFFSET(enemy_skills!$A$1,0,0,COUNTA(enemy_skills!$A:$A),MATCH(E$1,enemy_skills!$1:$1,0)-MATCH("enemy_skill_id",enemy_skills!$1:$1,0)+1),MATCH(E$1,enemy_skills!$1:$1,0)-MATCH("enemy_skill_id",enemy_skills!$1:$1,0)+1,FALSE)</f>
        <v>青パネルを赤パネルに10個変換+単体攻撃+行動頻度UP</v>
      </c>
      <c r="F317" s="47">
        <v>47004583</v>
      </c>
      <c r="G317" s="48">
        <f ca="1">VLOOKUP($F317,OFFSET(enemy_skill_triggers!$A$1,0,0,COUNTA(enemy_skill_triggers!$A:$A),MATCH(G$1,enemy_skill_triggers!$1:$1,0)-MATCH($F$1,enemy_skill_triggers!$1:$1,0)+1),MATCH(G$1,enemy_skill_triggers!$1:$1,0)-MATCH($F$1,enemy_skill_triggers!$1:$1,0)+1,FALSE)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7" s="48">
        <f ca="1">VLOOKUP($F317,OFFSET(enemy_skill_triggers!$A$1,0,0,COUNTA(enemy_skill_triggers!$A:$A),MATCH(H$1,enemy_skill_triggers!$1:$1,0)-MATCH($F$1,enemy_skill_triggers!$1:$1,0)+1),MATCH(H$1,enemy_skill_triggers!$1:$1,0)-MATCH($F$1,enemy_skill_triggers!$1:$1,0)+1,FALSE)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317" s="48">
        <f ca="1">VLOOKUP($F317,OFFSET(enemy_skill_triggers!$A$1,0,0,COUNTA(enemy_skill_triggers!$A:$A),MATCH(I$1,enemy_skill_triggers!$1:$1,0)-MATCH($F$1,enemy_skill_triggers!$1:$1,0)+1),MATCH(I$1,enemy_skill_triggers!$1:$1,0)-MATCH($F$1,enemy_skill_triggers!$1:$1,0)+1,FALSE)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7" s="48" t="str">
        <f ca="1">VLOOKUP($F317,OFFSET(enemy_skill_triggers!$A$1,0,0,COUNTA(enemy_skill_triggers!$A:$A),MATCH(J$1,enemy_skill_triggers!$1:$1,0)-MATCH($F$1,enemy_skill_triggers!$1:$1,0)+1),MATCH(J$1,enemy_skill_triggers!$1:$1,0)-MATCH($F$1,enemy_skill_triggers!$1:$1,0)+1,FALSE)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7" s="48" t="str">
        <f ca="1">VLOOKUP($F317,OFFSET(enemy_skill_triggers!$A$1,0,0,COUNTA(enemy_skill_triggers!$A:$A),MATCH(K$1,enemy_skill_triggers!$1:$1,0)-MATCH($F$1,enemy_skill_triggers!$1:$1,0)+1),MATCH(K$1,enemy_skill_triggers!$1:$1,0)-MATCH($F$1,enemy_skill_triggers!$1:$1,0)+1,FALSE)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7" s="48">
        <f ca="1">VLOOKUP($F317,OFFSET(enemy_skill_triggers!$A$1,0,0,COUNTA(enemy_skill_triggers!$A:$A),MATCH(L$1,enemy_skill_triggers!$1:$1,0)-MATCH($F$1,enemy_skill_triggers!$1:$1,0)+1),MATCH(L$1,enemy_skill_triggers!$1:$1,0)-MATCH($F$1,enemy_skill_triggers!$1:$1,0)+1,FALSE)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7" s="48">
        <f ca="1">VLOOKUP($F317,OFFSET(enemy_skill_triggers!$A$1,0,0,COUNTA(enemy_skill_triggers!$A:$A),MATCH(M$1,enemy_skill_triggers!$1:$1,0)-MATCH($F$1,enemy_skill_triggers!$1:$1,0)+1),MATCH(M$1,enemy_skill_triggers!$1:$1,0)-MATCH($F$1,enemy_skill_triggers!$1:$1,0)+1,FALSE)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7" s="48" t="str">
        <f ca="1">VLOOKUP($F317,OFFSET(enemy_skill_triggers!$A$1,0,0,COUNTA(enemy_skill_triggers!$A:$A),MATCH(N$1,enemy_skill_triggers!$1:$1,0)-MATCH($F$1,enemy_skill_triggers!$1:$1,0)+1),MATCH(N$1,enemy_skill_triggers!$1:$1,0)-MATCH($F$1,enemy_skill_triggers!$1:$1,0)+1,FALSE)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7" s="48">
        <f ca="1">VLOOKUP($F317,OFFSET(enemy_skill_triggers!$A$1,0,0,COUNTA(enemy_skill_triggers!$A:$A),MATCH(O$1,enemy_skill_triggers!$1:$1,0)-MATCH($F$1,enemy_skill_triggers!$1:$1,0)+1),MATCH(O$1,enemy_skill_triggers!$1:$1,0)-MATCH($F$1,enemy_skill_triggers!$1:$1,0)+1,FALSE)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7" s="47"/>
      <c r="Q317" s="47"/>
      <c r="R317" s="47"/>
    </row>
    <row r="318" spans="1:18" ht="21" customHeight="1" x14ac:dyDescent="0.15">
      <c r="A318" s="39" t="str">
        <f t="shared" si="17"/>
        <v>47004580_47004584</v>
      </c>
      <c r="B318" s="127">
        <v>47004580</v>
      </c>
      <c r="C318" s="47">
        <v>47004584</v>
      </c>
      <c r="D318" s="46" t="str">
        <f ca="1">VLOOKUP($C318,OFFSET(enemy_skills!$A$1,0,0,COUNTA(enemy_skills!$A:$A),MATCH(D$1,enemy_skills!$1:$1,0)-MATCH("enemy_skill_id",enemy_skills!$1:$1,0)+1),MATCH(D$1,enemy_skills!$1:$1,0)-MATCH("enemy_skill_id",enemy_skills!$1:$1,0)+1,FALSE)</f>
        <v>聖夜のエキゾーストノート</v>
      </c>
      <c r="E318" s="46" t="str">
        <f ca="1">VLOOKUP($C318,OFFSET(enemy_skills!$A$1,0,0,COUNTA(enemy_skills!$A:$A),MATCH(E$1,enemy_skills!$1:$1,0)-MATCH("enemy_skill_id",enemy_skills!$1:$1,0)+1),MATCH(E$1,enemy_skills!$1:$1,0)-MATCH("enemy_skill_id",enemy_skills!$1:$1,0)+1,FALSE)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18" s="47">
        <v>47004584</v>
      </c>
      <c r="G318" s="48">
        <f ca="1">VLOOKUP($F318,OFFSET(enemy_skill_triggers!$A$1,0,0,COUNTA(enemy_skill_triggers!$A:$A),MATCH(G$1,enemy_skill_triggers!$1:$1,0)-MATCH($F$1,enemy_skill_triggers!$1:$1,0)+1),MATCH(G$1,enemy_skill_triggers!$1:$1,0)-MATCH($F$1,enemy_skill_triggers!$1:$1,0)+1,FALSE)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8" s="48">
        <f ca="1">VLOOKUP($F318,OFFSET(enemy_skill_triggers!$A$1,0,0,COUNTA(enemy_skill_triggers!$A:$A),MATCH(H$1,enemy_skill_triggers!$1:$1,0)-MATCH($F$1,enemy_skill_triggers!$1:$1,0)+1),MATCH(H$1,enemy_skill_triggers!$1:$1,0)-MATCH($F$1,enemy_skill_triggers!$1:$1,0)+1,FALSE)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18" s="48">
        <f ca="1">VLOOKUP($F318,OFFSET(enemy_skill_triggers!$A$1,0,0,COUNTA(enemy_skill_triggers!$A:$A),MATCH(I$1,enemy_skill_triggers!$1:$1,0)-MATCH($F$1,enemy_skill_triggers!$1:$1,0)+1),MATCH(I$1,enemy_skill_triggers!$1:$1,0)-MATCH($F$1,enemy_skill_triggers!$1:$1,0)+1,FALSE)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8" s="48" t="str">
        <f ca="1">VLOOKUP($F318,OFFSET(enemy_skill_triggers!$A$1,0,0,COUNTA(enemy_skill_triggers!$A:$A),MATCH(J$1,enemy_skill_triggers!$1:$1,0)-MATCH($F$1,enemy_skill_triggers!$1:$1,0)+1),MATCH(J$1,enemy_skill_triggers!$1:$1,0)-MATCH($F$1,enemy_skill_triggers!$1:$1,0)+1,FALSE)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8" s="48" t="str">
        <f ca="1">VLOOKUP($F318,OFFSET(enemy_skill_triggers!$A$1,0,0,COUNTA(enemy_skill_triggers!$A:$A),MATCH(K$1,enemy_skill_triggers!$1:$1,0)-MATCH($F$1,enemy_skill_triggers!$1:$1,0)+1),MATCH(K$1,enemy_skill_triggers!$1:$1,0)-MATCH($F$1,enemy_skill_triggers!$1:$1,0)+1,FALSE)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8" s="48" t="str">
        <f ca="1">VLOOKUP($F318,OFFSET(enemy_skill_triggers!$A$1,0,0,COUNTA(enemy_skill_triggers!$A:$A),MATCH(L$1,enemy_skill_triggers!$1:$1,0)-MATCH($F$1,enemy_skill_triggers!$1:$1,0)+1),MATCH(L$1,enemy_skill_triggers!$1:$1,0)-MATCH($F$1,enemy_skill_triggers!$1:$1,0)+1,FALSE)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8" s="48">
        <f ca="1">VLOOKUP($F318,OFFSET(enemy_skill_triggers!$A$1,0,0,COUNTA(enemy_skill_triggers!$A:$A),MATCH(M$1,enemy_skill_triggers!$1:$1,0)-MATCH($F$1,enemy_skill_triggers!$1:$1,0)+1),MATCH(M$1,enemy_skill_triggers!$1:$1,0)-MATCH($F$1,enemy_skill_triggers!$1:$1,0)+1,FALSE)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8" s="48" t="str">
        <f ca="1">VLOOKUP($F318,OFFSET(enemy_skill_triggers!$A$1,0,0,COUNTA(enemy_skill_triggers!$A:$A),MATCH(N$1,enemy_skill_triggers!$1:$1,0)-MATCH($F$1,enemy_skill_triggers!$1:$1,0)+1),MATCH(N$1,enemy_skill_triggers!$1:$1,0)-MATCH($F$1,enemy_skill_triggers!$1:$1,0)+1,FALSE)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8" s="48">
        <f ca="1">VLOOKUP($F318,OFFSET(enemy_skill_triggers!$A$1,0,0,COUNTA(enemy_skill_triggers!$A:$A),MATCH(O$1,enemy_skill_triggers!$1:$1,0)-MATCH($F$1,enemy_skill_triggers!$1:$1,0)+1),MATCH(O$1,enemy_skill_triggers!$1:$1,0)-MATCH($F$1,enemy_skill_triggers!$1:$1,0)+1,FALSE)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8" s="47"/>
      <c r="Q318" s="47"/>
      <c r="R318" s="47"/>
    </row>
    <row r="319" spans="1:18" ht="21" customHeight="1" x14ac:dyDescent="0.15">
      <c r="A319" s="39" t="str">
        <f t="shared" si="17"/>
        <v>47004580_47004585</v>
      </c>
      <c r="B319" s="127">
        <v>47004580</v>
      </c>
      <c r="C319" s="47">
        <v>47004585</v>
      </c>
      <c r="D319" s="46" t="str">
        <f ca="1">VLOOKUP($C319,OFFSET(enemy_skills!$A$1,0,0,COUNTA(enemy_skills!$A:$A),MATCH(D$1,enemy_skills!$1:$1,0)-MATCH("enemy_skill_id",enemy_skills!$1:$1,0)+1),MATCH(D$1,enemy_skills!$1:$1,0)-MATCH("enemy_skill_id",enemy_skills!$1:$1,0)+1,FALSE)</f>
        <v>なんだ、雪だるまならさっき見かけたぜ</v>
      </c>
      <c r="E319" s="46" t="str">
        <f ca="1">VLOOKUP($C319,OFFSET(enemy_skills!$A$1,0,0,COUNTA(enemy_skills!$A:$A),MATCH(E$1,enemy_skills!$1:$1,0)-MATCH("enemy_skill_id",enemy_skills!$1:$1,0)+1),MATCH(E$1,enemy_skills!$1:$1,0)-MATCH("enemy_skill_id",enemy_skills!$1:$1,0)+1,FALSE)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319" s="47">
        <v>47004585</v>
      </c>
      <c r="G319" s="48">
        <f ca="1">VLOOKUP($F319,OFFSET(enemy_skill_triggers!$A$1,0,0,COUNTA(enemy_skill_triggers!$A:$A),MATCH(G$1,enemy_skill_triggers!$1:$1,0)-MATCH($F$1,enemy_skill_triggers!$1:$1,0)+1),MATCH(G$1,enemy_skill_triggers!$1:$1,0)-MATCH($F$1,enemy_skill_triggers!$1:$1,0)+1,FALSE)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9" s="48">
        <f ca="1">VLOOKUP($F319,OFFSET(enemy_skill_triggers!$A$1,0,0,COUNTA(enemy_skill_triggers!$A:$A),MATCH(H$1,enemy_skill_triggers!$1:$1,0)-MATCH($F$1,enemy_skill_triggers!$1:$1,0)+1),MATCH(H$1,enemy_skill_triggers!$1:$1,0)-MATCH($F$1,enemy_skill_triggers!$1:$1,0)+1,FALSE)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319" s="48">
        <f ca="1">VLOOKUP($F319,OFFSET(enemy_skill_triggers!$A$1,0,0,COUNTA(enemy_skill_triggers!$A:$A),MATCH(I$1,enemy_skill_triggers!$1:$1,0)-MATCH($F$1,enemy_skill_triggers!$1:$1,0)+1),MATCH(I$1,enemy_skill_triggers!$1:$1,0)-MATCH($F$1,enemy_skill_triggers!$1:$1,0)+1,FALSE)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9" s="48">
        <f ca="1">VLOOKUP($F319,OFFSET(enemy_skill_triggers!$A$1,0,0,COUNTA(enemy_skill_triggers!$A:$A),MATCH(J$1,enemy_skill_triggers!$1:$1,0)-MATCH($F$1,enemy_skill_triggers!$1:$1,0)+1),MATCH(J$1,enemy_skill_triggers!$1:$1,0)-MATCH($F$1,enemy_skill_triggers!$1:$1,0)+1,FALSE)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9" s="48" t="str">
        <f ca="1">VLOOKUP($F319,OFFSET(enemy_skill_triggers!$A$1,0,0,COUNTA(enemy_skill_triggers!$A:$A),MATCH(K$1,enemy_skill_triggers!$1:$1,0)-MATCH($F$1,enemy_skill_triggers!$1:$1,0)+1),MATCH(K$1,enemy_skill_triggers!$1:$1,0)-MATCH($F$1,enemy_skill_triggers!$1:$1,0)+1,FALSE)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9" s="48">
        <f ca="1">VLOOKUP($F319,OFFSET(enemy_skill_triggers!$A$1,0,0,COUNTA(enemy_skill_triggers!$A:$A),MATCH(L$1,enemy_skill_triggers!$1:$1,0)-MATCH($F$1,enemy_skill_triggers!$1:$1,0)+1),MATCH(L$1,enemy_skill_triggers!$1:$1,0)-MATCH($F$1,enemy_skill_triggers!$1:$1,0)+1,FALSE)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9" s="48">
        <f ca="1">VLOOKUP($F319,OFFSET(enemy_skill_triggers!$A$1,0,0,COUNTA(enemy_skill_triggers!$A:$A),MATCH(M$1,enemy_skill_triggers!$1:$1,0)-MATCH($F$1,enemy_skill_triggers!$1:$1,0)+1),MATCH(M$1,enemy_skill_triggers!$1:$1,0)-MATCH($F$1,enemy_skill_triggers!$1:$1,0)+1,FALSE)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9" s="48" t="str">
        <f ca="1">VLOOKUP($F319,OFFSET(enemy_skill_triggers!$A$1,0,0,COUNTA(enemy_skill_triggers!$A:$A),MATCH(N$1,enemy_skill_triggers!$1:$1,0)-MATCH($F$1,enemy_skill_triggers!$1:$1,0)+1),MATCH(N$1,enemy_skill_triggers!$1:$1,0)-MATCH($F$1,enemy_skill_triggers!$1:$1,0)+1,FALSE)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9" s="48">
        <f ca="1">VLOOKUP($F319,OFFSET(enemy_skill_triggers!$A$1,0,0,COUNTA(enemy_skill_triggers!$A:$A),MATCH(O$1,enemy_skill_triggers!$1:$1,0)-MATCH($F$1,enemy_skill_triggers!$1:$1,0)+1),MATCH(O$1,enemy_skill_triggers!$1:$1,0)-MATCH($F$1,enemy_skill_triggers!$1:$1,0)+1,FALSE)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9" s="47"/>
      <c r="Q319" s="47"/>
      <c r="R319" s="47"/>
    </row>
    <row r="320" spans="1:18" ht="21" customHeight="1" x14ac:dyDescent="0.15">
      <c r="A320" s="39" t="str">
        <f t="shared" si="17"/>
        <v>47004580_47004586</v>
      </c>
      <c r="B320" s="127">
        <v>47004580</v>
      </c>
      <c r="C320" s="47">
        <v>47004586</v>
      </c>
      <c r="D320" s="46" t="str">
        <f ca="1">VLOOKUP($C320,OFFSET(enemy_skills!$A$1,0,0,COUNTA(enemy_skills!$A:$A),MATCH(D$1,enemy_skills!$1:$1,0)-MATCH("enemy_skill_id",enemy_skills!$1:$1,0)+1),MATCH(D$1,enemy_skills!$1:$1,0)-MATCH("enemy_skill_id",enemy_skills!$1:$1,0)+1,FALSE)</f>
        <v>さーて、ラチカ！みんなを驚かす為に_x000D_手伝ってくれよな！</v>
      </c>
      <c r="E320" s="46" t="str">
        <f ca="1">VLOOKUP($C320,OFFSET(enemy_skills!$A$1,0,0,COUNTA(enemy_skills!$A:$A),MATCH(E$1,enemy_skills!$1:$1,0)-MATCH("enemy_skill_id",enemy_skills!$1:$1,0)+1),MATCH(E$1,enemy_skills!$1:$1,0)-MATCH("enemy_skill_id",enemy_skills!$1:$1,0)+1,FALSE)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20" s="47">
        <v>47004586</v>
      </c>
      <c r="G320" s="48">
        <f ca="1">VLOOKUP($F320,OFFSET(enemy_skill_triggers!$A$1,0,0,COUNTA(enemy_skill_triggers!$A:$A),MATCH(G$1,enemy_skill_triggers!$1:$1,0)-MATCH($F$1,enemy_skill_triggers!$1:$1,0)+1),MATCH(G$1,enemy_skill_triggers!$1:$1,0)-MATCH($F$1,enemy_skill_triggers!$1:$1,0)+1,FALSE)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0" s="48">
        <f ca="1">VLOOKUP($F320,OFFSET(enemy_skill_triggers!$A$1,0,0,COUNTA(enemy_skill_triggers!$A:$A),MATCH(H$1,enemy_skill_triggers!$1:$1,0)-MATCH($F$1,enemy_skill_triggers!$1:$1,0)+1),MATCH(H$1,enemy_skill_triggers!$1:$1,0)-MATCH($F$1,enemy_skill_triggers!$1:$1,0)+1,FALSE)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320" s="48">
        <f ca="1">VLOOKUP($F320,OFFSET(enemy_skill_triggers!$A$1,0,0,COUNTA(enemy_skill_triggers!$A:$A),MATCH(I$1,enemy_skill_triggers!$1:$1,0)-MATCH($F$1,enemy_skill_triggers!$1:$1,0)+1),MATCH(I$1,enemy_skill_triggers!$1:$1,0)-MATCH($F$1,enemy_skill_triggers!$1:$1,0)+1,FALSE)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0" s="48" t="str">
        <f ca="1">VLOOKUP($F320,OFFSET(enemy_skill_triggers!$A$1,0,0,COUNTA(enemy_skill_triggers!$A:$A),MATCH(J$1,enemy_skill_triggers!$1:$1,0)-MATCH($F$1,enemy_skill_triggers!$1:$1,0)+1),MATCH(J$1,enemy_skill_triggers!$1:$1,0)-MATCH($F$1,enemy_skill_triggers!$1:$1,0)+1,FALSE)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0" s="48" t="str">
        <f ca="1">VLOOKUP($F320,OFFSET(enemy_skill_triggers!$A$1,0,0,COUNTA(enemy_skill_triggers!$A:$A),MATCH(K$1,enemy_skill_triggers!$1:$1,0)-MATCH($F$1,enemy_skill_triggers!$1:$1,0)+1),MATCH(K$1,enemy_skill_triggers!$1:$1,0)-MATCH($F$1,enemy_skill_triggers!$1:$1,0)+1,FALSE)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0" s="48">
        <f ca="1">VLOOKUP($F320,OFFSET(enemy_skill_triggers!$A$1,0,0,COUNTA(enemy_skill_triggers!$A:$A),MATCH(L$1,enemy_skill_triggers!$1:$1,0)-MATCH($F$1,enemy_skill_triggers!$1:$1,0)+1),MATCH(L$1,enemy_skill_triggers!$1:$1,0)-MATCH($F$1,enemy_skill_triggers!$1:$1,0)+1,FALSE)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0" s="48" t="str">
        <f ca="1">VLOOKUP($F320,OFFSET(enemy_skill_triggers!$A$1,0,0,COUNTA(enemy_skill_triggers!$A:$A),MATCH(M$1,enemy_skill_triggers!$1:$1,0)-MATCH($F$1,enemy_skill_triggers!$1:$1,0)+1),MATCH(M$1,enemy_skill_triggers!$1:$1,0)-MATCH($F$1,enemy_skill_triggers!$1:$1,0)+1,FALSE)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0" s="48">
        <f ca="1">VLOOKUP($F320,OFFSET(enemy_skill_triggers!$A$1,0,0,COUNTA(enemy_skill_triggers!$A:$A),MATCH(N$1,enemy_skill_triggers!$1:$1,0)-MATCH($F$1,enemy_skill_triggers!$1:$1,0)+1),MATCH(N$1,enemy_skill_triggers!$1:$1,0)-MATCH($F$1,enemy_skill_triggers!$1:$1,0)+1,FALSE)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320" s="48">
        <f ca="1">VLOOKUP($F320,OFFSET(enemy_skill_triggers!$A$1,0,0,COUNTA(enemy_skill_triggers!$A:$A),MATCH(O$1,enemy_skill_triggers!$1:$1,0)-MATCH($F$1,enemy_skill_triggers!$1:$1,0)+1),MATCH(O$1,enemy_skill_triggers!$1:$1,0)-MATCH($F$1,enemy_skill_triggers!$1:$1,0)+1,FALSE)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0" s="47"/>
      <c r="Q320" s="47"/>
      <c r="R320" s="47"/>
    </row>
    <row r="321" spans="1:18" ht="21" customHeight="1" x14ac:dyDescent="0.15">
      <c r="A321" s="39" t="str">
        <f t="shared" si="17"/>
        <v>47004580_47004586</v>
      </c>
      <c r="B321" s="127">
        <v>47004580</v>
      </c>
      <c r="C321" s="47">
        <v>47004586</v>
      </c>
      <c r="D321" s="46" t="str">
        <f ca="1">VLOOKUP($C321,OFFSET(enemy_skills!$A$1,0,0,COUNTA(enemy_skills!$A:$A),MATCH(D$1,enemy_skills!$1:$1,0)-MATCH("enemy_skill_id",enemy_skills!$1:$1,0)+1),MATCH(D$1,enemy_skills!$1:$1,0)-MATCH("enemy_skill_id",enemy_skills!$1:$1,0)+1,FALSE)</f>
        <v>さーて、ラチカ！みんなを驚かす為に_x000D_手伝ってくれよな！</v>
      </c>
      <c r="E321" s="46" t="str">
        <f ca="1">VLOOKUP($C321,OFFSET(enemy_skills!$A$1,0,0,COUNTA(enemy_skills!$A:$A),MATCH(E$1,enemy_skills!$1:$1,0)-MATCH("enemy_skill_id",enemy_skills!$1:$1,0)+1),MATCH(E$1,enemy_skills!$1:$1,0)-MATCH("enemy_skill_id",enemy_skills!$1:$1,0)+1,FALSE)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21" s="47">
        <v>47004587</v>
      </c>
      <c r="G321" s="48">
        <f ca="1">VLOOKUP($F321,OFFSET(enemy_skill_triggers!$A$1,0,0,COUNTA(enemy_skill_triggers!$A:$A),MATCH(G$1,enemy_skill_triggers!$1:$1,0)-MATCH($F$1,enemy_skill_triggers!$1:$1,0)+1),MATCH(G$1,enemy_skill_triggers!$1:$1,0)-MATCH($F$1,enemy_skill_triggers!$1:$1,0)+1,FALSE)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1" s="48">
        <f ca="1">VLOOKUP($F321,OFFSET(enemy_skill_triggers!$A$1,0,0,COUNTA(enemy_skill_triggers!$A:$A),MATCH(H$1,enemy_skill_triggers!$1:$1,0)-MATCH($F$1,enemy_skill_triggers!$1:$1,0)+1),MATCH(H$1,enemy_skill_triggers!$1:$1,0)-MATCH($F$1,enemy_skill_triggers!$1:$1,0)+1,FALSE)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321" s="48">
        <f ca="1">VLOOKUP($F321,OFFSET(enemy_skill_triggers!$A$1,0,0,COUNTA(enemy_skill_triggers!$A:$A),MATCH(I$1,enemy_skill_triggers!$1:$1,0)-MATCH($F$1,enemy_skill_triggers!$1:$1,0)+1),MATCH(I$1,enemy_skill_triggers!$1:$1,0)-MATCH($F$1,enemy_skill_triggers!$1:$1,0)+1,FALSE)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1" s="48" t="str">
        <f ca="1">VLOOKUP($F321,OFFSET(enemy_skill_triggers!$A$1,0,0,COUNTA(enemy_skill_triggers!$A:$A),MATCH(J$1,enemy_skill_triggers!$1:$1,0)-MATCH($F$1,enemy_skill_triggers!$1:$1,0)+1),MATCH(J$1,enemy_skill_triggers!$1:$1,0)-MATCH($F$1,enemy_skill_triggers!$1:$1,0)+1,FALSE)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1" s="48" t="str">
        <f ca="1">VLOOKUP($F321,OFFSET(enemy_skill_triggers!$A$1,0,0,COUNTA(enemy_skill_triggers!$A:$A),MATCH(K$1,enemy_skill_triggers!$1:$1,0)-MATCH($F$1,enemy_skill_triggers!$1:$1,0)+1),MATCH(K$1,enemy_skill_triggers!$1:$1,0)-MATCH($F$1,enemy_skill_triggers!$1:$1,0)+1,FALSE)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1" s="48">
        <f ca="1">VLOOKUP($F321,OFFSET(enemy_skill_triggers!$A$1,0,0,COUNTA(enemy_skill_triggers!$A:$A),MATCH(L$1,enemy_skill_triggers!$1:$1,0)-MATCH($F$1,enemy_skill_triggers!$1:$1,0)+1),MATCH(L$1,enemy_skill_triggers!$1:$1,0)-MATCH($F$1,enemy_skill_triggers!$1:$1,0)+1,FALSE)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1" s="48" t="str">
        <f ca="1">VLOOKUP($F321,OFFSET(enemy_skill_triggers!$A$1,0,0,COUNTA(enemy_skill_triggers!$A:$A),MATCH(M$1,enemy_skill_triggers!$1:$1,0)-MATCH($F$1,enemy_skill_triggers!$1:$1,0)+1),MATCH(M$1,enemy_skill_triggers!$1:$1,0)-MATCH($F$1,enemy_skill_triggers!$1:$1,0)+1,FALSE)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1" s="48">
        <f ca="1">VLOOKUP($F321,OFFSET(enemy_skill_triggers!$A$1,0,0,COUNTA(enemy_skill_triggers!$A:$A),MATCH(N$1,enemy_skill_triggers!$1:$1,0)-MATCH($F$1,enemy_skill_triggers!$1:$1,0)+1),MATCH(N$1,enemy_skill_triggers!$1:$1,0)-MATCH($F$1,enemy_skill_triggers!$1:$1,0)+1,FALSE)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321" s="48">
        <f ca="1">VLOOKUP($F321,OFFSET(enemy_skill_triggers!$A$1,0,0,COUNTA(enemy_skill_triggers!$A:$A),MATCH(O$1,enemy_skill_triggers!$1:$1,0)-MATCH($F$1,enemy_skill_triggers!$1:$1,0)+1),MATCH(O$1,enemy_skill_triggers!$1:$1,0)-MATCH($F$1,enemy_skill_triggers!$1:$1,0)+1,FALSE)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1" s="47"/>
      <c r="Q321" s="47"/>
      <c r="R321" s="47"/>
    </row>
    <row r="322" spans="1:18" ht="21" customHeight="1" x14ac:dyDescent="0.15">
      <c r="A322" s="39" t="str">
        <f t="shared" si="17"/>
        <v>47004580_47004587</v>
      </c>
      <c r="B322" s="127">
        <v>47004580</v>
      </c>
      <c r="C322" s="47">
        <v>47004587</v>
      </c>
      <c r="D322" s="46" t="str">
        <f ca="1">VLOOKUP($C322,OFFSET(enemy_skills!$A$1,0,0,COUNTA(enemy_skills!$A:$A),MATCH(D$1,enemy_skills!$1:$1,0)-MATCH("enemy_skill_id",enemy_skills!$1:$1,0)+1),MATCH(D$1,enemy_skills!$1:$1,0)-MATCH("enemy_skill_id",enemy_skills!$1:$1,0)+1,FALSE)</f>
        <v>やっぱりクリスマスの夜は_x000D_マリアがいなくちゃ始まらねぇな！</v>
      </c>
      <c r="E322" s="46" t="str">
        <f ca="1">VLOOKUP($C322,OFFSET(enemy_skills!$A$1,0,0,COUNTA(enemy_skills!$A:$A),MATCH(E$1,enemy_skills!$1:$1,0)-MATCH("enemy_skill_id",enemy_skills!$1:$1,0)+1),MATCH(E$1,enemy_skills!$1:$1,0)-MATCH("enemy_skill_id",enemy_skills!$1:$1,0)+1,FALSE)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22" s="47">
        <v>47004588</v>
      </c>
      <c r="G322" s="48">
        <f ca="1">VLOOKUP($F322,OFFSET(enemy_skill_triggers!$A$1,0,0,COUNTA(enemy_skill_triggers!$A:$A),MATCH(G$1,enemy_skill_triggers!$1:$1,0)-MATCH($F$1,enemy_skill_triggers!$1:$1,0)+1),MATCH(G$1,enemy_skill_triggers!$1:$1,0)-MATCH($F$1,enemy_skill_triggers!$1:$1,0)+1,FALSE)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2" s="48">
        <f ca="1">VLOOKUP($F322,OFFSET(enemy_skill_triggers!$A$1,0,0,COUNTA(enemy_skill_triggers!$A:$A),MATCH(H$1,enemy_skill_triggers!$1:$1,0)-MATCH($F$1,enemy_skill_triggers!$1:$1,0)+1),MATCH(H$1,enemy_skill_triggers!$1:$1,0)-MATCH($F$1,enemy_skill_triggers!$1:$1,0)+1,FALSE)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322" s="48">
        <f ca="1">VLOOKUP($F322,OFFSET(enemy_skill_triggers!$A$1,0,0,COUNTA(enemy_skill_triggers!$A:$A),MATCH(I$1,enemy_skill_triggers!$1:$1,0)-MATCH($F$1,enemy_skill_triggers!$1:$1,0)+1),MATCH(I$1,enemy_skill_triggers!$1:$1,0)-MATCH($F$1,enemy_skill_triggers!$1:$1,0)+1,FALSE)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2" s="48" t="str">
        <f ca="1">VLOOKUP($F322,OFFSET(enemy_skill_triggers!$A$1,0,0,COUNTA(enemy_skill_triggers!$A:$A),MATCH(J$1,enemy_skill_triggers!$1:$1,0)-MATCH($F$1,enemy_skill_triggers!$1:$1,0)+1),MATCH(J$1,enemy_skill_triggers!$1:$1,0)-MATCH($F$1,enemy_skill_triggers!$1:$1,0)+1,FALSE)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2" s="48" t="str">
        <f ca="1">VLOOKUP($F322,OFFSET(enemy_skill_triggers!$A$1,0,0,COUNTA(enemy_skill_triggers!$A:$A),MATCH(K$1,enemy_skill_triggers!$1:$1,0)-MATCH($F$1,enemy_skill_triggers!$1:$1,0)+1),MATCH(K$1,enemy_skill_triggers!$1:$1,0)-MATCH($F$1,enemy_skill_triggers!$1:$1,0)+1,FALSE)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2" s="48">
        <f ca="1">VLOOKUP($F322,OFFSET(enemy_skill_triggers!$A$1,0,0,COUNTA(enemy_skill_triggers!$A:$A),MATCH(L$1,enemy_skill_triggers!$1:$1,0)-MATCH($F$1,enemy_skill_triggers!$1:$1,0)+1),MATCH(L$1,enemy_skill_triggers!$1:$1,0)-MATCH($F$1,enemy_skill_triggers!$1:$1,0)+1,FALSE)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2" s="48" t="str">
        <f ca="1">VLOOKUP($F322,OFFSET(enemy_skill_triggers!$A$1,0,0,COUNTA(enemy_skill_triggers!$A:$A),MATCH(M$1,enemy_skill_triggers!$1:$1,0)-MATCH($F$1,enemy_skill_triggers!$1:$1,0)+1),MATCH(M$1,enemy_skill_triggers!$1:$1,0)-MATCH($F$1,enemy_skill_triggers!$1:$1,0)+1,FALSE)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2" s="48">
        <f ca="1">VLOOKUP($F322,OFFSET(enemy_skill_triggers!$A$1,0,0,COUNTA(enemy_skill_triggers!$A:$A),MATCH(N$1,enemy_skill_triggers!$1:$1,0)-MATCH($F$1,enemy_skill_triggers!$1:$1,0)+1),MATCH(N$1,enemy_skill_triggers!$1:$1,0)-MATCH($F$1,enemy_skill_triggers!$1:$1,0)+1,FALSE)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322" s="48">
        <f ca="1">VLOOKUP($F322,OFFSET(enemy_skill_triggers!$A$1,0,0,COUNTA(enemy_skill_triggers!$A:$A),MATCH(O$1,enemy_skill_triggers!$1:$1,0)-MATCH($F$1,enemy_skill_triggers!$1:$1,0)+1),MATCH(O$1,enemy_skill_triggers!$1:$1,0)-MATCH($F$1,enemy_skill_triggers!$1:$1,0)+1,FALSE)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2" s="47"/>
      <c r="Q322" s="47"/>
      <c r="R322" s="47"/>
    </row>
    <row r="323" spans="1:18" ht="21" customHeight="1" x14ac:dyDescent="0.15">
      <c r="A323" s="39" t="str">
        <f t="shared" si="17"/>
        <v>47004580_47004587</v>
      </c>
      <c r="B323" s="127">
        <v>47004580</v>
      </c>
      <c r="C323" s="47">
        <v>47004587</v>
      </c>
      <c r="D323" s="46" t="str">
        <f ca="1">VLOOKUP($C323,OFFSET(enemy_skills!$A$1,0,0,COUNTA(enemy_skills!$A:$A),MATCH(D$1,enemy_skills!$1:$1,0)-MATCH("enemy_skill_id",enemy_skills!$1:$1,0)+1),MATCH(D$1,enemy_skills!$1:$1,0)-MATCH("enemy_skill_id",enemy_skills!$1:$1,0)+1,FALSE)</f>
        <v>やっぱりクリスマスの夜は_x000D_マリアがいなくちゃ始まらねぇな！</v>
      </c>
      <c r="E323" s="46" t="str">
        <f ca="1">VLOOKUP($C323,OFFSET(enemy_skills!$A$1,0,0,COUNTA(enemy_skills!$A:$A),MATCH(E$1,enemy_skills!$1:$1,0)-MATCH("enemy_skill_id",enemy_skills!$1:$1,0)+1),MATCH(E$1,enemy_skills!$1:$1,0)-MATCH("enemy_skill_id",enemy_skills!$1:$1,0)+1,FALSE)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23" s="47">
        <v>47004589</v>
      </c>
      <c r="G323" s="48">
        <f ca="1">VLOOKUP($F323,OFFSET(enemy_skill_triggers!$A$1,0,0,COUNTA(enemy_skill_triggers!$A:$A),MATCH(G$1,enemy_skill_triggers!$1:$1,0)-MATCH($F$1,enemy_skill_triggers!$1:$1,0)+1),MATCH(G$1,enemy_skill_triggers!$1:$1,0)-MATCH($F$1,enemy_skill_triggers!$1:$1,0)+1,FALSE)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3" s="48">
        <f ca="1">VLOOKUP($F323,OFFSET(enemy_skill_triggers!$A$1,0,0,COUNTA(enemy_skill_triggers!$A:$A),MATCH(H$1,enemy_skill_triggers!$1:$1,0)-MATCH($F$1,enemy_skill_triggers!$1:$1,0)+1),MATCH(H$1,enemy_skill_triggers!$1:$1,0)-MATCH($F$1,enemy_skill_triggers!$1:$1,0)+1,FALSE)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323" s="48">
        <f ca="1">VLOOKUP($F323,OFFSET(enemy_skill_triggers!$A$1,0,0,COUNTA(enemy_skill_triggers!$A:$A),MATCH(I$1,enemy_skill_triggers!$1:$1,0)-MATCH($F$1,enemy_skill_triggers!$1:$1,0)+1),MATCH(I$1,enemy_skill_triggers!$1:$1,0)-MATCH($F$1,enemy_skill_triggers!$1:$1,0)+1,FALSE)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3" s="48" t="str">
        <f ca="1">VLOOKUP($F323,OFFSET(enemy_skill_triggers!$A$1,0,0,COUNTA(enemy_skill_triggers!$A:$A),MATCH(J$1,enemy_skill_triggers!$1:$1,0)-MATCH($F$1,enemy_skill_triggers!$1:$1,0)+1),MATCH(J$1,enemy_skill_triggers!$1:$1,0)-MATCH($F$1,enemy_skill_triggers!$1:$1,0)+1,FALSE)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3" s="48" t="str">
        <f ca="1">VLOOKUP($F323,OFFSET(enemy_skill_triggers!$A$1,0,0,COUNTA(enemy_skill_triggers!$A:$A),MATCH(K$1,enemy_skill_triggers!$1:$1,0)-MATCH($F$1,enemy_skill_triggers!$1:$1,0)+1),MATCH(K$1,enemy_skill_triggers!$1:$1,0)-MATCH($F$1,enemy_skill_triggers!$1:$1,0)+1,FALSE)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3" s="48">
        <f ca="1">VLOOKUP($F323,OFFSET(enemy_skill_triggers!$A$1,0,0,COUNTA(enemy_skill_triggers!$A:$A),MATCH(L$1,enemy_skill_triggers!$1:$1,0)-MATCH($F$1,enemy_skill_triggers!$1:$1,0)+1),MATCH(L$1,enemy_skill_triggers!$1:$1,0)-MATCH($F$1,enemy_skill_triggers!$1:$1,0)+1,FALSE)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3" s="48" t="str">
        <f ca="1">VLOOKUP($F323,OFFSET(enemy_skill_triggers!$A$1,0,0,COUNTA(enemy_skill_triggers!$A:$A),MATCH(M$1,enemy_skill_triggers!$1:$1,0)-MATCH($F$1,enemy_skill_triggers!$1:$1,0)+1),MATCH(M$1,enemy_skill_triggers!$1:$1,0)-MATCH($F$1,enemy_skill_triggers!$1:$1,0)+1,FALSE)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3" s="48">
        <f ca="1">VLOOKUP($F323,OFFSET(enemy_skill_triggers!$A$1,0,0,COUNTA(enemy_skill_triggers!$A:$A),MATCH(N$1,enemy_skill_triggers!$1:$1,0)-MATCH($F$1,enemy_skill_triggers!$1:$1,0)+1),MATCH(N$1,enemy_skill_triggers!$1:$1,0)-MATCH($F$1,enemy_skill_triggers!$1:$1,0)+1,FALSE)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323" s="48">
        <f ca="1">VLOOKUP($F323,OFFSET(enemy_skill_triggers!$A$1,0,0,COUNTA(enemy_skill_triggers!$A:$A),MATCH(O$1,enemy_skill_triggers!$1:$1,0)-MATCH($F$1,enemy_skill_triggers!$1:$1,0)+1),MATCH(O$1,enemy_skill_triggers!$1:$1,0)-MATCH($F$1,enemy_skill_triggers!$1:$1,0)+1,FALSE)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3" s="47"/>
      <c r="Q323" s="47"/>
      <c r="R323" s="47"/>
    </row>
    <row r="324" spans="1:18" ht="21" customHeight="1" x14ac:dyDescent="0.15">
      <c r="A324" s="39" t="str">
        <f t="shared" si="17"/>
        <v>47004580_47004587</v>
      </c>
      <c r="B324" s="127">
        <v>47004580</v>
      </c>
      <c r="C324" s="47">
        <v>47004587</v>
      </c>
      <c r="D324" s="46" t="str">
        <f ca="1">VLOOKUP($C324,OFFSET(enemy_skills!$A$1,0,0,COUNTA(enemy_skills!$A:$A),MATCH(D$1,enemy_skills!$1:$1,0)-MATCH("enemy_skill_id",enemy_skills!$1:$1,0)+1),MATCH(D$1,enemy_skills!$1:$1,0)-MATCH("enemy_skill_id",enemy_skills!$1:$1,0)+1,FALSE)</f>
        <v>やっぱりクリスマスの夜は_x000D_マリアがいなくちゃ始まらねぇな！</v>
      </c>
      <c r="E324" s="46" t="str">
        <f ca="1">VLOOKUP($C324,OFFSET(enemy_skills!$A$1,0,0,COUNTA(enemy_skills!$A:$A),MATCH(E$1,enemy_skills!$1:$1,0)-MATCH("enemy_skill_id",enemy_skills!$1:$1,0)+1),MATCH(E$1,enemy_skills!$1:$1,0)-MATCH("enemy_skill_id",enemy_skills!$1:$1,0)+1,FALSE)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24" s="47">
        <v>47004590</v>
      </c>
      <c r="G324" s="48">
        <f ca="1">VLOOKUP($F324,OFFSET(enemy_skill_triggers!$A$1,0,0,COUNTA(enemy_skill_triggers!$A:$A),MATCH(G$1,enemy_skill_triggers!$1:$1,0)-MATCH($F$1,enemy_skill_triggers!$1:$1,0)+1),MATCH(G$1,enemy_skill_triggers!$1:$1,0)-MATCH($F$1,enemy_skill_triggers!$1:$1,0)+1,FALSE)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4" s="48">
        <f ca="1">VLOOKUP($F324,OFFSET(enemy_skill_triggers!$A$1,0,0,COUNTA(enemy_skill_triggers!$A:$A),MATCH(H$1,enemy_skill_triggers!$1:$1,0)-MATCH($F$1,enemy_skill_triggers!$1:$1,0)+1),MATCH(H$1,enemy_skill_triggers!$1:$1,0)-MATCH($F$1,enemy_skill_triggers!$1:$1,0)+1,FALSE)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324" s="48">
        <f ca="1">VLOOKUP($F324,OFFSET(enemy_skill_triggers!$A$1,0,0,COUNTA(enemy_skill_triggers!$A:$A),MATCH(I$1,enemy_skill_triggers!$1:$1,0)-MATCH($F$1,enemy_skill_triggers!$1:$1,0)+1),MATCH(I$1,enemy_skill_triggers!$1:$1,0)-MATCH($F$1,enemy_skill_triggers!$1:$1,0)+1,FALSE)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4" s="48" t="str">
        <f ca="1">VLOOKUP($F324,OFFSET(enemy_skill_triggers!$A$1,0,0,COUNTA(enemy_skill_triggers!$A:$A),MATCH(J$1,enemy_skill_triggers!$1:$1,0)-MATCH($F$1,enemy_skill_triggers!$1:$1,0)+1),MATCH(J$1,enemy_skill_triggers!$1:$1,0)-MATCH($F$1,enemy_skill_triggers!$1:$1,0)+1,FALSE)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4" s="48" t="str">
        <f ca="1">VLOOKUP($F324,OFFSET(enemy_skill_triggers!$A$1,0,0,COUNTA(enemy_skill_triggers!$A:$A),MATCH(K$1,enemy_skill_triggers!$1:$1,0)-MATCH($F$1,enemy_skill_triggers!$1:$1,0)+1),MATCH(K$1,enemy_skill_triggers!$1:$1,0)-MATCH($F$1,enemy_skill_triggers!$1:$1,0)+1,FALSE)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4" s="48">
        <f ca="1">VLOOKUP($F324,OFFSET(enemy_skill_triggers!$A$1,0,0,COUNTA(enemy_skill_triggers!$A:$A),MATCH(L$1,enemy_skill_triggers!$1:$1,0)-MATCH($F$1,enemy_skill_triggers!$1:$1,0)+1),MATCH(L$1,enemy_skill_triggers!$1:$1,0)-MATCH($F$1,enemy_skill_triggers!$1:$1,0)+1,FALSE)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4" s="48" t="str">
        <f ca="1">VLOOKUP($F324,OFFSET(enemy_skill_triggers!$A$1,0,0,COUNTA(enemy_skill_triggers!$A:$A),MATCH(M$1,enemy_skill_triggers!$1:$1,0)-MATCH($F$1,enemy_skill_triggers!$1:$1,0)+1),MATCH(M$1,enemy_skill_triggers!$1:$1,0)-MATCH($F$1,enemy_skill_triggers!$1:$1,0)+1,FALSE)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4" s="48">
        <f ca="1">VLOOKUP($F324,OFFSET(enemy_skill_triggers!$A$1,0,0,COUNTA(enemy_skill_triggers!$A:$A),MATCH(N$1,enemy_skill_triggers!$1:$1,0)-MATCH($F$1,enemy_skill_triggers!$1:$1,0)+1),MATCH(N$1,enemy_skill_triggers!$1:$1,0)-MATCH($F$1,enemy_skill_triggers!$1:$1,0)+1,FALSE)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324" s="48">
        <f ca="1">VLOOKUP($F324,OFFSET(enemy_skill_triggers!$A$1,0,0,COUNTA(enemy_skill_triggers!$A:$A),MATCH(O$1,enemy_skill_triggers!$1:$1,0)-MATCH($F$1,enemy_skill_triggers!$1:$1,0)+1),MATCH(O$1,enemy_skill_triggers!$1:$1,0)-MATCH($F$1,enemy_skill_triggers!$1:$1,0)+1,FALSE)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4" s="47"/>
      <c r="Q324" s="47"/>
      <c r="R324" s="47"/>
    </row>
    <row r="325" spans="1:18" ht="21" customHeight="1" x14ac:dyDescent="0.15">
      <c r="A325" s="39" t="str">
        <f t="shared" si="17"/>
        <v>47004580_47004588</v>
      </c>
      <c r="B325" s="127">
        <v>47004580</v>
      </c>
      <c r="C325" s="47">
        <v>47004588</v>
      </c>
      <c r="D325" s="46" t="str">
        <f ca="1">VLOOKUP($C325,OFFSET(enemy_skills!$A$1,0,0,COUNTA(enemy_skills!$A:$A),MATCH(D$1,enemy_skills!$1:$1,0)-MATCH("enemy_skill_id",enemy_skills!$1:$1,0)+1),MATCH(D$1,enemy_skills!$1:$1,0)-MATCH("enemy_skill_id",enemy_skills!$1:$1,0)+1,FALSE)</f>
        <v>ミカエル！今年も_x000D_かっ飛ばしていこうぜ！</v>
      </c>
      <c r="E325" s="46" t="str">
        <f ca="1">VLOOKUP($C325,OFFSET(enemy_skills!$A$1,0,0,COUNTA(enemy_skills!$A:$A),MATCH(E$1,enemy_skills!$1:$1,0)-MATCH("enemy_skill_id",enemy_skills!$1:$1,0)+1),MATCH(E$1,enemy_skills!$1:$1,0)-MATCH("enemy_skill_id",enemy_skills!$1:$1,0)+1,FALSE)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25" s="47">
        <v>47004591</v>
      </c>
      <c r="G325" s="48">
        <f ca="1">VLOOKUP($F325,OFFSET(enemy_skill_triggers!$A$1,0,0,COUNTA(enemy_skill_triggers!$A:$A),MATCH(G$1,enemy_skill_triggers!$1:$1,0)-MATCH($F$1,enemy_skill_triggers!$1:$1,0)+1),MATCH(G$1,enemy_skill_triggers!$1:$1,0)-MATCH($F$1,enemy_skill_triggers!$1:$1,0)+1,FALSE)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5" s="48">
        <f ca="1">VLOOKUP($F325,OFFSET(enemy_skill_triggers!$A$1,0,0,COUNTA(enemy_skill_triggers!$A:$A),MATCH(H$1,enemy_skill_triggers!$1:$1,0)-MATCH($F$1,enemy_skill_triggers!$1:$1,0)+1),MATCH(H$1,enemy_skill_triggers!$1:$1,0)-MATCH($F$1,enemy_skill_triggers!$1:$1,0)+1,FALSE)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325" s="48">
        <f ca="1">VLOOKUP($F325,OFFSET(enemy_skill_triggers!$A$1,0,0,COUNTA(enemy_skill_triggers!$A:$A),MATCH(I$1,enemy_skill_triggers!$1:$1,0)-MATCH($F$1,enemy_skill_triggers!$1:$1,0)+1),MATCH(I$1,enemy_skill_triggers!$1:$1,0)-MATCH($F$1,enemy_skill_triggers!$1:$1,0)+1,FALSE)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5" s="48" t="str">
        <f ca="1">VLOOKUP($F325,OFFSET(enemy_skill_triggers!$A$1,0,0,COUNTA(enemy_skill_triggers!$A:$A),MATCH(J$1,enemy_skill_triggers!$1:$1,0)-MATCH($F$1,enemy_skill_triggers!$1:$1,0)+1),MATCH(J$1,enemy_skill_triggers!$1:$1,0)-MATCH($F$1,enemy_skill_triggers!$1:$1,0)+1,FALSE)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5" s="48" t="str">
        <f ca="1">VLOOKUP($F325,OFFSET(enemy_skill_triggers!$A$1,0,0,COUNTA(enemy_skill_triggers!$A:$A),MATCH(K$1,enemy_skill_triggers!$1:$1,0)-MATCH($F$1,enemy_skill_triggers!$1:$1,0)+1),MATCH(K$1,enemy_skill_triggers!$1:$1,0)-MATCH($F$1,enemy_skill_triggers!$1:$1,0)+1,FALSE)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5" s="48">
        <f ca="1">VLOOKUP($F325,OFFSET(enemy_skill_triggers!$A$1,0,0,COUNTA(enemy_skill_triggers!$A:$A),MATCH(L$1,enemy_skill_triggers!$1:$1,0)-MATCH($F$1,enemy_skill_triggers!$1:$1,0)+1),MATCH(L$1,enemy_skill_triggers!$1:$1,0)-MATCH($F$1,enemy_skill_triggers!$1:$1,0)+1,FALSE)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5" s="48" t="str">
        <f ca="1">VLOOKUP($F325,OFFSET(enemy_skill_triggers!$A$1,0,0,COUNTA(enemy_skill_triggers!$A:$A),MATCH(M$1,enemy_skill_triggers!$1:$1,0)-MATCH($F$1,enemy_skill_triggers!$1:$1,0)+1),MATCH(M$1,enemy_skill_triggers!$1:$1,0)-MATCH($F$1,enemy_skill_triggers!$1:$1,0)+1,FALSE)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5" s="48">
        <f ca="1">VLOOKUP($F325,OFFSET(enemy_skill_triggers!$A$1,0,0,COUNTA(enemy_skill_triggers!$A:$A),MATCH(N$1,enemy_skill_triggers!$1:$1,0)-MATCH($F$1,enemy_skill_triggers!$1:$1,0)+1),MATCH(N$1,enemy_skill_triggers!$1:$1,0)-MATCH($F$1,enemy_skill_triggers!$1:$1,0)+1,FALSE)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325" s="48">
        <f ca="1">VLOOKUP($F325,OFFSET(enemy_skill_triggers!$A$1,0,0,COUNTA(enemy_skill_triggers!$A:$A),MATCH(O$1,enemy_skill_triggers!$1:$1,0)-MATCH($F$1,enemy_skill_triggers!$1:$1,0)+1),MATCH(O$1,enemy_skill_triggers!$1:$1,0)-MATCH($F$1,enemy_skill_triggers!$1:$1,0)+1,FALSE)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5" s="47"/>
      <c r="Q325" s="47"/>
      <c r="R325" s="47"/>
    </row>
    <row r="326" spans="1:18" ht="21" customHeight="1" x14ac:dyDescent="0.15">
      <c r="A326" s="39" t="str">
        <f t="shared" ref="A326:A385" si="21">B326&amp;"_"&amp;C326</f>
        <v>47004580_47004588</v>
      </c>
      <c r="B326" s="127">
        <v>47004580</v>
      </c>
      <c r="C326" s="47">
        <v>47004588</v>
      </c>
      <c r="D326" s="46" t="str">
        <f ca="1">VLOOKUP($C326,OFFSET(enemy_skills!$A$1,0,0,COUNTA(enemy_skills!$A:$A),MATCH(D$1,enemy_skills!$1:$1,0)-MATCH("enemy_skill_id",enemy_skills!$1:$1,0)+1),MATCH(D$1,enemy_skills!$1:$1,0)-MATCH("enemy_skill_id",enemy_skills!$1:$1,0)+1,FALSE)</f>
        <v>ミカエル！今年も_x000D_かっ飛ばしていこうぜ！</v>
      </c>
      <c r="E326" s="46" t="str">
        <f ca="1">VLOOKUP($C326,OFFSET(enemy_skills!$A$1,0,0,COUNTA(enemy_skills!$A:$A),MATCH(E$1,enemy_skills!$1:$1,0)-MATCH("enemy_skill_id",enemy_skills!$1:$1,0)+1),MATCH(E$1,enemy_skills!$1:$1,0)-MATCH("enemy_skill_id",enemy_skills!$1:$1,0)+1,FALSE)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26" s="47">
        <v>47004592</v>
      </c>
      <c r="G326" s="48">
        <f ca="1">VLOOKUP($F326,OFFSET(enemy_skill_triggers!$A$1,0,0,COUNTA(enemy_skill_triggers!$A:$A),MATCH(G$1,enemy_skill_triggers!$1:$1,0)-MATCH($F$1,enemy_skill_triggers!$1:$1,0)+1),MATCH(G$1,enemy_skill_triggers!$1:$1,0)-MATCH($F$1,enemy_skill_triggers!$1:$1,0)+1,FALSE)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6" s="48">
        <f ca="1">VLOOKUP($F326,OFFSET(enemy_skill_triggers!$A$1,0,0,COUNTA(enemy_skill_triggers!$A:$A),MATCH(H$1,enemy_skill_triggers!$1:$1,0)-MATCH($F$1,enemy_skill_triggers!$1:$1,0)+1),MATCH(H$1,enemy_skill_triggers!$1:$1,0)-MATCH($F$1,enemy_skill_triggers!$1:$1,0)+1,FALSE)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326" s="48">
        <f ca="1">VLOOKUP($F326,OFFSET(enemy_skill_triggers!$A$1,0,0,COUNTA(enemy_skill_triggers!$A:$A),MATCH(I$1,enemy_skill_triggers!$1:$1,0)-MATCH($F$1,enemy_skill_triggers!$1:$1,0)+1),MATCH(I$1,enemy_skill_triggers!$1:$1,0)-MATCH($F$1,enemy_skill_triggers!$1:$1,0)+1,FALSE)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6" s="48" t="str">
        <f ca="1">VLOOKUP($F326,OFFSET(enemy_skill_triggers!$A$1,0,0,COUNTA(enemy_skill_triggers!$A:$A),MATCH(J$1,enemy_skill_triggers!$1:$1,0)-MATCH($F$1,enemy_skill_triggers!$1:$1,0)+1),MATCH(J$1,enemy_skill_triggers!$1:$1,0)-MATCH($F$1,enemy_skill_triggers!$1:$1,0)+1,FALSE)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6" s="48" t="str">
        <f ca="1">VLOOKUP($F326,OFFSET(enemy_skill_triggers!$A$1,0,0,COUNTA(enemy_skill_triggers!$A:$A),MATCH(K$1,enemy_skill_triggers!$1:$1,0)-MATCH($F$1,enemy_skill_triggers!$1:$1,0)+1),MATCH(K$1,enemy_skill_triggers!$1:$1,0)-MATCH($F$1,enemy_skill_triggers!$1:$1,0)+1,FALSE)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6" s="48">
        <f ca="1">VLOOKUP($F326,OFFSET(enemy_skill_triggers!$A$1,0,0,COUNTA(enemy_skill_triggers!$A:$A),MATCH(L$1,enemy_skill_triggers!$1:$1,0)-MATCH($F$1,enemy_skill_triggers!$1:$1,0)+1),MATCH(L$1,enemy_skill_triggers!$1:$1,0)-MATCH($F$1,enemy_skill_triggers!$1:$1,0)+1,FALSE)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6" s="48" t="str">
        <f ca="1">VLOOKUP($F326,OFFSET(enemy_skill_triggers!$A$1,0,0,COUNTA(enemy_skill_triggers!$A:$A),MATCH(M$1,enemy_skill_triggers!$1:$1,0)-MATCH($F$1,enemy_skill_triggers!$1:$1,0)+1),MATCH(M$1,enemy_skill_triggers!$1:$1,0)-MATCH($F$1,enemy_skill_triggers!$1:$1,0)+1,FALSE)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6" s="48">
        <f ca="1">VLOOKUP($F326,OFFSET(enemy_skill_triggers!$A$1,0,0,COUNTA(enemy_skill_triggers!$A:$A),MATCH(N$1,enemy_skill_triggers!$1:$1,0)-MATCH($F$1,enemy_skill_triggers!$1:$1,0)+1),MATCH(N$1,enemy_skill_triggers!$1:$1,0)-MATCH($F$1,enemy_skill_triggers!$1:$1,0)+1,FALSE)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326" s="48">
        <f ca="1">VLOOKUP($F326,OFFSET(enemy_skill_triggers!$A$1,0,0,COUNTA(enemy_skill_triggers!$A:$A),MATCH(O$1,enemy_skill_triggers!$1:$1,0)-MATCH($F$1,enemy_skill_triggers!$1:$1,0)+1),MATCH(O$1,enemy_skill_triggers!$1:$1,0)-MATCH($F$1,enemy_skill_triggers!$1:$1,0)+1,FALSE)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6" s="47"/>
      <c r="Q326" s="47"/>
      <c r="R326" s="47"/>
    </row>
    <row r="327" spans="1:18" ht="21" customHeight="1" x14ac:dyDescent="0.15">
      <c r="A327" s="39" t="str">
        <f t="shared" si="21"/>
        <v>47004580_47004588</v>
      </c>
      <c r="B327" s="127">
        <v>47004580</v>
      </c>
      <c r="C327" s="47">
        <v>47004588</v>
      </c>
      <c r="D327" s="46" t="str">
        <f ca="1">VLOOKUP($C327,OFFSET(enemy_skills!$A$1,0,0,COUNTA(enemy_skills!$A:$A),MATCH(D$1,enemy_skills!$1:$1,0)-MATCH("enemy_skill_id",enemy_skills!$1:$1,0)+1),MATCH(D$1,enemy_skills!$1:$1,0)-MATCH("enemy_skill_id",enemy_skills!$1:$1,0)+1,FALSE)</f>
        <v>ミカエル！今年も_x000D_かっ飛ばしていこうぜ！</v>
      </c>
      <c r="E327" s="46" t="str">
        <f ca="1">VLOOKUP($C327,OFFSET(enemy_skills!$A$1,0,0,COUNTA(enemy_skills!$A:$A),MATCH(E$1,enemy_skills!$1:$1,0)-MATCH("enemy_skill_id",enemy_skills!$1:$1,0)+1),MATCH(E$1,enemy_skills!$1:$1,0)-MATCH("enemy_skill_id",enemy_skills!$1:$1,0)+1,FALSE)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27" s="47">
        <v>47004593</v>
      </c>
      <c r="G327" s="48">
        <f ca="1">VLOOKUP($F327,OFFSET(enemy_skill_triggers!$A$1,0,0,COUNTA(enemy_skill_triggers!$A:$A),MATCH(G$1,enemy_skill_triggers!$1:$1,0)-MATCH($F$1,enemy_skill_triggers!$1:$1,0)+1),MATCH(G$1,enemy_skill_triggers!$1:$1,0)-MATCH($F$1,enemy_skill_triggers!$1:$1,0)+1,FALSE)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7" s="48">
        <f ca="1">VLOOKUP($F327,OFFSET(enemy_skill_triggers!$A$1,0,0,COUNTA(enemy_skill_triggers!$A:$A),MATCH(H$1,enemy_skill_triggers!$1:$1,0)-MATCH($F$1,enemy_skill_triggers!$1:$1,0)+1),MATCH(H$1,enemy_skill_triggers!$1:$1,0)-MATCH($F$1,enemy_skill_triggers!$1:$1,0)+1,FALSE)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327" s="48">
        <f ca="1">VLOOKUP($F327,OFFSET(enemy_skill_triggers!$A$1,0,0,COUNTA(enemy_skill_triggers!$A:$A),MATCH(I$1,enemy_skill_triggers!$1:$1,0)-MATCH($F$1,enemy_skill_triggers!$1:$1,0)+1),MATCH(I$1,enemy_skill_triggers!$1:$1,0)-MATCH($F$1,enemy_skill_triggers!$1:$1,0)+1,FALSE)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7" s="48" t="str">
        <f ca="1">VLOOKUP($F327,OFFSET(enemy_skill_triggers!$A$1,0,0,COUNTA(enemy_skill_triggers!$A:$A),MATCH(J$1,enemy_skill_triggers!$1:$1,0)-MATCH($F$1,enemy_skill_triggers!$1:$1,0)+1),MATCH(J$1,enemy_skill_triggers!$1:$1,0)-MATCH($F$1,enemy_skill_triggers!$1:$1,0)+1,FALSE)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7" s="48" t="str">
        <f ca="1">VLOOKUP($F327,OFFSET(enemy_skill_triggers!$A$1,0,0,COUNTA(enemy_skill_triggers!$A:$A),MATCH(K$1,enemy_skill_triggers!$1:$1,0)-MATCH($F$1,enemy_skill_triggers!$1:$1,0)+1),MATCH(K$1,enemy_skill_triggers!$1:$1,0)-MATCH($F$1,enemy_skill_triggers!$1:$1,0)+1,FALSE)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7" s="48">
        <f ca="1">VLOOKUP($F327,OFFSET(enemy_skill_triggers!$A$1,0,0,COUNTA(enemy_skill_triggers!$A:$A),MATCH(L$1,enemy_skill_triggers!$1:$1,0)-MATCH($F$1,enemy_skill_triggers!$1:$1,0)+1),MATCH(L$1,enemy_skill_triggers!$1:$1,0)-MATCH($F$1,enemy_skill_triggers!$1:$1,0)+1,FALSE)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7" s="48" t="str">
        <f ca="1">VLOOKUP($F327,OFFSET(enemy_skill_triggers!$A$1,0,0,COUNTA(enemy_skill_triggers!$A:$A),MATCH(M$1,enemy_skill_triggers!$1:$1,0)-MATCH($F$1,enemy_skill_triggers!$1:$1,0)+1),MATCH(M$1,enemy_skill_triggers!$1:$1,0)-MATCH($F$1,enemy_skill_triggers!$1:$1,0)+1,FALSE)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7" s="48">
        <f ca="1">VLOOKUP($F327,OFFSET(enemy_skill_triggers!$A$1,0,0,COUNTA(enemy_skill_triggers!$A:$A),MATCH(N$1,enemy_skill_triggers!$1:$1,0)-MATCH($F$1,enemy_skill_triggers!$1:$1,0)+1),MATCH(N$1,enemy_skill_triggers!$1:$1,0)-MATCH($F$1,enemy_skill_triggers!$1:$1,0)+1,FALSE)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327" s="48">
        <f ca="1">VLOOKUP($F327,OFFSET(enemy_skill_triggers!$A$1,0,0,COUNTA(enemy_skill_triggers!$A:$A),MATCH(O$1,enemy_skill_triggers!$1:$1,0)-MATCH($F$1,enemy_skill_triggers!$1:$1,0)+1),MATCH(O$1,enemy_skill_triggers!$1:$1,0)-MATCH($F$1,enemy_skill_triggers!$1:$1,0)+1,FALSE)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7" s="47"/>
      <c r="Q327" s="47"/>
      <c r="R327" s="47"/>
    </row>
    <row r="328" spans="1:18" ht="21" customHeight="1" x14ac:dyDescent="0.15">
      <c r="A328" s="39" t="str">
        <f t="shared" si="21"/>
        <v>47004580_47004589</v>
      </c>
      <c r="B328" s="127">
        <v>47004580</v>
      </c>
      <c r="C328" s="47">
        <v>47004589</v>
      </c>
      <c r="D328" s="46" t="str">
        <f ca="1">VLOOKUP($C328,OFFSET(enemy_skills!$A$1,0,0,COUNTA(enemy_skills!$A:$A),MATCH(D$1,enemy_skills!$1:$1,0)-MATCH("enemy_skill_id",enemy_skills!$1:$1,0)+1),MATCH(D$1,enemy_skills!$1:$1,0)-MATCH("enemy_skill_id",enemy_skills!$1:$1,0)+1,FALSE)</f>
        <v>さぁ、オセ！_x000D_クリスマスは俺たちの独壇場だぜ！</v>
      </c>
      <c r="E328" s="46" t="str">
        <f ca="1">VLOOKUP($C328,OFFSET(enemy_skills!$A$1,0,0,COUNTA(enemy_skills!$A:$A),MATCH(E$1,enemy_skills!$1:$1,0)-MATCH("enemy_skill_id",enemy_skills!$1:$1,0)+1),MATCH(E$1,enemy_skills!$1:$1,0)-MATCH("enemy_skill_id",enemy_skills!$1:$1,0)+1,FALSE)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28" s="47">
        <v>47004594</v>
      </c>
      <c r="G328" s="48">
        <f ca="1">VLOOKUP($F328,OFFSET(enemy_skill_triggers!$A$1,0,0,COUNTA(enemy_skill_triggers!$A:$A),MATCH(G$1,enemy_skill_triggers!$1:$1,0)-MATCH($F$1,enemy_skill_triggers!$1:$1,0)+1),MATCH(G$1,enemy_skill_triggers!$1:$1,0)-MATCH($F$1,enemy_skill_triggers!$1:$1,0)+1,FALSE)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8" s="48">
        <f ca="1">VLOOKUP($F328,OFFSET(enemy_skill_triggers!$A$1,0,0,COUNTA(enemy_skill_triggers!$A:$A),MATCH(H$1,enemy_skill_triggers!$1:$1,0)-MATCH($F$1,enemy_skill_triggers!$1:$1,0)+1),MATCH(H$1,enemy_skill_triggers!$1:$1,0)-MATCH($F$1,enemy_skill_triggers!$1:$1,0)+1,FALSE)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328" s="48">
        <f ca="1">VLOOKUP($F328,OFFSET(enemy_skill_triggers!$A$1,0,0,COUNTA(enemy_skill_triggers!$A:$A),MATCH(I$1,enemy_skill_triggers!$1:$1,0)-MATCH($F$1,enemy_skill_triggers!$1:$1,0)+1),MATCH(I$1,enemy_skill_triggers!$1:$1,0)-MATCH($F$1,enemy_skill_triggers!$1:$1,0)+1,FALSE)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8" s="48" t="str">
        <f ca="1">VLOOKUP($F328,OFFSET(enemy_skill_triggers!$A$1,0,0,COUNTA(enemy_skill_triggers!$A:$A),MATCH(J$1,enemy_skill_triggers!$1:$1,0)-MATCH($F$1,enemy_skill_triggers!$1:$1,0)+1),MATCH(J$1,enemy_skill_triggers!$1:$1,0)-MATCH($F$1,enemy_skill_triggers!$1:$1,0)+1,FALSE)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8" s="48" t="str">
        <f ca="1">VLOOKUP($F328,OFFSET(enemy_skill_triggers!$A$1,0,0,COUNTA(enemy_skill_triggers!$A:$A),MATCH(K$1,enemy_skill_triggers!$1:$1,0)-MATCH($F$1,enemy_skill_triggers!$1:$1,0)+1),MATCH(K$1,enemy_skill_triggers!$1:$1,0)-MATCH($F$1,enemy_skill_triggers!$1:$1,0)+1,FALSE)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8" s="48">
        <f ca="1">VLOOKUP($F328,OFFSET(enemy_skill_triggers!$A$1,0,0,COUNTA(enemy_skill_triggers!$A:$A),MATCH(L$1,enemy_skill_triggers!$1:$1,0)-MATCH($F$1,enemy_skill_triggers!$1:$1,0)+1),MATCH(L$1,enemy_skill_triggers!$1:$1,0)-MATCH($F$1,enemy_skill_triggers!$1:$1,0)+1,FALSE)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8" s="48" t="str">
        <f ca="1">VLOOKUP($F328,OFFSET(enemy_skill_triggers!$A$1,0,0,COUNTA(enemy_skill_triggers!$A:$A),MATCH(M$1,enemy_skill_triggers!$1:$1,0)-MATCH($F$1,enemy_skill_triggers!$1:$1,0)+1),MATCH(M$1,enemy_skill_triggers!$1:$1,0)-MATCH($F$1,enemy_skill_triggers!$1:$1,0)+1,FALSE)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8" s="48">
        <f ca="1">VLOOKUP($F328,OFFSET(enemy_skill_triggers!$A$1,0,0,COUNTA(enemy_skill_triggers!$A:$A),MATCH(N$1,enemy_skill_triggers!$1:$1,0)-MATCH($F$1,enemy_skill_triggers!$1:$1,0)+1),MATCH(N$1,enemy_skill_triggers!$1:$1,0)-MATCH($F$1,enemy_skill_triggers!$1:$1,0)+1,FALSE)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328" s="48">
        <f ca="1">VLOOKUP($F328,OFFSET(enemy_skill_triggers!$A$1,0,0,COUNTA(enemy_skill_triggers!$A:$A),MATCH(O$1,enemy_skill_triggers!$1:$1,0)-MATCH($F$1,enemy_skill_triggers!$1:$1,0)+1),MATCH(O$1,enemy_skill_triggers!$1:$1,0)-MATCH($F$1,enemy_skill_triggers!$1:$1,0)+1,FALSE)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8" s="47"/>
      <c r="Q328" s="47"/>
      <c r="R328" s="47"/>
    </row>
    <row r="329" spans="1:18" ht="21" customHeight="1" x14ac:dyDescent="0.15">
      <c r="A329" s="39" t="str">
        <f t="shared" si="21"/>
        <v>47004580_47004589</v>
      </c>
      <c r="B329" s="127">
        <v>47004580</v>
      </c>
      <c r="C329" s="47">
        <v>47004589</v>
      </c>
      <c r="D329" s="46" t="str">
        <f ca="1">VLOOKUP($C329,OFFSET(enemy_skills!$A$1,0,0,COUNTA(enemy_skills!$A:$A),MATCH(D$1,enemy_skills!$1:$1,0)-MATCH("enemy_skill_id",enemy_skills!$1:$1,0)+1),MATCH(D$1,enemy_skills!$1:$1,0)-MATCH("enemy_skill_id",enemy_skills!$1:$1,0)+1,FALSE)</f>
        <v>さぁ、オセ！_x000D_クリスマスは俺たちの独壇場だぜ！</v>
      </c>
      <c r="E329" s="46" t="str">
        <f ca="1">VLOOKUP($C329,OFFSET(enemy_skills!$A$1,0,0,COUNTA(enemy_skills!$A:$A),MATCH(E$1,enemy_skills!$1:$1,0)-MATCH("enemy_skill_id",enemy_skills!$1:$1,0)+1),MATCH(E$1,enemy_skills!$1:$1,0)-MATCH("enemy_skill_id",enemy_skills!$1:$1,0)+1,FALSE)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29" s="47">
        <v>47004595</v>
      </c>
      <c r="G329" s="48">
        <f ca="1">VLOOKUP($F329,OFFSET(enemy_skill_triggers!$A$1,0,0,COUNTA(enemy_skill_triggers!$A:$A),MATCH(G$1,enemy_skill_triggers!$1:$1,0)-MATCH($F$1,enemy_skill_triggers!$1:$1,0)+1),MATCH(G$1,enemy_skill_triggers!$1:$1,0)-MATCH($F$1,enemy_skill_triggers!$1:$1,0)+1,FALSE)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9" s="48">
        <f ca="1">VLOOKUP($F329,OFFSET(enemy_skill_triggers!$A$1,0,0,COUNTA(enemy_skill_triggers!$A:$A),MATCH(H$1,enemy_skill_triggers!$1:$1,0)-MATCH($F$1,enemy_skill_triggers!$1:$1,0)+1),MATCH(H$1,enemy_skill_triggers!$1:$1,0)-MATCH($F$1,enemy_skill_triggers!$1:$1,0)+1,FALSE)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329" s="48">
        <f ca="1">VLOOKUP($F329,OFFSET(enemy_skill_triggers!$A$1,0,0,COUNTA(enemy_skill_triggers!$A:$A),MATCH(I$1,enemy_skill_triggers!$1:$1,0)-MATCH($F$1,enemy_skill_triggers!$1:$1,0)+1),MATCH(I$1,enemy_skill_triggers!$1:$1,0)-MATCH($F$1,enemy_skill_triggers!$1:$1,0)+1,FALSE)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9" s="48" t="str">
        <f ca="1">VLOOKUP($F329,OFFSET(enemy_skill_triggers!$A$1,0,0,COUNTA(enemy_skill_triggers!$A:$A),MATCH(J$1,enemy_skill_triggers!$1:$1,0)-MATCH($F$1,enemy_skill_triggers!$1:$1,0)+1),MATCH(J$1,enemy_skill_triggers!$1:$1,0)-MATCH($F$1,enemy_skill_triggers!$1:$1,0)+1,FALSE)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9" s="48" t="str">
        <f ca="1">VLOOKUP($F329,OFFSET(enemy_skill_triggers!$A$1,0,0,COUNTA(enemy_skill_triggers!$A:$A),MATCH(K$1,enemy_skill_triggers!$1:$1,0)-MATCH($F$1,enemy_skill_triggers!$1:$1,0)+1),MATCH(K$1,enemy_skill_triggers!$1:$1,0)-MATCH($F$1,enemy_skill_triggers!$1:$1,0)+1,FALSE)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9" s="48">
        <f ca="1">VLOOKUP($F329,OFFSET(enemy_skill_triggers!$A$1,0,0,COUNTA(enemy_skill_triggers!$A:$A),MATCH(L$1,enemy_skill_triggers!$1:$1,0)-MATCH($F$1,enemy_skill_triggers!$1:$1,0)+1),MATCH(L$1,enemy_skill_triggers!$1:$1,0)-MATCH($F$1,enemy_skill_triggers!$1:$1,0)+1,FALSE)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9" s="48" t="str">
        <f ca="1">VLOOKUP($F329,OFFSET(enemy_skill_triggers!$A$1,0,0,COUNTA(enemy_skill_triggers!$A:$A),MATCH(M$1,enemy_skill_triggers!$1:$1,0)-MATCH($F$1,enemy_skill_triggers!$1:$1,0)+1),MATCH(M$1,enemy_skill_triggers!$1:$1,0)-MATCH($F$1,enemy_skill_triggers!$1:$1,0)+1,FALSE)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9" s="48">
        <f ca="1">VLOOKUP($F329,OFFSET(enemy_skill_triggers!$A$1,0,0,COUNTA(enemy_skill_triggers!$A:$A),MATCH(N$1,enemy_skill_triggers!$1:$1,0)-MATCH($F$1,enemy_skill_triggers!$1:$1,0)+1),MATCH(N$1,enemy_skill_triggers!$1:$1,0)-MATCH($F$1,enemy_skill_triggers!$1:$1,0)+1,FALSE)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329" s="48">
        <f ca="1">VLOOKUP($F329,OFFSET(enemy_skill_triggers!$A$1,0,0,COUNTA(enemy_skill_triggers!$A:$A),MATCH(O$1,enemy_skill_triggers!$1:$1,0)-MATCH($F$1,enemy_skill_triggers!$1:$1,0)+1),MATCH(O$1,enemy_skill_triggers!$1:$1,0)-MATCH($F$1,enemy_skill_triggers!$1:$1,0)+1,FALSE)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9" s="47"/>
      <c r="Q329" s="47"/>
      <c r="R329" s="47"/>
    </row>
    <row r="330" spans="1:18" ht="21" customHeight="1" x14ac:dyDescent="0.15">
      <c r="A330" s="39" t="str">
        <f t="shared" si="21"/>
        <v>47004580_47004589</v>
      </c>
      <c r="B330" s="127">
        <v>47004580</v>
      </c>
      <c r="C330" s="47">
        <v>47004589</v>
      </c>
      <c r="D330" s="46" t="str">
        <f ca="1">VLOOKUP($C330,OFFSET(enemy_skills!$A$1,0,0,COUNTA(enemy_skills!$A:$A),MATCH(D$1,enemy_skills!$1:$1,0)-MATCH("enemy_skill_id",enemy_skills!$1:$1,0)+1),MATCH(D$1,enemy_skills!$1:$1,0)-MATCH("enemy_skill_id",enemy_skills!$1:$1,0)+1,FALSE)</f>
        <v>さぁ、オセ！_x000D_クリスマスは俺たちの独壇場だぜ！</v>
      </c>
      <c r="E330" s="46" t="str">
        <f ca="1">VLOOKUP($C330,OFFSET(enemy_skills!$A$1,0,0,COUNTA(enemy_skills!$A:$A),MATCH(E$1,enemy_skills!$1:$1,0)-MATCH("enemy_skill_id",enemy_skills!$1:$1,0)+1),MATCH(E$1,enemy_skills!$1:$1,0)-MATCH("enemy_skill_id",enemy_skills!$1:$1,0)+1,FALSE)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30" s="47">
        <v>47004596</v>
      </c>
      <c r="G330" s="48">
        <f ca="1">VLOOKUP($F330,OFFSET(enemy_skill_triggers!$A$1,0,0,COUNTA(enemy_skill_triggers!$A:$A),MATCH(G$1,enemy_skill_triggers!$1:$1,0)-MATCH($F$1,enemy_skill_triggers!$1:$1,0)+1),MATCH(G$1,enemy_skill_triggers!$1:$1,0)-MATCH($F$1,enemy_skill_triggers!$1:$1,0)+1,FALSE)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0" s="48">
        <f ca="1">VLOOKUP($F330,OFFSET(enemy_skill_triggers!$A$1,0,0,COUNTA(enemy_skill_triggers!$A:$A),MATCH(H$1,enemy_skill_triggers!$1:$1,0)-MATCH($F$1,enemy_skill_triggers!$1:$1,0)+1),MATCH(H$1,enemy_skill_triggers!$1:$1,0)-MATCH($F$1,enemy_skill_triggers!$1:$1,0)+1,FALSE)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330" s="48">
        <f ca="1">VLOOKUP($F330,OFFSET(enemy_skill_triggers!$A$1,0,0,COUNTA(enemy_skill_triggers!$A:$A),MATCH(I$1,enemy_skill_triggers!$1:$1,0)-MATCH($F$1,enemy_skill_triggers!$1:$1,0)+1),MATCH(I$1,enemy_skill_triggers!$1:$1,0)-MATCH($F$1,enemy_skill_triggers!$1:$1,0)+1,FALSE)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0" s="48" t="str">
        <f ca="1">VLOOKUP($F330,OFFSET(enemy_skill_triggers!$A$1,0,0,COUNTA(enemy_skill_triggers!$A:$A),MATCH(J$1,enemy_skill_triggers!$1:$1,0)-MATCH($F$1,enemy_skill_triggers!$1:$1,0)+1),MATCH(J$1,enemy_skill_triggers!$1:$1,0)-MATCH($F$1,enemy_skill_triggers!$1:$1,0)+1,FALSE)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0" s="48" t="str">
        <f ca="1">VLOOKUP($F330,OFFSET(enemy_skill_triggers!$A$1,0,0,COUNTA(enemy_skill_triggers!$A:$A),MATCH(K$1,enemy_skill_triggers!$1:$1,0)-MATCH($F$1,enemy_skill_triggers!$1:$1,0)+1),MATCH(K$1,enemy_skill_triggers!$1:$1,0)-MATCH($F$1,enemy_skill_triggers!$1:$1,0)+1,FALSE)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0" s="48">
        <f ca="1">VLOOKUP($F330,OFFSET(enemy_skill_triggers!$A$1,0,0,COUNTA(enemy_skill_triggers!$A:$A),MATCH(L$1,enemy_skill_triggers!$1:$1,0)-MATCH($F$1,enemy_skill_triggers!$1:$1,0)+1),MATCH(L$1,enemy_skill_triggers!$1:$1,0)-MATCH($F$1,enemy_skill_triggers!$1:$1,0)+1,FALSE)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0" s="48" t="str">
        <f ca="1">VLOOKUP($F330,OFFSET(enemy_skill_triggers!$A$1,0,0,COUNTA(enemy_skill_triggers!$A:$A),MATCH(M$1,enemy_skill_triggers!$1:$1,0)-MATCH($F$1,enemy_skill_triggers!$1:$1,0)+1),MATCH(M$1,enemy_skill_triggers!$1:$1,0)-MATCH($F$1,enemy_skill_triggers!$1:$1,0)+1,FALSE)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0" s="48">
        <f ca="1">VLOOKUP($F330,OFFSET(enemy_skill_triggers!$A$1,0,0,COUNTA(enemy_skill_triggers!$A:$A),MATCH(N$1,enemy_skill_triggers!$1:$1,0)-MATCH($F$1,enemy_skill_triggers!$1:$1,0)+1),MATCH(N$1,enemy_skill_triggers!$1:$1,0)-MATCH($F$1,enemy_skill_triggers!$1:$1,0)+1,FALSE)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330" s="48">
        <f ca="1">VLOOKUP($F330,OFFSET(enemy_skill_triggers!$A$1,0,0,COUNTA(enemy_skill_triggers!$A:$A),MATCH(O$1,enemy_skill_triggers!$1:$1,0)-MATCH($F$1,enemy_skill_triggers!$1:$1,0)+1),MATCH(O$1,enemy_skill_triggers!$1:$1,0)-MATCH($F$1,enemy_skill_triggers!$1:$1,0)+1,FALSE)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0" s="47"/>
      <c r="Q330" s="47"/>
      <c r="R330" s="47"/>
    </row>
    <row r="331" spans="1:18" ht="21" customHeight="1" x14ac:dyDescent="0.15">
      <c r="A331" s="39" t="str">
        <f t="shared" ref="A331:A332" si="22">B331&amp;"_"&amp;C331</f>
        <v>47004580_47004590</v>
      </c>
      <c r="B331" s="127">
        <v>47004580</v>
      </c>
      <c r="C331" s="47">
        <v>47004590</v>
      </c>
      <c r="D331" s="46" t="str">
        <f ca="1">VLOOKUP($C331,OFFSET(enemy_skills!$A$1,0,0,COUNTA(enemy_skills!$A:$A),MATCH(D$1,enemy_skills!$1:$1,0)-MATCH("enemy_skill_id",enemy_skills!$1:$1,0)+1),MATCH(D$1,enemy_skills!$1:$1,0)-MATCH("enemy_skill_id",enemy_skills!$1:$1,0)+1,FALSE)</f>
        <v>今年はエスタブも参加か？_x000D_熱くいこうぜ！</v>
      </c>
      <c r="E331" s="46" t="str">
        <f ca="1">VLOOKUP($C331,OFFSET(enemy_skills!$A$1,0,0,COUNTA(enemy_skills!$A:$A),MATCH(E$1,enemy_skills!$1:$1,0)-MATCH("enemy_skill_id",enemy_skills!$1:$1,0)+1),MATCH(E$1,enemy_skills!$1:$1,0)-MATCH("enemy_skill_id",enemy_skills!$1:$1,0)+1,FALSE)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31" s="47">
        <v>47004597</v>
      </c>
      <c r="G331" s="48">
        <f ca="1">VLOOKUP($F331,OFFSET(enemy_skill_triggers!$A$1,0,0,COUNTA(enemy_skill_triggers!$A:$A),MATCH(G$1,enemy_skill_triggers!$1:$1,0)-MATCH($F$1,enemy_skill_triggers!$1:$1,0)+1),MATCH(G$1,enemy_skill_triggers!$1:$1,0)-MATCH($F$1,enemy_skill_triggers!$1:$1,0)+1,FALSE)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1" s="48">
        <f ca="1">VLOOKUP($F331,OFFSET(enemy_skill_triggers!$A$1,0,0,COUNTA(enemy_skill_triggers!$A:$A),MATCH(H$1,enemy_skill_triggers!$1:$1,0)-MATCH($F$1,enemy_skill_triggers!$1:$1,0)+1),MATCH(H$1,enemy_skill_triggers!$1:$1,0)-MATCH($F$1,enemy_skill_triggers!$1:$1,0)+1,FALSE)</f>
        <v>219</v>
      </c>
      <c r="I331" s="48">
        <f ca="1">VLOOKUP($F331,OFFSET(enemy_skill_triggers!$A$1,0,0,COUNTA(enemy_skill_triggers!$A:$A),MATCH(I$1,enemy_skill_triggers!$1:$1,0)-MATCH($F$1,enemy_skill_triggers!$1:$1,0)+1),MATCH(I$1,enemy_skill_triggers!$1:$1,0)-MATCH($F$1,enemy_skill_triggers!$1:$1,0)+1,FALSE)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1" s="48" t="str">
        <f ca="1">VLOOKUP($F331,OFFSET(enemy_skill_triggers!$A$1,0,0,COUNTA(enemy_skill_triggers!$A:$A),MATCH(J$1,enemy_skill_triggers!$1:$1,0)-MATCH($F$1,enemy_skill_triggers!$1:$1,0)+1),MATCH(J$1,enemy_skill_triggers!$1:$1,0)-MATCH($F$1,enemy_skill_triggers!$1:$1,0)+1,FALSE)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1" s="48" t="str">
        <f ca="1">VLOOKUP($F331,OFFSET(enemy_skill_triggers!$A$1,0,0,COUNTA(enemy_skill_triggers!$A:$A),MATCH(K$1,enemy_skill_triggers!$1:$1,0)-MATCH($F$1,enemy_skill_triggers!$1:$1,0)+1),MATCH(K$1,enemy_skill_triggers!$1:$1,0)-MATCH($F$1,enemy_skill_triggers!$1:$1,0)+1,FALSE)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1" s="48">
        <f ca="1">VLOOKUP($F331,OFFSET(enemy_skill_triggers!$A$1,0,0,COUNTA(enemy_skill_triggers!$A:$A),MATCH(L$1,enemy_skill_triggers!$1:$1,0)-MATCH($F$1,enemy_skill_triggers!$1:$1,0)+1),MATCH(L$1,enemy_skill_triggers!$1:$1,0)-MATCH($F$1,enemy_skill_triggers!$1:$1,0)+1,FALSE)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1" s="48" t="str">
        <f ca="1">VLOOKUP($F331,OFFSET(enemy_skill_triggers!$A$1,0,0,COUNTA(enemy_skill_triggers!$A:$A),MATCH(M$1,enemy_skill_triggers!$1:$1,0)-MATCH($F$1,enemy_skill_triggers!$1:$1,0)+1),MATCH(M$1,enemy_skill_triggers!$1:$1,0)-MATCH($F$1,enemy_skill_triggers!$1:$1,0)+1,FALSE)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1" s="48">
        <f ca="1">VLOOKUP($F331,OFFSET(enemy_skill_triggers!$A$1,0,0,COUNTA(enemy_skill_triggers!$A:$A),MATCH(N$1,enemy_skill_triggers!$1:$1,0)-MATCH($F$1,enemy_skill_triggers!$1:$1,0)+1),MATCH(N$1,enemy_skill_triggers!$1:$1,0)-MATCH($F$1,enemy_skill_triggers!$1:$1,0)+1,FALSE)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331" s="48">
        <f ca="1">VLOOKUP($F331,OFFSET(enemy_skill_triggers!$A$1,0,0,COUNTA(enemy_skill_triggers!$A:$A),MATCH(O$1,enemy_skill_triggers!$1:$1,0)-MATCH($F$1,enemy_skill_triggers!$1:$1,0)+1),MATCH(O$1,enemy_skill_triggers!$1:$1,0)-MATCH($F$1,enemy_skill_triggers!$1:$1,0)+1,FALSE)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1" s="47"/>
      <c r="Q331" s="47"/>
      <c r="R331" s="47"/>
    </row>
    <row r="332" spans="1:18" ht="21" customHeight="1" x14ac:dyDescent="0.15">
      <c r="A332" s="39" t="str">
        <f t="shared" si="22"/>
        <v>47004580_47004591</v>
      </c>
      <c r="B332" s="127">
        <v>47004580</v>
      </c>
      <c r="C332" s="47">
        <v>47004591</v>
      </c>
      <c r="D332" s="46" t="str">
        <f ca="1">VLOOKUP($C332,OFFSET(enemy_skills!$A$1,0,0,COUNTA(enemy_skills!$A:$A),MATCH(D$1,enemy_skills!$1:$1,0)-MATCH("enemy_skill_id",enemy_skills!$1:$1,0)+1),MATCH(D$1,enemy_skills!$1:$1,0)-MATCH("enemy_skill_id",enemy_skills!$1:$1,0)+1,FALSE)</f>
        <v>今年は卑弥呼も参加か？_x000D_熱くいこうぜ！</v>
      </c>
      <c r="E332" s="46" t="str">
        <f ca="1">VLOOKUP($C332,OFFSET(enemy_skills!$A$1,0,0,COUNTA(enemy_skills!$A:$A),MATCH(E$1,enemy_skills!$1:$1,0)-MATCH("enemy_skill_id",enemy_skills!$1:$1,0)+1),MATCH(E$1,enemy_skills!$1:$1,0)-MATCH("enemy_skill_id",enemy_skills!$1:$1,0)+1,FALSE)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332" s="47">
        <v>47004598</v>
      </c>
      <c r="G332" s="48">
        <f ca="1">VLOOKUP($F332,OFFSET(enemy_skill_triggers!$A$1,0,0,COUNTA(enemy_skill_triggers!$A:$A),MATCH(G$1,enemy_skill_triggers!$1:$1,0)-MATCH($F$1,enemy_skill_triggers!$1:$1,0)+1),MATCH(G$1,enemy_skill_triggers!$1:$1,0)-MATCH($F$1,enemy_skill_triggers!$1:$1,0)+1,FALSE)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2" s="48">
        <f ca="1">VLOOKUP($F332,OFFSET(enemy_skill_triggers!$A$1,0,0,COUNTA(enemy_skill_triggers!$A:$A),MATCH(H$1,enemy_skill_triggers!$1:$1,0)-MATCH($F$1,enemy_skill_triggers!$1:$1,0)+1),MATCH(H$1,enemy_skill_triggers!$1:$1,0)-MATCH($F$1,enemy_skill_triggers!$1:$1,0)+1,FALSE)</f>
        <v>218</v>
      </c>
      <c r="I332" s="48">
        <f ca="1">VLOOKUP($F332,OFFSET(enemy_skill_triggers!$A$1,0,0,COUNTA(enemy_skill_triggers!$A:$A),MATCH(I$1,enemy_skill_triggers!$1:$1,0)-MATCH($F$1,enemy_skill_triggers!$1:$1,0)+1),MATCH(I$1,enemy_skill_triggers!$1:$1,0)-MATCH($F$1,enemy_skill_triggers!$1:$1,0)+1,FALSE)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2" s="48" t="str">
        <f ca="1">VLOOKUP($F332,OFFSET(enemy_skill_triggers!$A$1,0,0,COUNTA(enemy_skill_triggers!$A:$A),MATCH(J$1,enemy_skill_triggers!$1:$1,0)-MATCH($F$1,enemy_skill_triggers!$1:$1,0)+1),MATCH(J$1,enemy_skill_triggers!$1:$1,0)-MATCH($F$1,enemy_skill_triggers!$1:$1,0)+1,FALSE)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2" s="48" t="str">
        <f ca="1">VLOOKUP($F332,OFFSET(enemy_skill_triggers!$A$1,0,0,COUNTA(enemy_skill_triggers!$A:$A),MATCH(K$1,enemy_skill_triggers!$1:$1,0)-MATCH($F$1,enemy_skill_triggers!$1:$1,0)+1),MATCH(K$1,enemy_skill_triggers!$1:$1,0)-MATCH($F$1,enemy_skill_triggers!$1:$1,0)+1,FALSE)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2" s="48">
        <f ca="1">VLOOKUP($F332,OFFSET(enemy_skill_triggers!$A$1,0,0,COUNTA(enemy_skill_triggers!$A:$A),MATCH(L$1,enemy_skill_triggers!$1:$1,0)-MATCH($F$1,enemy_skill_triggers!$1:$1,0)+1),MATCH(L$1,enemy_skill_triggers!$1:$1,0)-MATCH($F$1,enemy_skill_triggers!$1:$1,0)+1,FALSE)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2" s="48" t="str">
        <f ca="1">VLOOKUP($F332,OFFSET(enemy_skill_triggers!$A$1,0,0,COUNTA(enemy_skill_triggers!$A:$A),MATCH(M$1,enemy_skill_triggers!$1:$1,0)-MATCH($F$1,enemy_skill_triggers!$1:$1,0)+1),MATCH(M$1,enemy_skill_triggers!$1:$1,0)-MATCH($F$1,enemy_skill_triggers!$1:$1,0)+1,FALSE)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2" s="48">
        <f ca="1">VLOOKUP($F332,OFFSET(enemy_skill_triggers!$A$1,0,0,COUNTA(enemy_skill_triggers!$A:$A),MATCH(N$1,enemy_skill_triggers!$1:$1,0)-MATCH($F$1,enemy_skill_triggers!$1:$1,0)+1),MATCH(N$1,enemy_skill_triggers!$1:$1,0)-MATCH($F$1,enemy_skill_triggers!$1:$1,0)+1,FALSE)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332" s="48">
        <f ca="1">VLOOKUP($F332,OFFSET(enemy_skill_triggers!$A$1,0,0,COUNTA(enemy_skill_triggers!$A:$A),MATCH(O$1,enemy_skill_triggers!$1:$1,0)-MATCH($F$1,enemy_skill_triggers!$1:$1,0)+1),MATCH(O$1,enemy_skill_triggers!$1:$1,0)-MATCH($F$1,enemy_skill_triggers!$1:$1,0)+1,FALSE)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2" s="47"/>
      <c r="Q332" s="47"/>
      <c r="R332" s="47"/>
    </row>
    <row r="333" spans="1:18" ht="21" customHeight="1" x14ac:dyDescent="0.15">
      <c r="A333" s="39" t="str">
        <f t="shared" si="21"/>
        <v>47004610_47004611</v>
      </c>
      <c r="B333" s="127">
        <v>47004610</v>
      </c>
      <c r="C333" s="47">
        <v>47004611</v>
      </c>
      <c r="D333" s="46" t="str">
        <f ca="1">VLOOKUP($C333,OFFSET(enemy_skills!$A$1,0,0,COUNTA(enemy_skills!$A:$A),MATCH(D$1,enemy_skills!$1:$1,0)-MATCH("enemy_skill_id",enemy_skills!$1:$1,0)+1),MATCH(D$1,enemy_skills!$1:$1,0)-MATCH("enemy_skill_id",enemy_skills!$1:$1,0)+1,FALSE)</f>
        <v>あ！そこのあなた達この辺で_x000D_大きな雪だるまを見なかった？</v>
      </c>
      <c r="E333" s="46" t="str">
        <f ca="1">VLOOKUP($C333,OFFSET(enemy_skills!$A$1,0,0,COUNTA(enemy_skills!$A:$A),MATCH(E$1,enemy_skills!$1:$1,0)-MATCH("enemy_skill_id",enemy_skills!$1:$1,0)+1),MATCH(E$1,enemy_skills!$1:$1,0)-MATCH("enemy_skill_id",enemy_skills!$1:$1,0)+1,FALSE)</f>
        <v>せっかくの夜なのに何やってくれちゃってるのよ、もう！_x000D_【3ターン暗闇+赤パネルを緑のダメージパネルに5個変換】</v>
      </c>
      <c r="F333" s="47">
        <v>47004611</v>
      </c>
      <c r="G333" s="48">
        <f ca="1">VLOOKUP($F333,OFFSET(enemy_skill_triggers!$A$1,0,0,COUNTA(enemy_skill_triggers!$A:$A),MATCH(G$1,enemy_skill_triggers!$1:$1,0)-MATCH($F$1,enemy_skill_triggers!$1:$1,0)+1),MATCH(G$1,enemy_skill_triggers!$1:$1,0)-MATCH($F$1,enemy_skill_triggers!$1:$1,0)+1,FALSE)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3" s="48">
        <f ca="1">VLOOKUP($F333,OFFSET(enemy_skill_triggers!$A$1,0,0,COUNTA(enemy_skill_triggers!$A:$A),MATCH(H$1,enemy_skill_triggers!$1:$1,0)-MATCH($F$1,enemy_skill_triggers!$1:$1,0)+1),MATCH(H$1,enemy_skill_triggers!$1:$1,0)-MATCH($F$1,enemy_skill_triggers!$1:$1,0)+1,FALSE)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3" s="48">
        <f ca="1">VLOOKUP($F333,OFFSET(enemy_skill_triggers!$A$1,0,0,COUNTA(enemy_skill_triggers!$A:$A),MATCH(I$1,enemy_skill_triggers!$1:$1,0)-MATCH($F$1,enemy_skill_triggers!$1:$1,0)+1),MATCH(I$1,enemy_skill_triggers!$1:$1,0)-MATCH($F$1,enemy_skill_triggers!$1:$1,0)+1,FALSE)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3" s="48" t="str">
        <f ca="1">VLOOKUP($F333,OFFSET(enemy_skill_triggers!$A$1,0,0,COUNTA(enemy_skill_triggers!$A:$A),MATCH(J$1,enemy_skill_triggers!$1:$1,0)-MATCH($F$1,enemy_skill_triggers!$1:$1,0)+1),MATCH(J$1,enemy_skill_triggers!$1:$1,0)-MATCH($F$1,enemy_skill_triggers!$1:$1,0)+1,FALSE)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3" s="48" t="str">
        <f ca="1">VLOOKUP($F333,OFFSET(enemy_skill_triggers!$A$1,0,0,COUNTA(enemy_skill_triggers!$A:$A),MATCH(K$1,enemy_skill_triggers!$1:$1,0)-MATCH($F$1,enemy_skill_triggers!$1:$1,0)+1),MATCH(K$1,enemy_skill_triggers!$1:$1,0)-MATCH($F$1,enemy_skill_triggers!$1:$1,0)+1,FALSE)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3" s="48">
        <f ca="1">VLOOKUP($F333,OFFSET(enemy_skill_triggers!$A$1,0,0,COUNTA(enemy_skill_triggers!$A:$A),MATCH(L$1,enemy_skill_triggers!$1:$1,0)-MATCH($F$1,enemy_skill_triggers!$1:$1,0)+1),MATCH(L$1,enemy_skill_triggers!$1:$1,0)-MATCH($F$1,enemy_skill_triggers!$1:$1,0)+1,FALSE)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3" s="48" t="str">
        <f ca="1">VLOOKUP($F333,OFFSET(enemy_skill_triggers!$A$1,0,0,COUNTA(enemy_skill_triggers!$A:$A),MATCH(M$1,enemy_skill_triggers!$1:$1,0)-MATCH($F$1,enemy_skill_triggers!$1:$1,0)+1),MATCH(M$1,enemy_skill_triggers!$1:$1,0)-MATCH($F$1,enemy_skill_triggers!$1:$1,0)+1,FALSE)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3" s="48" t="str">
        <f ca="1">VLOOKUP($F333,OFFSET(enemy_skill_triggers!$A$1,0,0,COUNTA(enemy_skill_triggers!$A:$A),MATCH(N$1,enemy_skill_triggers!$1:$1,0)-MATCH($F$1,enemy_skill_triggers!$1:$1,0)+1),MATCH(N$1,enemy_skill_triggers!$1:$1,0)-MATCH($F$1,enemy_skill_triggers!$1:$1,0)+1,FALSE)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3" s="48">
        <f ca="1">VLOOKUP($F333,OFFSET(enemy_skill_triggers!$A$1,0,0,COUNTA(enemy_skill_triggers!$A:$A),MATCH(O$1,enemy_skill_triggers!$1:$1,0)-MATCH($F$1,enemy_skill_triggers!$1:$1,0)+1),MATCH(O$1,enemy_skill_triggers!$1:$1,0)-MATCH($F$1,enemy_skill_triggers!$1:$1,0)+1,FALSE)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3" s="47"/>
      <c r="Q333" s="47"/>
      <c r="R333" s="47"/>
    </row>
    <row r="334" spans="1:18" ht="21" customHeight="1" x14ac:dyDescent="0.15">
      <c r="A334" s="39" t="str">
        <f t="shared" si="21"/>
        <v>47004610_47004612</v>
      </c>
      <c r="B334" s="127">
        <v>47004610</v>
      </c>
      <c r="C334" s="47">
        <v>47004612</v>
      </c>
      <c r="D334" s="46" t="str">
        <f ca="1">VLOOKUP($C334,OFFSET(enemy_skills!$A$1,0,0,COUNTA(enemy_skills!$A:$A),MATCH(D$1,enemy_skills!$1:$1,0)-MATCH("enemy_skill_id",enemy_skills!$1:$1,0)+1),MATCH(D$1,enemy_skills!$1:$1,0)-MATCH("enemy_skill_id",enemy_skills!$1:$1,0)+1,FALSE)</f>
        <v>この後の予定…？_x000D_それくらい私にだってあるわよ！</v>
      </c>
      <c r="E334" s="46" t="str">
        <f ca="1">VLOOKUP($C334,OFFSET(enemy_skills!$A$1,0,0,COUNTA(enemy_skills!$A:$A),MATCH(E$1,enemy_skills!$1:$1,0)-MATCH("enemy_skill_id",enemy_skills!$1:$1,0)+1),MATCH(E$1,enemy_skills!$1:$1,0)-MATCH("enemy_skill_id",enemy_skills!$1:$1,0)+1,FALSE)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34" s="47">
        <v>47004612</v>
      </c>
      <c r="G334" s="48">
        <f ca="1">VLOOKUP($F334,OFFSET(enemy_skill_triggers!$A$1,0,0,COUNTA(enemy_skill_triggers!$A:$A),MATCH(G$1,enemy_skill_triggers!$1:$1,0)-MATCH($F$1,enemy_skill_triggers!$1:$1,0)+1),MATCH(G$1,enemy_skill_triggers!$1:$1,0)-MATCH($F$1,enemy_skill_triggers!$1:$1,0)+1,FALSE)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4" s="48">
        <f ca="1">VLOOKUP($F334,OFFSET(enemy_skill_triggers!$A$1,0,0,COUNTA(enemy_skill_triggers!$A:$A),MATCH(H$1,enemy_skill_triggers!$1:$1,0)-MATCH($F$1,enemy_skill_triggers!$1:$1,0)+1),MATCH(H$1,enemy_skill_triggers!$1:$1,0)-MATCH($F$1,enemy_skill_triggers!$1:$1,0)+1,FALSE)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34" s="48">
        <f ca="1">VLOOKUP($F334,OFFSET(enemy_skill_triggers!$A$1,0,0,COUNTA(enemy_skill_triggers!$A:$A),MATCH(I$1,enemy_skill_triggers!$1:$1,0)-MATCH($F$1,enemy_skill_triggers!$1:$1,0)+1),MATCH(I$1,enemy_skill_triggers!$1:$1,0)-MATCH($F$1,enemy_skill_triggers!$1:$1,0)+1,FALSE)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4" s="48" t="str">
        <f ca="1">VLOOKUP($F334,OFFSET(enemy_skill_triggers!$A$1,0,0,COUNTA(enemy_skill_triggers!$A:$A),MATCH(J$1,enemy_skill_triggers!$1:$1,0)-MATCH($F$1,enemy_skill_triggers!$1:$1,0)+1),MATCH(J$1,enemy_skill_triggers!$1:$1,0)-MATCH($F$1,enemy_skill_triggers!$1:$1,0)+1,FALSE)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4" s="48" t="str">
        <f ca="1">VLOOKUP($F334,OFFSET(enemy_skill_triggers!$A$1,0,0,COUNTA(enemy_skill_triggers!$A:$A),MATCH(K$1,enemy_skill_triggers!$1:$1,0)-MATCH($F$1,enemy_skill_triggers!$1:$1,0)+1),MATCH(K$1,enemy_skill_triggers!$1:$1,0)-MATCH($F$1,enemy_skill_triggers!$1:$1,0)+1,FALSE)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4" s="48">
        <f ca="1">VLOOKUP($F334,OFFSET(enemy_skill_triggers!$A$1,0,0,COUNTA(enemy_skill_triggers!$A:$A),MATCH(L$1,enemy_skill_triggers!$1:$1,0)-MATCH($F$1,enemy_skill_triggers!$1:$1,0)+1),MATCH(L$1,enemy_skill_triggers!$1:$1,0)-MATCH($F$1,enemy_skill_triggers!$1:$1,0)+1,FALSE)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4" s="48">
        <f ca="1">VLOOKUP($F334,OFFSET(enemy_skill_triggers!$A$1,0,0,COUNTA(enemy_skill_triggers!$A:$A),MATCH(M$1,enemy_skill_triggers!$1:$1,0)-MATCH($F$1,enemy_skill_triggers!$1:$1,0)+1),MATCH(M$1,enemy_skill_triggers!$1:$1,0)-MATCH($F$1,enemy_skill_triggers!$1:$1,0)+1,FALSE)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4" s="48" t="str">
        <f ca="1">VLOOKUP($F334,OFFSET(enemy_skill_triggers!$A$1,0,0,COUNTA(enemy_skill_triggers!$A:$A),MATCH(N$1,enemy_skill_triggers!$1:$1,0)-MATCH($F$1,enemy_skill_triggers!$1:$1,0)+1),MATCH(N$1,enemy_skill_triggers!$1:$1,0)-MATCH($F$1,enemy_skill_triggers!$1:$1,0)+1,FALSE)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4" s="48">
        <f ca="1">VLOOKUP($F334,OFFSET(enemy_skill_triggers!$A$1,0,0,COUNTA(enemy_skill_triggers!$A:$A),MATCH(O$1,enemy_skill_triggers!$1:$1,0)-MATCH($F$1,enemy_skill_triggers!$1:$1,0)+1),MATCH(O$1,enemy_skill_triggers!$1:$1,0)-MATCH($F$1,enemy_skill_triggers!$1:$1,0)+1,FALSE)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4" s="47"/>
      <c r="Q334" s="47"/>
      <c r="R334" s="47"/>
    </row>
    <row r="335" spans="1:18" ht="21" customHeight="1" x14ac:dyDescent="0.15">
      <c r="A335" s="39" t="str">
        <f t="shared" si="21"/>
        <v>47004610_47004613</v>
      </c>
      <c r="B335" s="127">
        <v>47004610</v>
      </c>
      <c r="C335" s="47">
        <v>47004613</v>
      </c>
      <c r="D335" s="46" t="str">
        <f ca="1">VLOOKUP($C335,OFFSET(enemy_skills!$A$1,0,0,COUNTA(enemy_skills!$A:$A),MATCH(D$1,enemy_skills!$1:$1,0)-MATCH("enemy_skill_id",enemy_skills!$1:$1,0)+1),MATCH(D$1,enemy_skills!$1:$1,0)-MATCH("enemy_skill_id",enemy_skills!$1:$1,0)+1,FALSE)</f>
        <v>えっ？_x000D_シュプールの事、代わりに探してくれるの？</v>
      </c>
      <c r="E335" s="46" t="str">
        <f ca="1">VLOOKUP($C335,OFFSET(enemy_skills!$A$1,0,0,COUNTA(enemy_skills!$A:$A),MATCH(E$1,enemy_skills!$1:$1,0)-MATCH("enemy_skill_id",enemy_skills!$1:$1,0)+1),MATCH(E$1,enemy_skills!$1:$1,0)-MATCH("enemy_skill_id",enemy_skills!$1:$1,0)+1,FALSE)</f>
        <v>そう…そ、それならお任せしちゃおうかしら…_x000D_じゃあね！メリークリスマス♪</v>
      </c>
      <c r="F335" s="47">
        <v>47004613</v>
      </c>
      <c r="G335" s="48">
        <f ca="1">VLOOKUP($F335,OFFSET(enemy_skill_triggers!$A$1,0,0,COUNTA(enemy_skill_triggers!$A:$A),MATCH(G$1,enemy_skill_triggers!$1:$1,0)-MATCH($F$1,enemy_skill_triggers!$1:$1,0)+1),MATCH(G$1,enemy_skill_triggers!$1:$1,0)-MATCH($F$1,enemy_skill_triggers!$1:$1,0)+1,FALSE)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5" s="48">
        <f ca="1">VLOOKUP($F335,OFFSET(enemy_skill_triggers!$A$1,0,0,COUNTA(enemy_skill_triggers!$A:$A),MATCH(H$1,enemy_skill_triggers!$1:$1,0)-MATCH($F$1,enemy_skill_triggers!$1:$1,0)+1),MATCH(H$1,enemy_skill_triggers!$1:$1,0)-MATCH($F$1,enemy_skill_triggers!$1:$1,0)+1,FALSE)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35" s="48">
        <f ca="1">VLOOKUP($F335,OFFSET(enemy_skill_triggers!$A$1,0,0,COUNTA(enemy_skill_triggers!$A:$A),MATCH(I$1,enemy_skill_triggers!$1:$1,0)-MATCH($F$1,enemy_skill_triggers!$1:$1,0)+1),MATCH(I$1,enemy_skill_triggers!$1:$1,0)-MATCH($F$1,enemy_skill_triggers!$1:$1,0)+1,FALSE)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5" s="48" t="str">
        <f ca="1">VLOOKUP($F335,OFFSET(enemy_skill_triggers!$A$1,0,0,COUNTA(enemy_skill_triggers!$A:$A),MATCH(J$1,enemy_skill_triggers!$1:$1,0)-MATCH($F$1,enemy_skill_triggers!$1:$1,0)+1),MATCH(J$1,enemy_skill_triggers!$1:$1,0)-MATCH($F$1,enemy_skill_triggers!$1:$1,0)+1,FALSE)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5" s="48" t="str">
        <f ca="1">VLOOKUP($F335,OFFSET(enemy_skill_triggers!$A$1,0,0,COUNTA(enemy_skill_triggers!$A:$A),MATCH(K$1,enemy_skill_triggers!$1:$1,0)-MATCH($F$1,enemy_skill_triggers!$1:$1,0)+1),MATCH(K$1,enemy_skill_triggers!$1:$1,0)-MATCH($F$1,enemy_skill_triggers!$1:$1,0)+1,FALSE)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5" s="48">
        <f ca="1">VLOOKUP($F335,OFFSET(enemy_skill_triggers!$A$1,0,0,COUNTA(enemy_skill_triggers!$A:$A),MATCH(L$1,enemy_skill_triggers!$1:$1,0)-MATCH($F$1,enemy_skill_triggers!$1:$1,0)+1),MATCH(L$1,enemy_skill_triggers!$1:$1,0)-MATCH($F$1,enemy_skill_triggers!$1:$1,0)+1,FALSE)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5" s="48">
        <f ca="1">VLOOKUP($F335,OFFSET(enemy_skill_triggers!$A$1,0,0,COUNTA(enemy_skill_triggers!$A:$A),MATCH(M$1,enemy_skill_triggers!$1:$1,0)-MATCH($F$1,enemy_skill_triggers!$1:$1,0)+1),MATCH(M$1,enemy_skill_triggers!$1:$1,0)-MATCH($F$1,enemy_skill_triggers!$1:$1,0)+1,FALSE)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5" s="48" t="str">
        <f ca="1">VLOOKUP($F335,OFFSET(enemy_skill_triggers!$A$1,0,0,COUNTA(enemy_skill_triggers!$A:$A),MATCH(N$1,enemy_skill_triggers!$1:$1,0)-MATCH($F$1,enemy_skill_triggers!$1:$1,0)+1),MATCH(N$1,enemy_skill_triggers!$1:$1,0)-MATCH($F$1,enemy_skill_triggers!$1:$1,0)+1,FALSE)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5" s="48">
        <f ca="1">VLOOKUP($F335,OFFSET(enemy_skill_triggers!$A$1,0,0,COUNTA(enemy_skill_triggers!$A:$A),MATCH(O$1,enemy_skill_triggers!$1:$1,0)-MATCH($F$1,enemy_skill_triggers!$1:$1,0)+1),MATCH(O$1,enemy_skill_triggers!$1:$1,0)-MATCH($F$1,enemy_skill_triggers!$1:$1,0)+1,FALSE)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5" s="47"/>
      <c r="Q335" s="47"/>
      <c r="R335" s="47"/>
    </row>
    <row r="336" spans="1:18" ht="21" customHeight="1" x14ac:dyDescent="0.15">
      <c r="A336" s="39" t="str">
        <f t="shared" si="21"/>
        <v>47004610_47004614</v>
      </c>
      <c r="B336" s="127">
        <v>47004610</v>
      </c>
      <c r="C336" s="47">
        <v>47004614</v>
      </c>
      <c r="D336" s="46" t="str">
        <f ca="1">VLOOKUP($C336,OFFSET(enemy_skills!$A$1,0,0,COUNTA(enemy_skills!$A:$A),MATCH(D$1,enemy_skills!$1:$1,0)-MATCH("enemy_skill_id",enemy_skills!$1:$1,0)+1),MATCH(D$1,enemy_skills!$1:$1,0)-MATCH("enemy_skill_id",enemy_skills!$1:$1,0)+1,FALSE)</f>
        <v>あら、新入りさん？_x000D_可愛らしいサンタさんね♪</v>
      </c>
      <c r="E336" s="46" t="str">
        <f ca="1">VLOOKUP($C336,OFFSET(enemy_skills!$A$1,0,0,COUNTA(enemy_skills!$A:$A),MATCH(E$1,enemy_skills!$1:$1,0)-MATCH("enemy_skill_id",enemy_skills!$1:$1,0)+1),MATCH(E$1,enemy_skills!$1:$1,0)-MATCH("enemy_skill_id",enemy_skills!$1:$1,0)+1,FALSE)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336" s="47">
        <v>47004614</v>
      </c>
      <c r="G336" s="48">
        <f ca="1">VLOOKUP($F336,OFFSET(enemy_skill_triggers!$A$1,0,0,COUNTA(enemy_skill_triggers!$A:$A),MATCH(G$1,enemy_skill_triggers!$1:$1,0)-MATCH($F$1,enemy_skill_triggers!$1:$1,0)+1),MATCH(G$1,enemy_skill_triggers!$1:$1,0)-MATCH($F$1,enemy_skill_triggers!$1:$1,0)+1,FALSE)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6" s="48">
        <f ca="1">VLOOKUP($F336,OFFSET(enemy_skill_triggers!$A$1,0,0,COUNTA(enemy_skill_triggers!$A:$A),MATCH(H$1,enemy_skill_triggers!$1:$1,0)-MATCH($F$1,enemy_skill_triggers!$1:$1,0)+1),MATCH(H$1,enemy_skill_triggers!$1:$1,0)-MATCH($F$1,enemy_skill_triggers!$1:$1,0)+1,FALSE)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336" s="48">
        <f ca="1">VLOOKUP($F336,OFFSET(enemy_skill_triggers!$A$1,0,0,COUNTA(enemy_skill_triggers!$A:$A),MATCH(I$1,enemy_skill_triggers!$1:$1,0)-MATCH($F$1,enemy_skill_triggers!$1:$1,0)+1),MATCH(I$1,enemy_skill_triggers!$1:$1,0)-MATCH($F$1,enemy_skill_triggers!$1:$1,0)+1,FALSE)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6" s="48" t="str">
        <f ca="1">VLOOKUP($F336,OFFSET(enemy_skill_triggers!$A$1,0,0,COUNTA(enemy_skill_triggers!$A:$A),MATCH(J$1,enemy_skill_triggers!$1:$1,0)-MATCH($F$1,enemy_skill_triggers!$1:$1,0)+1),MATCH(J$1,enemy_skill_triggers!$1:$1,0)-MATCH($F$1,enemy_skill_triggers!$1:$1,0)+1,FALSE)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6" s="48" t="str">
        <f ca="1">VLOOKUP($F336,OFFSET(enemy_skill_triggers!$A$1,0,0,COUNTA(enemy_skill_triggers!$A:$A),MATCH(K$1,enemy_skill_triggers!$1:$1,0)-MATCH($F$1,enemy_skill_triggers!$1:$1,0)+1),MATCH(K$1,enemy_skill_triggers!$1:$1,0)-MATCH($F$1,enemy_skill_triggers!$1:$1,0)+1,FALSE)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6" s="48">
        <f ca="1">VLOOKUP($F336,OFFSET(enemy_skill_triggers!$A$1,0,0,COUNTA(enemy_skill_triggers!$A:$A),MATCH(L$1,enemy_skill_triggers!$1:$1,0)-MATCH($F$1,enemy_skill_triggers!$1:$1,0)+1),MATCH(L$1,enemy_skill_triggers!$1:$1,0)-MATCH($F$1,enemy_skill_triggers!$1:$1,0)+1,FALSE)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6" s="48" t="str">
        <f ca="1">VLOOKUP($F336,OFFSET(enemy_skill_triggers!$A$1,0,0,COUNTA(enemy_skill_triggers!$A:$A),MATCH(M$1,enemy_skill_triggers!$1:$1,0)-MATCH($F$1,enemy_skill_triggers!$1:$1,0)+1),MATCH(M$1,enemy_skill_triggers!$1:$1,0)-MATCH($F$1,enemy_skill_triggers!$1:$1,0)+1,FALSE)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6" s="48">
        <f ca="1">VLOOKUP($F336,OFFSET(enemy_skill_triggers!$A$1,0,0,COUNTA(enemy_skill_triggers!$A:$A),MATCH(N$1,enemy_skill_triggers!$1:$1,0)-MATCH($F$1,enemy_skill_triggers!$1:$1,0)+1),MATCH(N$1,enemy_skill_triggers!$1:$1,0)-MATCH($F$1,enemy_skill_triggers!$1:$1,0)+1,FALSE)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336" s="48">
        <f ca="1">VLOOKUP($F336,OFFSET(enemy_skill_triggers!$A$1,0,0,COUNTA(enemy_skill_triggers!$A:$A),MATCH(O$1,enemy_skill_triggers!$1:$1,0)-MATCH($F$1,enemy_skill_triggers!$1:$1,0)+1),MATCH(O$1,enemy_skill_triggers!$1:$1,0)-MATCH($F$1,enemy_skill_triggers!$1:$1,0)+1,FALSE)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6" s="47"/>
      <c r="Q336" s="47"/>
      <c r="R336" s="47"/>
    </row>
    <row r="337" spans="1:18" ht="21" customHeight="1" x14ac:dyDescent="0.15">
      <c r="A337" s="39" t="str">
        <f t="shared" si="21"/>
        <v>47004610_47004614</v>
      </c>
      <c r="B337" s="127">
        <v>47004610</v>
      </c>
      <c r="C337" s="47">
        <v>47004614</v>
      </c>
      <c r="D337" s="46" t="str">
        <f ca="1">VLOOKUP($C337,OFFSET(enemy_skills!$A$1,0,0,COUNTA(enemy_skills!$A:$A),MATCH(D$1,enemy_skills!$1:$1,0)-MATCH("enemy_skill_id",enemy_skills!$1:$1,0)+1),MATCH(D$1,enemy_skills!$1:$1,0)-MATCH("enemy_skill_id",enemy_skills!$1:$1,0)+1,FALSE)</f>
        <v>あら、新入りさん？_x000D_可愛らしいサンタさんね♪</v>
      </c>
      <c r="E337" s="46" t="str">
        <f ca="1">VLOOKUP($C337,OFFSET(enemy_skills!$A$1,0,0,COUNTA(enemy_skills!$A:$A),MATCH(E$1,enemy_skills!$1:$1,0)-MATCH("enemy_skill_id",enemy_skills!$1:$1,0)+1),MATCH(E$1,enemy_skills!$1:$1,0)-MATCH("enemy_skill_id",enemy_skills!$1:$1,0)+1,FALSE)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337" s="47">
        <v>47004615</v>
      </c>
      <c r="G337" s="48">
        <f ca="1">VLOOKUP($F337,OFFSET(enemy_skill_triggers!$A$1,0,0,COUNTA(enemy_skill_triggers!$A:$A),MATCH(G$1,enemy_skill_triggers!$1:$1,0)-MATCH($F$1,enemy_skill_triggers!$1:$1,0)+1),MATCH(G$1,enemy_skill_triggers!$1:$1,0)-MATCH($F$1,enemy_skill_triggers!$1:$1,0)+1,FALSE)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7" s="48">
        <f ca="1">VLOOKUP($F337,OFFSET(enemy_skill_triggers!$A$1,0,0,COUNTA(enemy_skill_triggers!$A:$A),MATCH(H$1,enemy_skill_triggers!$1:$1,0)-MATCH($F$1,enemy_skill_triggers!$1:$1,0)+1),MATCH(H$1,enemy_skill_triggers!$1:$1,0)-MATCH($F$1,enemy_skill_triggers!$1:$1,0)+1,FALSE)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337" s="48">
        <f ca="1">VLOOKUP($F337,OFFSET(enemy_skill_triggers!$A$1,0,0,COUNTA(enemy_skill_triggers!$A:$A),MATCH(I$1,enemy_skill_triggers!$1:$1,0)-MATCH($F$1,enemy_skill_triggers!$1:$1,0)+1),MATCH(I$1,enemy_skill_triggers!$1:$1,0)-MATCH($F$1,enemy_skill_triggers!$1:$1,0)+1,FALSE)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7" s="48" t="str">
        <f ca="1">VLOOKUP($F337,OFFSET(enemy_skill_triggers!$A$1,0,0,COUNTA(enemy_skill_triggers!$A:$A),MATCH(J$1,enemy_skill_triggers!$1:$1,0)-MATCH($F$1,enemy_skill_triggers!$1:$1,0)+1),MATCH(J$1,enemy_skill_triggers!$1:$1,0)-MATCH($F$1,enemy_skill_triggers!$1:$1,0)+1,FALSE)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7" s="48" t="str">
        <f ca="1">VLOOKUP($F337,OFFSET(enemy_skill_triggers!$A$1,0,0,COUNTA(enemy_skill_triggers!$A:$A),MATCH(K$1,enemy_skill_triggers!$1:$1,0)-MATCH($F$1,enemy_skill_triggers!$1:$1,0)+1),MATCH(K$1,enemy_skill_triggers!$1:$1,0)-MATCH($F$1,enemy_skill_triggers!$1:$1,0)+1,FALSE)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7" s="48">
        <f ca="1">VLOOKUP($F337,OFFSET(enemy_skill_triggers!$A$1,0,0,COUNTA(enemy_skill_triggers!$A:$A),MATCH(L$1,enemy_skill_triggers!$1:$1,0)-MATCH($F$1,enemy_skill_triggers!$1:$1,0)+1),MATCH(L$1,enemy_skill_triggers!$1:$1,0)-MATCH($F$1,enemy_skill_triggers!$1:$1,0)+1,FALSE)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7" s="48" t="str">
        <f ca="1">VLOOKUP($F337,OFFSET(enemy_skill_triggers!$A$1,0,0,COUNTA(enemy_skill_triggers!$A:$A),MATCH(M$1,enemy_skill_triggers!$1:$1,0)-MATCH($F$1,enemy_skill_triggers!$1:$1,0)+1),MATCH(M$1,enemy_skill_triggers!$1:$1,0)-MATCH($F$1,enemy_skill_triggers!$1:$1,0)+1,FALSE)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7" s="48">
        <f ca="1">VLOOKUP($F337,OFFSET(enemy_skill_triggers!$A$1,0,0,COUNTA(enemy_skill_triggers!$A:$A),MATCH(N$1,enemy_skill_triggers!$1:$1,0)-MATCH($F$1,enemy_skill_triggers!$1:$1,0)+1),MATCH(N$1,enemy_skill_triggers!$1:$1,0)-MATCH($F$1,enemy_skill_triggers!$1:$1,0)+1,FALSE)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337" s="48">
        <f ca="1">VLOOKUP($F337,OFFSET(enemy_skill_triggers!$A$1,0,0,COUNTA(enemy_skill_triggers!$A:$A),MATCH(O$1,enemy_skill_triggers!$1:$1,0)-MATCH($F$1,enemy_skill_triggers!$1:$1,0)+1),MATCH(O$1,enemy_skill_triggers!$1:$1,0)-MATCH($F$1,enemy_skill_triggers!$1:$1,0)+1,FALSE)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7" s="47"/>
      <c r="Q337" s="47"/>
      <c r="R337" s="47"/>
    </row>
    <row r="338" spans="1:18" ht="21" customHeight="1" x14ac:dyDescent="0.15">
      <c r="A338" s="39" t="str">
        <f t="shared" si="21"/>
        <v>47004610_47004615</v>
      </c>
      <c r="B338" s="127">
        <v>47004610</v>
      </c>
      <c r="C338" s="47">
        <v>47004615</v>
      </c>
      <c r="D338" s="46" t="str">
        <f ca="1">VLOOKUP($C338,OFFSET(enemy_skills!$A$1,0,0,COUNTA(enemy_skills!$A:$A),MATCH(D$1,enemy_skills!$1:$1,0)-MATCH("enemy_skill_id",enemy_skills!$1:$1,0)+1),MATCH(D$1,enemy_skills!$1:$1,0)-MATCH("enemy_skill_id",enemy_skills!$1:$1,0)+1,FALSE)</f>
        <v>今年も聖夜を祝福しているのね！_x000D_ふふっ私もやる気が湧いてきたわ！</v>
      </c>
      <c r="E338" s="46" t="str">
        <f ca="1">VLOOKUP($C338,OFFSET(enemy_skills!$A$1,0,0,COUNTA(enemy_skills!$A:$A),MATCH(E$1,enemy_skills!$1:$1,0)-MATCH("enemy_skill_id",enemy_skills!$1:$1,0)+1),MATCH(E$1,enemy_skills!$1:$1,0)-MATCH("enemy_skill_id",enemy_skills!$1:$1,0)+1,FALSE)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338" s="47">
        <v>47004616</v>
      </c>
      <c r="G338" s="48">
        <f ca="1">VLOOKUP($F338,OFFSET(enemy_skill_triggers!$A$1,0,0,COUNTA(enemy_skill_triggers!$A:$A),MATCH(G$1,enemy_skill_triggers!$1:$1,0)-MATCH($F$1,enemy_skill_triggers!$1:$1,0)+1),MATCH(G$1,enemy_skill_triggers!$1:$1,0)-MATCH($F$1,enemy_skill_triggers!$1:$1,0)+1,FALSE)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8" s="48">
        <f ca="1">VLOOKUP($F338,OFFSET(enemy_skill_triggers!$A$1,0,0,COUNTA(enemy_skill_triggers!$A:$A),MATCH(H$1,enemy_skill_triggers!$1:$1,0)-MATCH($F$1,enemy_skill_triggers!$1:$1,0)+1),MATCH(H$1,enemy_skill_triggers!$1:$1,0)-MATCH($F$1,enemy_skill_triggers!$1:$1,0)+1,FALSE)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338" s="48">
        <f ca="1">VLOOKUP($F338,OFFSET(enemy_skill_triggers!$A$1,0,0,COUNTA(enemy_skill_triggers!$A:$A),MATCH(I$1,enemy_skill_triggers!$1:$1,0)-MATCH($F$1,enemy_skill_triggers!$1:$1,0)+1),MATCH(I$1,enemy_skill_triggers!$1:$1,0)-MATCH($F$1,enemy_skill_triggers!$1:$1,0)+1,FALSE)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8" s="48" t="str">
        <f ca="1">VLOOKUP($F338,OFFSET(enemy_skill_triggers!$A$1,0,0,COUNTA(enemy_skill_triggers!$A:$A),MATCH(J$1,enemy_skill_triggers!$1:$1,0)-MATCH($F$1,enemy_skill_triggers!$1:$1,0)+1),MATCH(J$1,enemy_skill_triggers!$1:$1,0)-MATCH($F$1,enemy_skill_triggers!$1:$1,0)+1,FALSE)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8" s="48" t="str">
        <f ca="1">VLOOKUP($F338,OFFSET(enemy_skill_triggers!$A$1,0,0,COUNTA(enemy_skill_triggers!$A:$A),MATCH(K$1,enemy_skill_triggers!$1:$1,0)-MATCH($F$1,enemy_skill_triggers!$1:$1,0)+1),MATCH(K$1,enemy_skill_triggers!$1:$1,0)-MATCH($F$1,enemy_skill_triggers!$1:$1,0)+1,FALSE)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8" s="48">
        <f ca="1">VLOOKUP($F338,OFFSET(enemy_skill_triggers!$A$1,0,0,COUNTA(enemy_skill_triggers!$A:$A),MATCH(L$1,enemy_skill_triggers!$1:$1,0)-MATCH($F$1,enemy_skill_triggers!$1:$1,0)+1),MATCH(L$1,enemy_skill_triggers!$1:$1,0)-MATCH($F$1,enemy_skill_triggers!$1:$1,0)+1,FALSE)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8" s="48" t="str">
        <f ca="1">VLOOKUP($F338,OFFSET(enemy_skill_triggers!$A$1,0,0,COUNTA(enemy_skill_triggers!$A:$A),MATCH(M$1,enemy_skill_triggers!$1:$1,0)-MATCH($F$1,enemy_skill_triggers!$1:$1,0)+1),MATCH(M$1,enemy_skill_triggers!$1:$1,0)-MATCH($F$1,enemy_skill_triggers!$1:$1,0)+1,FALSE)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8" s="48">
        <f ca="1">VLOOKUP($F338,OFFSET(enemy_skill_triggers!$A$1,0,0,COUNTA(enemy_skill_triggers!$A:$A),MATCH(N$1,enemy_skill_triggers!$1:$1,0)-MATCH($F$1,enemy_skill_triggers!$1:$1,0)+1),MATCH(N$1,enemy_skill_triggers!$1:$1,0)-MATCH($F$1,enemy_skill_triggers!$1:$1,0)+1,FALSE)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338" s="48">
        <f ca="1">VLOOKUP($F338,OFFSET(enemy_skill_triggers!$A$1,0,0,COUNTA(enemy_skill_triggers!$A:$A),MATCH(O$1,enemy_skill_triggers!$1:$1,0)-MATCH($F$1,enemy_skill_triggers!$1:$1,0)+1),MATCH(O$1,enemy_skill_triggers!$1:$1,0)-MATCH($F$1,enemy_skill_triggers!$1:$1,0)+1,FALSE)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8" s="47"/>
      <c r="Q338" s="47"/>
      <c r="R338" s="47"/>
    </row>
    <row r="339" spans="1:18" ht="21" customHeight="1" x14ac:dyDescent="0.15">
      <c r="A339" s="39" t="str">
        <f t="shared" si="21"/>
        <v>47004610_47004615</v>
      </c>
      <c r="B339" s="127">
        <v>47004610</v>
      </c>
      <c r="C339" s="47">
        <v>47004615</v>
      </c>
      <c r="D339" s="46" t="str">
        <f ca="1">VLOOKUP($C339,OFFSET(enemy_skills!$A$1,0,0,COUNTA(enemy_skills!$A:$A),MATCH(D$1,enemy_skills!$1:$1,0)-MATCH("enemy_skill_id",enemy_skills!$1:$1,0)+1),MATCH(D$1,enemy_skills!$1:$1,0)-MATCH("enemy_skill_id",enemy_skills!$1:$1,0)+1,FALSE)</f>
        <v>今年も聖夜を祝福しているのね！_x000D_ふふっ私もやる気が湧いてきたわ！</v>
      </c>
      <c r="E339" s="46" t="str">
        <f ca="1">VLOOKUP($C339,OFFSET(enemy_skills!$A$1,0,0,COUNTA(enemy_skills!$A:$A),MATCH(E$1,enemy_skills!$1:$1,0)-MATCH("enemy_skill_id",enemy_skills!$1:$1,0)+1),MATCH(E$1,enemy_skills!$1:$1,0)-MATCH("enemy_skill_id",enemy_skills!$1:$1,0)+1,FALSE)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339" s="47">
        <v>47004617</v>
      </c>
      <c r="G339" s="48">
        <f ca="1">VLOOKUP($F339,OFFSET(enemy_skill_triggers!$A$1,0,0,COUNTA(enemy_skill_triggers!$A:$A),MATCH(G$1,enemy_skill_triggers!$1:$1,0)-MATCH($F$1,enemy_skill_triggers!$1:$1,0)+1),MATCH(G$1,enemy_skill_triggers!$1:$1,0)-MATCH($F$1,enemy_skill_triggers!$1:$1,0)+1,FALSE)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9" s="48">
        <f ca="1">VLOOKUP($F339,OFFSET(enemy_skill_triggers!$A$1,0,0,COUNTA(enemy_skill_triggers!$A:$A),MATCH(H$1,enemy_skill_triggers!$1:$1,0)-MATCH($F$1,enemy_skill_triggers!$1:$1,0)+1),MATCH(H$1,enemy_skill_triggers!$1:$1,0)-MATCH($F$1,enemy_skill_triggers!$1:$1,0)+1,FALSE)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339" s="48">
        <f ca="1">VLOOKUP($F339,OFFSET(enemy_skill_triggers!$A$1,0,0,COUNTA(enemy_skill_triggers!$A:$A),MATCH(I$1,enemy_skill_triggers!$1:$1,0)-MATCH($F$1,enemy_skill_triggers!$1:$1,0)+1),MATCH(I$1,enemy_skill_triggers!$1:$1,0)-MATCH($F$1,enemy_skill_triggers!$1:$1,0)+1,FALSE)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9" s="48" t="str">
        <f ca="1">VLOOKUP($F339,OFFSET(enemy_skill_triggers!$A$1,0,0,COUNTA(enemy_skill_triggers!$A:$A),MATCH(J$1,enemy_skill_triggers!$1:$1,0)-MATCH($F$1,enemy_skill_triggers!$1:$1,0)+1),MATCH(J$1,enemy_skill_triggers!$1:$1,0)-MATCH($F$1,enemy_skill_triggers!$1:$1,0)+1,FALSE)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9" s="48" t="str">
        <f ca="1">VLOOKUP($F339,OFFSET(enemy_skill_triggers!$A$1,0,0,COUNTA(enemy_skill_triggers!$A:$A),MATCH(K$1,enemy_skill_triggers!$1:$1,0)-MATCH($F$1,enemy_skill_triggers!$1:$1,0)+1),MATCH(K$1,enemy_skill_triggers!$1:$1,0)-MATCH($F$1,enemy_skill_triggers!$1:$1,0)+1,FALSE)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9" s="48">
        <f ca="1">VLOOKUP($F339,OFFSET(enemy_skill_triggers!$A$1,0,0,COUNTA(enemy_skill_triggers!$A:$A),MATCH(L$1,enemy_skill_triggers!$1:$1,0)-MATCH($F$1,enemy_skill_triggers!$1:$1,0)+1),MATCH(L$1,enemy_skill_triggers!$1:$1,0)-MATCH($F$1,enemy_skill_triggers!$1:$1,0)+1,FALSE)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9" s="48" t="str">
        <f ca="1">VLOOKUP($F339,OFFSET(enemy_skill_triggers!$A$1,0,0,COUNTA(enemy_skill_triggers!$A:$A),MATCH(M$1,enemy_skill_triggers!$1:$1,0)-MATCH($F$1,enemy_skill_triggers!$1:$1,0)+1),MATCH(M$1,enemy_skill_triggers!$1:$1,0)-MATCH($F$1,enemy_skill_triggers!$1:$1,0)+1,FALSE)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9" s="48">
        <f ca="1">VLOOKUP($F339,OFFSET(enemy_skill_triggers!$A$1,0,0,COUNTA(enemy_skill_triggers!$A:$A),MATCH(N$1,enemy_skill_triggers!$1:$1,0)-MATCH($F$1,enemy_skill_triggers!$1:$1,0)+1),MATCH(N$1,enemy_skill_triggers!$1:$1,0)-MATCH($F$1,enemy_skill_triggers!$1:$1,0)+1,FALSE)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339" s="48">
        <f ca="1">VLOOKUP($F339,OFFSET(enemy_skill_triggers!$A$1,0,0,COUNTA(enemy_skill_triggers!$A:$A),MATCH(O$1,enemy_skill_triggers!$1:$1,0)-MATCH($F$1,enemy_skill_triggers!$1:$1,0)+1),MATCH(O$1,enemy_skill_triggers!$1:$1,0)-MATCH($F$1,enemy_skill_triggers!$1:$1,0)+1,FALSE)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9" s="47"/>
      <c r="Q339" s="47"/>
      <c r="R339" s="47"/>
    </row>
    <row r="340" spans="1:18" ht="21" customHeight="1" x14ac:dyDescent="0.15">
      <c r="A340" s="39" t="str">
        <f t="shared" si="21"/>
        <v>47004610_47004615</v>
      </c>
      <c r="B340" s="127">
        <v>47004610</v>
      </c>
      <c r="C340" s="47">
        <v>47004615</v>
      </c>
      <c r="D340" s="46" t="str">
        <f ca="1">VLOOKUP($C340,OFFSET(enemy_skills!$A$1,0,0,COUNTA(enemy_skills!$A:$A),MATCH(D$1,enemy_skills!$1:$1,0)-MATCH("enemy_skill_id",enemy_skills!$1:$1,0)+1),MATCH(D$1,enemy_skills!$1:$1,0)-MATCH("enemy_skill_id",enemy_skills!$1:$1,0)+1,FALSE)</f>
        <v>今年も聖夜を祝福しているのね！_x000D_ふふっ私もやる気が湧いてきたわ！</v>
      </c>
      <c r="E340" s="46" t="str">
        <f ca="1">VLOOKUP($C340,OFFSET(enemy_skills!$A$1,0,0,COUNTA(enemy_skills!$A:$A),MATCH(E$1,enemy_skills!$1:$1,0)-MATCH("enemy_skill_id",enemy_skills!$1:$1,0)+1),MATCH(E$1,enemy_skills!$1:$1,0)-MATCH("enemy_skill_id",enemy_skills!$1:$1,0)+1,FALSE)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340" s="47">
        <v>47004618</v>
      </c>
      <c r="G340" s="48">
        <f ca="1">VLOOKUP($F340,OFFSET(enemy_skill_triggers!$A$1,0,0,COUNTA(enemy_skill_triggers!$A:$A),MATCH(G$1,enemy_skill_triggers!$1:$1,0)-MATCH($F$1,enemy_skill_triggers!$1:$1,0)+1),MATCH(G$1,enemy_skill_triggers!$1:$1,0)-MATCH($F$1,enemy_skill_triggers!$1:$1,0)+1,FALSE)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0" s="48">
        <f ca="1">VLOOKUP($F340,OFFSET(enemy_skill_triggers!$A$1,0,0,COUNTA(enemy_skill_triggers!$A:$A),MATCH(H$1,enemy_skill_triggers!$1:$1,0)-MATCH($F$1,enemy_skill_triggers!$1:$1,0)+1),MATCH(H$1,enemy_skill_triggers!$1:$1,0)-MATCH($F$1,enemy_skill_triggers!$1:$1,0)+1,FALSE)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340" s="48">
        <f ca="1">VLOOKUP($F340,OFFSET(enemy_skill_triggers!$A$1,0,0,COUNTA(enemy_skill_triggers!$A:$A),MATCH(I$1,enemy_skill_triggers!$1:$1,0)-MATCH($F$1,enemy_skill_triggers!$1:$1,0)+1),MATCH(I$1,enemy_skill_triggers!$1:$1,0)-MATCH($F$1,enemy_skill_triggers!$1:$1,0)+1,FALSE)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0" s="48" t="str">
        <f ca="1">VLOOKUP($F340,OFFSET(enemy_skill_triggers!$A$1,0,0,COUNTA(enemy_skill_triggers!$A:$A),MATCH(J$1,enemy_skill_triggers!$1:$1,0)-MATCH($F$1,enemy_skill_triggers!$1:$1,0)+1),MATCH(J$1,enemy_skill_triggers!$1:$1,0)-MATCH($F$1,enemy_skill_triggers!$1:$1,0)+1,FALSE)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0" s="48" t="str">
        <f ca="1">VLOOKUP($F340,OFFSET(enemy_skill_triggers!$A$1,0,0,COUNTA(enemy_skill_triggers!$A:$A),MATCH(K$1,enemy_skill_triggers!$1:$1,0)-MATCH($F$1,enemy_skill_triggers!$1:$1,0)+1),MATCH(K$1,enemy_skill_triggers!$1:$1,0)-MATCH($F$1,enemy_skill_triggers!$1:$1,0)+1,FALSE)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0" s="48">
        <f ca="1">VLOOKUP($F340,OFFSET(enemy_skill_triggers!$A$1,0,0,COUNTA(enemy_skill_triggers!$A:$A),MATCH(L$1,enemy_skill_triggers!$1:$1,0)-MATCH($F$1,enemy_skill_triggers!$1:$1,0)+1),MATCH(L$1,enemy_skill_triggers!$1:$1,0)-MATCH($F$1,enemy_skill_triggers!$1:$1,0)+1,FALSE)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0" s="48" t="str">
        <f ca="1">VLOOKUP($F340,OFFSET(enemy_skill_triggers!$A$1,0,0,COUNTA(enemy_skill_triggers!$A:$A),MATCH(M$1,enemy_skill_triggers!$1:$1,0)-MATCH($F$1,enemy_skill_triggers!$1:$1,0)+1),MATCH(M$1,enemy_skill_triggers!$1:$1,0)-MATCH($F$1,enemy_skill_triggers!$1:$1,0)+1,FALSE)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0" s="48">
        <f ca="1">VLOOKUP($F340,OFFSET(enemy_skill_triggers!$A$1,0,0,COUNTA(enemy_skill_triggers!$A:$A),MATCH(N$1,enemy_skill_triggers!$1:$1,0)-MATCH($F$1,enemy_skill_triggers!$1:$1,0)+1),MATCH(N$1,enemy_skill_triggers!$1:$1,0)-MATCH($F$1,enemy_skill_triggers!$1:$1,0)+1,FALSE)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340" s="48">
        <f ca="1">VLOOKUP($F340,OFFSET(enemy_skill_triggers!$A$1,0,0,COUNTA(enemy_skill_triggers!$A:$A),MATCH(O$1,enemy_skill_triggers!$1:$1,0)-MATCH($F$1,enemy_skill_triggers!$1:$1,0)+1),MATCH(O$1,enemy_skill_triggers!$1:$1,0)-MATCH($F$1,enemy_skill_triggers!$1:$1,0)+1,FALSE)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0" s="47"/>
      <c r="Q340" s="47"/>
      <c r="R340" s="47"/>
    </row>
    <row r="341" spans="1:18" ht="21" customHeight="1" x14ac:dyDescent="0.15">
      <c r="A341" s="39" t="str">
        <f t="shared" si="21"/>
        <v>47004610_47004616</v>
      </c>
      <c r="B341" s="127">
        <v>47004610</v>
      </c>
      <c r="C341" s="47">
        <v>47004616</v>
      </c>
      <c r="D341" s="46" t="str">
        <f ca="1">VLOOKUP($C341,OFFSET(enemy_skills!$A$1,0,0,COUNTA(enemy_skills!$A:$A),MATCH(D$1,enemy_skills!$1:$1,0)-MATCH("enemy_skill_id",enemy_skills!$1:$1,0)+1),MATCH(D$1,enemy_skills!$1:$1,0)-MATCH("enemy_skill_id",enemy_skills!$1:$1,0)+1,FALSE)</f>
        <v>快活なサンタさんね！_x000D_さぁ一緒に頑張りましょ！</v>
      </c>
      <c r="E341" s="46" t="str">
        <f ca="1">VLOOKUP($C341,OFFSET(enemy_skills!$A$1,0,0,COUNTA(enemy_skills!$A:$A),MATCH(E$1,enemy_skills!$1:$1,0)-MATCH("enemy_skill_id",enemy_skills!$1:$1,0)+1),MATCH(E$1,enemy_skills!$1:$1,0)-MATCH("enemy_skill_id",enemy_skills!$1:$1,0)+1,FALSE)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341" s="47">
        <v>47004619</v>
      </c>
      <c r="G341" s="48">
        <f ca="1">VLOOKUP($F341,OFFSET(enemy_skill_triggers!$A$1,0,0,COUNTA(enemy_skill_triggers!$A:$A),MATCH(G$1,enemy_skill_triggers!$1:$1,0)-MATCH($F$1,enemy_skill_triggers!$1:$1,0)+1),MATCH(G$1,enemy_skill_triggers!$1:$1,0)-MATCH($F$1,enemy_skill_triggers!$1:$1,0)+1,FALSE)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1" s="48">
        <f ca="1">VLOOKUP($F341,OFFSET(enemy_skill_triggers!$A$1,0,0,COUNTA(enemy_skill_triggers!$A:$A),MATCH(H$1,enemy_skill_triggers!$1:$1,0)-MATCH($F$1,enemy_skill_triggers!$1:$1,0)+1),MATCH(H$1,enemy_skill_triggers!$1:$1,0)-MATCH($F$1,enemy_skill_triggers!$1:$1,0)+1,FALSE)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341" s="48">
        <f ca="1">VLOOKUP($F341,OFFSET(enemy_skill_triggers!$A$1,0,0,COUNTA(enemy_skill_triggers!$A:$A),MATCH(I$1,enemy_skill_triggers!$1:$1,0)-MATCH($F$1,enemy_skill_triggers!$1:$1,0)+1),MATCH(I$1,enemy_skill_triggers!$1:$1,0)-MATCH($F$1,enemy_skill_triggers!$1:$1,0)+1,FALSE)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1" s="48" t="str">
        <f ca="1">VLOOKUP($F341,OFFSET(enemy_skill_triggers!$A$1,0,0,COUNTA(enemy_skill_triggers!$A:$A),MATCH(J$1,enemy_skill_triggers!$1:$1,0)-MATCH($F$1,enemy_skill_triggers!$1:$1,0)+1),MATCH(J$1,enemy_skill_triggers!$1:$1,0)-MATCH($F$1,enemy_skill_triggers!$1:$1,0)+1,FALSE)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1" s="48" t="str">
        <f ca="1">VLOOKUP($F341,OFFSET(enemy_skill_triggers!$A$1,0,0,COUNTA(enemy_skill_triggers!$A:$A),MATCH(K$1,enemy_skill_triggers!$1:$1,0)-MATCH($F$1,enemy_skill_triggers!$1:$1,0)+1),MATCH(K$1,enemy_skill_triggers!$1:$1,0)-MATCH($F$1,enemy_skill_triggers!$1:$1,0)+1,FALSE)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1" s="48">
        <f ca="1">VLOOKUP($F341,OFFSET(enemy_skill_triggers!$A$1,0,0,COUNTA(enemy_skill_triggers!$A:$A),MATCH(L$1,enemy_skill_triggers!$1:$1,0)-MATCH($F$1,enemy_skill_triggers!$1:$1,0)+1),MATCH(L$1,enemy_skill_triggers!$1:$1,0)-MATCH($F$1,enemy_skill_triggers!$1:$1,0)+1,FALSE)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1" s="48" t="str">
        <f ca="1">VLOOKUP($F341,OFFSET(enemy_skill_triggers!$A$1,0,0,COUNTA(enemy_skill_triggers!$A:$A),MATCH(M$1,enemy_skill_triggers!$1:$1,0)-MATCH($F$1,enemy_skill_triggers!$1:$1,0)+1),MATCH(M$1,enemy_skill_triggers!$1:$1,0)-MATCH($F$1,enemy_skill_triggers!$1:$1,0)+1,FALSE)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1" s="48">
        <f ca="1">VLOOKUP($F341,OFFSET(enemy_skill_triggers!$A$1,0,0,COUNTA(enemy_skill_triggers!$A:$A),MATCH(N$1,enemy_skill_triggers!$1:$1,0)-MATCH($F$1,enemy_skill_triggers!$1:$1,0)+1),MATCH(N$1,enemy_skill_triggers!$1:$1,0)-MATCH($F$1,enemy_skill_triggers!$1:$1,0)+1,FALSE)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341" s="48">
        <f ca="1">VLOOKUP($F341,OFFSET(enemy_skill_triggers!$A$1,0,0,COUNTA(enemy_skill_triggers!$A:$A),MATCH(O$1,enemy_skill_triggers!$1:$1,0)-MATCH($F$1,enemy_skill_triggers!$1:$1,0)+1),MATCH(O$1,enemy_skill_triggers!$1:$1,0)-MATCH($F$1,enemy_skill_triggers!$1:$1,0)+1,FALSE)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1" s="47"/>
      <c r="Q341" s="47"/>
      <c r="R341" s="47"/>
    </row>
    <row r="342" spans="1:18" ht="21" customHeight="1" x14ac:dyDescent="0.15">
      <c r="A342" s="39" t="str">
        <f t="shared" si="21"/>
        <v>47004610_47004616</v>
      </c>
      <c r="B342" s="127">
        <v>47004610</v>
      </c>
      <c r="C342" s="47">
        <v>47004616</v>
      </c>
      <c r="D342" s="46" t="str">
        <f ca="1">VLOOKUP($C342,OFFSET(enemy_skills!$A$1,0,0,COUNTA(enemy_skills!$A:$A),MATCH(D$1,enemy_skills!$1:$1,0)-MATCH("enemy_skill_id",enemy_skills!$1:$1,0)+1),MATCH(D$1,enemy_skills!$1:$1,0)-MATCH("enemy_skill_id",enemy_skills!$1:$1,0)+1,FALSE)</f>
        <v>快活なサンタさんね！_x000D_さぁ一緒に頑張りましょ！</v>
      </c>
      <c r="E342" s="46" t="str">
        <f ca="1">VLOOKUP($C342,OFFSET(enemy_skills!$A$1,0,0,COUNTA(enemy_skills!$A:$A),MATCH(E$1,enemy_skills!$1:$1,0)-MATCH("enemy_skill_id",enemy_skills!$1:$1,0)+1),MATCH(E$1,enemy_skills!$1:$1,0)-MATCH("enemy_skill_id",enemy_skills!$1:$1,0)+1,FALSE)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342" s="47">
        <v>47004620</v>
      </c>
      <c r="G342" s="48">
        <f ca="1">VLOOKUP($F342,OFFSET(enemy_skill_triggers!$A$1,0,0,COUNTA(enemy_skill_triggers!$A:$A),MATCH(G$1,enemy_skill_triggers!$1:$1,0)-MATCH($F$1,enemy_skill_triggers!$1:$1,0)+1),MATCH(G$1,enemy_skill_triggers!$1:$1,0)-MATCH($F$1,enemy_skill_triggers!$1:$1,0)+1,FALSE)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2" s="48">
        <f ca="1">VLOOKUP($F342,OFFSET(enemy_skill_triggers!$A$1,0,0,COUNTA(enemy_skill_triggers!$A:$A),MATCH(H$1,enemy_skill_triggers!$1:$1,0)-MATCH($F$1,enemy_skill_triggers!$1:$1,0)+1),MATCH(H$1,enemy_skill_triggers!$1:$1,0)-MATCH($F$1,enemy_skill_triggers!$1:$1,0)+1,FALSE)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342" s="48">
        <f ca="1">VLOOKUP($F342,OFFSET(enemy_skill_triggers!$A$1,0,0,COUNTA(enemy_skill_triggers!$A:$A),MATCH(I$1,enemy_skill_triggers!$1:$1,0)-MATCH($F$1,enemy_skill_triggers!$1:$1,0)+1),MATCH(I$1,enemy_skill_triggers!$1:$1,0)-MATCH($F$1,enemy_skill_triggers!$1:$1,0)+1,FALSE)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2" s="48" t="str">
        <f ca="1">VLOOKUP($F342,OFFSET(enemy_skill_triggers!$A$1,0,0,COUNTA(enemy_skill_triggers!$A:$A),MATCH(J$1,enemy_skill_triggers!$1:$1,0)-MATCH($F$1,enemy_skill_triggers!$1:$1,0)+1),MATCH(J$1,enemy_skill_triggers!$1:$1,0)-MATCH($F$1,enemy_skill_triggers!$1:$1,0)+1,FALSE)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2" s="48" t="str">
        <f ca="1">VLOOKUP($F342,OFFSET(enemy_skill_triggers!$A$1,0,0,COUNTA(enemy_skill_triggers!$A:$A),MATCH(K$1,enemy_skill_triggers!$1:$1,0)-MATCH($F$1,enemy_skill_triggers!$1:$1,0)+1),MATCH(K$1,enemy_skill_triggers!$1:$1,0)-MATCH($F$1,enemy_skill_triggers!$1:$1,0)+1,FALSE)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2" s="48">
        <f ca="1">VLOOKUP($F342,OFFSET(enemy_skill_triggers!$A$1,0,0,COUNTA(enemy_skill_triggers!$A:$A),MATCH(L$1,enemy_skill_triggers!$1:$1,0)-MATCH($F$1,enemy_skill_triggers!$1:$1,0)+1),MATCH(L$1,enemy_skill_triggers!$1:$1,0)-MATCH($F$1,enemy_skill_triggers!$1:$1,0)+1,FALSE)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2" s="48" t="str">
        <f ca="1">VLOOKUP($F342,OFFSET(enemy_skill_triggers!$A$1,0,0,COUNTA(enemy_skill_triggers!$A:$A),MATCH(M$1,enemy_skill_triggers!$1:$1,0)-MATCH($F$1,enemy_skill_triggers!$1:$1,0)+1),MATCH(M$1,enemy_skill_triggers!$1:$1,0)-MATCH($F$1,enemy_skill_triggers!$1:$1,0)+1,FALSE)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2" s="48">
        <f ca="1">VLOOKUP($F342,OFFSET(enemy_skill_triggers!$A$1,0,0,COUNTA(enemy_skill_triggers!$A:$A),MATCH(N$1,enemy_skill_triggers!$1:$1,0)-MATCH($F$1,enemy_skill_triggers!$1:$1,0)+1),MATCH(N$1,enemy_skill_triggers!$1:$1,0)-MATCH($F$1,enemy_skill_triggers!$1:$1,0)+1,FALSE)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342" s="48">
        <f ca="1">VLOOKUP($F342,OFFSET(enemy_skill_triggers!$A$1,0,0,COUNTA(enemy_skill_triggers!$A:$A),MATCH(O$1,enemy_skill_triggers!$1:$1,0)-MATCH($F$1,enemy_skill_triggers!$1:$1,0)+1),MATCH(O$1,enemy_skill_triggers!$1:$1,0)-MATCH($F$1,enemy_skill_triggers!$1:$1,0)+1,FALSE)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2" s="47"/>
      <c r="Q342" s="47"/>
      <c r="R342" s="47"/>
    </row>
    <row r="343" spans="1:18" ht="21" customHeight="1" x14ac:dyDescent="0.15">
      <c r="A343" s="39" t="str">
        <f t="shared" si="21"/>
        <v>47004610_47004616</v>
      </c>
      <c r="B343" s="127">
        <v>47004610</v>
      </c>
      <c r="C343" s="47">
        <v>47004616</v>
      </c>
      <c r="D343" s="46" t="str">
        <f ca="1">VLOOKUP($C343,OFFSET(enemy_skills!$A$1,0,0,COUNTA(enemy_skills!$A:$A),MATCH(D$1,enemy_skills!$1:$1,0)-MATCH("enemy_skill_id",enemy_skills!$1:$1,0)+1),MATCH(D$1,enemy_skills!$1:$1,0)-MATCH("enemy_skill_id",enemy_skills!$1:$1,0)+1,FALSE)</f>
        <v>快活なサンタさんね！_x000D_さぁ一緒に頑張りましょ！</v>
      </c>
      <c r="E343" s="46" t="str">
        <f ca="1">VLOOKUP($C343,OFFSET(enemy_skills!$A$1,0,0,COUNTA(enemy_skills!$A:$A),MATCH(E$1,enemy_skills!$1:$1,0)-MATCH("enemy_skill_id",enemy_skills!$1:$1,0)+1),MATCH(E$1,enemy_skills!$1:$1,0)-MATCH("enemy_skill_id",enemy_skills!$1:$1,0)+1,FALSE)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343" s="47">
        <v>47004621</v>
      </c>
      <c r="G343" s="48">
        <f ca="1">VLOOKUP($F343,OFFSET(enemy_skill_triggers!$A$1,0,0,COUNTA(enemy_skill_triggers!$A:$A),MATCH(G$1,enemy_skill_triggers!$1:$1,0)-MATCH($F$1,enemy_skill_triggers!$1:$1,0)+1),MATCH(G$1,enemy_skill_triggers!$1:$1,0)-MATCH($F$1,enemy_skill_triggers!$1:$1,0)+1,FALSE)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3" s="48">
        <f ca="1">VLOOKUP($F343,OFFSET(enemy_skill_triggers!$A$1,0,0,COUNTA(enemy_skill_triggers!$A:$A),MATCH(H$1,enemy_skill_triggers!$1:$1,0)-MATCH($F$1,enemy_skill_triggers!$1:$1,0)+1),MATCH(H$1,enemy_skill_triggers!$1:$1,0)-MATCH($F$1,enemy_skill_triggers!$1:$1,0)+1,FALSE)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343" s="48">
        <f ca="1">VLOOKUP($F343,OFFSET(enemy_skill_triggers!$A$1,0,0,COUNTA(enemy_skill_triggers!$A:$A),MATCH(I$1,enemy_skill_triggers!$1:$1,0)-MATCH($F$1,enemy_skill_triggers!$1:$1,0)+1),MATCH(I$1,enemy_skill_triggers!$1:$1,0)-MATCH($F$1,enemy_skill_triggers!$1:$1,0)+1,FALSE)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3" s="48" t="str">
        <f ca="1">VLOOKUP($F343,OFFSET(enemy_skill_triggers!$A$1,0,0,COUNTA(enemy_skill_triggers!$A:$A),MATCH(J$1,enemy_skill_triggers!$1:$1,0)-MATCH($F$1,enemy_skill_triggers!$1:$1,0)+1),MATCH(J$1,enemy_skill_triggers!$1:$1,0)-MATCH($F$1,enemy_skill_triggers!$1:$1,0)+1,FALSE)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3" s="48" t="str">
        <f ca="1">VLOOKUP($F343,OFFSET(enemy_skill_triggers!$A$1,0,0,COUNTA(enemy_skill_triggers!$A:$A),MATCH(K$1,enemy_skill_triggers!$1:$1,0)-MATCH($F$1,enemy_skill_triggers!$1:$1,0)+1),MATCH(K$1,enemy_skill_triggers!$1:$1,0)-MATCH($F$1,enemy_skill_triggers!$1:$1,0)+1,FALSE)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3" s="48">
        <f ca="1">VLOOKUP($F343,OFFSET(enemy_skill_triggers!$A$1,0,0,COUNTA(enemy_skill_triggers!$A:$A),MATCH(L$1,enemy_skill_triggers!$1:$1,0)-MATCH($F$1,enemy_skill_triggers!$1:$1,0)+1),MATCH(L$1,enemy_skill_triggers!$1:$1,0)-MATCH($F$1,enemy_skill_triggers!$1:$1,0)+1,FALSE)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3" s="48" t="str">
        <f ca="1">VLOOKUP($F343,OFFSET(enemy_skill_triggers!$A$1,0,0,COUNTA(enemy_skill_triggers!$A:$A),MATCH(M$1,enemy_skill_triggers!$1:$1,0)-MATCH($F$1,enemy_skill_triggers!$1:$1,0)+1),MATCH(M$1,enemy_skill_triggers!$1:$1,0)-MATCH($F$1,enemy_skill_triggers!$1:$1,0)+1,FALSE)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3" s="48">
        <f ca="1">VLOOKUP($F343,OFFSET(enemy_skill_triggers!$A$1,0,0,COUNTA(enemy_skill_triggers!$A:$A),MATCH(N$1,enemy_skill_triggers!$1:$1,0)-MATCH($F$1,enemy_skill_triggers!$1:$1,0)+1),MATCH(N$1,enemy_skill_triggers!$1:$1,0)-MATCH($F$1,enemy_skill_triggers!$1:$1,0)+1,FALSE)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343" s="48">
        <f ca="1">VLOOKUP($F343,OFFSET(enemy_skill_triggers!$A$1,0,0,COUNTA(enemy_skill_triggers!$A:$A),MATCH(O$1,enemy_skill_triggers!$1:$1,0)-MATCH($F$1,enemy_skill_triggers!$1:$1,0)+1),MATCH(O$1,enemy_skill_triggers!$1:$1,0)-MATCH($F$1,enemy_skill_triggers!$1:$1,0)+1,FALSE)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3" s="47"/>
      <c r="Q343" s="47"/>
      <c r="R343" s="47"/>
    </row>
    <row r="344" spans="1:18" ht="21" customHeight="1" x14ac:dyDescent="0.15">
      <c r="A344" s="39" t="str">
        <f t="shared" si="21"/>
        <v>47004610_47004617</v>
      </c>
      <c r="B344" s="127">
        <v>47004610</v>
      </c>
      <c r="C344" s="47">
        <v>47004617</v>
      </c>
      <c r="D344" s="46" t="str">
        <f ca="1">VLOOKUP($C344,OFFSET(enemy_skills!$A$1,0,0,COUNTA(enemy_skills!$A:$A),MATCH(D$1,enemy_skills!$1:$1,0)-MATCH("enemy_skill_id",enemy_skills!$1:$1,0)+1),MATCH(D$1,enemy_skills!$1:$1,0)-MATCH("enemy_skill_id",enemy_skills!$1:$1,0)+1,FALSE)</f>
        <v>え？プロメテウスにも見せてやりたい？_x000D_も、もう！やめてよね！</v>
      </c>
      <c r="E344" s="46" t="str">
        <f ca="1">VLOOKUP($C344,OFFSET(enemy_skills!$A$1,0,0,COUNTA(enemy_skills!$A:$A),MATCH(E$1,enemy_skills!$1:$1,0)-MATCH("enemy_skill_id",enemy_skills!$1:$1,0)+1),MATCH(E$1,enemy_skills!$1:$1,0)-MATCH("enemy_skill_id",enemy_skills!$1:$1,0)+1,FALSE)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344" s="47">
        <v>47004622</v>
      </c>
      <c r="G344" s="48">
        <f ca="1">VLOOKUP($F344,OFFSET(enemy_skill_triggers!$A$1,0,0,COUNTA(enemy_skill_triggers!$A:$A),MATCH(G$1,enemy_skill_triggers!$1:$1,0)-MATCH($F$1,enemy_skill_triggers!$1:$1,0)+1),MATCH(G$1,enemy_skill_triggers!$1:$1,0)-MATCH($F$1,enemy_skill_triggers!$1:$1,0)+1,FALSE)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4" s="48">
        <f ca="1">VLOOKUP($F344,OFFSET(enemy_skill_triggers!$A$1,0,0,COUNTA(enemy_skill_triggers!$A:$A),MATCH(H$1,enemy_skill_triggers!$1:$1,0)-MATCH($F$1,enemy_skill_triggers!$1:$1,0)+1),MATCH(H$1,enemy_skill_triggers!$1:$1,0)-MATCH($F$1,enemy_skill_triggers!$1:$1,0)+1,FALSE)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344" s="48">
        <f ca="1">VLOOKUP($F344,OFFSET(enemy_skill_triggers!$A$1,0,0,COUNTA(enemy_skill_triggers!$A:$A),MATCH(I$1,enemy_skill_triggers!$1:$1,0)-MATCH($F$1,enemy_skill_triggers!$1:$1,0)+1),MATCH(I$1,enemy_skill_triggers!$1:$1,0)-MATCH($F$1,enemy_skill_triggers!$1:$1,0)+1,FALSE)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4" s="48" t="str">
        <f ca="1">VLOOKUP($F344,OFFSET(enemy_skill_triggers!$A$1,0,0,COUNTA(enemy_skill_triggers!$A:$A),MATCH(J$1,enemy_skill_triggers!$1:$1,0)-MATCH($F$1,enemy_skill_triggers!$1:$1,0)+1),MATCH(J$1,enemy_skill_triggers!$1:$1,0)-MATCH($F$1,enemy_skill_triggers!$1:$1,0)+1,FALSE)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4" s="48" t="str">
        <f ca="1">VLOOKUP($F344,OFFSET(enemy_skill_triggers!$A$1,0,0,COUNTA(enemy_skill_triggers!$A:$A),MATCH(K$1,enemy_skill_triggers!$1:$1,0)-MATCH($F$1,enemy_skill_triggers!$1:$1,0)+1),MATCH(K$1,enemy_skill_triggers!$1:$1,0)-MATCH($F$1,enemy_skill_triggers!$1:$1,0)+1,FALSE)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4" s="48">
        <f ca="1">VLOOKUP($F344,OFFSET(enemy_skill_triggers!$A$1,0,0,COUNTA(enemy_skill_triggers!$A:$A),MATCH(L$1,enemy_skill_triggers!$1:$1,0)-MATCH($F$1,enemy_skill_triggers!$1:$1,0)+1),MATCH(L$1,enemy_skill_triggers!$1:$1,0)-MATCH($F$1,enemy_skill_triggers!$1:$1,0)+1,FALSE)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4" s="48" t="str">
        <f ca="1">VLOOKUP($F344,OFFSET(enemy_skill_triggers!$A$1,0,0,COUNTA(enemy_skill_triggers!$A:$A),MATCH(M$1,enemy_skill_triggers!$1:$1,0)-MATCH($F$1,enemy_skill_triggers!$1:$1,0)+1),MATCH(M$1,enemy_skill_triggers!$1:$1,0)-MATCH($F$1,enemy_skill_triggers!$1:$1,0)+1,FALSE)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4" s="48">
        <f ca="1">VLOOKUP($F344,OFFSET(enemy_skill_triggers!$A$1,0,0,COUNTA(enemy_skill_triggers!$A:$A),MATCH(N$1,enemy_skill_triggers!$1:$1,0)-MATCH($F$1,enemy_skill_triggers!$1:$1,0)+1),MATCH(N$1,enemy_skill_triggers!$1:$1,0)-MATCH($F$1,enemy_skill_triggers!$1:$1,0)+1,FALSE)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344" s="48">
        <f ca="1">VLOOKUP($F344,OFFSET(enemy_skill_triggers!$A$1,0,0,COUNTA(enemy_skill_triggers!$A:$A),MATCH(O$1,enemy_skill_triggers!$1:$1,0)-MATCH($F$1,enemy_skill_triggers!$1:$1,0)+1),MATCH(O$1,enemy_skill_triggers!$1:$1,0)-MATCH($F$1,enemy_skill_triggers!$1:$1,0)+1,FALSE)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4" s="47"/>
      <c r="Q344" s="47"/>
      <c r="R344" s="47"/>
    </row>
    <row r="345" spans="1:18" ht="21" customHeight="1" x14ac:dyDescent="0.15">
      <c r="A345" s="39" t="str">
        <f t="shared" si="21"/>
        <v>47004610_47004617</v>
      </c>
      <c r="B345" s="127">
        <v>47004610</v>
      </c>
      <c r="C345" s="47">
        <v>47004617</v>
      </c>
      <c r="D345" s="46" t="str">
        <f ca="1">VLOOKUP($C345,OFFSET(enemy_skills!$A$1,0,0,COUNTA(enemy_skills!$A:$A),MATCH(D$1,enemy_skills!$1:$1,0)-MATCH("enemy_skill_id",enemy_skills!$1:$1,0)+1),MATCH(D$1,enemy_skills!$1:$1,0)-MATCH("enemy_skill_id",enemy_skills!$1:$1,0)+1,FALSE)</f>
        <v>え？プロメテウスにも見せてやりたい？_x000D_も、もう！やめてよね！</v>
      </c>
      <c r="E345" s="46" t="str">
        <f ca="1">VLOOKUP($C345,OFFSET(enemy_skills!$A$1,0,0,COUNTA(enemy_skills!$A:$A),MATCH(E$1,enemy_skills!$1:$1,0)-MATCH("enemy_skill_id",enemy_skills!$1:$1,0)+1),MATCH(E$1,enemy_skills!$1:$1,0)-MATCH("enemy_skill_id",enemy_skills!$1:$1,0)+1,FALSE)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345" s="47">
        <v>47004623</v>
      </c>
      <c r="G345" s="48">
        <f ca="1">VLOOKUP($F345,OFFSET(enemy_skill_triggers!$A$1,0,0,COUNTA(enemy_skill_triggers!$A:$A),MATCH(G$1,enemy_skill_triggers!$1:$1,0)-MATCH($F$1,enemy_skill_triggers!$1:$1,0)+1),MATCH(G$1,enemy_skill_triggers!$1:$1,0)-MATCH($F$1,enemy_skill_triggers!$1:$1,0)+1,FALSE)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5" s="48">
        <f ca="1">VLOOKUP($F345,OFFSET(enemy_skill_triggers!$A$1,0,0,COUNTA(enemy_skill_triggers!$A:$A),MATCH(H$1,enemy_skill_triggers!$1:$1,0)-MATCH($F$1,enemy_skill_triggers!$1:$1,0)+1),MATCH(H$1,enemy_skill_triggers!$1:$1,0)-MATCH($F$1,enemy_skill_triggers!$1:$1,0)+1,FALSE)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345" s="48">
        <f ca="1">VLOOKUP($F345,OFFSET(enemy_skill_triggers!$A$1,0,0,COUNTA(enemy_skill_triggers!$A:$A),MATCH(I$1,enemy_skill_triggers!$1:$1,0)-MATCH($F$1,enemy_skill_triggers!$1:$1,0)+1),MATCH(I$1,enemy_skill_triggers!$1:$1,0)-MATCH($F$1,enemy_skill_triggers!$1:$1,0)+1,FALSE)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5" s="48" t="str">
        <f ca="1">VLOOKUP($F345,OFFSET(enemy_skill_triggers!$A$1,0,0,COUNTA(enemy_skill_triggers!$A:$A),MATCH(J$1,enemy_skill_triggers!$1:$1,0)-MATCH($F$1,enemy_skill_triggers!$1:$1,0)+1),MATCH(J$1,enemy_skill_triggers!$1:$1,0)-MATCH($F$1,enemy_skill_triggers!$1:$1,0)+1,FALSE)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5" s="48" t="str">
        <f ca="1">VLOOKUP($F345,OFFSET(enemy_skill_triggers!$A$1,0,0,COUNTA(enemy_skill_triggers!$A:$A),MATCH(K$1,enemy_skill_triggers!$1:$1,0)-MATCH($F$1,enemy_skill_triggers!$1:$1,0)+1),MATCH(K$1,enemy_skill_triggers!$1:$1,0)-MATCH($F$1,enemy_skill_triggers!$1:$1,0)+1,FALSE)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5" s="48">
        <f ca="1">VLOOKUP($F345,OFFSET(enemy_skill_triggers!$A$1,0,0,COUNTA(enemy_skill_triggers!$A:$A),MATCH(L$1,enemy_skill_triggers!$1:$1,0)-MATCH($F$1,enemy_skill_triggers!$1:$1,0)+1),MATCH(L$1,enemy_skill_triggers!$1:$1,0)-MATCH($F$1,enemy_skill_triggers!$1:$1,0)+1,FALSE)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5" s="48" t="str">
        <f ca="1">VLOOKUP($F345,OFFSET(enemy_skill_triggers!$A$1,0,0,COUNTA(enemy_skill_triggers!$A:$A),MATCH(M$1,enemy_skill_triggers!$1:$1,0)-MATCH($F$1,enemy_skill_triggers!$1:$1,0)+1),MATCH(M$1,enemy_skill_triggers!$1:$1,0)-MATCH($F$1,enemy_skill_triggers!$1:$1,0)+1,FALSE)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5" s="48">
        <f ca="1">VLOOKUP($F345,OFFSET(enemy_skill_triggers!$A$1,0,0,COUNTA(enemy_skill_triggers!$A:$A),MATCH(N$1,enemy_skill_triggers!$1:$1,0)-MATCH($F$1,enemy_skill_triggers!$1:$1,0)+1),MATCH(N$1,enemy_skill_triggers!$1:$1,0)-MATCH($F$1,enemy_skill_triggers!$1:$1,0)+1,FALSE)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345" s="48">
        <f ca="1">VLOOKUP($F345,OFFSET(enemy_skill_triggers!$A$1,0,0,COUNTA(enemy_skill_triggers!$A:$A),MATCH(O$1,enemy_skill_triggers!$1:$1,0)-MATCH($F$1,enemy_skill_triggers!$1:$1,0)+1),MATCH(O$1,enemy_skill_triggers!$1:$1,0)-MATCH($F$1,enemy_skill_triggers!$1:$1,0)+1,FALSE)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5" s="47"/>
      <c r="Q345" s="47"/>
      <c r="R345" s="47"/>
    </row>
    <row r="346" spans="1:18" ht="21" customHeight="1" x14ac:dyDescent="0.15">
      <c r="A346" s="39" t="str">
        <f t="shared" si="21"/>
        <v>47004610_47004617</v>
      </c>
      <c r="B346" s="127">
        <v>47004610</v>
      </c>
      <c r="C346" s="47">
        <v>47004617</v>
      </c>
      <c r="D346" s="46" t="str">
        <f ca="1">VLOOKUP($C346,OFFSET(enemy_skills!$A$1,0,0,COUNTA(enemy_skills!$A:$A),MATCH(D$1,enemy_skills!$1:$1,0)-MATCH("enemy_skill_id",enemy_skills!$1:$1,0)+1),MATCH(D$1,enemy_skills!$1:$1,0)-MATCH("enemy_skill_id",enemy_skills!$1:$1,0)+1,FALSE)</f>
        <v>え？プロメテウスにも見せてやりたい？_x000D_も、もう！やめてよね！</v>
      </c>
      <c r="E346" s="46" t="str">
        <f ca="1">VLOOKUP($C346,OFFSET(enemy_skills!$A$1,0,0,COUNTA(enemy_skills!$A:$A),MATCH(E$1,enemy_skills!$1:$1,0)-MATCH("enemy_skill_id",enemy_skills!$1:$1,0)+1),MATCH(E$1,enemy_skills!$1:$1,0)-MATCH("enemy_skill_id",enemy_skills!$1:$1,0)+1,FALSE)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346" s="47">
        <v>47004624</v>
      </c>
      <c r="G346" s="48">
        <f ca="1">VLOOKUP($F346,OFFSET(enemy_skill_triggers!$A$1,0,0,COUNTA(enemy_skill_triggers!$A:$A),MATCH(G$1,enemy_skill_triggers!$1:$1,0)-MATCH($F$1,enemy_skill_triggers!$1:$1,0)+1),MATCH(G$1,enemy_skill_triggers!$1:$1,0)-MATCH($F$1,enemy_skill_triggers!$1:$1,0)+1,FALSE)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6" s="48">
        <f ca="1">VLOOKUP($F346,OFFSET(enemy_skill_triggers!$A$1,0,0,COUNTA(enemy_skill_triggers!$A:$A),MATCH(H$1,enemy_skill_triggers!$1:$1,0)-MATCH($F$1,enemy_skill_triggers!$1:$1,0)+1),MATCH(H$1,enemy_skill_triggers!$1:$1,0)-MATCH($F$1,enemy_skill_triggers!$1:$1,0)+1,FALSE)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346" s="48">
        <f ca="1">VLOOKUP($F346,OFFSET(enemy_skill_triggers!$A$1,0,0,COUNTA(enemy_skill_triggers!$A:$A),MATCH(I$1,enemy_skill_triggers!$1:$1,0)-MATCH($F$1,enemy_skill_triggers!$1:$1,0)+1),MATCH(I$1,enemy_skill_triggers!$1:$1,0)-MATCH($F$1,enemy_skill_triggers!$1:$1,0)+1,FALSE)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6" s="48" t="str">
        <f ca="1">VLOOKUP($F346,OFFSET(enemy_skill_triggers!$A$1,0,0,COUNTA(enemy_skill_triggers!$A:$A),MATCH(J$1,enemy_skill_triggers!$1:$1,0)-MATCH($F$1,enemy_skill_triggers!$1:$1,0)+1),MATCH(J$1,enemy_skill_triggers!$1:$1,0)-MATCH($F$1,enemy_skill_triggers!$1:$1,0)+1,FALSE)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6" s="48" t="str">
        <f ca="1">VLOOKUP($F346,OFFSET(enemy_skill_triggers!$A$1,0,0,COUNTA(enemy_skill_triggers!$A:$A),MATCH(K$1,enemy_skill_triggers!$1:$1,0)-MATCH($F$1,enemy_skill_triggers!$1:$1,0)+1),MATCH(K$1,enemy_skill_triggers!$1:$1,0)-MATCH($F$1,enemy_skill_triggers!$1:$1,0)+1,FALSE)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6" s="48">
        <f ca="1">VLOOKUP($F346,OFFSET(enemy_skill_triggers!$A$1,0,0,COUNTA(enemy_skill_triggers!$A:$A),MATCH(L$1,enemy_skill_triggers!$1:$1,0)-MATCH($F$1,enemy_skill_triggers!$1:$1,0)+1),MATCH(L$1,enemy_skill_triggers!$1:$1,0)-MATCH($F$1,enemy_skill_triggers!$1:$1,0)+1,FALSE)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6" s="48" t="str">
        <f ca="1">VLOOKUP($F346,OFFSET(enemy_skill_triggers!$A$1,0,0,COUNTA(enemy_skill_triggers!$A:$A),MATCH(M$1,enemy_skill_triggers!$1:$1,0)-MATCH($F$1,enemy_skill_triggers!$1:$1,0)+1),MATCH(M$1,enemy_skill_triggers!$1:$1,0)-MATCH($F$1,enemy_skill_triggers!$1:$1,0)+1,FALSE)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6" s="48">
        <f ca="1">VLOOKUP($F346,OFFSET(enemy_skill_triggers!$A$1,0,0,COUNTA(enemy_skill_triggers!$A:$A),MATCH(N$1,enemy_skill_triggers!$1:$1,0)-MATCH($F$1,enemy_skill_triggers!$1:$1,0)+1),MATCH(N$1,enemy_skill_triggers!$1:$1,0)-MATCH($F$1,enemy_skill_triggers!$1:$1,0)+1,FALSE)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346" s="48">
        <f ca="1">VLOOKUP($F346,OFFSET(enemy_skill_triggers!$A$1,0,0,COUNTA(enemy_skill_triggers!$A:$A),MATCH(O$1,enemy_skill_triggers!$1:$1,0)-MATCH($F$1,enemy_skill_triggers!$1:$1,0)+1),MATCH(O$1,enemy_skill_triggers!$1:$1,0)-MATCH($F$1,enemy_skill_triggers!$1:$1,0)+1,FALSE)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6" s="47"/>
      <c r="Q346" s="47"/>
      <c r="R346" s="47"/>
    </row>
    <row r="347" spans="1:18" ht="21" customHeight="1" x14ac:dyDescent="0.15">
      <c r="A347" s="39" t="str">
        <f t="shared" ref="A347:A348" si="23">B347&amp;"_"&amp;C347</f>
        <v>47004610_47004618</v>
      </c>
      <c r="B347" s="127">
        <v>47004610</v>
      </c>
      <c r="C347" s="47">
        <v>47004618</v>
      </c>
      <c r="D347" s="46" t="str">
        <f ca="1">VLOOKUP($C347,OFFSET(enemy_skills!$A$1,0,0,COUNTA(enemy_skills!$A:$A),MATCH(D$1,enemy_skills!$1:$1,0)-MATCH("enemy_skill_id",enemy_skills!$1:$1,0)+1),MATCH(D$1,enemy_skills!$1:$1,0)-MATCH("enemy_skill_id",enemy_skills!$1:$1,0)+1,FALSE)</f>
        <v>エスタブ！_x000D_メリークリスマスね♪</v>
      </c>
      <c r="E347" s="46" t="str">
        <f ca="1">VLOOKUP($C347,OFFSET(enemy_skills!$A$1,0,0,COUNTA(enemy_skills!$A:$A),MATCH(E$1,enemy_skills!$1:$1,0)-MATCH("enemy_skill_id",enemy_skills!$1:$1,0)+1),MATCH(E$1,enemy_skills!$1:$1,0)-MATCH("enemy_skill_id",enemy_skills!$1:$1,0)+1,FALSE)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347" s="47">
        <v>47004625</v>
      </c>
      <c r="G347" s="48">
        <f ca="1">VLOOKUP($F347,OFFSET(enemy_skill_triggers!$A$1,0,0,COUNTA(enemy_skill_triggers!$A:$A),MATCH(G$1,enemy_skill_triggers!$1:$1,0)-MATCH($F$1,enemy_skill_triggers!$1:$1,0)+1),MATCH(G$1,enemy_skill_triggers!$1:$1,0)-MATCH($F$1,enemy_skill_triggers!$1:$1,0)+1,FALSE)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7" s="48">
        <f ca="1">VLOOKUP($F347,OFFSET(enemy_skill_triggers!$A$1,0,0,COUNTA(enemy_skill_triggers!$A:$A),MATCH(H$1,enemy_skill_triggers!$1:$1,0)-MATCH($F$1,enemy_skill_triggers!$1:$1,0)+1),MATCH(H$1,enemy_skill_triggers!$1:$1,0)-MATCH($F$1,enemy_skill_triggers!$1:$1,0)+1,FALSE)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347" s="48">
        <f ca="1">VLOOKUP($F347,OFFSET(enemy_skill_triggers!$A$1,0,0,COUNTA(enemy_skill_triggers!$A:$A),MATCH(I$1,enemy_skill_triggers!$1:$1,0)-MATCH($F$1,enemy_skill_triggers!$1:$1,0)+1),MATCH(I$1,enemy_skill_triggers!$1:$1,0)-MATCH($F$1,enemy_skill_triggers!$1:$1,0)+1,FALSE)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7" s="48" t="str">
        <f ca="1">VLOOKUP($F347,OFFSET(enemy_skill_triggers!$A$1,0,0,COUNTA(enemy_skill_triggers!$A:$A),MATCH(J$1,enemy_skill_triggers!$1:$1,0)-MATCH($F$1,enemy_skill_triggers!$1:$1,0)+1),MATCH(J$1,enemy_skill_triggers!$1:$1,0)-MATCH($F$1,enemy_skill_triggers!$1:$1,0)+1,FALSE)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7" s="48" t="str">
        <f ca="1">VLOOKUP($F347,OFFSET(enemy_skill_triggers!$A$1,0,0,COUNTA(enemy_skill_triggers!$A:$A),MATCH(K$1,enemy_skill_triggers!$1:$1,0)-MATCH($F$1,enemy_skill_triggers!$1:$1,0)+1),MATCH(K$1,enemy_skill_triggers!$1:$1,0)-MATCH($F$1,enemy_skill_triggers!$1:$1,0)+1,FALSE)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7" s="48">
        <f ca="1">VLOOKUP($F347,OFFSET(enemy_skill_triggers!$A$1,0,0,COUNTA(enemy_skill_triggers!$A:$A),MATCH(L$1,enemy_skill_triggers!$1:$1,0)-MATCH($F$1,enemy_skill_triggers!$1:$1,0)+1),MATCH(L$1,enemy_skill_triggers!$1:$1,0)-MATCH($F$1,enemy_skill_triggers!$1:$1,0)+1,FALSE)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7" s="48" t="str">
        <f ca="1">VLOOKUP($F347,OFFSET(enemy_skill_triggers!$A$1,0,0,COUNTA(enemy_skill_triggers!$A:$A),MATCH(M$1,enemy_skill_triggers!$1:$1,0)-MATCH($F$1,enemy_skill_triggers!$1:$1,0)+1),MATCH(M$1,enemy_skill_triggers!$1:$1,0)-MATCH($F$1,enemy_skill_triggers!$1:$1,0)+1,FALSE)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7" s="48">
        <f ca="1">VLOOKUP($F347,OFFSET(enemy_skill_triggers!$A$1,0,0,COUNTA(enemy_skill_triggers!$A:$A),MATCH(N$1,enemy_skill_triggers!$1:$1,0)-MATCH($F$1,enemy_skill_triggers!$1:$1,0)+1),MATCH(N$1,enemy_skill_triggers!$1:$1,0)-MATCH($F$1,enemy_skill_triggers!$1:$1,0)+1,FALSE)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347" s="48">
        <f ca="1">VLOOKUP($F347,OFFSET(enemy_skill_triggers!$A$1,0,0,COUNTA(enemy_skill_triggers!$A:$A),MATCH(O$1,enemy_skill_triggers!$1:$1,0)-MATCH($F$1,enemy_skill_triggers!$1:$1,0)+1),MATCH(O$1,enemy_skill_triggers!$1:$1,0)-MATCH($F$1,enemy_skill_triggers!$1:$1,0)+1,FALSE)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7" s="47"/>
      <c r="Q347" s="47"/>
      <c r="R347" s="47"/>
    </row>
    <row r="348" spans="1:18" ht="21" customHeight="1" x14ac:dyDescent="0.15">
      <c r="A348" s="39" t="str">
        <f t="shared" si="23"/>
        <v>47004610_47004619</v>
      </c>
      <c r="B348" s="127">
        <v>47004610</v>
      </c>
      <c r="C348" s="47">
        <v>47004619</v>
      </c>
      <c r="D348" s="46" t="str">
        <f ca="1">VLOOKUP($C348,OFFSET(enemy_skills!$A$1,0,0,COUNTA(enemy_skills!$A:$A),MATCH(D$1,enemy_skills!$1:$1,0)-MATCH("enemy_skill_id",enemy_skills!$1:$1,0)+1),MATCH(D$1,enemy_skills!$1:$1,0)-MATCH("enemy_skill_id",enemy_skills!$1:$1,0)+1,FALSE)</f>
        <v>卑弥呼！_x000D_メリークリスマスね♪</v>
      </c>
      <c r="E348" s="46" t="str">
        <f ca="1">VLOOKUP($C348,OFFSET(enemy_skills!$A$1,0,0,COUNTA(enemy_skills!$A:$A),MATCH(E$1,enemy_skills!$1:$1,0)-MATCH("enemy_skill_id",enemy_skills!$1:$1,0)+1),MATCH(E$1,enemy_skills!$1:$1,0)-MATCH("enemy_skill_id",enemy_skills!$1:$1,0)+1,FALSE)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348" s="47">
        <v>47004626</v>
      </c>
      <c r="G348" s="48">
        <f ca="1">VLOOKUP($F348,OFFSET(enemy_skill_triggers!$A$1,0,0,COUNTA(enemy_skill_triggers!$A:$A),MATCH(G$1,enemy_skill_triggers!$1:$1,0)-MATCH($F$1,enemy_skill_triggers!$1:$1,0)+1),MATCH(G$1,enemy_skill_triggers!$1:$1,0)-MATCH($F$1,enemy_skill_triggers!$1:$1,0)+1,FALSE)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8" s="48">
        <f ca="1">VLOOKUP($F348,OFFSET(enemy_skill_triggers!$A$1,0,0,COUNTA(enemy_skill_triggers!$A:$A),MATCH(H$1,enemy_skill_triggers!$1:$1,0)-MATCH($F$1,enemy_skill_triggers!$1:$1,0)+1),MATCH(H$1,enemy_skill_triggers!$1:$1,0)-MATCH($F$1,enemy_skill_triggers!$1:$1,0)+1,FALSE)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348" s="48">
        <f ca="1">VLOOKUP($F348,OFFSET(enemy_skill_triggers!$A$1,0,0,COUNTA(enemy_skill_triggers!$A:$A),MATCH(I$1,enemy_skill_triggers!$1:$1,0)-MATCH($F$1,enemy_skill_triggers!$1:$1,0)+1),MATCH(I$1,enemy_skill_triggers!$1:$1,0)-MATCH($F$1,enemy_skill_triggers!$1:$1,0)+1,FALSE)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8" s="48" t="str">
        <f ca="1">VLOOKUP($F348,OFFSET(enemy_skill_triggers!$A$1,0,0,COUNTA(enemy_skill_triggers!$A:$A),MATCH(J$1,enemy_skill_triggers!$1:$1,0)-MATCH($F$1,enemy_skill_triggers!$1:$1,0)+1),MATCH(J$1,enemy_skill_triggers!$1:$1,0)-MATCH($F$1,enemy_skill_triggers!$1:$1,0)+1,FALSE)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8" s="48" t="str">
        <f ca="1">VLOOKUP($F348,OFFSET(enemy_skill_triggers!$A$1,0,0,COUNTA(enemy_skill_triggers!$A:$A),MATCH(K$1,enemy_skill_triggers!$1:$1,0)-MATCH($F$1,enemy_skill_triggers!$1:$1,0)+1),MATCH(K$1,enemy_skill_triggers!$1:$1,0)-MATCH($F$1,enemy_skill_triggers!$1:$1,0)+1,FALSE)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8" s="48">
        <f ca="1">VLOOKUP($F348,OFFSET(enemy_skill_triggers!$A$1,0,0,COUNTA(enemy_skill_triggers!$A:$A),MATCH(L$1,enemy_skill_triggers!$1:$1,0)-MATCH($F$1,enemy_skill_triggers!$1:$1,0)+1),MATCH(L$1,enemy_skill_triggers!$1:$1,0)-MATCH($F$1,enemy_skill_triggers!$1:$1,0)+1,FALSE)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8" s="48" t="str">
        <f ca="1">VLOOKUP($F348,OFFSET(enemy_skill_triggers!$A$1,0,0,COUNTA(enemy_skill_triggers!$A:$A),MATCH(M$1,enemy_skill_triggers!$1:$1,0)-MATCH($F$1,enemy_skill_triggers!$1:$1,0)+1),MATCH(M$1,enemy_skill_triggers!$1:$1,0)-MATCH($F$1,enemy_skill_triggers!$1:$1,0)+1,FALSE)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8" s="48">
        <f ca="1">VLOOKUP($F348,OFFSET(enemy_skill_triggers!$A$1,0,0,COUNTA(enemy_skill_triggers!$A:$A),MATCH(N$1,enemy_skill_triggers!$1:$1,0)-MATCH($F$1,enemy_skill_triggers!$1:$1,0)+1),MATCH(N$1,enemy_skill_triggers!$1:$1,0)-MATCH($F$1,enemy_skill_triggers!$1:$1,0)+1,FALSE)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348" s="48">
        <f ca="1">VLOOKUP($F348,OFFSET(enemy_skill_triggers!$A$1,0,0,COUNTA(enemy_skill_triggers!$A:$A),MATCH(O$1,enemy_skill_triggers!$1:$1,0)-MATCH($F$1,enemy_skill_triggers!$1:$1,0)+1),MATCH(O$1,enemy_skill_triggers!$1:$1,0)-MATCH($F$1,enemy_skill_triggers!$1:$1,0)+1,FALSE)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8" s="47"/>
      <c r="Q348" s="47"/>
      <c r="R348" s="47"/>
    </row>
    <row r="349" spans="1:18" ht="21" customHeight="1" x14ac:dyDescent="0.15">
      <c r="A349" s="39" t="str">
        <f t="shared" si="21"/>
        <v>47004650_47004651</v>
      </c>
      <c r="B349" s="127">
        <v>47004650</v>
      </c>
      <c r="C349" s="47">
        <v>47004651</v>
      </c>
      <c r="D349" s="46" t="str">
        <f ca="1">VLOOKUP($C349,OFFSET(enemy_skills!$A$1,0,0,COUNTA(enemy_skills!$A:$A),MATCH(D$1,enemy_skills!$1:$1,0)-MATCH("enemy_skill_id",enemy_skills!$1:$1,0)+1),MATCH(D$1,enemy_skills!$1:$1,0)-MATCH("enemy_skill_id",enemy_skills!$1:$1,0)+1,FALSE)</f>
        <v>まだ追ってくるのかい？_x000D_…しつこいんだね</v>
      </c>
      <c r="E349" s="46" t="str">
        <f ca="1">VLOOKUP($C349,OFFSET(enemy_skills!$A$1,0,0,COUNTA(enemy_skills!$A:$A),MATCH(E$1,enemy_skills!$1:$1,0)-MATCH("enemy_skill_id",enemy_skills!$1:$1,0)+1),MATCH(E$1,enemy_skills!$1:$1,0)-MATCH("enemy_skill_id",enemy_skills!$1:$1,0)+1,FALSE)</f>
        <v>ハートパネルドロップ率DOWN+フィーバーゲージ減少</v>
      </c>
      <c r="F349" s="47">
        <v>47004651</v>
      </c>
      <c r="G349" s="48">
        <f ca="1">VLOOKUP($F349,OFFSET(enemy_skill_triggers!$A$1,0,0,COUNTA(enemy_skill_triggers!$A:$A),MATCH(G$1,enemy_skill_triggers!$1:$1,0)-MATCH($F$1,enemy_skill_triggers!$1:$1,0)+1),MATCH(G$1,enemy_skill_triggers!$1:$1,0)-MATCH($F$1,enemy_skill_triggers!$1:$1,0)+1,FALSE)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9" s="48">
        <f ca="1">VLOOKUP($F349,OFFSET(enemy_skill_triggers!$A$1,0,0,COUNTA(enemy_skill_triggers!$A:$A),MATCH(H$1,enemy_skill_triggers!$1:$1,0)-MATCH($F$1,enemy_skill_triggers!$1:$1,0)+1),MATCH(H$1,enemy_skill_triggers!$1:$1,0)-MATCH($F$1,enemy_skill_triggers!$1:$1,0)+1,FALSE)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9" s="48">
        <f ca="1">VLOOKUP($F349,OFFSET(enemy_skill_triggers!$A$1,0,0,COUNTA(enemy_skill_triggers!$A:$A),MATCH(I$1,enemy_skill_triggers!$1:$1,0)-MATCH($F$1,enemy_skill_triggers!$1:$1,0)+1),MATCH(I$1,enemy_skill_triggers!$1:$1,0)-MATCH($F$1,enemy_skill_triggers!$1:$1,0)+1,FALSE)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9" s="48" t="str">
        <f ca="1">VLOOKUP($F349,OFFSET(enemy_skill_triggers!$A$1,0,0,COUNTA(enemy_skill_triggers!$A:$A),MATCH(J$1,enemy_skill_triggers!$1:$1,0)-MATCH($F$1,enemy_skill_triggers!$1:$1,0)+1),MATCH(J$1,enemy_skill_triggers!$1:$1,0)-MATCH($F$1,enemy_skill_triggers!$1:$1,0)+1,FALSE)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9" s="48" t="str">
        <f ca="1">VLOOKUP($F349,OFFSET(enemy_skill_triggers!$A$1,0,0,COUNTA(enemy_skill_triggers!$A:$A),MATCH(K$1,enemy_skill_triggers!$1:$1,0)-MATCH($F$1,enemy_skill_triggers!$1:$1,0)+1),MATCH(K$1,enemy_skill_triggers!$1:$1,0)-MATCH($F$1,enemy_skill_triggers!$1:$1,0)+1,FALSE)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9" s="48">
        <f ca="1">VLOOKUP($F349,OFFSET(enemy_skill_triggers!$A$1,0,0,COUNTA(enemy_skill_triggers!$A:$A),MATCH(L$1,enemy_skill_triggers!$1:$1,0)-MATCH($F$1,enemy_skill_triggers!$1:$1,0)+1),MATCH(L$1,enemy_skill_triggers!$1:$1,0)-MATCH($F$1,enemy_skill_triggers!$1:$1,0)+1,FALSE)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9" s="48" t="str">
        <f ca="1">VLOOKUP($F349,OFFSET(enemy_skill_triggers!$A$1,0,0,COUNTA(enemy_skill_triggers!$A:$A),MATCH(M$1,enemy_skill_triggers!$1:$1,0)-MATCH($F$1,enemy_skill_triggers!$1:$1,0)+1),MATCH(M$1,enemy_skill_triggers!$1:$1,0)-MATCH($F$1,enemy_skill_triggers!$1:$1,0)+1,FALSE)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9" s="48" t="str">
        <f ca="1">VLOOKUP($F349,OFFSET(enemy_skill_triggers!$A$1,0,0,COUNTA(enemy_skill_triggers!$A:$A),MATCH(N$1,enemy_skill_triggers!$1:$1,0)-MATCH($F$1,enemy_skill_triggers!$1:$1,0)+1),MATCH(N$1,enemy_skill_triggers!$1:$1,0)-MATCH($F$1,enemy_skill_triggers!$1:$1,0)+1,FALSE)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9" s="48">
        <f ca="1">VLOOKUP($F349,OFFSET(enemy_skill_triggers!$A$1,0,0,COUNTA(enemy_skill_triggers!$A:$A),MATCH(O$1,enemy_skill_triggers!$1:$1,0)-MATCH($F$1,enemy_skill_triggers!$1:$1,0)+1),MATCH(O$1,enemy_skill_triggers!$1:$1,0)-MATCH($F$1,enemy_skill_triggers!$1:$1,0)+1,FALSE)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9" s="47"/>
      <c r="Q349" s="47"/>
      <c r="R349" s="47"/>
    </row>
    <row r="350" spans="1:18" ht="21" customHeight="1" x14ac:dyDescent="0.15">
      <c r="A350" s="39" t="str">
        <f t="shared" si="21"/>
        <v>47004650_47004652</v>
      </c>
      <c r="B350" s="127">
        <v>47004650</v>
      </c>
      <c r="C350" s="47">
        <v>47004652</v>
      </c>
      <c r="D350" s="46" t="str">
        <f ca="1">VLOOKUP($C350,OFFSET(enemy_skills!$A$1,0,0,COUNTA(enemy_skills!$A:$A),MATCH(D$1,enemy_skills!$1:$1,0)-MATCH("enemy_skill_id",enemy_skills!$1:$1,0)+1),MATCH(D$1,enemy_skills!$1:$1,0)-MATCH("enemy_skill_id",enemy_skills!$1:$1,0)+1,FALSE)</f>
        <v>雪の精とともに</v>
      </c>
      <c r="E350" s="46" t="str">
        <f ca="1">VLOOKUP($C350,OFFSET(enemy_skills!$A$1,0,0,COUNTA(enemy_skills!$A:$A),MATCH(E$1,enemy_skills!$1:$1,0)-MATCH("enemy_skill_id",enemy_skills!$1:$1,0)+1),MATCH(E$1,enemy_skills!$1:$1,0)-MATCH("enemy_skill_id",enemy_skills!$1:$1,0)+1,FALSE)</f>
        <v>ハートパネルを青のダメージパネルに5個変換+単体攻撃</v>
      </c>
      <c r="F350" s="47">
        <v>47004652</v>
      </c>
      <c r="G350" s="48">
        <f ca="1">VLOOKUP($F350,OFFSET(enemy_skill_triggers!$A$1,0,0,COUNTA(enemy_skill_triggers!$A:$A),MATCH(G$1,enemy_skill_triggers!$1:$1,0)-MATCH($F$1,enemy_skill_triggers!$1:$1,0)+1),MATCH(G$1,enemy_skill_triggers!$1:$1,0)-MATCH($F$1,enemy_skill_triggers!$1:$1,0)+1,FALSE)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0" s="48">
        <f ca="1">VLOOKUP($F350,OFFSET(enemy_skill_triggers!$A$1,0,0,COUNTA(enemy_skill_triggers!$A:$A),MATCH(H$1,enemy_skill_triggers!$1:$1,0)-MATCH($F$1,enemy_skill_triggers!$1:$1,0)+1),MATCH(H$1,enemy_skill_triggers!$1:$1,0)-MATCH($F$1,enemy_skill_triggers!$1:$1,0)+1,FALSE)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50" s="48">
        <f ca="1">VLOOKUP($F350,OFFSET(enemy_skill_triggers!$A$1,0,0,COUNTA(enemy_skill_triggers!$A:$A),MATCH(I$1,enemy_skill_triggers!$1:$1,0)-MATCH($F$1,enemy_skill_triggers!$1:$1,0)+1),MATCH(I$1,enemy_skill_triggers!$1:$1,0)-MATCH($F$1,enemy_skill_triggers!$1:$1,0)+1,FALSE)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0" s="48" t="str">
        <f ca="1">VLOOKUP($F350,OFFSET(enemy_skill_triggers!$A$1,0,0,COUNTA(enemy_skill_triggers!$A:$A),MATCH(J$1,enemy_skill_triggers!$1:$1,0)-MATCH($F$1,enemy_skill_triggers!$1:$1,0)+1),MATCH(J$1,enemy_skill_triggers!$1:$1,0)-MATCH($F$1,enemy_skill_triggers!$1:$1,0)+1,FALSE)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0" s="48" t="str">
        <f ca="1">VLOOKUP($F350,OFFSET(enemy_skill_triggers!$A$1,0,0,COUNTA(enemy_skill_triggers!$A:$A),MATCH(K$1,enemy_skill_triggers!$1:$1,0)-MATCH($F$1,enemy_skill_triggers!$1:$1,0)+1),MATCH(K$1,enemy_skill_triggers!$1:$1,0)-MATCH($F$1,enemy_skill_triggers!$1:$1,0)+1,FALSE)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0" s="48" t="str">
        <f ca="1">VLOOKUP($F350,OFFSET(enemy_skill_triggers!$A$1,0,0,COUNTA(enemy_skill_triggers!$A:$A),MATCH(L$1,enemy_skill_triggers!$1:$1,0)-MATCH($F$1,enemy_skill_triggers!$1:$1,0)+1),MATCH(L$1,enemy_skill_triggers!$1:$1,0)-MATCH($F$1,enemy_skill_triggers!$1:$1,0)+1,FALSE)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0" s="48">
        <f ca="1">VLOOKUP($F350,OFFSET(enemy_skill_triggers!$A$1,0,0,COUNTA(enemy_skill_triggers!$A:$A),MATCH(M$1,enemy_skill_triggers!$1:$1,0)-MATCH($F$1,enemy_skill_triggers!$1:$1,0)+1),MATCH(M$1,enemy_skill_triggers!$1:$1,0)-MATCH($F$1,enemy_skill_triggers!$1:$1,0)+1,FALSE)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0" s="48" t="str">
        <f ca="1">VLOOKUP($F350,OFFSET(enemy_skill_triggers!$A$1,0,0,COUNTA(enemy_skill_triggers!$A:$A),MATCH(N$1,enemy_skill_triggers!$1:$1,0)-MATCH($F$1,enemy_skill_triggers!$1:$1,0)+1),MATCH(N$1,enemy_skill_triggers!$1:$1,0)-MATCH($F$1,enemy_skill_triggers!$1:$1,0)+1,FALSE)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0" s="48">
        <f ca="1">VLOOKUP($F350,OFFSET(enemy_skill_triggers!$A$1,0,0,COUNTA(enemy_skill_triggers!$A:$A),MATCH(O$1,enemy_skill_triggers!$1:$1,0)-MATCH($F$1,enemy_skill_triggers!$1:$1,0)+1),MATCH(O$1,enemy_skill_triggers!$1:$1,0)-MATCH($F$1,enemy_skill_triggers!$1:$1,0)+1,FALSE)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0" s="47"/>
      <c r="Q350" s="47"/>
      <c r="R350" s="47"/>
    </row>
    <row r="351" spans="1:18" ht="21" customHeight="1" x14ac:dyDescent="0.15">
      <c r="A351" s="39" t="str">
        <f t="shared" si="21"/>
        <v>47004650_47004653</v>
      </c>
      <c r="B351" s="127">
        <v>47004650</v>
      </c>
      <c r="C351" s="47">
        <v>47004653</v>
      </c>
      <c r="D351" s="46" t="str">
        <f ca="1">VLOOKUP($C351,OFFSET(enemy_skills!$A$1,0,0,COUNTA(enemy_skills!$A:$A),MATCH(D$1,enemy_skills!$1:$1,0)-MATCH("enemy_skill_id",enemy_skills!$1:$1,0)+1),MATCH(D$1,enemy_skills!$1:$1,0)-MATCH("enemy_skill_id",enemy_skills!$1:$1,0)+1,FALSE)</f>
        <v>炎も凍てつく氷の中へ</v>
      </c>
      <c r="E351" s="46" t="str">
        <f ca="1">VLOOKUP($C351,OFFSET(enemy_skills!$A$1,0,0,COUNTA(enemy_skills!$A:$A),MATCH(E$1,enemy_skills!$1:$1,0)-MATCH("enemy_skill_id",enemy_skills!$1:$1,0)+1),MATCH(E$1,enemy_skills!$1:$1,0)-MATCH("enemy_skill_id",enemy_skills!$1:$1,0)+1,FALSE)</f>
        <v>赤パネルを青パネルに変換+単体攻撃</v>
      </c>
      <c r="F351" s="47">
        <v>47004653</v>
      </c>
      <c r="G351" s="48">
        <f ca="1">VLOOKUP($F351,OFFSET(enemy_skill_triggers!$A$1,0,0,COUNTA(enemy_skill_triggers!$A:$A),MATCH(G$1,enemy_skill_triggers!$1:$1,0)-MATCH($F$1,enemy_skill_triggers!$1:$1,0)+1),MATCH(G$1,enemy_skill_triggers!$1:$1,0)-MATCH($F$1,enemy_skill_triggers!$1:$1,0)+1,FALSE)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1" s="48">
        <f ca="1">VLOOKUP($F351,OFFSET(enemy_skill_triggers!$A$1,0,0,COUNTA(enemy_skill_triggers!$A:$A),MATCH(H$1,enemy_skill_triggers!$1:$1,0)-MATCH($F$1,enemy_skill_triggers!$1:$1,0)+1),MATCH(H$1,enemy_skill_triggers!$1:$1,0)-MATCH($F$1,enemy_skill_triggers!$1:$1,0)+1,FALSE)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51" s="48">
        <f ca="1">VLOOKUP($F351,OFFSET(enemy_skill_triggers!$A$1,0,0,COUNTA(enemy_skill_triggers!$A:$A),MATCH(I$1,enemy_skill_triggers!$1:$1,0)-MATCH($F$1,enemy_skill_triggers!$1:$1,0)+1),MATCH(I$1,enemy_skill_triggers!$1:$1,0)-MATCH($F$1,enemy_skill_triggers!$1:$1,0)+1,FALSE)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1" s="48" t="str">
        <f ca="1">VLOOKUP($F351,OFFSET(enemy_skill_triggers!$A$1,0,0,COUNTA(enemy_skill_triggers!$A:$A),MATCH(J$1,enemy_skill_triggers!$1:$1,0)-MATCH($F$1,enemy_skill_triggers!$1:$1,0)+1),MATCH(J$1,enemy_skill_triggers!$1:$1,0)-MATCH($F$1,enemy_skill_triggers!$1:$1,0)+1,FALSE)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1" s="48" t="str">
        <f ca="1">VLOOKUP($F351,OFFSET(enemy_skill_triggers!$A$1,0,0,COUNTA(enemy_skill_triggers!$A:$A),MATCH(K$1,enemy_skill_triggers!$1:$1,0)-MATCH($F$1,enemy_skill_triggers!$1:$1,0)+1),MATCH(K$1,enemy_skill_triggers!$1:$1,0)-MATCH($F$1,enemy_skill_triggers!$1:$1,0)+1,FALSE)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1" s="48" t="str">
        <f ca="1">VLOOKUP($F351,OFFSET(enemy_skill_triggers!$A$1,0,0,COUNTA(enemy_skill_triggers!$A:$A),MATCH(L$1,enemy_skill_triggers!$1:$1,0)-MATCH($F$1,enemy_skill_triggers!$1:$1,0)+1),MATCH(L$1,enemy_skill_triggers!$1:$1,0)-MATCH($F$1,enemy_skill_triggers!$1:$1,0)+1,FALSE)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1" s="48">
        <f ca="1">VLOOKUP($F351,OFFSET(enemy_skill_triggers!$A$1,0,0,COUNTA(enemy_skill_triggers!$A:$A),MATCH(M$1,enemy_skill_triggers!$1:$1,0)-MATCH($F$1,enemy_skill_triggers!$1:$1,0)+1),MATCH(M$1,enemy_skill_triggers!$1:$1,0)-MATCH($F$1,enemy_skill_triggers!$1:$1,0)+1,FALSE)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1" s="48" t="str">
        <f ca="1">VLOOKUP($F351,OFFSET(enemy_skill_triggers!$A$1,0,0,COUNTA(enemy_skill_triggers!$A:$A),MATCH(N$1,enemy_skill_triggers!$1:$1,0)-MATCH($F$1,enemy_skill_triggers!$1:$1,0)+1),MATCH(N$1,enemy_skill_triggers!$1:$1,0)-MATCH($F$1,enemy_skill_triggers!$1:$1,0)+1,FALSE)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1" s="48">
        <f ca="1">VLOOKUP($F351,OFFSET(enemy_skill_triggers!$A$1,0,0,COUNTA(enemy_skill_triggers!$A:$A),MATCH(O$1,enemy_skill_triggers!$1:$1,0)-MATCH($F$1,enemy_skill_triggers!$1:$1,0)+1),MATCH(O$1,enemy_skill_triggers!$1:$1,0)-MATCH($F$1,enemy_skill_triggers!$1:$1,0)+1,FALSE)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1" s="47"/>
      <c r="Q351" s="47"/>
      <c r="R351" s="47"/>
    </row>
    <row r="352" spans="1:18" ht="21" customHeight="1" x14ac:dyDescent="0.15">
      <c r="A352" s="39" t="str">
        <f t="shared" si="21"/>
        <v>47004650_47004654</v>
      </c>
      <c r="B352" s="127">
        <v>47004650</v>
      </c>
      <c r="C352" s="47">
        <v>47004654</v>
      </c>
      <c r="D352" s="46" t="str">
        <f ca="1">VLOOKUP($C352,OFFSET(enemy_skills!$A$1,0,0,COUNTA(enemy_skills!$A:$A),MATCH(D$1,enemy_skills!$1:$1,0)-MATCH("enemy_skill_id",enemy_skills!$1:$1,0)+1),MATCH(D$1,enemy_skills!$1:$1,0)-MATCH("enemy_skill_id",enemy_skills!$1:$1,0)+1,FALSE)</f>
        <v>吐く息は白く</v>
      </c>
      <c r="E352" s="46" t="str">
        <f ca="1">VLOOKUP($C352,OFFSET(enemy_skills!$A$1,0,0,COUNTA(enemy_skills!$A:$A),MATCH(E$1,enemy_skills!$1:$1,0)-MATCH("enemy_skill_id",enemy_skills!$1:$1,0)+1),MATCH(E$1,enemy_skills!$1:$1,0)-MATCH("enemy_skill_id",enemy_skills!$1:$1,0)+1,FALSE)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352" s="47">
        <v>47004654</v>
      </c>
      <c r="G352" s="48">
        <f ca="1">VLOOKUP($F352,OFFSET(enemy_skill_triggers!$A$1,0,0,COUNTA(enemy_skill_triggers!$A:$A),MATCH(G$1,enemy_skill_triggers!$1:$1,0)-MATCH($F$1,enemy_skill_triggers!$1:$1,0)+1),MATCH(G$1,enemy_skill_triggers!$1:$1,0)-MATCH($F$1,enemy_skill_triggers!$1:$1,0)+1,FALSE)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2" s="48">
        <f ca="1">VLOOKUP($F352,OFFSET(enemy_skill_triggers!$A$1,0,0,COUNTA(enemy_skill_triggers!$A:$A),MATCH(H$1,enemy_skill_triggers!$1:$1,0)-MATCH($F$1,enemy_skill_triggers!$1:$1,0)+1),MATCH(H$1,enemy_skill_triggers!$1:$1,0)-MATCH($F$1,enemy_skill_triggers!$1:$1,0)+1,FALSE)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52" s="48">
        <f ca="1">VLOOKUP($F352,OFFSET(enemy_skill_triggers!$A$1,0,0,COUNTA(enemy_skill_triggers!$A:$A),MATCH(I$1,enemy_skill_triggers!$1:$1,0)-MATCH($F$1,enemy_skill_triggers!$1:$1,0)+1),MATCH(I$1,enemy_skill_triggers!$1:$1,0)-MATCH($F$1,enemy_skill_triggers!$1:$1,0)+1,FALSE)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2" s="48" t="str">
        <f ca="1">VLOOKUP($F352,OFFSET(enemy_skill_triggers!$A$1,0,0,COUNTA(enemy_skill_triggers!$A:$A),MATCH(J$1,enemy_skill_triggers!$1:$1,0)-MATCH($F$1,enemy_skill_triggers!$1:$1,0)+1),MATCH(J$1,enemy_skill_triggers!$1:$1,0)-MATCH($F$1,enemy_skill_triggers!$1:$1,0)+1,FALSE)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2" s="48" t="str">
        <f ca="1">VLOOKUP($F352,OFFSET(enemy_skill_triggers!$A$1,0,0,COUNTA(enemy_skill_triggers!$A:$A),MATCH(K$1,enemy_skill_triggers!$1:$1,0)-MATCH($F$1,enemy_skill_triggers!$1:$1,0)+1),MATCH(K$1,enemy_skill_triggers!$1:$1,0)-MATCH($F$1,enemy_skill_triggers!$1:$1,0)+1,FALSE)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2" s="48" t="str">
        <f ca="1">VLOOKUP($F352,OFFSET(enemy_skill_triggers!$A$1,0,0,COUNTA(enemy_skill_triggers!$A:$A),MATCH(L$1,enemy_skill_triggers!$1:$1,0)-MATCH($F$1,enemy_skill_triggers!$1:$1,0)+1),MATCH(L$1,enemy_skill_triggers!$1:$1,0)-MATCH($F$1,enemy_skill_triggers!$1:$1,0)+1,FALSE)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2" s="48">
        <f ca="1">VLOOKUP($F352,OFFSET(enemy_skill_triggers!$A$1,0,0,COUNTA(enemy_skill_triggers!$A:$A),MATCH(M$1,enemy_skill_triggers!$1:$1,0)-MATCH($F$1,enemy_skill_triggers!$1:$1,0)+1),MATCH(M$1,enemy_skill_triggers!$1:$1,0)-MATCH($F$1,enemy_skill_triggers!$1:$1,0)+1,FALSE)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52" s="48" t="str">
        <f ca="1">VLOOKUP($F352,OFFSET(enemy_skill_triggers!$A$1,0,0,COUNTA(enemy_skill_triggers!$A:$A),MATCH(N$1,enemy_skill_triggers!$1:$1,0)-MATCH($F$1,enemy_skill_triggers!$1:$1,0)+1),MATCH(N$1,enemy_skill_triggers!$1:$1,0)-MATCH($F$1,enemy_skill_triggers!$1:$1,0)+1,FALSE)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2" s="48">
        <f ca="1">VLOOKUP($F352,OFFSET(enemy_skill_triggers!$A$1,0,0,COUNTA(enemy_skill_triggers!$A:$A),MATCH(O$1,enemy_skill_triggers!$1:$1,0)-MATCH($F$1,enemy_skill_triggers!$1:$1,0)+1),MATCH(O$1,enemy_skill_triggers!$1:$1,0)-MATCH($F$1,enemy_skill_triggers!$1:$1,0)+1,FALSE)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2" s="47"/>
      <c r="Q352" s="47"/>
      <c r="R352" s="47"/>
    </row>
    <row r="353" spans="1:18" ht="21" customHeight="1" x14ac:dyDescent="0.15">
      <c r="A353" s="39" t="str">
        <f t="shared" si="21"/>
        <v>47004650_47004655</v>
      </c>
      <c r="B353" s="127">
        <v>47004650</v>
      </c>
      <c r="C353" s="47">
        <v>47004655</v>
      </c>
      <c r="D353" s="46" t="str">
        <f ca="1">VLOOKUP($C353,OFFSET(enemy_skills!$A$1,0,0,COUNTA(enemy_skills!$A:$A),MATCH(D$1,enemy_skills!$1:$1,0)-MATCH("enemy_skill_id",enemy_skills!$1:$1,0)+1),MATCH(D$1,enemy_skills!$1:$1,0)-MATCH("enemy_skill_id",enemy_skills!$1:$1,0)+1,FALSE)</f>
        <v>仲間…そんなもの全部嘘だったんだ…</v>
      </c>
      <c r="E353" s="46" t="str">
        <f ca="1">VLOOKUP($C353,OFFSET(enemy_skills!$A$1,0,0,COUNTA(enemy_skills!$A:$A),MATCH(E$1,enemy_skills!$1:$1,0)-MATCH("enemy_skill_id",enemy_skills!$1:$1,0)+1),MATCH(E$1,enemy_skills!$1:$1,0)-MATCH("enemy_skill_id",enemy_skills!$1:$1,0)+1,FALSE)</f>
        <v>緑パネルを青パネルに変換+単体攻撃</v>
      </c>
      <c r="F353" s="47">
        <v>47004655</v>
      </c>
      <c r="G353" s="48">
        <f ca="1">VLOOKUP($F353,OFFSET(enemy_skill_triggers!$A$1,0,0,COUNTA(enemy_skill_triggers!$A:$A),MATCH(G$1,enemy_skill_triggers!$1:$1,0)-MATCH($F$1,enemy_skill_triggers!$1:$1,0)+1),MATCH(G$1,enemy_skill_triggers!$1:$1,0)-MATCH($F$1,enemy_skill_triggers!$1:$1,0)+1,FALSE)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3" s="48">
        <f ca="1">VLOOKUP($F353,OFFSET(enemy_skill_triggers!$A$1,0,0,COUNTA(enemy_skill_triggers!$A:$A),MATCH(H$1,enemy_skill_triggers!$1:$1,0)-MATCH($F$1,enemy_skill_triggers!$1:$1,0)+1),MATCH(H$1,enemy_skill_triggers!$1:$1,0)-MATCH($F$1,enemy_skill_triggers!$1:$1,0)+1,FALSE)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53" s="48">
        <f ca="1">VLOOKUP($F353,OFFSET(enemy_skill_triggers!$A$1,0,0,COUNTA(enemy_skill_triggers!$A:$A),MATCH(I$1,enemy_skill_triggers!$1:$1,0)-MATCH($F$1,enemy_skill_triggers!$1:$1,0)+1),MATCH(I$1,enemy_skill_triggers!$1:$1,0)-MATCH($F$1,enemy_skill_triggers!$1:$1,0)+1,FALSE)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3" s="48" t="str">
        <f ca="1">VLOOKUP($F353,OFFSET(enemy_skill_triggers!$A$1,0,0,COUNTA(enemy_skill_triggers!$A:$A),MATCH(J$1,enemy_skill_triggers!$1:$1,0)-MATCH($F$1,enemy_skill_triggers!$1:$1,0)+1),MATCH(J$1,enemy_skill_triggers!$1:$1,0)-MATCH($F$1,enemy_skill_triggers!$1:$1,0)+1,FALSE)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3" s="48" t="str">
        <f ca="1">VLOOKUP($F353,OFFSET(enemy_skill_triggers!$A$1,0,0,COUNTA(enemy_skill_triggers!$A:$A),MATCH(K$1,enemy_skill_triggers!$1:$1,0)-MATCH($F$1,enemy_skill_triggers!$1:$1,0)+1),MATCH(K$1,enemy_skill_triggers!$1:$1,0)-MATCH($F$1,enemy_skill_triggers!$1:$1,0)+1,FALSE)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3" s="48" t="str">
        <f ca="1">VLOOKUP($F353,OFFSET(enemy_skill_triggers!$A$1,0,0,COUNTA(enemy_skill_triggers!$A:$A),MATCH(L$1,enemy_skill_triggers!$1:$1,0)-MATCH($F$1,enemy_skill_triggers!$1:$1,0)+1),MATCH(L$1,enemy_skill_triggers!$1:$1,0)-MATCH($F$1,enemy_skill_triggers!$1:$1,0)+1,FALSE)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3" s="48">
        <f ca="1">VLOOKUP($F353,OFFSET(enemy_skill_triggers!$A$1,0,0,COUNTA(enemy_skill_triggers!$A:$A),MATCH(M$1,enemy_skill_triggers!$1:$1,0)-MATCH($F$1,enemy_skill_triggers!$1:$1,0)+1),MATCH(M$1,enemy_skill_triggers!$1:$1,0)-MATCH($F$1,enemy_skill_triggers!$1:$1,0)+1,FALSE)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53" s="48" t="str">
        <f ca="1">VLOOKUP($F353,OFFSET(enemy_skill_triggers!$A$1,0,0,COUNTA(enemy_skill_triggers!$A:$A),MATCH(N$1,enemy_skill_triggers!$1:$1,0)-MATCH($F$1,enemy_skill_triggers!$1:$1,0)+1),MATCH(N$1,enemy_skill_triggers!$1:$1,0)-MATCH($F$1,enemy_skill_triggers!$1:$1,0)+1,FALSE)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3" s="48">
        <f ca="1">VLOOKUP($F353,OFFSET(enemy_skill_triggers!$A$1,0,0,COUNTA(enemy_skill_triggers!$A:$A),MATCH(O$1,enemy_skill_triggers!$1:$1,0)-MATCH($F$1,enemy_skill_triggers!$1:$1,0)+1),MATCH(O$1,enemy_skill_triggers!$1:$1,0)-MATCH($F$1,enemy_skill_triggers!$1:$1,0)+1,FALSE)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3" s="47"/>
      <c r="Q353" s="47"/>
      <c r="R353" s="47"/>
    </row>
    <row r="354" spans="1:18" ht="21" customHeight="1" x14ac:dyDescent="0.15">
      <c r="A354" s="39" t="str">
        <f t="shared" si="21"/>
        <v>47004650_47004656</v>
      </c>
      <c r="B354" s="127">
        <v>47004650</v>
      </c>
      <c r="C354" s="47">
        <v>47004656</v>
      </c>
      <c r="D354" s="46" t="str">
        <f ca="1">VLOOKUP($C354,OFFSET(enemy_skills!$A$1,0,0,COUNTA(enemy_skills!$A:$A),MATCH(D$1,enemy_skills!$1:$1,0)-MATCH("enemy_skill_id",enemy_skills!$1:$1,0)+1),MATCH(D$1,enemy_skills!$1:$1,0)-MATCH("enemy_skill_id",enemy_skills!$1:$1,0)+1,FALSE)</f>
        <v>ラチカ…君は僕の心を_x000D_救うことができるかい…？</v>
      </c>
      <c r="E354" s="46" t="str">
        <f ca="1">VLOOKUP($C354,OFFSET(enemy_skills!$A$1,0,0,COUNTA(enemy_skills!$A:$A),MATCH(E$1,enemy_skills!$1:$1,0)-MATCH("enemy_skill_id",enemy_skills!$1:$1,0)+1),MATCH(E$1,enemy_skills!$1:$1,0)-MATCH("enemy_skill_id",enemy_skills!$1:$1,0)+1,FALSE)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54" s="47">
        <v>47004656</v>
      </c>
      <c r="G354" s="48">
        <f ca="1">VLOOKUP($F354,OFFSET(enemy_skill_triggers!$A$1,0,0,COUNTA(enemy_skill_triggers!$A:$A),MATCH(G$1,enemy_skill_triggers!$1:$1,0)-MATCH($F$1,enemy_skill_triggers!$1:$1,0)+1),MATCH(G$1,enemy_skill_triggers!$1:$1,0)-MATCH($F$1,enemy_skill_triggers!$1:$1,0)+1,FALSE)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4" s="48">
        <f ca="1">VLOOKUP($F354,OFFSET(enemy_skill_triggers!$A$1,0,0,COUNTA(enemy_skill_triggers!$A:$A),MATCH(H$1,enemy_skill_triggers!$1:$1,0)-MATCH($F$1,enemy_skill_triggers!$1:$1,0)+1),MATCH(H$1,enemy_skill_triggers!$1:$1,0)-MATCH($F$1,enemy_skill_triggers!$1:$1,0)+1,FALSE)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354" s="48">
        <f ca="1">VLOOKUP($F354,OFFSET(enemy_skill_triggers!$A$1,0,0,COUNTA(enemy_skill_triggers!$A:$A),MATCH(I$1,enemy_skill_triggers!$1:$1,0)-MATCH($F$1,enemy_skill_triggers!$1:$1,0)+1),MATCH(I$1,enemy_skill_triggers!$1:$1,0)-MATCH($F$1,enemy_skill_triggers!$1:$1,0)+1,FALSE)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4" s="48" t="str">
        <f ca="1">VLOOKUP($F354,OFFSET(enemy_skill_triggers!$A$1,0,0,COUNTA(enemy_skill_triggers!$A:$A),MATCH(J$1,enemy_skill_triggers!$1:$1,0)-MATCH($F$1,enemy_skill_triggers!$1:$1,0)+1),MATCH(J$1,enemy_skill_triggers!$1:$1,0)-MATCH($F$1,enemy_skill_triggers!$1:$1,0)+1,FALSE)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4" s="48" t="str">
        <f ca="1">VLOOKUP($F354,OFFSET(enemy_skill_triggers!$A$1,0,0,COUNTA(enemy_skill_triggers!$A:$A),MATCH(K$1,enemy_skill_triggers!$1:$1,0)-MATCH($F$1,enemy_skill_triggers!$1:$1,0)+1),MATCH(K$1,enemy_skill_triggers!$1:$1,0)-MATCH($F$1,enemy_skill_triggers!$1:$1,0)+1,FALSE)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4" s="48">
        <f ca="1">VLOOKUP($F354,OFFSET(enemy_skill_triggers!$A$1,0,0,COUNTA(enemy_skill_triggers!$A:$A),MATCH(L$1,enemy_skill_triggers!$1:$1,0)-MATCH($F$1,enemy_skill_triggers!$1:$1,0)+1),MATCH(L$1,enemy_skill_triggers!$1:$1,0)-MATCH($F$1,enemy_skill_triggers!$1:$1,0)+1,FALSE)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4" s="48" t="str">
        <f ca="1">VLOOKUP($F354,OFFSET(enemy_skill_triggers!$A$1,0,0,COUNTA(enemy_skill_triggers!$A:$A),MATCH(M$1,enemy_skill_triggers!$1:$1,0)-MATCH($F$1,enemy_skill_triggers!$1:$1,0)+1),MATCH(M$1,enemy_skill_triggers!$1:$1,0)-MATCH($F$1,enemy_skill_triggers!$1:$1,0)+1,FALSE)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4" s="48">
        <f ca="1">VLOOKUP($F354,OFFSET(enemy_skill_triggers!$A$1,0,0,COUNTA(enemy_skill_triggers!$A:$A),MATCH(N$1,enemy_skill_triggers!$1:$1,0)-MATCH($F$1,enemy_skill_triggers!$1:$1,0)+1),MATCH(N$1,enemy_skill_triggers!$1:$1,0)-MATCH($F$1,enemy_skill_triggers!$1:$1,0)+1,FALSE)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354" s="48">
        <f ca="1">VLOOKUP($F354,OFFSET(enemy_skill_triggers!$A$1,0,0,COUNTA(enemy_skill_triggers!$A:$A),MATCH(O$1,enemy_skill_triggers!$1:$1,0)-MATCH($F$1,enemy_skill_triggers!$1:$1,0)+1),MATCH(O$1,enemy_skill_triggers!$1:$1,0)-MATCH($F$1,enemy_skill_triggers!$1:$1,0)+1,FALSE)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4" s="47"/>
      <c r="Q354" s="47"/>
      <c r="R354" s="47"/>
    </row>
    <row r="355" spans="1:18" ht="21" customHeight="1" x14ac:dyDescent="0.15">
      <c r="A355" s="39" t="str">
        <f t="shared" si="21"/>
        <v>47004650_47004656</v>
      </c>
      <c r="B355" s="127">
        <v>47004650</v>
      </c>
      <c r="C355" s="47">
        <v>47004656</v>
      </c>
      <c r="D355" s="46" t="str">
        <f ca="1">VLOOKUP($C355,OFFSET(enemy_skills!$A$1,0,0,COUNTA(enemy_skills!$A:$A),MATCH(D$1,enemy_skills!$1:$1,0)-MATCH("enemy_skill_id",enemy_skills!$1:$1,0)+1),MATCH(D$1,enemy_skills!$1:$1,0)-MATCH("enemy_skill_id",enemy_skills!$1:$1,0)+1,FALSE)</f>
        <v>ラチカ…君は僕の心を_x000D_救うことができるかい…？</v>
      </c>
      <c r="E355" s="46" t="str">
        <f ca="1">VLOOKUP($C355,OFFSET(enemy_skills!$A$1,0,0,COUNTA(enemy_skills!$A:$A),MATCH(E$1,enemy_skills!$1:$1,0)-MATCH("enemy_skill_id",enemy_skills!$1:$1,0)+1),MATCH(E$1,enemy_skills!$1:$1,0)-MATCH("enemy_skill_id",enemy_skills!$1:$1,0)+1,FALSE)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55" s="47">
        <v>47004657</v>
      </c>
      <c r="G355" s="48">
        <f ca="1">VLOOKUP($F355,OFFSET(enemy_skill_triggers!$A$1,0,0,COUNTA(enemy_skill_triggers!$A:$A),MATCH(G$1,enemy_skill_triggers!$1:$1,0)-MATCH($F$1,enemy_skill_triggers!$1:$1,0)+1),MATCH(G$1,enemy_skill_triggers!$1:$1,0)-MATCH($F$1,enemy_skill_triggers!$1:$1,0)+1,FALSE)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5" s="48">
        <f ca="1">VLOOKUP($F355,OFFSET(enemy_skill_triggers!$A$1,0,0,COUNTA(enemy_skill_triggers!$A:$A),MATCH(H$1,enemy_skill_triggers!$1:$1,0)-MATCH($F$1,enemy_skill_triggers!$1:$1,0)+1),MATCH(H$1,enemy_skill_triggers!$1:$1,0)-MATCH($F$1,enemy_skill_triggers!$1:$1,0)+1,FALSE)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355" s="48">
        <f ca="1">VLOOKUP($F355,OFFSET(enemy_skill_triggers!$A$1,0,0,COUNTA(enemy_skill_triggers!$A:$A),MATCH(I$1,enemy_skill_triggers!$1:$1,0)-MATCH($F$1,enemy_skill_triggers!$1:$1,0)+1),MATCH(I$1,enemy_skill_triggers!$1:$1,0)-MATCH($F$1,enemy_skill_triggers!$1:$1,0)+1,FALSE)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5" s="48" t="str">
        <f ca="1">VLOOKUP($F355,OFFSET(enemy_skill_triggers!$A$1,0,0,COUNTA(enemy_skill_triggers!$A:$A),MATCH(J$1,enemy_skill_triggers!$1:$1,0)-MATCH($F$1,enemy_skill_triggers!$1:$1,0)+1),MATCH(J$1,enemy_skill_triggers!$1:$1,0)-MATCH($F$1,enemy_skill_triggers!$1:$1,0)+1,FALSE)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5" s="48" t="str">
        <f ca="1">VLOOKUP($F355,OFFSET(enemy_skill_triggers!$A$1,0,0,COUNTA(enemy_skill_triggers!$A:$A),MATCH(K$1,enemy_skill_triggers!$1:$1,0)-MATCH($F$1,enemy_skill_triggers!$1:$1,0)+1),MATCH(K$1,enemy_skill_triggers!$1:$1,0)-MATCH($F$1,enemy_skill_triggers!$1:$1,0)+1,FALSE)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5" s="48">
        <f ca="1">VLOOKUP($F355,OFFSET(enemy_skill_triggers!$A$1,0,0,COUNTA(enemy_skill_triggers!$A:$A),MATCH(L$1,enemy_skill_triggers!$1:$1,0)-MATCH($F$1,enemy_skill_triggers!$1:$1,0)+1),MATCH(L$1,enemy_skill_triggers!$1:$1,0)-MATCH($F$1,enemy_skill_triggers!$1:$1,0)+1,FALSE)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5" s="48" t="str">
        <f ca="1">VLOOKUP($F355,OFFSET(enemy_skill_triggers!$A$1,0,0,COUNTA(enemy_skill_triggers!$A:$A),MATCH(M$1,enemy_skill_triggers!$1:$1,0)-MATCH($F$1,enemy_skill_triggers!$1:$1,0)+1),MATCH(M$1,enemy_skill_triggers!$1:$1,0)-MATCH($F$1,enemy_skill_triggers!$1:$1,0)+1,FALSE)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5" s="48">
        <f ca="1">VLOOKUP($F355,OFFSET(enemy_skill_triggers!$A$1,0,0,COUNTA(enemy_skill_triggers!$A:$A),MATCH(N$1,enemy_skill_triggers!$1:$1,0)-MATCH($F$1,enemy_skill_triggers!$1:$1,0)+1),MATCH(N$1,enemy_skill_triggers!$1:$1,0)-MATCH($F$1,enemy_skill_triggers!$1:$1,0)+1,FALSE)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355" s="48">
        <f ca="1">VLOOKUP($F355,OFFSET(enemy_skill_triggers!$A$1,0,0,COUNTA(enemy_skill_triggers!$A:$A),MATCH(O$1,enemy_skill_triggers!$1:$1,0)-MATCH($F$1,enemy_skill_triggers!$1:$1,0)+1),MATCH(O$1,enemy_skill_triggers!$1:$1,0)-MATCH($F$1,enemy_skill_triggers!$1:$1,0)+1,FALSE)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5" s="47"/>
      <c r="Q355" s="47"/>
      <c r="R355" s="47"/>
    </row>
    <row r="356" spans="1:18" ht="21" customHeight="1" x14ac:dyDescent="0.15">
      <c r="A356" s="39" t="str">
        <f t="shared" si="21"/>
        <v>47004650_47004657</v>
      </c>
      <c r="B356" s="127">
        <v>47004650</v>
      </c>
      <c r="C356" s="47">
        <v>47004657</v>
      </c>
      <c r="D356" s="46" t="str">
        <f ca="1">VLOOKUP($C356,OFFSET(enemy_skills!$A$1,0,0,COUNTA(enemy_skills!$A:$A),MATCH(D$1,enemy_skills!$1:$1,0)-MATCH("enemy_skill_id",enemy_skills!$1:$1,0)+1),MATCH(D$1,enemy_skills!$1:$1,0)-MATCH("enemy_skill_id",enemy_skills!$1:$1,0)+1,FALSE)</f>
        <v>聖母の名にふさわしい優しさ…_x000D_見せてくれるかな？</v>
      </c>
      <c r="E356" s="46" t="str">
        <f ca="1">VLOOKUP($C356,OFFSET(enemy_skills!$A$1,0,0,COUNTA(enemy_skills!$A:$A),MATCH(E$1,enemy_skills!$1:$1,0)-MATCH("enemy_skill_id",enemy_skills!$1:$1,0)+1),MATCH(E$1,enemy_skills!$1:$1,0)-MATCH("enemy_skill_id",enemy_skills!$1:$1,0)+1,FALSE)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56" s="47">
        <v>47004658</v>
      </c>
      <c r="G356" s="48">
        <f ca="1">VLOOKUP($F356,OFFSET(enemy_skill_triggers!$A$1,0,0,COUNTA(enemy_skill_triggers!$A:$A),MATCH(G$1,enemy_skill_triggers!$1:$1,0)-MATCH($F$1,enemy_skill_triggers!$1:$1,0)+1),MATCH(G$1,enemy_skill_triggers!$1:$1,0)-MATCH($F$1,enemy_skill_triggers!$1:$1,0)+1,FALSE)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6" s="48">
        <f ca="1">VLOOKUP($F356,OFFSET(enemy_skill_triggers!$A$1,0,0,COUNTA(enemy_skill_triggers!$A:$A),MATCH(H$1,enemy_skill_triggers!$1:$1,0)-MATCH($F$1,enemy_skill_triggers!$1:$1,0)+1),MATCH(H$1,enemy_skill_triggers!$1:$1,0)-MATCH($F$1,enemy_skill_triggers!$1:$1,0)+1,FALSE)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356" s="48">
        <f ca="1">VLOOKUP($F356,OFFSET(enemy_skill_triggers!$A$1,0,0,COUNTA(enemy_skill_triggers!$A:$A),MATCH(I$1,enemy_skill_triggers!$1:$1,0)-MATCH($F$1,enemy_skill_triggers!$1:$1,0)+1),MATCH(I$1,enemy_skill_triggers!$1:$1,0)-MATCH($F$1,enemy_skill_triggers!$1:$1,0)+1,FALSE)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6" s="48" t="str">
        <f ca="1">VLOOKUP($F356,OFFSET(enemy_skill_triggers!$A$1,0,0,COUNTA(enemy_skill_triggers!$A:$A),MATCH(J$1,enemy_skill_triggers!$1:$1,0)-MATCH($F$1,enemy_skill_triggers!$1:$1,0)+1),MATCH(J$1,enemy_skill_triggers!$1:$1,0)-MATCH($F$1,enemy_skill_triggers!$1:$1,0)+1,FALSE)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6" s="48" t="str">
        <f ca="1">VLOOKUP($F356,OFFSET(enemy_skill_triggers!$A$1,0,0,COUNTA(enemy_skill_triggers!$A:$A),MATCH(K$1,enemy_skill_triggers!$1:$1,0)-MATCH($F$1,enemy_skill_triggers!$1:$1,0)+1),MATCH(K$1,enemy_skill_triggers!$1:$1,0)-MATCH($F$1,enemy_skill_triggers!$1:$1,0)+1,FALSE)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6" s="48">
        <f ca="1">VLOOKUP($F356,OFFSET(enemy_skill_triggers!$A$1,0,0,COUNTA(enemy_skill_triggers!$A:$A),MATCH(L$1,enemy_skill_triggers!$1:$1,0)-MATCH($F$1,enemy_skill_triggers!$1:$1,0)+1),MATCH(L$1,enemy_skill_triggers!$1:$1,0)-MATCH($F$1,enemy_skill_triggers!$1:$1,0)+1,FALSE)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6" s="48" t="str">
        <f ca="1">VLOOKUP($F356,OFFSET(enemy_skill_triggers!$A$1,0,0,COUNTA(enemy_skill_triggers!$A:$A),MATCH(M$1,enemy_skill_triggers!$1:$1,0)-MATCH($F$1,enemy_skill_triggers!$1:$1,0)+1),MATCH(M$1,enemy_skill_triggers!$1:$1,0)-MATCH($F$1,enemy_skill_triggers!$1:$1,0)+1,FALSE)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6" s="48">
        <f ca="1">VLOOKUP($F356,OFFSET(enemy_skill_triggers!$A$1,0,0,COUNTA(enemy_skill_triggers!$A:$A),MATCH(N$1,enemy_skill_triggers!$1:$1,0)-MATCH($F$1,enemy_skill_triggers!$1:$1,0)+1),MATCH(N$1,enemy_skill_triggers!$1:$1,0)-MATCH($F$1,enemy_skill_triggers!$1:$1,0)+1,FALSE)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356" s="48">
        <f ca="1">VLOOKUP($F356,OFFSET(enemy_skill_triggers!$A$1,0,0,COUNTA(enemy_skill_triggers!$A:$A),MATCH(O$1,enemy_skill_triggers!$1:$1,0)-MATCH($F$1,enemy_skill_triggers!$1:$1,0)+1),MATCH(O$1,enemy_skill_triggers!$1:$1,0)-MATCH($F$1,enemy_skill_triggers!$1:$1,0)+1,FALSE)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6" s="47"/>
      <c r="Q356" s="47"/>
      <c r="R356" s="47"/>
    </row>
    <row r="357" spans="1:18" ht="21" customHeight="1" x14ac:dyDescent="0.15">
      <c r="A357" s="39" t="str">
        <f t="shared" si="21"/>
        <v>47004650_47004657</v>
      </c>
      <c r="B357" s="127">
        <v>47004650</v>
      </c>
      <c r="C357" s="47">
        <v>47004657</v>
      </c>
      <c r="D357" s="46" t="str">
        <f ca="1">VLOOKUP($C357,OFFSET(enemy_skills!$A$1,0,0,COUNTA(enemy_skills!$A:$A),MATCH(D$1,enemy_skills!$1:$1,0)-MATCH("enemy_skill_id",enemy_skills!$1:$1,0)+1),MATCH(D$1,enemy_skills!$1:$1,0)-MATCH("enemy_skill_id",enemy_skills!$1:$1,0)+1,FALSE)</f>
        <v>聖母の名にふさわしい優しさ…_x000D_見せてくれるかな？</v>
      </c>
      <c r="E357" s="46" t="str">
        <f ca="1">VLOOKUP($C357,OFFSET(enemy_skills!$A$1,0,0,COUNTA(enemy_skills!$A:$A),MATCH(E$1,enemy_skills!$1:$1,0)-MATCH("enemy_skill_id",enemy_skills!$1:$1,0)+1),MATCH(E$1,enemy_skills!$1:$1,0)-MATCH("enemy_skill_id",enemy_skills!$1:$1,0)+1,FALSE)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57" s="47">
        <v>47004659</v>
      </c>
      <c r="G357" s="48">
        <f ca="1">VLOOKUP($F357,OFFSET(enemy_skill_triggers!$A$1,0,0,COUNTA(enemy_skill_triggers!$A:$A),MATCH(G$1,enemy_skill_triggers!$1:$1,0)-MATCH($F$1,enemy_skill_triggers!$1:$1,0)+1),MATCH(G$1,enemy_skill_triggers!$1:$1,0)-MATCH($F$1,enemy_skill_triggers!$1:$1,0)+1,FALSE)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7" s="48">
        <f ca="1">VLOOKUP($F357,OFFSET(enemy_skill_triggers!$A$1,0,0,COUNTA(enemy_skill_triggers!$A:$A),MATCH(H$1,enemy_skill_triggers!$1:$1,0)-MATCH($F$1,enemy_skill_triggers!$1:$1,0)+1),MATCH(H$1,enemy_skill_triggers!$1:$1,0)-MATCH($F$1,enemy_skill_triggers!$1:$1,0)+1,FALSE)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357" s="48">
        <f ca="1">VLOOKUP($F357,OFFSET(enemy_skill_triggers!$A$1,0,0,COUNTA(enemy_skill_triggers!$A:$A),MATCH(I$1,enemy_skill_triggers!$1:$1,0)-MATCH($F$1,enemy_skill_triggers!$1:$1,0)+1),MATCH(I$1,enemy_skill_triggers!$1:$1,0)-MATCH($F$1,enemy_skill_triggers!$1:$1,0)+1,FALSE)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7" s="48" t="str">
        <f ca="1">VLOOKUP($F357,OFFSET(enemy_skill_triggers!$A$1,0,0,COUNTA(enemy_skill_triggers!$A:$A),MATCH(J$1,enemy_skill_triggers!$1:$1,0)-MATCH($F$1,enemy_skill_triggers!$1:$1,0)+1),MATCH(J$1,enemy_skill_triggers!$1:$1,0)-MATCH($F$1,enemy_skill_triggers!$1:$1,0)+1,FALSE)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7" s="48" t="str">
        <f ca="1">VLOOKUP($F357,OFFSET(enemy_skill_triggers!$A$1,0,0,COUNTA(enemy_skill_triggers!$A:$A),MATCH(K$1,enemy_skill_triggers!$1:$1,0)-MATCH($F$1,enemy_skill_triggers!$1:$1,0)+1),MATCH(K$1,enemy_skill_triggers!$1:$1,0)-MATCH($F$1,enemy_skill_triggers!$1:$1,0)+1,FALSE)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7" s="48">
        <f ca="1">VLOOKUP($F357,OFFSET(enemy_skill_triggers!$A$1,0,0,COUNTA(enemy_skill_triggers!$A:$A),MATCH(L$1,enemy_skill_triggers!$1:$1,0)-MATCH($F$1,enemy_skill_triggers!$1:$1,0)+1),MATCH(L$1,enemy_skill_triggers!$1:$1,0)-MATCH($F$1,enemy_skill_triggers!$1:$1,0)+1,FALSE)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7" s="48" t="str">
        <f ca="1">VLOOKUP($F357,OFFSET(enemy_skill_triggers!$A$1,0,0,COUNTA(enemy_skill_triggers!$A:$A),MATCH(M$1,enemy_skill_triggers!$1:$1,0)-MATCH($F$1,enemy_skill_triggers!$1:$1,0)+1),MATCH(M$1,enemy_skill_triggers!$1:$1,0)-MATCH($F$1,enemy_skill_triggers!$1:$1,0)+1,FALSE)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7" s="48">
        <f ca="1">VLOOKUP($F357,OFFSET(enemy_skill_triggers!$A$1,0,0,COUNTA(enemy_skill_triggers!$A:$A),MATCH(N$1,enemy_skill_triggers!$1:$1,0)-MATCH($F$1,enemy_skill_triggers!$1:$1,0)+1),MATCH(N$1,enemy_skill_triggers!$1:$1,0)-MATCH($F$1,enemy_skill_triggers!$1:$1,0)+1,FALSE)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357" s="48">
        <f ca="1">VLOOKUP($F357,OFFSET(enemy_skill_triggers!$A$1,0,0,COUNTA(enemy_skill_triggers!$A:$A),MATCH(O$1,enemy_skill_triggers!$1:$1,0)-MATCH($F$1,enemy_skill_triggers!$1:$1,0)+1),MATCH(O$1,enemy_skill_triggers!$1:$1,0)-MATCH($F$1,enemy_skill_triggers!$1:$1,0)+1,FALSE)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7" s="47"/>
      <c r="Q357" s="47"/>
      <c r="R357" s="47"/>
    </row>
    <row r="358" spans="1:18" ht="21" customHeight="1" x14ac:dyDescent="0.15">
      <c r="A358" s="39" t="str">
        <f t="shared" si="21"/>
        <v>47004650_47004657</v>
      </c>
      <c r="B358" s="127">
        <v>47004650</v>
      </c>
      <c r="C358" s="47">
        <v>47004657</v>
      </c>
      <c r="D358" s="46" t="str">
        <f ca="1">VLOOKUP($C358,OFFSET(enemy_skills!$A$1,0,0,COUNTA(enemy_skills!$A:$A),MATCH(D$1,enemy_skills!$1:$1,0)-MATCH("enemy_skill_id",enemy_skills!$1:$1,0)+1),MATCH(D$1,enemy_skills!$1:$1,0)-MATCH("enemy_skill_id",enemy_skills!$1:$1,0)+1,FALSE)</f>
        <v>聖母の名にふさわしい優しさ…_x000D_見せてくれるかな？</v>
      </c>
      <c r="E358" s="46" t="str">
        <f ca="1">VLOOKUP($C358,OFFSET(enemy_skills!$A$1,0,0,COUNTA(enemy_skills!$A:$A),MATCH(E$1,enemy_skills!$1:$1,0)-MATCH("enemy_skill_id",enemy_skills!$1:$1,0)+1),MATCH(E$1,enemy_skills!$1:$1,0)-MATCH("enemy_skill_id",enemy_skills!$1:$1,0)+1,FALSE)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58" s="47">
        <v>47004660</v>
      </c>
      <c r="G358" s="48">
        <f ca="1">VLOOKUP($F358,OFFSET(enemy_skill_triggers!$A$1,0,0,COUNTA(enemy_skill_triggers!$A:$A),MATCH(G$1,enemy_skill_triggers!$1:$1,0)-MATCH($F$1,enemy_skill_triggers!$1:$1,0)+1),MATCH(G$1,enemy_skill_triggers!$1:$1,0)-MATCH($F$1,enemy_skill_triggers!$1:$1,0)+1,FALSE)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8" s="48">
        <f ca="1">VLOOKUP($F358,OFFSET(enemy_skill_triggers!$A$1,0,0,COUNTA(enemy_skill_triggers!$A:$A),MATCH(H$1,enemy_skill_triggers!$1:$1,0)-MATCH($F$1,enemy_skill_triggers!$1:$1,0)+1),MATCH(H$1,enemy_skill_triggers!$1:$1,0)-MATCH($F$1,enemy_skill_triggers!$1:$1,0)+1,FALSE)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358" s="48">
        <f ca="1">VLOOKUP($F358,OFFSET(enemy_skill_triggers!$A$1,0,0,COUNTA(enemy_skill_triggers!$A:$A),MATCH(I$1,enemy_skill_triggers!$1:$1,0)-MATCH($F$1,enemy_skill_triggers!$1:$1,0)+1),MATCH(I$1,enemy_skill_triggers!$1:$1,0)-MATCH($F$1,enemy_skill_triggers!$1:$1,0)+1,FALSE)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8" s="48" t="str">
        <f ca="1">VLOOKUP($F358,OFFSET(enemy_skill_triggers!$A$1,0,0,COUNTA(enemy_skill_triggers!$A:$A),MATCH(J$1,enemy_skill_triggers!$1:$1,0)-MATCH($F$1,enemy_skill_triggers!$1:$1,0)+1),MATCH(J$1,enemy_skill_triggers!$1:$1,0)-MATCH($F$1,enemy_skill_triggers!$1:$1,0)+1,FALSE)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8" s="48" t="str">
        <f ca="1">VLOOKUP($F358,OFFSET(enemy_skill_triggers!$A$1,0,0,COUNTA(enemy_skill_triggers!$A:$A),MATCH(K$1,enemy_skill_triggers!$1:$1,0)-MATCH($F$1,enemy_skill_triggers!$1:$1,0)+1),MATCH(K$1,enemy_skill_triggers!$1:$1,0)-MATCH($F$1,enemy_skill_triggers!$1:$1,0)+1,FALSE)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8" s="48">
        <f ca="1">VLOOKUP($F358,OFFSET(enemy_skill_triggers!$A$1,0,0,COUNTA(enemy_skill_triggers!$A:$A),MATCH(L$1,enemy_skill_triggers!$1:$1,0)-MATCH($F$1,enemy_skill_triggers!$1:$1,0)+1),MATCH(L$1,enemy_skill_triggers!$1:$1,0)-MATCH($F$1,enemy_skill_triggers!$1:$1,0)+1,FALSE)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8" s="48" t="str">
        <f ca="1">VLOOKUP($F358,OFFSET(enemy_skill_triggers!$A$1,0,0,COUNTA(enemy_skill_triggers!$A:$A),MATCH(M$1,enemy_skill_triggers!$1:$1,0)-MATCH($F$1,enemy_skill_triggers!$1:$1,0)+1),MATCH(M$1,enemy_skill_triggers!$1:$1,0)-MATCH($F$1,enemy_skill_triggers!$1:$1,0)+1,FALSE)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8" s="48">
        <f ca="1">VLOOKUP($F358,OFFSET(enemy_skill_triggers!$A$1,0,0,COUNTA(enemy_skill_triggers!$A:$A),MATCH(N$1,enemy_skill_triggers!$1:$1,0)-MATCH($F$1,enemy_skill_triggers!$1:$1,0)+1),MATCH(N$1,enemy_skill_triggers!$1:$1,0)-MATCH($F$1,enemy_skill_triggers!$1:$1,0)+1,FALSE)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358" s="48">
        <f ca="1">VLOOKUP($F358,OFFSET(enemy_skill_triggers!$A$1,0,0,COUNTA(enemy_skill_triggers!$A:$A),MATCH(O$1,enemy_skill_triggers!$1:$1,0)-MATCH($F$1,enemy_skill_triggers!$1:$1,0)+1),MATCH(O$1,enemy_skill_triggers!$1:$1,0)-MATCH($F$1,enemy_skill_triggers!$1:$1,0)+1,FALSE)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8" s="47"/>
      <c r="Q358" s="47"/>
      <c r="R358" s="47"/>
    </row>
    <row r="359" spans="1:18" ht="21" customHeight="1" x14ac:dyDescent="0.15">
      <c r="A359" s="39" t="str">
        <f t="shared" si="21"/>
        <v>47004650_47004658</v>
      </c>
      <c r="B359" s="127">
        <v>47004650</v>
      </c>
      <c r="C359" s="47">
        <v>47004658</v>
      </c>
      <c r="D359" s="46" t="str">
        <f ca="1">VLOOKUP($C359,OFFSET(enemy_skills!$A$1,0,0,COUNTA(enemy_skills!$A:$A),MATCH(D$1,enemy_skills!$1:$1,0)-MATCH("enemy_skill_id",enemy_skills!$1:$1,0)+1),MATCH(D$1,enemy_skills!$1:$1,0)-MATCH("enemy_skill_id",enemy_skills!$1:$1,0)+1,FALSE)</f>
        <v>僕にも天使の祝福を…？_x000D_もったいないよ…</v>
      </c>
      <c r="E359" s="46" t="str">
        <f ca="1">VLOOKUP($C359,OFFSET(enemy_skills!$A$1,0,0,COUNTA(enemy_skills!$A:$A),MATCH(E$1,enemy_skills!$1:$1,0)-MATCH("enemy_skill_id",enemy_skills!$1:$1,0)+1),MATCH(E$1,enemy_skills!$1:$1,0)-MATCH("enemy_skill_id",enemy_skills!$1:$1,0)+1,FALSE)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59" s="47">
        <v>47004661</v>
      </c>
      <c r="G359" s="48">
        <f ca="1">VLOOKUP($F359,OFFSET(enemy_skill_triggers!$A$1,0,0,COUNTA(enemy_skill_triggers!$A:$A),MATCH(G$1,enemy_skill_triggers!$1:$1,0)-MATCH($F$1,enemy_skill_triggers!$1:$1,0)+1),MATCH(G$1,enemy_skill_triggers!$1:$1,0)-MATCH($F$1,enemy_skill_triggers!$1:$1,0)+1,FALSE)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9" s="48">
        <f ca="1">VLOOKUP($F359,OFFSET(enemy_skill_triggers!$A$1,0,0,COUNTA(enemy_skill_triggers!$A:$A),MATCH(H$1,enemy_skill_triggers!$1:$1,0)-MATCH($F$1,enemy_skill_triggers!$1:$1,0)+1),MATCH(H$1,enemy_skill_triggers!$1:$1,0)-MATCH($F$1,enemy_skill_triggers!$1:$1,0)+1,FALSE)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359" s="48">
        <f ca="1">VLOOKUP($F359,OFFSET(enemy_skill_triggers!$A$1,0,0,COUNTA(enemy_skill_triggers!$A:$A),MATCH(I$1,enemy_skill_triggers!$1:$1,0)-MATCH($F$1,enemy_skill_triggers!$1:$1,0)+1),MATCH(I$1,enemy_skill_triggers!$1:$1,0)-MATCH($F$1,enemy_skill_triggers!$1:$1,0)+1,FALSE)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9" s="48" t="str">
        <f ca="1">VLOOKUP($F359,OFFSET(enemy_skill_triggers!$A$1,0,0,COUNTA(enemy_skill_triggers!$A:$A),MATCH(J$1,enemy_skill_triggers!$1:$1,0)-MATCH($F$1,enemy_skill_triggers!$1:$1,0)+1),MATCH(J$1,enemy_skill_triggers!$1:$1,0)-MATCH($F$1,enemy_skill_triggers!$1:$1,0)+1,FALSE)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9" s="48" t="str">
        <f ca="1">VLOOKUP($F359,OFFSET(enemy_skill_triggers!$A$1,0,0,COUNTA(enemy_skill_triggers!$A:$A),MATCH(K$1,enemy_skill_triggers!$1:$1,0)-MATCH($F$1,enemy_skill_triggers!$1:$1,0)+1),MATCH(K$1,enemy_skill_triggers!$1:$1,0)-MATCH($F$1,enemy_skill_triggers!$1:$1,0)+1,FALSE)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9" s="48">
        <f ca="1">VLOOKUP($F359,OFFSET(enemy_skill_triggers!$A$1,0,0,COUNTA(enemy_skill_triggers!$A:$A),MATCH(L$1,enemy_skill_triggers!$1:$1,0)-MATCH($F$1,enemy_skill_triggers!$1:$1,0)+1),MATCH(L$1,enemy_skill_triggers!$1:$1,0)-MATCH($F$1,enemy_skill_triggers!$1:$1,0)+1,FALSE)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9" s="48" t="str">
        <f ca="1">VLOOKUP($F359,OFFSET(enemy_skill_triggers!$A$1,0,0,COUNTA(enemy_skill_triggers!$A:$A),MATCH(M$1,enemy_skill_triggers!$1:$1,0)-MATCH($F$1,enemy_skill_triggers!$1:$1,0)+1),MATCH(M$1,enemy_skill_triggers!$1:$1,0)-MATCH($F$1,enemy_skill_triggers!$1:$1,0)+1,FALSE)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9" s="48">
        <f ca="1">VLOOKUP($F359,OFFSET(enemy_skill_triggers!$A$1,0,0,COUNTA(enemy_skill_triggers!$A:$A),MATCH(N$1,enemy_skill_triggers!$1:$1,0)-MATCH($F$1,enemy_skill_triggers!$1:$1,0)+1),MATCH(N$1,enemy_skill_triggers!$1:$1,0)-MATCH($F$1,enemy_skill_triggers!$1:$1,0)+1,FALSE)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359" s="48">
        <f ca="1">VLOOKUP($F359,OFFSET(enemy_skill_triggers!$A$1,0,0,COUNTA(enemy_skill_triggers!$A:$A),MATCH(O$1,enemy_skill_triggers!$1:$1,0)-MATCH($F$1,enemy_skill_triggers!$1:$1,0)+1),MATCH(O$1,enemy_skill_triggers!$1:$1,0)-MATCH($F$1,enemy_skill_triggers!$1:$1,0)+1,FALSE)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9" s="47"/>
      <c r="Q359" s="47"/>
      <c r="R359" s="47"/>
    </row>
    <row r="360" spans="1:18" ht="21" customHeight="1" x14ac:dyDescent="0.15">
      <c r="A360" s="39" t="str">
        <f t="shared" si="21"/>
        <v>47004650_47004658</v>
      </c>
      <c r="B360" s="127">
        <v>47004650</v>
      </c>
      <c r="C360" s="47">
        <v>47004658</v>
      </c>
      <c r="D360" s="46" t="str">
        <f ca="1">VLOOKUP($C360,OFFSET(enemy_skills!$A$1,0,0,COUNTA(enemy_skills!$A:$A),MATCH(D$1,enemy_skills!$1:$1,0)-MATCH("enemy_skill_id",enemy_skills!$1:$1,0)+1),MATCH(D$1,enemy_skills!$1:$1,0)-MATCH("enemy_skill_id",enemy_skills!$1:$1,0)+1,FALSE)</f>
        <v>僕にも天使の祝福を…？_x000D_もったいないよ…</v>
      </c>
      <c r="E360" s="46" t="str">
        <f ca="1">VLOOKUP($C360,OFFSET(enemy_skills!$A$1,0,0,COUNTA(enemy_skills!$A:$A),MATCH(E$1,enemy_skills!$1:$1,0)-MATCH("enemy_skill_id",enemy_skills!$1:$1,0)+1),MATCH(E$1,enemy_skills!$1:$1,0)-MATCH("enemy_skill_id",enemy_skills!$1:$1,0)+1,FALSE)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60" s="47">
        <v>47004662</v>
      </c>
      <c r="G360" s="48">
        <f ca="1">VLOOKUP($F360,OFFSET(enemy_skill_triggers!$A$1,0,0,COUNTA(enemy_skill_triggers!$A:$A),MATCH(G$1,enemy_skill_triggers!$1:$1,0)-MATCH($F$1,enemy_skill_triggers!$1:$1,0)+1),MATCH(G$1,enemy_skill_triggers!$1:$1,0)-MATCH($F$1,enemy_skill_triggers!$1:$1,0)+1,FALSE)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0" s="48">
        <f ca="1">VLOOKUP($F360,OFFSET(enemy_skill_triggers!$A$1,0,0,COUNTA(enemy_skill_triggers!$A:$A),MATCH(H$1,enemy_skill_triggers!$1:$1,0)-MATCH($F$1,enemy_skill_triggers!$1:$1,0)+1),MATCH(H$1,enemy_skill_triggers!$1:$1,0)-MATCH($F$1,enemy_skill_triggers!$1:$1,0)+1,FALSE)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360" s="48">
        <f ca="1">VLOOKUP($F360,OFFSET(enemy_skill_triggers!$A$1,0,0,COUNTA(enemy_skill_triggers!$A:$A),MATCH(I$1,enemy_skill_triggers!$1:$1,0)-MATCH($F$1,enemy_skill_triggers!$1:$1,0)+1),MATCH(I$1,enemy_skill_triggers!$1:$1,0)-MATCH($F$1,enemy_skill_triggers!$1:$1,0)+1,FALSE)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0" s="48" t="str">
        <f ca="1">VLOOKUP($F360,OFFSET(enemy_skill_triggers!$A$1,0,0,COUNTA(enemy_skill_triggers!$A:$A),MATCH(J$1,enemy_skill_triggers!$1:$1,0)-MATCH($F$1,enemy_skill_triggers!$1:$1,0)+1),MATCH(J$1,enemy_skill_triggers!$1:$1,0)-MATCH($F$1,enemy_skill_triggers!$1:$1,0)+1,FALSE)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0" s="48" t="str">
        <f ca="1">VLOOKUP($F360,OFFSET(enemy_skill_triggers!$A$1,0,0,COUNTA(enemy_skill_triggers!$A:$A),MATCH(K$1,enemy_skill_triggers!$1:$1,0)-MATCH($F$1,enemy_skill_triggers!$1:$1,0)+1),MATCH(K$1,enemy_skill_triggers!$1:$1,0)-MATCH($F$1,enemy_skill_triggers!$1:$1,0)+1,FALSE)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0" s="48">
        <f ca="1">VLOOKUP($F360,OFFSET(enemy_skill_triggers!$A$1,0,0,COUNTA(enemy_skill_triggers!$A:$A),MATCH(L$1,enemy_skill_triggers!$1:$1,0)-MATCH($F$1,enemy_skill_triggers!$1:$1,0)+1),MATCH(L$1,enemy_skill_triggers!$1:$1,0)-MATCH($F$1,enemy_skill_triggers!$1:$1,0)+1,FALSE)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0" s="48" t="str">
        <f ca="1">VLOOKUP($F360,OFFSET(enemy_skill_triggers!$A$1,0,0,COUNTA(enemy_skill_triggers!$A:$A),MATCH(M$1,enemy_skill_triggers!$1:$1,0)-MATCH($F$1,enemy_skill_triggers!$1:$1,0)+1),MATCH(M$1,enemy_skill_triggers!$1:$1,0)-MATCH($F$1,enemy_skill_triggers!$1:$1,0)+1,FALSE)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0" s="48">
        <f ca="1">VLOOKUP($F360,OFFSET(enemy_skill_triggers!$A$1,0,0,COUNTA(enemy_skill_triggers!$A:$A),MATCH(N$1,enemy_skill_triggers!$1:$1,0)-MATCH($F$1,enemy_skill_triggers!$1:$1,0)+1),MATCH(N$1,enemy_skill_triggers!$1:$1,0)-MATCH($F$1,enemy_skill_triggers!$1:$1,0)+1,FALSE)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360" s="48">
        <f ca="1">VLOOKUP($F360,OFFSET(enemy_skill_triggers!$A$1,0,0,COUNTA(enemy_skill_triggers!$A:$A),MATCH(O$1,enemy_skill_triggers!$1:$1,0)-MATCH($F$1,enemy_skill_triggers!$1:$1,0)+1),MATCH(O$1,enemy_skill_triggers!$1:$1,0)-MATCH($F$1,enemy_skill_triggers!$1:$1,0)+1,FALSE)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0" s="47"/>
      <c r="Q360" s="47"/>
      <c r="R360" s="47"/>
    </row>
    <row r="361" spans="1:18" ht="21" customHeight="1" x14ac:dyDescent="0.15">
      <c r="A361" s="39" t="str">
        <f t="shared" si="21"/>
        <v>47004650_47004658</v>
      </c>
      <c r="B361" s="127">
        <v>47004650</v>
      </c>
      <c r="C361" s="47">
        <v>47004658</v>
      </c>
      <c r="D361" s="46" t="str">
        <f ca="1">VLOOKUP($C361,OFFSET(enemy_skills!$A$1,0,0,COUNTA(enemy_skills!$A:$A),MATCH(D$1,enemy_skills!$1:$1,0)-MATCH("enemy_skill_id",enemy_skills!$1:$1,0)+1),MATCH(D$1,enemy_skills!$1:$1,0)-MATCH("enemy_skill_id",enemy_skills!$1:$1,0)+1,FALSE)</f>
        <v>僕にも天使の祝福を…？_x000D_もったいないよ…</v>
      </c>
      <c r="E361" s="46" t="str">
        <f ca="1">VLOOKUP($C361,OFFSET(enemy_skills!$A$1,0,0,COUNTA(enemy_skills!$A:$A),MATCH(E$1,enemy_skills!$1:$1,0)-MATCH("enemy_skill_id",enemy_skills!$1:$1,0)+1),MATCH(E$1,enemy_skills!$1:$1,0)-MATCH("enemy_skill_id",enemy_skills!$1:$1,0)+1,FALSE)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61" s="47">
        <v>47004663</v>
      </c>
      <c r="G361" s="48">
        <f ca="1">VLOOKUP($F361,OFFSET(enemy_skill_triggers!$A$1,0,0,COUNTA(enemy_skill_triggers!$A:$A),MATCH(G$1,enemy_skill_triggers!$1:$1,0)-MATCH($F$1,enemy_skill_triggers!$1:$1,0)+1),MATCH(G$1,enemy_skill_triggers!$1:$1,0)-MATCH($F$1,enemy_skill_triggers!$1:$1,0)+1,FALSE)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1" s="48">
        <f ca="1">VLOOKUP($F361,OFFSET(enemy_skill_triggers!$A$1,0,0,COUNTA(enemy_skill_triggers!$A:$A),MATCH(H$1,enemy_skill_triggers!$1:$1,0)-MATCH($F$1,enemy_skill_triggers!$1:$1,0)+1),MATCH(H$1,enemy_skill_triggers!$1:$1,0)-MATCH($F$1,enemy_skill_triggers!$1:$1,0)+1,FALSE)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361" s="48">
        <f ca="1">VLOOKUP($F361,OFFSET(enemy_skill_triggers!$A$1,0,0,COUNTA(enemy_skill_triggers!$A:$A),MATCH(I$1,enemy_skill_triggers!$1:$1,0)-MATCH($F$1,enemy_skill_triggers!$1:$1,0)+1),MATCH(I$1,enemy_skill_triggers!$1:$1,0)-MATCH($F$1,enemy_skill_triggers!$1:$1,0)+1,FALSE)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1" s="48" t="str">
        <f ca="1">VLOOKUP($F361,OFFSET(enemy_skill_triggers!$A$1,0,0,COUNTA(enemy_skill_triggers!$A:$A),MATCH(J$1,enemy_skill_triggers!$1:$1,0)-MATCH($F$1,enemy_skill_triggers!$1:$1,0)+1),MATCH(J$1,enemy_skill_triggers!$1:$1,0)-MATCH($F$1,enemy_skill_triggers!$1:$1,0)+1,FALSE)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1" s="48" t="str">
        <f ca="1">VLOOKUP($F361,OFFSET(enemy_skill_triggers!$A$1,0,0,COUNTA(enemy_skill_triggers!$A:$A),MATCH(K$1,enemy_skill_triggers!$1:$1,0)-MATCH($F$1,enemy_skill_triggers!$1:$1,0)+1),MATCH(K$1,enemy_skill_triggers!$1:$1,0)-MATCH($F$1,enemy_skill_triggers!$1:$1,0)+1,FALSE)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1" s="48">
        <f ca="1">VLOOKUP($F361,OFFSET(enemy_skill_triggers!$A$1,0,0,COUNTA(enemy_skill_triggers!$A:$A),MATCH(L$1,enemy_skill_triggers!$1:$1,0)-MATCH($F$1,enemy_skill_triggers!$1:$1,0)+1),MATCH(L$1,enemy_skill_triggers!$1:$1,0)-MATCH($F$1,enemy_skill_triggers!$1:$1,0)+1,FALSE)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1" s="48" t="str">
        <f ca="1">VLOOKUP($F361,OFFSET(enemy_skill_triggers!$A$1,0,0,COUNTA(enemy_skill_triggers!$A:$A),MATCH(M$1,enemy_skill_triggers!$1:$1,0)-MATCH($F$1,enemy_skill_triggers!$1:$1,0)+1),MATCH(M$1,enemy_skill_triggers!$1:$1,0)-MATCH($F$1,enemy_skill_triggers!$1:$1,0)+1,FALSE)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1" s="48">
        <f ca="1">VLOOKUP($F361,OFFSET(enemy_skill_triggers!$A$1,0,0,COUNTA(enemy_skill_triggers!$A:$A),MATCH(N$1,enemy_skill_triggers!$1:$1,0)-MATCH($F$1,enemy_skill_triggers!$1:$1,0)+1),MATCH(N$1,enemy_skill_triggers!$1:$1,0)-MATCH($F$1,enemy_skill_triggers!$1:$1,0)+1,FALSE)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361" s="48">
        <f ca="1">VLOOKUP($F361,OFFSET(enemy_skill_triggers!$A$1,0,0,COUNTA(enemy_skill_triggers!$A:$A),MATCH(O$1,enemy_skill_triggers!$1:$1,0)-MATCH($F$1,enemy_skill_triggers!$1:$1,0)+1),MATCH(O$1,enemy_skill_triggers!$1:$1,0)-MATCH($F$1,enemy_skill_triggers!$1:$1,0)+1,FALSE)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1" s="47"/>
      <c r="Q361" s="47"/>
      <c r="R361" s="47"/>
    </row>
    <row r="362" spans="1:18" ht="21" customHeight="1" x14ac:dyDescent="0.15">
      <c r="A362" s="39" t="str">
        <f t="shared" si="21"/>
        <v>47004650_47004659</v>
      </c>
      <c r="B362" s="127">
        <v>47004650</v>
      </c>
      <c r="C362" s="47">
        <v>47004659</v>
      </c>
      <c r="D362" s="46" t="str">
        <f ca="1">VLOOKUP($C362,OFFSET(enemy_skills!$A$1,0,0,COUNTA(enemy_skills!$A:$A),MATCH(D$1,enemy_skills!$1:$1,0)-MATCH("enemy_skill_id",enemy_skills!$1:$1,0)+1),MATCH(D$1,enemy_skills!$1:$1,0)-MATCH("enemy_skill_id",enemy_skills!$1:$1,0)+1,FALSE)</f>
        <v>随分大胆な衣装のサンタだね…_x000D_プレゼントをくれるのかい？</v>
      </c>
      <c r="E362" s="46" t="str">
        <f ca="1">VLOOKUP($C362,OFFSET(enemy_skills!$A$1,0,0,COUNTA(enemy_skills!$A:$A),MATCH(E$1,enemy_skills!$1:$1,0)-MATCH("enemy_skill_id",enemy_skills!$1:$1,0)+1),MATCH(E$1,enemy_skills!$1:$1,0)-MATCH("enemy_skill_id",enemy_skills!$1:$1,0)+1,FALSE)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62" s="47">
        <v>47004664</v>
      </c>
      <c r="G362" s="48">
        <f ca="1">VLOOKUP($F362,OFFSET(enemy_skill_triggers!$A$1,0,0,COUNTA(enemy_skill_triggers!$A:$A),MATCH(G$1,enemy_skill_triggers!$1:$1,0)-MATCH($F$1,enemy_skill_triggers!$1:$1,0)+1),MATCH(G$1,enemy_skill_triggers!$1:$1,0)-MATCH($F$1,enemy_skill_triggers!$1:$1,0)+1,FALSE)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2" s="48">
        <f ca="1">VLOOKUP($F362,OFFSET(enemy_skill_triggers!$A$1,0,0,COUNTA(enemy_skill_triggers!$A:$A),MATCH(H$1,enemy_skill_triggers!$1:$1,0)-MATCH($F$1,enemy_skill_triggers!$1:$1,0)+1),MATCH(H$1,enemy_skill_triggers!$1:$1,0)-MATCH($F$1,enemy_skill_triggers!$1:$1,0)+1,FALSE)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362" s="48">
        <f ca="1">VLOOKUP($F362,OFFSET(enemy_skill_triggers!$A$1,0,0,COUNTA(enemy_skill_triggers!$A:$A),MATCH(I$1,enemy_skill_triggers!$1:$1,0)-MATCH($F$1,enemy_skill_triggers!$1:$1,0)+1),MATCH(I$1,enemy_skill_triggers!$1:$1,0)-MATCH($F$1,enemy_skill_triggers!$1:$1,0)+1,FALSE)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2" s="48" t="str">
        <f ca="1">VLOOKUP($F362,OFFSET(enemy_skill_triggers!$A$1,0,0,COUNTA(enemy_skill_triggers!$A:$A),MATCH(J$1,enemy_skill_triggers!$1:$1,0)-MATCH($F$1,enemy_skill_triggers!$1:$1,0)+1),MATCH(J$1,enemy_skill_triggers!$1:$1,0)-MATCH($F$1,enemy_skill_triggers!$1:$1,0)+1,FALSE)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2" s="48" t="str">
        <f ca="1">VLOOKUP($F362,OFFSET(enemy_skill_triggers!$A$1,0,0,COUNTA(enemy_skill_triggers!$A:$A),MATCH(K$1,enemy_skill_triggers!$1:$1,0)-MATCH($F$1,enemy_skill_triggers!$1:$1,0)+1),MATCH(K$1,enemy_skill_triggers!$1:$1,0)-MATCH($F$1,enemy_skill_triggers!$1:$1,0)+1,FALSE)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2" s="48">
        <f ca="1">VLOOKUP($F362,OFFSET(enemy_skill_triggers!$A$1,0,0,COUNTA(enemy_skill_triggers!$A:$A),MATCH(L$1,enemy_skill_triggers!$1:$1,0)-MATCH($F$1,enemy_skill_triggers!$1:$1,0)+1),MATCH(L$1,enemy_skill_triggers!$1:$1,0)-MATCH($F$1,enemy_skill_triggers!$1:$1,0)+1,FALSE)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2" s="48" t="str">
        <f ca="1">VLOOKUP($F362,OFFSET(enemy_skill_triggers!$A$1,0,0,COUNTA(enemy_skill_triggers!$A:$A),MATCH(M$1,enemy_skill_triggers!$1:$1,0)-MATCH($F$1,enemy_skill_triggers!$1:$1,0)+1),MATCH(M$1,enemy_skill_triggers!$1:$1,0)-MATCH($F$1,enemy_skill_triggers!$1:$1,0)+1,FALSE)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2" s="48">
        <f ca="1">VLOOKUP($F362,OFFSET(enemy_skill_triggers!$A$1,0,0,COUNTA(enemy_skill_triggers!$A:$A),MATCH(N$1,enemy_skill_triggers!$1:$1,0)-MATCH($F$1,enemy_skill_triggers!$1:$1,0)+1),MATCH(N$1,enemy_skill_triggers!$1:$1,0)-MATCH($F$1,enemy_skill_triggers!$1:$1,0)+1,FALSE)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362" s="48">
        <f ca="1">VLOOKUP($F362,OFFSET(enemy_skill_triggers!$A$1,0,0,COUNTA(enemy_skill_triggers!$A:$A),MATCH(O$1,enemy_skill_triggers!$1:$1,0)-MATCH($F$1,enemy_skill_triggers!$1:$1,0)+1),MATCH(O$1,enemy_skill_triggers!$1:$1,0)-MATCH($F$1,enemy_skill_triggers!$1:$1,0)+1,FALSE)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2" s="47"/>
      <c r="Q362" s="47"/>
      <c r="R362" s="47"/>
    </row>
    <row r="363" spans="1:18" ht="21" customHeight="1" x14ac:dyDescent="0.15">
      <c r="A363" s="39" t="str">
        <f t="shared" si="21"/>
        <v>47004650_47004659</v>
      </c>
      <c r="B363" s="127">
        <v>47004650</v>
      </c>
      <c r="C363" s="47">
        <v>47004659</v>
      </c>
      <c r="D363" s="46" t="str">
        <f ca="1">VLOOKUP($C363,OFFSET(enemy_skills!$A$1,0,0,COUNTA(enemy_skills!$A:$A),MATCH(D$1,enemy_skills!$1:$1,0)-MATCH("enemy_skill_id",enemy_skills!$1:$1,0)+1),MATCH(D$1,enemy_skills!$1:$1,0)-MATCH("enemy_skill_id",enemy_skills!$1:$1,0)+1,FALSE)</f>
        <v>随分大胆な衣装のサンタだね…_x000D_プレゼントをくれるのかい？</v>
      </c>
      <c r="E363" s="46" t="str">
        <f ca="1">VLOOKUP($C363,OFFSET(enemy_skills!$A$1,0,0,COUNTA(enemy_skills!$A:$A),MATCH(E$1,enemy_skills!$1:$1,0)-MATCH("enemy_skill_id",enemy_skills!$1:$1,0)+1),MATCH(E$1,enemy_skills!$1:$1,0)-MATCH("enemy_skill_id",enemy_skills!$1:$1,0)+1,FALSE)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63" s="47">
        <v>47004665</v>
      </c>
      <c r="G363" s="48">
        <f ca="1">VLOOKUP($F363,OFFSET(enemy_skill_triggers!$A$1,0,0,COUNTA(enemy_skill_triggers!$A:$A),MATCH(G$1,enemy_skill_triggers!$1:$1,0)-MATCH($F$1,enemy_skill_triggers!$1:$1,0)+1),MATCH(G$1,enemy_skill_triggers!$1:$1,0)-MATCH($F$1,enemy_skill_triggers!$1:$1,0)+1,FALSE)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3" s="48">
        <f ca="1">VLOOKUP($F363,OFFSET(enemy_skill_triggers!$A$1,0,0,COUNTA(enemy_skill_triggers!$A:$A),MATCH(H$1,enemy_skill_triggers!$1:$1,0)-MATCH($F$1,enemy_skill_triggers!$1:$1,0)+1),MATCH(H$1,enemy_skill_triggers!$1:$1,0)-MATCH($F$1,enemy_skill_triggers!$1:$1,0)+1,FALSE)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363" s="48">
        <f ca="1">VLOOKUP($F363,OFFSET(enemy_skill_triggers!$A$1,0,0,COUNTA(enemy_skill_triggers!$A:$A),MATCH(I$1,enemy_skill_triggers!$1:$1,0)-MATCH($F$1,enemy_skill_triggers!$1:$1,0)+1),MATCH(I$1,enemy_skill_triggers!$1:$1,0)-MATCH($F$1,enemy_skill_triggers!$1:$1,0)+1,FALSE)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3" s="48" t="str">
        <f ca="1">VLOOKUP($F363,OFFSET(enemy_skill_triggers!$A$1,0,0,COUNTA(enemy_skill_triggers!$A:$A),MATCH(J$1,enemy_skill_triggers!$1:$1,0)-MATCH($F$1,enemy_skill_triggers!$1:$1,0)+1),MATCH(J$1,enemy_skill_triggers!$1:$1,0)-MATCH($F$1,enemy_skill_triggers!$1:$1,0)+1,FALSE)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3" s="48" t="str">
        <f ca="1">VLOOKUP($F363,OFFSET(enemy_skill_triggers!$A$1,0,0,COUNTA(enemy_skill_triggers!$A:$A),MATCH(K$1,enemy_skill_triggers!$1:$1,0)-MATCH($F$1,enemy_skill_triggers!$1:$1,0)+1),MATCH(K$1,enemy_skill_triggers!$1:$1,0)-MATCH($F$1,enemy_skill_triggers!$1:$1,0)+1,FALSE)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3" s="48">
        <f ca="1">VLOOKUP($F363,OFFSET(enemy_skill_triggers!$A$1,0,0,COUNTA(enemy_skill_triggers!$A:$A),MATCH(L$1,enemy_skill_triggers!$1:$1,0)-MATCH($F$1,enemy_skill_triggers!$1:$1,0)+1),MATCH(L$1,enemy_skill_triggers!$1:$1,0)-MATCH($F$1,enemy_skill_triggers!$1:$1,0)+1,FALSE)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3" s="48" t="str">
        <f ca="1">VLOOKUP($F363,OFFSET(enemy_skill_triggers!$A$1,0,0,COUNTA(enemy_skill_triggers!$A:$A),MATCH(M$1,enemy_skill_triggers!$1:$1,0)-MATCH($F$1,enemy_skill_triggers!$1:$1,0)+1),MATCH(M$1,enemy_skill_triggers!$1:$1,0)-MATCH($F$1,enemy_skill_triggers!$1:$1,0)+1,FALSE)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3" s="48">
        <f ca="1">VLOOKUP($F363,OFFSET(enemy_skill_triggers!$A$1,0,0,COUNTA(enemy_skill_triggers!$A:$A),MATCH(N$1,enemy_skill_triggers!$1:$1,0)-MATCH($F$1,enemy_skill_triggers!$1:$1,0)+1),MATCH(N$1,enemy_skill_triggers!$1:$1,0)-MATCH($F$1,enemy_skill_triggers!$1:$1,0)+1,FALSE)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363" s="48">
        <f ca="1">VLOOKUP($F363,OFFSET(enemy_skill_triggers!$A$1,0,0,COUNTA(enemy_skill_triggers!$A:$A),MATCH(O$1,enemy_skill_triggers!$1:$1,0)-MATCH($F$1,enemy_skill_triggers!$1:$1,0)+1),MATCH(O$1,enemy_skill_triggers!$1:$1,0)-MATCH($F$1,enemy_skill_triggers!$1:$1,0)+1,FALSE)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3" s="47"/>
      <c r="Q363" s="47"/>
      <c r="R363" s="47"/>
    </row>
    <row r="364" spans="1:18" ht="21" customHeight="1" x14ac:dyDescent="0.15">
      <c r="A364" s="39" t="str">
        <f t="shared" si="21"/>
        <v>47004650_47004659</v>
      </c>
      <c r="B364" s="127">
        <v>47004650</v>
      </c>
      <c r="C364" s="47">
        <v>47004659</v>
      </c>
      <c r="D364" s="46" t="str">
        <f ca="1">VLOOKUP($C364,OFFSET(enemy_skills!$A$1,0,0,COUNTA(enemy_skills!$A:$A),MATCH(D$1,enemy_skills!$1:$1,0)-MATCH("enemy_skill_id",enemy_skills!$1:$1,0)+1),MATCH(D$1,enemy_skills!$1:$1,0)-MATCH("enemy_skill_id",enemy_skills!$1:$1,0)+1,FALSE)</f>
        <v>随分大胆な衣装のサンタだね…_x000D_プレゼントをくれるのかい？</v>
      </c>
      <c r="E364" s="46" t="str">
        <f ca="1">VLOOKUP($C364,OFFSET(enemy_skills!$A$1,0,0,COUNTA(enemy_skills!$A:$A),MATCH(E$1,enemy_skills!$1:$1,0)-MATCH("enemy_skill_id",enemy_skills!$1:$1,0)+1),MATCH(E$1,enemy_skills!$1:$1,0)-MATCH("enemy_skill_id",enemy_skills!$1:$1,0)+1,FALSE)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64" s="47">
        <v>47004666</v>
      </c>
      <c r="G364" s="48">
        <f ca="1">VLOOKUP($F364,OFFSET(enemy_skill_triggers!$A$1,0,0,COUNTA(enemy_skill_triggers!$A:$A),MATCH(G$1,enemy_skill_triggers!$1:$1,0)-MATCH($F$1,enemy_skill_triggers!$1:$1,0)+1),MATCH(G$1,enemy_skill_triggers!$1:$1,0)-MATCH($F$1,enemy_skill_triggers!$1:$1,0)+1,FALSE)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4" s="48">
        <f ca="1">VLOOKUP($F364,OFFSET(enemy_skill_triggers!$A$1,0,0,COUNTA(enemy_skill_triggers!$A:$A),MATCH(H$1,enemy_skill_triggers!$1:$1,0)-MATCH($F$1,enemy_skill_triggers!$1:$1,0)+1),MATCH(H$1,enemy_skill_triggers!$1:$1,0)-MATCH($F$1,enemy_skill_triggers!$1:$1,0)+1,FALSE)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364" s="48">
        <f ca="1">VLOOKUP($F364,OFFSET(enemy_skill_triggers!$A$1,0,0,COUNTA(enemy_skill_triggers!$A:$A),MATCH(I$1,enemy_skill_triggers!$1:$1,0)-MATCH($F$1,enemy_skill_triggers!$1:$1,0)+1),MATCH(I$1,enemy_skill_triggers!$1:$1,0)-MATCH($F$1,enemy_skill_triggers!$1:$1,0)+1,FALSE)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4" s="48" t="str">
        <f ca="1">VLOOKUP($F364,OFFSET(enemy_skill_triggers!$A$1,0,0,COUNTA(enemy_skill_triggers!$A:$A),MATCH(J$1,enemy_skill_triggers!$1:$1,0)-MATCH($F$1,enemy_skill_triggers!$1:$1,0)+1),MATCH(J$1,enemy_skill_triggers!$1:$1,0)-MATCH($F$1,enemy_skill_triggers!$1:$1,0)+1,FALSE)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4" s="48" t="str">
        <f ca="1">VLOOKUP($F364,OFFSET(enemy_skill_triggers!$A$1,0,0,COUNTA(enemy_skill_triggers!$A:$A),MATCH(K$1,enemy_skill_triggers!$1:$1,0)-MATCH($F$1,enemy_skill_triggers!$1:$1,0)+1),MATCH(K$1,enemy_skill_triggers!$1:$1,0)-MATCH($F$1,enemy_skill_triggers!$1:$1,0)+1,FALSE)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4" s="48">
        <f ca="1">VLOOKUP($F364,OFFSET(enemy_skill_triggers!$A$1,0,0,COUNTA(enemy_skill_triggers!$A:$A),MATCH(L$1,enemy_skill_triggers!$1:$1,0)-MATCH($F$1,enemy_skill_triggers!$1:$1,0)+1),MATCH(L$1,enemy_skill_triggers!$1:$1,0)-MATCH($F$1,enemy_skill_triggers!$1:$1,0)+1,FALSE)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4" s="48" t="str">
        <f ca="1">VLOOKUP($F364,OFFSET(enemy_skill_triggers!$A$1,0,0,COUNTA(enemy_skill_triggers!$A:$A),MATCH(M$1,enemy_skill_triggers!$1:$1,0)-MATCH($F$1,enemy_skill_triggers!$1:$1,0)+1),MATCH(M$1,enemy_skill_triggers!$1:$1,0)-MATCH($F$1,enemy_skill_triggers!$1:$1,0)+1,FALSE)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4" s="48">
        <f ca="1">VLOOKUP($F364,OFFSET(enemy_skill_triggers!$A$1,0,0,COUNTA(enemy_skill_triggers!$A:$A),MATCH(N$1,enemy_skill_triggers!$1:$1,0)-MATCH($F$1,enemy_skill_triggers!$1:$1,0)+1),MATCH(N$1,enemy_skill_triggers!$1:$1,0)-MATCH($F$1,enemy_skill_triggers!$1:$1,0)+1,FALSE)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364" s="48">
        <f ca="1">VLOOKUP($F364,OFFSET(enemy_skill_triggers!$A$1,0,0,COUNTA(enemy_skill_triggers!$A:$A),MATCH(O$1,enemy_skill_triggers!$1:$1,0)-MATCH($F$1,enemy_skill_triggers!$1:$1,0)+1),MATCH(O$1,enemy_skill_triggers!$1:$1,0)-MATCH($F$1,enemy_skill_triggers!$1:$1,0)+1,FALSE)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4" s="47"/>
      <c r="Q364" s="47"/>
      <c r="R364" s="47"/>
    </row>
    <row r="365" spans="1:18" ht="21" customHeight="1" x14ac:dyDescent="0.15">
      <c r="A365" s="39" t="str">
        <f t="shared" si="21"/>
        <v>47004650_47004660</v>
      </c>
      <c r="B365" s="127">
        <v>47004650</v>
      </c>
      <c r="C365" s="47">
        <v>47004660</v>
      </c>
      <c r="D365" s="46" t="str">
        <f ca="1">VLOOKUP($C365,OFFSET(enemy_skills!$A$1,0,0,COUNTA(enemy_skills!$A:$A),MATCH(D$1,enemy_skills!$1:$1,0)-MATCH("enemy_skill_id",enemy_skills!$1:$1,0)+1),MATCH(D$1,enemy_skills!$1:$1,0)-MATCH("enemy_skill_id",enemy_skills!$1:$1,0)+1,FALSE)</f>
        <v>その君の熱さで僕の凍った心…_x000D_溶かすことができるかい？</v>
      </c>
      <c r="E365" s="46" t="str">
        <f ca="1">VLOOKUP($C365,OFFSET(enemy_skills!$A$1,0,0,COUNTA(enemy_skills!$A:$A),MATCH(E$1,enemy_skills!$1:$1,0)-MATCH("enemy_skill_id",enemy_skills!$1:$1,0)+1),MATCH(E$1,enemy_skills!$1:$1,0)-MATCH("enemy_skill_id",enemy_skills!$1:$1,0)+1,FALSE)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65" s="47">
        <v>47004667</v>
      </c>
      <c r="G365" s="48">
        <f ca="1">VLOOKUP($F365,OFFSET(enemy_skill_triggers!$A$1,0,0,COUNTA(enemy_skill_triggers!$A:$A),MATCH(G$1,enemy_skill_triggers!$1:$1,0)-MATCH($F$1,enemy_skill_triggers!$1:$1,0)+1),MATCH(G$1,enemy_skill_triggers!$1:$1,0)-MATCH($F$1,enemy_skill_triggers!$1:$1,0)+1,FALSE)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5" s="48">
        <f ca="1">VLOOKUP($F365,OFFSET(enemy_skill_triggers!$A$1,0,0,COUNTA(enemy_skill_triggers!$A:$A),MATCH(H$1,enemy_skill_triggers!$1:$1,0)-MATCH($F$1,enemy_skill_triggers!$1:$1,0)+1),MATCH(H$1,enemy_skill_triggers!$1:$1,0)-MATCH($F$1,enemy_skill_triggers!$1:$1,0)+1,FALSE)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365" s="48">
        <f ca="1">VLOOKUP($F365,OFFSET(enemy_skill_triggers!$A$1,0,0,COUNTA(enemy_skill_triggers!$A:$A),MATCH(I$1,enemy_skill_triggers!$1:$1,0)-MATCH($F$1,enemy_skill_triggers!$1:$1,0)+1),MATCH(I$1,enemy_skill_triggers!$1:$1,0)-MATCH($F$1,enemy_skill_triggers!$1:$1,0)+1,FALSE)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5" s="48" t="str">
        <f ca="1">VLOOKUP($F365,OFFSET(enemy_skill_triggers!$A$1,0,0,COUNTA(enemy_skill_triggers!$A:$A),MATCH(J$1,enemy_skill_triggers!$1:$1,0)-MATCH($F$1,enemy_skill_triggers!$1:$1,0)+1),MATCH(J$1,enemy_skill_triggers!$1:$1,0)-MATCH($F$1,enemy_skill_triggers!$1:$1,0)+1,FALSE)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5" s="48" t="str">
        <f ca="1">VLOOKUP($F365,OFFSET(enemy_skill_triggers!$A$1,0,0,COUNTA(enemy_skill_triggers!$A:$A),MATCH(K$1,enemy_skill_triggers!$1:$1,0)-MATCH($F$1,enemy_skill_triggers!$1:$1,0)+1),MATCH(K$1,enemy_skill_triggers!$1:$1,0)-MATCH($F$1,enemy_skill_triggers!$1:$1,0)+1,FALSE)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5" s="48">
        <f ca="1">VLOOKUP($F365,OFFSET(enemy_skill_triggers!$A$1,0,0,COUNTA(enemy_skill_triggers!$A:$A),MATCH(L$1,enemy_skill_triggers!$1:$1,0)-MATCH($F$1,enemy_skill_triggers!$1:$1,0)+1),MATCH(L$1,enemy_skill_triggers!$1:$1,0)-MATCH($F$1,enemy_skill_triggers!$1:$1,0)+1,FALSE)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5" s="48" t="str">
        <f ca="1">VLOOKUP($F365,OFFSET(enemy_skill_triggers!$A$1,0,0,COUNTA(enemy_skill_triggers!$A:$A),MATCH(M$1,enemy_skill_triggers!$1:$1,0)-MATCH($F$1,enemy_skill_triggers!$1:$1,0)+1),MATCH(M$1,enemy_skill_triggers!$1:$1,0)-MATCH($F$1,enemy_skill_triggers!$1:$1,0)+1,FALSE)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5" s="48">
        <f ca="1">VLOOKUP($F365,OFFSET(enemy_skill_triggers!$A$1,0,0,COUNTA(enemy_skill_triggers!$A:$A),MATCH(N$1,enemy_skill_triggers!$1:$1,0)-MATCH($F$1,enemy_skill_triggers!$1:$1,0)+1),MATCH(N$1,enemy_skill_triggers!$1:$1,0)-MATCH($F$1,enemy_skill_triggers!$1:$1,0)+1,FALSE)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365" s="48">
        <f ca="1">VLOOKUP($F365,OFFSET(enemy_skill_triggers!$A$1,0,0,COUNTA(enemy_skill_triggers!$A:$A),MATCH(O$1,enemy_skill_triggers!$1:$1,0)-MATCH($F$1,enemy_skill_triggers!$1:$1,0)+1),MATCH(O$1,enemy_skill_triggers!$1:$1,0)-MATCH($F$1,enemy_skill_triggers!$1:$1,0)+1,FALSE)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5" s="47"/>
      <c r="Q365" s="47"/>
      <c r="R365" s="47"/>
    </row>
    <row r="366" spans="1:18" ht="21" customHeight="1" x14ac:dyDescent="0.15">
      <c r="A366" s="39" t="str">
        <f t="shared" si="21"/>
        <v>47004650_47004660</v>
      </c>
      <c r="B366" s="127">
        <v>47004650</v>
      </c>
      <c r="C366" s="47">
        <v>47004660</v>
      </c>
      <c r="D366" s="46" t="str">
        <f ca="1">VLOOKUP($C366,OFFSET(enemy_skills!$A$1,0,0,COUNTA(enemy_skills!$A:$A),MATCH(D$1,enemy_skills!$1:$1,0)-MATCH("enemy_skill_id",enemy_skills!$1:$1,0)+1),MATCH(D$1,enemy_skills!$1:$1,0)-MATCH("enemy_skill_id",enemy_skills!$1:$1,0)+1,FALSE)</f>
        <v>その君の熱さで僕の凍った心…_x000D_溶かすことができるかい？</v>
      </c>
      <c r="E366" s="46" t="str">
        <f ca="1">VLOOKUP($C366,OFFSET(enemy_skills!$A$1,0,0,COUNTA(enemy_skills!$A:$A),MATCH(E$1,enemy_skills!$1:$1,0)-MATCH("enemy_skill_id",enemy_skills!$1:$1,0)+1),MATCH(E$1,enemy_skills!$1:$1,0)-MATCH("enemy_skill_id",enemy_skills!$1:$1,0)+1,FALSE)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66" s="47">
        <v>47004668</v>
      </c>
      <c r="G366" s="48">
        <f ca="1">VLOOKUP($F366,OFFSET(enemy_skill_triggers!$A$1,0,0,COUNTA(enemy_skill_triggers!$A:$A),MATCH(G$1,enemy_skill_triggers!$1:$1,0)-MATCH($F$1,enemy_skill_triggers!$1:$1,0)+1),MATCH(G$1,enemy_skill_triggers!$1:$1,0)-MATCH($F$1,enemy_skill_triggers!$1:$1,0)+1,FALSE)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6" s="48">
        <f ca="1">VLOOKUP($F366,OFFSET(enemy_skill_triggers!$A$1,0,0,COUNTA(enemy_skill_triggers!$A:$A),MATCH(H$1,enemy_skill_triggers!$1:$1,0)-MATCH($F$1,enemy_skill_triggers!$1:$1,0)+1),MATCH(H$1,enemy_skill_triggers!$1:$1,0)-MATCH($F$1,enemy_skill_triggers!$1:$1,0)+1,FALSE)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366" s="48">
        <f ca="1">VLOOKUP($F366,OFFSET(enemy_skill_triggers!$A$1,0,0,COUNTA(enemy_skill_triggers!$A:$A),MATCH(I$1,enemy_skill_triggers!$1:$1,0)-MATCH($F$1,enemy_skill_triggers!$1:$1,0)+1),MATCH(I$1,enemy_skill_triggers!$1:$1,0)-MATCH($F$1,enemy_skill_triggers!$1:$1,0)+1,FALSE)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6" s="48" t="str">
        <f ca="1">VLOOKUP($F366,OFFSET(enemy_skill_triggers!$A$1,0,0,COUNTA(enemy_skill_triggers!$A:$A),MATCH(J$1,enemy_skill_triggers!$1:$1,0)-MATCH($F$1,enemy_skill_triggers!$1:$1,0)+1),MATCH(J$1,enemy_skill_triggers!$1:$1,0)-MATCH($F$1,enemy_skill_triggers!$1:$1,0)+1,FALSE)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6" s="48" t="str">
        <f ca="1">VLOOKUP($F366,OFFSET(enemy_skill_triggers!$A$1,0,0,COUNTA(enemy_skill_triggers!$A:$A),MATCH(K$1,enemy_skill_triggers!$1:$1,0)-MATCH($F$1,enemy_skill_triggers!$1:$1,0)+1),MATCH(K$1,enemy_skill_triggers!$1:$1,0)-MATCH($F$1,enemy_skill_triggers!$1:$1,0)+1,FALSE)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6" s="48">
        <f ca="1">VLOOKUP($F366,OFFSET(enemy_skill_triggers!$A$1,0,0,COUNTA(enemy_skill_triggers!$A:$A),MATCH(L$1,enemy_skill_triggers!$1:$1,0)-MATCH($F$1,enemy_skill_triggers!$1:$1,0)+1),MATCH(L$1,enemy_skill_triggers!$1:$1,0)-MATCH($F$1,enemy_skill_triggers!$1:$1,0)+1,FALSE)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6" s="48" t="str">
        <f ca="1">VLOOKUP($F366,OFFSET(enemy_skill_triggers!$A$1,0,0,COUNTA(enemy_skill_triggers!$A:$A),MATCH(M$1,enemy_skill_triggers!$1:$1,0)-MATCH($F$1,enemy_skill_triggers!$1:$1,0)+1),MATCH(M$1,enemy_skill_triggers!$1:$1,0)-MATCH($F$1,enemy_skill_triggers!$1:$1,0)+1,FALSE)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6" s="48">
        <f ca="1">VLOOKUP($F366,OFFSET(enemy_skill_triggers!$A$1,0,0,COUNTA(enemy_skill_triggers!$A:$A),MATCH(N$1,enemy_skill_triggers!$1:$1,0)-MATCH($F$1,enemy_skill_triggers!$1:$1,0)+1),MATCH(N$1,enemy_skill_triggers!$1:$1,0)-MATCH($F$1,enemy_skill_triggers!$1:$1,0)+1,FALSE)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366" s="48">
        <f ca="1">VLOOKUP($F366,OFFSET(enemy_skill_triggers!$A$1,0,0,COUNTA(enemy_skill_triggers!$A:$A),MATCH(O$1,enemy_skill_triggers!$1:$1,0)-MATCH($F$1,enemy_skill_triggers!$1:$1,0)+1),MATCH(O$1,enemy_skill_triggers!$1:$1,0)-MATCH($F$1,enemy_skill_triggers!$1:$1,0)+1,FALSE)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6" s="47"/>
      <c r="Q366" s="47"/>
      <c r="R366" s="47"/>
    </row>
    <row r="367" spans="1:18" ht="21" customHeight="1" x14ac:dyDescent="0.15">
      <c r="A367" s="39" t="str">
        <f t="shared" si="21"/>
        <v>47004650_47004660</v>
      </c>
      <c r="B367" s="127">
        <v>47004650</v>
      </c>
      <c r="C367" s="47">
        <v>47004660</v>
      </c>
      <c r="D367" s="46" t="str">
        <f ca="1">VLOOKUP($C367,OFFSET(enemy_skills!$A$1,0,0,COUNTA(enemy_skills!$A:$A),MATCH(D$1,enemy_skills!$1:$1,0)-MATCH("enemy_skill_id",enemy_skills!$1:$1,0)+1),MATCH(D$1,enemy_skills!$1:$1,0)-MATCH("enemy_skill_id",enemy_skills!$1:$1,0)+1,FALSE)</f>
        <v>その君の熱さで僕の凍った心…_x000D_溶かすことができるかい？</v>
      </c>
      <c r="E367" s="46" t="str">
        <f ca="1">VLOOKUP($C367,OFFSET(enemy_skills!$A$1,0,0,COUNTA(enemy_skills!$A:$A),MATCH(E$1,enemy_skills!$1:$1,0)-MATCH("enemy_skill_id",enemy_skills!$1:$1,0)+1),MATCH(E$1,enemy_skills!$1:$1,0)-MATCH("enemy_skill_id",enemy_skills!$1:$1,0)+1,FALSE)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67" s="47">
        <v>47004669</v>
      </c>
      <c r="G367" s="48">
        <f ca="1">VLOOKUP($F367,OFFSET(enemy_skill_triggers!$A$1,0,0,COUNTA(enemy_skill_triggers!$A:$A),MATCH(G$1,enemy_skill_triggers!$1:$1,0)-MATCH($F$1,enemy_skill_triggers!$1:$1,0)+1),MATCH(G$1,enemy_skill_triggers!$1:$1,0)-MATCH($F$1,enemy_skill_triggers!$1:$1,0)+1,FALSE)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7" s="48">
        <f ca="1">VLOOKUP($F367,OFFSET(enemy_skill_triggers!$A$1,0,0,COUNTA(enemy_skill_triggers!$A:$A),MATCH(H$1,enemy_skill_triggers!$1:$1,0)-MATCH($F$1,enemy_skill_triggers!$1:$1,0)+1),MATCH(H$1,enemy_skill_triggers!$1:$1,0)-MATCH($F$1,enemy_skill_triggers!$1:$1,0)+1,FALSE)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367" s="48">
        <f ca="1">VLOOKUP($F367,OFFSET(enemy_skill_triggers!$A$1,0,0,COUNTA(enemy_skill_triggers!$A:$A),MATCH(I$1,enemy_skill_triggers!$1:$1,0)-MATCH($F$1,enemy_skill_triggers!$1:$1,0)+1),MATCH(I$1,enemy_skill_triggers!$1:$1,0)-MATCH($F$1,enemy_skill_triggers!$1:$1,0)+1,FALSE)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7" s="48" t="str">
        <f ca="1">VLOOKUP($F367,OFFSET(enemy_skill_triggers!$A$1,0,0,COUNTA(enemy_skill_triggers!$A:$A),MATCH(J$1,enemy_skill_triggers!$1:$1,0)-MATCH($F$1,enemy_skill_triggers!$1:$1,0)+1),MATCH(J$1,enemy_skill_triggers!$1:$1,0)-MATCH($F$1,enemy_skill_triggers!$1:$1,0)+1,FALSE)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7" s="48" t="str">
        <f ca="1">VLOOKUP($F367,OFFSET(enemy_skill_triggers!$A$1,0,0,COUNTA(enemy_skill_triggers!$A:$A),MATCH(K$1,enemy_skill_triggers!$1:$1,0)-MATCH($F$1,enemy_skill_triggers!$1:$1,0)+1),MATCH(K$1,enemy_skill_triggers!$1:$1,0)-MATCH($F$1,enemy_skill_triggers!$1:$1,0)+1,FALSE)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7" s="48">
        <f ca="1">VLOOKUP($F367,OFFSET(enemy_skill_triggers!$A$1,0,0,COUNTA(enemy_skill_triggers!$A:$A),MATCH(L$1,enemy_skill_triggers!$1:$1,0)-MATCH($F$1,enemy_skill_triggers!$1:$1,0)+1),MATCH(L$1,enemy_skill_triggers!$1:$1,0)-MATCH($F$1,enemy_skill_triggers!$1:$1,0)+1,FALSE)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7" s="48" t="str">
        <f ca="1">VLOOKUP($F367,OFFSET(enemy_skill_triggers!$A$1,0,0,COUNTA(enemy_skill_triggers!$A:$A),MATCH(M$1,enemy_skill_triggers!$1:$1,0)-MATCH($F$1,enemy_skill_triggers!$1:$1,0)+1),MATCH(M$1,enemy_skill_triggers!$1:$1,0)-MATCH($F$1,enemy_skill_triggers!$1:$1,0)+1,FALSE)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7" s="48">
        <f ca="1">VLOOKUP($F367,OFFSET(enemy_skill_triggers!$A$1,0,0,COUNTA(enemy_skill_triggers!$A:$A),MATCH(N$1,enemy_skill_triggers!$1:$1,0)-MATCH($F$1,enemy_skill_triggers!$1:$1,0)+1),MATCH(N$1,enemy_skill_triggers!$1:$1,0)-MATCH($F$1,enemy_skill_triggers!$1:$1,0)+1,FALSE)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367" s="48">
        <f ca="1">VLOOKUP($F367,OFFSET(enemy_skill_triggers!$A$1,0,0,COUNTA(enemy_skill_triggers!$A:$A),MATCH(O$1,enemy_skill_triggers!$1:$1,0)-MATCH($F$1,enemy_skill_triggers!$1:$1,0)+1),MATCH(O$1,enemy_skill_triggers!$1:$1,0)-MATCH($F$1,enemy_skill_triggers!$1:$1,0)+1,FALSE)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7" s="47"/>
      <c r="Q367" s="47"/>
      <c r="R367" s="47"/>
    </row>
    <row r="368" spans="1:18" ht="21" customHeight="1" x14ac:dyDescent="0.15">
      <c r="A368" s="39" t="str">
        <f t="shared" ref="A368:A369" si="24">B368&amp;"_"&amp;C368</f>
        <v>47004650_47004661</v>
      </c>
      <c r="B368" s="127">
        <v>47004650</v>
      </c>
      <c r="C368" s="47">
        <v>47004661</v>
      </c>
      <c r="D368" s="46" t="str">
        <f ca="1">VLOOKUP($C368,OFFSET(enemy_skills!$A$1,0,0,COUNTA(enemy_skills!$A:$A),MATCH(D$1,enemy_skills!$1:$1,0)-MATCH("enemy_skill_id",enemy_skills!$1:$1,0)+1),MATCH(D$1,enemy_skills!$1:$1,0)-MATCH("enemy_skill_id",enemy_skills!$1:$1,0)+1,FALSE)</f>
        <v>エスタブかい…？_x000D_君には憧れるよ…色々と…</v>
      </c>
      <c r="E368" s="46" t="str">
        <f ca="1">VLOOKUP($C368,OFFSET(enemy_skills!$A$1,0,0,COUNTA(enemy_skills!$A:$A),MATCH(E$1,enemy_skills!$1:$1,0)-MATCH("enemy_skill_id",enemy_skills!$1:$1,0)+1),MATCH(E$1,enemy_skills!$1:$1,0)-MATCH("enemy_skill_id",enemy_skills!$1:$1,0)+1,FALSE)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68" s="47">
        <v>47004670</v>
      </c>
      <c r="G368" s="48">
        <f ca="1">VLOOKUP($F368,OFFSET(enemy_skill_triggers!$A$1,0,0,COUNTA(enemy_skill_triggers!$A:$A),MATCH(G$1,enemy_skill_triggers!$1:$1,0)-MATCH($F$1,enemy_skill_triggers!$1:$1,0)+1),MATCH(G$1,enemy_skill_triggers!$1:$1,0)-MATCH($F$1,enemy_skill_triggers!$1:$1,0)+1,FALSE)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8" s="48">
        <f ca="1">VLOOKUP($F368,OFFSET(enemy_skill_triggers!$A$1,0,0,COUNTA(enemy_skill_triggers!$A:$A),MATCH(H$1,enemy_skill_triggers!$1:$1,0)-MATCH($F$1,enemy_skill_triggers!$1:$1,0)+1),MATCH(H$1,enemy_skill_triggers!$1:$1,0)-MATCH($F$1,enemy_skill_triggers!$1:$1,0)+1,FALSE)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368" s="48">
        <f ca="1">VLOOKUP($F368,OFFSET(enemy_skill_triggers!$A$1,0,0,COUNTA(enemy_skill_triggers!$A:$A),MATCH(I$1,enemy_skill_triggers!$1:$1,0)-MATCH($F$1,enemy_skill_triggers!$1:$1,0)+1),MATCH(I$1,enemy_skill_triggers!$1:$1,0)-MATCH($F$1,enemy_skill_triggers!$1:$1,0)+1,FALSE)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8" s="48" t="str">
        <f ca="1">VLOOKUP($F368,OFFSET(enemy_skill_triggers!$A$1,0,0,COUNTA(enemy_skill_triggers!$A:$A),MATCH(J$1,enemy_skill_triggers!$1:$1,0)-MATCH($F$1,enemy_skill_triggers!$1:$1,0)+1),MATCH(J$1,enemy_skill_triggers!$1:$1,0)-MATCH($F$1,enemy_skill_triggers!$1:$1,0)+1,FALSE)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8" s="48" t="str">
        <f ca="1">VLOOKUP($F368,OFFSET(enemy_skill_triggers!$A$1,0,0,COUNTA(enemy_skill_triggers!$A:$A),MATCH(K$1,enemy_skill_triggers!$1:$1,0)-MATCH($F$1,enemy_skill_triggers!$1:$1,0)+1),MATCH(K$1,enemy_skill_triggers!$1:$1,0)-MATCH($F$1,enemy_skill_triggers!$1:$1,0)+1,FALSE)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8" s="48">
        <f ca="1">VLOOKUP($F368,OFFSET(enemy_skill_triggers!$A$1,0,0,COUNTA(enemy_skill_triggers!$A:$A),MATCH(L$1,enemy_skill_triggers!$1:$1,0)-MATCH($F$1,enemy_skill_triggers!$1:$1,0)+1),MATCH(L$1,enemy_skill_triggers!$1:$1,0)-MATCH($F$1,enemy_skill_triggers!$1:$1,0)+1,FALSE)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8" s="48" t="str">
        <f ca="1">VLOOKUP($F368,OFFSET(enemy_skill_triggers!$A$1,0,0,COUNTA(enemy_skill_triggers!$A:$A),MATCH(M$1,enemy_skill_triggers!$1:$1,0)-MATCH($F$1,enemy_skill_triggers!$1:$1,0)+1),MATCH(M$1,enemy_skill_triggers!$1:$1,0)-MATCH($F$1,enemy_skill_triggers!$1:$1,0)+1,FALSE)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8" s="48">
        <f ca="1">VLOOKUP($F368,OFFSET(enemy_skill_triggers!$A$1,0,0,COUNTA(enemy_skill_triggers!$A:$A),MATCH(N$1,enemy_skill_triggers!$1:$1,0)-MATCH($F$1,enemy_skill_triggers!$1:$1,0)+1),MATCH(N$1,enemy_skill_triggers!$1:$1,0)-MATCH($F$1,enemy_skill_triggers!$1:$1,0)+1,FALSE)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368" s="48">
        <f ca="1">VLOOKUP($F368,OFFSET(enemy_skill_triggers!$A$1,0,0,COUNTA(enemy_skill_triggers!$A:$A),MATCH(O$1,enemy_skill_triggers!$1:$1,0)-MATCH($F$1,enemy_skill_triggers!$1:$1,0)+1),MATCH(O$1,enemy_skill_triggers!$1:$1,0)-MATCH($F$1,enemy_skill_triggers!$1:$1,0)+1,FALSE)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8" s="47"/>
      <c r="Q368" s="47"/>
      <c r="R368" s="47"/>
    </row>
    <row r="369" spans="1:18" ht="21" customHeight="1" x14ac:dyDescent="0.15">
      <c r="A369" s="39" t="str">
        <f t="shared" si="24"/>
        <v>47004650_47004662</v>
      </c>
      <c r="B369" s="127">
        <v>47004650</v>
      </c>
      <c r="C369" s="47">
        <v>47004662</v>
      </c>
      <c r="D369" s="46" t="str">
        <f ca="1">VLOOKUP($C369,OFFSET(enemy_skills!$A$1,0,0,COUNTA(enemy_skills!$A:$A),MATCH(D$1,enemy_skills!$1:$1,0)-MATCH("enemy_skill_id",enemy_skills!$1:$1,0)+1),MATCH(D$1,enemy_skills!$1:$1,0)-MATCH("enemy_skill_id",enemy_skills!$1:$1,0)+1,FALSE)</f>
        <v>卑弥呼かい…？_x000D_僕をどうするんだい…？</v>
      </c>
      <c r="E369" s="46" t="str">
        <f ca="1">VLOOKUP($C369,OFFSET(enemy_skills!$A$1,0,0,COUNTA(enemy_skills!$A:$A),MATCH(E$1,enemy_skills!$1:$1,0)-MATCH("enemy_skill_id",enemy_skills!$1:$1,0)+1),MATCH(E$1,enemy_skills!$1:$1,0)-MATCH("enemy_skill_id",enemy_skills!$1:$1,0)+1,FALSE)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369" s="47">
        <v>47004671</v>
      </c>
      <c r="G369" s="48">
        <f ca="1">VLOOKUP($F369,OFFSET(enemy_skill_triggers!$A$1,0,0,COUNTA(enemy_skill_triggers!$A:$A),MATCH(G$1,enemy_skill_triggers!$1:$1,0)-MATCH($F$1,enemy_skill_triggers!$1:$1,0)+1),MATCH(G$1,enemy_skill_triggers!$1:$1,0)-MATCH($F$1,enemy_skill_triggers!$1:$1,0)+1,FALSE)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9" s="48">
        <f ca="1">VLOOKUP($F369,OFFSET(enemy_skill_triggers!$A$1,0,0,COUNTA(enemy_skill_triggers!$A:$A),MATCH(H$1,enemy_skill_triggers!$1:$1,0)-MATCH($F$1,enemy_skill_triggers!$1:$1,0)+1),MATCH(H$1,enemy_skill_triggers!$1:$1,0)-MATCH($F$1,enemy_skill_triggers!$1:$1,0)+1,FALSE)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369" s="48">
        <f ca="1">VLOOKUP($F369,OFFSET(enemy_skill_triggers!$A$1,0,0,COUNTA(enemy_skill_triggers!$A:$A),MATCH(I$1,enemy_skill_triggers!$1:$1,0)-MATCH($F$1,enemy_skill_triggers!$1:$1,0)+1),MATCH(I$1,enemy_skill_triggers!$1:$1,0)-MATCH($F$1,enemy_skill_triggers!$1:$1,0)+1,FALSE)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9" s="48" t="str">
        <f ca="1">VLOOKUP($F369,OFFSET(enemy_skill_triggers!$A$1,0,0,COUNTA(enemy_skill_triggers!$A:$A),MATCH(J$1,enemy_skill_triggers!$1:$1,0)-MATCH($F$1,enemy_skill_triggers!$1:$1,0)+1),MATCH(J$1,enemy_skill_triggers!$1:$1,0)-MATCH($F$1,enemy_skill_triggers!$1:$1,0)+1,FALSE)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9" s="48" t="str">
        <f ca="1">VLOOKUP($F369,OFFSET(enemy_skill_triggers!$A$1,0,0,COUNTA(enemy_skill_triggers!$A:$A),MATCH(K$1,enemy_skill_triggers!$1:$1,0)-MATCH($F$1,enemy_skill_triggers!$1:$1,0)+1),MATCH(K$1,enemy_skill_triggers!$1:$1,0)-MATCH($F$1,enemy_skill_triggers!$1:$1,0)+1,FALSE)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9" s="48">
        <f ca="1">VLOOKUP($F369,OFFSET(enemy_skill_triggers!$A$1,0,0,COUNTA(enemy_skill_triggers!$A:$A),MATCH(L$1,enemy_skill_triggers!$1:$1,0)-MATCH($F$1,enemy_skill_triggers!$1:$1,0)+1),MATCH(L$1,enemy_skill_triggers!$1:$1,0)-MATCH($F$1,enemy_skill_triggers!$1:$1,0)+1,FALSE)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9" s="48" t="str">
        <f ca="1">VLOOKUP($F369,OFFSET(enemy_skill_triggers!$A$1,0,0,COUNTA(enemy_skill_triggers!$A:$A),MATCH(M$1,enemy_skill_triggers!$1:$1,0)-MATCH($F$1,enemy_skill_triggers!$1:$1,0)+1),MATCH(M$1,enemy_skill_triggers!$1:$1,0)-MATCH($F$1,enemy_skill_triggers!$1:$1,0)+1,FALSE)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9" s="48">
        <f ca="1">VLOOKUP($F369,OFFSET(enemy_skill_triggers!$A$1,0,0,COUNTA(enemy_skill_triggers!$A:$A),MATCH(N$1,enemy_skill_triggers!$1:$1,0)-MATCH($F$1,enemy_skill_triggers!$1:$1,0)+1),MATCH(N$1,enemy_skill_triggers!$1:$1,0)-MATCH($F$1,enemy_skill_triggers!$1:$1,0)+1,FALSE)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369" s="48">
        <f ca="1">VLOOKUP($F369,OFFSET(enemy_skill_triggers!$A$1,0,0,COUNTA(enemy_skill_triggers!$A:$A),MATCH(O$1,enemy_skill_triggers!$1:$1,0)-MATCH($F$1,enemy_skill_triggers!$1:$1,0)+1),MATCH(O$1,enemy_skill_triggers!$1:$1,0)-MATCH($F$1,enemy_skill_triggers!$1:$1,0)+1,FALSE)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9" s="47"/>
      <c r="Q369" s="47"/>
      <c r="R369" s="47"/>
    </row>
    <row r="370" spans="1:18" ht="21" customHeight="1" x14ac:dyDescent="0.15">
      <c r="A370" s="39" t="str">
        <f t="shared" si="21"/>
        <v>47004680_47004681</v>
      </c>
      <c r="B370" s="127">
        <v>47004680</v>
      </c>
      <c r="C370" s="47">
        <v>47004681</v>
      </c>
      <c r="D370" s="46" t="str">
        <f ca="1">VLOOKUP($C370,OFFSET(enemy_skills!$A$1,0,0,COUNTA(enemy_skills!$A:$A),MATCH(D$1,enemy_skills!$1:$1,0)-MATCH("enemy_skill_id",enemy_skills!$1:$1,0)+1),MATCH(D$1,enemy_skills!$1:$1,0)-MATCH("enemy_skill_id",enemy_skills!$1:$1,0)+1,FALSE)</f>
        <v>いい加減にしてくれないかな…</v>
      </c>
      <c r="E370" s="46" t="str">
        <f ca="1">VLOOKUP($C370,OFFSET(enemy_skills!$A$1,0,0,COUNTA(enemy_skills!$A:$A),MATCH(E$1,enemy_skills!$1:$1,0)-MATCH("enemy_skill_id",enemy_skills!$1:$1,0)+1),MATCH(E$1,enemy_skills!$1:$1,0)-MATCH("enemy_skill_id",enemy_skills!$1:$1,0)+1,FALSE)</f>
        <v>マシン・シュプールの姿に亀裂が入り出している_x000D_【状態異常耐性+_x000D_　5ターン全ユニットのタップ回数を2DOWN】</v>
      </c>
      <c r="F370" s="47">
        <v>47004681</v>
      </c>
      <c r="G370" s="48">
        <f ca="1">VLOOKUP($F370,OFFSET(enemy_skill_triggers!$A$1,0,0,COUNTA(enemy_skill_triggers!$A:$A),MATCH(G$1,enemy_skill_triggers!$1:$1,0)-MATCH($F$1,enemy_skill_triggers!$1:$1,0)+1),MATCH(G$1,enemy_skill_triggers!$1:$1,0)-MATCH($F$1,enemy_skill_triggers!$1:$1,0)+1,FALSE)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0" s="48">
        <f ca="1">VLOOKUP($F370,OFFSET(enemy_skill_triggers!$A$1,0,0,COUNTA(enemy_skill_triggers!$A:$A),MATCH(H$1,enemy_skill_triggers!$1:$1,0)-MATCH($F$1,enemy_skill_triggers!$1:$1,0)+1),MATCH(H$1,enemy_skill_triggers!$1:$1,0)-MATCH($F$1,enemy_skill_triggers!$1:$1,0)+1,FALSE)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70" s="48">
        <f ca="1">VLOOKUP($F370,OFFSET(enemy_skill_triggers!$A$1,0,0,COUNTA(enemy_skill_triggers!$A:$A),MATCH(I$1,enemy_skill_triggers!$1:$1,0)-MATCH($F$1,enemy_skill_triggers!$1:$1,0)+1),MATCH(I$1,enemy_skill_triggers!$1:$1,0)-MATCH($F$1,enemy_skill_triggers!$1:$1,0)+1,FALSE)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0" s="48" t="str">
        <f ca="1">VLOOKUP($F370,OFFSET(enemy_skill_triggers!$A$1,0,0,COUNTA(enemy_skill_triggers!$A:$A),MATCH(J$1,enemy_skill_triggers!$1:$1,0)-MATCH($F$1,enemy_skill_triggers!$1:$1,0)+1),MATCH(J$1,enemy_skill_triggers!$1:$1,0)-MATCH($F$1,enemy_skill_triggers!$1:$1,0)+1,FALSE)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0" s="48" t="str">
        <f ca="1">VLOOKUP($F370,OFFSET(enemy_skill_triggers!$A$1,0,0,COUNTA(enemy_skill_triggers!$A:$A),MATCH(K$1,enemy_skill_triggers!$1:$1,0)-MATCH($F$1,enemy_skill_triggers!$1:$1,0)+1),MATCH(K$1,enemy_skill_triggers!$1:$1,0)-MATCH($F$1,enemy_skill_triggers!$1:$1,0)+1,FALSE)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0" s="48">
        <f ca="1">VLOOKUP($F370,OFFSET(enemy_skill_triggers!$A$1,0,0,COUNTA(enemy_skill_triggers!$A:$A),MATCH(L$1,enemy_skill_triggers!$1:$1,0)-MATCH($F$1,enemy_skill_triggers!$1:$1,0)+1),MATCH(L$1,enemy_skill_triggers!$1:$1,0)-MATCH($F$1,enemy_skill_triggers!$1:$1,0)+1,FALSE)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0" s="48" t="str">
        <f ca="1">VLOOKUP($F370,OFFSET(enemy_skill_triggers!$A$1,0,0,COUNTA(enemy_skill_triggers!$A:$A),MATCH(M$1,enemy_skill_triggers!$1:$1,0)-MATCH($F$1,enemy_skill_triggers!$1:$1,0)+1),MATCH(M$1,enemy_skill_triggers!$1:$1,0)-MATCH($F$1,enemy_skill_triggers!$1:$1,0)+1,FALSE)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0" s="48" t="str">
        <f ca="1">VLOOKUP($F370,OFFSET(enemy_skill_triggers!$A$1,0,0,COUNTA(enemy_skill_triggers!$A:$A),MATCH(N$1,enemy_skill_triggers!$1:$1,0)-MATCH($F$1,enemy_skill_triggers!$1:$1,0)+1),MATCH(N$1,enemy_skill_triggers!$1:$1,0)-MATCH($F$1,enemy_skill_triggers!$1:$1,0)+1,FALSE)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0" s="48">
        <f ca="1">VLOOKUP($F370,OFFSET(enemy_skill_triggers!$A$1,0,0,COUNTA(enemy_skill_triggers!$A:$A),MATCH(O$1,enemy_skill_triggers!$1:$1,0)-MATCH($F$1,enemy_skill_triggers!$1:$1,0)+1),MATCH(O$1,enemy_skill_triggers!$1:$1,0)-MATCH($F$1,enemy_skill_triggers!$1:$1,0)+1,FALSE)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0" s="47"/>
      <c r="Q370" s="47"/>
      <c r="R370" s="47"/>
    </row>
    <row r="371" spans="1:18" ht="21" customHeight="1" x14ac:dyDescent="0.15">
      <c r="A371" s="39" t="str">
        <f t="shared" si="21"/>
        <v>47004680_47004682</v>
      </c>
      <c r="B371" s="127">
        <v>47004680</v>
      </c>
      <c r="C371" s="47">
        <v>47004682</v>
      </c>
      <c r="D371" s="46" t="str">
        <f ca="1">VLOOKUP($C371,OFFSET(enemy_skills!$A$1,0,0,COUNTA(enemy_skills!$A:$A),MATCH(D$1,enemy_skills!$1:$1,0)-MATCH("enemy_skill_id",enemy_skills!$1:$1,0)+1),MATCH(D$1,enemy_skills!$1:$1,0)-MATCH("enemy_skill_id",enemy_skills!$1:$1,0)+1,FALSE)</f>
        <v>僕は何も覚えてなんかいないし…</v>
      </c>
      <c r="E371" s="46" t="str">
        <f ca="1">VLOOKUP($C371,OFFSET(enemy_skills!$A$1,0,0,COUNTA(enemy_skills!$A:$A),MATCH(E$1,enemy_skills!$1:$1,0)-MATCH("enemy_skill_id",enemy_skills!$1:$1,0)+1),MATCH(E$1,enemy_skills!$1:$1,0)-MATCH("enemy_skill_id",enemy_skills!$1:$1,0)+1,FALSE)</f>
        <v>残りHPの20%消費+全体攻撃+_x000D_ランダムで青のダメージパネルに最大4個変換</v>
      </c>
      <c r="F371" s="47">
        <v>47004682</v>
      </c>
      <c r="G371" s="48">
        <f ca="1">VLOOKUP($F371,OFFSET(enemy_skill_triggers!$A$1,0,0,COUNTA(enemy_skill_triggers!$A:$A),MATCH(G$1,enemy_skill_triggers!$1:$1,0)-MATCH($F$1,enemy_skill_triggers!$1:$1,0)+1),MATCH(G$1,enemy_skill_triggers!$1:$1,0)-MATCH($F$1,enemy_skill_triggers!$1:$1,0)+1,FALSE)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1" s="48">
        <f ca="1">VLOOKUP($F371,OFFSET(enemy_skill_triggers!$A$1,0,0,COUNTA(enemy_skill_triggers!$A:$A),MATCH(H$1,enemy_skill_triggers!$1:$1,0)-MATCH($F$1,enemy_skill_triggers!$1:$1,0)+1),MATCH(H$1,enemy_skill_triggers!$1:$1,0)-MATCH($F$1,enemy_skill_triggers!$1:$1,0)+1,FALSE)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71" s="48">
        <f ca="1">VLOOKUP($F371,OFFSET(enemy_skill_triggers!$A$1,0,0,COUNTA(enemy_skill_triggers!$A:$A),MATCH(I$1,enemy_skill_triggers!$1:$1,0)-MATCH($F$1,enemy_skill_triggers!$1:$1,0)+1),MATCH(I$1,enemy_skill_triggers!$1:$1,0)-MATCH($F$1,enemy_skill_triggers!$1:$1,0)+1,FALSE)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1" s="48" t="str">
        <f ca="1">VLOOKUP($F371,OFFSET(enemy_skill_triggers!$A$1,0,0,COUNTA(enemy_skill_triggers!$A:$A),MATCH(J$1,enemy_skill_triggers!$1:$1,0)-MATCH($F$1,enemy_skill_triggers!$1:$1,0)+1),MATCH(J$1,enemy_skill_triggers!$1:$1,0)-MATCH($F$1,enemy_skill_triggers!$1:$1,0)+1,FALSE)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1" s="48" t="str">
        <f ca="1">VLOOKUP($F371,OFFSET(enemy_skill_triggers!$A$1,0,0,COUNTA(enemy_skill_triggers!$A:$A),MATCH(K$1,enemy_skill_triggers!$1:$1,0)-MATCH($F$1,enemy_skill_triggers!$1:$1,0)+1),MATCH(K$1,enemy_skill_triggers!$1:$1,0)-MATCH($F$1,enemy_skill_triggers!$1:$1,0)+1,FALSE)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1" s="48">
        <f ca="1">VLOOKUP($F371,OFFSET(enemy_skill_triggers!$A$1,0,0,COUNTA(enemy_skill_triggers!$A:$A),MATCH(L$1,enemy_skill_triggers!$1:$1,0)-MATCH($F$1,enemy_skill_triggers!$1:$1,0)+1),MATCH(L$1,enemy_skill_triggers!$1:$1,0)-MATCH($F$1,enemy_skill_triggers!$1:$1,0)+1,FALSE)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1" s="48">
        <f ca="1">VLOOKUP($F371,OFFSET(enemy_skill_triggers!$A$1,0,0,COUNTA(enemy_skill_triggers!$A:$A),MATCH(M$1,enemy_skill_triggers!$1:$1,0)-MATCH($F$1,enemy_skill_triggers!$1:$1,0)+1),MATCH(M$1,enemy_skill_triggers!$1:$1,0)-MATCH($F$1,enemy_skill_triggers!$1:$1,0)+1,FALSE)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1" s="48" t="str">
        <f ca="1">VLOOKUP($F371,OFFSET(enemy_skill_triggers!$A$1,0,0,COUNTA(enemy_skill_triggers!$A:$A),MATCH(N$1,enemy_skill_triggers!$1:$1,0)-MATCH($F$1,enemy_skill_triggers!$1:$1,0)+1),MATCH(N$1,enemy_skill_triggers!$1:$1,0)-MATCH($F$1,enemy_skill_triggers!$1:$1,0)+1,FALSE)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1" s="48">
        <f ca="1">VLOOKUP($F371,OFFSET(enemy_skill_triggers!$A$1,0,0,COUNTA(enemy_skill_triggers!$A:$A),MATCH(O$1,enemy_skill_triggers!$1:$1,0)-MATCH($F$1,enemy_skill_triggers!$1:$1,0)+1),MATCH(O$1,enemy_skill_triggers!$1:$1,0)-MATCH($F$1,enemy_skill_triggers!$1:$1,0)+1,FALSE)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1" s="47"/>
      <c r="Q371" s="47"/>
      <c r="R371" s="47"/>
    </row>
    <row r="372" spans="1:18" ht="21" customHeight="1" x14ac:dyDescent="0.15">
      <c r="A372" s="39" t="str">
        <f t="shared" si="21"/>
        <v>47004680_47004683</v>
      </c>
      <c r="B372" s="127">
        <v>47004680</v>
      </c>
      <c r="C372" s="47">
        <v>47004683</v>
      </c>
      <c r="D372" s="46" t="str">
        <f ca="1">VLOOKUP($C372,OFFSET(enemy_skills!$A$1,0,0,COUNTA(enemy_skills!$A:$A),MATCH(D$1,enemy_skills!$1:$1,0)-MATCH("enemy_skill_id",enemy_skills!$1:$1,0)+1),MATCH(D$1,enemy_skills!$1:$1,0)-MATCH("enemy_skill_id",enemy_skills!$1:$1,0)+1,FALSE)</f>
        <v>今更…何を言おうと…</v>
      </c>
      <c r="E372" s="46" t="str">
        <f ca="1">VLOOKUP($C372,OFFSET(enemy_skills!$A$1,0,0,COUNTA(enemy_skills!$A:$A),MATCH(E$1,enemy_skills!$1:$1,0)-MATCH("enemy_skill_id",enemy_skills!$1:$1,0)+1),MATCH(E$1,enemy_skills!$1:$1,0)-MATCH("enemy_skill_id",enemy_skills!$1:$1,0)+1,FALSE)</f>
        <v>残りHPの25%消費+全体攻撃+_x000D_ランダムで青のダメージパネルに最大4個変換</v>
      </c>
      <c r="F372" s="47">
        <v>47004683</v>
      </c>
      <c r="G372" s="48">
        <f ca="1">VLOOKUP($F372,OFFSET(enemy_skill_triggers!$A$1,0,0,COUNTA(enemy_skill_triggers!$A:$A),MATCH(G$1,enemy_skill_triggers!$1:$1,0)-MATCH($F$1,enemy_skill_triggers!$1:$1,0)+1),MATCH(G$1,enemy_skill_triggers!$1:$1,0)-MATCH($F$1,enemy_skill_triggers!$1:$1,0)+1,FALSE)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2" s="48">
        <f ca="1">VLOOKUP($F372,OFFSET(enemy_skill_triggers!$A$1,0,0,COUNTA(enemy_skill_triggers!$A:$A),MATCH(H$1,enemy_skill_triggers!$1:$1,0)-MATCH($F$1,enemy_skill_triggers!$1:$1,0)+1),MATCH(H$1,enemy_skill_triggers!$1:$1,0)-MATCH($F$1,enemy_skill_triggers!$1:$1,0)+1,FALSE)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72" s="48">
        <f ca="1">VLOOKUP($F372,OFFSET(enemy_skill_triggers!$A$1,0,0,COUNTA(enemy_skill_triggers!$A:$A),MATCH(I$1,enemy_skill_triggers!$1:$1,0)-MATCH($F$1,enemy_skill_triggers!$1:$1,0)+1),MATCH(I$1,enemy_skill_triggers!$1:$1,0)-MATCH($F$1,enemy_skill_triggers!$1:$1,0)+1,FALSE)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2" s="48" t="str">
        <f ca="1">VLOOKUP($F372,OFFSET(enemy_skill_triggers!$A$1,0,0,COUNTA(enemy_skill_triggers!$A:$A),MATCH(J$1,enemy_skill_triggers!$1:$1,0)-MATCH($F$1,enemy_skill_triggers!$1:$1,0)+1),MATCH(J$1,enemy_skill_triggers!$1:$1,0)-MATCH($F$1,enemy_skill_triggers!$1:$1,0)+1,FALSE)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2" s="48" t="str">
        <f ca="1">VLOOKUP($F372,OFFSET(enemy_skill_triggers!$A$1,0,0,COUNTA(enemy_skill_triggers!$A:$A),MATCH(K$1,enemy_skill_triggers!$1:$1,0)-MATCH($F$1,enemy_skill_triggers!$1:$1,0)+1),MATCH(K$1,enemy_skill_triggers!$1:$1,0)-MATCH($F$1,enemy_skill_triggers!$1:$1,0)+1,FALSE)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2" s="48">
        <f ca="1">VLOOKUP($F372,OFFSET(enemy_skill_triggers!$A$1,0,0,COUNTA(enemy_skill_triggers!$A:$A),MATCH(L$1,enemy_skill_triggers!$1:$1,0)-MATCH($F$1,enemy_skill_triggers!$1:$1,0)+1),MATCH(L$1,enemy_skill_triggers!$1:$1,0)-MATCH($F$1,enemy_skill_triggers!$1:$1,0)+1,FALSE)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2" s="48">
        <f ca="1">VLOOKUP($F372,OFFSET(enemy_skill_triggers!$A$1,0,0,COUNTA(enemy_skill_triggers!$A:$A),MATCH(M$1,enemy_skill_triggers!$1:$1,0)-MATCH($F$1,enemy_skill_triggers!$1:$1,0)+1),MATCH(M$1,enemy_skill_triggers!$1:$1,0)-MATCH($F$1,enemy_skill_triggers!$1:$1,0)+1,FALSE)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2" s="48" t="str">
        <f ca="1">VLOOKUP($F372,OFFSET(enemy_skill_triggers!$A$1,0,0,COUNTA(enemy_skill_triggers!$A:$A),MATCH(N$1,enemy_skill_triggers!$1:$1,0)-MATCH($F$1,enemy_skill_triggers!$1:$1,0)+1),MATCH(N$1,enemy_skill_triggers!$1:$1,0)-MATCH($F$1,enemy_skill_triggers!$1:$1,0)+1,FALSE)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2" s="48">
        <f ca="1">VLOOKUP($F372,OFFSET(enemy_skill_triggers!$A$1,0,0,COUNTA(enemy_skill_triggers!$A:$A),MATCH(O$1,enemy_skill_triggers!$1:$1,0)-MATCH($F$1,enemy_skill_triggers!$1:$1,0)+1),MATCH(O$1,enemy_skill_triggers!$1:$1,0)-MATCH($F$1,enemy_skill_triggers!$1:$1,0)+1,FALSE)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2" s="47"/>
      <c r="Q372" s="47"/>
      <c r="R372" s="47"/>
    </row>
    <row r="373" spans="1:18" ht="21" customHeight="1" x14ac:dyDescent="0.15">
      <c r="A373" s="39" t="str">
        <f t="shared" si="21"/>
        <v>47004680_47004684</v>
      </c>
      <c r="B373" s="127">
        <v>47004680</v>
      </c>
      <c r="C373" s="47">
        <v>47004684</v>
      </c>
      <c r="D373" s="46" t="str">
        <f ca="1">VLOOKUP($C373,OFFSET(enemy_skills!$A$1,0,0,COUNTA(enemy_skills!$A:$A),MATCH(D$1,enemy_skills!$1:$1,0)-MATCH("enemy_skill_id",enemy_skills!$1:$1,0)+1),MATCH(D$1,enemy_skills!$1:$1,0)-MATCH("enemy_skill_id",enemy_skills!$1:$1,0)+1,FALSE)</f>
        <v>あれ…？　これは何が…？</v>
      </c>
      <c r="E373" s="46" t="str">
        <f ca="1">VLOOKUP($C373,OFFSET(enemy_skills!$A$1,0,0,COUNTA(enemy_skills!$A:$A),MATCH(E$1,enemy_skills!$1:$1,0)-MATCH("enemy_skill_id",enemy_skills!$1:$1,0)+1),MATCH(E$1,enemy_skills!$1:$1,0)-MATCH("enemy_skill_id",enemy_skills!$1:$1,0)+1,FALSE)</f>
        <v>残りHPの33%消費+全体攻撃+_x000D_ランダムで青のダメージパネルに最大4個変換</v>
      </c>
      <c r="F373" s="47">
        <v>47004684</v>
      </c>
      <c r="G373" s="48">
        <f ca="1">VLOOKUP($F373,OFFSET(enemy_skill_triggers!$A$1,0,0,COUNTA(enemy_skill_triggers!$A:$A),MATCH(G$1,enemy_skill_triggers!$1:$1,0)-MATCH($F$1,enemy_skill_triggers!$1:$1,0)+1),MATCH(G$1,enemy_skill_triggers!$1:$1,0)-MATCH($F$1,enemy_skill_triggers!$1:$1,0)+1,FALSE)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3" s="48">
        <f ca="1">VLOOKUP($F373,OFFSET(enemy_skill_triggers!$A$1,0,0,COUNTA(enemy_skill_triggers!$A:$A),MATCH(H$1,enemy_skill_triggers!$1:$1,0)-MATCH($F$1,enemy_skill_triggers!$1:$1,0)+1),MATCH(H$1,enemy_skill_triggers!$1:$1,0)-MATCH($F$1,enemy_skill_triggers!$1:$1,0)+1,FALSE)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73" s="48">
        <f ca="1">VLOOKUP($F373,OFFSET(enemy_skill_triggers!$A$1,0,0,COUNTA(enemy_skill_triggers!$A:$A),MATCH(I$1,enemy_skill_triggers!$1:$1,0)-MATCH($F$1,enemy_skill_triggers!$1:$1,0)+1),MATCH(I$1,enemy_skill_triggers!$1:$1,0)-MATCH($F$1,enemy_skill_triggers!$1:$1,0)+1,FALSE)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3" s="48" t="str">
        <f ca="1">VLOOKUP($F373,OFFSET(enemy_skill_triggers!$A$1,0,0,COUNTA(enemy_skill_triggers!$A:$A),MATCH(J$1,enemy_skill_triggers!$1:$1,0)-MATCH($F$1,enemy_skill_triggers!$1:$1,0)+1),MATCH(J$1,enemy_skill_triggers!$1:$1,0)-MATCH($F$1,enemy_skill_triggers!$1:$1,0)+1,FALSE)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3" s="48" t="str">
        <f ca="1">VLOOKUP($F373,OFFSET(enemy_skill_triggers!$A$1,0,0,COUNTA(enemy_skill_triggers!$A:$A),MATCH(K$1,enemy_skill_triggers!$1:$1,0)-MATCH($F$1,enemy_skill_triggers!$1:$1,0)+1),MATCH(K$1,enemy_skill_triggers!$1:$1,0)-MATCH($F$1,enemy_skill_triggers!$1:$1,0)+1,FALSE)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3" s="48">
        <f ca="1">VLOOKUP($F373,OFFSET(enemy_skill_triggers!$A$1,0,0,COUNTA(enemy_skill_triggers!$A:$A),MATCH(L$1,enemy_skill_triggers!$1:$1,0)-MATCH($F$1,enemy_skill_triggers!$1:$1,0)+1),MATCH(L$1,enemy_skill_triggers!$1:$1,0)-MATCH($F$1,enemy_skill_triggers!$1:$1,0)+1,FALSE)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3" s="48">
        <f ca="1">VLOOKUP($F373,OFFSET(enemy_skill_triggers!$A$1,0,0,COUNTA(enemy_skill_triggers!$A:$A),MATCH(M$1,enemy_skill_triggers!$1:$1,0)-MATCH($F$1,enemy_skill_triggers!$1:$1,0)+1),MATCH(M$1,enemy_skill_triggers!$1:$1,0)-MATCH($F$1,enemy_skill_triggers!$1:$1,0)+1,FALSE)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73" s="48" t="str">
        <f ca="1">VLOOKUP($F373,OFFSET(enemy_skill_triggers!$A$1,0,0,COUNTA(enemy_skill_triggers!$A:$A),MATCH(N$1,enemy_skill_triggers!$1:$1,0)-MATCH($F$1,enemy_skill_triggers!$1:$1,0)+1),MATCH(N$1,enemy_skill_triggers!$1:$1,0)-MATCH($F$1,enemy_skill_triggers!$1:$1,0)+1,FALSE)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3" s="48">
        <f ca="1">VLOOKUP($F373,OFFSET(enemy_skill_triggers!$A$1,0,0,COUNTA(enemy_skill_triggers!$A:$A),MATCH(O$1,enemy_skill_triggers!$1:$1,0)-MATCH($F$1,enemy_skill_triggers!$1:$1,0)+1),MATCH(O$1,enemy_skill_triggers!$1:$1,0)-MATCH($F$1,enemy_skill_triggers!$1:$1,0)+1,FALSE)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3" s="47"/>
      <c r="Q373" s="47"/>
      <c r="R373" s="47"/>
    </row>
    <row r="374" spans="1:18" ht="21" customHeight="1" x14ac:dyDescent="0.15">
      <c r="A374" s="39" t="str">
        <f t="shared" si="21"/>
        <v>47004680_47004685</v>
      </c>
      <c r="B374" s="127">
        <v>47004680</v>
      </c>
      <c r="C374" s="47">
        <v>47004685</v>
      </c>
      <c r="D374" s="46" t="str">
        <f ca="1">VLOOKUP($C374,OFFSET(enemy_skills!$A$1,0,0,COUNTA(enemy_skills!$A:$A),MATCH(D$1,enemy_skills!$1:$1,0)-MATCH("enemy_skill_id",enemy_skills!$1:$1,0)+1),MATCH(D$1,enemy_skills!$1:$1,0)-MATCH("enemy_skill_id",enemy_skills!$1:$1,0)+1,FALSE)</f>
        <v>なぜ、勝手に…！？</v>
      </c>
      <c r="E374" s="46" t="str">
        <f ca="1">VLOOKUP($C374,OFFSET(enemy_skills!$A$1,0,0,COUNTA(enemy_skills!$A:$A),MATCH(E$1,enemy_skills!$1:$1,0)-MATCH("enemy_skill_id",enemy_skills!$1:$1,0)+1),MATCH(E$1,enemy_skills!$1:$1,0)-MATCH("enemy_skill_id",enemy_skills!$1:$1,0)+1,FALSE)</f>
        <v>残りHPの50%消費+全体攻撃+_x000D_ランダムで青のダメージパネルに最大4個変換</v>
      </c>
      <c r="F374" s="47">
        <v>47004685</v>
      </c>
      <c r="G374" s="48">
        <f ca="1">VLOOKUP($F374,OFFSET(enemy_skill_triggers!$A$1,0,0,COUNTA(enemy_skill_triggers!$A:$A),MATCH(G$1,enemy_skill_triggers!$1:$1,0)-MATCH($F$1,enemy_skill_triggers!$1:$1,0)+1),MATCH(G$1,enemy_skill_triggers!$1:$1,0)-MATCH($F$1,enemy_skill_triggers!$1:$1,0)+1,FALSE)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4" s="48">
        <f ca="1">VLOOKUP($F374,OFFSET(enemy_skill_triggers!$A$1,0,0,COUNTA(enemy_skill_triggers!$A:$A),MATCH(H$1,enemy_skill_triggers!$1:$1,0)-MATCH($F$1,enemy_skill_triggers!$1:$1,0)+1),MATCH(H$1,enemy_skill_triggers!$1:$1,0)-MATCH($F$1,enemy_skill_triggers!$1:$1,0)+1,FALSE)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74" s="48">
        <f ca="1">VLOOKUP($F374,OFFSET(enemy_skill_triggers!$A$1,0,0,COUNTA(enemy_skill_triggers!$A:$A),MATCH(I$1,enemy_skill_triggers!$1:$1,0)-MATCH($F$1,enemy_skill_triggers!$1:$1,0)+1),MATCH(I$1,enemy_skill_triggers!$1:$1,0)-MATCH($F$1,enemy_skill_triggers!$1:$1,0)+1,FALSE)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4" s="48" t="str">
        <f ca="1">VLOOKUP($F374,OFFSET(enemy_skill_triggers!$A$1,0,0,COUNTA(enemy_skill_triggers!$A:$A),MATCH(J$1,enemy_skill_triggers!$1:$1,0)-MATCH($F$1,enemy_skill_triggers!$1:$1,0)+1),MATCH(J$1,enemy_skill_triggers!$1:$1,0)-MATCH($F$1,enemy_skill_triggers!$1:$1,0)+1,FALSE)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4" s="48" t="str">
        <f ca="1">VLOOKUP($F374,OFFSET(enemy_skill_triggers!$A$1,0,0,COUNTA(enemy_skill_triggers!$A:$A),MATCH(K$1,enemy_skill_triggers!$1:$1,0)-MATCH($F$1,enemy_skill_triggers!$1:$1,0)+1),MATCH(K$1,enemy_skill_triggers!$1:$1,0)-MATCH($F$1,enemy_skill_triggers!$1:$1,0)+1,FALSE)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4" s="48">
        <f ca="1">VLOOKUP($F374,OFFSET(enemy_skill_triggers!$A$1,0,0,COUNTA(enemy_skill_triggers!$A:$A),MATCH(L$1,enemy_skill_triggers!$1:$1,0)-MATCH($F$1,enemy_skill_triggers!$1:$1,0)+1),MATCH(L$1,enemy_skill_triggers!$1:$1,0)-MATCH($F$1,enemy_skill_triggers!$1:$1,0)+1,FALSE)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4" s="48">
        <f ca="1">VLOOKUP($F374,OFFSET(enemy_skill_triggers!$A$1,0,0,COUNTA(enemy_skill_triggers!$A:$A),MATCH(M$1,enemy_skill_triggers!$1:$1,0)-MATCH($F$1,enemy_skill_triggers!$1:$1,0)+1),MATCH(M$1,enemy_skill_triggers!$1:$1,0)-MATCH($F$1,enemy_skill_triggers!$1:$1,0)+1,FALSE)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74" s="48" t="str">
        <f ca="1">VLOOKUP($F374,OFFSET(enemy_skill_triggers!$A$1,0,0,COUNTA(enemy_skill_triggers!$A:$A),MATCH(N$1,enemy_skill_triggers!$1:$1,0)-MATCH($F$1,enemy_skill_triggers!$1:$1,0)+1),MATCH(N$1,enemy_skill_triggers!$1:$1,0)-MATCH($F$1,enemy_skill_triggers!$1:$1,0)+1,FALSE)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4" s="48">
        <f ca="1">VLOOKUP($F374,OFFSET(enemy_skill_triggers!$A$1,0,0,COUNTA(enemy_skill_triggers!$A:$A),MATCH(O$1,enemy_skill_triggers!$1:$1,0)-MATCH($F$1,enemy_skill_triggers!$1:$1,0)+1),MATCH(O$1,enemy_skill_triggers!$1:$1,0)-MATCH($F$1,enemy_skill_triggers!$1:$1,0)+1,FALSE)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4" s="47"/>
      <c r="Q374" s="47"/>
      <c r="R374" s="47"/>
    </row>
    <row r="375" spans="1:18" ht="21" customHeight="1" x14ac:dyDescent="0.15">
      <c r="A375" s="39" t="str">
        <f t="shared" si="21"/>
        <v>47004680_47004686</v>
      </c>
      <c r="B375" s="127">
        <v>47004680</v>
      </c>
      <c r="C375" s="47">
        <v>47004686</v>
      </c>
      <c r="D375" s="46" t="str">
        <f ca="1">VLOOKUP($C375,OFFSET(enemy_skills!$A$1,0,0,COUNTA(enemy_skills!$A:$A),MATCH(D$1,enemy_skills!$1:$1,0)-MATCH("enemy_skill_id",enemy_skills!$1:$1,0)+1),MATCH(D$1,enemy_skills!$1:$1,0)-MATCH("enemy_skill_id",enemy_skills!$1:$1,0)+1,FALSE)</f>
        <v>い、嫌だ…！もうこの姿は…</v>
      </c>
      <c r="E375" s="46" t="str">
        <f ca="1">VLOOKUP($C375,OFFSET(enemy_skills!$A$1,0,0,COUNTA(enemy_skills!$A:$A),MATCH(E$1,enemy_skills!$1:$1,0)-MATCH("enemy_skill_id",enemy_skills!$1:$1,0)+1),MATCH(E$1,enemy_skills!$1:$1,0)-MATCH("enemy_skill_id",enemy_skills!$1:$1,0)+1,FALSE)</f>
        <v>残りHPの100%消費+全体攻撃+_x000D_ランダムで青のダメージパネルに最大4個変換</v>
      </c>
      <c r="F375" s="47">
        <v>47004686</v>
      </c>
      <c r="G375" s="48">
        <f ca="1">VLOOKUP($F375,OFFSET(enemy_skill_triggers!$A$1,0,0,COUNTA(enemy_skill_triggers!$A:$A),MATCH(G$1,enemy_skill_triggers!$1:$1,0)-MATCH($F$1,enemy_skill_triggers!$1:$1,0)+1),MATCH(G$1,enemy_skill_triggers!$1:$1,0)-MATCH($F$1,enemy_skill_triggers!$1:$1,0)+1,FALSE)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5" s="48">
        <f ca="1">VLOOKUP($F375,OFFSET(enemy_skill_triggers!$A$1,0,0,COUNTA(enemy_skill_triggers!$A:$A),MATCH(H$1,enemy_skill_triggers!$1:$1,0)-MATCH($F$1,enemy_skill_triggers!$1:$1,0)+1),MATCH(H$1,enemy_skill_triggers!$1:$1,0)-MATCH($F$1,enemy_skill_triggers!$1:$1,0)+1,FALSE)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75" s="48">
        <f ca="1">VLOOKUP($F375,OFFSET(enemy_skill_triggers!$A$1,0,0,COUNTA(enemy_skill_triggers!$A:$A),MATCH(I$1,enemy_skill_triggers!$1:$1,0)-MATCH($F$1,enemy_skill_triggers!$1:$1,0)+1),MATCH(I$1,enemy_skill_triggers!$1:$1,0)-MATCH($F$1,enemy_skill_triggers!$1:$1,0)+1,FALSE)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5" s="48" t="str">
        <f ca="1">VLOOKUP($F375,OFFSET(enemy_skill_triggers!$A$1,0,0,COUNTA(enemy_skill_triggers!$A:$A),MATCH(J$1,enemy_skill_triggers!$1:$1,0)-MATCH($F$1,enemy_skill_triggers!$1:$1,0)+1),MATCH(J$1,enemy_skill_triggers!$1:$1,0)-MATCH($F$1,enemy_skill_triggers!$1:$1,0)+1,FALSE)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5" s="48" t="str">
        <f ca="1">VLOOKUP($F375,OFFSET(enemy_skill_triggers!$A$1,0,0,COUNTA(enemy_skill_triggers!$A:$A),MATCH(K$1,enemy_skill_triggers!$1:$1,0)-MATCH($F$1,enemy_skill_triggers!$1:$1,0)+1),MATCH(K$1,enemy_skill_triggers!$1:$1,0)-MATCH($F$1,enemy_skill_triggers!$1:$1,0)+1,FALSE)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5" s="48">
        <f ca="1">VLOOKUP($F375,OFFSET(enemy_skill_triggers!$A$1,0,0,COUNTA(enemy_skill_triggers!$A:$A),MATCH(L$1,enemy_skill_triggers!$1:$1,0)-MATCH($F$1,enemy_skill_triggers!$1:$1,0)+1),MATCH(L$1,enemy_skill_triggers!$1:$1,0)-MATCH($F$1,enemy_skill_triggers!$1:$1,0)+1,FALSE)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5" s="48">
        <f ca="1">VLOOKUP($F375,OFFSET(enemy_skill_triggers!$A$1,0,0,COUNTA(enemy_skill_triggers!$A:$A),MATCH(M$1,enemy_skill_triggers!$1:$1,0)-MATCH($F$1,enemy_skill_triggers!$1:$1,0)+1),MATCH(M$1,enemy_skill_triggers!$1:$1,0)-MATCH($F$1,enemy_skill_triggers!$1:$1,0)+1,FALSE)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75" s="48" t="str">
        <f ca="1">VLOOKUP($F375,OFFSET(enemy_skill_triggers!$A$1,0,0,COUNTA(enemy_skill_triggers!$A:$A),MATCH(N$1,enemy_skill_triggers!$1:$1,0)-MATCH($F$1,enemy_skill_triggers!$1:$1,0)+1),MATCH(N$1,enemy_skill_triggers!$1:$1,0)-MATCH($F$1,enemy_skill_triggers!$1:$1,0)+1,FALSE)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5" s="48">
        <f ca="1">VLOOKUP($F375,OFFSET(enemy_skill_triggers!$A$1,0,0,COUNTA(enemy_skill_triggers!$A:$A),MATCH(O$1,enemy_skill_triggers!$1:$1,0)-MATCH($F$1,enemy_skill_triggers!$1:$1,0)+1),MATCH(O$1,enemy_skill_triggers!$1:$1,0)-MATCH($F$1,enemy_skill_triggers!$1:$1,0)+1,FALSE)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5" s="47"/>
      <c r="Q375" s="47"/>
      <c r="R375" s="47"/>
    </row>
    <row r="376" spans="1:18" ht="21" customHeight="1" x14ac:dyDescent="0.15">
      <c r="A376" s="39" t="str">
        <f t="shared" si="21"/>
        <v>47004710_47004711</v>
      </c>
      <c r="B376" s="127">
        <v>47004710</v>
      </c>
      <c r="C376" s="47">
        <v>47004711</v>
      </c>
      <c r="D376" s="46" t="str">
        <f ca="1">VLOOKUP($C376,OFFSET(enemy_skills!$A$1,0,0,COUNTA(enemy_skills!$A:$A),MATCH(D$1,enemy_skills!$1:$1,0)-MATCH("enemy_skill_id",enemy_skills!$1:$1,0)+1),MATCH(D$1,enemy_skills!$1:$1,0)-MATCH("enemy_skill_id",enemy_skills!$1:$1,0)+1,FALSE)</f>
        <v>二度と見せたくなかったのに…！</v>
      </c>
      <c r="E376" s="46" t="str">
        <f ca="1">VLOOKUP($C376,OFFSET(enemy_skills!$A$1,0,0,COUNTA(enemy_skills!$A:$A),MATCH(E$1,enemy_skills!$1:$1,0)-MATCH("enemy_skill_id",enemy_skills!$1:$1,0)+1),MATCH(E$1,enemy_skills!$1:$1,0)-MATCH("enemy_skill_id",enemy_skills!$1:$1,0)+1,FALSE)</f>
        <v>マシン・シュプールの中からシュプールが姿を現した</v>
      </c>
      <c r="F376" s="47">
        <v>47004711</v>
      </c>
      <c r="G376" s="48">
        <f ca="1">VLOOKUP($F376,OFFSET(enemy_skill_triggers!$A$1,0,0,COUNTA(enemy_skill_triggers!$A:$A),MATCH(G$1,enemy_skill_triggers!$1:$1,0)-MATCH($F$1,enemy_skill_triggers!$1:$1,0)+1),MATCH(G$1,enemy_skill_triggers!$1:$1,0)-MATCH($F$1,enemy_skill_triggers!$1:$1,0)+1,FALSE)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6" s="48">
        <f ca="1">VLOOKUP($F376,OFFSET(enemy_skill_triggers!$A$1,0,0,COUNTA(enemy_skill_triggers!$A:$A),MATCH(H$1,enemy_skill_triggers!$1:$1,0)-MATCH($F$1,enemy_skill_triggers!$1:$1,0)+1),MATCH(H$1,enemy_skill_triggers!$1:$1,0)-MATCH($F$1,enemy_skill_triggers!$1:$1,0)+1,FALSE)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76" s="48">
        <f ca="1">VLOOKUP($F376,OFFSET(enemy_skill_triggers!$A$1,0,0,COUNTA(enemy_skill_triggers!$A:$A),MATCH(I$1,enemy_skill_triggers!$1:$1,0)-MATCH($F$1,enemy_skill_triggers!$1:$1,0)+1),MATCH(I$1,enemy_skill_triggers!$1:$1,0)-MATCH($F$1,enemy_skill_triggers!$1:$1,0)+1,FALSE)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6" s="48" t="str">
        <f ca="1">VLOOKUP($F376,OFFSET(enemy_skill_triggers!$A$1,0,0,COUNTA(enemy_skill_triggers!$A:$A),MATCH(J$1,enemy_skill_triggers!$1:$1,0)-MATCH($F$1,enemy_skill_triggers!$1:$1,0)+1),MATCH(J$1,enemy_skill_triggers!$1:$1,0)-MATCH($F$1,enemy_skill_triggers!$1:$1,0)+1,FALSE)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6" s="48" t="str">
        <f ca="1">VLOOKUP($F376,OFFSET(enemy_skill_triggers!$A$1,0,0,COUNTA(enemy_skill_triggers!$A:$A),MATCH(K$1,enemy_skill_triggers!$1:$1,0)-MATCH($F$1,enemy_skill_triggers!$1:$1,0)+1),MATCH(K$1,enemy_skill_triggers!$1:$1,0)-MATCH($F$1,enemy_skill_triggers!$1:$1,0)+1,FALSE)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6" s="48">
        <f ca="1">VLOOKUP($F376,OFFSET(enemy_skill_triggers!$A$1,0,0,COUNTA(enemy_skill_triggers!$A:$A),MATCH(L$1,enemy_skill_triggers!$1:$1,0)-MATCH($F$1,enemy_skill_triggers!$1:$1,0)+1),MATCH(L$1,enemy_skill_triggers!$1:$1,0)-MATCH($F$1,enemy_skill_triggers!$1:$1,0)+1,FALSE)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6" s="48" t="str">
        <f ca="1">VLOOKUP($F376,OFFSET(enemy_skill_triggers!$A$1,0,0,COUNTA(enemy_skill_triggers!$A:$A),MATCH(M$1,enemy_skill_triggers!$1:$1,0)-MATCH($F$1,enemy_skill_triggers!$1:$1,0)+1),MATCH(M$1,enemy_skill_triggers!$1:$1,0)-MATCH($F$1,enemy_skill_triggers!$1:$1,0)+1,FALSE)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6" s="48" t="str">
        <f ca="1">VLOOKUP($F376,OFFSET(enemy_skill_triggers!$A$1,0,0,COUNTA(enemy_skill_triggers!$A:$A),MATCH(N$1,enemy_skill_triggers!$1:$1,0)-MATCH($F$1,enemy_skill_triggers!$1:$1,0)+1),MATCH(N$1,enemy_skill_triggers!$1:$1,0)-MATCH($F$1,enemy_skill_triggers!$1:$1,0)+1,FALSE)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6" s="48">
        <f ca="1">VLOOKUP($F376,OFFSET(enemy_skill_triggers!$A$1,0,0,COUNTA(enemy_skill_triggers!$A:$A),MATCH(O$1,enemy_skill_triggers!$1:$1,0)-MATCH($F$1,enemy_skill_triggers!$1:$1,0)+1),MATCH(O$1,enemy_skill_triggers!$1:$1,0)-MATCH($F$1,enemy_skill_triggers!$1:$1,0)+1,FALSE)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6" s="47"/>
      <c r="Q376" s="47"/>
      <c r="R376" s="47"/>
    </row>
    <row r="377" spans="1:18" ht="21" customHeight="1" x14ac:dyDescent="0.15">
      <c r="A377" s="39" t="str">
        <f t="shared" si="21"/>
        <v>47004710_47004712</v>
      </c>
      <c r="B377" s="127">
        <v>47004710</v>
      </c>
      <c r="C377" s="47">
        <v>47004712</v>
      </c>
      <c r="D377" s="46" t="str">
        <f ca="1">VLOOKUP($C377,OFFSET(enemy_skills!$A$1,0,0,COUNTA(enemy_skills!$A:$A),MATCH(D$1,enemy_skills!$1:$1,0)-MATCH("enemy_skill_id",enemy_skills!$1:$1,0)+1),MATCH(D$1,enemy_skills!$1:$1,0)-MATCH("enemy_skill_id",enemy_skills!$1:$1,0)+1,FALSE)</f>
        <v>ダイヤモンドフロスト</v>
      </c>
      <c r="E377" s="46" t="str">
        <f ca="1">VLOOKUP($C377,OFFSET(enemy_skills!$A$1,0,0,COUNTA(enemy_skills!$A:$A),MATCH(E$1,enemy_skills!$1:$1,0)-MATCH("enemy_skill_id",enemy_skills!$1:$1,0)+1),MATCH(E$1,enemy_skills!$1:$1,0)-MATCH("enemy_skill_id",enemy_skills!$1:$1,0)+1,FALSE)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77" s="47">
        <v>47004712</v>
      </c>
      <c r="G377" s="48">
        <f ca="1">VLOOKUP($F377,OFFSET(enemy_skill_triggers!$A$1,0,0,COUNTA(enemy_skill_triggers!$A:$A),MATCH(G$1,enemy_skill_triggers!$1:$1,0)-MATCH($F$1,enemy_skill_triggers!$1:$1,0)+1),MATCH(G$1,enemy_skill_triggers!$1:$1,0)-MATCH($F$1,enemy_skill_triggers!$1:$1,0)+1,FALSE)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7" s="48">
        <f ca="1">VLOOKUP($F377,OFFSET(enemy_skill_triggers!$A$1,0,0,COUNTA(enemy_skill_triggers!$A:$A),MATCH(H$1,enemy_skill_triggers!$1:$1,0)-MATCH($F$1,enemy_skill_triggers!$1:$1,0)+1),MATCH(H$1,enemy_skill_triggers!$1:$1,0)-MATCH($F$1,enemy_skill_triggers!$1:$1,0)+1,FALSE)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77" s="48">
        <f ca="1">VLOOKUP($F377,OFFSET(enemy_skill_triggers!$A$1,0,0,COUNTA(enemy_skill_triggers!$A:$A),MATCH(I$1,enemy_skill_triggers!$1:$1,0)-MATCH($F$1,enemy_skill_triggers!$1:$1,0)+1),MATCH(I$1,enemy_skill_triggers!$1:$1,0)-MATCH($F$1,enemy_skill_triggers!$1:$1,0)+1,FALSE)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7" s="48" t="str">
        <f ca="1">VLOOKUP($F377,OFFSET(enemy_skill_triggers!$A$1,0,0,COUNTA(enemy_skill_triggers!$A:$A),MATCH(J$1,enemy_skill_triggers!$1:$1,0)-MATCH($F$1,enemy_skill_triggers!$1:$1,0)+1),MATCH(J$1,enemy_skill_triggers!$1:$1,0)-MATCH($F$1,enemy_skill_triggers!$1:$1,0)+1,FALSE)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7" s="48" t="str">
        <f ca="1">VLOOKUP($F377,OFFSET(enemy_skill_triggers!$A$1,0,0,COUNTA(enemy_skill_triggers!$A:$A),MATCH(K$1,enemy_skill_triggers!$1:$1,0)-MATCH($F$1,enemy_skill_triggers!$1:$1,0)+1),MATCH(K$1,enemy_skill_triggers!$1:$1,0)-MATCH($F$1,enemy_skill_triggers!$1:$1,0)+1,FALSE)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7" s="48">
        <f ca="1">VLOOKUP($F377,OFFSET(enemy_skill_triggers!$A$1,0,0,COUNTA(enemy_skill_triggers!$A:$A),MATCH(L$1,enemy_skill_triggers!$1:$1,0)-MATCH($F$1,enemy_skill_triggers!$1:$1,0)+1),MATCH(L$1,enemy_skill_triggers!$1:$1,0)-MATCH($F$1,enemy_skill_triggers!$1:$1,0)+1,FALSE)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7" s="48">
        <f ca="1">VLOOKUP($F377,OFFSET(enemy_skill_triggers!$A$1,0,0,COUNTA(enemy_skill_triggers!$A:$A),MATCH(M$1,enemy_skill_triggers!$1:$1,0)-MATCH($F$1,enemy_skill_triggers!$1:$1,0)+1),MATCH(M$1,enemy_skill_triggers!$1:$1,0)-MATCH($F$1,enemy_skill_triggers!$1:$1,0)+1,FALSE)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7" s="48" t="str">
        <f ca="1">VLOOKUP($F377,OFFSET(enemy_skill_triggers!$A$1,0,0,COUNTA(enemy_skill_triggers!$A:$A),MATCH(N$1,enemy_skill_triggers!$1:$1,0)-MATCH($F$1,enemy_skill_triggers!$1:$1,0)+1),MATCH(N$1,enemy_skill_triggers!$1:$1,0)-MATCH($F$1,enemy_skill_triggers!$1:$1,0)+1,FALSE)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7" s="48">
        <f ca="1">VLOOKUP($F377,OFFSET(enemy_skill_triggers!$A$1,0,0,COUNTA(enemy_skill_triggers!$A:$A),MATCH(O$1,enemy_skill_triggers!$1:$1,0)-MATCH($F$1,enemy_skill_triggers!$1:$1,0)+1),MATCH(O$1,enemy_skill_triggers!$1:$1,0)-MATCH($F$1,enemy_skill_triggers!$1:$1,0)+1,FALSE)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7" s="47"/>
      <c r="Q377" s="47"/>
      <c r="R377" s="47"/>
    </row>
    <row r="378" spans="1:18" ht="21" customHeight="1" x14ac:dyDescent="0.15">
      <c r="A378" s="39" t="str">
        <f t="shared" si="21"/>
        <v>47004710_47004713</v>
      </c>
      <c r="B378" s="127">
        <v>47004710</v>
      </c>
      <c r="C378" s="47">
        <v>47004713</v>
      </c>
      <c r="D378" s="46" t="str">
        <f ca="1">VLOOKUP($C378,OFFSET(enemy_skills!$A$1,0,0,COUNTA(enemy_skills!$A:$A),MATCH(D$1,enemy_skills!$1:$1,0)-MATCH("enemy_skill_id",enemy_skills!$1:$1,0)+1),MATCH(D$1,enemy_skills!$1:$1,0)-MATCH("enemy_skill_id",enemy_skills!$1:$1,0)+1,FALSE)</f>
        <v>僕だって好きでこうなったわけじゃないんだ！</v>
      </c>
      <c r="E378" s="46" t="str">
        <f ca="1">VLOOKUP($C378,OFFSET(enemy_skills!$A$1,0,0,COUNTA(enemy_skills!$A:$A),MATCH(E$1,enemy_skills!$1:$1,0)-MATCH("enemy_skill_id",enemy_skills!$1:$1,0)+1),MATCH(E$1,enemy_skills!$1:$1,0)-MATCH("enemy_skill_id",enemy_skills!$1:$1,0)+1,FALSE)</f>
        <v>ハートパネル&amp;青パネルを吸収して全体攻撃</v>
      </c>
      <c r="F378" s="47">
        <v>47004713</v>
      </c>
      <c r="G378" s="48">
        <f ca="1">VLOOKUP($F378,OFFSET(enemy_skill_triggers!$A$1,0,0,COUNTA(enemy_skill_triggers!$A:$A),MATCH(G$1,enemy_skill_triggers!$1:$1,0)-MATCH($F$1,enemy_skill_triggers!$1:$1,0)+1),MATCH(G$1,enemy_skill_triggers!$1:$1,0)-MATCH($F$1,enemy_skill_triggers!$1:$1,0)+1,FALSE)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8" s="48">
        <f ca="1">VLOOKUP($F378,OFFSET(enemy_skill_triggers!$A$1,0,0,COUNTA(enemy_skill_triggers!$A:$A),MATCH(H$1,enemy_skill_triggers!$1:$1,0)-MATCH($F$1,enemy_skill_triggers!$1:$1,0)+1),MATCH(H$1,enemy_skill_triggers!$1:$1,0)-MATCH($F$1,enemy_skill_triggers!$1:$1,0)+1,FALSE)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78" s="48">
        <f ca="1">VLOOKUP($F378,OFFSET(enemy_skill_triggers!$A$1,0,0,COUNTA(enemy_skill_triggers!$A:$A),MATCH(I$1,enemy_skill_triggers!$1:$1,0)-MATCH($F$1,enemy_skill_triggers!$1:$1,0)+1),MATCH(I$1,enemy_skill_triggers!$1:$1,0)-MATCH($F$1,enemy_skill_triggers!$1:$1,0)+1,FALSE)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8" s="48" t="str">
        <f ca="1">VLOOKUP($F378,OFFSET(enemy_skill_triggers!$A$1,0,0,COUNTA(enemy_skill_triggers!$A:$A),MATCH(J$1,enemy_skill_triggers!$1:$1,0)-MATCH($F$1,enemy_skill_triggers!$1:$1,0)+1),MATCH(J$1,enemy_skill_triggers!$1:$1,0)-MATCH($F$1,enemy_skill_triggers!$1:$1,0)+1,FALSE)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8" s="48" t="str">
        <f ca="1">VLOOKUP($F378,OFFSET(enemy_skill_triggers!$A$1,0,0,COUNTA(enemy_skill_triggers!$A:$A),MATCH(K$1,enemy_skill_triggers!$1:$1,0)-MATCH($F$1,enemy_skill_triggers!$1:$1,0)+1),MATCH(K$1,enemy_skill_triggers!$1:$1,0)-MATCH($F$1,enemy_skill_triggers!$1:$1,0)+1,FALSE)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8" s="48">
        <f ca="1">VLOOKUP($F378,OFFSET(enemy_skill_triggers!$A$1,0,0,COUNTA(enemy_skill_triggers!$A:$A),MATCH(L$1,enemy_skill_triggers!$1:$1,0)-MATCH($F$1,enemy_skill_triggers!$1:$1,0)+1),MATCH(L$1,enemy_skill_triggers!$1:$1,0)-MATCH($F$1,enemy_skill_triggers!$1:$1,0)+1,FALSE)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8" s="48">
        <f ca="1">VLOOKUP($F378,OFFSET(enemy_skill_triggers!$A$1,0,0,COUNTA(enemy_skill_triggers!$A:$A),MATCH(M$1,enemy_skill_triggers!$1:$1,0)-MATCH($F$1,enemy_skill_triggers!$1:$1,0)+1),MATCH(M$1,enemy_skill_triggers!$1:$1,0)-MATCH($F$1,enemy_skill_triggers!$1:$1,0)+1,FALSE)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8" s="48" t="str">
        <f ca="1">VLOOKUP($F378,OFFSET(enemy_skill_triggers!$A$1,0,0,COUNTA(enemy_skill_triggers!$A:$A),MATCH(N$1,enemy_skill_triggers!$1:$1,0)-MATCH($F$1,enemy_skill_triggers!$1:$1,0)+1),MATCH(N$1,enemy_skill_triggers!$1:$1,0)-MATCH($F$1,enemy_skill_triggers!$1:$1,0)+1,FALSE)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8" s="48">
        <f ca="1">VLOOKUP($F378,OFFSET(enemy_skill_triggers!$A$1,0,0,COUNTA(enemy_skill_triggers!$A:$A),MATCH(O$1,enemy_skill_triggers!$1:$1,0)-MATCH($F$1,enemy_skill_triggers!$1:$1,0)+1),MATCH(O$1,enemy_skill_triggers!$1:$1,0)-MATCH($F$1,enemy_skill_triggers!$1:$1,0)+1,FALSE)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8" s="47"/>
      <c r="Q378" s="47"/>
      <c r="R378" s="47"/>
    </row>
    <row r="379" spans="1:18" ht="21" customHeight="1" x14ac:dyDescent="0.15">
      <c r="A379" s="39" t="str">
        <f t="shared" si="21"/>
        <v>47004710_47004714</v>
      </c>
      <c r="B379" s="127">
        <v>47004710</v>
      </c>
      <c r="C379" s="47">
        <v>47004714</v>
      </c>
      <c r="D379" s="46" t="str">
        <f ca="1">VLOOKUP($C379,OFFSET(enemy_skills!$A$1,0,0,COUNTA(enemy_skills!$A:$A),MATCH(D$1,enemy_skills!$1:$1,0)-MATCH("enemy_skill_id",enemy_skills!$1:$1,0)+1),MATCH(D$1,enemy_skills!$1:$1,0)-MATCH("enemy_skill_id",enemy_skills!$1:$1,0)+1,FALSE)</f>
        <v>灯火に踊る細氷</v>
      </c>
      <c r="E379" s="46" t="str">
        <f ca="1">VLOOKUP($C379,OFFSET(enemy_skills!$A$1,0,0,COUNTA(enemy_skills!$A:$A),MATCH(E$1,enemy_skills!$1:$1,0)-MATCH("enemy_skill_id",enemy_skills!$1:$1,0)+1),MATCH(E$1,enemy_skills!$1:$1,0)-MATCH("enemy_skill_id",enemy_skills!$1:$1,0)+1,FALSE)</f>
        <v>赤パネルを青のダメージパネルに5個変換+単体攻撃</v>
      </c>
      <c r="F379" s="47">
        <v>47004714</v>
      </c>
      <c r="G379" s="48">
        <f ca="1">VLOOKUP($F379,OFFSET(enemy_skill_triggers!$A$1,0,0,COUNTA(enemy_skill_triggers!$A:$A),MATCH(G$1,enemy_skill_triggers!$1:$1,0)-MATCH($F$1,enemy_skill_triggers!$1:$1,0)+1),MATCH(G$1,enemy_skill_triggers!$1:$1,0)-MATCH($F$1,enemy_skill_triggers!$1:$1,0)+1,FALSE)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9" s="48">
        <f ca="1">VLOOKUP($F379,OFFSET(enemy_skill_triggers!$A$1,0,0,COUNTA(enemy_skill_triggers!$A:$A),MATCH(H$1,enemy_skill_triggers!$1:$1,0)-MATCH($F$1,enemy_skill_triggers!$1:$1,0)+1),MATCH(H$1,enemy_skill_triggers!$1:$1,0)-MATCH($F$1,enemy_skill_triggers!$1:$1,0)+1,FALSE)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379" s="48">
        <f ca="1">VLOOKUP($F379,OFFSET(enemy_skill_triggers!$A$1,0,0,COUNTA(enemy_skill_triggers!$A:$A),MATCH(I$1,enemy_skill_triggers!$1:$1,0)-MATCH($F$1,enemy_skill_triggers!$1:$1,0)+1),MATCH(I$1,enemy_skill_triggers!$1:$1,0)-MATCH($F$1,enemy_skill_triggers!$1:$1,0)+1,FALSE)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9" s="48" t="str">
        <f ca="1">VLOOKUP($F379,OFFSET(enemy_skill_triggers!$A$1,0,0,COUNTA(enemy_skill_triggers!$A:$A),MATCH(J$1,enemy_skill_triggers!$1:$1,0)-MATCH($F$1,enemy_skill_triggers!$1:$1,0)+1),MATCH(J$1,enemy_skill_triggers!$1:$1,0)-MATCH($F$1,enemy_skill_triggers!$1:$1,0)+1,FALSE)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9" s="48" t="str">
        <f ca="1">VLOOKUP($F379,OFFSET(enemy_skill_triggers!$A$1,0,0,COUNTA(enemy_skill_triggers!$A:$A),MATCH(K$1,enemy_skill_triggers!$1:$1,0)-MATCH($F$1,enemy_skill_triggers!$1:$1,0)+1),MATCH(K$1,enemy_skill_triggers!$1:$1,0)-MATCH($F$1,enemy_skill_triggers!$1:$1,0)+1,FALSE)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9" s="48">
        <f ca="1">VLOOKUP($F379,OFFSET(enemy_skill_triggers!$A$1,0,0,COUNTA(enemy_skill_triggers!$A:$A),MATCH(L$1,enemy_skill_triggers!$1:$1,0)-MATCH($F$1,enemy_skill_triggers!$1:$1,0)+1),MATCH(L$1,enemy_skill_triggers!$1:$1,0)-MATCH($F$1,enemy_skill_triggers!$1:$1,0)+1,FALSE)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9" s="48">
        <f ca="1">VLOOKUP($F379,OFFSET(enemy_skill_triggers!$A$1,0,0,COUNTA(enemy_skill_triggers!$A:$A),MATCH(M$1,enemy_skill_triggers!$1:$1,0)-MATCH($F$1,enemy_skill_triggers!$1:$1,0)+1),MATCH(M$1,enemy_skill_triggers!$1:$1,0)-MATCH($F$1,enemy_skill_triggers!$1:$1,0)+1,FALSE)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79" s="48" t="str">
        <f ca="1">VLOOKUP($F379,OFFSET(enemy_skill_triggers!$A$1,0,0,COUNTA(enemy_skill_triggers!$A:$A),MATCH(N$1,enemy_skill_triggers!$1:$1,0)-MATCH($F$1,enemy_skill_triggers!$1:$1,0)+1),MATCH(N$1,enemy_skill_triggers!$1:$1,0)-MATCH($F$1,enemy_skill_triggers!$1:$1,0)+1,FALSE)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9" s="48">
        <f ca="1">VLOOKUP($F379,OFFSET(enemy_skill_triggers!$A$1,0,0,COUNTA(enemy_skill_triggers!$A:$A),MATCH(O$1,enemy_skill_triggers!$1:$1,0)-MATCH($F$1,enemy_skill_triggers!$1:$1,0)+1),MATCH(O$1,enemy_skill_triggers!$1:$1,0)-MATCH($F$1,enemy_skill_triggers!$1:$1,0)+1,FALSE)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9" s="47"/>
      <c r="Q379" s="47"/>
      <c r="R379" s="47"/>
    </row>
    <row r="380" spans="1:18" ht="21" customHeight="1" x14ac:dyDescent="0.15">
      <c r="A380" s="39" t="str">
        <f t="shared" si="21"/>
        <v>47004710_47004715</v>
      </c>
      <c r="B380" s="127">
        <v>47004710</v>
      </c>
      <c r="C380" s="47">
        <v>47004715</v>
      </c>
      <c r="D380" s="46" t="str">
        <f ca="1">VLOOKUP($C380,OFFSET(enemy_skills!$A$1,0,0,COUNTA(enemy_skills!$A:$A),MATCH(D$1,enemy_skills!$1:$1,0)-MATCH("enemy_skill_id",enemy_skills!$1:$1,0)+1),MATCH(D$1,enemy_skills!$1:$1,0)-MATCH("enemy_skill_id",enemy_skills!$1:$1,0)+1,FALSE)</f>
        <v>涙氷の礫</v>
      </c>
      <c r="E380" s="46" t="str">
        <f ca="1">VLOOKUP($C380,OFFSET(enemy_skills!$A$1,0,0,COUNTA(enemy_skills!$A:$A),MATCH(E$1,enemy_skills!$1:$1,0)-MATCH("enemy_skill_id",enemy_skills!$1:$1,0)+1),MATCH(E$1,enemy_skills!$1:$1,0)-MATCH("enemy_skill_id",enemy_skills!$1:$1,0)+1,FALSE)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80" s="47">
        <v>47004715</v>
      </c>
      <c r="G380" s="48">
        <f ca="1">VLOOKUP($F380,OFFSET(enemy_skill_triggers!$A$1,0,0,COUNTA(enemy_skill_triggers!$A:$A),MATCH(G$1,enemy_skill_triggers!$1:$1,0)-MATCH($F$1,enemy_skill_triggers!$1:$1,0)+1),MATCH(G$1,enemy_skill_triggers!$1:$1,0)-MATCH($F$1,enemy_skill_triggers!$1:$1,0)+1,FALSE)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0" s="48">
        <f ca="1">VLOOKUP($F380,OFFSET(enemy_skill_triggers!$A$1,0,0,COUNTA(enemy_skill_triggers!$A:$A),MATCH(H$1,enemy_skill_triggers!$1:$1,0)-MATCH($F$1,enemy_skill_triggers!$1:$1,0)+1),MATCH(H$1,enemy_skill_triggers!$1:$1,0)-MATCH($F$1,enemy_skill_triggers!$1:$1,0)+1,FALSE)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380" s="48">
        <f ca="1">VLOOKUP($F380,OFFSET(enemy_skill_triggers!$A$1,0,0,COUNTA(enemy_skill_triggers!$A:$A),MATCH(I$1,enemy_skill_triggers!$1:$1,0)-MATCH($F$1,enemy_skill_triggers!$1:$1,0)+1),MATCH(I$1,enemy_skill_triggers!$1:$1,0)-MATCH($F$1,enemy_skill_triggers!$1:$1,0)+1,FALSE)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0" s="48" t="str">
        <f ca="1">VLOOKUP($F380,OFFSET(enemy_skill_triggers!$A$1,0,0,COUNTA(enemy_skill_triggers!$A:$A),MATCH(J$1,enemy_skill_triggers!$1:$1,0)-MATCH($F$1,enemy_skill_triggers!$1:$1,0)+1),MATCH(J$1,enemy_skill_triggers!$1:$1,0)-MATCH($F$1,enemy_skill_triggers!$1:$1,0)+1,FALSE)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0" s="48" t="str">
        <f ca="1">VLOOKUP($F380,OFFSET(enemy_skill_triggers!$A$1,0,0,COUNTA(enemy_skill_triggers!$A:$A),MATCH(K$1,enemy_skill_triggers!$1:$1,0)-MATCH($F$1,enemy_skill_triggers!$1:$1,0)+1),MATCH(K$1,enemy_skill_triggers!$1:$1,0)-MATCH($F$1,enemy_skill_triggers!$1:$1,0)+1,FALSE)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0" s="48">
        <f ca="1">VLOOKUP($F380,OFFSET(enemy_skill_triggers!$A$1,0,0,COUNTA(enemy_skill_triggers!$A:$A),MATCH(L$1,enemy_skill_triggers!$1:$1,0)-MATCH($F$1,enemy_skill_triggers!$1:$1,0)+1),MATCH(L$1,enemy_skill_triggers!$1:$1,0)-MATCH($F$1,enemy_skill_triggers!$1:$1,0)+1,FALSE)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0" s="48">
        <f ca="1">VLOOKUP($F380,OFFSET(enemy_skill_triggers!$A$1,0,0,COUNTA(enemy_skill_triggers!$A:$A),MATCH(M$1,enemy_skill_triggers!$1:$1,0)-MATCH($F$1,enemy_skill_triggers!$1:$1,0)+1),MATCH(M$1,enemy_skill_triggers!$1:$1,0)-MATCH($F$1,enemy_skill_triggers!$1:$1,0)+1,FALSE)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80" s="48" t="str">
        <f ca="1">VLOOKUP($F380,OFFSET(enemy_skill_triggers!$A$1,0,0,COUNTA(enemy_skill_triggers!$A:$A),MATCH(N$1,enemy_skill_triggers!$1:$1,0)-MATCH($F$1,enemy_skill_triggers!$1:$1,0)+1),MATCH(N$1,enemy_skill_triggers!$1:$1,0)-MATCH($F$1,enemy_skill_triggers!$1:$1,0)+1,FALSE)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0" s="48">
        <f ca="1">VLOOKUP($F380,OFFSET(enemy_skill_triggers!$A$1,0,0,COUNTA(enemy_skill_triggers!$A:$A),MATCH(O$1,enemy_skill_triggers!$1:$1,0)-MATCH($F$1,enemy_skill_triggers!$1:$1,0)+1),MATCH(O$1,enemy_skill_triggers!$1:$1,0)-MATCH($F$1,enemy_skill_triggers!$1:$1,0)+1,FALSE)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0" s="47"/>
      <c r="Q380" s="47"/>
      <c r="R380" s="47"/>
    </row>
    <row r="381" spans="1:18" ht="21" customHeight="1" x14ac:dyDescent="0.15">
      <c r="A381" s="39" t="str">
        <f t="shared" si="21"/>
        <v>47004710_47004716</v>
      </c>
      <c r="B381" s="127">
        <v>47004710</v>
      </c>
      <c r="C381" s="47">
        <v>47004716</v>
      </c>
      <c r="D381" s="46" t="str">
        <f ca="1">VLOOKUP($C381,OFFSET(enemy_skills!$A$1,0,0,COUNTA(enemy_skills!$A:$A),MATCH(D$1,enemy_skills!$1:$1,0)-MATCH("enemy_skill_id",enemy_skills!$1:$1,0)+1),MATCH(D$1,enemy_skills!$1:$1,0)-MATCH("enemy_skill_id",enemy_skills!$1:$1,0)+1,FALSE)</f>
        <v>君達はなぜ…僕なんかに…</v>
      </c>
      <c r="E381" s="46" t="str">
        <f ca="1">VLOOKUP($C381,OFFSET(enemy_skills!$A$1,0,0,COUNTA(enemy_skills!$A:$A),MATCH(E$1,enemy_skills!$1:$1,0)-MATCH("enemy_skill_id",enemy_skills!$1:$1,0)+1),MATCH(E$1,enemy_skills!$1:$1,0)-MATCH("enemy_skill_id",enemy_skills!$1:$1,0)+1,FALSE)</f>
        <v>ハートパネル&amp;青パネルを吸収して全体攻撃</v>
      </c>
      <c r="F381" s="47">
        <v>47004716</v>
      </c>
      <c r="G381" s="48">
        <f ca="1">VLOOKUP($F381,OFFSET(enemy_skill_triggers!$A$1,0,0,COUNTA(enemy_skill_triggers!$A:$A),MATCH(G$1,enemy_skill_triggers!$1:$1,0)-MATCH($F$1,enemy_skill_triggers!$1:$1,0)+1),MATCH(G$1,enemy_skill_triggers!$1:$1,0)-MATCH($F$1,enemy_skill_triggers!$1:$1,0)+1,FALSE)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1" s="48">
        <f ca="1">VLOOKUP($F381,OFFSET(enemy_skill_triggers!$A$1,0,0,COUNTA(enemy_skill_triggers!$A:$A),MATCH(H$1,enemy_skill_triggers!$1:$1,0)-MATCH($F$1,enemy_skill_triggers!$1:$1,0)+1),MATCH(H$1,enemy_skill_triggers!$1:$1,0)-MATCH($F$1,enemy_skill_triggers!$1:$1,0)+1,FALSE)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381" s="48">
        <f ca="1">VLOOKUP($F381,OFFSET(enemy_skill_triggers!$A$1,0,0,COUNTA(enemy_skill_triggers!$A:$A),MATCH(I$1,enemy_skill_triggers!$1:$1,0)-MATCH($F$1,enemy_skill_triggers!$1:$1,0)+1),MATCH(I$1,enemy_skill_triggers!$1:$1,0)-MATCH($F$1,enemy_skill_triggers!$1:$1,0)+1,FALSE)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1" s="48" t="str">
        <f ca="1">VLOOKUP($F381,OFFSET(enemy_skill_triggers!$A$1,0,0,COUNTA(enemy_skill_triggers!$A:$A),MATCH(J$1,enemy_skill_triggers!$1:$1,0)-MATCH($F$1,enemy_skill_triggers!$1:$1,0)+1),MATCH(J$1,enemy_skill_triggers!$1:$1,0)-MATCH($F$1,enemy_skill_triggers!$1:$1,0)+1,FALSE)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1" s="48" t="str">
        <f ca="1">VLOOKUP($F381,OFFSET(enemy_skill_triggers!$A$1,0,0,COUNTA(enemy_skill_triggers!$A:$A),MATCH(K$1,enemy_skill_triggers!$1:$1,0)-MATCH($F$1,enemy_skill_triggers!$1:$1,0)+1),MATCH(K$1,enemy_skill_triggers!$1:$1,0)-MATCH($F$1,enemy_skill_triggers!$1:$1,0)+1,FALSE)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1" s="48">
        <f ca="1">VLOOKUP($F381,OFFSET(enemy_skill_triggers!$A$1,0,0,COUNTA(enemy_skill_triggers!$A:$A),MATCH(L$1,enemy_skill_triggers!$1:$1,0)-MATCH($F$1,enemy_skill_triggers!$1:$1,0)+1),MATCH(L$1,enemy_skill_triggers!$1:$1,0)-MATCH($F$1,enemy_skill_triggers!$1:$1,0)+1,FALSE)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1" s="48">
        <f ca="1">VLOOKUP($F381,OFFSET(enemy_skill_triggers!$A$1,0,0,COUNTA(enemy_skill_triggers!$A:$A),MATCH(M$1,enemy_skill_triggers!$1:$1,0)-MATCH($F$1,enemy_skill_triggers!$1:$1,0)+1),MATCH(M$1,enemy_skill_triggers!$1:$1,0)-MATCH($F$1,enemy_skill_triggers!$1:$1,0)+1,FALSE)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81" s="48" t="str">
        <f ca="1">VLOOKUP($F381,OFFSET(enemy_skill_triggers!$A$1,0,0,COUNTA(enemy_skill_triggers!$A:$A),MATCH(N$1,enemy_skill_triggers!$1:$1,0)-MATCH($F$1,enemy_skill_triggers!$1:$1,0)+1),MATCH(N$1,enemy_skill_triggers!$1:$1,0)-MATCH($F$1,enemy_skill_triggers!$1:$1,0)+1,FALSE)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1" s="48">
        <f ca="1">VLOOKUP($F381,OFFSET(enemy_skill_triggers!$A$1,0,0,COUNTA(enemy_skill_triggers!$A:$A),MATCH(O$1,enemy_skill_triggers!$1:$1,0)-MATCH($F$1,enemy_skill_triggers!$1:$1,0)+1),MATCH(O$1,enemy_skill_triggers!$1:$1,0)-MATCH($F$1,enemy_skill_triggers!$1:$1,0)+1,FALSE)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1" s="47"/>
      <c r="Q381" s="47"/>
      <c r="R381" s="47"/>
    </row>
    <row r="382" spans="1:18" ht="21" customHeight="1" x14ac:dyDescent="0.15">
      <c r="A382" s="39" t="str">
        <f t="shared" si="21"/>
        <v>47004710_47004717</v>
      </c>
      <c r="B382" s="127">
        <v>47004710</v>
      </c>
      <c r="C382" s="47">
        <v>47004717</v>
      </c>
      <c r="D382" s="46" t="str">
        <f ca="1">VLOOKUP($C382,OFFSET(enemy_skills!$A$1,0,0,COUNTA(enemy_skills!$A:$A),MATCH(D$1,enemy_skills!$1:$1,0)-MATCH("enemy_skill_id",enemy_skills!$1:$1,0)+1),MATCH(D$1,enemy_skills!$1:$1,0)-MATCH("enemy_skill_id",enemy_skills!$1:$1,0)+1,FALSE)</f>
        <v>緑に踊る細氷</v>
      </c>
      <c r="E382" s="46" t="str">
        <f ca="1">VLOOKUP($C382,OFFSET(enemy_skills!$A$1,0,0,COUNTA(enemy_skills!$A:$A),MATCH(E$1,enemy_skills!$1:$1,0)-MATCH("enemy_skill_id",enemy_skills!$1:$1,0)+1),MATCH(E$1,enemy_skills!$1:$1,0)-MATCH("enemy_skill_id",enemy_skills!$1:$1,0)+1,FALSE)</f>
        <v>緑パネルを青のダメージパネルに5個変換+単体攻撃</v>
      </c>
      <c r="F382" s="47">
        <v>47004717</v>
      </c>
      <c r="G382" s="48">
        <f ca="1">VLOOKUP($F382,OFFSET(enemy_skill_triggers!$A$1,0,0,COUNTA(enemy_skill_triggers!$A:$A),MATCH(G$1,enemy_skill_triggers!$1:$1,0)-MATCH($F$1,enemy_skill_triggers!$1:$1,0)+1),MATCH(G$1,enemy_skill_triggers!$1:$1,0)-MATCH($F$1,enemy_skill_triggers!$1:$1,0)+1,FALSE)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2" s="48">
        <f ca="1">VLOOKUP($F382,OFFSET(enemy_skill_triggers!$A$1,0,0,COUNTA(enemy_skill_triggers!$A:$A),MATCH(H$1,enemy_skill_triggers!$1:$1,0)-MATCH($F$1,enemy_skill_triggers!$1:$1,0)+1),MATCH(H$1,enemy_skill_triggers!$1:$1,0)-MATCH($F$1,enemy_skill_triggers!$1:$1,0)+1,FALSE)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382" s="48">
        <f ca="1">VLOOKUP($F382,OFFSET(enemy_skill_triggers!$A$1,0,0,COUNTA(enemy_skill_triggers!$A:$A),MATCH(I$1,enemy_skill_triggers!$1:$1,0)-MATCH($F$1,enemy_skill_triggers!$1:$1,0)+1),MATCH(I$1,enemy_skill_triggers!$1:$1,0)-MATCH($F$1,enemy_skill_triggers!$1:$1,0)+1,FALSE)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2" s="48" t="str">
        <f ca="1">VLOOKUP($F382,OFFSET(enemy_skill_triggers!$A$1,0,0,COUNTA(enemy_skill_triggers!$A:$A),MATCH(J$1,enemy_skill_triggers!$1:$1,0)-MATCH($F$1,enemy_skill_triggers!$1:$1,0)+1),MATCH(J$1,enemy_skill_triggers!$1:$1,0)-MATCH($F$1,enemy_skill_triggers!$1:$1,0)+1,FALSE)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2" s="48" t="str">
        <f ca="1">VLOOKUP($F382,OFFSET(enemy_skill_triggers!$A$1,0,0,COUNTA(enemy_skill_triggers!$A:$A),MATCH(K$1,enemy_skill_triggers!$1:$1,0)-MATCH($F$1,enemy_skill_triggers!$1:$1,0)+1),MATCH(K$1,enemy_skill_triggers!$1:$1,0)-MATCH($F$1,enemy_skill_triggers!$1:$1,0)+1,FALSE)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2" s="48">
        <f ca="1">VLOOKUP($F382,OFFSET(enemy_skill_triggers!$A$1,0,0,COUNTA(enemy_skill_triggers!$A:$A),MATCH(L$1,enemy_skill_triggers!$1:$1,0)-MATCH($F$1,enemy_skill_triggers!$1:$1,0)+1),MATCH(L$1,enemy_skill_triggers!$1:$1,0)-MATCH($F$1,enemy_skill_triggers!$1:$1,0)+1,FALSE)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2" s="48">
        <f ca="1">VLOOKUP($F382,OFFSET(enemy_skill_triggers!$A$1,0,0,COUNTA(enemy_skill_triggers!$A:$A),MATCH(M$1,enemy_skill_triggers!$1:$1,0)-MATCH($F$1,enemy_skill_triggers!$1:$1,0)+1),MATCH(M$1,enemy_skill_triggers!$1:$1,0)-MATCH($F$1,enemy_skill_triggers!$1:$1,0)+1,FALSE)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82" s="48" t="str">
        <f ca="1">VLOOKUP($F382,OFFSET(enemy_skill_triggers!$A$1,0,0,COUNTA(enemy_skill_triggers!$A:$A),MATCH(N$1,enemy_skill_triggers!$1:$1,0)-MATCH($F$1,enemy_skill_triggers!$1:$1,0)+1),MATCH(N$1,enemy_skill_triggers!$1:$1,0)-MATCH($F$1,enemy_skill_triggers!$1:$1,0)+1,FALSE)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2" s="48">
        <f ca="1">VLOOKUP($F382,OFFSET(enemy_skill_triggers!$A$1,0,0,COUNTA(enemy_skill_triggers!$A:$A),MATCH(O$1,enemy_skill_triggers!$1:$1,0)-MATCH($F$1,enemy_skill_triggers!$1:$1,0)+1),MATCH(O$1,enemy_skill_triggers!$1:$1,0)-MATCH($F$1,enemy_skill_triggers!$1:$1,0)+1,FALSE)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2" s="47"/>
      <c r="Q382" s="47"/>
      <c r="R382" s="47"/>
    </row>
    <row r="383" spans="1:18" ht="21" customHeight="1" x14ac:dyDescent="0.15">
      <c r="A383" s="39" t="str">
        <f t="shared" si="21"/>
        <v>47004710_47004718</v>
      </c>
      <c r="B383" s="127">
        <v>47004710</v>
      </c>
      <c r="C383" s="47">
        <v>47004718</v>
      </c>
      <c r="D383" s="46" t="str">
        <f ca="1">VLOOKUP($C383,OFFSET(enemy_skills!$A$1,0,0,COUNTA(enemy_skills!$A:$A),MATCH(D$1,enemy_skills!$1:$1,0)-MATCH("enemy_skill_id",enemy_skills!$1:$1,0)+1),MATCH(D$1,enemy_skills!$1:$1,0)-MATCH("enemy_skill_id",enemy_skills!$1:$1,0)+1,FALSE)</f>
        <v>Day 25</v>
      </c>
      <c r="E383" s="46" t="str">
        <f ca="1">VLOOKUP($C383,OFFSET(enemy_skills!$A$1,0,0,COUNTA(enemy_skills!$A:$A),MATCH(E$1,enemy_skills!$1:$1,0)-MATCH("enemy_skill_id",enemy_skills!$1:$1,0)+1),MATCH(E$1,enemy_skills!$1:$1,0)-MATCH("enemy_skill_id",enemy_skills!$1:$1,0)+1,FALSE)</f>
        <v>25回連続攻撃</v>
      </c>
      <c r="F383" s="47">
        <v>47004718</v>
      </c>
      <c r="G383" s="48">
        <f ca="1">VLOOKUP($F383,OFFSET(enemy_skill_triggers!$A$1,0,0,COUNTA(enemy_skill_triggers!$A:$A),MATCH(G$1,enemy_skill_triggers!$1:$1,0)-MATCH($F$1,enemy_skill_triggers!$1:$1,0)+1),MATCH(G$1,enemy_skill_triggers!$1:$1,0)-MATCH($F$1,enemy_skill_triggers!$1:$1,0)+1,FALSE)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3" s="48">
        <f ca="1">VLOOKUP($F383,OFFSET(enemy_skill_triggers!$A$1,0,0,COUNTA(enemy_skill_triggers!$A:$A),MATCH(H$1,enemy_skill_triggers!$1:$1,0)-MATCH($F$1,enemy_skill_triggers!$1:$1,0)+1),MATCH(H$1,enemy_skill_triggers!$1:$1,0)-MATCH($F$1,enemy_skill_triggers!$1:$1,0)+1,FALSE)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383" s="48">
        <f ca="1">VLOOKUP($F383,OFFSET(enemy_skill_triggers!$A$1,0,0,COUNTA(enemy_skill_triggers!$A:$A),MATCH(I$1,enemy_skill_triggers!$1:$1,0)-MATCH($F$1,enemy_skill_triggers!$1:$1,0)+1),MATCH(I$1,enemy_skill_triggers!$1:$1,0)-MATCH($F$1,enemy_skill_triggers!$1:$1,0)+1,FALSE)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3" s="48" t="str">
        <f ca="1">VLOOKUP($F383,OFFSET(enemy_skill_triggers!$A$1,0,0,COUNTA(enemy_skill_triggers!$A:$A),MATCH(J$1,enemy_skill_triggers!$1:$1,0)-MATCH($F$1,enemy_skill_triggers!$1:$1,0)+1),MATCH(J$1,enemy_skill_triggers!$1:$1,0)-MATCH($F$1,enemy_skill_triggers!$1:$1,0)+1,FALSE)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3" s="48" t="str">
        <f ca="1">VLOOKUP($F383,OFFSET(enemy_skill_triggers!$A$1,0,0,COUNTA(enemy_skill_triggers!$A:$A),MATCH(K$1,enemy_skill_triggers!$1:$1,0)-MATCH($F$1,enemy_skill_triggers!$1:$1,0)+1),MATCH(K$1,enemy_skill_triggers!$1:$1,0)-MATCH($F$1,enemy_skill_triggers!$1:$1,0)+1,FALSE)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3" s="48">
        <f ca="1">VLOOKUP($F383,OFFSET(enemy_skill_triggers!$A$1,0,0,COUNTA(enemy_skill_triggers!$A:$A),MATCH(L$1,enemy_skill_triggers!$1:$1,0)-MATCH($F$1,enemy_skill_triggers!$1:$1,0)+1),MATCH(L$1,enemy_skill_triggers!$1:$1,0)-MATCH($F$1,enemy_skill_triggers!$1:$1,0)+1,FALSE)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3" s="48">
        <f ca="1">VLOOKUP($F383,OFFSET(enemy_skill_triggers!$A$1,0,0,COUNTA(enemy_skill_triggers!$A:$A),MATCH(M$1,enemy_skill_triggers!$1:$1,0)-MATCH($F$1,enemy_skill_triggers!$1:$1,0)+1),MATCH(M$1,enemy_skill_triggers!$1:$1,0)-MATCH($F$1,enemy_skill_triggers!$1:$1,0)+1,FALSE)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383" s="48" t="str">
        <f ca="1">VLOOKUP($F383,OFFSET(enemy_skill_triggers!$A$1,0,0,COUNTA(enemy_skill_triggers!$A:$A),MATCH(N$1,enemy_skill_triggers!$1:$1,0)-MATCH($F$1,enemy_skill_triggers!$1:$1,0)+1),MATCH(N$1,enemy_skill_triggers!$1:$1,0)-MATCH($F$1,enemy_skill_triggers!$1:$1,0)+1,FALSE)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3" s="48">
        <f ca="1">VLOOKUP($F383,OFFSET(enemy_skill_triggers!$A$1,0,0,COUNTA(enemy_skill_triggers!$A:$A),MATCH(O$1,enemy_skill_triggers!$1:$1,0)-MATCH($F$1,enemy_skill_triggers!$1:$1,0)+1),MATCH(O$1,enemy_skill_triggers!$1:$1,0)-MATCH($F$1,enemy_skill_triggers!$1:$1,0)+1,FALSE)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3" s="47"/>
      <c r="Q383" s="47"/>
      <c r="R383" s="47"/>
    </row>
    <row r="384" spans="1:18" ht="21" customHeight="1" x14ac:dyDescent="0.15">
      <c r="A384" s="39" t="str">
        <f t="shared" si="21"/>
        <v>47004710_47004719</v>
      </c>
      <c r="B384" s="127">
        <v>47004710</v>
      </c>
      <c r="C384" s="47">
        <v>47004719</v>
      </c>
      <c r="D384" s="46" t="str">
        <f ca="1">VLOOKUP($C384,OFFSET(enemy_skills!$A$1,0,0,COUNTA(enemy_skills!$A:$A),MATCH(D$1,enemy_skills!$1:$1,0)-MATCH("enemy_skill_id",enemy_skills!$1:$1,0)+1),MATCH(D$1,enemy_skills!$1:$1,0)-MATCH("enemy_skill_id",enemy_skills!$1:$1,0)+1,FALSE)</f>
        <v>うん…本当は分かっていたんだ…</v>
      </c>
      <c r="E384" s="46" t="str">
        <f ca="1">VLOOKUP($C384,OFFSET(enemy_skills!$A$1,0,0,COUNTA(enemy_skills!$A:$A),MATCH(E$1,enemy_skills!$1:$1,0)-MATCH("enemy_skill_id",enemy_skills!$1:$1,0)+1),MATCH(E$1,enemy_skills!$1:$1,0)-MATCH("enemy_skill_id",enemy_skills!$1:$1,0)+1,FALSE)</f>
        <v>シュプールを覆う強烈な冷気が治まってゆく</v>
      </c>
      <c r="F384" s="47">
        <v>47004719</v>
      </c>
      <c r="G384" s="48">
        <f ca="1">VLOOKUP($F384,OFFSET(enemy_skill_triggers!$A$1,0,0,COUNTA(enemy_skill_triggers!$A:$A),MATCH(G$1,enemy_skill_triggers!$1:$1,0)-MATCH($F$1,enemy_skill_triggers!$1:$1,0)+1),MATCH(G$1,enemy_skill_triggers!$1:$1,0)-MATCH($F$1,enemy_skill_triggers!$1:$1,0)+1,FALSE)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4" s="48">
        <f ca="1">VLOOKUP($F384,OFFSET(enemy_skill_triggers!$A$1,0,0,COUNTA(enemy_skill_triggers!$A:$A),MATCH(H$1,enemy_skill_triggers!$1:$1,0)-MATCH($F$1,enemy_skill_triggers!$1:$1,0)+1),MATCH(H$1,enemy_skill_triggers!$1:$1,0)-MATCH($F$1,enemy_skill_triggers!$1:$1,0)+1,FALSE)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384" s="48">
        <f ca="1">VLOOKUP($F384,OFFSET(enemy_skill_triggers!$A$1,0,0,COUNTA(enemy_skill_triggers!$A:$A),MATCH(I$1,enemy_skill_triggers!$1:$1,0)-MATCH($F$1,enemy_skill_triggers!$1:$1,0)+1),MATCH(I$1,enemy_skill_triggers!$1:$1,0)-MATCH($F$1,enemy_skill_triggers!$1:$1,0)+1,FALSE)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4" s="48" t="str">
        <f ca="1">VLOOKUP($F384,OFFSET(enemy_skill_triggers!$A$1,0,0,COUNTA(enemy_skill_triggers!$A:$A),MATCH(J$1,enemy_skill_triggers!$1:$1,0)-MATCH($F$1,enemy_skill_triggers!$1:$1,0)+1),MATCH(J$1,enemy_skill_triggers!$1:$1,0)-MATCH($F$1,enemy_skill_triggers!$1:$1,0)+1,FALSE)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4" s="48" t="str">
        <f ca="1">VLOOKUP($F384,OFFSET(enemy_skill_triggers!$A$1,0,0,COUNTA(enemy_skill_triggers!$A:$A),MATCH(K$1,enemy_skill_triggers!$1:$1,0)-MATCH($F$1,enemy_skill_triggers!$1:$1,0)+1),MATCH(K$1,enemy_skill_triggers!$1:$1,0)-MATCH($F$1,enemy_skill_triggers!$1:$1,0)+1,FALSE)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4" s="48">
        <f ca="1">VLOOKUP($F384,OFFSET(enemy_skill_triggers!$A$1,0,0,COUNTA(enemy_skill_triggers!$A:$A),MATCH(L$1,enemy_skill_triggers!$1:$1,0)-MATCH($F$1,enemy_skill_triggers!$1:$1,0)+1),MATCH(L$1,enemy_skill_triggers!$1:$1,0)-MATCH($F$1,enemy_skill_triggers!$1:$1,0)+1,FALSE)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4" s="48">
        <f ca="1">VLOOKUP($F384,OFFSET(enemy_skill_triggers!$A$1,0,0,COUNTA(enemy_skill_triggers!$A:$A),MATCH(M$1,enemy_skill_triggers!$1:$1,0)-MATCH($F$1,enemy_skill_triggers!$1:$1,0)+1),MATCH(M$1,enemy_skill_triggers!$1:$1,0)-MATCH($F$1,enemy_skill_triggers!$1:$1,0)+1,FALSE)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384" s="48" t="str">
        <f ca="1">VLOOKUP($F384,OFFSET(enemy_skill_triggers!$A$1,0,0,COUNTA(enemy_skill_triggers!$A:$A),MATCH(N$1,enemy_skill_triggers!$1:$1,0)-MATCH($F$1,enemy_skill_triggers!$1:$1,0)+1),MATCH(N$1,enemy_skill_triggers!$1:$1,0)-MATCH($F$1,enemy_skill_triggers!$1:$1,0)+1,FALSE)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4" s="48">
        <f ca="1">VLOOKUP($F384,OFFSET(enemy_skill_triggers!$A$1,0,0,COUNTA(enemy_skill_triggers!$A:$A),MATCH(O$1,enemy_skill_triggers!$1:$1,0)-MATCH($F$1,enemy_skill_triggers!$1:$1,0)+1),MATCH(O$1,enemy_skill_triggers!$1:$1,0)-MATCH($F$1,enemy_skill_triggers!$1:$1,0)+1,FALSE)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4" s="47"/>
      <c r="Q384" s="47"/>
      <c r="R384" s="47"/>
    </row>
    <row r="385" spans="1:18" ht="21" customHeight="1" x14ac:dyDescent="0.15">
      <c r="A385" s="39" t="str">
        <f t="shared" si="21"/>
        <v>47004710_47004720</v>
      </c>
      <c r="B385" s="127">
        <v>47004710</v>
      </c>
      <c r="C385" s="47">
        <v>47004720</v>
      </c>
      <c r="D385" s="46" t="str">
        <f ca="1">VLOOKUP($C385,OFFSET(enemy_skills!$A$1,0,0,COUNTA(enemy_skills!$A:$A),MATCH(D$1,enemy_skills!$1:$1,0)-MATCH("enemy_skill_id",enemy_skills!$1:$1,0)+1),MATCH(D$1,enemy_skills!$1:$1,0)-MATCH("enemy_skill_id",enemy_skills!$1:$1,0)+1,FALSE)</f>
        <v>ありがとう…諦めないでいてくれて…</v>
      </c>
      <c r="E385" s="46" t="str">
        <f ca="1">VLOOKUP($C385,OFFSET(enemy_skills!$A$1,0,0,COUNTA(enemy_skills!$A:$A),MATCH(E$1,enemy_skills!$1:$1,0)-MATCH("enemy_skill_id",enemy_skills!$1:$1,0)+1),MATCH(E$1,enemy_skills!$1:$1,0)-MATCH("enemy_skill_id",enemy_skills!$1:$1,0)+1,FALSE)</f>
        <v>みんなも待っていてくれるんだね…うん、行くよ！</v>
      </c>
      <c r="F385" s="47">
        <v>47004720</v>
      </c>
      <c r="G385" s="48">
        <f ca="1">VLOOKUP($F385,OFFSET(enemy_skill_triggers!$A$1,0,0,COUNTA(enemy_skill_triggers!$A:$A),MATCH(G$1,enemy_skill_triggers!$1:$1,0)-MATCH($F$1,enemy_skill_triggers!$1:$1,0)+1),MATCH(G$1,enemy_skill_triggers!$1:$1,0)-MATCH($F$1,enemy_skill_triggers!$1:$1,0)+1,FALSE)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5" s="48">
        <f ca="1">VLOOKUP($F385,OFFSET(enemy_skill_triggers!$A$1,0,0,COUNTA(enemy_skill_triggers!$A:$A),MATCH(H$1,enemy_skill_triggers!$1:$1,0)-MATCH($F$1,enemy_skill_triggers!$1:$1,0)+1),MATCH(H$1,enemy_skill_triggers!$1:$1,0)-MATCH($F$1,enemy_skill_triggers!$1:$1,0)+1,FALSE)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85" s="48">
        <f ca="1">VLOOKUP($F385,OFFSET(enemy_skill_triggers!$A$1,0,0,COUNTA(enemy_skill_triggers!$A:$A),MATCH(I$1,enemy_skill_triggers!$1:$1,0)-MATCH($F$1,enemy_skill_triggers!$1:$1,0)+1),MATCH(I$1,enemy_skill_triggers!$1:$1,0)-MATCH($F$1,enemy_skill_triggers!$1:$1,0)+1,FALSE)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5" s="48" t="str">
        <f ca="1">VLOOKUP($F385,OFFSET(enemy_skill_triggers!$A$1,0,0,COUNTA(enemy_skill_triggers!$A:$A),MATCH(J$1,enemy_skill_triggers!$1:$1,0)-MATCH($F$1,enemy_skill_triggers!$1:$1,0)+1),MATCH(J$1,enemy_skill_triggers!$1:$1,0)-MATCH($F$1,enemy_skill_triggers!$1:$1,0)+1,FALSE)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5" s="48" t="str">
        <f ca="1">VLOOKUP($F385,OFFSET(enemy_skill_triggers!$A$1,0,0,COUNTA(enemy_skill_triggers!$A:$A),MATCH(K$1,enemy_skill_triggers!$1:$1,0)-MATCH($F$1,enemy_skill_triggers!$1:$1,0)+1),MATCH(K$1,enemy_skill_triggers!$1:$1,0)-MATCH($F$1,enemy_skill_triggers!$1:$1,0)+1,FALSE)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5" s="48">
        <f ca="1">VLOOKUP($F385,OFFSET(enemy_skill_triggers!$A$1,0,0,COUNTA(enemy_skill_triggers!$A:$A),MATCH(L$1,enemy_skill_triggers!$1:$1,0)-MATCH($F$1,enemy_skill_triggers!$1:$1,0)+1),MATCH(L$1,enemy_skill_triggers!$1:$1,0)-MATCH($F$1,enemy_skill_triggers!$1:$1,0)+1,FALSE)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5" s="48">
        <f ca="1">VLOOKUP($F385,OFFSET(enemy_skill_triggers!$A$1,0,0,COUNTA(enemy_skill_triggers!$A:$A),MATCH(M$1,enemy_skill_triggers!$1:$1,0)-MATCH($F$1,enemy_skill_triggers!$1:$1,0)+1),MATCH(M$1,enemy_skill_triggers!$1:$1,0)-MATCH($F$1,enemy_skill_triggers!$1:$1,0)+1,FALSE)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5" s="48">
        <f ca="1">VLOOKUP($F385,OFFSET(enemy_skill_triggers!$A$1,0,0,COUNTA(enemy_skill_triggers!$A:$A),MATCH(N$1,enemy_skill_triggers!$1:$1,0)-MATCH($F$1,enemy_skill_triggers!$1:$1,0)+1),MATCH(N$1,enemy_skill_triggers!$1:$1,0)-MATCH($F$1,enemy_skill_triggers!$1:$1,0)+1,FALSE)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85" s="48">
        <f ca="1">VLOOKUP($F385,OFFSET(enemy_skill_triggers!$A$1,0,0,COUNTA(enemy_skill_triggers!$A:$A),MATCH(O$1,enemy_skill_triggers!$1:$1,0)-MATCH($F$1,enemy_skill_triggers!$1:$1,0)+1),MATCH(O$1,enemy_skill_triggers!$1:$1,0)-MATCH($F$1,enemy_skill_triggers!$1:$1,0)+1,FALSE)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5" s="47"/>
      <c r="Q385" s="47"/>
      <c r="R385" s="47"/>
    </row>
    <row r="386" spans="1:18" ht="21" customHeight="1" x14ac:dyDescent="0.15">
      <c r="A386" s="39" t="str">
        <f t="shared" ref="A386" si="25">B386&amp;"_"&amp;C386</f>
        <v>47004750_47004751</v>
      </c>
      <c r="B386" s="109">
        <v>47004750</v>
      </c>
      <c r="C386" s="47">
        <v>47004751</v>
      </c>
      <c r="D386" s="46" t="str">
        <f ca="1">VLOOKUP($C386,OFFSET(enemy_skills!$A$1,0,0,COUNTA(enemy_skills!$A:$A),MATCH(D$1,enemy_skills!$1:$1,0)-MATCH("enemy_skill_id",enemy_skills!$1:$1,0)+1),MATCH(D$1,enemy_skills!$1:$1,0)-MATCH("enemy_skill_id",enemy_skills!$1:$1,0)+1,FALSE)</f>
        <v>メリークリスマス♪</v>
      </c>
      <c r="E386" s="46" t="str">
        <f ca="1">VLOOKUP($C386,OFFSET(enemy_skills!$A$1,0,0,COUNTA(enemy_skills!$A:$A),MATCH(E$1,enemy_skills!$1:$1,0)-MATCH("enemy_skill_id",enemy_skills!$1:$1,0)+1),MATCH(E$1,enemy_skills!$1:$1,0)-MATCH("enemy_skill_id",enemy_skills!$1:$1,0)+1,FALSE)</f>
        <v>素敵な夜ね_x000D_あなた方も楽しんでいるかしら？</v>
      </c>
      <c r="F386" s="47">
        <v>47004751</v>
      </c>
      <c r="G386" s="48">
        <f ca="1">VLOOKUP($F386,OFFSET(enemy_skill_triggers!$A$1,0,0,COUNTA(enemy_skill_triggers!$A:$A),MATCH(G$1,enemy_skill_triggers!$1:$1,0)-MATCH($F$1,enemy_skill_triggers!$1:$1,0)+1),MATCH(G$1,enemy_skill_triggers!$1:$1,0)-MATCH($F$1,enemy_skill_triggers!$1:$1,0)+1,FALSE)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6" s="48">
        <f ca="1">VLOOKUP($F386,OFFSET(enemy_skill_triggers!$A$1,0,0,COUNTA(enemy_skill_triggers!$A:$A),MATCH(H$1,enemy_skill_triggers!$1:$1,0)-MATCH($F$1,enemy_skill_triggers!$1:$1,0)+1),MATCH(H$1,enemy_skill_triggers!$1:$1,0)-MATCH($F$1,enemy_skill_triggers!$1:$1,0)+1,FALSE)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6" s="48">
        <f ca="1">VLOOKUP($F386,OFFSET(enemy_skill_triggers!$A$1,0,0,COUNTA(enemy_skill_triggers!$A:$A),MATCH(I$1,enemy_skill_triggers!$1:$1,0)-MATCH($F$1,enemy_skill_triggers!$1:$1,0)+1),MATCH(I$1,enemy_skill_triggers!$1:$1,0)-MATCH($F$1,enemy_skill_triggers!$1:$1,0)+1,FALSE)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6" s="48" t="str">
        <f ca="1">VLOOKUP($F386,OFFSET(enemy_skill_triggers!$A$1,0,0,COUNTA(enemy_skill_triggers!$A:$A),MATCH(J$1,enemy_skill_triggers!$1:$1,0)-MATCH($F$1,enemy_skill_triggers!$1:$1,0)+1),MATCH(J$1,enemy_skill_triggers!$1:$1,0)-MATCH($F$1,enemy_skill_triggers!$1:$1,0)+1,FALSE)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6" s="48" t="str">
        <f ca="1">VLOOKUP($F386,OFFSET(enemy_skill_triggers!$A$1,0,0,COUNTA(enemy_skill_triggers!$A:$A),MATCH(K$1,enemy_skill_triggers!$1:$1,0)-MATCH($F$1,enemy_skill_triggers!$1:$1,0)+1),MATCH(K$1,enemy_skill_triggers!$1:$1,0)-MATCH($F$1,enemy_skill_triggers!$1:$1,0)+1,FALSE)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6" s="48">
        <f ca="1">VLOOKUP($F386,OFFSET(enemy_skill_triggers!$A$1,0,0,COUNTA(enemy_skill_triggers!$A:$A),MATCH(L$1,enemy_skill_triggers!$1:$1,0)-MATCH($F$1,enemy_skill_triggers!$1:$1,0)+1),MATCH(L$1,enemy_skill_triggers!$1:$1,0)-MATCH($F$1,enemy_skill_triggers!$1:$1,0)+1,FALSE)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6" s="48" t="str">
        <f ca="1">VLOOKUP($F386,OFFSET(enemy_skill_triggers!$A$1,0,0,COUNTA(enemy_skill_triggers!$A:$A),MATCH(M$1,enemy_skill_triggers!$1:$1,0)-MATCH($F$1,enemy_skill_triggers!$1:$1,0)+1),MATCH(M$1,enemy_skill_triggers!$1:$1,0)-MATCH($F$1,enemy_skill_triggers!$1:$1,0)+1,FALSE)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6" s="48" t="str">
        <f ca="1">VLOOKUP($F386,OFFSET(enemy_skill_triggers!$A$1,0,0,COUNTA(enemy_skill_triggers!$A:$A),MATCH(N$1,enemy_skill_triggers!$1:$1,0)-MATCH($F$1,enemy_skill_triggers!$1:$1,0)+1),MATCH(N$1,enemy_skill_triggers!$1:$1,0)-MATCH($F$1,enemy_skill_triggers!$1:$1,0)+1,FALSE)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6" s="48">
        <f ca="1">VLOOKUP($F386,OFFSET(enemy_skill_triggers!$A$1,0,0,COUNTA(enemy_skill_triggers!$A:$A),MATCH(O$1,enemy_skill_triggers!$1:$1,0)-MATCH($F$1,enemy_skill_triggers!$1:$1,0)+1),MATCH(O$1,enemy_skill_triggers!$1:$1,0)-MATCH($F$1,enemy_skill_triggers!$1:$1,0)+1,FALSE)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6" s="47"/>
      <c r="Q386" s="47"/>
      <c r="R386" s="47"/>
    </row>
    <row r="387" spans="1:18" ht="21" customHeight="1" x14ac:dyDescent="0.15">
      <c r="A387" s="39" t="str">
        <f t="shared" ref="A387:A419" si="26">B387&amp;"_"&amp;C387</f>
        <v>47004750_47004752</v>
      </c>
      <c r="B387" s="109">
        <v>47004750</v>
      </c>
      <c r="C387" s="47">
        <v>47004752</v>
      </c>
      <c r="D387" s="46" t="str">
        <f ca="1">VLOOKUP($C387,OFFSET(enemy_skills!$A$1,0,0,COUNTA(enemy_skills!$A:$A),MATCH(D$1,enemy_skills!$1:$1,0)-MATCH("enemy_skill_id",enemy_skills!$1:$1,0)+1),MATCH(D$1,enemy_skills!$1:$1,0)-MATCH("enemy_skill_id",enemy_skills!$1:$1,0)+1,FALSE)</f>
        <v>星誕の降儀・白式</v>
      </c>
      <c r="E387" s="46" t="str">
        <f ca="1">VLOOKUP($C387,OFFSET(enemy_skills!$A$1,0,0,COUNTA(enemy_skills!$A:$A),MATCH(E$1,enemy_skills!$1:$1,0)-MATCH("enemy_skill_id",enemy_skills!$1:$1,0)+1),MATCH(E$1,enemy_skills!$1:$1,0)-MATCH("enemy_skill_id",enemy_skills!$1:$1,0)+1,FALSE)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87" s="47">
        <v>47004752</v>
      </c>
      <c r="G387" s="48">
        <f ca="1">VLOOKUP($F387,OFFSET(enemy_skill_triggers!$A$1,0,0,COUNTA(enemy_skill_triggers!$A:$A),MATCH(G$1,enemy_skill_triggers!$1:$1,0)-MATCH($F$1,enemy_skill_triggers!$1:$1,0)+1),MATCH(G$1,enemy_skill_triggers!$1:$1,0)-MATCH($F$1,enemy_skill_triggers!$1:$1,0)+1,FALSE)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7" s="48">
        <f ca="1">VLOOKUP($F387,OFFSET(enemy_skill_triggers!$A$1,0,0,COUNTA(enemy_skill_triggers!$A:$A),MATCH(H$1,enemy_skill_triggers!$1:$1,0)-MATCH($F$1,enemy_skill_triggers!$1:$1,0)+1),MATCH(H$1,enemy_skill_triggers!$1:$1,0)-MATCH($F$1,enemy_skill_triggers!$1:$1,0)+1,FALSE)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87" s="48">
        <f ca="1">VLOOKUP($F387,OFFSET(enemy_skill_triggers!$A$1,0,0,COUNTA(enemy_skill_triggers!$A:$A),MATCH(I$1,enemy_skill_triggers!$1:$1,0)-MATCH($F$1,enemy_skill_triggers!$1:$1,0)+1),MATCH(I$1,enemy_skill_triggers!$1:$1,0)-MATCH($F$1,enemy_skill_triggers!$1:$1,0)+1,FALSE)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7" s="48" t="str">
        <f ca="1">VLOOKUP($F387,OFFSET(enemy_skill_triggers!$A$1,0,0,COUNTA(enemy_skill_triggers!$A:$A),MATCH(J$1,enemy_skill_triggers!$1:$1,0)-MATCH($F$1,enemy_skill_triggers!$1:$1,0)+1),MATCH(J$1,enemy_skill_triggers!$1:$1,0)-MATCH($F$1,enemy_skill_triggers!$1:$1,0)+1,FALSE)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7" s="48" t="str">
        <f ca="1">VLOOKUP($F387,OFFSET(enemy_skill_triggers!$A$1,0,0,COUNTA(enemy_skill_triggers!$A:$A),MATCH(K$1,enemy_skill_triggers!$1:$1,0)-MATCH($F$1,enemy_skill_triggers!$1:$1,0)+1),MATCH(K$1,enemy_skill_triggers!$1:$1,0)-MATCH($F$1,enemy_skill_triggers!$1:$1,0)+1,FALSE)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7" s="48" t="str">
        <f ca="1">VLOOKUP($F387,OFFSET(enemy_skill_triggers!$A$1,0,0,COUNTA(enemy_skill_triggers!$A:$A),MATCH(L$1,enemy_skill_triggers!$1:$1,0)-MATCH($F$1,enemy_skill_triggers!$1:$1,0)+1),MATCH(L$1,enemy_skill_triggers!$1:$1,0)-MATCH($F$1,enemy_skill_triggers!$1:$1,0)+1,FALSE)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7" s="48">
        <f ca="1">VLOOKUP($F387,OFFSET(enemy_skill_triggers!$A$1,0,0,COUNTA(enemy_skill_triggers!$A:$A),MATCH(M$1,enemy_skill_triggers!$1:$1,0)-MATCH($F$1,enemy_skill_triggers!$1:$1,0)+1),MATCH(M$1,enemy_skill_triggers!$1:$1,0)-MATCH($F$1,enemy_skill_triggers!$1:$1,0)+1,FALSE)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87" s="48" t="str">
        <f ca="1">VLOOKUP($F387,OFFSET(enemy_skill_triggers!$A$1,0,0,COUNTA(enemy_skill_triggers!$A:$A),MATCH(N$1,enemy_skill_triggers!$1:$1,0)-MATCH($F$1,enemy_skill_triggers!$1:$1,0)+1),MATCH(N$1,enemy_skill_triggers!$1:$1,0)-MATCH($F$1,enemy_skill_triggers!$1:$1,0)+1,FALSE)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7" s="48">
        <f ca="1">VLOOKUP($F387,OFFSET(enemy_skill_triggers!$A$1,0,0,COUNTA(enemy_skill_triggers!$A:$A),MATCH(O$1,enemy_skill_triggers!$1:$1,0)-MATCH($F$1,enemy_skill_triggers!$1:$1,0)+1),MATCH(O$1,enemy_skill_triggers!$1:$1,0)-MATCH($F$1,enemy_skill_triggers!$1:$1,0)+1,FALSE)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7" s="47"/>
      <c r="Q387" s="47"/>
      <c r="R387" s="47"/>
    </row>
    <row r="388" spans="1:18" ht="21" customHeight="1" x14ac:dyDescent="0.15">
      <c r="A388" s="39" t="str">
        <f t="shared" ref="A388" si="27">B388&amp;"_"&amp;C388</f>
        <v>47004750_47004753</v>
      </c>
      <c r="B388" s="109">
        <v>47004750</v>
      </c>
      <c r="C388" s="47">
        <v>47004753</v>
      </c>
      <c r="D388" s="46" t="str">
        <f ca="1">VLOOKUP($C388,OFFSET(enemy_skills!$A$1,0,0,COUNTA(enemy_skills!$A:$A),MATCH(D$1,enemy_skills!$1:$1,0)-MATCH("enemy_skill_id",enemy_skills!$1:$1,0)+1),MATCH(D$1,enemy_skills!$1:$1,0)-MATCH("enemy_skill_id",enemy_skills!$1:$1,0)+1,FALSE)</f>
        <v>それにしても今日は特別に寒いわね…_x000D_何かあったのかしら…</v>
      </c>
      <c r="E388" s="46" t="str">
        <f ca="1">VLOOKUP($C388,OFFSET(enemy_skills!$A$1,0,0,COUNTA(enemy_skills!$A:$A),MATCH(E$1,enemy_skills!$1:$1,0)-MATCH("enemy_skill_id",enemy_skills!$1:$1,0)+1),MATCH(E$1,enemy_skills!$1:$1,0)-MATCH("enemy_skill_id",enemy_skills!$1:$1,0)+1,FALSE)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388" s="47">
        <v>47004753</v>
      </c>
      <c r="G388" s="48">
        <f ca="1">VLOOKUP($F388,OFFSET(enemy_skill_triggers!$A$1,0,0,COUNTA(enemy_skill_triggers!$A:$A),MATCH(G$1,enemy_skill_triggers!$1:$1,0)-MATCH($F$1,enemy_skill_triggers!$1:$1,0)+1),MATCH(G$1,enemy_skill_triggers!$1:$1,0)-MATCH($F$1,enemy_skill_triggers!$1:$1,0)+1,FALSE)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8" s="48">
        <f ca="1">VLOOKUP($F388,OFFSET(enemy_skill_triggers!$A$1,0,0,COUNTA(enemy_skill_triggers!$A:$A),MATCH(H$1,enemy_skill_triggers!$1:$1,0)-MATCH($F$1,enemy_skill_triggers!$1:$1,0)+1),MATCH(H$1,enemy_skill_triggers!$1:$1,0)-MATCH($F$1,enemy_skill_triggers!$1:$1,0)+1,FALSE)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88" s="48">
        <f ca="1">VLOOKUP($F388,OFFSET(enemy_skill_triggers!$A$1,0,0,COUNTA(enemy_skill_triggers!$A:$A),MATCH(I$1,enemy_skill_triggers!$1:$1,0)-MATCH($F$1,enemy_skill_triggers!$1:$1,0)+1),MATCH(I$1,enemy_skill_triggers!$1:$1,0)-MATCH($F$1,enemy_skill_triggers!$1:$1,0)+1,FALSE)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8" s="48" t="str">
        <f ca="1">VLOOKUP($F388,OFFSET(enemy_skill_triggers!$A$1,0,0,COUNTA(enemy_skill_triggers!$A:$A),MATCH(J$1,enemy_skill_triggers!$1:$1,0)-MATCH($F$1,enemy_skill_triggers!$1:$1,0)+1),MATCH(J$1,enemy_skill_triggers!$1:$1,0)-MATCH($F$1,enemy_skill_triggers!$1:$1,0)+1,FALSE)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8" s="48" t="str">
        <f ca="1">VLOOKUP($F388,OFFSET(enemy_skill_triggers!$A$1,0,0,COUNTA(enemy_skill_triggers!$A:$A),MATCH(K$1,enemy_skill_triggers!$1:$1,0)-MATCH($F$1,enemy_skill_triggers!$1:$1,0)+1),MATCH(K$1,enemy_skill_triggers!$1:$1,0)-MATCH($F$1,enemy_skill_triggers!$1:$1,0)+1,FALSE)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8" s="48">
        <f ca="1">VLOOKUP($F388,OFFSET(enemy_skill_triggers!$A$1,0,0,COUNTA(enemy_skill_triggers!$A:$A),MATCH(L$1,enemy_skill_triggers!$1:$1,0)-MATCH($F$1,enemy_skill_triggers!$1:$1,0)+1),MATCH(L$1,enemy_skill_triggers!$1:$1,0)-MATCH($F$1,enemy_skill_triggers!$1:$1,0)+1,FALSE)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8" s="48">
        <f ca="1">VLOOKUP($F388,OFFSET(enemy_skill_triggers!$A$1,0,0,COUNTA(enemy_skill_triggers!$A:$A),MATCH(M$1,enemy_skill_triggers!$1:$1,0)-MATCH($F$1,enemy_skill_triggers!$1:$1,0)+1),MATCH(M$1,enemy_skill_triggers!$1:$1,0)-MATCH($F$1,enemy_skill_triggers!$1:$1,0)+1,FALSE)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88" s="48" t="str">
        <f ca="1">VLOOKUP($F388,OFFSET(enemy_skill_triggers!$A$1,0,0,COUNTA(enemy_skill_triggers!$A:$A),MATCH(N$1,enemy_skill_triggers!$1:$1,0)-MATCH($F$1,enemy_skill_triggers!$1:$1,0)+1),MATCH(N$1,enemy_skill_triggers!$1:$1,0)-MATCH($F$1,enemy_skill_triggers!$1:$1,0)+1,FALSE)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8" s="48">
        <f ca="1">VLOOKUP($F388,OFFSET(enemy_skill_triggers!$A$1,0,0,COUNTA(enemy_skill_triggers!$A:$A),MATCH(O$1,enemy_skill_triggers!$1:$1,0)-MATCH($F$1,enemy_skill_triggers!$1:$1,0)+1),MATCH(O$1,enemy_skill_triggers!$1:$1,0)-MATCH($F$1,enemy_skill_triggers!$1:$1,0)+1,FALSE)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8" s="47"/>
      <c r="Q388" s="47"/>
      <c r="R388" s="47"/>
    </row>
    <row r="389" spans="1:18" ht="21" customHeight="1" x14ac:dyDescent="0.15">
      <c r="A389" s="39" t="str">
        <f t="shared" ref="A389" si="28">B389&amp;"_"&amp;C389</f>
        <v>47004750_47004754</v>
      </c>
      <c r="B389" s="109">
        <v>47004750</v>
      </c>
      <c r="C389" s="47">
        <v>47004754</v>
      </c>
      <c r="D389" s="46" t="str">
        <f ca="1">VLOOKUP($C389,OFFSET(enemy_skills!$A$1,0,0,COUNTA(enemy_skills!$A:$A),MATCH(D$1,enemy_skills!$1:$1,0)-MATCH("enemy_skill_id",enemy_skills!$1:$1,0)+1),MATCH(D$1,enemy_skills!$1:$1,0)-MATCH("enemy_skill_id",enemy_skills!$1:$1,0)+1,FALSE)</f>
        <v>雪の妖精みたい…綺麗ね…</v>
      </c>
      <c r="E389" s="46" t="str">
        <f ca="1">VLOOKUP($C389,OFFSET(enemy_skills!$A$1,0,0,COUNTA(enemy_skills!$A:$A),MATCH(E$1,enemy_skills!$1:$1,0)-MATCH("enemy_skill_id",enemy_skills!$1:$1,0)+1),MATCH(E$1,enemy_skills!$1:$1,0)-MATCH("enemy_skill_id",enemy_skills!$1:$1,0)+1,FALSE)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389" s="47">
        <v>47004754</v>
      </c>
      <c r="G389" s="48">
        <f ca="1">VLOOKUP($F389,OFFSET(enemy_skill_triggers!$A$1,0,0,COUNTA(enemy_skill_triggers!$A:$A),MATCH(G$1,enemy_skill_triggers!$1:$1,0)-MATCH($F$1,enemy_skill_triggers!$1:$1,0)+1),MATCH(G$1,enemy_skill_triggers!$1:$1,0)-MATCH($F$1,enemy_skill_triggers!$1:$1,0)+1,FALSE)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9" s="48">
        <f ca="1">VLOOKUP($F389,OFFSET(enemy_skill_triggers!$A$1,0,0,COUNTA(enemy_skill_triggers!$A:$A),MATCH(H$1,enemy_skill_triggers!$1:$1,0)-MATCH($F$1,enemy_skill_triggers!$1:$1,0)+1),MATCH(H$1,enemy_skill_triggers!$1:$1,0)-MATCH($F$1,enemy_skill_triggers!$1:$1,0)+1,FALSE)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389" s="48">
        <f ca="1">VLOOKUP($F389,OFFSET(enemy_skill_triggers!$A$1,0,0,COUNTA(enemy_skill_triggers!$A:$A),MATCH(I$1,enemy_skill_triggers!$1:$1,0)-MATCH($F$1,enemy_skill_triggers!$1:$1,0)+1),MATCH(I$1,enemy_skill_triggers!$1:$1,0)-MATCH($F$1,enemy_skill_triggers!$1:$1,0)+1,FALSE)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9" s="48" t="str">
        <f ca="1">VLOOKUP($F389,OFFSET(enemy_skill_triggers!$A$1,0,0,COUNTA(enemy_skill_triggers!$A:$A),MATCH(J$1,enemy_skill_triggers!$1:$1,0)-MATCH($F$1,enemy_skill_triggers!$1:$1,0)+1),MATCH(J$1,enemy_skill_triggers!$1:$1,0)-MATCH($F$1,enemy_skill_triggers!$1:$1,0)+1,FALSE)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9" s="48" t="str">
        <f ca="1">VLOOKUP($F389,OFFSET(enemy_skill_triggers!$A$1,0,0,COUNTA(enemy_skill_triggers!$A:$A),MATCH(K$1,enemy_skill_triggers!$1:$1,0)-MATCH($F$1,enemy_skill_triggers!$1:$1,0)+1),MATCH(K$1,enemy_skill_triggers!$1:$1,0)-MATCH($F$1,enemy_skill_triggers!$1:$1,0)+1,FALSE)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9" s="48">
        <f ca="1">VLOOKUP($F389,OFFSET(enemy_skill_triggers!$A$1,0,0,COUNTA(enemy_skill_triggers!$A:$A),MATCH(L$1,enemy_skill_triggers!$1:$1,0)-MATCH($F$1,enemy_skill_triggers!$1:$1,0)+1),MATCH(L$1,enemy_skill_triggers!$1:$1,0)-MATCH($F$1,enemy_skill_triggers!$1:$1,0)+1,FALSE)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9" s="48" t="str">
        <f ca="1">VLOOKUP($F389,OFFSET(enemy_skill_triggers!$A$1,0,0,COUNTA(enemy_skill_triggers!$A:$A),MATCH(M$1,enemy_skill_triggers!$1:$1,0)-MATCH($F$1,enemy_skill_triggers!$1:$1,0)+1),MATCH(M$1,enemy_skill_triggers!$1:$1,0)-MATCH($F$1,enemy_skill_triggers!$1:$1,0)+1,FALSE)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9" s="48">
        <f ca="1">VLOOKUP($F389,OFFSET(enemy_skill_triggers!$A$1,0,0,COUNTA(enemy_skill_triggers!$A:$A),MATCH(N$1,enemy_skill_triggers!$1:$1,0)-MATCH($F$1,enemy_skill_triggers!$1:$1,0)+1),MATCH(N$1,enemy_skill_triggers!$1:$1,0)-MATCH($F$1,enemy_skill_triggers!$1:$1,0)+1,FALSE)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389" s="48">
        <f ca="1">VLOOKUP($F389,OFFSET(enemy_skill_triggers!$A$1,0,0,COUNTA(enemy_skill_triggers!$A:$A),MATCH(O$1,enemy_skill_triggers!$1:$1,0)-MATCH($F$1,enemy_skill_triggers!$1:$1,0)+1),MATCH(O$1,enemy_skill_triggers!$1:$1,0)-MATCH($F$1,enemy_skill_triggers!$1:$1,0)+1,FALSE)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9" s="47"/>
      <c r="Q389" s="47"/>
      <c r="R389" s="47"/>
    </row>
    <row r="390" spans="1:18" ht="21" customHeight="1" x14ac:dyDescent="0.15">
      <c r="A390" s="39" t="str">
        <f t="shared" si="26"/>
        <v>47004750_47004754</v>
      </c>
      <c r="B390" s="109">
        <v>47004750</v>
      </c>
      <c r="C390" s="47">
        <v>47004754</v>
      </c>
      <c r="D390" s="46" t="str">
        <f ca="1">VLOOKUP($C390,OFFSET(enemy_skills!$A$1,0,0,COUNTA(enemy_skills!$A:$A),MATCH(D$1,enemy_skills!$1:$1,0)-MATCH("enemy_skill_id",enemy_skills!$1:$1,0)+1),MATCH(D$1,enemy_skills!$1:$1,0)-MATCH("enemy_skill_id",enemy_skills!$1:$1,0)+1,FALSE)</f>
        <v>雪の妖精みたい…綺麗ね…</v>
      </c>
      <c r="E390" s="46" t="str">
        <f ca="1">VLOOKUP($C390,OFFSET(enemy_skills!$A$1,0,0,COUNTA(enemy_skills!$A:$A),MATCH(E$1,enemy_skills!$1:$1,0)-MATCH("enemy_skill_id",enemy_skills!$1:$1,0)+1),MATCH(E$1,enemy_skills!$1:$1,0)-MATCH("enemy_skill_id",enemy_skills!$1:$1,0)+1,FALSE)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390" s="47">
        <v>47004755</v>
      </c>
      <c r="G390" s="48">
        <f ca="1">VLOOKUP($F390,OFFSET(enemy_skill_triggers!$A$1,0,0,COUNTA(enemy_skill_triggers!$A:$A),MATCH(G$1,enemy_skill_triggers!$1:$1,0)-MATCH($F$1,enemy_skill_triggers!$1:$1,0)+1),MATCH(G$1,enemy_skill_triggers!$1:$1,0)-MATCH($F$1,enemy_skill_triggers!$1:$1,0)+1,FALSE)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0" s="48">
        <f ca="1">VLOOKUP($F390,OFFSET(enemy_skill_triggers!$A$1,0,0,COUNTA(enemy_skill_triggers!$A:$A),MATCH(H$1,enemy_skill_triggers!$1:$1,0)-MATCH($F$1,enemy_skill_triggers!$1:$1,0)+1),MATCH(H$1,enemy_skill_triggers!$1:$1,0)-MATCH($F$1,enemy_skill_triggers!$1:$1,0)+1,FALSE)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390" s="48">
        <f ca="1">VLOOKUP($F390,OFFSET(enemy_skill_triggers!$A$1,0,0,COUNTA(enemy_skill_triggers!$A:$A),MATCH(I$1,enemy_skill_triggers!$1:$1,0)-MATCH($F$1,enemy_skill_triggers!$1:$1,0)+1),MATCH(I$1,enemy_skill_triggers!$1:$1,0)-MATCH($F$1,enemy_skill_triggers!$1:$1,0)+1,FALSE)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0" s="48" t="str">
        <f ca="1">VLOOKUP($F390,OFFSET(enemy_skill_triggers!$A$1,0,0,COUNTA(enemy_skill_triggers!$A:$A),MATCH(J$1,enemy_skill_triggers!$1:$1,0)-MATCH($F$1,enemy_skill_triggers!$1:$1,0)+1),MATCH(J$1,enemy_skill_triggers!$1:$1,0)-MATCH($F$1,enemy_skill_triggers!$1:$1,0)+1,FALSE)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0" s="48" t="str">
        <f ca="1">VLOOKUP($F390,OFFSET(enemy_skill_triggers!$A$1,0,0,COUNTA(enemy_skill_triggers!$A:$A),MATCH(K$1,enemy_skill_triggers!$1:$1,0)-MATCH($F$1,enemy_skill_triggers!$1:$1,0)+1),MATCH(K$1,enemy_skill_triggers!$1:$1,0)-MATCH($F$1,enemy_skill_triggers!$1:$1,0)+1,FALSE)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0" s="48">
        <f ca="1">VLOOKUP($F390,OFFSET(enemy_skill_triggers!$A$1,0,0,COUNTA(enemy_skill_triggers!$A:$A),MATCH(L$1,enemy_skill_triggers!$1:$1,0)-MATCH($F$1,enemy_skill_triggers!$1:$1,0)+1),MATCH(L$1,enemy_skill_triggers!$1:$1,0)-MATCH($F$1,enemy_skill_triggers!$1:$1,0)+1,FALSE)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0" s="48" t="str">
        <f ca="1">VLOOKUP($F390,OFFSET(enemy_skill_triggers!$A$1,0,0,COUNTA(enemy_skill_triggers!$A:$A),MATCH(M$1,enemy_skill_triggers!$1:$1,0)-MATCH($F$1,enemy_skill_triggers!$1:$1,0)+1),MATCH(M$1,enemy_skill_triggers!$1:$1,0)-MATCH($F$1,enemy_skill_triggers!$1:$1,0)+1,FALSE)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0" s="48">
        <f ca="1">VLOOKUP($F390,OFFSET(enemy_skill_triggers!$A$1,0,0,COUNTA(enemy_skill_triggers!$A:$A),MATCH(N$1,enemy_skill_triggers!$1:$1,0)-MATCH($F$1,enemy_skill_triggers!$1:$1,0)+1),MATCH(N$1,enemy_skill_triggers!$1:$1,0)-MATCH($F$1,enemy_skill_triggers!$1:$1,0)+1,FALSE)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390" s="48">
        <f ca="1">VLOOKUP($F390,OFFSET(enemy_skill_triggers!$A$1,0,0,COUNTA(enemy_skill_triggers!$A:$A),MATCH(O$1,enemy_skill_triggers!$1:$1,0)-MATCH($F$1,enemy_skill_triggers!$1:$1,0)+1),MATCH(O$1,enemy_skill_triggers!$1:$1,0)-MATCH($F$1,enemy_skill_triggers!$1:$1,0)+1,FALSE)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0" s="47"/>
      <c r="Q390" s="47"/>
      <c r="R390" s="47"/>
    </row>
    <row r="391" spans="1:18" ht="21" customHeight="1" x14ac:dyDescent="0.15">
      <c r="A391" s="39" t="str">
        <f t="shared" si="26"/>
        <v>47004750_47004755</v>
      </c>
      <c r="B391" s="109">
        <v>47004750</v>
      </c>
      <c r="C391" s="47">
        <v>47004755</v>
      </c>
      <c r="D391" s="46" t="str">
        <f ca="1">VLOOKUP($C391,OFFSET(enemy_skills!$A$1,0,0,COUNTA(enemy_skills!$A:$A),MATCH(D$1,enemy_skills!$1:$1,0)-MATCH("enemy_skill_id",enemy_skills!$1:$1,0)+1),MATCH(D$1,enemy_skills!$1:$1,0)-MATCH("enemy_skill_id",enemy_skills!$1:$1,0)+1,FALSE)</f>
        <v>ふふっ名前の通り_x000D_聖夜がお似合いね♪</v>
      </c>
      <c r="E391" s="46" t="str">
        <f ca="1">VLOOKUP($C391,OFFSET(enemy_skills!$A$1,0,0,COUNTA(enemy_skills!$A:$A),MATCH(E$1,enemy_skills!$1:$1,0)-MATCH("enemy_skill_id",enemy_skills!$1:$1,0)+1),MATCH(E$1,enemy_skills!$1:$1,0)-MATCH("enemy_skill_id",enemy_skills!$1:$1,0)+1,FALSE)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391" s="47">
        <v>47004756</v>
      </c>
      <c r="G391" s="48">
        <f ca="1">VLOOKUP($F391,OFFSET(enemy_skill_triggers!$A$1,0,0,COUNTA(enemy_skill_triggers!$A:$A),MATCH(G$1,enemy_skill_triggers!$1:$1,0)-MATCH($F$1,enemy_skill_triggers!$1:$1,0)+1),MATCH(G$1,enemy_skill_triggers!$1:$1,0)-MATCH($F$1,enemy_skill_triggers!$1:$1,0)+1,FALSE)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1" s="48">
        <f ca="1">VLOOKUP($F391,OFFSET(enemy_skill_triggers!$A$1,0,0,COUNTA(enemy_skill_triggers!$A:$A),MATCH(H$1,enemy_skill_triggers!$1:$1,0)-MATCH($F$1,enemy_skill_triggers!$1:$1,0)+1),MATCH(H$1,enemy_skill_triggers!$1:$1,0)-MATCH($F$1,enemy_skill_triggers!$1:$1,0)+1,FALSE)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391" s="48">
        <f ca="1">VLOOKUP($F391,OFFSET(enemy_skill_triggers!$A$1,0,0,COUNTA(enemy_skill_triggers!$A:$A),MATCH(I$1,enemy_skill_triggers!$1:$1,0)-MATCH($F$1,enemy_skill_triggers!$1:$1,0)+1),MATCH(I$1,enemy_skill_triggers!$1:$1,0)-MATCH($F$1,enemy_skill_triggers!$1:$1,0)+1,FALSE)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1" s="48" t="str">
        <f ca="1">VLOOKUP($F391,OFFSET(enemy_skill_triggers!$A$1,0,0,COUNTA(enemy_skill_triggers!$A:$A),MATCH(J$1,enemy_skill_triggers!$1:$1,0)-MATCH($F$1,enemy_skill_triggers!$1:$1,0)+1),MATCH(J$1,enemy_skill_triggers!$1:$1,0)-MATCH($F$1,enemy_skill_triggers!$1:$1,0)+1,FALSE)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1" s="48" t="str">
        <f ca="1">VLOOKUP($F391,OFFSET(enemy_skill_triggers!$A$1,0,0,COUNTA(enemy_skill_triggers!$A:$A),MATCH(K$1,enemy_skill_triggers!$1:$1,0)-MATCH($F$1,enemy_skill_triggers!$1:$1,0)+1),MATCH(K$1,enemy_skill_triggers!$1:$1,0)-MATCH($F$1,enemy_skill_triggers!$1:$1,0)+1,FALSE)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1" s="48">
        <f ca="1">VLOOKUP($F391,OFFSET(enemy_skill_triggers!$A$1,0,0,COUNTA(enemy_skill_triggers!$A:$A),MATCH(L$1,enemy_skill_triggers!$1:$1,0)-MATCH($F$1,enemy_skill_triggers!$1:$1,0)+1),MATCH(L$1,enemy_skill_triggers!$1:$1,0)-MATCH($F$1,enemy_skill_triggers!$1:$1,0)+1,FALSE)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1" s="48" t="str">
        <f ca="1">VLOOKUP($F391,OFFSET(enemy_skill_triggers!$A$1,0,0,COUNTA(enemy_skill_triggers!$A:$A),MATCH(M$1,enemy_skill_triggers!$1:$1,0)-MATCH($F$1,enemy_skill_triggers!$1:$1,0)+1),MATCH(M$1,enemy_skill_triggers!$1:$1,0)-MATCH($F$1,enemy_skill_triggers!$1:$1,0)+1,FALSE)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1" s="48">
        <f ca="1">VLOOKUP($F391,OFFSET(enemy_skill_triggers!$A$1,0,0,COUNTA(enemy_skill_triggers!$A:$A),MATCH(N$1,enemy_skill_triggers!$1:$1,0)-MATCH($F$1,enemy_skill_triggers!$1:$1,0)+1),MATCH(N$1,enemy_skill_triggers!$1:$1,0)-MATCH($F$1,enemy_skill_triggers!$1:$1,0)+1,FALSE)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391" s="48">
        <f ca="1">VLOOKUP($F391,OFFSET(enemy_skill_triggers!$A$1,0,0,COUNTA(enemy_skill_triggers!$A:$A),MATCH(O$1,enemy_skill_triggers!$1:$1,0)-MATCH($F$1,enemy_skill_triggers!$1:$1,0)+1),MATCH(O$1,enemy_skill_triggers!$1:$1,0)-MATCH($F$1,enemy_skill_triggers!$1:$1,0)+1,FALSE)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1" s="47"/>
      <c r="Q391" s="47"/>
      <c r="R391" s="47"/>
    </row>
    <row r="392" spans="1:18" ht="21" customHeight="1" x14ac:dyDescent="0.15">
      <c r="A392" s="39" t="str">
        <f t="shared" si="26"/>
        <v>47004750_47004755</v>
      </c>
      <c r="B392" s="109">
        <v>47004750</v>
      </c>
      <c r="C392" s="47">
        <v>47004755</v>
      </c>
      <c r="D392" s="46" t="str">
        <f ca="1">VLOOKUP($C392,OFFSET(enemy_skills!$A$1,0,0,COUNTA(enemy_skills!$A:$A),MATCH(D$1,enemy_skills!$1:$1,0)-MATCH("enemy_skill_id",enemy_skills!$1:$1,0)+1),MATCH(D$1,enemy_skills!$1:$1,0)-MATCH("enemy_skill_id",enemy_skills!$1:$1,0)+1,FALSE)</f>
        <v>ふふっ名前の通り_x000D_聖夜がお似合いね♪</v>
      </c>
      <c r="E392" s="46" t="str">
        <f ca="1">VLOOKUP($C392,OFFSET(enemy_skills!$A$1,0,0,COUNTA(enemy_skills!$A:$A),MATCH(E$1,enemy_skills!$1:$1,0)-MATCH("enemy_skill_id",enemy_skills!$1:$1,0)+1),MATCH(E$1,enemy_skills!$1:$1,0)-MATCH("enemy_skill_id",enemy_skills!$1:$1,0)+1,FALSE)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392" s="47">
        <v>47004757</v>
      </c>
      <c r="G392" s="48">
        <f ca="1">VLOOKUP($F392,OFFSET(enemy_skill_triggers!$A$1,0,0,COUNTA(enemy_skill_triggers!$A:$A),MATCH(G$1,enemy_skill_triggers!$1:$1,0)-MATCH($F$1,enemy_skill_triggers!$1:$1,0)+1),MATCH(G$1,enemy_skill_triggers!$1:$1,0)-MATCH($F$1,enemy_skill_triggers!$1:$1,0)+1,FALSE)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2" s="48">
        <f ca="1">VLOOKUP($F392,OFFSET(enemy_skill_triggers!$A$1,0,0,COUNTA(enemy_skill_triggers!$A:$A),MATCH(H$1,enemy_skill_triggers!$1:$1,0)-MATCH($F$1,enemy_skill_triggers!$1:$1,0)+1),MATCH(H$1,enemy_skill_triggers!$1:$1,0)-MATCH($F$1,enemy_skill_triggers!$1:$1,0)+1,FALSE)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392" s="48">
        <f ca="1">VLOOKUP($F392,OFFSET(enemy_skill_triggers!$A$1,0,0,COUNTA(enemy_skill_triggers!$A:$A),MATCH(I$1,enemy_skill_triggers!$1:$1,0)-MATCH($F$1,enemy_skill_triggers!$1:$1,0)+1),MATCH(I$1,enemy_skill_triggers!$1:$1,0)-MATCH($F$1,enemy_skill_triggers!$1:$1,0)+1,FALSE)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2" s="48" t="str">
        <f ca="1">VLOOKUP($F392,OFFSET(enemy_skill_triggers!$A$1,0,0,COUNTA(enemy_skill_triggers!$A:$A),MATCH(J$1,enemy_skill_triggers!$1:$1,0)-MATCH($F$1,enemy_skill_triggers!$1:$1,0)+1),MATCH(J$1,enemy_skill_triggers!$1:$1,0)-MATCH($F$1,enemy_skill_triggers!$1:$1,0)+1,FALSE)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2" s="48" t="str">
        <f ca="1">VLOOKUP($F392,OFFSET(enemy_skill_triggers!$A$1,0,0,COUNTA(enemy_skill_triggers!$A:$A),MATCH(K$1,enemy_skill_triggers!$1:$1,0)-MATCH($F$1,enemy_skill_triggers!$1:$1,0)+1),MATCH(K$1,enemy_skill_triggers!$1:$1,0)-MATCH($F$1,enemy_skill_triggers!$1:$1,0)+1,FALSE)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2" s="48">
        <f ca="1">VLOOKUP($F392,OFFSET(enemy_skill_triggers!$A$1,0,0,COUNTA(enemy_skill_triggers!$A:$A),MATCH(L$1,enemy_skill_triggers!$1:$1,0)-MATCH($F$1,enemy_skill_triggers!$1:$1,0)+1),MATCH(L$1,enemy_skill_triggers!$1:$1,0)-MATCH($F$1,enemy_skill_triggers!$1:$1,0)+1,FALSE)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2" s="48" t="str">
        <f ca="1">VLOOKUP($F392,OFFSET(enemy_skill_triggers!$A$1,0,0,COUNTA(enemy_skill_triggers!$A:$A),MATCH(M$1,enemy_skill_triggers!$1:$1,0)-MATCH($F$1,enemy_skill_triggers!$1:$1,0)+1),MATCH(M$1,enemy_skill_triggers!$1:$1,0)-MATCH($F$1,enemy_skill_triggers!$1:$1,0)+1,FALSE)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2" s="48">
        <f ca="1">VLOOKUP($F392,OFFSET(enemy_skill_triggers!$A$1,0,0,COUNTA(enemy_skill_triggers!$A:$A),MATCH(N$1,enemy_skill_triggers!$1:$1,0)-MATCH($F$1,enemy_skill_triggers!$1:$1,0)+1),MATCH(N$1,enemy_skill_triggers!$1:$1,0)-MATCH($F$1,enemy_skill_triggers!$1:$1,0)+1,FALSE)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392" s="48">
        <f ca="1">VLOOKUP($F392,OFFSET(enemy_skill_triggers!$A$1,0,0,COUNTA(enemy_skill_triggers!$A:$A),MATCH(O$1,enemy_skill_triggers!$1:$1,0)-MATCH($F$1,enemy_skill_triggers!$1:$1,0)+1),MATCH(O$1,enemy_skill_triggers!$1:$1,0)-MATCH($F$1,enemy_skill_triggers!$1:$1,0)+1,FALSE)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2" s="47"/>
      <c r="Q392" s="47"/>
      <c r="R392" s="47"/>
    </row>
    <row r="393" spans="1:18" ht="21" customHeight="1" x14ac:dyDescent="0.15">
      <c r="A393" s="39" t="str">
        <f t="shared" si="26"/>
        <v>47004750_47004755</v>
      </c>
      <c r="B393" s="109">
        <v>47004750</v>
      </c>
      <c r="C393" s="47">
        <v>47004755</v>
      </c>
      <c r="D393" s="46" t="str">
        <f ca="1">VLOOKUP($C393,OFFSET(enemy_skills!$A$1,0,0,COUNTA(enemy_skills!$A:$A),MATCH(D$1,enemy_skills!$1:$1,0)-MATCH("enemy_skill_id",enemy_skills!$1:$1,0)+1),MATCH(D$1,enemy_skills!$1:$1,0)-MATCH("enemy_skill_id",enemy_skills!$1:$1,0)+1,FALSE)</f>
        <v>ふふっ名前の通り_x000D_聖夜がお似合いね♪</v>
      </c>
      <c r="E393" s="46" t="str">
        <f ca="1">VLOOKUP($C393,OFFSET(enemy_skills!$A$1,0,0,COUNTA(enemy_skills!$A:$A),MATCH(E$1,enemy_skills!$1:$1,0)-MATCH("enemy_skill_id",enemy_skills!$1:$1,0)+1),MATCH(E$1,enemy_skills!$1:$1,0)-MATCH("enemy_skill_id",enemy_skills!$1:$1,0)+1,FALSE)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残りHPの95%消費+_x000D_全ユニットのスキルゲージを4ターン減少+_x000D_全ユニットのCパネル生成短縮(効果大)</v>
      </c>
      <c r="F393" s="47">
        <v>47004758</v>
      </c>
      <c r="G393" s="48">
        <f ca="1">VLOOKUP($F393,OFFSET(enemy_skill_triggers!$A$1,0,0,COUNTA(enemy_skill_triggers!$A:$A),MATCH(G$1,enemy_skill_triggers!$1:$1,0)-MATCH($F$1,enemy_skill_triggers!$1:$1,0)+1),MATCH(G$1,enemy_skill_triggers!$1:$1,0)-MATCH($F$1,enemy_skill_triggers!$1:$1,0)+1,FALSE)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3" s="48">
        <f ca="1">VLOOKUP($F393,OFFSET(enemy_skill_triggers!$A$1,0,0,COUNTA(enemy_skill_triggers!$A:$A),MATCH(H$1,enemy_skill_triggers!$1:$1,0)-MATCH($F$1,enemy_skill_triggers!$1:$1,0)+1),MATCH(H$1,enemy_skill_triggers!$1:$1,0)-MATCH($F$1,enemy_skill_triggers!$1:$1,0)+1,FALSE)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393" s="48">
        <f ca="1">VLOOKUP($F393,OFFSET(enemy_skill_triggers!$A$1,0,0,COUNTA(enemy_skill_triggers!$A:$A),MATCH(I$1,enemy_skill_triggers!$1:$1,0)-MATCH($F$1,enemy_skill_triggers!$1:$1,0)+1),MATCH(I$1,enemy_skill_triggers!$1:$1,0)-MATCH($F$1,enemy_skill_triggers!$1:$1,0)+1,FALSE)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3" s="48" t="str">
        <f ca="1">VLOOKUP($F393,OFFSET(enemy_skill_triggers!$A$1,0,0,COUNTA(enemy_skill_triggers!$A:$A),MATCH(J$1,enemy_skill_triggers!$1:$1,0)-MATCH($F$1,enemy_skill_triggers!$1:$1,0)+1),MATCH(J$1,enemy_skill_triggers!$1:$1,0)-MATCH($F$1,enemy_skill_triggers!$1:$1,0)+1,FALSE)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3" s="48" t="str">
        <f ca="1">VLOOKUP($F393,OFFSET(enemy_skill_triggers!$A$1,0,0,COUNTA(enemy_skill_triggers!$A:$A),MATCH(K$1,enemy_skill_triggers!$1:$1,0)-MATCH($F$1,enemy_skill_triggers!$1:$1,0)+1),MATCH(K$1,enemy_skill_triggers!$1:$1,0)-MATCH($F$1,enemy_skill_triggers!$1:$1,0)+1,FALSE)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3" s="48">
        <f ca="1">VLOOKUP($F393,OFFSET(enemy_skill_triggers!$A$1,0,0,COUNTA(enemy_skill_triggers!$A:$A),MATCH(L$1,enemy_skill_triggers!$1:$1,0)-MATCH($F$1,enemy_skill_triggers!$1:$1,0)+1),MATCH(L$1,enemy_skill_triggers!$1:$1,0)-MATCH($F$1,enemy_skill_triggers!$1:$1,0)+1,FALSE)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3" s="48" t="str">
        <f ca="1">VLOOKUP($F393,OFFSET(enemy_skill_triggers!$A$1,0,0,COUNTA(enemy_skill_triggers!$A:$A),MATCH(M$1,enemy_skill_triggers!$1:$1,0)-MATCH($F$1,enemy_skill_triggers!$1:$1,0)+1),MATCH(M$1,enemy_skill_triggers!$1:$1,0)-MATCH($F$1,enemy_skill_triggers!$1:$1,0)+1,FALSE)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3" s="48">
        <f ca="1">VLOOKUP($F393,OFFSET(enemy_skill_triggers!$A$1,0,0,COUNTA(enemy_skill_triggers!$A:$A),MATCH(N$1,enemy_skill_triggers!$1:$1,0)-MATCH($F$1,enemy_skill_triggers!$1:$1,0)+1),MATCH(N$1,enemy_skill_triggers!$1:$1,0)-MATCH($F$1,enemy_skill_triggers!$1:$1,0)+1,FALSE)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393" s="48">
        <f ca="1">VLOOKUP($F393,OFFSET(enemy_skill_triggers!$A$1,0,0,COUNTA(enemy_skill_triggers!$A:$A),MATCH(O$1,enemy_skill_triggers!$1:$1,0)-MATCH($F$1,enemy_skill_triggers!$1:$1,0)+1),MATCH(O$1,enemy_skill_triggers!$1:$1,0)-MATCH($F$1,enemy_skill_triggers!$1:$1,0)+1,FALSE)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3" s="47"/>
      <c r="Q393" s="47"/>
      <c r="R393" s="47"/>
    </row>
    <row r="394" spans="1:18" ht="21" customHeight="1" x14ac:dyDescent="0.15">
      <c r="A394" s="39" t="str">
        <f t="shared" si="26"/>
        <v>47004750_47004756</v>
      </c>
      <c r="B394" s="109">
        <v>47004750</v>
      </c>
      <c r="C394" s="47">
        <v>47004756</v>
      </c>
      <c r="D394" s="46" t="str">
        <f ca="1">VLOOKUP($C394,OFFSET(enemy_skills!$A$1,0,0,COUNTA(enemy_skills!$A:$A),MATCH(D$1,enemy_skills!$1:$1,0)-MATCH("enemy_skill_id",enemy_skills!$1:$1,0)+1),MATCH(D$1,enemy_skills!$1:$1,0)-MATCH("enemy_skill_id",enemy_skills!$1:$1,0)+1,FALSE)</f>
        <v>聖夜に舞う天使…ってところかしら？</v>
      </c>
      <c r="E394" s="46" t="str">
        <f ca="1">VLOOKUP($C394,OFFSET(enemy_skills!$A$1,0,0,COUNTA(enemy_skills!$A:$A),MATCH(E$1,enemy_skills!$1:$1,0)-MATCH("enemy_skill_id",enemy_skills!$1:$1,0)+1),MATCH(E$1,enemy_skills!$1:$1,0)-MATCH("enemy_skill_id",enemy_skills!$1:$1,0)+1,FALSE)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394" s="47">
        <v>47004759</v>
      </c>
      <c r="G394" s="48">
        <f ca="1">VLOOKUP($F394,OFFSET(enemy_skill_triggers!$A$1,0,0,COUNTA(enemy_skill_triggers!$A:$A),MATCH(G$1,enemy_skill_triggers!$1:$1,0)-MATCH($F$1,enemy_skill_triggers!$1:$1,0)+1),MATCH(G$1,enemy_skill_triggers!$1:$1,0)-MATCH($F$1,enemy_skill_triggers!$1:$1,0)+1,FALSE)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4" s="48">
        <f ca="1">VLOOKUP($F394,OFFSET(enemy_skill_triggers!$A$1,0,0,COUNTA(enemy_skill_triggers!$A:$A),MATCH(H$1,enemy_skill_triggers!$1:$1,0)-MATCH($F$1,enemy_skill_triggers!$1:$1,0)+1),MATCH(H$1,enemy_skill_triggers!$1:$1,0)-MATCH($F$1,enemy_skill_triggers!$1:$1,0)+1,FALSE)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394" s="48">
        <f ca="1">VLOOKUP($F394,OFFSET(enemy_skill_triggers!$A$1,0,0,COUNTA(enemy_skill_triggers!$A:$A),MATCH(I$1,enemy_skill_triggers!$1:$1,0)-MATCH($F$1,enemy_skill_triggers!$1:$1,0)+1),MATCH(I$1,enemy_skill_triggers!$1:$1,0)-MATCH($F$1,enemy_skill_triggers!$1:$1,0)+1,FALSE)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4" s="48" t="str">
        <f ca="1">VLOOKUP($F394,OFFSET(enemy_skill_triggers!$A$1,0,0,COUNTA(enemy_skill_triggers!$A:$A),MATCH(J$1,enemy_skill_triggers!$1:$1,0)-MATCH($F$1,enemy_skill_triggers!$1:$1,0)+1),MATCH(J$1,enemy_skill_triggers!$1:$1,0)-MATCH($F$1,enemy_skill_triggers!$1:$1,0)+1,FALSE)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4" s="48" t="str">
        <f ca="1">VLOOKUP($F394,OFFSET(enemy_skill_triggers!$A$1,0,0,COUNTA(enemy_skill_triggers!$A:$A),MATCH(K$1,enemy_skill_triggers!$1:$1,0)-MATCH($F$1,enemy_skill_triggers!$1:$1,0)+1),MATCH(K$1,enemy_skill_triggers!$1:$1,0)-MATCH($F$1,enemy_skill_triggers!$1:$1,0)+1,FALSE)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4" s="48">
        <f ca="1">VLOOKUP($F394,OFFSET(enemy_skill_triggers!$A$1,0,0,COUNTA(enemy_skill_triggers!$A:$A),MATCH(L$1,enemy_skill_triggers!$1:$1,0)-MATCH($F$1,enemy_skill_triggers!$1:$1,0)+1),MATCH(L$1,enemy_skill_triggers!$1:$1,0)-MATCH($F$1,enemy_skill_triggers!$1:$1,0)+1,FALSE)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4" s="48" t="str">
        <f ca="1">VLOOKUP($F394,OFFSET(enemy_skill_triggers!$A$1,0,0,COUNTA(enemy_skill_triggers!$A:$A),MATCH(M$1,enemy_skill_triggers!$1:$1,0)-MATCH($F$1,enemy_skill_triggers!$1:$1,0)+1),MATCH(M$1,enemy_skill_triggers!$1:$1,0)-MATCH($F$1,enemy_skill_triggers!$1:$1,0)+1,FALSE)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4" s="48">
        <f ca="1">VLOOKUP($F394,OFFSET(enemy_skill_triggers!$A$1,0,0,COUNTA(enemy_skill_triggers!$A:$A),MATCH(N$1,enemy_skill_triggers!$1:$1,0)-MATCH($F$1,enemy_skill_triggers!$1:$1,0)+1),MATCH(N$1,enemy_skill_triggers!$1:$1,0)-MATCH($F$1,enemy_skill_triggers!$1:$1,0)+1,FALSE)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394" s="48">
        <f ca="1">VLOOKUP($F394,OFFSET(enemy_skill_triggers!$A$1,0,0,COUNTA(enemy_skill_triggers!$A:$A),MATCH(O$1,enemy_skill_triggers!$1:$1,0)-MATCH($F$1,enemy_skill_triggers!$1:$1,0)+1),MATCH(O$1,enemy_skill_triggers!$1:$1,0)-MATCH($F$1,enemy_skill_triggers!$1:$1,0)+1,FALSE)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4" s="47"/>
      <c r="Q394" s="47"/>
      <c r="R394" s="47"/>
    </row>
    <row r="395" spans="1:18" ht="21" customHeight="1" x14ac:dyDescent="0.15">
      <c r="A395" s="39" t="str">
        <f t="shared" si="26"/>
        <v>47004750_47004756</v>
      </c>
      <c r="B395" s="109">
        <v>47004750</v>
      </c>
      <c r="C395" s="47">
        <v>47004756</v>
      </c>
      <c r="D395" s="46" t="str">
        <f ca="1">VLOOKUP($C395,OFFSET(enemy_skills!$A$1,0,0,COUNTA(enemy_skills!$A:$A),MATCH(D$1,enemy_skills!$1:$1,0)-MATCH("enemy_skill_id",enemy_skills!$1:$1,0)+1),MATCH(D$1,enemy_skills!$1:$1,0)-MATCH("enemy_skill_id",enemy_skills!$1:$1,0)+1,FALSE)</f>
        <v>聖夜に舞う天使…ってところかしら？</v>
      </c>
      <c r="E395" s="46" t="str">
        <f ca="1">VLOOKUP($C395,OFFSET(enemy_skills!$A$1,0,0,COUNTA(enemy_skills!$A:$A),MATCH(E$1,enemy_skills!$1:$1,0)-MATCH("enemy_skill_id",enemy_skills!$1:$1,0)+1),MATCH(E$1,enemy_skills!$1:$1,0)-MATCH("enemy_skill_id",enemy_skills!$1:$1,0)+1,FALSE)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395" s="47">
        <v>47004760</v>
      </c>
      <c r="G395" s="48">
        <f ca="1">VLOOKUP($F395,OFFSET(enemy_skill_triggers!$A$1,0,0,COUNTA(enemy_skill_triggers!$A:$A),MATCH(G$1,enemy_skill_triggers!$1:$1,0)-MATCH($F$1,enemy_skill_triggers!$1:$1,0)+1),MATCH(G$1,enemy_skill_triggers!$1:$1,0)-MATCH($F$1,enemy_skill_triggers!$1:$1,0)+1,FALSE)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5" s="48">
        <f ca="1">VLOOKUP($F395,OFFSET(enemy_skill_triggers!$A$1,0,0,COUNTA(enemy_skill_triggers!$A:$A),MATCH(H$1,enemy_skill_triggers!$1:$1,0)-MATCH($F$1,enemy_skill_triggers!$1:$1,0)+1),MATCH(H$1,enemy_skill_triggers!$1:$1,0)-MATCH($F$1,enemy_skill_triggers!$1:$1,0)+1,FALSE)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395" s="48">
        <f ca="1">VLOOKUP($F395,OFFSET(enemy_skill_triggers!$A$1,0,0,COUNTA(enemy_skill_triggers!$A:$A),MATCH(I$1,enemy_skill_triggers!$1:$1,0)-MATCH($F$1,enemy_skill_triggers!$1:$1,0)+1),MATCH(I$1,enemy_skill_triggers!$1:$1,0)-MATCH($F$1,enemy_skill_triggers!$1:$1,0)+1,FALSE)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5" s="48" t="str">
        <f ca="1">VLOOKUP($F395,OFFSET(enemy_skill_triggers!$A$1,0,0,COUNTA(enemy_skill_triggers!$A:$A),MATCH(J$1,enemy_skill_triggers!$1:$1,0)-MATCH($F$1,enemy_skill_triggers!$1:$1,0)+1),MATCH(J$1,enemy_skill_triggers!$1:$1,0)-MATCH($F$1,enemy_skill_triggers!$1:$1,0)+1,FALSE)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5" s="48" t="str">
        <f ca="1">VLOOKUP($F395,OFFSET(enemy_skill_triggers!$A$1,0,0,COUNTA(enemy_skill_triggers!$A:$A),MATCH(K$1,enemy_skill_triggers!$1:$1,0)-MATCH($F$1,enemy_skill_triggers!$1:$1,0)+1),MATCH(K$1,enemy_skill_triggers!$1:$1,0)-MATCH($F$1,enemy_skill_triggers!$1:$1,0)+1,FALSE)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5" s="48">
        <f ca="1">VLOOKUP($F395,OFFSET(enemy_skill_triggers!$A$1,0,0,COUNTA(enemy_skill_triggers!$A:$A),MATCH(L$1,enemy_skill_triggers!$1:$1,0)-MATCH($F$1,enemy_skill_triggers!$1:$1,0)+1),MATCH(L$1,enemy_skill_triggers!$1:$1,0)-MATCH($F$1,enemy_skill_triggers!$1:$1,0)+1,FALSE)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5" s="48" t="str">
        <f ca="1">VLOOKUP($F395,OFFSET(enemy_skill_triggers!$A$1,0,0,COUNTA(enemy_skill_triggers!$A:$A),MATCH(M$1,enemy_skill_triggers!$1:$1,0)-MATCH($F$1,enemy_skill_triggers!$1:$1,0)+1),MATCH(M$1,enemy_skill_triggers!$1:$1,0)-MATCH($F$1,enemy_skill_triggers!$1:$1,0)+1,FALSE)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5" s="48">
        <f ca="1">VLOOKUP($F395,OFFSET(enemy_skill_triggers!$A$1,0,0,COUNTA(enemy_skill_triggers!$A:$A),MATCH(N$1,enemy_skill_triggers!$1:$1,0)-MATCH($F$1,enemy_skill_triggers!$1:$1,0)+1),MATCH(N$1,enemy_skill_triggers!$1:$1,0)-MATCH($F$1,enemy_skill_triggers!$1:$1,0)+1,FALSE)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395" s="48">
        <f ca="1">VLOOKUP($F395,OFFSET(enemy_skill_triggers!$A$1,0,0,COUNTA(enemy_skill_triggers!$A:$A),MATCH(O$1,enemy_skill_triggers!$1:$1,0)-MATCH($F$1,enemy_skill_triggers!$1:$1,0)+1),MATCH(O$1,enemy_skill_triggers!$1:$1,0)-MATCH($F$1,enemy_skill_triggers!$1:$1,0)+1,FALSE)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5" s="47"/>
      <c r="Q395" s="47"/>
      <c r="R395" s="47"/>
    </row>
    <row r="396" spans="1:18" ht="21" customHeight="1" x14ac:dyDescent="0.15">
      <c r="A396" s="39" t="str">
        <f t="shared" si="26"/>
        <v>47004750_47004756</v>
      </c>
      <c r="B396" s="109">
        <v>47004750</v>
      </c>
      <c r="C396" s="47">
        <v>47004756</v>
      </c>
      <c r="D396" s="46" t="str">
        <f ca="1">VLOOKUP($C396,OFFSET(enemy_skills!$A$1,0,0,COUNTA(enemy_skills!$A:$A),MATCH(D$1,enemy_skills!$1:$1,0)-MATCH("enemy_skill_id",enemy_skills!$1:$1,0)+1),MATCH(D$1,enemy_skills!$1:$1,0)-MATCH("enemy_skill_id",enemy_skills!$1:$1,0)+1,FALSE)</f>
        <v>聖夜に舞う天使…ってところかしら？</v>
      </c>
      <c r="E396" s="46" t="str">
        <f ca="1">VLOOKUP($C396,OFFSET(enemy_skills!$A$1,0,0,COUNTA(enemy_skills!$A:$A),MATCH(E$1,enemy_skills!$1:$1,0)-MATCH("enemy_skill_id",enemy_skills!$1:$1,0)+1),MATCH(E$1,enemy_skills!$1:$1,0)-MATCH("enemy_skill_id",enemy_skills!$1:$1,0)+1,FALSE)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396" s="47">
        <v>47004761</v>
      </c>
      <c r="G396" s="48">
        <f ca="1">VLOOKUP($F396,OFFSET(enemy_skill_triggers!$A$1,0,0,COUNTA(enemy_skill_triggers!$A:$A),MATCH(G$1,enemy_skill_triggers!$1:$1,0)-MATCH($F$1,enemy_skill_triggers!$1:$1,0)+1),MATCH(G$1,enemy_skill_triggers!$1:$1,0)-MATCH($F$1,enemy_skill_triggers!$1:$1,0)+1,FALSE)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6" s="48">
        <f ca="1">VLOOKUP($F396,OFFSET(enemy_skill_triggers!$A$1,0,0,COUNTA(enemy_skill_triggers!$A:$A),MATCH(H$1,enemy_skill_triggers!$1:$1,0)-MATCH($F$1,enemy_skill_triggers!$1:$1,0)+1),MATCH(H$1,enemy_skill_triggers!$1:$1,0)-MATCH($F$1,enemy_skill_triggers!$1:$1,0)+1,FALSE)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396" s="48">
        <f ca="1">VLOOKUP($F396,OFFSET(enemy_skill_triggers!$A$1,0,0,COUNTA(enemy_skill_triggers!$A:$A),MATCH(I$1,enemy_skill_triggers!$1:$1,0)-MATCH($F$1,enemy_skill_triggers!$1:$1,0)+1),MATCH(I$1,enemy_skill_triggers!$1:$1,0)-MATCH($F$1,enemy_skill_triggers!$1:$1,0)+1,FALSE)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6" s="48" t="str">
        <f ca="1">VLOOKUP($F396,OFFSET(enemy_skill_triggers!$A$1,0,0,COUNTA(enemy_skill_triggers!$A:$A),MATCH(J$1,enemy_skill_triggers!$1:$1,0)-MATCH($F$1,enemy_skill_triggers!$1:$1,0)+1),MATCH(J$1,enemy_skill_triggers!$1:$1,0)-MATCH($F$1,enemy_skill_triggers!$1:$1,0)+1,FALSE)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6" s="48" t="str">
        <f ca="1">VLOOKUP($F396,OFFSET(enemy_skill_triggers!$A$1,0,0,COUNTA(enemy_skill_triggers!$A:$A),MATCH(K$1,enemy_skill_triggers!$1:$1,0)-MATCH($F$1,enemy_skill_triggers!$1:$1,0)+1),MATCH(K$1,enemy_skill_triggers!$1:$1,0)-MATCH($F$1,enemy_skill_triggers!$1:$1,0)+1,FALSE)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6" s="48">
        <f ca="1">VLOOKUP($F396,OFFSET(enemy_skill_triggers!$A$1,0,0,COUNTA(enemy_skill_triggers!$A:$A),MATCH(L$1,enemy_skill_triggers!$1:$1,0)-MATCH($F$1,enemy_skill_triggers!$1:$1,0)+1),MATCH(L$1,enemy_skill_triggers!$1:$1,0)-MATCH($F$1,enemy_skill_triggers!$1:$1,0)+1,FALSE)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6" s="48" t="str">
        <f ca="1">VLOOKUP($F396,OFFSET(enemy_skill_triggers!$A$1,0,0,COUNTA(enemy_skill_triggers!$A:$A),MATCH(M$1,enemy_skill_triggers!$1:$1,0)-MATCH($F$1,enemy_skill_triggers!$1:$1,0)+1),MATCH(M$1,enemy_skill_triggers!$1:$1,0)-MATCH($F$1,enemy_skill_triggers!$1:$1,0)+1,FALSE)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6" s="48">
        <f ca="1">VLOOKUP($F396,OFFSET(enemy_skill_triggers!$A$1,0,0,COUNTA(enemy_skill_triggers!$A:$A),MATCH(N$1,enemy_skill_triggers!$1:$1,0)-MATCH($F$1,enemy_skill_triggers!$1:$1,0)+1),MATCH(N$1,enemy_skill_triggers!$1:$1,0)-MATCH($F$1,enemy_skill_triggers!$1:$1,0)+1,FALSE)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396" s="48">
        <f ca="1">VLOOKUP($F396,OFFSET(enemy_skill_triggers!$A$1,0,0,COUNTA(enemy_skill_triggers!$A:$A),MATCH(O$1,enemy_skill_triggers!$1:$1,0)-MATCH($F$1,enemy_skill_triggers!$1:$1,0)+1),MATCH(O$1,enemy_skill_triggers!$1:$1,0)-MATCH($F$1,enemy_skill_triggers!$1:$1,0)+1,FALSE)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6" s="47"/>
      <c r="Q396" s="47"/>
      <c r="R396" s="47"/>
    </row>
    <row r="397" spans="1:18" ht="21" customHeight="1" x14ac:dyDescent="0.15">
      <c r="A397" s="39" t="str">
        <f t="shared" si="26"/>
        <v>47004750_47004757</v>
      </c>
      <c r="B397" s="109">
        <v>47004750</v>
      </c>
      <c r="C397" s="47">
        <v>47004757</v>
      </c>
      <c r="D397" s="46" t="str">
        <f ca="1">VLOOKUP($C397,OFFSET(enemy_skills!$A$1,0,0,COUNTA(enemy_skills!$A:$A),MATCH(D$1,enemy_skills!$1:$1,0)-MATCH("enemy_skill_id",enemy_skills!$1:$1,0)+1),MATCH(D$1,enemy_skills!$1:$1,0)-MATCH("enemy_skill_id",enemy_skills!$1:$1,0)+1,FALSE)</f>
        <v>あら、今年はプロメテウスはいないの？_x000D_きっと悲しんでるわよ？</v>
      </c>
      <c r="E397" s="46" t="str">
        <f ca="1">VLOOKUP($C397,OFFSET(enemy_skills!$A$1,0,0,COUNTA(enemy_skills!$A:$A),MATCH(E$1,enemy_skills!$1:$1,0)-MATCH("enemy_skill_id",enemy_skills!$1:$1,0)+1),MATCH(E$1,enemy_skills!$1:$1,0)-MATCH("enemy_skill_id",enemy_skills!$1:$1,0)+1,FALSE)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397" s="47">
        <v>47004762</v>
      </c>
      <c r="G397" s="48">
        <f ca="1">VLOOKUP($F397,OFFSET(enemy_skill_triggers!$A$1,0,0,COUNTA(enemy_skill_triggers!$A:$A),MATCH(G$1,enemy_skill_triggers!$1:$1,0)-MATCH($F$1,enemy_skill_triggers!$1:$1,0)+1),MATCH(G$1,enemy_skill_triggers!$1:$1,0)-MATCH($F$1,enemy_skill_triggers!$1:$1,0)+1,FALSE)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7" s="48">
        <f ca="1">VLOOKUP($F397,OFFSET(enemy_skill_triggers!$A$1,0,0,COUNTA(enemy_skill_triggers!$A:$A),MATCH(H$1,enemy_skill_triggers!$1:$1,0)-MATCH($F$1,enemy_skill_triggers!$1:$1,0)+1),MATCH(H$1,enemy_skill_triggers!$1:$1,0)-MATCH($F$1,enemy_skill_triggers!$1:$1,0)+1,FALSE)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397" s="48">
        <f ca="1">VLOOKUP($F397,OFFSET(enemy_skill_triggers!$A$1,0,0,COUNTA(enemy_skill_triggers!$A:$A),MATCH(I$1,enemy_skill_triggers!$1:$1,0)-MATCH($F$1,enemy_skill_triggers!$1:$1,0)+1),MATCH(I$1,enemy_skill_triggers!$1:$1,0)-MATCH($F$1,enemy_skill_triggers!$1:$1,0)+1,FALSE)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7" s="48" t="str">
        <f ca="1">VLOOKUP($F397,OFFSET(enemy_skill_triggers!$A$1,0,0,COUNTA(enemy_skill_triggers!$A:$A),MATCH(J$1,enemy_skill_triggers!$1:$1,0)-MATCH($F$1,enemy_skill_triggers!$1:$1,0)+1),MATCH(J$1,enemy_skill_triggers!$1:$1,0)-MATCH($F$1,enemy_skill_triggers!$1:$1,0)+1,FALSE)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7" s="48" t="str">
        <f ca="1">VLOOKUP($F397,OFFSET(enemy_skill_triggers!$A$1,0,0,COUNTA(enemy_skill_triggers!$A:$A),MATCH(K$1,enemy_skill_triggers!$1:$1,0)-MATCH($F$1,enemy_skill_triggers!$1:$1,0)+1),MATCH(K$1,enemy_skill_triggers!$1:$1,0)-MATCH($F$1,enemy_skill_triggers!$1:$1,0)+1,FALSE)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7" s="48">
        <f ca="1">VLOOKUP($F397,OFFSET(enemy_skill_triggers!$A$1,0,0,COUNTA(enemy_skill_triggers!$A:$A),MATCH(L$1,enemy_skill_triggers!$1:$1,0)-MATCH($F$1,enemy_skill_triggers!$1:$1,0)+1),MATCH(L$1,enemy_skill_triggers!$1:$1,0)-MATCH($F$1,enemy_skill_triggers!$1:$1,0)+1,FALSE)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7" s="48" t="str">
        <f ca="1">VLOOKUP($F397,OFFSET(enemy_skill_triggers!$A$1,0,0,COUNTA(enemy_skill_triggers!$A:$A),MATCH(M$1,enemy_skill_triggers!$1:$1,0)-MATCH($F$1,enemy_skill_triggers!$1:$1,0)+1),MATCH(M$1,enemy_skill_triggers!$1:$1,0)-MATCH($F$1,enemy_skill_triggers!$1:$1,0)+1,FALSE)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7" s="48">
        <f ca="1">VLOOKUP($F397,OFFSET(enemy_skill_triggers!$A$1,0,0,COUNTA(enemy_skill_triggers!$A:$A),MATCH(N$1,enemy_skill_triggers!$1:$1,0)-MATCH($F$1,enemy_skill_triggers!$1:$1,0)+1),MATCH(N$1,enemy_skill_triggers!$1:$1,0)-MATCH($F$1,enemy_skill_triggers!$1:$1,0)+1,FALSE)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397" s="48">
        <f ca="1">VLOOKUP($F397,OFFSET(enemy_skill_triggers!$A$1,0,0,COUNTA(enemy_skill_triggers!$A:$A),MATCH(O$1,enemy_skill_triggers!$1:$1,0)-MATCH($F$1,enemy_skill_triggers!$1:$1,0)+1),MATCH(O$1,enemy_skill_triggers!$1:$1,0)-MATCH($F$1,enemy_skill_triggers!$1:$1,0)+1,FALSE)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7" s="47"/>
      <c r="Q397" s="47"/>
      <c r="R397" s="47"/>
    </row>
    <row r="398" spans="1:18" ht="21" customHeight="1" x14ac:dyDescent="0.15">
      <c r="A398" s="39" t="str">
        <f t="shared" si="26"/>
        <v>47004750_47004757</v>
      </c>
      <c r="B398" s="109">
        <v>47004750</v>
      </c>
      <c r="C398" s="47">
        <v>47004757</v>
      </c>
      <c r="D398" s="46" t="str">
        <f ca="1">VLOOKUP($C398,OFFSET(enemy_skills!$A$1,0,0,COUNTA(enemy_skills!$A:$A),MATCH(D$1,enemy_skills!$1:$1,0)-MATCH("enemy_skill_id",enemy_skills!$1:$1,0)+1),MATCH(D$1,enemy_skills!$1:$1,0)-MATCH("enemy_skill_id",enemy_skills!$1:$1,0)+1,FALSE)</f>
        <v>あら、今年はプロメテウスはいないの？_x000D_きっと悲しんでるわよ？</v>
      </c>
      <c r="E398" s="46" t="str">
        <f ca="1">VLOOKUP($C398,OFFSET(enemy_skills!$A$1,0,0,COUNTA(enemy_skills!$A:$A),MATCH(E$1,enemy_skills!$1:$1,0)-MATCH("enemy_skill_id",enemy_skills!$1:$1,0)+1),MATCH(E$1,enemy_skills!$1:$1,0)-MATCH("enemy_skill_id",enemy_skills!$1:$1,0)+1,FALSE)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398" s="47">
        <v>47004763</v>
      </c>
      <c r="G398" s="48">
        <f ca="1">VLOOKUP($F398,OFFSET(enemy_skill_triggers!$A$1,0,0,COUNTA(enemy_skill_triggers!$A:$A),MATCH(G$1,enemy_skill_triggers!$1:$1,0)-MATCH($F$1,enemy_skill_triggers!$1:$1,0)+1),MATCH(G$1,enemy_skill_triggers!$1:$1,0)-MATCH($F$1,enemy_skill_triggers!$1:$1,0)+1,FALSE)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8" s="48">
        <f ca="1">VLOOKUP($F398,OFFSET(enemy_skill_triggers!$A$1,0,0,COUNTA(enemy_skill_triggers!$A:$A),MATCH(H$1,enemy_skill_triggers!$1:$1,0)-MATCH($F$1,enemy_skill_triggers!$1:$1,0)+1),MATCH(H$1,enemy_skill_triggers!$1:$1,0)-MATCH($F$1,enemy_skill_triggers!$1:$1,0)+1,FALSE)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398" s="48">
        <f ca="1">VLOOKUP($F398,OFFSET(enemy_skill_triggers!$A$1,0,0,COUNTA(enemy_skill_triggers!$A:$A),MATCH(I$1,enemy_skill_triggers!$1:$1,0)-MATCH($F$1,enemy_skill_triggers!$1:$1,0)+1),MATCH(I$1,enemy_skill_triggers!$1:$1,0)-MATCH($F$1,enemy_skill_triggers!$1:$1,0)+1,FALSE)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8" s="48" t="str">
        <f ca="1">VLOOKUP($F398,OFFSET(enemy_skill_triggers!$A$1,0,0,COUNTA(enemy_skill_triggers!$A:$A),MATCH(J$1,enemy_skill_triggers!$1:$1,0)-MATCH($F$1,enemy_skill_triggers!$1:$1,0)+1),MATCH(J$1,enemy_skill_triggers!$1:$1,0)-MATCH($F$1,enemy_skill_triggers!$1:$1,0)+1,FALSE)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8" s="48" t="str">
        <f ca="1">VLOOKUP($F398,OFFSET(enemy_skill_triggers!$A$1,0,0,COUNTA(enemy_skill_triggers!$A:$A),MATCH(K$1,enemy_skill_triggers!$1:$1,0)-MATCH($F$1,enemy_skill_triggers!$1:$1,0)+1),MATCH(K$1,enemy_skill_triggers!$1:$1,0)-MATCH($F$1,enemy_skill_triggers!$1:$1,0)+1,FALSE)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8" s="48">
        <f ca="1">VLOOKUP($F398,OFFSET(enemy_skill_triggers!$A$1,0,0,COUNTA(enemy_skill_triggers!$A:$A),MATCH(L$1,enemy_skill_triggers!$1:$1,0)-MATCH($F$1,enemy_skill_triggers!$1:$1,0)+1),MATCH(L$1,enemy_skill_triggers!$1:$1,0)-MATCH($F$1,enemy_skill_triggers!$1:$1,0)+1,FALSE)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8" s="48" t="str">
        <f ca="1">VLOOKUP($F398,OFFSET(enemy_skill_triggers!$A$1,0,0,COUNTA(enemy_skill_triggers!$A:$A),MATCH(M$1,enemy_skill_triggers!$1:$1,0)-MATCH($F$1,enemy_skill_triggers!$1:$1,0)+1),MATCH(M$1,enemy_skill_triggers!$1:$1,0)-MATCH($F$1,enemy_skill_triggers!$1:$1,0)+1,FALSE)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8" s="48">
        <f ca="1">VLOOKUP($F398,OFFSET(enemy_skill_triggers!$A$1,0,0,COUNTA(enemy_skill_triggers!$A:$A),MATCH(N$1,enemy_skill_triggers!$1:$1,0)-MATCH($F$1,enemy_skill_triggers!$1:$1,0)+1),MATCH(N$1,enemy_skill_triggers!$1:$1,0)-MATCH($F$1,enemy_skill_triggers!$1:$1,0)+1,FALSE)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398" s="48">
        <f ca="1">VLOOKUP($F398,OFFSET(enemy_skill_triggers!$A$1,0,0,COUNTA(enemy_skill_triggers!$A:$A),MATCH(O$1,enemy_skill_triggers!$1:$1,0)-MATCH($F$1,enemy_skill_triggers!$1:$1,0)+1),MATCH(O$1,enemy_skill_triggers!$1:$1,0)-MATCH($F$1,enemy_skill_triggers!$1:$1,0)+1,FALSE)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8" s="47"/>
      <c r="Q398" s="47"/>
      <c r="R398" s="47"/>
    </row>
    <row r="399" spans="1:18" ht="21" customHeight="1" x14ac:dyDescent="0.15">
      <c r="A399" s="39" t="str">
        <f t="shared" si="26"/>
        <v>47004750_47004757</v>
      </c>
      <c r="B399" s="109">
        <v>47004750</v>
      </c>
      <c r="C399" s="47">
        <v>47004757</v>
      </c>
      <c r="D399" s="46" t="str">
        <f ca="1">VLOOKUP($C399,OFFSET(enemy_skills!$A$1,0,0,COUNTA(enemy_skills!$A:$A),MATCH(D$1,enemy_skills!$1:$1,0)-MATCH("enemy_skill_id",enemy_skills!$1:$1,0)+1),MATCH(D$1,enemy_skills!$1:$1,0)-MATCH("enemy_skill_id",enemy_skills!$1:$1,0)+1,FALSE)</f>
        <v>あら、今年はプロメテウスはいないの？_x000D_きっと悲しんでるわよ？</v>
      </c>
      <c r="E399" s="46" t="str">
        <f ca="1">VLOOKUP($C399,OFFSET(enemy_skills!$A$1,0,0,COUNTA(enemy_skills!$A:$A),MATCH(E$1,enemy_skills!$1:$1,0)-MATCH("enemy_skill_id",enemy_skills!$1:$1,0)+1),MATCH(E$1,enemy_skills!$1:$1,0)-MATCH("enemy_skill_id",enemy_skills!$1:$1,0)+1,FALSE)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399" s="47">
        <v>47004764</v>
      </c>
      <c r="G399" s="48">
        <f ca="1">VLOOKUP($F399,OFFSET(enemy_skill_triggers!$A$1,0,0,COUNTA(enemy_skill_triggers!$A:$A),MATCH(G$1,enemy_skill_triggers!$1:$1,0)-MATCH($F$1,enemy_skill_triggers!$1:$1,0)+1),MATCH(G$1,enemy_skill_triggers!$1:$1,0)-MATCH($F$1,enemy_skill_triggers!$1:$1,0)+1,FALSE)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9" s="48">
        <f ca="1">VLOOKUP($F399,OFFSET(enemy_skill_triggers!$A$1,0,0,COUNTA(enemy_skill_triggers!$A:$A),MATCH(H$1,enemy_skill_triggers!$1:$1,0)-MATCH($F$1,enemy_skill_triggers!$1:$1,0)+1),MATCH(H$1,enemy_skill_triggers!$1:$1,0)-MATCH($F$1,enemy_skill_triggers!$1:$1,0)+1,FALSE)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399" s="48">
        <f ca="1">VLOOKUP($F399,OFFSET(enemy_skill_triggers!$A$1,0,0,COUNTA(enemy_skill_triggers!$A:$A),MATCH(I$1,enemy_skill_triggers!$1:$1,0)-MATCH($F$1,enemy_skill_triggers!$1:$1,0)+1),MATCH(I$1,enemy_skill_triggers!$1:$1,0)-MATCH($F$1,enemy_skill_triggers!$1:$1,0)+1,FALSE)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9" s="48" t="str">
        <f ca="1">VLOOKUP($F399,OFFSET(enemy_skill_triggers!$A$1,0,0,COUNTA(enemy_skill_triggers!$A:$A),MATCH(J$1,enemy_skill_triggers!$1:$1,0)-MATCH($F$1,enemy_skill_triggers!$1:$1,0)+1),MATCH(J$1,enemy_skill_triggers!$1:$1,0)-MATCH($F$1,enemy_skill_triggers!$1:$1,0)+1,FALSE)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9" s="48" t="str">
        <f ca="1">VLOOKUP($F399,OFFSET(enemy_skill_triggers!$A$1,0,0,COUNTA(enemy_skill_triggers!$A:$A),MATCH(K$1,enemy_skill_triggers!$1:$1,0)-MATCH($F$1,enemy_skill_triggers!$1:$1,0)+1),MATCH(K$1,enemy_skill_triggers!$1:$1,0)-MATCH($F$1,enemy_skill_triggers!$1:$1,0)+1,FALSE)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9" s="48">
        <f ca="1">VLOOKUP($F399,OFFSET(enemy_skill_triggers!$A$1,0,0,COUNTA(enemy_skill_triggers!$A:$A),MATCH(L$1,enemy_skill_triggers!$1:$1,0)-MATCH($F$1,enemy_skill_triggers!$1:$1,0)+1),MATCH(L$1,enemy_skill_triggers!$1:$1,0)-MATCH($F$1,enemy_skill_triggers!$1:$1,0)+1,FALSE)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9" s="48" t="str">
        <f ca="1">VLOOKUP($F399,OFFSET(enemy_skill_triggers!$A$1,0,0,COUNTA(enemy_skill_triggers!$A:$A),MATCH(M$1,enemy_skill_triggers!$1:$1,0)-MATCH($F$1,enemy_skill_triggers!$1:$1,0)+1),MATCH(M$1,enemy_skill_triggers!$1:$1,0)-MATCH($F$1,enemy_skill_triggers!$1:$1,0)+1,FALSE)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9" s="48">
        <f ca="1">VLOOKUP($F399,OFFSET(enemy_skill_triggers!$A$1,0,0,COUNTA(enemy_skill_triggers!$A:$A),MATCH(N$1,enemy_skill_triggers!$1:$1,0)-MATCH($F$1,enemy_skill_triggers!$1:$1,0)+1),MATCH(N$1,enemy_skill_triggers!$1:$1,0)-MATCH($F$1,enemy_skill_triggers!$1:$1,0)+1,FALSE)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399" s="48">
        <f ca="1">VLOOKUP($F399,OFFSET(enemy_skill_triggers!$A$1,0,0,COUNTA(enemy_skill_triggers!$A:$A),MATCH(O$1,enemy_skill_triggers!$1:$1,0)-MATCH($F$1,enemy_skill_triggers!$1:$1,0)+1),MATCH(O$1,enemy_skill_triggers!$1:$1,0)-MATCH($F$1,enemy_skill_triggers!$1:$1,0)+1,FALSE)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9" s="47"/>
      <c r="Q399" s="47"/>
      <c r="R399" s="47"/>
    </row>
    <row r="400" spans="1:18" ht="21" customHeight="1" x14ac:dyDescent="0.15">
      <c r="A400" s="39" t="str">
        <f t="shared" si="26"/>
        <v>47004750_47004758</v>
      </c>
      <c r="B400" s="109">
        <v>47004750</v>
      </c>
      <c r="C400" s="47">
        <v>47004758</v>
      </c>
      <c r="D400" s="46" t="str">
        <f ca="1">VLOOKUP($C400,OFFSET(enemy_skills!$A$1,0,0,COUNTA(enemy_skills!$A:$A),MATCH(D$1,enemy_skills!$1:$1,0)-MATCH("enemy_skill_id",enemy_skills!$1:$1,0)+1),MATCH(D$1,enemy_skills!$1:$1,0)-MATCH("enemy_skill_id",enemy_skills!$1:$1,0)+1,FALSE)</f>
        <v>そのバイクならプレゼント運びも楽チンね♪</v>
      </c>
      <c r="E400" s="46" t="str">
        <f ca="1">VLOOKUP($C400,OFFSET(enemy_skills!$A$1,0,0,COUNTA(enemy_skills!$A:$A),MATCH(E$1,enemy_skills!$1:$1,0)-MATCH("enemy_skill_id",enemy_skills!$1:$1,0)+1),MATCH(E$1,enemy_skills!$1:$1,0)-MATCH("enemy_skill_id",enemy_skills!$1:$1,0)+1,FALSE)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400" s="47">
        <v>47004765</v>
      </c>
      <c r="G400" s="48">
        <f ca="1">VLOOKUP($F400,OFFSET(enemy_skill_triggers!$A$1,0,0,COUNTA(enemy_skill_triggers!$A:$A),MATCH(G$1,enemy_skill_triggers!$1:$1,0)-MATCH($F$1,enemy_skill_triggers!$1:$1,0)+1),MATCH(G$1,enemy_skill_triggers!$1:$1,0)-MATCH($F$1,enemy_skill_triggers!$1:$1,0)+1,FALSE)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0" s="48">
        <f ca="1">VLOOKUP($F400,OFFSET(enemy_skill_triggers!$A$1,0,0,COUNTA(enemy_skill_triggers!$A:$A),MATCH(H$1,enemy_skill_triggers!$1:$1,0)-MATCH($F$1,enemy_skill_triggers!$1:$1,0)+1),MATCH(H$1,enemy_skill_triggers!$1:$1,0)-MATCH($F$1,enemy_skill_triggers!$1:$1,0)+1,FALSE)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400" s="48">
        <f ca="1">VLOOKUP($F400,OFFSET(enemy_skill_triggers!$A$1,0,0,COUNTA(enemy_skill_triggers!$A:$A),MATCH(I$1,enemy_skill_triggers!$1:$1,0)-MATCH($F$1,enemy_skill_triggers!$1:$1,0)+1),MATCH(I$1,enemy_skill_triggers!$1:$1,0)-MATCH($F$1,enemy_skill_triggers!$1:$1,0)+1,FALSE)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0" s="48" t="str">
        <f ca="1">VLOOKUP($F400,OFFSET(enemy_skill_triggers!$A$1,0,0,COUNTA(enemy_skill_triggers!$A:$A),MATCH(J$1,enemy_skill_triggers!$1:$1,0)-MATCH($F$1,enemy_skill_triggers!$1:$1,0)+1),MATCH(J$1,enemy_skill_triggers!$1:$1,0)-MATCH($F$1,enemy_skill_triggers!$1:$1,0)+1,FALSE)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0" s="48" t="str">
        <f ca="1">VLOOKUP($F400,OFFSET(enemy_skill_triggers!$A$1,0,0,COUNTA(enemy_skill_triggers!$A:$A),MATCH(K$1,enemy_skill_triggers!$1:$1,0)-MATCH($F$1,enemy_skill_triggers!$1:$1,0)+1),MATCH(K$1,enemy_skill_triggers!$1:$1,0)-MATCH($F$1,enemy_skill_triggers!$1:$1,0)+1,FALSE)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0" s="48">
        <f ca="1">VLOOKUP($F400,OFFSET(enemy_skill_triggers!$A$1,0,0,COUNTA(enemy_skill_triggers!$A:$A),MATCH(L$1,enemy_skill_triggers!$1:$1,0)-MATCH($F$1,enemy_skill_triggers!$1:$1,0)+1),MATCH(L$1,enemy_skill_triggers!$1:$1,0)-MATCH($F$1,enemy_skill_triggers!$1:$1,0)+1,FALSE)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0" s="48" t="str">
        <f ca="1">VLOOKUP($F400,OFFSET(enemy_skill_triggers!$A$1,0,0,COUNTA(enemy_skill_triggers!$A:$A),MATCH(M$1,enemy_skill_triggers!$1:$1,0)-MATCH($F$1,enemy_skill_triggers!$1:$1,0)+1),MATCH(M$1,enemy_skill_triggers!$1:$1,0)-MATCH($F$1,enemy_skill_triggers!$1:$1,0)+1,FALSE)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0" s="48">
        <f ca="1">VLOOKUP($F400,OFFSET(enemy_skill_triggers!$A$1,0,0,COUNTA(enemy_skill_triggers!$A:$A),MATCH(N$1,enemy_skill_triggers!$1:$1,0)-MATCH($F$1,enemy_skill_triggers!$1:$1,0)+1),MATCH(N$1,enemy_skill_triggers!$1:$1,0)-MATCH($F$1,enemy_skill_triggers!$1:$1,0)+1,FALSE)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400" s="48">
        <f ca="1">VLOOKUP($F400,OFFSET(enemy_skill_triggers!$A$1,0,0,COUNTA(enemy_skill_triggers!$A:$A),MATCH(O$1,enemy_skill_triggers!$1:$1,0)-MATCH($F$1,enemy_skill_triggers!$1:$1,0)+1),MATCH(O$1,enemy_skill_triggers!$1:$1,0)-MATCH($F$1,enemy_skill_triggers!$1:$1,0)+1,FALSE)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0" s="47"/>
      <c r="Q400" s="47"/>
      <c r="R400" s="47"/>
    </row>
    <row r="401" spans="1:18" ht="21" customHeight="1" x14ac:dyDescent="0.15">
      <c r="A401" s="39" t="str">
        <f t="shared" si="26"/>
        <v>47004750_47004758</v>
      </c>
      <c r="B401" s="109">
        <v>47004750</v>
      </c>
      <c r="C401" s="47">
        <v>47004758</v>
      </c>
      <c r="D401" s="46" t="str">
        <f ca="1">VLOOKUP($C401,OFFSET(enemy_skills!$A$1,0,0,COUNTA(enemy_skills!$A:$A),MATCH(D$1,enemy_skills!$1:$1,0)-MATCH("enemy_skill_id",enemy_skills!$1:$1,0)+1),MATCH(D$1,enemy_skills!$1:$1,0)-MATCH("enemy_skill_id",enemy_skills!$1:$1,0)+1,FALSE)</f>
        <v>そのバイクならプレゼント運びも楽チンね♪</v>
      </c>
      <c r="E401" s="46" t="str">
        <f ca="1">VLOOKUP($C401,OFFSET(enemy_skills!$A$1,0,0,COUNTA(enemy_skills!$A:$A),MATCH(E$1,enemy_skills!$1:$1,0)-MATCH("enemy_skill_id",enemy_skills!$1:$1,0)+1),MATCH(E$1,enemy_skills!$1:$1,0)-MATCH("enemy_skill_id",enemy_skills!$1:$1,0)+1,FALSE)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401" s="47">
        <v>47004766</v>
      </c>
      <c r="G401" s="48">
        <f ca="1">VLOOKUP($F401,OFFSET(enemy_skill_triggers!$A$1,0,0,COUNTA(enemy_skill_triggers!$A:$A),MATCH(G$1,enemy_skill_triggers!$1:$1,0)-MATCH($F$1,enemy_skill_triggers!$1:$1,0)+1),MATCH(G$1,enemy_skill_triggers!$1:$1,0)-MATCH($F$1,enemy_skill_triggers!$1:$1,0)+1,FALSE)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1" s="48">
        <f ca="1">VLOOKUP($F401,OFFSET(enemy_skill_triggers!$A$1,0,0,COUNTA(enemy_skill_triggers!$A:$A),MATCH(H$1,enemy_skill_triggers!$1:$1,0)-MATCH($F$1,enemy_skill_triggers!$1:$1,0)+1),MATCH(H$1,enemy_skill_triggers!$1:$1,0)-MATCH($F$1,enemy_skill_triggers!$1:$1,0)+1,FALSE)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401" s="48">
        <f ca="1">VLOOKUP($F401,OFFSET(enemy_skill_triggers!$A$1,0,0,COUNTA(enemy_skill_triggers!$A:$A),MATCH(I$1,enemy_skill_triggers!$1:$1,0)-MATCH($F$1,enemy_skill_triggers!$1:$1,0)+1),MATCH(I$1,enemy_skill_triggers!$1:$1,0)-MATCH($F$1,enemy_skill_triggers!$1:$1,0)+1,FALSE)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1" s="48" t="str">
        <f ca="1">VLOOKUP($F401,OFFSET(enemy_skill_triggers!$A$1,0,0,COUNTA(enemy_skill_triggers!$A:$A),MATCH(J$1,enemy_skill_triggers!$1:$1,0)-MATCH($F$1,enemy_skill_triggers!$1:$1,0)+1),MATCH(J$1,enemy_skill_triggers!$1:$1,0)-MATCH($F$1,enemy_skill_triggers!$1:$1,0)+1,FALSE)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1" s="48" t="str">
        <f ca="1">VLOOKUP($F401,OFFSET(enemy_skill_triggers!$A$1,0,0,COUNTA(enemy_skill_triggers!$A:$A),MATCH(K$1,enemy_skill_triggers!$1:$1,0)-MATCH($F$1,enemy_skill_triggers!$1:$1,0)+1),MATCH(K$1,enemy_skill_triggers!$1:$1,0)-MATCH($F$1,enemy_skill_triggers!$1:$1,0)+1,FALSE)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1" s="48">
        <f ca="1">VLOOKUP($F401,OFFSET(enemy_skill_triggers!$A$1,0,0,COUNTA(enemy_skill_triggers!$A:$A),MATCH(L$1,enemy_skill_triggers!$1:$1,0)-MATCH($F$1,enemy_skill_triggers!$1:$1,0)+1),MATCH(L$1,enemy_skill_triggers!$1:$1,0)-MATCH($F$1,enemy_skill_triggers!$1:$1,0)+1,FALSE)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1" s="48" t="str">
        <f ca="1">VLOOKUP($F401,OFFSET(enemy_skill_triggers!$A$1,0,0,COUNTA(enemy_skill_triggers!$A:$A),MATCH(M$1,enemy_skill_triggers!$1:$1,0)-MATCH($F$1,enemy_skill_triggers!$1:$1,0)+1),MATCH(M$1,enemy_skill_triggers!$1:$1,0)-MATCH($F$1,enemy_skill_triggers!$1:$1,0)+1,FALSE)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1" s="48">
        <f ca="1">VLOOKUP($F401,OFFSET(enemy_skill_triggers!$A$1,0,0,COUNTA(enemy_skill_triggers!$A:$A),MATCH(N$1,enemy_skill_triggers!$1:$1,0)-MATCH($F$1,enemy_skill_triggers!$1:$1,0)+1),MATCH(N$1,enemy_skill_triggers!$1:$1,0)-MATCH($F$1,enemy_skill_triggers!$1:$1,0)+1,FALSE)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401" s="48">
        <f ca="1">VLOOKUP($F401,OFFSET(enemy_skill_triggers!$A$1,0,0,COUNTA(enemy_skill_triggers!$A:$A),MATCH(O$1,enemy_skill_triggers!$1:$1,0)-MATCH($F$1,enemy_skill_triggers!$1:$1,0)+1),MATCH(O$1,enemy_skill_triggers!$1:$1,0)-MATCH($F$1,enemy_skill_triggers!$1:$1,0)+1,FALSE)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1" s="47"/>
      <c r="Q401" s="47"/>
      <c r="R401" s="47"/>
    </row>
    <row r="402" spans="1:18" ht="21" customHeight="1" x14ac:dyDescent="0.15">
      <c r="A402" s="39" t="str">
        <f t="shared" si="26"/>
        <v>47004750_47004758</v>
      </c>
      <c r="B402" s="109">
        <v>47004750</v>
      </c>
      <c r="C402" s="47">
        <v>47004758</v>
      </c>
      <c r="D402" s="46" t="str">
        <f ca="1">VLOOKUP($C402,OFFSET(enemy_skills!$A$1,0,0,COUNTA(enemy_skills!$A:$A),MATCH(D$1,enemy_skills!$1:$1,0)-MATCH("enemy_skill_id",enemy_skills!$1:$1,0)+1),MATCH(D$1,enemy_skills!$1:$1,0)-MATCH("enemy_skill_id",enemy_skills!$1:$1,0)+1,FALSE)</f>
        <v>そのバイクならプレゼント運びも楽チンね♪</v>
      </c>
      <c r="E402" s="46" t="str">
        <f ca="1">VLOOKUP($C402,OFFSET(enemy_skills!$A$1,0,0,COUNTA(enemy_skills!$A:$A),MATCH(E$1,enemy_skills!$1:$1,0)-MATCH("enemy_skill_id",enemy_skills!$1:$1,0)+1),MATCH(E$1,enemy_skills!$1:$1,0)-MATCH("enemy_skill_id",enemy_skills!$1:$1,0)+1,FALSE)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残りHPの80%消費+_x000D_全ユニットのスキルゲージを4ターン減少+_x000D_全ユニットのCパネル生成短縮(効果大)</v>
      </c>
      <c r="F402" s="47">
        <v>47004767</v>
      </c>
      <c r="G402" s="48">
        <f ca="1">VLOOKUP($F402,OFFSET(enemy_skill_triggers!$A$1,0,0,COUNTA(enemy_skill_triggers!$A:$A),MATCH(G$1,enemy_skill_triggers!$1:$1,0)-MATCH($F$1,enemy_skill_triggers!$1:$1,0)+1),MATCH(G$1,enemy_skill_triggers!$1:$1,0)-MATCH($F$1,enemy_skill_triggers!$1:$1,0)+1,FALSE)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2" s="48">
        <f ca="1">VLOOKUP($F402,OFFSET(enemy_skill_triggers!$A$1,0,0,COUNTA(enemy_skill_triggers!$A:$A),MATCH(H$1,enemy_skill_triggers!$1:$1,0)-MATCH($F$1,enemy_skill_triggers!$1:$1,0)+1),MATCH(H$1,enemy_skill_triggers!$1:$1,0)-MATCH($F$1,enemy_skill_triggers!$1:$1,0)+1,FALSE)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402" s="48">
        <f ca="1">VLOOKUP($F402,OFFSET(enemy_skill_triggers!$A$1,0,0,COUNTA(enemy_skill_triggers!$A:$A),MATCH(I$1,enemy_skill_triggers!$1:$1,0)-MATCH($F$1,enemy_skill_triggers!$1:$1,0)+1),MATCH(I$1,enemy_skill_triggers!$1:$1,0)-MATCH($F$1,enemy_skill_triggers!$1:$1,0)+1,FALSE)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2" s="48" t="str">
        <f ca="1">VLOOKUP($F402,OFFSET(enemy_skill_triggers!$A$1,0,0,COUNTA(enemy_skill_triggers!$A:$A),MATCH(J$1,enemy_skill_triggers!$1:$1,0)-MATCH($F$1,enemy_skill_triggers!$1:$1,0)+1),MATCH(J$1,enemy_skill_triggers!$1:$1,0)-MATCH($F$1,enemy_skill_triggers!$1:$1,0)+1,FALSE)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2" s="48" t="str">
        <f ca="1">VLOOKUP($F402,OFFSET(enemy_skill_triggers!$A$1,0,0,COUNTA(enemy_skill_triggers!$A:$A),MATCH(K$1,enemy_skill_triggers!$1:$1,0)-MATCH($F$1,enemy_skill_triggers!$1:$1,0)+1),MATCH(K$1,enemy_skill_triggers!$1:$1,0)-MATCH($F$1,enemy_skill_triggers!$1:$1,0)+1,FALSE)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2" s="48">
        <f ca="1">VLOOKUP($F402,OFFSET(enemy_skill_triggers!$A$1,0,0,COUNTA(enemy_skill_triggers!$A:$A),MATCH(L$1,enemy_skill_triggers!$1:$1,0)-MATCH($F$1,enemy_skill_triggers!$1:$1,0)+1),MATCH(L$1,enemy_skill_triggers!$1:$1,0)-MATCH($F$1,enemy_skill_triggers!$1:$1,0)+1,FALSE)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2" s="48" t="str">
        <f ca="1">VLOOKUP($F402,OFFSET(enemy_skill_triggers!$A$1,0,0,COUNTA(enemy_skill_triggers!$A:$A),MATCH(M$1,enemy_skill_triggers!$1:$1,0)-MATCH($F$1,enemy_skill_triggers!$1:$1,0)+1),MATCH(M$1,enemy_skill_triggers!$1:$1,0)-MATCH($F$1,enemy_skill_triggers!$1:$1,0)+1,FALSE)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2" s="48">
        <f ca="1">VLOOKUP($F402,OFFSET(enemy_skill_triggers!$A$1,0,0,COUNTA(enemy_skill_triggers!$A:$A),MATCH(N$1,enemy_skill_triggers!$1:$1,0)-MATCH($F$1,enemy_skill_triggers!$1:$1,0)+1),MATCH(N$1,enemy_skill_triggers!$1:$1,0)-MATCH($F$1,enemy_skill_triggers!$1:$1,0)+1,FALSE)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402" s="48">
        <f ca="1">VLOOKUP($F402,OFFSET(enemy_skill_triggers!$A$1,0,0,COUNTA(enemy_skill_triggers!$A:$A),MATCH(O$1,enemy_skill_triggers!$1:$1,0)-MATCH($F$1,enemy_skill_triggers!$1:$1,0)+1),MATCH(O$1,enemy_skill_triggers!$1:$1,0)-MATCH($F$1,enemy_skill_triggers!$1:$1,0)+1,FALSE)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2" s="47"/>
      <c r="Q402" s="47"/>
      <c r="R402" s="47"/>
    </row>
    <row r="403" spans="1:18" ht="21" customHeight="1" x14ac:dyDescent="0.15">
      <c r="A403" s="39" t="str">
        <f t="shared" ref="A403" si="29">B403&amp;"_"&amp;C403</f>
        <v>47004750_47004759</v>
      </c>
      <c r="B403" s="109">
        <v>47004750</v>
      </c>
      <c r="C403" s="47">
        <v>47004759</v>
      </c>
      <c r="D403" s="46" t="str">
        <f ca="1">VLOOKUP($C403,OFFSET(enemy_skills!$A$1,0,0,COUNTA(enemy_skills!$A:$A),MATCH(D$1,enemy_skills!$1:$1,0)-MATCH("enemy_skill_id",enemy_skills!$1:$1,0)+1),MATCH(D$1,enemy_skills!$1:$1,0)-MATCH("enemy_skill_id",enemy_skills!$1:$1,0)+1,FALSE)</f>
        <v>メリークリスマス♪_x000D_あら、ワイルドなサンタさんね</v>
      </c>
      <c r="E403" s="46" t="str">
        <f ca="1">VLOOKUP($C403,OFFSET(enemy_skills!$A$1,0,0,COUNTA(enemy_skills!$A:$A),MATCH(E$1,enemy_skills!$1:$1,0)-MATCH("enemy_skill_id",enemy_skills!$1:$1,0)+1),MATCH(E$1,enemy_skills!$1:$1,0)-MATCH("enemy_skill_id",enemy_skills!$1:$1,0)+1,FALSE)</f>
        <v>残りHPの50%消費+_x000D_全ユニットのスキルゲージを2ターン減少+_x000D_全ユニットのCパネル生成短縮</v>
      </c>
      <c r="F403" s="47">
        <v>47004768</v>
      </c>
      <c r="G403" s="48">
        <f ca="1">VLOOKUP($F403,OFFSET(enemy_skill_triggers!$A$1,0,0,COUNTA(enemy_skill_triggers!$A:$A),MATCH(G$1,enemy_skill_triggers!$1:$1,0)-MATCH($F$1,enemy_skill_triggers!$1:$1,0)+1),MATCH(G$1,enemy_skill_triggers!$1:$1,0)-MATCH($F$1,enemy_skill_triggers!$1:$1,0)+1,FALSE)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3" s="48">
        <f ca="1">VLOOKUP($F403,OFFSET(enemy_skill_triggers!$A$1,0,0,COUNTA(enemy_skill_triggers!$A:$A),MATCH(H$1,enemy_skill_triggers!$1:$1,0)-MATCH($F$1,enemy_skill_triggers!$1:$1,0)+1),MATCH(H$1,enemy_skill_triggers!$1:$1,0)-MATCH($F$1,enemy_skill_triggers!$1:$1,0)+1,FALSE)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403" s="48">
        <f ca="1">VLOOKUP($F403,OFFSET(enemy_skill_triggers!$A$1,0,0,COUNTA(enemy_skill_triggers!$A:$A),MATCH(I$1,enemy_skill_triggers!$1:$1,0)-MATCH($F$1,enemy_skill_triggers!$1:$1,0)+1),MATCH(I$1,enemy_skill_triggers!$1:$1,0)-MATCH($F$1,enemy_skill_triggers!$1:$1,0)+1,FALSE)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3" s="48" t="str">
        <f ca="1">VLOOKUP($F403,OFFSET(enemy_skill_triggers!$A$1,0,0,COUNTA(enemy_skill_triggers!$A:$A),MATCH(J$1,enemy_skill_triggers!$1:$1,0)-MATCH($F$1,enemy_skill_triggers!$1:$1,0)+1),MATCH(J$1,enemy_skill_triggers!$1:$1,0)-MATCH($F$1,enemy_skill_triggers!$1:$1,0)+1,FALSE)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3" s="48" t="str">
        <f ca="1">VLOOKUP($F403,OFFSET(enemy_skill_triggers!$A$1,0,0,COUNTA(enemy_skill_triggers!$A:$A),MATCH(K$1,enemy_skill_triggers!$1:$1,0)-MATCH($F$1,enemy_skill_triggers!$1:$1,0)+1),MATCH(K$1,enemy_skill_triggers!$1:$1,0)-MATCH($F$1,enemy_skill_triggers!$1:$1,0)+1,FALSE)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3" s="48">
        <f ca="1">VLOOKUP($F403,OFFSET(enemy_skill_triggers!$A$1,0,0,COUNTA(enemy_skill_triggers!$A:$A),MATCH(L$1,enemy_skill_triggers!$1:$1,0)-MATCH($F$1,enemy_skill_triggers!$1:$1,0)+1),MATCH(L$1,enemy_skill_triggers!$1:$1,0)-MATCH($F$1,enemy_skill_triggers!$1:$1,0)+1,FALSE)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3" s="48" t="str">
        <f ca="1">VLOOKUP($F403,OFFSET(enemy_skill_triggers!$A$1,0,0,COUNTA(enemy_skill_triggers!$A:$A),MATCH(M$1,enemy_skill_triggers!$1:$1,0)-MATCH($F$1,enemy_skill_triggers!$1:$1,0)+1),MATCH(M$1,enemy_skill_triggers!$1:$1,0)-MATCH($F$1,enemy_skill_triggers!$1:$1,0)+1,FALSE)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3" s="48">
        <f ca="1">VLOOKUP($F403,OFFSET(enemy_skill_triggers!$A$1,0,0,COUNTA(enemy_skill_triggers!$A:$A),MATCH(N$1,enemy_skill_triggers!$1:$1,0)-MATCH($F$1,enemy_skill_triggers!$1:$1,0)+1),MATCH(N$1,enemy_skill_triggers!$1:$1,0)-MATCH($F$1,enemy_skill_triggers!$1:$1,0)+1,FALSE)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403" s="48">
        <f ca="1">VLOOKUP($F403,OFFSET(enemy_skill_triggers!$A$1,0,0,COUNTA(enemy_skill_triggers!$A:$A),MATCH(O$1,enemy_skill_triggers!$1:$1,0)-MATCH($F$1,enemy_skill_triggers!$1:$1,0)+1),MATCH(O$1,enemy_skill_triggers!$1:$1,0)-MATCH($F$1,enemy_skill_triggers!$1:$1,0)+1,FALSE)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3" s="47"/>
      <c r="Q403" s="47"/>
      <c r="R403" s="47"/>
    </row>
    <row r="404" spans="1:18" ht="21" customHeight="1" x14ac:dyDescent="0.15">
      <c r="A404" s="39" t="str">
        <f t="shared" si="26"/>
        <v>47004770_47004771</v>
      </c>
      <c r="B404" s="109">
        <v>47004770</v>
      </c>
      <c r="C404" s="110">
        <v>47004771</v>
      </c>
      <c r="D404" s="46" t="str">
        <f ca="1">VLOOKUP($C404,OFFSET(enemy_skills!$A$1,0,0,COUNTA(enemy_skills!$A:$A),MATCH(D$1,enemy_skills!$1:$1,0)-MATCH("enemy_skill_id",enemy_skills!$1:$1,0)+1),MATCH(D$1,enemy_skills!$1:$1,0)-MATCH("enemy_skill_id",enemy_skills!$1:$1,0)+1,FALSE)</f>
        <v>メリークリスマス！っと</v>
      </c>
      <c r="E404" s="46" t="str">
        <f ca="1">VLOOKUP($C404,OFFSET(enemy_skills!$A$1,0,0,COUNTA(enemy_skills!$A:$A),MATCH(E$1,enemy_skills!$1:$1,0)-MATCH("enemy_skill_id",enemy_skills!$1:$1,0)+1),MATCH(E$1,enemy_skills!$1:$1,0)-MATCH("enemy_skill_id",enemy_skills!$1:$1,0)+1,FALSE)</f>
        <v>このプレゼントか？_x000D_たまにはこんな事でもしてみようかと思ってな</v>
      </c>
      <c r="F404" s="110">
        <v>47004771</v>
      </c>
      <c r="G404" s="48">
        <f ca="1">VLOOKUP($F404,OFFSET(enemy_skill_triggers!$A$1,0,0,COUNTA(enemy_skill_triggers!$A:$A),MATCH(G$1,enemy_skill_triggers!$1:$1,0)-MATCH($F$1,enemy_skill_triggers!$1:$1,0)+1),MATCH(G$1,enemy_skill_triggers!$1:$1,0)-MATCH($F$1,enemy_skill_triggers!$1:$1,0)+1,FALSE)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4" s="48">
        <f ca="1">VLOOKUP($F404,OFFSET(enemy_skill_triggers!$A$1,0,0,COUNTA(enemy_skill_triggers!$A:$A),MATCH(H$1,enemy_skill_triggers!$1:$1,0)-MATCH($F$1,enemy_skill_triggers!$1:$1,0)+1),MATCH(H$1,enemy_skill_triggers!$1:$1,0)-MATCH($F$1,enemy_skill_triggers!$1:$1,0)+1,FALSE)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4" s="48">
        <f ca="1">VLOOKUP($F404,OFFSET(enemy_skill_triggers!$A$1,0,0,COUNTA(enemy_skill_triggers!$A:$A),MATCH(I$1,enemy_skill_triggers!$1:$1,0)-MATCH($F$1,enemy_skill_triggers!$1:$1,0)+1),MATCH(I$1,enemy_skill_triggers!$1:$1,0)-MATCH($F$1,enemy_skill_triggers!$1:$1,0)+1,FALSE)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4" s="48" t="str">
        <f ca="1">VLOOKUP($F404,OFFSET(enemy_skill_triggers!$A$1,0,0,COUNTA(enemy_skill_triggers!$A:$A),MATCH(J$1,enemy_skill_triggers!$1:$1,0)-MATCH($F$1,enemy_skill_triggers!$1:$1,0)+1),MATCH(J$1,enemy_skill_triggers!$1:$1,0)-MATCH($F$1,enemy_skill_triggers!$1:$1,0)+1,FALSE)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4" s="48" t="str">
        <f ca="1">VLOOKUP($F404,OFFSET(enemy_skill_triggers!$A$1,0,0,COUNTA(enemy_skill_triggers!$A:$A),MATCH(K$1,enemy_skill_triggers!$1:$1,0)-MATCH($F$1,enemy_skill_triggers!$1:$1,0)+1),MATCH(K$1,enemy_skill_triggers!$1:$1,0)-MATCH($F$1,enemy_skill_triggers!$1:$1,0)+1,FALSE)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4" s="48">
        <f ca="1">VLOOKUP($F404,OFFSET(enemy_skill_triggers!$A$1,0,0,COUNTA(enemy_skill_triggers!$A:$A),MATCH(L$1,enemy_skill_triggers!$1:$1,0)-MATCH($F$1,enemy_skill_triggers!$1:$1,0)+1),MATCH(L$1,enemy_skill_triggers!$1:$1,0)-MATCH($F$1,enemy_skill_triggers!$1:$1,0)+1,FALSE)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4" s="48" t="str">
        <f ca="1">VLOOKUP($F404,OFFSET(enemy_skill_triggers!$A$1,0,0,COUNTA(enemy_skill_triggers!$A:$A),MATCH(M$1,enemy_skill_triggers!$1:$1,0)-MATCH($F$1,enemy_skill_triggers!$1:$1,0)+1),MATCH(M$1,enemy_skill_triggers!$1:$1,0)-MATCH($F$1,enemy_skill_triggers!$1:$1,0)+1,FALSE)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4" s="48" t="str">
        <f ca="1">VLOOKUP($F404,OFFSET(enemy_skill_triggers!$A$1,0,0,COUNTA(enemy_skill_triggers!$A:$A),MATCH(N$1,enemy_skill_triggers!$1:$1,0)-MATCH($F$1,enemy_skill_triggers!$1:$1,0)+1),MATCH(N$1,enemy_skill_triggers!$1:$1,0)-MATCH($F$1,enemy_skill_triggers!$1:$1,0)+1,FALSE)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4" s="48">
        <f ca="1">VLOOKUP($F404,OFFSET(enemy_skill_triggers!$A$1,0,0,COUNTA(enemy_skill_triggers!$A:$A),MATCH(O$1,enemy_skill_triggers!$1:$1,0)-MATCH($F$1,enemy_skill_triggers!$1:$1,0)+1),MATCH(O$1,enemy_skill_triggers!$1:$1,0)-MATCH($F$1,enemy_skill_triggers!$1:$1,0)+1,FALSE)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4" s="47"/>
      <c r="Q404" s="47"/>
      <c r="R404" s="47"/>
    </row>
    <row r="405" spans="1:18" ht="21" customHeight="1" x14ac:dyDescent="0.15">
      <c r="A405" s="39" t="str">
        <f t="shared" si="26"/>
        <v>47004770_47004772</v>
      </c>
      <c r="B405" s="109">
        <v>47004770</v>
      </c>
      <c r="C405" s="110">
        <v>47004772</v>
      </c>
      <c r="D405" s="46" t="str">
        <f ca="1">VLOOKUP($C405,OFFSET(enemy_skills!$A$1,0,0,COUNTA(enemy_skills!$A:$A),MATCH(D$1,enemy_skills!$1:$1,0)-MATCH("enemy_skill_id",enemy_skills!$1:$1,0)+1),MATCH(D$1,enemy_skills!$1:$1,0)-MATCH("enemy_skill_id",enemy_skills!$1:$1,0)+1,FALSE)</f>
        <v>デビルズギフト</v>
      </c>
      <c r="E405" s="46" t="str">
        <f ca="1">VLOOKUP($C405,OFFSET(enemy_skills!$A$1,0,0,COUNTA(enemy_skills!$A:$A),MATCH(E$1,enemy_skills!$1:$1,0)-MATCH("enemy_skill_id",enemy_skills!$1:$1,0)+1),MATCH(E$1,enemy_skills!$1:$1,0)-MATCH("enemy_skill_id",enemy_skills!$1:$1,0)+1,FALSE)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05" s="110">
        <v>47004772</v>
      </c>
      <c r="G405" s="48">
        <f ca="1">VLOOKUP($F405,OFFSET(enemy_skill_triggers!$A$1,0,0,COUNTA(enemy_skill_triggers!$A:$A),MATCH(G$1,enemy_skill_triggers!$1:$1,0)-MATCH($F$1,enemy_skill_triggers!$1:$1,0)+1),MATCH(G$1,enemy_skill_triggers!$1:$1,0)-MATCH($F$1,enemy_skill_triggers!$1:$1,0)+1,FALSE)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5" s="48">
        <f ca="1">VLOOKUP($F405,OFFSET(enemy_skill_triggers!$A$1,0,0,COUNTA(enemy_skill_triggers!$A:$A),MATCH(H$1,enemy_skill_triggers!$1:$1,0)-MATCH($F$1,enemy_skill_triggers!$1:$1,0)+1),MATCH(H$1,enemy_skill_triggers!$1:$1,0)-MATCH($F$1,enemy_skill_triggers!$1:$1,0)+1,FALSE)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05" s="48">
        <f ca="1">VLOOKUP($F405,OFFSET(enemy_skill_triggers!$A$1,0,0,COUNTA(enemy_skill_triggers!$A:$A),MATCH(I$1,enemy_skill_triggers!$1:$1,0)-MATCH($F$1,enemy_skill_triggers!$1:$1,0)+1),MATCH(I$1,enemy_skill_triggers!$1:$1,0)-MATCH($F$1,enemy_skill_triggers!$1:$1,0)+1,FALSE)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5" s="48" t="str">
        <f ca="1">VLOOKUP($F405,OFFSET(enemy_skill_triggers!$A$1,0,0,COUNTA(enemy_skill_triggers!$A:$A),MATCH(J$1,enemy_skill_triggers!$1:$1,0)-MATCH($F$1,enemy_skill_triggers!$1:$1,0)+1),MATCH(J$1,enemy_skill_triggers!$1:$1,0)-MATCH($F$1,enemy_skill_triggers!$1:$1,0)+1,FALSE)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5" s="48" t="str">
        <f ca="1">VLOOKUP($F405,OFFSET(enemy_skill_triggers!$A$1,0,0,COUNTA(enemy_skill_triggers!$A:$A),MATCH(K$1,enemy_skill_triggers!$1:$1,0)-MATCH($F$1,enemy_skill_triggers!$1:$1,0)+1),MATCH(K$1,enemy_skill_triggers!$1:$1,0)-MATCH($F$1,enemy_skill_triggers!$1:$1,0)+1,FALSE)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5" s="48" t="str">
        <f ca="1">VLOOKUP($F405,OFFSET(enemy_skill_triggers!$A$1,0,0,COUNTA(enemy_skill_triggers!$A:$A),MATCH(L$1,enemy_skill_triggers!$1:$1,0)-MATCH($F$1,enemy_skill_triggers!$1:$1,0)+1),MATCH(L$1,enemy_skill_triggers!$1:$1,0)-MATCH($F$1,enemy_skill_triggers!$1:$1,0)+1,FALSE)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5" s="48">
        <f ca="1">VLOOKUP($F405,OFFSET(enemy_skill_triggers!$A$1,0,0,COUNTA(enemy_skill_triggers!$A:$A),MATCH(M$1,enemy_skill_triggers!$1:$1,0)-MATCH($F$1,enemy_skill_triggers!$1:$1,0)+1),MATCH(M$1,enemy_skill_triggers!$1:$1,0)-MATCH($F$1,enemy_skill_triggers!$1:$1,0)+1,FALSE)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05" s="48" t="str">
        <f ca="1">VLOOKUP($F405,OFFSET(enemy_skill_triggers!$A$1,0,0,COUNTA(enemy_skill_triggers!$A:$A),MATCH(N$1,enemy_skill_triggers!$1:$1,0)-MATCH($F$1,enemy_skill_triggers!$1:$1,0)+1),MATCH(N$1,enemy_skill_triggers!$1:$1,0)-MATCH($F$1,enemy_skill_triggers!$1:$1,0)+1,FALSE)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5" s="48">
        <f ca="1">VLOOKUP($F405,OFFSET(enemy_skill_triggers!$A$1,0,0,COUNTA(enemy_skill_triggers!$A:$A),MATCH(O$1,enemy_skill_triggers!$1:$1,0)-MATCH($F$1,enemy_skill_triggers!$1:$1,0)+1),MATCH(O$1,enemy_skill_triggers!$1:$1,0)-MATCH($F$1,enemy_skill_triggers!$1:$1,0)+1,FALSE)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5" s="47"/>
      <c r="Q405" s="47"/>
      <c r="R405" s="47"/>
    </row>
    <row r="406" spans="1:18" ht="21" customHeight="1" x14ac:dyDescent="0.15">
      <c r="A406" s="39" t="str">
        <f t="shared" si="26"/>
        <v>47004770_47004773</v>
      </c>
      <c r="B406" s="109">
        <v>47004770</v>
      </c>
      <c r="C406" s="110">
        <v>47004773</v>
      </c>
      <c r="D406" s="46" t="str">
        <f ca="1">VLOOKUP($C406,OFFSET(enemy_skills!$A$1,0,0,COUNTA(enemy_skills!$A:$A),MATCH(D$1,enemy_skills!$1:$1,0)-MATCH("enemy_skill_id",enemy_skills!$1:$1,0)+1),MATCH(D$1,enemy_skills!$1:$1,0)-MATCH("enemy_skill_id",enemy_skills!$1:$1,0)+1,FALSE)</f>
        <v>大きな雪だるま…？_x000D_そういえばさっき見た気がするな</v>
      </c>
      <c r="E406" s="46" t="str">
        <f ca="1">VLOOKUP($C406,OFFSET(enemy_skills!$A$1,0,0,COUNTA(enemy_skills!$A:$A),MATCH(E$1,enemy_skills!$1:$1,0)-MATCH("enemy_skill_id",enemy_skills!$1:$1,0)+1),MATCH(E$1,enemy_skills!$1:$1,0)-MATCH("enemy_skill_id",enemy_skills!$1:$1,0)+1,FALSE)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406" s="110">
        <v>47004773</v>
      </c>
      <c r="G406" s="48">
        <f ca="1">VLOOKUP($F406,OFFSET(enemy_skill_triggers!$A$1,0,0,COUNTA(enemy_skill_triggers!$A:$A),MATCH(G$1,enemy_skill_triggers!$1:$1,0)-MATCH($F$1,enemy_skill_triggers!$1:$1,0)+1),MATCH(G$1,enemy_skill_triggers!$1:$1,0)-MATCH($F$1,enemy_skill_triggers!$1:$1,0)+1,FALSE)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6" s="48">
        <f ca="1">VLOOKUP($F406,OFFSET(enemy_skill_triggers!$A$1,0,0,COUNTA(enemy_skill_triggers!$A:$A),MATCH(H$1,enemy_skill_triggers!$1:$1,0)-MATCH($F$1,enemy_skill_triggers!$1:$1,0)+1),MATCH(H$1,enemy_skill_triggers!$1:$1,0)-MATCH($F$1,enemy_skill_triggers!$1:$1,0)+1,FALSE)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06" s="48">
        <f ca="1">VLOOKUP($F406,OFFSET(enemy_skill_triggers!$A$1,0,0,COUNTA(enemy_skill_triggers!$A:$A),MATCH(I$1,enemy_skill_triggers!$1:$1,0)-MATCH($F$1,enemy_skill_triggers!$1:$1,0)+1),MATCH(I$1,enemy_skill_triggers!$1:$1,0)-MATCH($F$1,enemy_skill_triggers!$1:$1,0)+1,FALSE)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6" s="48" t="str">
        <f ca="1">VLOOKUP($F406,OFFSET(enemy_skill_triggers!$A$1,0,0,COUNTA(enemy_skill_triggers!$A:$A),MATCH(J$1,enemy_skill_triggers!$1:$1,0)-MATCH($F$1,enemy_skill_triggers!$1:$1,0)+1),MATCH(J$1,enemy_skill_triggers!$1:$1,0)-MATCH($F$1,enemy_skill_triggers!$1:$1,0)+1,FALSE)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6" s="48" t="str">
        <f ca="1">VLOOKUP($F406,OFFSET(enemy_skill_triggers!$A$1,0,0,COUNTA(enemy_skill_triggers!$A:$A),MATCH(K$1,enemy_skill_triggers!$1:$1,0)-MATCH($F$1,enemy_skill_triggers!$1:$1,0)+1),MATCH(K$1,enemy_skill_triggers!$1:$1,0)-MATCH($F$1,enemy_skill_triggers!$1:$1,0)+1,FALSE)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6" s="48">
        <f ca="1">VLOOKUP($F406,OFFSET(enemy_skill_triggers!$A$1,0,0,COUNTA(enemy_skill_triggers!$A:$A),MATCH(L$1,enemy_skill_triggers!$1:$1,0)-MATCH($F$1,enemy_skill_triggers!$1:$1,0)+1),MATCH(L$1,enemy_skill_triggers!$1:$1,0)-MATCH($F$1,enemy_skill_triggers!$1:$1,0)+1,FALSE)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6" s="48">
        <f ca="1">VLOOKUP($F406,OFFSET(enemy_skill_triggers!$A$1,0,0,COUNTA(enemy_skill_triggers!$A:$A),MATCH(M$1,enemy_skill_triggers!$1:$1,0)-MATCH($F$1,enemy_skill_triggers!$1:$1,0)+1),MATCH(M$1,enemy_skill_triggers!$1:$1,0)-MATCH($F$1,enemy_skill_triggers!$1:$1,0)+1,FALSE)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06" s="48" t="str">
        <f ca="1">VLOOKUP($F406,OFFSET(enemy_skill_triggers!$A$1,0,0,COUNTA(enemy_skill_triggers!$A:$A),MATCH(N$1,enemy_skill_triggers!$1:$1,0)-MATCH($F$1,enemy_skill_triggers!$1:$1,0)+1),MATCH(N$1,enemy_skill_triggers!$1:$1,0)-MATCH($F$1,enemy_skill_triggers!$1:$1,0)+1,FALSE)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6" s="48">
        <f ca="1">VLOOKUP($F406,OFFSET(enemy_skill_triggers!$A$1,0,0,COUNTA(enemy_skill_triggers!$A:$A),MATCH(O$1,enemy_skill_triggers!$1:$1,0)-MATCH($F$1,enemy_skill_triggers!$1:$1,0)+1),MATCH(O$1,enemy_skill_triggers!$1:$1,0)-MATCH($F$1,enemy_skill_triggers!$1:$1,0)+1,FALSE)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6" s="47"/>
      <c r="Q406" s="47"/>
      <c r="R406" s="47"/>
    </row>
    <row r="407" spans="1:18" ht="21" customHeight="1" x14ac:dyDescent="0.15">
      <c r="A407" s="39" t="str">
        <f t="shared" si="26"/>
        <v>47004770_47004774</v>
      </c>
      <c r="B407" s="109">
        <v>47004770</v>
      </c>
      <c r="C407" s="110">
        <v>47004774</v>
      </c>
      <c r="D407" s="46" t="str">
        <f ca="1">VLOOKUP($C407,OFFSET(enemy_skills!$A$1,0,0,COUNTA(enemy_skills!$A:$A),MATCH(D$1,enemy_skills!$1:$1,0)-MATCH("enemy_skill_id",enemy_skills!$1:$1,0)+1),MATCH(D$1,enemy_skills!$1:$1,0)-MATCH("enemy_skill_id",enemy_skills!$1:$1,0)+1,FALSE)</f>
        <v>美しいサンタクロースだな…_x000D_まぁ、テラベルや俺程ではないがな！</v>
      </c>
      <c r="E407" s="46" t="str">
        <f ca="1">VLOOKUP($C407,OFFSET(enemy_skills!$A$1,0,0,COUNTA(enemy_skills!$A:$A),MATCH(E$1,enemy_skills!$1:$1,0)-MATCH("enemy_skill_id",enemy_skills!$1:$1,0)+1),MATCH(E$1,enemy_skills!$1:$1,0)-MATCH("enemy_skill_id",enemy_skills!$1:$1,0)+1,FALSE)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407" s="110">
        <v>47004774</v>
      </c>
      <c r="G407" s="48">
        <f ca="1">VLOOKUP($F407,OFFSET(enemy_skill_triggers!$A$1,0,0,COUNTA(enemy_skill_triggers!$A:$A),MATCH(G$1,enemy_skill_triggers!$1:$1,0)-MATCH($F$1,enemy_skill_triggers!$1:$1,0)+1),MATCH(G$1,enemy_skill_triggers!$1:$1,0)-MATCH($F$1,enemy_skill_triggers!$1:$1,0)+1,FALSE)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7" s="48">
        <f ca="1">VLOOKUP($F407,OFFSET(enemy_skill_triggers!$A$1,0,0,COUNTA(enemy_skill_triggers!$A:$A),MATCH(H$1,enemy_skill_triggers!$1:$1,0)-MATCH($F$1,enemy_skill_triggers!$1:$1,0)+1),MATCH(H$1,enemy_skill_triggers!$1:$1,0)-MATCH($F$1,enemy_skill_triggers!$1:$1,0)+1,FALSE)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407" s="48">
        <f ca="1">VLOOKUP($F407,OFFSET(enemy_skill_triggers!$A$1,0,0,COUNTA(enemy_skill_triggers!$A:$A),MATCH(I$1,enemy_skill_triggers!$1:$1,0)-MATCH($F$1,enemy_skill_triggers!$1:$1,0)+1),MATCH(I$1,enemy_skill_triggers!$1:$1,0)-MATCH($F$1,enemy_skill_triggers!$1:$1,0)+1,FALSE)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7" s="48" t="str">
        <f ca="1">VLOOKUP($F407,OFFSET(enemy_skill_triggers!$A$1,0,0,COUNTA(enemy_skill_triggers!$A:$A),MATCH(J$1,enemy_skill_triggers!$1:$1,0)-MATCH($F$1,enemy_skill_triggers!$1:$1,0)+1),MATCH(J$1,enemy_skill_triggers!$1:$1,0)-MATCH($F$1,enemy_skill_triggers!$1:$1,0)+1,FALSE)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7" s="48" t="str">
        <f ca="1">VLOOKUP($F407,OFFSET(enemy_skill_triggers!$A$1,0,0,COUNTA(enemy_skill_triggers!$A:$A),MATCH(K$1,enemy_skill_triggers!$1:$1,0)-MATCH($F$1,enemy_skill_triggers!$1:$1,0)+1),MATCH(K$1,enemy_skill_triggers!$1:$1,0)-MATCH($F$1,enemy_skill_triggers!$1:$1,0)+1,FALSE)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7" s="48">
        <f ca="1">VLOOKUP($F407,OFFSET(enemy_skill_triggers!$A$1,0,0,COUNTA(enemy_skill_triggers!$A:$A),MATCH(L$1,enemy_skill_triggers!$1:$1,0)-MATCH($F$1,enemy_skill_triggers!$1:$1,0)+1),MATCH(L$1,enemy_skill_triggers!$1:$1,0)-MATCH($F$1,enemy_skill_triggers!$1:$1,0)+1,FALSE)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7" s="48" t="str">
        <f ca="1">VLOOKUP($F407,OFFSET(enemy_skill_triggers!$A$1,0,0,COUNTA(enemy_skill_triggers!$A:$A),MATCH(M$1,enemy_skill_triggers!$1:$1,0)-MATCH($F$1,enemy_skill_triggers!$1:$1,0)+1),MATCH(M$1,enemy_skill_triggers!$1:$1,0)-MATCH($F$1,enemy_skill_triggers!$1:$1,0)+1,FALSE)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7" s="48">
        <f ca="1">VLOOKUP($F407,OFFSET(enemy_skill_triggers!$A$1,0,0,COUNTA(enemy_skill_triggers!$A:$A),MATCH(N$1,enemy_skill_triggers!$1:$1,0)-MATCH($F$1,enemy_skill_triggers!$1:$1,0)+1),MATCH(N$1,enemy_skill_triggers!$1:$1,0)-MATCH($F$1,enemy_skill_triggers!$1:$1,0)+1,FALSE)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407" s="48">
        <f ca="1">VLOOKUP($F407,OFFSET(enemy_skill_triggers!$A$1,0,0,COUNTA(enemy_skill_triggers!$A:$A),MATCH(O$1,enemy_skill_triggers!$1:$1,0)-MATCH($F$1,enemy_skill_triggers!$1:$1,0)+1),MATCH(O$1,enemy_skill_triggers!$1:$1,0)-MATCH($F$1,enemy_skill_triggers!$1:$1,0)+1,FALSE)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7" s="47"/>
      <c r="Q407" s="47"/>
      <c r="R407" s="47"/>
    </row>
    <row r="408" spans="1:18" ht="21" customHeight="1" x14ac:dyDescent="0.15">
      <c r="A408" s="39" t="str">
        <f t="shared" ref="A408" si="30">B408&amp;"_"&amp;C408</f>
        <v>47004770_47004774</v>
      </c>
      <c r="B408" s="109">
        <v>47004770</v>
      </c>
      <c r="C408" s="110">
        <v>47004774</v>
      </c>
      <c r="D408" s="46" t="str">
        <f ca="1">VLOOKUP($C408,OFFSET(enemy_skills!$A$1,0,0,COUNTA(enemy_skills!$A:$A),MATCH(D$1,enemy_skills!$1:$1,0)-MATCH("enemy_skill_id",enemy_skills!$1:$1,0)+1),MATCH(D$1,enemy_skills!$1:$1,0)-MATCH("enemy_skill_id",enemy_skills!$1:$1,0)+1,FALSE)</f>
        <v>美しいサンタクロースだな…_x000D_まぁ、テラベルや俺程ではないがな！</v>
      </c>
      <c r="E408" s="46" t="str">
        <f ca="1">VLOOKUP($C408,OFFSET(enemy_skills!$A$1,0,0,COUNTA(enemy_skills!$A:$A),MATCH(E$1,enemy_skills!$1:$1,0)-MATCH("enemy_skill_id",enemy_skills!$1:$1,0)+1),MATCH(E$1,enemy_skills!$1:$1,0)-MATCH("enemy_skill_id",enemy_skills!$1:$1,0)+1,FALSE)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408" s="110">
        <v>47004775</v>
      </c>
      <c r="G408" s="48">
        <f ca="1">VLOOKUP($F408,OFFSET(enemy_skill_triggers!$A$1,0,0,COUNTA(enemy_skill_triggers!$A:$A),MATCH(G$1,enemy_skill_triggers!$1:$1,0)-MATCH($F$1,enemy_skill_triggers!$1:$1,0)+1),MATCH(G$1,enemy_skill_triggers!$1:$1,0)-MATCH($F$1,enemy_skill_triggers!$1:$1,0)+1,FALSE)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8" s="48">
        <f ca="1">VLOOKUP($F408,OFFSET(enemy_skill_triggers!$A$1,0,0,COUNTA(enemy_skill_triggers!$A:$A),MATCH(H$1,enemy_skill_triggers!$1:$1,0)-MATCH($F$1,enemy_skill_triggers!$1:$1,0)+1),MATCH(H$1,enemy_skill_triggers!$1:$1,0)-MATCH($F$1,enemy_skill_triggers!$1:$1,0)+1,FALSE)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408" s="48">
        <f ca="1">VLOOKUP($F408,OFFSET(enemy_skill_triggers!$A$1,0,0,COUNTA(enemy_skill_triggers!$A:$A),MATCH(I$1,enemy_skill_triggers!$1:$1,0)-MATCH($F$1,enemy_skill_triggers!$1:$1,0)+1),MATCH(I$1,enemy_skill_triggers!$1:$1,0)-MATCH($F$1,enemy_skill_triggers!$1:$1,0)+1,FALSE)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8" s="48" t="str">
        <f ca="1">VLOOKUP($F408,OFFSET(enemy_skill_triggers!$A$1,0,0,COUNTA(enemy_skill_triggers!$A:$A),MATCH(J$1,enemy_skill_triggers!$1:$1,0)-MATCH($F$1,enemy_skill_triggers!$1:$1,0)+1),MATCH(J$1,enemy_skill_triggers!$1:$1,0)-MATCH($F$1,enemy_skill_triggers!$1:$1,0)+1,FALSE)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8" s="48" t="str">
        <f ca="1">VLOOKUP($F408,OFFSET(enemy_skill_triggers!$A$1,0,0,COUNTA(enemy_skill_triggers!$A:$A),MATCH(K$1,enemy_skill_triggers!$1:$1,0)-MATCH($F$1,enemy_skill_triggers!$1:$1,0)+1),MATCH(K$1,enemy_skill_triggers!$1:$1,0)-MATCH($F$1,enemy_skill_triggers!$1:$1,0)+1,FALSE)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8" s="48">
        <f ca="1">VLOOKUP($F408,OFFSET(enemy_skill_triggers!$A$1,0,0,COUNTA(enemy_skill_triggers!$A:$A),MATCH(L$1,enemy_skill_triggers!$1:$1,0)-MATCH($F$1,enemy_skill_triggers!$1:$1,0)+1),MATCH(L$1,enemy_skill_triggers!$1:$1,0)-MATCH($F$1,enemy_skill_triggers!$1:$1,0)+1,FALSE)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8" s="48" t="str">
        <f ca="1">VLOOKUP($F408,OFFSET(enemy_skill_triggers!$A$1,0,0,COUNTA(enemy_skill_triggers!$A:$A),MATCH(M$1,enemy_skill_triggers!$1:$1,0)-MATCH($F$1,enemy_skill_triggers!$1:$1,0)+1),MATCH(M$1,enemy_skill_triggers!$1:$1,0)-MATCH($F$1,enemy_skill_triggers!$1:$1,0)+1,FALSE)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8" s="48">
        <f ca="1">VLOOKUP($F408,OFFSET(enemy_skill_triggers!$A$1,0,0,COUNTA(enemy_skill_triggers!$A:$A),MATCH(N$1,enemy_skill_triggers!$1:$1,0)-MATCH($F$1,enemy_skill_triggers!$1:$1,0)+1),MATCH(N$1,enemy_skill_triggers!$1:$1,0)-MATCH($F$1,enemy_skill_triggers!$1:$1,0)+1,FALSE)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408" s="48">
        <f ca="1">VLOOKUP($F408,OFFSET(enemy_skill_triggers!$A$1,0,0,COUNTA(enemy_skill_triggers!$A:$A),MATCH(O$1,enemy_skill_triggers!$1:$1,0)-MATCH($F$1,enemy_skill_triggers!$1:$1,0)+1),MATCH(O$1,enemy_skill_triggers!$1:$1,0)-MATCH($F$1,enemy_skill_triggers!$1:$1,0)+1,FALSE)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8" s="47"/>
      <c r="Q408" s="47"/>
      <c r="R408" s="47"/>
    </row>
    <row r="409" spans="1:18" ht="21" customHeight="1" x14ac:dyDescent="0.15">
      <c r="A409" s="39" t="str">
        <f t="shared" si="26"/>
        <v>47004770_47004775</v>
      </c>
      <c r="B409" s="109">
        <v>47004770</v>
      </c>
      <c r="C409" s="110">
        <v>47004775</v>
      </c>
      <c r="D409" s="46" t="str">
        <f ca="1">VLOOKUP($C409,OFFSET(enemy_skills!$A$1,0,0,COUNTA(enemy_skills!$A:$A),MATCH(D$1,enemy_skills!$1:$1,0)-MATCH("enemy_skill_id",enemy_skills!$1:$1,0)+1),MATCH(D$1,enemy_skills!$1:$1,0)-MATCH("enemy_skill_id",enemy_skills!$1:$1,0)+1,FALSE)</f>
        <v>その綺麗な声で_x000D_キャロルを聞かせてくれるのか？</v>
      </c>
      <c r="E409" s="46" t="str">
        <f ca="1">VLOOKUP($C409,OFFSET(enemy_skills!$A$1,0,0,COUNTA(enemy_skills!$A:$A),MATCH(E$1,enemy_skills!$1:$1,0)-MATCH("enemy_skill_id",enemy_skills!$1:$1,0)+1),MATCH(E$1,enemy_skills!$1:$1,0)-MATCH("enemy_skill_id",enemy_skills!$1:$1,0)+1,FALSE)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409" s="110">
        <v>47004776</v>
      </c>
      <c r="G409" s="48">
        <f ca="1">VLOOKUP($F409,OFFSET(enemy_skill_triggers!$A$1,0,0,COUNTA(enemy_skill_triggers!$A:$A),MATCH(G$1,enemy_skill_triggers!$1:$1,0)-MATCH($F$1,enemy_skill_triggers!$1:$1,0)+1),MATCH(G$1,enemy_skill_triggers!$1:$1,0)-MATCH($F$1,enemy_skill_triggers!$1:$1,0)+1,FALSE)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9" s="48">
        <f ca="1">VLOOKUP($F409,OFFSET(enemy_skill_triggers!$A$1,0,0,COUNTA(enemy_skill_triggers!$A:$A),MATCH(H$1,enemy_skill_triggers!$1:$1,0)-MATCH($F$1,enemy_skill_triggers!$1:$1,0)+1),MATCH(H$1,enemy_skill_triggers!$1:$1,0)-MATCH($F$1,enemy_skill_triggers!$1:$1,0)+1,FALSE)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409" s="48">
        <f ca="1">VLOOKUP($F409,OFFSET(enemy_skill_triggers!$A$1,0,0,COUNTA(enemy_skill_triggers!$A:$A),MATCH(I$1,enemy_skill_triggers!$1:$1,0)-MATCH($F$1,enemy_skill_triggers!$1:$1,0)+1),MATCH(I$1,enemy_skill_triggers!$1:$1,0)-MATCH($F$1,enemy_skill_triggers!$1:$1,0)+1,FALSE)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9" s="48" t="str">
        <f ca="1">VLOOKUP($F409,OFFSET(enemy_skill_triggers!$A$1,0,0,COUNTA(enemy_skill_triggers!$A:$A),MATCH(J$1,enemy_skill_triggers!$1:$1,0)-MATCH($F$1,enemy_skill_triggers!$1:$1,0)+1),MATCH(J$1,enemy_skill_triggers!$1:$1,0)-MATCH($F$1,enemy_skill_triggers!$1:$1,0)+1,FALSE)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9" s="48" t="str">
        <f ca="1">VLOOKUP($F409,OFFSET(enemy_skill_triggers!$A$1,0,0,COUNTA(enemy_skill_triggers!$A:$A),MATCH(K$1,enemy_skill_triggers!$1:$1,0)-MATCH($F$1,enemy_skill_triggers!$1:$1,0)+1),MATCH(K$1,enemy_skill_triggers!$1:$1,0)-MATCH($F$1,enemy_skill_triggers!$1:$1,0)+1,FALSE)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9" s="48">
        <f ca="1">VLOOKUP($F409,OFFSET(enemy_skill_triggers!$A$1,0,0,COUNTA(enemy_skill_triggers!$A:$A),MATCH(L$1,enemy_skill_triggers!$1:$1,0)-MATCH($F$1,enemy_skill_triggers!$1:$1,0)+1),MATCH(L$1,enemy_skill_triggers!$1:$1,0)-MATCH($F$1,enemy_skill_triggers!$1:$1,0)+1,FALSE)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9" s="48" t="str">
        <f ca="1">VLOOKUP($F409,OFFSET(enemy_skill_triggers!$A$1,0,0,COUNTA(enemy_skill_triggers!$A:$A),MATCH(M$1,enemy_skill_triggers!$1:$1,0)-MATCH($F$1,enemy_skill_triggers!$1:$1,0)+1),MATCH(M$1,enemy_skill_triggers!$1:$1,0)-MATCH($F$1,enemy_skill_triggers!$1:$1,0)+1,FALSE)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9" s="48">
        <f ca="1">VLOOKUP($F409,OFFSET(enemy_skill_triggers!$A$1,0,0,COUNTA(enemy_skill_triggers!$A:$A),MATCH(N$1,enemy_skill_triggers!$1:$1,0)-MATCH($F$1,enemy_skill_triggers!$1:$1,0)+1),MATCH(N$1,enemy_skill_triggers!$1:$1,0)-MATCH($F$1,enemy_skill_triggers!$1:$1,0)+1,FALSE)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409" s="48">
        <f ca="1">VLOOKUP($F409,OFFSET(enemy_skill_triggers!$A$1,0,0,COUNTA(enemy_skill_triggers!$A:$A),MATCH(O$1,enemy_skill_triggers!$1:$1,0)-MATCH($F$1,enemy_skill_triggers!$1:$1,0)+1),MATCH(O$1,enemy_skill_triggers!$1:$1,0)-MATCH($F$1,enemy_skill_triggers!$1:$1,0)+1,FALSE)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9" s="47"/>
      <c r="Q409" s="47"/>
      <c r="R409" s="47"/>
    </row>
    <row r="410" spans="1:18" ht="21" customHeight="1" x14ac:dyDescent="0.15">
      <c r="A410" s="39" t="str">
        <f t="shared" si="26"/>
        <v>47004770_47004775</v>
      </c>
      <c r="B410" s="109">
        <v>47004770</v>
      </c>
      <c r="C410" s="110">
        <v>47004775</v>
      </c>
      <c r="D410" s="46" t="str">
        <f ca="1">VLOOKUP($C410,OFFSET(enemy_skills!$A$1,0,0,COUNTA(enemy_skills!$A:$A),MATCH(D$1,enemy_skills!$1:$1,0)-MATCH("enemy_skill_id",enemy_skills!$1:$1,0)+1),MATCH(D$1,enemy_skills!$1:$1,0)-MATCH("enemy_skill_id",enemy_skills!$1:$1,0)+1,FALSE)</f>
        <v>その綺麗な声で_x000D_キャロルを聞かせてくれるのか？</v>
      </c>
      <c r="E410" s="46" t="str">
        <f ca="1">VLOOKUP($C410,OFFSET(enemy_skills!$A$1,0,0,COUNTA(enemy_skills!$A:$A),MATCH(E$1,enemy_skills!$1:$1,0)-MATCH("enemy_skill_id",enemy_skills!$1:$1,0)+1),MATCH(E$1,enemy_skills!$1:$1,0)-MATCH("enemy_skill_id",enemy_skills!$1:$1,0)+1,FALSE)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410" s="110">
        <v>47004777</v>
      </c>
      <c r="G410" s="48">
        <f ca="1">VLOOKUP($F410,OFFSET(enemy_skill_triggers!$A$1,0,0,COUNTA(enemy_skill_triggers!$A:$A),MATCH(G$1,enemy_skill_triggers!$1:$1,0)-MATCH($F$1,enemy_skill_triggers!$1:$1,0)+1),MATCH(G$1,enemy_skill_triggers!$1:$1,0)-MATCH($F$1,enemy_skill_triggers!$1:$1,0)+1,FALSE)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0" s="48">
        <f ca="1">VLOOKUP($F410,OFFSET(enemy_skill_triggers!$A$1,0,0,COUNTA(enemy_skill_triggers!$A:$A),MATCH(H$1,enemy_skill_triggers!$1:$1,0)-MATCH($F$1,enemy_skill_triggers!$1:$1,0)+1),MATCH(H$1,enemy_skill_triggers!$1:$1,0)-MATCH($F$1,enemy_skill_triggers!$1:$1,0)+1,FALSE)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410" s="48">
        <f ca="1">VLOOKUP($F410,OFFSET(enemy_skill_triggers!$A$1,0,0,COUNTA(enemy_skill_triggers!$A:$A),MATCH(I$1,enemy_skill_triggers!$1:$1,0)-MATCH($F$1,enemy_skill_triggers!$1:$1,0)+1),MATCH(I$1,enemy_skill_triggers!$1:$1,0)-MATCH($F$1,enemy_skill_triggers!$1:$1,0)+1,FALSE)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0" s="48" t="str">
        <f ca="1">VLOOKUP($F410,OFFSET(enemy_skill_triggers!$A$1,0,0,COUNTA(enemy_skill_triggers!$A:$A),MATCH(J$1,enemy_skill_triggers!$1:$1,0)-MATCH($F$1,enemy_skill_triggers!$1:$1,0)+1),MATCH(J$1,enemy_skill_triggers!$1:$1,0)-MATCH($F$1,enemy_skill_triggers!$1:$1,0)+1,FALSE)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0" s="48" t="str">
        <f ca="1">VLOOKUP($F410,OFFSET(enemy_skill_triggers!$A$1,0,0,COUNTA(enemy_skill_triggers!$A:$A),MATCH(K$1,enemy_skill_triggers!$1:$1,0)-MATCH($F$1,enemy_skill_triggers!$1:$1,0)+1),MATCH(K$1,enemy_skill_triggers!$1:$1,0)-MATCH($F$1,enemy_skill_triggers!$1:$1,0)+1,FALSE)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0" s="48">
        <f ca="1">VLOOKUP($F410,OFFSET(enemy_skill_triggers!$A$1,0,0,COUNTA(enemy_skill_triggers!$A:$A),MATCH(L$1,enemy_skill_triggers!$1:$1,0)-MATCH($F$1,enemy_skill_triggers!$1:$1,0)+1),MATCH(L$1,enemy_skill_triggers!$1:$1,0)-MATCH($F$1,enemy_skill_triggers!$1:$1,0)+1,FALSE)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0" s="48" t="str">
        <f ca="1">VLOOKUP($F410,OFFSET(enemy_skill_triggers!$A$1,0,0,COUNTA(enemy_skill_triggers!$A:$A),MATCH(M$1,enemy_skill_triggers!$1:$1,0)-MATCH($F$1,enemy_skill_triggers!$1:$1,0)+1),MATCH(M$1,enemy_skill_triggers!$1:$1,0)-MATCH($F$1,enemy_skill_triggers!$1:$1,0)+1,FALSE)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0" s="48">
        <f ca="1">VLOOKUP($F410,OFFSET(enemy_skill_triggers!$A$1,0,0,COUNTA(enemy_skill_triggers!$A:$A),MATCH(N$1,enemy_skill_triggers!$1:$1,0)-MATCH($F$1,enemy_skill_triggers!$1:$1,0)+1),MATCH(N$1,enemy_skill_triggers!$1:$1,0)-MATCH($F$1,enemy_skill_triggers!$1:$1,0)+1,FALSE)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410" s="48">
        <f ca="1">VLOOKUP($F410,OFFSET(enemy_skill_triggers!$A$1,0,0,COUNTA(enemy_skill_triggers!$A:$A),MATCH(O$1,enemy_skill_triggers!$1:$1,0)-MATCH($F$1,enemy_skill_triggers!$1:$1,0)+1),MATCH(O$1,enemy_skill_triggers!$1:$1,0)-MATCH($F$1,enemy_skill_triggers!$1:$1,0)+1,FALSE)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0" s="47"/>
      <c r="Q410" s="47"/>
      <c r="R410" s="47"/>
    </row>
    <row r="411" spans="1:18" ht="21" customHeight="1" x14ac:dyDescent="0.15">
      <c r="A411" s="39" t="str">
        <f t="shared" si="26"/>
        <v>47004770_47004775</v>
      </c>
      <c r="B411" s="109">
        <v>47004770</v>
      </c>
      <c r="C411" s="110">
        <v>47004775</v>
      </c>
      <c r="D411" s="46" t="str">
        <f ca="1">VLOOKUP($C411,OFFSET(enemy_skills!$A$1,0,0,COUNTA(enemy_skills!$A:$A),MATCH(D$1,enemy_skills!$1:$1,0)-MATCH("enemy_skill_id",enemy_skills!$1:$1,0)+1),MATCH(D$1,enemy_skills!$1:$1,0)-MATCH("enemy_skill_id",enemy_skills!$1:$1,0)+1,FALSE)</f>
        <v>その綺麗な声で_x000D_キャロルを聞かせてくれるのか？</v>
      </c>
      <c r="E411" s="46" t="str">
        <f ca="1">VLOOKUP($C411,OFFSET(enemy_skills!$A$1,0,0,COUNTA(enemy_skills!$A:$A),MATCH(E$1,enemy_skills!$1:$1,0)-MATCH("enemy_skill_id",enemy_skills!$1:$1,0)+1),MATCH(E$1,enemy_skills!$1:$1,0)-MATCH("enemy_skill_id",enemy_skills!$1:$1,0)+1,FALSE)</f>
        <v>残りHPの95%消費+_x000D_全ユニットのスキルゲージを4ターン減少+_x000D_全ユニットのボムの爆風を20%UP</v>
      </c>
      <c r="F411" s="110">
        <v>47004778</v>
      </c>
      <c r="G411" s="48">
        <f ca="1">VLOOKUP($F411,OFFSET(enemy_skill_triggers!$A$1,0,0,COUNTA(enemy_skill_triggers!$A:$A),MATCH(G$1,enemy_skill_triggers!$1:$1,0)-MATCH($F$1,enemy_skill_triggers!$1:$1,0)+1),MATCH(G$1,enemy_skill_triggers!$1:$1,0)-MATCH($F$1,enemy_skill_triggers!$1:$1,0)+1,FALSE)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1" s="48">
        <f ca="1">VLOOKUP($F411,OFFSET(enemy_skill_triggers!$A$1,0,0,COUNTA(enemy_skill_triggers!$A:$A),MATCH(H$1,enemy_skill_triggers!$1:$1,0)-MATCH($F$1,enemy_skill_triggers!$1:$1,0)+1),MATCH(H$1,enemy_skill_triggers!$1:$1,0)-MATCH($F$1,enemy_skill_triggers!$1:$1,0)+1,FALSE)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411" s="48">
        <f ca="1">VLOOKUP($F411,OFFSET(enemy_skill_triggers!$A$1,0,0,COUNTA(enemy_skill_triggers!$A:$A),MATCH(I$1,enemy_skill_triggers!$1:$1,0)-MATCH($F$1,enemy_skill_triggers!$1:$1,0)+1),MATCH(I$1,enemy_skill_triggers!$1:$1,0)-MATCH($F$1,enemy_skill_triggers!$1:$1,0)+1,FALSE)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1" s="48" t="str">
        <f ca="1">VLOOKUP($F411,OFFSET(enemy_skill_triggers!$A$1,0,0,COUNTA(enemy_skill_triggers!$A:$A),MATCH(J$1,enemy_skill_triggers!$1:$1,0)-MATCH($F$1,enemy_skill_triggers!$1:$1,0)+1),MATCH(J$1,enemy_skill_triggers!$1:$1,0)-MATCH($F$1,enemy_skill_triggers!$1:$1,0)+1,FALSE)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1" s="48" t="str">
        <f ca="1">VLOOKUP($F411,OFFSET(enemy_skill_triggers!$A$1,0,0,COUNTA(enemy_skill_triggers!$A:$A),MATCH(K$1,enemy_skill_triggers!$1:$1,0)-MATCH($F$1,enemy_skill_triggers!$1:$1,0)+1),MATCH(K$1,enemy_skill_triggers!$1:$1,0)-MATCH($F$1,enemy_skill_triggers!$1:$1,0)+1,FALSE)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1" s="48">
        <f ca="1">VLOOKUP($F411,OFFSET(enemy_skill_triggers!$A$1,0,0,COUNTA(enemy_skill_triggers!$A:$A),MATCH(L$1,enemy_skill_triggers!$1:$1,0)-MATCH($F$1,enemy_skill_triggers!$1:$1,0)+1),MATCH(L$1,enemy_skill_triggers!$1:$1,0)-MATCH($F$1,enemy_skill_triggers!$1:$1,0)+1,FALSE)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1" s="48" t="str">
        <f ca="1">VLOOKUP($F411,OFFSET(enemy_skill_triggers!$A$1,0,0,COUNTA(enemy_skill_triggers!$A:$A),MATCH(M$1,enemy_skill_triggers!$1:$1,0)-MATCH($F$1,enemy_skill_triggers!$1:$1,0)+1),MATCH(M$1,enemy_skill_triggers!$1:$1,0)-MATCH($F$1,enemy_skill_triggers!$1:$1,0)+1,FALSE)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1" s="48">
        <f ca="1">VLOOKUP($F411,OFFSET(enemy_skill_triggers!$A$1,0,0,COUNTA(enemy_skill_triggers!$A:$A),MATCH(N$1,enemy_skill_triggers!$1:$1,0)-MATCH($F$1,enemy_skill_triggers!$1:$1,0)+1),MATCH(N$1,enemy_skill_triggers!$1:$1,0)-MATCH($F$1,enemy_skill_triggers!$1:$1,0)+1,FALSE)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411" s="48">
        <f ca="1">VLOOKUP($F411,OFFSET(enemy_skill_triggers!$A$1,0,0,COUNTA(enemy_skill_triggers!$A:$A),MATCH(O$1,enemy_skill_triggers!$1:$1,0)-MATCH($F$1,enemy_skill_triggers!$1:$1,0)+1),MATCH(O$1,enemy_skill_triggers!$1:$1,0)-MATCH($F$1,enemy_skill_triggers!$1:$1,0)+1,FALSE)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1" s="47"/>
      <c r="Q411" s="47"/>
      <c r="R411" s="47"/>
    </row>
    <row r="412" spans="1:18" ht="21" customHeight="1" x14ac:dyDescent="0.15">
      <c r="A412" s="39" t="str">
        <f t="shared" si="26"/>
        <v>47004770_47004776</v>
      </c>
      <c r="B412" s="109">
        <v>47004770</v>
      </c>
      <c r="C412" s="110">
        <v>47004776</v>
      </c>
      <c r="D412" s="46" t="str">
        <f ca="1">VLOOKUP($C412,OFFSET(enemy_skills!$A$1,0,0,COUNTA(enemy_skills!$A:$A),MATCH(D$1,enemy_skills!$1:$1,0)-MATCH("enemy_skill_id",enemy_skills!$1:$1,0)+1),MATCH(D$1,enemy_skills!$1:$1,0)-MATCH("enemy_skill_id",enemy_skills!$1:$1,0)+1,FALSE)</f>
        <v>おや、俺たちに福音を届けてくれるのか？_x000D_天使様らしいな</v>
      </c>
      <c r="E412" s="46" t="str">
        <f ca="1">VLOOKUP($C412,OFFSET(enemy_skills!$A$1,0,0,COUNTA(enemy_skills!$A:$A),MATCH(E$1,enemy_skills!$1:$1,0)-MATCH("enemy_skill_id",enemy_skills!$1:$1,0)+1),MATCH(E$1,enemy_skills!$1:$1,0)-MATCH("enemy_skill_id",enemy_skills!$1:$1,0)+1,FALSE)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412" s="110">
        <v>47004779</v>
      </c>
      <c r="G412" s="48">
        <f ca="1">VLOOKUP($F412,OFFSET(enemy_skill_triggers!$A$1,0,0,COUNTA(enemy_skill_triggers!$A:$A),MATCH(G$1,enemy_skill_triggers!$1:$1,0)-MATCH($F$1,enemy_skill_triggers!$1:$1,0)+1),MATCH(G$1,enemy_skill_triggers!$1:$1,0)-MATCH($F$1,enemy_skill_triggers!$1:$1,0)+1,FALSE)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2" s="48">
        <f ca="1">VLOOKUP($F412,OFFSET(enemy_skill_triggers!$A$1,0,0,COUNTA(enemy_skill_triggers!$A:$A),MATCH(H$1,enemy_skill_triggers!$1:$1,0)-MATCH($F$1,enemy_skill_triggers!$1:$1,0)+1),MATCH(H$1,enemy_skill_triggers!$1:$1,0)-MATCH($F$1,enemy_skill_triggers!$1:$1,0)+1,FALSE)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412" s="48">
        <f ca="1">VLOOKUP($F412,OFFSET(enemy_skill_triggers!$A$1,0,0,COUNTA(enemy_skill_triggers!$A:$A),MATCH(I$1,enemy_skill_triggers!$1:$1,0)-MATCH($F$1,enemy_skill_triggers!$1:$1,0)+1),MATCH(I$1,enemy_skill_triggers!$1:$1,0)-MATCH($F$1,enemy_skill_triggers!$1:$1,0)+1,FALSE)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2" s="48" t="str">
        <f ca="1">VLOOKUP($F412,OFFSET(enemy_skill_triggers!$A$1,0,0,COUNTA(enemy_skill_triggers!$A:$A),MATCH(J$1,enemy_skill_triggers!$1:$1,0)-MATCH($F$1,enemy_skill_triggers!$1:$1,0)+1),MATCH(J$1,enemy_skill_triggers!$1:$1,0)-MATCH($F$1,enemy_skill_triggers!$1:$1,0)+1,FALSE)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2" s="48" t="str">
        <f ca="1">VLOOKUP($F412,OFFSET(enemy_skill_triggers!$A$1,0,0,COUNTA(enemy_skill_triggers!$A:$A),MATCH(K$1,enemy_skill_triggers!$1:$1,0)-MATCH($F$1,enemy_skill_triggers!$1:$1,0)+1),MATCH(K$1,enemy_skill_triggers!$1:$1,0)-MATCH($F$1,enemy_skill_triggers!$1:$1,0)+1,FALSE)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2" s="48">
        <f ca="1">VLOOKUP($F412,OFFSET(enemy_skill_triggers!$A$1,0,0,COUNTA(enemy_skill_triggers!$A:$A),MATCH(L$1,enemy_skill_triggers!$1:$1,0)-MATCH($F$1,enemy_skill_triggers!$1:$1,0)+1),MATCH(L$1,enemy_skill_triggers!$1:$1,0)-MATCH($F$1,enemy_skill_triggers!$1:$1,0)+1,FALSE)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2" s="48" t="str">
        <f ca="1">VLOOKUP($F412,OFFSET(enemy_skill_triggers!$A$1,0,0,COUNTA(enemy_skill_triggers!$A:$A),MATCH(M$1,enemy_skill_triggers!$1:$1,0)-MATCH($F$1,enemy_skill_triggers!$1:$1,0)+1),MATCH(M$1,enemy_skill_triggers!$1:$1,0)-MATCH($F$1,enemy_skill_triggers!$1:$1,0)+1,FALSE)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2" s="48">
        <f ca="1">VLOOKUP($F412,OFFSET(enemy_skill_triggers!$A$1,0,0,COUNTA(enemy_skill_triggers!$A:$A),MATCH(N$1,enemy_skill_triggers!$1:$1,0)-MATCH($F$1,enemy_skill_triggers!$1:$1,0)+1),MATCH(N$1,enemy_skill_triggers!$1:$1,0)-MATCH($F$1,enemy_skill_triggers!$1:$1,0)+1,FALSE)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412" s="48">
        <f ca="1">VLOOKUP($F412,OFFSET(enemy_skill_triggers!$A$1,0,0,COUNTA(enemy_skill_triggers!$A:$A),MATCH(O$1,enemy_skill_triggers!$1:$1,0)-MATCH($F$1,enemy_skill_triggers!$1:$1,0)+1),MATCH(O$1,enemy_skill_triggers!$1:$1,0)-MATCH($F$1,enemy_skill_triggers!$1:$1,0)+1,FALSE)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2" s="47"/>
      <c r="Q412" s="47"/>
      <c r="R412" s="47"/>
    </row>
    <row r="413" spans="1:18" ht="21" customHeight="1" x14ac:dyDescent="0.15">
      <c r="A413" s="39" t="str">
        <f t="shared" si="26"/>
        <v>47004770_47004776</v>
      </c>
      <c r="B413" s="109">
        <v>47004770</v>
      </c>
      <c r="C413" s="110">
        <v>47004776</v>
      </c>
      <c r="D413" s="46" t="str">
        <f ca="1">VLOOKUP($C413,OFFSET(enemy_skills!$A$1,0,0,COUNTA(enemy_skills!$A:$A),MATCH(D$1,enemy_skills!$1:$1,0)-MATCH("enemy_skill_id",enemy_skills!$1:$1,0)+1),MATCH(D$1,enemy_skills!$1:$1,0)-MATCH("enemy_skill_id",enemy_skills!$1:$1,0)+1,FALSE)</f>
        <v>おや、俺たちに福音を届けてくれるのか？_x000D_天使様らしいな</v>
      </c>
      <c r="E413" s="46" t="str">
        <f ca="1">VLOOKUP($C413,OFFSET(enemy_skills!$A$1,0,0,COUNTA(enemy_skills!$A:$A),MATCH(E$1,enemy_skills!$1:$1,0)-MATCH("enemy_skill_id",enemy_skills!$1:$1,0)+1),MATCH(E$1,enemy_skills!$1:$1,0)-MATCH("enemy_skill_id",enemy_skills!$1:$1,0)+1,FALSE)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413" s="110">
        <v>47004780</v>
      </c>
      <c r="G413" s="48">
        <f ca="1">VLOOKUP($F413,OFFSET(enemy_skill_triggers!$A$1,0,0,COUNTA(enemy_skill_triggers!$A:$A),MATCH(G$1,enemy_skill_triggers!$1:$1,0)-MATCH($F$1,enemy_skill_triggers!$1:$1,0)+1),MATCH(G$1,enemy_skill_triggers!$1:$1,0)-MATCH($F$1,enemy_skill_triggers!$1:$1,0)+1,FALSE)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3" s="48">
        <f ca="1">VLOOKUP($F413,OFFSET(enemy_skill_triggers!$A$1,0,0,COUNTA(enemy_skill_triggers!$A:$A),MATCH(H$1,enemy_skill_triggers!$1:$1,0)-MATCH($F$1,enemy_skill_triggers!$1:$1,0)+1),MATCH(H$1,enemy_skill_triggers!$1:$1,0)-MATCH($F$1,enemy_skill_triggers!$1:$1,0)+1,FALSE)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413" s="48">
        <f ca="1">VLOOKUP($F413,OFFSET(enemy_skill_triggers!$A$1,0,0,COUNTA(enemy_skill_triggers!$A:$A),MATCH(I$1,enemy_skill_triggers!$1:$1,0)-MATCH($F$1,enemy_skill_triggers!$1:$1,0)+1),MATCH(I$1,enemy_skill_triggers!$1:$1,0)-MATCH($F$1,enemy_skill_triggers!$1:$1,0)+1,FALSE)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3" s="48" t="str">
        <f ca="1">VLOOKUP($F413,OFFSET(enemy_skill_triggers!$A$1,0,0,COUNTA(enemy_skill_triggers!$A:$A),MATCH(J$1,enemy_skill_triggers!$1:$1,0)-MATCH($F$1,enemy_skill_triggers!$1:$1,0)+1),MATCH(J$1,enemy_skill_triggers!$1:$1,0)-MATCH($F$1,enemy_skill_triggers!$1:$1,0)+1,FALSE)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3" s="48" t="str">
        <f ca="1">VLOOKUP($F413,OFFSET(enemy_skill_triggers!$A$1,0,0,COUNTA(enemy_skill_triggers!$A:$A),MATCH(K$1,enemy_skill_triggers!$1:$1,0)-MATCH($F$1,enemy_skill_triggers!$1:$1,0)+1),MATCH(K$1,enemy_skill_triggers!$1:$1,0)-MATCH($F$1,enemy_skill_triggers!$1:$1,0)+1,FALSE)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3" s="48">
        <f ca="1">VLOOKUP($F413,OFFSET(enemy_skill_triggers!$A$1,0,0,COUNTA(enemy_skill_triggers!$A:$A),MATCH(L$1,enemy_skill_triggers!$1:$1,0)-MATCH($F$1,enemy_skill_triggers!$1:$1,0)+1),MATCH(L$1,enemy_skill_triggers!$1:$1,0)-MATCH($F$1,enemy_skill_triggers!$1:$1,0)+1,FALSE)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3" s="48" t="str">
        <f ca="1">VLOOKUP($F413,OFFSET(enemy_skill_triggers!$A$1,0,0,COUNTA(enemy_skill_triggers!$A:$A),MATCH(M$1,enemy_skill_triggers!$1:$1,0)-MATCH($F$1,enemy_skill_triggers!$1:$1,0)+1),MATCH(M$1,enemy_skill_triggers!$1:$1,0)-MATCH($F$1,enemy_skill_triggers!$1:$1,0)+1,FALSE)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3" s="48">
        <f ca="1">VLOOKUP($F413,OFFSET(enemy_skill_triggers!$A$1,0,0,COUNTA(enemy_skill_triggers!$A:$A),MATCH(N$1,enemy_skill_triggers!$1:$1,0)-MATCH($F$1,enemy_skill_triggers!$1:$1,0)+1),MATCH(N$1,enemy_skill_triggers!$1:$1,0)-MATCH($F$1,enemy_skill_triggers!$1:$1,0)+1,FALSE)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413" s="48">
        <f ca="1">VLOOKUP($F413,OFFSET(enemy_skill_triggers!$A$1,0,0,COUNTA(enemy_skill_triggers!$A:$A),MATCH(O$1,enemy_skill_triggers!$1:$1,0)-MATCH($F$1,enemy_skill_triggers!$1:$1,0)+1),MATCH(O$1,enemy_skill_triggers!$1:$1,0)-MATCH($F$1,enemy_skill_triggers!$1:$1,0)+1,FALSE)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3" s="47"/>
      <c r="Q413" s="47"/>
      <c r="R413" s="47"/>
    </row>
    <row r="414" spans="1:18" ht="21" customHeight="1" x14ac:dyDescent="0.15">
      <c r="A414" s="39" t="str">
        <f t="shared" si="26"/>
        <v>47004770_47004776</v>
      </c>
      <c r="B414" s="109">
        <v>47004770</v>
      </c>
      <c r="C414" s="110">
        <v>47004776</v>
      </c>
      <c r="D414" s="46" t="str">
        <f ca="1">VLOOKUP($C414,OFFSET(enemy_skills!$A$1,0,0,COUNTA(enemy_skills!$A:$A),MATCH(D$1,enemy_skills!$1:$1,0)-MATCH("enemy_skill_id",enemy_skills!$1:$1,0)+1),MATCH(D$1,enemy_skills!$1:$1,0)-MATCH("enemy_skill_id",enemy_skills!$1:$1,0)+1,FALSE)</f>
        <v>おや、俺たちに福音を届けてくれるのか？_x000D_天使様らしいな</v>
      </c>
      <c r="E414" s="46" t="str">
        <f ca="1">VLOOKUP($C414,OFFSET(enemy_skills!$A$1,0,0,COUNTA(enemy_skills!$A:$A),MATCH(E$1,enemy_skills!$1:$1,0)-MATCH("enemy_skill_id",enemy_skills!$1:$1,0)+1),MATCH(E$1,enemy_skills!$1:$1,0)-MATCH("enemy_skill_id",enemy_skills!$1:$1,0)+1,FALSE)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414" s="110">
        <v>47004781</v>
      </c>
      <c r="G414" s="48">
        <f ca="1">VLOOKUP($F414,OFFSET(enemy_skill_triggers!$A$1,0,0,COUNTA(enemy_skill_triggers!$A:$A),MATCH(G$1,enemy_skill_triggers!$1:$1,0)-MATCH($F$1,enemy_skill_triggers!$1:$1,0)+1),MATCH(G$1,enemy_skill_triggers!$1:$1,0)-MATCH($F$1,enemy_skill_triggers!$1:$1,0)+1,FALSE)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4" s="48">
        <f ca="1">VLOOKUP($F414,OFFSET(enemy_skill_triggers!$A$1,0,0,COUNTA(enemy_skill_triggers!$A:$A),MATCH(H$1,enemy_skill_triggers!$1:$1,0)-MATCH($F$1,enemy_skill_triggers!$1:$1,0)+1),MATCH(H$1,enemy_skill_triggers!$1:$1,0)-MATCH($F$1,enemy_skill_triggers!$1:$1,0)+1,FALSE)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414" s="48">
        <f ca="1">VLOOKUP($F414,OFFSET(enemy_skill_triggers!$A$1,0,0,COUNTA(enemy_skill_triggers!$A:$A),MATCH(I$1,enemy_skill_triggers!$1:$1,0)-MATCH($F$1,enemy_skill_triggers!$1:$1,0)+1),MATCH(I$1,enemy_skill_triggers!$1:$1,0)-MATCH($F$1,enemy_skill_triggers!$1:$1,0)+1,FALSE)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4" s="48" t="str">
        <f ca="1">VLOOKUP($F414,OFFSET(enemy_skill_triggers!$A$1,0,0,COUNTA(enemy_skill_triggers!$A:$A),MATCH(J$1,enemy_skill_triggers!$1:$1,0)-MATCH($F$1,enemy_skill_triggers!$1:$1,0)+1),MATCH(J$1,enemy_skill_triggers!$1:$1,0)-MATCH($F$1,enemy_skill_triggers!$1:$1,0)+1,FALSE)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4" s="48" t="str">
        <f ca="1">VLOOKUP($F414,OFFSET(enemy_skill_triggers!$A$1,0,0,COUNTA(enemy_skill_triggers!$A:$A),MATCH(K$1,enemy_skill_triggers!$1:$1,0)-MATCH($F$1,enemy_skill_triggers!$1:$1,0)+1),MATCH(K$1,enemy_skill_triggers!$1:$1,0)-MATCH($F$1,enemy_skill_triggers!$1:$1,0)+1,FALSE)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4" s="48">
        <f ca="1">VLOOKUP($F414,OFFSET(enemy_skill_triggers!$A$1,0,0,COUNTA(enemy_skill_triggers!$A:$A),MATCH(L$1,enemy_skill_triggers!$1:$1,0)-MATCH($F$1,enemy_skill_triggers!$1:$1,0)+1),MATCH(L$1,enemy_skill_triggers!$1:$1,0)-MATCH($F$1,enemy_skill_triggers!$1:$1,0)+1,FALSE)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4" s="48" t="str">
        <f ca="1">VLOOKUP($F414,OFFSET(enemy_skill_triggers!$A$1,0,0,COUNTA(enemy_skill_triggers!$A:$A),MATCH(M$1,enemy_skill_triggers!$1:$1,0)-MATCH($F$1,enemy_skill_triggers!$1:$1,0)+1),MATCH(M$1,enemy_skill_triggers!$1:$1,0)-MATCH($F$1,enemy_skill_triggers!$1:$1,0)+1,FALSE)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4" s="48">
        <f ca="1">VLOOKUP($F414,OFFSET(enemy_skill_triggers!$A$1,0,0,COUNTA(enemy_skill_triggers!$A:$A),MATCH(N$1,enemy_skill_triggers!$1:$1,0)-MATCH($F$1,enemy_skill_triggers!$1:$1,0)+1),MATCH(N$1,enemy_skill_triggers!$1:$1,0)-MATCH($F$1,enemy_skill_triggers!$1:$1,0)+1,FALSE)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414" s="48">
        <f ca="1">VLOOKUP($F414,OFFSET(enemy_skill_triggers!$A$1,0,0,COUNTA(enemy_skill_triggers!$A:$A),MATCH(O$1,enemy_skill_triggers!$1:$1,0)-MATCH($F$1,enemy_skill_triggers!$1:$1,0)+1),MATCH(O$1,enemy_skill_triggers!$1:$1,0)-MATCH($F$1,enemy_skill_triggers!$1:$1,0)+1,FALSE)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4" s="47"/>
      <c r="Q414" s="47"/>
      <c r="R414" s="47"/>
    </row>
    <row r="415" spans="1:18" ht="21" customHeight="1" x14ac:dyDescent="0.15">
      <c r="A415" s="39" t="str">
        <f t="shared" si="26"/>
        <v>47004770_47004777</v>
      </c>
      <c r="B415" s="109">
        <v>47004770</v>
      </c>
      <c r="C415" s="110">
        <v>47004777</v>
      </c>
      <c r="D415" s="46" t="str">
        <f ca="1">VLOOKUP($C415,OFFSET(enemy_skills!$A$1,0,0,COUNTA(enemy_skills!$A:$A),MATCH(D$1,enemy_skills!$1:$1,0)-MATCH("enemy_skill_id",enemy_skills!$1:$1,0)+1),MATCH(D$1,enemy_skills!$1:$1,0)-MATCH("enemy_skill_id",enemy_skills!$1:$1,0)+1,FALSE)</f>
        <v>去年より一段と色っぽいな_x000D_あいつが見たらどう思うのか…</v>
      </c>
      <c r="E415" s="46" t="str">
        <f ca="1">VLOOKUP($C415,OFFSET(enemy_skills!$A$1,0,0,COUNTA(enemy_skills!$A:$A),MATCH(E$1,enemy_skills!$1:$1,0)-MATCH("enemy_skill_id",enemy_skills!$1:$1,0)+1),MATCH(E$1,enemy_skills!$1:$1,0)-MATCH("enemy_skill_id",enemy_skills!$1:$1,0)+1,FALSE)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415" s="110">
        <v>47004782</v>
      </c>
      <c r="G415" s="48">
        <f ca="1">VLOOKUP($F415,OFFSET(enemy_skill_triggers!$A$1,0,0,COUNTA(enemy_skill_triggers!$A:$A),MATCH(G$1,enemy_skill_triggers!$1:$1,0)-MATCH($F$1,enemy_skill_triggers!$1:$1,0)+1),MATCH(G$1,enemy_skill_triggers!$1:$1,0)-MATCH($F$1,enemy_skill_triggers!$1:$1,0)+1,FALSE)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5" s="48">
        <f ca="1">VLOOKUP($F415,OFFSET(enemy_skill_triggers!$A$1,0,0,COUNTA(enemy_skill_triggers!$A:$A),MATCH(H$1,enemy_skill_triggers!$1:$1,0)-MATCH($F$1,enemy_skill_triggers!$1:$1,0)+1),MATCH(H$1,enemy_skill_triggers!$1:$1,0)-MATCH($F$1,enemy_skill_triggers!$1:$1,0)+1,FALSE)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415" s="48">
        <f ca="1">VLOOKUP($F415,OFFSET(enemy_skill_triggers!$A$1,0,0,COUNTA(enemy_skill_triggers!$A:$A),MATCH(I$1,enemy_skill_triggers!$1:$1,0)-MATCH($F$1,enemy_skill_triggers!$1:$1,0)+1),MATCH(I$1,enemy_skill_triggers!$1:$1,0)-MATCH($F$1,enemy_skill_triggers!$1:$1,0)+1,FALSE)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5" s="48" t="str">
        <f ca="1">VLOOKUP($F415,OFFSET(enemy_skill_triggers!$A$1,0,0,COUNTA(enemy_skill_triggers!$A:$A),MATCH(J$1,enemy_skill_triggers!$1:$1,0)-MATCH($F$1,enemy_skill_triggers!$1:$1,0)+1),MATCH(J$1,enemy_skill_triggers!$1:$1,0)-MATCH($F$1,enemy_skill_triggers!$1:$1,0)+1,FALSE)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5" s="48" t="str">
        <f ca="1">VLOOKUP($F415,OFFSET(enemy_skill_triggers!$A$1,0,0,COUNTA(enemy_skill_triggers!$A:$A),MATCH(K$1,enemy_skill_triggers!$1:$1,0)-MATCH($F$1,enemy_skill_triggers!$1:$1,0)+1),MATCH(K$1,enemy_skill_triggers!$1:$1,0)-MATCH($F$1,enemy_skill_triggers!$1:$1,0)+1,FALSE)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5" s="48">
        <f ca="1">VLOOKUP($F415,OFFSET(enemy_skill_triggers!$A$1,0,0,COUNTA(enemy_skill_triggers!$A:$A),MATCH(L$1,enemy_skill_triggers!$1:$1,0)-MATCH($F$1,enemy_skill_triggers!$1:$1,0)+1),MATCH(L$1,enemy_skill_triggers!$1:$1,0)-MATCH($F$1,enemy_skill_triggers!$1:$1,0)+1,FALSE)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5" s="48" t="str">
        <f ca="1">VLOOKUP($F415,OFFSET(enemy_skill_triggers!$A$1,0,0,COUNTA(enemy_skill_triggers!$A:$A),MATCH(M$1,enemy_skill_triggers!$1:$1,0)-MATCH($F$1,enemy_skill_triggers!$1:$1,0)+1),MATCH(M$1,enemy_skill_triggers!$1:$1,0)-MATCH($F$1,enemy_skill_triggers!$1:$1,0)+1,FALSE)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5" s="48">
        <f ca="1">VLOOKUP($F415,OFFSET(enemy_skill_triggers!$A$1,0,0,COUNTA(enemy_skill_triggers!$A:$A),MATCH(N$1,enemy_skill_triggers!$1:$1,0)-MATCH($F$1,enemy_skill_triggers!$1:$1,0)+1),MATCH(N$1,enemy_skill_triggers!$1:$1,0)-MATCH($F$1,enemy_skill_triggers!$1:$1,0)+1,FALSE)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415" s="48">
        <f ca="1">VLOOKUP($F415,OFFSET(enemy_skill_triggers!$A$1,0,0,COUNTA(enemy_skill_triggers!$A:$A),MATCH(O$1,enemy_skill_triggers!$1:$1,0)-MATCH($F$1,enemy_skill_triggers!$1:$1,0)+1),MATCH(O$1,enemy_skill_triggers!$1:$1,0)-MATCH($F$1,enemy_skill_triggers!$1:$1,0)+1,FALSE)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5" s="47"/>
      <c r="Q415" s="47"/>
      <c r="R415" s="47"/>
    </row>
    <row r="416" spans="1:18" ht="21" customHeight="1" x14ac:dyDescent="0.15">
      <c r="A416" s="39" t="str">
        <f t="shared" si="26"/>
        <v>47004770_47004777</v>
      </c>
      <c r="B416" s="109">
        <v>47004770</v>
      </c>
      <c r="C416" s="110">
        <v>47004777</v>
      </c>
      <c r="D416" s="46" t="str">
        <f ca="1">VLOOKUP($C416,OFFSET(enemy_skills!$A$1,0,0,COUNTA(enemy_skills!$A:$A),MATCH(D$1,enemy_skills!$1:$1,0)-MATCH("enemy_skill_id",enemy_skills!$1:$1,0)+1),MATCH(D$1,enemy_skills!$1:$1,0)-MATCH("enemy_skill_id",enemy_skills!$1:$1,0)+1,FALSE)</f>
        <v>去年より一段と色っぽいな_x000D_あいつが見たらどう思うのか…</v>
      </c>
      <c r="E416" s="46" t="str">
        <f ca="1">VLOOKUP($C416,OFFSET(enemy_skills!$A$1,0,0,COUNTA(enemy_skills!$A:$A),MATCH(E$1,enemy_skills!$1:$1,0)-MATCH("enemy_skill_id",enemy_skills!$1:$1,0)+1),MATCH(E$1,enemy_skills!$1:$1,0)-MATCH("enemy_skill_id",enemy_skills!$1:$1,0)+1,FALSE)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416" s="110">
        <v>47004783</v>
      </c>
      <c r="G416" s="48">
        <f ca="1">VLOOKUP($F416,OFFSET(enemy_skill_triggers!$A$1,0,0,COUNTA(enemy_skill_triggers!$A:$A),MATCH(G$1,enemy_skill_triggers!$1:$1,0)-MATCH($F$1,enemy_skill_triggers!$1:$1,0)+1),MATCH(G$1,enemy_skill_triggers!$1:$1,0)-MATCH($F$1,enemy_skill_triggers!$1:$1,0)+1,FALSE)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6" s="48">
        <f ca="1">VLOOKUP($F416,OFFSET(enemy_skill_triggers!$A$1,0,0,COUNTA(enemy_skill_triggers!$A:$A),MATCH(H$1,enemy_skill_triggers!$1:$1,0)-MATCH($F$1,enemy_skill_triggers!$1:$1,0)+1),MATCH(H$1,enemy_skill_triggers!$1:$1,0)-MATCH($F$1,enemy_skill_triggers!$1:$1,0)+1,FALSE)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416" s="48">
        <f ca="1">VLOOKUP($F416,OFFSET(enemy_skill_triggers!$A$1,0,0,COUNTA(enemy_skill_triggers!$A:$A),MATCH(I$1,enemy_skill_triggers!$1:$1,0)-MATCH($F$1,enemy_skill_triggers!$1:$1,0)+1),MATCH(I$1,enemy_skill_triggers!$1:$1,0)-MATCH($F$1,enemy_skill_triggers!$1:$1,0)+1,FALSE)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6" s="48" t="str">
        <f ca="1">VLOOKUP($F416,OFFSET(enemy_skill_triggers!$A$1,0,0,COUNTA(enemy_skill_triggers!$A:$A),MATCH(J$1,enemy_skill_triggers!$1:$1,0)-MATCH($F$1,enemy_skill_triggers!$1:$1,0)+1),MATCH(J$1,enemy_skill_triggers!$1:$1,0)-MATCH($F$1,enemy_skill_triggers!$1:$1,0)+1,FALSE)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6" s="48" t="str">
        <f ca="1">VLOOKUP($F416,OFFSET(enemy_skill_triggers!$A$1,0,0,COUNTA(enemy_skill_triggers!$A:$A),MATCH(K$1,enemy_skill_triggers!$1:$1,0)-MATCH($F$1,enemy_skill_triggers!$1:$1,0)+1),MATCH(K$1,enemy_skill_triggers!$1:$1,0)-MATCH($F$1,enemy_skill_triggers!$1:$1,0)+1,FALSE)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6" s="48">
        <f ca="1">VLOOKUP($F416,OFFSET(enemy_skill_triggers!$A$1,0,0,COUNTA(enemy_skill_triggers!$A:$A),MATCH(L$1,enemy_skill_triggers!$1:$1,0)-MATCH($F$1,enemy_skill_triggers!$1:$1,0)+1),MATCH(L$1,enemy_skill_triggers!$1:$1,0)-MATCH($F$1,enemy_skill_triggers!$1:$1,0)+1,FALSE)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6" s="48" t="str">
        <f ca="1">VLOOKUP($F416,OFFSET(enemy_skill_triggers!$A$1,0,0,COUNTA(enemy_skill_triggers!$A:$A),MATCH(M$1,enemy_skill_triggers!$1:$1,0)-MATCH($F$1,enemy_skill_triggers!$1:$1,0)+1),MATCH(M$1,enemy_skill_triggers!$1:$1,0)-MATCH($F$1,enemy_skill_triggers!$1:$1,0)+1,FALSE)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6" s="48">
        <f ca="1">VLOOKUP($F416,OFFSET(enemy_skill_triggers!$A$1,0,0,COUNTA(enemy_skill_triggers!$A:$A),MATCH(N$1,enemy_skill_triggers!$1:$1,0)-MATCH($F$1,enemy_skill_triggers!$1:$1,0)+1),MATCH(N$1,enemy_skill_triggers!$1:$1,0)-MATCH($F$1,enemy_skill_triggers!$1:$1,0)+1,FALSE)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416" s="48">
        <f ca="1">VLOOKUP($F416,OFFSET(enemy_skill_triggers!$A$1,0,0,COUNTA(enemy_skill_triggers!$A:$A),MATCH(O$1,enemy_skill_triggers!$1:$1,0)-MATCH($F$1,enemy_skill_triggers!$1:$1,0)+1),MATCH(O$1,enemy_skill_triggers!$1:$1,0)-MATCH($F$1,enemy_skill_triggers!$1:$1,0)+1,FALSE)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6" s="47"/>
      <c r="Q416" s="47"/>
      <c r="R416" s="47"/>
    </row>
    <row r="417" spans="1:18" ht="21" customHeight="1" x14ac:dyDescent="0.15">
      <c r="A417" s="39" t="str">
        <f t="shared" si="26"/>
        <v>47004770_47004777</v>
      </c>
      <c r="B417" s="109">
        <v>47004770</v>
      </c>
      <c r="C417" s="110">
        <v>47004777</v>
      </c>
      <c r="D417" s="46" t="str">
        <f ca="1">VLOOKUP($C417,OFFSET(enemy_skills!$A$1,0,0,COUNTA(enemy_skills!$A:$A),MATCH(D$1,enemy_skills!$1:$1,0)-MATCH("enemy_skill_id",enemy_skills!$1:$1,0)+1),MATCH(D$1,enemy_skills!$1:$1,0)-MATCH("enemy_skill_id",enemy_skills!$1:$1,0)+1,FALSE)</f>
        <v>去年より一段と色っぽいな_x000D_あいつが見たらどう思うのか…</v>
      </c>
      <c r="E417" s="46" t="str">
        <f ca="1">VLOOKUP($C417,OFFSET(enemy_skills!$A$1,0,0,COUNTA(enemy_skills!$A:$A),MATCH(E$1,enemy_skills!$1:$1,0)-MATCH("enemy_skill_id",enemy_skills!$1:$1,0)+1),MATCH(E$1,enemy_skills!$1:$1,0)-MATCH("enemy_skill_id",enemy_skills!$1:$1,0)+1,FALSE)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417" s="110">
        <v>47004784</v>
      </c>
      <c r="G417" s="48">
        <f ca="1">VLOOKUP($F417,OFFSET(enemy_skill_triggers!$A$1,0,0,COUNTA(enemy_skill_triggers!$A:$A),MATCH(G$1,enemy_skill_triggers!$1:$1,0)-MATCH($F$1,enemy_skill_triggers!$1:$1,0)+1),MATCH(G$1,enemy_skill_triggers!$1:$1,0)-MATCH($F$1,enemy_skill_triggers!$1:$1,0)+1,FALSE)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7" s="48">
        <f ca="1">VLOOKUP($F417,OFFSET(enemy_skill_triggers!$A$1,0,0,COUNTA(enemy_skill_triggers!$A:$A),MATCH(H$1,enemy_skill_triggers!$1:$1,0)-MATCH($F$1,enemy_skill_triggers!$1:$1,0)+1),MATCH(H$1,enemy_skill_triggers!$1:$1,0)-MATCH($F$1,enemy_skill_triggers!$1:$1,0)+1,FALSE)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417" s="48">
        <f ca="1">VLOOKUP($F417,OFFSET(enemy_skill_triggers!$A$1,0,0,COUNTA(enemy_skill_triggers!$A:$A),MATCH(I$1,enemy_skill_triggers!$1:$1,0)-MATCH($F$1,enemy_skill_triggers!$1:$1,0)+1),MATCH(I$1,enemy_skill_triggers!$1:$1,0)-MATCH($F$1,enemy_skill_triggers!$1:$1,0)+1,FALSE)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7" s="48" t="str">
        <f ca="1">VLOOKUP($F417,OFFSET(enemy_skill_triggers!$A$1,0,0,COUNTA(enemy_skill_triggers!$A:$A),MATCH(J$1,enemy_skill_triggers!$1:$1,0)-MATCH($F$1,enemy_skill_triggers!$1:$1,0)+1),MATCH(J$1,enemy_skill_triggers!$1:$1,0)-MATCH($F$1,enemy_skill_triggers!$1:$1,0)+1,FALSE)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7" s="48" t="str">
        <f ca="1">VLOOKUP($F417,OFFSET(enemy_skill_triggers!$A$1,0,0,COUNTA(enemy_skill_triggers!$A:$A),MATCH(K$1,enemy_skill_triggers!$1:$1,0)-MATCH($F$1,enemy_skill_triggers!$1:$1,0)+1),MATCH(K$1,enemy_skill_triggers!$1:$1,0)-MATCH($F$1,enemy_skill_triggers!$1:$1,0)+1,FALSE)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7" s="48">
        <f ca="1">VLOOKUP($F417,OFFSET(enemy_skill_triggers!$A$1,0,0,COUNTA(enemy_skill_triggers!$A:$A),MATCH(L$1,enemy_skill_triggers!$1:$1,0)-MATCH($F$1,enemy_skill_triggers!$1:$1,0)+1),MATCH(L$1,enemy_skill_triggers!$1:$1,0)-MATCH($F$1,enemy_skill_triggers!$1:$1,0)+1,FALSE)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7" s="48" t="str">
        <f ca="1">VLOOKUP($F417,OFFSET(enemy_skill_triggers!$A$1,0,0,COUNTA(enemy_skill_triggers!$A:$A),MATCH(M$1,enemy_skill_triggers!$1:$1,0)-MATCH($F$1,enemy_skill_triggers!$1:$1,0)+1),MATCH(M$1,enemy_skill_triggers!$1:$1,0)-MATCH($F$1,enemy_skill_triggers!$1:$1,0)+1,FALSE)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7" s="48">
        <f ca="1">VLOOKUP($F417,OFFSET(enemy_skill_triggers!$A$1,0,0,COUNTA(enemy_skill_triggers!$A:$A),MATCH(N$1,enemy_skill_triggers!$1:$1,0)-MATCH($F$1,enemy_skill_triggers!$1:$1,0)+1),MATCH(N$1,enemy_skill_triggers!$1:$1,0)-MATCH($F$1,enemy_skill_triggers!$1:$1,0)+1,FALSE)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417" s="48">
        <f ca="1">VLOOKUP($F417,OFFSET(enemy_skill_triggers!$A$1,0,0,COUNTA(enemy_skill_triggers!$A:$A),MATCH(O$1,enemy_skill_triggers!$1:$1,0)-MATCH($F$1,enemy_skill_triggers!$1:$1,0)+1),MATCH(O$1,enemy_skill_triggers!$1:$1,0)-MATCH($F$1,enemy_skill_triggers!$1:$1,0)+1,FALSE)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7" s="47"/>
      <c r="Q417" s="47"/>
      <c r="R417" s="47"/>
    </row>
    <row r="418" spans="1:18" ht="21" customHeight="1" x14ac:dyDescent="0.15">
      <c r="A418" s="39" t="str">
        <f t="shared" si="26"/>
        <v>47004770_47004778</v>
      </c>
      <c r="B418" s="109">
        <v>47004770</v>
      </c>
      <c r="C418" s="110">
        <v>47004778</v>
      </c>
      <c r="D418" s="46" t="str">
        <f ca="1">VLOOKUP($C418,OFFSET(enemy_skills!$A$1,0,0,COUNTA(enemy_skills!$A:$A),MATCH(D$1,enemy_skills!$1:$1,0)-MATCH("enemy_skill_id",enemy_skills!$1:$1,0)+1),MATCH(D$1,enemy_skills!$1:$1,0)-MATCH("enemy_skill_id",enemy_skills!$1:$1,0)+1,FALSE)</f>
        <v>ベリアル、今年もご苦労さん_x000D_さてプレゼントは何かな…？</v>
      </c>
      <c r="E418" s="46" t="str">
        <f ca="1">VLOOKUP($C418,OFFSET(enemy_skills!$A$1,0,0,COUNTA(enemy_skills!$A:$A),MATCH(E$1,enemy_skills!$1:$1,0)-MATCH("enemy_skill_id",enemy_skills!$1:$1,0)+1),MATCH(E$1,enemy_skills!$1:$1,0)-MATCH("enemy_skill_id",enemy_skills!$1:$1,0)+1,FALSE)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418" s="110">
        <v>47004785</v>
      </c>
      <c r="G418" s="48">
        <f ca="1">VLOOKUP($F418,OFFSET(enemy_skill_triggers!$A$1,0,0,COUNTA(enemy_skill_triggers!$A:$A),MATCH(G$1,enemy_skill_triggers!$1:$1,0)-MATCH($F$1,enemy_skill_triggers!$1:$1,0)+1),MATCH(G$1,enemy_skill_triggers!$1:$1,0)-MATCH($F$1,enemy_skill_triggers!$1:$1,0)+1,FALSE)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8" s="48">
        <f ca="1">VLOOKUP($F418,OFFSET(enemy_skill_triggers!$A$1,0,0,COUNTA(enemy_skill_triggers!$A:$A),MATCH(H$1,enemy_skill_triggers!$1:$1,0)-MATCH($F$1,enemy_skill_triggers!$1:$1,0)+1),MATCH(H$1,enemy_skill_triggers!$1:$1,0)-MATCH($F$1,enemy_skill_triggers!$1:$1,0)+1,FALSE)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418" s="48">
        <f ca="1">VLOOKUP($F418,OFFSET(enemy_skill_triggers!$A$1,0,0,COUNTA(enemy_skill_triggers!$A:$A),MATCH(I$1,enemy_skill_triggers!$1:$1,0)-MATCH($F$1,enemy_skill_triggers!$1:$1,0)+1),MATCH(I$1,enemy_skill_triggers!$1:$1,0)-MATCH($F$1,enemy_skill_triggers!$1:$1,0)+1,FALSE)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8" s="48" t="str">
        <f ca="1">VLOOKUP($F418,OFFSET(enemy_skill_triggers!$A$1,0,0,COUNTA(enemy_skill_triggers!$A:$A),MATCH(J$1,enemy_skill_triggers!$1:$1,0)-MATCH($F$1,enemy_skill_triggers!$1:$1,0)+1),MATCH(J$1,enemy_skill_triggers!$1:$1,0)-MATCH($F$1,enemy_skill_triggers!$1:$1,0)+1,FALSE)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8" s="48" t="str">
        <f ca="1">VLOOKUP($F418,OFFSET(enemy_skill_triggers!$A$1,0,0,COUNTA(enemy_skill_triggers!$A:$A),MATCH(K$1,enemy_skill_triggers!$1:$1,0)-MATCH($F$1,enemy_skill_triggers!$1:$1,0)+1),MATCH(K$1,enemy_skill_triggers!$1:$1,0)-MATCH($F$1,enemy_skill_triggers!$1:$1,0)+1,FALSE)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8" s="48">
        <f ca="1">VLOOKUP($F418,OFFSET(enemy_skill_triggers!$A$1,0,0,COUNTA(enemy_skill_triggers!$A:$A),MATCH(L$1,enemy_skill_triggers!$1:$1,0)-MATCH($F$1,enemy_skill_triggers!$1:$1,0)+1),MATCH(L$1,enemy_skill_triggers!$1:$1,0)-MATCH($F$1,enemy_skill_triggers!$1:$1,0)+1,FALSE)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8" s="48" t="str">
        <f ca="1">VLOOKUP($F418,OFFSET(enemy_skill_triggers!$A$1,0,0,COUNTA(enemy_skill_triggers!$A:$A),MATCH(M$1,enemy_skill_triggers!$1:$1,0)-MATCH($F$1,enemy_skill_triggers!$1:$1,0)+1),MATCH(M$1,enemy_skill_triggers!$1:$1,0)-MATCH($F$1,enemy_skill_triggers!$1:$1,0)+1,FALSE)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8" s="48">
        <f ca="1">VLOOKUP($F418,OFFSET(enemy_skill_triggers!$A$1,0,0,COUNTA(enemy_skill_triggers!$A:$A),MATCH(N$1,enemy_skill_triggers!$1:$1,0)-MATCH($F$1,enemy_skill_triggers!$1:$1,0)+1),MATCH(N$1,enemy_skill_triggers!$1:$1,0)-MATCH($F$1,enemy_skill_triggers!$1:$1,0)+1,FALSE)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418" s="48">
        <f ca="1">VLOOKUP($F418,OFFSET(enemy_skill_triggers!$A$1,0,0,COUNTA(enemy_skill_triggers!$A:$A),MATCH(O$1,enemy_skill_triggers!$1:$1,0)-MATCH($F$1,enemy_skill_triggers!$1:$1,0)+1),MATCH(O$1,enemy_skill_triggers!$1:$1,0)-MATCH($F$1,enemy_skill_triggers!$1:$1,0)+1,FALSE)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8" s="47"/>
      <c r="Q418" s="47"/>
      <c r="R418" s="47"/>
    </row>
    <row r="419" spans="1:18" ht="21" customHeight="1" x14ac:dyDescent="0.15">
      <c r="A419" s="39" t="str">
        <f t="shared" si="26"/>
        <v>47004770_47004778</v>
      </c>
      <c r="B419" s="109">
        <v>47004770</v>
      </c>
      <c r="C419" s="110">
        <v>47004778</v>
      </c>
      <c r="D419" s="46" t="str">
        <f ca="1">VLOOKUP($C419,OFFSET(enemy_skills!$A$1,0,0,COUNTA(enemy_skills!$A:$A),MATCH(D$1,enemy_skills!$1:$1,0)-MATCH("enemy_skill_id",enemy_skills!$1:$1,0)+1),MATCH(D$1,enemy_skills!$1:$1,0)-MATCH("enemy_skill_id",enemy_skills!$1:$1,0)+1,FALSE)</f>
        <v>ベリアル、今年もご苦労さん_x000D_さてプレゼントは何かな…？</v>
      </c>
      <c r="E419" s="46" t="str">
        <f ca="1">VLOOKUP($C419,OFFSET(enemy_skills!$A$1,0,0,COUNTA(enemy_skills!$A:$A),MATCH(E$1,enemy_skills!$1:$1,0)-MATCH("enemy_skill_id",enemy_skills!$1:$1,0)+1),MATCH(E$1,enemy_skills!$1:$1,0)-MATCH("enemy_skill_id",enemy_skills!$1:$1,0)+1,FALSE)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419" s="110">
        <v>47004786</v>
      </c>
      <c r="G419" s="48">
        <f ca="1">VLOOKUP($F419,OFFSET(enemy_skill_triggers!$A$1,0,0,COUNTA(enemy_skill_triggers!$A:$A),MATCH(G$1,enemy_skill_triggers!$1:$1,0)-MATCH($F$1,enemy_skill_triggers!$1:$1,0)+1),MATCH(G$1,enemy_skill_triggers!$1:$1,0)-MATCH($F$1,enemy_skill_triggers!$1:$1,0)+1,FALSE)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9" s="48">
        <f ca="1">VLOOKUP($F419,OFFSET(enemy_skill_triggers!$A$1,0,0,COUNTA(enemy_skill_triggers!$A:$A),MATCH(H$1,enemy_skill_triggers!$1:$1,0)-MATCH($F$1,enemy_skill_triggers!$1:$1,0)+1),MATCH(H$1,enemy_skill_triggers!$1:$1,0)-MATCH($F$1,enemy_skill_triggers!$1:$1,0)+1,FALSE)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419" s="48">
        <f ca="1">VLOOKUP($F419,OFFSET(enemy_skill_triggers!$A$1,0,0,COUNTA(enemy_skill_triggers!$A:$A),MATCH(I$1,enemy_skill_triggers!$1:$1,0)-MATCH($F$1,enemy_skill_triggers!$1:$1,0)+1),MATCH(I$1,enemy_skill_triggers!$1:$1,0)-MATCH($F$1,enemy_skill_triggers!$1:$1,0)+1,FALSE)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9" s="48" t="str">
        <f ca="1">VLOOKUP($F419,OFFSET(enemy_skill_triggers!$A$1,0,0,COUNTA(enemy_skill_triggers!$A:$A),MATCH(J$1,enemy_skill_triggers!$1:$1,0)-MATCH($F$1,enemy_skill_triggers!$1:$1,0)+1),MATCH(J$1,enemy_skill_triggers!$1:$1,0)-MATCH($F$1,enemy_skill_triggers!$1:$1,0)+1,FALSE)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9" s="48" t="str">
        <f ca="1">VLOOKUP($F419,OFFSET(enemy_skill_triggers!$A$1,0,0,COUNTA(enemy_skill_triggers!$A:$A),MATCH(K$1,enemy_skill_triggers!$1:$1,0)-MATCH($F$1,enemy_skill_triggers!$1:$1,0)+1),MATCH(K$1,enemy_skill_triggers!$1:$1,0)-MATCH($F$1,enemy_skill_triggers!$1:$1,0)+1,FALSE)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9" s="48">
        <f ca="1">VLOOKUP($F419,OFFSET(enemy_skill_triggers!$A$1,0,0,COUNTA(enemy_skill_triggers!$A:$A),MATCH(L$1,enemy_skill_triggers!$1:$1,0)-MATCH($F$1,enemy_skill_triggers!$1:$1,0)+1),MATCH(L$1,enemy_skill_triggers!$1:$1,0)-MATCH($F$1,enemy_skill_triggers!$1:$1,0)+1,FALSE)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9" s="48" t="str">
        <f ca="1">VLOOKUP($F419,OFFSET(enemy_skill_triggers!$A$1,0,0,COUNTA(enemy_skill_triggers!$A:$A),MATCH(M$1,enemy_skill_triggers!$1:$1,0)-MATCH($F$1,enemy_skill_triggers!$1:$1,0)+1),MATCH(M$1,enemy_skill_triggers!$1:$1,0)-MATCH($F$1,enemy_skill_triggers!$1:$1,0)+1,FALSE)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9" s="48">
        <f ca="1">VLOOKUP($F419,OFFSET(enemy_skill_triggers!$A$1,0,0,COUNTA(enemy_skill_triggers!$A:$A),MATCH(N$1,enemy_skill_triggers!$1:$1,0)-MATCH($F$1,enemy_skill_triggers!$1:$1,0)+1),MATCH(N$1,enemy_skill_triggers!$1:$1,0)-MATCH($F$1,enemy_skill_triggers!$1:$1,0)+1,FALSE)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419" s="48">
        <f ca="1">VLOOKUP($F419,OFFSET(enemy_skill_triggers!$A$1,0,0,COUNTA(enemy_skill_triggers!$A:$A),MATCH(O$1,enemy_skill_triggers!$1:$1,0)-MATCH($F$1,enemy_skill_triggers!$1:$1,0)+1),MATCH(O$1,enemy_skill_triggers!$1:$1,0)-MATCH($F$1,enemy_skill_triggers!$1:$1,0)+1,FALSE)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9" s="47"/>
      <c r="Q419" s="47"/>
      <c r="R419" s="47"/>
    </row>
    <row r="420" spans="1:18" ht="21" customHeight="1" x14ac:dyDescent="0.15">
      <c r="A420" s="39" t="str">
        <f t="shared" ref="A420:A425" si="31">B420&amp;"_"&amp;C420</f>
        <v>47004770_47004778</v>
      </c>
      <c r="B420" s="109">
        <v>47004770</v>
      </c>
      <c r="C420" s="110">
        <v>47004778</v>
      </c>
      <c r="D420" s="46" t="str">
        <f ca="1">VLOOKUP($C420,OFFSET(enemy_skills!$A$1,0,0,COUNTA(enemy_skills!$A:$A),MATCH(D$1,enemy_skills!$1:$1,0)-MATCH("enemy_skill_id",enemy_skills!$1:$1,0)+1),MATCH(D$1,enemy_skills!$1:$1,0)-MATCH("enemy_skill_id",enemy_skills!$1:$1,0)+1,FALSE)</f>
        <v>ベリアル、今年もご苦労さん_x000D_さてプレゼントは何かな…？</v>
      </c>
      <c r="E420" s="46" t="str">
        <f ca="1">VLOOKUP($C420,OFFSET(enemy_skills!$A$1,0,0,COUNTA(enemy_skills!$A:$A),MATCH(E$1,enemy_skills!$1:$1,0)-MATCH("enemy_skill_id",enemy_skills!$1:$1,0)+1),MATCH(E$1,enemy_skills!$1:$1,0)-MATCH("enemy_skill_id",enemy_skills!$1:$1,0)+1,FALSE)</f>
        <v>残りHPの80%消費+_x000D_全ユニットのスキルゲージを4ターン減少+_x000D_全ユニットのボムの爆風を20%UP</v>
      </c>
      <c r="F420" s="110">
        <v>47004787</v>
      </c>
      <c r="G420" s="48">
        <f ca="1">VLOOKUP($F420,OFFSET(enemy_skill_triggers!$A$1,0,0,COUNTA(enemy_skill_triggers!$A:$A),MATCH(G$1,enemy_skill_triggers!$1:$1,0)-MATCH($F$1,enemy_skill_triggers!$1:$1,0)+1),MATCH(G$1,enemy_skill_triggers!$1:$1,0)-MATCH($F$1,enemy_skill_triggers!$1:$1,0)+1,FALSE)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0" s="48">
        <f ca="1">VLOOKUP($F420,OFFSET(enemy_skill_triggers!$A$1,0,0,COUNTA(enemy_skill_triggers!$A:$A),MATCH(H$1,enemy_skill_triggers!$1:$1,0)-MATCH($F$1,enemy_skill_triggers!$1:$1,0)+1),MATCH(H$1,enemy_skill_triggers!$1:$1,0)-MATCH($F$1,enemy_skill_triggers!$1:$1,0)+1,FALSE)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420" s="48">
        <f ca="1">VLOOKUP($F420,OFFSET(enemy_skill_triggers!$A$1,0,0,COUNTA(enemy_skill_triggers!$A:$A),MATCH(I$1,enemy_skill_triggers!$1:$1,0)-MATCH($F$1,enemy_skill_triggers!$1:$1,0)+1),MATCH(I$1,enemy_skill_triggers!$1:$1,0)-MATCH($F$1,enemy_skill_triggers!$1:$1,0)+1,FALSE)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0" s="48" t="str">
        <f ca="1">VLOOKUP($F420,OFFSET(enemy_skill_triggers!$A$1,0,0,COUNTA(enemy_skill_triggers!$A:$A),MATCH(J$1,enemy_skill_triggers!$1:$1,0)-MATCH($F$1,enemy_skill_triggers!$1:$1,0)+1),MATCH(J$1,enemy_skill_triggers!$1:$1,0)-MATCH($F$1,enemy_skill_triggers!$1:$1,0)+1,FALSE)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0" s="48" t="str">
        <f ca="1">VLOOKUP($F420,OFFSET(enemy_skill_triggers!$A$1,0,0,COUNTA(enemy_skill_triggers!$A:$A),MATCH(K$1,enemy_skill_triggers!$1:$1,0)-MATCH($F$1,enemy_skill_triggers!$1:$1,0)+1),MATCH(K$1,enemy_skill_triggers!$1:$1,0)-MATCH($F$1,enemy_skill_triggers!$1:$1,0)+1,FALSE)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0" s="48">
        <f ca="1">VLOOKUP($F420,OFFSET(enemy_skill_triggers!$A$1,0,0,COUNTA(enemy_skill_triggers!$A:$A),MATCH(L$1,enemy_skill_triggers!$1:$1,0)-MATCH($F$1,enemy_skill_triggers!$1:$1,0)+1),MATCH(L$1,enemy_skill_triggers!$1:$1,0)-MATCH($F$1,enemy_skill_triggers!$1:$1,0)+1,FALSE)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0" s="48" t="str">
        <f ca="1">VLOOKUP($F420,OFFSET(enemy_skill_triggers!$A$1,0,0,COUNTA(enemy_skill_triggers!$A:$A),MATCH(M$1,enemy_skill_triggers!$1:$1,0)-MATCH($F$1,enemy_skill_triggers!$1:$1,0)+1),MATCH(M$1,enemy_skill_triggers!$1:$1,0)-MATCH($F$1,enemy_skill_triggers!$1:$1,0)+1,FALSE)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0" s="48">
        <f ca="1">VLOOKUP($F420,OFFSET(enemy_skill_triggers!$A$1,0,0,COUNTA(enemy_skill_triggers!$A:$A),MATCH(N$1,enemy_skill_triggers!$1:$1,0)-MATCH($F$1,enemy_skill_triggers!$1:$1,0)+1),MATCH(N$1,enemy_skill_triggers!$1:$1,0)-MATCH($F$1,enemy_skill_triggers!$1:$1,0)+1,FALSE)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420" s="48">
        <f ca="1">VLOOKUP($F420,OFFSET(enemy_skill_triggers!$A$1,0,0,COUNTA(enemy_skill_triggers!$A:$A),MATCH(O$1,enemy_skill_triggers!$1:$1,0)-MATCH($F$1,enemy_skill_triggers!$1:$1,0)+1),MATCH(O$1,enemy_skill_triggers!$1:$1,0)-MATCH($F$1,enemy_skill_triggers!$1:$1,0)+1,FALSE)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0" s="47"/>
      <c r="Q420" s="47"/>
      <c r="R420" s="47"/>
    </row>
    <row r="421" spans="1:18" ht="21" customHeight="1" x14ac:dyDescent="0.15">
      <c r="A421" s="39" t="str">
        <f t="shared" ref="A421" si="32">B421&amp;"_"&amp;C421</f>
        <v>47004770_47004779</v>
      </c>
      <c r="B421" s="109">
        <v>47004770</v>
      </c>
      <c r="C421" s="110">
        <v>47004779</v>
      </c>
      <c r="D421" s="46" t="str">
        <f ca="1">VLOOKUP($C421,OFFSET(enemy_skills!$A$1,0,0,COUNTA(enemy_skills!$A:$A),MATCH(D$1,enemy_skills!$1:$1,0)-MATCH("enemy_skill_id",enemy_skills!$1:$1,0)+1),MATCH(D$1,enemy_skills!$1:$1,0)-MATCH("enemy_skill_id",enemy_skills!$1:$1,0)+1,FALSE)</f>
        <v>メリークリスマス！っと_x000D_おや、雅なサンタクロースだな</v>
      </c>
      <c r="E421" s="46" t="str">
        <f ca="1">VLOOKUP($C421,OFFSET(enemy_skills!$A$1,0,0,COUNTA(enemy_skills!$A:$A),MATCH(E$1,enemy_skills!$1:$1,0)-MATCH("enemy_skill_id",enemy_skills!$1:$1,0)+1),MATCH(E$1,enemy_skills!$1:$1,0)-MATCH("enemy_skill_id",enemy_skills!$1:$1,0)+1,FALSE)</f>
        <v>残りHPの50%消費+_x000D_全ユニットのスキルゲージを2ターン減少+_x000D_全ユニットのボムの爆風を10%UP</v>
      </c>
      <c r="F421" s="110">
        <v>47004788</v>
      </c>
      <c r="G421" s="48">
        <f ca="1">VLOOKUP($F421,OFFSET(enemy_skill_triggers!$A$1,0,0,COUNTA(enemy_skill_triggers!$A:$A),MATCH(G$1,enemy_skill_triggers!$1:$1,0)-MATCH($F$1,enemy_skill_triggers!$1:$1,0)+1),MATCH(G$1,enemy_skill_triggers!$1:$1,0)-MATCH($F$1,enemy_skill_triggers!$1:$1,0)+1,FALSE)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1" s="48">
        <f ca="1">VLOOKUP($F421,OFFSET(enemy_skill_triggers!$A$1,0,0,COUNTA(enemy_skill_triggers!$A:$A),MATCH(H$1,enemy_skill_triggers!$1:$1,0)-MATCH($F$1,enemy_skill_triggers!$1:$1,0)+1),MATCH(H$1,enemy_skill_triggers!$1:$1,0)-MATCH($F$1,enemy_skill_triggers!$1:$1,0)+1,FALSE)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421" s="48">
        <f ca="1">VLOOKUP($F421,OFFSET(enemy_skill_triggers!$A$1,0,0,COUNTA(enemy_skill_triggers!$A:$A),MATCH(I$1,enemy_skill_triggers!$1:$1,0)-MATCH($F$1,enemy_skill_triggers!$1:$1,0)+1),MATCH(I$1,enemy_skill_triggers!$1:$1,0)-MATCH($F$1,enemy_skill_triggers!$1:$1,0)+1,FALSE)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1" s="48" t="str">
        <f ca="1">VLOOKUP($F421,OFFSET(enemy_skill_triggers!$A$1,0,0,COUNTA(enemy_skill_triggers!$A:$A),MATCH(J$1,enemy_skill_triggers!$1:$1,0)-MATCH($F$1,enemy_skill_triggers!$1:$1,0)+1),MATCH(J$1,enemy_skill_triggers!$1:$1,0)-MATCH($F$1,enemy_skill_triggers!$1:$1,0)+1,FALSE)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1" s="48" t="str">
        <f ca="1">VLOOKUP($F421,OFFSET(enemy_skill_triggers!$A$1,0,0,COUNTA(enemy_skill_triggers!$A:$A),MATCH(K$1,enemy_skill_triggers!$1:$1,0)-MATCH($F$1,enemy_skill_triggers!$1:$1,0)+1),MATCH(K$1,enemy_skill_triggers!$1:$1,0)-MATCH($F$1,enemy_skill_triggers!$1:$1,0)+1,FALSE)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1" s="48">
        <f ca="1">VLOOKUP($F421,OFFSET(enemy_skill_triggers!$A$1,0,0,COUNTA(enemy_skill_triggers!$A:$A),MATCH(L$1,enemy_skill_triggers!$1:$1,0)-MATCH($F$1,enemy_skill_triggers!$1:$1,0)+1),MATCH(L$1,enemy_skill_triggers!$1:$1,0)-MATCH($F$1,enemy_skill_triggers!$1:$1,0)+1,FALSE)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1" s="48" t="str">
        <f ca="1">VLOOKUP($F421,OFFSET(enemy_skill_triggers!$A$1,0,0,COUNTA(enemy_skill_triggers!$A:$A),MATCH(M$1,enemy_skill_triggers!$1:$1,0)-MATCH($F$1,enemy_skill_triggers!$1:$1,0)+1),MATCH(M$1,enemy_skill_triggers!$1:$1,0)-MATCH($F$1,enemy_skill_triggers!$1:$1,0)+1,FALSE)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1" s="48">
        <f ca="1">VLOOKUP($F421,OFFSET(enemy_skill_triggers!$A$1,0,0,COUNTA(enemy_skill_triggers!$A:$A),MATCH(N$1,enemy_skill_triggers!$1:$1,0)-MATCH($F$1,enemy_skill_triggers!$1:$1,0)+1),MATCH(N$1,enemy_skill_triggers!$1:$1,0)-MATCH($F$1,enemy_skill_triggers!$1:$1,0)+1,FALSE)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421" s="48">
        <f ca="1">VLOOKUP($F421,OFFSET(enemy_skill_triggers!$A$1,0,0,COUNTA(enemy_skill_triggers!$A:$A),MATCH(O$1,enemy_skill_triggers!$1:$1,0)-MATCH($F$1,enemy_skill_triggers!$1:$1,0)+1),MATCH(O$1,enemy_skill_triggers!$1:$1,0)-MATCH($F$1,enemy_skill_triggers!$1:$1,0)+1,FALSE)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1" s="47"/>
      <c r="Q421" s="47"/>
      <c r="R421" s="47"/>
    </row>
    <row r="422" spans="1:18" ht="21" customHeight="1" x14ac:dyDescent="0.15">
      <c r="A422" s="39" t="str">
        <f t="shared" si="31"/>
        <v>47004790_47004791</v>
      </c>
      <c r="B422" s="109">
        <v>47004790</v>
      </c>
      <c r="C422" s="47">
        <v>47004791</v>
      </c>
      <c r="D422" s="46" t="str">
        <f ca="1">VLOOKUP($C422,OFFSET(enemy_skills!$A$1,0,0,COUNTA(enemy_skills!$A:$A),MATCH(D$1,enemy_skills!$1:$1,0)-MATCH("enemy_skill_id",enemy_skills!$1:$1,0)+1),MATCH(D$1,enemy_skills!$1:$1,0)-MATCH("enemy_skill_id",enemy_skills!$1:$1,0)+1,FALSE)</f>
        <v>……</v>
      </c>
      <c r="E422" s="46" t="str">
        <f ca="1">VLOOKUP($C422,OFFSET(enemy_skills!$A$1,0,0,COUNTA(enemy_skills!$A:$A),MATCH(E$1,enemy_skills!$1:$1,0)-MATCH("enemy_skill_id",enemy_skills!$1:$1,0)+1),MATCH(E$1,enemy_skills!$1:$1,0)-MATCH("enemy_skill_id",enemy_skills!$1:$1,0)+1,FALSE)</f>
        <v>マシン・シュプールはこちらの様子を伺っている_x000D_【解除するまで全属性の攻撃をカウンター】</v>
      </c>
      <c r="F422" s="47">
        <v>47004791</v>
      </c>
      <c r="G422" s="48">
        <f ca="1">VLOOKUP($F422,OFFSET(enemy_skill_triggers!$A$1,0,0,COUNTA(enemy_skill_triggers!$A:$A),MATCH(G$1,enemy_skill_triggers!$1:$1,0)-MATCH($F$1,enemy_skill_triggers!$1:$1,0)+1),MATCH(G$1,enemy_skill_triggers!$1:$1,0)-MATCH($F$1,enemy_skill_triggers!$1:$1,0)+1,FALSE)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2" s="48">
        <f ca="1">VLOOKUP($F422,OFFSET(enemy_skill_triggers!$A$1,0,0,COUNTA(enemy_skill_triggers!$A:$A),MATCH(H$1,enemy_skill_triggers!$1:$1,0)-MATCH($F$1,enemy_skill_triggers!$1:$1,0)+1),MATCH(H$1,enemy_skill_triggers!$1:$1,0)-MATCH($F$1,enemy_skill_triggers!$1:$1,0)+1,FALSE)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2" s="48">
        <f ca="1">VLOOKUP($F422,OFFSET(enemy_skill_triggers!$A$1,0,0,COUNTA(enemy_skill_triggers!$A:$A),MATCH(I$1,enemy_skill_triggers!$1:$1,0)-MATCH($F$1,enemy_skill_triggers!$1:$1,0)+1),MATCH(I$1,enemy_skill_triggers!$1:$1,0)-MATCH($F$1,enemy_skill_triggers!$1:$1,0)+1,FALSE)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2" s="48" t="str">
        <f ca="1">VLOOKUP($F422,OFFSET(enemy_skill_triggers!$A$1,0,0,COUNTA(enemy_skill_triggers!$A:$A),MATCH(J$1,enemy_skill_triggers!$1:$1,0)-MATCH($F$1,enemy_skill_triggers!$1:$1,0)+1),MATCH(J$1,enemy_skill_triggers!$1:$1,0)-MATCH($F$1,enemy_skill_triggers!$1:$1,0)+1,FALSE)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2" s="48" t="str">
        <f ca="1">VLOOKUP($F422,OFFSET(enemy_skill_triggers!$A$1,0,0,COUNTA(enemy_skill_triggers!$A:$A),MATCH(K$1,enemy_skill_triggers!$1:$1,0)-MATCH($F$1,enemy_skill_triggers!$1:$1,0)+1),MATCH(K$1,enemy_skill_triggers!$1:$1,0)-MATCH($F$1,enemy_skill_triggers!$1:$1,0)+1,FALSE)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2" s="48">
        <f ca="1">VLOOKUP($F422,OFFSET(enemy_skill_triggers!$A$1,0,0,COUNTA(enemy_skill_triggers!$A:$A),MATCH(L$1,enemy_skill_triggers!$1:$1,0)-MATCH($F$1,enemy_skill_triggers!$1:$1,0)+1),MATCH(L$1,enemy_skill_triggers!$1:$1,0)-MATCH($F$1,enemy_skill_triggers!$1:$1,0)+1,FALSE)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2" s="48" t="str">
        <f ca="1">VLOOKUP($F422,OFFSET(enemy_skill_triggers!$A$1,0,0,COUNTA(enemy_skill_triggers!$A:$A),MATCH(M$1,enemy_skill_triggers!$1:$1,0)-MATCH($F$1,enemy_skill_triggers!$1:$1,0)+1),MATCH(M$1,enemy_skill_triggers!$1:$1,0)-MATCH($F$1,enemy_skill_triggers!$1:$1,0)+1,FALSE)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2" s="48" t="str">
        <f ca="1">VLOOKUP($F422,OFFSET(enemy_skill_triggers!$A$1,0,0,COUNTA(enemy_skill_triggers!$A:$A),MATCH(N$1,enemy_skill_triggers!$1:$1,0)-MATCH($F$1,enemy_skill_triggers!$1:$1,0)+1),MATCH(N$1,enemy_skill_triggers!$1:$1,0)-MATCH($F$1,enemy_skill_triggers!$1:$1,0)+1,FALSE)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2" s="48">
        <f ca="1">VLOOKUP($F422,OFFSET(enemy_skill_triggers!$A$1,0,0,COUNTA(enemy_skill_triggers!$A:$A),MATCH(O$1,enemy_skill_triggers!$1:$1,0)-MATCH($F$1,enemy_skill_triggers!$1:$1,0)+1),MATCH(O$1,enemy_skill_triggers!$1:$1,0)-MATCH($F$1,enemy_skill_triggers!$1:$1,0)+1,FALSE)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2" s="47"/>
      <c r="Q422" s="47"/>
      <c r="R422" s="47"/>
    </row>
    <row r="423" spans="1:18" ht="21" customHeight="1" x14ac:dyDescent="0.15">
      <c r="A423" s="39" t="str">
        <f t="shared" si="31"/>
        <v>47004790_47004792</v>
      </c>
      <c r="B423" s="109">
        <v>47004790</v>
      </c>
      <c r="C423" s="47">
        <v>47004792</v>
      </c>
      <c r="D423" s="46" t="str">
        <f ca="1">VLOOKUP($C423,OFFSET(enemy_skills!$A$1,0,0,COUNTA(enemy_skills!$A:$A),MATCH(D$1,enemy_skills!$1:$1,0)-MATCH("enemy_skill_id",enemy_skills!$1:$1,0)+1),MATCH(D$1,enemy_skills!$1:$1,0)-MATCH("enemy_skill_id",enemy_skills!$1:$1,0)+1,FALSE)</f>
        <v>その結晶は鏡の欠片のよう</v>
      </c>
      <c r="E423" s="46" t="str">
        <f ca="1">VLOOKUP($C423,OFFSET(enemy_skills!$A$1,0,0,COUNTA(enemy_skills!$A:$A),MATCH(E$1,enemy_skills!$1:$1,0)-MATCH("enemy_skill_id",enemy_skills!$1:$1,0)+1),MATCH(E$1,enemy_skills!$1:$1,0)-MATCH("enemy_skill_id",enemy_skills!$1:$1,0)+1,FALSE)</f>
        <v>黄パネルを青のダメージパネルに5個変換+単体攻撃</v>
      </c>
      <c r="F423" s="47">
        <v>47004792</v>
      </c>
      <c r="G423" s="48">
        <f ca="1">VLOOKUP($F423,OFFSET(enemy_skill_triggers!$A$1,0,0,COUNTA(enemy_skill_triggers!$A:$A),MATCH(G$1,enemy_skill_triggers!$1:$1,0)-MATCH($F$1,enemy_skill_triggers!$1:$1,0)+1),MATCH(G$1,enemy_skill_triggers!$1:$1,0)-MATCH($F$1,enemy_skill_triggers!$1:$1,0)+1,FALSE)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3" s="48">
        <f ca="1">VLOOKUP($F423,OFFSET(enemy_skill_triggers!$A$1,0,0,COUNTA(enemy_skill_triggers!$A:$A),MATCH(H$1,enemy_skill_triggers!$1:$1,0)-MATCH($F$1,enemy_skill_triggers!$1:$1,0)+1),MATCH(H$1,enemy_skill_triggers!$1:$1,0)-MATCH($F$1,enemy_skill_triggers!$1:$1,0)+1,FALSE)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23" s="48">
        <f ca="1">VLOOKUP($F423,OFFSET(enemy_skill_triggers!$A$1,0,0,COUNTA(enemy_skill_triggers!$A:$A),MATCH(I$1,enemy_skill_triggers!$1:$1,0)-MATCH($F$1,enemy_skill_triggers!$1:$1,0)+1),MATCH(I$1,enemy_skill_triggers!$1:$1,0)-MATCH($F$1,enemy_skill_triggers!$1:$1,0)+1,FALSE)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3" s="48" t="str">
        <f ca="1">VLOOKUP($F423,OFFSET(enemy_skill_triggers!$A$1,0,0,COUNTA(enemy_skill_triggers!$A:$A),MATCH(J$1,enemy_skill_triggers!$1:$1,0)-MATCH($F$1,enemy_skill_triggers!$1:$1,0)+1),MATCH(J$1,enemy_skill_triggers!$1:$1,0)-MATCH($F$1,enemy_skill_triggers!$1:$1,0)+1,FALSE)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3" s="48" t="str">
        <f ca="1">VLOOKUP($F423,OFFSET(enemy_skill_triggers!$A$1,0,0,COUNTA(enemy_skill_triggers!$A:$A),MATCH(K$1,enemy_skill_triggers!$1:$1,0)-MATCH($F$1,enemy_skill_triggers!$1:$1,0)+1),MATCH(K$1,enemy_skill_triggers!$1:$1,0)-MATCH($F$1,enemy_skill_triggers!$1:$1,0)+1,FALSE)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3" s="48" t="str">
        <f ca="1">VLOOKUP($F423,OFFSET(enemy_skill_triggers!$A$1,0,0,COUNTA(enemy_skill_triggers!$A:$A),MATCH(L$1,enemy_skill_triggers!$1:$1,0)-MATCH($F$1,enemy_skill_triggers!$1:$1,0)+1),MATCH(L$1,enemy_skill_triggers!$1:$1,0)-MATCH($F$1,enemy_skill_triggers!$1:$1,0)+1,FALSE)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3" s="48">
        <f ca="1">VLOOKUP($F423,OFFSET(enemy_skill_triggers!$A$1,0,0,COUNTA(enemy_skill_triggers!$A:$A),MATCH(M$1,enemy_skill_triggers!$1:$1,0)-MATCH($F$1,enemy_skill_triggers!$1:$1,0)+1),MATCH(M$1,enemy_skill_triggers!$1:$1,0)-MATCH($F$1,enemy_skill_triggers!$1:$1,0)+1,FALSE)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3" s="48" t="str">
        <f ca="1">VLOOKUP($F423,OFFSET(enemy_skill_triggers!$A$1,0,0,COUNTA(enemy_skill_triggers!$A:$A),MATCH(N$1,enemy_skill_triggers!$1:$1,0)-MATCH($F$1,enemy_skill_triggers!$1:$1,0)+1),MATCH(N$1,enemy_skill_triggers!$1:$1,0)-MATCH($F$1,enemy_skill_triggers!$1:$1,0)+1,FALSE)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3" s="48">
        <f ca="1">VLOOKUP($F423,OFFSET(enemy_skill_triggers!$A$1,0,0,COUNTA(enemy_skill_triggers!$A:$A),MATCH(O$1,enemy_skill_triggers!$1:$1,0)-MATCH($F$1,enemy_skill_triggers!$1:$1,0)+1),MATCH(O$1,enemy_skill_triggers!$1:$1,0)-MATCH($F$1,enemy_skill_triggers!$1:$1,0)+1,FALSE)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3" s="47"/>
      <c r="Q423" s="47"/>
      <c r="R423" s="47"/>
    </row>
    <row r="424" spans="1:18" ht="21" customHeight="1" x14ac:dyDescent="0.15">
      <c r="A424" s="39" t="str">
        <f t="shared" si="31"/>
        <v>47004790_47004793</v>
      </c>
      <c r="B424" s="109">
        <v>47004790</v>
      </c>
      <c r="C424" s="47">
        <v>47004793</v>
      </c>
      <c r="D424" s="46" t="str">
        <f ca="1">VLOOKUP($C424,OFFSET(enemy_skills!$A$1,0,0,COUNTA(enemy_skills!$A:$A),MATCH(D$1,enemy_skills!$1:$1,0)-MATCH("enemy_skill_id",enemy_skills!$1:$1,0)+1),MATCH(D$1,enemy_skills!$1:$1,0)-MATCH("enemy_skill_id",enemy_skills!$1:$1,0)+1,FALSE)</f>
        <v>眠りに誘う氷激</v>
      </c>
      <c r="E424" s="46" t="str">
        <f ca="1">VLOOKUP($C424,OFFSET(enemy_skills!$A$1,0,0,COUNTA(enemy_skills!$A:$A),MATCH(E$1,enemy_skills!$1:$1,0)-MATCH("enemy_skill_id",enemy_skills!$1:$1,0)+1),MATCH(E$1,enemy_skills!$1:$1,0)-MATCH("enemy_skill_id",enemy_skills!$1:$1,0)+1,FALSE)</f>
        <v>2ターンユニット1体にスリープ+単体攻撃</v>
      </c>
      <c r="F424" s="47">
        <v>47004793</v>
      </c>
      <c r="G424" s="48">
        <f ca="1">VLOOKUP($F424,OFFSET(enemy_skill_triggers!$A$1,0,0,COUNTA(enemy_skill_triggers!$A:$A),MATCH(G$1,enemy_skill_triggers!$1:$1,0)-MATCH($F$1,enemy_skill_triggers!$1:$1,0)+1),MATCH(G$1,enemy_skill_triggers!$1:$1,0)-MATCH($F$1,enemy_skill_triggers!$1:$1,0)+1,FALSE)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4" s="48">
        <f ca="1">VLOOKUP($F424,OFFSET(enemy_skill_triggers!$A$1,0,0,COUNTA(enemy_skill_triggers!$A:$A),MATCH(H$1,enemy_skill_triggers!$1:$1,0)-MATCH($F$1,enemy_skill_triggers!$1:$1,0)+1),MATCH(H$1,enemy_skill_triggers!$1:$1,0)-MATCH($F$1,enemy_skill_triggers!$1:$1,0)+1,FALSE)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24" s="48">
        <f ca="1">VLOOKUP($F424,OFFSET(enemy_skill_triggers!$A$1,0,0,COUNTA(enemy_skill_triggers!$A:$A),MATCH(I$1,enemy_skill_triggers!$1:$1,0)-MATCH($F$1,enemy_skill_triggers!$1:$1,0)+1),MATCH(I$1,enemy_skill_triggers!$1:$1,0)-MATCH($F$1,enemy_skill_triggers!$1:$1,0)+1,FALSE)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4" s="48" t="str">
        <f ca="1">VLOOKUP($F424,OFFSET(enemy_skill_triggers!$A$1,0,0,COUNTA(enemy_skill_triggers!$A:$A),MATCH(J$1,enemy_skill_triggers!$1:$1,0)-MATCH($F$1,enemy_skill_triggers!$1:$1,0)+1),MATCH(J$1,enemy_skill_triggers!$1:$1,0)-MATCH($F$1,enemy_skill_triggers!$1:$1,0)+1,FALSE)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4" s="48" t="str">
        <f ca="1">VLOOKUP($F424,OFFSET(enemy_skill_triggers!$A$1,0,0,COUNTA(enemy_skill_triggers!$A:$A),MATCH(K$1,enemy_skill_triggers!$1:$1,0)-MATCH($F$1,enemy_skill_triggers!$1:$1,0)+1),MATCH(K$1,enemy_skill_triggers!$1:$1,0)-MATCH($F$1,enemy_skill_triggers!$1:$1,0)+1,FALSE)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4" s="48" t="str">
        <f ca="1">VLOOKUP($F424,OFFSET(enemy_skill_triggers!$A$1,0,0,COUNTA(enemy_skill_triggers!$A:$A),MATCH(L$1,enemy_skill_triggers!$1:$1,0)-MATCH($F$1,enemy_skill_triggers!$1:$1,0)+1),MATCH(L$1,enemy_skill_triggers!$1:$1,0)-MATCH($F$1,enemy_skill_triggers!$1:$1,0)+1,FALSE)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4" s="48">
        <f ca="1">VLOOKUP($F424,OFFSET(enemy_skill_triggers!$A$1,0,0,COUNTA(enemy_skill_triggers!$A:$A),MATCH(M$1,enemy_skill_triggers!$1:$1,0)-MATCH($F$1,enemy_skill_triggers!$1:$1,0)+1),MATCH(M$1,enemy_skill_triggers!$1:$1,0)-MATCH($F$1,enemy_skill_triggers!$1:$1,0)+1,FALSE)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24" s="48" t="str">
        <f ca="1">VLOOKUP($F424,OFFSET(enemy_skill_triggers!$A$1,0,0,COUNTA(enemy_skill_triggers!$A:$A),MATCH(N$1,enemy_skill_triggers!$1:$1,0)-MATCH($F$1,enemy_skill_triggers!$1:$1,0)+1),MATCH(N$1,enemy_skill_triggers!$1:$1,0)-MATCH($F$1,enemy_skill_triggers!$1:$1,0)+1,FALSE)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4" s="48">
        <f ca="1">VLOOKUP($F424,OFFSET(enemy_skill_triggers!$A$1,0,0,COUNTA(enemy_skill_triggers!$A:$A),MATCH(O$1,enemy_skill_triggers!$1:$1,0)-MATCH($F$1,enemy_skill_triggers!$1:$1,0)+1),MATCH(O$1,enemy_skill_triggers!$1:$1,0)-MATCH($F$1,enemy_skill_triggers!$1:$1,0)+1,FALSE)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4" s="47"/>
      <c r="Q424" s="47"/>
      <c r="R424" s="47"/>
    </row>
    <row r="425" spans="1:18" ht="21" customHeight="1" x14ac:dyDescent="0.15">
      <c r="A425" s="39" t="str">
        <f t="shared" si="31"/>
        <v>47004790_47004794</v>
      </c>
      <c r="B425" s="109">
        <v>47004790</v>
      </c>
      <c r="C425" s="47">
        <v>47004794</v>
      </c>
      <c r="D425" s="46" t="str">
        <f ca="1">VLOOKUP($C425,OFFSET(enemy_skills!$A$1,0,0,COUNTA(enemy_skills!$A:$A),MATCH(D$1,enemy_skills!$1:$1,0)-MATCH("enemy_skill_id",enemy_skills!$1:$1,0)+1),MATCH(D$1,enemy_skills!$1:$1,0)-MATCH("enemy_skill_id",enemy_skills!$1:$1,0)+1,FALSE)</f>
        <v>……僕に構わないでくれ</v>
      </c>
      <c r="E425" s="46" t="str">
        <f ca="1">VLOOKUP($C425,OFFSET(enemy_skills!$A$1,0,0,COUNTA(enemy_skills!$A:$A),MATCH(E$1,enemy_skills!$1:$1,0)-MATCH("enemy_skill_id",enemy_skills!$1:$1,0)+1),MATCH(E$1,enemy_skills!$1:$1,0)-MATCH("enemy_skill_id",enemy_skills!$1:$1,0)+1,FALSE)</f>
        <v>ハートパネルを青パネルに5個変換+行動頻度UP</v>
      </c>
      <c r="F425" s="47">
        <v>47004794</v>
      </c>
      <c r="G425" s="48">
        <f ca="1">VLOOKUP($F425,OFFSET(enemy_skill_triggers!$A$1,0,0,COUNTA(enemy_skill_triggers!$A:$A),MATCH(G$1,enemy_skill_triggers!$1:$1,0)-MATCH($F$1,enemy_skill_triggers!$1:$1,0)+1),MATCH(G$1,enemy_skill_triggers!$1:$1,0)-MATCH($F$1,enemy_skill_triggers!$1:$1,0)+1,FALSE)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5" s="48">
        <f ca="1">VLOOKUP($F425,OFFSET(enemy_skill_triggers!$A$1,0,0,COUNTA(enemy_skill_triggers!$A:$A),MATCH(H$1,enemy_skill_triggers!$1:$1,0)-MATCH($F$1,enemy_skill_triggers!$1:$1,0)+1),MATCH(H$1,enemy_skill_triggers!$1:$1,0)-MATCH($F$1,enemy_skill_triggers!$1:$1,0)+1,FALSE)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25" s="48">
        <f ca="1">VLOOKUP($F425,OFFSET(enemy_skill_triggers!$A$1,0,0,COUNTA(enemy_skill_triggers!$A:$A),MATCH(I$1,enemy_skill_triggers!$1:$1,0)-MATCH($F$1,enemy_skill_triggers!$1:$1,0)+1),MATCH(I$1,enemy_skill_triggers!$1:$1,0)-MATCH($F$1,enemy_skill_triggers!$1:$1,0)+1,FALSE)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5" s="48">
        <f ca="1">VLOOKUP($F425,OFFSET(enemy_skill_triggers!$A$1,0,0,COUNTA(enemy_skill_triggers!$A:$A),MATCH(J$1,enemy_skill_triggers!$1:$1,0)-MATCH($F$1,enemy_skill_triggers!$1:$1,0)+1),MATCH(J$1,enemy_skill_triggers!$1:$1,0)-MATCH($F$1,enemy_skill_triggers!$1:$1,0)+1,FALSE)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25" s="48" t="str">
        <f ca="1">VLOOKUP($F425,OFFSET(enemy_skill_triggers!$A$1,0,0,COUNTA(enemy_skill_triggers!$A:$A),MATCH(K$1,enemy_skill_triggers!$1:$1,0)-MATCH($F$1,enemy_skill_triggers!$1:$1,0)+1),MATCH(K$1,enemy_skill_triggers!$1:$1,0)-MATCH($F$1,enemy_skill_triggers!$1:$1,0)+1,FALSE)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5" s="48">
        <f ca="1">VLOOKUP($F425,OFFSET(enemy_skill_triggers!$A$1,0,0,COUNTA(enemy_skill_triggers!$A:$A),MATCH(L$1,enemy_skill_triggers!$1:$1,0)-MATCH($F$1,enemy_skill_triggers!$1:$1,0)+1),MATCH(L$1,enemy_skill_triggers!$1:$1,0)-MATCH($F$1,enemy_skill_triggers!$1:$1,0)+1,FALSE)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5" s="48">
        <f ca="1">VLOOKUP($F425,OFFSET(enemy_skill_triggers!$A$1,0,0,COUNTA(enemy_skill_triggers!$A:$A),MATCH(M$1,enemy_skill_triggers!$1:$1,0)-MATCH($F$1,enemy_skill_triggers!$1:$1,0)+1),MATCH(M$1,enemy_skill_triggers!$1:$1,0)-MATCH($F$1,enemy_skill_triggers!$1:$1,0)+1,FALSE)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5" s="48" t="str">
        <f ca="1">VLOOKUP($F425,OFFSET(enemy_skill_triggers!$A$1,0,0,COUNTA(enemy_skill_triggers!$A:$A),MATCH(N$1,enemy_skill_triggers!$1:$1,0)-MATCH($F$1,enemy_skill_triggers!$1:$1,0)+1),MATCH(N$1,enemy_skill_triggers!$1:$1,0)-MATCH($F$1,enemy_skill_triggers!$1:$1,0)+1,FALSE)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5" s="48">
        <f ca="1">VLOOKUP($F425,OFFSET(enemy_skill_triggers!$A$1,0,0,COUNTA(enemy_skill_triggers!$A:$A),MATCH(O$1,enemy_skill_triggers!$1:$1,0)-MATCH($F$1,enemy_skill_triggers!$1:$1,0)+1),MATCH(O$1,enemy_skill_triggers!$1:$1,0)-MATCH($F$1,enemy_skill_triggers!$1:$1,0)+1,FALSE)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5" s="47"/>
      <c r="Q425" s="47"/>
      <c r="R425" s="47"/>
    </row>
    <row r="426" spans="1:18" ht="21" customHeight="1" x14ac:dyDescent="0.15">
      <c r="A426" s="39" t="str">
        <f t="shared" ref="A426:A427" si="33">B426&amp;"_"&amp;C426</f>
        <v>47004800_47004801</v>
      </c>
      <c r="B426" s="109">
        <v>47004800</v>
      </c>
      <c r="C426" s="110">
        <v>47004801</v>
      </c>
      <c r="D426" s="46" t="str">
        <f ca="1">VLOOKUP($C426,OFFSET(enemy_skills!$A$1,0,0,COUNTA(enemy_skills!$A:$A),MATCH(D$1,enemy_skills!$1:$1,0)-MATCH("enemy_skill_id",enemy_skills!$1:$1,0)+1),MATCH(D$1,enemy_skills!$1:$1,0)-MATCH("enemy_skill_id",enemy_skills!$1:$1,0)+1,FALSE)</f>
        <v>……！！</v>
      </c>
      <c r="E426" s="46" t="str">
        <f ca="1">VLOOKUP($C426,OFFSET(enemy_skills!$A$1,0,0,COUNTA(enemy_skills!$A:$A),MATCH(E$1,enemy_skills!$1:$1,0)-MATCH("enemy_skill_id",enemy_skills!$1:$1,0)+1),MATCH(E$1,enemy_skills!$1:$1,0)-MATCH("enemy_skill_id",enemy_skills!$1:$1,0)+1,FALSE)</f>
        <v>マシン・シュプールは逃げようとしている！</v>
      </c>
      <c r="F426" s="110">
        <v>47004801</v>
      </c>
      <c r="G426" s="48">
        <f ca="1">VLOOKUP($F426,OFFSET(enemy_skill_triggers!$A$1,0,0,COUNTA(enemy_skill_triggers!$A:$A),MATCH(G$1,enemy_skill_triggers!$1:$1,0)-MATCH($F$1,enemy_skill_triggers!$1:$1,0)+1),MATCH(G$1,enemy_skill_triggers!$1:$1,0)-MATCH($F$1,enemy_skill_triggers!$1:$1,0)+1,FALSE)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6" s="48">
        <f ca="1">VLOOKUP($F426,OFFSET(enemy_skill_triggers!$A$1,0,0,COUNTA(enemy_skill_triggers!$A:$A),MATCH(H$1,enemy_skill_triggers!$1:$1,0)-MATCH($F$1,enemy_skill_triggers!$1:$1,0)+1),MATCH(H$1,enemy_skill_triggers!$1:$1,0)-MATCH($F$1,enemy_skill_triggers!$1:$1,0)+1,FALSE)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6" s="48">
        <f ca="1">VLOOKUP($F426,OFFSET(enemy_skill_triggers!$A$1,0,0,COUNTA(enemy_skill_triggers!$A:$A),MATCH(I$1,enemy_skill_triggers!$1:$1,0)-MATCH($F$1,enemy_skill_triggers!$1:$1,0)+1),MATCH(I$1,enemy_skill_triggers!$1:$1,0)-MATCH($F$1,enemy_skill_triggers!$1:$1,0)+1,FALSE)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6" s="48" t="str">
        <f ca="1">VLOOKUP($F426,OFFSET(enemy_skill_triggers!$A$1,0,0,COUNTA(enemy_skill_triggers!$A:$A),MATCH(J$1,enemy_skill_triggers!$1:$1,0)-MATCH($F$1,enemy_skill_triggers!$1:$1,0)+1),MATCH(J$1,enemy_skill_triggers!$1:$1,0)-MATCH($F$1,enemy_skill_triggers!$1:$1,0)+1,FALSE)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6" s="48" t="str">
        <f ca="1">VLOOKUP($F426,OFFSET(enemy_skill_triggers!$A$1,0,0,COUNTA(enemy_skill_triggers!$A:$A),MATCH(K$1,enemy_skill_triggers!$1:$1,0)-MATCH($F$1,enemy_skill_triggers!$1:$1,0)+1),MATCH(K$1,enemy_skill_triggers!$1:$1,0)-MATCH($F$1,enemy_skill_triggers!$1:$1,0)+1,FALSE)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6" s="48">
        <f ca="1">VLOOKUP($F426,OFFSET(enemy_skill_triggers!$A$1,0,0,COUNTA(enemy_skill_triggers!$A:$A),MATCH(L$1,enemy_skill_triggers!$1:$1,0)-MATCH($F$1,enemy_skill_triggers!$1:$1,0)+1),MATCH(L$1,enemy_skill_triggers!$1:$1,0)-MATCH($F$1,enemy_skill_triggers!$1:$1,0)+1,FALSE)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6" s="48" t="str">
        <f ca="1">VLOOKUP($F426,OFFSET(enemy_skill_triggers!$A$1,0,0,COUNTA(enemy_skill_triggers!$A:$A),MATCH(M$1,enemy_skill_triggers!$1:$1,0)-MATCH($F$1,enemy_skill_triggers!$1:$1,0)+1),MATCH(M$1,enemy_skill_triggers!$1:$1,0)-MATCH($F$1,enemy_skill_triggers!$1:$1,0)+1,FALSE)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6" s="48" t="str">
        <f ca="1">VLOOKUP($F426,OFFSET(enemy_skill_triggers!$A$1,0,0,COUNTA(enemy_skill_triggers!$A:$A),MATCH(N$1,enemy_skill_triggers!$1:$1,0)-MATCH($F$1,enemy_skill_triggers!$1:$1,0)+1),MATCH(N$1,enemy_skill_triggers!$1:$1,0)-MATCH($F$1,enemy_skill_triggers!$1:$1,0)+1,FALSE)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6" s="48">
        <f ca="1">VLOOKUP($F426,OFFSET(enemy_skill_triggers!$A$1,0,0,COUNTA(enemy_skill_triggers!$A:$A),MATCH(O$1,enemy_skill_triggers!$1:$1,0)-MATCH($F$1,enemy_skill_triggers!$1:$1,0)+1),MATCH(O$1,enemy_skill_triggers!$1:$1,0)-MATCH($F$1,enemy_skill_triggers!$1:$1,0)+1,FALSE)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6" s="47"/>
      <c r="Q426" s="47"/>
      <c r="R426" s="47"/>
    </row>
    <row r="427" spans="1:18" ht="21" customHeight="1" x14ac:dyDescent="0.15">
      <c r="A427" s="39" t="str">
        <f t="shared" si="33"/>
        <v>47004800_47004802</v>
      </c>
      <c r="B427" s="109">
        <v>47004800</v>
      </c>
      <c r="C427" s="110">
        <v>47004802</v>
      </c>
      <c r="D427" s="46" t="str">
        <f ca="1">VLOOKUP($C427,OFFSET(enemy_skills!$A$1,0,0,COUNTA(enemy_skills!$A:$A),MATCH(D$1,enemy_skills!$1:$1,0)-MATCH("enemy_skill_id",enemy_skills!$1:$1,0)+1),MATCH(D$1,enemy_skills!$1:$1,0)-MATCH("enemy_skill_id",enemy_skills!$1:$1,0)+1,FALSE)</f>
        <v>？？？「待って下さい！」</v>
      </c>
      <c r="E427" s="46" t="str">
        <f ca="1">VLOOKUP($C427,OFFSET(enemy_skills!$A$1,0,0,COUNTA(enemy_skills!$A:$A),MATCH(E$1,enemy_skills!$1:$1,0)-MATCH("enemy_skill_id",enemy_skills!$1:$1,0)+1),MATCH(E$1,enemy_skills!$1:$1,0)-MATCH("enemy_skill_id",enemy_skills!$1:$1,0)+1,FALSE)</f>
        <v>？？？「いつまでも閉じこもって困ったものです…あら？」</v>
      </c>
      <c r="F427" s="110">
        <v>47004802</v>
      </c>
      <c r="G427" s="48">
        <f ca="1">VLOOKUP($F427,OFFSET(enemy_skill_triggers!$A$1,0,0,COUNTA(enemy_skill_triggers!$A:$A),MATCH(G$1,enemy_skill_triggers!$1:$1,0)-MATCH($F$1,enemy_skill_triggers!$1:$1,0)+1),MATCH(G$1,enemy_skill_triggers!$1:$1,0)-MATCH($F$1,enemy_skill_triggers!$1:$1,0)+1,FALSE)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7" s="48">
        <f ca="1">VLOOKUP($F427,OFFSET(enemy_skill_triggers!$A$1,0,0,COUNTA(enemy_skill_triggers!$A:$A),MATCH(H$1,enemy_skill_triggers!$1:$1,0)-MATCH($F$1,enemy_skill_triggers!$1:$1,0)+1),MATCH(H$1,enemy_skill_triggers!$1:$1,0)-MATCH($F$1,enemy_skill_triggers!$1:$1,0)+1,FALSE)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27" s="48">
        <f ca="1">VLOOKUP($F427,OFFSET(enemy_skill_triggers!$A$1,0,0,COUNTA(enemy_skill_triggers!$A:$A),MATCH(I$1,enemy_skill_triggers!$1:$1,0)-MATCH($F$1,enemy_skill_triggers!$1:$1,0)+1),MATCH(I$1,enemy_skill_triggers!$1:$1,0)-MATCH($F$1,enemy_skill_triggers!$1:$1,0)+1,FALSE)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7" s="48" t="str">
        <f ca="1">VLOOKUP($F427,OFFSET(enemy_skill_triggers!$A$1,0,0,COUNTA(enemy_skill_triggers!$A:$A),MATCH(J$1,enemy_skill_triggers!$1:$1,0)-MATCH($F$1,enemy_skill_triggers!$1:$1,0)+1),MATCH(J$1,enemy_skill_triggers!$1:$1,0)-MATCH($F$1,enemy_skill_triggers!$1:$1,0)+1,FALSE)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7" s="48" t="str">
        <f ca="1">VLOOKUP($F427,OFFSET(enemy_skill_triggers!$A$1,0,0,COUNTA(enemy_skill_triggers!$A:$A),MATCH(K$1,enemy_skill_triggers!$1:$1,0)-MATCH($F$1,enemy_skill_triggers!$1:$1,0)+1),MATCH(K$1,enemy_skill_triggers!$1:$1,0)-MATCH($F$1,enemy_skill_triggers!$1:$1,0)+1,FALSE)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7" s="48">
        <f ca="1">VLOOKUP($F427,OFFSET(enemy_skill_triggers!$A$1,0,0,COUNTA(enemy_skill_triggers!$A:$A),MATCH(L$1,enemy_skill_triggers!$1:$1,0)-MATCH($F$1,enemy_skill_triggers!$1:$1,0)+1),MATCH(L$1,enemy_skill_triggers!$1:$1,0)-MATCH($F$1,enemy_skill_triggers!$1:$1,0)+1,FALSE)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7" s="48">
        <f ca="1">VLOOKUP($F427,OFFSET(enemy_skill_triggers!$A$1,0,0,COUNTA(enemy_skill_triggers!$A:$A),MATCH(M$1,enemy_skill_triggers!$1:$1,0)-MATCH($F$1,enemy_skill_triggers!$1:$1,0)+1),MATCH(M$1,enemy_skill_triggers!$1:$1,0)-MATCH($F$1,enemy_skill_triggers!$1:$1,0)+1,FALSE)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7" s="48" t="str">
        <f ca="1">VLOOKUP($F427,OFFSET(enemy_skill_triggers!$A$1,0,0,COUNTA(enemy_skill_triggers!$A:$A),MATCH(N$1,enemy_skill_triggers!$1:$1,0)-MATCH($F$1,enemy_skill_triggers!$1:$1,0)+1),MATCH(N$1,enemy_skill_triggers!$1:$1,0)-MATCH($F$1,enemy_skill_triggers!$1:$1,0)+1,FALSE)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7" s="48">
        <f ca="1">VLOOKUP($F427,OFFSET(enemy_skill_triggers!$A$1,0,0,COUNTA(enemy_skill_triggers!$A:$A),MATCH(O$1,enemy_skill_triggers!$1:$1,0)-MATCH($F$1,enemy_skill_triggers!$1:$1,0)+1),MATCH(O$1,enemy_skill_triggers!$1:$1,0)-MATCH($F$1,enemy_skill_triggers!$1:$1,0)+1,FALSE)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7" s="47"/>
      <c r="Q427" s="47"/>
      <c r="R427" s="47"/>
    </row>
    <row r="428" spans="1:18" ht="21" customHeight="1" x14ac:dyDescent="0.15">
      <c r="A428" s="39" t="str">
        <f t="shared" ref="A428:A458" si="34">B428&amp;"_"&amp;C428</f>
        <v>47004810_47004811</v>
      </c>
      <c r="B428" s="109">
        <v>47004810</v>
      </c>
      <c r="C428" s="110">
        <v>47004811</v>
      </c>
      <c r="D428" s="46" t="str">
        <f ca="1">VLOOKUP($C428,OFFSET(enemy_skills!$A$1,0,0,COUNTA(enemy_skills!$A:$A),MATCH(D$1,enemy_skills!$1:$1,0)-MATCH("enemy_skill_id",enemy_skills!$1:$1,0)+1),MATCH(D$1,enemy_skills!$1:$1,0)-MATCH("enemy_skill_id",enemy_skills!$1:$1,0)+1,FALSE)</f>
        <v>みなさんお揃いですか！</v>
      </c>
      <c r="E428" s="46" t="str">
        <f ca="1">VLOOKUP($C428,OFFSET(enemy_skills!$A$1,0,0,COUNTA(enemy_skills!$A:$A),MATCH(E$1,enemy_skills!$1:$1,0)-MATCH("enemy_skill_id",enemy_skills!$1:$1,0)+1),MATCH(E$1,enemy_skills!$1:$1,0)-MATCH("enemy_skill_id",enemy_skills!$1:$1,0)+1,FALSE)</f>
        <v>…えぇ、この寒さは彼の影響でもあるんです</v>
      </c>
      <c r="F428" s="110">
        <v>47004811</v>
      </c>
      <c r="G428" s="48">
        <f ca="1">VLOOKUP($F428,OFFSET(enemy_skill_triggers!$A$1,0,0,COUNTA(enemy_skill_triggers!$A:$A),MATCH(G$1,enemy_skill_triggers!$1:$1,0)-MATCH($F$1,enemy_skill_triggers!$1:$1,0)+1),MATCH(G$1,enemy_skill_triggers!$1:$1,0)-MATCH($F$1,enemy_skill_triggers!$1:$1,0)+1,FALSE)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8" s="48">
        <f ca="1">VLOOKUP($F428,OFFSET(enemy_skill_triggers!$A$1,0,0,COUNTA(enemy_skill_triggers!$A:$A),MATCH(H$1,enemy_skill_triggers!$1:$1,0)-MATCH($F$1,enemy_skill_triggers!$1:$1,0)+1),MATCH(H$1,enemy_skill_triggers!$1:$1,0)-MATCH($F$1,enemy_skill_triggers!$1:$1,0)+1,FALSE)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8" s="48">
        <f ca="1">VLOOKUP($F428,OFFSET(enemy_skill_triggers!$A$1,0,0,COUNTA(enemy_skill_triggers!$A:$A),MATCH(I$1,enemy_skill_triggers!$1:$1,0)-MATCH($F$1,enemy_skill_triggers!$1:$1,0)+1),MATCH(I$1,enemy_skill_triggers!$1:$1,0)-MATCH($F$1,enemy_skill_triggers!$1:$1,0)+1,FALSE)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8" s="48" t="str">
        <f ca="1">VLOOKUP($F428,OFFSET(enemy_skill_triggers!$A$1,0,0,COUNTA(enemy_skill_triggers!$A:$A),MATCH(J$1,enemy_skill_triggers!$1:$1,0)-MATCH($F$1,enemy_skill_triggers!$1:$1,0)+1),MATCH(J$1,enemy_skill_triggers!$1:$1,0)-MATCH($F$1,enemy_skill_triggers!$1:$1,0)+1,FALSE)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8" s="48" t="str">
        <f ca="1">VLOOKUP($F428,OFFSET(enemy_skill_triggers!$A$1,0,0,COUNTA(enemy_skill_triggers!$A:$A),MATCH(K$1,enemy_skill_triggers!$1:$1,0)-MATCH($F$1,enemy_skill_triggers!$1:$1,0)+1),MATCH(K$1,enemy_skill_triggers!$1:$1,0)-MATCH($F$1,enemy_skill_triggers!$1:$1,0)+1,FALSE)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8" s="48">
        <f ca="1">VLOOKUP($F428,OFFSET(enemy_skill_triggers!$A$1,0,0,COUNTA(enemy_skill_triggers!$A:$A),MATCH(L$1,enemy_skill_triggers!$1:$1,0)-MATCH($F$1,enemy_skill_triggers!$1:$1,0)+1),MATCH(L$1,enemy_skill_triggers!$1:$1,0)-MATCH($F$1,enemy_skill_triggers!$1:$1,0)+1,FALSE)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8" s="48" t="str">
        <f ca="1">VLOOKUP($F428,OFFSET(enemy_skill_triggers!$A$1,0,0,COUNTA(enemy_skill_triggers!$A:$A),MATCH(M$1,enemy_skill_triggers!$1:$1,0)-MATCH($F$1,enemy_skill_triggers!$1:$1,0)+1),MATCH(M$1,enemy_skill_triggers!$1:$1,0)-MATCH($F$1,enemy_skill_triggers!$1:$1,0)+1,FALSE)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8" s="48" t="str">
        <f ca="1">VLOOKUP($F428,OFFSET(enemy_skill_triggers!$A$1,0,0,COUNTA(enemy_skill_triggers!$A:$A),MATCH(N$1,enemy_skill_triggers!$1:$1,0)-MATCH($F$1,enemy_skill_triggers!$1:$1,0)+1),MATCH(N$1,enemy_skill_triggers!$1:$1,0)-MATCH($F$1,enemy_skill_triggers!$1:$1,0)+1,FALSE)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8" s="48">
        <f ca="1">VLOOKUP($F428,OFFSET(enemy_skill_triggers!$A$1,0,0,COUNTA(enemy_skill_triggers!$A:$A),MATCH(O$1,enemy_skill_triggers!$1:$1,0)-MATCH($F$1,enemy_skill_triggers!$1:$1,0)+1),MATCH(O$1,enemy_skill_triggers!$1:$1,0)-MATCH($F$1,enemy_skill_triggers!$1:$1,0)+1,FALSE)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8" s="47"/>
      <c r="Q428" s="47"/>
      <c r="R428" s="47"/>
    </row>
    <row r="429" spans="1:18" ht="21" customHeight="1" x14ac:dyDescent="0.15">
      <c r="A429" s="39" t="str">
        <f t="shared" si="34"/>
        <v>47004810_47004812</v>
      </c>
      <c r="B429" s="109">
        <v>47004810</v>
      </c>
      <c r="C429" s="110">
        <v>47004812</v>
      </c>
      <c r="D429" s="46" t="str">
        <f ca="1">VLOOKUP($C429,OFFSET(enemy_skills!$A$1,0,0,COUNTA(enemy_skills!$A:$A),MATCH(D$1,enemy_skills!$1:$1,0)-MATCH("enemy_skill_id",enemy_skills!$1:$1,0)+1),MATCH(D$1,enemy_skills!$1:$1,0)-MATCH("enemy_skill_id",enemy_skills!$1:$1,0)+1,FALSE)</f>
        <v>それでは、楽しいクリスマスを心から祈っています！</v>
      </c>
      <c r="E429" s="46" t="str">
        <f ca="1">VLOOKUP($C429,OFFSET(enemy_skills!$A$1,0,0,COUNTA(enemy_skills!$A:$A),MATCH(E$1,enemy_skills!$1:$1,0)-MATCH("enemy_skill_id",enemy_skills!$1:$1,0)+1),MATCH(E$1,enemy_skills!$1:$1,0)-MATCH("enemy_skill_id",enemy_skills!$1:$1,0)+1,FALSE)</f>
        <v>ミカエルはまばゆい光とともに飛び去った_x000D_【黄パネルドロップ率DOWN】</v>
      </c>
      <c r="F429" s="110">
        <v>47004812</v>
      </c>
      <c r="G429" s="48">
        <f ca="1">VLOOKUP($F429,OFFSET(enemy_skill_triggers!$A$1,0,0,COUNTA(enemy_skill_triggers!$A:$A),MATCH(G$1,enemy_skill_triggers!$1:$1,0)-MATCH($F$1,enemy_skill_triggers!$1:$1,0)+1),MATCH(G$1,enemy_skill_triggers!$1:$1,0)-MATCH($F$1,enemy_skill_triggers!$1:$1,0)+1,FALSE)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9" s="48">
        <f ca="1">VLOOKUP($F429,OFFSET(enemy_skill_triggers!$A$1,0,0,COUNTA(enemy_skill_triggers!$A:$A),MATCH(H$1,enemy_skill_triggers!$1:$1,0)-MATCH($F$1,enemy_skill_triggers!$1:$1,0)+1),MATCH(H$1,enemy_skill_triggers!$1:$1,0)-MATCH($F$1,enemy_skill_triggers!$1:$1,0)+1,FALSE)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29" s="48">
        <f ca="1">VLOOKUP($F429,OFFSET(enemy_skill_triggers!$A$1,0,0,COUNTA(enemy_skill_triggers!$A:$A),MATCH(I$1,enemy_skill_triggers!$1:$1,0)-MATCH($F$1,enemy_skill_triggers!$1:$1,0)+1),MATCH(I$1,enemy_skill_triggers!$1:$1,0)-MATCH($F$1,enemy_skill_triggers!$1:$1,0)+1,FALSE)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9" s="48" t="str">
        <f ca="1">VLOOKUP($F429,OFFSET(enemy_skill_triggers!$A$1,0,0,COUNTA(enemy_skill_triggers!$A:$A),MATCH(J$1,enemy_skill_triggers!$1:$1,0)-MATCH($F$1,enemy_skill_triggers!$1:$1,0)+1),MATCH(J$1,enemy_skill_triggers!$1:$1,0)-MATCH($F$1,enemy_skill_triggers!$1:$1,0)+1,FALSE)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9" s="48" t="str">
        <f ca="1">VLOOKUP($F429,OFFSET(enemy_skill_triggers!$A$1,0,0,COUNTA(enemy_skill_triggers!$A:$A),MATCH(K$1,enemy_skill_triggers!$1:$1,0)-MATCH($F$1,enemy_skill_triggers!$1:$1,0)+1),MATCH(K$1,enemy_skill_triggers!$1:$1,0)-MATCH($F$1,enemy_skill_triggers!$1:$1,0)+1,FALSE)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9" s="48">
        <f ca="1">VLOOKUP($F429,OFFSET(enemy_skill_triggers!$A$1,0,0,COUNTA(enemy_skill_triggers!$A:$A),MATCH(L$1,enemy_skill_triggers!$1:$1,0)-MATCH($F$1,enemy_skill_triggers!$1:$1,0)+1),MATCH(L$1,enemy_skill_triggers!$1:$1,0)-MATCH($F$1,enemy_skill_triggers!$1:$1,0)+1,FALSE)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9" s="48">
        <f ca="1">VLOOKUP($F429,OFFSET(enemy_skill_triggers!$A$1,0,0,COUNTA(enemy_skill_triggers!$A:$A),MATCH(M$1,enemy_skill_triggers!$1:$1,0)-MATCH($F$1,enemy_skill_triggers!$1:$1,0)+1),MATCH(M$1,enemy_skill_triggers!$1:$1,0)-MATCH($F$1,enemy_skill_triggers!$1:$1,0)+1,FALSE)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9" s="48" t="str">
        <f ca="1">VLOOKUP($F429,OFFSET(enemy_skill_triggers!$A$1,0,0,COUNTA(enemy_skill_triggers!$A:$A),MATCH(N$1,enemy_skill_triggers!$1:$1,0)-MATCH($F$1,enemy_skill_triggers!$1:$1,0)+1),MATCH(N$1,enemy_skill_triggers!$1:$1,0)-MATCH($F$1,enemy_skill_triggers!$1:$1,0)+1,FALSE)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9" s="48">
        <f ca="1">VLOOKUP($F429,OFFSET(enemy_skill_triggers!$A$1,0,0,COUNTA(enemy_skill_triggers!$A:$A),MATCH(O$1,enemy_skill_triggers!$1:$1,0)-MATCH($F$1,enemy_skill_triggers!$1:$1,0)+1),MATCH(O$1,enemy_skill_triggers!$1:$1,0)-MATCH($F$1,enemy_skill_triggers!$1:$1,0)+1,FALSE)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9" s="47"/>
      <c r="Q429" s="47"/>
      <c r="R429" s="47"/>
    </row>
    <row r="430" spans="1:18" ht="21" customHeight="1" x14ac:dyDescent="0.15">
      <c r="A430" s="39" t="str">
        <f t="shared" ref="A430:A440" si="35">B430&amp;"_"&amp;C430</f>
        <v>47004810_47004813</v>
      </c>
      <c r="B430" s="109">
        <v>47004810</v>
      </c>
      <c r="C430" s="110">
        <v>47004813</v>
      </c>
      <c r="D430" s="46" t="str">
        <f ca="1">VLOOKUP($C430,OFFSET(enemy_skills!$A$1,0,0,COUNTA(enemy_skills!$A:$A),MATCH(D$1,enemy_skills!$1:$1,0)-MATCH("enemy_skill_id",enemy_skills!$1:$1,0)+1),MATCH(D$1,enemy_skills!$1:$1,0)-MATCH("enemy_skill_id",enemy_skills!$1:$1,0)+1,FALSE)</f>
        <v>わぁ！ラチカさん_x000D_聖夜に雪を降らせてくださいな！</v>
      </c>
      <c r="E430" s="46" t="str">
        <f ca="1">VLOOKUP($C430,OFFSET(enemy_skills!$A$1,0,0,COUNTA(enemy_skills!$A:$A),MATCH(E$1,enemy_skills!$1:$1,0)-MATCH("enemy_skill_id",enemy_skills!$1:$1,0)+1),MATCH(E$1,enemy_skills!$1:$1,0)-MATCH("enemy_skill_id",enemy_skills!$1:$1,0)+1,FALSE)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30" s="110">
        <v>47004813</v>
      </c>
      <c r="G430" s="48">
        <f ca="1">VLOOKUP($F430,OFFSET(enemy_skill_triggers!$A$1,0,0,COUNTA(enemy_skill_triggers!$A:$A),MATCH(G$1,enemy_skill_triggers!$1:$1,0)-MATCH($F$1,enemy_skill_triggers!$1:$1,0)+1),MATCH(G$1,enemy_skill_triggers!$1:$1,0)-MATCH($F$1,enemy_skill_triggers!$1:$1,0)+1,FALSE)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0" s="48">
        <f ca="1">VLOOKUP($F430,OFFSET(enemy_skill_triggers!$A$1,0,0,COUNTA(enemy_skill_triggers!$A:$A),MATCH(H$1,enemy_skill_triggers!$1:$1,0)-MATCH($F$1,enemy_skill_triggers!$1:$1,0)+1),MATCH(H$1,enemy_skill_triggers!$1:$1,0)-MATCH($F$1,enemy_skill_triggers!$1:$1,0)+1,FALSE)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430" s="48">
        <f ca="1">VLOOKUP($F430,OFFSET(enemy_skill_triggers!$A$1,0,0,COUNTA(enemy_skill_triggers!$A:$A),MATCH(I$1,enemy_skill_triggers!$1:$1,0)-MATCH($F$1,enemy_skill_triggers!$1:$1,0)+1),MATCH(I$1,enemy_skill_triggers!$1:$1,0)-MATCH($F$1,enemy_skill_triggers!$1:$1,0)+1,FALSE)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0" s="48" t="str">
        <f ca="1">VLOOKUP($F430,OFFSET(enemy_skill_triggers!$A$1,0,0,COUNTA(enemy_skill_triggers!$A:$A),MATCH(J$1,enemy_skill_triggers!$1:$1,0)-MATCH($F$1,enemy_skill_triggers!$1:$1,0)+1),MATCH(J$1,enemy_skill_triggers!$1:$1,0)-MATCH($F$1,enemy_skill_triggers!$1:$1,0)+1,FALSE)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0" s="48" t="str">
        <f ca="1">VLOOKUP($F430,OFFSET(enemy_skill_triggers!$A$1,0,0,COUNTA(enemy_skill_triggers!$A:$A),MATCH(K$1,enemy_skill_triggers!$1:$1,0)-MATCH($F$1,enemy_skill_triggers!$1:$1,0)+1),MATCH(K$1,enemy_skill_triggers!$1:$1,0)-MATCH($F$1,enemy_skill_triggers!$1:$1,0)+1,FALSE)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0" s="48">
        <f ca="1">VLOOKUP($F430,OFFSET(enemy_skill_triggers!$A$1,0,0,COUNTA(enemy_skill_triggers!$A:$A),MATCH(L$1,enemy_skill_triggers!$1:$1,0)-MATCH($F$1,enemy_skill_triggers!$1:$1,0)+1),MATCH(L$1,enemy_skill_triggers!$1:$1,0)-MATCH($F$1,enemy_skill_triggers!$1:$1,0)+1,FALSE)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0" s="48">
        <f ca="1">VLOOKUP($F430,OFFSET(enemy_skill_triggers!$A$1,0,0,COUNTA(enemy_skill_triggers!$A:$A),MATCH(M$1,enemy_skill_triggers!$1:$1,0)-MATCH($F$1,enemy_skill_triggers!$1:$1,0)+1),MATCH(M$1,enemy_skill_triggers!$1:$1,0)-MATCH($F$1,enemy_skill_triggers!$1:$1,0)+1,FALSE)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0" s="48">
        <f ca="1">VLOOKUP($F430,OFFSET(enemy_skill_triggers!$A$1,0,0,COUNTA(enemy_skill_triggers!$A:$A),MATCH(N$1,enemy_skill_triggers!$1:$1,0)-MATCH($F$1,enemy_skill_triggers!$1:$1,0)+1),MATCH(N$1,enemy_skill_triggers!$1:$1,0)-MATCH($F$1,enemy_skill_triggers!$1:$1,0)+1,FALSE)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430" s="48">
        <f ca="1">VLOOKUP($F430,OFFSET(enemy_skill_triggers!$A$1,0,0,COUNTA(enemy_skill_triggers!$A:$A),MATCH(O$1,enemy_skill_triggers!$1:$1,0)-MATCH($F$1,enemy_skill_triggers!$1:$1,0)+1),MATCH(O$1,enemy_skill_triggers!$1:$1,0)-MATCH($F$1,enemy_skill_triggers!$1:$1,0)+1,FALSE)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0" s="47"/>
      <c r="Q430" s="47"/>
      <c r="R430" s="47"/>
    </row>
    <row r="431" spans="1:18" ht="21" customHeight="1" x14ac:dyDescent="0.15">
      <c r="A431" s="39" t="str">
        <f t="shared" si="35"/>
        <v>47004810_47004813</v>
      </c>
      <c r="B431" s="109">
        <v>47004810</v>
      </c>
      <c r="C431" s="110">
        <v>47004813</v>
      </c>
      <c r="D431" s="46" t="str">
        <f ca="1">VLOOKUP($C431,OFFSET(enemy_skills!$A$1,0,0,COUNTA(enemy_skills!$A:$A),MATCH(D$1,enemy_skills!$1:$1,0)-MATCH("enemy_skill_id",enemy_skills!$1:$1,0)+1),MATCH(D$1,enemy_skills!$1:$1,0)-MATCH("enemy_skill_id",enemy_skills!$1:$1,0)+1,FALSE)</f>
        <v>わぁ！ラチカさん_x000D_聖夜に雪を降らせてくださいな！</v>
      </c>
      <c r="E431" s="46" t="str">
        <f ca="1">VLOOKUP($C431,OFFSET(enemy_skills!$A$1,0,0,COUNTA(enemy_skills!$A:$A),MATCH(E$1,enemy_skills!$1:$1,0)-MATCH("enemy_skill_id",enemy_skills!$1:$1,0)+1),MATCH(E$1,enemy_skills!$1:$1,0)-MATCH("enemy_skill_id",enemy_skills!$1:$1,0)+1,FALSE)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31" s="110">
        <v>47004814</v>
      </c>
      <c r="G431" s="48">
        <f ca="1">VLOOKUP($F431,OFFSET(enemy_skill_triggers!$A$1,0,0,COUNTA(enemy_skill_triggers!$A:$A),MATCH(G$1,enemy_skill_triggers!$1:$1,0)-MATCH($F$1,enemy_skill_triggers!$1:$1,0)+1),MATCH(G$1,enemy_skill_triggers!$1:$1,0)-MATCH($F$1,enemy_skill_triggers!$1:$1,0)+1,FALSE)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1" s="48">
        <f ca="1">VLOOKUP($F431,OFFSET(enemy_skill_triggers!$A$1,0,0,COUNTA(enemy_skill_triggers!$A:$A),MATCH(H$1,enemy_skill_triggers!$1:$1,0)-MATCH($F$1,enemy_skill_triggers!$1:$1,0)+1),MATCH(H$1,enemy_skill_triggers!$1:$1,0)-MATCH($F$1,enemy_skill_triggers!$1:$1,0)+1,FALSE)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431" s="48">
        <f ca="1">VLOOKUP($F431,OFFSET(enemy_skill_triggers!$A$1,0,0,COUNTA(enemy_skill_triggers!$A:$A),MATCH(I$1,enemy_skill_triggers!$1:$1,0)-MATCH($F$1,enemy_skill_triggers!$1:$1,0)+1),MATCH(I$1,enemy_skill_triggers!$1:$1,0)-MATCH($F$1,enemy_skill_triggers!$1:$1,0)+1,FALSE)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1" s="48" t="str">
        <f ca="1">VLOOKUP($F431,OFFSET(enemy_skill_triggers!$A$1,0,0,COUNTA(enemy_skill_triggers!$A:$A),MATCH(J$1,enemy_skill_triggers!$1:$1,0)-MATCH($F$1,enemy_skill_triggers!$1:$1,0)+1),MATCH(J$1,enemy_skill_triggers!$1:$1,0)-MATCH($F$1,enemy_skill_triggers!$1:$1,0)+1,FALSE)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1" s="48" t="str">
        <f ca="1">VLOOKUP($F431,OFFSET(enemy_skill_triggers!$A$1,0,0,COUNTA(enemy_skill_triggers!$A:$A),MATCH(K$1,enemy_skill_triggers!$1:$1,0)-MATCH($F$1,enemy_skill_triggers!$1:$1,0)+1),MATCH(K$1,enemy_skill_triggers!$1:$1,0)-MATCH($F$1,enemy_skill_triggers!$1:$1,0)+1,FALSE)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1" s="48">
        <f ca="1">VLOOKUP($F431,OFFSET(enemy_skill_triggers!$A$1,0,0,COUNTA(enemy_skill_triggers!$A:$A),MATCH(L$1,enemy_skill_triggers!$1:$1,0)-MATCH($F$1,enemy_skill_triggers!$1:$1,0)+1),MATCH(L$1,enemy_skill_triggers!$1:$1,0)-MATCH($F$1,enemy_skill_triggers!$1:$1,0)+1,FALSE)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1" s="48">
        <f ca="1">VLOOKUP($F431,OFFSET(enemy_skill_triggers!$A$1,0,0,COUNTA(enemy_skill_triggers!$A:$A),MATCH(M$1,enemy_skill_triggers!$1:$1,0)-MATCH($F$1,enemy_skill_triggers!$1:$1,0)+1),MATCH(M$1,enemy_skill_triggers!$1:$1,0)-MATCH($F$1,enemy_skill_triggers!$1:$1,0)+1,FALSE)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1" s="48">
        <f ca="1">VLOOKUP($F431,OFFSET(enemy_skill_triggers!$A$1,0,0,COUNTA(enemy_skill_triggers!$A:$A),MATCH(N$1,enemy_skill_triggers!$1:$1,0)-MATCH($F$1,enemy_skill_triggers!$1:$1,0)+1),MATCH(N$1,enemy_skill_triggers!$1:$1,0)-MATCH($F$1,enemy_skill_triggers!$1:$1,0)+1,FALSE)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431" s="48">
        <f ca="1">VLOOKUP($F431,OFFSET(enemy_skill_triggers!$A$1,0,0,COUNTA(enemy_skill_triggers!$A:$A),MATCH(O$1,enemy_skill_triggers!$1:$1,0)-MATCH($F$1,enemy_skill_triggers!$1:$1,0)+1),MATCH(O$1,enemy_skill_triggers!$1:$1,0)-MATCH($F$1,enemy_skill_triggers!$1:$1,0)+1,FALSE)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1" s="47"/>
      <c r="Q431" s="47"/>
      <c r="R431" s="47"/>
    </row>
    <row r="432" spans="1:18" ht="21" customHeight="1" x14ac:dyDescent="0.15">
      <c r="A432" s="39" t="str">
        <f t="shared" si="35"/>
        <v>47004810_47004814</v>
      </c>
      <c r="B432" s="109">
        <v>47004810</v>
      </c>
      <c r="C432" s="110">
        <v>47004814</v>
      </c>
      <c r="D432" s="46" t="str">
        <f ca="1">VLOOKUP($C432,OFFSET(enemy_skills!$A$1,0,0,COUNTA(enemy_skills!$A:$A),MATCH(D$1,enemy_skills!$1:$1,0)-MATCH("enemy_skill_id",enemy_skills!$1:$1,0)+1),MATCH(D$1,enemy_skills!$1:$1,0)-MATCH("enemy_skill_id",enemy_skills!$1:$1,0)+1,FALSE)</f>
        <v>マリアさん！_x000D_聖夜の奇跡見せてください！</v>
      </c>
      <c r="E432" s="46" t="str">
        <f ca="1">VLOOKUP($C432,OFFSET(enemy_skills!$A$1,0,0,COUNTA(enemy_skills!$A:$A),MATCH(E$1,enemy_skills!$1:$1,0)-MATCH("enemy_skill_id",enemy_skills!$1:$1,0)+1),MATCH(E$1,enemy_skills!$1:$1,0)-MATCH("enemy_skill_id",enemy_skills!$1:$1,0)+1,FALSE)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32" s="110">
        <v>47004815</v>
      </c>
      <c r="G432" s="48">
        <f ca="1">VLOOKUP($F432,OFFSET(enemy_skill_triggers!$A$1,0,0,COUNTA(enemy_skill_triggers!$A:$A),MATCH(G$1,enemy_skill_triggers!$1:$1,0)-MATCH($F$1,enemy_skill_triggers!$1:$1,0)+1),MATCH(G$1,enemy_skill_triggers!$1:$1,0)-MATCH($F$1,enemy_skill_triggers!$1:$1,0)+1,FALSE)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2" s="48">
        <f ca="1">VLOOKUP($F432,OFFSET(enemy_skill_triggers!$A$1,0,0,COUNTA(enemy_skill_triggers!$A:$A),MATCH(H$1,enemy_skill_triggers!$1:$1,0)-MATCH($F$1,enemy_skill_triggers!$1:$1,0)+1),MATCH(H$1,enemy_skill_triggers!$1:$1,0)-MATCH($F$1,enemy_skill_triggers!$1:$1,0)+1,FALSE)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432" s="48">
        <f ca="1">VLOOKUP($F432,OFFSET(enemy_skill_triggers!$A$1,0,0,COUNTA(enemy_skill_triggers!$A:$A),MATCH(I$1,enemy_skill_triggers!$1:$1,0)-MATCH($F$1,enemy_skill_triggers!$1:$1,0)+1),MATCH(I$1,enemy_skill_triggers!$1:$1,0)-MATCH($F$1,enemy_skill_triggers!$1:$1,0)+1,FALSE)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2" s="48" t="str">
        <f ca="1">VLOOKUP($F432,OFFSET(enemy_skill_triggers!$A$1,0,0,COUNTA(enemy_skill_triggers!$A:$A),MATCH(J$1,enemy_skill_triggers!$1:$1,0)-MATCH($F$1,enemy_skill_triggers!$1:$1,0)+1),MATCH(J$1,enemy_skill_triggers!$1:$1,0)-MATCH($F$1,enemy_skill_triggers!$1:$1,0)+1,FALSE)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2" s="48" t="str">
        <f ca="1">VLOOKUP($F432,OFFSET(enemy_skill_triggers!$A$1,0,0,COUNTA(enemy_skill_triggers!$A:$A),MATCH(K$1,enemy_skill_triggers!$1:$1,0)-MATCH($F$1,enemy_skill_triggers!$1:$1,0)+1),MATCH(K$1,enemy_skill_triggers!$1:$1,0)-MATCH($F$1,enemy_skill_triggers!$1:$1,0)+1,FALSE)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2" s="48">
        <f ca="1">VLOOKUP($F432,OFFSET(enemy_skill_triggers!$A$1,0,0,COUNTA(enemy_skill_triggers!$A:$A),MATCH(L$1,enemy_skill_triggers!$1:$1,0)-MATCH($F$1,enemy_skill_triggers!$1:$1,0)+1),MATCH(L$1,enemy_skill_triggers!$1:$1,0)-MATCH($F$1,enemy_skill_triggers!$1:$1,0)+1,FALSE)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2" s="48">
        <f ca="1">VLOOKUP($F432,OFFSET(enemy_skill_triggers!$A$1,0,0,COUNTA(enemy_skill_triggers!$A:$A),MATCH(M$1,enemy_skill_triggers!$1:$1,0)-MATCH($F$1,enemy_skill_triggers!$1:$1,0)+1),MATCH(M$1,enemy_skill_triggers!$1:$1,0)-MATCH($F$1,enemy_skill_triggers!$1:$1,0)+1,FALSE)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2" s="48">
        <f ca="1">VLOOKUP($F432,OFFSET(enemy_skill_triggers!$A$1,0,0,COUNTA(enemy_skill_triggers!$A:$A),MATCH(N$1,enemy_skill_triggers!$1:$1,0)-MATCH($F$1,enemy_skill_triggers!$1:$1,0)+1),MATCH(N$1,enemy_skill_triggers!$1:$1,0)-MATCH($F$1,enemy_skill_triggers!$1:$1,0)+1,FALSE)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432" s="48">
        <f ca="1">VLOOKUP($F432,OFFSET(enemy_skill_triggers!$A$1,0,0,COUNTA(enemy_skill_triggers!$A:$A),MATCH(O$1,enemy_skill_triggers!$1:$1,0)-MATCH($F$1,enemy_skill_triggers!$1:$1,0)+1),MATCH(O$1,enemy_skill_triggers!$1:$1,0)-MATCH($F$1,enemy_skill_triggers!$1:$1,0)+1,FALSE)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2" s="47"/>
      <c r="Q432" s="47"/>
      <c r="R432" s="47"/>
    </row>
    <row r="433" spans="1:18" ht="21" customHeight="1" x14ac:dyDescent="0.15">
      <c r="A433" s="39" t="str">
        <f t="shared" si="35"/>
        <v>47004810_47004814</v>
      </c>
      <c r="B433" s="109">
        <v>47004810</v>
      </c>
      <c r="C433" s="110">
        <v>47004814</v>
      </c>
      <c r="D433" s="46" t="str">
        <f ca="1">VLOOKUP($C433,OFFSET(enemy_skills!$A$1,0,0,COUNTA(enemy_skills!$A:$A),MATCH(D$1,enemy_skills!$1:$1,0)-MATCH("enemy_skill_id",enemy_skills!$1:$1,0)+1),MATCH(D$1,enemy_skills!$1:$1,0)-MATCH("enemy_skill_id",enemy_skills!$1:$1,0)+1,FALSE)</f>
        <v>マリアさん！_x000D_聖夜の奇跡見せてください！</v>
      </c>
      <c r="E433" s="46" t="str">
        <f ca="1">VLOOKUP($C433,OFFSET(enemy_skills!$A$1,0,0,COUNTA(enemy_skills!$A:$A),MATCH(E$1,enemy_skills!$1:$1,0)-MATCH("enemy_skill_id",enemy_skills!$1:$1,0)+1),MATCH(E$1,enemy_skills!$1:$1,0)-MATCH("enemy_skill_id",enemy_skills!$1:$1,0)+1,FALSE)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33" s="110">
        <v>47004816</v>
      </c>
      <c r="G433" s="48">
        <f ca="1">VLOOKUP($F433,OFFSET(enemy_skill_triggers!$A$1,0,0,COUNTA(enemy_skill_triggers!$A:$A),MATCH(G$1,enemy_skill_triggers!$1:$1,0)-MATCH($F$1,enemy_skill_triggers!$1:$1,0)+1),MATCH(G$1,enemy_skill_triggers!$1:$1,0)-MATCH($F$1,enemy_skill_triggers!$1:$1,0)+1,FALSE)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3" s="48">
        <f ca="1">VLOOKUP($F433,OFFSET(enemy_skill_triggers!$A$1,0,0,COUNTA(enemy_skill_triggers!$A:$A),MATCH(H$1,enemy_skill_triggers!$1:$1,0)-MATCH($F$1,enemy_skill_triggers!$1:$1,0)+1),MATCH(H$1,enemy_skill_triggers!$1:$1,0)-MATCH($F$1,enemy_skill_triggers!$1:$1,0)+1,FALSE)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433" s="48">
        <f ca="1">VLOOKUP($F433,OFFSET(enemy_skill_triggers!$A$1,0,0,COUNTA(enemy_skill_triggers!$A:$A),MATCH(I$1,enemy_skill_triggers!$1:$1,0)-MATCH($F$1,enemy_skill_triggers!$1:$1,0)+1),MATCH(I$1,enemy_skill_triggers!$1:$1,0)-MATCH($F$1,enemy_skill_triggers!$1:$1,0)+1,FALSE)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3" s="48" t="str">
        <f ca="1">VLOOKUP($F433,OFFSET(enemy_skill_triggers!$A$1,0,0,COUNTA(enemy_skill_triggers!$A:$A),MATCH(J$1,enemy_skill_triggers!$1:$1,0)-MATCH($F$1,enemy_skill_triggers!$1:$1,0)+1),MATCH(J$1,enemy_skill_triggers!$1:$1,0)-MATCH($F$1,enemy_skill_triggers!$1:$1,0)+1,FALSE)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3" s="48" t="str">
        <f ca="1">VLOOKUP($F433,OFFSET(enemy_skill_triggers!$A$1,0,0,COUNTA(enemy_skill_triggers!$A:$A),MATCH(K$1,enemy_skill_triggers!$1:$1,0)-MATCH($F$1,enemy_skill_triggers!$1:$1,0)+1),MATCH(K$1,enemy_skill_triggers!$1:$1,0)-MATCH($F$1,enemy_skill_triggers!$1:$1,0)+1,FALSE)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3" s="48">
        <f ca="1">VLOOKUP($F433,OFFSET(enemy_skill_triggers!$A$1,0,0,COUNTA(enemy_skill_triggers!$A:$A),MATCH(L$1,enemy_skill_triggers!$1:$1,0)-MATCH($F$1,enemy_skill_triggers!$1:$1,0)+1),MATCH(L$1,enemy_skill_triggers!$1:$1,0)-MATCH($F$1,enemy_skill_triggers!$1:$1,0)+1,FALSE)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3" s="48">
        <f ca="1">VLOOKUP($F433,OFFSET(enemy_skill_triggers!$A$1,0,0,COUNTA(enemy_skill_triggers!$A:$A),MATCH(M$1,enemy_skill_triggers!$1:$1,0)-MATCH($F$1,enemy_skill_triggers!$1:$1,0)+1),MATCH(M$1,enemy_skill_triggers!$1:$1,0)-MATCH($F$1,enemy_skill_triggers!$1:$1,0)+1,FALSE)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3" s="48">
        <f ca="1">VLOOKUP($F433,OFFSET(enemy_skill_triggers!$A$1,0,0,COUNTA(enemy_skill_triggers!$A:$A),MATCH(N$1,enemy_skill_triggers!$1:$1,0)-MATCH($F$1,enemy_skill_triggers!$1:$1,0)+1),MATCH(N$1,enemy_skill_triggers!$1:$1,0)-MATCH($F$1,enemy_skill_triggers!$1:$1,0)+1,FALSE)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433" s="48">
        <f ca="1">VLOOKUP($F433,OFFSET(enemy_skill_triggers!$A$1,0,0,COUNTA(enemy_skill_triggers!$A:$A),MATCH(O$1,enemy_skill_triggers!$1:$1,0)-MATCH($F$1,enemy_skill_triggers!$1:$1,0)+1),MATCH(O$1,enemy_skill_triggers!$1:$1,0)-MATCH($F$1,enemy_skill_triggers!$1:$1,0)+1,FALSE)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3" s="47"/>
      <c r="Q433" s="47"/>
      <c r="R433" s="47"/>
    </row>
    <row r="434" spans="1:18" ht="21" customHeight="1" x14ac:dyDescent="0.15">
      <c r="A434" s="39" t="str">
        <f t="shared" si="35"/>
        <v>47004810_47004814</v>
      </c>
      <c r="B434" s="109">
        <v>47004810</v>
      </c>
      <c r="C434" s="110">
        <v>47004814</v>
      </c>
      <c r="D434" s="46" t="str">
        <f ca="1">VLOOKUP($C434,OFFSET(enemy_skills!$A$1,0,0,COUNTA(enemy_skills!$A:$A),MATCH(D$1,enemy_skills!$1:$1,0)-MATCH("enemy_skill_id",enemy_skills!$1:$1,0)+1),MATCH(D$1,enemy_skills!$1:$1,0)-MATCH("enemy_skill_id",enemy_skills!$1:$1,0)+1,FALSE)</f>
        <v>マリアさん！_x000D_聖夜の奇跡見せてください！</v>
      </c>
      <c r="E434" s="46" t="str">
        <f ca="1">VLOOKUP($C434,OFFSET(enemy_skills!$A$1,0,0,COUNTA(enemy_skills!$A:$A),MATCH(E$1,enemy_skills!$1:$1,0)-MATCH("enemy_skill_id",enemy_skills!$1:$1,0)+1),MATCH(E$1,enemy_skills!$1:$1,0)-MATCH("enemy_skill_id",enemy_skills!$1:$1,0)+1,FALSE)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34" s="110">
        <v>47004817</v>
      </c>
      <c r="G434" s="48">
        <f ca="1">VLOOKUP($F434,OFFSET(enemy_skill_triggers!$A$1,0,0,COUNTA(enemy_skill_triggers!$A:$A),MATCH(G$1,enemy_skill_triggers!$1:$1,0)-MATCH($F$1,enemy_skill_triggers!$1:$1,0)+1),MATCH(G$1,enemy_skill_triggers!$1:$1,0)-MATCH($F$1,enemy_skill_triggers!$1:$1,0)+1,FALSE)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4" s="48">
        <f ca="1">VLOOKUP($F434,OFFSET(enemy_skill_triggers!$A$1,0,0,COUNTA(enemy_skill_triggers!$A:$A),MATCH(H$1,enemy_skill_triggers!$1:$1,0)-MATCH($F$1,enemy_skill_triggers!$1:$1,0)+1),MATCH(H$1,enemy_skill_triggers!$1:$1,0)-MATCH($F$1,enemy_skill_triggers!$1:$1,0)+1,FALSE)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434" s="48">
        <f ca="1">VLOOKUP($F434,OFFSET(enemy_skill_triggers!$A$1,0,0,COUNTA(enemy_skill_triggers!$A:$A),MATCH(I$1,enemy_skill_triggers!$1:$1,0)-MATCH($F$1,enemy_skill_triggers!$1:$1,0)+1),MATCH(I$1,enemy_skill_triggers!$1:$1,0)-MATCH($F$1,enemy_skill_triggers!$1:$1,0)+1,FALSE)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4" s="48" t="str">
        <f ca="1">VLOOKUP($F434,OFFSET(enemy_skill_triggers!$A$1,0,0,COUNTA(enemy_skill_triggers!$A:$A),MATCH(J$1,enemy_skill_triggers!$1:$1,0)-MATCH($F$1,enemy_skill_triggers!$1:$1,0)+1),MATCH(J$1,enemy_skill_triggers!$1:$1,0)-MATCH($F$1,enemy_skill_triggers!$1:$1,0)+1,FALSE)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4" s="48" t="str">
        <f ca="1">VLOOKUP($F434,OFFSET(enemy_skill_triggers!$A$1,0,0,COUNTA(enemy_skill_triggers!$A:$A),MATCH(K$1,enemy_skill_triggers!$1:$1,0)-MATCH($F$1,enemy_skill_triggers!$1:$1,0)+1),MATCH(K$1,enemy_skill_triggers!$1:$1,0)-MATCH($F$1,enemy_skill_triggers!$1:$1,0)+1,FALSE)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4" s="48">
        <f ca="1">VLOOKUP($F434,OFFSET(enemy_skill_triggers!$A$1,0,0,COUNTA(enemy_skill_triggers!$A:$A),MATCH(L$1,enemy_skill_triggers!$1:$1,0)-MATCH($F$1,enemy_skill_triggers!$1:$1,0)+1),MATCH(L$1,enemy_skill_triggers!$1:$1,0)-MATCH($F$1,enemy_skill_triggers!$1:$1,0)+1,FALSE)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4" s="48">
        <f ca="1">VLOOKUP($F434,OFFSET(enemy_skill_triggers!$A$1,0,0,COUNTA(enemy_skill_triggers!$A:$A),MATCH(M$1,enemy_skill_triggers!$1:$1,0)-MATCH($F$1,enemy_skill_triggers!$1:$1,0)+1),MATCH(M$1,enemy_skill_triggers!$1:$1,0)-MATCH($F$1,enemy_skill_triggers!$1:$1,0)+1,FALSE)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4" s="48">
        <f ca="1">VLOOKUP($F434,OFFSET(enemy_skill_triggers!$A$1,0,0,COUNTA(enemy_skill_triggers!$A:$A),MATCH(N$1,enemy_skill_triggers!$1:$1,0)-MATCH($F$1,enemy_skill_triggers!$1:$1,0)+1),MATCH(N$1,enemy_skill_triggers!$1:$1,0)-MATCH($F$1,enemy_skill_triggers!$1:$1,0)+1,FALSE)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434" s="48">
        <f ca="1">VLOOKUP($F434,OFFSET(enemy_skill_triggers!$A$1,0,0,COUNTA(enemy_skill_triggers!$A:$A),MATCH(O$1,enemy_skill_triggers!$1:$1,0)-MATCH($F$1,enemy_skill_triggers!$1:$1,0)+1),MATCH(O$1,enemy_skill_triggers!$1:$1,0)-MATCH($F$1,enemy_skill_triggers!$1:$1,0)+1,FALSE)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4" s="47"/>
      <c r="Q434" s="47"/>
      <c r="R434" s="47"/>
    </row>
    <row r="435" spans="1:18" ht="21" customHeight="1" x14ac:dyDescent="0.15">
      <c r="A435" s="39" t="str">
        <f t="shared" si="35"/>
        <v>47004810_47004815</v>
      </c>
      <c r="B435" s="109">
        <v>47004810</v>
      </c>
      <c r="C435" s="110">
        <v>47004815</v>
      </c>
      <c r="D435" s="46" t="str">
        <f ca="1">VLOOKUP($C435,OFFSET(enemy_skills!$A$1,0,0,COUNTA(enemy_skills!$A:$A),MATCH(D$1,enemy_skills!$1:$1,0)-MATCH("enemy_skill_id",enemy_skills!$1:$1,0)+1),MATCH(D$1,enemy_skills!$1:$1,0)-MATCH("enemy_skill_id",enemy_skills!$1:$1,0)+1,FALSE)</f>
        <v>オセさん、皆の笑顔のために_x000D_一緒に頑張りましょ♪</v>
      </c>
      <c r="E435" s="46" t="str">
        <f ca="1">VLOOKUP($C435,OFFSET(enemy_skills!$A$1,0,0,COUNTA(enemy_skills!$A:$A),MATCH(E$1,enemy_skills!$1:$1,0)-MATCH("enemy_skill_id",enemy_skills!$1:$1,0)+1),MATCH(E$1,enemy_skills!$1:$1,0)-MATCH("enemy_skill_id",enemy_skills!$1:$1,0)+1,FALSE)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35" s="110">
        <v>47004818</v>
      </c>
      <c r="G435" s="48">
        <f ca="1">VLOOKUP($F435,OFFSET(enemy_skill_triggers!$A$1,0,0,COUNTA(enemy_skill_triggers!$A:$A),MATCH(G$1,enemy_skill_triggers!$1:$1,0)-MATCH($F$1,enemy_skill_triggers!$1:$1,0)+1),MATCH(G$1,enemy_skill_triggers!$1:$1,0)-MATCH($F$1,enemy_skill_triggers!$1:$1,0)+1,FALSE)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5" s="48">
        <f ca="1">VLOOKUP($F435,OFFSET(enemy_skill_triggers!$A$1,0,0,COUNTA(enemy_skill_triggers!$A:$A),MATCH(H$1,enemy_skill_triggers!$1:$1,0)-MATCH($F$1,enemy_skill_triggers!$1:$1,0)+1),MATCH(H$1,enemy_skill_triggers!$1:$1,0)-MATCH($F$1,enemy_skill_triggers!$1:$1,0)+1,FALSE)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435" s="48">
        <f ca="1">VLOOKUP($F435,OFFSET(enemy_skill_triggers!$A$1,0,0,COUNTA(enemy_skill_triggers!$A:$A),MATCH(I$1,enemy_skill_triggers!$1:$1,0)-MATCH($F$1,enemy_skill_triggers!$1:$1,0)+1),MATCH(I$1,enemy_skill_triggers!$1:$1,0)-MATCH($F$1,enemy_skill_triggers!$1:$1,0)+1,FALSE)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5" s="48" t="str">
        <f ca="1">VLOOKUP($F435,OFFSET(enemy_skill_triggers!$A$1,0,0,COUNTA(enemy_skill_triggers!$A:$A),MATCH(J$1,enemy_skill_triggers!$1:$1,0)-MATCH($F$1,enemy_skill_triggers!$1:$1,0)+1),MATCH(J$1,enemy_skill_triggers!$1:$1,0)-MATCH($F$1,enemy_skill_triggers!$1:$1,0)+1,FALSE)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5" s="48" t="str">
        <f ca="1">VLOOKUP($F435,OFFSET(enemy_skill_triggers!$A$1,0,0,COUNTA(enemy_skill_triggers!$A:$A),MATCH(K$1,enemy_skill_triggers!$1:$1,0)-MATCH($F$1,enemy_skill_triggers!$1:$1,0)+1),MATCH(K$1,enemy_skill_triggers!$1:$1,0)-MATCH($F$1,enemy_skill_triggers!$1:$1,0)+1,FALSE)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5" s="48">
        <f ca="1">VLOOKUP($F435,OFFSET(enemy_skill_triggers!$A$1,0,0,COUNTA(enemy_skill_triggers!$A:$A),MATCH(L$1,enemy_skill_triggers!$1:$1,0)-MATCH($F$1,enemy_skill_triggers!$1:$1,0)+1),MATCH(L$1,enemy_skill_triggers!$1:$1,0)-MATCH($F$1,enemy_skill_triggers!$1:$1,0)+1,FALSE)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5" s="48">
        <f ca="1">VLOOKUP($F435,OFFSET(enemy_skill_triggers!$A$1,0,0,COUNTA(enemy_skill_triggers!$A:$A),MATCH(M$1,enemy_skill_triggers!$1:$1,0)-MATCH($F$1,enemy_skill_triggers!$1:$1,0)+1),MATCH(M$1,enemy_skill_triggers!$1:$1,0)-MATCH($F$1,enemy_skill_triggers!$1:$1,0)+1,FALSE)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5" s="48">
        <f ca="1">VLOOKUP($F435,OFFSET(enemy_skill_triggers!$A$1,0,0,COUNTA(enemy_skill_triggers!$A:$A),MATCH(N$1,enemy_skill_triggers!$1:$1,0)-MATCH($F$1,enemy_skill_triggers!$1:$1,0)+1),MATCH(N$1,enemy_skill_triggers!$1:$1,0)-MATCH($F$1,enemy_skill_triggers!$1:$1,0)+1,FALSE)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435" s="48">
        <f ca="1">VLOOKUP($F435,OFFSET(enemy_skill_triggers!$A$1,0,0,COUNTA(enemy_skill_triggers!$A:$A),MATCH(O$1,enemy_skill_triggers!$1:$1,0)-MATCH($F$1,enemy_skill_triggers!$1:$1,0)+1),MATCH(O$1,enemy_skill_triggers!$1:$1,0)-MATCH($F$1,enemy_skill_triggers!$1:$1,0)+1,FALSE)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5" s="47"/>
      <c r="Q435" s="47"/>
      <c r="R435" s="47"/>
    </row>
    <row r="436" spans="1:18" ht="21" customHeight="1" x14ac:dyDescent="0.15">
      <c r="A436" s="39" t="str">
        <f t="shared" si="35"/>
        <v>47004810_47004815</v>
      </c>
      <c r="B436" s="109">
        <v>47004810</v>
      </c>
      <c r="C436" s="110">
        <v>47004815</v>
      </c>
      <c r="D436" s="46" t="str">
        <f ca="1">VLOOKUP($C436,OFFSET(enemy_skills!$A$1,0,0,COUNTA(enemy_skills!$A:$A),MATCH(D$1,enemy_skills!$1:$1,0)-MATCH("enemy_skill_id",enemy_skills!$1:$1,0)+1),MATCH(D$1,enemy_skills!$1:$1,0)-MATCH("enemy_skill_id",enemy_skills!$1:$1,0)+1,FALSE)</f>
        <v>オセさん、皆の笑顔のために_x000D_一緒に頑張りましょ♪</v>
      </c>
      <c r="E436" s="46" t="str">
        <f ca="1">VLOOKUP($C436,OFFSET(enemy_skills!$A$1,0,0,COUNTA(enemy_skills!$A:$A),MATCH(E$1,enemy_skills!$1:$1,0)-MATCH("enemy_skill_id",enemy_skills!$1:$1,0)+1),MATCH(E$1,enemy_skills!$1:$1,0)-MATCH("enemy_skill_id",enemy_skills!$1:$1,0)+1,FALSE)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36" s="110">
        <v>47004819</v>
      </c>
      <c r="G436" s="48">
        <f ca="1">VLOOKUP($F436,OFFSET(enemy_skill_triggers!$A$1,0,0,COUNTA(enemy_skill_triggers!$A:$A),MATCH(G$1,enemy_skill_triggers!$1:$1,0)-MATCH($F$1,enemy_skill_triggers!$1:$1,0)+1),MATCH(G$1,enemy_skill_triggers!$1:$1,0)-MATCH($F$1,enemy_skill_triggers!$1:$1,0)+1,FALSE)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6" s="48">
        <f ca="1">VLOOKUP($F436,OFFSET(enemy_skill_triggers!$A$1,0,0,COUNTA(enemy_skill_triggers!$A:$A),MATCH(H$1,enemy_skill_triggers!$1:$1,0)-MATCH($F$1,enemy_skill_triggers!$1:$1,0)+1),MATCH(H$1,enemy_skill_triggers!$1:$1,0)-MATCH($F$1,enemy_skill_triggers!$1:$1,0)+1,FALSE)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436" s="48">
        <f ca="1">VLOOKUP($F436,OFFSET(enemy_skill_triggers!$A$1,0,0,COUNTA(enemy_skill_triggers!$A:$A),MATCH(I$1,enemy_skill_triggers!$1:$1,0)-MATCH($F$1,enemy_skill_triggers!$1:$1,0)+1),MATCH(I$1,enemy_skill_triggers!$1:$1,0)-MATCH($F$1,enemy_skill_triggers!$1:$1,0)+1,FALSE)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6" s="48" t="str">
        <f ca="1">VLOOKUP($F436,OFFSET(enemy_skill_triggers!$A$1,0,0,COUNTA(enemy_skill_triggers!$A:$A),MATCH(J$1,enemy_skill_triggers!$1:$1,0)-MATCH($F$1,enemy_skill_triggers!$1:$1,0)+1),MATCH(J$1,enemy_skill_triggers!$1:$1,0)-MATCH($F$1,enemy_skill_triggers!$1:$1,0)+1,FALSE)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6" s="48" t="str">
        <f ca="1">VLOOKUP($F436,OFFSET(enemy_skill_triggers!$A$1,0,0,COUNTA(enemy_skill_triggers!$A:$A),MATCH(K$1,enemy_skill_triggers!$1:$1,0)-MATCH($F$1,enemy_skill_triggers!$1:$1,0)+1),MATCH(K$1,enemy_skill_triggers!$1:$1,0)-MATCH($F$1,enemy_skill_triggers!$1:$1,0)+1,FALSE)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6" s="48">
        <f ca="1">VLOOKUP($F436,OFFSET(enemy_skill_triggers!$A$1,0,0,COUNTA(enemy_skill_triggers!$A:$A),MATCH(L$1,enemy_skill_triggers!$1:$1,0)-MATCH($F$1,enemy_skill_triggers!$1:$1,0)+1),MATCH(L$1,enemy_skill_triggers!$1:$1,0)-MATCH($F$1,enemy_skill_triggers!$1:$1,0)+1,FALSE)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6" s="48">
        <f ca="1">VLOOKUP($F436,OFFSET(enemy_skill_triggers!$A$1,0,0,COUNTA(enemy_skill_triggers!$A:$A),MATCH(M$1,enemy_skill_triggers!$1:$1,0)-MATCH($F$1,enemy_skill_triggers!$1:$1,0)+1),MATCH(M$1,enemy_skill_triggers!$1:$1,0)-MATCH($F$1,enemy_skill_triggers!$1:$1,0)+1,FALSE)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6" s="48">
        <f ca="1">VLOOKUP($F436,OFFSET(enemy_skill_triggers!$A$1,0,0,COUNTA(enemy_skill_triggers!$A:$A),MATCH(N$1,enemy_skill_triggers!$1:$1,0)-MATCH($F$1,enemy_skill_triggers!$1:$1,0)+1),MATCH(N$1,enemy_skill_triggers!$1:$1,0)-MATCH($F$1,enemy_skill_triggers!$1:$1,0)+1,FALSE)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436" s="48">
        <f ca="1">VLOOKUP($F436,OFFSET(enemy_skill_triggers!$A$1,0,0,COUNTA(enemy_skill_triggers!$A:$A),MATCH(O$1,enemy_skill_triggers!$1:$1,0)-MATCH($F$1,enemy_skill_triggers!$1:$1,0)+1),MATCH(O$1,enemy_skill_triggers!$1:$1,0)-MATCH($F$1,enemy_skill_triggers!$1:$1,0)+1,FALSE)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6" s="47"/>
      <c r="Q436" s="47"/>
      <c r="R436" s="47"/>
    </row>
    <row r="437" spans="1:18" ht="21" customHeight="1" x14ac:dyDescent="0.15">
      <c r="A437" s="39" t="str">
        <f t="shared" si="35"/>
        <v>47004810_47004815</v>
      </c>
      <c r="B437" s="109">
        <v>47004810</v>
      </c>
      <c r="C437" s="110">
        <v>47004815</v>
      </c>
      <c r="D437" s="46" t="str">
        <f ca="1">VLOOKUP($C437,OFFSET(enemy_skills!$A$1,0,0,COUNTA(enemy_skills!$A:$A),MATCH(D$1,enemy_skills!$1:$1,0)-MATCH("enemy_skill_id",enemy_skills!$1:$1,0)+1),MATCH(D$1,enemy_skills!$1:$1,0)-MATCH("enemy_skill_id",enemy_skills!$1:$1,0)+1,FALSE)</f>
        <v>オセさん、皆の笑顔のために_x000D_一緒に頑張りましょ♪</v>
      </c>
      <c r="E437" s="46" t="str">
        <f ca="1">VLOOKUP($C437,OFFSET(enemy_skills!$A$1,0,0,COUNTA(enemy_skills!$A:$A),MATCH(E$1,enemy_skills!$1:$1,0)-MATCH("enemy_skill_id",enemy_skills!$1:$1,0)+1),MATCH(E$1,enemy_skills!$1:$1,0)-MATCH("enemy_skill_id",enemy_skills!$1:$1,0)+1,FALSE)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37" s="110">
        <v>47004820</v>
      </c>
      <c r="G437" s="48">
        <f ca="1">VLOOKUP($F437,OFFSET(enemy_skill_triggers!$A$1,0,0,COUNTA(enemy_skill_triggers!$A:$A),MATCH(G$1,enemy_skill_triggers!$1:$1,0)-MATCH($F$1,enemy_skill_triggers!$1:$1,0)+1),MATCH(G$1,enemy_skill_triggers!$1:$1,0)-MATCH($F$1,enemy_skill_triggers!$1:$1,0)+1,FALSE)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7" s="48">
        <f ca="1">VLOOKUP($F437,OFFSET(enemy_skill_triggers!$A$1,0,0,COUNTA(enemy_skill_triggers!$A:$A),MATCH(H$1,enemy_skill_triggers!$1:$1,0)-MATCH($F$1,enemy_skill_triggers!$1:$1,0)+1),MATCH(H$1,enemy_skill_triggers!$1:$1,0)-MATCH($F$1,enemy_skill_triggers!$1:$1,0)+1,FALSE)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437" s="48">
        <f ca="1">VLOOKUP($F437,OFFSET(enemy_skill_triggers!$A$1,0,0,COUNTA(enemy_skill_triggers!$A:$A),MATCH(I$1,enemy_skill_triggers!$1:$1,0)-MATCH($F$1,enemy_skill_triggers!$1:$1,0)+1),MATCH(I$1,enemy_skill_triggers!$1:$1,0)-MATCH($F$1,enemy_skill_triggers!$1:$1,0)+1,FALSE)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7" s="48" t="str">
        <f ca="1">VLOOKUP($F437,OFFSET(enemy_skill_triggers!$A$1,0,0,COUNTA(enemy_skill_triggers!$A:$A),MATCH(J$1,enemy_skill_triggers!$1:$1,0)-MATCH($F$1,enemy_skill_triggers!$1:$1,0)+1),MATCH(J$1,enemy_skill_triggers!$1:$1,0)-MATCH($F$1,enemy_skill_triggers!$1:$1,0)+1,FALSE)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7" s="48" t="str">
        <f ca="1">VLOOKUP($F437,OFFSET(enemy_skill_triggers!$A$1,0,0,COUNTA(enemy_skill_triggers!$A:$A),MATCH(K$1,enemy_skill_triggers!$1:$1,0)-MATCH($F$1,enemy_skill_triggers!$1:$1,0)+1),MATCH(K$1,enemy_skill_triggers!$1:$1,0)-MATCH($F$1,enemy_skill_triggers!$1:$1,0)+1,FALSE)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7" s="48">
        <f ca="1">VLOOKUP($F437,OFFSET(enemy_skill_triggers!$A$1,0,0,COUNTA(enemy_skill_triggers!$A:$A),MATCH(L$1,enemy_skill_triggers!$1:$1,0)-MATCH($F$1,enemy_skill_triggers!$1:$1,0)+1),MATCH(L$1,enemy_skill_triggers!$1:$1,0)-MATCH($F$1,enemy_skill_triggers!$1:$1,0)+1,FALSE)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7" s="48">
        <f ca="1">VLOOKUP($F437,OFFSET(enemy_skill_triggers!$A$1,0,0,COUNTA(enemy_skill_triggers!$A:$A),MATCH(M$1,enemy_skill_triggers!$1:$1,0)-MATCH($F$1,enemy_skill_triggers!$1:$1,0)+1),MATCH(M$1,enemy_skill_triggers!$1:$1,0)-MATCH($F$1,enemy_skill_triggers!$1:$1,0)+1,FALSE)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7" s="48">
        <f ca="1">VLOOKUP($F437,OFFSET(enemy_skill_triggers!$A$1,0,0,COUNTA(enemy_skill_triggers!$A:$A),MATCH(N$1,enemy_skill_triggers!$1:$1,0)-MATCH($F$1,enemy_skill_triggers!$1:$1,0)+1),MATCH(N$1,enemy_skill_triggers!$1:$1,0)-MATCH($F$1,enemy_skill_triggers!$1:$1,0)+1,FALSE)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437" s="48">
        <f ca="1">VLOOKUP($F437,OFFSET(enemy_skill_triggers!$A$1,0,0,COUNTA(enemy_skill_triggers!$A:$A),MATCH(O$1,enemy_skill_triggers!$1:$1,0)-MATCH($F$1,enemy_skill_triggers!$1:$1,0)+1),MATCH(O$1,enemy_skill_triggers!$1:$1,0)-MATCH($F$1,enemy_skill_triggers!$1:$1,0)+1,FALSE)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7" s="47"/>
      <c r="Q437" s="47"/>
      <c r="R437" s="47"/>
    </row>
    <row r="438" spans="1:18" ht="21" customHeight="1" x14ac:dyDescent="0.15">
      <c r="A438" s="39" t="str">
        <f t="shared" si="35"/>
        <v>47004810_47004816</v>
      </c>
      <c r="B438" s="109">
        <v>47004810</v>
      </c>
      <c r="C438" s="110">
        <v>47004816</v>
      </c>
      <c r="D438" s="46" t="str">
        <f ca="1">VLOOKUP($C438,OFFSET(enemy_skills!$A$1,0,0,COUNTA(enemy_skills!$A:$A),MATCH(D$1,enemy_skills!$1:$1,0)-MATCH("enemy_skill_id",enemy_skills!$1:$1,0)+1),MATCH(D$1,enemy_skills!$1:$1,0)-MATCH("enemy_skill_id",enemy_skills!$1:$1,0)+1,FALSE)</f>
        <v>ベリアルさんのバイクの後ろに_x000D_乗ってみたいです！</v>
      </c>
      <c r="E438" s="46" t="str">
        <f ca="1">VLOOKUP($C438,OFFSET(enemy_skills!$A$1,0,0,COUNTA(enemy_skills!$A:$A),MATCH(E$1,enemy_skills!$1:$1,0)-MATCH("enemy_skill_id",enemy_skills!$1:$1,0)+1),MATCH(E$1,enemy_skills!$1:$1,0)-MATCH("enemy_skill_id",enemy_skills!$1:$1,0)+1,FALSE)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38" s="110">
        <v>47004821</v>
      </c>
      <c r="G438" s="48">
        <f ca="1">VLOOKUP($F438,OFFSET(enemy_skill_triggers!$A$1,0,0,COUNTA(enemy_skill_triggers!$A:$A),MATCH(G$1,enemy_skill_triggers!$1:$1,0)-MATCH($F$1,enemy_skill_triggers!$1:$1,0)+1),MATCH(G$1,enemy_skill_triggers!$1:$1,0)-MATCH($F$1,enemy_skill_triggers!$1:$1,0)+1,FALSE)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8" s="48">
        <f ca="1">VLOOKUP($F438,OFFSET(enemy_skill_triggers!$A$1,0,0,COUNTA(enemy_skill_triggers!$A:$A),MATCH(H$1,enemy_skill_triggers!$1:$1,0)-MATCH($F$1,enemy_skill_triggers!$1:$1,0)+1),MATCH(H$1,enemy_skill_triggers!$1:$1,0)-MATCH($F$1,enemy_skill_triggers!$1:$1,0)+1,FALSE)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438" s="48">
        <f ca="1">VLOOKUP($F438,OFFSET(enemy_skill_triggers!$A$1,0,0,COUNTA(enemy_skill_triggers!$A:$A),MATCH(I$1,enemy_skill_triggers!$1:$1,0)-MATCH($F$1,enemy_skill_triggers!$1:$1,0)+1),MATCH(I$1,enemy_skill_triggers!$1:$1,0)-MATCH($F$1,enemy_skill_triggers!$1:$1,0)+1,FALSE)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8" s="48" t="str">
        <f ca="1">VLOOKUP($F438,OFFSET(enemy_skill_triggers!$A$1,0,0,COUNTA(enemy_skill_triggers!$A:$A),MATCH(J$1,enemy_skill_triggers!$1:$1,0)-MATCH($F$1,enemy_skill_triggers!$1:$1,0)+1),MATCH(J$1,enemy_skill_triggers!$1:$1,0)-MATCH($F$1,enemy_skill_triggers!$1:$1,0)+1,FALSE)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8" s="48" t="str">
        <f ca="1">VLOOKUP($F438,OFFSET(enemy_skill_triggers!$A$1,0,0,COUNTA(enemy_skill_triggers!$A:$A),MATCH(K$1,enemy_skill_triggers!$1:$1,0)-MATCH($F$1,enemy_skill_triggers!$1:$1,0)+1),MATCH(K$1,enemy_skill_triggers!$1:$1,0)-MATCH($F$1,enemy_skill_triggers!$1:$1,0)+1,FALSE)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8" s="48">
        <f ca="1">VLOOKUP($F438,OFFSET(enemy_skill_triggers!$A$1,0,0,COUNTA(enemy_skill_triggers!$A:$A),MATCH(L$1,enemy_skill_triggers!$1:$1,0)-MATCH($F$1,enemy_skill_triggers!$1:$1,0)+1),MATCH(L$1,enemy_skill_triggers!$1:$1,0)-MATCH($F$1,enemy_skill_triggers!$1:$1,0)+1,FALSE)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8" s="48">
        <f ca="1">VLOOKUP($F438,OFFSET(enemy_skill_triggers!$A$1,0,0,COUNTA(enemy_skill_triggers!$A:$A),MATCH(M$1,enemy_skill_triggers!$1:$1,0)-MATCH($F$1,enemy_skill_triggers!$1:$1,0)+1),MATCH(M$1,enemy_skill_triggers!$1:$1,0)-MATCH($F$1,enemy_skill_triggers!$1:$1,0)+1,FALSE)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8" s="48">
        <f ca="1">VLOOKUP($F438,OFFSET(enemy_skill_triggers!$A$1,0,0,COUNTA(enemy_skill_triggers!$A:$A),MATCH(N$1,enemy_skill_triggers!$1:$1,0)-MATCH($F$1,enemy_skill_triggers!$1:$1,0)+1),MATCH(N$1,enemy_skill_triggers!$1:$1,0)-MATCH($F$1,enemy_skill_triggers!$1:$1,0)+1,FALSE)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438" s="48">
        <f ca="1">VLOOKUP($F438,OFFSET(enemy_skill_triggers!$A$1,0,0,COUNTA(enemy_skill_triggers!$A:$A),MATCH(O$1,enemy_skill_triggers!$1:$1,0)-MATCH($F$1,enemy_skill_triggers!$1:$1,0)+1),MATCH(O$1,enemy_skill_triggers!$1:$1,0)-MATCH($F$1,enemy_skill_triggers!$1:$1,0)+1,FALSE)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8" s="47"/>
      <c r="Q438" s="47"/>
      <c r="R438" s="47"/>
    </row>
    <row r="439" spans="1:18" ht="21" customHeight="1" x14ac:dyDescent="0.15">
      <c r="A439" s="39" t="str">
        <f t="shared" si="35"/>
        <v>47004810_47004816</v>
      </c>
      <c r="B439" s="109">
        <v>47004810</v>
      </c>
      <c r="C439" s="110">
        <v>47004816</v>
      </c>
      <c r="D439" s="46" t="str">
        <f ca="1">VLOOKUP($C439,OFFSET(enemy_skills!$A$1,0,0,COUNTA(enemy_skills!$A:$A),MATCH(D$1,enemy_skills!$1:$1,0)-MATCH("enemy_skill_id",enemy_skills!$1:$1,0)+1),MATCH(D$1,enemy_skills!$1:$1,0)-MATCH("enemy_skill_id",enemy_skills!$1:$1,0)+1,FALSE)</f>
        <v>ベリアルさんのバイクの後ろに_x000D_乗ってみたいです！</v>
      </c>
      <c r="E439" s="46" t="str">
        <f ca="1">VLOOKUP($C439,OFFSET(enemy_skills!$A$1,0,0,COUNTA(enemy_skills!$A:$A),MATCH(E$1,enemy_skills!$1:$1,0)-MATCH("enemy_skill_id",enemy_skills!$1:$1,0)+1),MATCH(E$1,enemy_skills!$1:$1,0)-MATCH("enemy_skill_id",enemy_skills!$1:$1,0)+1,FALSE)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39" s="110">
        <v>47004822</v>
      </c>
      <c r="G439" s="48">
        <f ca="1">VLOOKUP($F439,OFFSET(enemy_skill_triggers!$A$1,0,0,COUNTA(enemy_skill_triggers!$A:$A),MATCH(G$1,enemy_skill_triggers!$1:$1,0)-MATCH($F$1,enemy_skill_triggers!$1:$1,0)+1),MATCH(G$1,enemy_skill_triggers!$1:$1,0)-MATCH($F$1,enemy_skill_triggers!$1:$1,0)+1,FALSE)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9" s="48">
        <f ca="1">VLOOKUP($F439,OFFSET(enemy_skill_triggers!$A$1,0,0,COUNTA(enemy_skill_triggers!$A:$A),MATCH(H$1,enemy_skill_triggers!$1:$1,0)-MATCH($F$1,enemy_skill_triggers!$1:$1,0)+1),MATCH(H$1,enemy_skill_triggers!$1:$1,0)-MATCH($F$1,enemy_skill_triggers!$1:$1,0)+1,FALSE)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439" s="48">
        <f ca="1">VLOOKUP($F439,OFFSET(enemy_skill_triggers!$A$1,0,0,COUNTA(enemy_skill_triggers!$A:$A),MATCH(I$1,enemy_skill_triggers!$1:$1,0)-MATCH($F$1,enemy_skill_triggers!$1:$1,0)+1),MATCH(I$1,enemy_skill_triggers!$1:$1,0)-MATCH($F$1,enemy_skill_triggers!$1:$1,0)+1,FALSE)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9" s="48" t="str">
        <f ca="1">VLOOKUP($F439,OFFSET(enemy_skill_triggers!$A$1,0,0,COUNTA(enemy_skill_triggers!$A:$A),MATCH(J$1,enemy_skill_triggers!$1:$1,0)-MATCH($F$1,enemy_skill_triggers!$1:$1,0)+1),MATCH(J$1,enemy_skill_triggers!$1:$1,0)-MATCH($F$1,enemy_skill_triggers!$1:$1,0)+1,FALSE)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9" s="48" t="str">
        <f ca="1">VLOOKUP($F439,OFFSET(enemy_skill_triggers!$A$1,0,0,COUNTA(enemy_skill_triggers!$A:$A),MATCH(K$1,enemy_skill_triggers!$1:$1,0)-MATCH($F$1,enemy_skill_triggers!$1:$1,0)+1),MATCH(K$1,enemy_skill_triggers!$1:$1,0)-MATCH($F$1,enemy_skill_triggers!$1:$1,0)+1,FALSE)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9" s="48">
        <f ca="1">VLOOKUP($F439,OFFSET(enemy_skill_triggers!$A$1,0,0,COUNTA(enemy_skill_triggers!$A:$A),MATCH(L$1,enemy_skill_triggers!$1:$1,0)-MATCH($F$1,enemy_skill_triggers!$1:$1,0)+1),MATCH(L$1,enemy_skill_triggers!$1:$1,0)-MATCH($F$1,enemy_skill_triggers!$1:$1,0)+1,FALSE)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9" s="48">
        <f ca="1">VLOOKUP($F439,OFFSET(enemy_skill_triggers!$A$1,0,0,COUNTA(enemy_skill_triggers!$A:$A),MATCH(M$1,enemy_skill_triggers!$1:$1,0)-MATCH($F$1,enemy_skill_triggers!$1:$1,0)+1),MATCH(M$1,enemy_skill_triggers!$1:$1,0)-MATCH($F$1,enemy_skill_triggers!$1:$1,0)+1,FALSE)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9" s="48">
        <f ca="1">VLOOKUP($F439,OFFSET(enemy_skill_triggers!$A$1,0,0,COUNTA(enemy_skill_triggers!$A:$A),MATCH(N$1,enemy_skill_triggers!$1:$1,0)-MATCH($F$1,enemy_skill_triggers!$1:$1,0)+1),MATCH(N$1,enemy_skill_triggers!$1:$1,0)-MATCH($F$1,enemy_skill_triggers!$1:$1,0)+1,FALSE)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439" s="48">
        <f ca="1">VLOOKUP($F439,OFFSET(enemy_skill_triggers!$A$1,0,0,COUNTA(enemy_skill_triggers!$A:$A),MATCH(O$1,enemy_skill_triggers!$1:$1,0)-MATCH($F$1,enemy_skill_triggers!$1:$1,0)+1),MATCH(O$1,enemy_skill_triggers!$1:$1,0)-MATCH($F$1,enemy_skill_triggers!$1:$1,0)+1,FALSE)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9" s="47"/>
      <c r="Q439" s="47"/>
      <c r="R439" s="47"/>
    </row>
    <row r="440" spans="1:18" ht="21" customHeight="1" x14ac:dyDescent="0.15">
      <c r="A440" s="39" t="str">
        <f t="shared" si="35"/>
        <v>47004810_47004816</v>
      </c>
      <c r="B440" s="109">
        <v>47004810</v>
      </c>
      <c r="C440" s="110">
        <v>47004816</v>
      </c>
      <c r="D440" s="46" t="str">
        <f ca="1">VLOOKUP($C440,OFFSET(enemy_skills!$A$1,0,0,COUNTA(enemy_skills!$A:$A),MATCH(D$1,enemy_skills!$1:$1,0)-MATCH("enemy_skill_id",enemy_skills!$1:$1,0)+1),MATCH(D$1,enemy_skills!$1:$1,0)-MATCH("enemy_skill_id",enemy_skills!$1:$1,0)+1,FALSE)</f>
        <v>ベリアルさんのバイクの後ろに_x000D_乗ってみたいです！</v>
      </c>
      <c r="E440" s="46" t="str">
        <f ca="1">VLOOKUP($C440,OFFSET(enemy_skills!$A$1,0,0,COUNTA(enemy_skills!$A:$A),MATCH(E$1,enemy_skills!$1:$1,0)-MATCH("enemy_skill_id",enemy_skills!$1:$1,0)+1),MATCH(E$1,enemy_skills!$1:$1,0)-MATCH("enemy_skill_id",enemy_skills!$1:$1,0)+1,FALSE)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40" s="110">
        <v>47004823</v>
      </c>
      <c r="G440" s="48">
        <f ca="1">VLOOKUP($F440,OFFSET(enemy_skill_triggers!$A$1,0,0,COUNTA(enemy_skill_triggers!$A:$A),MATCH(G$1,enemy_skill_triggers!$1:$1,0)-MATCH($F$1,enemy_skill_triggers!$1:$1,0)+1),MATCH(G$1,enemy_skill_triggers!$1:$1,0)-MATCH($F$1,enemy_skill_triggers!$1:$1,0)+1,FALSE)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0" s="48">
        <f ca="1">VLOOKUP($F440,OFFSET(enemy_skill_triggers!$A$1,0,0,COUNTA(enemy_skill_triggers!$A:$A),MATCH(H$1,enemy_skill_triggers!$1:$1,0)-MATCH($F$1,enemy_skill_triggers!$1:$1,0)+1),MATCH(H$1,enemy_skill_triggers!$1:$1,0)-MATCH($F$1,enemy_skill_triggers!$1:$1,0)+1,FALSE)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440" s="48">
        <f ca="1">VLOOKUP($F440,OFFSET(enemy_skill_triggers!$A$1,0,0,COUNTA(enemy_skill_triggers!$A:$A),MATCH(I$1,enemy_skill_triggers!$1:$1,0)-MATCH($F$1,enemy_skill_triggers!$1:$1,0)+1),MATCH(I$1,enemy_skill_triggers!$1:$1,0)-MATCH($F$1,enemy_skill_triggers!$1:$1,0)+1,FALSE)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0" s="48" t="str">
        <f ca="1">VLOOKUP($F440,OFFSET(enemy_skill_triggers!$A$1,0,0,COUNTA(enemy_skill_triggers!$A:$A),MATCH(J$1,enemy_skill_triggers!$1:$1,0)-MATCH($F$1,enemy_skill_triggers!$1:$1,0)+1),MATCH(J$1,enemy_skill_triggers!$1:$1,0)-MATCH($F$1,enemy_skill_triggers!$1:$1,0)+1,FALSE)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0" s="48" t="str">
        <f ca="1">VLOOKUP($F440,OFFSET(enemy_skill_triggers!$A$1,0,0,COUNTA(enemy_skill_triggers!$A:$A),MATCH(K$1,enemy_skill_triggers!$1:$1,0)-MATCH($F$1,enemy_skill_triggers!$1:$1,0)+1),MATCH(K$1,enemy_skill_triggers!$1:$1,0)-MATCH($F$1,enemy_skill_triggers!$1:$1,0)+1,FALSE)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0" s="48">
        <f ca="1">VLOOKUP($F440,OFFSET(enemy_skill_triggers!$A$1,0,0,COUNTA(enemy_skill_triggers!$A:$A),MATCH(L$1,enemy_skill_triggers!$1:$1,0)-MATCH($F$1,enemy_skill_triggers!$1:$1,0)+1),MATCH(L$1,enemy_skill_triggers!$1:$1,0)-MATCH($F$1,enemy_skill_triggers!$1:$1,0)+1,FALSE)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0" s="48">
        <f ca="1">VLOOKUP($F440,OFFSET(enemy_skill_triggers!$A$1,0,0,COUNTA(enemy_skill_triggers!$A:$A),MATCH(M$1,enemy_skill_triggers!$1:$1,0)-MATCH($F$1,enemy_skill_triggers!$1:$1,0)+1),MATCH(M$1,enemy_skill_triggers!$1:$1,0)-MATCH($F$1,enemy_skill_triggers!$1:$1,0)+1,FALSE)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0" s="48">
        <f ca="1">VLOOKUP($F440,OFFSET(enemy_skill_triggers!$A$1,0,0,COUNTA(enemy_skill_triggers!$A:$A),MATCH(N$1,enemy_skill_triggers!$1:$1,0)-MATCH($F$1,enemy_skill_triggers!$1:$1,0)+1),MATCH(N$1,enemy_skill_triggers!$1:$1,0)-MATCH($F$1,enemy_skill_triggers!$1:$1,0)+1,FALSE)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440" s="48">
        <f ca="1">VLOOKUP($F440,OFFSET(enemy_skill_triggers!$A$1,0,0,COUNTA(enemy_skill_triggers!$A:$A),MATCH(O$1,enemy_skill_triggers!$1:$1,0)-MATCH($F$1,enemy_skill_triggers!$1:$1,0)+1),MATCH(O$1,enemy_skill_triggers!$1:$1,0)-MATCH($F$1,enemy_skill_triggers!$1:$1,0)+1,FALSE)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0" s="47"/>
      <c r="Q440" s="47"/>
      <c r="R440" s="47"/>
    </row>
    <row r="441" spans="1:18" ht="21" customHeight="1" x14ac:dyDescent="0.15">
      <c r="A441" s="39" t="str">
        <f t="shared" ref="A441:A442" si="36">B441&amp;"_"&amp;C441</f>
        <v>47004810_47004817</v>
      </c>
      <c r="B441" s="109">
        <v>47004810</v>
      </c>
      <c r="C441" s="110">
        <v>47004817</v>
      </c>
      <c r="D441" s="46" t="str">
        <f ca="1">VLOOKUP($C441,OFFSET(enemy_skills!$A$1,0,0,COUNTA(enemy_skills!$A:$A),MATCH(D$1,enemy_skills!$1:$1,0)-MATCH("enemy_skill_id",enemy_skills!$1:$1,0)+1),MATCH(D$1,enemy_skills!$1:$1,0)-MATCH("enemy_skill_id",enemy_skills!$1:$1,0)+1,FALSE)</f>
        <v>エスタブさん！_x000D_一緒に幸せを配りましょう！</v>
      </c>
      <c r="E441" s="46" t="str">
        <f ca="1">VLOOKUP($C441,OFFSET(enemy_skills!$A$1,0,0,COUNTA(enemy_skills!$A:$A),MATCH(E$1,enemy_skills!$1:$1,0)-MATCH("enemy_skill_id",enemy_skills!$1:$1,0)+1),MATCH(E$1,enemy_skills!$1:$1,0)-MATCH("enemy_skill_id",enemy_skills!$1:$1,0)+1,FALSE)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41" s="110">
        <v>47004824</v>
      </c>
      <c r="G441" s="48">
        <f ca="1">VLOOKUP($F441,OFFSET(enemy_skill_triggers!$A$1,0,0,COUNTA(enemy_skill_triggers!$A:$A),MATCH(G$1,enemy_skill_triggers!$1:$1,0)-MATCH($F$1,enemy_skill_triggers!$1:$1,0)+1),MATCH(G$1,enemy_skill_triggers!$1:$1,0)-MATCH($F$1,enemy_skill_triggers!$1:$1,0)+1,FALSE)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1" s="48">
        <f ca="1">VLOOKUP($F441,OFFSET(enemy_skill_triggers!$A$1,0,0,COUNTA(enemy_skill_triggers!$A:$A),MATCH(H$1,enemy_skill_triggers!$1:$1,0)-MATCH($F$1,enemy_skill_triggers!$1:$1,0)+1),MATCH(H$1,enemy_skill_triggers!$1:$1,0)-MATCH($F$1,enemy_skill_triggers!$1:$1,0)+1,FALSE)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441" s="48">
        <f ca="1">VLOOKUP($F441,OFFSET(enemy_skill_triggers!$A$1,0,0,COUNTA(enemy_skill_triggers!$A:$A),MATCH(I$1,enemy_skill_triggers!$1:$1,0)-MATCH($F$1,enemy_skill_triggers!$1:$1,0)+1),MATCH(I$1,enemy_skill_triggers!$1:$1,0)-MATCH($F$1,enemy_skill_triggers!$1:$1,0)+1,FALSE)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1" s="48" t="str">
        <f ca="1">VLOOKUP($F441,OFFSET(enemy_skill_triggers!$A$1,0,0,COUNTA(enemy_skill_triggers!$A:$A),MATCH(J$1,enemy_skill_triggers!$1:$1,0)-MATCH($F$1,enemy_skill_triggers!$1:$1,0)+1),MATCH(J$1,enemy_skill_triggers!$1:$1,0)-MATCH($F$1,enemy_skill_triggers!$1:$1,0)+1,FALSE)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1" s="48" t="str">
        <f ca="1">VLOOKUP($F441,OFFSET(enemy_skill_triggers!$A$1,0,0,COUNTA(enemy_skill_triggers!$A:$A),MATCH(K$1,enemy_skill_triggers!$1:$1,0)-MATCH($F$1,enemy_skill_triggers!$1:$1,0)+1),MATCH(K$1,enemy_skill_triggers!$1:$1,0)-MATCH($F$1,enemy_skill_triggers!$1:$1,0)+1,FALSE)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1" s="48">
        <f ca="1">VLOOKUP($F441,OFFSET(enemy_skill_triggers!$A$1,0,0,COUNTA(enemy_skill_triggers!$A:$A),MATCH(L$1,enemy_skill_triggers!$1:$1,0)-MATCH($F$1,enemy_skill_triggers!$1:$1,0)+1),MATCH(L$1,enemy_skill_triggers!$1:$1,0)-MATCH($F$1,enemy_skill_triggers!$1:$1,0)+1,FALSE)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1" s="48">
        <f ca="1">VLOOKUP($F441,OFFSET(enemy_skill_triggers!$A$1,0,0,COUNTA(enemy_skill_triggers!$A:$A),MATCH(M$1,enemy_skill_triggers!$1:$1,0)-MATCH($F$1,enemy_skill_triggers!$1:$1,0)+1),MATCH(M$1,enemy_skill_triggers!$1:$1,0)-MATCH($F$1,enemy_skill_triggers!$1:$1,0)+1,FALSE)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1" s="48">
        <f ca="1">VLOOKUP($F441,OFFSET(enemy_skill_triggers!$A$1,0,0,COUNTA(enemy_skill_triggers!$A:$A),MATCH(N$1,enemy_skill_triggers!$1:$1,0)-MATCH($F$1,enemy_skill_triggers!$1:$1,0)+1),MATCH(N$1,enemy_skill_triggers!$1:$1,0)-MATCH($F$1,enemy_skill_triggers!$1:$1,0)+1,FALSE)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441" s="48">
        <f ca="1">VLOOKUP($F441,OFFSET(enemy_skill_triggers!$A$1,0,0,COUNTA(enemy_skill_triggers!$A:$A),MATCH(O$1,enemy_skill_triggers!$1:$1,0)-MATCH($F$1,enemy_skill_triggers!$1:$1,0)+1),MATCH(O$1,enemy_skill_triggers!$1:$1,0)-MATCH($F$1,enemy_skill_triggers!$1:$1,0)+1,FALSE)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1" s="47"/>
      <c r="Q441" s="47"/>
      <c r="R441" s="47"/>
    </row>
    <row r="442" spans="1:18" ht="21" customHeight="1" x14ac:dyDescent="0.15">
      <c r="A442" s="39" t="str">
        <f t="shared" si="36"/>
        <v>47004810_47004818</v>
      </c>
      <c r="B442" s="109">
        <v>47004810</v>
      </c>
      <c r="C442" s="110">
        <v>47004818</v>
      </c>
      <c r="D442" s="46" t="str">
        <f ca="1">VLOOKUP($C442,OFFSET(enemy_skills!$A$1,0,0,COUNTA(enemy_skills!$A:$A),MATCH(D$1,enemy_skills!$1:$1,0)-MATCH("enemy_skill_id",enemy_skills!$1:$1,0)+1),MATCH(D$1,enemy_skills!$1:$1,0)-MATCH("enemy_skill_id",enemy_skills!$1:$1,0)+1,FALSE)</f>
        <v>卑弥呼さん！_x000D_一緒に幸せを配りましょう！</v>
      </c>
      <c r="E442" s="46" t="str">
        <f ca="1">VLOOKUP($C442,OFFSET(enemy_skills!$A$1,0,0,COUNTA(enemy_skills!$A:$A),MATCH(E$1,enemy_skills!$1:$1,0)-MATCH("enemy_skill_id",enemy_skills!$1:$1,0)+1),MATCH(E$1,enemy_skills!$1:$1,0)-MATCH("enemy_skill_id",enemy_skills!$1:$1,0)+1,FALSE)</f>
        <v>温かい光が辺りを包む_x000D_【回復効果付与】</v>
      </c>
      <c r="F442" s="110">
        <v>47004825</v>
      </c>
      <c r="G442" s="48">
        <f ca="1">VLOOKUP($F442,OFFSET(enemy_skill_triggers!$A$1,0,0,COUNTA(enemy_skill_triggers!$A:$A),MATCH(G$1,enemy_skill_triggers!$1:$1,0)-MATCH($F$1,enemy_skill_triggers!$1:$1,0)+1),MATCH(G$1,enemy_skill_triggers!$1:$1,0)-MATCH($F$1,enemy_skill_triggers!$1:$1,0)+1,FALSE)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2" s="48">
        <f ca="1">VLOOKUP($F442,OFFSET(enemy_skill_triggers!$A$1,0,0,COUNTA(enemy_skill_triggers!$A:$A),MATCH(H$1,enemy_skill_triggers!$1:$1,0)-MATCH($F$1,enemy_skill_triggers!$1:$1,0)+1),MATCH(H$1,enemy_skill_triggers!$1:$1,0)-MATCH($F$1,enemy_skill_triggers!$1:$1,0)+1,FALSE)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442" s="48">
        <f ca="1">VLOOKUP($F442,OFFSET(enemy_skill_triggers!$A$1,0,0,COUNTA(enemy_skill_triggers!$A:$A),MATCH(I$1,enemy_skill_triggers!$1:$1,0)-MATCH($F$1,enemy_skill_triggers!$1:$1,0)+1),MATCH(I$1,enemy_skill_triggers!$1:$1,0)-MATCH($F$1,enemy_skill_triggers!$1:$1,0)+1,FALSE)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2" s="48" t="str">
        <f ca="1">VLOOKUP($F442,OFFSET(enemy_skill_triggers!$A$1,0,0,COUNTA(enemy_skill_triggers!$A:$A),MATCH(J$1,enemy_skill_triggers!$1:$1,0)-MATCH($F$1,enemy_skill_triggers!$1:$1,0)+1),MATCH(J$1,enemy_skill_triggers!$1:$1,0)-MATCH($F$1,enemy_skill_triggers!$1:$1,0)+1,FALSE)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2" s="48" t="str">
        <f ca="1">VLOOKUP($F442,OFFSET(enemy_skill_triggers!$A$1,0,0,COUNTA(enemy_skill_triggers!$A:$A),MATCH(K$1,enemy_skill_triggers!$1:$1,0)-MATCH($F$1,enemy_skill_triggers!$1:$1,0)+1),MATCH(K$1,enemy_skill_triggers!$1:$1,0)-MATCH($F$1,enemy_skill_triggers!$1:$1,0)+1,FALSE)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2" s="48">
        <f ca="1">VLOOKUP($F442,OFFSET(enemy_skill_triggers!$A$1,0,0,COUNTA(enemy_skill_triggers!$A:$A),MATCH(L$1,enemy_skill_triggers!$1:$1,0)-MATCH($F$1,enemy_skill_triggers!$1:$1,0)+1),MATCH(L$1,enemy_skill_triggers!$1:$1,0)-MATCH($F$1,enemy_skill_triggers!$1:$1,0)+1,FALSE)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2" s="48">
        <f ca="1">VLOOKUP($F442,OFFSET(enemy_skill_triggers!$A$1,0,0,COUNTA(enemy_skill_triggers!$A:$A),MATCH(M$1,enemy_skill_triggers!$1:$1,0)-MATCH($F$1,enemy_skill_triggers!$1:$1,0)+1),MATCH(M$1,enemy_skill_triggers!$1:$1,0)-MATCH($F$1,enemy_skill_triggers!$1:$1,0)+1,FALSE)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2" s="48">
        <f ca="1">VLOOKUP($F442,OFFSET(enemy_skill_triggers!$A$1,0,0,COUNTA(enemy_skill_triggers!$A:$A),MATCH(N$1,enemy_skill_triggers!$1:$1,0)-MATCH($F$1,enemy_skill_triggers!$1:$1,0)+1),MATCH(N$1,enemy_skill_triggers!$1:$1,0)-MATCH($F$1,enemy_skill_triggers!$1:$1,0)+1,FALSE)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442" s="48">
        <f ca="1">VLOOKUP($F442,OFFSET(enemy_skill_triggers!$A$1,0,0,COUNTA(enemy_skill_triggers!$A:$A),MATCH(O$1,enemy_skill_triggers!$1:$1,0)-MATCH($F$1,enemy_skill_triggers!$1:$1,0)+1),MATCH(O$1,enemy_skill_triggers!$1:$1,0)-MATCH($F$1,enemy_skill_triggers!$1:$1,0)+1,FALSE)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2" s="47"/>
      <c r="Q442" s="47"/>
      <c r="R442" s="47"/>
    </row>
    <row r="443" spans="1:18" ht="21" customHeight="1" x14ac:dyDescent="0.15">
      <c r="A443" s="39" t="str">
        <f t="shared" si="34"/>
        <v>47004830_47004831</v>
      </c>
      <c r="B443" s="109">
        <v>47004830</v>
      </c>
      <c r="C443" s="47">
        <v>47004831</v>
      </c>
      <c r="D443" s="46" t="str">
        <f ca="1">VLOOKUP($C443,OFFSET(enemy_skills!$A$1,0,0,COUNTA(enemy_skills!$A:$A),MATCH(D$1,enemy_skills!$1:$1,0)-MATCH("enemy_skill_id",enemy_skills!$1:$1,0)+1),MATCH(D$1,enemy_skills!$1:$1,0)-MATCH("enemy_skill_id",enemy_skills!$1:$1,0)+1,FALSE)</f>
        <v>よう、お前達！_x000D_プレゼントを持ってきてやったぜ！</v>
      </c>
      <c r="E443" s="46" t="str">
        <f ca="1">VLOOKUP($C443,OFFSET(enemy_skills!$A$1,0,0,COUNTA(enemy_skills!$A:$A),MATCH(E$1,enemy_skills!$1:$1,0)-MATCH("enemy_skill_id",enemy_skills!$1:$1,0)+1),MATCH(E$1,enemy_skills!$1:$1,0)-MATCH("enemy_skill_id",enemy_skills!$1:$1,0)+1,FALSE)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43" s="47">
        <v>47004831</v>
      </c>
      <c r="G443" s="48">
        <f ca="1">VLOOKUP($F443,OFFSET(enemy_skill_triggers!$A$1,0,0,COUNTA(enemy_skill_triggers!$A:$A),MATCH(G$1,enemy_skill_triggers!$1:$1,0)-MATCH($F$1,enemy_skill_triggers!$1:$1,0)+1),MATCH(G$1,enemy_skill_triggers!$1:$1,0)-MATCH($F$1,enemy_skill_triggers!$1:$1,0)+1,FALSE)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3" s="48">
        <f ca="1">VLOOKUP($F443,OFFSET(enemy_skill_triggers!$A$1,0,0,COUNTA(enemy_skill_triggers!$A:$A),MATCH(H$1,enemy_skill_triggers!$1:$1,0)-MATCH($F$1,enemy_skill_triggers!$1:$1,0)+1),MATCH(H$1,enemy_skill_triggers!$1:$1,0)-MATCH($F$1,enemy_skill_triggers!$1:$1,0)+1,FALSE)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43" s="48">
        <f ca="1">VLOOKUP($F443,OFFSET(enemy_skill_triggers!$A$1,0,0,COUNTA(enemy_skill_triggers!$A:$A),MATCH(I$1,enemy_skill_triggers!$1:$1,0)-MATCH($F$1,enemy_skill_triggers!$1:$1,0)+1),MATCH(I$1,enemy_skill_triggers!$1:$1,0)-MATCH($F$1,enemy_skill_triggers!$1:$1,0)+1,FALSE)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3" s="48" t="str">
        <f ca="1">VLOOKUP($F443,OFFSET(enemy_skill_triggers!$A$1,0,0,COUNTA(enemy_skill_triggers!$A:$A),MATCH(J$1,enemy_skill_triggers!$1:$1,0)-MATCH($F$1,enemy_skill_triggers!$1:$1,0)+1),MATCH(J$1,enemy_skill_triggers!$1:$1,0)-MATCH($F$1,enemy_skill_triggers!$1:$1,0)+1,FALSE)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3" s="48" t="str">
        <f ca="1">VLOOKUP($F443,OFFSET(enemy_skill_triggers!$A$1,0,0,COUNTA(enemy_skill_triggers!$A:$A),MATCH(K$1,enemy_skill_triggers!$1:$1,0)-MATCH($F$1,enemy_skill_triggers!$1:$1,0)+1),MATCH(K$1,enemy_skill_triggers!$1:$1,0)-MATCH($F$1,enemy_skill_triggers!$1:$1,0)+1,FALSE)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3" s="48">
        <f ca="1">VLOOKUP($F443,OFFSET(enemy_skill_triggers!$A$1,0,0,COUNTA(enemy_skill_triggers!$A:$A),MATCH(L$1,enemy_skill_triggers!$1:$1,0)-MATCH($F$1,enemy_skill_triggers!$1:$1,0)+1),MATCH(L$1,enemy_skill_triggers!$1:$1,0)-MATCH($F$1,enemy_skill_triggers!$1:$1,0)+1,FALSE)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3" s="48" t="str">
        <f ca="1">VLOOKUP($F443,OFFSET(enemy_skill_triggers!$A$1,0,0,COUNTA(enemy_skill_triggers!$A:$A),MATCH(M$1,enemy_skill_triggers!$1:$1,0)-MATCH($F$1,enemy_skill_triggers!$1:$1,0)+1),MATCH(M$1,enemy_skill_triggers!$1:$1,0)-MATCH($F$1,enemy_skill_triggers!$1:$1,0)+1,FALSE)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3" s="48" t="str">
        <f ca="1">VLOOKUP($F443,OFFSET(enemy_skill_triggers!$A$1,0,0,COUNTA(enemy_skill_triggers!$A:$A),MATCH(N$1,enemy_skill_triggers!$1:$1,0)-MATCH($F$1,enemy_skill_triggers!$1:$1,0)+1),MATCH(N$1,enemy_skill_triggers!$1:$1,0)-MATCH($F$1,enemy_skill_triggers!$1:$1,0)+1,FALSE)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3" s="48">
        <f ca="1">VLOOKUP($F443,OFFSET(enemy_skill_triggers!$A$1,0,0,COUNTA(enemy_skill_triggers!$A:$A),MATCH(O$1,enemy_skill_triggers!$1:$1,0)-MATCH($F$1,enemy_skill_triggers!$1:$1,0)+1),MATCH(O$1,enemy_skill_triggers!$1:$1,0)-MATCH($F$1,enemy_skill_triggers!$1:$1,0)+1,FALSE)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3" s="47"/>
      <c r="Q443" s="47"/>
      <c r="R443" s="47"/>
    </row>
    <row r="444" spans="1:18" ht="21" customHeight="1" x14ac:dyDescent="0.15">
      <c r="A444" s="39" t="str">
        <f t="shared" si="34"/>
        <v>47004830_47004832</v>
      </c>
      <c r="B444" s="109">
        <v>47004830</v>
      </c>
      <c r="C444" s="47">
        <v>47004832</v>
      </c>
      <c r="D444" s="46" t="str">
        <f ca="1">VLOOKUP($C444,OFFSET(enemy_skills!$A$1,0,0,COUNTA(enemy_skills!$A:$A),MATCH(D$1,enemy_skills!$1:$1,0)-MATCH("enemy_skill_id",enemy_skills!$1:$1,0)+1),MATCH(D$1,enemy_skills!$1:$1,0)-MATCH("enemy_skill_id",enemy_skills!$1:$1,0)+1,FALSE)</f>
        <v>心が燃えていれば_x000D_寒さなんか感じないってね！</v>
      </c>
      <c r="E444" s="46" t="str">
        <f ca="1">VLOOKUP($C444,OFFSET(enemy_skills!$A$1,0,0,COUNTA(enemy_skills!$A:$A),MATCH(E$1,enemy_skills!$1:$1,0)-MATCH("enemy_skill_id",enemy_skills!$1:$1,0)+1),MATCH(E$1,enemy_skills!$1:$1,0)-MATCH("enemy_skill_id",enemy_skills!$1:$1,0)+1,FALSE)</f>
        <v>2回連続全体攻撃+_x000D_ハートパネルを赤のダメージパネルに変換</v>
      </c>
      <c r="F444" s="47">
        <v>47004832</v>
      </c>
      <c r="G444" s="48">
        <f ca="1">VLOOKUP($F444,OFFSET(enemy_skill_triggers!$A$1,0,0,COUNTA(enemy_skill_triggers!$A:$A),MATCH(G$1,enemy_skill_triggers!$1:$1,0)-MATCH($F$1,enemy_skill_triggers!$1:$1,0)+1),MATCH(G$1,enemy_skill_triggers!$1:$1,0)-MATCH($F$1,enemy_skill_triggers!$1:$1,0)+1,FALSE)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4" s="48">
        <f ca="1">VLOOKUP($F444,OFFSET(enemy_skill_triggers!$A$1,0,0,COUNTA(enemy_skill_triggers!$A:$A),MATCH(H$1,enemy_skill_triggers!$1:$1,0)-MATCH($F$1,enemy_skill_triggers!$1:$1,0)+1),MATCH(H$1,enemy_skill_triggers!$1:$1,0)-MATCH($F$1,enemy_skill_triggers!$1:$1,0)+1,FALSE)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44" s="48">
        <f ca="1">VLOOKUP($F444,OFFSET(enemy_skill_triggers!$A$1,0,0,COUNTA(enemy_skill_triggers!$A:$A),MATCH(I$1,enemy_skill_triggers!$1:$1,0)-MATCH($F$1,enemy_skill_triggers!$1:$1,0)+1),MATCH(I$1,enemy_skill_triggers!$1:$1,0)-MATCH($F$1,enemy_skill_triggers!$1:$1,0)+1,FALSE)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4" s="48" t="str">
        <f ca="1">VLOOKUP($F444,OFFSET(enemy_skill_triggers!$A$1,0,0,COUNTA(enemy_skill_triggers!$A:$A),MATCH(J$1,enemy_skill_triggers!$1:$1,0)-MATCH($F$1,enemy_skill_triggers!$1:$1,0)+1),MATCH(J$1,enemy_skill_triggers!$1:$1,0)-MATCH($F$1,enemy_skill_triggers!$1:$1,0)+1,FALSE)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4" s="48" t="str">
        <f ca="1">VLOOKUP($F444,OFFSET(enemy_skill_triggers!$A$1,0,0,COUNTA(enemy_skill_triggers!$A:$A),MATCH(K$1,enemy_skill_triggers!$1:$1,0)-MATCH($F$1,enemy_skill_triggers!$1:$1,0)+1),MATCH(K$1,enemy_skill_triggers!$1:$1,0)-MATCH($F$1,enemy_skill_triggers!$1:$1,0)+1,FALSE)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4" s="48">
        <f ca="1">VLOOKUP($F444,OFFSET(enemy_skill_triggers!$A$1,0,0,COUNTA(enemy_skill_triggers!$A:$A),MATCH(L$1,enemy_skill_triggers!$1:$1,0)-MATCH($F$1,enemy_skill_triggers!$1:$1,0)+1),MATCH(L$1,enemy_skill_triggers!$1:$1,0)-MATCH($F$1,enemy_skill_triggers!$1:$1,0)+1,FALSE)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4" s="48">
        <f ca="1">VLOOKUP($F444,OFFSET(enemy_skill_triggers!$A$1,0,0,COUNTA(enemy_skill_triggers!$A:$A),MATCH(M$1,enemy_skill_triggers!$1:$1,0)-MATCH($F$1,enemy_skill_triggers!$1:$1,0)+1),MATCH(M$1,enemy_skill_triggers!$1:$1,0)-MATCH($F$1,enemy_skill_triggers!$1:$1,0)+1,FALSE)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4" s="48" t="str">
        <f ca="1">VLOOKUP($F444,OFFSET(enemy_skill_triggers!$A$1,0,0,COUNTA(enemy_skill_triggers!$A:$A),MATCH(N$1,enemy_skill_triggers!$1:$1,0)-MATCH($F$1,enemy_skill_triggers!$1:$1,0)+1),MATCH(N$1,enemy_skill_triggers!$1:$1,0)-MATCH($F$1,enemy_skill_triggers!$1:$1,0)+1,FALSE)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4" s="48">
        <f ca="1">VLOOKUP($F444,OFFSET(enemy_skill_triggers!$A$1,0,0,COUNTA(enemy_skill_triggers!$A:$A),MATCH(O$1,enemy_skill_triggers!$1:$1,0)-MATCH($F$1,enemy_skill_triggers!$1:$1,0)+1),MATCH(O$1,enemy_skill_triggers!$1:$1,0)-MATCH($F$1,enemy_skill_triggers!$1:$1,0)+1,FALSE)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4" s="47"/>
      <c r="Q444" s="47"/>
      <c r="R444" s="47"/>
    </row>
    <row r="445" spans="1:18" ht="21" customHeight="1" x14ac:dyDescent="0.15">
      <c r="A445" s="39" t="str">
        <f t="shared" si="34"/>
        <v>47004830_47004833</v>
      </c>
      <c r="B445" s="109">
        <v>47004830</v>
      </c>
      <c r="C445" s="47">
        <v>47004833</v>
      </c>
      <c r="D445" s="46" t="str">
        <f ca="1">VLOOKUP($C445,OFFSET(enemy_skills!$A$1,0,0,COUNTA(enemy_skills!$A:$A),MATCH(D$1,enemy_skills!$1:$1,0)-MATCH("enemy_skill_id",enemy_skills!$1:$1,0)+1),MATCH(D$1,enemy_skills!$1:$1,0)-MATCH("enemy_skill_id",enemy_skills!$1:$1,0)+1,FALSE)</f>
        <v>急いでるんでな！_x000D_飛ばしていくぜ！</v>
      </c>
      <c r="E445" s="46" t="str">
        <f ca="1">VLOOKUP($C445,OFFSET(enemy_skills!$A$1,0,0,COUNTA(enemy_skills!$A:$A),MATCH(E$1,enemy_skills!$1:$1,0)-MATCH("enemy_skill_id",enemy_skills!$1:$1,0)+1),MATCH(E$1,enemy_skills!$1:$1,0)-MATCH("enemy_skill_id",enemy_skills!$1:$1,0)+1,FALSE)</f>
        <v>青パネルを赤パネルに10個変換+単体攻撃+行動頻度UP</v>
      </c>
      <c r="F445" s="47">
        <v>47004833</v>
      </c>
      <c r="G445" s="48">
        <f ca="1">VLOOKUP($F445,OFFSET(enemy_skill_triggers!$A$1,0,0,COUNTA(enemy_skill_triggers!$A:$A),MATCH(G$1,enemy_skill_triggers!$1:$1,0)-MATCH($F$1,enemy_skill_triggers!$1:$1,0)+1),MATCH(G$1,enemy_skill_triggers!$1:$1,0)-MATCH($F$1,enemy_skill_triggers!$1:$1,0)+1,FALSE)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5" s="48">
        <f ca="1">VLOOKUP($F445,OFFSET(enemy_skill_triggers!$A$1,0,0,COUNTA(enemy_skill_triggers!$A:$A),MATCH(H$1,enemy_skill_triggers!$1:$1,0)-MATCH($F$1,enemy_skill_triggers!$1:$1,0)+1),MATCH(H$1,enemy_skill_triggers!$1:$1,0)-MATCH($F$1,enemy_skill_triggers!$1:$1,0)+1,FALSE)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445" s="48">
        <f ca="1">VLOOKUP($F445,OFFSET(enemy_skill_triggers!$A$1,0,0,COUNTA(enemy_skill_triggers!$A:$A),MATCH(I$1,enemy_skill_triggers!$1:$1,0)-MATCH($F$1,enemy_skill_triggers!$1:$1,0)+1),MATCH(I$1,enemy_skill_triggers!$1:$1,0)-MATCH($F$1,enemy_skill_triggers!$1:$1,0)+1,FALSE)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5" s="48" t="str">
        <f ca="1">VLOOKUP($F445,OFFSET(enemy_skill_triggers!$A$1,0,0,COUNTA(enemy_skill_triggers!$A:$A),MATCH(J$1,enemy_skill_triggers!$1:$1,0)-MATCH($F$1,enemy_skill_triggers!$1:$1,0)+1),MATCH(J$1,enemy_skill_triggers!$1:$1,0)-MATCH($F$1,enemy_skill_triggers!$1:$1,0)+1,FALSE)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5" s="48" t="str">
        <f ca="1">VLOOKUP($F445,OFFSET(enemy_skill_triggers!$A$1,0,0,COUNTA(enemy_skill_triggers!$A:$A),MATCH(K$1,enemy_skill_triggers!$1:$1,0)-MATCH($F$1,enemy_skill_triggers!$1:$1,0)+1),MATCH(K$1,enemy_skill_triggers!$1:$1,0)-MATCH($F$1,enemy_skill_triggers!$1:$1,0)+1,FALSE)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5" s="48">
        <f ca="1">VLOOKUP($F445,OFFSET(enemy_skill_triggers!$A$1,0,0,COUNTA(enemy_skill_triggers!$A:$A),MATCH(L$1,enemy_skill_triggers!$1:$1,0)-MATCH($F$1,enemy_skill_triggers!$1:$1,0)+1),MATCH(L$1,enemy_skill_triggers!$1:$1,0)-MATCH($F$1,enemy_skill_triggers!$1:$1,0)+1,FALSE)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5" s="48">
        <f ca="1">VLOOKUP($F445,OFFSET(enemy_skill_triggers!$A$1,0,0,COUNTA(enemy_skill_triggers!$A:$A),MATCH(M$1,enemy_skill_triggers!$1:$1,0)-MATCH($F$1,enemy_skill_triggers!$1:$1,0)+1),MATCH(M$1,enemy_skill_triggers!$1:$1,0)-MATCH($F$1,enemy_skill_triggers!$1:$1,0)+1,FALSE)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45" s="48" t="str">
        <f ca="1">VLOOKUP($F445,OFFSET(enemy_skill_triggers!$A$1,0,0,COUNTA(enemy_skill_triggers!$A:$A),MATCH(N$1,enemy_skill_triggers!$1:$1,0)-MATCH($F$1,enemy_skill_triggers!$1:$1,0)+1),MATCH(N$1,enemy_skill_triggers!$1:$1,0)-MATCH($F$1,enemy_skill_triggers!$1:$1,0)+1,FALSE)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5" s="48">
        <f ca="1">VLOOKUP($F445,OFFSET(enemy_skill_triggers!$A$1,0,0,COUNTA(enemy_skill_triggers!$A:$A),MATCH(O$1,enemy_skill_triggers!$1:$1,0)-MATCH($F$1,enemy_skill_triggers!$1:$1,0)+1),MATCH(O$1,enemy_skill_triggers!$1:$1,0)-MATCH($F$1,enemy_skill_triggers!$1:$1,0)+1,FALSE)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5" s="47"/>
      <c r="Q445" s="47"/>
      <c r="R445" s="47"/>
    </row>
    <row r="446" spans="1:18" ht="21" customHeight="1" x14ac:dyDescent="0.15">
      <c r="A446" s="39" t="str">
        <f t="shared" si="34"/>
        <v>47004830_47004834</v>
      </c>
      <c r="B446" s="109">
        <v>47004830</v>
      </c>
      <c r="C446" s="47">
        <v>47004834</v>
      </c>
      <c r="D446" s="46" t="str">
        <f ca="1">VLOOKUP($C446,OFFSET(enemy_skills!$A$1,0,0,COUNTA(enemy_skills!$A:$A),MATCH(D$1,enemy_skills!$1:$1,0)-MATCH("enemy_skill_id",enemy_skills!$1:$1,0)+1),MATCH(D$1,enemy_skills!$1:$1,0)-MATCH("enemy_skill_id",enemy_skills!$1:$1,0)+1,FALSE)</f>
        <v>聖夜のエキゾーストノート</v>
      </c>
      <c r="E446" s="46" t="str">
        <f ca="1">VLOOKUP($C446,OFFSET(enemy_skills!$A$1,0,0,COUNTA(enemy_skills!$A:$A),MATCH(E$1,enemy_skills!$1:$1,0)-MATCH("enemy_skill_id",enemy_skills!$1:$1,0)+1),MATCH(E$1,enemy_skills!$1:$1,0)-MATCH("enemy_skill_id",enemy_skills!$1:$1,0)+1,FALSE)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46" s="47">
        <v>47004834</v>
      </c>
      <c r="G446" s="48">
        <f ca="1">VLOOKUP($F446,OFFSET(enemy_skill_triggers!$A$1,0,0,COUNTA(enemy_skill_triggers!$A:$A),MATCH(G$1,enemy_skill_triggers!$1:$1,0)-MATCH($F$1,enemy_skill_triggers!$1:$1,0)+1),MATCH(G$1,enemy_skill_triggers!$1:$1,0)-MATCH($F$1,enemy_skill_triggers!$1:$1,0)+1,FALSE)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6" s="48">
        <f ca="1">VLOOKUP($F446,OFFSET(enemy_skill_triggers!$A$1,0,0,COUNTA(enemy_skill_triggers!$A:$A),MATCH(H$1,enemy_skill_triggers!$1:$1,0)-MATCH($F$1,enemy_skill_triggers!$1:$1,0)+1),MATCH(H$1,enemy_skill_triggers!$1:$1,0)-MATCH($F$1,enemy_skill_triggers!$1:$1,0)+1,FALSE)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46" s="48">
        <f ca="1">VLOOKUP($F446,OFFSET(enemy_skill_triggers!$A$1,0,0,COUNTA(enemy_skill_triggers!$A:$A),MATCH(I$1,enemy_skill_triggers!$1:$1,0)-MATCH($F$1,enemy_skill_triggers!$1:$1,0)+1),MATCH(I$1,enemy_skill_triggers!$1:$1,0)-MATCH($F$1,enemy_skill_triggers!$1:$1,0)+1,FALSE)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6" s="48" t="str">
        <f ca="1">VLOOKUP($F446,OFFSET(enemy_skill_triggers!$A$1,0,0,COUNTA(enemy_skill_triggers!$A:$A),MATCH(J$1,enemy_skill_triggers!$1:$1,0)-MATCH($F$1,enemy_skill_triggers!$1:$1,0)+1),MATCH(J$1,enemy_skill_triggers!$1:$1,0)-MATCH($F$1,enemy_skill_triggers!$1:$1,0)+1,FALSE)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6" s="48" t="str">
        <f ca="1">VLOOKUP($F446,OFFSET(enemy_skill_triggers!$A$1,0,0,COUNTA(enemy_skill_triggers!$A:$A),MATCH(K$1,enemy_skill_triggers!$1:$1,0)-MATCH($F$1,enemy_skill_triggers!$1:$1,0)+1),MATCH(K$1,enemy_skill_triggers!$1:$1,0)-MATCH($F$1,enemy_skill_triggers!$1:$1,0)+1,FALSE)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6" s="48" t="str">
        <f ca="1">VLOOKUP($F446,OFFSET(enemy_skill_triggers!$A$1,0,0,COUNTA(enemy_skill_triggers!$A:$A),MATCH(L$1,enemy_skill_triggers!$1:$1,0)-MATCH($F$1,enemy_skill_triggers!$1:$1,0)+1),MATCH(L$1,enemy_skill_triggers!$1:$1,0)-MATCH($F$1,enemy_skill_triggers!$1:$1,0)+1,FALSE)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6" s="48">
        <f ca="1">VLOOKUP($F446,OFFSET(enemy_skill_triggers!$A$1,0,0,COUNTA(enemy_skill_triggers!$A:$A),MATCH(M$1,enemy_skill_triggers!$1:$1,0)-MATCH($F$1,enemy_skill_triggers!$1:$1,0)+1),MATCH(M$1,enemy_skill_triggers!$1:$1,0)-MATCH($F$1,enemy_skill_triggers!$1:$1,0)+1,FALSE)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46" s="48" t="str">
        <f ca="1">VLOOKUP($F446,OFFSET(enemy_skill_triggers!$A$1,0,0,COUNTA(enemy_skill_triggers!$A:$A),MATCH(N$1,enemy_skill_triggers!$1:$1,0)-MATCH($F$1,enemy_skill_triggers!$1:$1,0)+1),MATCH(N$1,enemy_skill_triggers!$1:$1,0)-MATCH($F$1,enemy_skill_triggers!$1:$1,0)+1,FALSE)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6" s="48">
        <f ca="1">VLOOKUP($F446,OFFSET(enemy_skill_triggers!$A$1,0,0,COUNTA(enemy_skill_triggers!$A:$A),MATCH(O$1,enemy_skill_triggers!$1:$1,0)-MATCH($F$1,enemy_skill_triggers!$1:$1,0)+1),MATCH(O$1,enemy_skill_triggers!$1:$1,0)-MATCH($F$1,enemy_skill_triggers!$1:$1,0)+1,FALSE)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6" s="47"/>
      <c r="Q446" s="47"/>
      <c r="R446" s="47"/>
    </row>
    <row r="447" spans="1:18" ht="21" customHeight="1" x14ac:dyDescent="0.15">
      <c r="A447" s="39" t="str">
        <f t="shared" si="34"/>
        <v>47004830_47004835</v>
      </c>
      <c r="B447" s="109">
        <v>47004830</v>
      </c>
      <c r="C447" s="47">
        <v>47004835</v>
      </c>
      <c r="D447" s="46" t="str">
        <f ca="1">VLOOKUP($C447,OFFSET(enemy_skills!$A$1,0,0,COUNTA(enemy_skills!$A:$A),MATCH(D$1,enemy_skills!$1:$1,0)-MATCH("enemy_skill_id",enemy_skills!$1:$1,0)+1),MATCH(D$1,enemy_skills!$1:$1,0)-MATCH("enemy_skill_id",enemy_skills!$1:$1,0)+1,FALSE)</f>
        <v>なんだ、雪だるまならさっき見かけたぜ</v>
      </c>
      <c r="E447" s="46" t="str">
        <f ca="1">VLOOKUP($C447,OFFSET(enemy_skills!$A$1,0,0,COUNTA(enemy_skills!$A:$A),MATCH(E$1,enemy_skills!$1:$1,0)-MATCH("enemy_skill_id",enemy_skills!$1:$1,0)+1),MATCH(E$1,enemy_skills!$1:$1,0)-MATCH("enemy_skill_id",enemy_skills!$1:$1,0)+1,FALSE)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447" s="47">
        <v>47004835</v>
      </c>
      <c r="G447" s="48">
        <f ca="1">VLOOKUP($F447,OFFSET(enemy_skill_triggers!$A$1,0,0,COUNTA(enemy_skill_triggers!$A:$A),MATCH(G$1,enemy_skill_triggers!$1:$1,0)-MATCH($F$1,enemy_skill_triggers!$1:$1,0)+1),MATCH(G$1,enemy_skill_triggers!$1:$1,0)-MATCH($F$1,enemy_skill_triggers!$1:$1,0)+1,FALSE)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7" s="48">
        <f ca="1">VLOOKUP($F447,OFFSET(enemy_skill_triggers!$A$1,0,0,COUNTA(enemy_skill_triggers!$A:$A),MATCH(H$1,enemy_skill_triggers!$1:$1,0)-MATCH($F$1,enemy_skill_triggers!$1:$1,0)+1),MATCH(H$1,enemy_skill_triggers!$1:$1,0)-MATCH($F$1,enemy_skill_triggers!$1:$1,0)+1,FALSE)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447" s="48">
        <f ca="1">VLOOKUP($F447,OFFSET(enemy_skill_triggers!$A$1,0,0,COUNTA(enemy_skill_triggers!$A:$A),MATCH(I$1,enemy_skill_triggers!$1:$1,0)-MATCH($F$1,enemy_skill_triggers!$1:$1,0)+1),MATCH(I$1,enemy_skill_triggers!$1:$1,0)-MATCH($F$1,enemy_skill_triggers!$1:$1,0)+1,FALSE)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7" s="48">
        <f ca="1">VLOOKUP($F447,OFFSET(enemy_skill_triggers!$A$1,0,0,COUNTA(enemy_skill_triggers!$A:$A),MATCH(J$1,enemy_skill_triggers!$1:$1,0)-MATCH($F$1,enemy_skill_triggers!$1:$1,0)+1),MATCH(J$1,enemy_skill_triggers!$1:$1,0)-MATCH($F$1,enemy_skill_triggers!$1:$1,0)+1,FALSE)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47" s="48" t="str">
        <f ca="1">VLOOKUP($F447,OFFSET(enemy_skill_triggers!$A$1,0,0,COUNTA(enemy_skill_triggers!$A:$A),MATCH(K$1,enemy_skill_triggers!$1:$1,0)-MATCH($F$1,enemy_skill_triggers!$1:$1,0)+1),MATCH(K$1,enemy_skill_triggers!$1:$1,0)-MATCH($F$1,enemy_skill_triggers!$1:$1,0)+1,FALSE)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7" s="48">
        <f ca="1">VLOOKUP($F447,OFFSET(enemy_skill_triggers!$A$1,0,0,COUNTA(enemy_skill_triggers!$A:$A),MATCH(L$1,enemy_skill_triggers!$1:$1,0)-MATCH($F$1,enemy_skill_triggers!$1:$1,0)+1),MATCH(L$1,enemy_skill_triggers!$1:$1,0)-MATCH($F$1,enemy_skill_triggers!$1:$1,0)+1,FALSE)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7" s="48">
        <f ca="1">VLOOKUP($F447,OFFSET(enemy_skill_triggers!$A$1,0,0,COUNTA(enemy_skill_triggers!$A:$A),MATCH(M$1,enemy_skill_triggers!$1:$1,0)-MATCH($F$1,enemy_skill_triggers!$1:$1,0)+1),MATCH(M$1,enemy_skill_triggers!$1:$1,0)-MATCH($F$1,enemy_skill_triggers!$1:$1,0)+1,FALSE)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7" s="48" t="str">
        <f ca="1">VLOOKUP($F447,OFFSET(enemy_skill_triggers!$A$1,0,0,COUNTA(enemy_skill_triggers!$A:$A),MATCH(N$1,enemy_skill_triggers!$1:$1,0)-MATCH($F$1,enemy_skill_triggers!$1:$1,0)+1),MATCH(N$1,enemy_skill_triggers!$1:$1,0)-MATCH($F$1,enemy_skill_triggers!$1:$1,0)+1,FALSE)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7" s="48">
        <f ca="1">VLOOKUP($F447,OFFSET(enemy_skill_triggers!$A$1,0,0,COUNTA(enemy_skill_triggers!$A:$A),MATCH(O$1,enemy_skill_triggers!$1:$1,0)-MATCH($F$1,enemy_skill_triggers!$1:$1,0)+1),MATCH(O$1,enemy_skill_triggers!$1:$1,0)-MATCH($F$1,enemy_skill_triggers!$1:$1,0)+1,FALSE)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7" s="47"/>
      <c r="Q447" s="47"/>
      <c r="R447" s="47"/>
    </row>
    <row r="448" spans="1:18" ht="21" customHeight="1" x14ac:dyDescent="0.15">
      <c r="A448" s="39" t="str">
        <f t="shared" si="34"/>
        <v>47004830_47004836</v>
      </c>
      <c r="B448" s="109">
        <v>47004830</v>
      </c>
      <c r="C448" s="47">
        <v>47004836</v>
      </c>
      <c r="D448" s="46" t="str">
        <f ca="1">VLOOKUP($C448,OFFSET(enemy_skills!$A$1,0,0,COUNTA(enemy_skills!$A:$A),MATCH(D$1,enemy_skills!$1:$1,0)-MATCH("enemy_skill_id",enemy_skills!$1:$1,0)+1),MATCH(D$1,enemy_skills!$1:$1,0)-MATCH("enemy_skill_id",enemy_skills!$1:$1,0)+1,FALSE)</f>
        <v>さーて、ラチカ！みんなを驚かす為に_x000D_手伝ってくれよな！</v>
      </c>
      <c r="E448" s="46" t="str">
        <f ca="1">VLOOKUP($C448,OFFSET(enemy_skills!$A$1,0,0,COUNTA(enemy_skills!$A:$A),MATCH(E$1,enemy_skills!$1:$1,0)-MATCH("enemy_skill_id",enemy_skills!$1:$1,0)+1),MATCH(E$1,enemy_skills!$1:$1,0)-MATCH("enemy_skill_id",enemy_skills!$1:$1,0)+1,FALSE)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48" s="47">
        <v>47004836</v>
      </c>
      <c r="G448" s="48">
        <f ca="1">VLOOKUP($F448,OFFSET(enemy_skill_triggers!$A$1,0,0,COUNTA(enemy_skill_triggers!$A:$A),MATCH(G$1,enemy_skill_triggers!$1:$1,0)-MATCH($F$1,enemy_skill_triggers!$1:$1,0)+1),MATCH(G$1,enemy_skill_triggers!$1:$1,0)-MATCH($F$1,enemy_skill_triggers!$1:$1,0)+1,FALSE)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8" s="48">
        <f ca="1">VLOOKUP($F448,OFFSET(enemy_skill_triggers!$A$1,0,0,COUNTA(enemy_skill_triggers!$A:$A),MATCH(H$1,enemy_skill_triggers!$1:$1,0)-MATCH($F$1,enemy_skill_triggers!$1:$1,0)+1),MATCH(H$1,enemy_skill_triggers!$1:$1,0)-MATCH($F$1,enemy_skill_triggers!$1:$1,0)+1,FALSE)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448" s="48">
        <f ca="1">VLOOKUP($F448,OFFSET(enemy_skill_triggers!$A$1,0,0,COUNTA(enemy_skill_triggers!$A:$A),MATCH(I$1,enemy_skill_triggers!$1:$1,0)-MATCH($F$1,enemy_skill_triggers!$1:$1,0)+1),MATCH(I$1,enemy_skill_triggers!$1:$1,0)-MATCH($F$1,enemy_skill_triggers!$1:$1,0)+1,FALSE)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8" s="48" t="str">
        <f ca="1">VLOOKUP($F448,OFFSET(enemy_skill_triggers!$A$1,0,0,COUNTA(enemy_skill_triggers!$A:$A),MATCH(J$1,enemy_skill_triggers!$1:$1,0)-MATCH($F$1,enemy_skill_triggers!$1:$1,0)+1),MATCH(J$1,enemy_skill_triggers!$1:$1,0)-MATCH($F$1,enemy_skill_triggers!$1:$1,0)+1,FALSE)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8" s="48" t="str">
        <f ca="1">VLOOKUP($F448,OFFSET(enemy_skill_triggers!$A$1,0,0,COUNTA(enemy_skill_triggers!$A:$A),MATCH(K$1,enemy_skill_triggers!$1:$1,0)-MATCH($F$1,enemy_skill_triggers!$1:$1,0)+1),MATCH(K$1,enemy_skill_triggers!$1:$1,0)-MATCH($F$1,enemy_skill_triggers!$1:$1,0)+1,FALSE)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8" s="48">
        <f ca="1">VLOOKUP($F448,OFFSET(enemy_skill_triggers!$A$1,0,0,COUNTA(enemy_skill_triggers!$A:$A),MATCH(L$1,enemy_skill_triggers!$1:$1,0)-MATCH($F$1,enemy_skill_triggers!$1:$1,0)+1),MATCH(L$1,enemy_skill_triggers!$1:$1,0)-MATCH($F$1,enemy_skill_triggers!$1:$1,0)+1,FALSE)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8" s="48" t="str">
        <f ca="1">VLOOKUP($F448,OFFSET(enemy_skill_triggers!$A$1,0,0,COUNTA(enemy_skill_triggers!$A:$A),MATCH(M$1,enemy_skill_triggers!$1:$1,0)-MATCH($F$1,enemy_skill_triggers!$1:$1,0)+1),MATCH(M$1,enemy_skill_triggers!$1:$1,0)-MATCH($F$1,enemy_skill_triggers!$1:$1,0)+1,FALSE)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8" s="48">
        <f ca="1">VLOOKUP($F448,OFFSET(enemy_skill_triggers!$A$1,0,0,COUNTA(enemy_skill_triggers!$A:$A),MATCH(N$1,enemy_skill_triggers!$1:$1,0)-MATCH($F$1,enemy_skill_triggers!$1:$1,0)+1),MATCH(N$1,enemy_skill_triggers!$1:$1,0)-MATCH($F$1,enemy_skill_triggers!$1:$1,0)+1,FALSE)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448" s="48">
        <f ca="1">VLOOKUP($F448,OFFSET(enemy_skill_triggers!$A$1,0,0,COUNTA(enemy_skill_triggers!$A:$A),MATCH(O$1,enemy_skill_triggers!$1:$1,0)-MATCH($F$1,enemy_skill_triggers!$1:$1,0)+1),MATCH(O$1,enemy_skill_triggers!$1:$1,0)-MATCH($F$1,enemy_skill_triggers!$1:$1,0)+1,FALSE)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8" s="47"/>
      <c r="Q448" s="47"/>
      <c r="R448" s="47"/>
    </row>
    <row r="449" spans="1:18" ht="21" customHeight="1" x14ac:dyDescent="0.15">
      <c r="A449" s="39" t="str">
        <f t="shared" si="34"/>
        <v>47004830_47004836</v>
      </c>
      <c r="B449" s="109">
        <v>47004830</v>
      </c>
      <c r="C449" s="47">
        <v>47004836</v>
      </c>
      <c r="D449" s="46" t="str">
        <f ca="1">VLOOKUP($C449,OFFSET(enemy_skills!$A$1,0,0,COUNTA(enemy_skills!$A:$A),MATCH(D$1,enemy_skills!$1:$1,0)-MATCH("enemy_skill_id",enemy_skills!$1:$1,0)+1),MATCH(D$1,enemy_skills!$1:$1,0)-MATCH("enemy_skill_id",enemy_skills!$1:$1,0)+1,FALSE)</f>
        <v>さーて、ラチカ！みんなを驚かす為に_x000D_手伝ってくれよな！</v>
      </c>
      <c r="E449" s="46" t="str">
        <f ca="1">VLOOKUP($C449,OFFSET(enemy_skills!$A$1,0,0,COUNTA(enemy_skills!$A:$A),MATCH(E$1,enemy_skills!$1:$1,0)-MATCH("enemy_skill_id",enemy_skills!$1:$1,0)+1),MATCH(E$1,enemy_skills!$1:$1,0)-MATCH("enemy_skill_id",enemy_skills!$1:$1,0)+1,FALSE)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49" s="47">
        <v>47004837</v>
      </c>
      <c r="G449" s="48">
        <f ca="1">VLOOKUP($F449,OFFSET(enemy_skill_triggers!$A$1,0,0,COUNTA(enemy_skill_triggers!$A:$A),MATCH(G$1,enemy_skill_triggers!$1:$1,0)-MATCH($F$1,enemy_skill_triggers!$1:$1,0)+1),MATCH(G$1,enemy_skill_triggers!$1:$1,0)-MATCH($F$1,enemy_skill_triggers!$1:$1,0)+1,FALSE)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9" s="48">
        <f ca="1">VLOOKUP($F449,OFFSET(enemy_skill_triggers!$A$1,0,0,COUNTA(enemy_skill_triggers!$A:$A),MATCH(H$1,enemy_skill_triggers!$1:$1,0)-MATCH($F$1,enemy_skill_triggers!$1:$1,0)+1),MATCH(H$1,enemy_skill_triggers!$1:$1,0)-MATCH($F$1,enemy_skill_triggers!$1:$1,0)+1,FALSE)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449" s="48">
        <f ca="1">VLOOKUP($F449,OFFSET(enemy_skill_triggers!$A$1,0,0,COUNTA(enemy_skill_triggers!$A:$A),MATCH(I$1,enemy_skill_triggers!$1:$1,0)-MATCH($F$1,enemy_skill_triggers!$1:$1,0)+1),MATCH(I$1,enemy_skill_triggers!$1:$1,0)-MATCH($F$1,enemy_skill_triggers!$1:$1,0)+1,FALSE)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9" s="48" t="str">
        <f ca="1">VLOOKUP($F449,OFFSET(enemy_skill_triggers!$A$1,0,0,COUNTA(enemy_skill_triggers!$A:$A),MATCH(J$1,enemy_skill_triggers!$1:$1,0)-MATCH($F$1,enemy_skill_triggers!$1:$1,0)+1),MATCH(J$1,enemy_skill_triggers!$1:$1,0)-MATCH($F$1,enemy_skill_triggers!$1:$1,0)+1,FALSE)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9" s="48" t="str">
        <f ca="1">VLOOKUP($F449,OFFSET(enemy_skill_triggers!$A$1,0,0,COUNTA(enemy_skill_triggers!$A:$A),MATCH(K$1,enemy_skill_triggers!$1:$1,0)-MATCH($F$1,enemy_skill_triggers!$1:$1,0)+1),MATCH(K$1,enemy_skill_triggers!$1:$1,0)-MATCH($F$1,enemy_skill_triggers!$1:$1,0)+1,FALSE)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9" s="48">
        <f ca="1">VLOOKUP($F449,OFFSET(enemy_skill_triggers!$A$1,0,0,COUNTA(enemy_skill_triggers!$A:$A),MATCH(L$1,enemy_skill_triggers!$1:$1,0)-MATCH($F$1,enemy_skill_triggers!$1:$1,0)+1),MATCH(L$1,enemy_skill_triggers!$1:$1,0)-MATCH($F$1,enemy_skill_triggers!$1:$1,0)+1,FALSE)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9" s="48" t="str">
        <f ca="1">VLOOKUP($F449,OFFSET(enemy_skill_triggers!$A$1,0,0,COUNTA(enemy_skill_triggers!$A:$A),MATCH(M$1,enemy_skill_triggers!$1:$1,0)-MATCH($F$1,enemy_skill_triggers!$1:$1,0)+1),MATCH(M$1,enemy_skill_triggers!$1:$1,0)-MATCH($F$1,enemy_skill_triggers!$1:$1,0)+1,FALSE)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9" s="48">
        <f ca="1">VLOOKUP($F449,OFFSET(enemy_skill_triggers!$A$1,0,0,COUNTA(enemy_skill_triggers!$A:$A),MATCH(N$1,enemy_skill_triggers!$1:$1,0)-MATCH($F$1,enemy_skill_triggers!$1:$1,0)+1),MATCH(N$1,enemy_skill_triggers!$1:$1,0)-MATCH($F$1,enemy_skill_triggers!$1:$1,0)+1,FALSE)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449" s="48">
        <f ca="1">VLOOKUP($F449,OFFSET(enemy_skill_triggers!$A$1,0,0,COUNTA(enemy_skill_triggers!$A:$A),MATCH(O$1,enemy_skill_triggers!$1:$1,0)-MATCH($F$1,enemy_skill_triggers!$1:$1,0)+1),MATCH(O$1,enemy_skill_triggers!$1:$1,0)-MATCH($F$1,enemy_skill_triggers!$1:$1,0)+1,FALSE)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9" s="47"/>
      <c r="Q449" s="47"/>
      <c r="R449" s="47"/>
    </row>
    <row r="450" spans="1:18" ht="21" customHeight="1" x14ac:dyDescent="0.15">
      <c r="A450" s="39" t="str">
        <f t="shared" si="34"/>
        <v>47004830_47004837</v>
      </c>
      <c r="B450" s="109">
        <v>47004830</v>
      </c>
      <c r="C450" s="47">
        <v>47004837</v>
      </c>
      <c r="D450" s="46" t="str">
        <f ca="1">VLOOKUP($C450,OFFSET(enemy_skills!$A$1,0,0,COUNTA(enemy_skills!$A:$A),MATCH(D$1,enemy_skills!$1:$1,0)-MATCH("enemy_skill_id",enemy_skills!$1:$1,0)+1),MATCH(D$1,enemy_skills!$1:$1,0)-MATCH("enemy_skill_id",enemy_skills!$1:$1,0)+1,FALSE)</f>
        <v>やっぱりクリスマスの夜は_x000D_マリアがいなくちゃ始まらねぇな！</v>
      </c>
      <c r="E450" s="46" t="str">
        <f ca="1">VLOOKUP($C450,OFFSET(enemy_skills!$A$1,0,0,COUNTA(enemy_skills!$A:$A),MATCH(E$1,enemy_skills!$1:$1,0)-MATCH("enemy_skill_id",enemy_skills!$1:$1,0)+1),MATCH(E$1,enemy_skills!$1:$1,0)-MATCH("enemy_skill_id",enemy_skills!$1:$1,0)+1,FALSE)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50" s="47">
        <v>47004838</v>
      </c>
      <c r="G450" s="48">
        <f ca="1">VLOOKUP($F450,OFFSET(enemy_skill_triggers!$A$1,0,0,COUNTA(enemy_skill_triggers!$A:$A),MATCH(G$1,enemy_skill_triggers!$1:$1,0)-MATCH($F$1,enemy_skill_triggers!$1:$1,0)+1),MATCH(G$1,enemy_skill_triggers!$1:$1,0)-MATCH($F$1,enemy_skill_triggers!$1:$1,0)+1,FALSE)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0" s="48">
        <f ca="1">VLOOKUP($F450,OFFSET(enemy_skill_triggers!$A$1,0,0,COUNTA(enemy_skill_triggers!$A:$A),MATCH(H$1,enemy_skill_triggers!$1:$1,0)-MATCH($F$1,enemy_skill_triggers!$1:$1,0)+1),MATCH(H$1,enemy_skill_triggers!$1:$1,0)-MATCH($F$1,enemy_skill_triggers!$1:$1,0)+1,FALSE)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450" s="48">
        <f ca="1">VLOOKUP($F450,OFFSET(enemy_skill_triggers!$A$1,0,0,COUNTA(enemy_skill_triggers!$A:$A),MATCH(I$1,enemy_skill_triggers!$1:$1,0)-MATCH($F$1,enemy_skill_triggers!$1:$1,0)+1),MATCH(I$1,enemy_skill_triggers!$1:$1,0)-MATCH($F$1,enemy_skill_triggers!$1:$1,0)+1,FALSE)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0" s="48" t="str">
        <f ca="1">VLOOKUP($F450,OFFSET(enemy_skill_triggers!$A$1,0,0,COUNTA(enemy_skill_triggers!$A:$A),MATCH(J$1,enemy_skill_triggers!$1:$1,0)-MATCH($F$1,enemy_skill_triggers!$1:$1,0)+1),MATCH(J$1,enemy_skill_triggers!$1:$1,0)-MATCH($F$1,enemy_skill_triggers!$1:$1,0)+1,FALSE)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0" s="48" t="str">
        <f ca="1">VLOOKUP($F450,OFFSET(enemy_skill_triggers!$A$1,0,0,COUNTA(enemy_skill_triggers!$A:$A),MATCH(K$1,enemy_skill_triggers!$1:$1,0)-MATCH($F$1,enemy_skill_triggers!$1:$1,0)+1),MATCH(K$1,enemy_skill_triggers!$1:$1,0)-MATCH($F$1,enemy_skill_triggers!$1:$1,0)+1,FALSE)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0" s="48">
        <f ca="1">VLOOKUP($F450,OFFSET(enemy_skill_triggers!$A$1,0,0,COUNTA(enemy_skill_triggers!$A:$A),MATCH(L$1,enemy_skill_triggers!$1:$1,0)-MATCH($F$1,enemy_skill_triggers!$1:$1,0)+1),MATCH(L$1,enemy_skill_triggers!$1:$1,0)-MATCH($F$1,enemy_skill_triggers!$1:$1,0)+1,FALSE)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0" s="48" t="str">
        <f ca="1">VLOOKUP($F450,OFFSET(enemy_skill_triggers!$A$1,0,0,COUNTA(enemy_skill_triggers!$A:$A),MATCH(M$1,enemy_skill_triggers!$1:$1,0)-MATCH($F$1,enemy_skill_triggers!$1:$1,0)+1),MATCH(M$1,enemy_skill_triggers!$1:$1,0)-MATCH($F$1,enemy_skill_triggers!$1:$1,0)+1,FALSE)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0" s="48">
        <f ca="1">VLOOKUP($F450,OFFSET(enemy_skill_triggers!$A$1,0,0,COUNTA(enemy_skill_triggers!$A:$A),MATCH(N$1,enemy_skill_triggers!$1:$1,0)-MATCH($F$1,enemy_skill_triggers!$1:$1,0)+1),MATCH(N$1,enemy_skill_triggers!$1:$1,0)-MATCH($F$1,enemy_skill_triggers!$1:$1,0)+1,FALSE)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450" s="48">
        <f ca="1">VLOOKUP($F450,OFFSET(enemy_skill_triggers!$A$1,0,0,COUNTA(enemy_skill_triggers!$A:$A),MATCH(O$1,enemy_skill_triggers!$1:$1,0)-MATCH($F$1,enemy_skill_triggers!$1:$1,0)+1),MATCH(O$1,enemy_skill_triggers!$1:$1,0)-MATCH($F$1,enemy_skill_triggers!$1:$1,0)+1,FALSE)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0" s="47"/>
      <c r="Q450" s="47"/>
      <c r="R450" s="47"/>
    </row>
    <row r="451" spans="1:18" ht="21" customHeight="1" x14ac:dyDescent="0.15">
      <c r="A451" s="39" t="str">
        <f t="shared" si="34"/>
        <v>47004830_47004837</v>
      </c>
      <c r="B451" s="109">
        <v>47004830</v>
      </c>
      <c r="C451" s="47">
        <v>47004837</v>
      </c>
      <c r="D451" s="46" t="str">
        <f ca="1">VLOOKUP($C451,OFFSET(enemy_skills!$A$1,0,0,COUNTA(enemy_skills!$A:$A),MATCH(D$1,enemy_skills!$1:$1,0)-MATCH("enemy_skill_id",enemy_skills!$1:$1,0)+1),MATCH(D$1,enemy_skills!$1:$1,0)-MATCH("enemy_skill_id",enemy_skills!$1:$1,0)+1,FALSE)</f>
        <v>やっぱりクリスマスの夜は_x000D_マリアがいなくちゃ始まらねぇな！</v>
      </c>
      <c r="E451" s="46" t="str">
        <f ca="1">VLOOKUP($C451,OFFSET(enemy_skills!$A$1,0,0,COUNTA(enemy_skills!$A:$A),MATCH(E$1,enemy_skills!$1:$1,0)-MATCH("enemy_skill_id",enemy_skills!$1:$1,0)+1),MATCH(E$1,enemy_skills!$1:$1,0)-MATCH("enemy_skill_id",enemy_skills!$1:$1,0)+1,FALSE)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51" s="47">
        <v>47004839</v>
      </c>
      <c r="G451" s="48">
        <f ca="1">VLOOKUP($F451,OFFSET(enemy_skill_triggers!$A$1,0,0,COUNTA(enemy_skill_triggers!$A:$A),MATCH(G$1,enemy_skill_triggers!$1:$1,0)-MATCH($F$1,enemy_skill_triggers!$1:$1,0)+1),MATCH(G$1,enemy_skill_triggers!$1:$1,0)-MATCH($F$1,enemy_skill_triggers!$1:$1,0)+1,FALSE)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1" s="48">
        <f ca="1">VLOOKUP($F451,OFFSET(enemy_skill_triggers!$A$1,0,0,COUNTA(enemy_skill_triggers!$A:$A),MATCH(H$1,enemy_skill_triggers!$1:$1,0)-MATCH($F$1,enemy_skill_triggers!$1:$1,0)+1),MATCH(H$1,enemy_skill_triggers!$1:$1,0)-MATCH($F$1,enemy_skill_triggers!$1:$1,0)+1,FALSE)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451" s="48">
        <f ca="1">VLOOKUP($F451,OFFSET(enemy_skill_triggers!$A$1,0,0,COUNTA(enemy_skill_triggers!$A:$A),MATCH(I$1,enemy_skill_triggers!$1:$1,0)-MATCH($F$1,enemy_skill_triggers!$1:$1,0)+1),MATCH(I$1,enemy_skill_triggers!$1:$1,0)-MATCH($F$1,enemy_skill_triggers!$1:$1,0)+1,FALSE)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1" s="48" t="str">
        <f ca="1">VLOOKUP($F451,OFFSET(enemy_skill_triggers!$A$1,0,0,COUNTA(enemy_skill_triggers!$A:$A),MATCH(J$1,enemy_skill_triggers!$1:$1,0)-MATCH($F$1,enemy_skill_triggers!$1:$1,0)+1),MATCH(J$1,enemy_skill_triggers!$1:$1,0)-MATCH($F$1,enemy_skill_triggers!$1:$1,0)+1,FALSE)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1" s="48" t="str">
        <f ca="1">VLOOKUP($F451,OFFSET(enemy_skill_triggers!$A$1,0,0,COUNTA(enemy_skill_triggers!$A:$A),MATCH(K$1,enemy_skill_triggers!$1:$1,0)-MATCH($F$1,enemy_skill_triggers!$1:$1,0)+1),MATCH(K$1,enemy_skill_triggers!$1:$1,0)-MATCH($F$1,enemy_skill_triggers!$1:$1,0)+1,FALSE)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1" s="48">
        <f ca="1">VLOOKUP($F451,OFFSET(enemy_skill_triggers!$A$1,0,0,COUNTA(enemy_skill_triggers!$A:$A),MATCH(L$1,enemy_skill_triggers!$1:$1,0)-MATCH($F$1,enemy_skill_triggers!$1:$1,0)+1),MATCH(L$1,enemy_skill_triggers!$1:$1,0)-MATCH($F$1,enemy_skill_triggers!$1:$1,0)+1,FALSE)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1" s="48" t="str">
        <f ca="1">VLOOKUP($F451,OFFSET(enemy_skill_triggers!$A$1,0,0,COUNTA(enemy_skill_triggers!$A:$A),MATCH(M$1,enemy_skill_triggers!$1:$1,0)-MATCH($F$1,enemy_skill_triggers!$1:$1,0)+1),MATCH(M$1,enemy_skill_triggers!$1:$1,0)-MATCH($F$1,enemy_skill_triggers!$1:$1,0)+1,FALSE)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1" s="48">
        <f ca="1">VLOOKUP($F451,OFFSET(enemy_skill_triggers!$A$1,0,0,COUNTA(enemy_skill_triggers!$A:$A),MATCH(N$1,enemy_skill_triggers!$1:$1,0)-MATCH($F$1,enemy_skill_triggers!$1:$1,0)+1),MATCH(N$1,enemy_skill_triggers!$1:$1,0)-MATCH($F$1,enemy_skill_triggers!$1:$1,0)+1,FALSE)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451" s="48">
        <f ca="1">VLOOKUP($F451,OFFSET(enemy_skill_triggers!$A$1,0,0,COUNTA(enemy_skill_triggers!$A:$A),MATCH(O$1,enemy_skill_triggers!$1:$1,0)-MATCH($F$1,enemy_skill_triggers!$1:$1,0)+1),MATCH(O$1,enemy_skill_triggers!$1:$1,0)-MATCH($F$1,enemy_skill_triggers!$1:$1,0)+1,FALSE)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1" s="47"/>
      <c r="Q451" s="47"/>
      <c r="R451" s="47"/>
    </row>
    <row r="452" spans="1:18" ht="21" customHeight="1" x14ac:dyDescent="0.15">
      <c r="A452" s="39" t="str">
        <f t="shared" si="34"/>
        <v>47004830_47004837</v>
      </c>
      <c r="B452" s="109">
        <v>47004830</v>
      </c>
      <c r="C452" s="47">
        <v>47004837</v>
      </c>
      <c r="D452" s="46" t="str">
        <f ca="1">VLOOKUP($C452,OFFSET(enemy_skills!$A$1,0,0,COUNTA(enemy_skills!$A:$A),MATCH(D$1,enemy_skills!$1:$1,0)-MATCH("enemy_skill_id",enemy_skills!$1:$1,0)+1),MATCH(D$1,enemy_skills!$1:$1,0)-MATCH("enemy_skill_id",enemy_skills!$1:$1,0)+1,FALSE)</f>
        <v>やっぱりクリスマスの夜は_x000D_マリアがいなくちゃ始まらねぇな！</v>
      </c>
      <c r="E452" s="46" t="str">
        <f ca="1">VLOOKUP($C452,OFFSET(enemy_skills!$A$1,0,0,COUNTA(enemy_skills!$A:$A),MATCH(E$1,enemy_skills!$1:$1,0)-MATCH("enemy_skill_id",enemy_skills!$1:$1,0)+1),MATCH(E$1,enemy_skills!$1:$1,0)-MATCH("enemy_skill_id",enemy_skills!$1:$1,0)+1,FALSE)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52" s="47">
        <v>47004840</v>
      </c>
      <c r="G452" s="48">
        <f ca="1">VLOOKUP($F452,OFFSET(enemy_skill_triggers!$A$1,0,0,COUNTA(enemy_skill_triggers!$A:$A),MATCH(G$1,enemy_skill_triggers!$1:$1,0)-MATCH($F$1,enemy_skill_triggers!$1:$1,0)+1),MATCH(G$1,enemy_skill_triggers!$1:$1,0)-MATCH($F$1,enemy_skill_triggers!$1:$1,0)+1,FALSE)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2" s="48">
        <f ca="1">VLOOKUP($F452,OFFSET(enemy_skill_triggers!$A$1,0,0,COUNTA(enemy_skill_triggers!$A:$A),MATCH(H$1,enemy_skill_triggers!$1:$1,0)-MATCH($F$1,enemy_skill_triggers!$1:$1,0)+1),MATCH(H$1,enemy_skill_triggers!$1:$1,0)-MATCH($F$1,enemy_skill_triggers!$1:$1,0)+1,FALSE)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452" s="48">
        <f ca="1">VLOOKUP($F452,OFFSET(enemy_skill_triggers!$A$1,0,0,COUNTA(enemy_skill_triggers!$A:$A),MATCH(I$1,enemy_skill_triggers!$1:$1,0)-MATCH($F$1,enemy_skill_triggers!$1:$1,0)+1),MATCH(I$1,enemy_skill_triggers!$1:$1,0)-MATCH($F$1,enemy_skill_triggers!$1:$1,0)+1,FALSE)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2" s="48" t="str">
        <f ca="1">VLOOKUP($F452,OFFSET(enemy_skill_triggers!$A$1,0,0,COUNTA(enemy_skill_triggers!$A:$A),MATCH(J$1,enemy_skill_triggers!$1:$1,0)-MATCH($F$1,enemy_skill_triggers!$1:$1,0)+1),MATCH(J$1,enemy_skill_triggers!$1:$1,0)-MATCH($F$1,enemy_skill_triggers!$1:$1,0)+1,FALSE)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2" s="48" t="str">
        <f ca="1">VLOOKUP($F452,OFFSET(enemy_skill_triggers!$A$1,0,0,COUNTA(enemy_skill_triggers!$A:$A),MATCH(K$1,enemy_skill_triggers!$1:$1,0)-MATCH($F$1,enemy_skill_triggers!$1:$1,0)+1),MATCH(K$1,enemy_skill_triggers!$1:$1,0)-MATCH($F$1,enemy_skill_triggers!$1:$1,0)+1,FALSE)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2" s="48">
        <f ca="1">VLOOKUP($F452,OFFSET(enemy_skill_triggers!$A$1,0,0,COUNTA(enemy_skill_triggers!$A:$A),MATCH(L$1,enemy_skill_triggers!$1:$1,0)-MATCH($F$1,enemy_skill_triggers!$1:$1,0)+1),MATCH(L$1,enemy_skill_triggers!$1:$1,0)-MATCH($F$1,enemy_skill_triggers!$1:$1,0)+1,FALSE)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2" s="48" t="str">
        <f ca="1">VLOOKUP($F452,OFFSET(enemy_skill_triggers!$A$1,0,0,COUNTA(enemy_skill_triggers!$A:$A),MATCH(M$1,enemy_skill_triggers!$1:$1,0)-MATCH($F$1,enemy_skill_triggers!$1:$1,0)+1),MATCH(M$1,enemy_skill_triggers!$1:$1,0)-MATCH($F$1,enemy_skill_triggers!$1:$1,0)+1,FALSE)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2" s="48">
        <f ca="1">VLOOKUP($F452,OFFSET(enemy_skill_triggers!$A$1,0,0,COUNTA(enemy_skill_triggers!$A:$A),MATCH(N$1,enemy_skill_triggers!$1:$1,0)-MATCH($F$1,enemy_skill_triggers!$1:$1,0)+1),MATCH(N$1,enemy_skill_triggers!$1:$1,0)-MATCH($F$1,enemy_skill_triggers!$1:$1,0)+1,FALSE)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452" s="48">
        <f ca="1">VLOOKUP($F452,OFFSET(enemy_skill_triggers!$A$1,0,0,COUNTA(enemy_skill_triggers!$A:$A),MATCH(O$1,enemy_skill_triggers!$1:$1,0)-MATCH($F$1,enemy_skill_triggers!$1:$1,0)+1),MATCH(O$1,enemy_skill_triggers!$1:$1,0)-MATCH($F$1,enemy_skill_triggers!$1:$1,0)+1,FALSE)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2" s="47"/>
      <c r="Q452" s="47"/>
      <c r="R452" s="47"/>
    </row>
    <row r="453" spans="1:18" ht="21" customHeight="1" x14ac:dyDescent="0.15">
      <c r="A453" s="39" t="str">
        <f t="shared" si="34"/>
        <v>47004830_47004838</v>
      </c>
      <c r="B453" s="109">
        <v>47004830</v>
      </c>
      <c r="C453" s="47">
        <v>47004838</v>
      </c>
      <c r="D453" s="46" t="str">
        <f ca="1">VLOOKUP($C453,OFFSET(enemy_skills!$A$1,0,0,COUNTA(enemy_skills!$A:$A),MATCH(D$1,enemy_skills!$1:$1,0)-MATCH("enemy_skill_id",enemy_skills!$1:$1,0)+1),MATCH(D$1,enemy_skills!$1:$1,0)-MATCH("enemy_skill_id",enemy_skills!$1:$1,0)+1,FALSE)</f>
        <v>ミカエル！今年も_x000D_かっ飛ばしていこうぜ！</v>
      </c>
      <c r="E453" s="46" t="str">
        <f ca="1">VLOOKUP($C453,OFFSET(enemy_skills!$A$1,0,0,COUNTA(enemy_skills!$A:$A),MATCH(E$1,enemy_skills!$1:$1,0)-MATCH("enemy_skill_id",enemy_skills!$1:$1,0)+1),MATCH(E$1,enemy_skills!$1:$1,0)-MATCH("enemy_skill_id",enemy_skills!$1:$1,0)+1,FALSE)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53" s="47">
        <v>47004841</v>
      </c>
      <c r="G453" s="48">
        <f ca="1">VLOOKUP($F453,OFFSET(enemy_skill_triggers!$A$1,0,0,COUNTA(enemy_skill_triggers!$A:$A),MATCH(G$1,enemy_skill_triggers!$1:$1,0)-MATCH($F$1,enemy_skill_triggers!$1:$1,0)+1),MATCH(G$1,enemy_skill_triggers!$1:$1,0)-MATCH($F$1,enemy_skill_triggers!$1:$1,0)+1,FALSE)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3" s="48">
        <f ca="1">VLOOKUP($F453,OFFSET(enemy_skill_triggers!$A$1,0,0,COUNTA(enemy_skill_triggers!$A:$A),MATCH(H$1,enemy_skill_triggers!$1:$1,0)-MATCH($F$1,enemy_skill_triggers!$1:$1,0)+1),MATCH(H$1,enemy_skill_triggers!$1:$1,0)-MATCH($F$1,enemy_skill_triggers!$1:$1,0)+1,FALSE)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453" s="48">
        <f ca="1">VLOOKUP($F453,OFFSET(enemy_skill_triggers!$A$1,0,0,COUNTA(enemy_skill_triggers!$A:$A),MATCH(I$1,enemy_skill_triggers!$1:$1,0)-MATCH($F$1,enemy_skill_triggers!$1:$1,0)+1),MATCH(I$1,enemy_skill_triggers!$1:$1,0)-MATCH($F$1,enemy_skill_triggers!$1:$1,0)+1,FALSE)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3" s="48" t="str">
        <f ca="1">VLOOKUP($F453,OFFSET(enemy_skill_triggers!$A$1,0,0,COUNTA(enemy_skill_triggers!$A:$A),MATCH(J$1,enemy_skill_triggers!$1:$1,0)-MATCH($F$1,enemy_skill_triggers!$1:$1,0)+1),MATCH(J$1,enemy_skill_triggers!$1:$1,0)-MATCH($F$1,enemy_skill_triggers!$1:$1,0)+1,FALSE)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3" s="48" t="str">
        <f ca="1">VLOOKUP($F453,OFFSET(enemy_skill_triggers!$A$1,0,0,COUNTA(enemy_skill_triggers!$A:$A),MATCH(K$1,enemy_skill_triggers!$1:$1,0)-MATCH($F$1,enemy_skill_triggers!$1:$1,0)+1),MATCH(K$1,enemy_skill_triggers!$1:$1,0)-MATCH($F$1,enemy_skill_triggers!$1:$1,0)+1,FALSE)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3" s="48">
        <f ca="1">VLOOKUP($F453,OFFSET(enemy_skill_triggers!$A$1,0,0,COUNTA(enemy_skill_triggers!$A:$A),MATCH(L$1,enemy_skill_triggers!$1:$1,0)-MATCH($F$1,enemy_skill_triggers!$1:$1,0)+1),MATCH(L$1,enemy_skill_triggers!$1:$1,0)-MATCH($F$1,enemy_skill_triggers!$1:$1,0)+1,FALSE)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3" s="48" t="str">
        <f ca="1">VLOOKUP($F453,OFFSET(enemy_skill_triggers!$A$1,0,0,COUNTA(enemy_skill_triggers!$A:$A),MATCH(M$1,enemy_skill_triggers!$1:$1,0)-MATCH($F$1,enemy_skill_triggers!$1:$1,0)+1),MATCH(M$1,enemy_skill_triggers!$1:$1,0)-MATCH($F$1,enemy_skill_triggers!$1:$1,0)+1,FALSE)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3" s="48">
        <f ca="1">VLOOKUP($F453,OFFSET(enemy_skill_triggers!$A$1,0,0,COUNTA(enemy_skill_triggers!$A:$A),MATCH(N$1,enemy_skill_triggers!$1:$1,0)-MATCH($F$1,enemy_skill_triggers!$1:$1,0)+1),MATCH(N$1,enemy_skill_triggers!$1:$1,0)-MATCH($F$1,enemy_skill_triggers!$1:$1,0)+1,FALSE)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453" s="48">
        <f ca="1">VLOOKUP($F453,OFFSET(enemy_skill_triggers!$A$1,0,0,COUNTA(enemy_skill_triggers!$A:$A),MATCH(O$1,enemy_skill_triggers!$1:$1,0)-MATCH($F$1,enemy_skill_triggers!$1:$1,0)+1),MATCH(O$1,enemy_skill_triggers!$1:$1,0)-MATCH($F$1,enemy_skill_triggers!$1:$1,0)+1,FALSE)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3" s="47"/>
      <c r="Q453" s="47"/>
      <c r="R453" s="47"/>
    </row>
    <row r="454" spans="1:18" ht="21" customHeight="1" x14ac:dyDescent="0.15">
      <c r="A454" s="39" t="str">
        <f t="shared" si="34"/>
        <v>47004830_47004838</v>
      </c>
      <c r="B454" s="109">
        <v>47004830</v>
      </c>
      <c r="C454" s="47">
        <v>47004838</v>
      </c>
      <c r="D454" s="46" t="str">
        <f ca="1">VLOOKUP($C454,OFFSET(enemy_skills!$A$1,0,0,COUNTA(enemy_skills!$A:$A),MATCH(D$1,enemy_skills!$1:$1,0)-MATCH("enemy_skill_id",enemy_skills!$1:$1,0)+1),MATCH(D$1,enemy_skills!$1:$1,0)-MATCH("enemy_skill_id",enemy_skills!$1:$1,0)+1,FALSE)</f>
        <v>ミカエル！今年も_x000D_かっ飛ばしていこうぜ！</v>
      </c>
      <c r="E454" s="46" t="str">
        <f ca="1">VLOOKUP($C454,OFFSET(enemy_skills!$A$1,0,0,COUNTA(enemy_skills!$A:$A),MATCH(E$1,enemy_skills!$1:$1,0)-MATCH("enemy_skill_id",enemy_skills!$1:$1,0)+1),MATCH(E$1,enemy_skills!$1:$1,0)-MATCH("enemy_skill_id",enemy_skills!$1:$1,0)+1,FALSE)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54" s="47">
        <v>47004842</v>
      </c>
      <c r="G454" s="48">
        <f ca="1">VLOOKUP($F454,OFFSET(enemy_skill_triggers!$A$1,0,0,COUNTA(enemy_skill_triggers!$A:$A),MATCH(G$1,enemy_skill_triggers!$1:$1,0)-MATCH($F$1,enemy_skill_triggers!$1:$1,0)+1),MATCH(G$1,enemy_skill_triggers!$1:$1,0)-MATCH($F$1,enemy_skill_triggers!$1:$1,0)+1,FALSE)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4" s="48">
        <f ca="1">VLOOKUP($F454,OFFSET(enemy_skill_triggers!$A$1,0,0,COUNTA(enemy_skill_triggers!$A:$A),MATCH(H$1,enemy_skill_triggers!$1:$1,0)-MATCH($F$1,enemy_skill_triggers!$1:$1,0)+1),MATCH(H$1,enemy_skill_triggers!$1:$1,0)-MATCH($F$1,enemy_skill_triggers!$1:$1,0)+1,FALSE)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454" s="48">
        <f ca="1">VLOOKUP($F454,OFFSET(enemy_skill_triggers!$A$1,0,0,COUNTA(enemy_skill_triggers!$A:$A),MATCH(I$1,enemy_skill_triggers!$1:$1,0)-MATCH($F$1,enemy_skill_triggers!$1:$1,0)+1),MATCH(I$1,enemy_skill_triggers!$1:$1,0)-MATCH($F$1,enemy_skill_triggers!$1:$1,0)+1,FALSE)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4" s="48" t="str">
        <f ca="1">VLOOKUP($F454,OFFSET(enemy_skill_triggers!$A$1,0,0,COUNTA(enemy_skill_triggers!$A:$A),MATCH(J$1,enemy_skill_triggers!$1:$1,0)-MATCH($F$1,enemy_skill_triggers!$1:$1,0)+1),MATCH(J$1,enemy_skill_triggers!$1:$1,0)-MATCH($F$1,enemy_skill_triggers!$1:$1,0)+1,FALSE)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4" s="48" t="str">
        <f ca="1">VLOOKUP($F454,OFFSET(enemy_skill_triggers!$A$1,0,0,COUNTA(enemy_skill_triggers!$A:$A),MATCH(K$1,enemy_skill_triggers!$1:$1,0)-MATCH($F$1,enemy_skill_triggers!$1:$1,0)+1),MATCH(K$1,enemy_skill_triggers!$1:$1,0)-MATCH($F$1,enemy_skill_triggers!$1:$1,0)+1,FALSE)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4" s="48">
        <f ca="1">VLOOKUP($F454,OFFSET(enemy_skill_triggers!$A$1,0,0,COUNTA(enemy_skill_triggers!$A:$A),MATCH(L$1,enemy_skill_triggers!$1:$1,0)-MATCH($F$1,enemy_skill_triggers!$1:$1,0)+1),MATCH(L$1,enemy_skill_triggers!$1:$1,0)-MATCH($F$1,enemy_skill_triggers!$1:$1,0)+1,FALSE)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4" s="48" t="str">
        <f ca="1">VLOOKUP($F454,OFFSET(enemy_skill_triggers!$A$1,0,0,COUNTA(enemy_skill_triggers!$A:$A),MATCH(M$1,enemy_skill_triggers!$1:$1,0)-MATCH($F$1,enemy_skill_triggers!$1:$1,0)+1),MATCH(M$1,enemy_skill_triggers!$1:$1,0)-MATCH($F$1,enemy_skill_triggers!$1:$1,0)+1,FALSE)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4" s="48">
        <f ca="1">VLOOKUP($F454,OFFSET(enemy_skill_triggers!$A$1,0,0,COUNTA(enemy_skill_triggers!$A:$A),MATCH(N$1,enemy_skill_triggers!$1:$1,0)-MATCH($F$1,enemy_skill_triggers!$1:$1,0)+1),MATCH(N$1,enemy_skill_triggers!$1:$1,0)-MATCH($F$1,enemy_skill_triggers!$1:$1,0)+1,FALSE)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454" s="48">
        <f ca="1">VLOOKUP($F454,OFFSET(enemy_skill_triggers!$A$1,0,0,COUNTA(enemy_skill_triggers!$A:$A),MATCH(O$1,enemy_skill_triggers!$1:$1,0)-MATCH($F$1,enemy_skill_triggers!$1:$1,0)+1),MATCH(O$1,enemy_skill_triggers!$1:$1,0)-MATCH($F$1,enemy_skill_triggers!$1:$1,0)+1,FALSE)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4" s="47"/>
      <c r="Q454" s="47"/>
      <c r="R454" s="47"/>
    </row>
    <row r="455" spans="1:18" ht="21" customHeight="1" x14ac:dyDescent="0.15">
      <c r="A455" s="39" t="str">
        <f t="shared" si="34"/>
        <v>47004830_47004838</v>
      </c>
      <c r="B455" s="109">
        <v>47004830</v>
      </c>
      <c r="C455" s="47">
        <v>47004838</v>
      </c>
      <c r="D455" s="46" t="str">
        <f ca="1">VLOOKUP($C455,OFFSET(enemy_skills!$A$1,0,0,COUNTA(enemy_skills!$A:$A),MATCH(D$1,enemy_skills!$1:$1,0)-MATCH("enemy_skill_id",enemy_skills!$1:$1,0)+1),MATCH(D$1,enemy_skills!$1:$1,0)-MATCH("enemy_skill_id",enemy_skills!$1:$1,0)+1,FALSE)</f>
        <v>ミカエル！今年も_x000D_かっ飛ばしていこうぜ！</v>
      </c>
      <c r="E455" s="46" t="str">
        <f ca="1">VLOOKUP($C455,OFFSET(enemy_skills!$A$1,0,0,COUNTA(enemy_skills!$A:$A),MATCH(E$1,enemy_skills!$1:$1,0)-MATCH("enemy_skill_id",enemy_skills!$1:$1,0)+1),MATCH(E$1,enemy_skills!$1:$1,0)-MATCH("enemy_skill_id",enemy_skills!$1:$1,0)+1,FALSE)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55" s="47">
        <v>47004843</v>
      </c>
      <c r="G455" s="48">
        <f ca="1">VLOOKUP($F455,OFFSET(enemy_skill_triggers!$A$1,0,0,COUNTA(enemy_skill_triggers!$A:$A),MATCH(G$1,enemy_skill_triggers!$1:$1,0)-MATCH($F$1,enemy_skill_triggers!$1:$1,0)+1),MATCH(G$1,enemy_skill_triggers!$1:$1,0)-MATCH($F$1,enemy_skill_triggers!$1:$1,0)+1,FALSE)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5" s="48">
        <f ca="1">VLOOKUP($F455,OFFSET(enemy_skill_triggers!$A$1,0,0,COUNTA(enemy_skill_triggers!$A:$A),MATCH(H$1,enemy_skill_triggers!$1:$1,0)-MATCH($F$1,enemy_skill_triggers!$1:$1,0)+1),MATCH(H$1,enemy_skill_triggers!$1:$1,0)-MATCH($F$1,enemy_skill_triggers!$1:$1,0)+1,FALSE)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455" s="48">
        <f ca="1">VLOOKUP($F455,OFFSET(enemy_skill_triggers!$A$1,0,0,COUNTA(enemy_skill_triggers!$A:$A),MATCH(I$1,enemy_skill_triggers!$1:$1,0)-MATCH($F$1,enemy_skill_triggers!$1:$1,0)+1),MATCH(I$1,enemy_skill_triggers!$1:$1,0)-MATCH($F$1,enemy_skill_triggers!$1:$1,0)+1,FALSE)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5" s="48" t="str">
        <f ca="1">VLOOKUP($F455,OFFSET(enemy_skill_triggers!$A$1,0,0,COUNTA(enemy_skill_triggers!$A:$A),MATCH(J$1,enemy_skill_triggers!$1:$1,0)-MATCH($F$1,enemy_skill_triggers!$1:$1,0)+1),MATCH(J$1,enemy_skill_triggers!$1:$1,0)-MATCH($F$1,enemy_skill_triggers!$1:$1,0)+1,FALSE)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5" s="48" t="str">
        <f ca="1">VLOOKUP($F455,OFFSET(enemy_skill_triggers!$A$1,0,0,COUNTA(enemy_skill_triggers!$A:$A),MATCH(K$1,enemy_skill_triggers!$1:$1,0)-MATCH($F$1,enemy_skill_triggers!$1:$1,0)+1),MATCH(K$1,enemy_skill_triggers!$1:$1,0)-MATCH($F$1,enemy_skill_triggers!$1:$1,0)+1,FALSE)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5" s="48">
        <f ca="1">VLOOKUP($F455,OFFSET(enemy_skill_triggers!$A$1,0,0,COUNTA(enemy_skill_triggers!$A:$A),MATCH(L$1,enemy_skill_triggers!$1:$1,0)-MATCH($F$1,enemy_skill_triggers!$1:$1,0)+1),MATCH(L$1,enemy_skill_triggers!$1:$1,0)-MATCH($F$1,enemy_skill_triggers!$1:$1,0)+1,FALSE)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5" s="48" t="str">
        <f ca="1">VLOOKUP($F455,OFFSET(enemy_skill_triggers!$A$1,0,0,COUNTA(enemy_skill_triggers!$A:$A),MATCH(M$1,enemy_skill_triggers!$1:$1,0)-MATCH($F$1,enemy_skill_triggers!$1:$1,0)+1),MATCH(M$1,enemy_skill_triggers!$1:$1,0)-MATCH($F$1,enemy_skill_triggers!$1:$1,0)+1,FALSE)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5" s="48">
        <f ca="1">VLOOKUP($F455,OFFSET(enemy_skill_triggers!$A$1,0,0,COUNTA(enemy_skill_triggers!$A:$A),MATCH(N$1,enemy_skill_triggers!$1:$1,0)-MATCH($F$1,enemy_skill_triggers!$1:$1,0)+1),MATCH(N$1,enemy_skill_triggers!$1:$1,0)-MATCH($F$1,enemy_skill_triggers!$1:$1,0)+1,FALSE)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455" s="48">
        <f ca="1">VLOOKUP($F455,OFFSET(enemy_skill_triggers!$A$1,0,0,COUNTA(enemy_skill_triggers!$A:$A),MATCH(O$1,enemy_skill_triggers!$1:$1,0)-MATCH($F$1,enemy_skill_triggers!$1:$1,0)+1),MATCH(O$1,enemy_skill_triggers!$1:$1,0)-MATCH($F$1,enemy_skill_triggers!$1:$1,0)+1,FALSE)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5" s="47"/>
      <c r="Q455" s="47"/>
      <c r="R455" s="47"/>
    </row>
    <row r="456" spans="1:18" ht="21" customHeight="1" x14ac:dyDescent="0.15">
      <c r="A456" s="39" t="str">
        <f t="shared" si="34"/>
        <v>47004830_47004839</v>
      </c>
      <c r="B456" s="109">
        <v>47004830</v>
      </c>
      <c r="C456" s="47">
        <v>47004839</v>
      </c>
      <c r="D456" s="46" t="str">
        <f ca="1">VLOOKUP($C456,OFFSET(enemy_skills!$A$1,0,0,COUNTA(enemy_skills!$A:$A),MATCH(D$1,enemy_skills!$1:$1,0)-MATCH("enemy_skill_id",enemy_skills!$1:$1,0)+1),MATCH(D$1,enemy_skills!$1:$1,0)-MATCH("enemy_skill_id",enemy_skills!$1:$1,0)+1,FALSE)</f>
        <v>さぁ、オセ！_x000D_クリスマスは俺たちの独壇場だぜ！</v>
      </c>
      <c r="E456" s="46" t="str">
        <f ca="1">VLOOKUP($C456,OFFSET(enemy_skills!$A$1,0,0,COUNTA(enemy_skills!$A:$A),MATCH(E$1,enemy_skills!$1:$1,0)-MATCH("enemy_skill_id",enemy_skills!$1:$1,0)+1),MATCH(E$1,enemy_skills!$1:$1,0)-MATCH("enemy_skill_id",enemy_skills!$1:$1,0)+1,FALSE)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56" s="47">
        <v>47004844</v>
      </c>
      <c r="G456" s="48">
        <f ca="1">VLOOKUP($F456,OFFSET(enemy_skill_triggers!$A$1,0,0,COUNTA(enemy_skill_triggers!$A:$A),MATCH(G$1,enemy_skill_triggers!$1:$1,0)-MATCH($F$1,enemy_skill_triggers!$1:$1,0)+1),MATCH(G$1,enemy_skill_triggers!$1:$1,0)-MATCH($F$1,enemy_skill_triggers!$1:$1,0)+1,FALSE)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6" s="48">
        <f ca="1">VLOOKUP($F456,OFFSET(enemy_skill_triggers!$A$1,0,0,COUNTA(enemy_skill_triggers!$A:$A),MATCH(H$1,enemy_skill_triggers!$1:$1,0)-MATCH($F$1,enemy_skill_triggers!$1:$1,0)+1),MATCH(H$1,enemy_skill_triggers!$1:$1,0)-MATCH($F$1,enemy_skill_triggers!$1:$1,0)+1,FALSE)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456" s="48">
        <f ca="1">VLOOKUP($F456,OFFSET(enemy_skill_triggers!$A$1,0,0,COUNTA(enemy_skill_triggers!$A:$A),MATCH(I$1,enemy_skill_triggers!$1:$1,0)-MATCH($F$1,enemy_skill_triggers!$1:$1,0)+1),MATCH(I$1,enemy_skill_triggers!$1:$1,0)-MATCH($F$1,enemy_skill_triggers!$1:$1,0)+1,FALSE)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6" s="48" t="str">
        <f ca="1">VLOOKUP($F456,OFFSET(enemy_skill_triggers!$A$1,0,0,COUNTA(enemy_skill_triggers!$A:$A),MATCH(J$1,enemy_skill_triggers!$1:$1,0)-MATCH($F$1,enemy_skill_triggers!$1:$1,0)+1),MATCH(J$1,enemy_skill_triggers!$1:$1,0)-MATCH($F$1,enemy_skill_triggers!$1:$1,0)+1,FALSE)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6" s="48" t="str">
        <f ca="1">VLOOKUP($F456,OFFSET(enemy_skill_triggers!$A$1,0,0,COUNTA(enemy_skill_triggers!$A:$A),MATCH(K$1,enemy_skill_triggers!$1:$1,0)-MATCH($F$1,enemy_skill_triggers!$1:$1,0)+1),MATCH(K$1,enemy_skill_triggers!$1:$1,0)-MATCH($F$1,enemy_skill_triggers!$1:$1,0)+1,FALSE)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6" s="48">
        <f ca="1">VLOOKUP($F456,OFFSET(enemy_skill_triggers!$A$1,0,0,COUNTA(enemy_skill_triggers!$A:$A),MATCH(L$1,enemy_skill_triggers!$1:$1,0)-MATCH($F$1,enemy_skill_triggers!$1:$1,0)+1),MATCH(L$1,enemy_skill_triggers!$1:$1,0)-MATCH($F$1,enemy_skill_triggers!$1:$1,0)+1,FALSE)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6" s="48" t="str">
        <f ca="1">VLOOKUP($F456,OFFSET(enemy_skill_triggers!$A$1,0,0,COUNTA(enemy_skill_triggers!$A:$A),MATCH(M$1,enemy_skill_triggers!$1:$1,0)-MATCH($F$1,enemy_skill_triggers!$1:$1,0)+1),MATCH(M$1,enemy_skill_triggers!$1:$1,0)-MATCH($F$1,enemy_skill_triggers!$1:$1,0)+1,FALSE)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6" s="48">
        <f ca="1">VLOOKUP($F456,OFFSET(enemy_skill_triggers!$A$1,0,0,COUNTA(enemy_skill_triggers!$A:$A),MATCH(N$1,enemy_skill_triggers!$1:$1,0)-MATCH($F$1,enemy_skill_triggers!$1:$1,0)+1),MATCH(N$1,enemy_skill_triggers!$1:$1,0)-MATCH($F$1,enemy_skill_triggers!$1:$1,0)+1,FALSE)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456" s="48">
        <f ca="1">VLOOKUP($F456,OFFSET(enemy_skill_triggers!$A$1,0,0,COUNTA(enemy_skill_triggers!$A:$A),MATCH(O$1,enemy_skill_triggers!$1:$1,0)-MATCH($F$1,enemy_skill_triggers!$1:$1,0)+1),MATCH(O$1,enemy_skill_triggers!$1:$1,0)-MATCH($F$1,enemy_skill_triggers!$1:$1,0)+1,FALSE)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6" s="47"/>
      <c r="Q456" s="47"/>
      <c r="R456" s="47"/>
    </row>
    <row r="457" spans="1:18" ht="21" customHeight="1" x14ac:dyDescent="0.15">
      <c r="A457" s="39" t="str">
        <f t="shared" si="34"/>
        <v>47004830_47004839</v>
      </c>
      <c r="B457" s="109">
        <v>47004830</v>
      </c>
      <c r="C457" s="47">
        <v>47004839</v>
      </c>
      <c r="D457" s="46" t="str">
        <f ca="1">VLOOKUP($C457,OFFSET(enemy_skills!$A$1,0,0,COUNTA(enemy_skills!$A:$A),MATCH(D$1,enemy_skills!$1:$1,0)-MATCH("enemy_skill_id",enemy_skills!$1:$1,0)+1),MATCH(D$1,enemy_skills!$1:$1,0)-MATCH("enemy_skill_id",enemy_skills!$1:$1,0)+1,FALSE)</f>
        <v>さぁ、オセ！_x000D_クリスマスは俺たちの独壇場だぜ！</v>
      </c>
      <c r="E457" s="46" t="str">
        <f ca="1">VLOOKUP($C457,OFFSET(enemy_skills!$A$1,0,0,COUNTA(enemy_skills!$A:$A),MATCH(E$1,enemy_skills!$1:$1,0)-MATCH("enemy_skill_id",enemy_skills!$1:$1,0)+1),MATCH(E$1,enemy_skills!$1:$1,0)-MATCH("enemy_skill_id",enemy_skills!$1:$1,0)+1,FALSE)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57" s="47">
        <v>47004845</v>
      </c>
      <c r="G457" s="48">
        <f ca="1">VLOOKUP($F457,OFFSET(enemy_skill_triggers!$A$1,0,0,COUNTA(enemy_skill_triggers!$A:$A),MATCH(G$1,enemy_skill_triggers!$1:$1,0)-MATCH($F$1,enemy_skill_triggers!$1:$1,0)+1),MATCH(G$1,enemy_skill_triggers!$1:$1,0)-MATCH($F$1,enemy_skill_triggers!$1:$1,0)+1,FALSE)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7" s="48">
        <f ca="1">VLOOKUP($F457,OFFSET(enemy_skill_triggers!$A$1,0,0,COUNTA(enemy_skill_triggers!$A:$A),MATCH(H$1,enemy_skill_triggers!$1:$1,0)-MATCH($F$1,enemy_skill_triggers!$1:$1,0)+1),MATCH(H$1,enemy_skill_triggers!$1:$1,0)-MATCH($F$1,enemy_skill_triggers!$1:$1,0)+1,FALSE)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457" s="48">
        <f ca="1">VLOOKUP($F457,OFFSET(enemy_skill_triggers!$A$1,0,0,COUNTA(enemy_skill_triggers!$A:$A),MATCH(I$1,enemy_skill_triggers!$1:$1,0)-MATCH($F$1,enemy_skill_triggers!$1:$1,0)+1),MATCH(I$1,enemy_skill_triggers!$1:$1,0)-MATCH($F$1,enemy_skill_triggers!$1:$1,0)+1,FALSE)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7" s="48" t="str">
        <f ca="1">VLOOKUP($F457,OFFSET(enemy_skill_triggers!$A$1,0,0,COUNTA(enemy_skill_triggers!$A:$A),MATCH(J$1,enemy_skill_triggers!$1:$1,0)-MATCH($F$1,enemy_skill_triggers!$1:$1,0)+1),MATCH(J$1,enemy_skill_triggers!$1:$1,0)-MATCH($F$1,enemy_skill_triggers!$1:$1,0)+1,FALSE)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7" s="48" t="str">
        <f ca="1">VLOOKUP($F457,OFFSET(enemy_skill_triggers!$A$1,0,0,COUNTA(enemy_skill_triggers!$A:$A),MATCH(K$1,enemy_skill_triggers!$1:$1,0)-MATCH($F$1,enemy_skill_triggers!$1:$1,0)+1),MATCH(K$1,enemy_skill_triggers!$1:$1,0)-MATCH($F$1,enemy_skill_triggers!$1:$1,0)+1,FALSE)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7" s="48">
        <f ca="1">VLOOKUP($F457,OFFSET(enemy_skill_triggers!$A$1,0,0,COUNTA(enemy_skill_triggers!$A:$A),MATCH(L$1,enemy_skill_triggers!$1:$1,0)-MATCH($F$1,enemy_skill_triggers!$1:$1,0)+1),MATCH(L$1,enemy_skill_triggers!$1:$1,0)-MATCH($F$1,enemy_skill_triggers!$1:$1,0)+1,FALSE)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7" s="48" t="str">
        <f ca="1">VLOOKUP($F457,OFFSET(enemy_skill_triggers!$A$1,0,0,COUNTA(enemy_skill_triggers!$A:$A),MATCH(M$1,enemy_skill_triggers!$1:$1,0)-MATCH($F$1,enemy_skill_triggers!$1:$1,0)+1),MATCH(M$1,enemy_skill_triggers!$1:$1,0)-MATCH($F$1,enemy_skill_triggers!$1:$1,0)+1,FALSE)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7" s="48">
        <f ca="1">VLOOKUP($F457,OFFSET(enemy_skill_triggers!$A$1,0,0,COUNTA(enemy_skill_triggers!$A:$A),MATCH(N$1,enemy_skill_triggers!$1:$1,0)-MATCH($F$1,enemy_skill_triggers!$1:$1,0)+1),MATCH(N$1,enemy_skill_triggers!$1:$1,0)-MATCH($F$1,enemy_skill_triggers!$1:$1,0)+1,FALSE)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457" s="48">
        <f ca="1">VLOOKUP($F457,OFFSET(enemy_skill_triggers!$A$1,0,0,COUNTA(enemy_skill_triggers!$A:$A),MATCH(O$1,enemy_skill_triggers!$1:$1,0)-MATCH($F$1,enemy_skill_triggers!$1:$1,0)+1),MATCH(O$1,enemy_skill_triggers!$1:$1,0)-MATCH($F$1,enemy_skill_triggers!$1:$1,0)+1,FALSE)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7" s="47"/>
      <c r="Q457" s="47"/>
      <c r="R457" s="47"/>
    </row>
    <row r="458" spans="1:18" ht="21" customHeight="1" x14ac:dyDescent="0.15">
      <c r="A458" s="39" t="str">
        <f t="shared" si="34"/>
        <v>47004830_47004839</v>
      </c>
      <c r="B458" s="109">
        <v>47004830</v>
      </c>
      <c r="C458" s="47">
        <v>47004839</v>
      </c>
      <c r="D458" s="46" t="str">
        <f ca="1">VLOOKUP($C458,OFFSET(enemy_skills!$A$1,0,0,COUNTA(enemy_skills!$A:$A),MATCH(D$1,enemy_skills!$1:$1,0)-MATCH("enemy_skill_id",enemy_skills!$1:$1,0)+1),MATCH(D$1,enemy_skills!$1:$1,0)-MATCH("enemy_skill_id",enemy_skills!$1:$1,0)+1,FALSE)</f>
        <v>さぁ、オセ！_x000D_クリスマスは俺たちの独壇場だぜ！</v>
      </c>
      <c r="E458" s="46" t="str">
        <f ca="1">VLOOKUP($C458,OFFSET(enemy_skills!$A$1,0,0,COUNTA(enemy_skills!$A:$A),MATCH(E$1,enemy_skills!$1:$1,0)-MATCH("enemy_skill_id",enemy_skills!$1:$1,0)+1),MATCH(E$1,enemy_skills!$1:$1,0)-MATCH("enemy_skill_id",enemy_skills!$1:$1,0)+1,FALSE)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58" s="47">
        <v>47004846</v>
      </c>
      <c r="G458" s="48">
        <f ca="1">VLOOKUP($F458,OFFSET(enemy_skill_triggers!$A$1,0,0,COUNTA(enemy_skill_triggers!$A:$A),MATCH(G$1,enemy_skill_triggers!$1:$1,0)-MATCH($F$1,enemy_skill_triggers!$1:$1,0)+1),MATCH(G$1,enemy_skill_triggers!$1:$1,0)-MATCH($F$1,enemy_skill_triggers!$1:$1,0)+1,FALSE)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8" s="48">
        <f ca="1">VLOOKUP($F458,OFFSET(enemy_skill_triggers!$A$1,0,0,COUNTA(enemy_skill_triggers!$A:$A),MATCH(H$1,enemy_skill_triggers!$1:$1,0)-MATCH($F$1,enemy_skill_triggers!$1:$1,0)+1),MATCH(H$1,enemy_skill_triggers!$1:$1,0)-MATCH($F$1,enemy_skill_triggers!$1:$1,0)+1,FALSE)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458" s="48">
        <f ca="1">VLOOKUP($F458,OFFSET(enemy_skill_triggers!$A$1,0,0,COUNTA(enemy_skill_triggers!$A:$A),MATCH(I$1,enemy_skill_triggers!$1:$1,0)-MATCH($F$1,enemy_skill_triggers!$1:$1,0)+1),MATCH(I$1,enemy_skill_triggers!$1:$1,0)-MATCH($F$1,enemy_skill_triggers!$1:$1,0)+1,FALSE)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8" s="48" t="str">
        <f ca="1">VLOOKUP($F458,OFFSET(enemy_skill_triggers!$A$1,0,0,COUNTA(enemy_skill_triggers!$A:$A),MATCH(J$1,enemy_skill_triggers!$1:$1,0)-MATCH($F$1,enemy_skill_triggers!$1:$1,0)+1),MATCH(J$1,enemy_skill_triggers!$1:$1,0)-MATCH($F$1,enemy_skill_triggers!$1:$1,0)+1,FALSE)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8" s="48" t="str">
        <f ca="1">VLOOKUP($F458,OFFSET(enemy_skill_triggers!$A$1,0,0,COUNTA(enemy_skill_triggers!$A:$A),MATCH(K$1,enemy_skill_triggers!$1:$1,0)-MATCH($F$1,enemy_skill_triggers!$1:$1,0)+1),MATCH(K$1,enemy_skill_triggers!$1:$1,0)-MATCH($F$1,enemy_skill_triggers!$1:$1,0)+1,FALSE)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8" s="48">
        <f ca="1">VLOOKUP($F458,OFFSET(enemy_skill_triggers!$A$1,0,0,COUNTA(enemy_skill_triggers!$A:$A),MATCH(L$1,enemy_skill_triggers!$1:$1,0)-MATCH($F$1,enemy_skill_triggers!$1:$1,0)+1),MATCH(L$1,enemy_skill_triggers!$1:$1,0)-MATCH($F$1,enemy_skill_triggers!$1:$1,0)+1,FALSE)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8" s="48" t="str">
        <f ca="1">VLOOKUP($F458,OFFSET(enemy_skill_triggers!$A$1,0,0,COUNTA(enemy_skill_triggers!$A:$A),MATCH(M$1,enemy_skill_triggers!$1:$1,0)-MATCH($F$1,enemy_skill_triggers!$1:$1,0)+1),MATCH(M$1,enemy_skill_triggers!$1:$1,0)-MATCH($F$1,enemy_skill_triggers!$1:$1,0)+1,FALSE)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8" s="48">
        <f ca="1">VLOOKUP($F458,OFFSET(enemy_skill_triggers!$A$1,0,0,COUNTA(enemy_skill_triggers!$A:$A),MATCH(N$1,enemy_skill_triggers!$1:$1,0)-MATCH($F$1,enemy_skill_triggers!$1:$1,0)+1),MATCH(N$1,enemy_skill_triggers!$1:$1,0)-MATCH($F$1,enemy_skill_triggers!$1:$1,0)+1,FALSE)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458" s="48">
        <f ca="1">VLOOKUP($F458,OFFSET(enemy_skill_triggers!$A$1,0,0,COUNTA(enemy_skill_triggers!$A:$A),MATCH(O$1,enemy_skill_triggers!$1:$1,0)-MATCH($F$1,enemy_skill_triggers!$1:$1,0)+1),MATCH(O$1,enemy_skill_triggers!$1:$1,0)-MATCH($F$1,enemy_skill_triggers!$1:$1,0)+1,FALSE)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8" s="47"/>
      <c r="Q458" s="47"/>
      <c r="R458" s="47"/>
    </row>
    <row r="459" spans="1:18" ht="21" customHeight="1" x14ac:dyDescent="0.15">
      <c r="A459" s="39" t="str">
        <f t="shared" ref="A459:A460" si="37">B459&amp;"_"&amp;C459</f>
        <v>47004830_47004840</v>
      </c>
      <c r="B459" s="109">
        <v>47004830</v>
      </c>
      <c r="C459" s="47">
        <v>47004840</v>
      </c>
      <c r="D459" s="46" t="str">
        <f ca="1">VLOOKUP($C459,OFFSET(enemy_skills!$A$1,0,0,COUNTA(enemy_skills!$A:$A),MATCH(D$1,enemy_skills!$1:$1,0)-MATCH("enemy_skill_id",enemy_skills!$1:$1,0)+1),MATCH(D$1,enemy_skills!$1:$1,0)-MATCH("enemy_skill_id",enemy_skills!$1:$1,0)+1,FALSE)</f>
        <v>今年はエスタブも参加か？_x000D_熱くいこうぜ！</v>
      </c>
      <c r="E459" s="46" t="str">
        <f ca="1">VLOOKUP($C459,OFFSET(enemy_skills!$A$1,0,0,COUNTA(enemy_skills!$A:$A),MATCH(E$1,enemy_skills!$1:$1,0)-MATCH("enemy_skill_id",enemy_skills!$1:$1,0)+1),MATCH(E$1,enemy_skills!$1:$1,0)-MATCH("enemy_skill_id",enemy_skills!$1:$1,0)+1,FALSE)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59" s="47">
        <v>47004847</v>
      </c>
      <c r="G459" s="48">
        <f ca="1">VLOOKUP($F459,OFFSET(enemy_skill_triggers!$A$1,0,0,COUNTA(enemy_skill_triggers!$A:$A),MATCH(G$1,enemy_skill_triggers!$1:$1,0)-MATCH($F$1,enemy_skill_triggers!$1:$1,0)+1),MATCH(G$1,enemy_skill_triggers!$1:$1,0)-MATCH($F$1,enemy_skill_triggers!$1:$1,0)+1,FALSE)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9" s="48">
        <f ca="1">VLOOKUP($F459,OFFSET(enemy_skill_triggers!$A$1,0,0,COUNTA(enemy_skill_triggers!$A:$A),MATCH(H$1,enemy_skill_triggers!$1:$1,0)-MATCH($F$1,enemy_skill_triggers!$1:$1,0)+1),MATCH(H$1,enemy_skill_triggers!$1:$1,0)-MATCH($F$1,enemy_skill_triggers!$1:$1,0)+1,FALSE)</f>
        <v>219</v>
      </c>
      <c r="I459" s="48">
        <f ca="1">VLOOKUP($F459,OFFSET(enemy_skill_triggers!$A$1,0,0,COUNTA(enemy_skill_triggers!$A:$A),MATCH(I$1,enemy_skill_triggers!$1:$1,0)-MATCH($F$1,enemy_skill_triggers!$1:$1,0)+1),MATCH(I$1,enemy_skill_triggers!$1:$1,0)-MATCH($F$1,enemy_skill_triggers!$1:$1,0)+1,FALSE)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9" s="48" t="str">
        <f ca="1">VLOOKUP($F459,OFFSET(enemy_skill_triggers!$A$1,0,0,COUNTA(enemy_skill_triggers!$A:$A),MATCH(J$1,enemy_skill_triggers!$1:$1,0)-MATCH($F$1,enemy_skill_triggers!$1:$1,0)+1),MATCH(J$1,enemy_skill_triggers!$1:$1,0)-MATCH($F$1,enemy_skill_triggers!$1:$1,0)+1,FALSE)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9" s="48" t="str">
        <f ca="1">VLOOKUP($F459,OFFSET(enemy_skill_triggers!$A$1,0,0,COUNTA(enemy_skill_triggers!$A:$A),MATCH(K$1,enemy_skill_triggers!$1:$1,0)-MATCH($F$1,enemy_skill_triggers!$1:$1,0)+1),MATCH(K$1,enemy_skill_triggers!$1:$1,0)-MATCH($F$1,enemy_skill_triggers!$1:$1,0)+1,FALSE)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9" s="48">
        <f ca="1">VLOOKUP($F459,OFFSET(enemy_skill_triggers!$A$1,0,0,COUNTA(enemy_skill_triggers!$A:$A),MATCH(L$1,enemy_skill_triggers!$1:$1,0)-MATCH($F$1,enemy_skill_triggers!$1:$1,0)+1),MATCH(L$1,enemy_skill_triggers!$1:$1,0)-MATCH($F$1,enemy_skill_triggers!$1:$1,0)+1,FALSE)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9" s="48" t="str">
        <f ca="1">VLOOKUP($F459,OFFSET(enemy_skill_triggers!$A$1,0,0,COUNTA(enemy_skill_triggers!$A:$A),MATCH(M$1,enemy_skill_triggers!$1:$1,0)-MATCH($F$1,enemy_skill_triggers!$1:$1,0)+1),MATCH(M$1,enemy_skill_triggers!$1:$1,0)-MATCH($F$1,enemy_skill_triggers!$1:$1,0)+1,FALSE)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9" s="48">
        <f ca="1">VLOOKUP($F459,OFFSET(enemy_skill_triggers!$A$1,0,0,COUNTA(enemy_skill_triggers!$A:$A),MATCH(N$1,enemy_skill_triggers!$1:$1,0)-MATCH($F$1,enemy_skill_triggers!$1:$1,0)+1),MATCH(N$1,enemy_skill_triggers!$1:$1,0)-MATCH($F$1,enemy_skill_triggers!$1:$1,0)+1,FALSE)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459" s="48">
        <f ca="1">VLOOKUP($F459,OFFSET(enemy_skill_triggers!$A$1,0,0,COUNTA(enemy_skill_triggers!$A:$A),MATCH(O$1,enemy_skill_triggers!$1:$1,0)-MATCH($F$1,enemy_skill_triggers!$1:$1,0)+1),MATCH(O$1,enemy_skill_triggers!$1:$1,0)-MATCH($F$1,enemy_skill_triggers!$1:$1,0)+1,FALSE)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9" s="47"/>
      <c r="Q459" s="47"/>
      <c r="R459" s="47"/>
    </row>
    <row r="460" spans="1:18" ht="21" customHeight="1" x14ac:dyDescent="0.15">
      <c r="A460" s="39" t="str">
        <f t="shared" si="37"/>
        <v>47004830_47004841</v>
      </c>
      <c r="B460" s="109">
        <v>47004830</v>
      </c>
      <c r="C460" s="47">
        <v>47004841</v>
      </c>
      <c r="D460" s="46" t="str">
        <f ca="1">VLOOKUP($C460,OFFSET(enemy_skills!$A$1,0,0,COUNTA(enemy_skills!$A:$A),MATCH(D$1,enemy_skills!$1:$1,0)-MATCH("enemy_skill_id",enemy_skills!$1:$1,0)+1),MATCH(D$1,enemy_skills!$1:$1,0)-MATCH("enemy_skill_id",enemy_skills!$1:$1,0)+1,FALSE)</f>
        <v>今年は卑弥呼も参加か？_x000D_熱くいこうぜ！</v>
      </c>
      <c r="E460" s="46" t="str">
        <f ca="1">VLOOKUP($C460,OFFSET(enemy_skills!$A$1,0,0,COUNTA(enemy_skills!$A:$A),MATCH(E$1,enemy_skills!$1:$1,0)-MATCH("enemy_skill_id",enemy_skills!$1:$1,0)+1),MATCH(E$1,enemy_skills!$1:$1,0)-MATCH("enemy_skill_id",enemy_skills!$1:$1,0)+1,FALSE)</f>
        <v>2ターン攻撃力大UP</v>
      </c>
      <c r="F460" s="47">
        <v>47004848</v>
      </c>
      <c r="G460" s="48">
        <f ca="1">VLOOKUP($F460,OFFSET(enemy_skill_triggers!$A$1,0,0,COUNTA(enemy_skill_triggers!$A:$A),MATCH(G$1,enemy_skill_triggers!$1:$1,0)-MATCH($F$1,enemy_skill_triggers!$1:$1,0)+1),MATCH(G$1,enemy_skill_triggers!$1:$1,0)-MATCH($F$1,enemy_skill_triggers!$1:$1,0)+1,FALSE)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0" s="48">
        <f ca="1">VLOOKUP($F460,OFFSET(enemy_skill_triggers!$A$1,0,0,COUNTA(enemy_skill_triggers!$A:$A),MATCH(H$1,enemy_skill_triggers!$1:$1,0)-MATCH($F$1,enemy_skill_triggers!$1:$1,0)+1),MATCH(H$1,enemy_skill_triggers!$1:$1,0)-MATCH($F$1,enemy_skill_triggers!$1:$1,0)+1,FALSE)</f>
        <v>218</v>
      </c>
      <c r="I460" s="48">
        <f ca="1">VLOOKUP($F460,OFFSET(enemy_skill_triggers!$A$1,0,0,COUNTA(enemy_skill_triggers!$A:$A),MATCH(I$1,enemy_skill_triggers!$1:$1,0)-MATCH($F$1,enemy_skill_triggers!$1:$1,0)+1),MATCH(I$1,enemy_skill_triggers!$1:$1,0)-MATCH($F$1,enemy_skill_triggers!$1:$1,0)+1,FALSE)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0" s="48" t="str">
        <f ca="1">VLOOKUP($F460,OFFSET(enemy_skill_triggers!$A$1,0,0,COUNTA(enemy_skill_triggers!$A:$A),MATCH(J$1,enemy_skill_triggers!$1:$1,0)-MATCH($F$1,enemy_skill_triggers!$1:$1,0)+1),MATCH(J$1,enemy_skill_triggers!$1:$1,0)-MATCH($F$1,enemy_skill_triggers!$1:$1,0)+1,FALSE)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0" s="48" t="str">
        <f ca="1">VLOOKUP($F460,OFFSET(enemy_skill_triggers!$A$1,0,0,COUNTA(enemy_skill_triggers!$A:$A),MATCH(K$1,enemy_skill_triggers!$1:$1,0)-MATCH($F$1,enemy_skill_triggers!$1:$1,0)+1),MATCH(K$1,enemy_skill_triggers!$1:$1,0)-MATCH($F$1,enemy_skill_triggers!$1:$1,0)+1,FALSE)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0" s="48">
        <f ca="1">VLOOKUP($F460,OFFSET(enemy_skill_triggers!$A$1,0,0,COUNTA(enemy_skill_triggers!$A:$A),MATCH(L$1,enemy_skill_triggers!$1:$1,0)-MATCH($F$1,enemy_skill_triggers!$1:$1,0)+1),MATCH(L$1,enemy_skill_triggers!$1:$1,0)-MATCH($F$1,enemy_skill_triggers!$1:$1,0)+1,FALSE)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0" s="48" t="str">
        <f ca="1">VLOOKUP($F460,OFFSET(enemy_skill_triggers!$A$1,0,0,COUNTA(enemy_skill_triggers!$A:$A),MATCH(M$1,enemy_skill_triggers!$1:$1,0)-MATCH($F$1,enemy_skill_triggers!$1:$1,0)+1),MATCH(M$1,enemy_skill_triggers!$1:$1,0)-MATCH($F$1,enemy_skill_triggers!$1:$1,0)+1,FALSE)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0" s="48">
        <f ca="1">VLOOKUP($F460,OFFSET(enemy_skill_triggers!$A$1,0,0,COUNTA(enemy_skill_triggers!$A:$A),MATCH(N$1,enemy_skill_triggers!$1:$1,0)-MATCH($F$1,enemy_skill_triggers!$1:$1,0)+1),MATCH(N$1,enemy_skill_triggers!$1:$1,0)-MATCH($F$1,enemy_skill_triggers!$1:$1,0)+1,FALSE)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460" s="48">
        <f ca="1">VLOOKUP($F460,OFFSET(enemy_skill_triggers!$A$1,0,0,COUNTA(enemy_skill_triggers!$A:$A),MATCH(O$1,enemy_skill_triggers!$1:$1,0)-MATCH($F$1,enemy_skill_triggers!$1:$1,0)+1),MATCH(O$1,enemy_skill_triggers!$1:$1,0)-MATCH($F$1,enemy_skill_triggers!$1:$1,0)+1,FALSE)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0" s="47"/>
      <c r="Q460" s="47"/>
      <c r="R460" s="47"/>
    </row>
    <row r="461" spans="1:18" ht="21" customHeight="1" x14ac:dyDescent="0.15">
      <c r="A461" s="39" t="str">
        <f t="shared" ref="A461:A495" si="38">B461&amp;"_"&amp;C461</f>
        <v>47004860_47004861</v>
      </c>
      <c r="B461" s="109">
        <v>47004860</v>
      </c>
      <c r="C461" s="110">
        <v>47004861</v>
      </c>
      <c r="D461" s="46" t="str">
        <f ca="1">VLOOKUP($C461,OFFSET(enemy_skills!$A$1,0,0,COUNTA(enemy_skills!$A:$A),MATCH(D$1,enemy_skills!$1:$1,0)-MATCH("enemy_skill_id",enemy_skills!$1:$1,0)+1),MATCH(D$1,enemy_skills!$1:$1,0)-MATCH("enemy_skill_id",enemy_skills!$1:$1,0)+1,FALSE)</f>
        <v>あ！そこのあなた達この辺で_x000D_大きな雪だるまを見なかった？</v>
      </c>
      <c r="E461" s="46" t="str">
        <f ca="1">VLOOKUP($C461,OFFSET(enemy_skills!$A$1,0,0,COUNTA(enemy_skills!$A:$A),MATCH(E$1,enemy_skills!$1:$1,0)-MATCH("enemy_skill_id",enemy_skills!$1:$1,0)+1),MATCH(E$1,enemy_skills!$1:$1,0)-MATCH("enemy_skill_id",enemy_skills!$1:$1,0)+1,FALSE)</f>
        <v>せっかくの夜なのに何やってくれちゃってるのよ、もう！_x000D_【3ターン暗闇+赤パネルを緑のダメージパネルに5個変換】</v>
      </c>
      <c r="F461" s="110">
        <v>47004861</v>
      </c>
      <c r="G461" s="48">
        <f ca="1">VLOOKUP($F461,OFFSET(enemy_skill_triggers!$A$1,0,0,COUNTA(enemy_skill_triggers!$A:$A),MATCH(G$1,enemy_skill_triggers!$1:$1,0)-MATCH($F$1,enemy_skill_triggers!$1:$1,0)+1),MATCH(G$1,enemy_skill_triggers!$1:$1,0)-MATCH($F$1,enemy_skill_triggers!$1:$1,0)+1,FALSE)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1" s="48">
        <f ca="1">VLOOKUP($F461,OFFSET(enemy_skill_triggers!$A$1,0,0,COUNTA(enemy_skill_triggers!$A:$A),MATCH(H$1,enemy_skill_triggers!$1:$1,0)-MATCH($F$1,enemy_skill_triggers!$1:$1,0)+1),MATCH(H$1,enemy_skill_triggers!$1:$1,0)-MATCH($F$1,enemy_skill_triggers!$1:$1,0)+1,FALSE)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61" s="48">
        <f ca="1">VLOOKUP($F461,OFFSET(enemy_skill_triggers!$A$1,0,0,COUNTA(enemy_skill_triggers!$A:$A),MATCH(I$1,enemy_skill_triggers!$1:$1,0)-MATCH($F$1,enemy_skill_triggers!$1:$1,0)+1),MATCH(I$1,enemy_skill_triggers!$1:$1,0)-MATCH($F$1,enemy_skill_triggers!$1:$1,0)+1,FALSE)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1" s="48" t="str">
        <f ca="1">VLOOKUP($F461,OFFSET(enemy_skill_triggers!$A$1,0,0,COUNTA(enemy_skill_triggers!$A:$A),MATCH(J$1,enemy_skill_triggers!$1:$1,0)-MATCH($F$1,enemy_skill_triggers!$1:$1,0)+1),MATCH(J$1,enemy_skill_triggers!$1:$1,0)-MATCH($F$1,enemy_skill_triggers!$1:$1,0)+1,FALSE)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1" s="48" t="str">
        <f ca="1">VLOOKUP($F461,OFFSET(enemy_skill_triggers!$A$1,0,0,COUNTA(enemy_skill_triggers!$A:$A),MATCH(K$1,enemy_skill_triggers!$1:$1,0)-MATCH($F$1,enemy_skill_triggers!$1:$1,0)+1),MATCH(K$1,enemy_skill_triggers!$1:$1,0)-MATCH($F$1,enemy_skill_triggers!$1:$1,0)+1,FALSE)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1" s="48">
        <f ca="1">VLOOKUP($F461,OFFSET(enemy_skill_triggers!$A$1,0,0,COUNTA(enemy_skill_triggers!$A:$A),MATCH(L$1,enemy_skill_triggers!$1:$1,0)-MATCH($F$1,enemy_skill_triggers!$1:$1,0)+1),MATCH(L$1,enemy_skill_triggers!$1:$1,0)-MATCH($F$1,enemy_skill_triggers!$1:$1,0)+1,FALSE)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1" s="48" t="str">
        <f ca="1">VLOOKUP($F461,OFFSET(enemy_skill_triggers!$A$1,0,0,COUNTA(enemy_skill_triggers!$A:$A),MATCH(M$1,enemy_skill_triggers!$1:$1,0)-MATCH($F$1,enemy_skill_triggers!$1:$1,0)+1),MATCH(M$1,enemy_skill_triggers!$1:$1,0)-MATCH($F$1,enemy_skill_triggers!$1:$1,0)+1,FALSE)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1" s="48" t="str">
        <f ca="1">VLOOKUP($F461,OFFSET(enemy_skill_triggers!$A$1,0,0,COUNTA(enemy_skill_triggers!$A:$A),MATCH(N$1,enemy_skill_triggers!$1:$1,0)-MATCH($F$1,enemy_skill_triggers!$1:$1,0)+1),MATCH(N$1,enemy_skill_triggers!$1:$1,0)-MATCH($F$1,enemy_skill_triggers!$1:$1,0)+1,FALSE)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1" s="48">
        <f ca="1">VLOOKUP($F461,OFFSET(enemy_skill_triggers!$A$1,0,0,COUNTA(enemy_skill_triggers!$A:$A),MATCH(O$1,enemy_skill_triggers!$1:$1,0)-MATCH($F$1,enemy_skill_triggers!$1:$1,0)+1),MATCH(O$1,enemy_skill_triggers!$1:$1,0)-MATCH($F$1,enemy_skill_triggers!$1:$1,0)+1,FALSE)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1" s="47"/>
      <c r="Q461" s="47"/>
      <c r="R461" s="47"/>
    </row>
    <row r="462" spans="1:18" ht="21" customHeight="1" x14ac:dyDescent="0.15">
      <c r="A462" s="39" t="str">
        <f t="shared" si="38"/>
        <v>47004860_47004862</v>
      </c>
      <c r="B462" s="109">
        <v>47004860</v>
      </c>
      <c r="C462" s="110">
        <v>47004862</v>
      </c>
      <c r="D462" s="46" t="str">
        <f ca="1">VLOOKUP($C462,OFFSET(enemy_skills!$A$1,0,0,COUNTA(enemy_skills!$A:$A),MATCH(D$1,enemy_skills!$1:$1,0)-MATCH("enemy_skill_id",enemy_skills!$1:$1,0)+1),MATCH(D$1,enemy_skills!$1:$1,0)-MATCH("enemy_skill_id",enemy_skills!$1:$1,0)+1,FALSE)</f>
        <v>この後の予定…？_x000D_それくらい私にだってあるわよ！</v>
      </c>
      <c r="E462" s="46" t="str">
        <f ca="1">VLOOKUP($C462,OFFSET(enemy_skills!$A$1,0,0,COUNTA(enemy_skills!$A:$A),MATCH(E$1,enemy_skills!$1:$1,0)-MATCH("enemy_skill_id",enemy_skills!$1:$1,0)+1),MATCH(E$1,enemy_skills!$1:$1,0)-MATCH("enemy_skill_id",enemy_skills!$1:$1,0)+1,FALSE)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62" s="110">
        <v>47004862</v>
      </c>
      <c r="G462" s="48">
        <f ca="1">VLOOKUP($F462,OFFSET(enemy_skill_triggers!$A$1,0,0,COUNTA(enemy_skill_triggers!$A:$A),MATCH(G$1,enemy_skill_triggers!$1:$1,0)-MATCH($F$1,enemy_skill_triggers!$1:$1,0)+1),MATCH(G$1,enemy_skill_triggers!$1:$1,0)-MATCH($F$1,enemy_skill_triggers!$1:$1,0)+1,FALSE)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2" s="48">
        <f ca="1">VLOOKUP($F462,OFFSET(enemy_skill_triggers!$A$1,0,0,COUNTA(enemy_skill_triggers!$A:$A),MATCH(H$1,enemy_skill_triggers!$1:$1,0)-MATCH($F$1,enemy_skill_triggers!$1:$1,0)+1),MATCH(H$1,enemy_skill_triggers!$1:$1,0)-MATCH($F$1,enemy_skill_triggers!$1:$1,0)+1,FALSE)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62" s="48">
        <f ca="1">VLOOKUP($F462,OFFSET(enemy_skill_triggers!$A$1,0,0,COUNTA(enemy_skill_triggers!$A:$A),MATCH(I$1,enemy_skill_triggers!$1:$1,0)-MATCH($F$1,enemy_skill_triggers!$1:$1,0)+1),MATCH(I$1,enemy_skill_triggers!$1:$1,0)-MATCH($F$1,enemy_skill_triggers!$1:$1,0)+1,FALSE)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2" s="48" t="str">
        <f ca="1">VLOOKUP($F462,OFFSET(enemy_skill_triggers!$A$1,0,0,COUNTA(enemy_skill_triggers!$A:$A),MATCH(J$1,enemy_skill_triggers!$1:$1,0)-MATCH($F$1,enemy_skill_triggers!$1:$1,0)+1),MATCH(J$1,enemy_skill_triggers!$1:$1,0)-MATCH($F$1,enemy_skill_triggers!$1:$1,0)+1,FALSE)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2" s="48" t="str">
        <f ca="1">VLOOKUP($F462,OFFSET(enemy_skill_triggers!$A$1,0,0,COUNTA(enemy_skill_triggers!$A:$A),MATCH(K$1,enemy_skill_triggers!$1:$1,0)-MATCH($F$1,enemy_skill_triggers!$1:$1,0)+1),MATCH(K$1,enemy_skill_triggers!$1:$1,0)-MATCH($F$1,enemy_skill_triggers!$1:$1,0)+1,FALSE)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2" s="48">
        <f ca="1">VLOOKUP($F462,OFFSET(enemy_skill_triggers!$A$1,0,0,COUNTA(enemy_skill_triggers!$A:$A),MATCH(L$1,enemy_skill_triggers!$1:$1,0)-MATCH($F$1,enemy_skill_triggers!$1:$1,0)+1),MATCH(L$1,enemy_skill_triggers!$1:$1,0)-MATCH($F$1,enemy_skill_triggers!$1:$1,0)+1,FALSE)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2" s="48">
        <f ca="1">VLOOKUP($F462,OFFSET(enemy_skill_triggers!$A$1,0,0,COUNTA(enemy_skill_triggers!$A:$A),MATCH(M$1,enemy_skill_triggers!$1:$1,0)-MATCH($F$1,enemy_skill_triggers!$1:$1,0)+1),MATCH(M$1,enemy_skill_triggers!$1:$1,0)-MATCH($F$1,enemy_skill_triggers!$1:$1,0)+1,FALSE)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2" s="48" t="str">
        <f ca="1">VLOOKUP($F462,OFFSET(enemy_skill_triggers!$A$1,0,0,COUNTA(enemy_skill_triggers!$A:$A),MATCH(N$1,enemy_skill_triggers!$1:$1,0)-MATCH($F$1,enemy_skill_triggers!$1:$1,0)+1),MATCH(N$1,enemy_skill_triggers!$1:$1,0)-MATCH($F$1,enemy_skill_triggers!$1:$1,0)+1,FALSE)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2" s="48">
        <f ca="1">VLOOKUP($F462,OFFSET(enemy_skill_triggers!$A$1,0,0,COUNTA(enemy_skill_triggers!$A:$A),MATCH(O$1,enemy_skill_triggers!$1:$1,0)-MATCH($F$1,enemy_skill_triggers!$1:$1,0)+1),MATCH(O$1,enemy_skill_triggers!$1:$1,0)-MATCH($F$1,enemy_skill_triggers!$1:$1,0)+1,FALSE)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2" s="47"/>
      <c r="Q462" s="47"/>
      <c r="R462" s="47"/>
    </row>
    <row r="463" spans="1:18" ht="21" customHeight="1" x14ac:dyDescent="0.15">
      <c r="A463" s="39" t="str">
        <f t="shared" si="38"/>
        <v>47004860_47004863</v>
      </c>
      <c r="B463" s="109">
        <v>47004860</v>
      </c>
      <c r="C463" s="110">
        <v>47004863</v>
      </c>
      <c r="D463" s="46" t="str">
        <f ca="1">VLOOKUP($C463,OFFSET(enemy_skills!$A$1,0,0,COUNTA(enemy_skills!$A:$A),MATCH(D$1,enemy_skills!$1:$1,0)-MATCH("enemy_skill_id",enemy_skills!$1:$1,0)+1),MATCH(D$1,enemy_skills!$1:$1,0)-MATCH("enemy_skill_id",enemy_skills!$1:$1,0)+1,FALSE)</f>
        <v>えっ？_x000D_シュプールの事、代わりに探してくれるの？</v>
      </c>
      <c r="E463" s="46" t="str">
        <f ca="1">VLOOKUP($C463,OFFSET(enemy_skills!$A$1,0,0,COUNTA(enemy_skills!$A:$A),MATCH(E$1,enemy_skills!$1:$1,0)-MATCH("enemy_skill_id",enemy_skills!$1:$1,0)+1),MATCH(E$1,enemy_skills!$1:$1,0)-MATCH("enemy_skill_id",enemy_skills!$1:$1,0)+1,FALSE)</f>
        <v>そう…そ、それならお任せしちゃおうかしら…_x000D_じゃあね！メリークリスマス♪</v>
      </c>
      <c r="F463" s="110">
        <v>47004863</v>
      </c>
      <c r="G463" s="48">
        <f ca="1">VLOOKUP($F463,OFFSET(enemy_skill_triggers!$A$1,0,0,COUNTA(enemy_skill_triggers!$A:$A),MATCH(G$1,enemy_skill_triggers!$1:$1,0)-MATCH($F$1,enemy_skill_triggers!$1:$1,0)+1),MATCH(G$1,enemy_skill_triggers!$1:$1,0)-MATCH($F$1,enemy_skill_triggers!$1:$1,0)+1,FALSE)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3" s="48">
        <f ca="1">VLOOKUP($F463,OFFSET(enemy_skill_triggers!$A$1,0,0,COUNTA(enemy_skill_triggers!$A:$A),MATCH(H$1,enemy_skill_triggers!$1:$1,0)-MATCH($F$1,enemy_skill_triggers!$1:$1,0)+1),MATCH(H$1,enemy_skill_triggers!$1:$1,0)-MATCH($F$1,enemy_skill_triggers!$1:$1,0)+1,FALSE)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63" s="48">
        <f ca="1">VLOOKUP($F463,OFFSET(enemy_skill_triggers!$A$1,0,0,COUNTA(enemy_skill_triggers!$A:$A),MATCH(I$1,enemy_skill_triggers!$1:$1,0)-MATCH($F$1,enemy_skill_triggers!$1:$1,0)+1),MATCH(I$1,enemy_skill_triggers!$1:$1,0)-MATCH($F$1,enemy_skill_triggers!$1:$1,0)+1,FALSE)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3" s="48" t="str">
        <f ca="1">VLOOKUP($F463,OFFSET(enemy_skill_triggers!$A$1,0,0,COUNTA(enemy_skill_triggers!$A:$A),MATCH(J$1,enemy_skill_triggers!$1:$1,0)-MATCH($F$1,enemy_skill_triggers!$1:$1,0)+1),MATCH(J$1,enemy_skill_triggers!$1:$1,0)-MATCH($F$1,enemy_skill_triggers!$1:$1,0)+1,FALSE)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3" s="48" t="str">
        <f ca="1">VLOOKUP($F463,OFFSET(enemy_skill_triggers!$A$1,0,0,COUNTA(enemy_skill_triggers!$A:$A),MATCH(K$1,enemy_skill_triggers!$1:$1,0)-MATCH($F$1,enemy_skill_triggers!$1:$1,0)+1),MATCH(K$1,enemy_skill_triggers!$1:$1,0)-MATCH($F$1,enemy_skill_triggers!$1:$1,0)+1,FALSE)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3" s="48">
        <f ca="1">VLOOKUP($F463,OFFSET(enemy_skill_triggers!$A$1,0,0,COUNTA(enemy_skill_triggers!$A:$A),MATCH(L$1,enemy_skill_triggers!$1:$1,0)-MATCH($F$1,enemy_skill_triggers!$1:$1,0)+1),MATCH(L$1,enemy_skill_triggers!$1:$1,0)-MATCH($F$1,enemy_skill_triggers!$1:$1,0)+1,FALSE)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3" s="48">
        <f ca="1">VLOOKUP($F463,OFFSET(enemy_skill_triggers!$A$1,0,0,COUNTA(enemy_skill_triggers!$A:$A),MATCH(M$1,enemy_skill_triggers!$1:$1,0)-MATCH($F$1,enemy_skill_triggers!$1:$1,0)+1),MATCH(M$1,enemy_skill_triggers!$1:$1,0)-MATCH($F$1,enemy_skill_triggers!$1:$1,0)+1,FALSE)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63" s="48" t="str">
        <f ca="1">VLOOKUP($F463,OFFSET(enemy_skill_triggers!$A$1,0,0,COUNTA(enemy_skill_triggers!$A:$A),MATCH(N$1,enemy_skill_triggers!$1:$1,0)-MATCH($F$1,enemy_skill_triggers!$1:$1,0)+1),MATCH(N$1,enemy_skill_triggers!$1:$1,0)-MATCH($F$1,enemy_skill_triggers!$1:$1,0)+1,FALSE)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3" s="48">
        <f ca="1">VLOOKUP($F463,OFFSET(enemy_skill_triggers!$A$1,0,0,COUNTA(enemy_skill_triggers!$A:$A),MATCH(O$1,enemy_skill_triggers!$1:$1,0)-MATCH($F$1,enemy_skill_triggers!$1:$1,0)+1),MATCH(O$1,enemy_skill_triggers!$1:$1,0)-MATCH($F$1,enemy_skill_triggers!$1:$1,0)+1,FALSE)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3" s="47"/>
      <c r="Q463" s="47"/>
      <c r="R463" s="47"/>
    </row>
    <row r="464" spans="1:18" ht="21" customHeight="1" x14ac:dyDescent="0.15">
      <c r="A464" s="39" t="str">
        <f t="shared" si="38"/>
        <v>47004860_47004864</v>
      </c>
      <c r="B464" s="109">
        <v>47004860</v>
      </c>
      <c r="C464" s="110">
        <v>47004864</v>
      </c>
      <c r="D464" s="46" t="str">
        <f ca="1">VLOOKUP($C464,OFFSET(enemy_skills!$A$1,0,0,COUNTA(enemy_skills!$A:$A),MATCH(D$1,enemy_skills!$1:$1,0)-MATCH("enemy_skill_id",enemy_skills!$1:$1,0)+1),MATCH(D$1,enemy_skills!$1:$1,0)-MATCH("enemy_skill_id",enemy_skills!$1:$1,0)+1,FALSE)</f>
        <v>あら、新入りさん？_x000D_可愛らしいサンタさんね♪</v>
      </c>
      <c r="E464" s="46" t="str">
        <f ca="1">VLOOKUP($C464,OFFSET(enemy_skills!$A$1,0,0,COUNTA(enemy_skills!$A:$A),MATCH(E$1,enemy_skills!$1:$1,0)-MATCH("enemy_skill_id",enemy_skills!$1:$1,0)+1),MATCH(E$1,enemy_skills!$1:$1,0)-MATCH("enemy_skill_id",enemy_skills!$1:$1,0)+1,FALSE)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464" s="110">
        <v>47004864</v>
      </c>
      <c r="G464" s="48">
        <f ca="1">VLOOKUP($F464,OFFSET(enemy_skill_triggers!$A$1,0,0,COUNTA(enemy_skill_triggers!$A:$A),MATCH(G$1,enemy_skill_triggers!$1:$1,0)-MATCH($F$1,enemy_skill_triggers!$1:$1,0)+1),MATCH(G$1,enemy_skill_triggers!$1:$1,0)-MATCH($F$1,enemy_skill_triggers!$1:$1,0)+1,FALSE)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4" s="48">
        <f ca="1">VLOOKUP($F464,OFFSET(enemy_skill_triggers!$A$1,0,0,COUNTA(enemy_skill_triggers!$A:$A),MATCH(H$1,enemy_skill_triggers!$1:$1,0)-MATCH($F$1,enemy_skill_triggers!$1:$1,0)+1),MATCH(H$1,enemy_skill_triggers!$1:$1,0)-MATCH($F$1,enemy_skill_triggers!$1:$1,0)+1,FALSE)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464" s="48">
        <f ca="1">VLOOKUP($F464,OFFSET(enemy_skill_triggers!$A$1,0,0,COUNTA(enemy_skill_triggers!$A:$A),MATCH(I$1,enemy_skill_triggers!$1:$1,0)-MATCH($F$1,enemy_skill_triggers!$1:$1,0)+1),MATCH(I$1,enemy_skill_triggers!$1:$1,0)-MATCH($F$1,enemy_skill_triggers!$1:$1,0)+1,FALSE)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4" s="48" t="str">
        <f ca="1">VLOOKUP($F464,OFFSET(enemy_skill_triggers!$A$1,0,0,COUNTA(enemy_skill_triggers!$A:$A),MATCH(J$1,enemy_skill_triggers!$1:$1,0)-MATCH($F$1,enemy_skill_triggers!$1:$1,0)+1),MATCH(J$1,enemy_skill_triggers!$1:$1,0)-MATCH($F$1,enemy_skill_triggers!$1:$1,0)+1,FALSE)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4" s="48" t="str">
        <f ca="1">VLOOKUP($F464,OFFSET(enemy_skill_triggers!$A$1,0,0,COUNTA(enemy_skill_triggers!$A:$A),MATCH(K$1,enemy_skill_triggers!$1:$1,0)-MATCH($F$1,enemy_skill_triggers!$1:$1,0)+1),MATCH(K$1,enemy_skill_triggers!$1:$1,0)-MATCH($F$1,enemy_skill_triggers!$1:$1,0)+1,FALSE)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4" s="48">
        <f ca="1">VLOOKUP($F464,OFFSET(enemy_skill_triggers!$A$1,0,0,COUNTA(enemy_skill_triggers!$A:$A),MATCH(L$1,enemy_skill_triggers!$1:$1,0)-MATCH($F$1,enemy_skill_triggers!$1:$1,0)+1),MATCH(L$1,enemy_skill_triggers!$1:$1,0)-MATCH($F$1,enemy_skill_triggers!$1:$1,0)+1,FALSE)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4" s="48" t="str">
        <f ca="1">VLOOKUP($F464,OFFSET(enemy_skill_triggers!$A$1,0,0,COUNTA(enemy_skill_triggers!$A:$A),MATCH(M$1,enemy_skill_triggers!$1:$1,0)-MATCH($F$1,enemy_skill_triggers!$1:$1,0)+1),MATCH(M$1,enemy_skill_triggers!$1:$1,0)-MATCH($F$1,enemy_skill_triggers!$1:$1,0)+1,FALSE)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4" s="48">
        <f ca="1">VLOOKUP($F464,OFFSET(enemy_skill_triggers!$A$1,0,0,COUNTA(enemy_skill_triggers!$A:$A),MATCH(N$1,enemy_skill_triggers!$1:$1,0)-MATCH($F$1,enemy_skill_triggers!$1:$1,0)+1),MATCH(N$1,enemy_skill_triggers!$1:$1,0)-MATCH($F$1,enemy_skill_triggers!$1:$1,0)+1,FALSE)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464" s="48">
        <f ca="1">VLOOKUP($F464,OFFSET(enemy_skill_triggers!$A$1,0,0,COUNTA(enemy_skill_triggers!$A:$A),MATCH(O$1,enemy_skill_triggers!$1:$1,0)-MATCH($F$1,enemy_skill_triggers!$1:$1,0)+1),MATCH(O$1,enemy_skill_triggers!$1:$1,0)-MATCH($F$1,enemy_skill_triggers!$1:$1,0)+1,FALSE)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4" s="47"/>
      <c r="Q464" s="47"/>
      <c r="R464" s="47"/>
    </row>
    <row r="465" spans="1:18" ht="21" customHeight="1" x14ac:dyDescent="0.15">
      <c r="A465" s="39" t="str">
        <f t="shared" si="38"/>
        <v>47004860_47004864</v>
      </c>
      <c r="B465" s="109">
        <v>47004860</v>
      </c>
      <c r="C465" s="110">
        <v>47004864</v>
      </c>
      <c r="D465" s="46" t="str">
        <f ca="1">VLOOKUP($C465,OFFSET(enemy_skills!$A$1,0,0,COUNTA(enemy_skills!$A:$A),MATCH(D$1,enemy_skills!$1:$1,0)-MATCH("enemy_skill_id",enemy_skills!$1:$1,0)+1),MATCH(D$1,enemy_skills!$1:$1,0)-MATCH("enemy_skill_id",enemy_skills!$1:$1,0)+1,FALSE)</f>
        <v>あら、新入りさん？_x000D_可愛らしいサンタさんね♪</v>
      </c>
      <c r="E465" s="46" t="str">
        <f ca="1">VLOOKUP($C465,OFFSET(enemy_skills!$A$1,0,0,COUNTA(enemy_skills!$A:$A),MATCH(E$1,enemy_skills!$1:$1,0)-MATCH("enemy_skill_id",enemy_skills!$1:$1,0)+1),MATCH(E$1,enemy_skills!$1:$1,0)-MATCH("enemy_skill_id",enemy_skills!$1:$1,0)+1,FALSE)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465" s="110">
        <v>47004865</v>
      </c>
      <c r="G465" s="48">
        <f ca="1">VLOOKUP($F465,OFFSET(enemy_skill_triggers!$A$1,0,0,COUNTA(enemy_skill_triggers!$A:$A),MATCH(G$1,enemy_skill_triggers!$1:$1,0)-MATCH($F$1,enemy_skill_triggers!$1:$1,0)+1),MATCH(G$1,enemy_skill_triggers!$1:$1,0)-MATCH($F$1,enemy_skill_triggers!$1:$1,0)+1,FALSE)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5" s="48">
        <f ca="1">VLOOKUP($F465,OFFSET(enemy_skill_triggers!$A$1,0,0,COUNTA(enemy_skill_triggers!$A:$A),MATCH(H$1,enemy_skill_triggers!$1:$1,0)-MATCH($F$1,enemy_skill_triggers!$1:$1,0)+1),MATCH(H$1,enemy_skill_triggers!$1:$1,0)-MATCH($F$1,enemy_skill_triggers!$1:$1,0)+1,FALSE)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465" s="48">
        <f ca="1">VLOOKUP($F465,OFFSET(enemy_skill_triggers!$A$1,0,0,COUNTA(enemy_skill_triggers!$A:$A),MATCH(I$1,enemy_skill_triggers!$1:$1,0)-MATCH($F$1,enemy_skill_triggers!$1:$1,0)+1),MATCH(I$1,enemy_skill_triggers!$1:$1,0)-MATCH($F$1,enemy_skill_triggers!$1:$1,0)+1,FALSE)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5" s="48" t="str">
        <f ca="1">VLOOKUP($F465,OFFSET(enemy_skill_triggers!$A$1,0,0,COUNTA(enemy_skill_triggers!$A:$A),MATCH(J$1,enemy_skill_triggers!$1:$1,0)-MATCH($F$1,enemy_skill_triggers!$1:$1,0)+1),MATCH(J$1,enemy_skill_triggers!$1:$1,0)-MATCH($F$1,enemy_skill_triggers!$1:$1,0)+1,FALSE)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5" s="48" t="str">
        <f ca="1">VLOOKUP($F465,OFFSET(enemy_skill_triggers!$A$1,0,0,COUNTA(enemy_skill_triggers!$A:$A),MATCH(K$1,enemy_skill_triggers!$1:$1,0)-MATCH($F$1,enemy_skill_triggers!$1:$1,0)+1),MATCH(K$1,enemy_skill_triggers!$1:$1,0)-MATCH($F$1,enemy_skill_triggers!$1:$1,0)+1,FALSE)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5" s="48">
        <f ca="1">VLOOKUP($F465,OFFSET(enemy_skill_triggers!$A$1,0,0,COUNTA(enemy_skill_triggers!$A:$A),MATCH(L$1,enemy_skill_triggers!$1:$1,0)-MATCH($F$1,enemy_skill_triggers!$1:$1,0)+1),MATCH(L$1,enemy_skill_triggers!$1:$1,0)-MATCH($F$1,enemy_skill_triggers!$1:$1,0)+1,FALSE)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5" s="48" t="str">
        <f ca="1">VLOOKUP($F465,OFFSET(enemy_skill_triggers!$A$1,0,0,COUNTA(enemy_skill_triggers!$A:$A),MATCH(M$1,enemy_skill_triggers!$1:$1,0)-MATCH($F$1,enemy_skill_triggers!$1:$1,0)+1),MATCH(M$1,enemy_skill_triggers!$1:$1,0)-MATCH($F$1,enemy_skill_triggers!$1:$1,0)+1,FALSE)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5" s="48">
        <f ca="1">VLOOKUP($F465,OFFSET(enemy_skill_triggers!$A$1,0,0,COUNTA(enemy_skill_triggers!$A:$A),MATCH(N$1,enemy_skill_triggers!$1:$1,0)-MATCH($F$1,enemy_skill_triggers!$1:$1,0)+1),MATCH(N$1,enemy_skill_triggers!$1:$1,0)-MATCH($F$1,enemy_skill_triggers!$1:$1,0)+1,FALSE)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465" s="48">
        <f ca="1">VLOOKUP($F465,OFFSET(enemy_skill_triggers!$A$1,0,0,COUNTA(enemy_skill_triggers!$A:$A),MATCH(O$1,enemy_skill_triggers!$1:$1,0)-MATCH($F$1,enemy_skill_triggers!$1:$1,0)+1),MATCH(O$1,enemy_skill_triggers!$1:$1,0)-MATCH($F$1,enemy_skill_triggers!$1:$1,0)+1,FALSE)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5" s="47"/>
      <c r="Q465" s="47"/>
      <c r="R465" s="47"/>
    </row>
    <row r="466" spans="1:18" ht="21" customHeight="1" x14ac:dyDescent="0.15">
      <c r="A466" s="39" t="str">
        <f t="shared" si="38"/>
        <v>47004860_47004865</v>
      </c>
      <c r="B466" s="109">
        <v>47004860</v>
      </c>
      <c r="C466" s="110">
        <v>47004865</v>
      </c>
      <c r="D466" s="46" t="str">
        <f ca="1">VLOOKUP($C466,OFFSET(enemy_skills!$A$1,0,0,COUNTA(enemy_skills!$A:$A),MATCH(D$1,enemy_skills!$1:$1,0)-MATCH("enemy_skill_id",enemy_skills!$1:$1,0)+1),MATCH(D$1,enemy_skills!$1:$1,0)-MATCH("enemy_skill_id",enemy_skills!$1:$1,0)+1,FALSE)</f>
        <v>今年も聖夜を祝福しているのね！_x000D_ふふっ私もやる気が湧いてきたわ！</v>
      </c>
      <c r="E466" s="46" t="str">
        <f ca="1">VLOOKUP($C466,OFFSET(enemy_skills!$A$1,0,0,COUNTA(enemy_skills!$A:$A),MATCH(E$1,enemy_skills!$1:$1,0)-MATCH("enemy_skill_id",enemy_skills!$1:$1,0)+1),MATCH(E$1,enemy_skills!$1:$1,0)-MATCH("enemy_skill_id",enemy_skills!$1:$1,0)+1,FALSE)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466" s="110">
        <v>47004866</v>
      </c>
      <c r="G466" s="48">
        <f ca="1">VLOOKUP($F466,OFFSET(enemy_skill_triggers!$A$1,0,0,COUNTA(enemy_skill_triggers!$A:$A),MATCH(G$1,enemy_skill_triggers!$1:$1,0)-MATCH($F$1,enemy_skill_triggers!$1:$1,0)+1),MATCH(G$1,enemy_skill_triggers!$1:$1,0)-MATCH($F$1,enemy_skill_triggers!$1:$1,0)+1,FALSE)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6" s="48">
        <f ca="1">VLOOKUP($F466,OFFSET(enemy_skill_triggers!$A$1,0,0,COUNTA(enemy_skill_triggers!$A:$A),MATCH(H$1,enemy_skill_triggers!$1:$1,0)-MATCH($F$1,enemy_skill_triggers!$1:$1,0)+1),MATCH(H$1,enemy_skill_triggers!$1:$1,0)-MATCH($F$1,enemy_skill_triggers!$1:$1,0)+1,FALSE)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466" s="48">
        <f ca="1">VLOOKUP($F466,OFFSET(enemy_skill_triggers!$A$1,0,0,COUNTA(enemy_skill_triggers!$A:$A),MATCH(I$1,enemy_skill_triggers!$1:$1,0)-MATCH($F$1,enemy_skill_triggers!$1:$1,0)+1),MATCH(I$1,enemy_skill_triggers!$1:$1,0)-MATCH($F$1,enemy_skill_triggers!$1:$1,0)+1,FALSE)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6" s="48" t="str">
        <f ca="1">VLOOKUP($F466,OFFSET(enemy_skill_triggers!$A$1,0,0,COUNTA(enemy_skill_triggers!$A:$A),MATCH(J$1,enemy_skill_triggers!$1:$1,0)-MATCH($F$1,enemy_skill_triggers!$1:$1,0)+1),MATCH(J$1,enemy_skill_triggers!$1:$1,0)-MATCH($F$1,enemy_skill_triggers!$1:$1,0)+1,FALSE)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6" s="48" t="str">
        <f ca="1">VLOOKUP($F466,OFFSET(enemy_skill_triggers!$A$1,0,0,COUNTA(enemy_skill_triggers!$A:$A),MATCH(K$1,enemy_skill_triggers!$1:$1,0)-MATCH($F$1,enemy_skill_triggers!$1:$1,0)+1),MATCH(K$1,enemy_skill_triggers!$1:$1,0)-MATCH($F$1,enemy_skill_triggers!$1:$1,0)+1,FALSE)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6" s="48">
        <f ca="1">VLOOKUP($F466,OFFSET(enemy_skill_triggers!$A$1,0,0,COUNTA(enemy_skill_triggers!$A:$A),MATCH(L$1,enemy_skill_triggers!$1:$1,0)-MATCH($F$1,enemy_skill_triggers!$1:$1,0)+1),MATCH(L$1,enemy_skill_triggers!$1:$1,0)-MATCH($F$1,enemy_skill_triggers!$1:$1,0)+1,FALSE)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6" s="48" t="str">
        <f ca="1">VLOOKUP($F466,OFFSET(enemy_skill_triggers!$A$1,0,0,COUNTA(enemy_skill_triggers!$A:$A),MATCH(M$1,enemy_skill_triggers!$1:$1,0)-MATCH($F$1,enemy_skill_triggers!$1:$1,0)+1),MATCH(M$1,enemy_skill_triggers!$1:$1,0)-MATCH($F$1,enemy_skill_triggers!$1:$1,0)+1,FALSE)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6" s="48">
        <f ca="1">VLOOKUP($F466,OFFSET(enemy_skill_triggers!$A$1,0,0,COUNTA(enemy_skill_triggers!$A:$A),MATCH(N$1,enemy_skill_triggers!$1:$1,0)-MATCH($F$1,enemy_skill_triggers!$1:$1,0)+1),MATCH(N$1,enemy_skill_triggers!$1:$1,0)-MATCH($F$1,enemy_skill_triggers!$1:$1,0)+1,FALSE)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466" s="48">
        <f ca="1">VLOOKUP($F466,OFFSET(enemy_skill_triggers!$A$1,0,0,COUNTA(enemy_skill_triggers!$A:$A),MATCH(O$1,enemy_skill_triggers!$1:$1,0)-MATCH($F$1,enemy_skill_triggers!$1:$1,0)+1),MATCH(O$1,enemy_skill_triggers!$1:$1,0)-MATCH($F$1,enemy_skill_triggers!$1:$1,0)+1,FALSE)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6" s="47"/>
      <c r="Q466" s="47"/>
      <c r="R466" s="47"/>
    </row>
    <row r="467" spans="1:18" ht="21" customHeight="1" x14ac:dyDescent="0.15">
      <c r="A467" s="39" t="str">
        <f t="shared" si="38"/>
        <v>47004860_47004865</v>
      </c>
      <c r="B467" s="109">
        <v>47004860</v>
      </c>
      <c r="C467" s="110">
        <v>47004865</v>
      </c>
      <c r="D467" s="46" t="str">
        <f ca="1">VLOOKUP($C467,OFFSET(enemy_skills!$A$1,0,0,COUNTA(enemy_skills!$A:$A),MATCH(D$1,enemy_skills!$1:$1,0)-MATCH("enemy_skill_id",enemy_skills!$1:$1,0)+1),MATCH(D$1,enemy_skills!$1:$1,0)-MATCH("enemy_skill_id",enemy_skills!$1:$1,0)+1,FALSE)</f>
        <v>今年も聖夜を祝福しているのね！_x000D_ふふっ私もやる気が湧いてきたわ！</v>
      </c>
      <c r="E467" s="46" t="str">
        <f ca="1">VLOOKUP($C467,OFFSET(enemy_skills!$A$1,0,0,COUNTA(enemy_skills!$A:$A),MATCH(E$1,enemy_skills!$1:$1,0)-MATCH("enemy_skill_id",enemy_skills!$1:$1,0)+1),MATCH(E$1,enemy_skills!$1:$1,0)-MATCH("enemy_skill_id",enemy_skills!$1:$1,0)+1,FALSE)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467" s="110">
        <v>47004867</v>
      </c>
      <c r="G467" s="48">
        <f ca="1">VLOOKUP($F467,OFFSET(enemy_skill_triggers!$A$1,0,0,COUNTA(enemy_skill_triggers!$A:$A),MATCH(G$1,enemy_skill_triggers!$1:$1,0)-MATCH($F$1,enemy_skill_triggers!$1:$1,0)+1),MATCH(G$1,enemy_skill_triggers!$1:$1,0)-MATCH($F$1,enemy_skill_triggers!$1:$1,0)+1,FALSE)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7" s="48">
        <f ca="1">VLOOKUP($F467,OFFSET(enemy_skill_triggers!$A$1,0,0,COUNTA(enemy_skill_triggers!$A:$A),MATCH(H$1,enemy_skill_triggers!$1:$1,0)-MATCH($F$1,enemy_skill_triggers!$1:$1,0)+1),MATCH(H$1,enemy_skill_triggers!$1:$1,0)-MATCH($F$1,enemy_skill_triggers!$1:$1,0)+1,FALSE)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467" s="48">
        <f ca="1">VLOOKUP($F467,OFFSET(enemy_skill_triggers!$A$1,0,0,COUNTA(enemy_skill_triggers!$A:$A),MATCH(I$1,enemy_skill_triggers!$1:$1,0)-MATCH($F$1,enemy_skill_triggers!$1:$1,0)+1),MATCH(I$1,enemy_skill_triggers!$1:$1,0)-MATCH($F$1,enemy_skill_triggers!$1:$1,0)+1,FALSE)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7" s="48" t="str">
        <f ca="1">VLOOKUP($F467,OFFSET(enemy_skill_triggers!$A$1,0,0,COUNTA(enemy_skill_triggers!$A:$A),MATCH(J$1,enemy_skill_triggers!$1:$1,0)-MATCH($F$1,enemy_skill_triggers!$1:$1,0)+1),MATCH(J$1,enemy_skill_triggers!$1:$1,0)-MATCH($F$1,enemy_skill_triggers!$1:$1,0)+1,FALSE)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7" s="48" t="str">
        <f ca="1">VLOOKUP($F467,OFFSET(enemy_skill_triggers!$A$1,0,0,COUNTA(enemy_skill_triggers!$A:$A),MATCH(K$1,enemy_skill_triggers!$1:$1,0)-MATCH($F$1,enemy_skill_triggers!$1:$1,0)+1),MATCH(K$1,enemy_skill_triggers!$1:$1,0)-MATCH($F$1,enemy_skill_triggers!$1:$1,0)+1,FALSE)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7" s="48">
        <f ca="1">VLOOKUP($F467,OFFSET(enemy_skill_triggers!$A$1,0,0,COUNTA(enemy_skill_triggers!$A:$A),MATCH(L$1,enemy_skill_triggers!$1:$1,0)-MATCH($F$1,enemy_skill_triggers!$1:$1,0)+1),MATCH(L$1,enemy_skill_triggers!$1:$1,0)-MATCH($F$1,enemy_skill_triggers!$1:$1,0)+1,FALSE)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7" s="48" t="str">
        <f ca="1">VLOOKUP($F467,OFFSET(enemy_skill_triggers!$A$1,0,0,COUNTA(enemy_skill_triggers!$A:$A),MATCH(M$1,enemy_skill_triggers!$1:$1,0)-MATCH($F$1,enemy_skill_triggers!$1:$1,0)+1),MATCH(M$1,enemy_skill_triggers!$1:$1,0)-MATCH($F$1,enemy_skill_triggers!$1:$1,0)+1,FALSE)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7" s="48">
        <f ca="1">VLOOKUP($F467,OFFSET(enemy_skill_triggers!$A$1,0,0,COUNTA(enemy_skill_triggers!$A:$A),MATCH(N$1,enemy_skill_triggers!$1:$1,0)-MATCH($F$1,enemy_skill_triggers!$1:$1,0)+1),MATCH(N$1,enemy_skill_triggers!$1:$1,0)-MATCH($F$1,enemy_skill_triggers!$1:$1,0)+1,FALSE)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467" s="48">
        <f ca="1">VLOOKUP($F467,OFFSET(enemy_skill_triggers!$A$1,0,0,COUNTA(enemy_skill_triggers!$A:$A),MATCH(O$1,enemy_skill_triggers!$1:$1,0)-MATCH($F$1,enemy_skill_triggers!$1:$1,0)+1),MATCH(O$1,enemy_skill_triggers!$1:$1,0)-MATCH($F$1,enemy_skill_triggers!$1:$1,0)+1,FALSE)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7" s="47"/>
      <c r="Q467" s="47"/>
      <c r="R467" s="47"/>
    </row>
    <row r="468" spans="1:18" ht="21" customHeight="1" x14ac:dyDescent="0.15">
      <c r="A468" s="39" t="str">
        <f t="shared" si="38"/>
        <v>47004860_47004865</v>
      </c>
      <c r="B468" s="109">
        <v>47004860</v>
      </c>
      <c r="C468" s="110">
        <v>47004865</v>
      </c>
      <c r="D468" s="46" t="str">
        <f ca="1">VLOOKUP($C468,OFFSET(enemy_skills!$A$1,0,0,COUNTA(enemy_skills!$A:$A),MATCH(D$1,enemy_skills!$1:$1,0)-MATCH("enemy_skill_id",enemy_skills!$1:$1,0)+1),MATCH(D$1,enemy_skills!$1:$1,0)-MATCH("enemy_skill_id",enemy_skills!$1:$1,0)+1,FALSE)</f>
        <v>今年も聖夜を祝福しているのね！_x000D_ふふっ私もやる気が湧いてきたわ！</v>
      </c>
      <c r="E468" s="46" t="str">
        <f ca="1">VLOOKUP($C468,OFFSET(enemy_skills!$A$1,0,0,COUNTA(enemy_skills!$A:$A),MATCH(E$1,enemy_skills!$1:$1,0)-MATCH("enemy_skill_id",enemy_skills!$1:$1,0)+1),MATCH(E$1,enemy_skills!$1:$1,0)-MATCH("enemy_skill_id",enemy_skills!$1:$1,0)+1,FALSE)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468" s="110">
        <v>47004868</v>
      </c>
      <c r="G468" s="48">
        <f ca="1">VLOOKUP($F468,OFFSET(enemy_skill_triggers!$A$1,0,0,COUNTA(enemy_skill_triggers!$A:$A),MATCH(G$1,enemy_skill_triggers!$1:$1,0)-MATCH($F$1,enemy_skill_triggers!$1:$1,0)+1),MATCH(G$1,enemy_skill_triggers!$1:$1,0)-MATCH($F$1,enemy_skill_triggers!$1:$1,0)+1,FALSE)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8" s="48">
        <f ca="1">VLOOKUP($F468,OFFSET(enemy_skill_triggers!$A$1,0,0,COUNTA(enemy_skill_triggers!$A:$A),MATCH(H$1,enemy_skill_triggers!$1:$1,0)-MATCH($F$1,enemy_skill_triggers!$1:$1,0)+1),MATCH(H$1,enemy_skill_triggers!$1:$1,0)-MATCH($F$1,enemy_skill_triggers!$1:$1,0)+1,FALSE)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468" s="48">
        <f ca="1">VLOOKUP($F468,OFFSET(enemy_skill_triggers!$A$1,0,0,COUNTA(enemy_skill_triggers!$A:$A),MATCH(I$1,enemy_skill_triggers!$1:$1,0)-MATCH($F$1,enemy_skill_triggers!$1:$1,0)+1),MATCH(I$1,enemy_skill_triggers!$1:$1,0)-MATCH($F$1,enemy_skill_triggers!$1:$1,0)+1,FALSE)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8" s="48" t="str">
        <f ca="1">VLOOKUP($F468,OFFSET(enemy_skill_triggers!$A$1,0,0,COUNTA(enemy_skill_triggers!$A:$A),MATCH(J$1,enemy_skill_triggers!$1:$1,0)-MATCH($F$1,enemy_skill_triggers!$1:$1,0)+1),MATCH(J$1,enemy_skill_triggers!$1:$1,0)-MATCH($F$1,enemy_skill_triggers!$1:$1,0)+1,FALSE)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8" s="48" t="str">
        <f ca="1">VLOOKUP($F468,OFFSET(enemy_skill_triggers!$A$1,0,0,COUNTA(enemy_skill_triggers!$A:$A),MATCH(K$1,enemy_skill_triggers!$1:$1,0)-MATCH($F$1,enemy_skill_triggers!$1:$1,0)+1),MATCH(K$1,enemy_skill_triggers!$1:$1,0)-MATCH($F$1,enemy_skill_triggers!$1:$1,0)+1,FALSE)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8" s="48">
        <f ca="1">VLOOKUP($F468,OFFSET(enemy_skill_triggers!$A$1,0,0,COUNTA(enemy_skill_triggers!$A:$A),MATCH(L$1,enemy_skill_triggers!$1:$1,0)-MATCH($F$1,enemy_skill_triggers!$1:$1,0)+1),MATCH(L$1,enemy_skill_triggers!$1:$1,0)-MATCH($F$1,enemy_skill_triggers!$1:$1,0)+1,FALSE)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8" s="48" t="str">
        <f ca="1">VLOOKUP($F468,OFFSET(enemy_skill_triggers!$A$1,0,0,COUNTA(enemy_skill_triggers!$A:$A),MATCH(M$1,enemy_skill_triggers!$1:$1,0)-MATCH($F$1,enemy_skill_triggers!$1:$1,0)+1),MATCH(M$1,enemy_skill_triggers!$1:$1,0)-MATCH($F$1,enemy_skill_triggers!$1:$1,0)+1,FALSE)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8" s="48">
        <f ca="1">VLOOKUP($F468,OFFSET(enemy_skill_triggers!$A$1,0,0,COUNTA(enemy_skill_triggers!$A:$A),MATCH(N$1,enemy_skill_triggers!$1:$1,0)-MATCH($F$1,enemy_skill_triggers!$1:$1,0)+1),MATCH(N$1,enemy_skill_triggers!$1:$1,0)-MATCH($F$1,enemy_skill_triggers!$1:$1,0)+1,FALSE)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468" s="48">
        <f ca="1">VLOOKUP($F468,OFFSET(enemy_skill_triggers!$A$1,0,0,COUNTA(enemy_skill_triggers!$A:$A),MATCH(O$1,enemy_skill_triggers!$1:$1,0)-MATCH($F$1,enemy_skill_triggers!$1:$1,0)+1),MATCH(O$1,enemy_skill_triggers!$1:$1,0)-MATCH($F$1,enemy_skill_triggers!$1:$1,0)+1,FALSE)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8" s="47"/>
      <c r="Q468" s="47"/>
      <c r="R468" s="47"/>
    </row>
    <row r="469" spans="1:18" ht="21" customHeight="1" x14ac:dyDescent="0.15">
      <c r="A469" s="39" t="str">
        <f t="shared" si="38"/>
        <v>47004860_47004866</v>
      </c>
      <c r="B469" s="109">
        <v>47004860</v>
      </c>
      <c r="C469" s="110">
        <v>47004866</v>
      </c>
      <c r="D469" s="46" t="str">
        <f ca="1">VLOOKUP($C469,OFFSET(enemy_skills!$A$1,0,0,COUNTA(enemy_skills!$A:$A),MATCH(D$1,enemy_skills!$1:$1,0)-MATCH("enemy_skill_id",enemy_skills!$1:$1,0)+1),MATCH(D$1,enemy_skills!$1:$1,0)-MATCH("enemy_skill_id",enemy_skills!$1:$1,0)+1,FALSE)</f>
        <v>快活なサンタさんね！_x000D_さぁ一緒に頑張りましょ！</v>
      </c>
      <c r="E469" s="46" t="str">
        <f ca="1">VLOOKUP($C469,OFFSET(enemy_skills!$A$1,0,0,COUNTA(enemy_skills!$A:$A),MATCH(E$1,enemy_skills!$1:$1,0)-MATCH("enemy_skill_id",enemy_skills!$1:$1,0)+1),MATCH(E$1,enemy_skills!$1:$1,0)-MATCH("enemy_skill_id",enemy_skills!$1:$1,0)+1,FALSE)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469" s="110">
        <v>47004869</v>
      </c>
      <c r="G469" s="48">
        <f ca="1">VLOOKUP($F469,OFFSET(enemy_skill_triggers!$A$1,0,0,COUNTA(enemy_skill_triggers!$A:$A),MATCH(G$1,enemy_skill_triggers!$1:$1,0)-MATCH($F$1,enemy_skill_triggers!$1:$1,0)+1),MATCH(G$1,enemy_skill_triggers!$1:$1,0)-MATCH($F$1,enemy_skill_triggers!$1:$1,0)+1,FALSE)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9" s="48">
        <f ca="1">VLOOKUP($F469,OFFSET(enemy_skill_triggers!$A$1,0,0,COUNTA(enemy_skill_triggers!$A:$A),MATCH(H$1,enemy_skill_triggers!$1:$1,0)-MATCH($F$1,enemy_skill_triggers!$1:$1,0)+1),MATCH(H$1,enemy_skill_triggers!$1:$1,0)-MATCH($F$1,enemy_skill_triggers!$1:$1,0)+1,FALSE)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469" s="48">
        <f ca="1">VLOOKUP($F469,OFFSET(enemy_skill_triggers!$A$1,0,0,COUNTA(enemy_skill_triggers!$A:$A),MATCH(I$1,enemy_skill_triggers!$1:$1,0)-MATCH($F$1,enemy_skill_triggers!$1:$1,0)+1),MATCH(I$1,enemy_skill_triggers!$1:$1,0)-MATCH($F$1,enemy_skill_triggers!$1:$1,0)+1,FALSE)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9" s="48" t="str">
        <f ca="1">VLOOKUP($F469,OFFSET(enemy_skill_triggers!$A$1,0,0,COUNTA(enemy_skill_triggers!$A:$A),MATCH(J$1,enemy_skill_triggers!$1:$1,0)-MATCH($F$1,enemy_skill_triggers!$1:$1,0)+1),MATCH(J$1,enemy_skill_triggers!$1:$1,0)-MATCH($F$1,enemy_skill_triggers!$1:$1,0)+1,FALSE)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9" s="48" t="str">
        <f ca="1">VLOOKUP($F469,OFFSET(enemy_skill_triggers!$A$1,0,0,COUNTA(enemy_skill_triggers!$A:$A),MATCH(K$1,enemy_skill_triggers!$1:$1,0)-MATCH($F$1,enemy_skill_triggers!$1:$1,0)+1),MATCH(K$1,enemy_skill_triggers!$1:$1,0)-MATCH($F$1,enemy_skill_triggers!$1:$1,0)+1,FALSE)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9" s="48">
        <f ca="1">VLOOKUP($F469,OFFSET(enemy_skill_triggers!$A$1,0,0,COUNTA(enemy_skill_triggers!$A:$A),MATCH(L$1,enemy_skill_triggers!$1:$1,0)-MATCH($F$1,enemy_skill_triggers!$1:$1,0)+1),MATCH(L$1,enemy_skill_triggers!$1:$1,0)-MATCH($F$1,enemy_skill_triggers!$1:$1,0)+1,FALSE)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9" s="48" t="str">
        <f ca="1">VLOOKUP($F469,OFFSET(enemy_skill_triggers!$A$1,0,0,COUNTA(enemy_skill_triggers!$A:$A),MATCH(M$1,enemy_skill_triggers!$1:$1,0)-MATCH($F$1,enemy_skill_triggers!$1:$1,0)+1),MATCH(M$1,enemy_skill_triggers!$1:$1,0)-MATCH($F$1,enemy_skill_triggers!$1:$1,0)+1,FALSE)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9" s="48">
        <f ca="1">VLOOKUP($F469,OFFSET(enemy_skill_triggers!$A$1,0,0,COUNTA(enemy_skill_triggers!$A:$A),MATCH(N$1,enemy_skill_triggers!$1:$1,0)-MATCH($F$1,enemy_skill_triggers!$1:$1,0)+1),MATCH(N$1,enemy_skill_triggers!$1:$1,0)-MATCH($F$1,enemy_skill_triggers!$1:$1,0)+1,FALSE)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469" s="48">
        <f ca="1">VLOOKUP($F469,OFFSET(enemy_skill_triggers!$A$1,0,0,COUNTA(enemy_skill_triggers!$A:$A),MATCH(O$1,enemy_skill_triggers!$1:$1,0)-MATCH($F$1,enemy_skill_triggers!$1:$1,0)+1),MATCH(O$1,enemy_skill_triggers!$1:$1,0)-MATCH($F$1,enemy_skill_triggers!$1:$1,0)+1,FALSE)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9" s="47"/>
      <c r="Q469" s="47"/>
      <c r="R469" s="47"/>
    </row>
    <row r="470" spans="1:18" ht="21" customHeight="1" x14ac:dyDescent="0.15">
      <c r="A470" s="39" t="str">
        <f t="shared" si="38"/>
        <v>47004860_47004866</v>
      </c>
      <c r="B470" s="109">
        <v>47004860</v>
      </c>
      <c r="C470" s="110">
        <v>47004866</v>
      </c>
      <c r="D470" s="46" t="str">
        <f ca="1">VLOOKUP($C470,OFFSET(enemy_skills!$A$1,0,0,COUNTA(enemy_skills!$A:$A),MATCH(D$1,enemy_skills!$1:$1,0)-MATCH("enemy_skill_id",enemy_skills!$1:$1,0)+1),MATCH(D$1,enemy_skills!$1:$1,0)-MATCH("enemy_skill_id",enemy_skills!$1:$1,0)+1,FALSE)</f>
        <v>快活なサンタさんね！_x000D_さぁ一緒に頑張りましょ！</v>
      </c>
      <c r="E470" s="46" t="str">
        <f ca="1">VLOOKUP($C470,OFFSET(enemy_skills!$A$1,0,0,COUNTA(enemy_skills!$A:$A),MATCH(E$1,enemy_skills!$1:$1,0)-MATCH("enemy_skill_id",enemy_skills!$1:$1,0)+1),MATCH(E$1,enemy_skills!$1:$1,0)-MATCH("enemy_skill_id",enemy_skills!$1:$1,0)+1,FALSE)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470" s="110">
        <v>47004870</v>
      </c>
      <c r="G470" s="48">
        <f ca="1">VLOOKUP($F470,OFFSET(enemy_skill_triggers!$A$1,0,0,COUNTA(enemy_skill_triggers!$A:$A),MATCH(G$1,enemy_skill_triggers!$1:$1,0)-MATCH($F$1,enemy_skill_triggers!$1:$1,0)+1),MATCH(G$1,enemy_skill_triggers!$1:$1,0)-MATCH($F$1,enemy_skill_triggers!$1:$1,0)+1,FALSE)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0" s="48">
        <f ca="1">VLOOKUP($F470,OFFSET(enemy_skill_triggers!$A$1,0,0,COUNTA(enemy_skill_triggers!$A:$A),MATCH(H$1,enemy_skill_triggers!$1:$1,0)-MATCH($F$1,enemy_skill_triggers!$1:$1,0)+1),MATCH(H$1,enemy_skill_triggers!$1:$1,0)-MATCH($F$1,enemy_skill_triggers!$1:$1,0)+1,FALSE)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470" s="48">
        <f ca="1">VLOOKUP($F470,OFFSET(enemy_skill_triggers!$A$1,0,0,COUNTA(enemy_skill_triggers!$A:$A),MATCH(I$1,enemy_skill_triggers!$1:$1,0)-MATCH($F$1,enemy_skill_triggers!$1:$1,0)+1),MATCH(I$1,enemy_skill_triggers!$1:$1,0)-MATCH($F$1,enemy_skill_triggers!$1:$1,0)+1,FALSE)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0" s="48" t="str">
        <f ca="1">VLOOKUP($F470,OFFSET(enemy_skill_triggers!$A$1,0,0,COUNTA(enemy_skill_triggers!$A:$A),MATCH(J$1,enemy_skill_triggers!$1:$1,0)-MATCH($F$1,enemy_skill_triggers!$1:$1,0)+1),MATCH(J$1,enemy_skill_triggers!$1:$1,0)-MATCH($F$1,enemy_skill_triggers!$1:$1,0)+1,FALSE)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0" s="48" t="str">
        <f ca="1">VLOOKUP($F470,OFFSET(enemy_skill_triggers!$A$1,0,0,COUNTA(enemy_skill_triggers!$A:$A),MATCH(K$1,enemy_skill_triggers!$1:$1,0)-MATCH($F$1,enemy_skill_triggers!$1:$1,0)+1),MATCH(K$1,enemy_skill_triggers!$1:$1,0)-MATCH($F$1,enemy_skill_triggers!$1:$1,0)+1,FALSE)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0" s="48">
        <f ca="1">VLOOKUP($F470,OFFSET(enemy_skill_triggers!$A$1,0,0,COUNTA(enemy_skill_triggers!$A:$A),MATCH(L$1,enemy_skill_triggers!$1:$1,0)-MATCH($F$1,enemy_skill_triggers!$1:$1,0)+1),MATCH(L$1,enemy_skill_triggers!$1:$1,0)-MATCH($F$1,enemy_skill_triggers!$1:$1,0)+1,FALSE)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0" s="48" t="str">
        <f ca="1">VLOOKUP($F470,OFFSET(enemy_skill_triggers!$A$1,0,0,COUNTA(enemy_skill_triggers!$A:$A),MATCH(M$1,enemy_skill_triggers!$1:$1,0)-MATCH($F$1,enemy_skill_triggers!$1:$1,0)+1),MATCH(M$1,enemy_skill_triggers!$1:$1,0)-MATCH($F$1,enemy_skill_triggers!$1:$1,0)+1,FALSE)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0" s="48">
        <f ca="1">VLOOKUP($F470,OFFSET(enemy_skill_triggers!$A$1,0,0,COUNTA(enemy_skill_triggers!$A:$A),MATCH(N$1,enemy_skill_triggers!$1:$1,0)-MATCH($F$1,enemy_skill_triggers!$1:$1,0)+1),MATCH(N$1,enemy_skill_triggers!$1:$1,0)-MATCH($F$1,enemy_skill_triggers!$1:$1,0)+1,FALSE)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470" s="48">
        <f ca="1">VLOOKUP($F470,OFFSET(enemy_skill_triggers!$A$1,0,0,COUNTA(enemy_skill_triggers!$A:$A),MATCH(O$1,enemy_skill_triggers!$1:$1,0)-MATCH($F$1,enemy_skill_triggers!$1:$1,0)+1),MATCH(O$1,enemy_skill_triggers!$1:$1,0)-MATCH($F$1,enemy_skill_triggers!$1:$1,0)+1,FALSE)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0" s="47"/>
      <c r="Q470" s="47"/>
      <c r="R470" s="47"/>
    </row>
    <row r="471" spans="1:18" ht="21" customHeight="1" x14ac:dyDescent="0.15">
      <c r="A471" s="39" t="str">
        <f t="shared" si="38"/>
        <v>47004860_47004866</v>
      </c>
      <c r="B471" s="109">
        <v>47004860</v>
      </c>
      <c r="C471" s="110">
        <v>47004866</v>
      </c>
      <c r="D471" s="46" t="str">
        <f ca="1">VLOOKUP($C471,OFFSET(enemy_skills!$A$1,0,0,COUNTA(enemy_skills!$A:$A),MATCH(D$1,enemy_skills!$1:$1,0)-MATCH("enemy_skill_id",enemy_skills!$1:$1,0)+1),MATCH(D$1,enemy_skills!$1:$1,0)-MATCH("enemy_skill_id",enemy_skills!$1:$1,0)+1,FALSE)</f>
        <v>快活なサンタさんね！_x000D_さぁ一緒に頑張りましょ！</v>
      </c>
      <c r="E471" s="46" t="str">
        <f ca="1">VLOOKUP($C471,OFFSET(enemy_skills!$A$1,0,0,COUNTA(enemy_skills!$A:$A),MATCH(E$1,enemy_skills!$1:$1,0)-MATCH("enemy_skill_id",enemy_skills!$1:$1,0)+1),MATCH(E$1,enemy_skills!$1:$1,0)-MATCH("enemy_skill_id",enemy_skills!$1:$1,0)+1,FALSE)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471" s="110">
        <v>47004871</v>
      </c>
      <c r="G471" s="48">
        <f ca="1">VLOOKUP($F471,OFFSET(enemy_skill_triggers!$A$1,0,0,COUNTA(enemy_skill_triggers!$A:$A),MATCH(G$1,enemy_skill_triggers!$1:$1,0)-MATCH($F$1,enemy_skill_triggers!$1:$1,0)+1),MATCH(G$1,enemy_skill_triggers!$1:$1,0)-MATCH($F$1,enemy_skill_triggers!$1:$1,0)+1,FALSE)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1" s="48">
        <f ca="1">VLOOKUP($F471,OFFSET(enemy_skill_triggers!$A$1,0,0,COUNTA(enemy_skill_triggers!$A:$A),MATCH(H$1,enemy_skill_triggers!$1:$1,0)-MATCH($F$1,enemy_skill_triggers!$1:$1,0)+1),MATCH(H$1,enemy_skill_triggers!$1:$1,0)-MATCH($F$1,enemy_skill_triggers!$1:$1,0)+1,FALSE)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471" s="48">
        <f ca="1">VLOOKUP($F471,OFFSET(enemy_skill_triggers!$A$1,0,0,COUNTA(enemy_skill_triggers!$A:$A),MATCH(I$1,enemy_skill_triggers!$1:$1,0)-MATCH($F$1,enemy_skill_triggers!$1:$1,0)+1),MATCH(I$1,enemy_skill_triggers!$1:$1,0)-MATCH($F$1,enemy_skill_triggers!$1:$1,0)+1,FALSE)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1" s="48" t="str">
        <f ca="1">VLOOKUP($F471,OFFSET(enemy_skill_triggers!$A$1,0,0,COUNTA(enemy_skill_triggers!$A:$A),MATCH(J$1,enemy_skill_triggers!$1:$1,0)-MATCH($F$1,enemy_skill_triggers!$1:$1,0)+1),MATCH(J$1,enemy_skill_triggers!$1:$1,0)-MATCH($F$1,enemy_skill_triggers!$1:$1,0)+1,FALSE)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1" s="48" t="str">
        <f ca="1">VLOOKUP($F471,OFFSET(enemy_skill_triggers!$A$1,0,0,COUNTA(enemy_skill_triggers!$A:$A),MATCH(K$1,enemy_skill_triggers!$1:$1,0)-MATCH($F$1,enemy_skill_triggers!$1:$1,0)+1),MATCH(K$1,enemy_skill_triggers!$1:$1,0)-MATCH($F$1,enemy_skill_triggers!$1:$1,0)+1,FALSE)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1" s="48">
        <f ca="1">VLOOKUP($F471,OFFSET(enemy_skill_triggers!$A$1,0,0,COUNTA(enemy_skill_triggers!$A:$A),MATCH(L$1,enemy_skill_triggers!$1:$1,0)-MATCH($F$1,enemy_skill_triggers!$1:$1,0)+1),MATCH(L$1,enemy_skill_triggers!$1:$1,0)-MATCH($F$1,enemy_skill_triggers!$1:$1,0)+1,FALSE)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1" s="48" t="str">
        <f ca="1">VLOOKUP($F471,OFFSET(enemy_skill_triggers!$A$1,0,0,COUNTA(enemy_skill_triggers!$A:$A),MATCH(M$1,enemy_skill_triggers!$1:$1,0)-MATCH($F$1,enemy_skill_triggers!$1:$1,0)+1),MATCH(M$1,enemy_skill_triggers!$1:$1,0)-MATCH($F$1,enemy_skill_triggers!$1:$1,0)+1,FALSE)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1" s="48">
        <f ca="1">VLOOKUP($F471,OFFSET(enemy_skill_triggers!$A$1,0,0,COUNTA(enemy_skill_triggers!$A:$A),MATCH(N$1,enemy_skill_triggers!$1:$1,0)-MATCH($F$1,enemy_skill_triggers!$1:$1,0)+1),MATCH(N$1,enemy_skill_triggers!$1:$1,0)-MATCH($F$1,enemy_skill_triggers!$1:$1,0)+1,FALSE)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471" s="48">
        <f ca="1">VLOOKUP($F471,OFFSET(enemy_skill_triggers!$A$1,0,0,COUNTA(enemy_skill_triggers!$A:$A),MATCH(O$1,enemy_skill_triggers!$1:$1,0)-MATCH($F$1,enemy_skill_triggers!$1:$1,0)+1),MATCH(O$1,enemy_skill_triggers!$1:$1,0)-MATCH($F$1,enemy_skill_triggers!$1:$1,0)+1,FALSE)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1" s="47"/>
      <c r="Q471" s="47"/>
      <c r="R471" s="47"/>
    </row>
    <row r="472" spans="1:18" ht="21" customHeight="1" x14ac:dyDescent="0.15">
      <c r="A472" s="39" t="str">
        <f t="shared" si="38"/>
        <v>47004860_47004867</v>
      </c>
      <c r="B472" s="109">
        <v>47004860</v>
      </c>
      <c r="C472" s="110">
        <v>47004867</v>
      </c>
      <c r="D472" s="46" t="str">
        <f ca="1">VLOOKUP($C472,OFFSET(enemy_skills!$A$1,0,0,COUNTA(enemy_skills!$A:$A),MATCH(D$1,enemy_skills!$1:$1,0)-MATCH("enemy_skill_id",enemy_skills!$1:$1,0)+1),MATCH(D$1,enemy_skills!$1:$1,0)-MATCH("enemy_skill_id",enemy_skills!$1:$1,0)+1,FALSE)</f>
        <v>え？プロメテウスにも見せてやりたい？_x000D_も、もう！やめてよね！</v>
      </c>
      <c r="E472" s="46" t="str">
        <f ca="1">VLOOKUP($C472,OFFSET(enemy_skills!$A$1,0,0,COUNTA(enemy_skills!$A:$A),MATCH(E$1,enemy_skills!$1:$1,0)-MATCH("enemy_skill_id",enemy_skills!$1:$1,0)+1),MATCH(E$1,enemy_skills!$1:$1,0)-MATCH("enemy_skill_id",enemy_skills!$1:$1,0)+1,FALSE)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472" s="110">
        <v>47004872</v>
      </c>
      <c r="G472" s="48">
        <f ca="1">VLOOKUP($F472,OFFSET(enemy_skill_triggers!$A$1,0,0,COUNTA(enemy_skill_triggers!$A:$A),MATCH(G$1,enemy_skill_triggers!$1:$1,0)-MATCH($F$1,enemy_skill_triggers!$1:$1,0)+1),MATCH(G$1,enemy_skill_triggers!$1:$1,0)-MATCH($F$1,enemy_skill_triggers!$1:$1,0)+1,FALSE)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2" s="48">
        <f ca="1">VLOOKUP($F472,OFFSET(enemy_skill_triggers!$A$1,0,0,COUNTA(enemy_skill_triggers!$A:$A),MATCH(H$1,enemy_skill_triggers!$1:$1,0)-MATCH($F$1,enemy_skill_triggers!$1:$1,0)+1),MATCH(H$1,enemy_skill_triggers!$1:$1,0)-MATCH($F$1,enemy_skill_triggers!$1:$1,0)+1,FALSE)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472" s="48">
        <f ca="1">VLOOKUP($F472,OFFSET(enemy_skill_triggers!$A$1,0,0,COUNTA(enemy_skill_triggers!$A:$A),MATCH(I$1,enemy_skill_triggers!$1:$1,0)-MATCH($F$1,enemy_skill_triggers!$1:$1,0)+1),MATCH(I$1,enemy_skill_triggers!$1:$1,0)-MATCH($F$1,enemy_skill_triggers!$1:$1,0)+1,FALSE)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2" s="48" t="str">
        <f ca="1">VLOOKUP($F472,OFFSET(enemy_skill_triggers!$A$1,0,0,COUNTA(enemy_skill_triggers!$A:$A),MATCH(J$1,enemy_skill_triggers!$1:$1,0)-MATCH($F$1,enemy_skill_triggers!$1:$1,0)+1),MATCH(J$1,enemy_skill_triggers!$1:$1,0)-MATCH($F$1,enemy_skill_triggers!$1:$1,0)+1,FALSE)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2" s="48" t="str">
        <f ca="1">VLOOKUP($F472,OFFSET(enemy_skill_triggers!$A$1,0,0,COUNTA(enemy_skill_triggers!$A:$A),MATCH(K$1,enemy_skill_triggers!$1:$1,0)-MATCH($F$1,enemy_skill_triggers!$1:$1,0)+1),MATCH(K$1,enemy_skill_triggers!$1:$1,0)-MATCH($F$1,enemy_skill_triggers!$1:$1,0)+1,FALSE)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2" s="48">
        <f ca="1">VLOOKUP($F472,OFFSET(enemy_skill_triggers!$A$1,0,0,COUNTA(enemy_skill_triggers!$A:$A),MATCH(L$1,enemy_skill_triggers!$1:$1,0)-MATCH($F$1,enemy_skill_triggers!$1:$1,0)+1),MATCH(L$1,enemy_skill_triggers!$1:$1,0)-MATCH($F$1,enemy_skill_triggers!$1:$1,0)+1,FALSE)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2" s="48" t="str">
        <f ca="1">VLOOKUP($F472,OFFSET(enemy_skill_triggers!$A$1,0,0,COUNTA(enemy_skill_triggers!$A:$A),MATCH(M$1,enemy_skill_triggers!$1:$1,0)-MATCH($F$1,enemy_skill_triggers!$1:$1,0)+1),MATCH(M$1,enemy_skill_triggers!$1:$1,0)-MATCH($F$1,enemy_skill_triggers!$1:$1,0)+1,FALSE)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2" s="48">
        <f ca="1">VLOOKUP($F472,OFFSET(enemy_skill_triggers!$A$1,0,0,COUNTA(enemy_skill_triggers!$A:$A),MATCH(N$1,enemy_skill_triggers!$1:$1,0)-MATCH($F$1,enemy_skill_triggers!$1:$1,0)+1),MATCH(N$1,enemy_skill_triggers!$1:$1,0)-MATCH($F$1,enemy_skill_triggers!$1:$1,0)+1,FALSE)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472" s="48">
        <f ca="1">VLOOKUP($F472,OFFSET(enemy_skill_triggers!$A$1,0,0,COUNTA(enemy_skill_triggers!$A:$A),MATCH(O$1,enemy_skill_triggers!$1:$1,0)-MATCH($F$1,enemy_skill_triggers!$1:$1,0)+1),MATCH(O$1,enemy_skill_triggers!$1:$1,0)-MATCH($F$1,enemy_skill_triggers!$1:$1,0)+1,FALSE)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2" s="47"/>
      <c r="Q472" s="47"/>
      <c r="R472" s="47"/>
    </row>
    <row r="473" spans="1:18" ht="21" customHeight="1" x14ac:dyDescent="0.15">
      <c r="A473" s="39" t="str">
        <f t="shared" si="38"/>
        <v>47004860_47004867</v>
      </c>
      <c r="B473" s="109">
        <v>47004860</v>
      </c>
      <c r="C473" s="110">
        <v>47004867</v>
      </c>
      <c r="D473" s="46" t="str">
        <f ca="1">VLOOKUP($C473,OFFSET(enemy_skills!$A$1,0,0,COUNTA(enemy_skills!$A:$A),MATCH(D$1,enemy_skills!$1:$1,0)-MATCH("enemy_skill_id",enemy_skills!$1:$1,0)+1),MATCH(D$1,enemy_skills!$1:$1,0)-MATCH("enemy_skill_id",enemy_skills!$1:$1,0)+1,FALSE)</f>
        <v>え？プロメテウスにも見せてやりたい？_x000D_も、もう！やめてよね！</v>
      </c>
      <c r="E473" s="46" t="str">
        <f ca="1">VLOOKUP($C473,OFFSET(enemy_skills!$A$1,0,0,COUNTA(enemy_skills!$A:$A),MATCH(E$1,enemy_skills!$1:$1,0)-MATCH("enemy_skill_id",enemy_skills!$1:$1,0)+1),MATCH(E$1,enemy_skills!$1:$1,0)-MATCH("enemy_skill_id",enemy_skills!$1:$1,0)+1,FALSE)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473" s="110">
        <v>47004873</v>
      </c>
      <c r="G473" s="48">
        <f ca="1">VLOOKUP($F473,OFFSET(enemy_skill_triggers!$A$1,0,0,COUNTA(enemy_skill_triggers!$A:$A),MATCH(G$1,enemy_skill_triggers!$1:$1,0)-MATCH($F$1,enemy_skill_triggers!$1:$1,0)+1),MATCH(G$1,enemy_skill_triggers!$1:$1,0)-MATCH($F$1,enemy_skill_triggers!$1:$1,0)+1,FALSE)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3" s="48">
        <f ca="1">VLOOKUP($F473,OFFSET(enemy_skill_triggers!$A$1,0,0,COUNTA(enemy_skill_triggers!$A:$A),MATCH(H$1,enemy_skill_triggers!$1:$1,0)-MATCH($F$1,enemy_skill_triggers!$1:$1,0)+1),MATCH(H$1,enemy_skill_triggers!$1:$1,0)-MATCH($F$1,enemy_skill_triggers!$1:$1,0)+1,FALSE)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473" s="48">
        <f ca="1">VLOOKUP($F473,OFFSET(enemy_skill_triggers!$A$1,0,0,COUNTA(enemy_skill_triggers!$A:$A),MATCH(I$1,enemy_skill_triggers!$1:$1,0)-MATCH($F$1,enemy_skill_triggers!$1:$1,0)+1),MATCH(I$1,enemy_skill_triggers!$1:$1,0)-MATCH($F$1,enemy_skill_triggers!$1:$1,0)+1,FALSE)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3" s="48" t="str">
        <f ca="1">VLOOKUP($F473,OFFSET(enemy_skill_triggers!$A$1,0,0,COUNTA(enemy_skill_triggers!$A:$A),MATCH(J$1,enemy_skill_triggers!$1:$1,0)-MATCH($F$1,enemy_skill_triggers!$1:$1,0)+1),MATCH(J$1,enemy_skill_triggers!$1:$1,0)-MATCH($F$1,enemy_skill_triggers!$1:$1,0)+1,FALSE)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3" s="48" t="str">
        <f ca="1">VLOOKUP($F473,OFFSET(enemy_skill_triggers!$A$1,0,0,COUNTA(enemy_skill_triggers!$A:$A),MATCH(K$1,enemy_skill_triggers!$1:$1,0)-MATCH($F$1,enemy_skill_triggers!$1:$1,0)+1),MATCH(K$1,enemy_skill_triggers!$1:$1,0)-MATCH($F$1,enemy_skill_triggers!$1:$1,0)+1,FALSE)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3" s="48">
        <f ca="1">VLOOKUP($F473,OFFSET(enemy_skill_triggers!$A$1,0,0,COUNTA(enemy_skill_triggers!$A:$A),MATCH(L$1,enemy_skill_triggers!$1:$1,0)-MATCH($F$1,enemy_skill_triggers!$1:$1,0)+1),MATCH(L$1,enemy_skill_triggers!$1:$1,0)-MATCH($F$1,enemy_skill_triggers!$1:$1,0)+1,FALSE)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3" s="48" t="str">
        <f ca="1">VLOOKUP($F473,OFFSET(enemy_skill_triggers!$A$1,0,0,COUNTA(enemy_skill_triggers!$A:$A),MATCH(M$1,enemy_skill_triggers!$1:$1,0)-MATCH($F$1,enemy_skill_triggers!$1:$1,0)+1),MATCH(M$1,enemy_skill_triggers!$1:$1,0)-MATCH($F$1,enemy_skill_triggers!$1:$1,0)+1,FALSE)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3" s="48">
        <f ca="1">VLOOKUP($F473,OFFSET(enemy_skill_triggers!$A$1,0,0,COUNTA(enemy_skill_triggers!$A:$A),MATCH(N$1,enemy_skill_triggers!$1:$1,0)-MATCH($F$1,enemy_skill_triggers!$1:$1,0)+1),MATCH(N$1,enemy_skill_triggers!$1:$1,0)-MATCH($F$1,enemy_skill_triggers!$1:$1,0)+1,FALSE)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473" s="48">
        <f ca="1">VLOOKUP($F473,OFFSET(enemy_skill_triggers!$A$1,0,0,COUNTA(enemy_skill_triggers!$A:$A),MATCH(O$1,enemy_skill_triggers!$1:$1,0)-MATCH($F$1,enemy_skill_triggers!$1:$1,0)+1),MATCH(O$1,enemy_skill_triggers!$1:$1,0)-MATCH($F$1,enemy_skill_triggers!$1:$1,0)+1,FALSE)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3" s="47"/>
      <c r="Q473" s="47"/>
      <c r="R473" s="47"/>
    </row>
    <row r="474" spans="1:18" ht="21" customHeight="1" x14ac:dyDescent="0.15">
      <c r="A474" s="39" t="str">
        <f t="shared" si="38"/>
        <v>47004860_47004867</v>
      </c>
      <c r="B474" s="109">
        <v>47004860</v>
      </c>
      <c r="C474" s="110">
        <v>47004867</v>
      </c>
      <c r="D474" s="46" t="str">
        <f ca="1">VLOOKUP($C474,OFFSET(enemy_skills!$A$1,0,0,COUNTA(enemy_skills!$A:$A),MATCH(D$1,enemy_skills!$1:$1,0)-MATCH("enemy_skill_id",enemy_skills!$1:$1,0)+1),MATCH(D$1,enemy_skills!$1:$1,0)-MATCH("enemy_skill_id",enemy_skills!$1:$1,0)+1,FALSE)</f>
        <v>え？プロメテウスにも見せてやりたい？_x000D_も、もう！やめてよね！</v>
      </c>
      <c r="E474" s="46" t="str">
        <f ca="1">VLOOKUP($C474,OFFSET(enemy_skills!$A$1,0,0,COUNTA(enemy_skills!$A:$A),MATCH(E$1,enemy_skills!$1:$1,0)-MATCH("enemy_skill_id",enemy_skills!$1:$1,0)+1),MATCH(E$1,enemy_skills!$1:$1,0)-MATCH("enemy_skill_id",enemy_skills!$1:$1,0)+1,FALSE)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474" s="110">
        <v>47004874</v>
      </c>
      <c r="G474" s="48">
        <f ca="1">VLOOKUP($F474,OFFSET(enemy_skill_triggers!$A$1,0,0,COUNTA(enemy_skill_triggers!$A:$A),MATCH(G$1,enemy_skill_triggers!$1:$1,0)-MATCH($F$1,enemy_skill_triggers!$1:$1,0)+1),MATCH(G$1,enemy_skill_triggers!$1:$1,0)-MATCH($F$1,enemy_skill_triggers!$1:$1,0)+1,FALSE)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4" s="48">
        <f ca="1">VLOOKUP($F474,OFFSET(enemy_skill_triggers!$A$1,0,0,COUNTA(enemy_skill_triggers!$A:$A),MATCH(H$1,enemy_skill_triggers!$1:$1,0)-MATCH($F$1,enemy_skill_triggers!$1:$1,0)+1),MATCH(H$1,enemy_skill_triggers!$1:$1,0)-MATCH($F$1,enemy_skill_triggers!$1:$1,0)+1,FALSE)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474" s="48">
        <f ca="1">VLOOKUP($F474,OFFSET(enemy_skill_triggers!$A$1,0,0,COUNTA(enemy_skill_triggers!$A:$A),MATCH(I$1,enemy_skill_triggers!$1:$1,0)-MATCH($F$1,enemy_skill_triggers!$1:$1,0)+1),MATCH(I$1,enemy_skill_triggers!$1:$1,0)-MATCH($F$1,enemy_skill_triggers!$1:$1,0)+1,FALSE)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4" s="48" t="str">
        <f ca="1">VLOOKUP($F474,OFFSET(enemy_skill_triggers!$A$1,0,0,COUNTA(enemy_skill_triggers!$A:$A),MATCH(J$1,enemy_skill_triggers!$1:$1,0)-MATCH($F$1,enemy_skill_triggers!$1:$1,0)+1),MATCH(J$1,enemy_skill_triggers!$1:$1,0)-MATCH($F$1,enemy_skill_triggers!$1:$1,0)+1,FALSE)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4" s="48" t="str">
        <f ca="1">VLOOKUP($F474,OFFSET(enemy_skill_triggers!$A$1,0,0,COUNTA(enemy_skill_triggers!$A:$A),MATCH(K$1,enemy_skill_triggers!$1:$1,0)-MATCH($F$1,enemy_skill_triggers!$1:$1,0)+1),MATCH(K$1,enemy_skill_triggers!$1:$1,0)-MATCH($F$1,enemy_skill_triggers!$1:$1,0)+1,FALSE)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4" s="48">
        <f ca="1">VLOOKUP($F474,OFFSET(enemy_skill_triggers!$A$1,0,0,COUNTA(enemy_skill_triggers!$A:$A),MATCH(L$1,enemy_skill_triggers!$1:$1,0)-MATCH($F$1,enemy_skill_triggers!$1:$1,0)+1),MATCH(L$1,enemy_skill_triggers!$1:$1,0)-MATCH($F$1,enemy_skill_triggers!$1:$1,0)+1,FALSE)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4" s="48" t="str">
        <f ca="1">VLOOKUP($F474,OFFSET(enemy_skill_triggers!$A$1,0,0,COUNTA(enemy_skill_triggers!$A:$A),MATCH(M$1,enemy_skill_triggers!$1:$1,0)-MATCH($F$1,enemy_skill_triggers!$1:$1,0)+1),MATCH(M$1,enemy_skill_triggers!$1:$1,0)-MATCH($F$1,enemy_skill_triggers!$1:$1,0)+1,FALSE)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4" s="48">
        <f ca="1">VLOOKUP($F474,OFFSET(enemy_skill_triggers!$A$1,0,0,COUNTA(enemy_skill_triggers!$A:$A),MATCH(N$1,enemy_skill_triggers!$1:$1,0)-MATCH($F$1,enemy_skill_triggers!$1:$1,0)+1),MATCH(N$1,enemy_skill_triggers!$1:$1,0)-MATCH($F$1,enemy_skill_triggers!$1:$1,0)+1,FALSE)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474" s="48">
        <f ca="1">VLOOKUP($F474,OFFSET(enemy_skill_triggers!$A$1,0,0,COUNTA(enemy_skill_triggers!$A:$A),MATCH(O$1,enemy_skill_triggers!$1:$1,0)-MATCH($F$1,enemy_skill_triggers!$1:$1,0)+1),MATCH(O$1,enemy_skill_triggers!$1:$1,0)-MATCH($F$1,enemy_skill_triggers!$1:$1,0)+1,FALSE)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4" s="47"/>
      <c r="Q474" s="47"/>
      <c r="R474" s="47"/>
    </row>
    <row r="475" spans="1:18" ht="21" customHeight="1" x14ac:dyDescent="0.15">
      <c r="A475" s="39" t="str">
        <f t="shared" ref="A475:A476" si="39">B475&amp;"_"&amp;C475</f>
        <v>47004860_47004868</v>
      </c>
      <c r="B475" s="109">
        <v>47004860</v>
      </c>
      <c r="C475" s="110">
        <v>47004868</v>
      </c>
      <c r="D475" s="46" t="str">
        <f ca="1">VLOOKUP($C475,OFFSET(enemy_skills!$A$1,0,0,COUNTA(enemy_skills!$A:$A),MATCH(D$1,enemy_skills!$1:$1,0)-MATCH("enemy_skill_id",enemy_skills!$1:$1,0)+1),MATCH(D$1,enemy_skills!$1:$1,0)-MATCH("enemy_skill_id",enemy_skills!$1:$1,0)+1,FALSE)</f>
        <v>エスタブ！_x000D_メリークリスマスね♪</v>
      </c>
      <c r="E475" s="46" t="str">
        <f ca="1">VLOOKUP($C475,OFFSET(enemy_skills!$A$1,0,0,COUNTA(enemy_skills!$A:$A),MATCH(E$1,enemy_skills!$1:$1,0)-MATCH("enemy_skill_id",enemy_skills!$1:$1,0)+1),MATCH(E$1,enemy_skills!$1:$1,0)-MATCH("enemy_skill_id",enemy_skills!$1:$1,0)+1,FALSE)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475" s="110">
        <v>47004875</v>
      </c>
      <c r="G475" s="48">
        <f ca="1">VLOOKUP($F475,OFFSET(enemy_skill_triggers!$A$1,0,0,COUNTA(enemy_skill_triggers!$A:$A),MATCH(G$1,enemy_skill_triggers!$1:$1,0)-MATCH($F$1,enemy_skill_triggers!$1:$1,0)+1),MATCH(G$1,enemy_skill_triggers!$1:$1,0)-MATCH($F$1,enemy_skill_triggers!$1:$1,0)+1,FALSE)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5" s="48">
        <f ca="1">VLOOKUP($F475,OFFSET(enemy_skill_triggers!$A$1,0,0,COUNTA(enemy_skill_triggers!$A:$A),MATCH(H$1,enemy_skill_triggers!$1:$1,0)-MATCH($F$1,enemy_skill_triggers!$1:$1,0)+1),MATCH(H$1,enemy_skill_triggers!$1:$1,0)-MATCH($F$1,enemy_skill_triggers!$1:$1,0)+1,FALSE)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475" s="48">
        <f ca="1">VLOOKUP($F475,OFFSET(enemy_skill_triggers!$A$1,0,0,COUNTA(enemy_skill_triggers!$A:$A),MATCH(I$1,enemy_skill_triggers!$1:$1,0)-MATCH($F$1,enemy_skill_triggers!$1:$1,0)+1),MATCH(I$1,enemy_skill_triggers!$1:$1,0)-MATCH($F$1,enemy_skill_triggers!$1:$1,0)+1,FALSE)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5" s="48" t="str">
        <f ca="1">VLOOKUP($F475,OFFSET(enemy_skill_triggers!$A$1,0,0,COUNTA(enemy_skill_triggers!$A:$A),MATCH(J$1,enemy_skill_triggers!$1:$1,0)-MATCH($F$1,enemy_skill_triggers!$1:$1,0)+1),MATCH(J$1,enemy_skill_triggers!$1:$1,0)-MATCH($F$1,enemy_skill_triggers!$1:$1,0)+1,FALSE)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5" s="48" t="str">
        <f ca="1">VLOOKUP($F475,OFFSET(enemy_skill_triggers!$A$1,0,0,COUNTA(enemy_skill_triggers!$A:$A),MATCH(K$1,enemy_skill_triggers!$1:$1,0)-MATCH($F$1,enemy_skill_triggers!$1:$1,0)+1),MATCH(K$1,enemy_skill_triggers!$1:$1,0)-MATCH($F$1,enemy_skill_triggers!$1:$1,0)+1,FALSE)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5" s="48">
        <f ca="1">VLOOKUP($F475,OFFSET(enemy_skill_triggers!$A$1,0,0,COUNTA(enemy_skill_triggers!$A:$A),MATCH(L$1,enemy_skill_triggers!$1:$1,0)-MATCH($F$1,enemy_skill_triggers!$1:$1,0)+1),MATCH(L$1,enemy_skill_triggers!$1:$1,0)-MATCH($F$1,enemy_skill_triggers!$1:$1,0)+1,FALSE)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5" s="48" t="str">
        <f ca="1">VLOOKUP($F475,OFFSET(enemy_skill_triggers!$A$1,0,0,COUNTA(enemy_skill_triggers!$A:$A),MATCH(M$1,enemy_skill_triggers!$1:$1,0)-MATCH($F$1,enemy_skill_triggers!$1:$1,0)+1),MATCH(M$1,enemy_skill_triggers!$1:$1,0)-MATCH($F$1,enemy_skill_triggers!$1:$1,0)+1,FALSE)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5" s="48">
        <f ca="1">VLOOKUP($F475,OFFSET(enemy_skill_triggers!$A$1,0,0,COUNTA(enemy_skill_triggers!$A:$A),MATCH(N$1,enemy_skill_triggers!$1:$1,0)-MATCH($F$1,enemy_skill_triggers!$1:$1,0)+1),MATCH(N$1,enemy_skill_triggers!$1:$1,0)-MATCH($F$1,enemy_skill_triggers!$1:$1,0)+1,FALSE)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475" s="48">
        <f ca="1">VLOOKUP($F475,OFFSET(enemy_skill_triggers!$A$1,0,0,COUNTA(enemy_skill_triggers!$A:$A),MATCH(O$1,enemy_skill_triggers!$1:$1,0)-MATCH($F$1,enemy_skill_triggers!$1:$1,0)+1),MATCH(O$1,enemy_skill_triggers!$1:$1,0)-MATCH($F$1,enemy_skill_triggers!$1:$1,0)+1,FALSE)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5" s="47"/>
      <c r="Q475" s="47"/>
      <c r="R475" s="47"/>
    </row>
    <row r="476" spans="1:18" ht="21" customHeight="1" x14ac:dyDescent="0.15">
      <c r="A476" s="39" t="str">
        <f t="shared" si="39"/>
        <v>47004860_47004869</v>
      </c>
      <c r="B476" s="109">
        <v>47004860</v>
      </c>
      <c r="C476" s="110">
        <v>47004869</v>
      </c>
      <c r="D476" s="46" t="str">
        <f ca="1">VLOOKUP($C476,OFFSET(enemy_skills!$A$1,0,0,COUNTA(enemy_skills!$A:$A),MATCH(D$1,enemy_skills!$1:$1,0)-MATCH("enemy_skill_id",enemy_skills!$1:$1,0)+1),MATCH(D$1,enemy_skills!$1:$1,0)-MATCH("enemy_skill_id",enemy_skills!$1:$1,0)+1,FALSE)</f>
        <v>卑弥呼！_x000D_メリークリスマスね♪</v>
      </c>
      <c r="E476" s="46" t="str">
        <f ca="1">VLOOKUP($C476,OFFSET(enemy_skills!$A$1,0,0,COUNTA(enemy_skills!$A:$A),MATCH(E$1,enemy_skills!$1:$1,0)-MATCH("enemy_skill_id",enemy_skills!$1:$1,0)+1),MATCH(E$1,enemy_skills!$1:$1,0)-MATCH("enemy_skill_id",enemy_skills!$1:$1,0)+1,FALSE)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476" s="110">
        <v>47004876</v>
      </c>
      <c r="G476" s="48">
        <f ca="1">VLOOKUP($F476,OFFSET(enemy_skill_triggers!$A$1,0,0,COUNTA(enemy_skill_triggers!$A:$A),MATCH(G$1,enemy_skill_triggers!$1:$1,0)-MATCH($F$1,enemy_skill_triggers!$1:$1,0)+1),MATCH(G$1,enemy_skill_triggers!$1:$1,0)-MATCH($F$1,enemy_skill_triggers!$1:$1,0)+1,FALSE)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6" s="48">
        <f ca="1">VLOOKUP($F476,OFFSET(enemy_skill_triggers!$A$1,0,0,COUNTA(enemy_skill_triggers!$A:$A),MATCH(H$1,enemy_skill_triggers!$1:$1,0)-MATCH($F$1,enemy_skill_triggers!$1:$1,0)+1),MATCH(H$1,enemy_skill_triggers!$1:$1,0)-MATCH($F$1,enemy_skill_triggers!$1:$1,0)+1,FALSE)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476" s="48">
        <f ca="1">VLOOKUP($F476,OFFSET(enemy_skill_triggers!$A$1,0,0,COUNTA(enemy_skill_triggers!$A:$A),MATCH(I$1,enemy_skill_triggers!$1:$1,0)-MATCH($F$1,enemy_skill_triggers!$1:$1,0)+1),MATCH(I$1,enemy_skill_triggers!$1:$1,0)-MATCH($F$1,enemy_skill_triggers!$1:$1,0)+1,FALSE)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6" s="48" t="str">
        <f ca="1">VLOOKUP($F476,OFFSET(enemy_skill_triggers!$A$1,0,0,COUNTA(enemy_skill_triggers!$A:$A),MATCH(J$1,enemy_skill_triggers!$1:$1,0)-MATCH($F$1,enemy_skill_triggers!$1:$1,0)+1),MATCH(J$1,enemy_skill_triggers!$1:$1,0)-MATCH($F$1,enemy_skill_triggers!$1:$1,0)+1,FALSE)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6" s="48" t="str">
        <f ca="1">VLOOKUP($F476,OFFSET(enemy_skill_triggers!$A$1,0,0,COUNTA(enemy_skill_triggers!$A:$A),MATCH(K$1,enemy_skill_triggers!$1:$1,0)-MATCH($F$1,enemy_skill_triggers!$1:$1,0)+1),MATCH(K$1,enemy_skill_triggers!$1:$1,0)-MATCH($F$1,enemy_skill_triggers!$1:$1,0)+1,FALSE)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6" s="48">
        <f ca="1">VLOOKUP($F476,OFFSET(enemy_skill_triggers!$A$1,0,0,COUNTA(enemy_skill_triggers!$A:$A),MATCH(L$1,enemy_skill_triggers!$1:$1,0)-MATCH($F$1,enemy_skill_triggers!$1:$1,0)+1),MATCH(L$1,enemy_skill_triggers!$1:$1,0)-MATCH($F$1,enemy_skill_triggers!$1:$1,0)+1,FALSE)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6" s="48" t="str">
        <f ca="1">VLOOKUP($F476,OFFSET(enemy_skill_triggers!$A$1,0,0,COUNTA(enemy_skill_triggers!$A:$A),MATCH(M$1,enemy_skill_triggers!$1:$1,0)-MATCH($F$1,enemy_skill_triggers!$1:$1,0)+1),MATCH(M$1,enemy_skill_triggers!$1:$1,0)-MATCH($F$1,enemy_skill_triggers!$1:$1,0)+1,FALSE)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6" s="48">
        <f ca="1">VLOOKUP($F476,OFFSET(enemy_skill_triggers!$A$1,0,0,COUNTA(enemy_skill_triggers!$A:$A),MATCH(N$1,enemy_skill_triggers!$1:$1,0)-MATCH($F$1,enemy_skill_triggers!$1:$1,0)+1),MATCH(N$1,enemy_skill_triggers!$1:$1,0)-MATCH($F$1,enemy_skill_triggers!$1:$1,0)+1,FALSE)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476" s="48">
        <f ca="1">VLOOKUP($F476,OFFSET(enemy_skill_triggers!$A$1,0,0,COUNTA(enemy_skill_triggers!$A:$A),MATCH(O$1,enemy_skill_triggers!$1:$1,0)-MATCH($F$1,enemy_skill_triggers!$1:$1,0)+1),MATCH(O$1,enemy_skill_triggers!$1:$1,0)-MATCH($F$1,enemy_skill_triggers!$1:$1,0)+1,FALSE)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6" s="47"/>
      <c r="Q476" s="47"/>
      <c r="R476" s="47"/>
    </row>
    <row r="477" spans="1:18" ht="21" customHeight="1" x14ac:dyDescent="0.15">
      <c r="A477" s="39" t="str">
        <f t="shared" si="38"/>
        <v>47004900_47004901</v>
      </c>
      <c r="B477" s="109">
        <v>47004900</v>
      </c>
      <c r="C477" s="47">
        <v>47004901</v>
      </c>
      <c r="D477" s="46" t="str">
        <f ca="1">VLOOKUP($C477,OFFSET(enemy_skills!$A$1,0,0,COUNTA(enemy_skills!$A:$A),MATCH(D$1,enemy_skills!$1:$1,0)-MATCH("enemy_skill_id",enemy_skills!$1:$1,0)+1),MATCH(D$1,enemy_skills!$1:$1,0)-MATCH("enemy_skill_id",enemy_skills!$1:$1,0)+1,FALSE)</f>
        <v>まだ追ってくるのかい？_x000D_…しつこいんだね</v>
      </c>
      <c r="E477" s="46" t="str">
        <f ca="1">VLOOKUP($C477,OFFSET(enemy_skills!$A$1,0,0,COUNTA(enemy_skills!$A:$A),MATCH(E$1,enemy_skills!$1:$1,0)-MATCH("enemy_skill_id",enemy_skills!$1:$1,0)+1),MATCH(E$1,enemy_skills!$1:$1,0)-MATCH("enemy_skill_id",enemy_skills!$1:$1,0)+1,FALSE)</f>
        <v>ハートパネルドロップ率DOWN+フィーバーゲージ減少</v>
      </c>
      <c r="F477" s="47">
        <v>47004901</v>
      </c>
      <c r="G477" s="48">
        <f ca="1">VLOOKUP($F477,OFFSET(enemy_skill_triggers!$A$1,0,0,COUNTA(enemy_skill_triggers!$A:$A),MATCH(G$1,enemy_skill_triggers!$1:$1,0)-MATCH($F$1,enemy_skill_triggers!$1:$1,0)+1),MATCH(G$1,enemy_skill_triggers!$1:$1,0)-MATCH($F$1,enemy_skill_triggers!$1:$1,0)+1,FALSE)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7" s="48">
        <f ca="1">VLOOKUP($F477,OFFSET(enemy_skill_triggers!$A$1,0,0,COUNTA(enemy_skill_triggers!$A:$A),MATCH(H$1,enemy_skill_triggers!$1:$1,0)-MATCH($F$1,enemy_skill_triggers!$1:$1,0)+1),MATCH(H$1,enemy_skill_triggers!$1:$1,0)-MATCH($F$1,enemy_skill_triggers!$1:$1,0)+1,FALSE)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7" s="48">
        <f ca="1">VLOOKUP($F477,OFFSET(enemy_skill_triggers!$A$1,0,0,COUNTA(enemy_skill_triggers!$A:$A),MATCH(I$1,enemy_skill_triggers!$1:$1,0)-MATCH($F$1,enemy_skill_triggers!$1:$1,0)+1),MATCH(I$1,enemy_skill_triggers!$1:$1,0)-MATCH($F$1,enemy_skill_triggers!$1:$1,0)+1,FALSE)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7" s="48" t="str">
        <f ca="1">VLOOKUP($F477,OFFSET(enemy_skill_triggers!$A$1,0,0,COUNTA(enemy_skill_triggers!$A:$A),MATCH(J$1,enemy_skill_triggers!$1:$1,0)-MATCH($F$1,enemy_skill_triggers!$1:$1,0)+1),MATCH(J$1,enemy_skill_triggers!$1:$1,0)-MATCH($F$1,enemy_skill_triggers!$1:$1,0)+1,FALSE)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7" s="48" t="str">
        <f ca="1">VLOOKUP($F477,OFFSET(enemy_skill_triggers!$A$1,0,0,COUNTA(enemy_skill_triggers!$A:$A),MATCH(K$1,enemy_skill_triggers!$1:$1,0)-MATCH($F$1,enemy_skill_triggers!$1:$1,0)+1),MATCH(K$1,enemy_skill_triggers!$1:$1,0)-MATCH($F$1,enemy_skill_triggers!$1:$1,0)+1,FALSE)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7" s="48">
        <f ca="1">VLOOKUP($F477,OFFSET(enemy_skill_triggers!$A$1,0,0,COUNTA(enemy_skill_triggers!$A:$A),MATCH(L$1,enemy_skill_triggers!$1:$1,0)-MATCH($F$1,enemy_skill_triggers!$1:$1,0)+1),MATCH(L$1,enemy_skill_triggers!$1:$1,0)-MATCH($F$1,enemy_skill_triggers!$1:$1,0)+1,FALSE)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7" s="48" t="str">
        <f ca="1">VLOOKUP($F477,OFFSET(enemy_skill_triggers!$A$1,0,0,COUNTA(enemy_skill_triggers!$A:$A),MATCH(M$1,enemy_skill_triggers!$1:$1,0)-MATCH($F$1,enemy_skill_triggers!$1:$1,0)+1),MATCH(M$1,enemy_skill_triggers!$1:$1,0)-MATCH($F$1,enemy_skill_triggers!$1:$1,0)+1,FALSE)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7" s="48" t="str">
        <f ca="1">VLOOKUP($F477,OFFSET(enemy_skill_triggers!$A$1,0,0,COUNTA(enemy_skill_triggers!$A:$A),MATCH(N$1,enemy_skill_triggers!$1:$1,0)-MATCH($F$1,enemy_skill_triggers!$1:$1,0)+1),MATCH(N$1,enemy_skill_triggers!$1:$1,0)-MATCH($F$1,enemy_skill_triggers!$1:$1,0)+1,FALSE)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7" s="48">
        <f ca="1">VLOOKUP($F477,OFFSET(enemy_skill_triggers!$A$1,0,0,COUNTA(enemy_skill_triggers!$A:$A),MATCH(O$1,enemy_skill_triggers!$1:$1,0)-MATCH($F$1,enemy_skill_triggers!$1:$1,0)+1),MATCH(O$1,enemy_skill_triggers!$1:$1,0)-MATCH($F$1,enemy_skill_triggers!$1:$1,0)+1,FALSE)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7" s="47"/>
      <c r="Q477" s="47"/>
      <c r="R477" s="47"/>
    </row>
    <row r="478" spans="1:18" ht="21" customHeight="1" x14ac:dyDescent="0.15">
      <c r="A478" s="39" t="str">
        <f t="shared" si="38"/>
        <v>47004900_47004902</v>
      </c>
      <c r="B478" s="109">
        <v>47004900</v>
      </c>
      <c r="C478" s="47">
        <v>47004902</v>
      </c>
      <c r="D478" s="46" t="str">
        <f ca="1">VLOOKUP($C478,OFFSET(enemy_skills!$A$1,0,0,COUNTA(enemy_skills!$A:$A),MATCH(D$1,enemy_skills!$1:$1,0)-MATCH("enemy_skill_id",enemy_skills!$1:$1,0)+1),MATCH(D$1,enemy_skills!$1:$1,0)-MATCH("enemy_skill_id",enemy_skills!$1:$1,0)+1,FALSE)</f>
        <v>雪の精とともに</v>
      </c>
      <c r="E478" s="46" t="str">
        <f ca="1">VLOOKUP($C478,OFFSET(enemy_skills!$A$1,0,0,COUNTA(enemy_skills!$A:$A),MATCH(E$1,enemy_skills!$1:$1,0)-MATCH("enemy_skill_id",enemy_skills!$1:$1,0)+1),MATCH(E$1,enemy_skills!$1:$1,0)-MATCH("enemy_skill_id",enemy_skills!$1:$1,0)+1,FALSE)</f>
        <v>ハートパネルを青のダメージパネルに変換+単体攻撃</v>
      </c>
      <c r="F478" s="47">
        <v>47004902</v>
      </c>
      <c r="G478" s="48">
        <f ca="1">VLOOKUP($F478,OFFSET(enemy_skill_triggers!$A$1,0,0,COUNTA(enemy_skill_triggers!$A:$A),MATCH(G$1,enemy_skill_triggers!$1:$1,0)-MATCH($F$1,enemy_skill_triggers!$1:$1,0)+1),MATCH(G$1,enemy_skill_triggers!$1:$1,0)-MATCH($F$1,enemy_skill_triggers!$1:$1,0)+1,FALSE)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8" s="48">
        <f ca="1">VLOOKUP($F478,OFFSET(enemy_skill_triggers!$A$1,0,0,COUNTA(enemy_skill_triggers!$A:$A),MATCH(H$1,enemy_skill_triggers!$1:$1,0)-MATCH($F$1,enemy_skill_triggers!$1:$1,0)+1),MATCH(H$1,enemy_skill_triggers!$1:$1,0)-MATCH($F$1,enemy_skill_triggers!$1:$1,0)+1,FALSE)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78" s="48">
        <f ca="1">VLOOKUP($F478,OFFSET(enemy_skill_triggers!$A$1,0,0,COUNTA(enemy_skill_triggers!$A:$A),MATCH(I$1,enemy_skill_triggers!$1:$1,0)-MATCH($F$1,enemy_skill_triggers!$1:$1,0)+1),MATCH(I$1,enemy_skill_triggers!$1:$1,0)-MATCH($F$1,enemy_skill_triggers!$1:$1,0)+1,FALSE)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8" s="48" t="str">
        <f ca="1">VLOOKUP($F478,OFFSET(enemy_skill_triggers!$A$1,0,0,COUNTA(enemy_skill_triggers!$A:$A),MATCH(J$1,enemy_skill_triggers!$1:$1,0)-MATCH($F$1,enemy_skill_triggers!$1:$1,0)+1),MATCH(J$1,enemy_skill_triggers!$1:$1,0)-MATCH($F$1,enemy_skill_triggers!$1:$1,0)+1,FALSE)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8" s="48" t="str">
        <f ca="1">VLOOKUP($F478,OFFSET(enemy_skill_triggers!$A$1,0,0,COUNTA(enemy_skill_triggers!$A:$A),MATCH(K$1,enemy_skill_triggers!$1:$1,0)-MATCH($F$1,enemy_skill_triggers!$1:$1,0)+1),MATCH(K$1,enemy_skill_triggers!$1:$1,0)-MATCH($F$1,enemy_skill_triggers!$1:$1,0)+1,FALSE)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8" s="48" t="str">
        <f ca="1">VLOOKUP($F478,OFFSET(enemy_skill_triggers!$A$1,0,0,COUNTA(enemy_skill_triggers!$A:$A),MATCH(L$1,enemy_skill_triggers!$1:$1,0)-MATCH($F$1,enemy_skill_triggers!$1:$1,0)+1),MATCH(L$1,enemy_skill_triggers!$1:$1,0)-MATCH($F$1,enemy_skill_triggers!$1:$1,0)+1,FALSE)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8" s="48">
        <f ca="1">VLOOKUP($F478,OFFSET(enemy_skill_triggers!$A$1,0,0,COUNTA(enemy_skill_triggers!$A:$A),MATCH(M$1,enemy_skill_triggers!$1:$1,0)-MATCH($F$1,enemy_skill_triggers!$1:$1,0)+1),MATCH(M$1,enemy_skill_triggers!$1:$1,0)-MATCH($F$1,enemy_skill_triggers!$1:$1,0)+1,FALSE)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8" s="48" t="str">
        <f ca="1">VLOOKUP($F478,OFFSET(enemy_skill_triggers!$A$1,0,0,COUNTA(enemy_skill_triggers!$A:$A),MATCH(N$1,enemy_skill_triggers!$1:$1,0)-MATCH($F$1,enemy_skill_triggers!$1:$1,0)+1),MATCH(N$1,enemy_skill_triggers!$1:$1,0)-MATCH($F$1,enemy_skill_triggers!$1:$1,0)+1,FALSE)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8" s="48">
        <f ca="1">VLOOKUP($F478,OFFSET(enemy_skill_triggers!$A$1,0,0,COUNTA(enemy_skill_triggers!$A:$A),MATCH(O$1,enemy_skill_triggers!$1:$1,0)-MATCH($F$1,enemy_skill_triggers!$1:$1,0)+1),MATCH(O$1,enemy_skill_triggers!$1:$1,0)-MATCH($F$1,enemy_skill_triggers!$1:$1,0)+1,FALSE)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8" s="47"/>
      <c r="Q478" s="47"/>
      <c r="R478" s="47"/>
    </row>
    <row r="479" spans="1:18" ht="21" customHeight="1" x14ac:dyDescent="0.15">
      <c r="A479" s="39" t="str">
        <f t="shared" si="38"/>
        <v>47004900_47004903</v>
      </c>
      <c r="B479" s="109">
        <v>47004900</v>
      </c>
      <c r="C479" s="47">
        <v>47004903</v>
      </c>
      <c r="D479" s="46" t="str">
        <f ca="1">VLOOKUP($C479,OFFSET(enemy_skills!$A$1,0,0,COUNTA(enemy_skills!$A:$A),MATCH(D$1,enemy_skills!$1:$1,0)-MATCH("enemy_skill_id",enemy_skills!$1:$1,0)+1),MATCH(D$1,enemy_skills!$1:$1,0)-MATCH("enemy_skill_id",enemy_skills!$1:$1,0)+1,FALSE)</f>
        <v>炎も凍てつく氷の中へ</v>
      </c>
      <c r="E479" s="46" t="str">
        <f ca="1">VLOOKUP($C479,OFFSET(enemy_skills!$A$1,0,0,COUNTA(enemy_skills!$A:$A),MATCH(E$1,enemy_skills!$1:$1,0)-MATCH("enemy_skill_id",enemy_skills!$1:$1,0)+1),MATCH(E$1,enemy_skills!$1:$1,0)-MATCH("enemy_skill_id",enemy_skills!$1:$1,0)+1,FALSE)</f>
        <v>赤パネルを青パネルに変換+単体攻撃</v>
      </c>
      <c r="F479" s="47">
        <v>47004903</v>
      </c>
      <c r="G479" s="48">
        <f ca="1">VLOOKUP($F479,OFFSET(enemy_skill_triggers!$A$1,0,0,COUNTA(enemy_skill_triggers!$A:$A),MATCH(G$1,enemy_skill_triggers!$1:$1,0)-MATCH($F$1,enemy_skill_triggers!$1:$1,0)+1),MATCH(G$1,enemy_skill_triggers!$1:$1,0)-MATCH($F$1,enemy_skill_triggers!$1:$1,0)+1,FALSE)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9" s="48">
        <f ca="1">VLOOKUP($F479,OFFSET(enemy_skill_triggers!$A$1,0,0,COUNTA(enemy_skill_triggers!$A:$A),MATCH(H$1,enemy_skill_triggers!$1:$1,0)-MATCH($F$1,enemy_skill_triggers!$1:$1,0)+1),MATCH(H$1,enemy_skill_triggers!$1:$1,0)-MATCH($F$1,enemy_skill_triggers!$1:$1,0)+1,FALSE)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79" s="48">
        <f ca="1">VLOOKUP($F479,OFFSET(enemy_skill_triggers!$A$1,0,0,COUNTA(enemy_skill_triggers!$A:$A),MATCH(I$1,enemy_skill_triggers!$1:$1,0)-MATCH($F$1,enemy_skill_triggers!$1:$1,0)+1),MATCH(I$1,enemy_skill_triggers!$1:$1,0)-MATCH($F$1,enemy_skill_triggers!$1:$1,0)+1,FALSE)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9" s="48" t="str">
        <f ca="1">VLOOKUP($F479,OFFSET(enemy_skill_triggers!$A$1,0,0,COUNTA(enemy_skill_triggers!$A:$A),MATCH(J$1,enemy_skill_triggers!$1:$1,0)-MATCH($F$1,enemy_skill_triggers!$1:$1,0)+1),MATCH(J$1,enemy_skill_triggers!$1:$1,0)-MATCH($F$1,enemy_skill_triggers!$1:$1,0)+1,FALSE)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9" s="48" t="str">
        <f ca="1">VLOOKUP($F479,OFFSET(enemy_skill_triggers!$A$1,0,0,COUNTA(enemy_skill_triggers!$A:$A),MATCH(K$1,enemy_skill_triggers!$1:$1,0)-MATCH($F$1,enemy_skill_triggers!$1:$1,0)+1),MATCH(K$1,enemy_skill_triggers!$1:$1,0)-MATCH($F$1,enemy_skill_triggers!$1:$1,0)+1,FALSE)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9" s="48" t="str">
        <f ca="1">VLOOKUP($F479,OFFSET(enemy_skill_triggers!$A$1,0,0,COUNTA(enemy_skill_triggers!$A:$A),MATCH(L$1,enemy_skill_triggers!$1:$1,0)-MATCH($F$1,enemy_skill_triggers!$1:$1,0)+1),MATCH(L$1,enemy_skill_triggers!$1:$1,0)-MATCH($F$1,enemy_skill_triggers!$1:$1,0)+1,FALSE)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9" s="48">
        <f ca="1">VLOOKUP($F479,OFFSET(enemy_skill_triggers!$A$1,0,0,COUNTA(enemy_skill_triggers!$A:$A),MATCH(M$1,enemy_skill_triggers!$1:$1,0)-MATCH($F$1,enemy_skill_triggers!$1:$1,0)+1),MATCH(M$1,enemy_skill_triggers!$1:$1,0)-MATCH($F$1,enemy_skill_triggers!$1:$1,0)+1,FALSE)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79" s="48" t="str">
        <f ca="1">VLOOKUP($F479,OFFSET(enemy_skill_triggers!$A$1,0,0,COUNTA(enemy_skill_triggers!$A:$A),MATCH(N$1,enemy_skill_triggers!$1:$1,0)-MATCH($F$1,enemy_skill_triggers!$1:$1,0)+1),MATCH(N$1,enemy_skill_triggers!$1:$1,0)-MATCH($F$1,enemy_skill_triggers!$1:$1,0)+1,FALSE)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9" s="48">
        <f ca="1">VLOOKUP($F479,OFFSET(enemy_skill_triggers!$A$1,0,0,COUNTA(enemy_skill_triggers!$A:$A),MATCH(O$1,enemy_skill_triggers!$1:$1,0)-MATCH($F$1,enemy_skill_triggers!$1:$1,0)+1),MATCH(O$1,enemy_skill_triggers!$1:$1,0)-MATCH($F$1,enemy_skill_triggers!$1:$1,0)+1,FALSE)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9" s="47"/>
      <c r="Q479" s="47"/>
      <c r="R479" s="47"/>
    </row>
    <row r="480" spans="1:18" ht="21" customHeight="1" x14ac:dyDescent="0.15">
      <c r="A480" s="39" t="str">
        <f t="shared" si="38"/>
        <v>47004900_47004904</v>
      </c>
      <c r="B480" s="109">
        <v>47004900</v>
      </c>
      <c r="C480" s="47">
        <v>47004904</v>
      </c>
      <c r="D480" s="46" t="str">
        <f ca="1">VLOOKUP($C480,OFFSET(enemy_skills!$A$1,0,0,COUNTA(enemy_skills!$A:$A),MATCH(D$1,enemy_skills!$1:$1,0)-MATCH("enemy_skill_id",enemy_skills!$1:$1,0)+1),MATCH(D$1,enemy_skills!$1:$1,0)-MATCH("enemy_skill_id",enemy_skills!$1:$1,0)+1,FALSE)</f>
        <v>吐く息は白く</v>
      </c>
      <c r="E480" s="46" t="str">
        <f ca="1">VLOOKUP($C480,OFFSET(enemy_skills!$A$1,0,0,COUNTA(enemy_skills!$A:$A),MATCH(E$1,enemy_skills!$1:$1,0)-MATCH("enemy_skill_id",enemy_skills!$1:$1,0)+1),MATCH(E$1,enemy_skills!$1:$1,0)-MATCH("enemy_skill_id",enemy_skills!$1:$1,0)+1,FALSE)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480" s="47">
        <v>47004904</v>
      </c>
      <c r="G480" s="48">
        <f ca="1">VLOOKUP($F480,OFFSET(enemy_skill_triggers!$A$1,0,0,COUNTA(enemy_skill_triggers!$A:$A),MATCH(G$1,enemy_skill_triggers!$1:$1,0)-MATCH($F$1,enemy_skill_triggers!$1:$1,0)+1),MATCH(G$1,enemy_skill_triggers!$1:$1,0)-MATCH($F$1,enemy_skill_triggers!$1:$1,0)+1,FALSE)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0" s="48">
        <f ca="1">VLOOKUP($F480,OFFSET(enemy_skill_triggers!$A$1,0,0,COUNTA(enemy_skill_triggers!$A:$A),MATCH(H$1,enemy_skill_triggers!$1:$1,0)-MATCH($F$1,enemy_skill_triggers!$1:$1,0)+1),MATCH(H$1,enemy_skill_triggers!$1:$1,0)-MATCH($F$1,enemy_skill_triggers!$1:$1,0)+1,FALSE)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80" s="48">
        <f ca="1">VLOOKUP($F480,OFFSET(enemy_skill_triggers!$A$1,0,0,COUNTA(enemy_skill_triggers!$A:$A),MATCH(I$1,enemy_skill_triggers!$1:$1,0)-MATCH($F$1,enemy_skill_triggers!$1:$1,0)+1),MATCH(I$1,enemy_skill_triggers!$1:$1,0)-MATCH($F$1,enemy_skill_triggers!$1:$1,0)+1,FALSE)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0" s="48" t="str">
        <f ca="1">VLOOKUP($F480,OFFSET(enemy_skill_triggers!$A$1,0,0,COUNTA(enemy_skill_triggers!$A:$A),MATCH(J$1,enemy_skill_triggers!$1:$1,0)-MATCH($F$1,enemy_skill_triggers!$1:$1,0)+1),MATCH(J$1,enemy_skill_triggers!$1:$1,0)-MATCH($F$1,enemy_skill_triggers!$1:$1,0)+1,FALSE)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0" s="48" t="str">
        <f ca="1">VLOOKUP($F480,OFFSET(enemy_skill_triggers!$A$1,0,0,COUNTA(enemy_skill_triggers!$A:$A),MATCH(K$1,enemy_skill_triggers!$1:$1,0)-MATCH($F$1,enemy_skill_triggers!$1:$1,0)+1),MATCH(K$1,enemy_skill_triggers!$1:$1,0)-MATCH($F$1,enemy_skill_triggers!$1:$1,0)+1,FALSE)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0" s="48" t="str">
        <f ca="1">VLOOKUP($F480,OFFSET(enemy_skill_triggers!$A$1,0,0,COUNTA(enemy_skill_triggers!$A:$A),MATCH(L$1,enemy_skill_triggers!$1:$1,0)-MATCH($F$1,enemy_skill_triggers!$1:$1,0)+1),MATCH(L$1,enemy_skill_triggers!$1:$1,0)-MATCH($F$1,enemy_skill_triggers!$1:$1,0)+1,FALSE)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0" s="48">
        <f ca="1">VLOOKUP($F480,OFFSET(enemy_skill_triggers!$A$1,0,0,COUNTA(enemy_skill_triggers!$A:$A),MATCH(M$1,enemy_skill_triggers!$1:$1,0)-MATCH($F$1,enemy_skill_triggers!$1:$1,0)+1),MATCH(M$1,enemy_skill_triggers!$1:$1,0)-MATCH($F$1,enemy_skill_triggers!$1:$1,0)+1,FALSE)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80" s="48" t="str">
        <f ca="1">VLOOKUP($F480,OFFSET(enemy_skill_triggers!$A$1,0,0,COUNTA(enemy_skill_triggers!$A:$A),MATCH(N$1,enemy_skill_triggers!$1:$1,0)-MATCH($F$1,enemy_skill_triggers!$1:$1,0)+1),MATCH(N$1,enemy_skill_triggers!$1:$1,0)-MATCH($F$1,enemy_skill_triggers!$1:$1,0)+1,FALSE)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0" s="48">
        <f ca="1">VLOOKUP($F480,OFFSET(enemy_skill_triggers!$A$1,0,0,COUNTA(enemy_skill_triggers!$A:$A),MATCH(O$1,enemy_skill_triggers!$1:$1,0)-MATCH($F$1,enemy_skill_triggers!$1:$1,0)+1),MATCH(O$1,enemy_skill_triggers!$1:$1,0)-MATCH($F$1,enemy_skill_triggers!$1:$1,0)+1,FALSE)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0" s="47"/>
      <c r="Q480" s="47"/>
      <c r="R480" s="47"/>
    </row>
    <row r="481" spans="1:18" ht="21" customHeight="1" x14ac:dyDescent="0.15">
      <c r="A481" s="39" t="str">
        <f t="shared" ref="A481" si="40">B481&amp;"_"&amp;C481</f>
        <v>47004900_47004905</v>
      </c>
      <c r="B481" s="109">
        <v>47004900</v>
      </c>
      <c r="C481" s="47">
        <v>47004905</v>
      </c>
      <c r="D481" s="46" t="str">
        <f ca="1">VLOOKUP($C481,OFFSET(enemy_skills!$A$1,0,0,COUNTA(enemy_skills!$A:$A),MATCH(D$1,enemy_skills!$1:$1,0)-MATCH("enemy_skill_id",enemy_skills!$1:$1,0)+1),MATCH(D$1,enemy_skills!$1:$1,0)-MATCH("enemy_skill_id",enemy_skills!$1:$1,0)+1,FALSE)</f>
        <v>仲間…そんなもの全部嘘だったんだ…</v>
      </c>
      <c r="E481" s="46" t="str">
        <f ca="1">VLOOKUP($C481,OFFSET(enemy_skills!$A$1,0,0,COUNTA(enemy_skills!$A:$A),MATCH(E$1,enemy_skills!$1:$1,0)-MATCH("enemy_skill_id",enemy_skills!$1:$1,0)+1),MATCH(E$1,enemy_skills!$1:$1,0)-MATCH("enemy_skill_id",enemy_skills!$1:$1,0)+1,FALSE)</f>
        <v>緑パネルを青パネルに変換+単体攻撃</v>
      </c>
      <c r="F481" s="47">
        <v>47004905</v>
      </c>
      <c r="G481" s="48">
        <f ca="1">VLOOKUP($F481,OFFSET(enemy_skill_triggers!$A$1,0,0,COUNTA(enemy_skill_triggers!$A:$A),MATCH(G$1,enemy_skill_triggers!$1:$1,0)-MATCH($F$1,enemy_skill_triggers!$1:$1,0)+1),MATCH(G$1,enemy_skill_triggers!$1:$1,0)-MATCH($F$1,enemy_skill_triggers!$1:$1,0)+1,FALSE)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1" s="48">
        <f ca="1">VLOOKUP($F481,OFFSET(enemy_skill_triggers!$A$1,0,0,COUNTA(enemy_skill_triggers!$A:$A),MATCH(H$1,enemy_skill_triggers!$1:$1,0)-MATCH($F$1,enemy_skill_triggers!$1:$1,0)+1),MATCH(H$1,enemy_skill_triggers!$1:$1,0)-MATCH($F$1,enemy_skill_triggers!$1:$1,0)+1,FALSE)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81" s="48">
        <f ca="1">VLOOKUP($F481,OFFSET(enemy_skill_triggers!$A$1,0,0,COUNTA(enemy_skill_triggers!$A:$A),MATCH(I$1,enemy_skill_triggers!$1:$1,0)-MATCH($F$1,enemy_skill_triggers!$1:$1,0)+1),MATCH(I$1,enemy_skill_triggers!$1:$1,0)-MATCH($F$1,enemy_skill_triggers!$1:$1,0)+1,FALSE)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1" s="48" t="str">
        <f ca="1">VLOOKUP($F481,OFFSET(enemy_skill_triggers!$A$1,0,0,COUNTA(enemy_skill_triggers!$A:$A),MATCH(J$1,enemy_skill_triggers!$1:$1,0)-MATCH($F$1,enemy_skill_triggers!$1:$1,0)+1),MATCH(J$1,enemy_skill_triggers!$1:$1,0)-MATCH($F$1,enemy_skill_triggers!$1:$1,0)+1,FALSE)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1" s="48" t="str">
        <f ca="1">VLOOKUP($F481,OFFSET(enemy_skill_triggers!$A$1,0,0,COUNTA(enemy_skill_triggers!$A:$A),MATCH(K$1,enemy_skill_triggers!$1:$1,0)-MATCH($F$1,enemy_skill_triggers!$1:$1,0)+1),MATCH(K$1,enemy_skill_triggers!$1:$1,0)-MATCH($F$1,enemy_skill_triggers!$1:$1,0)+1,FALSE)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1" s="48" t="str">
        <f ca="1">VLOOKUP($F481,OFFSET(enemy_skill_triggers!$A$1,0,0,COUNTA(enemy_skill_triggers!$A:$A),MATCH(L$1,enemy_skill_triggers!$1:$1,0)-MATCH($F$1,enemy_skill_triggers!$1:$1,0)+1),MATCH(L$1,enemy_skill_triggers!$1:$1,0)-MATCH($F$1,enemy_skill_triggers!$1:$1,0)+1,FALSE)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1" s="48">
        <f ca="1">VLOOKUP($F481,OFFSET(enemy_skill_triggers!$A$1,0,0,COUNTA(enemy_skill_triggers!$A:$A),MATCH(M$1,enemy_skill_triggers!$1:$1,0)-MATCH($F$1,enemy_skill_triggers!$1:$1,0)+1),MATCH(M$1,enemy_skill_triggers!$1:$1,0)-MATCH($F$1,enemy_skill_triggers!$1:$1,0)+1,FALSE)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81" s="48" t="str">
        <f ca="1">VLOOKUP($F481,OFFSET(enemy_skill_triggers!$A$1,0,0,COUNTA(enemy_skill_triggers!$A:$A),MATCH(N$1,enemy_skill_triggers!$1:$1,0)-MATCH($F$1,enemy_skill_triggers!$1:$1,0)+1),MATCH(N$1,enemy_skill_triggers!$1:$1,0)-MATCH($F$1,enemy_skill_triggers!$1:$1,0)+1,FALSE)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1" s="48">
        <f ca="1">VLOOKUP($F481,OFFSET(enemy_skill_triggers!$A$1,0,0,COUNTA(enemy_skill_triggers!$A:$A),MATCH(O$1,enemy_skill_triggers!$1:$1,0)-MATCH($F$1,enemy_skill_triggers!$1:$1,0)+1),MATCH(O$1,enemy_skill_triggers!$1:$1,0)-MATCH($F$1,enemy_skill_triggers!$1:$1,0)+1,FALSE)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1" s="47"/>
      <c r="Q481" s="47"/>
      <c r="R481" s="47"/>
    </row>
    <row r="482" spans="1:18" ht="21" customHeight="1" x14ac:dyDescent="0.15">
      <c r="A482" s="39" t="str">
        <f t="shared" si="38"/>
        <v>47004900_47004906</v>
      </c>
      <c r="B482" s="109">
        <v>47004900</v>
      </c>
      <c r="C482" s="47">
        <v>47004906</v>
      </c>
      <c r="D482" s="46" t="str">
        <f ca="1">VLOOKUP($C482,OFFSET(enemy_skills!$A$1,0,0,COUNTA(enemy_skills!$A:$A),MATCH(D$1,enemy_skills!$1:$1,0)-MATCH("enemy_skill_id",enemy_skills!$1:$1,0)+1),MATCH(D$1,enemy_skills!$1:$1,0)-MATCH("enemy_skill_id",enemy_skills!$1:$1,0)+1,FALSE)</f>
        <v>ラチカ…君は僕の心を_x000D_救うことができるかい…？</v>
      </c>
      <c r="E482" s="46" t="str">
        <f ca="1">VLOOKUP($C482,OFFSET(enemy_skills!$A$1,0,0,COUNTA(enemy_skills!$A:$A),MATCH(E$1,enemy_skills!$1:$1,0)-MATCH("enemy_skill_id",enemy_skills!$1:$1,0)+1),MATCH(E$1,enemy_skills!$1:$1,0)-MATCH("enemy_skill_id",enemy_skills!$1:$1,0)+1,FALSE)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82" s="47">
        <v>47004906</v>
      </c>
      <c r="G482" s="48">
        <f ca="1">VLOOKUP($F482,OFFSET(enemy_skill_triggers!$A$1,0,0,COUNTA(enemy_skill_triggers!$A:$A),MATCH(G$1,enemy_skill_triggers!$1:$1,0)-MATCH($F$1,enemy_skill_triggers!$1:$1,0)+1),MATCH(G$1,enemy_skill_triggers!$1:$1,0)-MATCH($F$1,enemy_skill_triggers!$1:$1,0)+1,FALSE)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2" s="48">
        <f ca="1">VLOOKUP($F482,OFFSET(enemy_skill_triggers!$A$1,0,0,COUNTA(enemy_skill_triggers!$A:$A),MATCH(H$1,enemy_skill_triggers!$1:$1,0)-MATCH($F$1,enemy_skill_triggers!$1:$1,0)+1),MATCH(H$1,enemy_skill_triggers!$1:$1,0)-MATCH($F$1,enemy_skill_triggers!$1:$1,0)+1,FALSE)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482" s="48">
        <f ca="1">VLOOKUP($F482,OFFSET(enemy_skill_triggers!$A$1,0,0,COUNTA(enemy_skill_triggers!$A:$A),MATCH(I$1,enemy_skill_triggers!$1:$1,0)-MATCH($F$1,enemy_skill_triggers!$1:$1,0)+1),MATCH(I$1,enemy_skill_triggers!$1:$1,0)-MATCH($F$1,enemy_skill_triggers!$1:$1,0)+1,FALSE)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2" s="48" t="str">
        <f ca="1">VLOOKUP($F482,OFFSET(enemy_skill_triggers!$A$1,0,0,COUNTA(enemy_skill_triggers!$A:$A),MATCH(J$1,enemy_skill_triggers!$1:$1,0)-MATCH($F$1,enemy_skill_triggers!$1:$1,0)+1),MATCH(J$1,enemy_skill_triggers!$1:$1,0)-MATCH($F$1,enemy_skill_triggers!$1:$1,0)+1,FALSE)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2" s="48" t="str">
        <f ca="1">VLOOKUP($F482,OFFSET(enemy_skill_triggers!$A$1,0,0,COUNTA(enemy_skill_triggers!$A:$A),MATCH(K$1,enemy_skill_triggers!$1:$1,0)-MATCH($F$1,enemy_skill_triggers!$1:$1,0)+1),MATCH(K$1,enemy_skill_triggers!$1:$1,0)-MATCH($F$1,enemy_skill_triggers!$1:$1,0)+1,FALSE)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2" s="48">
        <f ca="1">VLOOKUP($F482,OFFSET(enemy_skill_triggers!$A$1,0,0,COUNTA(enemy_skill_triggers!$A:$A),MATCH(L$1,enemy_skill_triggers!$1:$1,0)-MATCH($F$1,enemy_skill_triggers!$1:$1,0)+1),MATCH(L$1,enemy_skill_triggers!$1:$1,0)-MATCH($F$1,enemy_skill_triggers!$1:$1,0)+1,FALSE)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2" s="48" t="str">
        <f ca="1">VLOOKUP($F482,OFFSET(enemy_skill_triggers!$A$1,0,0,COUNTA(enemy_skill_triggers!$A:$A),MATCH(M$1,enemy_skill_triggers!$1:$1,0)-MATCH($F$1,enemy_skill_triggers!$1:$1,0)+1),MATCH(M$1,enemy_skill_triggers!$1:$1,0)-MATCH($F$1,enemy_skill_triggers!$1:$1,0)+1,FALSE)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2" s="48">
        <f ca="1">VLOOKUP($F482,OFFSET(enemy_skill_triggers!$A$1,0,0,COUNTA(enemy_skill_triggers!$A:$A),MATCH(N$1,enemy_skill_triggers!$1:$1,0)-MATCH($F$1,enemy_skill_triggers!$1:$1,0)+1),MATCH(N$1,enemy_skill_triggers!$1:$1,0)-MATCH($F$1,enemy_skill_triggers!$1:$1,0)+1,FALSE)</f>
        <v>1278</v>
      </c>
      <c r="O482" s="48">
        <f ca="1">VLOOKUP($F482,OFFSET(enemy_skill_triggers!$A$1,0,0,COUNTA(enemy_skill_triggers!$A:$A),MATCH(O$1,enemy_skill_triggers!$1:$1,0)-MATCH($F$1,enemy_skill_triggers!$1:$1,0)+1),MATCH(O$1,enemy_skill_triggers!$1:$1,0)-MATCH($F$1,enemy_skill_triggers!$1:$1,0)+1,FALSE)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2" s="47"/>
      <c r="Q482" s="47"/>
      <c r="R482" s="47"/>
    </row>
    <row r="483" spans="1:18" ht="21" customHeight="1" x14ac:dyDescent="0.15">
      <c r="A483" s="39" t="str">
        <f t="shared" si="38"/>
        <v>47004900_47004906</v>
      </c>
      <c r="B483" s="109">
        <v>47004900</v>
      </c>
      <c r="C483" s="47">
        <v>47004906</v>
      </c>
      <c r="D483" s="46" t="str">
        <f ca="1">VLOOKUP($C483,OFFSET(enemy_skills!$A$1,0,0,COUNTA(enemy_skills!$A:$A),MATCH(D$1,enemy_skills!$1:$1,0)-MATCH("enemy_skill_id",enemy_skills!$1:$1,0)+1),MATCH(D$1,enemy_skills!$1:$1,0)-MATCH("enemy_skill_id",enemy_skills!$1:$1,0)+1,FALSE)</f>
        <v>ラチカ…君は僕の心を_x000D_救うことができるかい…？</v>
      </c>
      <c r="E483" s="46" t="str">
        <f ca="1">VLOOKUP($C483,OFFSET(enemy_skills!$A$1,0,0,COUNTA(enemy_skills!$A:$A),MATCH(E$1,enemy_skills!$1:$1,0)-MATCH("enemy_skill_id",enemy_skills!$1:$1,0)+1),MATCH(E$1,enemy_skills!$1:$1,0)-MATCH("enemy_skill_id",enemy_skills!$1:$1,0)+1,FALSE)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83" s="47">
        <v>47004907</v>
      </c>
      <c r="G483" s="48">
        <f ca="1">VLOOKUP($F483,OFFSET(enemy_skill_triggers!$A$1,0,0,COUNTA(enemy_skill_triggers!$A:$A),MATCH(G$1,enemy_skill_triggers!$1:$1,0)-MATCH($F$1,enemy_skill_triggers!$1:$1,0)+1),MATCH(G$1,enemy_skill_triggers!$1:$1,0)-MATCH($F$1,enemy_skill_triggers!$1:$1,0)+1,FALSE)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3" s="48">
        <f ca="1">VLOOKUP($F483,OFFSET(enemy_skill_triggers!$A$1,0,0,COUNTA(enemy_skill_triggers!$A:$A),MATCH(H$1,enemy_skill_triggers!$1:$1,0)-MATCH($F$1,enemy_skill_triggers!$1:$1,0)+1),MATCH(H$1,enemy_skill_triggers!$1:$1,0)-MATCH($F$1,enemy_skill_triggers!$1:$1,0)+1,FALSE)</f>
        <v>251</v>
      </c>
      <c r="I483" s="48">
        <f ca="1">VLOOKUP($F483,OFFSET(enemy_skill_triggers!$A$1,0,0,COUNTA(enemy_skill_triggers!$A:$A),MATCH(I$1,enemy_skill_triggers!$1:$1,0)-MATCH($F$1,enemy_skill_triggers!$1:$1,0)+1),MATCH(I$1,enemy_skill_triggers!$1:$1,0)-MATCH($F$1,enemy_skill_triggers!$1:$1,0)+1,FALSE)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3" s="48" t="str">
        <f ca="1">VLOOKUP($F483,OFFSET(enemy_skill_triggers!$A$1,0,0,COUNTA(enemy_skill_triggers!$A:$A),MATCH(J$1,enemy_skill_triggers!$1:$1,0)-MATCH($F$1,enemy_skill_triggers!$1:$1,0)+1),MATCH(J$1,enemy_skill_triggers!$1:$1,0)-MATCH($F$1,enemy_skill_triggers!$1:$1,0)+1,FALSE)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3" s="48" t="str">
        <f ca="1">VLOOKUP($F483,OFFSET(enemy_skill_triggers!$A$1,0,0,COUNTA(enemy_skill_triggers!$A:$A),MATCH(K$1,enemy_skill_triggers!$1:$1,0)-MATCH($F$1,enemy_skill_triggers!$1:$1,0)+1),MATCH(K$1,enemy_skill_triggers!$1:$1,0)-MATCH($F$1,enemy_skill_triggers!$1:$1,0)+1,FALSE)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3" s="48">
        <f ca="1">VLOOKUP($F483,OFFSET(enemy_skill_triggers!$A$1,0,0,COUNTA(enemy_skill_triggers!$A:$A),MATCH(L$1,enemy_skill_triggers!$1:$1,0)-MATCH($F$1,enemy_skill_triggers!$1:$1,0)+1),MATCH(L$1,enemy_skill_triggers!$1:$1,0)-MATCH($F$1,enemy_skill_triggers!$1:$1,0)+1,FALSE)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3" s="48" t="str">
        <f ca="1">VLOOKUP($F483,OFFSET(enemy_skill_triggers!$A$1,0,0,COUNTA(enemy_skill_triggers!$A:$A),MATCH(M$1,enemy_skill_triggers!$1:$1,0)-MATCH($F$1,enemy_skill_triggers!$1:$1,0)+1),MATCH(M$1,enemy_skill_triggers!$1:$1,0)-MATCH($F$1,enemy_skill_triggers!$1:$1,0)+1,FALSE)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3" s="48">
        <f ca="1">VLOOKUP($F483,OFFSET(enemy_skill_triggers!$A$1,0,0,COUNTA(enemy_skill_triggers!$A:$A),MATCH(N$1,enemy_skill_triggers!$1:$1,0)-MATCH($F$1,enemy_skill_triggers!$1:$1,0)+1),MATCH(N$1,enemy_skill_triggers!$1:$1,0)-MATCH($F$1,enemy_skill_triggers!$1:$1,0)+1,FALSE)</f>
        <v>1279</v>
      </c>
      <c r="O483" s="48">
        <f ca="1">VLOOKUP($F483,OFFSET(enemy_skill_triggers!$A$1,0,0,COUNTA(enemy_skill_triggers!$A:$A),MATCH(O$1,enemy_skill_triggers!$1:$1,0)-MATCH($F$1,enemy_skill_triggers!$1:$1,0)+1),MATCH(O$1,enemy_skill_triggers!$1:$1,0)-MATCH($F$1,enemy_skill_triggers!$1:$1,0)+1,FALSE)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3" s="47"/>
      <c r="Q483" s="47"/>
      <c r="R483" s="47"/>
    </row>
    <row r="484" spans="1:18" ht="21" customHeight="1" x14ac:dyDescent="0.15">
      <c r="A484" s="39" t="str">
        <f t="shared" si="38"/>
        <v>47004900_47004907</v>
      </c>
      <c r="B484" s="109">
        <v>47004900</v>
      </c>
      <c r="C484" s="47">
        <v>47004907</v>
      </c>
      <c r="D484" s="46" t="str">
        <f ca="1">VLOOKUP($C484,OFFSET(enemy_skills!$A$1,0,0,COUNTA(enemy_skills!$A:$A),MATCH(D$1,enemy_skills!$1:$1,0)-MATCH("enemy_skill_id",enemy_skills!$1:$1,0)+1),MATCH(D$1,enemy_skills!$1:$1,0)-MATCH("enemy_skill_id",enemy_skills!$1:$1,0)+1,FALSE)</f>
        <v>聖母の名にふさわしい優しさ…_x000D_見せてくれるかな？</v>
      </c>
      <c r="E484" s="46" t="str">
        <f ca="1">VLOOKUP($C484,OFFSET(enemy_skills!$A$1,0,0,COUNTA(enemy_skills!$A:$A),MATCH(E$1,enemy_skills!$1:$1,0)-MATCH("enemy_skill_id",enemy_skills!$1:$1,0)+1),MATCH(E$1,enemy_skills!$1:$1,0)-MATCH("enemy_skill_id",enemy_skills!$1:$1,0)+1,FALSE)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84" s="47">
        <v>47004908</v>
      </c>
      <c r="G484" s="48">
        <f ca="1">VLOOKUP($F484,OFFSET(enemy_skill_triggers!$A$1,0,0,COUNTA(enemy_skill_triggers!$A:$A),MATCH(G$1,enemy_skill_triggers!$1:$1,0)-MATCH($F$1,enemy_skill_triggers!$1:$1,0)+1),MATCH(G$1,enemy_skill_triggers!$1:$1,0)-MATCH($F$1,enemy_skill_triggers!$1:$1,0)+1,FALSE)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4" s="48">
        <f ca="1">VLOOKUP($F484,OFFSET(enemy_skill_triggers!$A$1,0,0,COUNTA(enemy_skill_triggers!$A:$A),MATCH(H$1,enemy_skill_triggers!$1:$1,0)-MATCH($F$1,enemy_skill_triggers!$1:$1,0)+1),MATCH(H$1,enemy_skill_triggers!$1:$1,0)-MATCH($F$1,enemy_skill_triggers!$1:$1,0)+1,FALSE)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484" s="48">
        <f ca="1">VLOOKUP($F484,OFFSET(enemy_skill_triggers!$A$1,0,0,COUNTA(enemy_skill_triggers!$A:$A),MATCH(I$1,enemy_skill_triggers!$1:$1,0)-MATCH($F$1,enemy_skill_triggers!$1:$1,0)+1),MATCH(I$1,enemy_skill_triggers!$1:$1,0)-MATCH($F$1,enemy_skill_triggers!$1:$1,0)+1,FALSE)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4" s="48" t="str">
        <f ca="1">VLOOKUP($F484,OFFSET(enemy_skill_triggers!$A$1,0,0,COUNTA(enemy_skill_triggers!$A:$A),MATCH(J$1,enemy_skill_triggers!$1:$1,0)-MATCH($F$1,enemy_skill_triggers!$1:$1,0)+1),MATCH(J$1,enemy_skill_triggers!$1:$1,0)-MATCH($F$1,enemy_skill_triggers!$1:$1,0)+1,FALSE)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4" s="48" t="str">
        <f ca="1">VLOOKUP($F484,OFFSET(enemy_skill_triggers!$A$1,0,0,COUNTA(enemy_skill_triggers!$A:$A),MATCH(K$1,enemy_skill_triggers!$1:$1,0)-MATCH($F$1,enemy_skill_triggers!$1:$1,0)+1),MATCH(K$1,enemy_skill_triggers!$1:$1,0)-MATCH($F$1,enemy_skill_triggers!$1:$1,0)+1,FALSE)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4" s="48">
        <f ca="1">VLOOKUP($F484,OFFSET(enemy_skill_triggers!$A$1,0,0,COUNTA(enemy_skill_triggers!$A:$A),MATCH(L$1,enemy_skill_triggers!$1:$1,0)-MATCH($F$1,enemy_skill_triggers!$1:$1,0)+1),MATCH(L$1,enemy_skill_triggers!$1:$1,0)-MATCH($F$1,enemy_skill_triggers!$1:$1,0)+1,FALSE)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4" s="48" t="str">
        <f ca="1">VLOOKUP($F484,OFFSET(enemy_skill_triggers!$A$1,0,0,COUNTA(enemy_skill_triggers!$A:$A),MATCH(M$1,enemy_skill_triggers!$1:$1,0)-MATCH($F$1,enemy_skill_triggers!$1:$1,0)+1),MATCH(M$1,enemy_skill_triggers!$1:$1,0)-MATCH($F$1,enemy_skill_triggers!$1:$1,0)+1,FALSE)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4" s="48">
        <f ca="1">VLOOKUP($F484,OFFSET(enemy_skill_triggers!$A$1,0,0,COUNTA(enemy_skill_triggers!$A:$A),MATCH(N$1,enemy_skill_triggers!$1:$1,0)-MATCH($F$1,enemy_skill_triggers!$1:$1,0)+1),MATCH(N$1,enemy_skill_triggers!$1:$1,0)-MATCH($F$1,enemy_skill_triggers!$1:$1,0)+1,FALSE)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484" s="48">
        <f ca="1">VLOOKUP($F484,OFFSET(enemy_skill_triggers!$A$1,0,0,COUNTA(enemy_skill_triggers!$A:$A),MATCH(O$1,enemy_skill_triggers!$1:$1,0)-MATCH($F$1,enemy_skill_triggers!$1:$1,0)+1),MATCH(O$1,enemy_skill_triggers!$1:$1,0)-MATCH($F$1,enemy_skill_triggers!$1:$1,0)+1,FALSE)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4" s="47"/>
      <c r="Q484" s="47"/>
      <c r="R484" s="47"/>
    </row>
    <row r="485" spans="1:18" ht="21" customHeight="1" x14ac:dyDescent="0.15">
      <c r="A485" s="39" t="str">
        <f t="shared" si="38"/>
        <v>47004900_47004907</v>
      </c>
      <c r="B485" s="109">
        <v>47004900</v>
      </c>
      <c r="C485" s="47">
        <v>47004907</v>
      </c>
      <c r="D485" s="46" t="str">
        <f ca="1">VLOOKUP($C485,OFFSET(enemy_skills!$A$1,0,0,COUNTA(enemy_skills!$A:$A),MATCH(D$1,enemy_skills!$1:$1,0)-MATCH("enemy_skill_id",enemy_skills!$1:$1,0)+1),MATCH(D$1,enemy_skills!$1:$1,0)-MATCH("enemy_skill_id",enemy_skills!$1:$1,0)+1,FALSE)</f>
        <v>聖母の名にふさわしい優しさ…_x000D_見せてくれるかな？</v>
      </c>
      <c r="E485" s="46" t="str">
        <f ca="1">VLOOKUP($C485,OFFSET(enemy_skills!$A$1,0,0,COUNTA(enemy_skills!$A:$A),MATCH(E$1,enemy_skills!$1:$1,0)-MATCH("enemy_skill_id",enemy_skills!$1:$1,0)+1),MATCH(E$1,enemy_skills!$1:$1,0)-MATCH("enemy_skill_id",enemy_skills!$1:$1,0)+1,FALSE)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85" s="47">
        <v>47004909</v>
      </c>
      <c r="G485" s="48">
        <f ca="1">VLOOKUP($F485,OFFSET(enemy_skill_triggers!$A$1,0,0,COUNTA(enemy_skill_triggers!$A:$A),MATCH(G$1,enemy_skill_triggers!$1:$1,0)-MATCH($F$1,enemy_skill_triggers!$1:$1,0)+1),MATCH(G$1,enemy_skill_triggers!$1:$1,0)-MATCH($F$1,enemy_skill_triggers!$1:$1,0)+1,FALSE)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5" s="48">
        <f ca="1">VLOOKUP($F485,OFFSET(enemy_skill_triggers!$A$1,0,0,COUNTA(enemy_skill_triggers!$A:$A),MATCH(H$1,enemy_skill_triggers!$1:$1,0)-MATCH($F$1,enemy_skill_triggers!$1:$1,0)+1),MATCH(H$1,enemy_skill_triggers!$1:$1,0)-MATCH($F$1,enemy_skill_triggers!$1:$1,0)+1,FALSE)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485" s="48">
        <f ca="1">VLOOKUP($F485,OFFSET(enemy_skill_triggers!$A$1,0,0,COUNTA(enemy_skill_triggers!$A:$A),MATCH(I$1,enemy_skill_triggers!$1:$1,0)-MATCH($F$1,enemy_skill_triggers!$1:$1,0)+1),MATCH(I$1,enemy_skill_triggers!$1:$1,0)-MATCH($F$1,enemy_skill_triggers!$1:$1,0)+1,FALSE)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5" s="48" t="str">
        <f ca="1">VLOOKUP($F485,OFFSET(enemy_skill_triggers!$A$1,0,0,COUNTA(enemy_skill_triggers!$A:$A),MATCH(J$1,enemy_skill_triggers!$1:$1,0)-MATCH($F$1,enemy_skill_triggers!$1:$1,0)+1),MATCH(J$1,enemy_skill_triggers!$1:$1,0)-MATCH($F$1,enemy_skill_triggers!$1:$1,0)+1,FALSE)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5" s="48" t="str">
        <f ca="1">VLOOKUP($F485,OFFSET(enemy_skill_triggers!$A$1,0,0,COUNTA(enemy_skill_triggers!$A:$A),MATCH(K$1,enemy_skill_triggers!$1:$1,0)-MATCH($F$1,enemy_skill_triggers!$1:$1,0)+1),MATCH(K$1,enemy_skill_triggers!$1:$1,0)-MATCH($F$1,enemy_skill_triggers!$1:$1,0)+1,FALSE)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5" s="48">
        <f ca="1">VLOOKUP($F485,OFFSET(enemy_skill_triggers!$A$1,0,0,COUNTA(enemy_skill_triggers!$A:$A),MATCH(L$1,enemy_skill_triggers!$1:$1,0)-MATCH($F$1,enemy_skill_triggers!$1:$1,0)+1),MATCH(L$1,enemy_skill_triggers!$1:$1,0)-MATCH($F$1,enemy_skill_triggers!$1:$1,0)+1,FALSE)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5" s="48" t="str">
        <f ca="1">VLOOKUP($F485,OFFSET(enemy_skill_triggers!$A$1,0,0,COUNTA(enemy_skill_triggers!$A:$A),MATCH(M$1,enemy_skill_triggers!$1:$1,0)-MATCH($F$1,enemy_skill_triggers!$1:$1,0)+1),MATCH(M$1,enemy_skill_triggers!$1:$1,0)-MATCH($F$1,enemy_skill_triggers!$1:$1,0)+1,FALSE)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5" s="48">
        <f ca="1">VLOOKUP($F485,OFFSET(enemy_skill_triggers!$A$1,0,0,COUNTA(enemy_skill_triggers!$A:$A),MATCH(N$1,enemy_skill_triggers!$1:$1,0)-MATCH($F$1,enemy_skill_triggers!$1:$1,0)+1),MATCH(N$1,enemy_skill_triggers!$1:$1,0)-MATCH($F$1,enemy_skill_triggers!$1:$1,0)+1,FALSE)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485" s="48">
        <f ca="1">VLOOKUP($F485,OFFSET(enemy_skill_triggers!$A$1,0,0,COUNTA(enemy_skill_triggers!$A:$A),MATCH(O$1,enemy_skill_triggers!$1:$1,0)-MATCH($F$1,enemy_skill_triggers!$1:$1,0)+1),MATCH(O$1,enemy_skill_triggers!$1:$1,0)-MATCH($F$1,enemy_skill_triggers!$1:$1,0)+1,FALSE)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5" s="47"/>
      <c r="Q485" s="47"/>
      <c r="R485" s="47"/>
    </row>
    <row r="486" spans="1:18" ht="21" customHeight="1" x14ac:dyDescent="0.15">
      <c r="A486" s="39" t="str">
        <f t="shared" si="38"/>
        <v>47004900_47004907</v>
      </c>
      <c r="B486" s="109">
        <v>47004900</v>
      </c>
      <c r="C486" s="47">
        <v>47004907</v>
      </c>
      <c r="D486" s="46" t="str">
        <f ca="1">VLOOKUP($C486,OFFSET(enemy_skills!$A$1,0,0,COUNTA(enemy_skills!$A:$A),MATCH(D$1,enemy_skills!$1:$1,0)-MATCH("enemy_skill_id",enemy_skills!$1:$1,0)+1),MATCH(D$1,enemy_skills!$1:$1,0)-MATCH("enemy_skill_id",enemy_skills!$1:$1,0)+1,FALSE)</f>
        <v>聖母の名にふさわしい優しさ…_x000D_見せてくれるかな？</v>
      </c>
      <c r="E486" s="46" t="str">
        <f ca="1">VLOOKUP($C486,OFFSET(enemy_skills!$A$1,0,0,COUNTA(enemy_skills!$A:$A),MATCH(E$1,enemy_skills!$1:$1,0)-MATCH("enemy_skill_id",enemy_skills!$1:$1,0)+1),MATCH(E$1,enemy_skills!$1:$1,0)-MATCH("enemy_skill_id",enemy_skills!$1:$1,0)+1,FALSE)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86" s="47">
        <v>47004910</v>
      </c>
      <c r="G486" s="48">
        <f ca="1">VLOOKUP($F486,OFFSET(enemy_skill_triggers!$A$1,0,0,COUNTA(enemy_skill_triggers!$A:$A),MATCH(G$1,enemy_skill_triggers!$1:$1,0)-MATCH($F$1,enemy_skill_triggers!$1:$1,0)+1),MATCH(G$1,enemy_skill_triggers!$1:$1,0)-MATCH($F$1,enemy_skill_triggers!$1:$1,0)+1,FALSE)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6" s="48">
        <f ca="1">VLOOKUP($F486,OFFSET(enemy_skill_triggers!$A$1,0,0,COUNTA(enemy_skill_triggers!$A:$A),MATCH(H$1,enemy_skill_triggers!$1:$1,0)-MATCH($F$1,enemy_skill_triggers!$1:$1,0)+1),MATCH(H$1,enemy_skill_triggers!$1:$1,0)-MATCH($F$1,enemy_skill_triggers!$1:$1,0)+1,FALSE)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486" s="48">
        <f ca="1">VLOOKUP($F486,OFFSET(enemy_skill_triggers!$A$1,0,0,COUNTA(enemy_skill_triggers!$A:$A),MATCH(I$1,enemy_skill_triggers!$1:$1,0)-MATCH($F$1,enemy_skill_triggers!$1:$1,0)+1),MATCH(I$1,enemy_skill_triggers!$1:$1,0)-MATCH($F$1,enemy_skill_triggers!$1:$1,0)+1,FALSE)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6" s="48" t="str">
        <f ca="1">VLOOKUP($F486,OFFSET(enemy_skill_triggers!$A$1,0,0,COUNTA(enemy_skill_triggers!$A:$A),MATCH(J$1,enemy_skill_triggers!$1:$1,0)-MATCH($F$1,enemy_skill_triggers!$1:$1,0)+1),MATCH(J$1,enemy_skill_triggers!$1:$1,0)-MATCH($F$1,enemy_skill_triggers!$1:$1,0)+1,FALSE)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6" s="48" t="str">
        <f ca="1">VLOOKUP($F486,OFFSET(enemy_skill_triggers!$A$1,0,0,COUNTA(enemy_skill_triggers!$A:$A),MATCH(K$1,enemy_skill_triggers!$1:$1,0)-MATCH($F$1,enemy_skill_triggers!$1:$1,0)+1),MATCH(K$1,enemy_skill_triggers!$1:$1,0)-MATCH($F$1,enemy_skill_triggers!$1:$1,0)+1,FALSE)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6" s="48">
        <f ca="1">VLOOKUP($F486,OFFSET(enemy_skill_triggers!$A$1,0,0,COUNTA(enemy_skill_triggers!$A:$A),MATCH(L$1,enemy_skill_triggers!$1:$1,0)-MATCH($F$1,enemy_skill_triggers!$1:$1,0)+1),MATCH(L$1,enemy_skill_triggers!$1:$1,0)-MATCH($F$1,enemy_skill_triggers!$1:$1,0)+1,FALSE)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6" s="48" t="str">
        <f ca="1">VLOOKUP($F486,OFFSET(enemy_skill_triggers!$A$1,0,0,COUNTA(enemy_skill_triggers!$A:$A),MATCH(M$1,enemy_skill_triggers!$1:$1,0)-MATCH($F$1,enemy_skill_triggers!$1:$1,0)+1),MATCH(M$1,enemy_skill_triggers!$1:$1,0)-MATCH($F$1,enemy_skill_triggers!$1:$1,0)+1,FALSE)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6" s="48">
        <f ca="1">VLOOKUP($F486,OFFSET(enemy_skill_triggers!$A$1,0,0,COUNTA(enemy_skill_triggers!$A:$A),MATCH(N$1,enemy_skill_triggers!$1:$1,0)-MATCH($F$1,enemy_skill_triggers!$1:$1,0)+1),MATCH(N$1,enemy_skill_triggers!$1:$1,0)-MATCH($F$1,enemy_skill_triggers!$1:$1,0)+1,FALSE)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486" s="48">
        <f ca="1">VLOOKUP($F486,OFFSET(enemy_skill_triggers!$A$1,0,0,COUNTA(enemy_skill_triggers!$A:$A),MATCH(O$1,enemy_skill_triggers!$1:$1,0)-MATCH($F$1,enemy_skill_triggers!$1:$1,0)+1),MATCH(O$1,enemy_skill_triggers!$1:$1,0)-MATCH($F$1,enemy_skill_triggers!$1:$1,0)+1,FALSE)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6" s="47"/>
      <c r="Q486" s="47"/>
      <c r="R486" s="47"/>
    </row>
    <row r="487" spans="1:18" ht="21" customHeight="1" x14ac:dyDescent="0.15">
      <c r="A487" s="39" t="str">
        <f t="shared" si="38"/>
        <v>47004900_47004908</v>
      </c>
      <c r="B487" s="109">
        <v>47004900</v>
      </c>
      <c r="C487" s="47">
        <v>47004908</v>
      </c>
      <c r="D487" s="46" t="str">
        <f ca="1">VLOOKUP($C487,OFFSET(enemy_skills!$A$1,0,0,COUNTA(enemy_skills!$A:$A),MATCH(D$1,enemy_skills!$1:$1,0)-MATCH("enemy_skill_id",enemy_skills!$1:$1,0)+1),MATCH(D$1,enemy_skills!$1:$1,0)-MATCH("enemy_skill_id",enemy_skills!$1:$1,0)+1,FALSE)</f>
        <v>僕にも天使の祝福を…？_x000D_もったいないよ…</v>
      </c>
      <c r="E487" s="46" t="str">
        <f ca="1">VLOOKUP($C487,OFFSET(enemy_skills!$A$1,0,0,COUNTA(enemy_skills!$A:$A),MATCH(E$1,enemy_skills!$1:$1,0)-MATCH("enemy_skill_id",enemy_skills!$1:$1,0)+1),MATCH(E$1,enemy_skills!$1:$1,0)-MATCH("enemy_skill_id",enemy_skills!$1:$1,0)+1,FALSE)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87" s="47">
        <v>47004911</v>
      </c>
      <c r="G487" s="48">
        <f ca="1">VLOOKUP($F487,OFFSET(enemy_skill_triggers!$A$1,0,0,COUNTA(enemy_skill_triggers!$A:$A),MATCH(G$1,enemy_skill_triggers!$1:$1,0)-MATCH($F$1,enemy_skill_triggers!$1:$1,0)+1),MATCH(G$1,enemy_skill_triggers!$1:$1,0)-MATCH($F$1,enemy_skill_triggers!$1:$1,0)+1,FALSE)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7" s="48">
        <f ca="1">VLOOKUP($F487,OFFSET(enemy_skill_triggers!$A$1,0,0,COUNTA(enemy_skill_triggers!$A:$A),MATCH(H$1,enemy_skill_triggers!$1:$1,0)-MATCH($F$1,enemy_skill_triggers!$1:$1,0)+1),MATCH(H$1,enemy_skill_triggers!$1:$1,0)-MATCH($F$1,enemy_skill_triggers!$1:$1,0)+1,FALSE)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487" s="48">
        <f ca="1">VLOOKUP($F487,OFFSET(enemy_skill_triggers!$A$1,0,0,COUNTA(enemy_skill_triggers!$A:$A),MATCH(I$1,enemy_skill_triggers!$1:$1,0)-MATCH($F$1,enemy_skill_triggers!$1:$1,0)+1),MATCH(I$1,enemy_skill_triggers!$1:$1,0)-MATCH($F$1,enemy_skill_triggers!$1:$1,0)+1,FALSE)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7" s="48" t="str">
        <f ca="1">VLOOKUP($F487,OFFSET(enemy_skill_triggers!$A$1,0,0,COUNTA(enemy_skill_triggers!$A:$A),MATCH(J$1,enemy_skill_triggers!$1:$1,0)-MATCH($F$1,enemy_skill_triggers!$1:$1,0)+1),MATCH(J$1,enemy_skill_triggers!$1:$1,0)-MATCH($F$1,enemy_skill_triggers!$1:$1,0)+1,FALSE)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7" s="48" t="str">
        <f ca="1">VLOOKUP($F487,OFFSET(enemy_skill_triggers!$A$1,0,0,COUNTA(enemy_skill_triggers!$A:$A),MATCH(K$1,enemy_skill_triggers!$1:$1,0)-MATCH($F$1,enemy_skill_triggers!$1:$1,0)+1),MATCH(K$1,enemy_skill_triggers!$1:$1,0)-MATCH($F$1,enemy_skill_triggers!$1:$1,0)+1,FALSE)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7" s="48">
        <f ca="1">VLOOKUP($F487,OFFSET(enemy_skill_triggers!$A$1,0,0,COUNTA(enemy_skill_triggers!$A:$A),MATCH(L$1,enemy_skill_triggers!$1:$1,0)-MATCH($F$1,enemy_skill_triggers!$1:$1,0)+1),MATCH(L$1,enemy_skill_triggers!$1:$1,0)-MATCH($F$1,enemy_skill_triggers!$1:$1,0)+1,FALSE)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7" s="48" t="str">
        <f ca="1">VLOOKUP($F487,OFFSET(enemy_skill_triggers!$A$1,0,0,COUNTA(enemy_skill_triggers!$A:$A),MATCH(M$1,enemy_skill_triggers!$1:$1,0)-MATCH($F$1,enemy_skill_triggers!$1:$1,0)+1),MATCH(M$1,enemy_skill_triggers!$1:$1,0)-MATCH($F$1,enemy_skill_triggers!$1:$1,0)+1,FALSE)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7" s="48">
        <f ca="1">VLOOKUP($F487,OFFSET(enemy_skill_triggers!$A$1,0,0,COUNTA(enemy_skill_triggers!$A:$A),MATCH(N$1,enemy_skill_triggers!$1:$1,0)-MATCH($F$1,enemy_skill_triggers!$1:$1,0)+1),MATCH(N$1,enemy_skill_triggers!$1:$1,0)-MATCH($F$1,enemy_skill_triggers!$1:$1,0)+1,FALSE)</f>
        <v>518</v>
      </c>
      <c r="O487" s="48">
        <f ca="1">VLOOKUP($F487,OFFSET(enemy_skill_triggers!$A$1,0,0,COUNTA(enemy_skill_triggers!$A:$A),MATCH(O$1,enemy_skill_triggers!$1:$1,0)-MATCH($F$1,enemy_skill_triggers!$1:$1,0)+1),MATCH(O$1,enemy_skill_triggers!$1:$1,0)-MATCH($F$1,enemy_skill_triggers!$1:$1,0)+1,FALSE)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7" s="47"/>
      <c r="Q487" s="47"/>
      <c r="R487" s="47"/>
    </row>
    <row r="488" spans="1:18" ht="21" customHeight="1" x14ac:dyDescent="0.15">
      <c r="A488" s="39" t="str">
        <f t="shared" si="38"/>
        <v>47004900_47004908</v>
      </c>
      <c r="B488" s="109">
        <v>47004900</v>
      </c>
      <c r="C488" s="47">
        <v>47004908</v>
      </c>
      <c r="D488" s="46" t="str">
        <f ca="1">VLOOKUP($C488,OFFSET(enemy_skills!$A$1,0,0,COUNTA(enemy_skills!$A:$A),MATCH(D$1,enemy_skills!$1:$1,0)-MATCH("enemy_skill_id",enemy_skills!$1:$1,0)+1),MATCH(D$1,enemy_skills!$1:$1,0)-MATCH("enemy_skill_id",enemy_skills!$1:$1,0)+1,FALSE)</f>
        <v>僕にも天使の祝福を…？_x000D_もったいないよ…</v>
      </c>
      <c r="E488" s="46" t="str">
        <f ca="1">VLOOKUP($C488,OFFSET(enemy_skills!$A$1,0,0,COUNTA(enemy_skills!$A:$A),MATCH(E$1,enemy_skills!$1:$1,0)-MATCH("enemy_skill_id",enemy_skills!$1:$1,0)+1),MATCH(E$1,enemy_skills!$1:$1,0)-MATCH("enemy_skill_id",enemy_skills!$1:$1,0)+1,FALSE)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88" s="47">
        <v>47004912</v>
      </c>
      <c r="G488" s="48">
        <f ca="1">VLOOKUP($F488,OFFSET(enemy_skill_triggers!$A$1,0,0,COUNTA(enemy_skill_triggers!$A:$A),MATCH(G$1,enemy_skill_triggers!$1:$1,0)-MATCH($F$1,enemy_skill_triggers!$1:$1,0)+1),MATCH(G$1,enemy_skill_triggers!$1:$1,0)-MATCH($F$1,enemy_skill_triggers!$1:$1,0)+1,FALSE)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8" s="48">
        <f ca="1">VLOOKUP($F488,OFFSET(enemy_skill_triggers!$A$1,0,0,COUNTA(enemy_skill_triggers!$A:$A),MATCH(H$1,enemy_skill_triggers!$1:$1,0)-MATCH($F$1,enemy_skill_triggers!$1:$1,0)+1),MATCH(H$1,enemy_skill_triggers!$1:$1,0)-MATCH($F$1,enemy_skill_triggers!$1:$1,0)+1,FALSE)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488" s="48">
        <f ca="1">VLOOKUP($F488,OFFSET(enemy_skill_triggers!$A$1,0,0,COUNTA(enemy_skill_triggers!$A:$A),MATCH(I$1,enemy_skill_triggers!$1:$1,0)-MATCH($F$1,enemy_skill_triggers!$1:$1,0)+1),MATCH(I$1,enemy_skill_triggers!$1:$1,0)-MATCH($F$1,enemy_skill_triggers!$1:$1,0)+1,FALSE)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8" s="48" t="str">
        <f ca="1">VLOOKUP($F488,OFFSET(enemy_skill_triggers!$A$1,0,0,COUNTA(enemy_skill_triggers!$A:$A),MATCH(J$1,enemy_skill_triggers!$1:$1,0)-MATCH($F$1,enemy_skill_triggers!$1:$1,0)+1),MATCH(J$1,enemy_skill_triggers!$1:$1,0)-MATCH($F$1,enemy_skill_triggers!$1:$1,0)+1,FALSE)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8" s="48" t="str">
        <f ca="1">VLOOKUP($F488,OFFSET(enemy_skill_triggers!$A$1,0,0,COUNTA(enemy_skill_triggers!$A:$A),MATCH(K$1,enemy_skill_triggers!$1:$1,0)-MATCH($F$1,enemy_skill_triggers!$1:$1,0)+1),MATCH(K$1,enemy_skill_triggers!$1:$1,0)-MATCH($F$1,enemy_skill_triggers!$1:$1,0)+1,FALSE)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8" s="48">
        <f ca="1">VLOOKUP($F488,OFFSET(enemy_skill_triggers!$A$1,0,0,COUNTA(enemy_skill_triggers!$A:$A),MATCH(L$1,enemy_skill_triggers!$1:$1,0)-MATCH($F$1,enemy_skill_triggers!$1:$1,0)+1),MATCH(L$1,enemy_skill_triggers!$1:$1,0)-MATCH($F$1,enemy_skill_triggers!$1:$1,0)+1,FALSE)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8" s="48" t="str">
        <f ca="1">VLOOKUP($F488,OFFSET(enemy_skill_triggers!$A$1,0,0,COUNTA(enemy_skill_triggers!$A:$A),MATCH(M$1,enemy_skill_triggers!$1:$1,0)-MATCH($F$1,enemy_skill_triggers!$1:$1,0)+1),MATCH(M$1,enemy_skill_triggers!$1:$1,0)-MATCH($F$1,enemy_skill_triggers!$1:$1,0)+1,FALSE)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8" s="48">
        <f ca="1">VLOOKUP($F488,OFFSET(enemy_skill_triggers!$A$1,0,0,COUNTA(enemy_skill_triggers!$A:$A),MATCH(N$1,enemy_skill_triggers!$1:$1,0)-MATCH($F$1,enemy_skill_triggers!$1:$1,0)+1),MATCH(N$1,enemy_skill_triggers!$1:$1,0)-MATCH($F$1,enemy_skill_triggers!$1:$1,0)+1,FALSE)</f>
        <v>519</v>
      </c>
      <c r="O488" s="48">
        <f ca="1">VLOOKUP($F488,OFFSET(enemy_skill_triggers!$A$1,0,0,COUNTA(enemy_skill_triggers!$A:$A),MATCH(O$1,enemy_skill_triggers!$1:$1,0)-MATCH($F$1,enemy_skill_triggers!$1:$1,0)+1),MATCH(O$1,enemy_skill_triggers!$1:$1,0)-MATCH($F$1,enemy_skill_triggers!$1:$1,0)+1,FALSE)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8" s="47"/>
      <c r="Q488" s="47"/>
      <c r="R488" s="47"/>
    </row>
    <row r="489" spans="1:18" ht="21" customHeight="1" x14ac:dyDescent="0.15">
      <c r="A489" s="39" t="str">
        <f t="shared" si="38"/>
        <v>47004900_47004908</v>
      </c>
      <c r="B489" s="109">
        <v>47004900</v>
      </c>
      <c r="C489" s="47">
        <v>47004908</v>
      </c>
      <c r="D489" s="46" t="str">
        <f ca="1">VLOOKUP($C489,OFFSET(enemy_skills!$A$1,0,0,COUNTA(enemy_skills!$A:$A),MATCH(D$1,enemy_skills!$1:$1,0)-MATCH("enemy_skill_id",enemy_skills!$1:$1,0)+1),MATCH(D$1,enemy_skills!$1:$1,0)-MATCH("enemy_skill_id",enemy_skills!$1:$1,0)+1,FALSE)</f>
        <v>僕にも天使の祝福を…？_x000D_もったいないよ…</v>
      </c>
      <c r="E489" s="46" t="str">
        <f ca="1">VLOOKUP($C489,OFFSET(enemy_skills!$A$1,0,0,COUNTA(enemy_skills!$A:$A),MATCH(E$1,enemy_skills!$1:$1,0)-MATCH("enemy_skill_id",enemy_skills!$1:$1,0)+1),MATCH(E$1,enemy_skills!$1:$1,0)-MATCH("enemy_skill_id",enemy_skills!$1:$1,0)+1,FALSE)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89" s="47">
        <v>47004913</v>
      </c>
      <c r="G489" s="48">
        <f ca="1">VLOOKUP($F489,OFFSET(enemy_skill_triggers!$A$1,0,0,COUNTA(enemy_skill_triggers!$A:$A),MATCH(G$1,enemy_skill_triggers!$1:$1,0)-MATCH($F$1,enemy_skill_triggers!$1:$1,0)+1),MATCH(G$1,enemy_skill_triggers!$1:$1,0)-MATCH($F$1,enemy_skill_triggers!$1:$1,0)+1,FALSE)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9" s="48">
        <f ca="1">VLOOKUP($F489,OFFSET(enemy_skill_triggers!$A$1,0,0,COUNTA(enemy_skill_triggers!$A:$A),MATCH(H$1,enemy_skill_triggers!$1:$1,0)-MATCH($F$1,enemy_skill_triggers!$1:$1,0)+1),MATCH(H$1,enemy_skill_triggers!$1:$1,0)-MATCH($F$1,enemy_skill_triggers!$1:$1,0)+1,FALSE)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489" s="48">
        <f ca="1">VLOOKUP($F489,OFFSET(enemy_skill_triggers!$A$1,0,0,COUNTA(enemy_skill_triggers!$A:$A),MATCH(I$1,enemy_skill_triggers!$1:$1,0)-MATCH($F$1,enemy_skill_triggers!$1:$1,0)+1),MATCH(I$1,enemy_skill_triggers!$1:$1,0)-MATCH($F$1,enemy_skill_triggers!$1:$1,0)+1,FALSE)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9" s="48" t="str">
        <f ca="1">VLOOKUP($F489,OFFSET(enemy_skill_triggers!$A$1,0,0,COUNTA(enemy_skill_triggers!$A:$A),MATCH(J$1,enemy_skill_triggers!$1:$1,0)-MATCH($F$1,enemy_skill_triggers!$1:$1,0)+1),MATCH(J$1,enemy_skill_triggers!$1:$1,0)-MATCH($F$1,enemy_skill_triggers!$1:$1,0)+1,FALSE)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9" s="48" t="str">
        <f ca="1">VLOOKUP($F489,OFFSET(enemy_skill_triggers!$A$1,0,0,COUNTA(enemy_skill_triggers!$A:$A),MATCH(K$1,enemy_skill_triggers!$1:$1,0)-MATCH($F$1,enemy_skill_triggers!$1:$1,0)+1),MATCH(K$1,enemy_skill_triggers!$1:$1,0)-MATCH($F$1,enemy_skill_triggers!$1:$1,0)+1,FALSE)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9" s="48">
        <f ca="1">VLOOKUP($F489,OFFSET(enemy_skill_triggers!$A$1,0,0,COUNTA(enemy_skill_triggers!$A:$A),MATCH(L$1,enemy_skill_triggers!$1:$1,0)-MATCH($F$1,enemy_skill_triggers!$1:$1,0)+1),MATCH(L$1,enemy_skill_triggers!$1:$1,0)-MATCH($F$1,enemy_skill_triggers!$1:$1,0)+1,FALSE)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9" s="48" t="str">
        <f ca="1">VLOOKUP($F489,OFFSET(enemy_skill_triggers!$A$1,0,0,COUNTA(enemy_skill_triggers!$A:$A),MATCH(M$1,enemy_skill_triggers!$1:$1,0)-MATCH($F$1,enemy_skill_triggers!$1:$1,0)+1),MATCH(M$1,enemy_skill_triggers!$1:$1,0)-MATCH($F$1,enemy_skill_triggers!$1:$1,0)+1,FALSE)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9" s="48">
        <f ca="1">VLOOKUP($F489,OFFSET(enemy_skill_triggers!$A$1,0,0,COUNTA(enemy_skill_triggers!$A:$A),MATCH(N$1,enemy_skill_triggers!$1:$1,0)-MATCH($F$1,enemy_skill_triggers!$1:$1,0)+1),MATCH(N$1,enemy_skill_triggers!$1:$1,0)-MATCH($F$1,enemy_skill_triggers!$1:$1,0)+1,FALSE)</f>
        <v>1277</v>
      </c>
      <c r="O489" s="48">
        <f ca="1">VLOOKUP($F489,OFFSET(enemy_skill_triggers!$A$1,0,0,COUNTA(enemy_skill_triggers!$A:$A),MATCH(O$1,enemy_skill_triggers!$1:$1,0)-MATCH($F$1,enemy_skill_triggers!$1:$1,0)+1),MATCH(O$1,enemy_skill_triggers!$1:$1,0)-MATCH($F$1,enemy_skill_triggers!$1:$1,0)+1,FALSE)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9" s="47"/>
      <c r="Q489" s="47"/>
      <c r="R489" s="47"/>
    </row>
    <row r="490" spans="1:18" ht="21" customHeight="1" x14ac:dyDescent="0.15">
      <c r="A490" s="39" t="str">
        <f t="shared" si="38"/>
        <v>47004900_47004909</v>
      </c>
      <c r="B490" s="109">
        <v>47004900</v>
      </c>
      <c r="C490" s="47">
        <v>47004909</v>
      </c>
      <c r="D490" s="46" t="str">
        <f ca="1">VLOOKUP($C490,OFFSET(enemy_skills!$A$1,0,0,COUNTA(enemy_skills!$A:$A),MATCH(D$1,enemy_skills!$1:$1,0)-MATCH("enemy_skill_id",enemy_skills!$1:$1,0)+1),MATCH(D$1,enemy_skills!$1:$1,0)-MATCH("enemy_skill_id",enemy_skills!$1:$1,0)+1,FALSE)</f>
        <v>随分大胆な衣装のサンタだね…_x000D_プレゼントをくれるのかい？</v>
      </c>
      <c r="E490" s="46" t="str">
        <f ca="1">VLOOKUP($C490,OFFSET(enemy_skills!$A$1,0,0,COUNTA(enemy_skills!$A:$A),MATCH(E$1,enemy_skills!$1:$1,0)-MATCH("enemy_skill_id",enemy_skills!$1:$1,0)+1),MATCH(E$1,enemy_skills!$1:$1,0)-MATCH("enemy_skill_id",enemy_skills!$1:$1,0)+1,FALSE)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90" s="47">
        <v>47004914</v>
      </c>
      <c r="G490" s="48">
        <f ca="1">VLOOKUP($F490,OFFSET(enemy_skill_triggers!$A$1,0,0,COUNTA(enemy_skill_triggers!$A:$A),MATCH(G$1,enemy_skill_triggers!$1:$1,0)-MATCH($F$1,enemy_skill_triggers!$1:$1,0)+1),MATCH(G$1,enemy_skill_triggers!$1:$1,0)-MATCH($F$1,enemy_skill_triggers!$1:$1,0)+1,FALSE)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0" s="48">
        <f ca="1">VLOOKUP($F490,OFFSET(enemy_skill_triggers!$A$1,0,0,COUNTA(enemy_skill_triggers!$A:$A),MATCH(H$1,enemy_skill_triggers!$1:$1,0)-MATCH($F$1,enemy_skill_triggers!$1:$1,0)+1),MATCH(H$1,enemy_skill_triggers!$1:$1,0)-MATCH($F$1,enemy_skill_triggers!$1:$1,0)+1,FALSE)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490" s="48">
        <f ca="1">VLOOKUP($F490,OFFSET(enemy_skill_triggers!$A$1,0,0,COUNTA(enemy_skill_triggers!$A:$A),MATCH(I$1,enemy_skill_triggers!$1:$1,0)-MATCH($F$1,enemy_skill_triggers!$1:$1,0)+1),MATCH(I$1,enemy_skill_triggers!$1:$1,0)-MATCH($F$1,enemy_skill_triggers!$1:$1,0)+1,FALSE)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0" s="48" t="str">
        <f ca="1">VLOOKUP($F490,OFFSET(enemy_skill_triggers!$A$1,0,0,COUNTA(enemy_skill_triggers!$A:$A),MATCH(J$1,enemy_skill_triggers!$1:$1,0)-MATCH($F$1,enemy_skill_triggers!$1:$1,0)+1),MATCH(J$1,enemy_skill_triggers!$1:$1,0)-MATCH($F$1,enemy_skill_triggers!$1:$1,0)+1,FALSE)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0" s="48" t="str">
        <f ca="1">VLOOKUP($F490,OFFSET(enemy_skill_triggers!$A$1,0,0,COUNTA(enemy_skill_triggers!$A:$A),MATCH(K$1,enemy_skill_triggers!$1:$1,0)-MATCH($F$1,enemy_skill_triggers!$1:$1,0)+1),MATCH(K$1,enemy_skill_triggers!$1:$1,0)-MATCH($F$1,enemy_skill_triggers!$1:$1,0)+1,FALSE)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0" s="48">
        <f ca="1">VLOOKUP($F490,OFFSET(enemy_skill_triggers!$A$1,0,0,COUNTA(enemy_skill_triggers!$A:$A),MATCH(L$1,enemy_skill_triggers!$1:$1,0)-MATCH($F$1,enemy_skill_triggers!$1:$1,0)+1),MATCH(L$1,enemy_skill_triggers!$1:$1,0)-MATCH($F$1,enemy_skill_triggers!$1:$1,0)+1,FALSE)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0" s="48" t="str">
        <f ca="1">VLOOKUP($F490,OFFSET(enemy_skill_triggers!$A$1,0,0,COUNTA(enemy_skill_triggers!$A:$A),MATCH(M$1,enemy_skill_triggers!$1:$1,0)-MATCH($F$1,enemy_skill_triggers!$1:$1,0)+1),MATCH(M$1,enemy_skill_triggers!$1:$1,0)-MATCH($F$1,enemy_skill_triggers!$1:$1,0)+1,FALSE)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0" s="48">
        <f ca="1">VLOOKUP($F490,OFFSET(enemy_skill_triggers!$A$1,0,0,COUNTA(enemy_skill_triggers!$A:$A),MATCH(N$1,enemy_skill_triggers!$1:$1,0)-MATCH($F$1,enemy_skill_triggers!$1:$1,0)+1),MATCH(N$1,enemy_skill_triggers!$1:$1,0)-MATCH($F$1,enemy_skill_triggers!$1:$1,0)+1,FALSE)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490" s="48">
        <f ca="1">VLOOKUP($F490,OFFSET(enemy_skill_triggers!$A$1,0,0,COUNTA(enemy_skill_triggers!$A:$A),MATCH(O$1,enemy_skill_triggers!$1:$1,0)-MATCH($F$1,enemy_skill_triggers!$1:$1,0)+1),MATCH(O$1,enemy_skill_triggers!$1:$1,0)-MATCH($F$1,enemy_skill_triggers!$1:$1,0)+1,FALSE)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0" s="47"/>
      <c r="Q490" s="47"/>
      <c r="R490" s="47"/>
    </row>
    <row r="491" spans="1:18" ht="21" customHeight="1" x14ac:dyDescent="0.15">
      <c r="A491" s="39" t="str">
        <f t="shared" si="38"/>
        <v>47004900_47004909</v>
      </c>
      <c r="B491" s="109">
        <v>47004900</v>
      </c>
      <c r="C491" s="47">
        <v>47004909</v>
      </c>
      <c r="D491" s="46" t="str">
        <f ca="1">VLOOKUP($C491,OFFSET(enemy_skills!$A$1,0,0,COUNTA(enemy_skills!$A:$A),MATCH(D$1,enemy_skills!$1:$1,0)-MATCH("enemy_skill_id",enemy_skills!$1:$1,0)+1),MATCH(D$1,enemy_skills!$1:$1,0)-MATCH("enemy_skill_id",enemy_skills!$1:$1,0)+1,FALSE)</f>
        <v>随分大胆な衣装のサンタだね…_x000D_プレゼントをくれるのかい？</v>
      </c>
      <c r="E491" s="46" t="str">
        <f ca="1">VLOOKUP($C491,OFFSET(enemy_skills!$A$1,0,0,COUNTA(enemy_skills!$A:$A),MATCH(E$1,enemy_skills!$1:$1,0)-MATCH("enemy_skill_id",enemy_skills!$1:$1,0)+1),MATCH(E$1,enemy_skills!$1:$1,0)-MATCH("enemy_skill_id",enemy_skills!$1:$1,0)+1,FALSE)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91" s="47">
        <v>47004915</v>
      </c>
      <c r="G491" s="48">
        <f ca="1">VLOOKUP($F491,OFFSET(enemy_skill_triggers!$A$1,0,0,COUNTA(enemy_skill_triggers!$A:$A),MATCH(G$1,enemy_skill_triggers!$1:$1,0)-MATCH($F$1,enemy_skill_triggers!$1:$1,0)+1),MATCH(G$1,enemy_skill_triggers!$1:$1,0)-MATCH($F$1,enemy_skill_triggers!$1:$1,0)+1,FALSE)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1" s="48">
        <f ca="1">VLOOKUP($F491,OFFSET(enemy_skill_triggers!$A$1,0,0,COUNTA(enemy_skill_triggers!$A:$A),MATCH(H$1,enemy_skill_triggers!$1:$1,0)-MATCH($F$1,enemy_skill_triggers!$1:$1,0)+1),MATCH(H$1,enemy_skill_triggers!$1:$1,0)-MATCH($F$1,enemy_skill_triggers!$1:$1,0)+1,FALSE)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491" s="48">
        <f ca="1">VLOOKUP($F491,OFFSET(enemy_skill_triggers!$A$1,0,0,COUNTA(enemy_skill_triggers!$A:$A),MATCH(I$1,enemy_skill_triggers!$1:$1,0)-MATCH($F$1,enemy_skill_triggers!$1:$1,0)+1),MATCH(I$1,enemy_skill_triggers!$1:$1,0)-MATCH($F$1,enemy_skill_triggers!$1:$1,0)+1,FALSE)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1" s="48" t="str">
        <f ca="1">VLOOKUP($F491,OFFSET(enemy_skill_triggers!$A$1,0,0,COUNTA(enemy_skill_triggers!$A:$A),MATCH(J$1,enemy_skill_triggers!$1:$1,0)-MATCH($F$1,enemy_skill_triggers!$1:$1,0)+1),MATCH(J$1,enemy_skill_triggers!$1:$1,0)-MATCH($F$1,enemy_skill_triggers!$1:$1,0)+1,FALSE)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1" s="48" t="str">
        <f ca="1">VLOOKUP($F491,OFFSET(enemy_skill_triggers!$A$1,0,0,COUNTA(enemy_skill_triggers!$A:$A),MATCH(K$1,enemy_skill_triggers!$1:$1,0)-MATCH($F$1,enemy_skill_triggers!$1:$1,0)+1),MATCH(K$1,enemy_skill_triggers!$1:$1,0)-MATCH($F$1,enemy_skill_triggers!$1:$1,0)+1,FALSE)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1" s="48">
        <f ca="1">VLOOKUP($F491,OFFSET(enemy_skill_triggers!$A$1,0,0,COUNTA(enemy_skill_triggers!$A:$A),MATCH(L$1,enemy_skill_triggers!$1:$1,0)-MATCH($F$1,enemy_skill_triggers!$1:$1,0)+1),MATCH(L$1,enemy_skill_triggers!$1:$1,0)-MATCH($F$1,enemy_skill_triggers!$1:$1,0)+1,FALSE)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1" s="48" t="str">
        <f ca="1">VLOOKUP($F491,OFFSET(enemy_skill_triggers!$A$1,0,0,COUNTA(enemy_skill_triggers!$A:$A),MATCH(M$1,enemy_skill_triggers!$1:$1,0)-MATCH($F$1,enemy_skill_triggers!$1:$1,0)+1),MATCH(M$1,enemy_skill_triggers!$1:$1,0)-MATCH($F$1,enemy_skill_triggers!$1:$1,0)+1,FALSE)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1" s="48">
        <f ca="1">VLOOKUP($F491,OFFSET(enemy_skill_triggers!$A$1,0,0,COUNTA(enemy_skill_triggers!$A:$A),MATCH(N$1,enemy_skill_triggers!$1:$1,0)-MATCH($F$1,enemy_skill_triggers!$1:$1,0)+1),MATCH(N$1,enemy_skill_triggers!$1:$1,0)-MATCH($F$1,enemy_skill_triggers!$1:$1,0)+1,FALSE)</f>
        <v>515</v>
      </c>
      <c r="O491" s="48">
        <f ca="1">VLOOKUP($F491,OFFSET(enemy_skill_triggers!$A$1,0,0,COUNTA(enemy_skill_triggers!$A:$A),MATCH(O$1,enemy_skill_triggers!$1:$1,0)-MATCH($F$1,enemy_skill_triggers!$1:$1,0)+1),MATCH(O$1,enemy_skill_triggers!$1:$1,0)-MATCH($F$1,enemy_skill_triggers!$1:$1,0)+1,FALSE)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1" s="47"/>
      <c r="Q491" s="47"/>
      <c r="R491" s="47"/>
    </row>
    <row r="492" spans="1:18" ht="21" customHeight="1" x14ac:dyDescent="0.15">
      <c r="A492" s="39" t="str">
        <f t="shared" si="38"/>
        <v>47004900_47004909</v>
      </c>
      <c r="B492" s="109">
        <v>47004900</v>
      </c>
      <c r="C492" s="47">
        <v>47004909</v>
      </c>
      <c r="D492" s="46" t="str">
        <f ca="1">VLOOKUP($C492,OFFSET(enemy_skills!$A$1,0,0,COUNTA(enemy_skills!$A:$A),MATCH(D$1,enemy_skills!$1:$1,0)-MATCH("enemy_skill_id",enemy_skills!$1:$1,0)+1),MATCH(D$1,enemy_skills!$1:$1,0)-MATCH("enemy_skill_id",enemy_skills!$1:$1,0)+1,FALSE)</f>
        <v>随分大胆な衣装のサンタだね…_x000D_プレゼントをくれるのかい？</v>
      </c>
      <c r="E492" s="46" t="str">
        <f ca="1">VLOOKUP($C492,OFFSET(enemy_skills!$A$1,0,0,COUNTA(enemy_skills!$A:$A),MATCH(E$1,enemy_skills!$1:$1,0)-MATCH("enemy_skill_id",enemy_skills!$1:$1,0)+1),MATCH(E$1,enemy_skills!$1:$1,0)-MATCH("enemy_skill_id",enemy_skills!$1:$1,0)+1,FALSE)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92" s="47">
        <v>47004916</v>
      </c>
      <c r="G492" s="48">
        <f ca="1">VLOOKUP($F492,OFFSET(enemy_skill_triggers!$A$1,0,0,COUNTA(enemy_skill_triggers!$A:$A),MATCH(G$1,enemy_skill_triggers!$1:$1,0)-MATCH($F$1,enemy_skill_triggers!$1:$1,0)+1),MATCH(G$1,enemy_skill_triggers!$1:$1,0)-MATCH($F$1,enemy_skill_triggers!$1:$1,0)+1,FALSE)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2" s="48">
        <f ca="1">VLOOKUP($F492,OFFSET(enemy_skill_triggers!$A$1,0,0,COUNTA(enemy_skill_triggers!$A:$A),MATCH(H$1,enemy_skill_triggers!$1:$1,0)-MATCH($F$1,enemy_skill_triggers!$1:$1,0)+1),MATCH(H$1,enemy_skill_triggers!$1:$1,0)-MATCH($F$1,enemy_skill_triggers!$1:$1,0)+1,FALSE)</f>
        <v>222</v>
      </c>
      <c r="I492" s="48">
        <f ca="1">VLOOKUP($F492,OFFSET(enemy_skill_triggers!$A$1,0,0,COUNTA(enemy_skill_triggers!$A:$A),MATCH(I$1,enemy_skill_triggers!$1:$1,0)-MATCH($F$1,enemy_skill_triggers!$1:$1,0)+1),MATCH(I$1,enemy_skill_triggers!$1:$1,0)-MATCH($F$1,enemy_skill_triggers!$1:$1,0)+1,FALSE)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2" s="48" t="str">
        <f ca="1">VLOOKUP($F492,OFFSET(enemy_skill_triggers!$A$1,0,0,COUNTA(enemy_skill_triggers!$A:$A),MATCH(J$1,enemy_skill_triggers!$1:$1,0)-MATCH($F$1,enemy_skill_triggers!$1:$1,0)+1),MATCH(J$1,enemy_skill_triggers!$1:$1,0)-MATCH($F$1,enemy_skill_triggers!$1:$1,0)+1,FALSE)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2" s="48" t="str">
        <f ca="1">VLOOKUP($F492,OFFSET(enemy_skill_triggers!$A$1,0,0,COUNTA(enemy_skill_triggers!$A:$A),MATCH(K$1,enemy_skill_triggers!$1:$1,0)-MATCH($F$1,enemy_skill_triggers!$1:$1,0)+1),MATCH(K$1,enemy_skill_triggers!$1:$1,0)-MATCH($F$1,enemy_skill_triggers!$1:$1,0)+1,FALSE)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2" s="48">
        <f ca="1">VLOOKUP($F492,OFFSET(enemy_skill_triggers!$A$1,0,0,COUNTA(enemy_skill_triggers!$A:$A),MATCH(L$1,enemy_skill_triggers!$1:$1,0)-MATCH($F$1,enemy_skill_triggers!$1:$1,0)+1),MATCH(L$1,enemy_skill_triggers!$1:$1,0)-MATCH($F$1,enemy_skill_triggers!$1:$1,0)+1,FALSE)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2" s="48" t="str">
        <f ca="1">VLOOKUP($F492,OFFSET(enemy_skill_triggers!$A$1,0,0,COUNTA(enemy_skill_triggers!$A:$A),MATCH(M$1,enemy_skill_triggers!$1:$1,0)-MATCH($F$1,enemy_skill_triggers!$1:$1,0)+1),MATCH(M$1,enemy_skill_triggers!$1:$1,0)-MATCH($F$1,enemy_skill_triggers!$1:$1,0)+1,FALSE)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2" s="48">
        <f ca="1">VLOOKUP($F492,OFFSET(enemy_skill_triggers!$A$1,0,0,COUNTA(enemy_skill_triggers!$A:$A),MATCH(N$1,enemy_skill_triggers!$1:$1,0)-MATCH($F$1,enemy_skill_triggers!$1:$1,0)+1),MATCH(N$1,enemy_skill_triggers!$1:$1,0)-MATCH($F$1,enemy_skill_triggers!$1:$1,0)+1,FALSE)</f>
        <v>1276</v>
      </c>
      <c r="O492" s="48">
        <f ca="1">VLOOKUP($F492,OFFSET(enemy_skill_triggers!$A$1,0,0,COUNTA(enemy_skill_triggers!$A:$A),MATCH(O$1,enemy_skill_triggers!$1:$1,0)-MATCH($F$1,enemy_skill_triggers!$1:$1,0)+1),MATCH(O$1,enemy_skill_triggers!$1:$1,0)-MATCH($F$1,enemy_skill_triggers!$1:$1,0)+1,FALSE)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2" s="47"/>
      <c r="Q492" s="47"/>
      <c r="R492" s="47"/>
    </row>
    <row r="493" spans="1:18" ht="21" customHeight="1" x14ac:dyDescent="0.15">
      <c r="A493" s="39" t="str">
        <f t="shared" si="38"/>
        <v>47004900_47004910</v>
      </c>
      <c r="B493" s="109">
        <v>47004900</v>
      </c>
      <c r="C493" s="47">
        <v>47004910</v>
      </c>
      <c r="D493" s="46" t="str">
        <f ca="1">VLOOKUP($C493,OFFSET(enemy_skills!$A$1,0,0,COUNTA(enemy_skills!$A:$A),MATCH(D$1,enemy_skills!$1:$1,0)-MATCH("enemy_skill_id",enemy_skills!$1:$1,0)+1),MATCH(D$1,enemy_skills!$1:$1,0)-MATCH("enemy_skill_id",enemy_skills!$1:$1,0)+1,FALSE)</f>
        <v>その君の熱さで僕の凍った心…_x000D_溶かすことができるかい？</v>
      </c>
      <c r="E493" s="46" t="str">
        <f ca="1">VLOOKUP($C493,OFFSET(enemy_skills!$A$1,0,0,COUNTA(enemy_skills!$A:$A),MATCH(E$1,enemy_skills!$1:$1,0)-MATCH("enemy_skill_id",enemy_skills!$1:$1,0)+1),MATCH(E$1,enemy_skills!$1:$1,0)-MATCH("enemy_skill_id",enemy_skills!$1:$1,0)+1,FALSE)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93" s="47">
        <v>47004917</v>
      </c>
      <c r="G493" s="48">
        <f ca="1">VLOOKUP($F493,OFFSET(enemy_skill_triggers!$A$1,0,0,COUNTA(enemy_skill_triggers!$A:$A),MATCH(G$1,enemy_skill_triggers!$1:$1,0)-MATCH($F$1,enemy_skill_triggers!$1:$1,0)+1),MATCH(G$1,enemy_skill_triggers!$1:$1,0)-MATCH($F$1,enemy_skill_triggers!$1:$1,0)+1,FALSE)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3" s="48">
        <f ca="1">VLOOKUP($F493,OFFSET(enemy_skill_triggers!$A$1,0,0,COUNTA(enemy_skill_triggers!$A:$A),MATCH(H$1,enemy_skill_triggers!$1:$1,0)-MATCH($F$1,enemy_skill_triggers!$1:$1,0)+1),MATCH(H$1,enemy_skill_triggers!$1:$1,0)-MATCH($F$1,enemy_skill_triggers!$1:$1,0)+1,FALSE)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493" s="48">
        <f ca="1">VLOOKUP($F493,OFFSET(enemy_skill_triggers!$A$1,0,0,COUNTA(enemy_skill_triggers!$A:$A),MATCH(I$1,enemy_skill_triggers!$1:$1,0)-MATCH($F$1,enemy_skill_triggers!$1:$1,0)+1),MATCH(I$1,enemy_skill_triggers!$1:$1,0)-MATCH($F$1,enemy_skill_triggers!$1:$1,0)+1,FALSE)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3" s="48" t="str">
        <f ca="1">VLOOKUP($F493,OFFSET(enemy_skill_triggers!$A$1,0,0,COUNTA(enemy_skill_triggers!$A:$A),MATCH(J$1,enemy_skill_triggers!$1:$1,0)-MATCH($F$1,enemy_skill_triggers!$1:$1,0)+1),MATCH(J$1,enemy_skill_triggers!$1:$1,0)-MATCH($F$1,enemy_skill_triggers!$1:$1,0)+1,FALSE)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3" s="48" t="str">
        <f ca="1">VLOOKUP($F493,OFFSET(enemy_skill_triggers!$A$1,0,0,COUNTA(enemy_skill_triggers!$A:$A),MATCH(K$1,enemy_skill_triggers!$1:$1,0)-MATCH($F$1,enemy_skill_triggers!$1:$1,0)+1),MATCH(K$1,enemy_skill_triggers!$1:$1,0)-MATCH($F$1,enemy_skill_triggers!$1:$1,0)+1,FALSE)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3" s="48">
        <f ca="1">VLOOKUP($F493,OFFSET(enemy_skill_triggers!$A$1,0,0,COUNTA(enemy_skill_triggers!$A:$A),MATCH(L$1,enemy_skill_triggers!$1:$1,0)-MATCH($F$1,enemy_skill_triggers!$1:$1,0)+1),MATCH(L$1,enemy_skill_triggers!$1:$1,0)-MATCH($F$1,enemy_skill_triggers!$1:$1,0)+1,FALSE)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3" s="48" t="str">
        <f ca="1">VLOOKUP($F493,OFFSET(enemy_skill_triggers!$A$1,0,0,COUNTA(enemy_skill_triggers!$A:$A),MATCH(M$1,enemy_skill_triggers!$1:$1,0)-MATCH($F$1,enemy_skill_triggers!$1:$1,0)+1),MATCH(M$1,enemy_skill_triggers!$1:$1,0)-MATCH($F$1,enemy_skill_triggers!$1:$1,0)+1,FALSE)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3" s="48">
        <f ca="1">VLOOKUP($F493,OFFSET(enemy_skill_triggers!$A$1,0,0,COUNTA(enemy_skill_triggers!$A:$A),MATCH(N$1,enemy_skill_triggers!$1:$1,0)-MATCH($F$1,enemy_skill_triggers!$1:$1,0)+1),MATCH(N$1,enemy_skill_triggers!$1:$1,0)-MATCH($F$1,enemy_skill_triggers!$1:$1,0)+1,FALSE)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493" s="48">
        <f ca="1">VLOOKUP($F493,OFFSET(enemy_skill_triggers!$A$1,0,0,COUNTA(enemy_skill_triggers!$A:$A),MATCH(O$1,enemy_skill_triggers!$1:$1,0)-MATCH($F$1,enemy_skill_triggers!$1:$1,0)+1),MATCH(O$1,enemy_skill_triggers!$1:$1,0)-MATCH($F$1,enemy_skill_triggers!$1:$1,0)+1,FALSE)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3" s="47"/>
      <c r="Q493" s="47"/>
      <c r="R493" s="47"/>
    </row>
    <row r="494" spans="1:18" ht="21" customHeight="1" x14ac:dyDescent="0.15">
      <c r="A494" s="39" t="str">
        <f t="shared" si="38"/>
        <v>47004900_47004910</v>
      </c>
      <c r="B494" s="109">
        <v>47004900</v>
      </c>
      <c r="C494" s="47">
        <v>47004910</v>
      </c>
      <c r="D494" s="46" t="str">
        <f ca="1">VLOOKUP($C494,OFFSET(enemy_skills!$A$1,0,0,COUNTA(enemy_skills!$A:$A),MATCH(D$1,enemy_skills!$1:$1,0)-MATCH("enemy_skill_id",enemy_skills!$1:$1,0)+1),MATCH(D$1,enemy_skills!$1:$1,0)-MATCH("enemy_skill_id",enemy_skills!$1:$1,0)+1,FALSE)</f>
        <v>その君の熱さで僕の凍った心…_x000D_溶かすことができるかい？</v>
      </c>
      <c r="E494" s="46" t="str">
        <f ca="1">VLOOKUP($C494,OFFSET(enemy_skills!$A$1,0,0,COUNTA(enemy_skills!$A:$A),MATCH(E$1,enemy_skills!$1:$1,0)-MATCH("enemy_skill_id",enemy_skills!$1:$1,0)+1),MATCH(E$1,enemy_skills!$1:$1,0)-MATCH("enemy_skill_id",enemy_skills!$1:$1,0)+1,FALSE)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94" s="47">
        <v>47004918</v>
      </c>
      <c r="G494" s="48">
        <f ca="1">VLOOKUP($F494,OFFSET(enemy_skill_triggers!$A$1,0,0,COUNTA(enemy_skill_triggers!$A:$A),MATCH(G$1,enemy_skill_triggers!$1:$1,0)-MATCH($F$1,enemy_skill_triggers!$1:$1,0)+1),MATCH(G$1,enemy_skill_triggers!$1:$1,0)-MATCH($F$1,enemy_skill_triggers!$1:$1,0)+1,FALSE)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4" s="48">
        <f ca="1">VLOOKUP($F494,OFFSET(enemy_skill_triggers!$A$1,0,0,COUNTA(enemy_skill_triggers!$A:$A),MATCH(H$1,enemy_skill_triggers!$1:$1,0)-MATCH($F$1,enemy_skill_triggers!$1:$1,0)+1),MATCH(H$1,enemy_skill_triggers!$1:$1,0)-MATCH($F$1,enemy_skill_triggers!$1:$1,0)+1,FALSE)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494" s="48">
        <f ca="1">VLOOKUP($F494,OFFSET(enemy_skill_triggers!$A$1,0,0,COUNTA(enemy_skill_triggers!$A:$A),MATCH(I$1,enemy_skill_triggers!$1:$1,0)-MATCH($F$1,enemy_skill_triggers!$1:$1,0)+1),MATCH(I$1,enemy_skill_triggers!$1:$1,0)-MATCH($F$1,enemy_skill_triggers!$1:$1,0)+1,FALSE)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4" s="48" t="str">
        <f ca="1">VLOOKUP($F494,OFFSET(enemy_skill_triggers!$A$1,0,0,COUNTA(enemy_skill_triggers!$A:$A),MATCH(J$1,enemy_skill_triggers!$1:$1,0)-MATCH($F$1,enemy_skill_triggers!$1:$1,0)+1),MATCH(J$1,enemy_skill_triggers!$1:$1,0)-MATCH($F$1,enemy_skill_triggers!$1:$1,0)+1,FALSE)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4" s="48" t="str">
        <f ca="1">VLOOKUP($F494,OFFSET(enemy_skill_triggers!$A$1,0,0,COUNTA(enemy_skill_triggers!$A:$A),MATCH(K$1,enemy_skill_triggers!$1:$1,0)-MATCH($F$1,enemy_skill_triggers!$1:$1,0)+1),MATCH(K$1,enemy_skill_triggers!$1:$1,0)-MATCH($F$1,enemy_skill_triggers!$1:$1,0)+1,FALSE)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4" s="48">
        <f ca="1">VLOOKUP($F494,OFFSET(enemy_skill_triggers!$A$1,0,0,COUNTA(enemy_skill_triggers!$A:$A),MATCH(L$1,enemy_skill_triggers!$1:$1,0)-MATCH($F$1,enemy_skill_triggers!$1:$1,0)+1),MATCH(L$1,enemy_skill_triggers!$1:$1,0)-MATCH($F$1,enemy_skill_triggers!$1:$1,0)+1,FALSE)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4" s="48" t="str">
        <f ca="1">VLOOKUP($F494,OFFSET(enemy_skill_triggers!$A$1,0,0,COUNTA(enemy_skill_triggers!$A:$A),MATCH(M$1,enemy_skill_triggers!$1:$1,0)-MATCH($F$1,enemy_skill_triggers!$1:$1,0)+1),MATCH(M$1,enemy_skill_triggers!$1:$1,0)-MATCH($F$1,enemy_skill_triggers!$1:$1,0)+1,FALSE)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4" s="48">
        <f ca="1">VLOOKUP($F494,OFFSET(enemy_skill_triggers!$A$1,0,0,COUNTA(enemy_skill_triggers!$A:$A),MATCH(N$1,enemy_skill_triggers!$1:$1,0)-MATCH($F$1,enemy_skill_triggers!$1:$1,0)+1),MATCH(N$1,enemy_skill_triggers!$1:$1,0)-MATCH($F$1,enemy_skill_triggers!$1:$1,0)+1,FALSE)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494" s="48">
        <f ca="1">VLOOKUP($F494,OFFSET(enemy_skill_triggers!$A$1,0,0,COUNTA(enemy_skill_triggers!$A:$A),MATCH(O$1,enemy_skill_triggers!$1:$1,0)-MATCH($F$1,enemy_skill_triggers!$1:$1,0)+1),MATCH(O$1,enemy_skill_triggers!$1:$1,0)-MATCH($F$1,enemy_skill_triggers!$1:$1,0)+1,FALSE)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4" s="47"/>
      <c r="Q494" s="47"/>
      <c r="R494" s="47"/>
    </row>
    <row r="495" spans="1:18" ht="21" customHeight="1" x14ac:dyDescent="0.15">
      <c r="A495" s="39" t="str">
        <f t="shared" si="38"/>
        <v>47004900_47004910</v>
      </c>
      <c r="B495" s="109">
        <v>47004900</v>
      </c>
      <c r="C495" s="47">
        <v>47004910</v>
      </c>
      <c r="D495" s="46" t="str">
        <f ca="1">VLOOKUP($C495,OFFSET(enemy_skills!$A$1,0,0,COUNTA(enemy_skills!$A:$A),MATCH(D$1,enemy_skills!$1:$1,0)-MATCH("enemy_skill_id",enemy_skills!$1:$1,0)+1),MATCH(D$1,enemy_skills!$1:$1,0)-MATCH("enemy_skill_id",enemy_skills!$1:$1,0)+1,FALSE)</f>
        <v>その君の熱さで僕の凍った心…_x000D_溶かすことができるかい？</v>
      </c>
      <c r="E495" s="46" t="str">
        <f ca="1">VLOOKUP($C495,OFFSET(enemy_skills!$A$1,0,0,COUNTA(enemy_skills!$A:$A),MATCH(E$1,enemy_skills!$1:$1,0)-MATCH("enemy_skill_id",enemy_skills!$1:$1,0)+1),MATCH(E$1,enemy_skills!$1:$1,0)-MATCH("enemy_skill_id",enemy_skills!$1:$1,0)+1,FALSE)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95" s="47">
        <v>47004919</v>
      </c>
      <c r="G495" s="48">
        <f ca="1">VLOOKUP($F495,OFFSET(enemy_skill_triggers!$A$1,0,0,COUNTA(enemy_skill_triggers!$A:$A),MATCH(G$1,enemy_skill_triggers!$1:$1,0)-MATCH($F$1,enemy_skill_triggers!$1:$1,0)+1),MATCH(G$1,enemy_skill_triggers!$1:$1,0)-MATCH($F$1,enemy_skill_triggers!$1:$1,0)+1,FALSE)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5" s="48">
        <f ca="1">VLOOKUP($F495,OFFSET(enemy_skill_triggers!$A$1,0,0,COUNTA(enemy_skill_triggers!$A:$A),MATCH(H$1,enemy_skill_triggers!$1:$1,0)-MATCH($F$1,enemy_skill_triggers!$1:$1,0)+1),MATCH(H$1,enemy_skill_triggers!$1:$1,0)-MATCH($F$1,enemy_skill_triggers!$1:$1,0)+1,FALSE)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495" s="48">
        <f ca="1">VLOOKUP($F495,OFFSET(enemy_skill_triggers!$A$1,0,0,COUNTA(enemy_skill_triggers!$A:$A),MATCH(I$1,enemy_skill_triggers!$1:$1,0)-MATCH($F$1,enemy_skill_triggers!$1:$1,0)+1),MATCH(I$1,enemy_skill_triggers!$1:$1,0)-MATCH($F$1,enemy_skill_triggers!$1:$1,0)+1,FALSE)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5" s="48" t="str">
        <f ca="1">VLOOKUP($F495,OFFSET(enemy_skill_triggers!$A$1,0,0,COUNTA(enemy_skill_triggers!$A:$A),MATCH(J$1,enemy_skill_triggers!$1:$1,0)-MATCH($F$1,enemy_skill_triggers!$1:$1,0)+1),MATCH(J$1,enemy_skill_triggers!$1:$1,0)-MATCH($F$1,enemy_skill_triggers!$1:$1,0)+1,FALSE)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5" s="48" t="str">
        <f ca="1">VLOOKUP($F495,OFFSET(enemy_skill_triggers!$A$1,0,0,COUNTA(enemy_skill_triggers!$A:$A),MATCH(K$1,enemy_skill_triggers!$1:$1,0)-MATCH($F$1,enemy_skill_triggers!$1:$1,0)+1),MATCH(K$1,enemy_skill_triggers!$1:$1,0)-MATCH($F$1,enemy_skill_triggers!$1:$1,0)+1,FALSE)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5" s="48">
        <f ca="1">VLOOKUP($F495,OFFSET(enemy_skill_triggers!$A$1,0,0,COUNTA(enemy_skill_triggers!$A:$A),MATCH(L$1,enemy_skill_triggers!$1:$1,0)-MATCH($F$1,enemy_skill_triggers!$1:$1,0)+1),MATCH(L$1,enemy_skill_triggers!$1:$1,0)-MATCH($F$1,enemy_skill_triggers!$1:$1,0)+1,FALSE)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5" s="48" t="str">
        <f ca="1">VLOOKUP($F495,OFFSET(enemy_skill_triggers!$A$1,0,0,COUNTA(enemy_skill_triggers!$A:$A),MATCH(M$1,enemy_skill_triggers!$1:$1,0)-MATCH($F$1,enemy_skill_triggers!$1:$1,0)+1),MATCH(M$1,enemy_skill_triggers!$1:$1,0)-MATCH($F$1,enemy_skill_triggers!$1:$1,0)+1,FALSE)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5" s="48">
        <f ca="1">VLOOKUP($F495,OFFSET(enemy_skill_triggers!$A$1,0,0,COUNTA(enemy_skill_triggers!$A:$A),MATCH(N$1,enemy_skill_triggers!$1:$1,0)-MATCH($F$1,enemy_skill_triggers!$1:$1,0)+1),MATCH(N$1,enemy_skill_triggers!$1:$1,0)-MATCH($F$1,enemy_skill_triggers!$1:$1,0)+1,FALSE)</f>
        <v>1275</v>
      </c>
      <c r="O495" s="48">
        <f ca="1">VLOOKUP($F495,OFFSET(enemy_skill_triggers!$A$1,0,0,COUNTA(enemy_skill_triggers!$A:$A),MATCH(O$1,enemy_skill_triggers!$1:$1,0)-MATCH($F$1,enemy_skill_triggers!$1:$1,0)+1),MATCH(O$1,enemy_skill_triggers!$1:$1,0)-MATCH($F$1,enemy_skill_triggers!$1:$1,0)+1,FALSE)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5" s="47"/>
      <c r="Q495" s="47"/>
      <c r="R495" s="47"/>
    </row>
    <row r="496" spans="1:18" ht="21" customHeight="1" x14ac:dyDescent="0.15">
      <c r="A496" s="39" t="str">
        <f t="shared" ref="A496:A497" si="41">B496&amp;"_"&amp;C496</f>
        <v>47004900_47004911</v>
      </c>
      <c r="B496" s="109">
        <v>47004900</v>
      </c>
      <c r="C496" s="47">
        <v>47004911</v>
      </c>
      <c r="D496" s="46" t="str">
        <f ca="1">VLOOKUP($C496,OFFSET(enemy_skills!$A$1,0,0,COUNTA(enemy_skills!$A:$A),MATCH(D$1,enemy_skills!$1:$1,0)-MATCH("enemy_skill_id",enemy_skills!$1:$1,0)+1),MATCH(D$1,enemy_skills!$1:$1,0)-MATCH("enemy_skill_id",enemy_skills!$1:$1,0)+1,FALSE)</f>
        <v>エスタブかい…？_x000D_君には憧れるよ…色々と…</v>
      </c>
      <c r="E496" s="46" t="str">
        <f ca="1">VLOOKUP($C496,OFFSET(enemy_skills!$A$1,0,0,COUNTA(enemy_skills!$A:$A),MATCH(E$1,enemy_skills!$1:$1,0)-MATCH("enemy_skill_id",enemy_skills!$1:$1,0)+1),MATCH(E$1,enemy_skills!$1:$1,0)-MATCH("enemy_skill_id",enemy_skills!$1:$1,0)+1,FALSE)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96" s="47">
        <v>47004920</v>
      </c>
      <c r="G496" s="48">
        <f ca="1">VLOOKUP($F496,OFFSET(enemy_skill_triggers!$A$1,0,0,COUNTA(enemy_skill_triggers!$A:$A),MATCH(G$1,enemy_skill_triggers!$1:$1,0)-MATCH($F$1,enemy_skill_triggers!$1:$1,0)+1),MATCH(G$1,enemy_skill_triggers!$1:$1,0)-MATCH($F$1,enemy_skill_triggers!$1:$1,0)+1,FALSE)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6" s="48">
        <f ca="1">VLOOKUP($F496,OFFSET(enemy_skill_triggers!$A$1,0,0,COUNTA(enemy_skill_triggers!$A:$A),MATCH(H$1,enemy_skill_triggers!$1:$1,0)-MATCH($F$1,enemy_skill_triggers!$1:$1,0)+1),MATCH(H$1,enemy_skill_triggers!$1:$1,0)-MATCH($F$1,enemy_skill_triggers!$1:$1,0)+1,FALSE)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496" s="48">
        <f ca="1">VLOOKUP($F496,OFFSET(enemy_skill_triggers!$A$1,0,0,COUNTA(enemy_skill_triggers!$A:$A),MATCH(I$1,enemy_skill_triggers!$1:$1,0)-MATCH($F$1,enemy_skill_triggers!$1:$1,0)+1),MATCH(I$1,enemy_skill_triggers!$1:$1,0)-MATCH($F$1,enemy_skill_triggers!$1:$1,0)+1,FALSE)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6" s="48" t="str">
        <f ca="1">VLOOKUP($F496,OFFSET(enemy_skill_triggers!$A$1,0,0,COUNTA(enemy_skill_triggers!$A:$A),MATCH(J$1,enemy_skill_triggers!$1:$1,0)-MATCH($F$1,enemy_skill_triggers!$1:$1,0)+1),MATCH(J$1,enemy_skill_triggers!$1:$1,0)-MATCH($F$1,enemy_skill_triggers!$1:$1,0)+1,FALSE)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6" s="48" t="str">
        <f ca="1">VLOOKUP($F496,OFFSET(enemy_skill_triggers!$A$1,0,0,COUNTA(enemy_skill_triggers!$A:$A),MATCH(K$1,enemy_skill_triggers!$1:$1,0)-MATCH($F$1,enemy_skill_triggers!$1:$1,0)+1),MATCH(K$1,enemy_skill_triggers!$1:$1,0)-MATCH($F$1,enemy_skill_triggers!$1:$1,0)+1,FALSE)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6" s="48">
        <f ca="1">VLOOKUP($F496,OFFSET(enemy_skill_triggers!$A$1,0,0,COUNTA(enemy_skill_triggers!$A:$A),MATCH(L$1,enemy_skill_triggers!$1:$1,0)-MATCH($F$1,enemy_skill_triggers!$1:$1,0)+1),MATCH(L$1,enemy_skill_triggers!$1:$1,0)-MATCH($F$1,enemy_skill_triggers!$1:$1,0)+1,FALSE)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6" s="48" t="str">
        <f ca="1">VLOOKUP($F496,OFFSET(enemy_skill_triggers!$A$1,0,0,COUNTA(enemy_skill_triggers!$A:$A),MATCH(M$1,enemy_skill_triggers!$1:$1,0)-MATCH($F$1,enemy_skill_triggers!$1:$1,0)+1),MATCH(M$1,enemy_skill_triggers!$1:$1,0)-MATCH($F$1,enemy_skill_triggers!$1:$1,0)+1,FALSE)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6" s="48">
        <f ca="1">VLOOKUP($F496,OFFSET(enemy_skill_triggers!$A$1,0,0,COUNTA(enemy_skill_triggers!$A:$A),MATCH(N$1,enemy_skill_triggers!$1:$1,0)-MATCH($F$1,enemy_skill_triggers!$1:$1,0)+1),MATCH(N$1,enemy_skill_triggers!$1:$1,0)-MATCH($F$1,enemy_skill_triggers!$1:$1,0)+1,FALSE)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496" s="48">
        <f ca="1">VLOOKUP($F496,OFFSET(enemy_skill_triggers!$A$1,0,0,COUNTA(enemy_skill_triggers!$A:$A),MATCH(O$1,enemy_skill_triggers!$1:$1,0)-MATCH($F$1,enemy_skill_triggers!$1:$1,0)+1),MATCH(O$1,enemy_skill_triggers!$1:$1,0)-MATCH($F$1,enemy_skill_triggers!$1:$1,0)+1,FALSE)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6" s="47"/>
      <c r="Q496" s="47"/>
      <c r="R496" s="47"/>
    </row>
    <row r="497" spans="1:18" ht="21" customHeight="1" x14ac:dyDescent="0.15">
      <c r="A497" s="39" t="str">
        <f t="shared" si="41"/>
        <v>47004900_47004912</v>
      </c>
      <c r="B497" s="109">
        <v>47004900</v>
      </c>
      <c r="C497" s="47">
        <v>47004912</v>
      </c>
      <c r="D497" s="46" t="str">
        <f ca="1">VLOOKUP($C497,OFFSET(enemy_skills!$A$1,0,0,COUNTA(enemy_skills!$A:$A),MATCH(D$1,enemy_skills!$1:$1,0)-MATCH("enemy_skill_id",enemy_skills!$1:$1,0)+1),MATCH(D$1,enemy_skills!$1:$1,0)-MATCH("enemy_skill_id",enemy_skills!$1:$1,0)+1,FALSE)</f>
        <v>卑弥呼かい…？_x000D_僕をどうするんだい…？</v>
      </c>
      <c r="E497" s="46" t="str">
        <f ca="1">VLOOKUP($C497,OFFSET(enemy_skills!$A$1,0,0,COUNTA(enemy_skills!$A:$A),MATCH(E$1,enemy_skills!$1:$1,0)-MATCH("enemy_skill_id",enemy_skills!$1:$1,0)+1),MATCH(E$1,enemy_skills!$1:$1,0)-MATCH("enemy_skill_id",enemy_skills!$1:$1,0)+1,FALSE)</f>
        <v>ハートパネルドロップ率DOWN</v>
      </c>
      <c r="F497" s="47">
        <v>47004921</v>
      </c>
      <c r="G497" s="48">
        <f ca="1">VLOOKUP($F497,OFFSET(enemy_skill_triggers!$A$1,0,0,COUNTA(enemy_skill_triggers!$A:$A),MATCH(G$1,enemy_skill_triggers!$1:$1,0)-MATCH($F$1,enemy_skill_triggers!$1:$1,0)+1),MATCH(G$1,enemy_skill_triggers!$1:$1,0)-MATCH($F$1,enemy_skill_triggers!$1:$1,0)+1,FALSE)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7" s="48">
        <f ca="1">VLOOKUP($F497,OFFSET(enemy_skill_triggers!$A$1,0,0,COUNTA(enemy_skill_triggers!$A:$A),MATCH(H$1,enemy_skill_triggers!$1:$1,0)-MATCH($F$1,enemy_skill_triggers!$1:$1,0)+1),MATCH(H$1,enemy_skill_triggers!$1:$1,0)-MATCH($F$1,enemy_skill_triggers!$1:$1,0)+1,FALSE)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497" s="48">
        <f ca="1">VLOOKUP($F497,OFFSET(enemy_skill_triggers!$A$1,0,0,COUNTA(enemy_skill_triggers!$A:$A),MATCH(I$1,enemy_skill_triggers!$1:$1,0)-MATCH($F$1,enemy_skill_triggers!$1:$1,0)+1),MATCH(I$1,enemy_skill_triggers!$1:$1,0)-MATCH($F$1,enemy_skill_triggers!$1:$1,0)+1,FALSE)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7" s="48" t="str">
        <f ca="1">VLOOKUP($F497,OFFSET(enemy_skill_triggers!$A$1,0,0,COUNTA(enemy_skill_triggers!$A:$A),MATCH(J$1,enemy_skill_triggers!$1:$1,0)-MATCH($F$1,enemy_skill_triggers!$1:$1,0)+1),MATCH(J$1,enemy_skill_triggers!$1:$1,0)-MATCH($F$1,enemy_skill_triggers!$1:$1,0)+1,FALSE)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7" s="48" t="str">
        <f ca="1">VLOOKUP($F497,OFFSET(enemy_skill_triggers!$A$1,0,0,COUNTA(enemy_skill_triggers!$A:$A),MATCH(K$1,enemy_skill_triggers!$1:$1,0)-MATCH($F$1,enemy_skill_triggers!$1:$1,0)+1),MATCH(K$1,enemy_skill_triggers!$1:$1,0)-MATCH($F$1,enemy_skill_triggers!$1:$1,0)+1,FALSE)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7" s="48">
        <f ca="1">VLOOKUP($F497,OFFSET(enemy_skill_triggers!$A$1,0,0,COUNTA(enemy_skill_triggers!$A:$A),MATCH(L$1,enemy_skill_triggers!$1:$1,0)-MATCH($F$1,enemy_skill_triggers!$1:$1,0)+1),MATCH(L$1,enemy_skill_triggers!$1:$1,0)-MATCH($F$1,enemy_skill_triggers!$1:$1,0)+1,FALSE)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7" s="48" t="str">
        <f ca="1">VLOOKUP($F497,OFFSET(enemy_skill_triggers!$A$1,0,0,COUNTA(enemy_skill_triggers!$A:$A),MATCH(M$1,enemy_skill_triggers!$1:$1,0)-MATCH($F$1,enemy_skill_triggers!$1:$1,0)+1),MATCH(M$1,enemy_skill_triggers!$1:$1,0)-MATCH($F$1,enemy_skill_triggers!$1:$1,0)+1,FALSE)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7" s="48">
        <f ca="1">VLOOKUP($F497,OFFSET(enemy_skill_triggers!$A$1,0,0,COUNTA(enemy_skill_triggers!$A:$A),MATCH(N$1,enemy_skill_triggers!$1:$1,0)-MATCH($F$1,enemy_skill_triggers!$1:$1,0)+1),MATCH(N$1,enemy_skill_triggers!$1:$1,0)-MATCH($F$1,enemy_skill_triggers!$1:$1,0)+1,FALSE)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497" s="48">
        <f ca="1">VLOOKUP($F497,OFFSET(enemy_skill_triggers!$A$1,0,0,COUNTA(enemy_skill_triggers!$A:$A),MATCH(O$1,enemy_skill_triggers!$1:$1,0)-MATCH($F$1,enemy_skill_triggers!$1:$1,0)+1),MATCH(O$1,enemy_skill_triggers!$1:$1,0)-MATCH($F$1,enemy_skill_triggers!$1:$1,0)+1,FALSE)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7" s="47"/>
      <c r="Q497" s="47"/>
      <c r="R497" s="47"/>
    </row>
    <row r="498" spans="1:18" ht="21" customHeight="1" x14ac:dyDescent="0.15">
      <c r="A498" s="39" t="str">
        <f t="shared" ref="A498" si="42">B498&amp;"_"&amp;C498</f>
        <v>47004930_47004931</v>
      </c>
      <c r="B498" s="109">
        <v>47004930</v>
      </c>
      <c r="C498" s="110">
        <v>47004931</v>
      </c>
      <c r="D498" s="46" t="str">
        <f ca="1">VLOOKUP($C498,OFFSET(enemy_skills!$A$1,0,0,COUNTA(enemy_skills!$A:$A),MATCH(D$1,enemy_skills!$1:$1,0)-MATCH("enemy_skill_id",enemy_skills!$1:$1,0)+1),MATCH(D$1,enemy_skills!$1:$1,0)-MATCH("enemy_skill_id",enemy_skills!$1:$1,0)+1,FALSE)</f>
        <v>いい加減にしてくれないかな…</v>
      </c>
      <c r="E498" s="46" t="str">
        <f ca="1">VLOOKUP($C498,OFFSET(enemy_skills!$A$1,0,0,COUNTA(enemy_skills!$A:$A),MATCH(E$1,enemy_skills!$1:$1,0)-MATCH("enemy_skill_id",enemy_skills!$1:$1,0)+1),MATCH(E$1,enemy_skills!$1:$1,0)-MATCH("enemy_skill_id",enemy_skills!$1:$1,0)+1,FALSE)</f>
        <v>マシン・シュプールの姿に亀裂が入り出している_x000D_【状態異常耐性+_x000D_　5ターン全ユニットのタップ回数を2DOWN】</v>
      </c>
      <c r="F498" s="110">
        <v>47004931</v>
      </c>
      <c r="G498" s="48">
        <f ca="1">VLOOKUP($F498,OFFSET(enemy_skill_triggers!$A$1,0,0,COUNTA(enemy_skill_triggers!$A:$A),MATCH(G$1,enemy_skill_triggers!$1:$1,0)-MATCH($F$1,enemy_skill_triggers!$1:$1,0)+1),MATCH(G$1,enemy_skill_triggers!$1:$1,0)-MATCH($F$1,enemy_skill_triggers!$1:$1,0)+1,FALSE)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8" s="48">
        <f ca="1">VLOOKUP($F498,OFFSET(enemy_skill_triggers!$A$1,0,0,COUNTA(enemy_skill_triggers!$A:$A),MATCH(H$1,enemy_skill_triggers!$1:$1,0)-MATCH($F$1,enemy_skill_triggers!$1:$1,0)+1),MATCH(H$1,enemy_skill_triggers!$1:$1,0)-MATCH($F$1,enemy_skill_triggers!$1:$1,0)+1,FALSE)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8" s="48">
        <f ca="1">VLOOKUP($F498,OFFSET(enemy_skill_triggers!$A$1,0,0,COUNTA(enemy_skill_triggers!$A:$A),MATCH(I$1,enemy_skill_triggers!$1:$1,0)-MATCH($F$1,enemy_skill_triggers!$1:$1,0)+1),MATCH(I$1,enemy_skill_triggers!$1:$1,0)-MATCH($F$1,enemy_skill_triggers!$1:$1,0)+1,FALSE)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8" s="48" t="str">
        <f ca="1">VLOOKUP($F498,OFFSET(enemy_skill_triggers!$A$1,0,0,COUNTA(enemy_skill_triggers!$A:$A),MATCH(J$1,enemy_skill_triggers!$1:$1,0)-MATCH($F$1,enemy_skill_triggers!$1:$1,0)+1),MATCH(J$1,enemy_skill_triggers!$1:$1,0)-MATCH($F$1,enemy_skill_triggers!$1:$1,0)+1,FALSE)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8" s="48" t="str">
        <f ca="1">VLOOKUP($F498,OFFSET(enemy_skill_triggers!$A$1,0,0,COUNTA(enemy_skill_triggers!$A:$A),MATCH(K$1,enemy_skill_triggers!$1:$1,0)-MATCH($F$1,enemy_skill_triggers!$1:$1,0)+1),MATCH(K$1,enemy_skill_triggers!$1:$1,0)-MATCH($F$1,enemy_skill_triggers!$1:$1,0)+1,FALSE)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8" s="48">
        <f ca="1">VLOOKUP($F498,OFFSET(enemy_skill_triggers!$A$1,0,0,COUNTA(enemy_skill_triggers!$A:$A),MATCH(L$1,enemy_skill_triggers!$1:$1,0)-MATCH($F$1,enemy_skill_triggers!$1:$1,0)+1),MATCH(L$1,enemy_skill_triggers!$1:$1,0)-MATCH($F$1,enemy_skill_triggers!$1:$1,0)+1,FALSE)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8" s="48" t="str">
        <f ca="1">VLOOKUP($F498,OFFSET(enemy_skill_triggers!$A$1,0,0,COUNTA(enemy_skill_triggers!$A:$A),MATCH(M$1,enemy_skill_triggers!$1:$1,0)-MATCH($F$1,enemy_skill_triggers!$1:$1,0)+1),MATCH(M$1,enemy_skill_triggers!$1:$1,0)-MATCH($F$1,enemy_skill_triggers!$1:$1,0)+1,FALSE)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8" s="48" t="str">
        <f ca="1">VLOOKUP($F498,OFFSET(enemy_skill_triggers!$A$1,0,0,COUNTA(enemy_skill_triggers!$A:$A),MATCH(N$1,enemy_skill_triggers!$1:$1,0)-MATCH($F$1,enemy_skill_triggers!$1:$1,0)+1),MATCH(N$1,enemy_skill_triggers!$1:$1,0)-MATCH($F$1,enemy_skill_triggers!$1:$1,0)+1,FALSE)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8" s="48">
        <f ca="1">VLOOKUP($F498,OFFSET(enemy_skill_triggers!$A$1,0,0,COUNTA(enemy_skill_triggers!$A:$A),MATCH(O$1,enemy_skill_triggers!$1:$1,0)-MATCH($F$1,enemy_skill_triggers!$1:$1,0)+1),MATCH(O$1,enemy_skill_triggers!$1:$1,0)-MATCH($F$1,enemy_skill_triggers!$1:$1,0)+1,FALSE)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8" s="47"/>
      <c r="Q498" s="47"/>
      <c r="R498" s="47"/>
    </row>
    <row r="499" spans="1:18" ht="21" customHeight="1" x14ac:dyDescent="0.15">
      <c r="A499" s="39" t="str">
        <f t="shared" ref="A499:A513" si="43">B499&amp;"_"&amp;C499</f>
        <v>47004930_47004932</v>
      </c>
      <c r="B499" s="109">
        <v>47004930</v>
      </c>
      <c r="C499" s="110">
        <v>47004932</v>
      </c>
      <c r="D499" s="46" t="str">
        <f ca="1">VLOOKUP($C499,OFFSET(enemy_skills!$A$1,0,0,COUNTA(enemy_skills!$A:$A),MATCH(D$1,enemy_skills!$1:$1,0)-MATCH("enemy_skill_id",enemy_skills!$1:$1,0)+1),MATCH(D$1,enemy_skills!$1:$1,0)-MATCH("enemy_skill_id",enemy_skills!$1:$1,0)+1,FALSE)</f>
        <v>僕は何も覚えてなんかいないし…</v>
      </c>
      <c r="E499" s="46" t="str">
        <f ca="1">VLOOKUP($C499,OFFSET(enemy_skills!$A$1,0,0,COUNTA(enemy_skills!$A:$A),MATCH(E$1,enemy_skills!$1:$1,0)-MATCH("enemy_skill_id",enemy_skills!$1:$1,0)+1),MATCH(E$1,enemy_skills!$1:$1,0)-MATCH("enemy_skill_id",enemy_skills!$1:$1,0)+1,FALSE)</f>
        <v>残りHPの20%消費+全体攻撃+_x000D_ランダムで青のダメージパネルに最大4個変換</v>
      </c>
      <c r="F499" s="110">
        <v>47004932</v>
      </c>
      <c r="G499" s="48">
        <f ca="1">VLOOKUP($F499,OFFSET(enemy_skill_triggers!$A$1,0,0,COUNTA(enemy_skill_triggers!$A:$A),MATCH(G$1,enemy_skill_triggers!$1:$1,0)-MATCH($F$1,enemy_skill_triggers!$1:$1,0)+1),MATCH(G$1,enemy_skill_triggers!$1:$1,0)-MATCH($F$1,enemy_skill_triggers!$1:$1,0)+1,FALSE)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9" s="48">
        <f ca="1">VLOOKUP($F499,OFFSET(enemy_skill_triggers!$A$1,0,0,COUNTA(enemy_skill_triggers!$A:$A),MATCH(H$1,enemy_skill_triggers!$1:$1,0)-MATCH($F$1,enemy_skill_triggers!$1:$1,0)+1),MATCH(H$1,enemy_skill_triggers!$1:$1,0)-MATCH($F$1,enemy_skill_triggers!$1:$1,0)+1,FALSE)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99" s="48">
        <f ca="1">VLOOKUP($F499,OFFSET(enemy_skill_triggers!$A$1,0,0,COUNTA(enemy_skill_triggers!$A:$A),MATCH(I$1,enemy_skill_triggers!$1:$1,0)-MATCH($F$1,enemy_skill_triggers!$1:$1,0)+1),MATCH(I$1,enemy_skill_triggers!$1:$1,0)-MATCH($F$1,enemy_skill_triggers!$1:$1,0)+1,FALSE)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9" s="48" t="str">
        <f ca="1">VLOOKUP($F499,OFFSET(enemy_skill_triggers!$A$1,0,0,COUNTA(enemy_skill_triggers!$A:$A),MATCH(J$1,enemy_skill_triggers!$1:$1,0)-MATCH($F$1,enemy_skill_triggers!$1:$1,0)+1),MATCH(J$1,enemy_skill_triggers!$1:$1,0)-MATCH($F$1,enemy_skill_triggers!$1:$1,0)+1,FALSE)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9" s="48" t="str">
        <f ca="1">VLOOKUP($F499,OFFSET(enemy_skill_triggers!$A$1,0,0,COUNTA(enemy_skill_triggers!$A:$A),MATCH(K$1,enemy_skill_triggers!$1:$1,0)-MATCH($F$1,enemy_skill_triggers!$1:$1,0)+1),MATCH(K$1,enemy_skill_triggers!$1:$1,0)-MATCH($F$1,enemy_skill_triggers!$1:$1,0)+1,FALSE)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9" s="48">
        <f ca="1">VLOOKUP($F499,OFFSET(enemy_skill_triggers!$A$1,0,0,COUNTA(enemy_skill_triggers!$A:$A),MATCH(L$1,enemy_skill_triggers!$1:$1,0)-MATCH($F$1,enemy_skill_triggers!$1:$1,0)+1),MATCH(L$1,enemy_skill_triggers!$1:$1,0)-MATCH($F$1,enemy_skill_triggers!$1:$1,0)+1,FALSE)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9" s="48">
        <f ca="1">VLOOKUP($F499,OFFSET(enemy_skill_triggers!$A$1,0,0,COUNTA(enemy_skill_triggers!$A:$A),MATCH(M$1,enemy_skill_triggers!$1:$1,0)-MATCH($F$1,enemy_skill_triggers!$1:$1,0)+1),MATCH(M$1,enemy_skill_triggers!$1:$1,0)-MATCH($F$1,enemy_skill_triggers!$1:$1,0)+1,FALSE)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9" s="48" t="str">
        <f ca="1">VLOOKUP($F499,OFFSET(enemy_skill_triggers!$A$1,0,0,COUNTA(enemy_skill_triggers!$A:$A),MATCH(N$1,enemy_skill_triggers!$1:$1,0)-MATCH($F$1,enemy_skill_triggers!$1:$1,0)+1),MATCH(N$1,enemy_skill_triggers!$1:$1,0)-MATCH($F$1,enemy_skill_triggers!$1:$1,0)+1,FALSE)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9" s="48">
        <f ca="1">VLOOKUP($F499,OFFSET(enemy_skill_triggers!$A$1,0,0,COUNTA(enemy_skill_triggers!$A:$A),MATCH(O$1,enemy_skill_triggers!$1:$1,0)-MATCH($F$1,enemy_skill_triggers!$1:$1,0)+1),MATCH(O$1,enemy_skill_triggers!$1:$1,0)-MATCH($F$1,enemy_skill_triggers!$1:$1,0)+1,FALSE)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9" s="47"/>
      <c r="Q499" s="47"/>
      <c r="R499" s="47"/>
    </row>
    <row r="500" spans="1:18" ht="21" customHeight="1" x14ac:dyDescent="0.15">
      <c r="A500" s="39" t="str">
        <f t="shared" si="43"/>
        <v>47004930_47004933</v>
      </c>
      <c r="B500" s="109">
        <v>47004930</v>
      </c>
      <c r="C500" s="110">
        <v>47004933</v>
      </c>
      <c r="D500" s="46" t="str">
        <f ca="1">VLOOKUP($C500,OFFSET(enemy_skills!$A$1,0,0,COUNTA(enemy_skills!$A:$A),MATCH(D$1,enemy_skills!$1:$1,0)-MATCH("enemy_skill_id",enemy_skills!$1:$1,0)+1),MATCH(D$1,enemy_skills!$1:$1,0)-MATCH("enemy_skill_id",enemy_skills!$1:$1,0)+1,FALSE)</f>
        <v>今更…何を言おうと…</v>
      </c>
      <c r="E500" s="46" t="str">
        <f ca="1">VLOOKUP($C500,OFFSET(enemy_skills!$A$1,0,0,COUNTA(enemy_skills!$A:$A),MATCH(E$1,enemy_skills!$1:$1,0)-MATCH("enemy_skill_id",enemy_skills!$1:$1,0)+1),MATCH(E$1,enemy_skills!$1:$1,0)-MATCH("enemy_skill_id",enemy_skills!$1:$1,0)+1,FALSE)</f>
        <v>残りHPの25%消費+全体攻撃+_x000D_ランダムで青のダメージパネルに最大4個変換</v>
      </c>
      <c r="F500" s="110">
        <v>47004933</v>
      </c>
      <c r="G500" s="48">
        <f ca="1">VLOOKUP($F500,OFFSET(enemy_skill_triggers!$A$1,0,0,COUNTA(enemy_skill_triggers!$A:$A),MATCH(G$1,enemy_skill_triggers!$1:$1,0)-MATCH($F$1,enemy_skill_triggers!$1:$1,0)+1),MATCH(G$1,enemy_skill_triggers!$1:$1,0)-MATCH($F$1,enemy_skill_triggers!$1:$1,0)+1,FALSE)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0" s="48">
        <f ca="1">VLOOKUP($F500,OFFSET(enemy_skill_triggers!$A$1,0,0,COUNTA(enemy_skill_triggers!$A:$A),MATCH(H$1,enemy_skill_triggers!$1:$1,0)-MATCH($F$1,enemy_skill_triggers!$1:$1,0)+1),MATCH(H$1,enemy_skill_triggers!$1:$1,0)-MATCH($F$1,enemy_skill_triggers!$1:$1,0)+1,FALSE)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00" s="48">
        <f ca="1">VLOOKUP($F500,OFFSET(enemy_skill_triggers!$A$1,0,0,COUNTA(enemy_skill_triggers!$A:$A),MATCH(I$1,enemy_skill_triggers!$1:$1,0)-MATCH($F$1,enemy_skill_triggers!$1:$1,0)+1),MATCH(I$1,enemy_skill_triggers!$1:$1,0)-MATCH($F$1,enemy_skill_triggers!$1:$1,0)+1,FALSE)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0" s="48" t="str">
        <f ca="1">VLOOKUP($F500,OFFSET(enemy_skill_triggers!$A$1,0,0,COUNTA(enemy_skill_triggers!$A:$A),MATCH(J$1,enemy_skill_triggers!$1:$1,0)-MATCH($F$1,enemy_skill_triggers!$1:$1,0)+1),MATCH(J$1,enemy_skill_triggers!$1:$1,0)-MATCH($F$1,enemy_skill_triggers!$1:$1,0)+1,FALSE)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0" s="48" t="str">
        <f ca="1">VLOOKUP($F500,OFFSET(enemy_skill_triggers!$A$1,0,0,COUNTA(enemy_skill_triggers!$A:$A),MATCH(K$1,enemy_skill_triggers!$1:$1,0)-MATCH($F$1,enemy_skill_triggers!$1:$1,0)+1),MATCH(K$1,enemy_skill_triggers!$1:$1,0)-MATCH($F$1,enemy_skill_triggers!$1:$1,0)+1,FALSE)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0" s="48">
        <f ca="1">VLOOKUP($F500,OFFSET(enemy_skill_triggers!$A$1,0,0,COUNTA(enemy_skill_triggers!$A:$A),MATCH(L$1,enemy_skill_triggers!$1:$1,0)-MATCH($F$1,enemy_skill_triggers!$1:$1,0)+1),MATCH(L$1,enemy_skill_triggers!$1:$1,0)-MATCH($F$1,enemy_skill_triggers!$1:$1,0)+1,FALSE)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0" s="48">
        <f ca="1">VLOOKUP($F500,OFFSET(enemy_skill_triggers!$A$1,0,0,COUNTA(enemy_skill_triggers!$A:$A),MATCH(M$1,enemy_skill_triggers!$1:$1,0)-MATCH($F$1,enemy_skill_triggers!$1:$1,0)+1),MATCH(M$1,enemy_skill_triggers!$1:$1,0)-MATCH($F$1,enemy_skill_triggers!$1:$1,0)+1,FALSE)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00" s="48" t="str">
        <f ca="1">VLOOKUP($F500,OFFSET(enemy_skill_triggers!$A$1,0,0,COUNTA(enemy_skill_triggers!$A:$A),MATCH(N$1,enemy_skill_triggers!$1:$1,0)-MATCH($F$1,enemy_skill_triggers!$1:$1,0)+1),MATCH(N$1,enemy_skill_triggers!$1:$1,0)-MATCH($F$1,enemy_skill_triggers!$1:$1,0)+1,FALSE)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0" s="48">
        <f ca="1">VLOOKUP($F500,OFFSET(enemy_skill_triggers!$A$1,0,0,COUNTA(enemy_skill_triggers!$A:$A),MATCH(O$1,enemy_skill_triggers!$1:$1,0)-MATCH($F$1,enemy_skill_triggers!$1:$1,0)+1),MATCH(O$1,enemy_skill_triggers!$1:$1,0)-MATCH($F$1,enemy_skill_triggers!$1:$1,0)+1,FALSE)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0" s="47"/>
      <c r="Q500" s="47"/>
      <c r="R500" s="47"/>
    </row>
    <row r="501" spans="1:18" ht="21" customHeight="1" x14ac:dyDescent="0.15">
      <c r="A501" s="39" t="str">
        <f t="shared" si="43"/>
        <v>47004930_47004934</v>
      </c>
      <c r="B501" s="109">
        <v>47004930</v>
      </c>
      <c r="C501" s="110">
        <v>47004934</v>
      </c>
      <c r="D501" s="46" t="str">
        <f ca="1">VLOOKUP($C501,OFFSET(enemy_skills!$A$1,0,0,COUNTA(enemy_skills!$A:$A),MATCH(D$1,enemy_skills!$1:$1,0)-MATCH("enemy_skill_id",enemy_skills!$1:$1,0)+1),MATCH(D$1,enemy_skills!$1:$1,0)-MATCH("enemy_skill_id",enemy_skills!$1:$1,0)+1,FALSE)</f>
        <v>あれ…？　これは何が…？</v>
      </c>
      <c r="E501" s="46" t="str">
        <f ca="1">VLOOKUP($C501,OFFSET(enemy_skills!$A$1,0,0,COUNTA(enemy_skills!$A:$A),MATCH(E$1,enemy_skills!$1:$1,0)-MATCH("enemy_skill_id",enemy_skills!$1:$1,0)+1),MATCH(E$1,enemy_skills!$1:$1,0)-MATCH("enemy_skill_id",enemy_skills!$1:$1,0)+1,FALSE)</f>
        <v>残りHPの33%消費+全体攻撃+_x000D_ランダムで青のダメージパネルに最大4個変換</v>
      </c>
      <c r="F501" s="110">
        <v>47004934</v>
      </c>
      <c r="G501" s="48">
        <f ca="1">VLOOKUP($F501,OFFSET(enemy_skill_triggers!$A$1,0,0,COUNTA(enemy_skill_triggers!$A:$A),MATCH(G$1,enemy_skill_triggers!$1:$1,0)-MATCH($F$1,enemy_skill_triggers!$1:$1,0)+1),MATCH(G$1,enemy_skill_triggers!$1:$1,0)-MATCH($F$1,enemy_skill_triggers!$1:$1,0)+1,FALSE)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1" s="48">
        <f ca="1">VLOOKUP($F501,OFFSET(enemy_skill_triggers!$A$1,0,0,COUNTA(enemy_skill_triggers!$A:$A),MATCH(H$1,enemy_skill_triggers!$1:$1,0)-MATCH($F$1,enemy_skill_triggers!$1:$1,0)+1),MATCH(H$1,enemy_skill_triggers!$1:$1,0)-MATCH($F$1,enemy_skill_triggers!$1:$1,0)+1,FALSE)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01" s="48">
        <f ca="1">VLOOKUP($F501,OFFSET(enemy_skill_triggers!$A$1,0,0,COUNTA(enemy_skill_triggers!$A:$A),MATCH(I$1,enemy_skill_triggers!$1:$1,0)-MATCH($F$1,enemy_skill_triggers!$1:$1,0)+1),MATCH(I$1,enemy_skill_triggers!$1:$1,0)-MATCH($F$1,enemy_skill_triggers!$1:$1,0)+1,FALSE)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1" s="48" t="str">
        <f ca="1">VLOOKUP($F501,OFFSET(enemy_skill_triggers!$A$1,0,0,COUNTA(enemy_skill_triggers!$A:$A),MATCH(J$1,enemy_skill_triggers!$1:$1,0)-MATCH($F$1,enemy_skill_triggers!$1:$1,0)+1),MATCH(J$1,enemy_skill_triggers!$1:$1,0)-MATCH($F$1,enemy_skill_triggers!$1:$1,0)+1,FALSE)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1" s="48" t="str">
        <f ca="1">VLOOKUP($F501,OFFSET(enemy_skill_triggers!$A$1,0,0,COUNTA(enemy_skill_triggers!$A:$A),MATCH(K$1,enemy_skill_triggers!$1:$1,0)-MATCH($F$1,enemy_skill_triggers!$1:$1,0)+1),MATCH(K$1,enemy_skill_triggers!$1:$1,0)-MATCH($F$1,enemy_skill_triggers!$1:$1,0)+1,FALSE)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1" s="48">
        <f ca="1">VLOOKUP($F501,OFFSET(enemy_skill_triggers!$A$1,0,0,COUNTA(enemy_skill_triggers!$A:$A),MATCH(L$1,enemy_skill_triggers!$1:$1,0)-MATCH($F$1,enemy_skill_triggers!$1:$1,0)+1),MATCH(L$1,enemy_skill_triggers!$1:$1,0)-MATCH($F$1,enemy_skill_triggers!$1:$1,0)+1,FALSE)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1" s="48">
        <f ca="1">VLOOKUP($F501,OFFSET(enemy_skill_triggers!$A$1,0,0,COUNTA(enemy_skill_triggers!$A:$A),MATCH(M$1,enemy_skill_triggers!$1:$1,0)-MATCH($F$1,enemy_skill_triggers!$1:$1,0)+1),MATCH(M$1,enemy_skill_triggers!$1:$1,0)-MATCH($F$1,enemy_skill_triggers!$1:$1,0)+1,FALSE)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01" s="48" t="str">
        <f ca="1">VLOOKUP($F501,OFFSET(enemy_skill_triggers!$A$1,0,0,COUNTA(enemy_skill_triggers!$A:$A),MATCH(N$1,enemy_skill_triggers!$1:$1,0)-MATCH($F$1,enemy_skill_triggers!$1:$1,0)+1),MATCH(N$1,enemy_skill_triggers!$1:$1,0)-MATCH($F$1,enemy_skill_triggers!$1:$1,0)+1,FALSE)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1" s="48">
        <f ca="1">VLOOKUP($F501,OFFSET(enemy_skill_triggers!$A$1,0,0,COUNTA(enemy_skill_triggers!$A:$A),MATCH(O$1,enemy_skill_triggers!$1:$1,0)-MATCH($F$1,enemy_skill_triggers!$1:$1,0)+1),MATCH(O$1,enemy_skill_triggers!$1:$1,0)-MATCH($F$1,enemy_skill_triggers!$1:$1,0)+1,FALSE)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1" s="47"/>
      <c r="Q501" s="47"/>
      <c r="R501" s="47"/>
    </row>
    <row r="502" spans="1:18" ht="21" customHeight="1" x14ac:dyDescent="0.15">
      <c r="A502" s="39" t="str">
        <f t="shared" si="43"/>
        <v>47004930_47004935</v>
      </c>
      <c r="B502" s="109">
        <v>47004930</v>
      </c>
      <c r="C502" s="110">
        <v>47004935</v>
      </c>
      <c r="D502" s="46" t="str">
        <f ca="1">VLOOKUP($C502,OFFSET(enemy_skills!$A$1,0,0,COUNTA(enemy_skills!$A:$A),MATCH(D$1,enemy_skills!$1:$1,0)-MATCH("enemy_skill_id",enemy_skills!$1:$1,0)+1),MATCH(D$1,enemy_skills!$1:$1,0)-MATCH("enemy_skill_id",enemy_skills!$1:$1,0)+1,FALSE)</f>
        <v>なぜ、勝手に…！？</v>
      </c>
      <c r="E502" s="46" t="str">
        <f ca="1">VLOOKUP($C502,OFFSET(enemy_skills!$A$1,0,0,COUNTA(enemy_skills!$A:$A),MATCH(E$1,enemy_skills!$1:$1,0)-MATCH("enemy_skill_id",enemy_skills!$1:$1,0)+1),MATCH(E$1,enemy_skills!$1:$1,0)-MATCH("enemy_skill_id",enemy_skills!$1:$1,0)+1,FALSE)</f>
        <v>残りHPの50%消費+全体攻撃+_x000D_ランダムで青のダメージパネルに最大4個変換</v>
      </c>
      <c r="F502" s="110">
        <v>47004935</v>
      </c>
      <c r="G502" s="48">
        <f ca="1">VLOOKUP($F502,OFFSET(enemy_skill_triggers!$A$1,0,0,COUNTA(enemy_skill_triggers!$A:$A),MATCH(G$1,enemy_skill_triggers!$1:$1,0)-MATCH($F$1,enemy_skill_triggers!$1:$1,0)+1),MATCH(G$1,enemy_skill_triggers!$1:$1,0)-MATCH($F$1,enemy_skill_triggers!$1:$1,0)+1,FALSE)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2" s="48">
        <f ca="1">VLOOKUP($F502,OFFSET(enemy_skill_triggers!$A$1,0,0,COUNTA(enemy_skill_triggers!$A:$A),MATCH(H$1,enemy_skill_triggers!$1:$1,0)-MATCH($F$1,enemy_skill_triggers!$1:$1,0)+1),MATCH(H$1,enemy_skill_triggers!$1:$1,0)-MATCH($F$1,enemy_skill_triggers!$1:$1,0)+1,FALSE)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02" s="48">
        <f ca="1">VLOOKUP($F502,OFFSET(enemy_skill_triggers!$A$1,0,0,COUNTA(enemy_skill_triggers!$A:$A),MATCH(I$1,enemy_skill_triggers!$1:$1,0)-MATCH($F$1,enemy_skill_triggers!$1:$1,0)+1),MATCH(I$1,enemy_skill_triggers!$1:$1,0)-MATCH($F$1,enemy_skill_triggers!$1:$1,0)+1,FALSE)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2" s="48" t="str">
        <f ca="1">VLOOKUP($F502,OFFSET(enemy_skill_triggers!$A$1,0,0,COUNTA(enemy_skill_triggers!$A:$A),MATCH(J$1,enemy_skill_triggers!$1:$1,0)-MATCH($F$1,enemy_skill_triggers!$1:$1,0)+1),MATCH(J$1,enemy_skill_triggers!$1:$1,0)-MATCH($F$1,enemy_skill_triggers!$1:$1,0)+1,FALSE)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2" s="48" t="str">
        <f ca="1">VLOOKUP($F502,OFFSET(enemy_skill_triggers!$A$1,0,0,COUNTA(enemy_skill_triggers!$A:$A),MATCH(K$1,enemy_skill_triggers!$1:$1,0)-MATCH($F$1,enemy_skill_triggers!$1:$1,0)+1),MATCH(K$1,enemy_skill_triggers!$1:$1,0)-MATCH($F$1,enemy_skill_triggers!$1:$1,0)+1,FALSE)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2" s="48">
        <f ca="1">VLOOKUP($F502,OFFSET(enemy_skill_triggers!$A$1,0,0,COUNTA(enemy_skill_triggers!$A:$A),MATCH(L$1,enemy_skill_triggers!$1:$1,0)-MATCH($F$1,enemy_skill_triggers!$1:$1,0)+1),MATCH(L$1,enemy_skill_triggers!$1:$1,0)-MATCH($F$1,enemy_skill_triggers!$1:$1,0)+1,FALSE)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2" s="48">
        <f ca="1">VLOOKUP($F502,OFFSET(enemy_skill_triggers!$A$1,0,0,COUNTA(enemy_skill_triggers!$A:$A),MATCH(M$1,enemy_skill_triggers!$1:$1,0)-MATCH($F$1,enemy_skill_triggers!$1:$1,0)+1),MATCH(M$1,enemy_skill_triggers!$1:$1,0)-MATCH($F$1,enemy_skill_triggers!$1:$1,0)+1,FALSE)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02" s="48" t="str">
        <f ca="1">VLOOKUP($F502,OFFSET(enemy_skill_triggers!$A$1,0,0,COUNTA(enemy_skill_triggers!$A:$A),MATCH(N$1,enemy_skill_triggers!$1:$1,0)-MATCH($F$1,enemy_skill_triggers!$1:$1,0)+1),MATCH(N$1,enemy_skill_triggers!$1:$1,0)-MATCH($F$1,enemy_skill_triggers!$1:$1,0)+1,FALSE)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2" s="48">
        <f ca="1">VLOOKUP($F502,OFFSET(enemy_skill_triggers!$A$1,0,0,COUNTA(enemy_skill_triggers!$A:$A),MATCH(O$1,enemy_skill_triggers!$1:$1,0)-MATCH($F$1,enemy_skill_triggers!$1:$1,0)+1),MATCH(O$1,enemy_skill_triggers!$1:$1,0)-MATCH($F$1,enemy_skill_triggers!$1:$1,0)+1,FALSE)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2" s="47"/>
      <c r="Q502" s="47"/>
      <c r="R502" s="47"/>
    </row>
    <row r="503" spans="1:18" ht="21" customHeight="1" x14ac:dyDescent="0.15">
      <c r="A503" s="39" t="str">
        <f t="shared" si="43"/>
        <v>47004930_47004936</v>
      </c>
      <c r="B503" s="109">
        <v>47004930</v>
      </c>
      <c r="C503" s="110">
        <v>47004936</v>
      </c>
      <c r="D503" s="46" t="str">
        <f ca="1">VLOOKUP($C503,OFFSET(enemy_skills!$A$1,0,0,COUNTA(enemy_skills!$A:$A),MATCH(D$1,enemy_skills!$1:$1,0)-MATCH("enemy_skill_id",enemy_skills!$1:$1,0)+1),MATCH(D$1,enemy_skills!$1:$1,0)-MATCH("enemy_skill_id",enemy_skills!$1:$1,0)+1,FALSE)</f>
        <v>い、嫌だ…！もうこの姿は…</v>
      </c>
      <c r="E503" s="46" t="str">
        <f ca="1">VLOOKUP($C503,OFFSET(enemy_skills!$A$1,0,0,COUNTA(enemy_skills!$A:$A),MATCH(E$1,enemy_skills!$1:$1,0)-MATCH("enemy_skill_id",enemy_skills!$1:$1,0)+1),MATCH(E$1,enemy_skills!$1:$1,0)-MATCH("enemy_skill_id",enemy_skills!$1:$1,0)+1,FALSE)</f>
        <v>残りHPの100%消費+全体攻撃+_x000D_ランダムで青のダメージパネルに最大4個変換</v>
      </c>
      <c r="F503" s="110">
        <v>47004936</v>
      </c>
      <c r="G503" s="48">
        <f ca="1">VLOOKUP($F503,OFFSET(enemy_skill_triggers!$A$1,0,0,COUNTA(enemy_skill_triggers!$A:$A),MATCH(G$1,enemy_skill_triggers!$1:$1,0)-MATCH($F$1,enemy_skill_triggers!$1:$1,0)+1),MATCH(G$1,enemy_skill_triggers!$1:$1,0)-MATCH($F$1,enemy_skill_triggers!$1:$1,0)+1,FALSE)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3" s="48">
        <f ca="1">VLOOKUP($F503,OFFSET(enemy_skill_triggers!$A$1,0,0,COUNTA(enemy_skill_triggers!$A:$A),MATCH(H$1,enemy_skill_triggers!$1:$1,0)-MATCH($F$1,enemy_skill_triggers!$1:$1,0)+1),MATCH(H$1,enemy_skill_triggers!$1:$1,0)-MATCH($F$1,enemy_skill_triggers!$1:$1,0)+1,FALSE)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03" s="48">
        <f ca="1">VLOOKUP($F503,OFFSET(enemy_skill_triggers!$A$1,0,0,COUNTA(enemy_skill_triggers!$A:$A),MATCH(I$1,enemy_skill_triggers!$1:$1,0)-MATCH($F$1,enemy_skill_triggers!$1:$1,0)+1),MATCH(I$1,enemy_skill_triggers!$1:$1,0)-MATCH($F$1,enemy_skill_triggers!$1:$1,0)+1,FALSE)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3" s="48" t="str">
        <f ca="1">VLOOKUP($F503,OFFSET(enemy_skill_triggers!$A$1,0,0,COUNTA(enemy_skill_triggers!$A:$A),MATCH(J$1,enemy_skill_triggers!$1:$1,0)-MATCH($F$1,enemy_skill_triggers!$1:$1,0)+1),MATCH(J$1,enemy_skill_triggers!$1:$1,0)-MATCH($F$1,enemy_skill_triggers!$1:$1,0)+1,FALSE)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3" s="48" t="str">
        <f ca="1">VLOOKUP($F503,OFFSET(enemy_skill_triggers!$A$1,0,0,COUNTA(enemy_skill_triggers!$A:$A),MATCH(K$1,enemy_skill_triggers!$1:$1,0)-MATCH($F$1,enemy_skill_triggers!$1:$1,0)+1),MATCH(K$1,enemy_skill_triggers!$1:$1,0)-MATCH($F$1,enemy_skill_triggers!$1:$1,0)+1,FALSE)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3" s="48">
        <f ca="1">VLOOKUP($F503,OFFSET(enemy_skill_triggers!$A$1,0,0,COUNTA(enemy_skill_triggers!$A:$A),MATCH(L$1,enemy_skill_triggers!$1:$1,0)-MATCH($F$1,enemy_skill_triggers!$1:$1,0)+1),MATCH(L$1,enemy_skill_triggers!$1:$1,0)-MATCH($F$1,enemy_skill_triggers!$1:$1,0)+1,FALSE)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3" s="48">
        <f ca="1">VLOOKUP($F503,OFFSET(enemy_skill_triggers!$A$1,0,0,COUNTA(enemy_skill_triggers!$A:$A),MATCH(M$1,enemy_skill_triggers!$1:$1,0)-MATCH($F$1,enemy_skill_triggers!$1:$1,0)+1),MATCH(M$1,enemy_skill_triggers!$1:$1,0)-MATCH($F$1,enemy_skill_triggers!$1:$1,0)+1,FALSE)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03" s="48" t="str">
        <f ca="1">VLOOKUP($F503,OFFSET(enemy_skill_triggers!$A$1,0,0,COUNTA(enemy_skill_triggers!$A:$A),MATCH(N$1,enemy_skill_triggers!$1:$1,0)-MATCH($F$1,enemy_skill_triggers!$1:$1,0)+1),MATCH(N$1,enemy_skill_triggers!$1:$1,0)-MATCH($F$1,enemy_skill_triggers!$1:$1,0)+1,FALSE)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3" s="48">
        <f ca="1">VLOOKUP($F503,OFFSET(enemy_skill_triggers!$A$1,0,0,COUNTA(enemy_skill_triggers!$A:$A),MATCH(O$1,enemy_skill_triggers!$1:$1,0)-MATCH($F$1,enemy_skill_triggers!$1:$1,0)+1),MATCH(O$1,enemy_skill_triggers!$1:$1,0)-MATCH($F$1,enemy_skill_triggers!$1:$1,0)+1,FALSE)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3" s="47"/>
      <c r="Q503" s="47"/>
      <c r="R503" s="47"/>
    </row>
    <row r="504" spans="1:18" ht="21" customHeight="1" x14ac:dyDescent="0.15">
      <c r="A504" s="39" t="str">
        <f t="shared" si="43"/>
        <v>47004960_47004961</v>
      </c>
      <c r="B504" s="109">
        <v>47004960</v>
      </c>
      <c r="C504" s="47">
        <v>47004961</v>
      </c>
      <c r="D504" s="46" t="str">
        <f ca="1">VLOOKUP($C504,OFFSET(enemy_skills!$A$1,0,0,COUNTA(enemy_skills!$A:$A),MATCH(D$1,enemy_skills!$1:$1,0)-MATCH("enemy_skill_id",enemy_skills!$1:$1,0)+1),MATCH(D$1,enemy_skills!$1:$1,0)-MATCH("enemy_skill_id",enemy_skills!$1:$1,0)+1,FALSE)</f>
        <v>二度と見せたくなかったのに…！</v>
      </c>
      <c r="E504" s="46" t="str">
        <f ca="1">VLOOKUP($C504,OFFSET(enemy_skills!$A$1,0,0,COUNTA(enemy_skills!$A:$A),MATCH(E$1,enemy_skills!$1:$1,0)-MATCH("enemy_skill_id",enemy_skills!$1:$1,0)+1),MATCH(E$1,enemy_skills!$1:$1,0)-MATCH("enemy_skill_id",enemy_skills!$1:$1,0)+1,FALSE)</f>
        <v>マシン・シュプールの中からシュプールが姿を現した</v>
      </c>
      <c r="F504" s="47">
        <v>47004961</v>
      </c>
      <c r="G504" s="48">
        <f ca="1">VLOOKUP($F504,OFFSET(enemy_skill_triggers!$A$1,0,0,COUNTA(enemy_skill_triggers!$A:$A),MATCH(G$1,enemy_skill_triggers!$1:$1,0)-MATCH($F$1,enemy_skill_triggers!$1:$1,0)+1),MATCH(G$1,enemy_skill_triggers!$1:$1,0)-MATCH($F$1,enemy_skill_triggers!$1:$1,0)+1,FALSE)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4" s="48">
        <f ca="1">VLOOKUP($F504,OFFSET(enemy_skill_triggers!$A$1,0,0,COUNTA(enemy_skill_triggers!$A:$A),MATCH(H$1,enemy_skill_triggers!$1:$1,0)-MATCH($F$1,enemy_skill_triggers!$1:$1,0)+1),MATCH(H$1,enemy_skill_triggers!$1:$1,0)-MATCH($F$1,enemy_skill_triggers!$1:$1,0)+1,FALSE)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04" s="48">
        <f ca="1">VLOOKUP($F504,OFFSET(enemy_skill_triggers!$A$1,0,0,COUNTA(enemy_skill_triggers!$A:$A),MATCH(I$1,enemy_skill_triggers!$1:$1,0)-MATCH($F$1,enemy_skill_triggers!$1:$1,0)+1),MATCH(I$1,enemy_skill_triggers!$1:$1,0)-MATCH($F$1,enemy_skill_triggers!$1:$1,0)+1,FALSE)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4" s="48" t="str">
        <f ca="1">VLOOKUP($F504,OFFSET(enemy_skill_triggers!$A$1,0,0,COUNTA(enemy_skill_triggers!$A:$A),MATCH(J$1,enemy_skill_triggers!$1:$1,0)-MATCH($F$1,enemy_skill_triggers!$1:$1,0)+1),MATCH(J$1,enemy_skill_triggers!$1:$1,0)-MATCH($F$1,enemy_skill_triggers!$1:$1,0)+1,FALSE)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4" s="48" t="str">
        <f ca="1">VLOOKUP($F504,OFFSET(enemy_skill_triggers!$A$1,0,0,COUNTA(enemy_skill_triggers!$A:$A),MATCH(K$1,enemy_skill_triggers!$1:$1,0)-MATCH($F$1,enemy_skill_triggers!$1:$1,0)+1),MATCH(K$1,enemy_skill_triggers!$1:$1,0)-MATCH($F$1,enemy_skill_triggers!$1:$1,0)+1,FALSE)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4" s="48">
        <f ca="1">VLOOKUP($F504,OFFSET(enemy_skill_triggers!$A$1,0,0,COUNTA(enemy_skill_triggers!$A:$A),MATCH(L$1,enemy_skill_triggers!$1:$1,0)-MATCH($F$1,enemy_skill_triggers!$1:$1,0)+1),MATCH(L$1,enemy_skill_triggers!$1:$1,0)-MATCH($F$1,enemy_skill_triggers!$1:$1,0)+1,FALSE)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4" s="48" t="str">
        <f ca="1">VLOOKUP($F504,OFFSET(enemy_skill_triggers!$A$1,0,0,COUNTA(enemy_skill_triggers!$A:$A),MATCH(M$1,enemy_skill_triggers!$1:$1,0)-MATCH($F$1,enemy_skill_triggers!$1:$1,0)+1),MATCH(M$1,enemy_skill_triggers!$1:$1,0)-MATCH($F$1,enemy_skill_triggers!$1:$1,0)+1,FALSE)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4" s="48" t="str">
        <f ca="1">VLOOKUP($F504,OFFSET(enemy_skill_triggers!$A$1,0,0,COUNTA(enemy_skill_triggers!$A:$A),MATCH(N$1,enemy_skill_triggers!$1:$1,0)-MATCH($F$1,enemy_skill_triggers!$1:$1,0)+1),MATCH(N$1,enemy_skill_triggers!$1:$1,0)-MATCH($F$1,enemy_skill_triggers!$1:$1,0)+1,FALSE)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4" s="48">
        <f ca="1">VLOOKUP($F504,OFFSET(enemy_skill_triggers!$A$1,0,0,COUNTA(enemy_skill_triggers!$A:$A),MATCH(O$1,enemy_skill_triggers!$1:$1,0)-MATCH($F$1,enemy_skill_triggers!$1:$1,0)+1),MATCH(O$1,enemy_skill_triggers!$1:$1,0)-MATCH($F$1,enemy_skill_triggers!$1:$1,0)+1,FALSE)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4" s="47"/>
      <c r="Q504" s="47"/>
      <c r="R504" s="47"/>
    </row>
    <row r="505" spans="1:18" ht="21" customHeight="1" x14ac:dyDescent="0.15">
      <c r="A505" s="39" t="str">
        <f t="shared" si="43"/>
        <v>47004960_47004962</v>
      </c>
      <c r="B505" s="109">
        <v>47004960</v>
      </c>
      <c r="C505" s="47">
        <v>47004962</v>
      </c>
      <c r="D505" s="46" t="str">
        <f ca="1">VLOOKUP($C505,OFFSET(enemy_skills!$A$1,0,0,COUNTA(enemy_skills!$A:$A),MATCH(D$1,enemy_skills!$1:$1,0)-MATCH("enemy_skill_id",enemy_skills!$1:$1,0)+1),MATCH(D$1,enemy_skills!$1:$1,0)-MATCH("enemy_skill_id",enemy_skills!$1:$1,0)+1,FALSE)</f>
        <v>ダイヤモンドフロスト</v>
      </c>
      <c r="E505" s="46" t="str">
        <f ca="1">VLOOKUP($C505,OFFSET(enemy_skills!$A$1,0,0,COUNTA(enemy_skills!$A:$A),MATCH(E$1,enemy_skills!$1:$1,0)-MATCH("enemy_skill_id",enemy_skills!$1:$1,0)+1),MATCH(E$1,enemy_skills!$1:$1,0)-MATCH("enemy_skill_id",enemy_skills!$1:$1,0)+1,FALSE)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05" s="47">
        <v>47004962</v>
      </c>
      <c r="G505" s="48">
        <f ca="1">VLOOKUP($F505,OFFSET(enemy_skill_triggers!$A$1,0,0,COUNTA(enemy_skill_triggers!$A:$A),MATCH(G$1,enemy_skill_triggers!$1:$1,0)-MATCH($F$1,enemy_skill_triggers!$1:$1,0)+1),MATCH(G$1,enemy_skill_triggers!$1:$1,0)-MATCH($F$1,enemy_skill_triggers!$1:$1,0)+1,FALSE)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5" s="48">
        <f ca="1">VLOOKUP($F505,OFFSET(enemy_skill_triggers!$A$1,0,0,COUNTA(enemy_skill_triggers!$A:$A),MATCH(H$1,enemy_skill_triggers!$1:$1,0)-MATCH($F$1,enemy_skill_triggers!$1:$1,0)+1),MATCH(H$1,enemy_skill_triggers!$1:$1,0)-MATCH($F$1,enemy_skill_triggers!$1:$1,0)+1,FALSE)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505" s="48">
        <f ca="1">VLOOKUP($F505,OFFSET(enemy_skill_triggers!$A$1,0,0,COUNTA(enemy_skill_triggers!$A:$A),MATCH(I$1,enemy_skill_triggers!$1:$1,0)-MATCH($F$1,enemy_skill_triggers!$1:$1,0)+1),MATCH(I$1,enemy_skill_triggers!$1:$1,0)-MATCH($F$1,enemy_skill_triggers!$1:$1,0)+1,FALSE)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5" s="48" t="str">
        <f ca="1">VLOOKUP($F505,OFFSET(enemy_skill_triggers!$A$1,0,0,COUNTA(enemy_skill_triggers!$A:$A),MATCH(J$1,enemy_skill_triggers!$1:$1,0)-MATCH($F$1,enemy_skill_triggers!$1:$1,0)+1),MATCH(J$1,enemy_skill_triggers!$1:$1,0)-MATCH($F$1,enemy_skill_triggers!$1:$1,0)+1,FALSE)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5" s="48" t="str">
        <f ca="1">VLOOKUP($F505,OFFSET(enemy_skill_triggers!$A$1,0,0,COUNTA(enemy_skill_triggers!$A:$A),MATCH(K$1,enemy_skill_triggers!$1:$1,0)-MATCH($F$1,enemy_skill_triggers!$1:$1,0)+1),MATCH(K$1,enemy_skill_triggers!$1:$1,0)-MATCH($F$1,enemy_skill_triggers!$1:$1,0)+1,FALSE)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5" s="48">
        <f ca="1">VLOOKUP($F505,OFFSET(enemy_skill_triggers!$A$1,0,0,COUNTA(enemy_skill_triggers!$A:$A),MATCH(L$1,enemy_skill_triggers!$1:$1,0)-MATCH($F$1,enemy_skill_triggers!$1:$1,0)+1),MATCH(L$1,enemy_skill_triggers!$1:$1,0)-MATCH($F$1,enemy_skill_triggers!$1:$1,0)+1,FALSE)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5" s="48">
        <f ca="1">VLOOKUP($F505,OFFSET(enemy_skill_triggers!$A$1,0,0,COUNTA(enemy_skill_triggers!$A:$A),MATCH(M$1,enemy_skill_triggers!$1:$1,0)-MATCH($F$1,enemy_skill_triggers!$1:$1,0)+1),MATCH(M$1,enemy_skill_triggers!$1:$1,0)-MATCH($F$1,enemy_skill_triggers!$1:$1,0)+1,FALSE)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5" s="48" t="str">
        <f ca="1">VLOOKUP($F505,OFFSET(enemy_skill_triggers!$A$1,0,0,COUNTA(enemy_skill_triggers!$A:$A),MATCH(N$1,enemy_skill_triggers!$1:$1,0)-MATCH($F$1,enemy_skill_triggers!$1:$1,0)+1),MATCH(N$1,enemy_skill_triggers!$1:$1,0)-MATCH($F$1,enemy_skill_triggers!$1:$1,0)+1,FALSE)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5" s="48">
        <f ca="1">VLOOKUP($F505,OFFSET(enemy_skill_triggers!$A$1,0,0,COUNTA(enemy_skill_triggers!$A:$A),MATCH(O$1,enemy_skill_triggers!$1:$1,0)-MATCH($F$1,enemy_skill_triggers!$1:$1,0)+1),MATCH(O$1,enemy_skill_triggers!$1:$1,0)-MATCH($F$1,enemy_skill_triggers!$1:$1,0)+1,FALSE)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5" s="47"/>
      <c r="Q505" s="47"/>
      <c r="R505" s="47"/>
    </row>
    <row r="506" spans="1:18" ht="21" customHeight="1" x14ac:dyDescent="0.15">
      <c r="A506" s="39" t="str">
        <f t="shared" si="43"/>
        <v>47004960_47004963</v>
      </c>
      <c r="B506" s="109">
        <v>47004960</v>
      </c>
      <c r="C506" s="47">
        <v>47004963</v>
      </c>
      <c r="D506" s="46" t="str">
        <f ca="1">VLOOKUP($C506,OFFSET(enemy_skills!$A$1,0,0,COUNTA(enemy_skills!$A:$A),MATCH(D$1,enemy_skills!$1:$1,0)-MATCH("enemy_skill_id",enemy_skills!$1:$1,0)+1),MATCH(D$1,enemy_skills!$1:$1,0)-MATCH("enemy_skill_id",enemy_skills!$1:$1,0)+1,FALSE)</f>
        <v>僕だって好きでこうなったわけじゃないんだ！</v>
      </c>
      <c r="E506" s="46" t="str">
        <f ca="1">VLOOKUP($C506,OFFSET(enemy_skills!$A$1,0,0,COUNTA(enemy_skills!$A:$A),MATCH(E$1,enemy_skills!$1:$1,0)-MATCH("enemy_skill_id",enemy_skills!$1:$1,0)+1),MATCH(E$1,enemy_skills!$1:$1,0)-MATCH("enemy_skill_id",enemy_skills!$1:$1,0)+1,FALSE)</f>
        <v>ハートパネル&amp;青パネルを吸収して全体攻撃</v>
      </c>
      <c r="F506" s="47">
        <v>47004963</v>
      </c>
      <c r="G506" s="48">
        <f ca="1">VLOOKUP($F506,OFFSET(enemy_skill_triggers!$A$1,0,0,COUNTA(enemy_skill_triggers!$A:$A),MATCH(G$1,enemy_skill_triggers!$1:$1,0)-MATCH($F$1,enemy_skill_triggers!$1:$1,0)+1),MATCH(G$1,enemy_skill_triggers!$1:$1,0)-MATCH($F$1,enemy_skill_triggers!$1:$1,0)+1,FALSE)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6" s="48">
        <f ca="1">VLOOKUP($F506,OFFSET(enemy_skill_triggers!$A$1,0,0,COUNTA(enemy_skill_triggers!$A:$A),MATCH(H$1,enemy_skill_triggers!$1:$1,0)-MATCH($F$1,enemy_skill_triggers!$1:$1,0)+1),MATCH(H$1,enemy_skill_triggers!$1:$1,0)-MATCH($F$1,enemy_skill_triggers!$1:$1,0)+1,FALSE)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506" s="48">
        <f ca="1">VLOOKUP($F506,OFFSET(enemy_skill_triggers!$A$1,0,0,COUNTA(enemy_skill_triggers!$A:$A),MATCH(I$1,enemy_skill_triggers!$1:$1,0)-MATCH($F$1,enemy_skill_triggers!$1:$1,0)+1),MATCH(I$1,enemy_skill_triggers!$1:$1,0)-MATCH($F$1,enemy_skill_triggers!$1:$1,0)+1,FALSE)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6" s="48" t="str">
        <f ca="1">VLOOKUP($F506,OFFSET(enemy_skill_triggers!$A$1,0,0,COUNTA(enemy_skill_triggers!$A:$A),MATCH(J$1,enemy_skill_triggers!$1:$1,0)-MATCH($F$1,enemy_skill_triggers!$1:$1,0)+1),MATCH(J$1,enemy_skill_triggers!$1:$1,0)-MATCH($F$1,enemy_skill_triggers!$1:$1,0)+1,FALSE)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6" s="48" t="str">
        <f ca="1">VLOOKUP($F506,OFFSET(enemy_skill_triggers!$A$1,0,0,COUNTA(enemy_skill_triggers!$A:$A),MATCH(K$1,enemy_skill_triggers!$1:$1,0)-MATCH($F$1,enemy_skill_triggers!$1:$1,0)+1),MATCH(K$1,enemy_skill_triggers!$1:$1,0)-MATCH($F$1,enemy_skill_triggers!$1:$1,0)+1,FALSE)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6" s="48">
        <f ca="1">VLOOKUP($F506,OFFSET(enemy_skill_triggers!$A$1,0,0,COUNTA(enemy_skill_triggers!$A:$A),MATCH(L$1,enemy_skill_triggers!$1:$1,0)-MATCH($F$1,enemy_skill_triggers!$1:$1,0)+1),MATCH(L$1,enemy_skill_triggers!$1:$1,0)-MATCH($F$1,enemy_skill_triggers!$1:$1,0)+1,FALSE)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6" s="48">
        <f ca="1">VLOOKUP($F506,OFFSET(enemy_skill_triggers!$A$1,0,0,COUNTA(enemy_skill_triggers!$A:$A),MATCH(M$1,enemy_skill_triggers!$1:$1,0)-MATCH($F$1,enemy_skill_triggers!$1:$1,0)+1),MATCH(M$1,enemy_skill_triggers!$1:$1,0)-MATCH($F$1,enemy_skill_triggers!$1:$1,0)+1,FALSE)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06" s="48" t="str">
        <f ca="1">VLOOKUP($F506,OFFSET(enemy_skill_triggers!$A$1,0,0,COUNTA(enemy_skill_triggers!$A:$A),MATCH(N$1,enemy_skill_triggers!$1:$1,0)-MATCH($F$1,enemy_skill_triggers!$1:$1,0)+1),MATCH(N$1,enemy_skill_triggers!$1:$1,0)-MATCH($F$1,enemy_skill_triggers!$1:$1,0)+1,FALSE)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6" s="48">
        <f ca="1">VLOOKUP($F506,OFFSET(enemy_skill_triggers!$A$1,0,0,COUNTA(enemy_skill_triggers!$A:$A),MATCH(O$1,enemy_skill_triggers!$1:$1,0)-MATCH($F$1,enemy_skill_triggers!$1:$1,0)+1),MATCH(O$1,enemy_skill_triggers!$1:$1,0)-MATCH($F$1,enemy_skill_triggers!$1:$1,0)+1,FALSE)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6" s="47"/>
      <c r="Q506" s="47"/>
      <c r="R506" s="47"/>
    </row>
    <row r="507" spans="1:18" ht="21" customHeight="1" x14ac:dyDescent="0.15">
      <c r="A507" s="39" t="str">
        <f t="shared" si="43"/>
        <v>47004960_47004964</v>
      </c>
      <c r="B507" s="109">
        <v>47004960</v>
      </c>
      <c r="C507" s="47">
        <v>47004964</v>
      </c>
      <c r="D507" s="46" t="str">
        <f ca="1">VLOOKUP($C507,OFFSET(enemy_skills!$A$1,0,0,COUNTA(enemy_skills!$A:$A),MATCH(D$1,enemy_skills!$1:$1,0)-MATCH("enemy_skill_id",enemy_skills!$1:$1,0)+1),MATCH(D$1,enemy_skills!$1:$1,0)-MATCH("enemy_skill_id",enemy_skills!$1:$1,0)+1,FALSE)</f>
        <v>灯火に踊る細氷</v>
      </c>
      <c r="E507" s="46" t="str">
        <f ca="1">VLOOKUP($C507,OFFSET(enemy_skills!$A$1,0,0,COUNTA(enemy_skills!$A:$A),MATCH(E$1,enemy_skills!$1:$1,0)-MATCH("enemy_skill_id",enemy_skills!$1:$1,0)+1),MATCH(E$1,enemy_skills!$1:$1,0)-MATCH("enemy_skill_id",enemy_skills!$1:$1,0)+1,FALSE)</f>
        <v>赤パネルを青のダメージパネルに変換+単体攻撃</v>
      </c>
      <c r="F507" s="47">
        <v>47004964</v>
      </c>
      <c r="G507" s="48">
        <f ca="1">VLOOKUP($F507,OFFSET(enemy_skill_triggers!$A$1,0,0,COUNTA(enemy_skill_triggers!$A:$A),MATCH(G$1,enemy_skill_triggers!$1:$1,0)-MATCH($F$1,enemy_skill_triggers!$1:$1,0)+1),MATCH(G$1,enemy_skill_triggers!$1:$1,0)-MATCH($F$1,enemy_skill_triggers!$1:$1,0)+1,FALSE)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7" s="48">
        <f ca="1">VLOOKUP($F507,OFFSET(enemy_skill_triggers!$A$1,0,0,COUNTA(enemy_skill_triggers!$A:$A),MATCH(H$1,enemy_skill_triggers!$1:$1,0)-MATCH($F$1,enemy_skill_triggers!$1:$1,0)+1),MATCH(H$1,enemy_skill_triggers!$1:$1,0)-MATCH($F$1,enemy_skill_triggers!$1:$1,0)+1,FALSE)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507" s="48">
        <f ca="1">VLOOKUP($F507,OFFSET(enemy_skill_triggers!$A$1,0,0,COUNTA(enemy_skill_triggers!$A:$A),MATCH(I$1,enemy_skill_triggers!$1:$1,0)-MATCH($F$1,enemy_skill_triggers!$1:$1,0)+1),MATCH(I$1,enemy_skill_triggers!$1:$1,0)-MATCH($F$1,enemy_skill_triggers!$1:$1,0)+1,FALSE)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7" s="48" t="str">
        <f ca="1">VLOOKUP($F507,OFFSET(enemy_skill_triggers!$A$1,0,0,COUNTA(enemy_skill_triggers!$A:$A),MATCH(J$1,enemy_skill_triggers!$1:$1,0)-MATCH($F$1,enemy_skill_triggers!$1:$1,0)+1),MATCH(J$1,enemy_skill_triggers!$1:$1,0)-MATCH($F$1,enemy_skill_triggers!$1:$1,0)+1,FALSE)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7" s="48" t="str">
        <f ca="1">VLOOKUP($F507,OFFSET(enemy_skill_triggers!$A$1,0,0,COUNTA(enemy_skill_triggers!$A:$A),MATCH(K$1,enemy_skill_triggers!$1:$1,0)-MATCH($F$1,enemy_skill_triggers!$1:$1,0)+1),MATCH(K$1,enemy_skill_triggers!$1:$1,0)-MATCH($F$1,enemy_skill_triggers!$1:$1,0)+1,FALSE)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7" s="48">
        <f ca="1">VLOOKUP($F507,OFFSET(enemy_skill_triggers!$A$1,0,0,COUNTA(enemy_skill_triggers!$A:$A),MATCH(L$1,enemy_skill_triggers!$1:$1,0)-MATCH($F$1,enemy_skill_triggers!$1:$1,0)+1),MATCH(L$1,enemy_skill_triggers!$1:$1,0)-MATCH($F$1,enemy_skill_triggers!$1:$1,0)+1,FALSE)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7" s="48">
        <f ca="1">VLOOKUP($F507,OFFSET(enemy_skill_triggers!$A$1,0,0,COUNTA(enemy_skill_triggers!$A:$A),MATCH(M$1,enemy_skill_triggers!$1:$1,0)-MATCH($F$1,enemy_skill_triggers!$1:$1,0)+1),MATCH(M$1,enemy_skill_triggers!$1:$1,0)-MATCH($F$1,enemy_skill_triggers!$1:$1,0)+1,FALSE)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07" s="48" t="str">
        <f ca="1">VLOOKUP($F507,OFFSET(enemy_skill_triggers!$A$1,0,0,COUNTA(enemy_skill_triggers!$A:$A),MATCH(N$1,enemy_skill_triggers!$1:$1,0)-MATCH($F$1,enemy_skill_triggers!$1:$1,0)+1),MATCH(N$1,enemy_skill_triggers!$1:$1,0)-MATCH($F$1,enemy_skill_triggers!$1:$1,0)+1,FALSE)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7" s="48">
        <f ca="1">VLOOKUP($F507,OFFSET(enemy_skill_triggers!$A$1,0,0,COUNTA(enemy_skill_triggers!$A:$A),MATCH(O$1,enemy_skill_triggers!$1:$1,0)-MATCH($F$1,enemy_skill_triggers!$1:$1,0)+1),MATCH(O$1,enemy_skill_triggers!$1:$1,0)-MATCH($F$1,enemy_skill_triggers!$1:$1,0)+1,FALSE)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7" s="47"/>
      <c r="Q507" s="47"/>
      <c r="R507" s="47"/>
    </row>
    <row r="508" spans="1:18" ht="21" customHeight="1" x14ac:dyDescent="0.15">
      <c r="A508" s="39" t="str">
        <f t="shared" si="43"/>
        <v>47004960_47004965</v>
      </c>
      <c r="B508" s="109">
        <v>47004960</v>
      </c>
      <c r="C508" s="47">
        <v>47004965</v>
      </c>
      <c r="D508" s="46" t="str">
        <f ca="1">VLOOKUP($C508,OFFSET(enemy_skills!$A$1,0,0,COUNTA(enemy_skills!$A:$A),MATCH(D$1,enemy_skills!$1:$1,0)-MATCH("enemy_skill_id",enemy_skills!$1:$1,0)+1),MATCH(D$1,enemy_skills!$1:$1,0)-MATCH("enemy_skill_id",enemy_skills!$1:$1,0)+1,FALSE)</f>
        <v>涙氷の礫</v>
      </c>
      <c r="E508" s="46" t="str">
        <f ca="1">VLOOKUP($C508,OFFSET(enemy_skills!$A$1,0,0,COUNTA(enemy_skills!$A:$A),MATCH(E$1,enemy_skills!$1:$1,0)-MATCH("enemy_skill_id",enemy_skills!$1:$1,0)+1),MATCH(E$1,enemy_skills!$1:$1,0)-MATCH("enemy_skill_id",enemy_skills!$1:$1,0)+1,FALSE)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08" s="47">
        <v>47004965</v>
      </c>
      <c r="G508" s="48">
        <f ca="1">VLOOKUP($F508,OFFSET(enemy_skill_triggers!$A$1,0,0,COUNTA(enemy_skill_triggers!$A:$A),MATCH(G$1,enemy_skill_triggers!$1:$1,0)-MATCH($F$1,enemy_skill_triggers!$1:$1,0)+1),MATCH(G$1,enemy_skill_triggers!$1:$1,0)-MATCH($F$1,enemy_skill_triggers!$1:$1,0)+1,FALSE)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8" s="48">
        <f ca="1">VLOOKUP($F508,OFFSET(enemy_skill_triggers!$A$1,0,0,COUNTA(enemy_skill_triggers!$A:$A),MATCH(H$1,enemy_skill_triggers!$1:$1,0)-MATCH($F$1,enemy_skill_triggers!$1:$1,0)+1),MATCH(H$1,enemy_skill_triggers!$1:$1,0)-MATCH($F$1,enemy_skill_triggers!$1:$1,0)+1,FALSE)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508" s="48">
        <f ca="1">VLOOKUP($F508,OFFSET(enemy_skill_triggers!$A$1,0,0,COUNTA(enemy_skill_triggers!$A:$A),MATCH(I$1,enemy_skill_triggers!$1:$1,0)-MATCH($F$1,enemy_skill_triggers!$1:$1,0)+1),MATCH(I$1,enemy_skill_triggers!$1:$1,0)-MATCH($F$1,enemy_skill_triggers!$1:$1,0)+1,FALSE)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8" s="48" t="str">
        <f ca="1">VLOOKUP($F508,OFFSET(enemy_skill_triggers!$A$1,0,0,COUNTA(enemy_skill_triggers!$A:$A),MATCH(J$1,enemy_skill_triggers!$1:$1,0)-MATCH($F$1,enemy_skill_triggers!$1:$1,0)+1),MATCH(J$1,enemy_skill_triggers!$1:$1,0)-MATCH($F$1,enemy_skill_triggers!$1:$1,0)+1,FALSE)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8" s="48" t="str">
        <f ca="1">VLOOKUP($F508,OFFSET(enemy_skill_triggers!$A$1,0,0,COUNTA(enemy_skill_triggers!$A:$A),MATCH(K$1,enemy_skill_triggers!$1:$1,0)-MATCH($F$1,enemy_skill_triggers!$1:$1,0)+1),MATCH(K$1,enemy_skill_triggers!$1:$1,0)-MATCH($F$1,enemy_skill_triggers!$1:$1,0)+1,FALSE)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8" s="48">
        <f ca="1">VLOOKUP($F508,OFFSET(enemy_skill_triggers!$A$1,0,0,COUNTA(enemy_skill_triggers!$A:$A),MATCH(L$1,enemy_skill_triggers!$1:$1,0)-MATCH($F$1,enemy_skill_triggers!$1:$1,0)+1),MATCH(L$1,enemy_skill_triggers!$1:$1,0)-MATCH($F$1,enemy_skill_triggers!$1:$1,0)+1,FALSE)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8" s="48">
        <f ca="1">VLOOKUP($F508,OFFSET(enemy_skill_triggers!$A$1,0,0,COUNTA(enemy_skill_triggers!$A:$A),MATCH(M$1,enemy_skill_triggers!$1:$1,0)-MATCH($F$1,enemy_skill_triggers!$1:$1,0)+1),MATCH(M$1,enemy_skill_triggers!$1:$1,0)-MATCH($F$1,enemy_skill_triggers!$1:$1,0)+1,FALSE)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08" s="48" t="str">
        <f ca="1">VLOOKUP($F508,OFFSET(enemy_skill_triggers!$A$1,0,0,COUNTA(enemy_skill_triggers!$A:$A),MATCH(N$1,enemy_skill_triggers!$1:$1,0)-MATCH($F$1,enemy_skill_triggers!$1:$1,0)+1),MATCH(N$1,enemy_skill_triggers!$1:$1,0)-MATCH($F$1,enemy_skill_triggers!$1:$1,0)+1,FALSE)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8" s="48">
        <f ca="1">VLOOKUP($F508,OFFSET(enemy_skill_triggers!$A$1,0,0,COUNTA(enemy_skill_triggers!$A:$A),MATCH(O$1,enemy_skill_triggers!$1:$1,0)-MATCH($F$1,enemy_skill_triggers!$1:$1,0)+1),MATCH(O$1,enemy_skill_triggers!$1:$1,0)-MATCH($F$1,enemy_skill_triggers!$1:$1,0)+1,FALSE)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8" s="47"/>
      <c r="Q508" s="47"/>
      <c r="R508" s="47"/>
    </row>
    <row r="509" spans="1:18" ht="21" customHeight="1" x14ac:dyDescent="0.15">
      <c r="A509" s="39" t="str">
        <f t="shared" si="43"/>
        <v>47004960_47004966</v>
      </c>
      <c r="B509" s="109">
        <v>47004960</v>
      </c>
      <c r="C509" s="47">
        <v>47004966</v>
      </c>
      <c r="D509" s="46" t="str">
        <f ca="1">VLOOKUP($C509,OFFSET(enemy_skills!$A$1,0,0,COUNTA(enemy_skills!$A:$A),MATCH(D$1,enemy_skills!$1:$1,0)-MATCH("enemy_skill_id",enemy_skills!$1:$1,0)+1),MATCH(D$1,enemy_skills!$1:$1,0)-MATCH("enemy_skill_id",enemy_skills!$1:$1,0)+1,FALSE)</f>
        <v>君達はなぜ…僕なんかに…</v>
      </c>
      <c r="E509" s="46" t="str">
        <f ca="1">VLOOKUP($C509,OFFSET(enemy_skills!$A$1,0,0,COUNTA(enemy_skills!$A:$A),MATCH(E$1,enemy_skills!$1:$1,0)-MATCH("enemy_skill_id",enemy_skills!$1:$1,0)+1),MATCH(E$1,enemy_skills!$1:$1,0)-MATCH("enemy_skill_id",enemy_skills!$1:$1,0)+1,FALSE)</f>
        <v>ハートパネル&amp;青パネルを吸収して全体攻撃</v>
      </c>
      <c r="F509" s="47">
        <v>47004966</v>
      </c>
      <c r="G509" s="48">
        <f ca="1">VLOOKUP($F509,OFFSET(enemy_skill_triggers!$A$1,0,0,COUNTA(enemy_skill_triggers!$A:$A),MATCH(G$1,enemy_skill_triggers!$1:$1,0)-MATCH($F$1,enemy_skill_triggers!$1:$1,0)+1),MATCH(G$1,enemy_skill_triggers!$1:$1,0)-MATCH($F$1,enemy_skill_triggers!$1:$1,0)+1,FALSE)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9" s="48">
        <f ca="1">VLOOKUP($F509,OFFSET(enemy_skill_triggers!$A$1,0,0,COUNTA(enemy_skill_triggers!$A:$A),MATCH(H$1,enemy_skill_triggers!$1:$1,0)-MATCH($F$1,enemy_skill_triggers!$1:$1,0)+1),MATCH(H$1,enemy_skill_triggers!$1:$1,0)-MATCH($F$1,enemy_skill_triggers!$1:$1,0)+1,FALSE)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509" s="48">
        <f ca="1">VLOOKUP($F509,OFFSET(enemy_skill_triggers!$A$1,0,0,COUNTA(enemy_skill_triggers!$A:$A),MATCH(I$1,enemy_skill_triggers!$1:$1,0)-MATCH($F$1,enemy_skill_triggers!$1:$1,0)+1),MATCH(I$1,enemy_skill_triggers!$1:$1,0)-MATCH($F$1,enemy_skill_triggers!$1:$1,0)+1,FALSE)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9" s="48" t="str">
        <f ca="1">VLOOKUP($F509,OFFSET(enemy_skill_triggers!$A$1,0,0,COUNTA(enemy_skill_triggers!$A:$A),MATCH(J$1,enemy_skill_triggers!$1:$1,0)-MATCH($F$1,enemy_skill_triggers!$1:$1,0)+1),MATCH(J$1,enemy_skill_triggers!$1:$1,0)-MATCH($F$1,enemy_skill_triggers!$1:$1,0)+1,FALSE)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9" s="48" t="str">
        <f ca="1">VLOOKUP($F509,OFFSET(enemy_skill_triggers!$A$1,0,0,COUNTA(enemy_skill_triggers!$A:$A),MATCH(K$1,enemy_skill_triggers!$1:$1,0)-MATCH($F$1,enemy_skill_triggers!$1:$1,0)+1),MATCH(K$1,enemy_skill_triggers!$1:$1,0)-MATCH($F$1,enemy_skill_triggers!$1:$1,0)+1,FALSE)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9" s="48">
        <f ca="1">VLOOKUP($F509,OFFSET(enemy_skill_triggers!$A$1,0,0,COUNTA(enemy_skill_triggers!$A:$A),MATCH(L$1,enemy_skill_triggers!$1:$1,0)-MATCH($F$1,enemy_skill_triggers!$1:$1,0)+1),MATCH(L$1,enemy_skill_triggers!$1:$1,0)-MATCH($F$1,enemy_skill_triggers!$1:$1,0)+1,FALSE)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9" s="48">
        <f ca="1">VLOOKUP($F509,OFFSET(enemy_skill_triggers!$A$1,0,0,COUNTA(enemy_skill_triggers!$A:$A),MATCH(M$1,enemy_skill_triggers!$1:$1,0)-MATCH($F$1,enemy_skill_triggers!$1:$1,0)+1),MATCH(M$1,enemy_skill_triggers!$1:$1,0)-MATCH($F$1,enemy_skill_triggers!$1:$1,0)+1,FALSE)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09" s="48" t="str">
        <f ca="1">VLOOKUP($F509,OFFSET(enemy_skill_triggers!$A$1,0,0,COUNTA(enemy_skill_triggers!$A:$A),MATCH(N$1,enemy_skill_triggers!$1:$1,0)-MATCH($F$1,enemy_skill_triggers!$1:$1,0)+1),MATCH(N$1,enemy_skill_triggers!$1:$1,0)-MATCH($F$1,enemy_skill_triggers!$1:$1,0)+1,FALSE)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9" s="48">
        <f ca="1">VLOOKUP($F509,OFFSET(enemy_skill_triggers!$A$1,0,0,COUNTA(enemy_skill_triggers!$A:$A),MATCH(O$1,enemy_skill_triggers!$1:$1,0)-MATCH($F$1,enemy_skill_triggers!$1:$1,0)+1),MATCH(O$1,enemy_skill_triggers!$1:$1,0)-MATCH($F$1,enemy_skill_triggers!$1:$1,0)+1,FALSE)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9" s="47"/>
      <c r="Q509" s="47"/>
      <c r="R509" s="47"/>
    </row>
    <row r="510" spans="1:18" ht="21" customHeight="1" x14ac:dyDescent="0.15">
      <c r="A510" s="39" t="str">
        <f t="shared" si="43"/>
        <v>47004960_47004967</v>
      </c>
      <c r="B510" s="109">
        <v>47004960</v>
      </c>
      <c r="C510" s="47">
        <v>47004967</v>
      </c>
      <c r="D510" s="46" t="str">
        <f ca="1">VLOOKUP($C510,OFFSET(enemy_skills!$A$1,0,0,COUNTA(enemy_skills!$A:$A),MATCH(D$1,enemy_skills!$1:$1,0)-MATCH("enemy_skill_id",enemy_skills!$1:$1,0)+1),MATCH(D$1,enemy_skills!$1:$1,0)-MATCH("enemy_skill_id",enemy_skills!$1:$1,0)+1,FALSE)</f>
        <v>緑に踊る細氷</v>
      </c>
      <c r="E510" s="46" t="str">
        <f ca="1">VLOOKUP($C510,OFFSET(enemy_skills!$A$1,0,0,COUNTA(enemy_skills!$A:$A),MATCH(E$1,enemy_skills!$1:$1,0)-MATCH("enemy_skill_id",enemy_skills!$1:$1,0)+1),MATCH(E$1,enemy_skills!$1:$1,0)-MATCH("enemy_skill_id",enemy_skills!$1:$1,0)+1,FALSE)</f>
        <v>緑パネルを青のダメージパネルに変換+単体攻撃</v>
      </c>
      <c r="F510" s="47">
        <v>47004967</v>
      </c>
      <c r="G510" s="48">
        <f ca="1">VLOOKUP($F510,OFFSET(enemy_skill_triggers!$A$1,0,0,COUNTA(enemy_skill_triggers!$A:$A),MATCH(G$1,enemy_skill_triggers!$1:$1,0)-MATCH($F$1,enemy_skill_triggers!$1:$1,0)+1),MATCH(G$1,enemy_skill_triggers!$1:$1,0)-MATCH($F$1,enemy_skill_triggers!$1:$1,0)+1,FALSE)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0" s="48">
        <f ca="1">VLOOKUP($F510,OFFSET(enemy_skill_triggers!$A$1,0,0,COUNTA(enemy_skill_triggers!$A:$A),MATCH(H$1,enemy_skill_triggers!$1:$1,0)-MATCH($F$1,enemy_skill_triggers!$1:$1,0)+1),MATCH(H$1,enemy_skill_triggers!$1:$1,0)-MATCH($F$1,enemy_skill_triggers!$1:$1,0)+1,FALSE)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510" s="48">
        <f ca="1">VLOOKUP($F510,OFFSET(enemy_skill_triggers!$A$1,0,0,COUNTA(enemy_skill_triggers!$A:$A),MATCH(I$1,enemy_skill_triggers!$1:$1,0)-MATCH($F$1,enemy_skill_triggers!$1:$1,0)+1),MATCH(I$1,enemy_skill_triggers!$1:$1,0)-MATCH($F$1,enemy_skill_triggers!$1:$1,0)+1,FALSE)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0" s="48" t="str">
        <f ca="1">VLOOKUP($F510,OFFSET(enemy_skill_triggers!$A$1,0,0,COUNTA(enemy_skill_triggers!$A:$A),MATCH(J$1,enemy_skill_triggers!$1:$1,0)-MATCH($F$1,enemy_skill_triggers!$1:$1,0)+1),MATCH(J$1,enemy_skill_triggers!$1:$1,0)-MATCH($F$1,enemy_skill_triggers!$1:$1,0)+1,FALSE)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0" s="48" t="str">
        <f ca="1">VLOOKUP($F510,OFFSET(enemy_skill_triggers!$A$1,0,0,COUNTA(enemy_skill_triggers!$A:$A),MATCH(K$1,enemy_skill_triggers!$1:$1,0)-MATCH($F$1,enemy_skill_triggers!$1:$1,0)+1),MATCH(K$1,enemy_skill_triggers!$1:$1,0)-MATCH($F$1,enemy_skill_triggers!$1:$1,0)+1,FALSE)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0" s="48">
        <f ca="1">VLOOKUP($F510,OFFSET(enemy_skill_triggers!$A$1,0,0,COUNTA(enemy_skill_triggers!$A:$A),MATCH(L$1,enemy_skill_triggers!$1:$1,0)-MATCH($F$1,enemy_skill_triggers!$1:$1,0)+1),MATCH(L$1,enemy_skill_triggers!$1:$1,0)-MATCH($F$1,enemy_skill_triggers!$1:$1,0)+1,FALSE)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0" s="48">
        <f ca="1">VLOOKUP($F510,OFFSET(enemy_skill_triggers!$A$1,0,0,COUNTA(enemy_skill_triggers!$A:$A),MATCH(M$1,enemy_skill_triggers!$1:$1,0)-MATCH($F$1,enemy_skill_triggers!$1:$1,0)+1),MATCH(M$1,enemy_skill_triggers!$1:$1,0)-MATCH($F$1,enemy_skill_triggers!$1:$1,0)+1,FALSE)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510" s="48" t="str">
        <f ca="1">VLOOKUP($F510,OFFSET(enemy_skill_triggers!$A$1,0,0,COUNTA(enemy_skill_triggers!$A:$A),MATCH(N$1,enemy_skill_triggers!$1:$1,0)-MATCH($F$1,enemy_skill_triggers!$1:$1,0)+1),MATCH(N$1,enemy_skill_triggers!$1:$1,0)-MATCH($F$1,enemy_skill_triggers!$1:$1,0)+1,FALSE)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0" s="48">
        <f ca="1">VLOOKUP($F510,OFFSET(enemy_skill_triggers!$A$1,0,0,COUNTA(enemy_skill_triggers!$A:$A),MATCH(O$1,enemy_skill_triggers!$1:$1,0)-MATCH($F$1,enemy_skill_triggers!$1:$1,0)+1),MATCH(O$1,enemy_skill_triggers!$1:$1,0)-MATCH($F$1,enemy_skill_triggers!$1:$1,0)+1,FALSE)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0" s="47"/>
      <c r="Q510" s="47"/>
      <c r="R510" s="47"/>
    </row>
    <row r="511" spans="1:18" ht="21" customHeight="1" x14ac:dyDescent="0.15">
      <c r="A511" s="39" t="str">
        <f t="shared" si="43"/>
        <v>47004960_47004968</v>
      </c>
      <c r="B511" s="109">
        <v>47004960</v>
      </c>
      <c r="C511" s="47">
        <v>47004968</v>
      </c>
      <c r="D511" s="46" t="str">
        <f ca="1">VLOOKUP($C511,OFFSET(enemy_skills!$A$1,0,0,COUNTA(enemy_skills!$A:$A),MATCH(D$1,enemy_skills!$1:$1,0)-MATCH("enemy_skill_id",enemy_skills!$1:$1,0)+1),MATCH(D$1,enemy_skills!$1:$1,0)-MATCH("enemy_skill_id",enemy_skills!$1:$1,0)+1,FALSE)</f>
        <v>Day 25</v>
      </c>
      <c r="E511" s="46" t="str">
        <f ca="1">VLOOKUP($C511,OFFSET(enemy_skills!$A$1,0,0,COUNTA(enemy_skills!$A:$A),MATCH(E$1,enemy_skills!$1:$1,0)-MATCH("enemy_skill_id",enemy_skills!$1:$1,0)+1),MATCH(E$1,enemy_skills!$1:$1,0)-MATCH("enemy_skill_id",enemy_skills!$1:$1,0)+1,FALSE)</f>
        <v>25回連続攻撃</v>
      </c>
      <c r="F511" s="47">
        <v>47004968</v>
      </c>
      <c r="G511" s="48">
        <f ca="1">VLOOKUP($F511,OFFSET(enemy_skill_triggers!$A$1,0,0,COUNTA(enemy_skill_triggers!$A:$A),MATCH(G$1,enemy_skill_triggers!$1:$1,0)-MATCH($F$1,enemy_skill_triggers!$1:$1,0)+1),MATCH(G$1,enemy_skill_triggers!$1:$1,0)-MATCH($F$1,enemy_skill_triggers!$1:$1,0)+1,FALSE)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1" s="48">
        <f ca="1">VLOOKUP($F511,OFFSET(enemy_skill_triggers!$A$1,0,0,COUNTA(enemy_skill_triggers!$A:$A),MATCH(H$1,enemy_skill_triggers!$1:$1,0)-MATCH($F$1,enemy_skill_triggers!$1:$1,0)+1),MATCH(H$1,enemy_skill_triggers!$1:$1,0)-MATCH($F$1,enemy_skill_triggers!$1:$1,0)+1,FALSE)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511" s="48">
        <f ca="1">VLOOKUP($F511,OFFSET(enemy_skill_triggers!$A$1,0,0,COUNTA(enemy_skill_triggers!$A:$A),MATCH(I$1,enemy_skill_triggers!$1:$1,0)-MATCH($F$1,enemy_skill_triggers!$1:$1,0)+1),MATCH(I$1,enemy_skill_triggers!$1:$1,0)-MATCH($F$1,enemy_skill_triggers!$1:$1,0)+1,FALSE)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1" s="48" t="str">
        <f ca="1">VLOOKUP($F511,OFFSET(enemy_skill_triggers!$A$1,0,0,COUNTA(enemy_skill_triggers!$A:$A),MATCH(J$1,enemy_skill_triggers!$1:$1,0)-MATCH($F$1,enemy_skill_triggers!$1:$1,0)+1),MATCH(J$1,enemy_skill_triggers!$1:$1,0)-MATCH($F$1,enemy_skill_triggers!$1:$1,0)+1,FALSE)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1" s="48" t="str">
        <f ca="1">VLOOKUP($F511,OFFSET(enemy_skill_triggers!$A$1,0,0,COUNTA(enemy_skill_triggers!$A:$A),MATCH(K$1,enemy_skill_triggers!$1:$1,0)-MATCH($F$1,enemy_skill_triggers!$1:$1,0)+1),MATCH(K$1,enemy_skill_triggers!$1:$1,0)-MATCH($F$1,enemy_skill_triggers!$1:$1,0)+1,FALSE)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1" s="48">
        <f ca="1">VLOOKUP($F511,OFFSET(enemy_skill_triggers!$A$1,0,0,COUNTA(enemy_skill_triggers!$A:$A),MATCH(L$1,enemy_skill_triggers!$1:$1,0)-MATCH($F$1,enemy_skill_triggers!$1:$1,0)+1),MATCH(L$1,enemy_skill_triggers!$1:$1,0)-MATCH($F$1,enemy_skill_triggers!$1:$1,0)+1,FALSE)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1" s="48">
        <f ca="1">VLOOKUP($F511,OFFSET(enemy_skill_triggers!$A$1,0,0,COUNTA(enemy_skill_triggers!$A:$A),MATCH(M$1,enemy_skill_triggers!$1:$1,0)-MATCH($F$1,enemy_skill_triggers!$1:$1,0)+1),MATCH(M$1,enemy_skill_triggers!$1:$1,0)-MATCH($F$1,enemy_skill_triggers!$1:$1,0)+1,FALSE)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511" s="48" t="str">
        <f ca="1">VLOOKUP($F511,OFFSET(enemy_skill_triggers!$A$1,0,0,COUNTA(enemy_skill_triggers!$A:$A),MATCH(N$1,enemy_skill_triggers!$1:$1,0)-MATCH($F$1,enemy_skill_triggers!$1:$1,0)+1),MATCH(N$1,enemy_skill_triggers!$1:$1,0)-MATCH($F$1,enemy_skill_triggers!$1:$1,0)+1,FALSE)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1" s="48">
        <f ca="1">VLOOKUP($F511,OFFSET(enemy_skill_triggers!$A$1,0,0,COUNTA(enemy_skill_triggers!$A:$A),MATCH(O$1,enemy_skill_triggers!$1:$1,0)-MATCH($F$1,enemy_skill_triggers!$1:$1,0)+1),MATCH(O$1,enemy_skill_triggers!$1:$1,0)-MATCH($F$1,enemy_skill_triggers!$1:$1,0)+1,FALSE)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1" s="47"/>
      <c r="Q511" s="47"/>
      <c r="R511" s="47"/>
    </row>
    <row r="512" spans="1:18" ht="21" customHeight="1" x14ac:dyDescent="0.15">
      <c r="A512" s="39" t="str">
        <f t="shared" si="43"/>
        <v>47004960_47004969</v>
      </c>
      <c r="B512" s="109">
        <v>47004960</v>
      </c>
      <c r="C512" s="47">
        <v>47004969</v>
      </c>
      <c r="D512" s="46" t="str">
        <f ca="1">VLOOKUP($C512,OFFSET(enemy_skills!$A$1,0,0,COUNTA(enemy_skills!$A:$A),MATCH(D$1,enemy_skills!$1:$1,0)-MATCH("enemy_skill_id",enemy_skills!$1:$1,0)+1),MATCH(D$1,enemy_skills!$1:$1,0)-MATCH("enemy_skill_id",enemy_skills!$1:$1,0)+1,FALSE)</f>
        <v>うん…本当は分かっていたんだ…</v>
      </c>
      <c r="E512" s="46" t="str">
        <f ca="1">VLOOKUP($C512,OFFSET(enemy_skills!$A$1,0,0,COUNTA(enemy_skills!$A:$A),MATCH(E$1,enemy_skills!$1:$1,0)-MATCH("enemy_skill_id",enemy_skills!$1:$1,0)+1),MATCH(E$1,enemy_skills!$1:$1,0)-MATCH("enemy_skill_id",enemy_skills!$1:$1,0)+1,FALSE)</f>
        <v>シュプールを覆う強烈な冷気が治まってゆく</v>
      </c>
      <c r="F512" s="47">
        <v>47004969</v>
      </c>
      <c r="G512" s="48">
        <f ca="1">VLOOKUP($F512,OFFSET(enemy_skill_triggers!$A$1,0,0,COUNTA(enemy_skill_triggers!$A:$A),MATCH(G$1,enemy_skill_triggers!$1:$1,0)-MATCH($F$1,enemy_skill_triggers!$1:$1,0)+1),MATCH(G$1,enemy_skill_triggers!$1:$1,0)-MATCH($F$1,enemy_skill_triggers!$1:$1,0)+1,FALSE)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2" s="48">
        <f ca="1">VLOOKUP($F512,OFFSET(enemy_skill_triggers!$A$1,0,0,COUNTA(enemy_skill_triggers!$A:$A),MATCH(H$1,enemy_skill_triggers!$1:$1,0)-MATCH($F$1,enemy_skill_triggers!$1:$1,0)+1),MATCH(H$1,enemy_skill_triggers!$1:$1,0)-MATCH($F$1,enemy_skill_triggers!$1:$1,0)+1,FALSE)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512" s="48">
        <f ca="1">VLOOKUP($F512,OFFSET(enemy_skill_triggers!$A$1,0,0,COUNTA(enemy_skill_triggers!$A:$A),MATCH(I$1,enemy_skill_triggers!$1:$1,0)-MATCH($F$1,enemy_skill_triggers!$1:$1,0)+1),MATCH(I$1,enemy_skill_triggers!$1:$1,0)-MATCH($F$1,enemy_skill_triggers!$1:$1,0)+1,FALSE)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2" s="48" t="str">
        <f ca="1">VLOOKUP($F512,OFFSET(enemy_skill_triggers!$A$1,0,0,COUNTA(enemy_skill_triggers!$A:$A),MATCH(J$1,enemy_skill_triggers!$1:$1,0)-MATCH($F$1,enemy_skill_triggers!$1:$1,0)+1),MATCH(J$1,enemy_skill_triggers!$1:$1,0)-MATCH($F$1,enemy_skill_triggers!$1:$1,0)+1,FALSE)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2" s="48" t="str">
        <f ca="1">VLOOKUP($F512,OFFSET(enemy_skill_triggers!$A$1,0,0,COUNTA(enemy_skill_triggers!$A:$A),MATCH(K$1,enemy_skill_triggers!$1:$1,0)-MATCH($F$1,enemy_skill_triggers!$1:$1,0)+1),MATCH(K$1,enemy_skill_triggers!$1:$1,0)-MATCH($F$1,enemy_skill_triggers!$1:$1,0)+1,FALSE)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2" s="48">
        <f ca="1">VLOOKUP($F512,OFFSET(enemy_skill_triggers!$A$1,0,0,COUNTA(enemy_skill_triggers!$A:$A),MATCH(L$1,enemy_skill_triggers!$1:$1,0)-MATCH($F$1,enemy_skill_triggers!$1:$1,0)+1),MATCH(L$1,enemy_skill_triggers!$1:$1,0)-MATCH($F$1,enemy_skill_triggers!$1:$1,0)+1,FALSE)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2" s="48">
        <f ca="1">VLOOKUP($F512,OFFSET(enemy_skill_triggers!$A$1,0,0,COUNTA(enemy_skill_triggers!$A:$A),MATCH(M$1,enemy_skill_triggers!$1:$1,0)-MATCH($F$1,enemy_skill_triggers!$1:$1,0)+1),MATCH(M$1,enemy_skill_triggers!$1:$1,0)-MATCH($F$1,enemy_skill_triggers!$1:$1,0)+1,FALSE)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512" s="48" t="str">
        <f ca="1">VLOOKUP($F512,OFFSET(enemy_skill_triggers!$A$1,0,0,COUNTA(enemy_skill_triggers!$A:$A),MATCH(N$1,enemy_skill_triggers!$1:$1,0)-MATCH($F$1,enemy_skill_triggers!$1:$1,0)+1),MATCH(N$1,enemy_skill_triggers!$1:$1,0)-MATCH($F$1,enemy_skill_triggers!$1:$1,0)+1,FALSE)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2" s="48">
        <f ca="1">VLOOKUP($F512,OFFSET(enemy_skill_triggers!$A$1,0,0,COUNTA(enemy_skill_triggers!$A:$A),MATCH(O$1,enemy_skill_triggers!$1:$1,0)-MATCH($F$1,enemy_skill_triggers!$1:$1,0)+1),MATCH(O$1,enemy_skill_triggers!$1:$1,0)-MATCH($F$1,enemy_skill_triggers!$1:$1,0)+1,FALSE)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2" s="47"/>
      <c r="Q512" s="47"/>
      <c r="R512" s="47"/>
    </row>
    <row r="513" spans="1:18" ht="21" customHeight="1" x14ac:dyDescent="0.15">
      <c r="A513" s="39" t="str">
        <f t="shared" si="43"/>
        <v>47004960_47004970</v>
      </c>
      <c r="B513" s="109">
        <v>47004960</v>
      </c>
      <c r="C513" s="47">
        <v>47004970</v>
      </c>
      <c r="D513" s="46" t="str">
        <f ca="1">VLOOKUP($C513,OFFSET(enemy_skills!$A$1,0,0,COUNTA(enemy_skills!$A:$A),MATCH(D$1,enemy_skills!$1:$1,0)-MATCH("enemy_skill_id",enemy_skills!$1:$1,0)+1),MATCH(D$1,enemy_skills!$1:$1,0)-MATCH("enemy_skill_id",enemy_skills!$1:$1,0)+1,FALSE)</f>
        <v>ありがとう…諦めないでいてくれて…</v>
      </c>
      <c r="E513" s="46" t="str">
        <f ca="1">VLOOKUP($C513,OFFSET(enemy_skills!$A$1,0,0,COUNTA(enemy_skills!$A:$A),MATCH(E$1,enemy_skills!$1:$1,0)-MATCH("enemy_skill_id",enemy_skills!$1:$1,0)+1),MATCH(E$1,enemy_skills!$1:$1,0)-MATCH("enemy_skill_id",enemy_skills!$1:$1,0)+1,FALSE)</f>
        <v>みんなも待っていてくれるんだね…うん、行くよ！</v>
      </c>
      <c r="F513" s="47">
        <v>47004970</v>
      </c>
      <c r="G513" s="48">
        <f ca="1">VLOOKUP($F513,OFFSET(enemy_skill_triggers!$A$1,0,0,COUNTA(enemy_skill_triggers!$A:$A),MATCH(G$1,enemy_skill_triggers!$1:$1,0)-MATCH($F$1,enemy_skill_triggers!$1:$1,0)+1),MATCH(G$1,enemy_skill_triggers!$1:$1,0)-MATCH($F$1,enemy_skill_triggers!$1:$1,0)+1,FALSE)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3" s="48">
        <f ca="1">VLOOKUP($F513,OFFSET(enemy_skill_triggers!$A$1,0,0,COUNTA(enemy_skill_triggers!$A:$A),MATCH(H$1,enemy_skill_triggers!$1:$1,0)-MATCH($F$1,enemy_skill_triggers!$1:$1,0)+1),MATCH(H$1,enemy_skill_triggers!$1:$1,0)-MATCH($F$1,enemy_skill_triggers!$1:$1,0)+1,FALSE)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13" s="48">
        <f ca="1">VLOOKUP($F513,OFFSET(enemy_skill_triggers!$A$1,0,0,COUNTA(enemy_skill_triggers!$A:$A),MATCH(I$1,enemy_skill_triggers!$1:$1,0)-MATCH($F$1,enemy_skill_triggers!$1:$1,0)+1),MATCH(I$1,enemy_skill_triggers!$1:$1,0)-MATCH($F$1,enemy_skill_triggers!$1:$1,0)+1,FALSE)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3" s="48" t="str">
        <f ca="1">VLOOKUP($F513,OFFSET(enemy_skill_triggers!$A$1,0,0,COUNTA(enemy_skill_triggers!$A:$A),MATCH(J$1,enemy_skill_triggers!$1:$1,0)-MATCH($F$1,enemy_skill_triggers!$1:$1,0)+1),MATCH(J$1,enemy_skill_triggers!$1:$1,0)-MATCH($F$1,enemy_skill_triggers!$1:$1,0)+1,FALSE)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3" s="48" t="str">
        <f ca="1">VLOOKUP($F513,OFFSET(enemy_skill_triggers!$A$1,0,0,COUNTA(enemy_skill_triggers!$A:$A),MATCH(K$1,enemy_skill_triggers!$1:$1,0)-MATCH($F$1,enemy_skill_triggers!$1:$1,0)+1),MATCH(K$1,enemy_skill_triggers!$1:$1,0)-MATCH($F$1,enemy_skill_triggers!$1:$1,0)+1,FALSE)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3" s="48">
        <f ca="1">VLOOKUP($F513,OFFSET(enemy_skill_triggers!$A$1,0,0,COUNTA(enemy_skill_triggers!$A:$A),MATCH(L$1,enemy_skill_triggers!$1:$1,0)-MATCH($F$1,enemy_skill_triggers!$1:$1,0)+1),MATCH(L$1,enemy_skill_triggers!$1:$1,0)-MATCH($F$1,enemy_skill_triggers!$1:$1,0)+1,FALSE)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3" s="48">
        <f ca="1">VLOOKUP($F513,OFFSET(enemy_skill_triggers!$A$1,0,0,COUNTA(enemy_skill_triggers!$A:$A),MATCH(M$1,enemy_skill_triggers!$1:$1,0)-MATCH($F$1,enemy_skill_triggers!$1:$1,0)+1),MATCH(M$1,enemy_skill_triggers!$1:$1,0)-MATCH($F$1,enemy_skill_triggers!$1:$1,0)+1,FALSE)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3" s="48">
        <f ca="1">VLOOKUP($F513,OFFSET(enemy_skill_triggers!$A$1,0,0,COUNTA(enemy_skill_triggers!$A:$A),MATCH(N$1,enemy_skill_triggers!$1:$1,0)-MATCH($F$1,enemy_skill_triggers!$1:$1,0)+1),MATCH(N$1,enemy_skill_triggers!$1:$1,0)-MATCH($F$1,enemy_skill_triggers!$1:$1,0)+1,FALSE)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13" s="48">
        <f ca="1">VLOOKUP($F513,OFFSET(enemy_skill_triggers!$A$1,0,0,COUNTA(enemy_skill_triggers!$A:$A),MATCH(O$1,enemy_skill_triggers!$1:$1,0)-MATCH($F$1,enemy_skill_triggers!$1:$1,0)+1),MATCH(O$1,enemy_skill_triggers!$1:$1,0)-MATCH($F$1,enemy_skill_triggers!$1:$1,0)+1,FALSE)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3" s="47"/>
      <c r="Q513" s="47"/>
      <c r="R513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21"/>
  <sheetViews>
    <sheetView showGridLines="0" tabSelected="1" zoomScale="110" zoomScaleNormal="110" zoomScalePageLayoutView="110" workbookViewId="0">
      <pane ySplit="1" topLeftCell="A61" activePane="bottomLeft" state="frozenSplit"/>
      <selection pane="bottomLeft" activeCell="F227" sqref="F227"/>
    </sheetView>
  </sheetViews>
  <sheetFormatPr baseColWidth="12" defaultColWidth="12.83203125" defaultRowHeight="40" customHeight="1" outlineLevelCol="1" x14ac:dyDescent="0.15"/>
  <cols>
    <col min="1" max="1" width="12.83203125" style="49"/>
    <col min="2" max="2" width="79.6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40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40" customHeight="1" x14ac:dyDescent="0.15">
      <c r="A2" s="47">
        <v>47004001</v>
      </c>
      <c r="B2" s="47" t="s">
        <v>491</v>
      </c>
      <c r="C2" s="50">
        <v>3</v>
      </c>
      <c r="D2" s="50" t="s">
        <v>127</v>
      </c>
      <c r="E2" s="51" t="s">
        <v>303</v>
      </c>
      <c r="F2" s="51" t="s">
        <v>304</v>
      </c>
      <c r="G2" s="63" t="str">
        <f>IFERROR(LEFT(B2,FIND("],",B2)),B2)</f>
        <v>[effect:enemy_message, val1:1.2, val2:2.0]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>[effect:fix_speed, target:myself, turn:1]</v>
      </c>
      <c r="N2" s="48" t="str">
        <f>IFERROR(LEFT(M2,FIND("],",M2)+S15),M2)</f>
        <v>[effect:fix_speed, target:myself, turn:1]</v>
      </c>
      <c r="O2" s="63">
        <f>FIND("effect:",N2)+7</f>
        <v>9</v>
      </c>
      <c r="P2" s="63">
        <f>IFERROR(FIND(",",N2),LEN(N2))</f>
        <v>18</v>
      </c>
      <c r="Q2" s="63">
        <f>FIND("target:",N2)+7</f>
        <v>27</v>
      </c>
      <c r="R2" s="63">
        <f>FIND(",",N2,P2+1)</f>
        <v>33</v>
      </c>
      <c r="S2" s="63" t="str">
        <f>IFERROR(VLOOKUP(MID(N2,Q2,R2-Q2),[6]skilldef!$C:$D,2,FALSE),"-") &amp; " / " &amp; IFERROR(VLOOKUP(MID(N2,O2,P2-O2),[6]skilldef!$A:$B,2,FALSE),"-")</f>
        <v>自分自身に / 行動値設定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40" customHeight="1" x14ac:dyDescent="0.15">
      <c r="A3" s="47">
        <v>47004002</v>
      </c>
      <c r="B3" s="47" t="s">
        <v>492</v>
      </c>
      <c r="C3" s="50">
        <v>3</v>
      </c>
      <c r="D3" s="50" t="s">
        <v>127</v>
      </c>
      <c r="E3" s="51" t="s">
        <v>308</v>
      </c>
      <c r="F3" s="51" t="s">
        <v>430</v>
      </c>
      <c r="G3" s="63" t="str">
        <f t="shared" ref="G3:G76" si="0">IFERROR(LEFT(B3,FIND("],",B3)),B3)</f>
        <v>[effect:enemy_message, val1:1.2, val2:1.2]</v>
      </c>
      <c r="H3" s="63">
        <f t="shared" ref="H3:H76" si="1">FIND("effect:",G3)+7</f>
        <v>9</v>
      </c>
      <c r="I3" s="63">
        <f t="shared" ref="I3:I76" si="2">IFERROR(FIND(",",G3),LEN(G3))</f>
        <v>22</v>
      </c>
      <c r="J3" s="63" t="e">
        <f t="shared" ref="J3:J76" si="3">FIND("target:",G3)+7</f>
        <v>#VALUE!</v>
      </c>
      <c r="K3" s="63">
        <f t="shared" ref="K3:K76" si="4">FIND(",",G3,I3+1)</f>
        <v>32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ref="M3:M76" si="5">IFERROR(RIGHT(B3,LEN(B3)-FIND("],",B3)-1),"none")</f>
        <v>[effect:rush, count:4, val:0.3]</v>
      </c>
      <c r="N3" s="48" t="str">
        <f>IFERROR(LEFT(M3,FIND("],",M3)+S15),M3)</f>
        <v>[effect:rush, count:4, val:0.3]</v>
      </c>
      <c r="O3" s="63">
        <f t="shared" ref="O3:O76" si="6">FIND("effect:",N3)+7</f>
        <v>9</v>
      </c>
      <c r="P3" s="63">
        <f t="shared" ref="P3:P76" si="7">IFERROR(FIND(",",N3),LEN(N3))</f>
        <v>13</v>
      </c>
      <c r="Q3" s="63" t="e">
        <f t="shared" ref="Q3:Q76" si="8">FIND("target:",N3)+7</f>
        <v>#VALUE!</v>
      </c>
      <c r="R3" s="63">
        <f t="shared" ref="R3:R76" si="9">FIND(",",N3,P3+1)</f>
        <v>22</v>
      </c>
      <c r="S3" s="63" t="str">
        <f>IFERROR(VLOOKUP(MID(N3,Q3,R3-Q3),[6]skilldef!$C:$D,2,FALSE),"-") &amp; " / " &amp; IFERROR(VLOOKUP(MID(N3,O3,P3-O3),[6]skilldef!$A:$B,2,FALSE),"-")</f>
        <v>- / 連続攻撃</v>
      </c>
      <c r="T3" s="48" t="str">
        <f t="shared" ref="T3:T76" si="10">IFERROR(RIGHT(M3,LEN(M3)-FIND("],",M3)-1),"none")</f>
        <v>none</v>
      </c>
      <c r="U3" s="63" t="e">
        <f t="shared" ref="U3:U76" si="11">FIND("effect:",T3)+7</f>
        <v>#VALUE!</v>
      </c>
      <c r="V3" s="63">
        <f t="shared" ref="V3:V76" si="12">IFERROR(FIND(",",T3),LEN(T3))</f>
        <v>4</v>
      </c>
      <c r="W3" s="63" t="e">
        <f t="shared" ref="W3:W76" si="13">FIND("target:",T3)+7</f>
        <v>#VALUE!</v>
      </c>
      <c r="X3" s="63" t="e">
        <f t="shared" ref="X3:X76" si="14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40" customHeight="1" x14ac:dyDescent="0.15">
      <c r="A4" s="47">
        <v>47004003</v>
      </c>
      <c r="B4" s="133" t="s">
        <v>493</v>
      </c>
      <c r="C4" s="50">
        <v>3</v>
      </c>
      <c r="D4" s="50" t="s">
        <v>127</v>
      </c>
      <c r="E4" s="51" t="s">
        <v>305</v>
      </c>
      <c r="F4" s="51" t="s">
        <v>453</v>
      </c>
      <c r="G4" s="63" t="str">
        <f t="shared" si="0"/>
        <v>[effect:enemy_message, val1:2.7, val2:1.2]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>[effect:enhance_enemy, target:enemy_all, turn:-1, status:attack, val:0.5, calc:mul, animation:enemy_enhance_attack]</v>
      </c>
      <c r="N4" s="48" t="str">
        <f>IFERROR(LEFT(M4,FIND("],",M4)+S16),M4)</f>
        <v>[effect:enhance_enemy, target:enemy_all, turn:-1, status:attack, val:0.5, calc:mul, animation:enemy_enhance_attack]</v>
      </c>
      <c r="O4" s="63">
        <f t="shared" si="6"/>
        <v>9</v>
      </c>
      <c r="P4" s="63">
        <f t="shared" si="7"/>
        <v>22</v>
      </c>
      <c r="Q4" s="63">
        <f t="shared" si="8"/>
        <v>31</v>
      </c>
      <c r="R4" s="63">
        <f t="shared" si="9"/>
        <v>40</v>
      </c>
      <c r="S4" s="63" t="str">
        <f>IFERROR(VLOOKUP(MID(N4,Q4,R4-Q4),[6]skilldef!$C:$D,2,FALSE),"-") &amp; " / " &amp; IFERROR(VLOOKUP(MID(N4,O4,P4-O4),[6]skilldef!$A:$B,2,FALSE),"-")</f>
        <v>敵全体に / ステータス強化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40" customHeight="1" x14ac:dyDescent="0.15">
      <c r="A5" s="47">
        <v>47004004</v>
      </c>
      <c r="B5" s="133" t="s">
        <v>494</v>
      </c>
      <c r="C5" s="50">
        <v>3</v>
      </c>
      <c r="D5" s="50" t="s">
        <v>127</v>
      </c>
      <c r="E5" s="116" t="s">
        <v>264</v>
      </c>
      <c r="F5" s="51" t="s">
        <v>454</v>
      </c>
      <c r="G5" s="63" t="str">
        <f t="shared" si="0"/>
        <v>[effect:enemy_message, val1:1.2, val2:5.0]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5"/>
        <v>[effect:fix_speed, target:myself, turn:1],[effect:sp_boost, target:unit_all, val:4],[effect:crash_condition, target:unit_all, turn:-1, val:-2, animation:crash_panel_reduce04],[effect:suicide, val:0.95]</v>
      </c>
      <c r="N5" s="48" t="str">
        <f>IFERROR(LEFT(M5,FIND("],",M5)+S17),M5)</f>
        <v>[effect:fix_speed, target:myself, turn:1],[effect:sp_boost, target:unit_all, val:4],[effect:crash_condition, target:unit_all, turn:-1, val:-2, animation:crash_panel_reduce04],[effect:suicide, val:0.95]</v>
      </c>
      <c r="O5" s="63">
        <f t="shared" si="6"/>
        <v>9</v>
      </c>
      <c r="P5" s="63">
        <f t="shared" si="7"/>
        <v>18</v>
      </c>
      <c r="Q5" s="63">
        <f t="shared" si="8"/>
        <v>27</v>
      </c>
      <c r="R5" s="63">
        <f t="shared" si="9"/>
        <v>33</v>
      </c>
      <c r="S5" s="63" t="str">
        <f>IFERROR(VLOOKUP(MID(N5,Q5,R5-Q5),[6]skilldef!$C:$D,2,FALSE),"-") &amp; " / " &amp; IFERROR(VLOOKUP(MID(N5,O5,P5-O5),[6]skilldef!$A:$B,2,FALSE),"-")</f>
        <v>自分自身に / 行動値設定</v>
      </c>
      <c r="T5" s="48" t="str">
        <f t="shared" si="10"/>
        <v>[effect:sp_boost, target:unit_all, val:4],[effect:crash_condition, target:unit_all, turn:-1, val:-2, animation:crash_panel_reduce04],[effect:suicide, val:0.95]</v>
      </c>
      <c r="U5" s="63">
        <f t="shared" si="11"/>
        <v>9</v>
      </c>
      <c r="V5" s="63">
        <f t="shared" si="12"/>
        <v>17</v>
      </c>
      <c r="W5" s="63">
        <f t="shared" si="13"/>
        <v>26</v>
      </c>
      <c r="X5" s="63">
        <f t="shared" si="14"/>
        <v>34</v>
      </c>
      <c r="Y5" s="63" t="str">
        <f>IFERROR(VLOOKUP(MID(T5,W5,X5-W5),[6]skilldef!$C:$D,2,FALSE),"-") &amp; " / " &amp; IFERROR(VLOOKUP(MID(T5,U5,V5-U5),[6]skilldef!$A:$B,2,FALSE),"-")</f>
        <v>味方全体に / -</v>
      </c>
      <c r="Z5" s="50"/>
      <c r="AA5" s="52"/>
      <c r="AB5" s="50"/>
    </row>
    <row r="6" spans="1:28" ht="40" customHeight="1" x14ac:dyDescent="0.15">
      <c r="A6" s="47">
        <v>47004005</v>
      </c>
      <c r="B6" s="133" t="s">
        <v>495</v>
      </c>
      <c r="C6" s="50">
        <v>3</v>
      </c>
      <c r="D6" s="50" t="s">
        <v>127</v>
      </c>
      <c r="E6" s="116" t="s">
        <v>265</v>
      </c>
      <c r="F6" s="51" t="s">
        <v>454</v>
      </c>
      <c r="G6" s="63" t="str">
        <f t="shared" si="0"/>
        <v>[effect:enemy_message, val1:1.7, val2:5.0]</v>
      </c>
      <c r="H6" s="63">
        <f t="shared" si="1"/>
        <v>9</v>
      </c>
      <c r="I6" s="63">
        <f t="shared" si="2"/>
        <v>22</v>
      </c>
      <c r="J6" s="63" t="e">
        <f t="shared" si="3"/>
        <v>#VALUE!</v>
      </c>
      <c r="K6" s="63">
        <f t="shared" si="4"/>
        <v>32</v>
      </c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si="5"/>
        <v>[effect:fix_speed, target:myself, turn:1],[effect:sp_boost, target:unit_all, val:4],[effect:crash_condition, target:unit_all, turn:-1, val:-2, animation:crash_panel_reduce04],[effect:suicide, val:0.95]</v>
      </c>
      <c r="N6" s="48" t="str">
        <f>IFERROR(LEFT(M6,FIND("],",M6)+S18),M6)</f>
        <v>[effect:fix_speed, target:myself, turn:1],[effect:sp_boost, target:unit_all, val:4],[effect:crash_condition, target:unit_all, turn:-1, val:-2, animation:crash_panel_reduce04],[effect:suicide, val:0.95]</v>
      </c>
      <c r="O6" s="63">
        <f t="shared" si="6"/>
        <v>9</v>
      </c>
      <c r="P6" s="63">
        <f t="shared" si="7"/>
        <v>18</v>
      </c>
      <c r="Q6" s="63">
        <f t="shared" si="8"/>
        <v>27</v>
      </c>
      <c r="R6" s="63">
        <f t="shared" si="9"/>
        <v>33</v>
      </c>
      <c r="S6" s="63" t="str">
        <f>IFERROR(VLOOKUP(MID(N6,Q6,R6-Q6),[6]skilldef!$C:$D,2,FALSE),"-") &amp; " / " &amp; IFERROR(VLOOKUP(MID(N6,O6,P6-O6),[6]skilldef!$A:$B,2,FALSE),"-")</f>
        <v>自分自身に / 行動値設定</v>
      </c>
      <c r="T6" s="48" t="str">
        <f t="shared" si="10"/>
        <v>[effect:sp_boost, target:unit_all, val:4],[effect:crash_condition, target:unit_all, turn:-1, val:-2, animation:crash_panel_reduce04],[effect:suicide, val:0.95]</v>
      </c>
      <c r="U6" s="63">
        <f t="shared" si="11"/>
        <v>9</v>
      </c>
      <c r="V6" s="63">
        <f t="shared" si="12"/>
        <v>17</v>
      </c>
      <c r="W6" s="63">
        <f t="shared" si="13"/>
        <v>26</v>
      </c>
      <c r="X6" s="63">
        <f t="shared" si="14"/>
        <v>34</v>
      </c>
      <c r="Y6" s="63" t="str">
        <f>IFERROR(VLOOKUP(MID(T6,W6,X6-W6),[6]skilldef!$C:$D,2,FALSE),"-") &amp; " / " &amp; IFERROR(VLOOKUP(MID(T6,U6,V6-U6),[6]skilldef!$A:$B,2,FALSE),"-")</f>
        <v>味方全体に / -</v>
      </c>
      <c r="Z6" s="50"/>
      <c r="AA6" s="52"/>
      <c r="AB6" s="50"/>
    </row>
    <row r="7" spans="1:28" ht="40" customHeight="1" x14ac:dyDescent="0.15">
      <c r="A7" s="47">
        <v>47004006</v>
      </c>
      <c r="B7" s="133" t="s">
        <v>496</v>
      </c>
      <c r="C7" s="50">
        <v>3</v>
      </c>
      <c r="D7" s="50" t="s">
        <v>127</v>
      </c>
      <c r="E7" s="116" t="s">
        <v>266</v>
      </c>
      <c r="F7" s="51" t="s">
        <v>456</v>
      </c>
      <c r="G7" s="63" t="str">
        <f t="shared" si="0"/>
        <v>[effect:enemy_message, val1:1.7, val2:5.0]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5"/>
        <v>[effect:fix_speed, target:myself, turn:1],[effect:sp_boost, target:unit_all, val:4],[effect:crash_condition, target:unit_all, turn:-1, val:-2, animation:crash_panel_reduce04],[effect:suicide, val:0.8]</v>
      </c>
      <c r="N7" s="48" t="str">
        <f>IFERROR(LEFT(M7,FIND("],",M7)+S20),M7)</f>
        <v>[effect:fix_speed, target:myself, turn:1],[effect:sp_boost, target:unit_all, val:4],[effect:crash_condition, target:unit_all, turn:-1, val:-2, animation:crash_panel_reduce04],[effect:suicide, val:0.8]</v>
      </c>
      <c r="O7" s="63">
        <f t="shared" si="6"/>
        <v>9</v>
      </c>
      <c r="P7" s="63">
        <f t="shared" si="7"/>
        <v>18</v>
      </c>
      <c r="Q7" s="63">
        <f t="shared" si="8"/>
        <v>27</v>
      </c>
      <c r="R7" s="63">
        <f t="shared" si="9"/>
        <v>33</v>
      </c>
      <c r="S7" s="63" t="str">
        <f>IFERROR(VLOOKUP(MID(N7,Q7,R7-Q7),[6]skilldef!$C:$D,2,FALSE),"-") &amp; " / " &amp; IFERROR(VLOOKUP(MID(N7,O7,P7-O7),[6]skilldef!$A:$B,2,FALSE),"-")</f>
        <v>自分自身に / 行動値設定</v>
      </c>
      <c r="T7" s="48" t="str">
        <f t="shared" si="10"/>
        <v>[effect:sp_boost, target:unit_all, val:4],[effect:crash_condition, target:unit_all, turn:-1, val:-2, animation:crash_panel_reduce04],[effect:suicide, val:0.8]</v>
      </c>
      <c r="U7" s="63">
        <f t="shared" si="11"/>
        <v>9</v>
      </c>
      <c r="V7" s="63">
        <f t="shared" si="12"/>
        <v>17</v>
      </c>
      <c r="W7" s="63">
        <f t="shared" si="13"/>
        <v>26</v>
      </c>
      <c r="X7" s="63">
        <f t="shared" si="14"/>
        <v>34</v>
      </c>
      <c r="Y7" s="63" t="str">
        <f>IFERROR(VLOOKUP(MID(T7,W7,X7-W7),[6]skilldef!$C:$D,2,FALSE),"-") &amp; " / " &amp; IFERROR(VLOOKUP(MID(T7,U7,V7-U7),[6]skilldef!$A:$B,2,FALSE),"-")</f>
        <v>味方全体に / -</v>
      </c>
      <c r="Z7" s="50"/>
      <c r="AA7" s="52"/>
      <c r="AB7" s="50"/>
    </row>
    <row r="8" spans="1:28" ht="40" customHeight="1" x14ac:dyDescent="0.15">
      <c r="A8" s="47">
        <v>47004007</v>
      </c>
      <c r="B8" s="133" t="s">
        <v>497</v>
      </c>
      <c r="C8" s="50">
        <v>3</v>
      </c>
      <c r="D8" s="50" t="s">
        <v>127</v>
      </c>
      <c r="E8" s="116" t="s">
        <v>267</v>
      </c>
      <c r="F8" s="51" t="s">
        <v>463</v>
      </c>
      <c r="G8" s="63" t="str">
        <f t="shared" si="0"/>
        <v>[effect:enemy_message, val1:2.9, val2:5.0]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>[effect:fix_speed, target:myself, turn:1],[effect:sp_boost, target:unit_all, val:4],[effect:crash_condition, target:unit_all, turn:-1, val:-2, animation:crash_panel_reduce04],[effect:suicide, val:0.8]</v>
      </c>
      <c r="N8" s="48" t="str">
        <f>IFERROR(LEFT(M8,FIND("],",M8)+S21),M8)</f>
        <v>[effect:fix_speed, target:myself, turn:1],[effect:sp_boost, target:unit_all, val:4],[effect:crash_condition, target:unit_all, turn:-1, val:-2, animation:crash_panel_reduce04],[effect:suicide, val:0.8]</v>
      </c>
      <c r="O8" s="63">
        <f t="shared" si="6"/>
        <v>9</v>
      </c>
      <c r="P8" s="63">
        <f t="shared" si="7"/>
        <v>18</v>
      </c>
      <c r="Q8" s="63">
        <f t="shared" si="8"/>
        <v>27</v>
      </c>
      <c r="R8" s="63">
        <f t="shared" si="9"/>
        <v>33</v>
      </c>
      <c r="S8" s="63" t="str">
        <f>IFERROR(VLOOKUP(MID(N8,Q8,R8-Q8),[6]skilldef!$C:$D,2,FALSE),"-") &amp; " / " &amp; IFERROR(VLOOKUP(MID(N8,O8,P8-O8),[6]skilldef!$A:$B,2,FALSE),"-")</f>
        <v>自分自身に / 行動値設定</v>
      </c>
      <c r="T8" s="48" t="str">
        <f t="shared" si="10"/>
        <v>[effect:sp_boost, target:unit_all, val:4],[effect:crash_condition, target:unit_all, turn:-1, val:-2, animation:crash_panel_reduce04],[effect:suicide, val:0.8]</v>
      </c>
      <c r="U8" s="63">
        <f t="shared" si="11"/>
        <v>9</v>
      </c>
      <c r="V8" s="63">
        <f t="shared" si="12"/>
        <v>17</v>
      </c>
      <c r="W8" s="63">
        <f t="shared" si="13"/>
        <v>26</v>
      </c>
      <c r="X8" s="63">
        <f t="shared" si="14"/>
        <v>34</v>
      </c>
      <c r="Y8" s="63" t="str">
        <f>IFERROR(VLOOKUP(MID(T8,W8,X8-W8),[6]skilldef!$C:$D,2,FALSE),"-") &amp; " / " &amp; IFERROR(VLOOKUP(MID(T8,U8,V8-U8),[6]skilldef!$A:$B,2,FALSE),"-")</f>
        <v>味方全体に / -</v>
      </c>
      <c r="Z8" s="50"/>
      <c r="AA8" s="52"/>
      <c r="AB8" s="50"/>
    </row>
    <row r="9" spans="1:28" ht="40" customHeight="1" x14ac:dyDescent="0.15">
      <c r="A9" s="47">
        <v>47004008</v>
      </c>
      <c r="B9" s="133" t="s">
        <v>498</v>
      </c>
      <c r="C9" s="50">
        <v>3</v>
      </c>
      <c r="D9" s="50" t="s">
        <v>127</v>
      </c>
      <c r="E9" s="116" t="s">
        <v>268</v>
      </c>
      <c r="F9" s="51" t="s">
        <v>463</v>
      </c>
      <c r="G9" s="63" t="str">
        <f t="shared" si="0"/>
        <v>[effect:enemy_message, val1:2.0, val2:5.0]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si="5"/>
        <v>[effect:fix_speed, target:myself, turn:1],[effect:sp_boost, target:unit_all, val:4],[effect:crash_condition, target:unit_all, turn:-1, val:-2, animation:crash_panel_reduce04],[effect:suicide, val:0.8]</v>
      </c>
      <c r="N9" s="48" t="str">
        <f>IFERROR(LEFT(M9,FIND("],",M9)+S22),M9)</f>
        <v>[effect:fix_speed, target:myself, turn:1],[effect:sp_boost, target:unit_all, val:4],[effect:crash_condition, target:unit_all, turn:-1, val:-2, animation:crash_panel_reduce04],[effect:suicide, val:0.8]</v>
      </c>
      <c r="O9" s="63">
        <f t="shared" si="6"/>
        <v>9</v>
      </c>
      <c r="P9" s="63">
        <f t="shared" si="7"/>
        <v>18</v>
      </c>
      <c r="Q9" s="63">
        <f t="shared" si="8"/>
        <v>27</v>
      </c>
      <c r="R9" s="63">
        <f t="shared" si="9"/>
        <v>33</v>
      </c>
      <c r="S9" s="63" t="str">
        <f>IFERROR(VLOOKUP(MID(N9,Q9,R9-Q9),[6]skilldef!$C:$D,2,FALSE),"-") &amp; " / " &amp; IFERROR(VLOOKUP(MID(N9,O9,P9-O9),[6]skilldef!$A:$B,2,FALSE),"-")</f>
        <v>自分自身に / 行動値設定</v>
      </c>
      <c r="T9" s="48" t="str">
        <f t="shared" si="10"/>
        <v>[effect:sp_boost, target:unit_all, val:4],[effect:crash_condition, target:unit_all, turn:-1, val:-2, animation:crash_panel_reduce04],[effect:suicide, val:0.8]</v>
      </c>
      <c r="U9" s="63">
        <f t="shared" si="11"/>
        <v>9</v>
      </c>
      <c r="V9" s="63">
        <f t="shared" si="12"/>
        <v>17</v>
      </c>
      <c r="W9" s="63">
        <f t="shared" si="13"/>
        <v>26</v>
      </c>
      <c r="X9" s="63">
        <f t="shared" si="14"/>
        <v>34</v>
      </c>
      <c r="Y9" s="63" t="str">
        <f>IFERROR(VLOOKUP(MID(T9,W9,X9-W9),[6]skilldef!$C:$D,2,FALSE),"-") &amp; " / " &amp; IFERROR(VLOOKUP(MID(T9,U9,V9-U9),[6]skilldef!$A:$B,2,FALSE),"-")</f>
        <v>味方全体に / -</v>
      </c>
      <c r="Z9" s="50"/>
      <c r="AA9" s="52"/>
      <c r="AB9" s="50"/>
    </row>
    <row r="10" spans="1:28" ht="40" customHeight="1" x14ac:dyDescent="0.15">
      <c r="A10" s="47">
        <v>47004009</v>
      </c>
      <c r="B10" s="133" t="s">
        <v>499</v>
      </c>
      <c r="C10" s="50">
        <v>3</v>
      </c>
      <c r="D10" s="50" t="s">
        <v>127</v>
      </c>
      <c r="E10" s="129" t="s">
        <v>385</v>
      </c>
      <c r="F10" s="51" t="s">
        <v>465</v>
      </c>
      <c r="G10" s="63"/>
      <c r="H10" s="63"/>
      <c r="I10" s="63"/>
      <c r="J10" s="63"/>
      <c r="K10" s="63"/>
      <c r="L10" s="63"/>
      <c r="M10" s="63"/>
      <c r="N10" s="48"/>
      <c r="O10" s="63"/>
      <c r="P10" s="63"/>
      <c r="Q10" s="63"/>
      <c r="R10" s="63"/>
      <c r="S10" s="63"/>
      <c r="T10" s="48"/>
      <c r="U10" s="63"/>
      <c r="V10" s="63"/>
      <c r="W10" s="63"/>
      <c r="X10" s="63"/>
      <c r="Y10" s="63"/>
      <c r="Z10" s="50"/>
      <c r="AA10" s="52"/>
      <c r="AB10" s="50"/>
    </row>
    <row r="11" spans="1:28" ht="40" customHeight="1" x14ac:dyDescent="0.15">
      <c r="A11" s="47">
        <v>47004021</v>
      </c>
      <c r="B11" s="132" t="s">
        <v>500</v>
      </c>
      <c r="C11" s="111">
        <v>3</v>
      </c>
      <c r="D11" s="111" t="s">
        <v>127</v>
      </c>
      <c r="E11" s="112" t="s">
        <v>307</v>
      </c>
      <c r="F11" s="112" t="s">
        <v>306</v>
      </c>
      <c r="G11" s="63" t="str">
        <f t="shared" si="0"/>
        <v>[effect:enemy_message, val1:1.2, val2:3.0]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32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[effect:fix_speed, target:myself, turn:2]</v>
      </c>
      <c r="N11" s="48" t="str">
        <f>IFERROR(LEFT(M11,FIND("],",M11)+S23),M11)</f>
        <v>[effect:fix_speed, target:myself, turn:2]</v>
      </c>
      <c r="O11" s="63">
        <f t="shared" si="6"/>
        <v>9</v>
      </c>
      <c r="P11" s="63">
        <f t="shared" si="7"/>
        <v>18</v>
      </c>
      <c r="Q11" s="63">
        <f t="shared" si="8"/>
        <v>27</v>
      </c>
      <c r="R11" s="63">
        <f t="shared" si="9"/>
        <v>33</v>
      </c>
      <c r="S11" s="63" t="str">
        <f>IFERROR(VLOOKUP(MID(N11,Q11,R11-Q11),[6]skilldef!$C:$D,2,FALSE),"-") &amp; " / " &amp; IFERROR(VLOOKUP(MID(N11,O11,P11-O11),[6]skilldef!$A:$B,2,FALSE),"-")</f>
        <v>自分自身に / 行動値設定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40" customHeight="1" x14ac:dyDescent="0.15">
      <c r="A12" s="47">
        <v>47004022</v>
      </c>
      <c r="B12" s="132" t="s">
        <v>501</v>
      </c>
      <c r="C12" s="111">
        <v>3</v>
      </c>
      <c r="D12" s="111" t="s">
        <v>127</v>
      </c>
      <c r="E12" s="112" t="s">
        <v>332</v>
      </c>
      <c r="F12" s="112" t="s">
        <v>262</v>
      </c>
      <c r="G12" s="63" t="str">
        <f t="shared" si="0"/>
        <v>[effect:enemy_message, val1:1.2, val2:1.2]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32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5"/>
        <v>[effect:spread, val:0.3]</v>
      </c>
      <c r="N12" s="48" t="str">
        <f t="shared" ref="N12" si="15">IFERROR(LEFT(M12,FIND("],",M12)+S23),M12)</f>
        <v>[effect:spread, val:0.3]</v>
      </c>
      <c r="O12" s="63">
        <f t="shared" si="6"/>
        <v>9</v>
      </c>
      <c r="P12" s="63">
        <f t="shared" si="7"/>
        <v>15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IFERROR(VLOOKUP(MID(N12,Q12,R12-Q12),[6]skilldef!$C:$D,2,FALSE),"-") &amp; " / " &amp; IFERROR(VLOOKUP(MID(N12,O12,P12-O12),[6]skilldef!$A:$B,2,FALSE),"-")</f>
        <v>- / 全体攻撃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40" customHeight="1" x14ac:dyDescent="0.15">
      <c r="A13" s="47">
        <v>47004023</v>
      </c>
      <c r="B13" s="132" t="s">
        <v>502</v>
      </c>
      <c r="C13" s="111">
        <v>3</v>
      </c>
      <c r="D13" s="111" t="s">
        <v>127</v>
      </c>
      <c r="E13" s="112" t="s">
        <v>302</v>
      </c>
      <c r="F13" s="112" t="s">
        <v>453</v>
      </c>
      <c r="G13" s="63" t="str">
        <f t="shared" si="0"/>
        <v>[effect:enemy_message, val1:2.4, val2:1.2]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5"/>
        <v>[effect:enhance_enemy, target:enemy_all, turn:-1, status:attack, val:0.5, calc:mul, animation:enemy_enhance_attack]</v>
      </c>
      <c r="N13" s="48" t="str">
        <f>IFERROR(LEFT(M13,FIND("],",M13)+#REF!),M13)</f>
        <v>[effect:enhance_enemy, target:enemy_all, turn:-1, status:attack, val:0.5, calc:mul, animation:enemy_enhance_attack]</v>
      </c>
      <c r="O13" s="63">
        <f t="shared" si="6"/>
        <v>9</v>
      </c>
      <c r="P13" s="63">
        <f t="shared" si="7"/>
        <v>22</v>
      </c>
      <c r="Q13" s="63">
        <f t="shared" si="8"/>
        <v>31</v>
      </c>
      <c r="R13" s="63">
        <f t="shared" si="9"/>
        <v>40</v>
      </c>
      <c r="S13" s="63" t="str">
        <f>IFERROR(VLOOKUP(MID(N13,Q13,R13-Q13),[6]skilldef!$C:$D,2,FALSE),"-") &amp; " / " &amp; IFERROR(VLOOKUP(MID(N13,O13,P13-O13),[6]skilldef!$A:$B,2,FALSE),"-")</f>
        <v>敵全体に / ステータス強化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40" customHeight="1" x14ac:dyDescent="0.15">
      <c r="A14" s="47">
        <v>47004024</v>
      </c>
      <c r="B14" s="132" t="s">
        <v>503</v>
      </c>
      <c r="C14" s="111">
        <v>3</v>
      </c>
      <c r="D14" s="111" t="s">
        <v>127</v>
      </c>
      <c r="E14" s="116" t="s">
        <v>269</v>
      </c>
      <c r="F14" s="112" t="s">
        <v>468</v>
      </c>
      <c r="G14" s="63" t="str">
        <f t="shared" si="0"/>
        <v>[effect:enemy_message, val1:3.0, val2:4.8]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5"/>
        <v>[effect:fix_speed, target:myself, turn:2],[effect:sp_boost, target:unit_all, val:4],[effect:change_bomb_range, target:unit_all, val:1.2, rate:1, turn:-1, animation:bomb_big],[effect:suicide, val:0.95]</v>
      </c>
      <c r="N14" s="48" t="str">
        <f>IFERROR(LEFT(M14,FIND("],",M14)+#REF!),M14)</f>
        <v>[effect:fix_speed, target:myself, turn:2],[effect:sp_boost, target:unit_all, val:4],[effect:change_bomb_range, target:unit_all, val:1.2, rate:1, turn:-1, animation:bomb_big],[effect:suicide, val:0.95]</v>
      </c>
      <c r="O14" s="63">
        <f t="shared" si="6"/>
        <v>9</v>
      </c>
      <c r="P14" s="63">
        <f t="shared" si="7"/>
        <v>18</v>
      </c>
      <c r="Q14" s="63">
        <f t="shared" si="8"/>
        <v>27</v>
      </c>
      <c r="R14" s="63">
        <f t="shared" si="9"/>
        <v>33</v>
      </c>
      <c r="S14" s="63" t="str">
        <f>IFERROR(VLOOKUP(MID(N14,Q14,R14-Q14),[6]skilldef!$C:$D,2,FALSE),"-") &amp; " / " &amp; IFERROR(VLOOKUP(MID(N14,O14,P14-O14),[6]skilldef!$A:$B,2,FALSE),"-")</f>
        <v>自分自身に / 行動値設定</v>
      </c>
      <c r="T14" s="48" t="str">
        <f t="shared" si="10"/>
        <v>[effect:sp_boost, target:unit_all, val:4],[effect:change_bomb_range, target:unit_all, val:1.2, rate:1, turn:-1, animation:bomb_big],[effect:suicide, val:0.95]</v>
      </c>
      <c r="U14" s="63">
        <f t="shared" si="11"/>
        <v>9</v>
      </c>
      <c r="V14" s="63">
        <f t="shared" si="12"/>
        <v>17</v>
      </c>
      <c r="W14" s="63">
        <f t="shared" si="13"/>
        <v>26</v>
      </c>
      <c r="X14" s="63">
        <f t="shared" si="14"/>
        <v>34</v>
      </c>
      <c r="Y14" s="63" t="str">
        <f>IFERROR(VLOOKUP(MID(T14,W14,X14-W14),[6]skilldef!$C:$D,2,FALSE),"-") &amp; " / " &amp; IFERROR(VLOOKUP(MID(T14,U14,V14-U14),[6]skilldef!$A:$B,2,FALSE),"-")</f>
        <v>味方全体に / -</v>
      </c>
      <c r="Z14" s="50"/>
      <c r="AA14" s="52"/>
      <c r="AB14" s="50"/>
    </row>
    <row r="15" spans="1:28" ht="40" customHeight="1" x14ac:dyDescent="0.15">
      <c r="A15" s="47">
        <v>47004025</v>
      </c>
      <c r="B15" s="132" t="s">
        <v>504</v>
      </c>
      <c r="C15" s="111">
        <v>3</v>
      </c>
      <c r="D15" s="111" t="s">
        <v>127</v>
      </c>
      <c r="E15" s="116" t="s">
        <v>270</v>
      </c>
      <c r="F15" s="112" t="s">
        <v>467</v>
      </c>
      <c r="G15" s="63" t="str">
        <f t="shared" si="0"/>
        <v>[effect:enemy_message, val1:2.2, val2:4.8]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>
        <f t="shared" si="4"/>
        <v>32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"/>
        <v>[effect:fix_speed, target:myself, turn:2],[effect:sp_boost, target:unit_all, val:4],[effect:change_bomb_range, target:unit_all, val:1.2, rate:1, turn:-1, animation:bomb_big],[effect:suicide, val:0.95]</v>
      </c>
      <c r="N15" s="48" t="str">
        <f>IFERROR(LEFT(M15,FIND("],",M15)+#REF!),M15)</f>
        <v>[effect:fix_speed, target:myself, turn:2],[effect:sp_boost, target:unit_all, val:4],[effect:change_bomb_range, target:unit_all, val:1.2, rate:1, turn:-1, animation:bomb_big],[effect:suicide, val:0.95]</v>
      </c>
      <c r="O15" s="63">
        <f t="shared" si="6"/>
        <v>9</v>
      </c>
      <c r="P15" s="63">
        <f t="shared" si="7"/>
        <v>18</v>
      </c>
      <c r="Q15" s="63">
        <f t="shared" si="8"/>
        <v>27</v>
      </c>
      <c r="R15" s="63">
        <f t="shared" si="9"/>
        <v>33</v>
      </c>
      <c r="S15" s="63" t="str">
        <f>IFERROR(VLOOKUP(MID(N15,Q15,R15-Q15),[6]skilldef!$C:$D,2,FALSE),"-") &amp; " / " &amp; IFERROR(VLOOKUP(MID(N15,O15,P15-O15),[6]skilldef!$A:$B,2,FALSE),"-")</f>
        <v>自分自身に / 行動値設定</v>
      </c>
      <c r="T15" s="48" t="str">
        <f t="shared" si="10"/>
        <v>[effect:sp_boost, target:unit_all, val:4],[effect:change_bomb_range, target:unit_all, val:1.2, rate:1, turn:-1, animation:bomb_big],[effect:suicide, val:0.95]</v>
      </c>
      <c r="U15" s="63">
        <f t="shared" si="11"/>
        <v>9</v>
      </c>
      <c r="V15" s="63">
        <f t="shared" si="12"/>
        <v>17</v>
      </c>
      <c r="W15" s="63">
        <f t="shared" si="13"/>
        <v>26</v>
      </c>
      <c r="X15" s="63">
        <f t="shared" si="14"/>
        <v>34</v>
      </c>
      <c r="Y15" s="63" t="str">
        <f>IFERROR(VLOOKUP(MID(T15,W15,X15-W15),[6]skilldef!$C:$D,2,FALSE),"-") &amp; " / " &amp; IFERROR(VLOOKUP(MID(T15,U15,V15-U15),[6]skilldef!$A:$B,2,FALSE),"-")</f>
        <v>味方全体に / -</v>
      </c>
      <c r="Z15" s="50"/>
      <c r="AA15" s="52"/>
      <c r="AB15" s="50"/>
    </row>
    <row r="16" spans="1:28" ht="40" customHeight="1" x14ac:dyDescent="0.15">
      <c r="A16" s="47">
        <v>47004026</v>
      </c>
      <c r="B16" s="132" t="s">
        <v>505</v>
      </c>
      <c r="C16" s="111">
        <v>3</v>
      </c>
      <c r="D16" s="111" t="s">
        <v>127</v>
      </c>
      <c r="E16" s="116" t="s">
        <v>271</v>
      </c>
      <c r="F16" s="112" t="s">
        <v>470</v>
      </c>
      <c r="G16" s="63" t="str">
        <f t="shared" si="0"/>
        <v>[effect:enemy_message, val1:2.6, val2:4.8]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>[effect:fix_speed, target:myself, turn:2],[effect:sp_boost, target:unit_all, val:4],[effect:change_bomb_range, target:unit_all, val:1.2, rate:1, turn:-1, animation:bomb_big],[effect:suicide, val:0.8]</v>
      </c>
      <c r="N16" s="48" t="str">
        <f>IFERROR(LEFT(M16,FIND("],",M16)+#REF!),M16)</f>
        <v>[effect:fix_speed, target:myself, turn:2],[effect:sp_boost, target:unit_all, val:4],[effect:change_bomb_range, target:unit_all, val:1.2, rate:1, turn:-1, animation:bomb_big],[effect:suicide, val:0.8]</v>
      </c>
      <c r="O16" s="63">
        <f t="shared" si="6"/>
        <v>9</v>
      </c>
      <c r="P16" s="63">
        <f t="shared" si="7"/>
        <v>18</v>
      </c>
      <c r="Q16" s="63">
        <f t="shared" si="8"/>
        <v>27</v>
      </c>
      <c r="R16" s="63">
        <f t="shared" si="9"/>
        <v>33</v>
      </c>
      <c r="S16" s="63" t="str">
        <f>IFERROR(VLOOKUP(MID(N16,Q16,R16-Q16),[6]skilldef!$C:$D,2,FALSE),"-") &amp; " / " &amp; IFERROR(VLOOKUP(MID(N16,O16,P16-O16),[6]skilldef!$A:$B,2,FALSE),"-")</f>
        <v>自分自身に / 行動値設定</v>
      </c>
      <c r="T16" s="48" t="str">
        <f t="shared" si="10"/>
        <v>[effect:sp_boost, target:unit_all, val:4],[effect:change_bomb_range, target:unit_all, val:1.2, rate:1, turn:-1, animation:bomb_big],[effect:suicide, val:0.8]</v>
      </c>
      <c r="U16" s="63">
        <f t="shared" si="11"/>
        <v>9</v>
      </c>
      <c r="V16" s="63">
        <f t="shared" si="12"/>
        <v>17</v>
      </c>
      <c r="W16" s="63">
        <f t="shared" si="13"/>
        <v>26</v>
      </c>
      <c r="X16" s="63">
        <f t="shared" si="14"/>
        <v>34</v>
      </c>
      <c r="Y16" s="63" t="str">
        <f>IFERROR(VLOOKUP(MID(T16,W16,X16-W16),[6]skilldef!$C:$D,2,FALSE),"-") &amp; " / " &amp; IFERROR(VLOOKUP(MID(T16,U16,V16-U16),[6]skilldef!$A:$B,2,FALSE),"-")</f>
        <v>味方全体に / -</v>
      </c>
      <c r="Z16" s="50"/>
      <c r="AA16" s="52"/>
      <c r="AB16" s="50"/>
    </row>
    <row r="17" spans="1:28" ht="40" customHeight="1" x14ac:dyDescent="0.15">
      <c r="A17" s="47">
        <v>47004027</v>
      </c>
      <c r="B17" s="132" t="s">
        <v>505</v>
      </c>
      <c r="C17" s="111">
        <v>3</v>
      </c>
      <c r="D17" s="111" t="s">
        <v>127</v>
      </c>
      <c r="E17" s="116" t="s">
        <v>272</v>
      </c>
      <c r="F17" s="112" t="s">
        <v>470</v>
      </c>
      <c r="G17" s="63" t="str">
        <f t="shared" si="0"/>
        <v>[effect:enemy_message, val1:2.6, val2:4.8]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5"/>
        <v>[effect:fix_speed, target:myself, turn:2],[effect:sp_boost, target:unit_all, val:4],[effect:change_bomb_range, target:unit_all, val:1.2, rate:1, turn:-1, animation:bomb_big],[effect:suicide, val:0.8]</v>
      </c>
      <c r="N17" s="48" t="str">
        <f>IFERROR(LEFT(M17,FIND("],",M17)+#REF!),M17)</f>
        <v>[effect:fix_speed, target:myself, turn:2],[effect:sp_boost, target:unit_all, val:4],[effect:change_bomb_range, target:unit_all, val:1.2, rate:1, turn:-1, animation:bomb_big],[effect:suicide, val:0.8]</v>
      </c>
      <c r="O17" s="63">
        <f t="shared" si="6"/>
        <v>9</v>
      </c>
      <c r="P17" s="63">
        <f t="shared" si="7"/>
        <v>18</v>
      </c>
      <c r="Q17" s="63">
        <f t="shared" si="8"/>
        <v>27</v>
      </c>
      <c r="R17" s="63">
        <f t="shared" si="9"/>
        <v>33</v>
      </c>
      <c r="S17" s="63" t="str">
        <f>IFERROR(VLOOKUP(MID(N17,Q17,R17-Q17),[6]skilldef!$C:$D,2,FALSE),"-") &amp; " / " &amp; IFERROR(VLOOKUP(MID(N17,O17,P17-O17),[6]skilldef!$A:$B,2,FALSE),"-")</f>
        <v>自分自身に / 行動値設定</v>
      </c>
      <c r="T17" s="48" t="str">
        <f t="shared" si="10"/>
        <v>[effect:sp_boost, target:unit_all, val:4],[effect:change_bomb_range, target:unit_all, val:1.2, rate:1, turn:-1, animation:bomb_big],[effect:suicide, val:0.8]</v>
      </c>
      <c r="U17" s="63">
        <f t="shared" si="11"/>
        <v>9</v>
      </c>
      <c r="V17" s="63">
        <f t="shared" si="12"/>
        <v>17</v>
      </c>
      <c r="W17" s="63">
        <f t="shared" si="13"/>
        <v>26</v>
      </c>
      <c r="X17" s="63">
        <f t="shared" si="14"/>
        <v>34</v>
      </c>
      <c r="Y17" s="63" t="str">
        <f>IFERROR(VLOOKUP(MID(T17,W17,X17-W17),[6]skilldef!$C:$D,2,FALSE),"-") &amp; " / " &amp; IFERROR(VLOOKUP(MID(T17,U17,V17-U17),[6]skilldef!$A:$B,2,FALSE),"-")</f>
        <v>味方全体に / -</v>
      </c>
      <c r="Z17" s="50"/>
      <c r="AA17" s="52"/>
      <c r="AB17" s="50"/>
    </row>
    <row r="18" spans="1:28" ht="40" customHeight="1" x14ac:dyDescent="0.15">
      <c r="A18" s="47">
        <v>47004028</v>
      </c>
      <c r="B18" s="132" t="s">
        <v>505</v>
      </c>
      <c r="C18" s="111">
        <v>3</v>
      </c>
      <c r="D18" s="111" t="s">
        <v>127</v>
      </c>
      <c r="E18" s="116" t="s">
        <v>273</v>
      </c>
      <c r="F18" s="112" t="s">
        <v>471</v>
      </c>
      <c r="G18" s="63" t="str">
        <f t="shared" si="0"/>
        <v>[effect:enemy_message, val1:2.6, val2:4.8]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5"/>
        <v>[effect:fix_speed, target:myself, turn:2],[effect:sp_boost, target:unit_all, val:4],[effect:change_bomb_range, target:unit_all, val:1.2, rate:1, turn:-1, animation:bomb_big],[effect:suicide, val:0.8]</v>
      </c>
      <c r="N18" s="48" t="str">
        <f>IFERROR(LEFT(M18,FIND("],",M18)+#REF!),M18)</f>
        <v>[effect:fix_speed, target:myself, turn:2],[effect:sp_boost, target:unit_all, val:4],[effect:change_bomb_range, target:unit_all, val:1.2, rate:1, turn:-1, animation:bomb_big],[effect:suicide, val:0.8]</v>
      </c>
      <c r="O18" s="63">
        <f t="shared" si="6"/>
        <v>9</v>
      </c>
      <c r="P18" s="63">
        <f t="shared" si="7"/>
        <v>18</v>
      </c>
      <c r="Q18" s="63">
        <f t="shared" si="8"/>
        <v>27</v>
      </c>
      <c r="R18" s="63">
        <f t="shared" si="9"/>
        <v>33</v>
      </c>
      <c r="S18" s="63" t="str">
        <f>IFERROR(VLOOKUP(MID(N18,Q18,R18-Q18),[6]skilldef!$C:$D,2,FALSE),"-") &amp; " / " &amp; IFERROR(VLOOKUP(MID(N18,O18,P18-O18),[6]skilldef!$A:$B,2,FALSE),"-")</f>
        <v>自分自身に / 行動値設定</v>
      </c>
      <c r="T18" s="48" t="str">
        <f t="shared" si="10"/>
        <v>[effect:sp_boost, target:unit_all, val:4],[effect:change_bomb_range, target:unit_all, val:1.2, rate:1, turn:-1, animation:bomb_big],[effect:suicide, val:0.8]</v>
      </c>
      <c r="U18" s="63">
        <f t="shared" si="11"/>
        <v>9</v>
      </c>
      <c r="V18" s="63">
        <f t="shared" si="12"/>
        <v>17</v>
      </c>
      <c r="W18" s="63">
        <f t="shared" si="13"/>
        <v>26</v>
      </c>
      <c r="X18" s="63">
        <f t="shared" si="14"/>
        <v>34</v>
      </c>
      <c r="Y18" s="63" t="str">
        <f>IFERROR(VLOOKUP(MID(T18,W18,X18-W18),[6]skilldef!$C:$D,2,FALSE),"-") &amp; " / " &amp; IFERROR(VLOOKUP(MID(T18,U18,V18-U18),[6]skilldef!$A:$B,2,FALSE),"-")</f>
        <v>味方全体に / -</v>
      </c>
      <c r="Z18" s="50"/>
      <c r="AA18" s="52"/>
      <c r="AB18" s="50"/>
    </row>
    <row r="19" spans="1:28" ht="40" customHeight="1" x14ac:dyDescent="0.15">
      <c r="A19" s="47">
        <v>47004029</v>
      </c>
      <c r="B19" s="132" t="s">
        <v>506</v>
      </c>
      <c r="C19" s="111">
        <v>3</v>
      </c>
      <c r="D19" s="111" t="s">
        <v>127</v>
      </c>
      <c r="E19" s="129" t="s">
        <v>386</v>
      </c>
      <c r="F19" s="112" t="s">
        <v>473</v>
      </c>
      <c r="G19" s="63"/>
      <c r="H19" s="63"/>
      <c r="I19" s="63"/>
      <c r="J19" s="63"/>
      <c r="K19" s="63"/>
      <c r="L19" s="63"/>
      <c r="M19" s="63"/>
      <c r="N19" s="48"/>
      <c r="O19" s="63"/>
      <c r="P19" s="63"/>
      <c r="Q19" s="63"/>
      <c r="R19" s="63"/>
      <c r="S19" s="63"/>
      <c r="T19" s="48"/>
      <c r="U19" s="63"/>
      <c r="V19" s="63"/>
      <c r="W19" s="63"/>
      <c r="X19" s="63"/>
      <c r="Y19" s="63"/>
      <c r="Z19" s="50"/>
      <c r="AA19" s="52"/>
      <c r="AB19" s="50"/>
    </row>
    <row r="20" spans="1:28" ht="40" customHeight="1" x14ac:dyDescent="0.15">
      <c r="A20" s="47">
        <v>47004041</v>
      </c>
      <c r="B20" s="133" t="s">
        <v>507</v>
      </c>
      <c r="C20" s="50">
        <v>3</v>
      </c>
      <c r="D20" s="50" t="s">
        <v>127</v>
      </c>
      <c r="E20" s="51" t="s">
        <v>309</v>
      </c>
      <c r="F20" s="51" t="s">
        <v>457</v>
      </c>
      <c r="G20" s="63" t="str">
        <f t="shared" si="0"/>
        <v>[effect:enemy_message, val1:1.2, val2:4.2]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[effect:enemy_counter, target:myself, invoke_condition:unit_all, counter_target:attacker, turn:-1, val:0.1, animation:enemy_counter],[effect:fix_speed, target:myself, turn:2]</v>
      </c>
      <c r="N20" s="48" t="str">
        <f>IFERROR(LEFT(M20,FIND("],",M20)+#REF!),M20)</f>
        <v>[effect:enemy_counter, target:myself, invoke_condition:unit_all, counter_target:attacker, turn:-1, val:0.1, animation:enemy_counter],[effect:fix_speed, target:myself, turn:2]</v>
      </c>
      <c r="O20" s="63">
        <f t="shared" si="6"/>
        <v>9</v>
      </c>
      <c r="P20" s="63">
        <f t="shared" si="7"/>
        <v>22</v>
      </c>
      <c r="Q20" s="63">
        <f t="shared" si="8"/>
        <v>31</v>
      </c>
      <c r="R20" s="63">
        <f t="shared" si="9"/>
        <v>37</v>
      </c>
      <c r="S20" s="63" t="str">
        <f>IFERROR(VLOOKUP(MID(N20,Q20,R20-Q20),[6]skilldef!$C:$D,2,FALSE),"-") &amp; " / " &amp; IFERROR(VLOOKUP(MID(N20,O20,P20-O20),[6]skilldef!$A:$B,2,FALSE),"-")</f>
        <v>自分自身に / カウンター</v>
      </c>
      <c r="T20" s="48" t="str">
        <f t="shared" si="10"/>
        <v>[effect:fix_speed, target:myself, turn:2]</v>
      </c>
      <c r="U20" s="63">
        <f t="shared" si="11"/>
        <v>9</v>
      </c>
      <c r="V20" s="63">
        <f t="shared" si="12"/>
        <v>18</v>
      </c>
      <c r="W20" s="63">
        <f t="shared" si="13"/>
        <v>27</v>
      </c>
      <c r="X20" s="63">
        <f t="shared" si="14"/>
        <v>33</v>
      </c>
      <c r="Y20" s="63" t="str">
        <f>IFERROR(VLOOKUP(MID(T20,W20,X20-W20),[6]skilldef!$C:$D,2,FALSE),"-") &amp; " / " &amp; IFERROR(VLOOKUP(MID(T20,U20,V20-U20),[6]skilldef!$A:$B,2,FALSE),"-")</f>
        <v>自分自身に / 行動値設定</v>
      </c>
      <c r="Z20" s="50"/>
      <c r="AA20" s="52"/>
      <c r="AB20" s="50"/>
    </row>
    <row r="21" spans="1:28" ht="40" customHeight="1" x14ac:dyDescent="0.15">
      <c r="A21" s="47">
        <v>47004042</v>
      </c>
      <c r="B21" s="134" t="s">
        <v>508</v>
      </c>
      <c r="C21" s="50">
        <v>3</v>
      </c>
      <c r="D21" s="50" t="s">
        <v>127</v>
      </c>
      <c r="E21" s="51" t="s">
        <v>310</v>
      </c>
      <c r="F21" s="51" t="s">
        <v>398</v>
      </c>
      <c r="G21" s="63" t="str">
        <f t="shared" si="0"/>
        <v>[effect:enemy_message, val1:1.2, val2:2.4]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5"/>
        <v xml:space="preserve">[effect:force_change_block, new_block:damage, target:block_yellow, count:2, val:0.01],[effect:rush, count:1, val:1.0]    </v>
      </c>
      <c r="N21" s="48" t="str">
        <f>IFERROR(LEFT(M21,FIND("],",M21)+S24),M21)</f>
        <v xml:space="preserve">[effect:force_change_block, new_block:damage, target:block_yellow, count:2, val:0.01],[effect:rush, count:1, val:1.0]    </v>
      </c>
      <c r="O21" s="63">
        <f t="shared" si="6"/>
        <v>9</v>
      </c>
      <c r="P21" s="63">
        <f t="shared" si="7"/>
        <v>27</v>
      </c>
      <c r="Q21" s="63">
        <f t="shared" si="8"/>
        <v>54</v>
      </c>
      <c r="R21" s="63">
        <f t="shared" si="9"/>
        <v>45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 xml:space="preserve">[effect:rush, count:1, val:1.0]    </v>
      </c>
      <c r="U21" s="63">
        <f t="shared" si="11"/>
        <v>9</v>
      </c>
      <c r="V21" s="63">
        <f t="shared" si="12"/>
        <v>13</v>
      </c>
      <c r="W21" s="63" t="e">
        <f t="shared" si="13"/>
        <v>#VALUE!</v>
      </c>
      <c r="X21" s="63">
        <f t="shared" si="14"/>
        <v>22</v>
      </c>
      <c r="Y21" s="63" t="str">
        <f>IFERROR(VLOOKUP(MID(T21,W21,X21-W21),[6]skilldef!$C:$D,2,FALSE),"-") &amp; " / " &amp; IFERROR(VLOOKUP(MID(T21,U21,V21-U21),[6]skilldef!$A:$B,2,FALSE),"-")</f>
        <v>- / 連続攻撃</v>
      </c>
      <c r="Z21" s="50"/>
      <c r="AA21" s="52"/>
      <c r="AB21" s="50"/>
    </row>
    <row r="22" spans="1:28" ht="40" customHeight="1" x14ac:dyDescent="0.15">
      <c r="A22" s="47">
        <v>47004043</v>
      </c>
      <c r="B22" s="133" t="s">
        <v>509</v>
      </c>
      <c r="C22" s="50">
        <v>3</v>
      </c>
      <c r="D22" s="50" t="s">
        <v>127</v>
      </c>
      <c r="E22" s="51" t="s">
        <v>312</v>
      </c>
      <c r="F22" s="51" t="s">
        <v>474</v>
      </c>
      <c r="G22" s="63" t="str">
        <f t="shared" si="0"/>
        <v>[effect:enemy_message, val1:1.2, val2:2.0]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[effect:damage_abnormal, target:unit_one, val:1, status:sleep, turn:2, rate:1, animation:sleep02]</v>
      </c>
      <c r="N22" s="48" t="str">
        <f>IFERROR(LEFT(M22,FIND("],",M22)+S25),M22)</f>
        <v>[effect:damage_abnormal, target:unit_one, val:1, status:sleep, turn:2, rate:1, animation:sleep02]</v>
      </c>
      <c r="O22" s="63">
        <f t="shared" si="6"/>
        <v>9</v>
      </c>
      <c r="P22" s="63">
        <f t="shared" si="7"/>
        <v>24</v>
      </c>
      <c r="Q22" s="63">
        <f t="shared" si="8"/>
        <v>33</v>
      </c>
      <c r="R22" s="63">
        <f t="shared" si="9"/>
        <v>41</v>
      </c>
      <c r="S22" s="63" t="str">
        <f>IFERROR(VLOOKUP(MID(N22,Q22,R22-Q22),[6]skilldef!$C:$D,2,FALSE),"-") &amp; " / " &amp; IFERROR(VLOOKUP(MID(N22,O22,P22-O22),[6]skilldef!$A:$B,2,FALSE),"-")</f>
        <v>味方単体に / -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40" customHeight="1" x14ac:dyDescent="0.15">
      <c r="A23" s="47">
        <v>47004044</v>
      </c>
      <c r="B23" s="133" t="s">
        <v>510</v>
      </c>
      <c r="C23" s="50">
        <v>3</v>
      </c>
      <c r="D23" s="50" t="s">
        <v>127</v>
      </c>
      <c r="E23" s="51" t="s">
        <v>431</v>
      </c>
      <c r="F23" s="51" t="s">
        <v>476</v>
      </c>
      <c r="G23" s="63" t="str">
        <f t="shared" si="0"/>
        <v>[effect:enemy_message, val1:1.2, val2:2.3]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5"/>
        <v>[effect:force_change_block, new_block:block_blue, target:block_heart, count:5, val:0],[effect:freq_turn, target:myself, turn:-1, val:1, animation:enemy_freq_turn]</v>
      </c>
      <c r="N23" s="48" t="str">
        <f>IFERROR(LEFT(M23,FIND("],",M23)+S26),M23)</f>
        <v>[effect:force_change_block, new_block:block_blue, target:block_heart, count:5, val:0],[effect:freq_turn, target:myself, turn:-1, val:1, animation:enemy_freq_turn]</v>
      </c>
      <c r="O23" s="63">
        <f t="shared" si="6"/>
        <v>9</v>
      </c>
      <c r="P23" s="63">
        <f t="shared" si="7"/>
        <v>27</v>
      </c>
      <c r="Q23" s="63">
        <f t="shared" si="8"/>
        <v>58</v>
      </c>
      <c r="R23" s="63">
        <f t="shared" si="9"/>
        <v>49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0"/>
        <v>[effect:freq_turn, target:myself, turn:-1, val:1, animation:enemy_freq_turn]</v>
      </c>
      <c r="U23" s="63">
        <f t="shared" si="11"/>
        <v>9</v>
      </c>
      <c r="V23" s="63">
        <f t="shared" si="12"/>
        <v>18</v>
      </c>
      <c r="W23" s="63">
        <f t="shared" si="13"/>
        <v>27</v>
      </c>
      <c r="X23" s="63">
        <f t="shared" si="14"/>
        <v>33</v>
      </c>
      <c r="Y23" s="63" t="str">
        <f>IFERROR(VLOOKUP(MID(T23,W23,X23-W23),[6]skilldef!$C:$D,2,FALSE),"-") &amp; " / " &amp; IFERROR(VLOOKUP(MID(T23,U23,V23-U23),[6]skilldef!$A:$B,2,FALSE),"-")</f>
        <v>自分自身に / 攻撃頻度がUP</v>
      </c>
      <c r="Z23" s="50"/>
      <c r="AA23" s="52"/>
      <c r="AB23" s="50"/>
    </row>
    <row r="24" spans="1:28" ht="40" customHeight="1" x14ac:dyDescent="0.15">
      <c r="A24" s="47">
        <v>47004051</v>
      </c>
      <c r="B24" s="132" t="s">
        <v>511</v>
      </c>
      <c r="C24" s="111">
        <v>3</v>
      </c>
      <c r="D24" s="111" t="s">
        <v>127</v>
      </c>
      <c r="E24" s="112" t="s">
        <v>311</v>
      </c>
      <c r="F24" s="112" t="s">
        <v>347</v>
      </c>
      <c r="G24" s="63" t="str">
        <f t="shared" si="0"/>
        <v>[effect:enemy_message, val1:1.2, val2:2.0]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5"/>
        <v>[effect:ability_lock, target:unit_all, turn:1],[effect:sleep, target:unit_all, turn:1, rate:1],[effect:fix_speed, target:myself, turn:1]</v>
      </c>
      <c r="N24" s="48" t="str">
        <f>IFERROR(LEFT(M24,FIND("],",M24)+S38),M24)</f>
        <v>[effect:ability_lock, target:unit_all, turn:1],[effect:sleep, target:unit_all, turn:1, rate:1],[effect:fix_speed, target:myself, turn:1]</v>
      </c>
      <c r="O24" s="63">
        <f t="shared" si="6"/>
        <v>9</v>
      </c>
      <c r="P24" s="63">
        <f t="shared" si="7"/>
        <v>21</v>
      </c>
      <c r="Q24" s="63">
        <f t="shared" si="8"/>
        <v>30</v>
      </c>
      <c r="R24" s="63">
        <f t="shared" si="9"/>
        <v>38</v>
      </c>
      <c r="S24" s="63" t="str">
        <f>IFERROR(VLOOKUP(MID(N24,Q24,R24-Q24),[6]skilldef!$C:$D,2,FALSE),"-") &amp; " / " &amp; IFERROR(VLOOKUP(MID(N24,O24,P24-O24),[6]skilldef!$A:$B,2,FALSE),"-")</f>
        <v>味方全体に / -</v>
      </c>
      <c r="T24" s="48" t="str">
        <f t="shared" si="10"/>
        <v>[effect:sleep, target:unit_all, turn:1, rate:1],[effect:fix_speed, target:myself, turn:1]</v>
      </c>
      <c r="U24" s="63">
        <f t="shared" si="11"/>
        <v>9</v>
      </c>
      <c r="V24" s="63">
        <f t="shared" si="12"/>
        <v>14</v>
      </c>
      <c r="W24" s="63">
        <f t="shared" si="13"/>
        <v>23</v>
      </c>
      <c r="X24" s="63">
        <f t="shared" si="14"/>
        <v>31</v>
      </c>
      <c r="Y24" s="63" t="str">
        <f>IFERROR(VLOOKUP(MID(T24,W24,X24-W24),[6]skilldef!$C:$D,2,FALSE),"-") &amp; " / " &amp; IFERROR(VLOOKUP(MID(T24,U24,V24-U24),[6]skilldef!$A:$B,2,FALSE),"-")</f>
        <v>味方全体に / スリープ</v>
      </c>
      <c r="Z24" s="50"/>
      <c r="AA24" s="52"/>
      <c r="AB24" s="50"/>
    </row>
    <row r="25" spans="1:28" ht="40" customHeight="1" x14ac:dyDescent="0.15">
      <c r="A25" s="47">
        <v>47004052</v>
      </c>
      <c r="B25" s="132" t="s">
        <v>512</v>
      </c>
      <c r="C25" s="111">
        <v>3</v>
      </c>
      <c r="D25" s="111" t="s">
        <v>127</v>
      </c>
      <c r="E25" s="112" t="s">
        <v>300</v>
      </c>
      <c r="F25" s="112" t="s">
        <v>425</v>
      </c>
      <c r="G25" s="63" t="str">
        <f t="shared" si="0"/>
        <v>[effect:enemy_message, val1:1.2, val2:2.7]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si="5"/>
        <v>[effect:suicide, target:myself, val:1, dead_type:escape]</v>
      </c>
      <c r="N25" s="48" t="str">
        <f>IFERROR(LEFT(M25,FIND("],",M25)+#REF!),M25)</f>
        <v>[effect:suicide, target:myself, val:1, dead_type:escape]</v>
      </c>
      <c r="O25" s="63">
        <f t="shared" si="6"/>
        <v>9</v>
      </c>
      <c r="P25" s="63">
        <f t="shared" si="7"/>
        <v>16</v>
      </c>
      <c r="Q25" s="63">
        <f t="shared" si="8"/>
        <v>25</v>
      </c>
      <c r="R25" s="63">
        <f t="shared" si="9"/>
        <v>31</v>
      </c>
      <c r="S25" s="63" t="str">
        <f>IFERROR(VLOOKUP(MID(N25,Q25,R25-Q25),[6]skilldef!$C:$D,2,FALSE),"-") &amp; " / " &amp; IFERROR(VLOOKUP(MID(N25,O25,P25-O25),[6]skilldef!$A:$B,2,FALSE),"-")</f>
        <v>自分自身に / -</v>
      </c>
      <c r="T25" s="48" t="str">
        <f t="shared" si="10"/>
        <v>none</v>
      </c>
      <c r="U25" s="63" t="e">
        <f t="shared" si="11"/>
        <v>#VALUE!</v>
      </c>
      <c r="V25" s="63">
        <f t="shared" si="12"/>
        <v>4</v>
      </c>
      <c r="W25" s="63" t="e">
        <f t="shared" si="13"/>
        <v>#VALUE!</v>
      </c>
      <c r="X25" s="63" t="e">
        <f t="shared" si="14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40" customHeight="1" x14ac:dyDescent="0.15">
      <c r="A26" s="47">
        <v>47004061</v>
      </c>
      <c r="B26" s="132" t="s">
        <v>511</v>
      </c>
      <c r="C26" s="111">
        <v>3</v>
      </c>
      <c r="D26" s="111" t="s">
        <v>127</v>
      </c>
      <c r="E26" s="112" t="s">
        <v>313</v>
      </c>
      <c r="F26" s="112" t="s">
        <v>315</v>
      </c>
      <c r="G26" s="63" t="str">
        <f t="shared" si="0"/>
        <v>[effect:enemy_message, val1:1.2, val2:2.0]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IFERROR(VLOOKUP(MID(G26,J26,K26-J26),[6]skilldef!$C:$D,2,FALSE),"-") &amp; " / " &amp; IFERROR(VLOOKUP(MID(G26,H26,I26-H26),[6]skilldef!$A:$B,2,FALSE),"-")</f>
        <v>- / -</v>
      </c>
      <c r="M26" s="63" t="str">
        <f t="shared" si="5"/>
        <v>[effect:ability_lock, target:unit_all, turn:1],[effect:sleep, target:unit_all, turn:1, rate:1],[effect:fix_speed, target:myself, turn:1]</v>
      </c>
      <c r="N26" s="48" t="str">
        <f>IFERROR(LEFT(M26,FIND("],",M26)+#REF!),M26)</f>
        <v>[effect:ability_lock, target:unit_all, turn:1],[effect:sleep, target:unit_all, turn:1, rate:1],[effect:fix_speed, target:myself, turn:1]</v>
      </c>
      <c r="O26" s="63">
        <f t="shared" si="6"/>
        <v>9</v>
      </c>
      <c r="P26" s="63">
        <f t="shared" si="7"/>
        <v>21</v>
      </c>
      <c r="Q26" s="63">
        <f t="shared" si="8"/>
        <v>30</v>
      </c>
      <c r="R26" s="63">
        <f t="shared" si="9"/>
        <v>38</v>
      </c>
      <c r="S26" s="63" t="str">
        <f>IFERROR(VLOOKUP(MID(N26,Q26,R26-Q26),[6]skilldef!$C:$D,2,FALSE),"-") &amp; " / " &amp; IFERROR(VLOOKUP(MID(N26,O26,P26-O26),[6]skilldef!$A:$B,2,FALSE),"-")</f>
        <v>味方全体に / -</v>
      </c>
      <c r="T26" s="48" t="str">
        <f t="shared" si="10"/>
        <v>[effect:sleep, target:unit_all, turn:1, rate:1],[effect:fix_speed, target:myself, turn:1]</v>
      </c>
      <c r="U26" s="63">
        <f t="shared" si="11"/>
        <v>9</v>
      </c>
      <c r="V26" s="63">
        <f t="shared" si="12"/>
        <v>14</v>
      </c>
      <c r="W26" s="63">
        <f t="shared" si="13"/>
        <v>23</v>
      </c>
      <c r="X26" s="63">
        <f t="shared" si="14"/>
        <v>31</v>
      </c>
      <c r="Y26" s="63" t="str">
        <f>IFERROR(VLOOKUP(MID(T26,W26,X26-W26),[6]skilldef!$C:$D,2,FALSE),"-") &amp; " / " &amp; IFERROR(VLOOKUP(MID(T26,U26,V26-U26),[6]skilldef!$A:$B,2,FALSE),"-")</f>
        <v>味方全体に / スリープ</v>
      </c>
      <c r="Z26" s="50"/>
      <c r="AA26" s="52"/>
      <c r="AB26" s="50"/>
    </row>
    <row r="27" spans="1:28" ht="40" customHeight="1" x14ac:dyDescent="0.15">
      <c r="A27" s="47">
        <v>47004062</v>
      </c>
      <c r="B27" s="132" t="s">
        <v>513</v>
      </c>
      <c r="C27" s="111">
        <v>3</v>
      </c>
      <c r="D27" s="111" t="s">
        <v>127</v>
      </c>
      <c r="E27" s="112" t="s">
        <v>301</v>
      </c>
      <c r="F27" s="112" t="s">
        <v>477</v>
      </c>
      <c r="G27" s="63" t="str">
        <f t="shared" si="0"/>
        <v>[effect:enemy_message, val1:2.4, val2:3.4]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5"/>
        <v>[effect:change_panel_ratio, turn:-1, block_type:yellow, val:0.02, animation:block_incidence04],[effect:suicide, target:myself, val:1, dead_type:escape]</v>
      </c>
      <c r="N27" s="48" t="str">
        <f>IFERROR(LEFT(M27,FIND("],",M27)+#REF!),M27)</f>
        <v>[effect:change_panel_ratio, turn:-1, block_type:yellow, val:0.02, animation:block_incidence04],[effect:suicide, target:myself, val:1, dead_type:escape]</v>
      </c>
      <c r="O27" s="63">
        <f t="shared" si="6"/>
        <v>9</v>
      </c>
      <c r="P27" s="63">
        <f t="shared" si="7"/>
        <v>27</v>
      </c>
      <c r="Q27" s="63">
        <f t="shared" si="8"/>
        <v>120</v>
      </c>
      <c r="R27" s="63">
        <f t="shared" si="9"/>
        <v>36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0"/>
        <v>[effect:suicide, target:myself, val:1, dead_type:escape]</v>
      </c>
      <c r="U27" s="63">
        <f t="shared" si="11"/>
        <v>9</v>
      </c>
      <c r="V27" s="63">
        <f t="shared" si="12"/>
        <v>16</v>
      </c>
      <c r="W27" s="63">
        <f t="shared" si="13"/>
        <v>25</v>
      </c>
      <c r="X27" s="63">
        <f t="shared" si="14"/>
        <v>31</v>
      </c>
      <c r="Y27" s="63" t="str">
        <f>IFERROR(VLOOKUP(MID(T27,W27,X27-W27),[6]skilldef!$C:$D,2,FALSE),"-") &amp; " / " &amp; IFERROR(VLOOKUP(MID(T27,U27,V27-U27),[6]skilldef!$A:$B,2,FALSE),"-")</f>
        <v>自分自身に / -</v>
      </c>
      <c r="Z27" s="50"/>
      <c r="AA27" s="52"/>
      <c r="AB27" s="50"/>
    </row>
    <row r="28" spans="1:28" ht="40" customHeight="1" x14ac:dyDescent="0.15">
      <c r="A28" s="47">
        <v>47004063</v>
      </c>
      <c r="B28" s="132" t="s">
        <v>514</v>
      </c>
      <c r="C28" s="111">
        <v>3</v>
      </c>
      <c r="D28" s="111" t="s">
        <v>127</v>
      </c>
      <c r="E28" s="116" t="s">
        <v>274</v>
      </c>
      <c r="F28" s="112" t="s">
        <v>459</v>
      </c>
      <c r="G28" s="63" t="str">
        <f t="shared" si="0"/>
        <v>[effect:enemy_message, val1:2.3, val2:1.8]</v>
      </c>
      <c r="H28" s="63">
        <f t="shared" si="1"/>
        <v>9</v>
      </c>
      <c r="I28" s="63">
        <f t="shared" si="2"/>
        <v>22</v>
      </c>
      <c r="J28" s="63" t="e">
        <f t="shared" si="3"/>
        <v>#VALUE!</v>
      </c>
      <c r="K28" s="63">
        <f t="shared" si="4"/>
        <v>32</v>
      </c>
      <c r="L28" s="63" t="str">
        <f>IFERROR(VLOOKUP(MID(G28,J28,K28-J28),[6]skilldef!$C:$D,2,FALSE),"-") &amp; " / " &amp; IFERROR(VLOOKUP(MID(G28,H28,I28-H28),[6]skilldef!$A:$B,2,FALSE),"-")</f>
        <v>- / -</v>
      </c>
      <c r="M28" s="63" t="str">
        <f t="shared" si="5"/>
        <v>[effect:ability_lock, target:unit_all, turn:1],[effect:sleep, target:unit_all, turn:1, rate:1],[effect:regenerate, turn:-1, target:unit_all, val:1225, type:fix, animation:heal01],[effect:fix_speed, target:myself, turn:1]</v>
      </c>
      <c r="N28" s="48" t="str">
        <f>IFERROR(LEFT(M28,FIND("],",M28)+S40),M28)</f>
        <v>[effect:ability_lock, target:unit_all, turn:1],[effect:sleep, target:unit_all, turn:1, rate:1],[effect:regenerate, turn:-1, target:unit_all, val:1225, type:fix, animation:heal01],[effect:fix_speed, target:myself, turn:1]</v>
      </c>
      <c r="O28" s="63">
        <f t="shared" si="6"/>
        <v>9</v>
      </c>
      <c r="P28" s="63">
        <f t="shared" si="7"/>
        <v>21</v>
      </c>
      <c r="Q28" s="63">
        <f t="shared" si="8"/>
        <v>30</v>
      </c>
      <c r="R28" s="63">
        <f t="shared" si="9"/>
        <v>38</v>
      </c>
      <c r="S28" s="63" t="str">
        <f>IFERROR(VLOOKUP(MID(N28,Q28,R28-Q28),[6]skilldef!$C:$D,2,FALSE),"-") &amp; " / " &amp; IFERROR(VLOOKUP(MID(N28,O28,P28-O28),[6]skilldef!$A:$B,2,FALSE),"-")</f>
        <v>味方全体に / -</v>
      </c>
      <c r="T28" s="48" t="str">
        <f t="shared" si="10"/>
        <v>[effect:sleep, target:unit_all, turn:1, rate:1],[effect:regenerate, turn:-1, target:unit_all, val:1225, type:fix, animation:heal01],[effect:fix_speed, target:myself, turn:1]</v>
      </c>
      <c r="U28" s="63">
        <f t="shared" si="11"/>
        <v>9</v>
      </c>
      <c r="V28" s="63">
        <f t="shared" si="12"/>
        <v>14</v>
      </c>
      <c r="W28" s="63">
        <f t="shared" si="13"/>
        <v>23</v>
      </c>
      <c r="X28" s="63">
        <f t="shared" si="14"/>
        <v>31</v>
      </c>
      <c r="Y28" s="63" t="str">
        <f>IFERROR(VLOOKUP(MID(T28,W28,X28-W28),[6]skilldef!$C:$D,2,FALSE),"-") &amp; " / " &amp; IFERROR(VLOOKUP(MID(T28,U28,V28-U28),[6]skilldef!$A:$B,2,FALSE),"-")</f>
        <v>味方全体に / スリープ</v>
      </c>
      <c r="Z28" s="50"/>
      <c r="AA28" s="52"/>
      <c r="AB28" s="50"/>
    </row>
    <row r="29" spans="1:28" ht="40" customHeight="1" x14ac:dyDescent="0.15">
      <c r="A29" s="47">
        <v>47004064</v>
      </c>
      <c r="B29" s="132" t="s">
        <v>515</v>
      </c>
      <c r="C29" s="111">
        <v>3</v>
      </c>
      <c r="D29" s="111" t="s">
        <v>127</v>
      </c>
      <c r="E29" s="116" t="s">
        <v>275</v>
      </c>
      <c r="F29" s="112" t="s">
        <v>460</v>
      </c>
      <c r="G29" s="63" t="str">
        <f t="shared" si="0"/>
        <v>[effect:enemy_message, val1:1.9, val2:1.8]</v>
      </c>
      <c r="H29" s="63">
        <f t="shared" si="1"/>
        <v>9</v>
      </c>
      <c r="I29" s="63">
        <f t="shared" si="2"/>
        <v>22</v>
      </c>
      <c r="J29" s="63" t="e">
        <f t="shared" si="3"/>
        <v>#VALUE!</v>
      </c>
      <c r="K29" s="63">
        <f t="shared" si="4"/>
        <v>32</v>
      </c>
      <c r="L29" s="63" t="str">
        <f>IFERROR(VLOOKUP(MID(G29,J29,K29-J29),[6]skilldef!$C:$D,2,FALSE),"-") &amp; " / " &amp; IFERROR(VLOOKUP(MID(G29,H29,I29-H29),[6]skilldef!$A:$B,2,FALSE),"-")</f>
        <v>- / -</v>
      </c>
      <c r="M29" s="63" t="str">
        <f t="shared" si="5"/>
        <v>[effect:ability_lock, target:unit_all, turn:1],[effect:sleep, target:unit_all, turn:1, rate:1],[effect:regenerate, turn:-1, target:unit_all, val:1225, type:fix, animation:heal01],[effect:fix_speed, target:myself, turn:1]</v>
      </c>
      <c r="N29" s="48" t="str">
        <f>IFERROR(LEFT(M29,FIND("],",M29)+S41),M29)</f>
        <v>[effect:ability_lock, target:unit_all, turn:1],[effect:sleep, target:unit_all, turn:1, rate:1],[effect:regenerate, turn:-1, target:unit_all, val:1225, type:fix, animation:heal01],[effect:fix_speed, target:myself, turn:1]</v>
      </c>
      <c r="O29" s="63">
        <f t="shared" si="6"/>
        <v>9</v>
      </c>
      <c r="P29" s="63">
        <f t="shared" si="7"/>
        <v>21</v>
      </c>
      <c r="Q29" s="63">
        <f t="shared" si="8"/>
        <v>30</v>
      </c>
      <c r="R29" s="63">
        <f t="shared" si="9"/>
        <v>38</v>
      </c>
      <c r="S29" s="63" t="str">
        <f>IFERROR(VLOOKUP(MID(N29,Q29,R29-Q29),[6]skilldef!$C:$D,2,FALSE),"-") &amp; " / " &amp; IFERROR(VLOOKUP(MID(N29,O29,P29-O29),[6]skilldef!$A:$B,2,FALSE),"-")</f>
        <v>味方全体に / -</v>
      </c>
      <c r="T29" s="48" t="str">
        <f t="shared" si="10"/>
        <v>[effect:sleep, target:unit_all, turn:1, rate:1],[effect:regenerate, turn:-1, target:unit_all, val:1225, type:fix, animation:heal01],[effect:fix_speed, target:myself, turn:1]</v>
      </c>
      <c r="U29" s="63">
        <f t="shared" si="11"/>
        <v>9</v>
      </c>
      <c r="V29" s="63">
        <f t="shared" si="12"/>
        <v>14</v>
      </c>
      <c r="W29" s="63">
        <f t="shared" si="13"/>
        <v>23</v>
      </c>
      <c r="X29" s="63">
        <f t="shared" si="14"/>
        <v>31</v>
      </c>
      <c r="Y29" s="63" t="str">
        <f>IFERROR(VLOOKUP(MID(T29,W29,X29-W29),[6]skilldef!$C:$D,2,FALSE),"-") &amp; " / " &amp; IFERROR(VLOOKUP(MID(T29,U29,V29-U29),[6]skilldef!$A:$B,2,FALSE),"-")</f>
        <v>味方全体に / スリープ</v>
      </c>
      <c r="Z29" s="50"/>
      <c r="AA29" s="52"/>
      <c r="AB29" s="50"/>
    </row>
    <row r="30" spans="1:28" ht="40" customHeight="1" x14ac:dyDescent="0.15">
      <c r="A30" s="47">
        <v>47004065</v>
      </c>
      <c r="B30" s="132" t="s">
        <v>514</v>
      </c>
      <c r="C30" s="111">
        <v>3</v>
      </c>
      <c r="D30" s="111" t="s">
        <v>127</v>
      </c>
      <c r="E30" s="116" t="s">
        <v>276</v>
      </c>
      <c r="F30" s="112" t="s">
        <v>461</v>
      </c>
      <c r="G30" s="63" t="str">
        <f t="shared" si="0"/>
        <v>[effect:enemy_message, val1:2.3, val2:1.8]</v>
      </c>
      <c r="H30" s="63">
        <f t="shared" si="1"/>
        <v>9</v>
      </c>
      <c r="I30" s="63">
        <f t="shared" si="2"/>
        <v>22</v>
      </c>
      <c r="J30" s="63" t="e">
        <f t="shared" si="3"/>
        <v>#VALUE!</v>
      </c>
      <c r="K30" s="63">
        <f t="shared" si="4"/>
        <v>32</v>
      </c>
      <c r="L30" s="63" t="str">
        <f>IFERROR(VLOOKUP(MID(G30,J30,K30-J30),[6]skilldef!$C:$D,2,FALSE),"-") &amp; " / " &amp; IFERROR(VLOOKUP(MID(G30,H30,I30-H30),[6]skilldef!$A:$B,2,FALSE),"-")</f>
        <v>- / -</v>
      </c>
      <c r="M30" s="63" t="str">
        <f t="shared" si="5"/>
        <v>[effect:ability_lock, target:unit_all, turn:1],[effect:sleep, target:unit_all, turn:1, rate:1],[effect:regenerate, turn:-1, target:unit_all, val:1225, type:fix, animation:heal01],[effect:fix_speed, target:myself, turn:1]</v>
      </c>
      <c r="N30" s="48" t="str">
        <f>IFERROR(LEFT(M30,FIND("],",M30)+S45),M30)</f>
        <v>[effect:ability_lock, target:unit_all, turn:1],[effect:sleep, target:unit_all, turn:1, rate:1],[effect:regenerate, turn:-1, target:unit_all, val:1225, type:fix, animation:heal01],[effect:fix_speed, target:myself, turn:1]</v>
      </c>
      <c r="O30" s="63">
        <f t="shared" si="6"/>
        <v>9</v>
      </c>
      <c r="P30" s="63">
        <f t="shared" si="7"/>
        <v>21</v>
      </c>
      <c r="Q30" s="63">
        <f t="shared" si="8"/>
        <v>30</v>
      </c>
      <c r="R30" s="63">
        <f t="shared" si="9"/>
        <v>38</v>
      </c>
      <c r="S30" s="63" t="str">
        <f>IFERROR(VLOOKUP(MID(N30,Q30,R30-Q30),[6]skilldef!$C:$D,2,FALSE),"-") &amp; " / " &amp; IFERROR(VLOOKUP(MID(N30,O30,P30-O30),[6]skilldef!$A:$B,2,FALSE),"-")</f>
        <v>味方全体に / -</v>
      </c>
      <c r="T30" s="48" t="str">
        <f t="shared" si="10"/>
        <v>[effect:sleep, target:unit_all, turn:1, rate:1],[effect:regenerate, turn:-1, target:unit_all, val:1225, type:fix, animation:heal01],[effect:fix_speed, target:myself, turn:1]</v>
      </c>
      <c r="U30" s="63">
        <f t="shared" si="11"/>
        <v>9</v>
      </c>
      <c r="V30" s="63">
        <f t="shared" si="12"/>
        <v>14</v>
      </c>
      <c r="W30" s="63">
        <f t="shared" si="13"/>
        <v>23</v>
      </c>
      <c r="X30" s="63">
        <f t="shared" si="14"/>
        <v>31</v>
      </c>
      <c r="Y30" s="63" t="str">
        <f>IFERROR(VLOOKUP(MID(T30,W30,X30-W30),[6]skilldef!$C:$D,2,FALSE),"-") &amp; " / " &amp; IFERROR(VLOOKUP(MID(T30,U30,V30-U30),[6]skilldef!$A:$B,2,FALSE),"-")</f>
        <v>味方全体に / スリープ</v>
      </c>
      <c r="Z30" s="50"/>
      <c r="AA30" s="52"/>
      <c r="AB30" s="50"/>
    </row>
    <row r="31" spans="1:28" ht="40" customHeight="1" x14ac:dyDescent="0.15">
      <c r="A31" s="47">
        <v>47004066</v>
      </c>
      <c r="B31" s="132" t="s">
        <v>514</v>
      </c>
      <c r="C31" s="111">
        <v>3</v>
      </c>
      <c r="D31" s="111" t="s">
        <v>127</v>
      </c>
      <c r="E31" s="116" t="s">
        <v>277</v>
      </c>
      <c r="F31" s="112" t="s">
        <v>462</v>
      </c>
      <c r="G31" s="63" t="str">
        <f t="shared" si="0"/>
        <v>[effect:enemy_message, val1:2.3, val2:1.8]</v>
      </c>
      <c r="H31" s="63">
        <f t="shared" si="1"/>
        <v>9</v>
      </c>
      <c r="I31" s="63">
        <f t="shared" si="2"/>
        <v>22</v>
      </c>
      <c r="J31" s="63" t="e">
        <f t="shared" si="3"/>
        <v>#VALUE!</v>
      </c>
      <c r="K31" s="63">
        <f t="shared" si="4"/>
        <v>32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5"/>
        <v>[effect:ability_lock, target:unit_all, turn:1],[effect:sleep, target:unit_all, turn:1, rate:1],[effect:regenerate, turn:-1, target:unit_all, val:1225, type:fix, animation:heal01],[effect:fix_speed, target:myself, turn:1]</v>
      </c>
      <c r="N31" s="48" t="str">
        <f>IFERROR(LEFT(M31,FIND("],",M31)+S46),M31)</f>
        <v>[effect:ability_lock, target:unit_all, turn:1],[effect:sleep, target:unit_all, turn:1, rate:1],[effect:regenerate, turn:-1, target:unit_all, val:1225, type:fix, animation:heal01],[effect:fix_speed, target:myself, turn:1]</v>
      </c>
      <c r="O31" s="63">
        <f t="shared" si="6"/>
        <v>9</v>
      </c>
      <c r="P31" s="63">
        <f t="shared" si="7"/>
        <v>21</v>
      </c>
      <c r="Q31" s="63">
        <f t="shared" si="8"/>
        <v>30</v>
      </c>
      <c r="R31" s="63">
        <f t="shared" si="9"/>
        <v>38</v>
      </c>
      <c r="S31" s="63" t="str">
        <f>IFERROR(VLOOKUP(MID(N31,Q31,R31-Q31),[6]skilldef!$C:$D,2,FALSE),"-") &amp; " / " &amp; IFERROR(VLOOKUP(MID(N31,O31,P31-O31),[6]skilldef!$A:$B,2,FALSE),"-")</f>
        <v>味方全体に / -</v>
      </c>
      <c r="T31" s="48" t="str">
        <f t="shared" si="10"/>
        <v>[effect:sleep, target:unit_all, turn:1, rate:1],[effect:regenerate, turn:-1, target:unit_all, val:1225, type:fix, animation:heal01],[effect:fix_speed, target:myself, turn:1]</v>
      </c>
      <c r="U31" s="63">
        <f t="shared" si="11"/>
        <v>9</v>
      </c>
      <c r="V31" s="63">
        <f t="shared" si="12"/>
        <v>14</v>
      </c>
      <c r="W31" s="63">
        <f t="shared" si="13"/>
        <v>23</v>
      </c>
      <c r="X31" s="63">
        <f t="shared" si="14"/>
        <v>31</v>
      </c>
      <c r="Y31" s="63" t="str">
        <f>IFERROR(VLOOKUP(MID(T31,W31,X31-W31),[6]skilldef!$C:$D,2,FALSE),"-") &amp; " / " &amp; IFERROR(VLOOKUP(MID(T31,U31,V31-U31),[6]skilldef!$A:$B,2,FALSE),"-")</f>
        <v>味方全体に / スリープ</v>
      </c>
      <c r="Z31" s="50"/>
      <c r="AA31" s="52"/>
      <c r="AB31" s="50"/>
    </row>
    <row r="32" spans="1:28" ht="40" customHeight="1" x14ac:dyDescent="0.15">
      <c r="A32" s="47">
        <v>47004067</v>
      </c>
      <c r="B32" s="132" t="s">
        <v>516</v>
      </c>
      <c r="C32" s="111">
        <v>3</v>
      </c>
      <c r="D32" s="111" t="s">
        <v>127</v>
      </c>
      <c r="E32" s="129" t="s">
        <v>387</v>
      </c>
      <c r="F32" s="112" t="s">
        <v>461</v>
      </c>
      <c r="G32" s="63"/>
      <c r="H32" s="63"/>
      <c r="I32" s="63"/>
      <c r="J32" s="63"/>
      <c r="K32" s="63"/>
      <c r="L32" s="63"/>
      <c r="M32" s="63"/>
      <c r="N32" s="48"/>
      <c r="O32" s="63"/>
      <c r="P32" s="63"/>
      <c r="Q32" s="63"/>
      <c r="R32" s="63"/>
      <c r="S32" s="63"/>
      <c r="T32" s="48"/>
      <c r="U32" s="63"/>
      <c r="V32" s="63"/>
      <c r="W32" s="63"/>
      <c r="X32" s="63"/>
      <c r="Y32" s="63"/>
      <c r="Z32" s="50"/>
      <c r="AA32" s="52"/>
      <c r="AB32" s="50"/>
    </row>
    <row r="33" spans="1:28" ht="40" customHeight="1" x14ac:dyDescent="0.15">
      <c r="A33" s="47">
        <v>47004068</v>
      </c>
      <c r="B33" s="132" t="s">
        <v>517</v>
      </c>
      <c r="C33" s="111">
        <v>3</v>
      </c>
      <c r="D33" s="111" t="s">
        <v>127</v>
      </c>
      <c r="E33" s="129" t="s">
        <v>388</v>
      </c>
      <c r="F33" s="112" t="s">
        <v>461</v>
      </c>
      <c r="G33" s="63"/>
      <c r="H33" s="63"/>
      <c r="I33" s="63"/>
      <c r="J33" s="63"/>
      <c r="K33" s="63"/>
      <c r="L33" s="63"/>
      <c r="M33" s="63"/>
      <c r="N33" s="48"/>
      <c r="O33" s="63"/>
      <c r="P33" s="63"/>
      <c r="Q33" s="63"/>
      <c r="R33" s="63"/>
      <c r="S33" s="63"/>
      <c r="T33" s="48"/>
      <c r="U33" s="63"/>
      <c r="V33" s="63"/>
      <c r="W33" s="63"/>
      <c r="X33" s="63"/>
      <c r="Y33" s="63"/>
      <c r="Z33" s="50"/>
      <c r="AA33" s="52"/>
      <c r="AB33" s="50"/>
    </row>
    <row r="34" spans="1:28" ht="40" customHeight="1" x14ac:dyDescent="0.15">
      <c r="A34" s="47">
        <v>47004081</v>
      </c>
      <c r="B34" s="133" t="s">
        <v>518</v>
      </c>
      <c r="C34" s="50">
        <v>3</v>
      </c>
      <c r="D34" s="50" t="s">
        <v>127</v>
      </c>
      <c r="E34" s="51" t="s">
        <v>316</v>
      </c>
      <c r="F34" s="51" t="s">
        <v>479</v>
      </c>
      <c r="G34" s="63" t="str">
        <f t="shared" si="0"/>
        <v>[effect:enemy_message, val1:2.3, val2:1.2]</v>
      </c>
      <c r="H34" s="63">
        <f t="shared" si="1"/>
        <v>9</v>
      </c>
      <c r="I34" s="63">
        <f t="shared" si="2"/>
        <v>22</v>
      </c>
      <c r="J34" s="63" t="e">
        <f t="shared" si="3"/>
        <v>#VALUE!</v>
      </c>
      <c r="K34" s="63">
        <f t="shared" si="4"/>
        <v>32</v>
      </c>
      <c r="L34" s="63" t="str">
        <f>IFERROR(VLOOKUP(MID(G34,J34,K34-J34),[6]skilldef!$C:$D,2,FALSE),"-") &amp; " / " &amp; IFERROR(VLOOKUP(MID(G34,H34,I34-H34),[6]skilldef!$A:$B,2,FALSE),"-")</f>
        <v>- / -</v>
      </c>
      <c r="M34" s="63" t="str">
        <f t="shared" si="5"/>
        <v>[effect:enhance_enemy, target:enemy_all, turn:2, status:attack, val:0.5, calc:mul, animation:enemy_enhance_attack],[effect:fix_speed, target:myself, turn:2]</v>
      </c>
      <c r="N34" s="48" t="str">
        <f>IFERROR(LEFT(M34,FIND("],",M34)+#REF!),M34)</f>
        <v>[effect:enhance_enemy, target:enemy_all, turn:2, status:attack, val:0.5, calc:mul, animation:enemy_enhance_attack],[effect:fix_speed, target:myself, turn:2]</v>
      </c>
      <c r="O34" s="63">
        <f t="shared" si="6"/>
        <v>9</v>
      </c>
      <c r="P34" s="63">
        <f t="shared" si="7"/>
        <v>22</v>
      </c>
      <c r="Q34" s="63">
        <f t="shared" si="8"/>
        <v>31</v>
      </c>
      <c r="R34" s="63">
        <f t="shared" si="9"/>
        <v>40</v>
      </c>
      <c r="S34" s="63" t="str">
        <f>IFERROR(VLOOKUP(MID(N34,Q34,R34-Q34),[6]skilldef!$C:$D,2,FALSE),"-") &amp; " / " &amp; IFERROR(VLOOKUP(MID(N34,O34,P34-O34),[6]skilldef!$A:$B,2,FALSE),"-")</f>
        <v>敵全体に / ステータス強化</v>
      </c>
      <c r="T34" s="48" t="str">
        <f t="shared" si="10"/>
        <v>[effect:fix_speed, target:myself, turn:2]</v>
      </c>
      <c r="U34" s="63">
        <f t="shared" si="11"/>
        <v>9</v>
      </c>
      <c r="V34" s="63">
        <f t="shared" si="12"/>
        <v>18</v>
      </c>
      <c r="W34" s="63">
        <f t="shared" si="13"/>
        <v>27</v>
      </c>
      <c r="X34" s="63">
        <f t="shared" si="14"/>
        <v>33</v>
      </c>
      <c r="Y34" s="63" t="str">
        <f>IFERROR(VLOOKUP(MID(T34,W34,X34-W34),[6]skilldef!$C:$D,2,FALSE),"-") &amp; " / " &amp; IFERROR(VLOOKUP(MID(T34,U34,V34-U34),[6]skilldef!$A:$B,2,FALSE),"-")</f>
        <v>自分自身に / 行動値設定</v>
      </c>
      <c r="Z34" s="50"/>
      <c r="AA34" s="52"/>
      <c r="AB34" s="50"/>
    </row>
    <row r="35" spans="1:28" ht="40" customHeight="1" x14ac:dyDescent="0.15">
      <c r="A35" s="47">
        <v>47004082</v>
      </c>
      <c r="B35" s="135" t="s">
        <v>519</v>
      </c>
      <c r="C35" s="50">
        <v>3</v>
      </c>
      <c r="D35" s="50" t="s">
        <v>127</v>
      </c>
      <c r="E35" s="51" t="s">
        <v>317</v>
      </c>
      <c r="F35" s="51" t="s">
        <v>399</v>
      </c>
      <c r="G35" s="63" t="str">
        <f t="shared" si="0"/>
        <v>[effect:enemy_message, val1:2.1, val2:3.0]</v>
      </c>
      <c r="H35" s="63">
        <f t="shared" si="1"/>
        <v>9</v>
      </c>
      <c r="I35" s="63">
        <f t="shared" si="2"/>
        <v>22</v>
      </c>
      <c r="J35" s="63" t="e">
        <f t="shared" si="3"/>
        <v>#VALUE!</v>
      </c>
      <c r="K35" s="63">
        <f t="shared" si="4"/>
        <v>32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5"/>
        <v>[effect:force_change_block, new_block:damage, target:block_heart, count:2, val:0.01],[effect:spread, val:0.1],[effect:spread, val:0.1]</v>
      </c>
      <c r="N35" s="48" t="str">
        <f>IFERROR(LEFT(M35,FIND("],",M35)+#REF!),M35)</f>
        <v>[effect:force_change_block, new_block:damage, target:block_heart, count:2, val:0.01],[effect:spread, val:0.1],[effect:spread, val:0.1]</v>
      </c>
      <c r="O35" s="63">
        <f t="shared" si="6"/>
        <v>9</v>
      </c>
      <c r="P35" s="63">
        <f t="shared" si="7"/>
        <v>27</v>
      </c>
      <c r="Q35" s="63">
        <f t="shared" si="8"/>
        <v>54</v>
      </c>
      <c r="R35" s="63">
        <f t="shared" si="9"/>
        <v>45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0"/>
        <v>[effect:spread, val:0.1],[effect:spread, val:0.1]</v>
      </c>
      <c r="U35" s="63">
        <f t="shared" si="11"/>
        <v>9</v>
      </c>
      <c r="V35" s="63">
        <f t="shared" si="12"/>
        <v>15</v>
      </c>
      <c r="W35" s="63" t="e">
        <f t="shared" si="13"/>
        <v>#VALUE!</v>
      </c>
      <c r="X35" s="63">
        <f t="shared" si="14"/>
        <v>25</v>
      </c>
      <c r="Y35" s="63" t="str">
        <f>IFERROR(VLOOKUP(MID(T35,W35,X35-W35),[6]skilldef!$C:$D,2,FALSE),"-") &amp; " / " &amp; IFERROR(VLOOKUP(MID(T35,U35,V35-U35),[6]skilldef!$A:$B,2,FALSE),"-")</f>
        <v>- / 全体攻撃</v>
      </c>
      <c r="Z35" s="50"/>
      <c r="AA35" s="52"/>
      <c r="AB35" s="50"/>
    </row>
    <row r="36" spans="1:28" ht="40" customHeight="1" x14ac:dyDescent="0.15">
      <c r="A36" s="47">
        <v>47004083</v>
      </c>
      <c r="B36" s="133" t="s">
        <v>520</v>
      </c>
      <c r="C36" s="50">
        <v>3</v>
      </c>
      <c r="D36" s="50" t="s">
        <v>127</v>
      </c>
      <c r="E36" s="51" t="s">
        <v>338</v>
      </c>
      <c r="F36" s="51" t="s">
        <v>298</v>
      </c>
      <c r="G36" s="63" t="str">
        <f t="shared" si="0"/>
        <v>[effect:enemy_message, val1:1.6, val2:2.7]</v>
      </c>
      <c r="H36" s="63">
        <f t="shared" si="1"/>
        <v>9</v>
      </c>
      <c r="I36" s="63">
        <f t="shared" si="2"/>
        <v>22</v>
      </c>
      <c r="J36" s="63" t="e">
        <f t="shared" si="3"/>
        <v>#VALUE!</v>
      </c>
      <c r="K36" s="63">
        <f t="shared" si="4"/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si="5"/>
        <v>[effect:force_change_block, new_block:block_red, target:block_blue, count:10, val:0],[effect:rush, count:1, val:1.0],[effect:freq_turn, target:myself, turn:-1, val:1, animation:enemy_freq_turn]</v>
      </c>
      <c r="N36" s="48" t="str">
        <f>IFERROR(LEFT(M36,FIND("],",M36)+S39),M36)</f>
        <v>[effect:force_change_block, new_block:block_red, target:block_blue, count:10, val:0],[effect:rush, count:1, val:1.0],[effect:freq_turn, target:myself, turn:-1, val:1, animation:enemy_freq_turn]</v>
      </c>
      <c r="O36" s="63">
        <f t="shared" si="6"/>
        <v>9</v>
      </c>
      <c r="P36" s="63">
        <f t="shared" si="7"/>
        <v>27</v>
      </c>
      <c r="Q36" s="63">
        <f t="shared" si="8"/>
        <v>57</v>
      </c>
      <c r="R36" s="63">
        <f t="shared" si="9"/>
        <v>48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10"/>
        <v>[effect:rush, count:1, val:1.0],[effect:freq_turn, target:myself, turn:-1, val:1, animation:enemy_freq_turn]</v>
      </c>
      <c r="U36" s="63">
        <f t="shared" si="11"/>
        <v>9</v>
      </c>
      <c r="V36" s="63">
        <f t="shared" si="12"/>
        <v>13</v>
      </c>
      <c r="W36" s="63">
        <f t="shared" si="13"/>
        <v>59</v>
      </c>
      <c r="X36" s="63">
        <f t="shared" si="14"/>
        <v>22</v>
      </c>
      <c r="Y36" s="63" t="str">
        <f>IFERROR(VLOOKUP(MID(T36,W36,X36-W36),[6]skilldef!$C:$D,2,FALSE),"-") &amp; " / " &amp; IFERROR(VLOOKUP(MID(T36,U36,V36-U36),[6]skilldef!$A:$B,2,FALSE),"-")</f>
        <v>- / 連続攻撃</v>
      </c>
      <c r="Z36" s="50"/>
      <c r="AA36" s="52"/>
      <c r="AB36" s="50"/>
    </row>
    <row r="37" spans="1:28" ht="40" customHeight="1" x14ac:dyDescent="0.15">
      <c r="A37" s="47">
        <v>47004084</v>
      </c>
      <c r="B37" s="133" t="s">
        <v>521</v>
      </c>
      <c r="C37" s="50">
        <v>3</v>
      </c>
      <c r="D37" s="50" t="s">
        <v>127</v>
      </c>
      <c r="E37" s="51" t="s">
        <v>318</v>
      </c>
      <c r="F37" s="51" t="s">
        <v>257</v>
      </c>
      <c r="G37" s="63" t="str">
        <f t="shared" si="0"/>
        <v>[effect:enemy_message, val1:1.2, val2:1.2]</v>
      </c>
      <c r="H37" s="63">
        <f t="shared" si="1"/>
        <v>9</v>
      </c>
      <c r="I37" s="63">
        <f t="shared" si="2"/>
        <v>22</v>
      </c>
      <c r="J37" s="63" t="e">
        <f t="shared" si="3"/>
        <v>#VALUE!</v>
      </c>
      <c r="K37" s="63">
        <f t="shared" si="4"/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5"/>
        <v>[effect:spread, val:0.25]</v>
      </c>
      <c r="N37" s="48" t="str">
        <f>IFERROR(LEFT(M37,FIND("],",M37)+S40),M37)</f>
        <v>[effect:spread, val:0.25]</v>
      </c>
      <c r="O37" s="63">
        <f t="shared" si="6"/>
        <v>9</v>
      </c>
      <c r="P37" s="63">
        <f t="shared" si="7"/>
        <v>15</v>
      </c>
      <c r="Q37" s="63" t="e">
        <f t="shared" si="8"/>
        <v>#VALUE!</v>
      </c>
      <c r="R37" s="63" t="e">
        <f t="shared" si="9"/>
        <v>#VALUE!</v>
      </c>
      <c r="S37" s="63" t="str">
        <f>IFERROR(VLOOKUP(MID(N37,Q37,R37-Q37),[6]skilldef!$C:$D,2,FALSE),"-") &amp; " / " &amp; IFERROR(VLOOKUP(MID(N37,O37,P37-O37),[6]skilldef!$A:$B,2,FALSE),"-")</f>
        <v>- / 全体攻撃</v>
      </c>
      <c r="T37" s="48" t="str">
        <f t="shared" si="10"/>
        <v>none</v>
      </c>
      <c r="U37" s="63" t="e">
        <f t="shared" si="11"/>
        <v>#VALUE!</v>
      </c>
      <c r="V37" s="63">
        <f t="shared" si="12"/>
        <v>4</v>
      </c>
      <c r="W37" s="63" t="e">
        <f t="shared" si="13"/>
        <v>#VALUE!</v>
      </c>
      <c r="X37" s="63" t="e">
        <f t="shared" si="14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40" customHeight="1" x14ac:dyDescent="0.15">
      <c r="A38" s="47">
        <v>47004085</v>
      </c>
      <c r="B38" s="135" t="s">
        <v>522</v>
      </c>
      <c r="C38" s="50">
        <v>3</v>
      </c>
      <c r="D38" s="50" t="s">
        <v>339</v>
      </c>
      <c r="E38" s="51" t="s">
        <v>343</v>
      </c>
      <c r="F38" s="51" t="s">
        <v>293</v>
      </c>
      <c r="G38" s="63" t="str">
        <f t="shared" si="0"/>
        <v>[effect:enemy_message, val1:1.8, val2:1.3]</v>
      </c>
      <c r="H38" s="63">
        <f t="shared" si="1"/>
        <v>9</v>
      </c>
      <c r="I38" s="63">
        <f t="shared" si="2"/>
        <v>22</v>
      </c>
      <c r="J38" s="63" t="e">
        <f t="shared" si="3"/>
        <v>#VALUE!</v>
      </c>
      <c r="K38" s="63">
        <f t="shared" si="4"/>
        <v>32</v>
      </c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5"/>
        <v>[effect:break_attack_fix, target:unit_one, val:400, lowest_val:1600, count:-1, color:red, block_color:block_heart, block01:block_heart]</v>
      </c>
      <c r="N38" s="48" t="str">
        <f>IFERROR(LEFT(M38,FIND("],",M38)+S41),M38)</f>
        <v>[effect:break_attack_fix, target:unit_one, val:400, lowest_val:1600, count:-1, color:red, block_color:block_heart, block01:block_heart]</v>
      </c>
      <c r="O38" s="63">
        <f t="shared" si="6"/>
        <v>9</v>
      </c>
      <c r="P38" s="63">
        <f t="shared" si="7"/>
        <v>25</v>
      </c>
      <c r="Q38" s="63">
        <f t="shared" si="8"/>
        <v>34</v>
      </c>
      <c r="R38" s="63">
        <f t="shared" si="9"/>
        <v>42</v>
      </c>
      <c r="S38" s="63" t="str">
        <f>IFERROR(VLOOKUP(MID(N38,Q38,R38-Q38),[6]skilldef!$C:$D,2,FALSE),"-") &amp; " / " &amp; IFERROR(VLOOKUP(MID(N38,O38,P38-O38),[6]skilldef!$A:$B,2,FALSE),"-")</f>
        <v>味方単体に / -</v>
      </c>
      <c r="T38" s="48" t="str">
        <f t="shared" si="10"/>
        <v>none</v>
      </c>
      <c r="U38" s="63" t="e">
        <f t="shared" si="11"/>
        <v>#VALUE!</v>
      </c>
      <c r="V38" s="63">
        <f t="shared" si="12"/>
        <v>4</v>
      </c>
      <c r="W38" s="63" t="e">
        <f t="shared" si="13"/>
        <v>#VALUE!</v>
      </c>
      <c r="X38" s="63" t="e">
        <f t="shared" si="14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40" customHeight="1" x14ac:dyDescent="0.15">
      <c r="A39" s="47">
        <v>47004086</v>
      </c>
      <c r="B39" s="133" t="s">
        <v>523</v>
      </c>
      <c r="C39" s="50">
        <v>3</v>
      </c>
      <c r="D39" s="50" t="s">
        <v>127</v>
      </c>
      <c r="E39" s="116" t="s">
        <v>278</v>
      </c>
      <c r="F39" s="51" t="s">
        <v>480</v>
      </c>
      <c r="G39" s="63" t="str">
        <f t="shared" si="0"/>
        <v>[effect:enemy_message, val1:2.6, val2:1.2]</v>
      </c>
      <c r="H39" s="63">
        <f t="shared" si="1"/>
        <v>9</v>
      </c>
      <c r="I39" s="63">
        <f t="shared" si="2"/>
        <v>22</v>
      </c>
      <c r="J39" s="63" t="e">
        <f t="shared" si="3"/>
        <v>#VALUE!</v>
      </c>
      <c r="K39" s="63">
        <f t="shared" si="4"/>
        <v>32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si="5"/>
        <v>[effect:enhance_enemy, target:enemy_all, turn:2, status:attack, val:0.5, calc:mul, animation:enemy_enhance_attack],[effect:fix_speed, target:myself, turn:2]</v>
      </c>
      <c r="N39" s="48" t="str">
        <f>IFERROR(LEFT(M39,FIND("],",M39)+S47),M39)</f>
        <v>[effect:enhance_enemy, target:enemy_all, turn:2, status:attack, val:0.5, calc:mul, animation:enemy_enhance_attack],[effect:fix_speed, target:myself, turn:2]</v>
      </c>
      <c r="O39" s="63">
        <f t="shared" si="6"/>
        <v>9</v>
      </c>
      <c r="P39" s="63">
        <f t="shared" si="7"/>
        <v>22</v>
      </c>
      <c r="Q39" s="63">
        <f t="shared" si="8"/>
        <v>31</v>
      </c>
      <c r="R39" s="63">
        <f t="shared" si="9"/>
        <v>40</v>
      </c>
      <c r="S39" s="63" t="str">
        <f>IFERROR(VLOOKUP(MID(N39,Q39,R39-Q39),[6]skilldef!$C:$D,2,FALSE),"-") &amp; " / " &amp; IFERROR(VLOOKUP(MID(N39,O39,P39-O39),[6]skilldef!$A:$B,2,FALSE),"-")</f>
        <v>敵全体に / ステータス強化</v>
      </c>
      <c r="T39" s="48" t="str">
        <f t="shared" si="10"/>
        <v>[effect:fix_speed, target:myself, turn:2]</v>
      </c>
      <c r="U39" s="63">
        <f t="shared" si="11"/>
        <v>9</v>
      </c>
      <c r="V39" s="63">
        <f t="shared" si="12"/>
        <v>18</v>
      </c>
      <c r="W39" s="63">
        <f t="shared" si="13"/>
        <v>27</v>
      </c>
      <c r="X39" s="63">
        <f t="shared" si="14"/>
        <v>33</v>
      </c>
      <c r="Y39" s="63" t="str">
        <f>IFERROR(VLOOKUP(MID(T39,W39,X39-W39),[6]skilldef!$C:$D,2,FALSE),"-") &amp; " / " &amp; IFERROR(VLOOKUP(MID(T39,U39,V39-U39),[6]skilldef!$A:$B,2,FALSE),"-")</f>
        <v>自分自身に / 行動値設定</v>
      </c>
      <c r="Z39" s="50"/>
      <c r="AA39" s="52"/>
      <c r="AB39" s="50"/>
    </row>
    <row r="40" spans="1:28" ht="40" customHeight="1" x14ac:dyDescent="0.15">
      <c r="A40" s="47">
        <v>47004087</v>
      </c>
      <c r="B40" s="133" t="s">
        <v>524</v>
      </c>
      <c r="C40" s="50">
        <v>3</v>
      </c>
      <c r="D40" s="50" t="s">
        <v>127</v>
      </c>
      <c r="E40" s="116" t="s">
        <v>279</v>
      </c>
      <c r="F40" s="51" t="s">
        <v>481</v>
      </c>
      <c r="G40" s="63" t="str">
        <f t="shared" si="0"/>
        <v>[effect:enemy_message, val1:2.8, val2:1.2]</v>
      </c>
      <c r="H40" s="63">
        <f t="shared" si="1"/>
        <v>9</v>
      </c>
      <c r="I40" s="63">
        <f t="shared" si="2"/>
        <v>22</v>
      </c>
      <c r="J40" s="63" t="e">
        <f t="shared" si="3"/>
        <v>#VALUE!</v>
      </c>
      <c r="K40" s="63">
        <f t="shared" si="4"/>
        <v>32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 t="shared" si="5"/>
        <v>[effect:enhance_enemy, target:enemy_all, turn:2, status:attack, val:0.5, calc:mul, animation:enemy_enhance_attack],[effect:fix_speed, target:myself, turn:2]</v>
      </c>
      <c r="N40" s="48" t="str">
        <f>IFERROR(LEFT(M40,FIND("],",M40)+#REF!),M40)</f>
        <v>[effect:enhance_enemy, target:enemy_all, turn:2, status:attack, val:0.5, calc:mul, animation:enemy_enhance_attack],[effect:fix_speed, target:myself, turn:2]</v>
      </c>
      <c r="O40" s="63">
        <f t="shared" si="6"/>
        <v>9</v>
      </c>
      <c r="P40" s="63">
        <f t="shared" si="7"/>
        <v>22</v>
      </c>
      <c r="Q40" s="63">
        <f t="shared" si="8"/>
        <v>31</v>
      </c>
      <c r="R40" s="63">
        <f t="shared" si="9"/>
        <v>40</v>
      </c>
      <c r="S40" s="63" t="str">
        <f>IFERROR(VLOOKUP(MID(N40,Q40,R40-Q40),[6]skilldef!$C:$D,2,FALSE),"-") &amp; " / " &amp; IFERROR(VLOOKUP(MID(N40,O40,P40-O40),[6]skilldef!$A:$B,2,FALSE),"-")</f>
        <v>敵全体に / ステータス強化</v>
      </c>
      <c r="T40" s="48" t="str">
        <f t="shared" si="10"/>
        <v>[effect:fix_speed, target:myself, turn:2]</v>
      </c>
      <c r="U40" s="63">
        <f t="shared" si="11"/>
        <v>9</v>
      </c>
      <c r="V40" s="63">
        <f t="shared" si="12"/>
        <v>18</v>
      </c>
      <c r="W40" s="63">
        <f t="shared" si="13"/>
        <v>27</v>
      </c>
      <c r="X40" s="63">
        <f t="shared" si="14"/>
        <v>33</v>
      </c>
      <c r="Y40" s="63" t="str">
        <f>IFERROR(VLOOKUP(MID(T40,W40,X40-W40),[6]skilldef!$C:$D,2,FALSE),"-") &amp; " / " &amp; IFERROR(VLOOKUP(MID(T40,U40,V40-U40),[6]skilldef!$A:$B,2,FALSE),"-")</f>
        <v>自分自身に / 行動値設定</v>
      </c>
      <c r="Z40" s="50"/>
      <c r="AA40" s="52"/>
      <c r="AB40" s="50"/>
    </row>
    <row r="41" spans="1:28" ht="40" customHeight="1" x14ac:dyDescent="0.15">
      <c r="A41" s="47">
        <v>47004088</v>
      </c>
      <c r="B41" s="133" t="s">
        <v>525</v>
      </c>
      <c r="C41" s="50">
        <v>3</v>
      </c>
      <c r="D41" s="50" t="s">
        <v>127</v>
      </c>
      <c r="E41" s="116" t="s">
        <v>280</v>
      </c>
      <c r="F41" s="51" t="s">
        <v>478</v>
      </c>
      <c r="G41" s="63" t="str">
        <f t="shared" si="0"/>
        <v>[effect:enemy_message, val1:1.9, val2:1.2]</v>
      </c>
      <c r="H41" s="63">
        <f t="shared" si="1"/>
        <v>9</v>
      </c>
      <c r="I41" s="63">
        <f t="shared" si="2"/>
        <v>22</v>
      </c>
      <c r="J41" s="63" t="e">
        <f t="shared" si="3"/>
        <v>#VALUE!</v>
      </c>
      <c r="K41" s="63">
        <f t="shared" si="4"/>
        <v>32</v>
      </c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 t="shared" si="5"/>
        <v>[effect:enhance_enemy, target:enemy_all, turn:2, status:attack, val:0.5, calc:mul, animation:enemy_enhance_attack],[effect:fix_speed, target:myself, turn:2]</v>
      </c>
      <c r="N41" s="48" t="str">
        <f>IFERROR(LEFT(M41,FIND("],",M41)+S48),M41)</f>
        <v>[effect:enhance_enemy, target:enemy_all, turn:2, status:attack, val:0.5, calc:mul, animation:enemy_enhance_attack],[effect:fix_speed, target:myself, turn:2]</v>
      </c>
      <c r="O41" s="63">
        <f t="shared" si="6"/>
        <v>9</v>
      </c>
      <c r="P41" s="63">
        <f t="shared" si="7"/>
        <v>22</v>
      </c>
      <c r="Q41" s="63">
        <f t="shared" si="8"/>
        <v>31</v>
      </c>
      <c r="R41" s="63">
        <f t="shared" si="9"/>
        <v>40</v>
      </c>
      <c r="S41" s="63" t="str">
        <f>IFERROR(VLOOKUP(MID(N41,Q41,R41-Q41),[6]skilldef!$C:$D,2,FALSE),"-") &amp; " / " &amp; IFERROR(VLOOKUP(MID(N41,O41,P41-O41),[6]skilldef!$A:$B,2,FALSE),"-")</f>
        <v>敵全体に / ステータス強化</v>
      </c>
      <c r="T41" s="48" t="str">
        <f t="shared" si="10"/>
        <v>[effect:fix_speed, target:myself, turn:2]</v>
      </c>
      <c r="U41" s="63">
        <f t="shared" si="11"/>
        <v>9</v>
      </c>
      <c r="V41" s="63">
        <f t="shared" si="12"/>
        <v>18</v>
      </c>
      <c r="W41" s="63">
        <f t="shared" si="13"/>
        <v>27</v>
      </c>
      <c r="X41" s="63">
        <f t="shared" si="14"/>
        <v>33</v>
      </c>
      <c r="Y41" s="63" t="str">
        <f>IFERROR(VLOOKUP(MID(T41,W41,X41-W41),[6]skilldef!$C:$D,2,FALSE),"-") &amp; " / " &amp; IFERROR(VLOOKUP(MID(T41,U41,V41-U41),[6]skilldef!$A:$B,2,FALSE),"-")</f>
        <v>自分自身に / 行動値設定</v>
      </c>
      <c r="Z41" s="50"/>
      <c r="AA41" s="52"/>
      <c r="AB41" s="50"/>
    </row>
    <row r="42" spans="1:28" ht="40" customHeight="1" x14ac:dyDescent="0.15">
      <c r="A42" s="47">
        <v>47004089</v>
      </c>
      <c r="B42" s="133" t="s">
        <v>526</v>
      </c>
      <c r="C42" s="50">
        <v>3</v>
      </c>
      <c r="D42" s="50" t="s">
        <v>127</v>
      </c>
      <c r="E42" s="116" t="s">
        <v>281</v>
      </c>
      <c r="F42" s="51" t="s">
        <v>478</v>
      </c>
      <c r="G42" s="63" t="str">
        <f t="shared" si="0"/>
        <v>[effect:enemy_message, val1:2.2, val2:1.2]</v>
      </c>
      <c r="H42" s="63">
        <f t="shared" si="1"/>
        <v>9</v>
      </c>
      <c r="I42" s="63">
        <f t="shared" si="2"/>
        <v>22</v>
      </c>
      <c r="J42" s="63" t="e">
        <f t="shared" si="3"/>
        <v>#VALUE!</v>
      </c>
      <c r="K42" s="63">
        <f t="shared" si="4"/>
        <v>32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si="5"/>
        <v>[effect:enhance_enemy, target:enemy_all, turn:2, status:attack, val:0.5, calc:mul, animation:enemy_enhance_attack],[effect:fix_speed, target:myself, turn:2]</v>
      </c>
      <c r="N42" s="48" t="str">
        <f>IFERROR(LEFT(M42,FIND("],",M42)+S49),M42)</f>
        <v>[effect:enhance_enemy, target:enemy_all, turn:2, status:attack, val:0.5, calc:mul, animation:enemy_enhance_attack],[effect:fix_speed, target:myself, turn:2]</v>
      </c>
      <c r="O42" s="63">
        <f t="shared" si="6"/>
        <v>9</v>
      </c>
      <c r="P42" s="63">
        <f t="shared" si="7"/>
        <v>22</v>
      </c>
      <c r="Q42" s="63">
        <f t="shared" si="8"/>
        <v>31</v>
      </c>
      <c r="R42" s="63">
        <f t="shared" si="9"/>
        <v>40</v>
      </c>
      <c r="S42" s="63" t="str">
        <f>IFERROR(VLOOKUP(MID(N42,Q42,R42-Q42),[6]skilldef!$C:$D,2,FALSE),"-") &amp; " / " &amp; IFERROR(VLOOKUP(MID(N42,O42,P42-O42),[6]skilldef!$A:$B,2,FALSE),"-")</f>
        <v>敵全体に / ステータス強化</v>
      </c>
      <c r="T42" s="48" t="str">
        <f t="shared" si="10"/>
        <v>[effect:fix_speed, target:myself, turn:2]</v>
      </c>
      <c r="U42" s="63">
        <f t="shared" si="11"/>
        <v>9</v>
      </c>
      <c r="V42" s="63">
        <f t="shared" si="12"/>
        <v>18</v>
      </c>
      <c r="W42" s="63">
        <f t="shared" si="13"/>
        <v>27</v>
      </c>
      <c r="X42" s="63">
        <f t="shared" si="14"/>
        <v>33</v>
      </c>
      <c r="Y42" s="63" t="str">
        <f>IFERROR(VLOOKUP(MID(T42,W42,X42-W42),[6]skilldef!$C:$D,2,FALSE),"-") &amp; " / " &amp; IFERROR(VLOOKUP(MID(T42,U42,V42-U42),[6]skilldef!$A:$B,2,FALSE),"-")</f>
        <v>自分自身に / 行動値設定</v>
      </c>
      <c r="Z42" s="50"/>
      <c r="AA42" s="52"/>
      <c r="AB42" s="50"/>
    </row>
    <row r="43" spans="1:28" ht="40" customHeight="1" x14ac:dyDescent="0.15">
      <c r="A43" s="47">
        <v>47004090</v>
      </c>
      <c r="B43" s="133" t="s">
        <v>525</v>
      </c>
      <c r="C43" s="50">
        <v>3</v>
      </c>
      <c r="D43" s="50" t="s">
        <v>127</v>
      </c>
      <c r="E43" s="129" t="s">
        <v>389</v>
      </c>
      <c r="F43" s="51" t="s">
        <v>478</v>
      </c>
      <c r="G43" s="63"/>
      <c r="H43" s="63"/>
      <c r="I43" s="63"/>
      <c r="J43" s="63"/>
      <c r="K43" s="63"/>
      <c r="L43" s="63"/>
      <c r="M43" s="63"/>
      <c r="N43" s="48"/>
      <c r="O43" s="63"/>
      <c r="P43" s="63"/>
      <c r="Q43" s="63"/>
      <c r="R43" s="63"/>
      <c r="S43" s="63"/>
      <c r="T43" s="48"/>
      <c r="U43" s="63"/>
      <c r="V43" s="63"/>
      <c r="W43" s="63"/>
      <c r="X43" s="63"/>
      <c r="Y43" s="63"/>
      <c r="Z43" s="50"/>
      <c r="AA43" s="52"/>
      <c r="AB43" s="50"/>
    </row>
    <row r="44" spans="1:28" ht="40" customHeight="1" x14ac:dyDescent="0.15">
      <c r="A44" s="47">
        <v>47004091</v>
      </c>
      <c r="B44" s="133" t="s">
        <v>527</v>
      </c>
      <c r="C44" s="50">
        <v>3</v>
      </c>
      <c r="D44" s="50" t="s">
        <v>127</v>
      </c>
      <c r="E44" s="129" t="s">
        <v>390</v>
      </c>
      <c r="F44" s="51" t="s">
        <v>478</v>
      </c>
      <c r="G44" s="63"/>
      <c r="H44" s="63"/>
      <c r="I44" s="63"/>
      <c r="J44" s="63"/>
      <c r="K44" s="63"/>
      <c r="L44" s="63"/>
      <c r="M44" s="63"/>
      <c r="N44" s="48"/>
      <c r="O44" s="63"/>
      <c r="P44" s="63"/>
      <c r="Q44" s="63"/>
      <c r="R44" s="63"/>
      <c r="S44" s="63"/>
      <c r="T44" s="48"/>
      <c r="U44" s="63"/>
      <c r="V44" s="63"/>
      <c r="W44" s="63"/>
      <c r="X44" s="63"/>
      <c r="Y44" s="63"/>
      <c r="Z44" s="50"/>
      <c r="AA44" s="52"/>
      <c r="AB44" s="50"/>
    </row>
    <row r="45" spans="1:28" ht="40" customHeight="1" x14ac:dyDescent="0.15">
      <c r="A45" s="47">
        <v>47004111</v>
      </c>
      <c r="B45" s="135" t="s">
        <v>528</v>
      </c>
      <c r="C45" s="111">
        <v>3</v>
      </c>
      <c r="D45" s="111" t="s">
        <v>127</v>
      </c>
      <c r="E45" s="112" t="s">
        <v>433</v>
      </c>
      <c r="F45" s="112" t="s">
        <v>400</v>
      </c>
      <c r="G45" s="63" t="str">
        <f t="shared" si="0"/>
        <v>[effect:enemy_message, val1:2.7, val2:5.4]</v>
      </c>
      <c r="H45" s="63">
        <f t="shared" si="1"/>
        <v>9</v>
      </c>
      <c r="I45" s="63">
        <f t="shared" si="2"/>
        <v>22</v>
      </c>
      <c r="J45" s="63" t="e">
        <f t="shared" si="3"/>
        <v>#VALUE!</v>
      </c>
      <c r="K45" s="63">
        <f t="shared" si="4"/>
        <v>32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5"/>
        <v>[effect:dark, target:unit_all, turn:3, animation:enemy_dark],[effect:force_change_block, new_block:damage, target:block_red, count:2, val:0.01],[effect:fix_speed, target:myself, turn:2]</v>
      </c>
      <c r="N45" s="48" t="str">
        <f>IFERROR(LEFT(M45,FIND("],",M45)+#REF!),M45)</f>
        <v>[effect:dark, target:unit_all, turn:3, animation:enemy_dark],[effect:force_change_block, new_block:damage, target:block_red, count:2, val:0.01],[effect:fix_speed, target:myself, turn:2]</v>
      </c>
      <c r="O45" s="63">
        <f t="shared" si="6"/>
        <v>9</v>
      </c>
      <c r="P45" s="63">
        <f t="shared" si="7"/>
        <v>13</v>
      </c>
      <c r="Q45" s="63">
        <f t="shared" si="8"/>
        <v>22</v>
      </c>
      <c r="R45" s="63">
        <f t="shared" si="9"/>
        <v>30</v>
      </c>
      <c r="S45" s="63" t="str">
        <f>IFERROR(VLOOKUP(MID(N45,Q45,R45-Q45),[6]skilldef!$C:$D,2,FALSE),"-") &amp; " / " &amp; IFERROR(VLOOKUP(MID(N45,O45,P45-O45),[6]skilldef!$A:$B,2,FALSE),"-")</f>
        <v>味方全体に / 暗黒</v>
      </c>
      <c r="T45" s="48" t="str">
        <f t="shared" si="10"/>
        <v>[effect:force_change_block, new_block:damage, target:block_red, count:2, val:0.01],[effect:fix_speed, target:myself, turn:2]</v>
      </c>
      <c r="U45" s="63">
        <f t="shared" si="11"/>
        <v>9</v>
      </c>
      <c r="V45" s="63">
        <f t="shared" si="12"/>
        <v>27</v>
      </c>
      <c r="W45" s="63">
        <f t="shared" si="13"/>
        <v>54</v>
      </c>
      <c r="X45" s="63">
        <f t="shared" si="14"/>
        <v>45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40" customHeight="1" x14ac:dyDescent="0.15">
      <c r="A46" s="47">
        <v>47004112</v>
      </c>
      <c r="B46" s="132" t="s">
        <v>529</v>
      </c>
      <c r="C46" s="111">
        <v>3</v>
      </c>
      <c r="D46" s="111" t="s">
        <v>127</v>
      </c>
      <c r="E46" s="112" t="s">
        <v>314</v>
      </c>
      <c r="F46" s="112" t="s">
        <v>256</v>
      </c>
      <c r="G46" s="63" t="str">
        <f t="shared" si="0"/>
        <v>[effect:enemy_message, val1:2.3, val2:1.2]</v>
      </c>
      <c r="H46" s="63">
        <f t="shared" si="1"/>
        <v>9</v>
      </c>
      <c r="I46" s="63">
        <f t="shared" si="2"/>
        <v>22</v>
      </c>
      <c r="J46" s="63" t="e">
        <f t="shared" si="3"/>
        <v>#VALUE!</v>
      </c>
      <c r="K46" s="63">
        <f t="shared" si="4"/>
        <v>32</v>
      </c>
      <c r="L46" s="63" t="str">
        <f>IFERROR(VLOOKUP(MID(G46,J46,K46-J46),[6]skilldef!$C:$D,2,FALSE),"-") &amp; " / " &amp; IFERROR(VLOOKUP(MID(G46,H46,I46-H46),[6]skilldef!$A:$B,2,FALSE),"-")</f>
        <v>- / -</v>
      </c>
      <c r="M46" s="63" t="str">
        <f t="shared" si="5"/>
        <v>[effect:spread, val:0.25]</v>
      </c>
      <c r="N46" s="48" t="str">
        <f>IFERROR(LEFT(M46,FIND("],",M46)+#REF!),M46)</f>
        <v>[effect:spread, val:0.25]</v>
      </c>
      <c r="O46" s="63">
        <f t="shared" si="6"/>
        <v>9</v>
      </c>
      <c r="P46" s="63">
        <f t="shared" si="7"/>
        <v>15</v>
      </c>
      <c r="Q46" s="63" t="e">
        <f t="shared" si="8"/>
        <v>#VALUE!</v>
      </c>
      <c r="R46" s="63" t="e">
        <f t="shared" si="9"/>
        <v>#VALUE!</v>
      </c>
      <c r="S46" s="63" t="str">
        <f>IFERROR(VLOOKUP(MID(N46,Q46,R46-Q46),[6]skilldef!$C:$D,2,FALSE),"-") &amp; " / " &amp; IFERROR(VLOOKUP(MID(N46,O46,P46-O46),[6]skilldef!$A:$B,2,FALSE),"-")</f>
        <v>- / 全体攻撃</v>
      </c>
      <c r="T46" s="48" t="str">
        <f t="shared" si="10"/>
        <v>none</v>
      </c>
      <c r="U46" s="63" t="e">
        <f t="shared" si="11"/>
        <v>#VALUE!</v>
      </c>
      <c r="V46" s="63">
        <f t="shared" si="12"/>
        <v>4</v>
      </c>
      <c r="W46" s="63" t="e">
        <f t="shared" si="13"/>
        <v>#VALUE!</v>
      </c>
      <c r="X46" s="63" t="e">
        <f t="shared" si="14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40" customHeight="1" x14ac:dyDescent="0.15">
      <c r="A47" s="47">
        <v>47004113</v>
      </c>
      <c r="B47" s="132" t="s">
        <v>530</v>
      </c>
      <c r="C47" s="111">
        <v>3</v>
      </c>
      <c r="D47" s="111" t="s">
        <v>127</v>
      </c>
      <c r="E47" s="112" t="s">
        <v>329</v>
      </c>
      <c r="F47" s="112" t="s">
        <v>435</v>
      </c>
      <c r="G47" s="63" t="str">
        <f t="shared" si="0"/>
        <v>[effect:enemy_message, val1:2.3, val2:3.5]</v>
      </c>
      <c r="H47" s="63">
        <f t="shared" si="1"/>
        <v>9</v>
      </c>
      <c r="I47" s="63">
        <f t="shared" si="2"/>
        <v>22</v>
      </c>
      <c r="J47" s="63" t="e">
        <f t="shared" si="3"/>
        <v>#VALUE!</v>
      </c>
      <c r="K47" s="63">
        <f t="shared" si="4"/>
        <v>32</v>
      </c>
      <c r="L47" s="63" t="str">
        <f>IFERROR(VLOOKUP(MID(G47,J47,K47-J47),[6]skilldef!$C:$D,2,FALSE),"-") &amp; " / " &amp; IFERROR(VLOOKUP(MID(G47,H47,I47-H47),[6]skilldef!$A:$B,2,FALSE),"-")</f>
        <v>- / -</v>
      </c>
      <c r="M47" s="63" t="str">
        <f t="shared" si="5"/>
        <v>[effect:suicide, target:myself, val:1, dead_type:escape]</v>
      </c>
      <c r="N47" s="48" t="str">
        <f>IFERROR(LEFT(M47,FIND("],",M47)+S49),M47)</f>
        <v>[effect:suicide, target:myself, val:1, dead_type:escape]</v>
      </c>
      <c r="O47" s="63">
        <f t="shared" si="6"/>
        <v>9</v>
      </c>
      <c r="P47" s="63">
        <f t="shared" si="7"/>
        <v>16</v>
      </c>
      <c r="Q47" s="63">
        <f t="shared" si="8"/>
        <v>25</v>
      </c>
      <c r="R47" s="63">
        <f t="shared" si="9"/>
        <v>31</v>
      </c>
      <c r="S47" s="63" t="str">
        <f>IFERROR(VLOOKUP(MID(N47,Q47,R47-Q47),[6]skilldef!$C:$D,2,FALSE),"-") &amp; " / " &amp; IFERROR(VLOOKUP(MID(N47,O47,P47-O47),[6]skilldef!$A:$B,2,FALSE),"-")</f>
        <v>自分自身に / -</v>
      </c>
      <c r="T47" s="48" t="str">
        <f t="shared" si="10"/>
        <v>none</v>
      </c>
      <c r="U47" s="63" t="e">
        <f t="shared" si="11"/>
        <v>#VALUE!</v>
      </c>
      <c r="V47" s="63">
        <f t="shared" si="12"/>
        <v>4</v>
      </c>
      <c r="W47" s="63" t="e">
        <f t="shared" si="13"/>
        <v>#VALUE!</v>
      </c>
      <c r="X47" s="63" t="e">
        <f t="shared" si="14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40" customHeight="1" x14ac:dyDescent="0.15">
      <c r="A48" s="47">
        <v>47004114</v>
      </c>
      <c r="B48" s="135" t="s">
        <v>531</v>
      </c>
      <c r="C48" s="111">
        <v>3</v>
      </c>
      <c r="D48" s="111" t="s">
        <v>127</v>
      </c>
      <c r="E48" s="116" t="s">
        <v>282</v>
      </c>
      <c r="F48" s="112" t="s">
        <v>401</v>
      </c>
      <c r="G48" s="63" t="str">
        <f t="shared" si="0"/>
        <v>[effect:enemy_message, val1:2.1, val2:1.9]</v>
      </c>
      <c r="H48" s="63">
        <f t="shared" si="1"/>
        <v>9</v>
      </c>
      <c r="I48" s="63">
        <f t="shared" si="2"/>
        <v>22</v>
      </c>
      <c r="J48" s="63" t="e">
        <f t="shared" si="3"/>
        <v>#VALUE!</v>
      </c>
      <c r="K48" s="63">
        <f t="shared" si="4"/>
        <v>32</v>
      </c>
      <c r="L48" s="63" t="str">
        <f>IFERROR(VLOOKUP(MID(G48,J48,K48-J48),[6]skilldef!$C:$D,2,FALSE),"-") &amp; " / " &amp; IFERROR(VLOOKUP(MID(G48,H48,I48-H48),[6]skilldef!$A:$B,2,FALSE),"-")</f>
        <v>- / -</v>
      </c>
      <c r="M48" s="63" t="str">
        <f t="shared" si="5"/>
        <v>[effect:force_change_block, new_block:damage, target:block_red, count:2, val:0.01],[effect:fix_speed, target:myself, turn:2]</v>
      </c>
      <c r="N48" s="48" t="str">
        <f>IFERROR(LEFT(M48,FIND("],",M48)+S57),M48)</f>
        <v>[effect:force_change_block, new_block:damage, target:block_red, count:2, val:0.01],[effect:fix_speed, target:myself, turn:2]</v>
      </c>
      <c r="O48" s="63">
        <f t="shared" si="6"/>
        <v>9</v>
      </c>
      <c r="P48" s="63">
        <f t="shared" si="7"/>
        <v>27</v>
      </c>
      <c r="Q48" s="63">
        <f t="shared" si="8"/>
        <v>54</v>
      </c>
      <c r="R48" s="63">
        <f t="shared" si="9"/>
        <v>45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10"/>
        <v>[effect:fix_speed, target:myself, turn:2]</v>
      </c>
      <c r="U48" s="63">
        <f t="shared" si="11"/>
        <v>9</v>
      </c>
      <c r="V48" s="63">
        <f t="shared" si="12"/>
        <v>18</v>
      </c>
      <c r="W48" s="63">
        <f t="shared" si="13"/>
        <v>27</v>
      </c>
      <c r="X48" s="63">
        <f t="shared" si="14"/>
        <v>33</v>
      </c>
      <c r="Y48" s="63" t="str">
        <f>IFERROR(VLOOKUP(MID(T48,W48,X48-W48),[6]skilldef!$C:$D,2,FALSE),"-") &amp; " / " &amp; IFERROR(VLOOKUP(MID(T48,U48,V48-U48),[6]skilldef!$A:$B,2,FALSE),"-")</f>
        <v>自分自身に / 行動値設定</v>
      </c>
      <c r="Z48" s="50"/>
      <c r="AA48" s="52"/>
      <c r="AB48" s="50"/>
    </row>
    <row r="49" spans="1:28" ht="40" customHeight="1" x14ac:dyDescent="0.15">
      <c r="A49" s="47">
        <v>47004115</v>
      </c>
      <c r="B49" s="135" t="s">
        <v>532</v>
      </c>
      <c r="C49" s="111">
        <v>3</v>
      </c>
      <c r="D49" s="111" t="s">
        <v>127</v>
      </c>
      <c r="E49" s="116" t="s">
        <v>283</v>
      </c>
      <c r="F49" s="112" t="s">
        <v>401</v>
      </c>
      <c r="G49" s="63" t="str">
        <f t="shared" si="0"/>
        <v>[effect:enemy_message, val1:3.1, val2:1.9]</v>
      </c>
      <c r="H49" s="63">
        <f t="shared" si="1"/>
        <v>9</v>
      </c>
      <c r="I49" s="63">
        <f t="shared" si="2"/>
        <v>22</v>
      </c>
      <c r="J49" s="63" t="e">
        <f t="shared" si="3"/>
        <v>#VALUE!</v>
      </c>
      <c r="K49" s="63">
        <f t="shared" si="4"/>
        <v>32</v>
      </c>
      <c r="L49" s="63" t="str">
        <f>IFERROR(VLOOKUP(MID(G49,J49,K49-J49),[6]skilldef!$C:$D,2,FALSE),"-") &amp; " / " &amp; IFERROR(VLOOKUP(MID(G49,H49,I49-H49),[6]skilldef!$A:$B,2,FALSE),"-")</f>
        <v>- / -</v>
      </c>
      <c r="M49" s="63" t="str">
        <f t="shared" si="5"/>
        <v>[effect:force_change_block, new_block:damage, target:block_red, count:2, val:0.01],[effect:fix_speed, target:myself, turn:2]</v>
      </c>
      <c r="N49" s="48" t="str">
        <f>IFERROR(LEFT(M49,FIND("],",M49)+S59),M49)</f>
        <v>[effect:force_change_block, new_block:damage, target:block_red, count:2, val:0.01],[effect:fix_speed, target:myself, turn:2]</v>
      </c>
      <c r="O49" s="63">
        <f t="shared" si="6"/>
        <v>9</v>
      </c>
      <c r="P49" s="63">
        <f t="shared" si="7"/>
        <v>27</v>
      </c>
      <c r="Q49" s="63">
        <f t="shared" si="8"/>
        <v>54</v>
      </c>
      <c r="R49" s="63">
        <f t="shared" si="9"/>
        <v>45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10"/>
        <v>[effect:fix_speed, target:myself, turn:2]</v>
      </c>
      <c r="U49" s="63">
        <f t="shared" si="11"/>
        <v>9</v>
      </c>
      <c r="V49" s="63">
        <f t="shared" si="12"/>
        <v>18</v>
      </c>
      <c r="W49" s="63">
        <f t="shared" si="13"/>
        <v>27</v>
      </c>
      <c r="X49" s="63">
        <f t="shared" si="14"/>
        <v>33</v>
      </c>
      <c r="Y49" s="63" t="str">
        <f>IFERROR(VLOOKUP(MID(T49,W49,X49-W49),[6]skilldef!$C:$D,2,FALSE),"-") &amp; " / " &amp; IFERROR(VLOOKUP(MID(T49,U49,V49-U49),[6]skilldef!$A:$B,2,FALSE),"-")</f>
        <v>自分自身に / 行動値設定</v>
      </c>
      <c r="Z49" s="50"/>
      <c r="AA49" s="52"/>
      <c r="AB49" s="50"/>
    </row>
    <row r="50" spans="1:28" ht="40" customHeight="1" x14ac:dyDescent="0.15">
      <c r="A50" s="47">
        <v>47004116</v>
      </c>
      <c r="B50" s="135" t="s">
        <v>533</v>
      </c>
      <c r="C50" s="111">
        <v>3</v>
      </c>
      <c r="D50" s="111" t="s">
        <v>127</v>
      </c>
      <c r="E50" s="116" t="s">
        <v>284</v>
      </c>
      <c r="F50" s="112" t="s">
        <v>401</v>
      </c>
      <c r="G50" s="63" t="str">
        <f t="shared" si="0"/>
        <v>[effect:enemy_message, val1:2.2, val2:1.9]</v>
      </c>
      <c r="H50" s="63">
        <f t="shared" si="1"/>
        <v>9</v>
      </c>
      <c r="I50" s="63">
        <f t="shared" si="2"/>
        <v>22</v>
      </c>
      <c r="J50" s="63" t="e">
        <f t="shared" si="3"/>
        <v>#VALUE!</v>
      </c>
      <c r="K50" s="63">
        <f t="shared" si="4"/>
        <v>32</v>
      </c>
      <c r="L50" s="63" t="str">
        <f>IFERROR(VLOOKUP(MID(G50,J50,K50-J50),[6]skilldef!$C:$D,2,FALSE),"-") &amp; " / " &amp; IFERROR(VLOOKUP(MID(G50,H50,I50-H50),[6]skilldef!$A:$B,2,FALSE),"-")</f>
        <v>- / -</v>
      </c>
      <c r="M50" s="63" t="str">
        <f t="shared" si="5"/>
        <v>[effect:force_change_block, new_block:damage, target:block_red, count:2, val:0.01],[effect:fix_speed, target:myself, turn:2]</v>
      </c>
      <c r="N50" s="48" t="str">
        <f>IFERROR(LEFT(M50,FIND("],",M50)+S60),M50)</f>
        <v>[effect:force_change_block, new_block:damage, target:block_red, count:2, val:0.01],[effect:fix_speed, target:myself, turn:2]</v>
      </c>
      <c r="O50" s="63">
        <f t="shared" si="6"/>
        <v>9</v>
      </c>
      <c r="P50" s="63">
        <f t="shared" si="7"/>
        <v>27</v>
      </c>
      <c r="Q50" s="63">
        <f t="shared" si="8"/>
        <v>54</v>
      </c>
      <c r="R50" s="63">
        <f t="shared" si="9"/>
        <v>45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10"/>
        <v>[effect:fix_speed, target:myself, turn:2]</v>
      </c>
      <c r="U50" s="63">
        <f t="shared" si="11"/>
        <v>9</v>
      </c>
      <c r="V50" s="63">
        <f t="shared" si="12"/>
        <v>18</v>
      </c>
      <c r="W50" s="63">
        <f t="shared" si="13"/>
        <v>27</v>
      </c>
      <c r="X50" s="63">
        <f t="shared" si="14"/>
        <v>33</v>
      </c>
      <c r="Y50" s="63" t="str">
        <f>IFERROR(VLOOKUP(MID(T50,W50,X50-W50),[6]skilldef!$C:$D,2,FALSE),"-") &amp; " / " &amp; IFERROR(VLOOKUP(MID(T50,U50,V50-U50),[6]skilldef!$A:$B,2,FALSE),"-")</f>
        <v>自分自身に / 行動値設定</v>
      </c>
      <c r="Z50" s="50"/>
      <c r="AA50" s="52"/>
      <c r="AB50" s="50"/>
    </row>
    <row r="51" spans="1:28" ht="40" customHeight="1" x14ac:dyDescent="0.15">
      <c r="A51" s="47">
        <v>47004117</v>
      </c>
      <c r="B51" s="135" t="s">
        <v>534</v>
      </c>
      <c r="C51" s="111">
        <v>3</v>
      </c>
      <c r="D51" s="111" t="s">
        <v>127</v>
      </c>
      <c r="E51" s="116" t="s">
        <v>285</v>
      </c>
      <c r="F51" s="112" t="s">
        <v>401</v>
      </c>
      <c r="G51" s="63" t="str">
        <f t="shared" si="0"/>
        <v>[effect:enemy_message, val1:2.9, val2:1.9]</v>
      </c>
      <c r="H51" s="63">
        <f t="shared" si="1"/>
        <v>9</v>
      </c>
      <c r="I51" s="63">
        <f t="shared" si="2"/>
        <v>22</v>
      </c>
      <c r="J51" s="63" t="e">
        <f t="shared" si="3"/>
        <v>#VALUE!</v>
      </c>
      <c r="K51" s="63">
        <f t="shared" si="4"/>
        <v>32</v>
      </c>
      <c r="L51" s="63" t="str">
        <f>IFERROR(VLOOKUP(MID(G51,J51,K51-J51),[6]skilldef!$C:$D,2,FALSE),"-") &amp; " / " &amp; IFERROR(VLOOKUP(MID(G51,H51,I51-H51),[6]skilldef!$A:$B,2,FALSE),"-")</f>
        <v>- / -</v>
      </c>
      <c r="M51" s="63" t="str">
        <f t="shared" si="5"/>
        <v>[effect:force_change_block, new_block:damage, target:block_red, count:2, val:0.01],[effect:fix_speed, target:myself, turn:2]</v>
      </c>
      <c r="N51" s="48" t="str">
        <f>IFERROR(LEFT(M51,FIND("],",M51)+S62),M51)</f>
        <v>[effect:force_change_block, new_block:damage, target:block_red, count:2, val:0.01],[effect:fix_speed, target:myself, turn:2]</v>
      </c>
      <c r="O51" s="63">
        <f t="shared" si="6"/>
        <v>9</v>
      </c>
      <c r="P51" s="63">
        <f t="shared" si="7"/>
        <v>27</v>
      </c>
      <c r="Q51" s="63">
        <f t="shared" si="8"/>
        <v>54</v>
      </c>
      <c r="R51" s="63">
        <f t="shared" si="9"/>
        <v>45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10"/>
        <v>[effect:fix_speed, target:myself, turn:2]</v>
      </c>
      <c r="U51" s="63">
        <f t="shared" si="11"/>
        <v>9</v>
      </c>
      <c r="V51" s="63">
        <f t="shared" si="12"/>
        <v>18</v>
      </c>
      <c r="W51" s="63">
        <f t="shared" si="13"/>
        <v>27</v>
      </c>
      <c r="X51" s="63">
        <f t="shared" si="14"/>
        <v>33</v>
      </c>
      <c r="Y51" s="63" t="str">
        <f>IFERROR(VLOOKUP(MID(T51,W51,X51-W51),[6]skilldef!$C:$D,2,FALSE),"-") &amp; " / " &amp; IFERROR(VLOOKUP(MID(T51,U51,V51-U51),[6]skilldef!$A:$B,2,FALSE),"-")</f>
        <v>自分自身に / 行動値設定</v>
      </c>
      <c r="Z51" s="50"/>
      <c r="AA51" s="52"/>
      <c r="AB51" s="50"/>
    </row>
    <row r="52" spans="1:28" ht="40" customHeight="1" x14ac:dyDescent="0.15">
      <c r="A52" s="47">
        <v>47004118</v>
      </c>
      <c r="B52" s="135" t="s">
        <v>535</v>
      </c>
      <c r="C52" s="111">
        <v>3</v>
      </c>
      <c r="D52" s="111" t="s">
        <v>127</v>
      </c>
      <c r="E52" s="129" t="s">
        <v>391</v>
      </c>
      <c r="F52" s="112" t="s">
        <v>401</v>
      </c>
      <c r="G52" s="63"/>
      <c r="H52" s="63"/>
      <c r="I52" s="63"/>
      <c r="J52" s="63"/>
      <c r="K52" s="63"/>
      <c r="L52" s="63"/>
      <c r="M52" s="63"/>
      <c r="N52" s="48"/>
      <c r="O52" s="63"/>
      <c r="P52" s="63"/>
      <c r="Q52" s="63"/>
      <c r="R52" s="63"/>
      <c r="S52" s="63"/>
      <c r="T52" s="48"/>
      <c r="U52" s="63"/>
      <c r="V52" s="63"/>
      <c r="W52" s="63"/>
      <c r="X52" s="63"/>
      <c r="Y52" s="63"/>
      <c r="Z52" s="50"/>
      <c r="AA52" s="52"/>
      <c r="AB52" s="50"/>
    </row>
    <row r="53" spans="1:28" ht="40" customHeight="1" x14ac:dyDescent="0.15">
      <c r="A53" s="47">
        <v>47004119</v>
      </c>
      <c r="B53" s="135" t="s">
        <v>536</v>
      </c>
      <c r="C53" s="111">
        <v>3</v>
      </c>
      <c r="D53" s="111" t="s">
        <v>127</v>
      </c>
      <c r="E53" s="129" t="s">
        <v>392</v>
      </c>
      <c r="F53" s="112" t="s">
        <v>401</v>
      </c>
      <c r="G53" s="63"/>
      <c r="H53" s="63"/>
      <c r="I53" s="63"/>
      <c r="J53" s="63"/>
      <c r="K53" s="63"/>
      <c r="L53" s="63"/>
      <c r="M53" s="63"/>
      <c r="N53" s="48"/>
      <c r="O53" s="63"/>
      <c r="P53" s="63"/>
      <c r="Q53" s="63"/>
      <c r="R53" s="63"/>
      <c r="S53" s="63"/>
      <c r="T53" s="48"/>
      <c r="U53" s="63"/>
      <c r="V53" s="63"/>
      <c r="W53" s="63"/>
      <c r="X53" s="63"/>
      <c r="Y53" s="63"/>
      <c r="Z53" s="50"/>
      <c r="AA53" s="52"/>
      <c r="AB53" s="50"/>
    </row>
    <row r="54" spans="1:28" ht="40" customHeight="1" x14ac:dyDescent="0.15">
      <c r="A54" s="47">
        <v>47004151</v>
      </c>
      <c r="B54" s="133" t="s">
        <v>537</v>
      </c>
      <c r="C54" s="50">
        <v>3</v>
      </c>
      <c r="D54" s="50" t="s">
        <v>127</v>
      </c>
      <c r="E54" s="51" t="s">
        <v>319</v>
      </c>
      <c r="F54" s="51" t="s">
        <v>294</v>
      </c>
      <c r="G54" s="63" t="str">
        <f t="shared" si="0"/>
        <v>[effect:enemy_message, val1:1.9, val2:2.6]</v>
      </c>
      <c r="H54" s="63">
        <f t="shared" si="1"/>
        <v>9</v>
      </c>
      <c r="I54" s="63">
        <f t="shared" si="2"/>
        <v>22</v>
      </c>
      <c r="J54" s="63" t="e">
        <f t="shared" si="3"/>
        <v>#VALUE!</v>
      </c>
      <c r="K54" s="63">
        <f t="shared" si="4"/>
        <v>32</v>
      </c>
      <c r="L54" s="63" t="str">
        <f>IFERROR(VLOOKUP(MID(G54,J54,K54-J54),[6]skilldef!$C:$D,2,FALSE),"-") &amp; " / " &amp; IFERROR(VLOOKUP(MID(G54,H54,I54-H54),[6]skilldef!$A:$B,2,FALSE),"-")</f>
        <v>- / -</v>
      </c>
      <c r="M54" s="63" t="str">
        <f t="shared" si="5"/>
        <v>[effect:change_panel_ratio, turn:-1, block_type:heal, val:0.05, animation:block_incidence04],[effect:degrade_fever, val:1000, animation:fevergauge_down],[effect:fix_speed, target:myself, turn:2]</v>
      </c>
      <c r="N54" s="48" t="str">
        <f>IFERROR(LEFT(M54,FIND("],",M54)+#REF!),M54)</f>
        <v>[effect:change_panel_ratio, turn:-1, block_type:heal, val:0.05, animation:block_incidence04],[effect:degrade_fever, val:1000, animation:fevergauge_down],[effect:fix_speed, target:myself, turn:2]</v>
      </c>
      <c r="O54" s="63">
        <f t="shared" si="6"/>
        <v>9</v>
      </c>
      <c r="P54" s="63">
        <f t="shared" si="7"/>
        <v>27</v>
      </c>
      <c r="Q54" s="63">
        <f t="shared" si="8"/>
        <v>180</v>
      </c>
      <c r="R54" s="63">
        <f t="shared" si="9"/>
        <v>36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si="10"/>
        <v>[effect:degrade_fever, val:1000, animation:fevergauge_down],[effect:fix_speed, target:myself, turn:2]</v>
      </c>
      <c r="U54" s="63">
        <f t="shared" si="11"/>
        <v>9</v>
      </c>
      <c r="V54" s="63">
        <f t="shared" si="12"/>
        <v>22</v>
      </c>
      <c r="W54" s="63">
        <f t="shared" si="13"/>
        <v>87</v>
      </c>
      <c r="X54" s="63">
        <f t="shared" si="14"/>
        <v>32</v>
      </c>
      <c r="Y54" s="63" t="str">
        <f>IFERROR(VLOOKUP(MID(T54,W54,X54-W54),[6]skilldef!$C:$D,2,FALSE),"-") &amp; " / " &amp; IFERROR(VLOOKUP(MID(T54,U54,V54-U54),[6]skilldef!$A:$B,2,FALSE),"-")</f>
        <v>- / フィーバーゲージ減少</v>
      </c>
      <c r="Z54" s="50"/>
      <c r="AA54" s="52"/>
      <c r="AB54" s="50"/>
    </row>
    <row r="55" spans="1:28" ht="40" customHeight="1" x14ac:dyDescent="0.15">
      <c r="A55" s="47">
        <v>47004152</v>
      </c>
      <c r="B55" s="135" t="s">
        <v>538</v>
      </c>
      <c r="C55" s="50">
        <v>3</v>
      </c>
      <c r="D55" s="50" t="s">
        <v>127</v>
      </c>
      <c r="E55" s="51" t="s">
        <v>320</v>
      </c>
      <c r="F55" s="51" t="s">
        <v>378</v>
      </c>
      <c r="G55" s="63" t="str">
        <f t="shared" si="0"/>
        <v>[effect:enemy_message, val1:1.2, val2:2.6]</v>
      </c>
      <c r="H55" s="63">
        <f t="shared" si="1"/>
        <v>9</v>
      </c>
      <c r="I55" s="63">
        <f t="shared" si="2"/>
        <v>22</v>
      </c>
      <c r="J55" s="63" t="e">
        <f t="shared" si="3"/>
        <v>#VALUE!</v>
      </c>
      <c r="K55" s="63">
        <f t="shared" si="4"/>
        <v>32</v>
      </c>
      <c r="L55" s="63" t="str">
        <f>IFERROR(VLOOKUP(MID(G55,J55,K55-J55),[6]skilldef!$C:$D,2,FALSE),"-") &amp; " / " &amp; IFERROR(VLOOKUP(MID(G55,H55,I55-H55),[6]skilldef!$A:$B,2,FALSE),"-")</f>
        <v>- / -</v>
      </c>
      <c r="M55" s="63" t="str">
        <f t="shared" si="5"/>
        <v xml:space="preserve">[effect:force_change_block, new_block:damage, target:block_heart, count:2, val:0.01],[effect:rush, count:1, val:1.0]    </v>
      </c>
      <c r="N55" s="48" t="str">
        <f>IFERROR(LEFT(M55,FIND("],",M55)+#REF!),M55)</f>
        <v xml:space="preserve">[effect:force_change_block, new_block:damage, target:block_heart, count:2, val:0.01],[effect:rush, count:1, val:1.0]    </v>
      </c>
      <c r="O55" s="63">
        <f t="shared" si="6"/>
        <v>9</v>
      </c>
      <c r="P55" s="63">
        <f t="shared" si="7"/>
        <v>27</v>
      </c>
      <c r="Q55" s="63">
        <f t="shared" si="8"/>
        <v>54</v>
      </c>
      <c r="R55" s="63">
        <f t="shared" si="9"/>
        <v>45</v>
      </c>
      <c r="S55" s="63" t="str">
        <f>IFERROR(VLOOKUP(MID(N55,Q55,R55-Q55),[6]skilldef!$C:$D,2,FALSE),"-") &amp; " / " &amp; IFERROR(VLOOKUP(MID(N55,O55,P55-O55),[6]skilldef!$A:$B,2,FALSE),"-")</f>
        <v>- / -</v>
      </c>
      <c r="T55" s="48" t="str">
        <f t="shared" si="10"/>
        <v xml:space="preserve">[effect:rush, count:1, val:1.0]    </v>
      </c>
      <c r="U55" s="63">
        <f t="shared" si="11"/>
        <v>9</v>
      </c>
      <c r="V55" s="63">
        <f t="shared" si="12"/>
        <v>13</v>
      </c>
      <c r="W55" s="63" t="e">
        <f t="shared" si="13"/>
        <v>#VALUE!</v>
      </c>
      <c r="X55" s="63">
        <f t="shared" si="14"/>
        <v>22</v>
      </c>
      <c r="Y55" s="63" t="str">
        <f>IFERROR(VLOOKUP(MID(T55,W55,X55-W55),[6]skilldef!$C:$D,2,FALSE),"-") &amp; " / " &amp; IFERROR(VLOOKUP(MID(T55,U55,V55-U55),[6]skilldef!$A:$B,2,FALSE),"-")</f>
        <v>- / 連続攻撃</v>
      </c>
      <c r="Z55" s="50"/>
      <c r="AA55" s="52"/>
      <c r="AB55" s="50"/>
    </row>
    <row r="56" spans="1:28" ht="40" customHeight="1" x14ac:dyDescent="0.15">
      <c r="A56" s="47">
        <v>47004153</v>
      </c>
      <c r="B56" s="133" t="s">
        <v>539</v>
      </c>
      <c r="C56" s="50">
        <v>3</v>
      </c>
      <c r="D56" s="50" t="s">
        <v>127</v>
      </c>
      <c r="E56" s="51" t="s">
        <v>321</v>
      </c>
      <c r="F56" s="51" t="s">
        <v>299</v>
      </c>
      <c r="G56" s="63" t="str">
        <f t="shared" si="0"/>
        <v>[effect:enemy_message, val1:1.2, val2:1.7]</v>
      </c>
      <c r="H56" s="63">
        <f t="shared" si="1"/>
        <v>9</v>
      </c>
      <c r="I56" s="63">
        <f t="shared" si="2"/>
        <v>22</v>
      </c>
      <c r="J56" s="63" t="e">
        <f t="shared" si="3"/>
        <v>#VALUE!</v>
      </c>
      <c r="K56" s="63">
        <f t="shared" si="4"/>
        <v>32</v>
      </c>
      <c r="L56" s="63" t="str">
        <f>IFERROR(VLOOKUP(MID(G56,J56,K56-J56),[6]skilldef!$C:$D,2,FALSE),"-") &amp; " / " &amp; IFERROR(VLOOKUP(MID(G56,H56,I56-H56),[6]skilldef!$A:$B,2,FALSE),"-")</f>
        <v>- / -</v>
      </c>
      <c r="M56" s="63" t="str">
        <f t="shared" si="5"/>
        <v xml:space="preserve">[effect:force_change_block, new_block:block_blue, target:block_red, count:0, val:0],[effect:rush, count:1, val:1.0]    </v>
      </c>
      <c r="N56" s="48" t="str">
        <f>IFERROR(LEFT(M56,FIND("],",M56)+#REF!),M56)</f>
        <v xml:space="preserve">[effect:force_change_block, new_block:block_blue, target:block_red, count:0, val:0],[effect:rush, count:1, val:1.0]    </v>
      </c>
      <c r="O56" s="63">
        <f t="shared" si="6"/>
        <v>9</v>
      </c>
      <c r="P56" s="63">
        <f t="shared" si="7"/>
        <v>27</v>
      </c>
      <c r="Q56" s="63">
        <f t="shared" si="8"/>
        <v>58</v>
      </c>
      <c r="R56" s="63">
        <f t="shared" si="9"/>
        <v>49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10"/>
        <v xml:space="preserve">[effect:rush, count:1, val:1.0]    </v>
      </c>
      <c r="U56" s="63">
        <f t="shared" si="11"/>
        <v>9</v>
      </c>
      <c r="V56" s="63">
        <f t="shared" si="12"/>
        <v>13</v>
      </c>
      <c r="W56" s="63" t="e">
        <f t="shared" si="13"/>
        <v>#VALUE!</v>
      </c>
      <c r="X56" s="63">
        <f t="shared" si="14"/>
        <v>22</v>
      </c>
      <c r="Y56" s="63" t="str">
        <f>IFERROR(VLOOKUP(MID(T56,W56,X56-W56),[6]skilldef!$C:$D,2,FALSE),"-") &amp; " / " &amp; IFERROR(VLOOKUP(MID(T56,U56,V56-U56),[6]skilldef!$A:$B,2,FALSE),"-")</f>
        <v>- / 連続攻撃</v>
      </c>
      <c r="Z56" s="50"/>
      <c r="AA56" s="52"/>
      <c r="AB56" s="50"/>
    </row>
    <row r="57" spans="1:28" ht="40" customHeight="1" x14ac:dyDescent="0.15">
      <c r="A57" s="47">
        <v>47004154</v>
      </c>
      <c r="B57" s="135" t="s">
        <v>540</v>
      </c>
      <c r="C57" s="50">
        <v>3</v>
      </c>
      <c r="D57" s="50" t="s">
        <v>127</v>
      </c>
      <c r="E57" s="51" t="s">
        <v>335</v>
      </c>
      <c r="F57" s="51" t="s">
        <v>381</v>
      </c>
      <c r="G57" s="63" t="str">
        <f t="shared" si="0"/>
        <v>[effect:enemy_message, val1:1.2, val2:1.3]</v>
      </c>
      <c r="H57" s="63">
        <f t="shared" si="1"/>
        <v>9</v>
      </c>
      <c r="I57" s="63">
        <f t="shared" si="2"/>
        <v>22</v>
      </c>
      <c r="J57" s="63" t="e">
        <f t="shared" si="3"/>
        <v>#VALUE!</v>
      </c>
      <c r="K57" s="63">
        <f t="shared" si="4"/>
        <v>32</v>
      </c>
      <c r="L57" s="63" t="str">
        <f>IFERROR(VLOOKUP(MID(G57,J57,K57-J57),[6]skilldef!$C:$D,2,FALSE),"-") &amp; " / " &amp; IFERROR(VLOOKUP(MID(G57,H57,I57-H57),[6]skilldef!$A:$B,2,FALSE),"-")</f>
        <v>- / -</v>
      </c>
      <c r="M57" s="63" t="str">
        <f t="shared" si="5"/>
        <v>[effect:break_attack_fix, target:unit_all, val:100, lowest_val:400, count:-1, color:blue, block01:block_blue]</v>
      </c>
      <c r="N57" s="48" t="str">
        <f>IFERROR(LEFT(M57,FIND("],",M57)+#REF!),M57)</f>
        <v>[effect:break_attack_fix, target:unit_all, val:100, lowest_val:400, count:-1, color:blue, block01:block_blue]</v>
      </c>
      <c r="O57" s="63">
        <f t="shared" si="6"/>
        <v>9</v>
      </c>
      <c r="P57" s="63">
        <f t="shared" si="7"/>
        <v>25</v>
      </c>
      <c r="Q57" s="63">
        <f t="shared" si="8"/>
        <v>34</v>
      </c>
      <c r="R57" s="63">
        <f t="shared" si="9"/>
        <v>42</v>
      </c>
      <c r="S57" s="63" t="str">
        <f>IFERROR(VLOOKUP(MID(N57,Q57,R57-Q57),[6]skilldef!$C:$D,2,FALSE),"-") &amp; " / " &amp; IFERROR(VLOOKUP(MID(N57,O57,P57-O57),[6]skilldef!$A:$B,2,FALSE),"-")</f>
        <v>味方全体に / -</v>
      </c>
      <c r="T57" s="48" t="str">
        <f t="shared" si="10"/>
        <v>none</v>
      </c>
      <c r="U57" s="63" t="e">
        <f t="shared" si="11"/>
        <v>#VALUE!</v>
      </c>
      <c r="V57" s="63">
        <f t="shared" si="12"/>
        <v>4</v>
      </c>
      <c r="W57" s="63" t="e">
        <f t="shared" si="13"/>
        <v>#VALUE!</v>
      </c>
      <c r="X57" s="63" t="e">
        <f t="shared" si="14"/>
        <v>#VALUE!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40" customHeight="1" x14ac:dyDescent="0.15">
      <c r="A58" s="47">
        <v>47004155</v>
      </c>
      <c r="B58" s="133" t="s">
        <v>541</v>
      </c>
      <c r="C58" s="50">
        <v>3</v>
      </c>
      <c r="D58" s="50" t="s">
        <v>127</v>
      </c>
      <c r="E58" s="51" t="s">
        <v>323</v>
      </c>
      <c r="F58" s="51" t="s">
        <v>261</v>
      </c>
      <c r="G58" s="63" t="str">
        <f t="shared" si="0"/>
        <v>[effect:enemy_message, val1:1.7, val2:1.7]</v>
      </c>
      <c r="H58" s="63">
        <f t="shared" si="1"/>
        <v>9</v>
      </c>
      <c r="I58" s="63">
        <f t="shared" si="2"/>
        <v>22</v>
      </c>
      <c r="J58" s="63" t="e">
        <f t="shared" si="3"/>
        <v>#VALUE!</v>
      </c>
      <c r="K58" s="63">
        <f t="shared" si="4"/>
        <v>32</v>
      </c>
      <c r="L58" s="63" t="str">
        <f>IFERROR(VLOOKUP(MID(G58,J58,K58-J58),[6]skilldef!$C:$D,2,FALSE),"-") &amp; " / " &amp; IFERROR(VLOOKUP(MID(G58,H58,I58-H58),[6]skilldef!$A:$B,2,FALSE),"-")</f>
        <v>- / -</v>
      </c>
      <c r="M58" s="63" t="str">
        <f t="shared" si="5"/>
        <v xml:space="preserve">[effect:force_change_block, new_block:block_blue, target:block_green, count:0, val:0],[effect:rush, count:1, val:1.0]    </v>
      </c>
      <c r="N58" s="48" t="str">
        <f>IFERROR(LEFT(M58,FIND("],",M58)+#REF!),M58)</f>
        <v xml:space="preserve">[effect:force_change_block, new_block:block_blue, target:block_green, count:0, val:0],[effect:rush, count:1, val:1.0]    </v>
      </c>
      <c r="O58" s="63">
        <f t="shared" si="6"/>
        <v>9</v>
      </c>
      <c r="P58" s="63">
        <f t="shared" si="7"/>
        <v>27</v>
      </c>
      <c r="Q58" s="63">
        <f t="shared" si="8"/>
        <v>58</v>
      </c>
      <c r="R58" s="63">
        <f t="shared" si="9"/>
        <v>49</v>
      </c>
      <c r="S58" s="63" t="str">
        <f>IFERROR(VLOOKUP(MID(N58,Q58,R58-Q58),[6]skilldef!$C:$D,2,FALSE),"-") &amp; " / " &amp; IFERROR(VLOOKUP(MID(N58,O58,P58-O58),[6]skilldef!$A:$B,2,FALSE),"-")</f>
        <v>- / -</v>
      </c>
      <c r="T58" s="48" t="str">
        <f t="shared" si="10"/>
        <v xml:space="preserve">[effect:rush, count:1, val:1.0]    </v>
      </c>
      <c r="U58" s="63">
        <f t="shared" si="11"/>
        <v>9</v>
      </c>
      <c r="V58" s="63">
        <f t="shared" si="12"/>
        <v>13</v>
      </c>
      <c r="W58" s="63" t="e">
        <f t="shared" si="13"/>
        <v>#VALUE!</v>
      </c>
      <c r="X58" s="63">
        <f t="shared" si="14"/>
        <v>22</v>
      </c>
      <c r="Y58" s="63" t="str">
        <f>IFERROR(VLOOKUP(MID(T58,W58,X58-W58),[6]skilldef!$C:$D,2,FALSE),"-") &amp; " / " &amp; IFERROR(VLOOKUP(MID(T58,U58,V58-U58),[6]skilldef!$A:$B,2,FALSE),"-")</f>
        <v>- / 連続攻撃</v>
      </c>
      <c r="Z58" s="50"/>
      <c r="AA58" s="52"/>
      <c r="AB58" s="50"/>
    </row>
    <row r="59" spans="1:28" ht="40" customHeight="1" x14ac:dyDescent="0.15">
      <c r="A59" s="47">
        <v>47004156</v>
      </c>
      <c r="B59" s="133" t="s">
        <v>542</v>
      </c>
      <c r="C59" s="50">
        <v>3</v>
      </c>
      <c r="D59" s="50" t="s">
        <v>127</v>
      </c>
      <c r="E59" s="116" t="s">
        <v>286</v>
      </c>
      <c r="F59" s="51" t="s">
        <v>295</v>
      </c>
      <c r="G59" s="63" t="str">
        <f t="shared" si="0"/>
        <v>[effect:enemy_message, val1:2.2, val2:1.5]</v>
      </c>
      <c r="H59" s="63">
        <f t="shared" si="1"/>
        <v>9</v>
      </c>
      <c r="I59" s="63">
        <f t="shared" si="2"/>
        <v>22</v>
      </c>
      <c r="J59" s="63" t="e">
        <f t="shared" si="3"/>
        <v>#VALUE!</v>
      </c>
      <c r="K59" s="63">
        <f t="shared" si="4"/>
        <v>32</v>
      </c>
      <c r="L59" s="63" t="str">
        <f>IFERROR(VLOOKUP(MID(G59,J59,K59-J59),[6]skilldef!$C:$D,2,FALSE),"-") &amp; " / " &amp; IFERROR(VLOOKUP(MID(G59,H59,I59-H59),[6]skilldef!$A:$B,2,FALSE),"-")</f>
        <v>- / -</v>
      </c>
      <c r="M59" s="63" t="str">
        <f t="shared" si="5"/>
        <v>[effect:change_panel_ratio, turn:-1, block_type:heal, val:0.05, animation:block_incidence04],[effect:fix_speed, target:myself, turn:2]</v>
      </c>
      <c r="N59" s="48" t="str">
        <f>IFERROR(LEFT(M59,FIND("],",M59)+S70),M59)</f>
        <v>[effect:change_panel_ratio, turn:-1, block_type:heal, val:0.05, animation:block_incidence04],[effect:fix_speed, target:myself, turn:2]</v>
      </c>
      <c r="O59" s="63">
        <f t="shared" si="6"/>
        <v>9</v>
      </c>
      <c r="P59" s="63">
        <f t="shared" si="7"/>
        <v>27</v>
      </c>
      <c r="Q59" s="63">
        <f t="shared" si="8"/>
        <v>120</v>
      </c>
      <c r="R59" s="63">
        <f t="shared" si="9"/>
        <v>36</v>
      </c>
      <c r="S59" s="63" t="str">
        <f>IFERROR(VLOOKUP(MID(N59,Q59,R59-Q59),[6]skilldef!$C:$D,2,FALSE),"-") &amp; " / " &amp; IFERROR(VLOOKUP(MID(N59,O59,P59-O59),[6]skilldef!$A:$B,2,FALSE),"-")</f>
        <v>- / -</v>
      </c>
      <c r="T59" s="48" t="str">
        <f t="shared" si="10"/>
        <v>[effect:fix_speed, target:myself, turn:2]</v>
      </c>
      <c r="U59" s="63">
        <f t="shared" si="11"/>
        <v>9</v>
      </c>
      <c r="V59" s="63">
        <f t="shared" si="12"/>
        <v>18</v>
      </c>
      <c r="W59" s="63">
        <f t="shared" si="13"/>
        <v>27</v>
      </c>
      <c r="X59" s="63">
        <f t="shared" si="14"/>
        <v>33</v>
      </c>
      <c r="Y59" s="63" t="str">
        <f>IFERROR(VLOOKUP(MID(T59,W59,X59-W59),[6]skilldef!$C:$D,2,FALSE),"-") &amp; " / " &amp; IFERROR(VLOOKUP(MID(T59,U59,V59-U59),[6]skilldef!$A:$B,2,FALSE),"-")</f>
        <v>自分自身に / 行動値設定</v>
      </c>
      <c r="Z59" s="50"/>
      <c r="AA59" s="52"/>
      <c r="AB59" s="50"/>
    </row>
    <row r="60" spans="1:28" ht="40" customHeight="1" x14ac:dyDescent="0.15">
      <c r="A60" s="47">
        <v>47004157</v>
      </c>
      <c r="B60" s="133" t="s">
        <v>543</v>
      </c>
      <c r="C60" s="50">
        <v>3</v>
      </c>
      <c r="D60" s="50" t="s">
        <v>127</v>
      </c>
      <c r="E60" s="116" t="s">
        <v>287</v>
      </c>
      <c r="F60" s="51" t="s">
        <v>345</v>
      </c>
      <c r="G60" s="63" t="str">
        <f t="shared" si="0"/>
        <v>[effect:enemy_message, val1:2.3, val2:1.5]</v>
      </c>
      <c r="H60" s="63">
        <f t="shared" si="1"/>
        <v>9</v>
      </c>
      <c r="I60" s="63">
        <f t="shared" si="2"/>
        <v>22</v>
      </c>
      <c r="J60" s="63" t="e">
        <f t="shared" si="3"/>
        <v>#VALUE!</v>
      </c>
      <c r="K60" s="63">
        <f t="shared" si="4"/>
        <v>32</v>
      </c>
      <c r="L60" s="63" t="str">
        <f>IFERROR(VLOOKUP(MID(G60,J60,K60-J60),[6]skilldef!$C:$D,2,FALSE),"-") &amp; " / " &amp; IFERROR(VLOOKUP(MID(G60,H60,I60-H60),[6]skilldef!$A:$B,2,FALSE),"-")</f>
        <v>- / -</v>
      </c>
      <c r="M60" s="63" t="str">
        <f t="shared" si="5"/>
        <v>[effect:change_panel_ratio, turn:-1, block_type:heal, val:0.05, animation:block_incidence04],[effect:fix_speed, target:myself, turn:2]</v>
      </c>
      <c r="N60" s="48" t="str">
        <f>IFERROR(LEFT(M60,FIND("],",M60)+S71),M60)</f>
        <v>[effect:change_panel_ratio, turn:-1, block_type:heal, val:0.05, animation:block_incidence04],[effect:fix_speed, target:myself, turn:2]</v>
      </c>
      <c r="O60" s="63">
        <f t="shared" si="6"/>
        <v>9</v>
      </c>
      <c r="P60" s="63">
        <f t="shared" si="7"/>
        <v>27</v>
      </c>
      <c r="Q60" s="63">
        <f t="shared" si="8"/>
        <v>120</v>
      </c>
      <c r="R60" s="63">
        <f t="shared" si="9"/>
        <v>36</v>
      </c>
      <c r="S60" s="63" t="str">
        <f>IFERROR(VLOOKUP(MID(N60,Q60,R60-Q60),[6]skilldef!$C:$D,2,FALSE),"-") &amp; " / " &amp; IFERROR(VLOOKUP(MID(N60,O60,P60-O60),[6]skilldef!$A:$B,2,FALSE),"-")</f>
        <v>- / -</v>
      </c>
      <c r="T60" s="48" t="str">
        <f t="shared" si="10"/>
        <v>[effect:fix_speed, target:myself, turn:2]</v>
      </c>
      <c r="U60" s="63">
        <f t="shared" si="11"/>
        <v>9</v>
      </c>
      <c r="V60" s="63">
        <f t="shared" si="12"/>
        <v>18</v>
      </c>
      <c r="W60" s="63">
        <f t="shared" si="13"/>
        <v>27</v>
      </c>
      <c r="X60" s="63">
        <f t="shared" si="14"/>
        <v>33</v>
      </c>
      <c r="Y60" s="63" t="str">
        <f>IFERROR(VLOOKUP(MID(T60,W60,X60-W60),[6]skilldef!$C:$D,2,FALSE),"-") &amp; " / " &amp; IFERROR(VLOOKUP(MID(T60,U60,V60-U60),[6]skilldef!$A:$B,2,FALSE),"-")</f>
        <v>自分自身に / 行動値設定</v>
      </c>
      <c r="Z60" s="50"/>
      <c r="AA60" s="52"/>
      <c r="AB60" s="50"/>
    </row>
    <row r="61" spans="1:28" ht="40" customHeight="1" x14ac:dyDescent="0.15">
      <c r="A61" s="47">
        <v>47004158</v>
      </c>
      <c r="B61" s="133" t="s">
        <v>544</v>
      </c>
      <c r="C61" s="50">
        <v>3</v>
      </c>
      <c r="D61" s="50" t="s">
        <v>127</v>
      </c>
      <c r="E61" s="116" t="s">
        <v>288</v>
      </c>
      <c r="F61" s="51" t="s">
        <v>295</v>
      </c>
      <c r="G61" s="63" t="str">
        <f t="shared" si="0"/>
        <v>[effect:enemy_message, val1:1.9, val2:1.5]</v>
      </c>
      <c r="H61" s="63">
        <f t="shared" si="1"/>
        <v>9</v>
      </c>
      <c r="I61" s="63">
        <f t="shared" si="2"/>
        <v>22</v>
      </c>
      <c r="J61" s="63" t="e">
        <f t="shared" si="3"/>
        <v>#VALUE!</v>
      </c>
      <c r="K61" s="63">
        <f t="shared" si="4"/>
        <v>32</v>
      </c>
      <c r="L61" s="63" t="str">
        <f>IFERROR(VLOOKUP(MID(G61,J61,K61-J61),[6]skilldef!$C:$D,2,FALSE),"-") &amp; " / " &amp; IFERROR(VLOOKUP(MID(G61,H61,I61-H61),[6]skilldef!$A:$B,2,FALSE),"-")</f>
        <v>- / -</v>
      </c>
      <c r="M61" s="63" t="str">
        <f t="shared" si="5"/>
        <v>[effect:change_panel_ratio, turn:-1, block_type:heal, val:0.05, animation:block_incidence04],[effect:fix_speed, target:myself, turn:2]</v>
      </c>
      <c r="N61" s="48" t="str">
        <f>IFERROR(LEFT(M61,FIND("],",M61)+S72),M61)</f>
        <v>[effect:change_panel_ratio, turn:-1, block_type:heal, val:0.05, animation:block_incidence04],[effect:fix_speed, target:myself, turn:2]</v>
      </c>
      <c r="O61" s="63">
        <f t="shared" si="6"/>
        <v>9</v>
      </c>
      <c r="P61" s="63">
        <f t="shared" si="7"/>
        <v>27</v>
      </c>
      <c r="Q61" s="63">
        <f t="shared" si="8"/>
        <v>120</v>
      </c>
      <c r="R61" s="63">
        <f t="shared" si="9"/>
        <v>36</v>
      </c>
      <c r="S61" s="63" t="str">
        <f>IFERROR(VLOOKUP(MID(N61,Q61,R61-Q61),[6]skilldef!$C:$D,2,FALSE),"-") &amp; " / " &amp; IFERROR(VLOOKUP(MID(N61,O61,P61-O61),[6]skilldef!$A:$B,2,FALSE),"-")</f>
        <v>- / -</v>
      </c>
      <c r="T61" s="48" t="str">
        <f t="shared" si="10"/>
        <v>[effect:fix_speed, target:myself, turn:2]</v>
      </c>
      <c r="U61" s="63">
        <f t="shared" si="11"/>
        <v>9</v>
      </c>
      <c r="V61" s="63">
        <f t="shared" si="12"/>
        <v>18</v>
      </c>
      <c r="W61" s="63">
        <f t="shared" si="13"/>
        <v>27</v>
      </c>
      <c r="X61" s="63">
        <f t="shared" si="14"/>
        <v>33</v>
      </c>
      <c r="Y61" s="63" t="str">
        <f>IFERROR(VLOOKUP(MID(T61,W61,X61-W61),[6]skilldef!$C:$D,2,FALSE),"-") &amp; " / " &amp; IFERROR(VLOOKUP(MID(T61,U61,V61-U61),[6]skilldef!$A:$B,2,FALSE),"-")</f>
        <v>自分自身に / 行動値設定</v>
      </c>
      <c r="Z61" s="50"/>
      <c r="AA61" s="52"/>
      <c r="AB61" s="50"/>
    </row>
    <row r="62" spans="1:28" ht="40" customHeight="1" x14ac:dyDescent="0.15">
      <c r="A62" s="47">
        <v>47004159</v>
      </c>
      <c r="B62" s="133" t="s">
        <v>545</v>
      </c>
      <c r="C62" s="50">
        <v>3</v>
      </c>
      <c r="D62" s="50" t="s">
        <v>127</v>
      </c>
      <c r="E62" s="116" t="s">
        <v>289</v>
      </c>
      <c r="F62" s="51" t="s">
        <v>295</v>
      </c>
      <c r="G62" s="63" t="str">
        <f t="shared" si="0"/>
        <v>[effect:enemy_message, val1:2.7, val2:1.5]</v>
      </c>
      <c r="H62" s="63">
        <f t="shared" si="1"/>
        <v>9</v>
      </c>
      <c r="I62" s="63">
        <f t="shared" si="2"/>
        <v>22</v>
      </c>
      <c r="J62" s="63" t="e">
        <f t="shared" si="3"/>
        <v>#VALUE!</v>
      </c>
      <c r="K62" s="63">
        <f t="shared" si="4"/>
        <v>32</v>
      </c>
      <c r="L62" s="63" t="str">
        <f>IFERROR(VLOOKUP(MID(G62,J62,K62-J62),[6]skilldef!$C:$D,2,FALSE),"-") &amp; " / " &amp; IFERROR(VLOOKUP(MID(G62,H62,I62-H62),[6]skilldef!$A:$B,2,FALSE),"-")</f>
        <v>- / -</v>
      </c>
      <c r="M62" s="63" t="str">
        <f t="shared" si="5"/>
        <v>[effect:change_panel_ratio, turn:-1, block_type:heal, val:0.05, animation:block_incidence04],[effect:fix_speed, target:myself, turn:2]</v>
      </c>
      <c r="N62" s="48" t="str">
        <f>IFERROR(LEFT(M62,FIND("],",M62)+S73),M62)</f>
        <v>[effect:change_panel_ratio, turn:-1, block_type:heal, val:0.05, animation:block_incidence04],[effect:fix_speed, target:myself, turn:2]</v>
      </c>
      <c r="O62" s="63">
        <f t="shared" si="6"/>
        <v>9</v>
      </c>
      <c r="P62" s="63">
        <f t="shared" si="7"/>
        <v>27</v>
      </c>
      <c r="Q62" s="63">
        <f t="shared" si="8"/>
        <v>120</v>
      </c>
      <c r="R62" s="63">
        <f t="shared" si="9"/>
        <v>36</v>
      </c>
      <c r="S62" s="63" t="str">
        <f>IFERROR(VLOOKUP(MID(N62,Q62,R62-Q62),[6]skilldef!$C:$D,2,FALSE),"-") &amp; " / " &amp; IFERROR(VLOOKUP(MID(N62,O62,P62-O62),[6]skilldef!$A:$B,2,FALSE),"-")</f>
        <v>- / -</v>
      </c>
      <c r="T62" s="48" t="str">
        <f t="shared" si="10"/>
        <v>[effect:fix_speed, target:myself, turn:2]</v>
      </c>
      <c r="U62" s="63">
        <f t="shared" si="11"/>
        <v>9</v>
      </c>
      <c r="V62" s="63">
        <f t="shared" si="12"/>
        <v>18</v>
      </c>
      <c r="W62" s="63">
        <f t="shared" si="13"/>
        <v>27</v>
      </c>
      <c r="X62" s="63">
        <f t="shared" si="14"/>
        <v>33</v>
      </c>
      <c r="Y62" s="63" t="str">
        <f>IFERROR(VLOOKUP(MID(T62,W62,X62-W62),[6]skilldef!$C:$D,2,FALSE),"-") &amp; " / " &amp; IFERROR(VLOOKUP(MID(T62,U62,V62-U62),[6]skilldef!$A:$B,2,FALSE),"-")</f>
        <v>自分自身に / 行動値設定</v>
      </c>
      <c r="Z62" s="50"/>
      <c r="AA62" s="52"/>
      <c r="AB62" s="50"/>
    </row>
    <row r="63" spans="1:28" ht="40" customHeight="1" x14ac:dyDescent="0.15">
      <c r="A63" s="47">
        <v>47004160</v>
      </c>
      <c r="B63" s="133" t="s">
        <v>546</v>
      </c>
      <c r="C63" s="50">
        <v>3</v>
      </c>
      <c r="D63" s="50" t="s">
        <v>127</v>
      </c>
      <c r="E63" s="116" t="s">
        <v>290</v>
      </c>
      <c r="F63" s="51" t="s">
        <v>295</v>
      </c>
      <c r="G63" s="63" t="str">
        <f t="shared" si="0"/>
        <v>[effect:enemy_message, val1:2.6, val2:1.5]</v>
      </c>
      <c r="H63" s="63">
        <f t="shared" si="1"/>
        <v>9</v>
      </c>
      <c r="I63" s="63">
        <f t="shared" si="2"/>
        <v>22</v>
      </c>
      <c r="J63" s="63" t="e">
        <f t="shared" si="3"/>
        <v>#VALUE!</v>
      </c>
      <c r="K63" s="63">
        <f t="shared" si="4"/>
        <v>32</v>
      </c>
      <c r="L63" s="63" t="str">
        <f>IFERROR(VLOOKUP(MID(G63,J63,K63-J63),[6]skilldef!$C:$D,2,FALSE),"-") &amp; " / " &amp; IFERROR(VLOOKUP(MID(G63,H63,I63-H63),[6]skilldef!$A:$B,2,FALSE),"-")</f>
        <v>- / -</v>
      </c>
      <c r="M63" s="63" t="str">
        <f t="shared" si="5"/>
        <v>[effect:change_panel_ratio, turn:-1, block_type:heal, val:0.05, animation:block_incidence04],[effect:fix_speed, target:myself, turn:2]</v>
      </c>
      <c r="N63" s="48" t="str">
        <f>IFERROR(LEFT(M63,FIND("],",M63)+S74),M63)</f>
        <v>[effect:change_panel_ratio, turn:-1, block_type:heal, val:0.05, animation:block_incidence04],[effect:fix_speed, target:myself, turn:2]</v>
      </c>
      <c r="O63" s="63">
        <f t="shared" si="6"/>
        <v>9</v>
      </c>
      <c r="P63" s="63">
        <f t="shared" si="7"/>
        <v>27</v>
      </c>
      <c r="Q63" s="63">
        <f t="shared" si="8"/>
        <v>120</v>
      </c>
      <c r="R63" s="63">
        <f t="shared" si="9"/>
        <v>36</v>
      </c>
      <c r="S63" s="63" t="str">
        <f>IFERROR(VLOOKUP(MID(N63,Q63,R63-Q63),[6]skilldef!$C:$D,2,FALSE),"-") &amp; " / " &amp; IFERROR(VLOOKUP(MID(N63,O63,P63-O63),[6]skilldef!$A:$B,2,FALSE),"-")</f>
        <v>- / -</v>
      </c>
      <c r="T63" s="48" t="str">
        <f t="shared" si="10"/>
        <v>[effect:fix_speed, target:myself, turn:2]</v>
      </c>
      <c r="U63" s="63">
        <f t="shared" si="11"/>
        <v>9</v>
      </c>
      <c r="V63" s="63">
        <f t="shared" si="12"/>
        <v>18</v>
      </c>
      <c r="W63" s="63">
        <f t="shared" si="13"/>
        <v>27</v>
      </c>
      <c r="X63" s="63">
        <f t="shared" si="14"/>
        <v>33</v>
      </c>
      <c r="Y63" s="63" t="str">
        <f>IFERROR(VLOOKUP(MID(T63,W63,X63-W63),[6]skilldef!$C:$D,2,FALSE),"-") &amp; " / " &amp; IFERROR(VLOOKUP(MID(T63,U63,V63-U63),[6]skilldef!$A:$B,2,FALSE),"-")</f>
        <v>自分自身に / 行動値設定</v>
      </c>
      <c r="Z63" s="50"/>
      <c r="AA63" s="52"/>
      <c r="AB63" s="50"/>
    </row>
    <row r="64" spans="1:28" ht="40" customHeight="1" x14ac:dyDescent="0.15">
      <c r="A64" s="47">
        <v>47004161</v>
      </c>
      <c r="B64" s="133" t="s">
        <v>547</v>
      </c>
      <c r="C64" s="50">
        <v>3</v>
      </c>
      <c r="D64" s="50" t="s">
        <v>127</v>
      </c>
      <c r="E64" s="129" t="s">
        <v>393</v>
      </c>
      <c r="F64" s="51" t="s">
        <v>295</v>
      </c>
      <c r="G64" s="63"/>
      <c r="H64" s="63"/>
      <c r="I64" s="63"/>
      <c r="J64" s="63"/>
      <c r="K64" s="63"/>
      <c r="L64" s="63"/>
      <c r="M64" s="63"/>
      <c r="N64" s="48"/>
      <c r="O64" s="63"/>
      <c r="P64" s="63"/>
      <c r="Q64" s="63"/>
      <c r="R64" s="63"/>
      <c r="S64" s="63"/>
      <c r="T64" s="48"/>
      <c r="U64" s="63"/>
      <c r="V64" s="63"/>
      <c r="W64" s="63"/>
      <c r="X64" s="63"/>
      <c r="Y64" s="63"/>
      <c r="Z64" s="50"/>
      <c r="AA64" s="52"/>
      <c r="AB64" s="50"/>
    </row>
    <row r="65" spans="1:28" ht="40" customHeight="1" x14ac:dyDescent="0.15">
      <c r="A65" s="47">
        <v>47004162</v>
      </c>
      <c r="B65" s="133" t="s">
        <v>548</v>
      </c>
      <c r="C65" s="50">
        <v>3</v>
      </c>
      <c r="D65" s="50" t="s">
        <v>127</v>
      </c>
      <c r="E65" s="129" t="s">
        <v>394</v>
      </c>
      <c r="F65" s="51" t="s">
        <v>295</v>
      </c>
      <c r="G65" s="63"/>
      <c r="H65" s="63"/>
      <c r="I65" s="63"/>
      <c r="J65" s="63"/>
      <c r="K65" s="63"/>
      <c r="L65" s="63"/>
      <c r="M65" s="63"/>
      <c r="N65" s="48"/>
      <c r="O65" s="63"/>
      <c r="P65" s="63"/>
      <c r="Q65" s="63"/>
      <c r="R65" s="63"/>
      <c r="S65" s="63"/>
      <c r="T65" s="48"/>
      <c r="U65" s="63"/>
      <c r="V65" s="63"/>
      <c r="W65" s="63"/>
      <c r="X65" s="63"/>
      <c r="Y65" s="63"/>
      <c r="Z65" s="50"/>
      <c r="AA65" s="52"/>
      <c r="AB65" s="50"/>
    </row>
    <row r="66" spans="1:28" ht="40" customHeight="1" x14ac:dyDescent="0.15">
      <c r="A66" s="47">
        <v>47004181</v>
      </c>
      <c r="B66" s="132" t="s">
        <v>549</v>
      </c>
      <c r="C66" s="111">
        <v>3</v>
      </c>
      <c r="D66" s="111" t="s">
        <v>127</v>
      </c>
      <c r="E66" s="112" t="s">
        <v>324</v>
      </c>
      <c r="F66" s="112" t="s">
        <v>631</v>
      </c>
      <c r="G66" s="63" t="str">
        <f t="shared" si="0"/>
        <v>[effect:enemy_message, val1:1.4, val2:4.6]</v>
      </c>
      <c r="H66" s="63">
        <f t="shared" si="1"/>
        <v>9</v>
      </c>
      <c r="I66" s="63">
        <f t="shared" si="2"/>
        <v>22</v>
      </c>
      <c r="J66" s="63" t="e">
        <f t="shared" si="3"/>
        <v>#VALUE!</v>
      </c>
      <c r="K66" s="63">
        <f t="shared" si="4"/>
        <v>32</v>
      </c>
      <c r="L66" s="63" t="str">
        <f>IFERROR(VLOOKUP(MID(G66,J66,K66-J66),[6]skilldef!$C:$D,2,FALSE),"-") &amp; " / " &amp; IFERROR(VLOOKUP(MID(G66,H66,I66-H66),[6]skilldef!$A:$B,2,FALSE),"-")</f>
        <v>- / -</v>
      </c>
      <c r="M66" s="63" t="str">
        <f t="shared" si="5"/>
        <v>[effect:degrade_unit, target:unit_all, turn:5, status:action, val:2, calc:add, animation:enemy_tap_down],[effect:tolerance, target:myself, turn:-1, count:-1, tolerance_effect:all, animation:enemy_tolerance],[effect:fix_speed, target:myself, turn:1]</v>
      </c>
      <c r="N66" s="48" t="str">
        <f>IFERROR(LEFT(M66,FIND("],",M66)+#REF!),M66)</f>
        <v>[effect:degrade_unit, target:unit_all, turn:5, status:action, val:2, calc:add, animation:enemy_tap_down],[effect:tolerance, target:myself, turn:-1, count:-1, tolerance_effect:all, animation:enemy_tolerance],[effect:fix_speed, target:myself, turn:1]</v>
      </c>
      <c r="O66" s="63">
        <f t="shared" si="6"/>
        <v>9</v>
      </c>
      <c r="P66" s="63">
        <f t="shared" si="7"/>
        <v>21</v>
      </c>
      <c r="Q66" s="63">
        <f t="shared" si="8"/>
        <v>30</v>
      </c>
      <c r="R66" s="63">
        <f t="shared" si="9"/>
        <v>38</v>
      </c>
      <c r="S66" s="63" t="str">
        <f>IFERROR(VLOOKUP(MID(N66,Q66,R66-Q66),[6]skilldef!$C:$D,2,FALSE),"-") &amp; " / " &amp; IFERROR(VLOOKUP(MID(N66,O66,P66-O66),[6]skilldef!$A:$B,2,FALSE),"-")</f>
        <v>味方全体に / ステータスDOWN</v>
      </c>
      <c r="T66" s="48" t="str">
        <f t="shared" si="10"/>
        <v>[effect:tolerance, target:myself, turn:-1, count:-1, tolerance_effect:all, animation:enemy_tolerance],[effect:fix_speed, target:myself, turn:1]</v>
      </c>
      <c r="U66" s="63">
        <f t="shared" si="11"/>
        <v>9</v>
      </c>
      <c r="V66" s="63">
        <f t="shared" si="12"/>
        <v>18</v>
      </c>
      <c r="W66" s="63">
        <f t="shared" si="13"/>
        <v>27</v>
      </c>
      <c r="X66" s="63">
        <f t="shared" si="14"/>
        <v>33</v>
      </c>
      <c r="Y66" s="63" t="str">
        <f>IFERROR(VLOOKUP(MID(T66,W66,X66-W66),[6]skilldef!$C:$D,2,FALSE),"-") &amp; " / " &amp; IFERROR(VLOOKUP(MID(T66,U66,V66-U66),[6]skilldef!$A:$B,2,FALSE),"-")</f>
        <v>自分自身に / 状態異常耐性</v>
      </c>
      <c r="Z66" s="50"/>
      <c r="AA66" s="52"/>
      <c r="AB66" s="50"/>
    </row>
    <row r="67" spans="1:28" ht="40" customHeight="1" x14ac:dyDescent="0.15">
      <c r="A67" s="47">
        <v>47004182</v>
      </c>
      <c r="B67" s="135" t="s">
        <v>550</v>
      </c>
      <c r="C67" s="111">
        <v>3</v>
      </c>
      <c r="D67" s="111" t="s">
        <v>127</v>
      </c>
      <c r="E67" s="112" t="s">
        <v>325</v>
      </c>
      <c r="F67" s="112" t="s">
        <v>442</v>
      </c>
      <c r="G67" s="63" t="str">
        <f t="shared" si="0"/>
        <v>[effect:enemy_message, val1:1.5, val2:3.7]</v>
      </c>
      <c r="H67" s="63">
        <f t="shared" si="1"/>
        <v>9</v>
      </c>
      <c r="I67" s="63">
        <f t="shared" si="2"/>
        <v>22</v>
      </c>
      <c r="J67" s="63" t="e">
        <f t="shared" si="3"/>
        <v>#VALUE!</v>
      </c>
      <c r="K67" s="63">
        <f t="shared" si="4"/>
        <v>32</v>
      </c>
      <c r="L67" s="63" t="str">
        <f>IFERROR(VLOOKUP(MID(G67,J67,K67-J67),[6]skilldef!$C:$D,2,FALSE),"-") &amp; " / " &amp; IFERROR(VLOOKUP(MID(G67,H67,I67-H67),[6]skilldef!$A:$B,2,FALSE),"-")</f>
        <v>- / -</v>
      </c>
      <c r="M67" s="63" t="str">
        <f t="shared" si="5"/>
        <v>[effect:suicide, val:0.2],[effect:spread, val:0.25],[effect:force_change_block, new_block:damage, target:block_all, ignore01:block_positive, ignore02:block_negative, count:2, val:0.01]</v>
      </c>
      <c r="N67" s="48" t="str">
        <f>IFERROR(LEFT(M67,FIND("],",M67)+#REF!),M67)</f>
        <v>[effect:suicide, val:0.2],[effect:spread, val:0.25],[effect:force_change_block, new_block:damage, target:block_all, ignore01:block_positive, ignore02:block_negative, count:2, val:0.01]</v>
      </c>
      <c r="O67" s="63">
        <f t="shared" si="6"/>
        <v>9</v>
      </c>
      <c r="P67" s="63">
        <f t="shared" si="7"/>
        <v>16</v>
      </c>
      <c r="Q67" s="63">
        <f t="shared" si="8"/>
        <v>106</v>
      </c>
      <c r="R67" s="63">
        <f t="shared" si="9"/>
        <v>26</v>
      </c>
      <c r="S67" s="63" t="str">
        <f>IFERROR(VLOOKUP(MID(N67,Q67,R67-Q67),[6]skilldef!$C:$D,2,FALSE),"-") &amp; " / " &amp; IFERROR(VLOOKUP(MID(N67,O67,P67-O67),[6]skilldef!$A:$B,2,FALSE),"-")</f>
        <v>- / -</v>
      </c>
      <c r="T67" s="48" t="str">
        <f t="shared" si="10"/>
        <v>[effect:spread, val:0.25],[effect:force_change_block, new_block:damage, target:block_all, ignore01:block_positive, ignore02:block_negative, count:2, val:0.01]</v>
      </c>
      <c r="U67" s="63">
        <f t="shared" si="11"/>
        <v>9</v>
      </c>
      <c r="V67" s="63">
        <f t="shared" si="12"/>
        <v>15</v>
      </c>
      <c r="W67" s="63">
        <f t="shared" si="13"/>
        <v>80</v>
      </c>
      <c r="X67" s="63">
        <f t="shared" si="14"/>
        <v>26</v>
      </c>
      <c r="Y67" s="63" t="str">
        <f>IFERROR(VLOOKUP(MID(T67,W67,X67-W67),[6]skilldef!$C:$D,2,FALSE),"-") &amp; " / " &amp; IFERROR(VLOOKUP(MID(T67,U67,V67-U67),[6]skilldef!$A:$B,2,FALSE),"-")</f>
        <v>- / 全体攻撃</v>
      </c>
      <c r="Z67" s="50"/>
      <c r="AA67" s="52"/>
      <c r="AB67" s="50"/>
    </row>
    <row r="68" spans="1:28" ht="40" customHeight="1" x14ac:dyDescent="0.15">
      <c r="A68" s="47">
        <v>47004183</v>
      </c>
      <c r="B68" s="135" t="s">
        <v>551</v>
      </c>
      <c r="C68" s="111">
        <v>3</v>
      </c>
      <c r="D68" s="111" t="s">
        <v>127</v>
      </c>
      <c r="E68" s="112" t="s">
        <v>326</v>
      </c>
      <c r="F68" s="112" t="s">
        <v>444</v>
      </c>
      <c r="G68" s="63" t="str">
        <f t="shared" si="0"/>
        <v>[effect:enemy_message, val1:1.2, val2:3.7]</v>
      </c>
      <c r="H68" s="63">
        <f t="shared" si="1"/>
        <v>9</v>
      </c>
      <c r="I68" s="63">
        <f t="shared" si="2"/>
        <v>22</v>
      </c>
      <c r="J68" s="63" t="e">
        <f t="shared" si="3"/>
        <v>#VALUE!</v>
      </c>
      <c r="K68" s="63">
        <f t="shared" si="4"/>
        <v>32</v>
      </c>
      <c r="L68" s="63" t="str">
        <f>IFERROR(VLOOKUP(MID(G68,J68,K68-J68),[6]skilldef!$C:$D,2,FALSE),"-") &amp; " / " &amp; IFERROR(VLOOKUP(MID(G68,H68,I68-H68),[6]skilldef!$A:$B,2,FALSE),"-")</f>
        <v>- / -</v>
      </c>
      <c r="M68" s="63" t="str">
        <f t="shared" si="5"/>
        <v>[effect:suicide, val:0.25],[effect:spread, val:0.26],[effect:force_change_block, new_block:damage, target:block_all, ignore01:block_positive, ignore02:block_negative, count:2, val:0.01]</v>
      </c>
      <c r="N68" s="48" t="str">
        <f>IFERROR(LEFT(M68,FIND("],",M68)+#REF!),M68)</f>
        <v>[effect:suicide, val:0.25],[effect:spread, val:0.26],[effect:force_change_block, new_block:damage, target:block_all, ignore01:block_positive, ignore02:block_negative, count:2, val:0.01]</v>
      </c>
      <c r="O68" s="63">
        <f t="shared" si="6"/>
        <v>9</v>
      </c>
      <c r="P68" s="63">
        <f t="shared" si="7"/>
        <v>16</v>
      </c>
      <c r="Q68" s="63">
        <f t="shared" si="8"/>
        <v>107</v>
      </c>
      <c r="R68" s="63">
        <f t="shared" si="9"/>
        <v>27</v>
      </c>
      <c r="S68" s="63" t="str">
        <f>IFERROR(VLOOKUP(MID(N68,Q68,R68-Q68),[6]skilldef!$C:$D,2,FALSE),"-") &amp; " / " &amp; IFERROR(VLOOKUP(MID(N68,O68,P68-O68),[6]skilldef!$A:$B,2,FALSE),"-")</f>
        <v>- / -</v>
      </c>
      <c r="T68" s="48" t="str">
        <f t="shared" si="10"/>
        <v>[effect:spread, val:0.26],[effect:force_change_block, new_block:damage, target:block_all, ignore01:block_positive, ignore02:block_negative, count:2, val:0.01]</v>
      </c>
      <c r="U68" s="63">
        <f t="shared" si="11"/>
        <v>9</v>
      </c>
      <c r="V68" s="63">
        <f t="shared" si="12"/>
        <v>15</v>
      </c>
      <c r="W68" s="63">
        <f t="shared" si="13"/>
        <v>80</v>
      </c>
      <c r="X68" s="63">
        <f t="shared" si="14"/>
        <v>26</v>
      </c>
      <c r="Y68" s="63" t="str">
        <f>IFERROR(VLOOKUP(MID(T68,W68,X68-W68),[6]skilldef!$C:$D,2,FALSE),"-") &amp; " / " &amp; IFERROR(VLOOKUP(MID(T68,U68,V68-U68),[6]skilldef!$A:$B,2,FALSE),"-")</f>
        <v>- / 全体攻撃</v>
      </c>
      <c r="Z68" s="50"/>
      <c r="AA68" s="52"/>
      <c r="AB68" s="50"/>
    </row>
    <row r="69" spans="1:28" ht="40" customHeight="1" x14ac:dyDescent="0.15">
      <c r="A69" s="47">
        <v>47004184</v>
      </c>
      <c r="B69" s="135" t="s">
        <v>552</v>
      </c>
      <c r="C69" s="111">
        <v>3</v>
      </c>
      <c r="D69" s="111" t="s">
        <v>127</v>
      </c>
      <c r="E69" s="112" t="s">
        <v>327</v>
      </c>
      <c r="F69" s="112" t="s">
        <v>446</v>
      </c>
      <c r="G69" s="63" t="str">
        <f t="shared" si="0"/>
        <v>[effect:enemy_message, val1:1.2, val2:3.7]</v>
      </c>
      <c r="H69" s="63">
        <f t="shared" si="1"/>
        <v>9</v>
      </c>
      <c r="I69" s="63">
        <f t="shared" si="2"/>
        <v>22</v>
      </c>
      <c r="J69" s="63" t="e">
        <f t="shared" si="3"/>
        <v>#VALUE!</v>
      </c>
      <c r="K69" s="63">
        <f t="shared" si="4"/>
        <v>32</v>
      </c>
      <c r="L69" s="63" t="str">
        <f>IFERROR(VLOOKUP(MID(G69,J69,K69-J69),[6]skilldef!$C:$D,2,FALSE),"-") &amp; " / " &amp; IFERROR(VLOOKUP(MID(G69,H69,I69-H69),[6]skilldef!$A:$B,2,FALSE),"-")</f>
        <v>- / -</v>
      </c>
      <c r="M69" s="63" t="str">
        <f t="shared" si="5"/>
        <v>[effect:suicide, val:0.33],[effect:spread, val:0.27],[effect:force_change_block, new_block:damage, target:block_all, ignore01:block_positive, ignore02:block_negative, count:2, val:0.01]</v>
      </c>
      <c r="N69" s="48" t="str">
        <f>IFERROR(LEFT(M69,FIND("],",M69)+#REF!),M69)</f>
        <v>[effect:suicide, val:0.33],[effect:spread, val:0.27],[effect:force_change_block, new_block:damage, target:block_all, ignore01:block_positive, ignore02:block_negative, count:2, val:0.01]</v>
      </c>
      <c r="O69" s="63">
        <f t="shared" si="6"/>
        <v>9</v>
      </c>
      <c r="P69" s="63">
        <f t="shared" si="7"/>
        <v>16</v>
      </c>
      <c r="Q69" s="63">
        <f t="shared" si="8"/>
        <v>107</v>
      </c>
      <c r="R69" s="63">
        <f t="shared" si="9"/>
        <v>27</v>
      </c>
      <c r="S69" s="63" t="str">
        <f>IFERROR(VLOOKUP(MID(N69,Q69,R69-Q69),[6]skilldef!$C:$D,2,FALSE),"-") &amp; " / " &amp; IFERROR(VLOOKUP(MID(N69,O69,P69-O69),[6]skilldef!$A:$B,2,FALSE),"-")</f>
        <v>- / -</v>
      </c>
      <c r="T69" s="48" t="str">
        <f t="shared" si="10"/>
        <v>[effect:spread, val:0.27],[effect:force_change_block, new_block:damage, target:block_all, ignore01:block_positive, ignore02:block_negative, count:2, val:0.01]</v>
      </c>
      <c r="U69" s="63">
        <f t="shared" si="11"/>
        <v>9</v>
      </c>
      <c r="V69" s="63">
        <f t="shared" si="12"/>
        <v>15</v>
      </c>
      <c r="W69" s="63">
        <f t="shared" si="13"/>
        <v>80</v>
      </c>
      <c r="X69" s="63">
        <f t="shared" si="14"/>
        <v>26</v>
      </c>
      <c r="Y69" s="63" t="str">
        <f>IFERROR(VLOOKUP(MID(T69,W69,X69-W69),[6]skilldef!$C:$D,2,FALSE),"-") &amp; " / " &amp; IFERROR(VLOOKUP(MID(T69,U69,V69-U69),[6]skilldef!$A:$B,2,FALSE),"-")</f>
        <v>- / 全体攻撃</v>
      </c>
      <c r="Z69" s="50"/>
      <c r="AA69" s="52"/>
      <c r="AB69" s="50"/>
    </row>
    <row r="70" spans="1:28" ht="40" customHeight="1" x14ac:dyDescent="0.15">
      <c r="A70" s="47">
        <v>47004185</v>
      </c>
      <c r="B70" s="135" t="s">
        <v>553</v>
      </c>
      <c r="C70" s="111">
        <v>3</v>
      </c>
      <c r="D70" s="111" t="s">
        <v>127</v>
      </c>
      <c r="E70" s="112" t="s">
        <v>328</v>
      </c>
      <c r="F70" s="112" t="s">
        <v>448</v>
      </c>
      <c r="G70" s="63" t="str">
        <f t="shared" si="0"/>
        <v>[effect:enemy_message, val1:1.2, val2:3.7]</v>
      </c>
      <c r="H70" s="63">
        <f t="shared" si="1"/>
        <v>9</v>
      </c>
      <c r="I70" s="63">
        <f t="shared" si="2"/>
        <v>22</v>
      </c>
      <c r="J70" s="63" t="e">
        <f t="shared" si="3"/>
        <v>#VALUE!</v>
      </c>
      <c r="K70" s="63">
        <f t="shared" si="4"/>
        <v>32</v>
      </c>
      <c r="L70" s="63" t="str">
        <f>IFERROR(VLOOKUP(MID(G70,J70,K70-J70),[6]skilldef!$C:$D,2,FALSE),"-") &amp; " / " &amp; IFERROR(VLOOKUP(MID(G70,H70,I70-H70),[6]skilldef!$A:$B,2,FALSE),"-")</f>
        <v>- / -</v>
      </c>
      <c r="M70" s="63" t="str">
        <f t="shared" si="5"/>
        <v>[effect:suicide, val:0.50],[effect:spread, val:0.28],[effect:force_change_block, new_block:damage, target:block_all, ignore01:block_positive, ignore02:block_negative, count:2, val:0.01]</v>
      </c>
      <c r="N70" s="48" t="str">
        <f>IFERROR(LEFT(M70,FIND("],",M70)+#REF!),M70)</f>
        <v>[effect:suicide, val:0.50],[effect:spread, val:0.28],[effect:force_change_block, new_block:damage, target:block_all, ignore01:block_positive, ignore02:block_negative, count:2, val:0.01]</v>
      </c>
      <c r="O70" s="63">
        <f t="shared" si="6"/>
        <v>9</v>
      </c>
      <c r="P70" s="63">
        <f t="shared" si="7"/>
        <v>16</v>
      </c>
      <c r="Q70" s="63">
        <f t="shared" si="8"/>
        <v>107</v>
      </c>
      <c r="R70" s="63">
        <f t="shared" si="9"/>
        <v>27</v>
      </c>
      <c r="S70" s="63" t="str">
        <f>IFERROR(VLOOKUP(MID(N70,Q70,R70-Q70),[6]skilldef!$C:$D,2,FALSE),"-") &amp; " / " &amp; IFERROR(VLOOKUP(MID(N70,O70,P70-O70),[6]skilldef!$A:$B,2,FALSE),"-")</f>
        <v>- / -</v>
      </c>
      <c r="T70" s="48" t="str">
        <f t="shared" si="10"/>
        <v>[effect:spread, val:0.28],[effect:force_change_block, new_block:damage, target:block_all, ignore01:block_positive, ignore02:block_negative, count:2, val:0.01]</v>
      </c>
      <c r="U70" s="63">
        <f t="shared" si="11"/>
        <v>9</v>
      </c>
      <c r="V70" s="63">
        <f t="shared" si="12"/>
        <v>15</v>
      </c>
      <c r="W70" s="63">
        <f t="shared" si="13"/>
        <v>80</v>
      </c>
      <c r="X70" s="63">
        <f t="shared" si="14"/>
        <v>26</v>
      </c>
      <c r="Y70" s="63" t="str">
        <f>IFERROR(VLOOKUP(MID(T70,W70,X70-W70),[6]skilldef!$C:$D,2,FALSE),"-") &amp; " / " &amp; IFERROR(VLOOKUP(MID(T70,U70,V70-U70),[6]skilldef!$A:$B,2,FALSE),"-")</f>
        <v>- / 全体攻撃</v>
      </c>
      <c r="Z70" s="50"/>
      <c r="AA70" s="52"/>
      <c r="AB70" s="50"/>
    </row>
    <row r="71" spans="1:28" ht="40" customHeight="1" x14ac:dyDescent="0.15">
      <c r="A71" s="47">
        <v>47004186</v>
      </c>
      <c r="B71" s="135" t="s">
        <v>554</v>
      </c>
      <c r="C71" s="111">
        <v>3</v>
      </c>
      <c r="D71" s="111" t="s">
        <v>127</v>
      </c>
      <c r="E71" s="112" t="s">
        <v>437</v>
      </c>
      <c r="F71" s="112" t="s">
        <v>450</v>
      </c>
      <c r="G71" s="63" t="str">
        <f t="shared" si="0"/>
        <v>[effect:enemy_message, val1:1.3, val2:3.8]</v>
      </c>
      <c r="H71" s="63">
        <f t="shared" si="1"/>
        <v>9</v>
      </c>
      <c r="I71" s="63">
        <f t="shared" si="2"/>
        <v>22</v>
      </c>
      <c r="J71" s="63" t="e">
        <f t="shared" si="3"/>
        <v>#VALUE!</v>
      </c>
      <c r="K71" s="63">
        <f t="shared" si="4"/>
        <v>32</v>
      </c>
      <c r="L71" s="63" t="str">
        <f>IFERROR(VLOOKUP(MID(G71,J71,K71-J71),[6]skilldef!$C:$D,2,FALSE),"-") &amp; " / " &amp; IFERROR(VLOOKUP(MID(G71,H71,I71-H71),[6]skilldef!$A:$B,2,FALSE),"-")</f>
        <v>- / -</v>
      </c>
      <c r="M71" s="63" t="str">
        <f t="shared" si="5"/>
        <v>[effect:suicide, val:1.0, dead_type:suicide],[effect:spread, val:0.29],[effect:force_change_block, new_block:damage, target:block_all, ignore01:block_positive, ignore02:block_negative, count:2, val:0.01]</v>
      </c>
      <c r="N71" s="48" t="str">
        <f>IFERROR(LEFT(M71,FIND("],",M71)+#REF!),M71)</f>
        <v>[effect:suicide, val:1.0, dead_type:suicide],[effect:spread, val:0.29],[effect:force_change_block, new_block:damage, target:block_all, ignore01:block_positive, ignore02:block_negative, count:2, val:0.01]</v>
      </c>
      <c r="O71" s="63">
        <f t="shared" si="6"/>
        <v>9</v>
      </c>
      <c r="P71" s="63">
        <f t="shared" si="7"/>
        <v>16</v>
      </c>
      <c r="Q71" s="63">
        <f t="shared" si="8"/>
        <v>125</v>
      </c>
      <c r="R71" s="63">
        <f t="shared" si="9"/>
        <v>25</v>
      </c>
      <c r="S71" s="63" t="str">
        <f>IFERROR(VLOOKUP(MID(N71,Q71,R71-Q71),[6]skilldef!$C:$D,2,FALSE),"-") &amp; " / " &amp; IFERROR(VLOOKUP(MID(N71,O71,P71-O71),[6]skilldef!$A:$B,2,FALSE),"-")</f>
        <v>- / -</v>
      </c>
      <c r="T71" s="48" t="str">
        <f t="shared" si="10"/>
        <v>[effect:spread, val:0.29],[effect:force_change_block, new_block:damage, target:block_all, ignore01:block_positive, ignore02:block_negative, count:2, val:0.01]</v>
      </c>
      <c r="U71" s="63">
        <f t="shared" si="11"/>
        <v>9</v>
      </c>
      <c r="V71" s="63">
        <f t="shared" si="12"/>
        <v>15</v>
      </c>
      <c r="W71" s="63">
        <f t="shared" si="13"/>
        <v>80</v>
      </c>
      <c r="X71" s="63">
        <f t="shared" si="14"/>
        <v>26</v>
      </c>
      <c r="Y71" s="63" t="str">
        <f>IFERROR(VLOOKUP(MID(T71,W71,X71-W71),[6]skilldef!$C:$D,2,FALSE),"-") &amp; " / " &amp; IFERROR(VLOOKUP(MID(T71,U71,V71-U71),[6]skilldef!$A:$B,2,FALSE),"-")</f>
        <v>- / 全体攻撃</v>
      </c>
      <c r="Z71" s="50"/>
      <c r="AA71" s="52"/>
      <c r="AB71" s="50"/>
    </row>
    <row r="72" spans="1:28" ht="40" customHeight="1" x14ac:dyDescent="0.15">
      <c r="A72" s="47">
        <v>47004211</v>
      </c>
      <c r="B72" s="133" t="s">
        <v>555</v>
      </c>
      <c r="C72" s="50">
        <v>3</v>
      </c>
      <c r="D72" s="50" t="s">
        <v>127</v>
      </c>
      <c r="E72" s="51" t="s">
        <v>333</v>
      </c>
      <c r="F72" s="51" t="s">
        <v>348</v>
      </c>
      <c r="G72" s="63" t="str">
        <f t="shared" si="0"/>
        <v>[effect:enemy_message, val1:1.5, val2:2.4]</v>
      </c>
      <c r="H72" s="63">
        <f t="shared" si="1"/>
        <v>9</v>
      </c>
      <c r="I72" s="63">
        <f t="shared" si="2"/>
        <v>22</v>
      </c>
      <c r="J72" s="63" t="e">
        <f t="shared" si="3"/>
        <v>#VALUE!</v>
      </c>
      <c r="K72" s="63">
        <f t="shared" si="4"/>
        <v>32</v>
      </c>
      <c r="L72" s="63" t="str">
        <f>IFERROR(VLOOKUP(MID(G72,J72,K72-J72),[6]skilldef!$C:$D,2,FALSE),"-") &amp; " / " &amp; IFERROR(VLOOKUP(MID(G72,H72,I72-H72),[6]skilldef!$A:$B,2,FALSE),"-")</f>
        <v>- / -</v>
      </c>
      <c r="M72" s="63" t="str">
        <f t="shared" si="5"/>
        <v>[effect:enemy_message, val1:1.0, val2:0],[effect:fix_speed, target:myself, turn:1]</v>
      </c>
      <c r="N72" s="48" t="str">
        <f>IFERROR(LEFT(M72,FIND("],",M72)+#REF!),M72)</f>
        <v>[effect:enemy_message, val1:1.0, val2:0],[effect:fix_speed, target:myself, turn:1]</v>
      </c>
      <c r="O72" s="63">
        <f t="shared" si="6"/>
        <v>9</v>
      </c>
      <c r="P72" s="63">
        <f t="shared" si="7"/>
        <v>22</v>
      </c>
      <c r="Q72" s="63">
        <f t="shared" si="8"/>
        <v>68</v>
      </c>
      <c r="R72" s="63">
        <f t="shared" si="9"/>
        <v>32</v>
      </c>
      <c r="S72" s="63" t="str">
        <f>IFERROR(VLOOKUP(MID(N72,Q72,R72-Q72),[6]skilldef!$C:$D,2,FALSE),"-") &amp; " / " &amp; IFERROR(VLOOKUP(MID(N72,O72,P72-O72),[6]skilldef!$A:$B,2,FALSE),"-")</f>
        <v>- / -</v>
      </c>
      <c r="T72" s="48" t="str">
        <f t="shared" si="10"/>
        <v>[effect:fix_speed, target:myself, turn:1]</v>
      </c>
      <c r="U72" s="63">
        <f t="shared" si="11"/>
        <v>9</v>
      </c>
      <c r="V72" s="63">
        <f t="shared" si="12"/>
        <v>18</v>
      </c>
      <c r="W72" s="63">
        <f t="shared" si="13"/>
        <v>27</v>
      </c>
      <c r="X72" s="63">
        <f t="shared" si="14"/>
        <v>33</v>
      </c>
      <c r="Y72" s="63" t="str">
        <f>IFERROR(VLOOKUP(MID(T72,W72,X72-W72),[6]skilldef!$C:$D,2,FALSE),"-") &amp; " / " &amp; IFERROR(VLOOKUP(MID(T72,U72,V72-U72),[6]skilldef!$A:$B,2,FALSE),"-")</f>
        <v>自分自身に / 行動値設定</v>
      </c>
      <c r="Z72" s="50"/>
      <c r="AA72" s="52"/>
      <c r="AB72" s="50"/>
    </row>
    <row r="73" spans="1:28" ht="40" customHeight="1" x14ac:dyDescent="0.15">
      <c r="A73" s="47">
        <v>47004212</v>
      </c>
      <c r="B73" s="133" t="s">
        <v>556</v>
      </c>
      <c r="C73" s="50">
        <v>3</v>
      </c>
      <c r="D73" s="50" t="s">
        <v>127</v>
      </c>
      <c r="E73" s="51" t="s">
        <v>336</v>
      </c>
      <c r="F73" s="51" t="s">
        <v>257</v>
      </c>
      <c r="G73" s="63" t="str">
        <f t="shared" si="0"/>
        <v>[effect:enemy_message, val1:1.2, val2:1.2]</v>
      </c>
      <c r="H73" s="63">
        <f t="shared" si="1"/>
        <v>9</v>
      </c>
      <c r="I73" s="63">
        <f t="shared" si="2"/>
        <v>22</v>
      </c>
      <c r="J73" s="63" t="e">
        <f t="shared" si="3"/>
        <v>#VALUE!</v>
      </c>
      <c r="K73" s="63">
        <f t="shared" si="4"/>
        <v>32</v>
      </c>
      <c r="L73" s="63" t="str">
        <f>IFERROR(VLOOKUP(MID(G73,J73,K73-J73),[6]skilldef!$C:$D,2,FALSE),"-") &amp; " / " &amp; IFERROR(VLOOKUP(MID(G73,H73,I73-H73),[6]skilldef!$A:$B,2,FALSE),"-")</f>
        <v>- / -</v>
      </c>
      <c r="M73" s="63" t="str">
        <f t="shared" si="5"/>
        <v>[effect:spread, val:0.33]</v>
      </c>
      <c r="N73" s="48" t="str">
        <f>IFERROR(LEFT(M73,FIND("],",M73)+#REF!),M73)</f>
        <v>[effect:spread, val:0.33]</v>
      </c>
      <c r="O73" s="63">
        <f t="shared" si="6"/>
        <v>9</v>
      </c>
      <c r="P73" s="63">
        <f t="shared" si="7"/>
        <v>15</v>
      </c>
      <c r="Q73" s="63" t="e">
        <f t="shared" si="8"/>
        <v>#VALUE!</v>
      </c>
      <c r="R73" s="63" t="e">
        <f t="shared" si="9"/>
        <v>#VALUE!</v>
      </c>
      <c r="S73" s="63" t="str">
        <f>IFERROR(VLOOKUP(MID(N73,Q73,R73-Q73),[6]skilldef!$C:$D,2,FALSE),"-") &amp; " / " &amp; IFERROR(VLOOKUP(MID(N73,O73,P73-O73),[6]skilldef!$A:$B,2,FALSE),"-")</f>
        <v>- / 全体攻撃</v>
      </c>
      <c r="T73" s="48" t="str">
        <f t="shared" si="10"/>
        <v>none</v>
      </c>
      <c r="U73" s="63" t="e">
        <f t="shared" si="11"/>
        <v>#VALUE!</v>
      </c>
      <c r="V73" s="63">
        <f t="shared" si="12"/>
        <v>4</v>
      </c>
      <c r="W73" s="63" t="e">
        <f t="shared" si="13"/>
        <v>#VALUE!</v>
      </c>
      <c r="X73" s="63" t="e">
        <f t="shared" si="14"/>
        <v>#VALUE!</v>
      </c>
      <c r="Y73" s="63" t="str">
        <f>IFERROR(VLOOKUP(MID(T73,W73,X73-W73),[6]skilldef!$C:$D,2,FALSE),"-") &amp; " / " &amp; IFERROR(VLOOKUP(MID(T73,U73,V73-U73),[6]skilldef!$A:$B,2,FALSE),"-")</f>
        <v>- / -</v>
      </c>
      <c r="Z73" s="50"/>
      <c r="AA73" s="52"/>
      <c r="AB73" s="50"/>
    </row>
    <row r="74" spans="1:28" ht="40" customHeight="1" x14ac:dyDescent="0.15">
      <c r="A74" s="47">
        <v>47004213</v>
      </c>
      <c r="B74" s="135" t="s">
        <v>557</v>
      </c>
      <c r="C74" s="50">
        <v>3</v>
      </c>
      <c r="D74" s="50" t="s">
        <v>127</v>
      </c>
      <c r="E74" s="51" t="s">
        <v>322</v>
      </c>
      <c r="F74" s="51" t="s">
        <v>429</v>
      </c>
      <c r="G74" s="63" t="str">
        <f t="shared" si="0"/>
        <v>[effect:enemy_message, val1:2.1, val2:2.0]</v>
      </c>
      <c r="H74" s="63">
        <f t="shared" si="1"/>
        <v>9</v>
      </c>
      <c r="I74" s="63">
        <f t="shared" si="2"/>
        <v>22</v>
      </c>
      <c r="J74" s="63" t="e">
        <f t="shared" si="3"/>
        <v>#VALUE!</v>
      </c>
      <c r="K74" s="63">
        <f t="shared" si="4"/>
        <v>32</v>
      </c>
      <c r="L74" s="63" t="str">
        <f>IFERROR(VLOOKUP(MID(G74,J74,K74-J74),[6]skilldef!$C:$D,2,FALSE),"-") &amp; " / " &amp; IFERROR(VLOOKUP(MID(G74,H74,I74-H74),[6]skilldef!$A:$B,2,FALSE),"-")</f>
        <v>- / -</v>
      </c>
      <c r="M74" s="63" t="str">
        <f t="shared" si="5"/>
        <v>[effect:break_attack_fix, target:unit_all, val:100, lowest_val:400, count:-1, color:blue, block01:block_blue, color:blue, block02:block_heart]</v>
      </c>
      <c r="N74" s="48" t="str">
        <f>IFERROR(LEFT(M74,FIND("],",M74)+#REF!),M74)</f>
        <v>[effect:break_attack_fix, target:unit_all, val:100, lowest_val:400, count:-1, color:blue, block01:block_blue, color:blue, block02:block_heart]</v>
      </c>
      <c r="O74" s="63">
        <f t="shared" si="6"/>
        <v>9</v>
      </c>
      <c r="P74" s="63">
        <f t="shared" si="7"/>
        <v>25</v>
      </c>
      <c r="Q74" s="63">
        <f t="shared" si="8"/>
        <v>34</v>
      </c>
      <c r="R74" s="63">
        <f t="shared" si="9"/>
        <v>42</v>
      </c>
      <c r="S74" s="63" t="str">
        <f>IFERROR(VLOOKUP(MID(N74,Q74,R74-Q74),[6]skilldef!$C:$D,2,FALSE),"-") &amp; " / " &amp; IFERROR(VLOOKUP(MID(N74,O74,P74-O74),[6]skilldef!$A:$B,2,FALSE),"-")</f>
        <v>味方全体に / -</v>
      </c>
      <c r="T74" s="48" t="str">
        <f t="shared" si="10"/>
        <v>none</v>
      </c>
      <c r="U74" s="63" t="e">
        <f t="shared" si="11"/>
        <v>#VALUE!</v>
      </c>
      <c r="V74" s="63">
        <f t="shared" si="12"/>
        <v>4</v>
      </c>
      <c r="W74" s="63" t="e">
        <f t="shared" si="13"/>
        <v>#VALUE!</v>
      </c>
      <c r="X74" s="63" t="e">
        <f t="shared" si="14"/>
        <v>#VALUE!</v>
      </c>
      <c r="Y74" s="63" t="str">
        <f>IFERROR(VLOOKUP(MID(T74,W74,X74-W74),[6]skilldef!$C:$D,2,FALSE),"-") &amp; " / " &amp; IFERROR(VLOOKUP(MID(T74,U74,V74-U74),[6]skilldef!$A:$B,2,FALSE),"-")</f>
        <v>- / -</v>
      </c>
      <c r="Z74" s="50"/>
      <c r="AA74" s="52"/>
      <c r="AB74" s="50"/>
    </row>
    <row r="75" spans="1:28" ht="40" customHeight="1" x14ac:dyDescent="0.15">
      <c r="A75" s="47">
        <v>47004214</v>
      </c>
      <c r="B75" s="135" t="s">
        <v>558</v>
      </c>
      <c r="C75" s="50">
        <v>3</v>
      </c>
      <c r="D75" s="50" t="s">
        <v>127</v>
      </c>
      <c r="E75" s="51" t="s">
        <v>342</v>
      </c>
      <c r="F75" s="51" t="s">
        <v>402</v>
      </c>
      <c r="G75" s="63" t="str">
        <f t="shared" si="0"/>
        <v>[effect:enemy_message, val1:1.2, val2:2.4]</v>
      </c>
      <c r="H75" s="63">
        <f t="shared" si="1"/>
        <v>9</v>
      </c>
      <c r="I75" s="63">
        <f t="shared" si="2"/>
        <v>22</v>
      </c>
      <c r="J75" s="63" t="e">
        <f t="shared" si="3"/>
        <v>#VALUE!</v>
      </c>
      <c r="K75" s="63">
        <f t="shared" si="4"/>
        <v>32</v>
      </c>
      <c r="L75" s="63" t="str">
        <f>IFERROR(VLOOKUP(MID(G75,J75,K75-J75),[6]skilldef!$C:$D,2,FALSE),"-") &amp; " / " &amp; IFERROR(VLOOKUP(MID(G75,H75,I75-H75),[6]skilldef!$A:$B,2,FALSE),"-")</f>
        <v>- / -</v>
      </c>
      <c r="M75" s="63" t="str">
        <f t="shared" si="5"/>
        <v xml:space="preserve">[effect:force_change_block, new_block:damage, target:block_red, count:2, val:0.01],[effect:rush, count:1, val:1.0]    </v>
      </c>
      <c r="N75" s="48" t="str">
        <f>IFERROR(LEFT(M75,FIND("],",M75)+#REF!),M75)</f>
        <v xml:space="preserve">[effect:force_change_block, new_block:damage, target:block_red, count:2, val:0.01],[effect:rush, count:1, val:1.0]    </v>
      </c>
      <c r="O75" s="63">
        <f t="shared" si="6"/>
        <v>9</v>
      </c>
      <c r="P75" s="63">
        <f t="shared" si="7"/>
        <v>27</v>
      </c>
      <c r="Q75" s="63">
        <f t="shared" si="8"/>
        <v>54</v>
      </c>
      <c r="R75" s="63">
        <f t="shared" si="9"/>
        <v>45</v>
      </c>
      <c r="S75" s="63" t="str">
        <f>IFERROR(VLOOKUP(MID(N75,Q75,R75-Q75),[6]skilldef!$C:$D,2,FALSE),"-") &amp; " / " &amp; IFERROR(VLOOKUP(MID(N75,O75,P75-O75),[6]skilldef!$A:$B,2,FALSE),"-")</f>
        <v>- / -</v>
      </c>
      <c r="T75" s="48" t="str">
        <f t="shared" si="10"/>
        <v xml:space="preserve">[effect:rush, count:1, val:1.0]    </v>
      </c>
      <c r="U75" s="63">
        <f t="shared" si="11"/>
        <v>9</v>
      </c>
      <c r="V75" s="63">
        <f t="shared" si="12"/>
        <v>13</v>
      </c>
      <c r="W75" s="63" t="e">
        <f t="shared" si="13"/>
        <v>#VALUE!</v>
      </c>
      <c r="X75" s="63">
        <f t="shared" si="14"/>
        <v>22</v>
      </c>
      <c r="Y75" s="63" t="str">
        <f>IFERROR(VLOOKUP(MID(T75,W75,X75-W75),[6]skilldef!$C:$D,2,FALSE),"-") &amp; " / " &amp; IFERROR(VLOOKUP(MID(T75,U75,V75-U75),[6]skilldef!$A:$B,2,FALSE),"-")</f>
        <v>- / 連続攻撃</v>
      </c>
      <c r="Z75" s="50"/>
      <c r="AA75" s="52"/>
      <c r="AB75" s="50"/>
    </row>
    <row r="76" spans="1:28" ht="40" customHeight="1" x14ac:dyDescent="0.15">
      <c r="A76" s="47">
        <v>47004215</v>
      </c>
      <c r="B76" s="133" t="s">
        <v>559</v>
      </c>
      <c r="C76" s="50">
        <v>3</v>
      </c>
      <c r="D76" s="50" t="s">
        <v>127</v>
      </c>
      <c r="E76" s="51" t="s">
        <v>331</v>
      </c>
      <c r="F76" s="51" t="s">
        <v>257</v>
      </c>
      <c r="G76" s="63" t="str">
        <f t="shared" si="0"/>
        <v>[effect:enemy_message, val1:1.2, val2:1.2]</v>
      </c>
      <c r="H76" s="63">
        <f t="shared" si="1"/>
        <v>9</v>
      </c>
      <c r="I76" s="63">
        <f t="shared" si="2"/>
        <v>22</v>
      </c>
      <c r="J76" s="63" t="e">
        <f t="shared" si="3"/>
        <v>#VALUE!</v>
      </c>
      <c r="K76" s="63">
        <f t="shared" si="4"/>
        <v>32</v>
      </c>
      <c r="L76" s="63" t="str">
        <f>IFERROR(VLOOKUP(MID(G76,J76,K76-J76),[6]skilldef!$C:$D,2,FALSE),"-") &amp; " / " &amp; IFERROR(VLOOKUP(MID(G76,H76,I76-H76),[6]skilldef!$A:$B,2,FALSE),"-")</f>
        <v>- / -</v>
      </c>
      <c r="M76" s="63" t="str">
        <f t="shared" si="5"/>
        <v>[effect:spread, val:0.35]</v>
      </c>
      <c r="N76" s="48" t="str">
        <f>IFERROR(LEFT(M76,FIND("],",M76)+#REF!),M76)</f>
        <v>[effect:spread, val:0.35]</v>
      </c>
      <c r="O76" s="63">
        <f t="shared" si="6"/>
        <v>9</v>
      </c>
      <c r="P76" s="63">
        <f t="shared" si="7"/>
        <v>15</v>
      </c>
      <c r="Q76" s="63" t="e">
        <f t="shared" si="8"/>
        <v>#VALUE!</v>
      </c>
      <c r="R76" s="63" t="e">
        <f t="shared" si="9"/>
        <v>#VALUE!</v>
      </c>
      <c r="S76" s="63" t="str">
        <f>IFERROR(VLOOKUP(MID(N76,Q76,R76-Q76),[6]skilldef!$C:$D,2,FALSE),"-") &amp; " / " &amp; IFERROR(VLOOKUP(MID(N76,O76,P76-O76),[6]skilldef!$A:$B,2,FALSE),"-")</f>
        <v>- / 全体攻撃</v>
      </c>
      <c r="T76" s="48" t="str">
        <f t="shared" si="10"/>
        <v>none</v>
      </c>
      <c r="U76" s="63" t="e">
        <f t="shared" si="11"/>
        <v>#VALUE!</v>
      </c>
      <c r="V76" s="63">
        <f t="shared" si="12"/>
        <v>4</v>
      </c>
      <c r="W76" s="63" t="e">
        <f t="shared" si="13"/>
        <v>#VALUE!</v>
      </c>
      <c r="X76" s="63" t="e">
        <f t="shared" si="14"/>
        <v>#VALUE!</v>
      </c>
      <c r="Y76" s="63" t="str">
        <f>IFERROR(VLOOKUP(MID(T76,W76,X76-W76),[6]skilldef!$C:$D,2,FALSE),"-") &amp; " / " &amp; IFERROR(VLOOKUP(MID(T76,U76,V76-U76),[6]skilldef!$A:$B,2,FALSE),"-")</f>
        <v>- / -</v>
      </c>
      <c r="Z76" s="50"/>
      <c r="AA76" s="52"/>
      <c r="AB76" s="50"/>
    </row>
    <row r="77" spans="1:28" ht="40" customHeight="1" x14ac:dyDescent="0.15">
      <c r="A77" s="47">
        <v>47004216</v>
      </c>
      <c r="B77" s="135" t="s">
        <v>560</v>
      </c>
      <c r="C77" s="50">
        <v>3</v>
      </c>
      <c r="D77" s="50" t="s">
        <v>127</v>
      </c>
      <c r="E77" s="51" t="s">
        <v>330</v>
      </c>
      <c r="F77" s="51" t="s">
        <v>429</v>
      </c>
      <c r="G77" s="63" t="str">
        <f t="shared" ref="G77:G81" si="16">IFERROR(LEFT(B77,FIND("],",B77)),B77)</f>
        <v>[effect:enemy_message, val1:1.2, val2:2.0]</v>
      </c>
      <c r="H77" s="63">
        <f t="shared" ref="H77:H81" si="17">FIND("effect:",G77)+7</f>
        <v>9</v>
      </c>
      <c r="I77" s="63">
        <f t="shared" ref="I77:I81" si="18">IFERROR(FIND(",",G77),LEN(G77))</f>
        <v>22</v>
      </c>
      <c r="J77" s="63" t="e">
        <f t="shared" ref="J77:J81" si="19">FIND("target:",G77)+7</f>
        <v>#VALUE!</v>
      </c>
      <c r="K77" s="63">
        <f t="shared" ref="K77:K81" si="20">FIND(",",G77,I77+1)</f>
        <v>32</v>
      </c>
      <c r="L77" s="63" t="str">
        <f>IFERROR(VLOOKUP(MID(G77,J77,K77-J77),[6]skilldef!$C:$D,2,FALSE),"-") &amp; " / " &amp; IFERROR(VLOOKUP(MID(G77,H77,I77-H77),[6]skilldef!$A:$B,2,FALSE),"-")</f>
        <v>- / -</v>
      </c>
      <c r="M77" s="63" t="str">
        <f t="shared" ref="M77:M81" si="21">IFERROR(RIGHT(B77,LEN(B77)-FIND("],",B77)-1),"none")</f>
        <v>[effect:break_attack_fix, target:unit_all, val:100, lowest_val:400, count:-1, color:blue, block01:block_blue, color:blue, block02:block_heart]</v>
      </c>
      <c r="N77" s="48" t="str">
        <f>IFERROR(LEFT(M77,FIND("],",M77)+#REF!),M77)</f>
        <v>[effect:break_attack_fix, target:unit_all, val:100, lowest_val:400, count:-1, color:blue, block01:block_blue, color:blue, block02:block_heart]</v>
      </c>
      <c r="O77" s="63">
        <f t="shared" ref="O77:O81" si="22">FIND("effect:",N77)+7</f>
        <v>9</v>
      </c>
      <c r="P77" s="63">
        <f t="shared" ref="P77:P81" si="23">IFERROR(FIND(",",N77),LEN(N77))</f>
        <v>25</v>
      </c>
      <c r="Q77" s="63">
        <f t="shared" ref="Q77:Q81" si="24">FIND("target:",N77)+7</f>
        <v>34</v>
      </c>
      <c r="R77" s="63">
        <f t="shared" ref="R77:R81" si="25">FIND(",",N77,P77+1)</f>
        <v>42</v>
      </c>
      <c r="S77" s="63" t="str">
        <f>IFERROR(VLOOKUP(MID(N77,Q77,R77-Q77),[6]skilldef!$C:$D,2,FALSE),"-") &amp; " / " &amp; IFERROR(VLOOKUP(MID(N77,O77,P77-O77),[6]skilldef!$A:$B,2,FALSE),"-")</f>
        <v>味方全体に / -</v>
      </c>
      <c r="T77" s="48" t="str">
        <f t="shared" ref="T77:T81" si="26">IFERROR(RIGHT(M77,LEN(M77)-FIND("],",M77)-1),"none")</f>
        <v>none</v>
      </c>
      <c r="U77" s="63" t="e">
        <f t="shared" ref="U77:U81" si="27">FIND("effect:",T77)+7</f>
        <v>#VALUE!</v>
      </c>
      <c r="V77" s="63">
        <f t="shared" ref="V77:V81" si="28">IFERROR(FIND(",",T77),LEN(T77))</f>
        <v>4</v>
      </c>
      <c r="W77" s="63" t="e">
        <f t="shared" ref="W77:W81" si="29">FIND("target:",T77)+7</f>
        <v>#VALUE!</v>
      </c>
      <c r="X77" s="63" t="e">
        <f t="shared" ref="X77:X81" si="30">FIND(",",T77,V77+1)</f>
        <v>#VALUE!</v>
      </c>
      <c r="Y77" s="63" t="str">
        <f>IFERROR(VLOOKUP(MID(T77,W77,X77-W77),[6]skilldef!$C:$D,2,FALSE),"-") &amp; " / " &amp; IFERROR(VLOOKUP(MID(T77,U77,V77-U77),[6]skilldef!$A:$B,2,FALSE),"-")</f>
        <v>- / -</v>
      </c>
      <c r="Z77" s="50"/>
      <c r="AA77" s="52"/>
      <c r="AB77" s="50"/>
    </row>
    <row r="78" spans="1:28" ht="40" customHeight="1" x14ac:dyDescent="0.15">
      <c r="A78" s="47">
        <v>47004217</v>
      </c>
      <c r="B78" s="135" t="s">
        <v>561</v>
      </c>
      <c r="C78" s="50">
        <v>3</v>
      </c>
      <c r="D78" s="50" t="s">
        <v>127</v>
      </c>
      <c r="E78" s="51" t="s">
        <v>337</v>
      </c>
      <c r="F78" s="51" t="s">
        <v>424</v>
      </c>
      <c r="G78" s="63" t="str">
        <f t="shared" si="16"/>
        <v>[effect:enemy_message, val1:1.2, val2:2.4]</v>
      </c>
      <c r="H78" s="63">
        <f t="shared" si="17"/>
        <v>9</v>
      </c>
      <c r="I78" s="63">
        <f t="shared" si="18"/>
        <v>22</v>
      </c>
      <c r="J78" s="63" t="e">
        <f t="shared" si="19"/>
        <v>#VALUE!</v>
      </c>
      <c r="K78" s="63">
        <f t="shared" si="20"/>
        <v>32</v>
      </c>
      <c r="L78" s="63" t="str">
        <f>IFERROR(VLOOKUP(MID(G78,J78,K78-J78),[6]skilldef!$C:$D,2,FALSE),"-") &amp; " / " &amp; IFERROR(VLOOKUP(MID(G78,H78,I78-H78),[6]skilldef!$A:$B,2,FALSE),"-")</f>
        <v>- / -</v>
      </c>
      <c r="M78" s="63" t="str">
        <f t="shared" si="21"/>
        <v xml:space="preserve">[effect:force_change_block, new_block:damage, target:block_green, count:2, val:0.01],[effect:rush, count:1, val:1.0]    </v>
      </c>
      <c r="N78" s="48" t="str">
        <f>IFERROR(LEFT(M78,FIND("],",M78)+#REF!),M78)</f>
        <v xml:space="preserve">[effect:force_change_block, new_block:damage, target:block_green, count:2, val:0.01],[effect:rush, count:1, val:1.0]    </v>
      </c>
      <c r="O78" s="63">
        <f t="shared" si="22"/>
        <v>9</v>
      </c>
      <c r="P78" s="63">
        <f t="shared" si="23"/>
        <v>27</v>
      </c>
      <c r="Q78" s="63">
        <f t="shared" si="24"/>
        <v>54</v>
      </c>
      <c r="R78" s="63">
        <f t="shared" si="25"/>
        <v>45</v>
      </c>
      <c r="S78" s="63" t="str">
        <f>IFERROR(VLOOKUP(MID(N78,Q78,R78-Q78),[6]skilldef!$C:$D,2,FALSE),"-") &amp; " / " &amp; IFERROR(VLOOKUP(MID(N78,O78,P78-O78),[6]skilldef!$A:$B,2,FALSE),"-")</f>
        <v>- / -</v>
      </c>
      <c r="T78" s="48" t="str">
        <f t="shared" si="26"/>
        <v xml:space="preserve">[effect:rush, count:1, val:1.0]    </v>
      </c>
      <c r="U78" s="63">
        <f t="shared" si="27"/>
        <v>9</v>
      </c>
      <c r="V78" s="63">
        <f t="shared" si="28"/>
        <v>13</v>
      </c>
      <c r="W78" s="63" t="e">
        <f t="shared" si="29"/>
        <v>#VALUE!</v>
      </c>
      <c r="X78" s="63">
        <f t="shared" si="30"/>
        <v>22</v>
      </c>
      <c r="Y78" s="63" t="str">
        <f>IFERROR(VLOOKUP(MID(T78,W78,X78-W78),[6]skilldef!$C:$D,2,FALSE),"-") &amp; " / " &amp; IFERROR(VLOOKUP(MID(T78,U78,V78-U78),[6]skilldef!$A:$B,2,FALSE),"-")</f>
        <v>- / 連続攻撃</v>
      </c>
      <c r="Z78" s="50"/>
      <c r="AA78" s="52"/>
      <c r="AB78" s="50"/>
    </row>
    <row r="79" spans="1:28" ht="40" customHeight="1" x14ac:dyDescent="0.15">
      <c r="A79" s="47">
        <v>47004218</v>
      </c>
      <c r="B79" s="133" t="s">
        <v>562</v>
      </c>
      <c r="C79" s="50">
        <v>3</v>
      </c>
      <c r="D79" s="50" t="s">
        <v>127</v>
      </c>
      <c r="E79" s="51" t="s">
        <v>334</v>
      </c>
      <c r="F79" s="51" t="s">
        <v>297</v>
      </c>
      <c r="G79" s="63" t="str">
        <f t="shared" si="16"/>
        <v>[effect:enemy_message, val1:1.2, val2:1.2]</v>
      </c>
      <c r="H79" s="63">
        <f t="shared" si="17"/>
        <v>9</v>
      </c>
      <c r="I79" s="63">
        <f t="shared" si="18"/>
        <v>22</v>
      </c>
      <c r="J79" s="63" t="e">
        <f t="shared" si="19"/>
        <v>#VALUE!</v>
      </c>
      <c r="K79" s="63">
        <f t="shared" si="20"/>
        <v>32</v>
      </c>
      <c r="L79" s="63" t="str">
        <f>IFERROR(VLOOKUP(MID(G79,J79,K79-J79),[6]skilldef!$C:$D,2,FALSE),"-") &amp; " / " &amp; IFERROR(VLOOKUP(MID(G79,H79,I79-H79),[6]skilldef!$A:$B,2,FALSE),"-")</f>
        <v>- / -</v>
      </c>
      <c r="M79" s="63" t="str">
        <f t="shared" si="21"/>
        <v xml:space="preserve">[effect:rush, count:24, val:0.07],[effect:critical, val:1.4] </v>
      </c>
      <c r="N79" s="48" t="str">
        <f>IFERROR(LEFT(M79,FIND("],",M79)+#REF!),M79)</f>
        <v xml:space="preserve">[effect:rush, count:24, val:0.07],[effect:critical, val:1.4] </v>
      </c>
      <c r="O79" s="63">
        <f t="shared" si="22"/>
        <v>9</v>
      </c>
      <c r="P79" s="63">
        <f t="shared" si="23"/>
        <v>13</v>
      </c>
      <c r="Q79" s="63" t="e">
        <f t="shared" si="24"/>
        <v>#VALUE!</v>
      </c>
      <c r="R79" s="63">
        <f t="shared" si="25"/>
        <v>23</v>
      </c>
      <c r="S79" s="63" t="str">
        <f>IFERROR(VLOOKUP(MID(N79,Q79,R79-Q79),[6]skilldef!$C:$D,2,FALSE),"-") &amp; " / " &amp; IFERROR(VLOOKUP(MID(N79,O79,P79-O79),[6]skilldef!$A:$B,2,FALSE),"-")</f>
        <v>- / 連続攻撃</v>
      </c>
      <c r="T79" s="48" t="str">
        <f t="shared" si="26"/>
        <v xml:space="preserve">[effect:critical, val:1.4] </v>
      </c>
      <c r="U79" s="63">
        <f t="shared" si="27"/>
        <v>9</v>
      </c>
      <c r="V79" s="63">
        <f t="shared" si="28"/>
        <v>17</v>
      </c>
      <c r="W79" s="63" t="e">
        <f t="shared" si="29"/>
        <v>#VALUE!</v>
      </c>
      <c r="X79" s="63" t="e">
        <f t="shared" si="30"/>
        <v>#VALUE!</v>
      </c>
      <c r="Y79" s="63" t="str">
        <f>IFERROR(VLOOKUP(MID(T79,W79,X79-W79),[6]skilldef!$C:$D,2,FALSE),"-") &amp; " / " &amp; IFERROR(VLOOKUP(MID(T79,U79,V79-U79),[6]skilldef!$A:$B,2,FALSE),"-")</f>
        <v>- / 大攻撃</v>
      </c>
      <c r="Z79" s="50"/>
      <c r="AA79" s="52"/>
      <c r="AB79" s="50"/>
    </row>
    <row r="80" spans="1:28" ht="40" customHeight="1" x14ac:dyDescent="0.15">
      <c r="A80" s="47">
        <v>47004219</v>
      </c>
      <c r="B80" s="133" t="s">
        <v>563</v>
      </c>
      <c r="C80" s="50">
        <v>3</v>
      </c>
      <c r="D80" s="50" t="s">
        <v>127</v>
      </c>
      <c r="E80" s="51" t="s">
        <v>340</v>
      </c>
      <c r="F80" s="51" t="s">
        <v>346</v>
      </c>
      <c r="G80" s="63" t="str">
        <f t="shared" si="16"/>
        <v>[effect:enemy_message, val1:1.5, val2:2.0]</v>
      </c>
      <c r="H80" s="63">
        <f t="shared" si="17"/>
        <v>9</v>
      </c>
      <c r="I80" s="63">
        <f t="shared" si="18"/>
        <v>22</v>
      </c>
      <c r="J80" s="63" t="e">
        <f t="shared" si="19"/>
        <v>#VALUE!</v>
      </c>
      <c r="K80" s="63">
        <f t="shared" si="20"/>
        <v>32</v>
      </c>
      <c r="L80" s="63" t="str">
        <f>IFERROR(VLOOKUP(MID(G80,J80,K80-J80),[6]skilldef!$C:$D,2,FALSE),"-") &amp; " / " &amp; IFERROR(VLOOKUP(MID(G80,H80,I80-H80),[6]skilldef!$A:$B,2,FALSE),"-")</f>
        <v>- / -</v>
      </c>
      <c r="M80" s="63" t="str">
        <f t="shared" si="21"/>
        <v>[effect:suicide, val:1, dead_type:suicide]</v>
      </c>
      <c r="N80" s="48" t="str">
        <f>IFERROR(LEFT(M80,FIND("],",M80)+#REF!),M80)</f>
        <v>[effect:suicide, val:1, dead_type:suicide]</v>
      </c>
      <c r="O80" s="63">
        <f t="shared" si="22"/>
        <v>9</v>
      </c>
      <c r="P80" s="63">
        <f t="shared" si="23"/>
        <v>16</v>
      </c>
      <c r="Q80" s="63" t="e">
        <f t="shared" si="24"/>
        <v>#VALUE!</v>
      </c>
      <c r="R80" s="63">
        <f t="shared" si="25"/>
        <v>23</v>
      </c>
      <c r="S80" s="63" t="str">
        <f>IFERROR(VLOOKUP(MID(N80,Q80,R80-Q80),[6]skilldef!$C:$D,2,FALSE),"-") &amp; " / " &amp; IFERROR(VLOOKUP(MID(N80,O80,P80-O80),[6]skilldef!$A:$B,2,FALSE),"-")</f>
        <v>- / -</v>
      </c>
      <c r="T80" s="48" t="str">
        <f t="shared" si="26"/>
        <v>none</v>
      </c>
      <c r="U80" s="63" t="e">
        <f t="shared" si="27"/>
        <v>#VALUE!</v>
      </c>
      <c r="V80" s="63">
        <f t="shared" si="28"/>
        <v>4</v>
      </c>
      <c r="W80" s="63" t="e">
        <f t="shared" si="29"/>
        <v>#VALUE!</v>
      </c>
      <c r="X80" s="63" t="e">
        <f t="shared" si="30"/>
        <v>#VALUE!</v>
      </c>
      <c r="Y80" s="63" t="str">
        <f>IFERROR(VLOOKUP(MID(T80,W80,X80-W80),[6]skilldef!$C:$D,2,FALSE),"-") &amp; " / " &amp; IFERROR(VLOOKUP(MID(T80,U80,V80-U80),[6]skilldef!$A:$B,2,FALSE),"-")</f>
        <v>- / -</v>
      </c>
      <c r="Z80" s="50"/>
      <c r="AA80" s="52"/>
      <c r="AB80" s="50"/>
    </row>
    <row r="81" spans="1:28" ht="40" customHeight="1" x14ac:dyDescent="0.15">
      <c r="A81" s="47">
        <v>47004220</v>
      </c>
      <c r="B81" s="133" t="s">
        <v>564</v>
      </c>
      <c r="C81" s="50">
        <v>3</v>
      </c>
      <c r="D81" s="50" t="s">
        <v>127</v>
      </c>
      <c r="E81" s="51" t="s">
        <v>344</v>
      </c>
      <c r="F81" s="51" t="s">
        <v>341</v>
      </c>
      <c r="G81" s="63" t="str">
        <f t="shared" si="16"/>
        <v>[effect:enemy_message, val1:2.2, val2:2.8]</v>
      </c>
      <c r="H81" s="63">
        <f t="shared" si="17"/>
        <v>9</v>
      </c>
      <c r="I81" s="63">
        <f t="shared" si="18"/>
        <v>22</v>
      </c>
      <c r="J81" s="63" t="e">
        <f t="shared" si="19"/>
        <v>#VALUE!</v>
      </c>
      <c r="K81" s="63">
        <f t="shared" si="20"/>
        <v>32</v>
      </c>
      <c r="L81" s="63" t="str">
        <f>IFERROR(VLOOKUP(MID(G81,J81,K81-J81),[6]skilldef!$C:$D,2,FALSE),"-") &amp; " / " &amp; IFERROR(VLOOKUP(MID(G81,H81,I81-H81),[6]skilldef!$A:$B,2,FALSE),"-")</f>
        <v>- / -</v>
      </c>
      <c r="M81" s="63" t="str">
        <f t="shared" si="21"/>
        <v>none</v>
      </c>
      <c r="N81" s="48" t="str">
        <f>IFERROR(LEFT(M81,FIND("],",M81)+S91),M81)</f>
        <v>none</v>
      </c>
      <c r="O81" s="63" t="e">
        <f t="shared" si="22"/>
        <v>#VALUE!</v>
      </c>
      <c r="P81" s="63">
        <f t="shared" si="23"/>
        <v>4</v>
      </c>
      <c r="Q81" s="63" t="e">
        <f t="shared" si="24"/>
        <v>#VALUE!</v>
      </c>
      <c r="R81" s="63" t="e">
        <f t="shared" si="25"/>
        <v>#VALUE!</v>
      </c>
      <c r="S81" s="63" t="str">
        <f>IFERROR(VLOOKUP(MID(N81,Q81,R81-Q81),[6]skilldef!$C:$D,2,FALSE),"-") &amp; " / " &amp; IFERROR(VLOOKUP(MID(N81,O81,P81-O81),[6]skilldef!$A:$B,2,FALSE),"-")</f>
        <v>- / -</v>
      </c>
      <c r="T81" s="48" t="str">
        <f t="shared" si="26"/>
        <v>none</v>
      </c>
      <c r="U81" s="63" t="e">
        <f t="shared" si="27"/>
        <v>#VALUE!</v>
      </c>
      <c r="V81" s="63">
        <f t="shared" si="28"/>
        <v>4</v>
      </c>
      <c r="W81" s="63" t="e">
        <f t="shared" si="29"/>
        <v>#VALUE!</v>
      </c>
      <c r="X81" s="63" t="e">
        <f t="shared" si="30"/>
        <v>#VALUE!</v>
      </c>
      <c r="Y81" s="63" t="str">
        <f>IFERROR(VLOOKUP(MID(T81,W81,X81-W81),[6]skilldef!$C:$D,2,FALSE),"-") &amp; " / " &amp; IFERROR(VLOOKUP(MID(T81,U81,V81-U81),[6]skilldef!$A:$B,2,FALSE),"-")</f>
        <v>- / -</v>
      </c>
      <c r="Z81" s="50"/>
      <c r="AA81" s="52"/>
      <c r="AB81" s="50"/>
    </row>
    <row r="82" spans="1:28" ht="40" customHeight="1" x14ac:dyDescent="0.15">
      <c r="A82" s="128">
        <v>47004251</v>
      </c>
      <c r="B82" s="133" t="s">
        <v>491</v>
      </c>
      <c r="C82" s="50">
        <v>3</v>
      </c>
      <c r="D82" s="50" t="s">
        <v>127</v>
      </c>
      <c r="E82" s="51" t="s">
        <v>303</v>
      </c>
      <c r="F82" s="51" t="s">
        <v>304</v>
      </c>
      <c r="G82" s="63" t="str">
        <f>IFERROR(LEFT(B82,FIND("],",B82)),B82)</f>
        <v>[effect:enemy_message, val1:1.2, val2:2.0]</v>
      </c>
      <c r="H82" s="63">
        <f>FIND("effect:",G82)+7</f>
        <v>9</v>
      </c>
      <c r="I82" s="63">
        <f>IFERROR(FIND(",",G82),LEN(G82))</f>
        <v>22</v>
      </c>
      <c r="J82" s="63" t="e">
        <f>FIND("target:",G82)+7</f>
        <v>#VALUE!</v>
      </c>
      <c r="K82" s="63">
        <f>FIND(",",G82,I82+1)</f>
        <v>32</v>
      </c>
      <c r="L82" s="63" t="str">
        <f>IFERROR(VLOOKUP(MID(G82,J82,K82-J82),[6]skilldef!$C:$D,2,FALSE),"-") &amp; " / " &amp; IFERROR(VLOOKUP(MID(G82,H82,I82-H82),[6]skilldef!$A:$B,2,FALSE),"-")</f>
        <v>- / -</v>
      </c>
      <c r="M82" s="63" t="str">
        <f>IFERROR(RIGHT(B82,LEN(B82)-FIND("],",B82)-1),"none")</f>
        <v>[effect:fix_speed, target:myself, turn:1]</v>
      </c>
      <c r="N82" s="48" t="str">
        <f>IFERROR(LEFT(M82,FIND("],",M82)+S95),M82)</f>
        <v>[effect:fix_speed, target:myself, turn:1]</v>
      </c>
      <c r="O82" s="63">
        <f>FIND("effect:",N82)+7</f>
        <v>9</v>
      </c>
      <c r="P82" s="63">
        <f>IFERROR(FIND(",",N82),LEN(N82))</f>
        <v>18</v>
      </c>
      <c r="Q82" s="63">
        <f>FIND("target:",N82)+7</f>
        <v>27</v>
      </c>
      <c r="R82" s="63">
        <f>FIND(",",N82,P82+1)</f>
        <v>33</v>
      </c>
      <c r="S82" s="63" t="str">
        <f>IFERROR(VLOOKUP(MID(N82,Q82,R82-Q82),[6]skilldef!$C:$D,2,FALSE),"-") &amp; " / " &amp; IFERROR(VLOOKUP(MID(N82,O82,P82-O82),[6]skilldef!$A:$B,2,FALSE),"-")</f>
        <v>自分自身に / 行動値設定</v>
      </c>
      <c r="T82" s="48" t="str">
        <f>IFERROR(RIGHT(M82,LEN(M82)-FIND("],",M82)-1),"none")</f>
        <v>none</v>
      </c>
      <c r="U82" s="63" t="e">
        <f>FIND("effect:",T82)+7</f>
        <v>#VALUE!</v>
      </c>
      <c r="V82" s="63">
        <f>IFERROR(FIND(",",T82),LEN(T82))</f>
        <v>4</v>
      </c>
      <c r="W82" s="63" t="e">
        <f>FIND("target:",T82)+7</f>
        <v>#VALUE!</v>
      </c>
      <c r="X82" s="63" t="e">
        <f>FIND(",",T82,V82+1)</f>
        <v>#VALUE!</v>
      </c>
      <c r="Y82" s="63" t="str">
        <f>IFERROR(VLOOKUP(MID(T82,W82,X82-W82),[6]skilldef!$C:$D,2,FALSE),"-") &amp; " / " &amp; IFERROR(VLOOKUP(MID(T82,U82,V82-U82),[6]skilldef!$A:$B,2,FALSE),"-")</f>
        <v>- / -</v>
      </c>
      <c r="Z82" s="50"/>
      <c r="AA82" s="52"/>
      <c r="AB82" s="50"/>
    </row>
    <row r="83" spans="1:28" ht="40" customHeight="1" x14ac:dyDescent="0.15">
      <c r="A83" s="128">
        <v>47004252</v>
      </c>
      <c r="B83" s="133" t="s">
        <v>492</v>
      </c>
      <c r="C83" s="50">
        <v>3</v>
      </c>
      <c r="D83" s="50" t="s">
        <v>127</v>
      </c>
      <c r="E83" s="51" t="s">
        <v>308</v>
      </c>
      <c r="F83" s="51" t="s">
        <v>430</v>
      </c>
      <c r="G83" s="63" t="str">
        <f t="shared" ref="G83:G156" si="31">IFERROR(LEFT(B83,FIND("],",B83)),B83)</f>
        <v>[effect:enemy_message, val1:1.2, val2:1.2]</v>
      </c>
      <c r="H83" s="63">
        <f t="shared" ref="H83:H156" si="32">FIND("effect:",G83)+7</f>
        <v>9</v>
      </c>
      <c r="I83" s="63">
        <f t="shared" ref="I83:I156" si="33">IFERROR(FIND(",",G83),LEN(G83))</f>
        <v>22</v>
      </c>
      <c r="J83" s="63" t="e">
        <f t="shared" ref="J83:J156" si="34">FIND("target:",G83)+7</f>
        <v>#VALUE!</v>
      </c>
      <c r="K83" s="63">
        <f t="shared" ref="K83:K156" si="35">FIND(",",G83,I83+1)</f>
        <v>32</v>
      </c>
      <c r="L83" s="63" t="str">
        <f>IFERROR(VLOOKUP(MID(G83,J83,K83-J83),[6]skilldef!$C:$D,2,FALSE),"-") &amp; " / " &amp; IFERROR(VLOOKUP(MID(G83,H83,I83-H83),[6]skilldef!$A:$B,2,FALSE),"-")</f>
        <v>- / -</v>
      </c>
      <c r="M83" s="63" t="str">
        <f t="shared" ref="M83:M156" si="36">IFERROR(RIGHT(B83,LEN(B83)-FIND("],",B83)-1),"none")</f>
        <v>[effect:rush, count:4, val:0.3]</v>
      </c>
      <c r="N83" s="48" t="str">
        <f>IFERROR(LEFT(M83,FIND("],",M83)+S95),M83)</f>
        <v>[effect:rush, count:4, val:0.3]</v>
      </c>
      <c r="O83" s="63">
        <f t="shared" ref="O83:O156" si="37">FIND("effect:",N83)+7</f>
        <v>9</v>
      </c>
      <c r="P83" s="63">
        <f t="shared" ref="P83:P156" si="38">IFERROR(FIND(",",N83),LEN(N83))</f>
        <v>13</v>
      </c>
      <c r="Q83" s="63" t="e">
        <f t="shared" ref="Q83:Q156" si="39">FIND("target:",N83)+7</f>
        <v>#VALUE!</v>
      </c>
      <c r="R83" s="63">
        <f t="shared" ref="R83:R156" si="40">FIND(",",N83,P83+1)</f>
        <v>22</v>
      </c>
      <c r="S83" s="63" t="str">
        <f>IFERROR(VLOOKUP(MID(N83,Q83,R83-Q83),[6]skilldef!$C:$D,2,FALSE),"-") &amp; " / " &amp; IFERROR(VLOOKUP(MID(N83,O83,P83-O83),[6]skilldef!$A:$B,2,FALSE),"-")</f>
        <v>- / 連続攻撃</v>
      </c>
      <c r="T83" s="48" t="str">
        <f t="shared" ref="T83:T156" si="41">IFERROR(RIGHT(M83,LEN(M83)-FIND("],",M83)-1),"none")</f>
        <v>none</v>
      </c>
      <c r="U83" s="63" t="e">
        <f t="shared" ref="U83:U156" si="42">FIND("effect:",T83)+7</f>
        <v>#VALUE!</v>
      </c>
      <c r="V83" s="63">
        <f t="shared" ref="V83:V156" si="43">IFERROR(FIND(",",T83),LEN(T83))</f>
        <v>4</v>
      </c>
      <c r="W83" s="63" t="e">
        <f t="shared" ref="W83:W156" si="44">FIND("target:",T83)+7</f>
        <v>#VALUE!</v>
      </c>
      <c r="X83" s="63" t="e">
        <f t="shared" ref="X83:X156" si="45">FIND(",",T83,V83+1)</f>
        <v>#VALUE!</v>
      </c>
      <c r="Y83" s="63" t="str">
        <f>IFERROR(VLOOKUP(MID(T83,W83,X83-W83),[6]skilldef!$C:$D,2,FALSE),"-") &amp; " / " &amp; IFERROR(VLOOKUP(MID(T83,U83,V83-U83),[6]skilldef!$A:$B,2,FALSE),"-")</f>
        <v>- / -</v>
      </c>
      <c r="Z83" s="50"/>
      <c r="AA83" s="52"/>
      <c r="AB83" s="50"/>
    </row>
    <row r="84" spans="1:28" ht="40" customHeight="1" x14ac:dyDescent="0.15">
      <c r="A84" s="128">
        <v>47004253</v>
      </c>
      <c r="B84" s="133" t="s">
        <v>493</v>
      </c>
      <c r="C84" s="50">
        <v>3</v>
      </c>
      <c r="D84" s="50" t="s">
        <v>127</v>
      </c>
      <c r="E84" s="51" t="s">
        <v>305</v>
      </c>
      <c r="F84" s="51" t="s">
        <v>453</v>
      </c>
      <c r="G84" s="63" t="str">
        <f t="shared" si="31"/>
        <v>[effect:enemy_message, val1:2.7, val2:1.2]</v>
      </c>
      <c r="H84" s="63">
        <f t="shared" si="32"/>
        <v>9</v>
      </c>
      <c r="I84" s="63">
        <f t="shared" si="33"/>
        <v>22</v>
      </c>
      <c r="J84" s="63" t="e">
        <f t="shared" si="34"/>
        <v>#VALUE!</v>
      </c>
      <c r="K84" s="63">
        <f t="shared" si="35"/>
        <v>32</v>
      </c>
      <c r="L84" s="63" t="str">
        <f>IFERROR(VLOOKUP(MID(G84,J84,K84-J84),[6]skilldef!$C:$D,2,FALSE),"-") &amp; " / " &amp; IFERROR(VLOOKUP(MID(G84,H84,I84-H84),[6]skilldef!$A:$B,2,FALSE),"-")</f>
        <v>- / -</v>
      </c>
      <c r="M84" s="63" t="str">
        <f t="shared" si="36"/>
        <v>[effect:enhance_enemy, target:enemy_all, turn:-1, status:attack, val:0.5, calc:mul, animation:enemy_enhance_attack]</v>
      </c>
      <c r="N84" s="48" t="str">
        <f>IFERROR(LEFT(M84,FIND("],",M84)+S96),M84)</f>
        <v>[effect:enhance_enemy, target:enemy_all, turn:-1, status:attack, val:0.5, calc:mul, animation:enemy_enhance_attack]</v>
      </c>
      <c r="O84" s="63">
        <f t="shared" si="37"/>
        <v>9</v>
      </c>
      <c r="P84" s="63">
        <f t="shared" si="38"/>
        <v>22</v>
      </c>
      <c r="Q84" s="63">
        <f t="shared" si="39"/>
        <v>31</v>
      </c>
      <c r="R84" s="63">
        <f t="shared" si="40"/>
        <v>40</v>
      </c>
      <c r="S84" s="63" t="str">
        <f>IFERROR(VLOOKUP(MID(N84,Q84,R84-Q84),[6]skilldef!$C:$D,2,FALSE),"-") &amp; " / " &amp; IFERROR(VLOOKUP(MID(N84,O84,P84-O84),[6]skilldef!$A:$B,2,FALSE),"-")</f>
        <v>敵全体に / ステータス強化</v>
      </c>
      <c r="T84" s="48" t="str">
        <f t="shared" si="41"/>
        <v>none</v>
      </c>
      <c r="U84" s="63" t="e">
        <f t="shared" si="42"/>
        <v>#VALUE!</v>
      </c>
      <c r="V84" s="63">
        <f t="shared" si="43"/>
        <v>4</v>
      </c>
      <c r="W84" s="63" t="e">
        <f t="shared" si="44"/>
        <v>#VALUE!</v>
      </c>
      <c r="X84" s="63" t="e">
        <f t="shared" si="45"/>
        <v>#VALUE!</v>
      </c>
      <c r="Y84" s="63" t="str">
        <f>IFERROR(VLOOKUP(MID(T84,W84,X84-W84),[6]skilldef!$C:$D,2,FALSE),"-") &amp; " / " &amp; IFERROR(VLOOKUP(MID(T84,U84,V84-U84),[6]skilldef!$A:$B,2,FALSE),"-")</f>
        <v>- / -</v>
      </c>
      <c r="Z84" s="50"/>
      <c r="AA84" s="52"/>
      <c r="AB84" s="50"/>
    </row>
    <row r="85" spans="1:28" ht="40" customHeight="1" x14ac:dyDescent="0.15">
      <c r="A85" s="128">
        <v>47004254</v>
      </c>
      <c r="B85" s="133" t="s">
        <v>494</v>
      </c>
      <c r="C85" s="50">
        <v>3</v>
      </c>
      <c r="D85" s="50" t="s">
        <v>127</v>
      </c>
      <c r="E85" s="116" t="s">
        <v>264</v>
      </c>
      <c r="F85" s="51" t="s">
        <v>454</v>
      </c>
      <c r="G85" s="63" t="str">
        <f t="shared" si="31"/>
        <v>[effect:enemy_message, val1:1.2, val2:5.0]</v>
      </c>
      <c r="H85" s="63">
        <f t="shared" si="32"/>
        <v>9</v>
      </c>
      <c r="I85" s="63">
        <f t="shared" si="33"/>
        <v>22</v>
      </c>
      <c r="J85" s="63" t="e">
        <f t="shared" si="34"/>
        <v>#VALUE!</v>
      </c>
      <c r="K85" s="63">
        <f t="shared" si="35"/>
        <v>32</v>
      </c>
      <c r="L85" s="63" t="str">
        <f>IFERROR(VLOOKUP(MID(G85,J85,K85-J85),[6]skilldef!$C:$D,2,FALSE),"-") &amp; " / " &amp; IFERROR(VLOOKUP(MID(G85,H85,I85-H85),[6]skilldef!$A:$B,2,FALSE),"-")</f>
        <v>- / -</v>
      </c>
      <c r="M85" s="63" t="str">
        <f t="shared" si="36"/>
        <v>[effect:fix_speed, target:myself, turn:1],[effect:sp_boost, target:unit_all, val:4],[effect:crash_condition, target:unit_all, turn:-1, val:-2, animation:crash_panel_reduce04],[effect:suicide, val:0.95]</v>
      </c>
      <c r="N85" s="48" t="str">
        <f>IFERROR(LEFT(M85,FIND("],",M85)+S97),M85)</f>
        <v>[effect:fix_speed, target:myself, turn:1],[effect:sp_boost, target:unit_all, val:4],[effect:crash_condition, target:unit_all, turn:-1, val:-2, animation:crash_panel_reduce04],[effect:suicide, val:0.95]</v>
      </c>
      <c r="O85" s="63">
        <f t="shared" si="37"/>
        <v>9</v>
      </c>
      <c r="P85" s="63">
        <f t="shared" si="38"/>
        <v>18</v>
      </c>
      <c r="Q85" s="63">
        <f t="shared" si="39"/>
        <v>27</v>
      </c>
      <c r="R85" s="63">
        <f t="shared" si="40"/>
        <v>33</v>
      </c>
      <c r="S85" s="63" t="str">
        <f>IFERROR(VLOOKUP(MID(N85,Q85,R85-Q85),[6]skilldef!$C:$D,2,FALSE),"-") &amp; " / " &amp; IFERROR(VLOOKUP(MID(N85,O85,P85-O85),[6]skilldef!$A:$B,2,FALSE),"-")</f>
        <v>自分自身に / 行動値設定</v>
      </c>
      <c r="T85" s="48" t="str">
        <f t="shared" si="41"/>
        <v>[effect:sp_boost, target:unit_all, val:4],[effect:crash_condition, target:unit_all, turn:-1, val:-2, animation:crash_panel_reduce04],[effect:suicide, val:0.95]</v>
      </c>
      <c r="U85" s="63">
        <f t="shared" si="42"/>
        <v>9</v>
      </c>
      <c r="V85" s="63">
        <f t="shared" si="43"/>
        <v>17</v>
      </c>
      <c r="W85" s="63">
        <f t="shared" si="44"/>
        <v>26</v>
      </c>
      <c r="X85" s="63">
        <f t="shared" si="45"/>
        <v>34</v>
      </c>
      <c r="Y85" s="63" t="str">
        <f>IFERROR(VLOOKUP(MID(T85,W85,X85-W85),[6]skilldef!$C:$D,2,FALSE),"-") &amp; " / " &amp; IFERROR(VLOOKUP(MID(T85,U85,V85-U85),[6]skilldef!$A:$B,2,FALSE),"-")</f>
        <v>味方全体に / -</v>
      </c>
      <c r="Z85" s="50"/>
      <c r="AA85" s="52"/>
      <c r="AB85" s="50"/>
    </row>
    <row r="86" spans="1:28" ht="40" customHeight="1" x14ac:dyDescent="0.15">
      <c r="A86" s="128">
        <v>47004255</v>
      </c>
      <c r="B86" s="133" t="s">
        <v>495</v>
      </c>
      <c r="C86" s="50">
        <v>3</v>
      </c>
      <c r="D86" s="50" t="s">
        <v>127</v>
      </c>
      <c r="E86" s="116" t="s">
        <v>265</v>
      </c>
      <c r="F86" s="51" t="s">
        <v>454</v>
      </c>
      <c r="G86" s="63" t="str">
        <f t="shared" si="31"/>
        <v>[effect:enemy_message, val1:1.7, val2:5.0]</v>
      </c>
      <c r="H86" s="63">
        <f t="shared" si="32"/>
        <v>9</v>
      </c>
      <c r="I86" s="63">
        <f t="shared" si="33"/>
        <v>22</v>
      </c>
      <c r="J86" s="63" t="e">
        <f t="shared" si="34"/>
        <v>#VALUE!</v>
      </c>
      <c r="K86" s="63">
        <f t="shared" si="35"/>
        <v>32</v>
      </c>
      <c r="L86" s="63" t="str">
        <f>IFERROR(VLOOKUP(MID(G86,J86,K86-J86),[6]skilldef!$C:$D,2,FALSE),"-") &amp; " / " &amp; IFERROR(VLOOKUP(MID(G86,H86,I86-H86),[6]skilldef!$A:$B,2,FALSE),"-")</f>
        <v>- / -</v>
      </c>
      <c r="M86" s="63" t="str">
        <f t="shared" si="36"/>
        <v>[effect:fix_speed, target:myself, turn:1],[effect:sp_boost, target:unit_all, val:4],[effect:crash_condition, target:unit_all, turn:-1, val:-2, animation:crash_panel_reduce04],[effect:suicide, val:0.95]</v>
      </c>
      <c r="N86" s="48" t="str">
        <f>IFERROR(LEFT(M86,FIND("],",M86)+S98),M86)</f>
        <v>[effect:fix_speed, target:myself, turn:1],[effect:sp_boost, target:unit_all, val:4],[effect:crash_condition, target:unit_all, turn:-1, val:-2, animation:crash_panel_reduce04],[effect:suicide, val:0.95]</v>
      </c>
      <c r="O86" s="63">
        <f t="shared" si="37"/>
        <v>9</v>
      </c>
      <c r="P86" s="63">
        <f t="shared" si="38"/>
        <v>18</v>
      </c>
      <c r="Q86" s="63">
        <f t="shared" si="39"/>
        <v>27</v>
      </c>
      <c r="R86" s="63">
        <f t="shared" si="40"/>
        <v>33</v>
      </c>
      <c r="S86" s="63" t="str">
        <f>IFERROR(VLOOKUP(MID(N86,Q86,R86-Q86),[6]skilldef!$C:$D,2,FALSE),"-") &amp; " / " &amp; IFERROR(VLOOKUP(MID(N86,O86,P86-O86),[6]skilldef!$A:$B,2,FALSE),"-")</f>
        <v>自分自身に / 行動値設定</v>
      </c>
      <c r="T86" s="48" t="str">
        <f t="shared" si="41"/>
        <v>[effect:sp_boost, target:unit_all, val:4],[effect:crash_condition, target:unit_all, turn:-1, val:-2, animation:crash_panel_reduce04],[effect:suicide, val:0.95]</v>
      </c>
      <c r="U86" s="63">
        <f t="shared" si="42"/>
        <v>9</v>
      </c>
      <c r="V86" s="63">
        <f t="shared" si="43"/>
        <v>17</v>
      </c>
      <c r="W86" s="63">
        <f t="shared" si="44"/>
        <v>26</v>
      </c>
      <c r="X86" s="63">
        <f t="shared" si="45"/>
        <v>34</v>
      </c>
      <c r="Y86" s="63" t="str">
        <f>IFERROR(VLOOKUP(MID(T86,W86,X86-W86),[6]skilldef!$C:$D,2,FALSE),"-") &amp; " / " &amp; IFERROR(VLOOKUP(MID(T86,U86,V86-U86),[6]skilldef!$A:$B,2,FALSE),"-")</f>
        <v>味方全体に / -</v>
      </c>
      <c r="Z86" s="50"/>
      <c r="AA86" s="52"/>
      <c r="AB86" s="50"/>
    </row>
    <row r="87" spans="1:28" ht="40" customHeight="1" x14ac:dyDescent="0.15">
      <c r="A87" s="128">
        <v>47004256</v>
      </c>
      <c r="B87" s="133" t="s">
        <v>496</v>
      </c>
      <c r="C87" s="50">
        <v>3</v>
      </c>
      <c r="D87" s="50" t="s">
        <v>127</v>
      </c>
      <c r="E87" s="116" t="s">
        <v>266</v>
      </c>
      <c r="F87" s="51" t="s">
        <v>456</v>
      </c>
      <c r="G87" s="63" t="str">
        <f t="shared" si="31"/>
        <v>[effect:enemy_message, val1:1.7, val2:5.0]</v>
      </c>
      <c r="H87" s="63">
        <f t="shared" si="32"/>
        <v>9</v>
      </c>
      <c r="I87" s="63">
        <f t="shared" si="33"/>
        <v>22</v>
      </c>
      <c r="J87" s="63" t="e">
        <f t="shared" si="34"/>
        <v>#VALUE!</v>
      </c>
      <c r="K87" s="63">
        <f t="shared" si="35"/>
        <v>32</v>
      </c>
      <c r="L87" s="63" t="str">
        <f>IFERROR(VLOOKUP(MID(G87,J87,K87-J87),[6]skilldef!$C:$D,2,FALSE),"-") &amp; " / " &amp; IFERROR(VLOOKUP(MID(G87,H87,I87-H87),[6]skilldef!$A:$B,2,FALSE),"-")</f>
        <v>- / -</v>
      </c>
      <c r="M87" s="63" t="str">
        <f t="shared" si="36"/>
        <v>[effect:fix_speed, target:myself, turn:1],[effect:sp_boost, target:unit_all, val:4],[effect:crash_condition, target:unit_all, turn:-1, val:-2, animation:crash_panel_reduce04],[effect:suicide, val:0.8]</v>
      </c>
      <c r="N87" s="48" t="str">
        <f>IFERROR(LEFT(M87,FIND("],",M87)+S100),M87)</f>
        <v>[effect:fix_speed, target:myself, turn:1],[effect:sp_boost, target:unit_all, val:4],[effect:crash_condition, target:unit_all, turn:-1, val:-2, animation:crash_panel_reduce04],[effect:suicide, val:0.8]</v>
      </c>
      <c r="O87" s="63">
        <f t="shared" si="37"/>
        <v>9</v>
      </c>
      <c r="P87" s="63">
        <f t="shared" si="38"/>
        <v>18</v>
      </c>
      <c r="Q87" s="63">
        <f t="shared" si="39"/>
        <v>27</v>
      </c>
      <c r="R87" s="63">
        <f t="shared" si="40"/>
        <v>33</v>
      </c>
      <c r="S87" s="63" t="str">
        <f>IFERROR(VLOOKUP(MID(N87,Q87,R87-Q87),[6]skilldef!$C:$D,2,FALSE),"-") &amp; " / " &amp; IFERROR(VLOOKUP(MID(N87,O87,P87-O87),[6]skilldef!$A:$B,2,FALSE),"-")</f>
        <v>自分自身に / 行動値設定</v>
      </c>
      <c r="T87" s="48" t="str">
        <f t="shared" si="41"/>
        <v>[effect:sp_boost, target:unit_all, val:4],[effect:crash_condition, target:unit_all, turn:-1, val:-2, animation:crash_panel_reduce04],[effect:suicide, val:0.8]</v>
      </c>
      <c r="U87" s="63">
        <f t="shared" si="42"/>
        <v>9</v>
      </c>
      <c r="V87" s="63">
        <f t="shared" si="43"/>
        <v>17</v>
      </c>
      <c r="W87" s="63">
        <f t="shared" si="44"/>
        <v>26</v>
      </c>
      <c r="X87" s="63">
        <f t="shared" si="45"/>
        <v>34</v>
      </c>
      <c r="Y87" s="63" t="str">
        <f>IFERROR(VLOOKUP(MID(T87,W87,X87-W87),[6]skilldef!$C:$D,2,FALSE),"-") &amp; " / " &amp; IFERROR(VLOOKUP(MID(T87,U87,V87-U87),[6]skilldef!$A:$B,2,FALSE),"-")</f>
        <v>味方全体に / -</v>
      </c>
      <c r="Z87" s="50"/>
      <c r="AA87" s="52"/>
      <c r="AB87" s="50"/>
    </row>
    <row r="88" spans="1:28" ht="40" customHeight="1" x14ac:dyDescent="0.15">
      <c r="A88" s="128">
        <v>47004257</v>
      </c>
      <c r="B88" s="133" t="s">
        <v>497</v>
      </c>
      <c r="C88" s="50">
        <v>3</v>
      </c>
      <c r="D88" s="50" t="s">
        <v>127</v>
      </c>
      <c r="E88" s="116" t="s">
        <v>267</v>
      </c>
      <c r="F88" s="51" t="s">
        <v>455</v>
      </c>
      <c r="G88" s="63" t="str">
        <f t="shared" si="31"/>
        <v>[effect:enemy_message, val1:2.9, val2:5.0]</v>
      </c>
      <c r="H88" s="63">
        <f t="shared" si="32"/>
        <v>9</v>
      </c>
      <c r="I88" s="63">
        <f t="shared" si="33"/>
        <v>22</v>
      </c>
      <c r="J88" s="63" t="e">
        <f t="shared" si="34"/>
        <v>#VALUE!</v>
      </c>
      <c r="K88" s="63">
        <f t="shared" si="35"/>
        <v>32</v>
      </c>
      <c r="L88" s="63" t="str">
        <f>IFERROR(VLOOKUP(MID(G88,J88,K88-J88),[6]skilldef!$C:$D,2,FALSE),"-") &amp; " / " &amp; IFERROR(VLOOKUP(MID(G88,H88,I88-H88),[6]skilldef!$A:$B,2,FALSE),"-")</f>
        <v>- / -</v>
      </c>
      <c r="M88" s="63" t="str">
        <f t="shared" si="36"/>
        <v>[effect:fix_speed, target:myself, turn:1],[effect:sp_boost, target:unit_all, val:4],[effect:crash_condition, target:unit_all, turn:-1, val:-2, animation:crash_panel_reduce04],[effect:suicide, val:0.8]</v>
      </c>
      <c r="N88" s="48" t="str">
        <f>IFERROR(LEFT(M88,FIND("],",M88)+S101),M88)</f>
        <v>[effect:fix_speed, target:myself, turn:1],[effect:sp_boost, target:unit_all, val:4],[effect:crash_condition, target:unit_all, turn:-1, val:-2, animation:crash_panel_reduce04],[effect:suicide, val:0.8]</v>
      </c>
      <c r="O88" s="63">
        <f t="shared" si="37"/>
        <v>9</v>
      </c>
      <c r="P88" s="63">
        <f t="shared" si="38"/>
        <v>18</v>
      </c>
      <c r="Q88" s="63">
        <f t="shared" si="39"/>
        <v>27</v>
      </c>
      <c r="R88" s="63">
        <f t="shared" si="40"/>
        <v>33</v>
      </c>
      <c r="S88" s="63" t="str">
        <f>IFERROR(VLOOKUP(MID(N88,Q88,R88-Q88),[6]skilldef!$C:$D,2,FALSE),"-") &amp; " / " &amp; IFERROR(VLOOKUP(MID(N88,O88,P88-O88),[6]skilldef!$A:$B,2,FALSE),"-")</f>
        <v>自分自身に / 行動値設定</v>
      </c>
      <c r="T88" s="48" t="str">
        <f t="shared" si="41"/>
        <v>[effect:sp_boost, target:unit_all, val:4],[effect:crash_condition, target:unit_all, turn:-1, val:-2, animation:crash_panel_reduce04],[effect:suicide, val:0.8]</v>
      </c>
      <c r="U88" s="63">
        <f t="shared" si="42"/>
        <v>9</v>
      </c>
      <c r="V88" s="63">
        <f t="shared" si="43"/>
        <v>17</v>
      </c>
      <c r="W88" s="63">
        <f t="shared" si="44"/>
        <v>26</v>
      </c>
      <c r="X88" s="63">
        <f t="shared" si="45"/>
        <v>34</v>
      </c>
      <c r="Y88" s="63" t="str">
        <f>IFERROR(VLOOKUP(MID(T88,W88,X88-W88),[6]skilldef!$C:$D,2,FALSE),"-") &amp; " / " &amp; IFERROR(VLOOKUP(MID(T88,U88,V88-U88),[6]skilldef!$A:$B,2,FALSE),"-")</f>
        <v>味方全体に / -</v>
      </c>
      <c r="Z88" s="50"/>
      <c r="AA88" s="52"/>
      <c r="AB88" s="50"/>
    </row>
    <row r="89" spans="1:28" ht="40" customHeight="1" x14ac:dyDescent="0.15">
      <c r="A89" s="128">
        <v>47004258</v>
      </c>
      <c r="B89" s="133" t="s">
        <v>498</v>
      </c>
      <c r="C89" s="50">
        <v>3</v>
      </c>
      <c r="D89" s="50" t="s">
        <v>127</v>
      </c>
      <c r="E89" s="116" t="s">
        <v>268</v>
      </c>
      <c r="F89" s="51" t="s">
        <v>455</v>
      </c>
      <c r="G89" s="63" t="str">
        <f t="shared" si="31"/>
        <v>[effect:enemy_message, val1:2.0, val2:5.0]</v>
      </c>
      <c r="H89" s="63">
        <f t="shared" si="32"/>
        <v>9</v>
      </c>
      <c r="I89" s="63">
        <f t="shared" si="33"/>
        <v>22</v>
      </c>
      <c r="J89" s="63" t="e">
        <f t="shared" si="34"/>
        <v>#VALUE!</v>
      </c>
      <c r="K89" s="63">
        <f t="shared" si="35"/>
        <v>32</v>
      </c>
      <c r="L89" s="63" t="str">
        <f>IFERROR(VLOOKUP(MID(G89,J89,K89-J89),[6]skilldef!$C:$D,2,FALSE),"-") &amp; " / " &amp; IFERROR(VLOOKUP(MID(G89,H89,I89-H89),[6]skilldef!$A:$B,2,FALSE),"-")</f>
        <v>- / -</v>
      </c>
      <c r="M89" s="63" t="str">
        <f t="shared" si="36"/>
        <v>[effect:fix_speed, target:myself, turn:1],[effect:sp_boost, target:unit_all, val:4],[effect:crash_condition, target:unit_all, turn:-1, val:-2, animation:crash_panel_reduce04],[effect:suicide, val:0.8]</v>
      </c>
      <c r="N89" s="48" t="str">
        <f>IFERROR(LEFT(M89,FIND("],",M89)+S102),M89)</f>
        <v>[effect:fix_speed, target:myself, turn:1],[effect:sp_boost, target:unit_all, val:4],[effect:crash_condition, target:unit_all, turn:-1, val:-2, animation:crash_panel_reduce04],[effect:suicide, val:0.8]</v>
      </c>
      <c r="O89" s="63">
        <f t="shared" si="37"/>
        <v>9</v>
      </c>
      <c r="P89" s="63">
        <f t="shared" si="38"/>
        <v>18</v>
      </c>
      <c r="Q89" s="63">
        <f t="shared" si="39"/>
        <v>27</v>
      </c>
      <c r="R89" s="63">
        <f t="shared" si="40"/>
        <v>33</v>
      </c>
      <c r="S89" s="63" t="str">
        <f>IFERROR(VLOOKUP(MID(N89,Q89,R89-Q89),[6]skilldef!$C:$D,2,FALSE),"-") &amp; " / " &amp; IFERROR(VLOOKUP(MID(N89,O89,P89-O89),[6]skilldef!$A:$B,2,FALSE),"-")</f>
        <v>自分自身に / 行動値設定</v>
      </c>
      <c r="T89" s="48" t="str">
        <f t="shared" si="41"/>
        <v>[effect:sp_boost, target:unit_all, val:4],[effect:crash_condition, target:unit_all, turn:-1, val:-2, animation:crash_panel_reduce04],[effect:suicide, val:0.8]</v>
      </c>
      <c r="U89" s="63">
        <f t="shared" si="42"/>
        <v>9</v>
      </c>
      <c r="V89" s="63">
        <f t="shared" si="43"/>
        <v>17</v>
      </c>
      <c r="W89" s="63">
        <f t="shared" si="44"/>
        <v>26</v>
      </c>
      <c r="X89" s="63">
        <f t="shared" si="45"/>
        <v>34</v>
      </c>
      <c r="Y89" s="63" t="str">
        <f>IFERROR(VLOOKUP(MID(T89,W89,X89-W89),[6]skilldef!$C:$D,2,FALSE),"-") &amp; " / " &amp; IFERROR(VLOOKUP(MID(T89,U89,V89-U89),[6]skilldef!$A:$B,2,FALSE),"-")</f>
        <v>味方全体に / -</v>
      </c>
      <c r="Z89" s="50"/>
      <c r="AA89" s="52"/>
      <c r="AB89" s="50"/>
    </row>
    <row r="90" spans="1:28" ht="40" customHeight="1" x14ac:dyDescent="0.15">
      <c r="A90" s="128">
        <v>47004259</v>
      </c>
      <c r="B90" s="133" t="s">
        <v>499</v>
      </c>
      <c r="C90" s="50">
        <v>3</v>
      </c>
      <c r="D90" s="50" t="s">
        <v>127</v>
      </c>
      <c r="E90" s="129" t="s">
        <v>385</v>
      </c>
      <c r="F90" s="51" t="s">
        <v>464</v>
      </c>
      <c r="G90" s="63"/>
      <c r="H90" s="63"/>
      <c r="I90" s="63"/>
      <c r="J90" s="63"/>
      <c r="K90" s="63"/>
      <c r="L90" s="63"/>
      <c r="M90" s="63"/>
      <c r="N90" s="48"/>
      <c r="O90" s="63"/>
      <c r="P90" s="63"/>
      <c r="Q90" s="63"/>
      <c r="R90" s="63"/>
      <c r="S90" s="63"/>
      <c r="T90" s="48"/>
      <c r="U90" s="63"/>
      <c r="V90" s="63"/>
      <c r="W90" s="63"/>
      <c r="X90" s="63"/>
      <c r="Y90" s="63"/>
      <c r="Z90" s="50"/>
      <c r="AA90" s="52"/>
      <c r="AB90" s="50"/>
    </row>
    <row r="91" spans="1:28" ht="40" customHeight="1" x14ac:dyDescent="0.15">
      <c r="A91" s="128">
        <v>47004271</v>
      </c>
      <c r="B91" s="132" t="s">
        <v>500</v>
      </c>
      <c r="C91" s="111">
        <v>3</v>
      </c>
      <c r="D91" s="111" t="s">
        <v>127</v>
      </c>
      <c r="E91" s="112" t="s">
        <v>307</v>
      </c>
      <c r="F91" s="112" t="s">
        <v>306</v>
      </c>
      <c r="G91" s="63" t="str">
        <f t="shared" si="31"/>
        <v>[effect:enemy_message, val1:1.2, val2:3.0]</v>
      </c>
      <c r="H91" s="63">
        <f t="shared" si="32"/>
        <v>9</v>
      </c>
      <c r="I91" s="63">
        <f t="shared" si="33"/>
        <v>22</v>
      </c>
      <c r="J91" s="63" t="e">
        <f t="shared" si="34"/>
        <v>#VALUE!</v>
      </c>
      <c r="K91" s="63">
        <f t="shared" si="35"/>
        <v>32</v>
      </c>
      <c r="L91" s="63" t="str">
        <f>IFERROR(VLOOKUP(MID(G91,J91,K91-J91),[6]skilldef!$C:$D,2,FALSE),"-") &amp; " / " &amp; IFERROR(VLOOKUP(MID(G91,H91,I91-H91),[6]skilldef!$A:$B,2,FALSE),"-")</f>
        <v>- / -</v>
      </c>
      <c r="M91" s="63" t="str">
        <f t="shared" si="36"/>
        <v>[effect:fix_speed, target:myself, turn:2]</v>
      </c>
      <c r="N91" s="48" t="str">
        <f>IFERROR(LEFT(M91,FIND("],",M91)+S103),M91)</f>
        <v>[effect:fix_speed, target:myself, turn:2]</v>
      </c>
      <c r="O91" s="63">
        <f t="shared" si="37"/>
        <v>9</v>
      </c>
      <c r="P91" s="63">
        <f t="shared" si="38"/>
        <v>18</v>
      </c>
      <c r="Q91" s="63">
        <f t="shared" si="39"/>
        <v>27</v>
      </c>
      <c r="R91" s="63">
        <f t="shared" si="40"/>
        <v>33</v>
      </c>
      <c r="S91" s="63" t="str">
        <f>IFERROR(VLOOKUP(MID(N91,Q91,R91-Q91),[6]skilldef!$C:$D,2,FALSE),"-") &amp; " / " &amp; IFERROR(VLOOKUP(MID(N91,O91,P91-O91),[6]skilldef!$A:$B,2,FALSE),"-")</f>
        <v>自分自身に / 行動値設定</v>
      </c>
      <c r="T91" s="48" t="str">
        <f t="shared" si="41"/>
        <v>none</v>
      </c>
      <c r="U91" s="63" t="e">
        <f t="shared" si="42"/>
        <v>#VALUE!</v>
      </c>
      <c r="V91" s="63">
        <f t="shared" si="43"/>
        <v>4</v>
      </c>
      <c r="W91" s="63" t="e">
        <f t="shared" si="44"/>
        <v>#VALUE!</v>
      </c>
      <c r="X91" s="63" t="e">
        <f t="shared" si="45"/>
        <v>#VALUE!</v>
      </c>
      <c r="Y91" s="63" t="str">
        <f>IFERROR(VLOOKUP(MID(T91,W91,X91-W91),[6]skilldef!$C:$D,2,FALSE),"-") &amp; " / " &amp; IFERROR(VLOOKUP(MID(T91,U91,V91-U91),[6]skilldef!$A:$B,2,FALSE),"-")</f>
        <v>- / -</v>
      </c>
      <c r="Z91" s="50"/>
      <c r="AA91" s="52"/>
      <c r="AB91" s="50"/>
    </row>
    <row r="92" spans="1:28" ht="40" customHeight="1" x14ac:dyDescent="0.15">
      <c r="A92" s="128">
        <v>47004272</v>
      </c>
      <c r="B92" s="132" t="s">
        <v>501</v>
      </c>
      <c r="C92" s="111">
        <v>3</v>
      </c>
      <c r="D92" s="111" t="s">
        <v>127</v>
      </c>
      <c r="E92" s="112" t="s">
        <v>332</v>
      </c>
      <c r="F92" s="112" t="s">
        <v>262</v>
      </c>
      <c r="G92" s="63" t="str">
        <f t="shared" si="31"/>
        <v>[effect:enemy_message, val1:1.2, val2:1.2]</v>
      </c>
      <c r="H92" s="63">
        <f t="shared" si="32"/>
        <v>9</v>
      </c>
      <c r="I92" s="63">
        <f t="shared" si="33"/>
        <v>22</v>
      </c>
      <c r="J92" s="63" t="e">
        <f t="shared" si="34"/>
        <v>#VALUE!</v>
      </c>
      <c r="K92" s="63">
        <f t="shared" si="35"/>
        <v>32</v>
      </c>
      <c r="L92" s="63" t="str">
        <f>IFERROR(VLOOKUP(MID(G92,J92,K92-J92),[6]skilldef!$C:$D,2,FALSE),"-") &amp; " / " &amp; IFERROR(VLOOKUP(MID(G92,H92,I92-H92),[6]skilldef!$A:$B,2,FALSE),"-")</f>
        <v>- / -</v>
      </c>
      <c r="M92" s="63" t="str">
        <f t="shared" si="36"/>
        <v>[effect:spread, val:0.3]</v>
      </c>
      <c r="N92" s="48" t="str">
        <f t="shared" ref="N92" si="46">IFERROR(LEFT(M92,FIND("],",M92)+S103),M92)</f>
        <v>[effect:spread, val:0.3]</v>
      </c>
      <c r="O92" s="63">
        <f t="shared" si="37"/>
        <v>9</v>
      </c>
      <c r="P92" s="63">
        <f t="shared" si="38"/>
        <v>15</v>
      </c>
      <c r="Q92" s="63" t="e">
        <f t="shared" si="39"/>
        <v>#VALUE!</v>
      </c>
      <c r="R92" s="63" t="e">
        <f t="shared" si="40"/>
        <v>#VALUE!</v>
      </c>
      <c r="S92" s="63" t="str">
        <f>IFERROR(VLOOKUP(MID(N92,Q92,R92-Q92),[6]skilldef!$C:$D,2,FALSE),"-") &amp; " / " &amp; IFERROR(VLOOKUP(MID(N92,O92,P92-O92),[6]skilldef!$A:$B,2,FALSE),"-")</f>
        <v>- / 全体攻撃</v>
      </c>
      <c r="T92" s="48" t="str">
        <f t="shared" si="41"/>
        <v>none</v>
      </c>
      <c r="U92" s="63" t="e">
        <f t="shared" si="42"/>
        <v>#VALUE!</v>
      </c>
      <c r="V92" s="63">
        <f t="shared" si="43"/>
        <v>4</v>
      </c>
      <c r="W92" s="63" t="e">
        <f t="shared" si="44"/>
        <v>#VALUE!</v>
      </c>
      <c r="X92" s="63" t="e">
        <f t="shared" si="45"/>
        <v>#VALUE!</v>
      </c>
      <c r="Y92" s="63" t="str">
        <f>IFERROR(VLOOKUP(MID(T92,W92,X92-W92),[6]skilldef!$C:$D,2,FALSE),"-") &amp; " / " &amp; IFERROR(VLOOKUP(MID(T92,U92,V92-U92),[6]skilldef!$A:$B,2,FALSE),"-")</f>
        <v>- / -</v>
      </c>
      <c r="Z92" s="50"/>
      <c r="AA92" s="52"/>
      <c r="AB92" s="50"/>
    </row>
    <row r="93" spans="1:28" ht="40" customHeight="1" x14ac:dyDescent="0.15">
      <c r="A93" s="128">
        <v>47004273</v>
      </c>
      <c r="B93" s="132" t="s">
        <v>502</v>
      </c>
      <c r="C93" s="111">
        <v>3</v>
      </c>
      <c r="D93" s="111" t="s">
        <v>127</v>
      </c>
      <c r="E93" s="112" t="s">
        <v>302</v>
      </c>
      <c r="F93" s="112" t="s">
        <v>453</v>
      </c>
      <c r="G93" s="63" t="str">
        <f t="shared" si="31"/>
        <v>[effect:enemy_message, val1:2.4, val2:1.2]</v>
      </c>
      <c r="H93" s="63">
        <f t="shared" si="32"/>
        <v>9</v>
      </c>
      <c r="I93" s="63">
        <f t="shared" si="33"/>
        <v>22</v>
      </c>
      <c r="J93" s="63" t="e">
        <f t="shared" si="34"/>
        <v>#VALUE!</v>
      </c>
      <c r="K93" s="63">
        <f t="shared" si="35"/>
        <v>32</v>
      </c>
      <c r="L93" s="63" t="str">
        <f>IFERROR(VLOOKUP(MID(G93,J93,K93-J93),[6]skilldef!$C:$D,2,FALSE),"-") &amp; " / " &amp; IFERROR(VLOOKUP(MID(G93,H93,I93-H93),[6]skilldef!$A:$B,2,FALSE),"-")</f>
        <v>- / -</v>
      </c>
      <c r="M93" s="63" t="str">
        <f t="shared" si="36"/>
        <v>[effect:enhance_enemy, target:enemy_all, turn:-1, status:attack, val:0.5, calc:mul, animation:enemy_enhance_attack]</v>
      </c>
      <c r="N93" s="48" t="str">
        <f>IFERROR(LEFT(M93,FIND("],",M93)+#REF!),M93)</f>
        <v>[effect:enhance_enemy, target:enemy_all, turn:-1, status:attack, val:0.5, calc:mul, animation:enemy_enhance_attack]</v>
      </c>
      <c r="O93" s="63">
        <f t="shared" si="37"/>
        <v>9</v>
      </c>
      <c r="P93" s="63">
        <f t="shared" si="38"/>
        <v>22</v>
      </c>
      <c r="Q93" s="63">
        <f t="shared" si="39"/>
        <v>31</v>
      </c>
      <c r="R93" s="63">
        <f t="shared" si="40"/>
        <v>40</v>
      </c>
      <c r="S93" s="63" t="str">
        <f>IFERROR(VLOOKUP(MID(N93,Q93,R93-Q93),[6]skilldef!$C:$D,2,FALSE),"-") &amp; " / " &amp; IFERROR(VLOOKUP(MID(N93,O93,P93-O93),[6]skilldef!$A:$B,2,FALSE),"-")</f>
        <v>敵全体に / ステータス強化</v>
      </c>
      <c r="T93" s="48" t="str">
        <f t="shared" si="41"/>
        <v>none</v>
      </c>
      <c r="U93" s="63" t="e">
        <f t="shared" si="42"/>
        <v>#VALUE!</v>
      </c>
      <c r="V93" s="63">
        <f t="shared" si="43"/>
        <v>4</v>
      </c>
      <c r="W93" s="63" t="e">
        <f t="shared" si="44"/>
        <v>#VALUE!</v>
      </c>
      <c r="X93" s="63" t="e">
        <f t="shared" si="45"/>
        <v>#VALUE!</v>
      </c>
      <c r="Y93" s="63" t="str">
        <f>IFERROR(VLOOKUP(MID(T93,W93,X93-W93),[6]skilldef!$C:$D,2,FALSE),"-") &amp; " / " &amp; IFERROR(VLOOKUP(MID(T93,U93,V93-U93),[6]skilldef!$A:$B,2,FALSE),"-")</f>
        <v>- / -</v>
      </c>
      <c r="Z93" s="50"/>
      <c r="AA93" s="52"/>
      <c r="AB93" s="50"/>
    </row>
    <row r="94" spans="1:28" ht="40" customHeight="1" x14ac:dyDescent="0.15">
      <c r="A94" s="128">
        <v>47004274</v>
      </c>
      <c r="B94" s="132" t="s">
        <v>503</v>
      </c>
      <c r="C94" s="111">
        <v>3</v>
      </c>
      <c r="D94" s="111" t="s">
        <v>127</v>
      </c>
      <c r="E94" s="116" t="s">
        <v>269</v>
      </c>
      <c r="F94" s="112" t="s">
        <v>468</v>
      </c>
      <c r="G94" s="63" t="str">
        <f t="shared" si="31"/>
        <v>[effect:enemy_message, val1:3.0, val2:4.8]</v>
      </c>
      <c r="H94" s="63">
        <f t="shared" si="32"/>
        <v>9</v>
      </c>
      <c r="I94" s="63">
        <f t="shared" si="33"/>
        <v>22</v>
      </c>
      <c r="J94" s="63" t="e">
        <f t="shared" si="34"/>
        <v>#VALUE!</v>
      </c>
      <c r="K94" s="63">
        <f t="shared" si="35"/>
        <v>32</v>
      </c>
      <c r="L94" s="63" t="str">
        <f>IFERROR(VLOOKUP(MID(G94,J94,K94-J94),[6]skilldef!$C:$D,2,FALSE),"-") &amp; " / " &amp; IFERROR(VLOOKUP(MID(G94,H94,I94-H94),[6]skilldef!$A:$B,2,FALSE),"-")</f>
        <v>- / -</v>
      </c>
      <c r="M94" s="63" t="str">
        <f t="shared" si="36"/>
        <v>[effect:fix_speed, target:myself, turn:2],[effect:sp_boost, target:unit_all, val:4],[effect:change_bomb_range, target:unit_all, val:1.2, rate:1, turn:-1, animation:bomb_big],[effect:suicide, val:0.95]</v>
      </c>
      <c r="N94" s="48" t="str">
        <f>IFERROR(LEFT(M94,FIND("],",M94)+#REF!),M94)</f>
        <v>[effect:fix_speed, target:myself, turn:2],[effect:sp_boost, target:unit_all, val:4],[effect:change_bomb_range, target:unit_all, val:1.2, rate:1, turn:-1, animation:bomb_big],[effect:suicide, val:0.95]</v>
      </c>
      <c r="O94" s="63">
        <f t="shared" si="37"/>
        <v>9</v>
      </c>
      <c r="P94" s="63">
        <f t="shared" si="38"/>
        <v>18</v>
      </c>
      <c r="Q94" s="63">
        <f t="shared" si="39"/>
        <v>27</v>
      </c>
      <c r="R94" s="63">
        <f t="shared" si="40"/>
        <v>33</v>
      </c>
      <c r="S94" s="63" t="str">
        <f>IFERROR(VLOOKUP(MID(N94,Q94,R94-Q94),[6]skilldef!$C:$D,2,FALSE),"-") &amp; " / " &amp; IFERROR(VLOOKUP(MID(N94,O94,P94-O94),[6]skilldef!$A:$B,2,FALSE),"-")</f>
        <v>自分自身に / 行動値設定</v>
      </c>
      <c r="T94" s="48" t="str">
        <f t="shared" si="41"/>
        <v>[effect:sp_boost, target:unit_all, val:4],[effect:change_bomb_range, target:unit_all, val:1.2, rate:1, turn:-1, animation:bomb_big],[effect:suicide, val:0.95]</v>
      </c>
      <c r="U94" s="63">
        <f t="shared" si="42"/>
        <v>9</v>
      </c>
      <c r="V94" s="63">
        <f t="shared" si="43"/>
        <v>17</v>
      </c>
      <c r="W94" s="63">
        <f t="shared" si="44"/>
        <v>26</v>
      </c>
      <c r="X94" s="63">
        <f t="shared" si="45"/>
        <v>34</v>
      </c>
      <c r="Y94" s="63" t="str">
        <f>IFERROR(VLOOKUP(MID(T94,W94,X94-W94),[6]skilldef!$C:$D,2,FALSE),"-") &amp; " / " &amp; IFERROR(VLOOKUP(MID(T94,U94,V94-U94),[6]skilldef!$A:$B,2,FALSE),"-")</f>
        <v>味方全体に / -</v>
      </c>
      <c r="Z94" s="50"/>
      <c r="AA94" s="52"/>
      <c r="AB94" s="50"/>
    </row>
    <row r="95" spans="1:28" ht="40" customHeight="1" x14ac:dyDescent="0.15">
      <c r="A95" s="128">
        <v>47004275</v>
      </c>
      <c r="B95" s="132" t="s">
        <v>504</v>
      </c>
      <c r="C95" s="111">
        <v>3</v>
      </c>
      <c r="D95" s="111" t="s">
        <v>127</v>
      </c>
      <c r="E95" s="116" t="s">
        <v>270</v>
      </c>
      <c r="F95" s="112" t="s">
        <v>467</v>
      </c>
      <c r="G95" s="63" t="str">
        <f t="shared" si="31"/>
        <v>[effect:enemy_message, val1:2.2, val2:4.8]</v>
      </c>
      <c r="H95" s="63">
        <f t="shared" si="32"/>
        <v>9</v>
      </c>
      <c r="I95" s="63">
        <f t="shared" si="33"/>
        <v>22</v>
      </c>
      <c r="J95" s="63" t="e">
        <f t="shared" si="34"/>
        <v>#VALUE!</v>
      </c>
      <c r="K95" s="63">
        <f t="shared" si="35"/>
        <v>32</v>
      </c>
      <c r="L95" s="63" t="str">
        <f>IFERROR(VLOOKUP(MID(G95,J95,K95-J95),[6]skilldef!$C:$D,2,FALSE),"-") &amp; " / " &amp; IFERROR(VLOOKUP(MID(G95,H95,I95-H95),[6]skilldef!$A:$B,2,FALSE),"-")</f>
        <v>- / -</v>
      </c>
      <c r="M95" s="63" t="str">
        <f t="shared" si="36"/>
        <v>[effect:fix_speed, target:myself, turn:2],[effect:sp_boost, target:unit_all, val:4],[effect:change_bomb_range, target:unit_all, val:1.2, rate:1, turn:-1, animation:bomb_big],[effect:suicide, val:0.95]</v>
      </c>
      <c r="N95" s="48" t="str">
        <f>IFERROR(LEFT(M95,FIND("],",M95)+#REF!),M95)</f>
        <v>[effect:fix_speed, target:myself, turn:2],[effect:sp_boost, target:unit_all, val:4],[effect:change_bomb_range, target:unit_all, val:1.2, rate:1, turn:-1, animation:bomb_big],[effect:suicide, val:0.95]</v>
      </c>
      <c r="O95" s="63">
        <f t="shared" si="37"/>
        <v>9</v>
      </c>
      <c r="P95" s="63">
        <f t="shared" si="38"/>
        <v>18</v>
      </c>
      <c r="Q95" s="63">
        <f t="shared" si="39"/>
        <v>27</v>
      </c>
      <c r="R95" s="63">
        <f t="shared" si="40"/>
        <v>33</v>
      </c>
      <c r="S95" s="63" t="str">
        <f>IFERROR(VLOOKUP(MID(N95,Q95,R95-Q95),[6]skilldef!$C:$D,2,FALSE),"-") &amp; " / " &amp; IFERROR(VLOOKUP(MID(N95,O95,P95-O95),[6]skilldef!$A:$B,2,FALSE),"-")</f>
        <v>自分自身に / 行動値設定</v>
      </c>
      <c r="T95" s="48" t="str">
        <f t="shared" si="41"/>
        <v>[effect:sp_boost, target:unit_all, val:4],[effect:change_bomb_range, target:unit_all, val:1.2, rate:1, turn:-1, animation:bomb_big],[effect:suicide, val:0.95]</v>
      </c>
      <c r="U95" s="63">
        <f t="shared" si="42"/>
        <v>9</v>
      </c>
      <c r="V95" s="63">
        <f t="shared" si="43"/>
        <v>17</v>
      </c>
      <c r="W95" s="63">
        <f t="shared" si="44"/>
        <v>26</v>
      </c>
      <c r="X95" s="63">
        <f t="shared" si="45"/>
        <v>34</v>
      </c>
      <c r="Y95" s="63" t="str">
        <f>IFERROR(VLOOKUP(MID(T95,W95,X95-W95),[6]skilldef!$C:$D,2,FALSE),"-") &amp; " / " &amp; IFERROR(VLOOKUP(MID(T95,U95,V95-U95),[6]skilldef!$A:$B,2,FALSE),"-")</f>
        <v>味方全体に / -</v>
      </c>
      <c r="Z95" s="50"/>
      <c r="AA95" s="52"/>
      <c r="AB95" s="50"/>
    </row>
    <row r="96" spans="1:28" ht="40" customHeight="1" x14ac:dyDescent="0.15">
      <c r="A96" s="128">
        <v>47004276</v>
      </c>
      <c r="B96" s="132" t="s">
        <v>505</v>
      </c>
      <c r="C96" s="111">
        <v>3</v>
      </c>
      <c r="D96" s="111" t="s">
        <v>127</v>
      </c>
      <c r="E96" s="116" t="s">
        <v>271</v>
      </c>
      <c r="F96" s="112" t="s">
        <v>470</v>
      </c>
      <c r="G96" s="63" t="str">
        <f t="shared" si="31"/>
        <v>[effect:enemy_message, val1:2.6, val2:4.8]</v>
      </c>
      <c r="H96" s="63">
        <f t="shared" si="32"/>
        <v>9</v>
      </c>
      <c r="I96" s="63">
        <f t="shared" si="33"/>
        <v>22</v>
      </c>
      <c r="J96" s="63" t="e">
        <f t="shared" si="34"/>
        <v>#VALUE!</v>
      </c>
      <c r="K96" s="63">
        <f t="shared" si="35"/>
        <v>32</v>
      </c>
      <c r="L96" s="63" t="str">
        <f>IFERROR(VLOOKUP(MID(G96,J96,K96-J96),[6]skilldef!$C:$D,2,FALSE),"-") &amp; " / " &amp; IFERROR(VLOOKUP(MID(G96,H96,I96-H96),[6]skilldef!$A:$B,2,FALSE),"-")</f>
        <v>- / -</v>
      </c>
      <c r="M96" s="63" t="str">
        <f t="shared" si="36"/>
        <v>[effect:fix_speed, target:myself, turn:2],[effect:sp_boost, target:unit_all, val:4],[effect:change_bomb_range, target:unit_all, val:1.2, rate:1, turn:-1, animation:bomb_big],[effect:suicide, val:0.8]</v>
      </c>
      <c r="N96" s="48" t="str">
        <f>IFERROR(LEFT(M96,FIND("],",M96)+#REF!),M96)</f>
        <v>[effect:fix_speed, target:myself, turn:2],[effect:sp_boost, target:unit_all, val:4],[effect:change_bomb_range, target:unit_all, val:1.2, rate:1, turn:-1, animation:bomb_big],[effect:suicide, val:0.8]</v>
      </c>
      <c r="O96" s="63">
        <f t="shared" si="37"/>
        <v>9</v>
      </c>
      <c r="P96" s="63">
        <f t="shared" si="38"/>
        <v>18</v>
      </c>
      <c r="Q96" s="63">
        <f t="shared" si="39"/>
        <v>27</v>
      </c>
      <c r="R96" s="63">
        <f t="shared" si="40"/>
        <v>33</v>
      </c>
      <c r="S96" s="63" t="str">
        <f>IFERROR(VLOOKUP(MID(N96,Q96,R96-Q96),[6]skilldef!$C:$D,2,FALSE),"-") &amp; " / " &amp; IFERROR(VLOOKUP(MID(N96,O96,P96-O96),[6]skilldef!$A:$B,2,FALSE),"-")</f>
        <v>自分自身に / 行動値設定</v>
      </c>
      <c r="T96" s="48" t="str">
        <f t="shared" si="41"/>
        <v>[effect:sp_boost, target:unit_all, val:4],[effect:change_bomb_range, target:unit_all, val:1.2, rate:1, turn:-1, animation:bomb_big],[effect:suicide, val:0.8]</v>
      </c>
      <c r="U96" s="63">
        <f t="shared" si="42"/>
        <v>9</v>
      </c>
      <c r="V96" s="63">
        <f t="shared" si="43"/>
        <v>17</v>
      </c>
      <c r="W96" s="63">
        <f t="shared" si="44"/>
        <v>26</v>
      </c>
      <c r="X96" s="63">
        <f t="shared" si="45"/>
        <v>34</v>
      </c>
      <c r="Y96" s="63" t="str">
        <f>IFERROR(VLOOKUP(MID(T96,W96,X96-W96),[6]skilldef!$C:$D,2,FALSE),"-") &amp; " / " &amp; IFERROR(VLOOKUP(MID(T96,U96,V96-U96),[6]skilldef!$A:$B,2,FALSE),"-")</f>
        <v>味方全体に / -</v>
      </c>
      <c r="Z96" s="50"/>
      <c r="AA96" s="52"/>
      <c r="AB96" s="50"/>
    </row>
    <row r="97" spans="1:28" ht="40" customHeight="1" x14ac:dyDescent="0.15">
      <c r="A97" s="128">
        <v>47004277</v>
      </c>
      <c r="B97" s="132" t="s">
        <v>505</v>
      </c>
      <c r="C97" s="111">
        <v>3</v>
      </c>
      <c r="D97" s="111" t="s">
        <v>127</v>
      </c>
      <c r="E97" s="116" t="s">
        <v>272</v>
      </c>
      <c r="F97" s="112" t="s">
        <v>470</v>
      </c>
      <c r="G97" s="63" t="str">
        <f t="shared" si="31"/>
        <v>[effect:enemy_message, val1:2.6, val2:4.8]</v>
      </c>
      <c r="H97" s="63">
        <f t="shared" si="32"/>
        <v>9</v>
      </c>
      <c r="I97" s="63">
        <f t="shared" si="33"/>
        <v>22</v>
      </c>
      <c r="J97" s="63" t="e">
        <f t="shared" si="34"/>
        <v>#VALUE!</v>
      </c>
      <c r="K97" s="63">
        <f t="shared" si="35"/>
        <v>32</v>
      </c>
      <c r="L97" s="63" t="str">
        <f>IFERROR(VLOOKUP(MID(G97,J97,K97-J97),[6]skilldef!$C:$D,2,FALSE),"-") &amp; " / " &amp; IFERROR(VLOOKUP(MID(G97,H97,I97-H97),[6]skilldef!$A:$B,2,FALSE),"-")</f>
        <v>- / -</v>
      </c>
      <c r="M97" s="63" t="str">
        <f t="shared" si="36"/>
        <v>[effect:fix_speed, target:myself, turn:2],[effect:sp_boost, target:unit_all, val:4],[effect:change_bomb_range, target:unit_all, val:1.2, rate:1, turn:-1, animation:bomb_big],[effect:suicide, val:0.8]</v>
      </c>
      <c r="N97" s="48" t="str">
        <f>IFERROR(LEFT(M97,FIND("],",M97)+#REF!),M97)</f>
        <v>[effect:fix_speed, target:myself, turn:2],[effect:sp_boost, target:unit_all, val:4],[effect:change_bomb_range, target:unit_all, val:1.2, rate:1, turn:-1, animation:bomb_big],[effect:suicide, val:0.8]</v>
      </c>
      <c r="O97" s="63">
        <f t="shared" si="37"/>
        <v>9</v>
      </c>
      <c r="P97" s="63">
        <f t="shared" si="38"/>
        <v>18</v>
      </c>
      <c r="Q97" s="63">
        <f t="shared" si="39"/>
        <v>27</v>
      </c>
      <c r="R97" s="63">
        <f t="shared" si="40"/>
        <v>33</v>
      </c>
      <c r="S97" s="63" t="str">
        <f>IFERROR(VLOOKUP(MID(N97,Q97,R97-Q97),[6]skilldef!$C:$D,2,FALSE),"-") &amp; " / " &amp; IFERROR(VLOOKUP(MID(N97,O97,P97-O97),[6]skilldef!$A:$B,2,FALSE),"-")</f>
        <v>自分自身に / 行動値設定</v>
      </c>
      <c r="T97" s="48" t="str">
        <f t="shared" si="41"/>
        <v>[effect:sp_boost, target:unit_all, val:4],[effect:change_bomb_range, target:unit_all, val:1.2, rate:1, turn:-1, animation:bomb_big],[effect:suicide, val:0.8]</v>
      </c>
      <c r="U97" s="63">
        <f t="shared" si="42"/>
        <v>9</v>
      </c>
      <c r="V97" s="63">
        <f t="shared" si="43"/>
        <v>17</v>
      </c>
      <c r="W97" s="63">
        <f t="shared" si="44"/>
        <v>26</v>
      </c>
      <c r="X97" s="63">
        <f t="shared" si="45"/>
        <v>34</v>
      </c>
      <c r="Y97" s="63" t="str">
        <f>IFERROR(VLOOKUP(MID(T97,W97,X97-W97),[6]skilldef!$C:$D,2,FALSE),"-") &amp; " / " &amp; IFERROR(VLOOKUP(MID(T97,U97,V97-U97),[6]skilldef!$A:$B,2,FALSE),"-")</f>
        <v>味方全体に / -</v>
      </c>
      <c r="Z97" s="50"/>
      <c r="AA97" s="52"/>
      <c r="AB97" s="50"/>
    </row>
    <row r="98" spans="1:28" ht="40" customHeight="1" x14ac:dyDescent="0.15">
      <c r="A98" s="128">
        <v>47004278</v>
      </c>
      <c r="B98" s="132" t="s">
        <v>505</v>
      </c>
      <c r="C98" s="111">
        <v>3</v>
      </c>
      <c r="D98" s="111" t="s">
        <v>127</v>
      </c>
      <c r="E98" s="116" t="s">
        <v>273</v>
      </c>
      <c r="F98" s="112" t="s">
        <v>471</v>
      </c>
      <c r="G98" s="63" t="str">
        <f t="shared" si="31"/>
        <v>[effect:enemy_message, val1:2.6, val2:4.8]</v>
      </c>
      <c r="H98" s="63">
        <f t="shared" si="32"/>
        <v>9</v>
      </c>
      <c r="I98" s="63">
        <f t="shared" si="33"/>
        <v>22</v>
      </c>
      <c r="J98" s="63" t="e">
        <f t="shared" si="34"/>
        <v>#VALUE!</v>
      </c>
      <c r="K98" s="63">
        <f t="shared" si="35"/>
        <v>32</v>
      </c>
      <c r="L98" s="63" t="str">
        <f>IFERROR(VLOOKUP(MID(G98,J98,K98-J98),[6]skilldef!$C:$D,2,FALSE),"-") &amp; " / " &amp; IFERROR(VLOOKUP(MID(G98,H98,I98-H98),[6]skilldef!$A:$B,2,FALSE),"-")</f>
        <v>- / -</v>
      </c>
      <c r="M98" s="63" t="str">
        <f t="shared" si="36"/>
        <v>[effect:fix_speed, target:myself, turn:2],[effect:sp_boost, target:unit_all, val:4],[effect:change_bomb_range, target:unit_all, val:1.2, rate:1, turn:-1, animation:bomb_big],[effect:suicide, val:0.8]</v>
      </c>
      <c r="N98" s="48" t="str">
        <f>IFERROR(LEFT(M98,FIND("],",M98)+#REF!),M98)</f>
        <v>[effect:fix_speed, target:myself, turn:2],[effect:sp_boost, target:unit_all, val:4],[effect:change_bomb_range, target:unit_all, val:1.2, rate:1, turn:-1, animation:bomb_big],[effect:suicide, val:0.8]</v>
      </c>
      <c r="O98" s="63">
        <f t="shared" si="37"/>
        <v>9</v>
      </c>
      <c r="P98" s="63">
        <f t="shared" si="38"/>
        <v>18</v>
      </c>
      <c r="Q98" s="63">
        <f t="shared" si="39"/>
        <v>27</v>
      </c>
      <c r="R98" s="63">
        <f t="shared" si="40"/>
        <v>33</v>
      </c>
      <c r="S98" s="63" t="str">
        <f>IFERROR(VLOOKUP(MID(N98,Q98,R98-Q98),[6]skilldef!$C:$D,2,FALSE),"-") &amp; " / " &amp; IFERROR(VLOOKUP(MID(N98,O98,P98-O98),[6]skilldef!$A:$B,2,FALSE),"-")</f>
        <v>自分自身に / 行動値設定</v>
      </c>
      <c r="T98" s="48" t="str">
        <f t="shared" si="41"/>
        <v>[effect:sp_boost, target:unit_all, val:4],[effect:change_bomb_range, target:unit_all, val:1.2, rate:1, turn:-1, animation:bomb_big],[effect:suicide, val:0.8]</v>
      </c>
      <c r="U98" s="63">
        <f t="shared" si="42"/>
        <v>9</v>
      </c>
      <c r="V98" s="63">
        <f t="shared" si="43"/>
        <v>17</v>
      </c>
      <c r="W98" s="63">
        <f t="shared" si="44"/>
        <v>26</v>
      </c>
      <c r="X98" s="63">
        <f t="shared" si="45"/>
        <v>34</v>
      </c>
      <c r="Y98" s="63" t="str">
        <f>IFERROR(VLOOKUP(MID(T98,W98,X98-W98),[6]skilldef!$C:$D,2,FALSE),"-") &amp; " / " &amp; IFERROR(VLOOKUP(MID(T98,U98,V98-U98),[6]skilldef!$A:$B,2,FALSE),"-")</f>
        <v>味方全体に / -</v>
      </c>
      <c r="Z98" s="50"/>
      <c r="AA98" s="52"/>
      <c r="AB98" s="50"/>
    </row>
    <row r="99" spans="1:28" ht="40" customHeight="1" x14ac:dyDescent="0.15">
      <c r="A99" s="128">
        <v>47004279</v>
      </c>
      <c r="B99" s="132" t="s">
        <v>506</v>
      </c>
      <c r="C99" s="111">
        <v>3</v>
      </c>
      <c r="D99" s="111" t="s">
        <v>127</v>
      </c>
      <c r="E99" s="129" t="s">
        <v>386</v>
      </c>
      <c r="F99" s="112" t="s">
        <v>473</v>
      </c>
      <c r="G99" s="63"/>
      <c r="H99" s="63"/>
      <c r="I99" s="63"/>
      <c r="J99" s="63"/>
      <c r="K99" s="63"/>
      <c r="L99" s="63"/>
      <c r="M99" s="63"/>
      <c r="N99" s="48"/>
      <c r="O99" s="63"/>
      <c r="P99" s="63"/>
      <c r="Q99" s="63"/>
      <c r="R99" s="63"/>
      <c r="S99" s="63"/>
      <c r="T99" s="48"/>
      <c r="U99" s="63"/>
      <c r="V99" s="63"/>
      <c r="W99" s="63"/>
      <c r="X99" s="63"/>
      <c r="Y99" s="63"/>
      <c r="Z99" s="50"/>
      <c r="AA99" s="52"/>
      <c r="AB99" s="50"/>
    </row>
    <row r="100" spans="1:28" ht="40" customHeight="1" x14ac:dyDescent="0.15">
      <c r="A100" s="128">
        <v>47004291</v>
      </c>
      <c r="B100" s="133" t="s">
        <v>507</v>
      </c>
      <c r="C100" s="50">
        <v>3</v>
      </c>
      <c r="D100" s="50" t="s">
        <v>127</v>
      </c>
      <c r="E100" s="51" t="s">
        <v>309</v>
      </c>
      <c r="F100" s="51" t="s">
        <v>452</v>
      </c>
      <c r="G100" s="63" t="str">
        <f t="shared" si="31"/>
        <v>[effect:enemy_message, val1:1.2, val2:4.2]</v>
      </c>
      <c r="H100" s="63">
        <f t="shared" si="32"/>
        <v>9</v>
      </c>
      <c r="I100" s="63">
        <f t="shared" si="33"/>
        <v>22</v>
      </c>
      <c r="J100" s="63" t="e">
        <f t="shared" si="34"/>
        <v>#VALUE!</v>
      </c>
      <c r="K100" s="63">
        <f t="shared" si="35"/>
        <v>32</v>
      </c>
      <c r="L100" s="63" t="str">
        <f>IFERROR(VLOOKUP(MID(G100,J100,K100-J100),[6]skilldef!$C:$D,2,FALSE),"-") &amp; " / " &amp; IFERROR(VLOOKUP(MID(G100,H100,I100-H100),[6]skilldef!$A:$B,2,FALSE),"-")</f>
        <v>- / -</v>
      </c>
      <c r="M100" s="63" t="str">
        <f t="shared" si="36"/>
        <v>[effect:enemy_counter, target:myself, invoke_condition:unit_all, counter_target:attacker, turn:-1, val:0.1, animation:enemy_counter],[effect:fix_speed, target:myself, turn:2]</v>
      </c>
      <c r="N100" s="48" t="str">
        <f>IFERROR(LEFT(M100,FIND("],",M100)+#REF!),M100)</f>
        <v>[effect:enemy_counter, target:myself, invoke_condition:unit_all, counter_target:attacker, turn:-1, val:0.1, animation:enemy_counter],[effect:fix_speed, target:myself, turn:2]</v>
      </c>
      <c r="O100" s="63">
        <f t="shared" si="37"/>
        <v>9</v>
      </c>
      <c r="P100" s="63">
        <f t="shared" si="38"/>
        <v>22</v>
      </c>
      <c r="Q100" s="63">
        <f t="shared" si="39"/>
        <v>31</v>
      </c>
      <c r="R100" s="63">
        <f t="shared" si="40"/>
        <v>37</v>
      </c>
      <c r="S100" s="63" t="str">
        <f>IFERROR(VLOOKUP(MID(N100,Q100,R100-Q100),[6]skilldef!$C:$D,2,FALSE),"-") &amp; " / " &amp; IFERROR(VLOOKUP(MID(N100,O100,P100-O100),[6]skilldef!$A:$B,2,FALSE),"-")</f>
        <v>自分自身に / カウンター</v>
      </c>
      <c r="T100" s="48" t="str">
        <f t="shared" si="41"/>
        <v>[effect:fix_speed, target:myself, turn:2]</v>
      </c>
      <c r="U100" s="63">
        <f t="shared" si="42"/>
        <v>9</v>
      </c>
      <c r="V100" s="63">
        <f t="shared" si="43"/>
        <v>18</v>
      </c>
      <c r="W100" s="63">
        <f t="shared" si="44"/>
        <v>27</v>
      </c>
      <c r="X100" s="63">
        <f t="shared" si="45"/>
        <v>33</v>
      </c>
      <c r="Y100" s="63" t="str">
        <f>IFERROR(VLOOKUP(MID(T100,W100,X100-W100),[6]skilldef!$C:$D,2,FALSE),"-") &amp; " / " &amp; IFERROR(VLOOKUP(MID(T100,U100,V100-U100),[6]skilldef!$A:$B,2,FALSE),"-")</f>
        <v>自分自身に / 行動値設定</v>
      </c>
      <c r="Z100" s="50"/>
      <c r="AA100" s="52"/>
      <c r="AB100" s="50"/>
    </row>
    <row r="101" spans="1:28" ht="40" customHeight="1" x14ac:dyDescent="0.15">
      <c r="A101" s="128">
        <v>47004292</v>
      </c>
      <c r="B101" s="135" t="s">
        <v>565</v>
      </c>
      <c r="C101" s="50">
        <v>3</v>
      </c>
      <c r="D101" s="50" t="s">
        <v>127</v>
      </c>
      <c r="E101" s="51" t="s">
        <v>310</v>
      </c>
      <c r="F101" s="51" t="s">
        <v>375</v>
      </c>
      <c r="G101" s="63" t="str">
        <f t="shared" si="31"/>
        <v>[effect:enemy_message, val1:1.2, val2:2.4]</v>
      </c>
      <c r="H101" s="63">
        <f t="shared" si="32"/>
        <v>9</v>
      </c>
      <c r="I101" s="63">
        <f t="shared" si="33"/>
        <v>22</v>
      </c>
      <c r="J101" s="63" t="e">
        <f t="shared" si="34"/>
        <v>#VALUE!</v>
      </c>
      <c r="K101" s="63">
        <f t="shared" si="35"/>
        <v>32</v>
      </c>
      <c r="L101" s="63" t="str">
        <f>IFERROR(VLOOKUP(MID(G101,J101,K101-J101),[6]skilldef!$C:$D,2,FALSE),"-") &amp; " / " &amp; IFERROR(VLOOKUP(MID(G101,H101,I101-H101),[6]skilldef!$A:$B,2,FALSE),"-")</f>
        <v>- / -</v>
      </c>
      <c r="M101" s="63" t="str">
        <f t="shared" si="36"/>
        <v xml:space="preserve">[effect:force_change_block, new_block:damage, target:block_yellow, count:3, val:0.02],[effect:rush, count:1, val:1.0]    </v>
      </c>
      <c r="N101" s="48" t="str">
        <f>IFERROR(LEFT(M101,FIND("],",M101)+S104),M101)</f>
        <v xml:space="preserve">[effect:force_change_block, new_block:damage, target:block_yellow, count:3, val:0.02],[effect:rush, count:1, val:1.0]    </v>
      </c>
      <c r="O101" s="63">
        <f t="shared" si="37"/>
        <v>9</v>
      </c>
      <c r="P101" s="63">
        <f t="shared" si="38"/>
        <v>27</v>
      </c>
      <c r="Q101" s="63">
        <f t="shared" si="39"/>
        <v>54</v>
      </c>
      <c r="R101" s="63">
        <f t="shared" si="40"/>
        <v>45</v>
      </c>
      <c r="S101" s="63" t="str">
        <f>IFERROR(VLOOKUP(MID(N101,Q101,R101-Q101),[6]skilldef!$C:$D,2,FALSE),"-") &amp; " / " &amp; IFERROR(VLOOKUP(MID(N101,O101,P101-O101),[6]skilldef!$A:$B,2,FALSE),"-")</f>
        <v>- / -</v>
      </c>
      <c r="T101" s="48" t="str">
        <f t="shared" si="41"/>
        <v xml:space="preserve">[effect:rush, count:1, val:1.0]    </v>
      </c>
      <c r="U101" s="63">
        <f t="shared" si="42"/>
        <v>9</v>
      </c>
      <c r="V101" s="63">
        <f t="shared" si="43"/>
        <v>13</v>
      </c>
      <c r="W101" s="63" t="e">
        <f t="shared" si="44"/>
        <v>#VALUE!</v>
      </c>
      <c r="X101" s="63">
        <f t="shared" si="45"/>
        <v>22</v>
      </c>
      <c r="Y101" s="63" t="str">
        <f>IFERROR(VLOOKUP(MID(T101,W101,X101-W101),[6]skilldef!$C:$D,2,FALSE),"-") &amp; " / " &amp; IFERROR(VLOOKUP(MID(T101,U101,V101-U101),[6]skilldef!$A:$B,2,FALSE),"-")</f>
        <v>- / 連続攻撃</v>
      </c>
      <c r="Z101" s="50"/>
      <c r="AA101" s="52"/>
      <c r="AB101" s="50"/>
    </row>
    <row r="102" spans="1:28" ht="40" customHeight="1" x14ac:dyDescent="0.15">
      <c r="A102" s="128">
        <v>47004293</v>
      </c>
      <c r="B102" s="133" t="s">
        <v>509</v>
      </c>
      <c r="C102" s="50">
        <v>3</v>
      </c>
      <c r="D102" s="50" t="s">
        <v>127</v>
      </c>
      <c r="E102" s="51" t="s">
        <v>312</v>
      </c>
      <c r="F102" s="51" t="s">
        <v>482</v>
      </c>
      <c r="G102" s="63" t="str">
        <f t="shared" si="31"/>
        <v>[effect:enemy_message, val1:1.2, val2:2.0]</v>
      </c>
      <c r="H102" s="63">
        <f t="shared" si="32"/>
        <v>9</v>
      </c>
      <c r="I102" s="63">
        <f t="shared" si="33"/>
        <v>22</v>
      </c>
      <c r="J102" s="63" t="e">
        <f t="shared" si="34"/>
        <v>#VALUE!</v>
      </c>
      <c r="K102" s="63">
        <f t="shared" si="35"/>
        <v>32</v>
      </c>
      <c r="L102" s="63" t="str">
        <f>IFERROR(VLOOKUP(MID(G102,J102,K102-J102),[6]skilldef!$C:$D,2,FALSE),"-") &amp; " / " &amp; IFERROR(VLOOKUP(MID(G102,H102,I102-H102),[6]skilldef!$A:$B,2,FALSE),"-")</f>
        <v>- / -</v>
      </c>
      <c r="M102" s="63" t="str">
        <f t="shared" si="36"/>
        <v>[effect:damage_abnormal, target:unit_one, val:1, status:sleep, turn:2, rate:1, animation:sleep02]</v>
      </c>
      <c r="N102" s="48" t="str">
        <f>IFERROR(LEFT(M102,FIND("],",M102)+S105),M102)</f>
        <v>[effect:damage_abnormal, target:unit_one, val:1, status:sleep, turn:2, rate:1, animation:sleep02]</v>
      </c>
      <c r="O102" s="63">
        <f t="shared" si="37"/>
        <v>9</v>
      </c>
      <c r="P102" s="63">
        <f t="shared" si="38"/>
        <v>24</v>
      </c>
      <c r="Q102" s="63">
        <f t="shared" si="39"/>
        <v>33</v>
      </c>
      <c r="R102" s="63">
        <f t="shared" si="40"/>
        <v>41</v>
      </c>
      <c r="S102" s="63" t="str">
        <f>IFERROR(VLOOKUP(MID(N102,Q102,R102-Q102),[6]skilldef!$C:$D,2,FALSE),"-") &amp; " / " &amp; IFERROR(VLOOKUP(MID(N102,O102,P102-O102),[6]skilldef!$A:$B,2,FALSE),"-")</f>
        <v>味方単体に / -</v>
      </c>
      <c r="T102" s="48" t="str">
        <f t="shared" si="41"/>
        <v>none</v>
      </c>
      <c r="U102" s="63" t="e">
        <f t="shared" si="42"/>
        <v>#VALUE!</v>
      </c>
      <c r="V102" s="63">
        <f t="shared" si="43"/>
        <v>4</v>
      </c>
      <c r="W102" s="63" t="e">
        <f t="shared" si="44"/>
        <v>#VALUE!</v>
      </c>
      <c r="X102" s="63" t="e">
        <f t="shared" si="45"/>
        <v>#VALUE!</v>
      </c>
      <c r="Y102" s="63" t="str">
        <f>IFERROR(VLOOKUP(MID(T102,W102,X102-W102),[6]skilldef!$C:$D,2,FALSE),"-") &amp; " / " &amp; IFERROR(VLOOKUP(MID(T102,U102,V102-U102),[6]skilldef!$A:$B,2,FALSE),"-")</f>
        <v>- / -</v>
      </c>
      <c r="Z102" s="50"/>
      <c r="AA102" s="52"/>
      <c r="AB102" s="50"/>
    </row>
    <row r="103" spans="1:28" ht="40" customHeight="1" x14ac:dyDescent="0.15">
      <c r="A103" s="128">
        <v>47004294</v>
      </c>
      <c r="B103" s="133" t="s">
        <v>510</v>
      </c>
      <c r="C103" s="50">
        <v>3</v>
      </c>
      <c r="D103" s="50" t="s">
        <v>127</v>
      </c>
      <c r="E103" s="51" t="s">
        <v>431</v>
      </c>
      <c r="F103" s="51" t="s">
        <v>475</v>
      </c>
      <c r="G103" s="63" t="str">
        <f t="shared" si="31"/>
        <v>[effect:enemy_message, val1:1.2, val2:2.3]</v>
      </c>
      <c r="H103" s="63">
        <f t="shared" si="32"/>
        <v>9</v>
      </c>
      <c r="I103" s="63">
        <f t="shared" si="33"/>
        <v>22</v>
      </c>
      <c r="J103" s="63" t="e">
        <f t="shared" si="34"/>
        <v>#VALUE!</v>
      </c>
      <c r="K103" s="63">
        <f t="shared" si="35"/>
        <v>32</v>
      </c>
      <c r="L103" s="63" t="str">
        <f>IFERROR(VLOOKUP(MID(G103,J103,K103-J103),[6]skilldef!$C:$D,2,FALSE),"-") &amp; " / " &amp; IFERROR(VLOOKUP(MID(G103,H103,I103-H103),[6]skilldef!$A:$B,2,FALSE),"-")</f>
        <v>- / -</v>
      </c>
      <c r="M103" s="63" t="str">
        <f t="shared" si="36"/>
        <v>[effect:force_change_block, new_block:block_blue, target:block_heart, count:5, val:0],[effect:freq_turn, target:myself, turn:-1, val:1, animation:enemy_freq_turn]</v>
      </c>
      <c r="N103" s="48" t="str">
        <f>IFERROR(LEFT(M103,FIND("],",M103)+S106),M103)</f>
        <v>[effect:force_change_block, new_block:block_blue, target:block_heart, count:5, val:0],[effect:freq_turn, target:myself, turn:-1, val:1, animation:enemy_freq_turn]</v>
      </c>
      <c r="O103" s="63">
        <f t="shared" si="37"/>
        <v>9</v>
      </c>
      <c r="P103" s="63">
        <f t="shared" si="38"/>
        <v>27</v>
      </c>
      <c r="Q103" s="63">
        <f t="shared" si="39"/>
        <v>58</v>
      </c>
      <c r="R103" s="63">
        <f t="shared" si="40"/>
        <v>49</v>
      </c>
      <c r="S103" s="63" t="str">
        <f>IFERROR(VLOOKUP(MID(N103,Q103,R103-Q103),[6]skilldef!$C:$D,2,FALSE),"-") &amp; " / " &amp; IFERROR(VLOOKUP(MID(N103,O103,P103-O103),[6]skilldef!$A:$B,2,FALSE),"-")</f>
        <v>- / -</v>
      </c>
      <c r="T103" s="48" t="str">
        <f t="shared" si="41"/>
        <v>[effect:freq_turn, target:myself, turn:-1, val:1, animation:enemy_freq_turn]</v>
      </c>
      <c r="U103" s="63">
        <f t="shared" si="42"/>
        <v>9</v>
      </c>
      <c r="V103" s="63">
        <f t="shared" si="43"/>
        <v>18</v>
      </c>
      <c r="W103" s="63">
        <f t="shared" si="44"/>
        <v>27</v>
      </c>
      <c r="X103" s="63">
        <f t="shared" si="45"/>
        <v>33</v>
      </c>
      <c r="Y103" s="63" t="str">
        <f>IFERROR(VLOOKUP(MID(T103,W103,X103-W103),[6]skilldef!$C:$D,2,FALSE),"-") &amp; " / " &amp; IFERROR(VLOOKUP(MID(T103,U103,V103-U103),[6]skilldef!$A:$B,2,FALSE),"-")</f>
        <v>自分自身に / 攻撃頻度がUP</v>
      </c>
      <c r="Z103" s="50"/>
      <c r="AA103" s="52"/>
      <c r="AB103" s="50"/>
    </row>
    <row r="104" spans="1:28" ht="40" customHeight="1" x14ac:dyDescent="0.15">
      <c r="A104" s="128">
        <v>47004301</v>
      </c>
      <c r="B104" s="132" t="s">
        <v>511</v>
      </c>
      <c r="C104" s="111">
        <v>3</v>
      </c>
      <c r="D104" s="111" t="s">
        <v>127</v>
      </c>
      <c r="E104" s="112" t="s">
        <v>311</v>
      </c>
      <c r="F104" s="112" t="s">
        <v>347</v>
      </c>
      <c r="G104" s="63" t="str">
        <f t="shared" si="31"/>
        <v>[effect:enemy_message, val1:1.2, val2:2.0]</v>
      </c>
      <c r="H104" s="63">
        <f t="shared" si="32"/>
        <v>9</v>
      </c>
      <c r="I104" s="63">
        <f t="shared" si="33"/>
        <v>22</v>
      </c>
      <c r="J104" s="63" t="e">
        <f t="shared" si="34"/>
        <v>#VALUE!</v>
      </c>
      <c r="K104" s="63">
        <f t="shared" si="35"/>
        <v>32</v>
      </c>
      <c r="L104" s="63" t="str">
        <f>IFERROR(VLOOKUP(MID(G104,J104,K104-J104),[6]skilldef!$C:$D,2,FALSE),"-") &amp; " / " &amp; IFERROR(VLOOKUP(MID(G104,H104,I104-H104),[6]skilldef!$A:$B,2,FALSE),"-")</f>
        <v>- / -</v>
      </c>
      <c r="M104" s="63" t="str">
        <f t="shared" si="36"/>
        <v>[effect:ability_lock, target:unit_all, turn:1],[effect:sleep, target:unit_all, turn:1, rate:1],[effect:fix_speed, target:myself, turn:1]</v>
      </c>
      <c r="N104" s="48" t="str">
        <f>IFERROR(LEFT(M104,FIND("],",M104)+S118),M104)</f>
        <v>[effect:ability_lock, target:unit_all, turn:1],[effect:sleep, target:unit_all, turn:1, rate:1],[effect:fix_speed, target:myself, turn:1]</v>
      </c>
      <c r="O104" s="63">
        <f t="shared" si="37"/>
        <v>9</v>
      </c>
      <c r="P104" s="63">
        <f t="shared" si="38"/>
        <v>21</v>
      </c>
      <c r="Q104" s="63">
        <f t="shared" si="39"/>
        <v>30</v>
      </c>
      <c r="R104" s="63">
        <f t="shared" si="40"/>
        <v>38</v>
      </c>
      <c r="S104" s="63" t="str">
        <f>IFERROR(VLOOKUP(MID(N104,Q104,R104-Q104),[6]skilldef!$C:$D,2,FALSE),"-") &amp; " / " &amp; IFERROR(VLOOKUP(MID(N104,O104,P104-O104),[6]skilldef!$A:$B,2,FALSE),"-")</f>
        <v>味方全体に / -</v>
      </c>
      <c r="T104" s="48" t="str">
        <f t="shared" si="41"/>
        <v>[effect:sleep, target:unit_all, turn:1, rate:1],[effect:fix_speed, target:myself, turn:1]</v>
      </c>
      <c r="U104" s="63">
        <f t="shared" si="42"/>
        <v>9</v>
      </c>
      <c r="V104" s="63">
        <f t="shared" si="43"/>
        <v>14</v>
      </c>
      <c r="W104" s="63">
        <f t="shared" si="44"/>
        <v>23</v>
      </c>
      <c r="X104" s="63">
        <f t="shared" si="45"/>
        <v>31</v>
      </c>
      <c r="Y104" s="63" t="str">
        <f>IFERROR(VLOOKUP(MID(T104,W104,X104-W104),[6]skilldef!$C:$D,2,FALSE),"-") &amp; " / " &amp; IFERROR(VLOOKUP(MID(T104,U104,V104-U104),[6]skilldef!$A:$B,2,FALSE),"-")</f>
        <v>味方全体に / スリープ</v>
      </c>
      <c r="Z104" s="50"/>
      <c r="AA104" s="52"/>
      <c r="AB104" s="50"/>
    </row>
    <row r="105" spans="1:28" ht="40" customHeight="1" x14ac:dyDescent="0.15">
      <c r="A105" s="128">
        <v>47004302</v>
      </c>
      <c r="B105" s="132" t="s">
        <v>512</v>
      </c>
      <c r="C105" s="111">
        <v>3</v>
      </c>
      <c r="D105" s="111" t="s">
        <v>127</v>
      </c>
      <c r="E105" s="112" t="s">
        <v>300</v>
      </c>
      <c r="F105" s="112" t="s">
        <v>425</v>
      </c>
      <c r="G105" s="63" t="str">
        <f t="shared" si="31"/>
        <v>[effect:enemy_message, val1:1.2, val2:2.7]</v>
      </c>
      <c r="H105" s="63">
        <f t="shared" si="32"/>
        <v>9</v>
      </c>
      <c r="I105" s="63">
        <f t="shared" si="33"/>
        <v>22</v>
      </c>
      <c r="J105" s="63" t="e">
        <f t="shared" si="34"/>
        <v>#VALUE!</v>
      </c>
      <c r="K105" s="63">
        <f t="shared" si="35"/>
        <v>32</v>
      </c>
      <c r="L105" s="63" t="str">
        <f>IFERROR(VLOOKUP(MID(G105,J105,K105-J105),[6]skilldef!$C:$D,2,FALSE),"-") &amp; " / " &amp; IFERROR(VLOOKUP(MID(G105,H105,I105-H105),[6]skilldef!$A:$B,2,FALSE),"-")</f>
        <v>- / -</v>
      </c>
      <c r="M105" s="63" t="str">
        <f t="shared" si="36"/>
        <v>[effect:suicide, target:myself, val:1, dead_type:escape]</v>
      </c>
      <c r="N105" s="48" t="str">
        <f>IFERROR(LEFT(M105,FIND("],",M105)+#REF!),M105)</f>
        <v>[effect:suicide, target:myself, val:1, dead_type:escape]</v>
      </c>
      <c r="O105" s="63">
        <f t="shared" si="37"/>
        <v>9</v>
      </c>
      <c r="P105" s="63">
        <f t="shared" si="38"/>
        <v>16</v>
      </c>
      <c r="Q105" s="63">
        <f t="shared" si="39"/>
        <v>25</v>
      </c>
      <c r="R105" s="63">
        <f t="shared" si="40"/>
        <v>31</v>
      </c>
      <c r="S105" s="63" t="str">
        <f>IFERROR(VLOOKUP(MID(N105,Q105,R105-Q105),[6]skilldef!$C:$D,2,FALSE),"-") &amp; " / " &amp; IFERROR(VLOOKUP(MID(N105,O105,P105-O105),[6]skilldef!$A:$B,2,FALSE),"-")</f>
        <v>自分自身に / -</v>
      </c>
      <c r="T105" s="48" t="str">
        <f t="shared" si="41"/>
        <v>none</v>
      </c>
      <c r="U105" s="63" t="e">
        <f t="shared" si="42"/>
        <v>#VALUE!</v>
      </c>
      <c r="V105" s="63">
        <f t="shared" si="43"/>
        <v>4</v>
      </c>
      <c r="W105" s="63" t="e">
        <f t="shared" si="44"/>
        <v>#VALUE!</v>
      </c>
      <c r="X105" s="63" t="e">
        <f t="shared" si="45"/>
        <v>#VALUE!</v>
      </c>
      <c r="Y105" s="63" t="str">
        <f>IFERROR(VLOOKUP(MID(T105,W105,X105-W105),[6]skilldef!$C:$D,2,FALSE),"-") &amp; " / " &amp; IFERROR(VLOOKUP(MID(T105,U105,V105-U105),[6]skilldef!$A:$B,2,FALSE),"-")</f>
        <v>- / -</v>
      </c>
      <c r="Z105" s="50"/>
      <c r="AA105" s="52"/>
      <c r="AB105" s="50"/>
    </row>
    <row r="106" spans="1:28" ht="40" customHeight="1" x14ac:dyDescent="0.15">
      <c r="A106" s="128">
        <v>47004311</v>
      </c>
      <c r="B106" s="132" t="s">
        <v>511</v>
      </c>
      <c r="C106" s="111">
        <v>3</v>
      </c>
      <c r="D106" s="111" t="s">
        <v>127</v>
      </c>
      <c r="E106" s="112" t="s">
        <v>313</v>
      </c>
      <c r="F106" s="112" t="s">
        <v>315</v>
      </c>
      <c r="G106" s="63" t="str">
        <f t="shared" si="31"/>
        <v>[effect:enemy_message, val1:1.2, val2:2.0]</v>
      </c>
      <c r="H106" s="63">
        <f t="shared" si="32"/>
        <v>9</v>
      </c>
      <c r="I106" s="63">
        <f t="shared" si="33"/>
        <v>22</v>
      </c>
      <c r="J106" s="63" t="e">
        <f t="shared" si="34"/>
        <v>#VALUE!</v>
      </c>
      <c r="K106" s="63">
        <f t="shared" si="35"/>
        <v>32</v>
      </c>
      <c r="L106" s="63" t="str">
        <f>IFERROR(VLOOKUP(MID(G106,J106,K106-J106),[6]skilldef!$C:$D,2,FALSE),"-") &amp; " / " &amp; IFERROR(VLOOKUP(MID(G106,H106,I106-H106),[6]skilldef!$A:$B,2,FALSE),"-")</f>
        <v>- / -</v>
      </c>
      <c r="M106" s="63" t="str">
        <f t="shared" si="36"/>
        <v>[effect:ability_lock, target:unit_all, turn:1],[effect:sleep, target:unit_all, turn:1, rate:1],[effect:fix_speed, target:myself, turn:1]</v>
      </c>
      <c r="N106" s="48" t="str">
        <f>IFERROR(LEFT(M106,FIND("],",M106)+#REF!),M106)</f>
        <v>[effect:ability_lock, target:unit_all, turn:1],[effect:sleep, target:unit_all, turn:1, rate:1],[effect:fix_speed, target:myself, turn:1]</v>
      </c>
      <c r="O106" s="63">
        <f t="shared" si="37"/>
        <v>9</v>
      </c>
      <c r="P106" s="63">
        <f t="shared" si="38"/>
        <v>21</v>
      </c>
      <c r="Q106" s="63">
        <f t="shared" si="39"/>
        <v>30</v>
      </c>
      <c r="R106" s="63">
        <f t="shared" si="40"/>
        <v>38</v>
      </c>
      <c r="S106" s="63" t="str">
        <f>IFERROR(VLOOKUP(MID(N106,Q106,R106-Q106),[6]skilldef!$C:$D,2,FALSE),"-") &amp; " / " &amp; IFERROR(VLOOKUP(MID(N106,O106,P106-O106),[6]skilldef!$A:$B,2,FALSE),"-")</f>
        <v>味方全体に / -</v>
      </c>
      <c r="T106" s="48" t="str">
        <f t="shared" si="41"/>
        <v>[effect:sleep, target:unit_all, turn:1, rate:1],[effect:fix_speed, target:myself, turn:1]</v>
      </c>
      <c r="U106" s="63">
        <f t="shared" si="42"/>
        <v>9</v>
      </c>
      <c r="V106" s="63">
        <f t="shared" si="43"/>
        <v>14</v>
      </c>
      <c r="W106" s="63">
        <f t="shared" si="44"/>
        <v>23</v>
      </c>
      <c r="X106" s="63">
        <f t="shared" si="45"/>
        <v>31</v>
      </c>
      <c r="Y106" s="63" t="str">
        <f>IFERROR(VLOOKUP(MID(T106,W106,X106-W106),[6]skilldef!$C:$D,2,FALSE),"-") &amp; " / " &amp; IFERROR(VLOOKUP(MID(T106,U106,V106-U106),[6]skilldef!$A:$B,2,FALSE),"-")</f>
        <v>味方全体に / スリープ</v>
      </c>
      <c r="Z106" s="50"/>
      <c r="AA106" s="52"/>
      <c r="AB106" s="50"/>
    </row>
    <row r="107" spans="1:28" ht="40" customHeight="1" x14ac:dyDescent="0.15">
      <c r="A107" s="128">
        <v>47004312</v>
      </c>
      <c r="B107" s="132" t="s">
        <v>513</v>
      </c>
      <c r="C107" s="111">
        <v>3</v>
      </c>
      <c r="D107" s="111" t="s">
        <v>127</v>
      </c>
      <c r="E107" s="112" t="s">
        <v>301</v>
      </c>
      <c r="F107" s="112" t="s">
        <v>477</v>
      </c>
      <c r="G107" s="63" t="str">
        <f t="shared" si="31"/>
        <v>[effect:enemy_message, val1:2.4, val2:3.4]</v>
      </c>
      <c r="H107" s="63">
        <f t="shared" si="32"/>
        <v>9</v>
      </c>
      <c r="I107" s="63">
        <f t="shared" si="33"/>
        <v>22</v>
      </c>
      <c r="J107" s="63" t="e">
        <f t="shared" si="34"/>
        <v>#VALUE!</v>
      </c>
      <c r="K107" s="63">
        <f t="shared" si="35"/>
        <v>32</v>
      </c>
      <c r="L107" s="63" t="str">
        <f>IFERROR(VLOOKUP(MID(G107,J107,K107-J107),[6]skilldef!$C:$D,2,FALSE),"-") &amp; " / " &amp; IFERROR(VLOOKUP(MID(G107,H107,I107-H107),[6]skilldef!$A:$B,2,FALSE),"-")</f>
        <v>- / -</v>
      </c>
      <c r="M107" s="63" t="str">
        <f t="shared" si="36"/>
        <v>[effect:change_panel_ratio, turn:-1, block_type:yellow, val:0.02, animation:block_incidence04],[effect:suicide, target:myself, val:1, dead_type:escape]</v>
      </c>
      <c r="N107" s="48" t="str">
        <f>IFERROR(LEFT(M107,FIND("],",M107)+#REF!),M107)</f>
        <v>[effect:change_panel_ratio, turn:-1, block_type:yellow, val:0.02, animation:block_incidence04],[effect:suicide, target:myself, val:1, dead_type:escape]</v>
      </c>
      <c r="O107" s="63">
        <f t="shared" si="37"/>
        <v>9</v>
      </c>
      <c r="P107" s="63">
        <f t="shared" si="38"/>
        <v>27</v>
      </c>
      <c r="Q107" s="63">
        <f t="shared" si="39"/>
        <v>120</v>
      </c>
      <c r="R107" s="63">
        <f t="shared" si="40"/>
        <v>36</v>
      </c>
      <c r="S107" s="63" t="str">
        <f>IFERROR(VLOOKUP(MID(N107,Q107,R107-Q107),[6]skilldef!$C:$D,2,FALSE),"-") &amp; " / " &amp; IFERROR(VLOOKUP(MID(N107,O107,P107-O107),[6]skilldef!$A:$B,2,FALSE),"-")</f>
        <v>- / -</v>
      </c>
      <c r="T107" s="48" t="str">
        <f t="shared" si="41"/>
        <v>[effect:suicide, target:myself, val:1, dead_type:escape]</v>
      </c>
      <c r="U107" s="63">
        <f t="shared" si="42"/>
        <v>9</v>
      </c>
      <c r="V107" s="63">
        <f t="shared" si="43"/>
        <v>16</v>
      </c>
      <c r="W107" s="63">
        <f t="shared" si="44"/>
        <v>25</v>
      </c>
      <c r="X107" s="63">
        <f t="shared" si="45"/>
        <v>31</v>
      </c>
      <c r="Y107" s="63" t="str">
        <f>IFERROR(VLOOKUP(MID(T107,W107,X107-W107),[6]skilldef!$C:$D,2,FALSE),"-") &amp; " / " &amp; IFERROR(VLOOKUP(MID(T107,U107,V107-U107),[6]skilldef!$A:$B,2,FALSE),"-")</f>
        <v>自分自身に / -</v>
      </c>
      <c r="Z107" s="50"/>
      <c r="AA107" s="52"/>
      <c r="AB107" s="50"/>
    </row>
    <row r="108" spans="1:28" ht="40" customHeight="1" x14ac:dyDescent="0.15">
      <c r="A108" s="128">
        <v>47004313</v>
      </c>
      <c r="B108" s="132" t="s">
        <v>514</v>
      </c>
      <c r="C108" s="111">
        <v>3</v>
      </c>
      <c r="D108" s="111" t="s">
        <v>127</v>
      </c>
      <c r="E108" s="116" t="s">
        <v>274</v>
      </c>
      <c r="F108" s="112" t="s">
        <v>460</v>
      </c>
      <c r="G108" s="63" t="str">
        <f t="shared" si="31"/>
        <v>[effect:enemy_message, val1:2.3, val2:1.8]</v>
      </c>
      <c r="H108" s="63">
        <f t="shared" si="32"/>
        <v>9</v>
      </c>
      <c r="I108" s="63">
        <f t="shared" si="33"/>
        <v>22</v>
      </c>
      <c r="J108" s="63" t="e">
        <f t="shared" si="34"/>
        <v>#VALUE!</v>
      </c>
      <c r="K108" s="63">
        <f t="shared" si="35"/>
        <v>32</v>
      </c>
      <c r="L108" s="63" t="str">
        <f>IFERROR(VLOOKUP(MID(G108,J108,K108-J108),[6]skilldef!$C:$D,2,FALSE),"-") &amp; " / " &amp; IFERROR(VLOOKUP(MID(G108,H108,I108-H108),[6]skilldef!$A:$B,2,FALSE),"-")</f>
        <v>- / -</v>
      </c>
      <c r="M108" s="63" t="str">
        <f t="shared" si="36"/>
        <v>[effect:ability_lock, target:unit_all, turn:1],[effect:sleep, target:unit_all, turn:1, rate:1],[effect:regenerate, turn:-1, target:unit_all, val:1225, type:fix, animation:heal01],[effect:fix_speed, target:myself, turn:1]</v>
      </c>
      <c r="N108" s="48" t="str">
        <f>IFERROR(LEFT(M108,FIND("],",M108)+S120),M108)</f>
        <v>[effect:ability_lock, target:unit_all, turn:1],[effect:sleep, target:unit_all, turn:1, rate:1],[effect:regenerate, turn:-1, target:unit_all, val:1225, type:fix, animation:heal01],[effect:fix_speed, target:myself, turn:1]</v>
      </c>
      <c r="O108" s="63">
        <f t="shared" si="37"/>
        <v>9</v>
      </c>
      <c r="P108" s="63">
        <f t="shared" si="38"/>
        <v>21</v>
      </c>
      <c r="Q108" s="63">
        <f t="shared" si="39"/>
        <v>30</v>
      </c>
      <c r="R108" s="63">
        <f t="shared" si="40"/>
        <v>38</v>
      </c>
      <c r="S108" s="63" t="str">
        <f>IFERROR(VLOOKUP(MID(N108,Q108,R108-Q108),[6]skilldef!$C:$D,2,FALSE),"-") &amp; " / " &amp; IFERROR(VLOOKUP(MID(N108,O108,P108-O108),[6]skilldef!$A:$B,2,FALSE),"-")</f>
        <v>味方全体に / -</v>
      </c>
      <c r="T108" s="48" t="str">
        <f t="shared" si="41"/>
        <v>[effect:sleep, target:unit_all, turn:1, rate:1],[effect:regenerate, turn:-1, target:unit_all, val:1225, type:fix, animation:heal01],[effect:fix_speed, target:myself, turn:1]</v>
      </c>
      <c r="U108" s="63">
        <f t="shared" si="42"/>
        <v>9</v>
      </c>
      <c r="V108" s="63">
        <f t="shared" si="43"/>
        <v>14</v>
      </c>
      <c r="W108" s="63">
        <f t="shared" si="44"/>
        <v>23</v>
      </c>
      <c r="X108" s="63">
        <f t="shared" si="45"/>
        <v>31</v>
      </c>
      <c r="Y108" s="63" t="str">
        <f>IFERROR(VLOOKUP(MID(T108,W108,X108-W108),[6]skilldef!$C:$D,2,FALSE),"-") &amp; " / " &amp; IFERROR(VLOOKUP(MID(T108,U108,V108-U108),[6]skilldef!$A:$B,2,FALSE),"-")</f>
        <v>味方全体に / スリープ</v>
      </c>
      <c r="Z108" s="50"/>
      <c r="AA108" s="52"/>
      <c r="AB108" s="50"/>
    </row>
    <row r="109" spans="1:28" ht="40" customHeight="1" x14ac:dyDescent="0.15">
      <c r="A109" s="128">
        <v>47004314</v>
      </c>
      <c r="B109" s="132" t="s">
        <v>515</v>
      </c>
      <c r="C109" s="111">
        <v>3</v>
      </c>
      <c r="D109" s="111" t="s">
        <v>127</v>
      </c>
      <c r="E109" s="116" t="s">
        <v>275</v>
      </c>
      <c r="F109" s="112" t="s">
        <v>462</v>
      </c>
      <c r="G109" s="63" t="str">
        <f t="shared" si="31"/>
        <v>[effect:enemy_message, val1:1.9, val2:1.8]</v>
      </c>
      <c r="H109" s="63">
        <f t="shared" si="32"/>
        <v>9</v>
      </c>
      <c r="I109" s="63">
        <f t="shared" si="33"/>
        <v>22</v>
      </c>
      <c r="J109" s="63" t="e">
        <f t="shared" si="34"/>
        <v>#VALUE!</v>
      </c>
      <c r="K109" s="63">
        <f t="shared" si="35"/>
        <v>32</v>
      </c>
      <c r="L109" s="63" t="str">
        <f>IFERROR(VLOOKUP(MID(G109,J109,K109-J109),[6]skilldef!$C:$D,2,FALSE),"-") &amp; " / " &amp; IFERROR(VLOOKUP(MID(G109,H109,I109-H109),[6]skilldef!$A:$B,2,FALSE),"-")</f>
        <v>- / -</v>
      </c>
      <c r="M109" s="63" t="str">
        <f t="shared" si="36"/>
        <v>[effect:ability_lock, target:unit_all, turn:1],[effect:sleep, target:unit_all, turn:1, rate:1],[effect:regenerate, turn:-1, target:unit_all, val:1225, type:fix, animation:heal01],[effect:fix_speed, target:myself, turn:1]</v>
      </c>
      <c r="N109" s="48" t="str">
        <f>IFERROR(LEFT(M109,FIND("],",M109)+S121),M109)</f>
        <v>[effect:ability_lock, target:unit_all, turn:1],[effect:sleep, target:unit_all, turn:1, rate:1],[effect:regenerate, turn:-1, target:unit_all, val:1225, type:fix, animation:heal01],[effect:fix_speed, target:myself, turn:1]</v>
      </c>
      <c r="O109" s="63">
        <f t="shared" si="37"/>
        <v>9</v>
      </c>
      <c r="P109" s="63">
        <f t="shared" si="38"/>
        <v>21</v>
      </c>
      <c r="Q109" s="63">
        <f t="shared" si="39"/>
        <v>30</v>
      </c>
      <c r="R109" s="63">
        <f t="shared" si="40"/>
        <v>38</v>
      </c>
      <c r="S109" s="63" t="str">
        <f>IFERROR(VLOOKUP(MID(N109,Q109,R109-Q109),[6]skilldef!$C:$D,2,FALSE),"-") &amp; " / " &amp; IFERROR(VLOOKUP(MID(N109,O109,P109-O109),[6]skilldef!$A:$B,2,FALSE),"-")</f>
        <v>味方全体に / -</v>
      </c>
      <c r="T109" s="48" t="str">
        <f t="shared" si="41"/>
        <v>[effect:sleep, target:unit_all, turn:1, rate:1],[effect:regenerate, turn:-1, target:unit_all, val:1225, type:fix, animation:heal01],[effect:fix_speed, target:myself, turn:1]</v>
      </c>
      <c r="U109" s="63">
        <f t="shared" si="42"/>
        <v>9</v>
      </c>
      <c r="V109" s="63">
        <f t="shared" si="43"/>
        <v>14</v>
      </c>
      <c r="W109" s="63">
        <f t="shared" si="44"/>
        <v>23</v>
      </c>
      <c r="X109" s="63">
        <f t="shared" si="45"/>
        <v>31</v>
      </c>
      <c r="Y109" s="63" t="str">
        <f>IFERROR(VLOOKUP(MID(T109,W109,X109-W109),[6]skilldef!$C:$D,2,FALSE),"-") &amp; " / " &amp; IFERROR(VLOOKUP(MID(T109,U109,V109-U109),[6]skilldef!$A:$B,2,FALSE),"-")</f>
        <v>味方全体に / スリープ</v>
      </c>
      <c r="Z109" s="50"/>
      <c r="AA109" s="52"/>
      <c r="AB109" s="50"/>
    </row>
    <row r="110" spans="1:28" ht="40" customHeight="1" x14ac:dyDescent="0.15">
      <c r="A110" s="128">
        <v>47004315</v>
      </c>
      <c r="B110" s="132" t="s">
        <v>514</v>
      </c>
      <c r="C110" s="111">
        <v>3</v>
      </c>
      <c r="D110" s="111" t="s">
        <v>127</v>
      </c>
      <c r="E110" s="116" t="s">
        <v>276</v>
      </c>
      <c r="F110" s="112" t="s">
        <v>458</v>
      </c>
      <c r="G110" s="63" t="str">
        <f t="shared" si="31"/>
        <v>[effect:enemy_message, val1:2.3, val2:1.8]</v>
      </c>
      <c r="H110" s="63">
        <f t="shared" si="32"/>
        <v>9</v>
      </c>
      <c r="I110" s="63">
        <f t="shared" si="33"/>
        <v>22</v>
      </c>
      <c r="J110" s="63" t="e">
        <f t="shared" si="34"/>
        <v>#VALUE!</v>
      </c>
      <c r="K110" s="63">
        <f t="shared" si="35"/>
        <v>32</v>
      </c>
      <c r="L110" s="63" t="str">
        <f>IFERROR(VLOOKUP(MID(G110,J110,K110-J110),[6]skilldef!$C:$D,2,FALSE),"-") &amp; " / " &amp; IFERROR(VLOOKUP(MID(G110,H110,I110-H110),[6]skilldef!$A:$B,2,FALSE),"-")</f>
        <v>- / -</v>
      </c>
      <c r="M110" s="63" t="str">
        <f t="shared" si="36"/>
        <v>[effect:ability_lock, target:unit_all, turn:1],[effect:sleep, target:unit_all, turn:1, rate:1],[effect:regenerate, turn:-1, target:unit_all, val:1225, type:fix, animation:heal01],[effect:fix_speed, target:myself, turn:1]</v>
      </c>
      <c r="N110" s="48" t="str">
        <f>IFERROR(LEFT(M110,FIND("],",M110)+S125),M110)</f>
        <v>[effect:ability_lock, target:unit_all, turn:1],[effect:sleep, target:unit_all, turn:1, rate:1],[effect:regenerate, turn:-1, target:unit_all, val:1225, type:fix, animation:heal01],[effect:fix_speed, target:myself, turn:1]</v>
      </c>
      <c r="O110" s="63">
        <f t="shared" si="37"/>
        <v>9</v>
      </c>
      <c r="P110" s="63">
        <f t="shared" si="38"/>
        <v>21</v>
      </c>
      <c r="Q110" s="63">
        <f t="shared" si="39"/>
        <v>30</v>
      </c>
      <c r="R110" s="63">
        <f t="shared" si="40"/>
        <v>38</v>
      </c>
      <c r="S110" s="63" t="str">
        <f>IFERROR(VLOOKUP(MID(N110,Q110,R110-Q110),[6]skilldef!$C:$D,2,FALSE),"-") &amp; " / " &amp; IFERROR(VLOOKUP(MID(N110,O110,P110-O110),[6]skilldef!$A:$B,2,FALSE),"-")</f>
        <v>味方全体に / -</v>
      </c>
      <c r="T110" s="48" t="str">
        <f t="shared" si="41"/>
        <v>[effect:sleep, target:unit_all, turn:1, rate:1],[effect:regenerate, turn:-1, target:unit_all, val:1225, type:fix, animation:heal01],[effect:fix_speed, target:myself, turn:1]</v>
      </c>
      <c r="U110" s="63">
        <f t="shared" si="42"/>
        <v>9</v>
      </c>
      <c r="V110" s="63">
        <f t="shared" si="43"/>
        <v>14</v>
      </c>
      <c r="W110" s="63">
        <f t="shared" si="44"/>
        <v>23</v>
      </c>
      <c r="X110" s="63">
        <f t="shared" si="45"/>
        <v>31</v>
      </c>
      <c r="Y110" s="63" t="str">
        <f>IFERROR(VLOOKUP(MID(T110,W110,X110-W110),[6]skilldef!$C:$D,2,FALSE),"-") &amp; " / " &amp; IFERROR(VLOOKUP(MID(T110,U110,V110-U110),[6]skilldef!$A:$B,2,FALSE),"-")</f>
        <v>味方全体に / スリープ</v>
      </c>
      <c r="Z110" s="50"/>
      <c r="AA110" s="52"/>
      <c r="AB110" s="50"/>
    </row>
    <row r="111" spans="1:28" ht="40" customHeight="1" x14ac:dyDescent="0.15">
      <c r="A111" s="128">
        <v>47004316</v>
      </c>
      <c r="B111" s="132" t="s">
        <v>514</v>
      </c>
      <c r="C111" s="111">
        <v>3</v>
      </c>
      <c r="D111" s="111" t="s">
        <v>127</v>
      </c>
      <c r="E111" s="116" t="s">
        <v>277</v>
      </c>
      <c r="F111" s="112" t="s">
        <v>462</v>
      </c>
      <c r="G111" s="63" t="str">
        <f t="shared" si="31"/>
        <v>[effect:enemy_message, val1:2.3, val2:1.8]</v>
      </c>
      <c r="H111" s="63">
        <f t="shared" si="32"/>
        <v>9</v>
      </c>
      <c r="I111" s="63">
        <f t="shared" si="33"/>
        <v>22</v>
      </c>
      <c r="J111" s="63" t="e">
        <f t="shared" si="34"/>
        <v>#VALUE!</v>
      </c>
      <c r="K111" s="63">
        <f t="shared" si="35"/>
        <v>32</v>
      </c>
      <c r="L111" s="63" t="str">
        <f>IFERROR(VLOOKUP(MID(G111,J111,K111-J111),[6]skilldef!$C:$D,2,FALSE),"-") &amp; " / " &amp; IFERROR(VLOOKUP(MID(G111,H111,I111-H111),[6]skilldef!$A:$B,2,FALSE),"-")</f>
        <v>- / -</v>
      </c>
      <c r="M111" s="63" t="str">
        <f t="shared" si="36"/>
        <v>[effect:ability_lock, target:unit_all, turn:1],[effect:sleep, target:unit_all, turn:1, rate:1],[effect:regenerate, turn:-1, target:unit_all, val:1225, type:fix, animation:heal01],[effect:fix_speed, target:myself, turn:1]</v>
      </c>
      <c r="N111" s="48" t="str">
        <f>IFERROR(LEFT(M111,FIND("],",M111)+S126),M111)</f>
        <v>[effect:ability_lock, target:unit_all, turn:1],[effect:sleep, target:unit_all, turn:1, rate:1],[effect:regenerate, turn:-1, target:unit_all, val:1225, type:fix, animation:heal01],[effect:fix_speed, target:myself, turn:1]</v>
      </c>
      <c r="O111" s="63">
        <f t="shared" si="37"/>
        <v>9</v>
      </c>
      <c r="P111" s="63">
        <f t="shared" si="38"/>
        <v>21</v>
      </c>
      <c r="Q111" s="63">
        <f t="shared" si="39"/>
        <v>30</v>
      </c>
      <c r="R111" s="63">
        <f t="shared" si="40"/>
        <v>38</v>
      </c>
      <c r="S111" s="63" t="str">
        <f>IFERROR(VLOOKUP(MID(N111,Q111,R111-Q111),[6]skilldef!$C:$D,2,FALSE),"-") &amp; " / " &amp; IFERROR(VLOOKUP(MID(N111,O111,P111-O111),[6]skilldef!$A:$B,2,FALSE),"-")</f>
        <v>味方全体に / -</v>
      </c>
      <c r="T111" s="48" t="str">
        <f t="shared" si="41"/>
        <v>[effect:sleep, target:unit_all, turn:1, rate:1],[effect:regenerate, turn:-1, target:unit_all, val:1225, type:fix, animation:heal01],[effect:fix_speed, target:myself, turn:1]</v>
      </c>
      <c r="U111" s="63">
        <f t="shared" si="42"/>
        <v>9</v>
      </c>
      <c r="V111" s="63">
        <f t="shared" si="43"/>
        <v>14</v>
      </c>
      <c r="W111" s="63">
        <f t="shared" si="44"/>
        <v>23</v>
      </c>
      <c r="X111" s="63">
        <f t="shared" si="45"/>
        <v>31</v>
      </c>
      <c r="Y111" s="63" t="str">
        <f>IFERROR(VLOOKUP(MID(T111,W111,X111-W111),[6]skilldef!$C:$D,2,FALSE),"-") &amp; " / " &amp; IFERROR(VLOOKUP(MID(T111,U111,V111-U111),[6]skilldef!$A:$B,2,FALSE),"-")</f>
        <v>味方全体に / スリープ</v>
      </c>
      <c r="Z111" s="50"/>
      <c r="AA111" s="52"/>
      <c r="AB111" s="50"/>
    </row>
    <row r="112" spans="1:28" ht="40" customHeight="1" x14ac:dyDescent="0.15">
      <c r="A112" s="128">
        <v>47004317</v>
      </c>
      <c r="B112" s="132" t="s">
        <v>516</v>
      </c>
      <c r="C112" s="111">
        <v>3</v>
      </c>
      <c r="D112" s="111" t="s">
        <v>127</v>
      </c>
      <c r="E112" s="129" t="s">
        <v>387</v>
      </c>
      <c r="F112" s="112" t="s">
        <v>462</v>
      </c>
      <c r="G112" s="63"/>
      <c r="H112" s="63"/>
      <c r="I112" s="63"/>
      <c r="J112" s="63"/>
      <c r="K112" s="63"/>
      <c r="L112" s="63"/>
      <c r="M112" s="63"/>
      <c r="N112" s="48"/>
      <c r="O112" s="63"/>
      <c r="P112" s="63"/>
      <c r="Q112" s="63"/>
      <c r="R112" s="63"/>
      <c r="S112" s="63"/>
      <c r="T112" s="48"/>
      <c r="U112" s="63"/>
      <c r="V112" s="63"/>
      <c r="W112" s="63"/>
      <c r="X112" s="63"/>
      <c r="Y112" s="63"/>
      <c r="Z112" s="50"/>
      <c r="AA112" s="52"/>
      <c r="AB112" s="50"/>
    </row>
    <row r="113" spans="1:28" ht="40" customHeight="1" x14ac:dyDescent="0.15">
      <c r="A113" s="128">
        <v>47004318</v>
      </c>
      <c r="B113" s="132" t="s">
        <v>517</v>
      </c>
      <c r="C113" s="111">
        <v>3</v>
      </c>
      <c r="D113" s="111" t="s">
        <v>127</v>
      </c>
      <c r="E113" s="129" t="s">
        <v>388</v>
      </c>
      <c r="F113" s="112" t="s">
        <v>462</v>
      </c>
      <c r="G113" s="63"/>
      <c r="H113" s="63"/>
      <c r="I113" s="63"/>
      <c r="J113" s="63"/>
      <c r="K113" s="63"/>
      <c r="L113" s="63"/>
      <c r="M113" s="63"/>
      <c r="N113" s="48"/>
      <c r="O113" s="63"/>
      <c r="P113" s="63"/>
      <c r="Q113" s="63"/>
      <c r="R113" s="63"/>
      <c r="S113" s="63"/>
      <c r="T113" s="48"/>
      <c r="U113" s="63"/>
      <c r="V113" s="63"/>
      <c r="W113" s="63"/>
      <c r="X113" s="63"/>
      <c r="Y113" s="63"/>
      <c r="Z113" s="50"/>
      <c r="AA113" s="52"/>
      <c r="AB113" s="50"/>
    </row>
    <row r="114" spans="1:28" ht="40" customHeight="1" x14ac:dyDescent="0.15">
      <c r="A114" s="128">
        <v>47004331</v>
      </c>
      <c r="B114" s="133" t="s">
        <v>518</v>
      </c>
      <c r="C114" s="50">
        <v>3</v>
      </c>
      <c r="D114" s="50" t="s">
        <v>127</v>
      </c>
      <c r="E114" s="51" t="s">
        <v>316</v>
      </c>
      <c r="F114" s="51" t="s">
        <v>479</v>
      </c>
      <c r="G114" s="63" t="str">
        <f t="shared" si="31"/>
        <v>[effect:enemy_message, val1:2.3, val2:1.2]</v>
      </c>
      <c r="H114" s="63">
        <f t="shared" si="32"/>
        <v>9</v>
      </c>
      <c r="I114" s="63">
        <f t="shared" si="33"/>
        <v>22</v>
      </c>
      <c r="J114" s="63" t="e">
        <f t="shared" si="34"/>
        <v>#VALUE!</v>
      </c>
      <c r="K114" s="63">
        <f t="shared" si="35"/>
        <v>32</v>
      </c>
      <c r="L114" s="63" t="str">
        <f>IFERROR(VLOOKUP(MID(G114,J114,K114-J114),[6]skilldef!$C:$D,2,FALSE),"-") &amp; " / " &amp; IFERROR(VLOOKUP(MID(G114,H114,I114-H114),[6]skilldef!$A:$B,2,FALSE),"-")</f>
        <v>- / -</v>
      </c>
      <c r="M114" s="63" t="str">
        <f t="shared" si="36"/>
        <v>[effect:enhance_enemy, target:enemy_all, turn:2, status:attack, val:0.5, calc:mul, animation:enemy_enhance_attack],[effect:fix_speed, target:myself, turn:2]</v>
      </c>
      <c r="N114" s="48" t="str">
        <f>IFERROR(LEFT(M114,FIND("],",M114)+#REF!),M114)</f>
        <v>[effect:enhance_enemy, target:enemy_all, turn:2, status:attack, val:0.5, calc:mul, animation:enemy_enhance_attack],[effect:fix_speed, target:myself, turn:2]</v>
      </c>
      <c r="O114" s="63">
        <f t="shared" si="37"/>
        <v>9</v>
      </c>
      <c r="P114" s="63">
        <f t="shared" si="38"/>
        <v>22</v>
      </c>
      <c r="Q114" s="63">
        <f t="shared" si="39"/>
        <v>31</v>
      </c>
      <c r="R114" s="63">
        <f t="shared" si="40"/>
        <v>40</v>
      </c>
      <c r="S114" s="63" t="str">
        <f>IFERROR(VLOOKUP(MID(N114,Q114,R114-Q114),[6]skilldef!$C:$D,2,FALSE),"-") &amp; " / " &amp; IFERROR(VLOOKUP(MID(N114,O114,P114-O114),[6]skilldef!$A:$B,2,FALSE),"-")</f>
        <v>敵全体に / ステータス強化</v>
      </c>
      <c r="T114" s="48" t="str">
        <f t="shared" si="41"/>
        <v>[effect:fix_speed, target:myself, turn:2]</v>
      </c>
      <c r="U114" s="63">
        <f t="shared" si="42"/>
        <v>9</v>
      </c>
      <c r="V114" s="63">
        <f t="shared" si="43"/>
        <v>18</v>
      </c>
      <c r="W114" s="63">
        <f t="shared" si="44"/>
        <v>27</v>
      </c>
      <c r="X114" s="63">
        <f t="shared" si="45"/>
        <v>33</v>
      </c>
      <c r="Y114" s="63" t="str">
        <f>IFERROR(VLOOKUP(MID(T114,W114,X114-W114),[6]skilldef!$C:$D,2,FALSE),"-") &amp; " / " &amp; IFERROR(VLOOKUP(MID(T114,U114,V114-U114),[6]skilldef!$A:$B,2,FALSE),"-")</f>
        <v>自分自身に / 行動値設定</v>
      </c>
      <c r="Z114" s="50"/>
      <c r="AA114" s="52"/>
      <c r="AB114" s="50"/>
    </row>
    <row r="115" spans="1:28" ht="40" customHeight="1" x14ac:dyDescent="0.15">
      <c r="A115" s="128">
        <v>47004332</v>
      </c>
      <c r="B115" s="135" t="s">
        <v>566</v>
      </c>
      <c r="C115" s="50">
        <v>3</v>
      </c>
      <c r="D115" s="50" t="s">
        <v>127</v>
      </c>
      <c r="E115" s="51" t="s">
        <v>317</v>
      </c>
      <c r="F115" s="51" t="s">
        <v>376</v>
      </c>
      <c r="G115" s="63" t="str">
        <f t="shared" si="31"/>
        <v>[effect:enemy_message, val1:2.1, val2:3.0]</v>
      </c>
      <c r="H115" s="63">
        <f t="shared" si="32"/>
        <v>9</v>
      </c>
      <c r="I115" s="63">
        <f t="shared" si="33"/>
        <v>22</v>
      </c>
      <c r="J115" s="63" t="e">
        <f t="shared" si="34"/>
        <v>#VALUE!</v>
      </c>
      <c r="K115" s="63">
        <f t="shared" si="35"/>
        <v>32</v>
      </c>
      <c r="L115" s="63" t="str">
        <f>IFERROR(VLOOKUP(MID(G115,J115,K115-J115),[6]skilldef!$C:$D,2,FALSE),"-") &amp; " / " &amp; IFERROR(VLOOKUP(MID(G115,H115,I115-H115),[6]skilldef!$A:$B,2,FALSE),"-")</f>
        <v>- / -</v>
      </c>
      <c r="M115" s="63" t="str">
        <f t="shared" si="36"/>
        <v>[effect:force_change_block, new_block:damage, target:block_heart, count:3, val:0.02],[effect:spread, val:0.1],[effect:spread, val:0.1]</v>
      </c>
      <c r="N115" s="48" t="str">
        <f>IFERROR(LEFT(M115,FIND("],",M115)+#REF!),M115)</f>
        <v>[effect:force_change_block, new_block:damage, target:block_heart, count:3, val:0.02],[effect:spread, val:0.1],[effect:spread, val:0.1]</v>
      </c>
      <c r="O115" s="63">
        <f t="shared" si="37"/>
        <v>9</v>
      </c>
      <c r="P115" s="63">
        <f t="shared" si="38"/>
        <v>27</v>
      </c>
      <c r="Q115" s="63">
        <f t="shared" si="39"/>
        <v>54</v>
      </c>
      <c r="R115" s="63">
        <f t="shared" si="40"/>
        <v>45</v>
      </c>
      <c r="S115" s="63" t="str">
        <f>IFERROR(VLOOKUP(MID(N115,Q115,R115-Q115),[6]skilldef!$C:$D,2,FALSE),"-") &amp; " / " &amp; IFERROR(VLOOKUP(MID(N115,O115,P115-O115),[6]skilldef!$A:$B,2,FALSE),"-")</f>
        <v>- / -</v>
      </c>
      <c r="T115" s="48" t="str">
        <f t="shared" si="41"/>
        <v>[effect:spread, val:0.1],[effect:spread, val:0.1]</v>
      </c>
      <c r="U115" s="63">
        <f t="shared" si="42"/>
        <v>9</v>
      </c>
      <c r="V115" s="63">
        <f t="shared" si="43"/>
        <v>15</v>
      </c>
      <c r="W115" s="63" t="e">
        <f t="shared" si="44"/>
        <v>#VALUE!</v>
      </c>
      <c r="X115" s="63">
        <f t="shared" si="45"/>
        <v>25</v>
      </c>
      <c r="Y115" s="63" t="str">
        <f>IFERROR(VLOOKUP(MID(T115,W115,X115-W115),[6]skilldef!$C:$D,2,FALSE),"-") &amp; " / " &amp; IFERROR(VLOOKUP(MID(T115,U115,V115-U115),[6]skilldef!$A:$B,2,FALSE),"-")</f>
        <v>- / 全体攻撃</v>
      </c>
      <c r="Z115" s="50"/>
      <c r="AA115" s="52"/>
      <c r="AB115" s="50"/>
    </row>
    <row r="116" spans="1:28" ht="40" customHeight="1" x14ac:dyDescent="0.15">
      <c r="A116" s="128">
        <v>47004333</v>
      </c>
      <c r="B116" s="133" t="s">
        <v>520</v>
      </c>
      <c r="C116" s="50">
        <v>3</v>
      </c>
      <c r="D116" s="50" t="s">
        <v>127</v>
      </c>
      <c r="E116" s="51" t="s">
        <v>338</v>
      </c>
      <c r="F116" s="51" t="s">
        <v>298</v>
      </c>
      <c r="G116" s="63" t="str">
        <f t="shared" si="31"/>
        <v>[effect:enemy_message, val1:1.6, val2:2.7]</v>
      </c>
      <c r="H116" s="63">
        <f t="shared" si="32"/>
        <v>9</v>
      </c>
      <c r="I116" s="63">
        <f t="shared" si="33"/>
        <v>22</v>
      </c>
      <c r="J116" s="63" t="e">
        <f t="shared" si="34"/>
        <v>#VALUE!</v>
      </c>
      <c r="K116" s="63">
        <f t="shared" si="35"/>
        <v>32</v>
      </c>
      <c r="L116" s="63" t="str">
        <f>IFERROR(VLOOKUP(MID(G116,J116,K116-J116),[6]skilldef!$C:$D,2,FALSE),"-") &amp; " / " &amp; IFERROR(VLOOKUP(MID(G116,H116,I116-H116),[6]skilldef!$A:$B,2,FALSE),"-")</f>
        <v>- / -</v>
      </c>
      <c r="M116" s="63" t="str">
        <f t="shared" si="36"/>
        <v>[effect:force_change_block, new_block:block_red, target:block_blue, count:10, val:0],[effect:rush, count:1, val:1.0],[effect:freq_turn, target:myself, turn:-1, val:1, animation:enemy_freq_turn]</v>
      </c>
      <c r="N116" s="48" t="str">
        <f>IFERROR(LEFT(M116,FIND("],",M116)+S119),M116)</f>
        <v>[effect:force_change_block, new_block:block_red, target:block_blue, count:10, val:0],[effect:rush, count:1, val:1.0],[effect:freq_turn, target:myself, turn:-1, val:1, animation:enemy_freq_turn]</v>
      </c>
      <c r="O116" s="63">
        <f t="shared" si="37"/>
        <v>9</v>
      </c>
      <c r="P116" s="63">
        <f t="shared" si="38"/>
        <v>27</v>
      </c>
      <c r="Q116" s="63">
        <f t="shared" si="39"/>
        <v>57</v>
      </c>
      <c r="R116" s="63">
        <f t="shared" si="40"/>
        <v>48</v>
      </c>
      <c r="S116" s="63" t="str">
        <f>IFERROR(VLOOKUP(MID(N116,Q116,R116-Q116),[6]skilldef!$C:$D,2,FALSE),"-") &amp; " / " &amp; IFERROR(VLOOKUP(MID(N116,O116,P116-O116),[6]skilldef!$A:$B,2,FALSE),"-")</f>
        <v>- / -</v>
      </c>
      <c r="T116" s="48" t="str">
        <f t="shared" si="41"/>
        <v>[effect:rush, count:1, val:1.0],[effect:freq_turn, target:myself, turn:-1, val:1, animation:enemy_freq_turn]</v>
      </c>
      <c r="U116" s="63">
        <f t="shared" si="42"/>
        <v>9</v>
      </c>
      <c r="V116" s="63">
        <f t="shared" si="43"/>
        <v>13</v>
      </c>
      <c r="W116" s="63">
        <f t="shared" si="44"/>
        <v>59</v>
      </c>
      <c r="X116" s="63">
        <f t="shared" si="45"/>
        <v>22</v>
      </c>
      <c r="Y116" s="63" t="str">
        <f>IFERROR(VLOOKUP(MID(T116,W116,X116-W116),[6]skilldef!$C:$D,2,FALSE),"-") &amp; " / " &amp; IFERROR(VLOOKUP(MID(T116,U116,V116-U116),[6]skilldef!$A:$B,2,FALSE),"-")</f>
        <v>- / 連続攻撃</v>
      </c>
      <c r="Z116" s="50"/>
      <c r="AA116" s="52"/>
      <c r="AB116" s="50"/>
    </row>
    <row r="117" spans="1:28" ht="40" customHeight="1" x14ac:dyDescent="0.15">
      <c r="A117" s="128">
        <v>47004334</v>
      </c>
      <c r="B117" s="133" t="s">
        <v>521</v>
      </c>
      <c r="C117" s="50">
        <v>3</v>
      </c>
      <c r="D117" s="50" t="s">
        <v>127</v>
      </c>
      <c r="E117" s="51" t="s">
        <v>318</v>
      </c>
      <c r="F117" s="51" t="s">
        <v>257</v>
      </c>
      <c r="G117" s="63" t="str">
        <f t="shared" si="31"/>
        <v>[effect:enemy_message, val1:1.2, val2:1.2]</v>
      </c>
      <c r="H117" s="63">
        <f t="shared" si="32"/>
        <v>9</v>
      </c>
      <c r="I117" s="63">
        <f t="shared" si="33"/>
        <v>22</v>
      </c>
      <c r="J117" s="63" t="e">
        <f t="shared" si="34"/>
        <v>#VALUE!</v>
      </c>
      <c r="K117" s="63">
        <f t="shared" si="35"/>
        <v>32</v>
      </c>
      <c r="L117" s="63" t="str">
        <f>IFERROR(VLOOKUP(MID(G117,J117,K117-J117),[6]skilldef!$C:$D,2,FALSE),"-") &amp; " / " &amp; IFERROR(VLOOKUP(MID(G117,H117,I117-H117),[6]skilldef!$A:$B,2,FALSE),"-")</f>
        <v>- / -</v>
      </c>
      <c r="M117" s="63" t="str">
        <f t="shared" si="36"/>
        <v>[effect:spread, val:0.25]</v>
      </c>
      <c r="N117" s="48" t="str">
        <f>IFERROR(LEFT(M117,FIND("],",M117)+S120),M117)</f>
        <v>[effect:spread, val:0.25]</v>
      </c>
      <c r="O117" s="63">
        <f t="shared" si="37"/>
        <v>9</v>
      </c>
      <c r="P117" s="63">
        <f t="shared" si="38"/>
        <v>15</v>
      </c>
      <c r="Q117" s="63" t="e">
        <f t="shared" si="39"/>
        <v>#VALUE!</v>
      </c>
      <c r="R117" s="63" t="e">
        <f t="shared" si="40"/>
        <v>#VALUE!</v>
      </c>
      <c r="S117" s="63" t="str">
        <f>IFERROR(VLOOKUP(MID(N117,Q117,R117-Q117),[6]skilldef!$C:$D,2,FALSE),"-") &amp; " / " &amp; IFERROR(VLOOKUP(MID(N117,O117,P117-O117),[6]skilldef!$A:$B,2,FALSE),"-")</f>
        <v>- / 全体攻撃</v>
      </c>
      <c r="T117" s="48" t="str">
        <f t="shared" si="41"/>
        <v>none</v>
      </c>
      <c r="U117" s="63" t="e">
        <f t="shared" si="42"/>
        <v>#VALUE!</v>
      </c>
      <c r="V117" s="63">
        <f t="shared" si="43"/>
        <v>4</v>
      </c>
      <c r="W117" s="63" t="e">
        <f t="shared" si="44"/>
        <v>#VALUE!</v>
      </c>
      <c r="X117" s="63" t="e">
        <f t="shared" si="45"/>
        <v>#VALUE!</v>
      </c>
      <c r="Y117" s="63" t="str">
        <f>IFERROR(VLOOKUP(MID(T117,W117,X117-W117),[6]skilldef!$C:$D,2,FALSE),"-") &amp; " / " &amp; IFERROR(VLOOKUP(MID(T117,U117,V117-U117),[6]skilldef!$A:$B,2,FALSE),"-")</f>
        <v>- / -</v>
      </c>
      <c r="Z117" s="50"/>
      <c r="AA117" s="52"/>
      <c r="AB117" s="50"/>
    </row>
    <row r="118" spans="1:28" ht="40" customHeight="1" x14ac:dyDescent="0.15">
      <c r="A118" s="128">
        <v>47004335</v>
      </c>
      <c r="B118" s="135" t="s">
        <v>567</v>
      </c>
      <c r="C118" s="50">
        <v>3</v>
      </c>
      <c r="D118" s="50" t="s">
        <v>339</v>
      </c>
      <c r="E118" s="51" t="s">
        <v>343</v>
      </c>
      <c r="F118" s="51" t="s">
        <v>293</v>
      </c>
      <c r="G118" s="63" t="str">
        <f t="shared" si="31"/>
        <v>[effect:enemy_message, val1:1.8, val2:1.3]</v>
      </c>
      <c r="H118" s="63">
        <f t="shared" si="32"/>
        <v>9</v>
      </c>
      <c r="I118" s="63">
        <f t="shared" si="33"/>
        <v>22</v>
      </c>
      <c r="J118" s="63" t="e">
        <f t="shared" si="34"/>
        <v>#VALUE!</v>
      </c>
      <c r="K118" s="63">
        <f t="shared" si="35"/>
        <v>32</v>
      </c>
      <c r="L118" s="63" t="str">
        <f>IFERROR(VLOOKUP(MID(G118,J118,K118-J118),[6]skilldef!$C:$D,2,FALSE),"-") &amp; " / " &amp; IFERROR(VLOOKUP(MID(G118,H118,I118-H118),[6]skilldef!$A:$B,2,FALSE),"-")</f>
        <v>- / -</v>
      </c>
      <c r="M118" s="63" t="str">
        <f t="shared" si="36"/>
        <v>[effect:break_attack_fix, target:unit_one, val:600, lowest_val:2400, count:-1, color:red, block_color:block_heart, block01:block_heart]</v>
      </c>
      <c r="N118" s="48" t="str">
        <f>IFERROR(LEFT(M118,FIND("],",M118)+S121),M118)</f>
        <v>[effect:break_attack_fix, target:unit_one, val:600, lowest_val:2400, count:-1, color:red, block_color:block_heart, block01:block_heart]</v>
      </c>
      <c r="O118" s="63">
        <f t="shared" si="37"/>
        <v>9</v>
      </c>
      <c r="P118" s="63">
        <f t="shared" si="38"/>
        <v>25</v>
      </c>
      <c r="Q118" s="63">
        <f t="shared" si="39"/>
        <v>34</v>
      </c>
      <c r="R118" s="63">
        <f t="shared" si="40"/>
        <v>42</v>
      </c>
      <c r="S118" s="63" t="str">
        <f>IFERROR(VLOOKUP(MID(N118,Q118,R118-Q118),[6]skilldef!$C:$D,2,FALSE),"-") &amp; " / " &amp; IFERROR(VLOOKUP(MID(N118,O118,P118-O118),[6]skilldef!$A:$B,2,FALSE),"-")</f>
        <v>味方単体に / -</v>
      </c>
      <c r="T118" s="48" t="str">
        <f t="shared" si="41"/>
        <v>none</v>
      </c>
      <c r="U118" s="63" t="e">
        <f t="shared" si="42"/>
        <v>#VALUE!</v>
      </c>
      <c r="V118" s="63">
        <f t="shared" si="43"/>
        <v>4</v>
      </c>
      <c r="W118" s="63" t="e">
        <f t="shared" si="44"/>
        <v>#VALUE!</v>
      </c>
      <c r="X118" s="63" t="e">
        <f t="shared" si="45"/>
        <v>#VALUE!</v>
      </c>
      <c r="Y118" s="63" t="str">
        <f>IFERROR(VLOOKUP(MID(T118,W118,X118-W118),[6]skilldef!$C:$D,2,FALSE),"-") &amp; " / " &amp; IFERROR(VLOOKUP(MID(T118,U118,V118-U118),[6]skilldef!$A:$B,2,FALSE),"-")</f>
        <v>- / -</v>
      </c>
      <c r="Z118" s="50"/>
      <c r="AA118" s="52"/>
      <c r="AB118" s="50"/>
    </row>
    <row r="119" spans="1:28" ht="40" customHeight="1" x14ac:dyDescent="0.15">
      <c r="A119" s="128">
        <v>47004336</v>
      </c>
      <c r="B119" s="133" t="s">
        <v>523</v>
      </c>
      <c r="C119" s="50">
        <v>3</v>
      </c>
      <c r="D119" s="50" t="s">
        <v>127</v>
      </c>
      <c r="E119" s="116" t="s">
        <v>278</v>
      </c>
      <c r="F119" s="51" t="s">
        <v>479</v>
      </c>
      <c r="G119" s="63" t="str">
        <f t="shared" si="31"/>
        <v>[effect:enemy_message, val1:2.6, val2:1.2]</v>
      </c>
      <c r="H119" s="63">
        <f t="shared" si="32"/>
        <v>9</v>
      </c>
      <c r="I119" s="63">
        <f t="shared" si="33"/>
        <v>22</v>
      </c>
      <c r="J119" s="63" t="e">
        <f t="shared" si="34"/>
        <v>#VALUE!</v>
      </c>
      <c r="K119" s="63">
        <f t="shared" si="35"/>
        <v>32</v>
      </c>
      <c r="L119" s="63" t="str">
        <f>IFERROR(VLOOKUP(MID(G119,J119,K119-J119),[6]skilldef!$C:$D,2,FALSE),"-") &amp; " / " &amp; IFERROR(VLOOKUP(MID(G119,H119,I119-H119),[6]skilldef!$A:$B,2,FALSE),"-")</f>
        <v>- / -</v>
      </c>
      <c r="M119" s="63" t="str">
        <f t="shared" si="36"/>
        <v>[effect:enhance_enemy, target:enemy_all, turn:2, status:attack, val:0.5, calc:mul, animation:enemy_enhance_attack],[effect:fix_speed, target:myself, turn:2]</v>
      </c>
      <c r="N119" s="48" t="str">
        <f>IFERROR(LEFT(M119,FIND("],",M119)+S127),M119)</f>
        <v>[effect:enhance_enemy, target:enemy_all, turn:2, status:attack, val:0.5, calc:mul, animation:enemy_enhance_attack],[effect:fix_speed, target:myself, turn:2]</v>
      </c>
      <c r="O119" s="63">
        <f t="shared" si="37"/>
        <v>9</v>
      </c>
      <c r="P119" s="63">
        <f t="shared" si="38"/>
        <v>22</v>
      </c>
      <c r="Q119" s="63">
        <f t="shared" si="39"/>
        <v>31</v>
      </c>
      <c r="R119" s="63">
        <f t="shared" si="40"/>
        <v>40</v>
      </c>
      <c r="S119" s="63" t="str">
        <f>IFERROR(VLOOKUP(MID(N119,Q119,R119-Q119),[6]skilldef!$C:$D,2,FALSE),"-") &amp; " / " &amp; IFERROR(VLOOKUP(MID(N119,O119,P119-O119),[6]skilldef!$A:$B,2,FALSE),"-")</f>
        <v>敵全体に / ステータス強化</v>
      </c>
      <c r="T119" s="48" t="str">
        <f t="shared" si="41"/>
        <v>[effect:fix_speed, target:myself, turn:2]</v>
      </c>
      <c r="U119" s="63">
        <f t="shared" si="42"/>
        <v>9</v>
      </c>
      <c r="V119" s="63">
        <f t="shared" si="43"/>
        <v>18</v>
      </c>
      <c r="W119" s="63">
        <f t="shared" si="44"/>
        <v>27</v>
      </c>
      <c r="X119" s="63">
        <f t="shared" si="45"/>
        <v>33</v>
      </c>
      <c r="Y119" s="63" t="str">
        <f>IFERROR(VLOOKUP(MID(T119,W119,X119-W119),[6]skilldef!$C:$D,2,FALSE),"-") &amp; " / " &amp; IFERROR(VLOOKUP(MID(T119,U119,V119-U119),[6]skilldef!$A:$B,2,FALSE),"-")</f>
        <v>自分自身に / 行動値設定</v>
      </c>
      <c r="Z119" s="50"/>
      <c r="AA119" s="52"/>
      <c r="AB119" s="50"/>
    </row>
    <row r="120" spans="1:28" ht="40" customHeight="1" x14ac:dyDescent="0.15">
      <c r="A120" s="128">
        <v>47004337</v>
      </c>
      <c r="B120" s="133" t="s">
        <v>524</v>
      </c>
      <c r="C120" s="50">
        <v>3</v>
      </c>
      <c r="D120" s="50" t="s">
        <v>127</v>
      </c>
      <c r="E120" s="116" t="s">
        <v>279</v>
      </c>
      <c r="F120" s="51" t="s">
        <v>479</v>
      </c>
      <c r="G120" s="63" t="str">
        <f t="shared" si="31"/>
        <v>[effect:enemy_message, val1:2.8, val2:1.2]</v>
      </c>
      <c r="H120" s="63">
        <f t="shared" si="32"/>
        <v>9</v>
      </c>
      <c r="I120" s="63">
        <f t="shared" si="33"/>
        <v>22</v>
      </c>
      <c r="J120" s="63" t="e">
        <f t="shared" si="34"/>
        <v>#VALUE!</v>
      </c>
      <c r="K120" s="63">
        <f t="shared" si="35"/>
        <v>32</v>
      </c>
      <c r="L120" s="63" t="str">
        <f>IFERROR(VLOOKUP(MID(G120,J120,K120-J120),[6]skilldef!$C:$D,2,FALSE),"-") &amp; " / " &amp; IFERROR(VLOOKUP(MID(G120,H120,I120-H120),[6]skilldef!$A:$B,2,FALSE),"-")</f>
        <v>- / -</v>
      </c>
      <c r="M120" s="63" t="str">
        <f t="shared" si="36"/>
        <v>[effect:enhance_enemy, target:enemy_all, turn:2, status:attack, val:0.5, calc:mul, animation:enemy_enhance_attack],[effect:fix_speed, target:myself, turn:2]</v>
      </c>
      <c r="N120" s="48" t="str">
        <f>IFERROR(LEFT(M120,FIND("],",M120)+#REF!),M120)</f>
        <v>[effect:enhance_enemy, target:enemy_all, turn:2, status:attack, val:0.5, calc:mul, animation:enemy_enhance_attack],[effect:fix_speed, target:myself, turn:2]</v>
      </c>
      <c r="O120" s="63">
        <f t="shared" si="37"/>
        <v>9</v>
      </c>
      <c r="P120" s="63">
        <f t="shared" si="38"/>
        <v>22</v>
      </c>
      <c r="Q120" s="63">
        <f t="shared" si="39"/>
        <v>31</v>
      </c>
      <c r="R120" s="63">
        <f t="shared" si="40"/>
        <v>40</v>
      </c>
      <c r="S120" s="63" t="str">
        <f>IFERROR(VLOOKUP(MID(N120,Q120,R120-Q120),[6]skilldef!$C:$D,2,FALSE),"-") &amp; " / " &amp; IFERROR(VLOOKUP(MID(N120,O120,P120-O120),[6]skilldef!$A:$B,2,FALSE),"-")</f>
        <v>敵全体に / ステータス強化</v>
      </c>
      <c r="T120" s="48" t="str">
        <f t="shared" si="41"/>
        <v>[effect:fix_speed, target:myself, turn:2]</v>
      </c>
      <c r="U120" s="63">
        <f t="shared" si="42"/>
        <v>9</v>
      </c>
      <c r="V120" s="63">
        <f t="shared" si="43"/>
        <v>18</v>
      </c>
      <c r="W120" s="63">
        <f t="shared" si="44"/>
        <v>27</v>
      </c>
      <c r="X120" s="63">
        <f t="shared" si="45"/>
        <v>33</v>
      </c>
      <c r="Y120" s="63" t="str">
        <f>IFERROR(VLOOKUP(MID(T120,W120,X120-W120),[6]skilldef!$C:$D,2,FALSE),"-") &amp; " / " &amp; IFERROR(VLOOKUP(MID(T120,U120,V120-U120),[6]skilldef!$A:$B,2,FALSE),"-")</f>
        <v>自分自身に / 行動値設定</v>
      </c>
      <c r="Z120" s="50"/>
      <c r="AA120" s="52"/>
      <c r="AB120" s="50"/>
    </row>
    <row r="121" spans="1:28" ht="40" customHeight="1" x14ac:dyDescent="0.15">
      <c r="A121" s="128">
        <v>47004338</v>
      </c>
      <c r="B121" s="133" t="s">
        <v>525</v>
      </c>
      <c r="C121" s="50">
        <v>3</v>
      </c>
      <c r="D121" s="50" t="s">
        <v>127</v>
      </c>
      <c r="E121" s="116" t="s">
        <v>280</v>
      </c>
      <c r="F121" s="51" t="s">
        <v>479</v>
      </c>
      <c r="G121" s="63" t="str">
        <f t="shared" si="31"/>
        <v>[effect:enemy_message, val1:1.9, val2:1.2]</v>
      </c>
      <c r="H121" s="63">
        <f t="shared" si="32"/>
        <v>9</v>
      </c>
      <c r="I121" s="63">
        <f t="shared" si="33"/>
        <v>22</v>
      </c>
      <c r="J121" s="63" t="e">
        <f t="shared" si="34"/>
        <v>#VALUE!</v>
      </c>
      <c r="K121" s="63">
        <f t="shared" si="35"/>
        <v>32</v>
      </c>
      <c r="L121" s="63" t="str">
        <f>IFERROR(VLOOKUP(MID(G121,J121,K121-J121),[6]skilldef!$C:$D,2,FALSE),"-") &amp; " / " &amp; IFERROR(VLOOKUP(MID(G121,H121,I121-H121),[6]skilldef!$A:$B,2,FALSE),"-")</f>
        <v>- / -</v>
      </c>
      <c r="M121" s="63" t="str">
        <f t="shared" si="36"/>
        <v>[effect:enhance_enemy, target:enemy_all, turn:2, status:attack, val:0.5, calc:mul, animation:enemy_enhance_attack],[effect:fix_speed, target:myself, turn:2]</v>
      </c>
      <c r="N121" s="48" t="str">
        <f>IFERROR(LEFT(M121,FIND("],",M121)+S128),M121)</f>
        <v>[effect:enhance_enemy, target:enemy_all, turn:2, status:attack, val:0.5, calc:mul, animation:enemy_enhance_attack],[effect:fix_speed, target:myself, turn:2]</v>
      </c>
      <c r="O121" s="63">
        <f t="shared" si="37"/>
        <v>9</v>
      </c>
      <c r="P121" s="63">
        <f t="shared" si="38"/>
        <v>22</v>
      </c>
      <c r="Q121" s="63">
        <f t="shared" si="39"/>
        <v>31</v>
      </c>
      <c r="R121" s="63">
        <f t="shared" si="40"/>
        <v>40</v>
      </c>
      <c r="S121" s="63" t="str">
        <f>IFERROR(VLOOKUP(MID(N121,Q121,R121-Q121),[6]skilldef!$C:$D,2,FALSE),"-") &amp; " / " &amp; IFERROR(VLOOKUP(MID(N121,O121,P121-O121),[6]skilldef!$A:$B,2,FALSE),"-")</f>
        <v>敵全体に / ステータス強化</v>
      </c>
      <c r="T121" s="48" t="str">
        <f t="shared" si="41"/>
        <v>[effect:fix_speed, target:myself, turn:2]</v>
      </c>
      <c r="U121" s="63">
        <f t="shared" si="42"/>
        <v>9</v>
      </c>
      <c r="V121" s="63">
        <f t="shared" si="43"/>
        <v>18</v>
      </c>
      <c r="W121" s="63">
        <f t="shared" si="44"/>
        <v>27</v>
      </c>
      <c r="X121" s="63">
        <f t="shared" si="45"/>
        <v>33</v>
      </c>
      <c r="Y121" s="63" t="str">
        <f>IFERROR(VLOOKUP(MID(T121,W121,X121-W121),[6]skilldef!$C:$D,2,FALSE),"-") &amp; " / " &amp; IFERROR(VLOOKUP(MID(T121,U121,V121-U121),[6]skilldef!$A:$B,2,FALSE),"-")</f>
        <v>自分自身に / 行動値設定</v>
      </c>
      <c r="Z121" s="50"/>
      <c r="AA121" s="52"/>
      <c r="AB121" s="50"/>
    </row>
    <row r="122" spans="1:28" ht="40" customHeight="1" x14ac:dyDescent="0.15">
      <c r="A122" s="128">
        <v>47004339</v>
      </c>
      <c r="B122" s="133" t="s">
        <v>526</v>
      </c>
      <c r="C122" s="50">
        <v>3</v>
      </c>
      <c r="D122" s="50" t="s">
        <v>127</v>
      </c>
      <c r="E122" s="116" t="s">
        <v>281</v>
      </c>
      <c r="F122" s="51" t="s">
        <v>479</v>
      </c>
      <c r="G122" s="63" t="str">
        <f t="shared" si="31"/>
        <v>[effect:enemy_message, val1:2.2, val2:1.2]</v>
      </c>
      <c r="H122" s="63">
        <f t="shared" si="32"/>
        <v>9</v>
      </c>
      <c r="I122" s="63">
        <f t="shared" si="33"/>
        <v>22</v>
      </c>
      <c r="J122" s="63" t="e">
        <f t="shared" si="34"/>
        <v>#VALUE!</v>
      </c>
      <c r="K122" s="63">
        <f t="shared" si="35"/>
        <v>32</v>
      </c>
      <c r="L122" s="63" t="str">
        <f>IFERROR(VLOOKUP(MID(G122,J122,K122-J122),[6]skilldef!$C:$D,2,FALSE),"-") &amp; " / " &amp; IFERROR(VLOOKUP(MID(G122,H122,I122-H122),[6]skilldef!$A:$B,2,FALSE),"-")</f>
        <v>- / -</v>
      </c>
      <c r="M122" s="63" t="str">
        <f t="shared" si="36"/>
        <v>[effect:enhance_enemy, target:enemy_all, turn:2, status:attack, val:0.5, calc:mul, animation:enemy_enhance_attack],[effect:fix_speed, target:myself, turn:2]</v>
      </c>
      <c r="N122" s="48" t="str">
        <f>IFERROR(LEFT(M122,FIND("],",M122)+S129),M122)</f>
        <v>[effect:enhance_enemy, target:enemy_all, turn:2, status:attack, val:0.5, calc:mul, animation:enemy_enhance_attack],[effect:fix_speed, target:myself, turn:2]</v>
      </c>
      <c r="O122" s="63">
        <f t="shared" si="37"/>
        <v>9</v>
      </c>
      <c r="P122" s="63">
        <f t="shared" si="38"/>
        <v>22</v>
      </c>
      <c r="Q122" s="63">
        <f t="shared" si="39"/>
        <v>31</v>
      </c>
      <c r="R122" s="63">
        <f t="shared" si="40"/>
        <v>40</v>
      </c>
      <c r="S122" s="63" t="str">
        <f>IFERROR(VLOOKUP(MID(N122,Q122,R122-Q122),[6]skilldef!$C:$D,2,FALSE),"-") &amp; " / " &amp; IFERROR(VLOOKUP(MID(N122,O122,P122-O122),[6]skilldef!$A:$B,2,FALSE),"-")</f>
        <v>敵全体に / ステータス強化</v>
      </c>
      <c r="T122" s="48" t="str">
        <f t="shared" si="41"/>
        <v>[effect:fix_speed, target:myself, turn:2]</v>
      </c>
      <c r="U122" s="63">
        <f t="shared" si="42"/>
        <v>9</v>
      </c>
      <c r="V122" s="63">
        <f t="shared" si="43"/>
        <v>18</v>
      </c>
      <c r="W122" s="63">
        <f t="shared" si="44"/>
        <v>27</v>
      </c>
      <c r="X122" s="63">
        <f t="shared" si="45"/>
        <v>33</v>
      </c>
      <c r="Y122" s="63" t="str">
        <f>IFERROR(VLOOKUP(MID(T122,W122,X122-W122),[6]skilldef!$C:$D,2,FALSE),"-") &amp; " / " &amp; IFERROR(VLOOKUP(MID(T122,U122,V122-U122),[6]skilldef!$A:$B,2,FALSE),"-")</f>
        <v>自分自身に / 行動値設定</v>
      </c>
      <c r="Z122" s="50"/>
      <c r="AA122" s="52"/>
      <c r="AB122" s="50"/>
    </row>
    <row r="123" spans="1:28" ht="40" customHeight="1" x14ac:dyDescent="0.15">
      <c r="A123" s="128">
        <v>47004340</v>
      </c>
      <c r="B123" s="133" t="s">
        <v>525</v>
      </c>
      <c r="C123" s="50">
        <v>3</v>
      </c>
      <c r="D123" s="50" t="s">
        <v>127</v>
      </c>
      <c r="E123" s="129" t="s">
        <v>389</v>
      </c>
      <c r="F123" s="51" t="s">
        <v>479</v>
      </c>
      <c r="G123" s="63"/>
      <c r="H123" s="63"/>
      <c r="I123" s="63"/>
      <c r="J123" s="63"/>
      <c r="K123" s="63"/>
      <c r="L123" s="63"/>
      <c r="M123" s="63"/>
      <c r="N123" s="48"/>
      <c r="O123" s="63"/>
      <c r="P123" s="63"/>
      <c r="Q123" s="63"/>
      <c r="R123" s="63"/>
      <c r="S123" s="63"/>
      <c r="T123" s="48"/>
      <c r="U123" s="63"/>
      <c r="V123" s="63"/>
      <c r="W123" s="63"/>
      <c r="X123" s="63"/>
      <c r="Y123" s="63"/>
      <c r="Z123" s="50"/>
      <c r="AA123" s="52"/>
      <c r="AB123" s="50"/>
    </row>
    <row r="124" spans="1:28" ht="40" customHeight="1" x14ac:dyDescent="0.15">
      <c r="A124" s="128">
        <v>47004341</v>
      </c>
      <c r="B124" s="133" t="s">
        <v>527</v>
      </c>
      <c r="C124" s="50">
        <v>3</v>
      </c>
      <c r="D124" s="50" t="s">
        <v>127</v>
      </c>
      <c r="E124" s="129" t="s">
        <v>390</v>
      </c>
      <c r="F124" s="51" t="s">
        <v>479</v>
      </c>
      <c r="G124" s="63"/>
      <c r="H124" s="63"/>
      <c r="I124" s="63"/>
      <c r="J124" s="63"/>
      <c r="K124" s="63"/>
      <c r="L124" s="63"/>
      <c r="M124" s="63"/>
      <c r="N124" s="48"/>
      <c r="O124" s="63"/>
      <c r="P124" s="63"/>
      <c r="Q124" s="63"/>
      <c r="R124" s="63"/>
      <c r="S124" s="63"/>
      <c r="T124" s="48"/>
      <c r="U124" s="63"/>
      <c r="V124" s="63"/>
      <c r="W124" s="63"/>
      <c r="X124" s="63"/>
      <c r="Y124" s="63"/>
      <c r="Z124" s="50"/>
      <c r="AA124" s="52"/>
      <c r="AB124" s="50"/>
    </row>
    <row r="125" spans="1:28" ht="40" customHeight="1" x14ac:dyDescent="0.15">
      <c r="A125" s="128">
        <v>47004361</v>
      </c>
      <c r="B125" s="135" t="s">
        <v>568</v>
      </c>
      <c r="C125" s="111">
        <v>3</v>
      </c>
      <c r="D125" s="111" t="s">
        <v>127</v>
      </c>
      <c r="E125" s="112" t="s">
        <v>438</v>
      </c>
      <c r="F125" s="112" t="s">
        <v>377</v>
      </c>
      <c r="G125" s="63" t="str">
        <f t="shared" si="31"/>
        <v>[effect:enemy_message, val1:2.7, val2:5.4]</v>
      </c>
      <c r="H125" s="63">
        <f t="shared" si="32"/>
        <v>9</v>
      </c>
      <c r="I125" s="63">
        <f t="shared" si="33"/>
        <v>22</v>
      </c>
      <c r="J125" s="63" t="e">
        <f t="shared" si="34"/>
        <v>#VALUE!</v>
      </c>
      <c r="K125" s="63">
        <f t="shared" si="35"/>
        <v>32</v>
      </c>
      <c r="L125" s="63" t="str">
        <f>IFERROR(VLOOKUP(MID(G125,J125,K125-J125),[6]skilldef!$C:$D,2,FALSE),"-") &amp; " / " &amp; IFERROR(VLOOKUP(MID(G125,H125,I125-H125),[6]skilldef!$A:$B,2,FALSE),"-")</f>
        <v>- / -</v>
      </c>
      <c r="M125" s="63" t="str">
        <f t="shared" si="36"/>
        <v>[effect:dark, target:unit_all, turn:3, animation:enemy_dark],[effect:force_change_block, new_block:damage, target:block_red, count:3, val:0.02],[effect:fix_speed, target:myself, turn:2]</v>
      </c>
      <c r="N125" s="48" t="str">
        <f>IFERROR(LEFT(M125,FIND("],",M125)+#REF!),M125)</f>
        <v>[effect:dark, target:unit_all, turn:3, animation:enemy_dark],[effect:force_change_block, new_block:damage, target:block_red, count:3, val:0.02],[effect:fix_speed, target:myself, turn:2]</v>
      </c>
      <c r="O125" s="63">
        <f t="shared" si="37"/>
        <v>9</v>
      </c>
      <c r="P125" s="63">
        <f t="shared" si="38"/>
        <v>13</v>
      </c>
      <c r="Q125" s="63">
        <f t="shared" si="39"/>
        <v>22</v>
      </c>
      <c r="R125" s="63">
        <f t="shared" si="40"/>
        <v>30</v>
      </c>
      <c r="S125" s="63" t="str">
        <f>IFERROR(VLOOKUP(MID(N125,Q125,R125-Q125),[6]skilldef!$C:$D,2,FALSE),"-") &amp; " / " &amp; IFERROR(VLOOKUP(MID(N125,O125,P125-O125),[6]skilldef!$A:$B,2,FALSE),"-")</f>
        <v>味方全体に / 暗黒</v>
      </c>
      <c r="T125" s="48" t="str">
        <f t="shared" si="41"/>
        <v>[effect:force_change_block, new_block:damage, target:block_red, count:3, val:0.02],[effect:fix_speed, target:myself, turn:2]</v>
      </c>
      <c r="U125" s="63">
        <f t="shared" si="42"/>
        <v>9</v>
      </c>
      <c r="V125" s="63">
        <f t="shared" si="43"/>
        <v>27</v>
      </c>
      <c r="W125" s="63">
        <f t="shared" si="44"/>
        <v>54</v>
      </c>
      <c r="X125" s="63">
        <f t="shared" si="45"/>
        <v>45</v>
      </c>
      <c r="Y125" s="63" t="str">
        <f>IFERROR(VLOOKUP(MID(T125,W125,X125-W125),[6]skilldef!$C:$D,2,FALSE),"-") &amp; " / " &amp; IFERROR(VLOOKUP(MID(T125,U125,V125-U125),[6]skilldef!$A:$B,2,FALSE),"-")</f>
        <v>- / -</v>
      </c>
      <c r="Z125" s="50"/>
      <c r="AA125" s="52"/>
      <c r="AB125" s="50"/>
    </row>
    <row r="126" spans="1:28" ht="40" customHeight="1" x14ac:dyDescent="0.15">
      <c r="A126" s="128">
        <v>47004362</v>
      </c>
      <c r="B126" s="132" t="s">
        <v>529</v>
      </c>
      <c r="C126" s="111">
        <v>3</v>
      </c>
      <c r="D126" s="111" t="s">
        <v>127</v>
      </c>
      <c r="E126" s="112" t="s">
        <v>314</v>
      </c>
      <c r="F126" s="112" t="s">
        <v>256</v>
      </c>
      <c r="G126" s="63" t="str">
        <f t="shared" si="31"/>
        <v>[effect:enemy_message, val1:2.3, val2:1.2]</v>
      </c>
      <c r="H126" s="63">
        <f t="shared" si="32"/>
        <v>9</v>
      </c>
      <c r="I126" s="63">
        <f t="shared" si="33"/>
        <v>22</v>
      </c>
      <c r="J126" s="63" t="e">
        <f t="shared" si="34"/>
        <v>#VALUE!</v>
      </c>
      <c r="K126" s="63">
        <f t="shared" si="35"/>
        <v>32</v>
      </c>
      <c r="L126" s="63" t="str">
        <f>IFERROR(VLOOKUP(MID(G126,J126,K126-J126),[6]skilldef!$C:$D,2,FALSE),"-") &amp; " / " &amp; IFERROR(VLOOKUP(MID(G126,H126,I126-H126),[6]skilldef!$A:$B,2,FALSE),"-")</f>
        <v>- / -</v>
      </c>
      <c r="M126" s="63" t="str">
        <f t="shared" si="36"/>
        <v>[effect:spread, val:0.25]</v>
      </c>
      <c r="N126" s="48" t="str">
        <f>IFERROR(LEFT(M126,FIND("],",M126)+#REF!),M126)</f>
        <v>[effect:spread, val:0.25]</v>
      </c>
      <c r="O126" s="63">
        <f t="shared" si="37"/>
        <v>9</v>
      </c>
      <c r="P126" s="63">
        <f t="shared" si="38"/>
        <v>15</v>
      </c>
      <c r="Q126" s="63" t="e">
        <f t="shared" si="39"/>
        <v>#VALUE!</v>
      </c>
      <c r="R126" s="63" t="e">
        <f t="shared" si="40"/>
        <v>#VALUE!</v>
      </c>
      <c r="S126" s="63" t="str">
        <f>IFERROR(VLOOKUP(MID(N126,Q126,R126-Q126),[6]skilldef!$C:$D,2,FALSE),"-") &amp; " / " &amp; IFERROR(VLOOKUP(MID(N126,O126,P126-O126),[6]skilldef!$A:$B,2,FALSE),"-")</f>
        <v>- / 全体攻撃</v>
      </c>
      <c r="T126" s="48" t="str">
        <f t="shared" si="41"/>
        <v>none</v>
      </c>
      <c r="U126" s="63" t="e">
        <f t="shared" si="42"/>
        <v>#VALUE!</v>
      </c>
      <c r="V126" s="63">
        <f t="shared" si="43"/>
        <v>4</v>
      </c>
      <c r="W126" s="63" t="e">
        <f t="shared" si="44"/>
        <v>#VALUE!</v>
      </c>
      <c r="X126" s="63" t="e">
        <f t="shared" si="45"/>
        <v>#VALUE!</v>
      </c>
      <c r="Y126" s="63" t="str">
        <f>IFERROR(VLOOKUP(MID(T126,W126,X126-W126),[6]skilldef!$C:$D,2,FALSE),"-") &amp; " / " &amp; IFERROR(VLOOKUP(MID(T126,U126,V126-U126),[6]skilldef!$A:$B,2,FALSE),"-")</f>
        <v>- / -</v>
      </c>
      <c r="Z126" s="50"/>
      <c r="AA126" s="52"/>
      <c r="AB126" s="50"/>
    </row>
    <row r="127" spans="1:28" ht="40" customHeight="1" x14ac:dyDescent="0.15">
      <c r="A127" s="128">
        <v>47004363</v>
      </c>
      <c r="B127" s="132" t="s">
        <v>530</v>
      </c>
      <c r="C127" s="111">
        <v>3</v>
      </c>
      <c r="D127" s="111" t="s">
        <v>127</v>
      </c>
      <c r="E127" s="112" t="s">
        <v>329</v>
      </c>
      <c r="F127" s="112" t="s">
        <v>439</v>
      </c>
      <c r="G127" s="63" t="str">
        <f t="shared" si="31"/>
        <v>[effect:enemy_message, val1:2.3, val2:3.5]</v>
      </c>
      <c r="H127" s="63">
        <f t="shared" si="32"/>
        <v>9</v>
      </c>
      <c r="I127" s="63">
        <f t="shared" si="33"/>
        <v>22</v>
      </c>
      <c r="J127" s="63" t="e">
        <f t="shared" si="34"/>
        <v>#VALUE!</v>
      </c>
      <c r="K127" s="63">
        <f t="shared" si="35"/>
        <v>32</v>
      </c>
      <c r="L127" s="63" t="str">
        <f>IFERROR(VLOOKUP(MID(G127,J127,K127-J127),[6]skilldef!$C:$D,2,FALSE),"-") &amp; " / " &amp; IFERROR(VLOOKUP(MID(G127,H127,I127-H127),[6]skilldef!$A:$B,2,FALSE),"-")</f>
        <v>- / -</v>
      </c>
      <c r="M127" s="63" t="str">
        <f t="shared" si="36"/>
        <v>[effect:suicide, target:myself, val:1, dead_type:escape]</v>
      </c>
      <c r="N127" s="48" t="str">
        <f>IFERROR(LEFT(M127,FIND("],",M127)+S129),M127)</f>
        <v>[effect:suicide, target:myself, val:1, dead_type:escape]</v>
      </c>
      <c r="O127" s="63">
        <f t="shared" si="37"/>
        <v>9</v>
      </c>
      <c r="P127" s="63">
        <f t="shared" si="38"/>
        <v>16</v>
      </c>
      <c r="Q127" s="63">
        <f t="shared" si="39"/>
        <v>25</v>
      </c>
      <c r="R127" s="63">
        <f t="shared" si="40"/>
        <v>31</v>
      </c>
      <c r="S127" s="63" t="str">
        <f>IFERROR(VLOOKUP(MID(N127,Q127,R127-Q127),[6]skilldef!$C:$D,2,FALSE),"-") &amp; " / " &amp; IFERROR(VLOOKUP(MID(N127,O127,P127-O127),[6]skilldef!$A:$B,2,FALSE),"-")</f>
        <v>自分自身に / -</v>
      </c>
      <c r="T127" s="48" t="str">
        <f t="shared" si="41"/>
        <v>none</v>
      </c>
      <c r="U127" s="63" t="e">
        <f t="shared" si="42"/>
        <v>#VALUE!</v>
      </c>
      <c r="V127" s="63">
        <f t="shared" si="43"/>
        <v>4</v>
      </c>
      <c r="W127" s="63" t="e">
        <f t="shared" si="44"/>
        <v>#VALUE!</v>
      </c>
      <c r="X127" s="63" t="e">
        <f t="shared" si="45"/>
        <v>#VALUE!</v>
      </c>
      <c r="Y127" s="63" t="str">
        <f>IFERROR(VLOOKUP(MID(T127,W127,X127-W127),[6]skilldef!$C:$D,2,FALSE),"-") &amp; " / " &amp; IFERROR(VLOOKUP(MID(T127,U127,V127-U127),[6]skilldef!$A:$B,2,FALSE),"-")</f>
        <v>- / -</v>
      </c>
      <c r="Z127" s="50"/>
      <c r="AA127" s="52"/>
      <c r="AB127" s="50"/>
    </row>
    <row r="128" spans="1:28" ht="40" customHeight="1" x14ac:dyDescent="0.15">
      <c r="A128" s="128">
        <v>47004364</v>
      </c>
      <c r="B128" s="135" t="s">
        <v>569</v>
      </c>
      <c r="C128" s="111">
        <v>3</v>
      </c>
      <c r="D128" s="111" t="s">
        <v>127</v>
      </c>
      <c r="E128" s="116" t="s">
        <v>282</v>
      </c>
      <c r="F128" s="112" t="s">
        <v>396</v>
      </c>
      <c r="G128" s="63" t="str">
        <f t="shared" si="31"/>
        <v>[effect:enemy_message, val1:2.1, val2:1.9]</v>
      </c>
      <c r="H128" s="63">
        <f t="shared" si="32"/>
        <v>9</v>
      </c>
      <c r="I128" s="63">
        <f t="shared" si="33"/>
        <v>22</v>
      </c>
      <c r="J128" s="63" t="e">
        <f t="shared" si="34"/>
        <v>#VALUE!</v>
      </c>
      <c r="K128" s="63">
        <f t="shared" si="35"/>
        <v>32</v>
      </c>
      <c r="L128" s="63" t="str">
        <f>IFERROR(VLOOKUP(MID(G128,J128,K128-J128),[6]skilldef!$C:$D,2,FALSE),"-") &amp; " / " &amp; IFERROR(VLOOKUP(MID(G128,H128,I128-H128),[6]skilldef!$A:$B,2,FALSE),"-")</f>
        <v>- / -</v>
      </c>
      <c r="M128" s="63" t="str">
        <f t="shared" si="36"/>
        <v>[effect:force_change_block, new_block:damage, target:block_red, count:3, val:0.02],[effect:fix_speed, target:myself, turn:2]</v>
      </c>
      <c r="N128" s="48" t="str">
        <f>IFERROR(LEFT(M128,FIND("],",M128)+S137),M128)</f>
        <v>[effect:force_change_block, new_block:damage, target:block_red, count:3, val:0.02],[effect:fix_speed, target:myself, turn:2]</v>
      </c>
      <c r="O128" s="63">
        <f t="shared" si="37"/>
        <v>9</v>
      </c>
      <c r="P128" s="63">
        <f t="shared" si="38"/>
        <v>27</v>
      </c>
      <c r="Q128" s="63">
        <f t="shared" si="39"/>
        <v>54</v>
      </c>
      <c r="R128" s="63">
        <f t="shared" si="40"/>
        <v>45</v>
      </c>
      <c r="S128" s="63" t="str">
        <f>IFERROR(VLOOKUP(MID(N128,Q128,R128-Q128),[6]skilldef!$C:$D,2,FALSE),"-") &amp; " / " &amp; IFERROR(VLOOKUP(MID(N128,O128,P128-O128),[6]skilldef!$A:$B,2,FALSE),"-")</f>
        <v>- / -</v>
      </c>
      <c r="T128" s="48" t="str">
        <f t="shared" si="41"/>
        <v>[effect:fix_speed, target:myself, turn:2]</v>
      </c>
      <c r="U128" s="63">
        <f t="shared" si="42"/>
        <v>9</v>
      </c>
      <c r="V128" s="63">
        <f t="shared" si="43"/>
        <v>18</v>
      </c>
      <c r="W128" s="63">
        <f t="shared" si="44"/>
        <v>27</v>
      </c>
      <c r="X128" s="63">
        <f t="shared" si="45"/>
        <v>33</v>
      </c>
      <c r="Y128" s="63" t="str">
        <f>IFERROR(VLOOKUP(MID(T128,W128,X128-W128),[6]skilldef!$C:$D,2,FALSE),"-") &amp; " / " &amp; IFERROR(VLOOKUP(MID(T128,U128,V128-U128),[6]skilldef!$A:$B,2,FALSE),"-")</f>
        <v>自分自身に / 行動値設定</v>
      </c>
      <c r="Z128" s="50"/>
      <c r="AA128" s="52"/>
      <c r="AB128" s="50"/>
    </row>
    <row r="129" spans="1:28" ht="40" customHeight="1" x14ac:dyDescent="0.15">
      <c r="A129" s="128">
        <v>47004365</v>
      </c>
      <c r="B129" s="135" t="s">
        <v>570</v>
      </c>
      <c r="C129" s="111">
        <v>3</v>
      </c>
      <c r="D129" s="111" t="s">
        <v>127</v>
      </c>
      <c r="E129" s="116" t="s">
        <v>283</v>
      </c>
      <c r="F129" s="112" t="s">
        <v>396</v>
      </c>
      <c r="G129" s="63" t="str">
        <f t="shared" si="31"/>
        <v>[effect:enemy_message, val1:3.1, val2:1.9]</v>
      </c>
      <c r="H129" s="63">
        <f t="shared" si="32"/>
        <v>9</v>
      </c>
      <c r="I129" s="63">
        <f t="shared" si="33"/>
        <v>22</v>
      </c>
      <c r="J129" s="63" t="e">
        <f t="shared" si="34"/>
        <v>#VALUE!</v>
      </c>
      <c r="K129" s="63">
        <f t="shared" si="35"/>
        <v>32</v>
      </c>
      <c r="L129" s="63" t="str">
        <f>IFERROR(VLOOKUP(MID(G129,J129,K129-J129),[6]skilldef!$C:$D,2,FALSE),"-") &amp; " / " &amp; IFERROR(VLOOKUP(MID(G129,H129,I129-H129),[6]skilldef!$A:$B,2,FALSE),"-")</f>
        <v>- / -</v>
      </c>
      <c r="M129" s="63" t="str">
        <f t="shared" si="36"/>
        <v>[effect:force_change_block, new_block:damage, target:block_red, count:3, val:0.02],[effect:fix_speed, target:myself, turn:2]</v>
      </c>
      <c r="N129" s="48" t="str">
        <f>IFERROR(LEFT(M129,FIND("],",M129)+S139),M129)</f>
        <v>[effect:force_change_block, new_block:damage, target:block_red, count:3, val:0.02],[effect:fix_speed, target:myself, turn:2]</v>
      </c>
      <c r="O129" s="63">
        <f t="shared" si="37"/>
        <v>9</v>
      </c>
      <c r="P129" s="63">
        <f t="shared" si="38"/>
        <v>27</v>
      </c>
      <c r="Q129" s="63">
        <f t="shared" si="39"/>
        <v>54</v>
      </c>
      <c r="R129" s="63">
        <f t="shared" si="40"/>
        <v>45</v>
      </c>
      <c r="S129" s="63" t="str">
        <f>IFERROR(VLOOKUP(MID(N129,Q129,R129-Q129),[6]skilldef!$C:$D,2,FALSE),"-") &amp; " / " &amp; IFERROR(VLOOKUP(MID(N129,O129,P129-O129),[6]skilldef!$A:$B,2,FALSE),"-")</f>
        <v>- / -</v>
      </c>
      <c r="T129" s="48" t="str">
        <f t="shared" si="41"/>
        <v>[effect:fix_speed, target:myself, turn:2]</v>
      </c>
      <c r="U129" s="63">
        <f t="shared" si="42"/>
        <v>9</v>
      </c>
      <c r="V129" s="63">
        <f t="shared" si="43"/>
        <v>18</v>
      </c>
      <c r="W129" s="63">
        <f t="shared" si="44"/>
        <v>27</v>
      </c>
      <c r="X129" s="63">
        <f t="shared" si="45"/>
        <v>33</v>
      </c>
      <c r="Y129" s="63" t="str">
        <f>IFERROR(VLOOKUP(MID(T129,W129,X129-W129),[6]skilldef!$C:$D,2,FALSE),"-") &amp; " / " &amp; IFERROR(VLOOKUP(MID(T129,U129,V129-U129),[6]skilldef!$A:$B,2,FALSE),"-")</f>
        <v>自分自身に / 行動値設定</v>
      </c>
      <c r="Z129" s="50"/>
      <c r="AA129" s="52"/>
      <c r="AB129" s="50"/>
    </row>
    <row r="130" spans="1:28" ht="40" customHeight="1" x14ac:dyDescent="0.15">
      <c r="A130" s="128">
        <v>47004366</v>
      </c>
      <c r="B130" s="135" t="s">
        <v>571</v>
      </c>
      <c r="C130" s="111">
        <v>3</v>
      </c>
      <c r="D130" s="111" t="s">
        <v>127</v>
      </c>
      <c r="E130" s="116" t="s">
        <v>284</v>
      </c>
      <c r="F130" s="112" t="s">
        <v>396</v>
      </c>
      <c r="G130" s="63" t="str">
        <f t="shared" si="31"/>
        <v>[effect:enemy_message, val1:2.2, val2:1.9]</v>
      </c>
      <c r="H130" s="63">
        <f t="shared" si="32"/>
        <v>9</v>
      </c>
      <c r="I130" s="63">
        <f t="shared" si="33"/>
        <v>22</v>
      </c>
      <c r="J130" s="63" t="e">
        <f t="shared" si="34"/>
        <v>#VALUE!</v>
      </c>
      <c r="K130" s="63">
        <f t="shared" si="35"/>
        <v>32</v>
      </c>
      <c r="L130" s="63" t="str">
        <f>IFERROR(VLOOKUP(MID(G130,J130,K130-J130),[6]skilldef!$C:$D,2,FALSE),"-") &amp; " / " &amp; IFERROR(VLOOKUP(MID(G130,H130,I130-H130),[6]skilldef!$A:$B,2,FALSE),"-")</f>
        <v>- / -</v>
      </c>
      <c r="M130" s="63" t="str">
        <f t="shared" si="36"/>
        <v>[effect:force_change_block, new_block:damage, target:block_red, count:3, val:0.02],[effect:fix_speed, target:myself, turn:2]</v>
      </c>
      <c r="N130" s="48" t="str">
        <f>IFERROR(LEFT(M130,FIND("],",M130)+S140),M130)</f>
        <v>[effect:force_change_block, new_block:damage, target:block_red, count:3, val:0.02],[effect:fix_speed, target:myself, turn:2]</v>
      </c>
      <c r="O130" s="63">
        <f t="shared" si="37"/>
        <v>9</v>
      </c>
      <c r="P130" s="63">
        <f t="shared" si="38"/>
        <v>27</v>
      </c>
      <c r="Q130" s="63">
        <f t="shared" si="39"/>
        <v>54</v>
      </c>
      <c r="R130" s="63">
        <f t="shared" si="40"/>
        <v>45</v>
      </c>
      <c r="S130" s="63" t="str">
        <f>IFERROR(VLOOKUP(MID(N130,Q130,R130-Q130),[6]skilldef!$C:$D,2,FALSE),"-") &amp; " / " &amp; IFERROR(VLOOKUP(MID(N130,O130,P130-O130),[6]skilldef!$A:$B,2,FALSE),"-")</f>
        <v>- / -</v>
      </c>
      <c r="T130" s="48" t="str">
        <f t="shared" si="41"/>
        <v>[effect:fix_speed, target:myself, turn:2]</v>
      </c>
      <c r="U130" s="63">
        <f t="shared" si="42"/>
        <v>9</v>
      </c>
      <c r="V130" s="63">
        <f t="shared" si="43"/>
        <v>18</v>
      </c>
      <c r="W130" s="63">
        <f t="shared" si="44"/>
        <v>27</v>
      </c>
      <c r="X130" s="63">
        <f t="shared" si="45"/>
        <v>33</v>
      </c>
      <c r="Y130" s="63" t="str">
        <f>IFERROR(VLOOKUP(MID(T130,W130,X130-W130),[6]skilldef!$C:$D,2,FALSE),"-") &amp; " / " &amp; IFERROR(VLOOKUP(MID(T130,U130,V130-U130),[6]skilldef!$A:$B,2,FALSE),"-")</f>
        <v>自分自身に / 行動値設定</v>
      </c>
      <c r="Z130" s="50"/>
      <c r="AA130" s="52"/>
      <c r="AB130" s="50"/>
    </row>
    <row r="131" spans="1:28" ht="40" customHeight="1" x14ac:dyDescent="0.15">
      <c r="A131" s="128">
        <v>47004367</v>
      </c>
      <c r="B131" s="135" t="s">
        <v>572</v>
      </c>
      <c r="C131" s="111">
        <v>3</v>
      </c>
      <c r="D131" s="111" t="s">
        <v>127</v>
      </c>
      <c r="E131" s="116" t="s">
        <v>285</v>
      </c>
      <c r="F131" s="112" t="s">
        <v>396</v>
      </c>
      <c r="G131" s="63" t="str">
        <f t="shared" si="31"/>
        <v>[effect:enemy_message, val1:2.9, val2:1.9]</v>
      </c>
      <c r="H131" s="63">
        <f t="shared" si="32"/>
        <v>9</v>
      </c>
      <c r="I131" s="63">
        <f t="shared" si="33"/>
        <v>22</v>
      </c>
      <c r="J131" s="63" t="e">
        <f t="shared" si="34"/>
        <v>#VALUE!</v>
      </c>
      <c r="K131" s="63">
        <f t="shared" si="35"/>
        <v>32</v>
      </c>
      <c r="L131" s="63" t="str">
        <f>IFERROR(VLOOKUP(MID(G131,J131,K131-J131),[6]skilldef!$C:$D,2,FALSE),"-") &amp; " / " &amp; IFERROR(VLOOKUP(MID(G131,H131,I131-H131),[6]skilldef!$A:$B,2,FALSE),"-")</f>
        <v>- / -</v>
      </c>
      <c r="M131" s="63" t="str">
        <f t="shared" si="36"/>
        <v>[effect:force_change_block, new_block:damage, target:block_red, count:3, val:0.02],[effect:fix_speed, target:myself, turn:2]</v>
      </c>
      <c r="N131" s="48" t="str">
        <f>IFERROR(LEFT(M131,FIND("],",M131)+S142),M131)</f>
        <v>[effect:force_change_block, new_block:damage, target:block_red, count:3, val:0.02],[effect:fix_speed, target:myself, turn:2]</v>
      </c>
      <c r="O131" s="63">
        <f t="shared" si="37"/>
        <v>9</v>
      </c>
      <c r="P131" s="63">
        <f t="shared" si="38"/>
        <v>27</v>
      </c>
      <c r="Q131" s="63">
        <f t="shared" si="39"/>
        <v>54</v>
      </c>
      <c r="R131" s="63">
        <f t="shared" si="40"/>
        <v>45</v>
      </c>
      <c r="S131" s="63" t="str">
        <f>IFERROR(VLOOKUP(MID(N131,Q131,R131-Q131),[6]skilldef!$C:$D,2,FALSE),"-") &amp; " / " &amp; IFERROR(VLOOKUP(MID(N131,O131,P131-O131),[6]skilldef!$A:$B,2,FALSE),"-")</f>
        <v>- / -</v>
      </c>
      <c r="T131" s="48" t="str">
        <f t="shared" si="41"/>
        <v>[effect:fix_speed, target:myself, turn:2]</v>
      </c>
      <c r="U131" s="63">
        <f t="shared" si="42"/>
        <v>9</v>
      </c>
      <c r="V131" s="63">
        <f t="shared" si="43"/>
        <v>18</v>
      </c>
      <c r="W131" s="63">
        <f t="shared" si="44"/>
        <v>27</v>
      </c>
      <c r="X131" s="63">
        <f t="shared" si="45"/>
        <v>33</v>
      </c>
      <c r="Y131" s="63" t="str">
        <f>IFERROR(VLOOKUP(MID(T131,W131,X131-W131),[6]skilldef!$C:$D,2,FALSE),"-") &amp; " / " &amp; IFERROR(VLOOKUP(MID(T131,U131,V131-U131),[6]skilldef!$A:$B,2,FALSE),"-")</f>
        <v>自分自身に / 行動値設定</v>
      </c>
      <c r="Z131" s="50"/>
      <c r="AA131" s="52"/>
      <c r="AB131" s="50"/>
    </row>
    <row r="132" spans="1:28" ht="40" customHeight="1" x14ac:dyDescent="0.15">
      <c r="A132" s="128">
        <v>47004368</v>
      </c>
      <c r="B132" s="135" t="s">
        <v>573</v>
      </c>
      <c r="C132" s="111">
        <v>3</v>
      </c>
      <c r="D132" s="111" t="s">
        <v>127</v>
      </c>
      <c r="E132" s="129" t="s">
        <v>391</v>
      </c>
      <c r="F132" s="112" t="s">
        <v>396</v>
      </c>
      <c r="G132" s="63"/>
      <c r="H132" s="63"/>
      <c r="I132" s="63"/>
      <c r="J132" s="63"/>
      <c r="K132" s="63"/>
      <c r="L132" s="63"/>
      <c r="M132" s="63"/>
      <c r="N132" s="48"/>
      <c r="O132" s="63"/>
      <c r="P132" s="63"/>
      <c r="Q132" s="63"/>
      <c r="R132" s="63"/>
      <c r="S132" s="63"/>
      <c r="T132" s="48"/>
      <c r="U132" s="63"/>
      <c r="V132" s="63"/>
      <c r="W132" s="63"/>
      <c r="X132" s="63"/>
      <c r="Y132" s="63"/>
      <c r="Z132" s="50"/>
      <c r="AA132" s="52"/>
      <c r="AB132" s="50"/>
    </row>
    <row r="133" spans="1:28" ht="40" customHeight="1" x14ac:dyDescent="0.15">
      <c r="A133" s="128">
        <v>47004369</v>
      </c>
      <c r="B133" s="135" t="s">
        <v>574</v>
      </c>
      <c r="C133" s="111">
        <v>3</v>
      </c>
      <c r="D133" s="111" t="s">
        <v>127</v>
      </c>
      <c r="E133" s="129" t="s">
        <v>392</v>
      </c>
      <c r="F133" s="112" t="s">
        <v>396</v>
      </c>
      <c r="G133" s="63"/>
      <c r="H133" s="63"/>
      <c r="I133" s="63"/>
      <c r="J133" s="63"/>
      <c r="K133" s="63"/>
      <c r="L133" s="63"/>
      <c r="M133" s="63"/>
      <c r="N133" s="48"/>
      <c r="O133" s="63"/>
      <c r="P133" s="63"/>
      <c r="Q133" s="63"/>
      <c r="R133" s="63"/>
      <c r="S133" s="63"/>
      <c r="T133" s="48"/>
      <c r="U133" s="63"/>
      <c r="V133" s="63"/>
      <c r="W133" s="63"/>
      <c r="X133" s="63"/>
      <c r="Y133" s="63"/>
      <c r="Z133" s="50"/>
      <c r="AA133" s="52"/>
      <c r="AB133" s="50"/>
    </row>
    <row r="134" spans="1:28" ht="40" customHeight="1" x14ac:dyDescent="0.15">
      <c r="A134" s="128">
        <v>47004401</v>
      </c>
      <c r="B134" s="133" t="s">
        <v>537</v>
      </c>
      <c r="C134" s="50">
        <v>3</v>
      </c>
      <c r="D134" s="50" t="s">
        <v>127</v>
      </c>
      <c r="E134" s="51" t="s">
        <v>319</v>
      </c>
      <c r="F134" s="51" t="s">
        <v>294</v>
      </c>
      <c r="G134" s="63" t="str">
        <f t="shared" si="31"/>
        <v>[effect:enemy_message, val1:1.9, val2:2.6]</v>
      </c>
      <c r="H134" s="63">
        <f t="shared" si="32"/>
        <v>9</v>
      </c>
      <c r="I134" s="63">
        <f t="shared" si="33"/>
        <v>22</v>
      </c>
      <c r="J134" s="63" t="e">
        <f t="shared" si="34"/>
        <v>#VALUE!</v>
      </c>
      <c r="K134" s="63">
        <f t="shared" si="35"/>
        <v>32</v>
      </c>
      <c r="L134" s="63" t="str">
        <f>IFERROR(VLOOKUP(MID(G134,J134,K134-J134),[6]skilldef!$C:$D,2,FALSE),"-") &amp; " / " &amp; IFERROR(VLOOKUP(MID(G134,H134,I134-H134),[6]skilldef!$A:$B,2,FALSE),"-")</f>
        <v>- / -</v>
      </c>
      <c r="M134" s="63" t="str">
        <f t="shared" si="36"/>
        <v>[effect:change_panel_ratio, turn:-1, block_type:heal, val:0.05, animation:block_incidence04],[effect:degrade_fever, val:1000, animation:fevergauge_down],[effect:fix_speed, target:myself, turn:2]</v>
      </c>
      <c r="N134" s="48" t="str">
        <f>IFERROR(LEFT(M134,FIND("],",M134)+#REF!),M134)</f>
        <v>[effect:change_panel_ratio, turn:-1, block_type:heal, val:0.05, animation:block_incidence04],[effect:degrade_fever, val:1000, animation:fevergauge_down],[effect:fix_speed, target:myself, turn:2]</v>
      </c>
      <c r="O134" s="63">
        <f t="shared" si="37"/>
        <v>9</v>
      </c>
      <c r="P134" s="63">
        <f t="shared" si="38"/>
        <v>27</v>
      </c>
      <c r="Q134" s="63">
        <f t="shared" si="39"/>
        <v>180</v>
      </c>
      <c r="R134" s="63">
        <f t="shared" si="40"/>
        <v>36</v>
      </c>
      <c r="S134" s="63" t="str">
        <f>IFERROR(VLOOKUP(MID(N134,Q134,R134-Q134),[6]skilldef!$C:$D,2,FALSE),"-") &amp; " / " &amp; IFERROR(VLOOKUP(MID(N134,O134,P134-O134),[6]skilldef!$A:$B,2,FALSE),"-")</f>
        <v>- / -</v>
      </c>
      <c r="T134" s="48" t="str">
        <f t="shared" si="41"/>
        <v>[effect:degrade_fever, val:1000, animation:fevergauge_down],[effect:fix_speed, target:myself, turn:2]</v>
      </c>
      <c r="U134" s="63">
        <f t="shared" si="42"/>
        <v>9</v>
      </c>
      <c r="V134" s="63">
        <f t="shared" si="43"/>
        <v>22</v>
      </c>
      <c r="W134" s="63">
        <f t="shared" si="44"/>
        <v>87</v>
      </c>
      <c r="X134" s="63">
        <f t="shared" si="45"/>
        <v>32</v>
      </c>
      <c r="Y134" s="63" t="str">
        <f>IFERROR(VLOOKUP(MID(T134,W134,X134-W134),[6]skilldef!$C:$D,2,FALSE),"-") &amp; " / " &amp; IFERROR(VLOOKUP(MID(T134,U134,V134-U134),[6]skilldef!$A:$B,2,FALSE),"-")</f>
        <v>- / フィーバーゲージ減少</v>
      </c>
      <c r="Z134" s="50"/>
      <c r="AA134" s="52"/>
      <c r="AB134" s="50"/>
    </row>
    <row r="135" spans="1:28" ht="40" customHeight="1" x14ac:dyDescent="0.15">
      <c r="A135" s="128">
        <v>47004402</v>
      </c>
      <c r="B135" s="135" t="s">
        <v>575</v>
      </c>
      <c r="C135" s="50">
        <v>3</v>
      </c>
      <c r="D135" s="50" t="s">
        <v>127</v>
      </c>
      <c r="E135" s="51" t="s">
        <v>320</v>
      </c>
      <c r="F135" s="51" t="s">
        <v>378</v>
      </c>
      <c r="G135" s="63" t="str">
        <f t="shared" si="31"/>
        <v>[effect:enemy_message, val1:1.2, val2:2.6]</v>
      </c>
      <c r="H135" s="63">
        <f t="shared" si="32"/>
        <v>9</v>
      </c>
      <c r="I135" s="63">
        <f t="shared" si="33"/>
        <v>22</v>
      </c>
      <c r="J135" s="63" t="e">
        <f t="shared" si="34"/>
        <v>#VALUE!</v>
      </c>
      <c r="K135" s="63">
        <f t="shared" si="35"/>
        <v>32</v>
      </c>
      <c r="L135" s="63" t="str">
        <f>IFERROR(VLOOKUP(MID(G135,J135,K135-J135),[6]skilldef!$C:$D,2,FALSE),"-") &amp; " / " &amp; IFERROR(VLOOKUP(MID(G135,H135,I135-H135),[6]skilldef!$A:$B,2,FALSE),"-")</f>
        <v>- / -</v>
      </c>
      <c r="M135" s="63" t="str">
        <f t="shared" si="36"/>
        <v xml:space="preserve">[effect:force_change_block, new_block:damage, target:block_heart, count:3, val:0.02],[effect:rush, count:1, val:1.0]    </v>
      </c>
      <c r="N135" s="48" t="str">
        <f>IFERROR(LEFT(M135,FIND("],",M135)+#REF!),M135)</f>
        <v xml:space="preserve">[effect:force_change_block, new_block:damage, target:block_heart, count:3, val:0.02],[effect:rush, count:1, val:1.0]    </v>
      </c>
      <c r="O135" s="63">
        <f t="shared" si="37"/>
        <v>9</v>
      </c>
      <c r="P135" s="63">
        <f t="shared" si="38"/>
        <v>27</v>
      </c>
      <c r="Q135" s="63">
        <f t="shared" si="39"/>
        <v>54</v>
      </c>
      <c r="R135" s="63">
        <f t="shared" si="40"/>
        <v>45</v>
      </c>
      <c r="S135" s="63" t="str">
        <f>IFERROR(VLOOKUP(MID(N135,Q135,R135-Q135),[6]skilldef!$C:$D,2,FALSE),"-") &amp; " / " &amp; IFERROR(VLOOKUP(MID(N135,O135,P135-O135),[6]skilldef!$A:$B,2,FALSE),"-")</f>
        <v>- / -</v>
      </c>
      <c r="T135" s="48" t="str">
        <f t="shared" si="41"/>
        <v xml:space="preserve">[effect:rush, count:1, val:1.0]    </v>
      </c>
      <c r="U135" s="63">
        <f t="shared" si="42"/>
        <v>9</v>
      </c>
      <c r="V135" s="63">
        <f t="shared" si="43"/>
        <v>13</v>
      </c>
      <c r="W135" s="63" t="e">
        <f t="shared" si="44"/>
        <v>#VALUE!</v>
      </c>
      <c r="X135" s="63">
        <f t="shared" si="45"/>
        <v>22</v>
      </c>
      <c r="Y135" s="63" t="str">
        <f>IFERROR(VLOOKUP(MID(T135,W135,X135-W135),[6]skilldef!$C:$D,2,FALSE),"-") &amp; " / " &amp; IFERROR(VLOOKUP(MID(T135,U135,V135-U135),[6]skilldef!$A:$B,2,FALSE),"-")</f>
        <v>- / 連続攻撃</v>
      </c>
      <c r="Z135" s="50"/>
      <c r="AA135" s="52"/>
      <c r="AB135" s="50"/>
    </row>
    <row r="136" spans="1:28" ht="40" customHeight="1" x14ac:dyDescent="0.15">
      <c r="A136" s="128">
        <v>47004403</v>
      </c>
      <c r="B136" s="133" t="s">
        <v>576</v>
      </c>
      <c r="C136" s="50">
        <v>3</v>
      </c>
      <c r="D136" s="50" t="s">
        <v>127</v>
      </c>
      <c r="E136" s="51" t="s">
        <v>321</v>
      </c>
      <c r="F136" s="51" t="s">
        <v>299</v>
      </c>
      <c r="G136" s="63" t="str">
        <f t="shared" si="31"/>
        <v>[effect:enemy_message, val1:1.2, val2:1.7]</v>
      </c>
      <c r="H136" s="63">
        <f t="shared" si="32"/>
        <v>9</v>
      </c>
      <c r="I136" s="63">
        <f t="shared" si="33"/>
        <v>22</v>
      </c>
      <c r="J136" s="63" t="e">
        <f t="shared" si="34"/>
        <v>#VALUE!</v>
      </c>
      <c r="K136" s="63">
        <f t="shared" si="35"/>
        <v>32</v>
      </c>
      <c r="L136" s="63" t="str">
        <f>IFERROR(VLOOKUP(MID(G136,J136,K136-J136),[6]skilldef!$C:$D,2,FALSE),"-") &amp; " / " &amp; IFERROR(VLOOKUP(MID(G136,H136,I136-H136),[6]skilldef!$A:$B,2,FALSE),"-")</f>
        <v>- / -</v>
      </c>
      <c r="M136" s="63" t="str">
        <f t="shared" si="36"/>
        <v>[effect:force_change_block, new_block:block_blue, target:block_red, count:0, val:0],[effect:rush, count:1, val:1.0]</v>
      </c>
      <c r="N136" s="48" t="str">
        <f>IFERROR(LEFT(M136,FIND("],",M136)+#REF!),M136)</f>
        <v>[effect:force_change_block, new_block:block_blue, target:block_red, count:0, val:0],[effect:rush, count:1, val:1.0]</v>
      </c>
      <c r="O136" s="63">
        <f t="shared" si="37"/>
        <v>9</v>
      </c>
      <c r="P136" s="63">
        <f t="shared" si="38"/>
        <v>27</v>
      </c>
      <c r="Q136" s="63">
        <f t="shared" si="39"/>
        <v>58</v>
      </c>
      <c r="R136" s="63">
        <f t="shared" si="40"/>
        <v>49</v>
      </c>
      <c r="S136" s="63" t="str">
        <f>IFERROR(VLOOKUP(MID(N136,Q136,R136-Q136),[6]skilldef!$C:$D,2,FALSE),"-") &amp; " / " &amp; IFERROR(VLOOKUP(MID(N136,O136,P136-O136),[6]skilldef!$A:$B,2,FALSE),"-")</f>
        <v>- / -</v>
      </c>
      <c r="T136" s="48" t="str">
        <f t="shared" si="41"/>
        <v>[effect:rush, count:1, val:1.0]</v>
      </c>
      <c r="U136" s="63">
        <f t="shared" si="42"/>
        <v>9</v>
      </c>
      <c r="V136" s="63">
        <f t="shared" si="43"/>
        <v>13</v>
      </c>
      <c r="W136" s="63" t="e">
        <f t="shared" si="44"/>
        <v>#VALUE!</v>
      </c>
      <c r="X136" s="63">
        <f t="shared" si="45"/>
        <v>22</v>
      </c>
      <c r="Y136" s="63" t="str">
        <f>IFERROR(VLOOKUP(MID(T136,W136,X136-W136),[6]skilldef!$C:$D,2,FALSE),"-") &amp; " / " &amp; IFERROR(VLOOKUP(MID(T136,U136,V136-U136),[6]skilldef!$A:$B,2,FALSE),"-")</f>
        <v>- / 連続攻撃</v>
      </c>
      <c r="Z136" s="50"/>
      <c r="AA136" s="52"/>
      <c r="AB136" s="50"/>
    </row>
    <row r="137" spans="1:28" ht="40" customHeight="1" x14ac:dyDescent="0.15">
      <c r="A137" s="128">
        <v>47004404</v>
      </c>
      <c r="B137" s="135" t="s">
        <v>577</v>
      </c>
      <c r="C137" s="50">
        <v>3</v>
      </c>
      <c r="D137" s="50" t="s">
        <v>127</v>
      </c>
      <c r="E137" s="51" t="s">
        <v>335</v>
      </c>
      <c r="F137" s="51" t="s">
        <v>382</v>
      </c>
      <c r="G137" s="63" t="str">
        <f t="shared" si="31"/>
        <v>[effect:enemy_message, val1:1.2, val2:1.3]</v>
      </c>
      <c r="H137" s="63">
        <f t="shared" si="32"/>
        <v>9</v>
      </c>
      <c r="I137" s="63">
        <f t="shared" si="33"/>
        <v>22</v>
      </c>
      <c r="J137" s="63" t="e">
        <f t="shared" si="34"/>
        <v>#VALUE!</v>
      </c>
      <c r="K137" s="63">
        <f t="shared" si="35"/>
        <v>32</v>
      </c>
      <c r="L137" s="63" t="str">
        <f>IFERROR(VLOOKUP(MID(G137,J137,K137-J137),[6]skilldef!$C:$D,2,FALSE),"-") &amp; " / " &amp; IFERROR(VLOOKUP(MID(G137,H137,I137-H137),[6]skilldef!$A:$B,2,FALSE),"-")</f>
        <v>- / -</v>
      </c>
      <c r="M137" s="63" t="str">
        <f t="shared" si="36"/>
        <v>[effect:break_attack_fix, target:unit_all, val:150, lowest_val:600, count:-1, color:blue, block01:block_blue]</v>
      </c>
      <c r="N137" s="48" t="str">
        <f>IFERROR(LEFT(M137,FIND("],",M137)+#REF!),M137)</f>
        <v>[effect:break_attack_fix, target:unit_all, val:150, lowest_val:600, count:-1, color:blue, block01:block_blue]</v>
      </c>
      <c r="O137" s="63">
        <f t="shared" si="37"/>
        <v>9</v>
      </c>
      <c r="P137" s="63">
        <f t="shared" si="38"/>
        <v>25</v>
      </c>
      <c r="Q137" s="63">
        <f t="shared" si="39"/>
        <v>34</v>
      </c>
      <c r="R137" s="63">
        <f t="shared" si="40"/>
        <v>42</v>
      </c>
      <c r="S137" s="63" t="str">
        <f>IFERROR(VLOOKUP(MID(N137,Q137,R137-Q137),[6]skilldef!$C:$D,2,FALSE),"-") &amp; " / " &amp; IFERROR(VLOOKUP(MID(N137,O137,P137-O137),[6]skilldef!$A:$B,2,FALSE),"-")</f>
        <v>味方全体に / -</v>
      </c>
      <c r="T137" s="48" t="str">
        <f t="shared" si="41"/>
        <v>none</v>
      </c>
      <c r="U137" s="63" t="e">
        <f t="shared" si="42"/>
        <v>#VALUE!</v>
      </c>
      <c r="V137" s="63">
        <f t="shared" si="43"/>
        <v>4</v>
      </c>
      <c r="W137" s="63" t="e">
        <f t="shared" si="44"/>
        <v>#VALUE!</v>
      </c>
      <c r="X137" s="63" t="e">
        <f t="shared" si="45"/>
        <v>#VALUE!</v>
      </c>
      <c r="Y137" s="63" t="str">
        <f>IFERROR(VLOOKUP(MID(T137,W137,X137-W137),[6]skilldef!$C:$D,2,FALSE),"-") &amp; " / " &amp; IFERROR(VLOOKUP(MID(T137,U137,V137-U137),[6]skilldef!$A:$B,2,FALSE),"-")</f>
        <v>- / -</v>
      </c>
      <c r="Z137" s="50"/>
      <c r="AA137" s="52"/>
      <c r="AB137" s="50"/>
    </row>
    <row r="138" spans="1:28" ht="40" customHeight="1" x14ac:dyDescent="0.15">
      <c r="A138" s="128">
        <v>47004405</v>
      </c>
      <c r="B138" s="133" t="s">
        <v>541</v>
      </c>
      <c r="C138" s="50">
        <v>3</v>
      </c>
      <c r="D138" s="50" t="s">
        <v>127</v>
      </c>
      <c r="E138" s="51" t="s">
        <v>323</v>
      </c>
      <c r="F138" s="51" t="s">
        <v>261</v>
      </c>
      <c r="G138" s="63" t="str">
        <f t="shared" si="31"/>
        <v>[effect:enemy_message, val1:1.7, val2:1.7]</v>
      </c>
      <c r="H138" s="63">
        <f t="shared" si="32"/>
        <v>9</v>
      </c>
      <c r="I138" s="63">
        <f t="shared" si="33"/>
        <v>22</v>
      </c>
      <c r="J138" s="63" t="e">
        <f t="shared" si="34"/>
        <v>#VALUE!</v>
      </c>
      <c r="K138" s="63">
        <f t="shared" si="35"/>
        <v>32</v>
      </c>
      <c r="L138" s="63" t="str">
        <f>IFERROR(VLOOKUP(MID(G138,J138,K138-J138),[6]skilldef!$C:$D,2,FALSE),"-") &amp; " / " &amp; IFERROR(VLOOKUP(MID(G138,H138,I138-H138),[6]skilldef!$A:$B,2,FALSE),"-")</f>
        <v>- / -</v>
      </c>
      <c r="M138" s="63" t="str">
        <f t="shared" si="36"/>
        <v xml:space="preserve">[effect:force_change_block, new_block:block_blue, target:block_green, count:0, val:0],[effect:rush, count:1, val:1.0]    </v>
      </c>
      <c r="N138" s="48" t="str">
        <f>IFERROR(LEFT(M138,FIND("],",M138)+#REF!),M138)</f>
        <v xml:space="preserve">[effect:force_change_block, new_block:block_blue, target:block_green, count:0, val:0],[effect:rush, count:1, val:1.0]    </v>
      </c>
      <c r="O138" s="63">
        <f t="shared" si="37"/>
        <v>9</v>
      </c>
      <c r="P138" s="63">
        <f t="shared" si="38"/>
        <v>27</v>
      </c>
      <c r="Q138" s="63">
        <f t="shared" si="39"/>
        <v>58</v>
      </c>
      <c r="R138" s="63">
        <f t="shared" si="40"/>
        <v>49</v>
      </c>
      <c r="S138" s="63" t="str">
        <f>IFERROR(VLOOKUP(MID(N138,Q138,R138-Q138),[6]skilldef!$C:$D,2,FALSE),"-") &amp; " / " &amp; IFERROR(VLOOKUP(MID(N138,O138,P138-O138),[6]skilldef!$A:$B,2,FALSE),"-")</f>
        <v>- / -</v>
      </c>
      <c r="T138" s="48" t="str">
        <f t="shared" si="41"/>
        <v xml:space="preserve">[effect:rush, count:1, val:1.0]    </v>
      </c>
      <c r="U138" s="63">
        <f t="shared" si="42"/>
        <v>9</v>
      </c>
      <c r="V138" s="63">
        <f t="shared" si="43"/>
        <v>13</v>
      </c>
      <c r="W138" s="63" t="e">
        <f t="shared" si="44"/>
        <v>#VALUE!</v>
      </c>
      <c r="X138" s="63">
        <f t="shared" si="45"/>
        <v>22</v>
      </c>
      <c r="Y138" s="63" t="str">
        <f>IFERROR(VLOOKUP(MID(T138,W138,X138-W138),[6]skilldef!$C:$D,2,FALSE),"-") &amp; " / " &amp; IFERROR(VLOOKUP(MID(T138,U138,V138-U138),[6]skilldef!$A:$B,2,FALSE),"-")</f>
        <v>- / 連続攻撃</v>
      </c>
      <c r="Z138" s="50"/>
      <c r="AA138" s="52"/>
      <c r="AB138" s="50"/>
    </row>
    <row r="139" spans="1:28" ht="40" customHeight="1" x14ac:dyDescent="0.15">
      <c r="A139" s="128">
        <v>47004406</v>
      </c>
      <c r="B139" s="133" t="s">
        <v>542</v>
      </c>
      <c r="C139" s="50">
        <v>3</v>
      </c>
      <c r="D139" s="50" t="s">
        <v>127</v>
      </c>
      <c r="E139" s="116" t="s">
        <v>286</v>
      </c>
      <c r="F139" s="51" t="s">
        <v>295</v>
      </c>
      <c r="G139" s="63" t="str">
        <f t="shared" si="31"/>
        <v>[effect:enemy_message, val1:2.2, val2:1.5]</v>
      </c>
      <c r="H139" s="63">
        <f t="shared" si="32"/>
        <v>9</v>
      </c>
      <c r="I139" s="63">
        <f t="shared" si="33"/>
        <v>22</v>
      </c>
      <c r="J139" s="63" t="e">
        <f t="shared" si="34"/>
        <v>#VALUE!</v>
      </c>
      <c r="K139" s="63">
        <f t="shared" si="35"/>
        <v>32</v>
      </c>
      <c r="L139" s="63" t="str">
        <f>IFERROR(VLOOKUP(MID(G139,J139,K139-J139),[6]skilldef!$C:$D,2,FALSE),"-") &amp; " / " &amp; IFERROR(VLOOKUP(MID(G139,H139,I139-H139),[6]skilldef!$A:$B,2,FALSE),"-")</f>
        <v>- / -</v>
      </c>
      <c r="M139" s="63" t="str">
        <f t="shared" si="36"/>
        <v>[effect:change_panel_ratio, turn:-1, block_type:heal, val:0.05, animation:block_incidence04],[effect:fix_speed, target:myself, turn:2]</v>
      </c>
      <c r="N139" s="48" t="str">
        <f>IFERROR(LEFT(M139,FIND("],",M139)+S150),M139)</f>
        <v>[effect:change_panel_ratio, turn:-1, block_type:heal, val:0.05, animation:block_incidence04],[effect:fix_speed, target:myself, turn:2]</v>
      </c>
      <c r="O139" s="63">
        <f t="shared" si="37"/>
        <v>9</v>
      </c>
      <c r="P139" s="63">
        <f t="shared" si="38"/>
        <v>27</v>
      </c>
      <c r="Q139" s="63">
        <f t="shared" si="39"/>
        <v>120</v>
      </c>
      <c r="R139" s="63">
        <f t="shared" si="40"/>
        <v>36</v>
      </c>
      <c r="S139" s="63" t="str">
        <f>IFERROR(VLOOKUP(MID(N139,Q139,R139-Q139),[6]skilldef!$C:$D,2,FALSE),"-") &amp; " / " &amp; IFERROR(VLOOKUP(MID(N139,O139,P139-O139),[6]skilldef!$A:$B,2,FALSE),"-")</f>
        <v>- / -</v>
      </c>
      <c r="T139" s="48" t="str">
        <f t="shared" si="41"/>
        <v>[effect:fix_speed, target:myself, turn:2]</v>
      </c>
      <c r="U139" s="63">
        <f t="shared" si="42"/>
        <v>9</v>
      </c>
      <c r="V139" s="63">
        <f t="shared" si="43"/>
        <v>18</v>
      </c>
      <c r="W139" s="63">
        <f t="shared" si="44"/>
        <v>27</v>
      </c>
      <c r="X139" s="63">
        <f t="shared" si="45"/>
        <v>33</v>
      </c>
      <c r="Y139" s="63" t="str">
        <f>IFERROR(VLOOKUP(MID(T139,W139,X139-W139),[6]skilldef!$C:$D,2,FALSE),"-") &amp; " / " &amp; IFERROR(VLOOKUP(MID(T139,U139,V139-U139),[6]skilldef!$A:$B,2,FALSE),"-")</f>
        <v>自分自身に / 行動値設定</v>
      </c>
      <c r="Z139" s="50"/>
      <c r="AA139" s="52"/>
      <c r="AB139" s="50"/>
    </row>
    <row r="140" spans="1:28" ht="40" customHeight="1" x14ac:dyDescent="0.15">
      <c r="A140" s="128">
        <v>47004407</v>
      </c>
      <c r="B140" s="133" t="s">
        <v>543</v>
      </c>
      <c r="C140" s="50">
        <v>3</v>
      </c>
      <c r="D140" s="50" t="s">
        <v>127</v>
      </c>
      <c r="E140" s="116" t="s">
        <v>287</v>
      </c>
      <c r="F140" s="51" t="s">
        <v>345</v>
      </c>
      <c r="G140" s="63" t="str">
        <f t="shared" si="31"/>
        <v>[effect:enemy_message, val1:2.3, val2:1.5]</v>
      </c>
      <c r="H140" s="63">
        <f t="shared" si="32"/>
        <v>9</v>
      </c>
      <c r="I140" s="63">
        <f t="shared" si="33"/>
        <v>22</v>
      </c>
      <c r="J140" s="63" t="e">
        <f t="shared" si="34"/>
        <v>#VALUE!</v>
      </c>
      <c r="K140" s="63">
        <f t="shared" si="35"/>
        <v>32</v>
      </c>
      <c r="L140" s="63" t="str">
        <f>IFERROR(VLOOKUP(MID(G140,J140,K140-J140),[6]skilldef!$C:$D,2,FALSE),"-") &amp; " / " &amp; IFERROR(VLOOKUP(MID(G140,H140,I140-H140),[6]skilldef!$A:$B,2,FALSE),"-")</f>
        <v>- / -</v>
      </c>
      <c r="M140" s="63" t="str">
        <f t="shared" si="36"/>
        <v>[effect:change_panel_ratio, turn:-1, block_type:heal, val:0.05, animation:block_incidence04],[effect:fix_speed, target:myself, turn:2]</v>
      </c>
      <c r="N140" s="48" t="str">
        <f>IFERROR(LEFT(M140,FIND("],",M140)+S151),M140)</f>
        <v>[effect:change_panel_ratio, turn:-1, block_type:heal, val:0.05, animation:block_incidence04],[effect:fix_speed, target:myself, turn:2]</v>
      </c>
      <c r="O140" s="63">
        <f t="shared" si="37"/>
        <v>9</v>
      </c>
      <c r="P140" s="63">
        <f t="shared" si="38"/>
        <v>27</v>
      </c>
      <c r="Q140" s="63">
        <f t="shared" si="39"/>
        <v>120</v>
      </c>
      <c r="R140" s="63">
        <f t="shared" si="40"/>
        <v>36</v>
      </c>
      <c r="S140" s="63" t="str">
        <f>IFERROR(VLOOKUP(MID(N140,Q140,R140-Q140),[6]skilldef!$C:$D,2,FALSE),"-") &amp; " / " &amp; IFERROR(VLOOKUP(MID(N140,O140,P140-O140),[6]skilldef!$A:$B,2,FALSE),"-")</f>
        <v>- / -</v>
      </c>
      <c r="T140" s="48" t="str">
        <f t="shared" si="41"/>
        <v>[effect:fix_speed, target:myself, turn:2]</v>
      </c>
      <c r="U140" s="63">
        <f t="shared" si="42"/>
        <v>9</v>
      </c>
      <c r="V140" s="63">
        <f t="shared" si="43"/>
        <v>18</v>
      </c>
      <c r="W140" s="63">
        <f t="shared" si="44"/>
        <v>27</v>
      </c>
      <c r="X140" s="63">
        <f t="shared" si="45"/>
        <v>33</v>
      </c>
      <c r="Y140" s="63" t="str">
        <f>IFERROR(VLOOKUP(MID(T140,W140,X140-W140),[6]skilldef!$C:$D,2,FALSE),"-") &amp; " / " &amp; IFERROR(VLOOKUP(MID(T140,U140,V140-U140),[6]skilldef!$A:$B,2,FALSE),"-")</f>
        <v>自分自身に / 行動値設定</v>
      </c>
      <c r="Z140" s="50"/>
      <c r="AA140" s="52"/>
      <c r="AB140" s="50"/>
    </row>
    <row r="141" spans="1:28" ht="40" customHeight="1" x14ac:dyDescent="0.15">
      <c r="A141" s="128">
        <v>47004408</v>
      </c>
      <c r="B141" s="133" t="s">
        <v>544</v>
      </c>
      <c r="C141" s="50">
        <v>3</v>
      </c>
      <c r="D141" s="50" t="s">
        <v>127</v>
      </c>
      <c r="E141" s="116" t="s">
        <v>288</v>
      </c>
      <c r="F141" s="51" t="s">
        <v>295</v>
      </c>
      <c r="G141" s="63" t="str">
        <f t="shared" si="31"/>
        <v>[effect:enemy_message, val1:1.9, val2:1.5]</v>
      </c>
      <c r="H141" s="63">
        <f t="shared" si="32"/>
        <v>9</v>
      </c>
      <c r="I141" s="63">
        <f t="shared" si="33"/>
        <v>22</v>
      </c>
      <c r="J141" s="63" t="e">
        <f t="shared" si="34"/>
        <v>#VALUE!</v>
      </c>
      <c r="K141" s="63">
        <f t="shared" si="35"/>
        <v>32</v>
      </c>
      <c r="L141" s="63" t="str">
        <f>IFERROR(VLOOKUP(MID(G141,J141,K141-J141),[6]skilldef!$C:$D,2,FALSE),"-") &amp; " / " &amp; IFERROR(VLOOKUP(MID(G141,H141,I141-H141),[6]skilldef!$A:$B,2,FALSE),"-")</f>
        <v>- / -</v>
      </c>
      <c r="M141" s="63" t="str">
        <f t="shared" si="36"/>
        <v>[effect:change_panel_ratio, turn:-1, block_type:heal, val:0.05, animation:block_incidence04],[effect:fix_speed, target:myself, turn:2]</v>
      </c>
      <c r="N141" s="48" t="str">
        <f>IFERROR(LEFT(M141,FIND("],",M141)+S152),M141)</f>
        <v>[effect:change_panel_ratio, turn:-1, block_type:heal, val:0.05, animation:block_incidence04],[effect:fix_speed, target:myself, turn:2]</v>
      </c>
      <c r="O141" s="63">
        <f t="shared" si="37"/>
        <v>9</v>
      </c>
      <c r="P141" s="63">
        <f t="shared" si="38"/>
        <v>27</v>
      </c>
      <c r="Q141" s="63">
        <f t="shared" si="39"/>
        <v>120</v>
      </c>
      <c r="R141" s="63">
        <f t="shared" si="40"/>
        <v>36</v>
      </c>
      <c r="S141" s="63" t="str">
        <f>IFERROR(VLOOKUP(MID(N141,Q141,R141-Q141),[6]skilldef!$C:$D,2,FALSE),"-") &amp; " / " &amp; IFERROR(VLOOKUP(MID(N141,O141,P141-O141),[6]skilldef!$A:$B,2,FALSE),"-")</f>
        <v>- / -</v>
      </c>
      <c r="T141" s="48" t="str">
        <f t="shared" si="41"/>
        <v>[effect:fix_speed, target:myself, turn:2]</v>
      </c>
      <c r="U141" s="63">
        <f t="shared" si="42"/>
        <v>9</v>
      </c>
      <c r="V141" s="63">
        <f t="shared" si="43"/>
        <v>18</v>
      </c>
      <c r="W141" s="63">
        <f t="shared" si="44"/>
        <v>27</v>
      </c>
      <c r="X141" s="63">
        <f t="shared" si="45"/>
        <v>33</v>
      </c>
      <c r="Y141" s="63" t="str">
        <f>IFERROR(VLOOKUP(MID(T141,W141,X141-W141),[6]skilldef!$C:$D,2,FALSE),"-") &amp; " / " &amp; IFERROR(VLOOKUP(MID(T141,U141,V141-U141),[6]skilldef!$A:$B,2,FALSE),"-")</f>
        <v>自分自身に / 行動値設定</v>
      </c>
      <c r="Z141" s="50"/>
      <c r="AA141" s="52"/>
      <c r="AB141" s="50"/>
    </row>
    <row r="142" spans="1:28" ht="40" customHeight="1" x14ac:dyDescent="0.15">
      <c r="A142" s="128">
        <v>47004409</v>
      </c>
      <c r="B142" s="133" t="s">
        <v>545</v>
      </c>
      <c r="C142" s="50">
        <v>3</v>
      </c>
      <c r="D142" s="50" t="s">
        <v>127</v>
      </c>
      <c r="E142" s="116" t="s">
        <v>289</v>
      </c>
      <c r="F142" s="51" t="s">
        <v>295</v>
      </c>
      <c r="G142" s="63" t="str">
        <f t="shared" si="31"/>
        <v>[effect:enemy_message, val1:2.7, val2:1.5]</v>
      </c>
      <c r="H142" s="63">
        <f t="shared" si="32"/>
        <v>9</v>
      </c>
      <c r="I142" s="63">
        <f t="shared" si="33"/>
        <v>22</v>
      </c>
      <c r="J142" s="63" t="e">
        <f t="shared" si="34"/>
        <v>#VALUE!</v>
      </c>
      <c r="K142" s="63">
        <f t="shared" si="35"/>
        <v>32</v>
      </c>
      <c r="L142" s="63" t="str">
        <f>IFERROR(VLOOKUP(MID(G142,J142,K142-J142),[6]skilldef!$C:$D,2,FALSE),"-") &amp; " / " &amp; IFERROR(VLOOKUP(MID(G142,H142,I142-H142),[6]skilldef!$A:$B,2,FALSE),"-")</f>
        <v>- / -</v>
      </c>
      <c r="M142" s="63" t="str">
        <f t="shared" si="36"/>
        <v>[effect:change_panel_ratio, turn:-1, block_type:heal, val:0.05, animation:block_incidence04],[effect:fix_speed, target:myself, turn:2]</v>
      </c>
      <c r="N142" s="48" t="str">
        <f>IFERROR(LEFT(M142,FIND("],",M142)+S153),M142)</f>
        <v>[effect:change_panel_ratio, turn:-1, block_type:heal, val:0.05, animation:block_incidence04],[effect:fix_speed, target:myself, turn:2]</v>
      </c>
      <c r="O142" s="63">
        <f t="shared" si="37"/>
        <v>9</v>
      </c>
      <c r="P142" s="63">
        <f t="shared" si="38"/>
        <v>27</v>
      </c>
      <c r="Q142" s="63">
        <f t="shared" si="39"/>
        <v>120</v>
      </c>
      <c r="R142" s="63">
        <f t="shared" si="40"/>
        <v>36</v>
      </c>
      <c r="S142" s="63" t="str">
        <f>IFERROR(VLOOKUP(MID(N142,Q142,R142-Q142),[6]skilldef!$C:$D,2,FALSE),"-") &amp; " / " &amp; IFERROR(VLOOKUP(MID(N142,O142,P142-O142),[6]skilldef!$A:$B,2,FALSE),"-")</f>
        <v>- / -</v>
      </c>
      <c r="T142" s="48" t="str">
        <f t="shared" si="41"/>
        <v>[effect:fix_speed, target:myself, turn:2]</v>
      </c>
      <c r="U142" s="63">
        <f t="shared" si="42"/>
        <v>9</v>
      </c>
      <c r="V142" s="63">
        <f t="shared" si="43"/>
        <v>18</v>
      </c>
      <c r="W142" s="63">
        <f t="shared" si="44"/>
        <v>27</v>
      </c>
      <c r="X142" s="63">
        <f t="shared" si="45"/>
        <v>33</v>
      </c>
      <c r="Y142" s="63" t="str">
        <f>IFERROR(VLOOKUP(MID(T142,W142,X142-W142),[6]skilldef!$C:$D,2,FALSE),"-") &amp; " / " &amp; IFERROR(VLOOKUP(MID(T142,U142,V142-U142),[6]skilldef!$A:$B,2,FALSE),"-")</f>
        <v>自分自身に / 行動値設定</v>
      </c>
      <c r="Z142" s="50"/>
      <c r="AA142" s="52"/>
      <c r="AB142" s="50"/>
    </row>
    <row r="143" spans="1:28" ht="40" customHeight="1" x14ac:dyDescent="0.15">
      <c r="A143" s="128">
        <v>47004410</v>
      </c>
      <c r="B143" s="133" t="s">
        <v>546</v>
      </c>
      <c r="C143" s="50">
        <v>3</v>
      </c>
      <c r="D143" s="50" t="s">
        <v>127</v>
      </c>
      <c r="E143" s="116" t="s">
        <v>290</v>
      </c>
      <c r="F143" s="51" t="s">
        <v>295</v>
      </c>
      <c r="G143" s="63" t="str">
        <f t="shared" si="31"/>
        <v>[effect:enemy_message, val1:2.6, val2:1.5]</v>
      </c>
      <c r="H143" s="63">
        <f t="shared" si="32"/>
        <v>9</v>
      </c>
      <c r="I143" s="63">
        <f t="shared" si="33"/>
        <v>22</v>
      </c>
      <c r="J143" s="63" t="e">
        <f t="shared" si="34"/>
        <v>#VALUE!</v>
      </c>
      <c r="K143" s="63">
        <f t="shared" si="35"/>
        <v>32</v>
      </c>
      <c r="L143" s="63" t="str">
        <f>IFERROR(VLOOKUP(MID(G143,J143,K143-J143),[6]skilldef!$C:$D,2,FALSE),"-") &amp; " / " &amp; IFERROR(VLOOKUP(MID(G143,H143,I143-H143),[6]skilldef!$A:$B,2,FALSE),"-")</f>
        <v>- / -</v>
      </c>
      <c r="M143" s="63" t="str">
        <f t="shared" si="36"/>
        <v>[effect:change_panel_ratio, turn:-1, block_type:heal, val:0.05, animation:block_incidence04],[effect:fix_speed, target:myself, turn:2]</v>
      </c>
      <c r="N143" s="48" t="str">
        <f>IFERROR(LEFT(M143,FIND("],",M143)+S154),M143)</f>
        <v>[effect:change_panel_ratio, turn:-1, block_type:heal, val:0.05, animation:block_incidence04],[effect:fix_speed, target:myself, turn:2]</v>
      </c>
      <c r="O143" s="63">
        <f t="shared" si="37"/>
        <v>9</v>
      </c>
      <c r="P143" s="63">
        <f t="shared" si="38"/>
        <v>27</v>
      </c>
      <c r="Q143" s="63">
        <f t="shared" si="39"/>
        <v>120</v>
      </c>
      <c r="R143" s="63">
        <f t="shared" si="40"/>
        <v>36</v>
      </c>
      <c r="S143" s="63" t="str">
        <f>IFERROR(VLOOKUP(MID(N143,Q143,R143-Q143),[6]skilldef!$C:$D,2,FALSE),"-") &amp; " / " &amp; IFERROR(VLOOKUP(MID(N143,O143,P143-O143),[6]skilldef!$A:$B,2,FALSE),"-")</f>
        <v>- / -</v>
      </c>
      <c r="T143" s="48" t="str">
        <f t="shared" si="41"/>
        <v>[effect:fix_speed, target:myself, turn:2]</v>
      </c>
      <c r="U143" s="63">
        <f t="shared" si="42"/>
        <v>9</v>
      </c>
      <c r="V143" s="63">
        <f t="shared" si="43"/>
        <v>18</v>
      </c>
      <c r="W143" s="63">
        <f t="shared" si="44"/>
        <v>27</v>
      </c>
      <c r="X143" s="63">
        <f t="shared" si="45"/>
        <v>33</v>
      </c>
      <c r="Y143" s="63" t="str">
        <f>IFERROR(VLOOKUP(MID(T143,W143,X143-W143),[6]skilldef!$C:$D,2,FALSE),"-") &amp; " / " &amp; IFERROR(VLOOKUP(MID(T143,U143,V143-U143),[6]skilldef!$A:$B,2,FALSE),"-")</f>
        <v>自分自身に / 行動値設定</v>
      </c>
      <c r="Z143" s="50"/>
      <c r="AA143" s="52"/>
      <c r="AB143" s="50"/>
    </row>
    <row r="144" spans="1:28" ht="40" customHeight="1" x14ac:dyDescent="0.15">
      <c r="A144" s="128">
        <v>47004411</v>
      </c>
      <c r="B144" s="133" t="s">
        <v>547</v>
      </c>
      <c r="C144" s="50">
        <v>3</v>
      </c>
      <c r="D144" s="50" t="s">
        <v>127</v>
      </c>
      <c r="E144" s="129" t="s">
        <v>393</v>
      </c>
      <c r="F144" s="51" t="s">
        <v>295</v>
      </c>
      <c r="G144" s="63"/>
      <c r="H144" s="63"/>
      <c r="I144" s="63"/>
      <c r="J144" s="63"/>
      <c r="K144" s="63"/>
      <c r="L144" s="63"/>
      <c r="M144" s="63"/>
      <c r="N144" s="48"/>
      <c r="O144" s="63"/>
      <c r="P144" s="63"/>
      <c r="Q144" s="63"/>
      <c r="R144" s="63"/>
      <c r="S144" s="63"/>
      <c r="T144" s="48"/>
      <c r="U144" s="63"/>
      <c r="V144" s="63"/>
      <c r="W144" s="63"/>
      <c r="X144" s="63"/>
      <c r="Y144" s="63"/>
      <c r="Z144" s="50"/>
      <c r="AA144" s="52"/>
      <c r="AB144" s="50"/>
    </row>
    <row r="145" spans="1:28" ht="40" customHeight="1" x14ac:dyDescent="0.15">
      <c r="A145" s="128">
        <v>47004412</v>
      </c>
      <c r="B145" s="133" t="s">
        <v>548</v>
      </c>
      <c r="C145" s="50">
        <v>3</v>
      </c>
      <c r="D145" s="50" t="s">
        <v>127</v>
      </c>
      <c r="E145" s="129" t="s">
        <v>394</v>
      </c>
      <c r="F145" s="51" t="s">
        <v>295</v>
      </c>
      <c r="G145" s="63"/>
      <c r="H145" s="63"/>
      <c r="I145" s="63"/>
      <c r="J145" s="63"/>
      <c r="K145" s="63"/>
      <c r="L145" s="63"/>
      <c r="M145" s="63"/>
      <c r="N145" s="48"/>
      <c r="O145" s="63"/>
      <c r="P145" s="63"/>
      <c r="Q145" s="63"/>
      <c r="R145" s="63"/>
      <c r="S145" s="63"/>
      <c r="T145" s="48"/>
      <c r="U145" s="63"/>
      <c r="V145" s="63"/>
      <c r="W145" s="63"/>
      <c r="X145" s="63"/>
      <c r="Y145" s="63"/>
      <c r="Z145" s="50"/>
      <c r="AA145" s="52"/>
      <c r="AB145" s="50"/>
    </row>
    <row r="146" spans="1:28" ht="40" customHeight="1" x14ac:dyDescent="0.15">
      <c r="A146" s="128">
        <v>47004431</v>
      </c>
      <c r="B146" s="132" t="s">
        <v>549</v>
      </c>
      <c r="C146" s="111">
        <v>3</v>
      </c>
      <c r="D146" s="111" t="s">
        <v>127</v>
      </c>
      <c r="E146" s="112" t="s">
        <v>324</v>
      </c>
      <c r="F146" s="112" t="s">
        <v>631</v>
      </c>
      <c r="G146" s="63" t="str">
        <f t="shared" si="31"/>
        <v>[effect:enemy_message, val1:1.4, val2:4.6]</v>
      </c>
      <c r="H146" s="63">
        <f t="shared" si="32"/>
        <v>9</v>
      </c>
      <c r="I146" s="63">
        <f t="shared" si="33"/>
        <v>22</v>
      </c>
      <c r="J146" s="63" t="e">
        <f t="shared" si="34"/>
        <v>#VALUE!</v>
      </c>
      <c r="K146" s="63">
        <f t="shared" si="35"/>
        <v>32</v>
      </c>
      <c r="L146" s="63" t="str">
        <f>IFERROR(VLOOKUP(MID(G146,J146,K146-J146),[6]skilldef!$C:$D,2,FALSE),"-") &amp; " / " &amp; IFERROR(VLOOKUP(MID(G146,H146,I146-H146),[6]skilldef!$A:$B,2,FALSE),"-")</f>
        <v>- / -</v>
      </c>
      <c r="M146" s="63" t="str">
        <f t="shared" si="36"/>
        <v>[effect:degrade_unit, target:unit_all, turn:5, status:action, val:2, calc:add, animation:enemy_tap_down],[effect:tolerance, target:myself, turn:-1, count:-1, tolerance_effect:all, animation:enemy_tolerance],[effect:fix_speed, target:myself, turn:1]</v>
      </c>
      <c r="N146" s="48" t="str">
        <f>IFERROR(LEFT(M146,FIND("],",M146)+#REF!),M146)</f>
        <v>[effect:degrade_unit, target:unit_all, turn:5, status:action, val:2, calc:add, animation:enemy_tap_down],[effect:tolerance, target:myself, turn:-1, count:-1, tolerance_effect:all, animation:enemy_tolerance],[effect:fix_speed, target:myself, turn:1]</v>
      </c>
      <c r="O146" s="63">
        <f t="shared" si="37"/>
        <v>9</v>
      </c>
      <c r="P146" s="63">
        <f t="shared" si="38"/>
        <v>21</v>
      </c>
      <c r="Q146" s="63">
        <f t="shared" si="39"/>
        <v>30</v>
      </c>
      <c r="R146" s="63">
        <f t="shared" si="40"/>
        <v>38</v>
      </c>
      <c r="S146" s="63" t="str">
        <f>IFERROR(VLOOKUP(MID(N146,Q146,R146-Q146),[6]skilldef!$C:$D,2,FALSE),"-") &amp; " / " &amp; IFERROR(VLOOKUP(MID(N146,O146,P146-O146),[6]skilldef!$A:$B,2,FALSE),"-")</f>
        <v>味方全体に / ステータスDOWN</v>
      </c>
      <c r="T146" s="48" t="str">
        <f t="shared" si="41"/>
        <v>[effect:tolerance, target:myself, turn:-1, count:-1, tolerance_effect:all, animation:enemy_tolerance],[effect:fix_speed, target:myself, turn:1]</v>
      </c>
      <c r="U146" s="63">
        <f t="shared" si="42"/>
        <v>9</v>
      </c>
      <c r="V146" s="63">
        <f t="shared" si="43"/>
        <v>18</v>
      </c>
      <c r="W146" s="63">
        <f t="shared" si="44"/>
        <v>27</v>
      </c>
      <c r="X146" s="63">
        <f t="shared" si="45"/>
        <v>33</v>
      </c>
      <c r="Y146" s="63" t="str">
        <f>IFERROR(VLOOKUP(MID(T146,W146,X146-W146),[6]skilldef!$C:$D,2,FALSE),"-") &amp; " / " &amp; IFERROR(VLOOKUP(MID(T146,U146,V146-U146),[6]skilldef!$A:$B,2,FALSE),"-")</f>
        <v>自分自身に / 状態異常耐性</v>
      </c>
      <c r="Z146" s="50"/>
      <c r="AA146" s="52"/>
      <c r="AB146" s="50"/>
    </row>
    <row r="147" spans="1:28" ht="40" customHeight="1" x14ac:dyDescent="0.15">
      <c r="A147" s="128">
        <v>47004432</v>
      </c>
      <c r="B147" s="135" t="s">
        <v>578</v>
      </c>
      <c r="C147" s="111">
        <v>3</v>
      </c>
      <c r="D147" s="111" t="s">
        <v>127</v>
      </c>
      <c r="E147" s="112" t="s">
        <v>325</v>
      </c>
      <c r="F147" s="112" t="s">
        <v>441</v>
      </c>
      <c r="G147" s="63" t="str">
        <f t="shared" si="31"/>
        <v>[effect:enemy_message, val1:1.5, val2:3.7]</v>
      </c>
      <c r="H147" s="63">
        <f t="shared" si="32"/>
        <v>9</v>
      </c>
      <c r="I147" s="63">
        <f t="shared" si="33"/>
        <v>22</v>
      </c>
      <c r="J147" s="63" t="e">
        <f t="shared" si="34"/>
        <v>#VALUE!</v>
      </c>
      <c r="K147" s="63">
        <f t="shared" si="35"/>
        <v>32</v>
      </c>
      <c r="L147" s="63" t="str">
        <f>IFERROR(VLOOKUP(MID(G147,J147,K147-J147),[6]skilldef!$C:$D,2,FALSE),"-") &amp; " / " &amp; IFERROR(VLOOKUP(MID(G147,H147,I147-H147),[6]skilldef!$A:$B,2,FALSE),"-")</f>
        <v>- / -</v>
      </c>
      <c r="M147" s="63" t="str">
        <f t="shared" si="36"/>
        <v>[effect:suicide, val:0.2],[effect:spread, val:0.25],[effect:force_change_block, new_block:damage, target:block_all, ignore01:block_positive, ignore02:block_negative, count:2, val:0.02]</v>
      </c>
      <c r="N147" s="48" t="str">
        <f>IFERROR(LEFT(M147,FIND("],",M147)+#REF!),M147)</f>
        <v>[effect:suicide, val:0.2],[effect:spread, val:0.25],[effect:force_change_block, new_block:damage, target:block_all, ignore01:block_positive, ignore02:block_negative, count:2, val:0.02]</v>
      </c>
      <c r="O147" s="63">
        <f t="shared" si="37"/>
        <v>9</v>
      </c>
      <c r="P147" s="63">
        <f t="shared" si="38"/>
        <v>16</v>
      </c>
      <c r="Q147" s="63">
        <f t="shared" si="39"/>
        <v>106</v>
      </c>
      <c r="R147" s="63">
        <f t="shared" si="40"/>
        <v>26</v>
      </c>
      <c r="S147" s="63" t="str">
        <f>IFERROR(VLOOKUP(MID(N147,Q147,R147-Q147),[6]skilldef!$C:$D,2,FALSE),"-") &amp; " / " &amp; IFERROR(VLOOKUP(MID(N147,O147,P147-O147),[6]skilldef!$A:$B,2,FALSE),"-")</f>
        <v>- / -</v>
      </c>
      <c r="T147" s="48" t="str">
        <f t="shared" si="41"/>
        <v>[effect:spread, val:0.25],[effect:force_change_block, new_block:damage, target:block_all, ignore01:block_positive, ignore02:block_negative, count:2, val:0.02]</v>
      </c>
      <c r="U147" s="63">
        <f t="shared" si="42"/>
        <v>9</v>
      </c>
      <c r="V147" s="63">
        <f t="shared" si="43"/>
        <v>15</v>
      </c>
      <c r="W147" s="63">
        <f t="shared" si="44"/>
        <v>80</v>
      </c>
      <c r="X147" s="63">
        <f t="shared" si="45"/>
        <v>26</v>
      </c>
      <c r="Y147" s="63" t="str">
        <f>IFERROR(VLOOKUP(MID(T147,W147,X147-W147),[6]skilldef!$C:$D,2,FALSE),"-") &amp; " / " &amp; IFERROR(VLOOKUP(MID(T147,U147,V147-U147),[6]skilldef!$A:$B,2,FALSE),"-")</f>
        <v>- / 全体攻撃</v>
      </c>
      <c r="Z147" s="50"/>
      <c r="AA147" s="52"/>
      <c r="AB147" s="50"/>
    </row>
    <row r="148" spans="1:28" ht="40" customHeight="1" x14ac:dyDescent="0.15">
      <c r="A148" s="128">
        <v>47004433</v>
      </c>
      <c r="B148" s="135" t="s">
        <v>579</v>
      </c>
      <c r="C148" s="111">
        <v>3</v>
      </c>
      <c r="D148" s="111" t="s">
        <v>127</v>
      </c>
      <c r="E148" s="112" t="s">
        <v>326</v>
      </c>
      <c r="F148" s="112" t="s">
        <v>443</v>
      </c>
      <c r="G148" s="63" t="str">
        <f t="shared" si="31"/>
        <v>[effect:enemy_message, val1:1.2, val2:3.7]</v>
      </c>
      <c r="H148" s="63">
        <f t="shared" si="32"/>
        <v>9</v>
      </c>
      <c r="I148" s="63">
        <f t="shared" si="33"/>
        <v>22</v>
      </c>
      <c r="J148" s="63" t="e">
        <f t="shared" si="34"/>
        <v>#VALUE!</v>
      </c>
      <c r="K148" s="63">
        <f t="shared" si="35"/>
        <v>32</v>
      </c>
      <c r="L148" s="63" t="str">
        <f>IFERROR(VLOOKUP(MID(G148,J148,K148-J148),[6]skilldef!$C:$D,2,FALSE),"-") &amp; " / " &amp; IFERROR(VLOOKUP(MID(G148,H148,I148-H148),[6]skilldef!$A:$B,2,FALSE),"-")</f>
        <v>- / -</v>
      </c>
      <c r="M148" s="63" t="str">
        <f t="shared" si="36"/>
        <v>[effect:suicide, val:0.25],[effect:spread, val:0.26],[effect:force_change_block, new_block:damage, target:block_all, ignore01:block_positive, ignore02:block_negative, count:2, val:0.02]</v>
      </c>
      <c r="N148" s="48" t="str">
        <f>IFERROR(LEFT(M148,FIND("],",M148)+#REF!),M148)</f>
        <v>[effect:suicide, val:0.25],[effect:spread, val:0.26],[effect:force_change_block, new_block:damage, target:block_all, ignore01:block_positive, ignore02:block_negative, count:2, val:0.02]</v>
      </c>
      <c r="O148" s="63">
        <f t="shared" si="37"/>
        <v>9</v>
      </c>
      <c r="P148" s="63">
        <f t="shared" si="38"/>
        <v>16</v>
      </c>
      <c r="Q148" s="63">
        <f t="shared" si="39"/>
        <v>107</v>
      </c>
      <c r="R148" s="63">
        <f t="shared" si="40"/>
        <v>27</v>
      </c>
      <c r="S148" s="63" t="str">
        <f>IFERROR(VLOOKUP(MID(N148,Q148,R148-Q148),[6]skilldef!$C:$D,2,FALSE),"-") &amp; " / " &amp; IFERROR(VLOOKUP(MID(N148,O148,P148-O148),[6]skilldef!$A:$B,2,FALSE),"-")</f>
        <v>- / -</v>
      </c>
      <c r="T148" s="48" t="str">
        <f t="shared" si="41"/>
        <v>[effect:spread, val:0.26],[effect:force_change_block, new_block:damage, target:block_all, ignore01:block_positive, ignore02:block_negative, count:2, val:0.02]</v>
      </c>
      <c r="U148" s="63">
        <f t="shared" si="42"/>
        <v>9</v>
      </c>
      <c r="V148" s="63">
        <f t="shared" si="43"/>
        <v>15</v>
      </c>
      <c r="W148" s="63">
        <f t="shared" si="44"/>
        <v>80</v>
      </c>
      <c r="X148" s="63">
        <f t="shared" si="45"/>
        <v>26</v>
      </c>
      <c r="Y148" s="63" t="str">
        <f>IFERROR(VLOOKUP(MID(T148,W148,X148-W148),[6]skilldef!$C:$D,2,FALSE),"-") &amp; " / " &amp; IFERROR(VLOOKUP(MID(T148,U148,V148-U148),[6]skilldef!$A:$B,2,FALSE),"-")</f>
        <v>- / 全体攻撃</v>
      </c>
      <c r="Z148" s="50"/>
      <c r="AA148" s="52"/>
      <c r="AB148" s="50"/>
    </row>
    <row r="149" spans="1:28" ht="40" customHeight="1" x14ac:dyDescent="0.15">
      <c r="A149" s="128">
        <v>47004434</v>
      </c>
      <c r="B149" s="135" t="s">
        <v>580</v>
      </c>
      <c r="C149" s="111">
        <v>3</v>
      </c>
      <c r="D149" s="111" t="s">
        <v>127</v>
      </c>
      <c r="E149" s="112" t="s">
        <v>327</v>
      </c>
      <c r="F149" s="112" t="s">
        <v>445</v>
      </c>
      <c r="G149" s="63" t="str">
        <f t="shared" si="31"/>
        <v>[effect:enemy_message, val1:1.2, val2:3.7]</v>
      </c>
      <c r="H149" s="63">
        <f t="shared" si="32"/>
        <v>9</v>
      </c>
      <c r="I149" s="63">
        <f t="shared" si="33"/>
        <v>22</v>
      </c>
      <c r="J149" s="63" t="e">
        <f t="shared" si="34"/>
        <v>#VALUE!</v>
      </c>
      <c r="K149" s="63">
        <f t="shared" si="35"/>
        <v>32</v>
      </c>
      <c r="L149" s="63" t="str">
        <f>IFERROR(VLOOKUP(MID(G149,J149,K149-J149),[6]skilldef!$C:$D,2,FALSE),"-") &amp; " / " &amp; IFERROR(VLOOKUP(MID(G149,H149,I149-H149),[6]skilldef!$A:$B,2,FALSE),"-")</f>
        <v>- / -</v>
      </c>
      <c r="M149" s="63" t="str">
        <f t="shared" si="36"/>
        <v>[effect:suicide, val:0.33],[effect:spread, val:0.27],[effect:force_change_block, new_block:damage, target:block_all, ignore01:block_positive, ignore02:block_negative, count:2, val:0.02]</v>
      </c>
      <c r="N149" s="48" t="str">
        <f>IFERROR(LEFT(M149,FIND("],",M149)+#REF!),M149)</f>
        <v>[effect:suicide, val:0.33],[effect:spread, val:0.27],[effect:force_change_block, new_block:damage, target:block_all, ignore01:block_positive, ignore02:block_negative, count:2, val:0.02]</v>
      </c>
      <c r="O149" s="63">
        <f t="shared" si="37"/>
        <v>9</v>
      </c>
      <c r="P149" s="63">
        <f t="shared" si="38"/>
        <v>16</v>
      </c>
      <c r="Q149" s="63">
        <f t="shared" si="39"/>
        <v>107</v>
      </c>
      <c r="R149" s="63">
        <f t="shared" si="40"/>
        <v>27</v>
      </c>
      <c r="S149" s="63" t="str">
        <f>IFERROR(VLOOKUP(MID(N149,Q149,R149-Q149),[6]skilldef!$C:$D,2,FALSE),"-") &amp; " / " &amp; IFERROR(VLOOKUP(MID(N149,O149,P149-O149),[6]skilldef!$A:$B,2,FALSE),"-")</f>
        <v>- / -</v>
      </c>
      <c r="T149" s="48" t="str">
        <f t="shared" si="41"/>
        <v>[effect:spread, val:0.27],[effect:force_change_block, new_block:damage, target:block_all, ignore01:block_positive, ignore02:block_negative, count:2, val:0.02]</v>
      </c>
      <c r="U149" s="63">
        <f t="shared" si="42"/>
        <v>9</v>
      </c>
      <c r="V149" s="63">
        <f t="shared" si="43"/>
        <v>15</v>
      </c>
      <c r="W149" s="63">
        <f t="shared" si="44"/>
        <v>80</v>
      </c>
      <c r="X149" s="63">
        <f t="shared" si="45"/>
        <v>26</v>
      </c>
      <c r="Y149" s="63" t="str">
        <f>IFERROR(VLOOKUP(MID(T149,W149,X149-W149),[6]skilldef!$C:$D,2,FALSE),"-") &amp; " / " &amp; IFERROR(VLOOKUP(MID(T149,U149,V149-U149),[6]skilldef!$A:$B,2,FALSE),"-")</f>
        <v>- / 全体攻撃</v>
      </c>
      <c r="Z149" s="50"/>
      <c r="AA149" s="52"/>
      <c r="AB149" s="50"/>
    </row>
    <row r="150" spans="1:28" ht="40" customHeight="1" x14ac:dyDescent="0.15">
      <c r="A150" s="128">
        <v>47004435</v>
      </c>
      <c r="B150" s="135" t="s">
        <v>581</v>
      </c>
      <c r="C150" s="111">
        <v>3</v>
      </c>
      <c r="D150" s="111" t="s">
        <v>127</v>
      </c>
      <c r="E150" s="112" t="s">
        <v>328</v>
      </c>
      <c r="F150" s="112" t="s">
        <v>447</v>
      </c>
      <c r="G150" s="63" t="str">
        <f t="shared" si="31"/>
        <v>[effect:enemy_message, val1:1.2, val2:3.7]</v>
      </c>
      <c r="H150" s="63">
        <f t="shared" si="32"/>
        <v>9</v>
      </c>
      <c r="I150" s="63">
        <f t="shared" si="33"/>
        <v>22</v>
      </c>
      <c r="J150" s="63" t="e">
        <f t="shared" si="34"/>
        <v>#VALUE!</v>
      </c>
      <c r="K150" s="63">
        <f t="shared" si="35"/>
        <v>32</v>
      </c>
      <c r="L150" s="63" t="str">
        <f>IFERROR(VLOOKUP(MID(G150,J150,K150-J150),[6]skilldef!$C:$D,2,FALSE),"-") &amp; " / " &amp; IFERROR(VLOOKUP(MID(G150,H150,I150-H150),[6]skilldef!$A:$B,2,FALSE),"-")</f>
        <v>- / -</v>
      </c>
      <c r="M150" s="63" t="str">
        <f t="shared" si="36"/>
        <v>[effect:suicide, val:0.50],[effect:spread, val:0.28],[effect:force_change_block, new_block:damage, target:block_all, ignore01:block_positive, ignore02:block_negative, count:2, val:0.02]</v>
      </c>
      <c r="N150" s="48" t="str">
        <f>IFERROR(LEFT(M150,FIND("],",M150)+#REF!),M150)</f>
        <v>[effect:suicide, val:0.50],[effect:spread, val:0.28],[effect:force_change_block, new_block:damage, target:block_all, ignore01:block_positive, ignore02:block_negative, count:2, val:0.02]</v>
      </c>
      <c r="O150" s="63">
        <f t="shared" si="37"/>
        <v>9</v>
      </c>
      <c r="P150" s="63">
        <f t="shared" si="38"/>
        <v>16</v>
      </c>
      <c r="Q150" s="63">
        <f t="shared" si="39"/>
        <v>107</v>
      </c>
      <c r="R150" s="63">
        <f t="shared" si="40"/>
        <v>27</v>
      </c>
      <c r="S150" s="63" t="str">
        <f>IFERROR(VLOOKUP(MID(N150,Q150,R150-Q150),[6]skilldef!$C:$D,2,FALSE),"-") &amp; " / " &amp; IFERROR(VLOOKUP(MID(N150,O150,P150-O150),[6]skilldef!$A:$B,2,FALSE),"-")</f>
        <v>- / -</v>
      </c>
      <c r="T150" s="48" t="str">
        <f t="shared" si="41"/>
        <v>[effect:spread, val:0.28],[effect:force_change_block, new_block:damage, target:block_all, ignore01:block_positive, ignore02:block_negative, count:2, val:0.02]</v>
      </c>
      <c r="U150" s="63">
        <f t="shared" si="42"/>
        <v>9</v>
      </c>
      <c r="V150" s="63">
        <f t="shared" si="43"/>
        <v>15</v>
      </c>
      <c r="W150" s="63">
        <f t="shared" si="44"/>
        <v>80</v>
      </c>
      <c r="X150" s="63">
        <f t="shared" si="45"/>
        <v>26</v>
      </c>
      <c r="Y150" s="63" t="str">
        <f>IFERROR(VLOOKUP(MID(T150,W150,X150-W150),[6]skilldef!$C:$D,2,FALSE),"-") &amp; " / " &amp; IFERROR(VLOOKUP(MID(T150,U150,V150-U150),[6]skilldef!$A:$B,2,FALSE),"-")</f>
        <v>- / 全体攻撃</v>
      </c>
      <c r="Z150" s="50"/>
      <c r="AA150" s="52"/>
      <c r="AB150" s="50"/>
    </row>
    <row r="151" spans="1:28" ht="40" customHeight="1" x14ac:dyDescent="0.15">
      <c r="A151" s="128">
        <v>47004436</v>
      </c>
      <c r="B151" s="135" t="s">
        <v>582</v>
      </c>
      <c r="C151" s="111">
        <v>3</v>
      </c>
      <c r="D151" s="111" t="s">
        <v>127</v>
      </c>
      <c r="E151" s="112" t="s">
        <v>440</v>
      </c>
      <c r="F151" s="112" t="s">
        <v>449</v>
      </c>
      <c r="G151" s="63" t="str">
        <f t="shared" si="31"/>
        <v>[effect:enemy_message, val1:1.3, val2:3.8]</v>
      </c>
      <c r="H151" s="63">
        <f t="shared" si="32"/>
        <v>9</v>
      </c>
      <c r="I151" s="63">
        <f t="shared" si="33"/>
        <v>22</v>
      </c>
      <c r="J151" s="63" t="e">
        <f t="shared" si="34"/>
        <v>#VALUE!</v>
      </c>
      <c r="K151" s="63">
        <f t="shared" si="35"/>
        <v>32</v>
      </c>
      <c r="L151" s="63" t="str">
        <f>IFERROR(VLOOKUP(MID(G151,J151,K151-J151),[6]skilldef!$C:$D,2,FALSE),"-") &amp; " / " &amp; IFERROR(VLOOKUP(MID(G151,H151,I151-H151),[6]skilldef!$A:$B,2,FALSE),"-")</f>
        <v>- / -</v>
      </c>
      <c r="M151" s="63" t="str">
        <f t="shared" si="36"/>
        <v>[effect:suicide, val:1.0, dead_type:suicide],[effect:spread, val:0.29],[effect:force_change_block, new_block:damage, target:block_all, ignore01:block_positive, ignore02:block_negative, count:2, val:0.02]</v>
      </c>
      <c r="N151" s="48" t="str">
        <f>IFERROR(LEFT(M151,FIND("],",M151)+#REF!),M151)</f>
        <v>[effect:suicide, val:1.0, dead_type:suicide],[effect:spread, val:0.29],[effect:force_change_block, new_block:damage, target:block_all, ignore01:block_positive, ignore02:block_negative, count:2, val:0.02]</v>
      </c>
      <c r="O151" s="63">
        <f t="shared" si="37"/>
        <v>9</v>
      </c>
      <c r="P151" s="63">
        <f t="shared" si="38"/>
        <v>16</v>
      </c>
      <c r="Q151" s="63">
        <f t="shared" si="39"/>
        <v>125</v>
      </c>
      <c r="R151" s="63">
        <f t="shared" si="40"/>
        <v>25</v>
      </c>
      <c r="S151" s="63" t="str">
        <f>IFERROR(VLOOKUP(MID(N151,Q151,R151-Q151),[6]skilldef!$C:$D,2,FALSE),"-") &amp; " / " &amp; IFERROR(VLOOKUP(MID(N151,O151,P151-O151),[6]skilldef!$A:$B,2,FALSE),"-")</f>
        <v>- / -</v>
      </c>
      <c r="T151" s="48" t="str">
        <f t="shared" si="41"/>
        <v>[effect:spread, val:0.29],[effect:force_change_block, new_block:damage, target:block_all, ignore01:block_positive, ignore02:block_negative, count:2, val:0.02]</v>
      </c>
      <c r="U151" s="63">
        <f t="shared" si="42"/>
        <v>9</v>
      </c>
      <c r="V151" s="63">
        <f t="shared" si="43"/>
        <v>15</v>
      </c>
      <c r="W151" s="63">
        <f t="shared" si="44"/>
        <v>80</v>
      </c>
      <c r="X151" s="63">
        <f t="shared" si="45"/>
        <v>26</v>
      </c>
      <c r="Y151" s="63" t="str">
        <f>IFERROR(VLOOKUP(MID(T151,W151,X151-W151),[6]skilldef!$C:$D,2,FALSE),"-") &amp; " / " &amp; IFERROR(VLOOKUP(MID(T151,U151,V151-U151),[6]skilldef!$A:$B,2,FALSE),"-")</f>
        <v>- / 全体攻撃</v>
      </c>
      <c r="Z151" s="50"/>
      <c r="AA151" s="52"/>
      <c r="AB151" s="50"/>
    </row>
    <row r="152" spans="1:28" ht="40" customHeight="1" x14ac:dyDescent="0.15">
      <c r="A152" s="128">
        <v>47004461</v>
      </c>
      <c r="B152" s="133" t="s">
        <v>555</v>
      </c>
      <c r="C152" s="50">
        <v>3</v>
      </c>
      <c r="D152" s="50" t="s">
        <v>127</v>
      </c>
      <c r="E152" s="51" t="s">
        <v>333</v>
      </c>
      <c r="F152" s="51" t="s">
        <v>397</v>
      </c>
      <c r="G152" s="63" t="str">
        <f t="shared" si="31"/>
        <v>[effect:enemy_message, val1:1.5, val2:2.4]</v>
      </c>
      <c r="H152" s="63">
        <f t="shared" si="32"/>
        <v>9</v>
      </c>
      <c r="I152" s="63">
        <f t="shared" si="33"/>
        <v>22</v>
      </c>
      <c r="J152" s="63" t="e">
        <f t="shared" si="34"/>
        <v>#VALUE!</v>
      </c>
      <c r="K152" s="63">
        <f t="shared" si="35"/>
        <v>32</v>
      </c>
      <c r="L152" s="63" t="str">
        <f>IFERROR(VLOOKUP(MID(G152,J152,K152-J152),[6]skilldef!$C:$D,2,FALSE),"-") &amp; " / " &amp; IFERROR(VLOOKUP(MID(G152,H152,I152-H152),[6]skilldef!$A:$B,2,FALSE),"-")</f>
        <v>- / -</v>
      </c>
      <c r="M152" s="63" t="str">
        <f t="shared" si="36"/>
        <v>[effect:enemy_message, val1:1.0, val2:0],[effect:fix_speed, target:myself, turn:1]</v>
      </c>
      <c r="N152" s="48" t="str">
        <f>IFERROR(LEFT(M152,FIND("],",M152)+#REF!),M152)</f>
        <v>[effect:enemy_message, val1:1.0, val2:0],[effect:fix_speed, target:myself, turn:1]</v>
      </c>
      <c r="O152" s="63">
        <f t="shared" si="37"/>
        <v>9</v>
      </c>
      <c r="P152" s="63">
        <f t="shared" si="38"/>
        <v>22</v>
      </c>
      <c r="Q152" s="63">
        <f t="shared" si="39"/>
        <v>68</v>
      </c>
      <c r="R152" s="63">
        <f t="shared" si="40"/>
        <v>32</v>
      </c>
      <c r="S152" s="63" t="str">
        <f>IFERROR(VLOOKUP(MID(N152,Q152,R152-Q152),[6]skilldef!$C:$D,2,FALSE),"-") &amp; " / " &amp; IFERROR(VLOOKUP(MID(N152,O152,P152-O152),[6]skilldef!$A:$B,2,FALSE),"-")</f>
        <v>- / -</v>
      </c>
      <c r="T152" s="48" t="str">
        <f t="shared" si="41"/>
        <v>[effect:fix_speed, target:myself, turn:1]</v>
      </c>
      <c r="U152" s="63">
        <f t="shared" si="42"/>
        <v>9</v>
      </c>
      <c r="V152" s="63">
        <f t="shared" si="43"/>
        <v>18</v>
      </c>
      <c r="W152" s="63">
        <f t="shared" si="44"/>
        <v>27</v>
      </c>
      <c r="X152" s="63">
        <f t="shared" si="45"/>
        <v>33</v>
      </c>
      <c r="Y152" s="63" t="str">
        <f>IFERROR(VLOOKUP(MID(T152,W152,X152-W152),[6]skilldef!$C:$D,2,FALSE),"-") &amp; " / " &amp; IFERROR(VLOOKUP(MID(T152,U152,V152-U152),[6]skilldef!$A:$B,2,FALSE),"-")</f>
        <v>自分自身に / 行動値設定</v>
      </c>
      <c r="Z152" s="50"/>
      <c r="AA152" s="52"/>
      <c r="AB152" s="50"/>
    </row>
    <row r="153" spans="1:28" ht="40" customHeight="1" x14ac:dyDescent="0.15">
      <c r="A153" s="128">
        <v>47004462</v>
      </c>
      <c r="B153" s="133" t="s">
        <v>556</v>
      </c>
      <c r="C153" s="50">
        <v>3</v>
      </c>
      <c r="D153" s="50" t="s">
        <v>127</v>
      </c>
      <c r="E153" s="51" t="s">
        <v>336</v>
      </c>
      <c r="F153" s="51" t="s">
        <v>257</v>
      </c>
      <c r="G153" s="63" t="str">
        <f t="shared" si="31"/>
        <v>[effect:enemy_message, val1:1.2, val2:1.2]</v>
      </c>
      <c r="H153" s="63">
        <f t="shared" si="32"/>
        <v>9</v>
      </c>
      <c r="I153" s="63">
        <f t="shared" si="33"/>
        <v>22</v>
      </c>
      <c r="J153" s="63" t="e">
        <f t="shared" si="34"/>
        <v>#VALUE!</v>
      </c>
      <c r="K153" s="63">
        <f t="shared" si="35"/>
        <v>32</v>
      </c>
      <c r="L153" s="63" t="str">
        <f>IFERROR(VLOOKUP(MID(G153,J153,K153-J153),[6]skilldef!$C:$D,2,FALSE),"-") &amp; " / " &amp; IFERROR(VLOOKUP(MID(G153,H153,I153-H153),[6]skilldef!$A:$B,2,FALSE),"-")</f>
        <v>- / -</v>
      </c>
      <c r="M153" s="63" t="str">
        <f t="shared" si="36"/>
        <v>[effect:spread, val:0.33]</v>
      </c>
      <c r="N153" s="48" t="str">
        <f>IFERROR(LEFT(M153,FIND("],",M153)+#REF!),M153)</f>
        <v>[effect:spread, val:0.33]</v>
      </c>
      <c r="O153" s="63">
        <f t="shared" si="37"/>
        <v>9</v>
      </c>
      <c r="P153" s="63">
        <f t="shared" si="38"/>
        <v>15</v>
      </c>
      <c r="Q153" s="63" t="e">
        <f t="shared" si="39"/>
        <v>#VALUE!</v>
      </c>
      <c r="R153" s="63" t="e">
        <f t="shared" si="40"/>
        <v>#VALUE!</v>
      </c>
      <c r="S153" s="63" t="str">
        <f>IFERROR(VLOOKUP(MID(N153,Q153,R153-Q153),[6]skilldef!$C:$D,2,FALSE),"-") &amp; " / " &amp; IFERROR(VLOOKUP(MID(N153,O153,P153-O153),[6]skilldef!$A:$B,2,FALSE),"-")</f>
        <v>- / 全体攻撃</v>
      </c>
      <c r="T153" s="48" t="str">
        <f t="shared" si="41"/>
        <v>none</v>
      </c>
      <c r="U153" s="63" t="e">
        <f t="shared" si="42"/>
        <v>#VALUE!</v>
      </c>
      <c r="V153" s="63">
        <f t="shared" si="43"/>
        <v>4</v>
      </c>
      <c r="W153" s="63" t="e">
        <f t="shared" si="44"/>
        <v>#VALUE!</v>
      </c>
      <c r="X153" s="63" t="e">
        <f t="shared" si="45"/>
        <v>#VALUE!</v>
      </c>
      <c r="Y153" s="63" t="str">
        <f>IFERROR(VLOOKUP(MID(T153,W153,X153-W153),[6]skilldef!$C:$D,2,FALSE),"-") &amp; " / " &amp; IFERROR(VLOOKUP(MID(T153,U153,V153-U153),[6]skilldef!$A:$B,2,FALSE),"-")</f>
        <v>- / -</v>
      </c>
      <c r="Z153" s="50"/>
      <c r="AA153" s="52"/>
      <c r="AB153" s="50"/>
    </row>
    <row r="154" spans="1:28" ht="40" customHeight="1" x14ac:dyDescent="0.15">
      <c r="A154" s="128">
        <v>47004463</v>
      </c>
      <c r="B154" s="135" t="s">
        <v>583</v>
      </c>
      <c r="C154" s="50">
        <v>3</v>
      </c>
      <c r="D154" s="50" t="s">
        <v>127</v>
      </c>
      <c r="E154" s="51" t="s">
        <v>322</v>
      </c>
      <c r="F154" s="51" t="s">
        <v>429</v>
      </c>
      <c r="G154" s="63" t="str">
        <f t="shared" si="31"/>
        <v>[effect:enemy_message, val1:2.1, val2:2.0]</v>
      </c>
      <c r="H154" s="63">
        <f t="shared" si="32"/>
        <v>9</v>
      </c>
      <c r="I154" s="63">
        <f t="shared" si="33"/>
        <v>22</v>
      </c>
      <c r="J154" s="63" t="e">
        <f t="shared" si="34"/>
        <v>#VALUE!</v>
      </c>
      <c r="K154" s="63">
        <f t="shared" si="35"/>
        <v>32</v>
      </c>
      <c r="L154" s="63" t="str">
        <f>IFERROR(VLOOKUP(MID(G154,J154,K154-J154),[6]skilldef!$C:$D,2,FALSE),"-") &amp; " / " &amp; IFERROR(VLOOKUP(MID(G154,H154,I154-H154),[6]skilldef!$A:$B,2,FALSE),"-")</f>
        <v>- / -</v>
      </c>
      <c r="M154" s="63" t="str">
        <f t="shared" si="36"/>
        <v>[effect:break_attack_fix, target:unit_all, val:150, lowest_val:600, count:-1, color:blue, block01:block_blue, color:blue, block02:block_heart]</v>
      </c>
      <c r="N154" s="48" t="str">
        <f>IFERROR(LEFT(M154,FIND("],",M154)+#REF!),M154)</f>
        <v>[effect:break_attack_fix, target:unit_all, val:150, lowest_val:600, count:-1, color:blue, block01:block_blue, color:blue, block02:block_heart]</v>
      </c>
      <c r="O154" s="63">
        <f t="shared" si="37"/>
        <v>9</v>
      </c>
      <c r="P154" s="63">
        <f t="shared" si="38"/>
        <v>25</v>
      </c>
      <c r="Q154" s="63">
        <f t="shared" si="39"/>
        <v>34</v>
      </c>
      <c r="R154" s="63">
        <f t="shared" si="40"/>
        <v>42</v>
      </c>
      <c r="S154" s="63" t="str">
        <f>IFERROR(VLOOKUP(MID(N154,Q154,R154-Q154),[6]skilldef!$C:$D,2,FALSE),"-") &amp; " / " &amp; IFERROR(VLOOKUP(MID(N154,O154,P154-O154),[6]skilldef!$A:$B,2,FALSE),"-")</f>
        <v>味方全体に / -</v>
      </c>
      <c r="T154" s="48" t="str">
        <f t="shared" si="41"/>
        <v>none</v>
      </c>
      <c r="U154" s="63" t="e">
        <f t="shared" si="42"/>
        <v>#VALUE!</v>
      </c>
      <c r="V154" s="63">
        <f t="shared" si="43"/>
        <v>4</v>
      </c>
      <c r="W154" s="63" t="e">
        <f t="shared" si="44"/>
        <v>#VALUE!</v>
      </c>
      <c r="X154" s="63" t="e">
        <f t="shared" si="45"/>
        <v>#VALUE!</v>
      </c>
      <c r="Y154" s="63" t="str">
        <f>IFERROR(VLOOKUP(MID(T154,W154,X154-W154),[6]skilldef!$C:$D,2,FALSE),"-") &amp; " / " &amp; IFERROR(VLOOKUP(MID(T154,U154,V154-U154),[6]skilldef!$A:$B,2,FALSE),"-")</f>
        <v>- / -</v>
      </c>
      <c r="Z154" s="50"/>
      <c r="AA154" s="52"/>
      <c r="AB154" s="50"/>
    </row>
    <row r="155" spans="1:28" ht="40" customHeight="1" x14ac:dyDescent="0.15">
      <c r="A155" s="128">
        <v>47004464</v>
      </c>
      <c r="B155" s="135" t="s">
        <v>584</v>
      </c>
      <c r="C155" s="50">
        <v>3</v>
      </c>
      <c r="D155" s="50" t="s">
        <v>127</v>
      </c>
      <c r="E155" s="51" t="s">
        <v>342</v>
      </c>
      <c r="F155" s="51" t="s">
        <v>379</v>
      </c>
      <c r="G155" s="63" t="str">
        <f t="shared" si="31"/>
        <v>[effect:enemy_message, val1:1.2, val2:2.4]</v>
      </c>
      <c r="H155" s="63">
        <f t="shared" si="32"/>
        <v>9</v>
      </c>
      <c r="I155" s="63">
        <f t="shared" si="33"/>
        <v>22</v>
      </c>
      <c r="J155" s="63" t="e">
        <f t="shared" si="34"/>
        <v>#VALUE!</v>
      </c>
      <c r="K155" s="63">
        <f t="shared" si="35"/>
        <v>32</v>
      </c>
      <c r="L155" s="63" t="str">
        <f>IFERROR(VLOOKUP(MID(G155,J155,K155-J155),[6]skilldef!$C:$D,2,FALSE),"-") &amp; " / " &amp; IFERROR(VLOOKUP(MID(G155,H155,I155-H155),[6]skilldef!$A:$B,2,FALSE),"-")</f>
        <v>- / -</v>
      </c>
      <c r="M155" s="63" t="str">
        <f t="shared" si="36"/>
        <v xml:space="preserve">[effect:force_change_block, new_block:damage, target:block_red, count:3, val:0.02],[effect:rush, count:1, val:1.0]    </v>
      </c>
      <c r="N155" s="48" t="str">
        <f>IFERROR(LEFT(M155,FIND("],",M155)+#REF!),M155)</f>
        <v xml:space="preserve">[effect:force_change_block, new_block:damage, target:block_red, count:3, val:0.02],[effect:rush, count:1, val:1.0]    </v>
      </c>
      <c r="O155" s="63">
        <f t="shared" si="37"/>
        <v>9</v>
      </c>
      <c r="P155" s="63">
        <f t="shared" si="38"/>
        <v>27</v>
      </c>
      <c r="Q155" s="63">
        <f t="shared" si="39"/>
        <v>54</v>
      </c>
      <c r="R155" s="63">
        <f t="shared" si="40"/>
        <v>45</v>
      </c>
      <c r="S155" s="63" t="str">
        <f>IFERROR(VLOOKUP(MID(N155,Q155,R155-Q155),[6]skilldef!$C:$D,2,FALSE),"-") &amp; " / " &amp; IFERROR(VLOOKUP(MID(N155,O155,P155-O155),[6]skilldef!$A:$B,2,FALSE),"-")</f>
        <v>- / -</v>
      </c>
      <c r="T155" s="48" t="str">
        <f t="shared" si="41"/>
        <v xml:space="preserve">[effect:rush, count:1, val:1.0]    </v>
      </c>
      <c r="U155" s="63">
        <f t="shared" si="42"/>
        <v>9</v>
      </c>
      <c r="V155" s="63">
        <f t="shared" si="43"/>
        <v>13</v>
      </c>
      <c r="W155" s="63" t="e">
        <f t="shared" si="44"/>
        <v>#VALUE!</v>
      </c>
      <c r="X155" s="63">
        <f t="shared" si="45"/>
        <v>22</v>
      </c>
      <c r="Y155" s="63" t="str">
        <f>IFERROR(VLOOKUP(MID(T155,W155,X155-W155),[6]skilldef!$C:$D,2,FALSE),"-") &amp; " / " &amp; IFERROR(VLOOKUP(MID(T155,U155,V155-U155),[6]skilldef!$A:$B,2,FALSE),"-")</f>
        <v>- / 連続攻撃</v>
      </c>
      <c r="Z155" s="50"/>
      <c r="AA155" s="52"/>
      <c r="AB155" s="50"/>
    </row>
    <row r="156" spans="1:28" ht="40" customHeight="1" x14ac:dyDescent="0.15">
      <c r="A156" s="128">
        <v>47004465</v>
      </c>
      <c r="B156" s="133" t="s">
        <v>559</v>
      </c>
      <c r="C156" s="50">
        <v>3</v>
      </c>
      <c r="D156" s="50" t="s">
        <v>127</v>
      </c>
      <c r="E156" s="51" t="s">
        <v>331</v>
      </c>
      <c r="F156" s="51" t="s">
        <v>257</v>
      </c>
      <c r="G156" s="63" t="str">
        <f t="shared" si="31"/>
        <v>[effect:enemy_message, val1:1.2, val2:1.2]</v>
      </c>
      <c r="H156" s="63">
        <f t="shared" si="32"/>
        <v>9</v>
      </c>
      <c r="I156" s="63">
        <f t="shared" si="33"/>
        <v>22</v>
      </c>
      <c r="J156" s="63" t="e">
        <f t="shared" si="34"/>
        <v>#VALUE!</v>
      </c>
      <c r="K156" s="63">
        <f t="shared" si="35"/>
        <v>32</v>
      </c>
      <c r="L156" s="63" t="str">
        <f>IFERROR(VLOOKUP(MID(G156,J156,K156-J156),[6]skilldef!$C:$D,2,FALSE),"-") &amp; " / " &amp; IFERROR(VLOOKUP(MID(G156,H156,I156-H156),[6]skilldef!$A:$B,2,FALSE),"-")</f>
        <v>- / -</v>
      </c>
      <c r="M156" s="63" t="str">
        <f t="shared" si="36"/>
        <v>[effect:spread, val:0.35]</v>
      </c>
      <c r="N156" s="48" t="str">
        <f>IFERROR(LEFT(M156,FIND("],",M156)+#REF!),M156)</f>
        <v>[effect:spread, val:0.35]</v>
      </c>
      <c r="O156" s="63">
        <f t="shared" si="37"/>
        <v>9</v>
      </c>
      <c r="P156" s="63">
        <f t="shared" si="38"/>
        <v>15</v>
      </c>
      <c r="Q156" s="63" t="e">
        <f t="shared" si="39"/>
        <v>#VALUE!</v>
      </c>
      <c r="R156" s="63" t="e">
        <f t="shared" si="40"/>
        <v>#VALUE!</v>
      </c>
      <c r="S156" s="63" t="str">
        <f>IFERROR(VLOOKUP(MID(N156,Q156,R156-Q156),[6]skilldef!$C:$D,2,FALSE),"-") &amp; " / " &amp; IFERROR(VLOOKUP(MID(N156,O156,P156-O156),[6]skilldef!$A:$B,2,FALSE),"-")</f>
        <v>- / 全体攻撃</v>
      </c>
      <c r="T156" s="48" t="str">
        <f t="shared" si="41"/>
        <v>none</v>
      </c>
      <c r="U156" s="63" t="e">
        <f t="shared" si="42"/>
        <v>#VALUE!</v>
      </c>
      <c r="V156" s="63">
        <f t="shared" si="43"/>
        <v>4</v>
      </c>
      <c r="W156" s="63" t="e">
        <f t="shared" si="44"/>
        <v>#VALUE!</v>
      </c>
      <c r="X156" s="63" t="e">
        <f t="shared" si="45"/>
        <v>#VALUE!</v>
      </c>
      <c r="Y156" s="63" t="str">
        <f>IFERROR(VLOOKUP(MID(T156,W156,X156-W156),[6]skilldef!$C:$D,2,FALSE),"-") &amp; " / " &amp; IFERROR(VLOOKUP(MID(T156,U156,V156-U156),[6]skilldef!$A:$B,2,FALSE),"-")</f>
        <v>- / -</v>
      </c>
      <c r="Z156" s="50"/>
      <c r="AA156" s="52"/>
      <c r="AB156" s="50"/>
    </row>
    <row r="157" spans="1:28" ht="40" customHeight="1" x14ac:dyDescent="0.15">
      <c r="A157" s="128">
        <v>47004466</v>
      </c>
      <c r="B157" s="135" t="s">
        <v>585</v>
      </c>
      <c r="C157" s="50">
        <v>3</v>
      </c>
      <c r="D157" s="50" t="s">
        <v>127</v>
      </c>
      <c r="E157" s="51" t="s">
        <v>330</v>
      </c>
      <c r="F157" s="51" t="s">
        <v>429</v>
      </c>
      <c r="G157" s="63" t="str">
        <f t="shared" ref="G157:G161" si="47">IFERROR(LEFT(B157,FIND("],",B157)),B157)</f>
        <v>[effect:enemy_message, val1:1.2, val2:2.0]</v>
      </c>
      <c r="H157" s="63">
        <f t="shared" ref="H157:H161" si="48">FIND("effect:",G157)+7</f>
        <v>9</v>
      </c>
      <c r="I157" s="63">
        <f t="shared" ref="I157:I161" si="49">IFERROR(FIND(",",G157),LEN(G157))</f>
        <v>22</v>
      </c>
      <c r="J157" s="63" t="e">
        <f t="shared" ref="J157:J161" si="50">FIND("target:",G157)+7</f>
        <v>#VALUE!</v>
      </c>
      <c r="K157" s="63">
        <f t="shared" ref="K157:K161" si="51">FIND(",",G157,I157+1)</f>
        <v>32</v>
      </c>
      <c r="L157" s="63" t="str">
        <f>IFERROR(VLOOKUP(MID(G157,J157,K157-J157),[6]skilldef!$C:$D,2,FALSE),"-") &amp; " / " &amp; IFERROR(VLOOKUP(MID(G157,H157,I157-H157),[6]skilldef!$A:$B,2,FALSE),"-")</f>
        <v>- / -</v>
      </c>
      <c r="M157" s="63" t="str">
        <f t="shared" ref="M157:M161" si="52">IFERROR(RIGHT(B157,LEN(B157)-FIND("],",B157)-1),"none")</f>
        <v>[effect:break_attack_fix, target:unit_all, val:150, lowest_val:600, count:-1, color:blue, block01:block_blue, color:blue, block02:block_heart]</v>
      </c>
      <c r="N157" s="48" t="str">
        <f>IFERROR(LEFT(M157,FIND("],",M157)+#REF!),M157)</f>
        <v>[effect:break_attack_fix, target:unit_all, val:150, lowest_val:600, count:-1, color:blue, block01:block_blue, color:blue, block02:block_heart]</v>
      </c>
      <c r="O157" s="63">
        <f t="shared" ref="O157:O161" si="53">FIND("effect:",N157)+7</f>
        <v>9</v>
      </c>
      <c r="P157" s="63">
        <f t="shared" ref="P157:P161" si="54">IFERROR(FIND(",",N157),LEN(N157))</f>
        <v>25</v>
      </c>
      <c r="Q157" s="63">
        <f t="shared" ref="Q157:Q161" si="55">FIND("target:",N157)+7</f>
        <v>34</v>
      </c>
      <c r="R157" s="63">
        <f t="shared" ref="R157:R161" si="56">FIND(",",N157,P157+1)</f>
        <v>42</v>
      </c>
      <c r="S157" s="63" t="str">
        <f>IFERROR(VLOOKUP(MID(N157,Q157,R157-Q157),[6]skilldef!$C:$D,2,FALSE),"-") &amp; " / " &amp; IFERROR(VLOOKUP(MID(N157,O157,P157-O157),[6]skilldef!$A:$B,2,FALSE),"-")</f>
        <v>味方全体に / -</v>
      </c>
      <c r="T157" s="48" t="str">
        <f t="shared" ref="T157:T161" si="57">IFERROR(RIGHT(M157,LEN(M157)-FIND("],",M157)-1),"none")</f>
        <v>none</v>
      </c>
      <c r="U157" s="63" t="e">
        <f t="shared" ref="U157:U161" si="58">FIND("effect:",T157)+7</f>
        <v>#VALUE!</v>
      </c>
      <c r="V157" s="63">
        <f t="shared" ref="V157:V161" si="59">IFERROR(FIND(",",T157),LEN(T157))</f>
        <v>4</v>
      </c>
      <c r="W157" s="63" t="e">
        <f t="shared" ref="W157:W161" si="60">FIND("target:",T157)+7</f>
        <v>#VALUE!</v>
      </c>
      <c r="X157" s="63" t="e">
        <f t="shared" ref="X157:X161" si="61">FIND(",",T157,V157+1)</f>
        <v>#VALUE!</v>
      </c>
      <c r="Y157" s="63" t="str">
        <f>IFERROR(VLOOKUP(MID(T157,W157,X157-W157),[6]skilldef!$C:$D,2,FALSE),"-") &amp; " / " &amp; IFERROR(VLOOKUP(MID(T157,U157,V157-U157),[6]skilldef!$A:$B,2,FALSE),"-")</f>
        <v>- / -</v>
      </c>
      <c r="Z157" s="50"/>
      <c r="AA157" s="52"/>
      <c r="AB157" s="50"/>
    </row>
    <row r="158" spans="1:28" ht="40" customHeight="1" x14ac:dyDescent="0.15">
      <c r="A158" s="128">
        <v>47004467</v>
      </c>
      <c r="B158" s="135" t="s">
        <v>586</v>
      </c>
      <c r="C158" s="50">
        <v>3</v>
      </c>
      <c r="D158" s="50" t="s">
        <v>127</v>
      </c>
      <c r="E158" s="51" t="s">
        <v>337</v>
      </c>
      <c r="F158" s="51" t="s">
        <v>380</v>
      </c>
      <c r="G158" s="63" t="str">
        <f t="shared" si="47"/>
        <v>[effect:enemy_message, val1:1.2, val2:2.4]</v>
      </c>
      <c r="H158" s="63">
        <f t="shared" si="48"/>
        <v>9</v>
      </c>
      <c r="I158" s="63">
        <f t="shared" si="49"/>
        <v>22</v>
      </c>
      <c r="J158" s="63" t="e">
        <f t="shared" si="50"/>
        <v>#VALUE!</v>
      </c>
      <c r="K158" s="63">
        <f t="shared" si="51"/>
        <v>32</v>
      </c>
      <c r="L158" s="63" t="str">
        <f>IFERROR(VLOOKUP(MID(G158,J158,K158-J158),[6]skilldef!$C:$D,2,FALSE),"-") &amp; " / " &amp; IFERROR(VLOOKUP(MID(G158,H158,I158-H158),[6]skilldef!$A:$B,2,FALSE),"-")</f>
        <v>- / -</v>
      </c>
      <c r="M158" s="63" t="str">
        <f t="shared" si="52"/>
        <v xml:space="preserve">[effect:force_change_block, new_block:damage, target:block_green, count:3, val:0.02],[effect:rush, count:1, val:1.0]    </v>
      </c>
      <c r="N158" s="48" t="str">
        <f>IFERROR(LEFT(M158,FIND("],",M158)+#REF!),M158)</f>
        <v xml:space="preserve">[effect:force_change_block, new_block:damage, target:block_green, count:3, val:0.02],[effect:rush, count:1, val:1.0]    </v>
      </c>
      <c r="O158" s="63">
        <f t="shared" si="53"/>
        <v>9</v>
      </c>
      <c r="P158" s="63">
        <f t="shared" si="54"/>
        <v>27</v>
      </c>
      <c r="Q158" s="63">
        <f t="shared" si="55"/>
        <v>54</v>
      </c>
      <c r="R158" s="63">
        <f t="shared" si="56"/>
        <v>45</v>
      </c>
      <c r="S158" s="63" t="str">
        <f>IFERROR(VLOOKUP(MID(N158,Q158,R158-Q158),[6]skilldef!$C:$D,2,FALSE),"-") &amp; " / " &amp; IFERROR(VLOOKUP(MID(N158,O158,P158-O158),[6]skilldef!$A:$B,2,FALSE),"-")</f>
        <v>- / -</v>
      </c>
      <c r="T158" s="48" t="str">
        <f t="shared" si="57"/>
        <v xml:space="preserve">[effect:rush, count:1, val:1.0]    </v>
      </c>
      <c r="U158" s="63">
        <f t="shared" si="58"/>
        <v>9</v>
      </c>
      <c r="V158" s="63">
        <f t="shared" si="59"/>
        <v>13</v>
      </c>
      <c r="W158" s="63" t="e">
        <f t="shared" si="60"/>
        <v>#VALUE!</v>
      </c>
      <c r="X158" s="63">
        <f t="shared" si="61"/>
        <v>22</v>
      </c>
      <c r="Y158" s="63" t="str">
        <f>IFERROR(VLOOKUP(MID(T158,W158,X158-W158),[6]skilldef!$C:$D,2,FALSE),"-") &amp; " / " &amp; IFERROR(VLOOKUP(MID(T158,U158,V158-U158),[6]skilldef!$A:$B,2,FALSE),"-")</f>
        <v>- / 連続攻撃</v>
      </c>
      <c r="Z158" s="50"/>
      <c r="AA158" s="52"/>
      <c r="AB158" s="50"/>
    </row>
    <row r="159" spans="1:28" ht="40" customHeight="1" x14ac:dyDescent="0.15">
      <c r="A159" s="128">
        <v>47004468</v>
      </c>
      <c r="B159" s="133" t="s">
        <v>562</v>
      </c>
      <c r="C159" s="50">
        <v>3</v>
      </c>
      <c r="D159" s="50" t="s">
        <v>127</v>
      </c>
      <c r="E159" s="51" t="s">
        <v>334</v>
      </c>
      <c r="F159" s="51" t="s">
        <v>297</v>
      </c>
      <c r="G159" s="63" t="str">
        <f t="shared" si="47"/>
        <v>[effect:enemy_message, val1:1.2, val2:1.2]</v>
      </c>
      <c r="H159" s="63">
        <f t="shared" si="48"/>
        <v>9</v>
      </c>
      <c r="I159" s="63">
        <f t="shared" si="49"/>
        <v>22</v>
      </c>
      <c r="J159" s="63" t="e">
        <f t="shared" si="50"/>
        <v>#VALUE!</v>
      </c>
      <c r="K159" s="63">
        <f t="shared" si="51"/>
        <v>32</v>
      </c>
      <c r="L159" s="63" t="str">
        <f>IFERROR(VLOOKUP(MID(G159,J159,K159-J159),[6]skilldef!$C:$D,2,FALSE),"-") &amp; " / " &amp; IFERROR(VLOOKUP(MID(G159,H159,I159-H159),[6]skilldef!$A:$B,2,FALSE),"-")</f>
        <v>- / -</v>
      </c>
      <c r="M159" s="63" t="str">
        <f t="shared" si="52"/>
        <v xml:space="preserve">[effect:rush, count:24, val:0.07],[effect:critical, val:1.4] </v>
      </c>
      <c r="N159" s="48" t="str">
        <f>IFERROR(LEFT(M159,FIND("],",M159)+#REF!),M159)</f>
        <v xml:space="preserve">[effect:rush, count:24, val:0.07],[effect:critical, val:1.4] </v>
      </c>
      <c r="O159" s="63">
        <f t="shared" si="53"/>
        <v>9</v>
      </c>
      <c r="P159" s="63">
        <f t="shared" si="54"/>
        <v>13</v>
      </c>
      <c r="Q159" s="63" t="e">
        <f t="shared" si="55"/>
        <v>#VALUE!</v>
      </c>
      <c r="R159" s="63">
        <f t="shared" si="56"/>
        <v>23</v>
      </c>
      <c r="S159" s="63" t="str">
        <f>IFERROR(VLOOKUP(MID(N159,Q159,R159-Q159),[6]skilldef!$C:$D,2,FALSE),"-") &amp; " / " &amp; IFERROR(VLOOKUP(MID(N159,O159,P159-O159),[6]skilldef!$A:$B,2,FALSE),"-")</f>
        <v>- / 連続攻撃</v>
      </c>
      <c r="T159" s="48" t="str">
        <f t="shared" si="57"/>
        <v xml:space="preserve">[effect:critical, val:1.4] </v>
      </c>
      <c r="U159" s="63">
        <f t="shared" si="58"/>
        <v>9</v>
      </c>
      <c r="V159" s="63">
        <f t="shared" si="59"/>
        <v>17</v>
      </c>
      <c r="W159" s="63" t="e">
        <f t="shared" si="60"/>
        <v>#VALUE!</v>
      </c>
      <c r="X159" s="63" t="e">
        <f t="shared" si="61"/>
        <v>#VALUE!</v>
      </c>
      <c r="Y159" s="63" t="str">
        <f>IFERROR(VLOOKUP(MID(T159,W159,X159-W159),[6]skilldef!$C:$D,2,FALSE),"-") &amp; " / " &amp; IFERROR(VLOOKUP(MID(T159,U159,V159-U159),[6]skilldef!$A:$B,2,FALSE),"-")</f>
        <v>- / 大攻撃</v>
      </c>
      <c r="Z159" s="50"/>
      <c r="AA159" s="52"/>
      <c r="AB159" s="50"/>
    </row>
    <row r="160" spans="1:28" ht="40" customHeight="1" x14ac:dyDescent="0.15">
      <c r="A160" s="128">
        <v>47004469</v>
      </c>
      <c r="B160" s="133" t="s">
        <v>563</v>
      </c>
      <c r="C160" s="50">
        <v>3</v>
      </c>
      <c r="D160" s="50" t="s">
        <v>127</v>
      </c>
      <c r="E160" s="51" t="s">
        <v>340</v>
      </c>
      <c r="F160" s="51" t="s">
        <v>346</v>
      </c>
      <c r="G160" s="63" t="str">
        <f t="shared" si="47"/>
        <v>[effect:enemy_message, val1:1.5, val2:2.0]</v>
      </c>
      <c r="H160" s="63">
        <f t="shared" si="48"/>
        <v>9</v>
      </c>
      <c r="I160" s="63">
        <f t="shared" si="49"/>
        <v>22</v>
      </c>
      <c r="J160" s="63" t="e">
        <f t="shared" si="50"/>
        <v>#VALUE!</v>
      </c>
      <c r="K160" s="63">
        <f t="shared" si="51"/>
        <v>32</v>
      </c>
      <c r="L160" s="63" t="str">
        <f>IFERROR(VLOOKUP(MID(G160,J160,K160-J160),[6]skilldef!$C:$D,2,FALSE),"-") &amp; " / " &amp; IFERROR(VLOOKUP(MID(G160,H160,I160-H160),[6]skilldef!$A:$B,2,FALSE),"-")</f>
        <v>- / -</v>
      </c>
      <c r="M160" s="63" t="str">
        <f t="shared" si="52"/>
        <v>[effect:suicide, val:1, dead_type:suicide]</v>
      </c>
      <c r="N160" s="48" t="str">
        <f>IFERROR(LEFT(M160,FIND("],",M160)+#REF!),M160)</f>
        <v>[effect:suicide, val:1, dead_type:suicide]</v>
      </c>
      <c r="O160" s="63">
        <f t="shared" si="53"/>
        <v>9</v>
      </c>
      <c r="P160" s="63">
        <f t="shared" si="54"/>
        <v>16</v>
      </c>
      <c r="Q160" s="63" t="e">
        <f t="shared" si="55"/>
        <v>#VALUE!</v>
      </c>
      <c r="R160" s="63">
        <f t="shared" si="56"/>
        <v>23</v>
      </c>
      <c r="S160" s="63" t="str">
        <f>IFERROR(VLOOKUP(MID(N160,Q160,R160-Q160),[6]skilldef!$C:$D,2,FALSE),"-") &amp; " / " &amp; IFERROR(VLOOKUP(MID(N160,O160,P160-O160),[6]skilldef!$A:$B,2,FALSE),"-")</f>
        <v>- / -</v>
      </c>
      <c r="T160" s="48" t="str">
        <f t="shared" si="57"/>
        <v>none</v>
      </c>
      <c r="U160" s="63" t="e">
        <f t="shared" si="58"/>
        <v>#VALUE!</v>
      </c>
      <c r="V160" s="63">
        <f t="shared" si="59"/>
        <v>4</v>
      </c>
      <c r="W160" s="63" t="e">
        <f t="shared" si="60"/>
        <v>#VALUE!</v>
      </c>
      <c r="X160" s="63" t="e">
        <f t="shared" si="61"/>
        <v>#VALUE!</v>
      </c>
      <c r="Y160" s="63" t="str">
        <f>IFERROR(VLOOKUP(MID(T160,W160,X160-W160),[6]skilldef!$C:$D,2,FALSE),"-") &amp; " / " &amp; IFERROR(VLOOKUP(MID(T160,U160,V160-U160),[6]skilldef!$A:$B,2,FALSE),"-")</f>
        <v>- / -</v>
      </c>
      <c r="Z160" s="50"/>
      <c r="AA160" s="52"/>
      <c r="AB160" s="50"/>
    </row>
    <row r="161" spans="1:28" ht="40" customHeight="1" x14ac:dyDescent="0.15">
      <c r="A161" s="128">
        <v>47004470</v>
      </c>
      <c r="B161" s="133" t="s">
        <v>564</v>
      </c>
      <c r="C161" s="50">
        <v>3</v>
      </c>
      <c r="D161" s="50" t="s">
        <v>127</v>
      </c>
      <c r="E161" s="51" t="s">
        <v>344</v>
      </c>
      <c r="F161" s="51" t="s">
        <v>341</v>
      </c>
      <c r="G161" s="63" t="str">
        <f t="shared" si="47"/>
        <v>[effect:enemy_message, val1:2.2, val2:2.8]</v>
      </c>
      <c r="H161" s="63">
        <f t="shared" si="48"/>
        <v>9</v>
      </c>
      <c r="I161" s="63">
        <f t="shared" si="49"/>
        <v>22</v>
      </c>
      <c r="J161" s="63" t="e">
        <f t="shared" si="50"/>
        <v>#VALUE!</v>
      </c>
      <c r="K161" s="63">
        <f t="shared" si="51"/>
        <v>32</v>
      </c>
      <c r="L161" s="63" t="str">
        <f>IFERROR(VLOOKUP(MID(G161,J161,K161-J161),[6]skilldef!$C:$D,2,FALSE),"-") &amp; " / " &amp; IFERROR(VLOOKUP(MID(G161,H161,I161-H161),[6]skilldef!$A:$B,2,FALSE),"-")</f>
        <v>- / -</v>
      </c>
      <c r="M161" s="63" t="str">
        <f t="shared" si="52"/>
        <v>none</v>
      </c>
      <c r="N161" s="48" t="str">
        <f>IFERROR(LEFT(M161,FIND("],",M161)+S171),M161)</f>
        <v>none</v>
      </c>
      <c r="O161" s="63" t="e">
        <f t="shared" si="53"/>
        <v>#VALUE!</v>
      </c>
      <c r="P161" s="63">
        <f t="shared" si="54"/>
        <v>4</v>
      </c>
      <c r="Q161" s="63" t="e">
        <f t="shared" si="55"/>
        <v>#VALUE!</v>
      </c>
      <c r="R161" s="63" t="e">
        <f t="shared" si="56"/>
        <v>#VALUE!</v>
      </c>
      <c r="S161" s="63" t="str">
        <f>IFERROR(VLOOKUP(MID(N161,Q161,R161-Q161),[6]skilldef!$C:$D,2,FALSE),"-") &amp; " / " &amp; IFERROR(VLOOKUP(MID(N161,O161,P161-O161),[6]skilldef!$A:$B,2,FALSE),"-")</f>
        <v>- / -</v>
      </c>
      <c r="T161" s="48" t="str">
        <f t="shared" si="57"/>
        <v>none</v>
      </c>
      <c r="U161" s="63" t="e">
        <f t="shared" si="58"/>
        <v>#VALUE!</v>
      </c>
      <c r="V161" s="63">
        <f t="shared" si="59"/>
        <v>4</v>
      </c>
      <c r="W161" s="63" t="e">
        <f t="shared" si="60"/>
        <v>#VALUE!</v>
      </c>
      <c r="X161" s="63" t="e">
        <f t="shared" si="61"/>
        <v>#VALUE!</v>
      </c>
      <c r="Y161" s="63" t="str">
        <f>IFERROR(VLOOKUP(MID(T161,W161,X161-W161),[6]skilldef!$C:$D,2,FALSE),"-") &amp; " / " &amp; IFERROR(VLOOKUP(MID(T161,U161,V161-U161),[6]skilldef!$A:$B,2,FALSE),"-")</f>
        <v>- / -</v>
      </c>
      <c r="Z161" s="50"/>
      <c r="AA161" s="52"/>
      <c r="AB161" s="50"/>
    </row>
    <row r="162" spans="1:28" ht="40" customHeight="1" x14ac:dyDescent="0.15">
      <c r="A162" s="127">
        <v>47004501</v>
      </c>
      <c r="B162" s="133" t="s">
        <v>491</v>
      </c>
      <c r="C162" s="50">
        <v>3</v>
      </c>
      <c r="D162" s="50" t="s">
        <v>127</v>
      </c>
      <c r="E162" s="51" t="s">
        <v>303</v>
      </c>
      <c r="F162" s="51" t="s">
        <v>304</v>
      </c>
      <c r="G162" s="63" t="str">
        <f>IFERROR(LEFT(B162,FIND("],",B162)),B162)</f>
        <v>[effect:enemy_message, val1:1.2, val2:2.0]</v>
      </c>
      <c r="H162" s="63">
        <f>FIND("effect:",G162)+7</f>
        <v>9</v>
      </c>
      <c r="I162" s="63">
        <f>IFERROR(FIND(",",G162),LEN(G162))</f>
        <v>22</v>
      </c>
      <c r="J162" s="63" t="e">
        <f>FIND("target:",G162)+7</f>
        <v>#VALUE!</v>
      </c>
      <c r="K162" s="63">
        <f>FIND(",",G162,I162+1)</f>
        <v>32</v>
      </c>
      <c r="L162" s="63" t="str">
        <f>IFERROR(VLOOKUP(MID(G162,J162,K162-J162),[6]skilldef!$C:$D,2,FALSE),"-") &amp; " / " &amp; IFERROR(VLOOKUP(MID(G162,H162,I162-H162),[6]skilldef!$A:$B,2,FALSE),"-")</f>
        <v>- / -</v>
      </c>
      <c r="M162" s="63" t="str">
        <f>IFERROR(RIGHT(B162,LEN(B162)-FIND("],",B162)-1),"none")</f>
        <v>[effect:fix_speed, target:myself, turn:1]</v>
      </c>
      <c r="N162" s="48" t="str">
        <f>IFERROR(LEFT(M162,FIND("],",M162)+S175),M162)</f>
        <v>[effect:fix_speed, target:myself, turn:1]</v>
      </c>
      <c r="O162" s="63">
        <f>FIND("effect:",N162)+7</f>
        <v>9</v>
      </c>
      <c r="P162" s="63">
        <f>IFERROR(FIND(",",N162),LEN(N162))</f>
        <v>18</v>
      </c>
      <c r="Q162" s="63">
        <f>FIND("target:",N162)+7</f>
        <v>27</v>
      </c>
      <c r="R162" s="63">
        <f>FIND(",",N162,P162+1)</f>
        <v>33</v>
      </c>
      <c r="S162" s="63" t="str">
        <f>IFERROR(VLOOKUP(MID(N162,Q162,R162-Q162),[6]skilldef!$C:$D,2,FALSE),"-") &amp; " / " &amp; IFERROR(VLOOKUP(MID(N162,O162,P162-O162),[6]skilldef!$A:$B,2,FALSE),"-")</f>
        <v>自分自身に / 行動値設定</v>
      </c>
      <c r="T162" s="48" t="str">
        <f>IFERROR(RIGHT(M162,LEN(M162)-FIND("],",M162)-1),"none")</f>
        <v>none</v>
      </c>
      <c r="U162" s="63" t="e">
        <f>FIND("effect:",T162)+7</f>
        <v>#VALUE!</v>
      </c>
      <c r="V162" s="63">
        <f>IFERROR(FIND(",",T162),LEN(T162))</f>
        <v>4</v>
      </c>
      <c r="W162" s="63" t="e">
        <f>FIND("target:",T162)+7</f>
        <v>#VALUE!</v>
      </c>
      <c r="X162" s="63" t="e">
        <f>FIND(",",T162,V162+1)</f>
        <v>#VALUE!</v>
      </c>
      <c r="Y162" s="63" t="str">
        <f>IFERROR(VLOOKUP(MID(T162,W162,X162-W162),[6]skilldef!$C:$D,2,FALSE),"-") &amp; " / " &amp; IFERROR(VLOOKUP(MID(T162,U162,V162-U162),[6]skilldef!$A:$B,2,FALSE),"-")</f>
        <v>- / -</v>
      </c>
      <c r="Z162" s="50"/>
      <c r="AA162" s="52"/>
      <c r="AB162" s="50"/>
    </row>
    <row r="163" spans="1:28" ht="40" customHeight="1" x14ac:dyDescent="0.15">
      <c r="A163" s="127">
        <v>47004502</v>
      </c>
      <c r="B163" s="133" t="s">
        <v>492</v>
      </c>
      <c r="C163" s="50">
        <v>3</v>
      </c>
      <c r="D163" s="50" t="s">
        <v>127</v>
      </c>
      <c r="E163" s="51" t="s">
        <v>308</v>
      </c>
      <c r="F163" s="51" t="s">
        <v>430</v>
      </c>
      <c r="G163" s="63" t="str">
        <f t="shared" ref="G163:G236" si="62">IFERROR(LEFT(B163,FIND("],",B163)),B163)</f>
        <v>[effect:enemy_message, val1:1.2, val2:1.2]</v>
      </c>
      <c r="H163" s="63">
        <f t="shared" ref="H163:H236" si="63">FIND("effect:",G163)+7</f>
        <v>9</v>
      </c>
      <c r="I163" s="63">
        <f t="shared" ref="I163:I236" si="64">IFERROR(FIND(",",G163),LEN(G163))</f>
        <v>22</v>
      </c>
      <c r="J163" s="63" t="e">
        <f t="shared" ref="J163:J236" si="65">FIND("target:",G163)+7</f>
        <v>#VALUE!</v>
      </c>
      <c r="K163" s="63">
        <f t="shared" ref="K163:K236" si="66">FIND(",",G163,I163+1)</f>
        <v>32</v>
      </c>
      <c r="L163" s="63" t="str">
        <f>IFERROR(VLOOKUP(MID(G163,J163,K163-J163),[6]skilldef!$C:$D,2,FALSE),"-") &amp; " / " &amp; IFERROR(VLOOKUP(MID(G163,H163,I163-H163),[6]skilldef!$A:$B,2,FALSE),"-")</f>
        <v>- / -</v>
      </c>
      <c r="M163" s="63" t="str">
        <f t="shared" ref="M163:M236" si="67">IFERROR(RIGHT(B163,LEN(B163)-FIND("],",B163)-1),"none")</f>
        <v>[effect:rush, count:4, val:0.3]</v>
      </c>
      <c r="N163" s="48" t="str">
        <f>IFERROR(LEFT(M163,FIND("],",M163)+S175),M163)</f>
        <v>[effect:rush, count:4, val:0.3]</v>
      </c>
      <c r="O163" s="63">
        <f t="shared" ref="O163:O236" si="68">FIND("effect:",N163)+7</f>
        <v>9</v>
      </c>
      <c r="P163" s="63">
        <f t="shared" ref="P163:P236" si="69">IFERROR(FIND(",",N163),LEN(N163))</f>
        <v>13</v>
      </c>
      <c r="Q163" s="63" t="e">
        <f t="shared" ref="Q163:Q236" si="70">FIND("target:",N163)+7</f>
        <v>#VALUE!</v>
      </c>
      <c r="R163" s="63">
        <f t="shared" ref="R163:R236" si="71">FIND(",",N163,P163+1)</f>
        <v>22</v>
      </c>
      <c r="S163" s="63" t="str">
        <f>IFERROR(VLOOKUP(MID(N163,Q163,R163-Q163),[6]skilldef!$C:$D,2,FALSE),"-") &amp; " / " &amp; IFERROR(VLOOKUP(MID(N163,O163,P163-O163),[6]skilldef!$A:$B,2,FALSE),"-")</f>
        <v>- / 連続攻撃</v>
      </c>
      <c r="T163" s="48" t="str">
        <f t="shared" ref="T163:T236" si="72">IFERROR(RIGHT(M163,LEN(M163)-FIND("],",M163)-1),"none")</f>
        <v>none</v>
      </c>
      <c r="U163" s="63" t="e">
        <f t="shared" ref="U163:U236" si="73">FIND("effect:",T163)+7</f>
        <v>#VALUE!</v>
      </c>
      <c r="V163" s="63">
        <f t="shared" ref="V163:V236" si="74">IFERROR(FIND(",",T163),LEN(T163))</f>
        <v>4</v>
      </c>
      <c r="W163" s="63" t="e">
        <f t="shared" ref="W163:W236" si="75">FIND("target:",T163)+7</f>
        <v>#VALUE!</v>
      </c>
      <c r="X163" s="63" t="e">
        <f t="shared" ref="X163:X236" si="76">FIND(",",T163,V163+1)</f>
        <v>#VALUE!</v>
      </c>
      <c r="Y163" s="63" t="str">
        <f>IFERROR(VLOOKUP(MID(T163,W163,X163-W163),[6]skilldef!$C:$D,2,FALSE),"-") &amp; " / " &amp; IFERROR(VLOOKUP(MID(T163,U163,V163-U163),[6]skilldef!$A:$B,2,FALSE),"-")</f>
        <v>- / -</v>
      </c>
      <c r="Z163" s="50"/>
      <c r="AA163" s="52"/>
      <c r="AB163" s="50"/>
    </row>
    <row r="164" spans="1:28" ht="40" customHeight="1" x14ac:dyDescent="0.15">
      <c r="A164" s="127">
        <v>47004503</v>
      </c>
      <c r="B164" s="133" t="s">
        <v>493</v>
      </c>
      <c r="C164" s="50">
        <v>3</v>
      </c>
      <c r="D164" s="50" t="s">
        <v>127</v>
      </c>
      <c r="E164" s="51" t="s">
        <v>305</v>
      </c>
      <c r="F164" s="51" t="s">
        <v>453</v>
      </c>
      <c r="G164" s="63" t="str">
        <f t="shared" si="62"/>
        <v>[effect:enemy_message, val1:2.7, val2:1.2]</v>
      </c>
      <c r="H164" s="63">
        <f t="shared" si="63"/>
        <v>9</v>
      </c>
      <c r="I164" s="63">
        <f t="shared" si="64"/>
        <v>22</v>
      </c>
      <c r="J164" s="63" t="e">
        <f t="shared" si="65"/>
        <v>#VALUE!</v>
      </c>
      <c r="K164" s="63">
        <f t="shared" si="66"/>
        <v>32</v>
      </c>
      <c r="L164" s="63" t="str">
        <f>IFERROR(VLOOKUP(MID(G164,J164,K164-J164),[6]skilldef!$C:$D,2,FALSE),"-") &amp; " / " &amp; IFERROR(VLOOKUP(MID(G164,H164,I164-H164),[6]skilldef!$A:$B,2,FALSE),"-")</f>
        <v>- / -</v>
      </c>
      <c r="M164" s="63" t="str">
        <f t="shared" si="67"/>
        <v>[effect:enhance_enemy, target:enemy_all, turn:-1, status:attack, val:0.5, calc:mul, animation:enemy_enhance_attack]</v>
      </c>
      <c r="N164" s="48" t="str">
        <f>IFERROR(LEFT(M164,FIND("],",M164)+S176),M164)</f>
        <v>[effect:enhance_enemy, target:enemy_all, turn:-1, status:attack, val:0.5, calc:mul, animation:enemy_enhance_attack]</v>
      </c>
      <c r="O164" s="63">
        <f t="shared" si="68"/>
        <v>9</v>
      </c>
      <c r="P164" s="63">
        <f t="shared" si="69"/>
        <v>22</v>
      </c>
      <c r="Q164" s="63">
        <f t="shared" si="70"/>
        <v>31</v>
      </c>
      <c r="R164" s="63">
        <f t="shared" si="71"/>
        <v>40</v>
      </c>
      <c r="S164" s="63" t="str">
        <f>IFERROR(VLOOKUP(MID(N164,Q164,R164-Q164),[6]skilldef!$C:$D,2,FALSE),"-") &amp; " / " &amp; IFERROR(VLOOKUP(MID(N164,O164,P164-O164),[6]skilldef!$A:$B,2,FALSE),"-")</f>
        <v>敵全体に / ステータス強化</v>
      </c>
      <c r="T164" s="48" t="str">
        <f t="shared" si="72"/>
        <v>none</v>
      </c>
      <c r="U164" s="63" t="e">
        <f t="shared" si="73"/>
        <v>#VALUE!</v>
      </c>
      <c r="V164" s="63">
        <f t="shared" si="74"/>
        <v>4</v>
      </c>
      <c r="W164" s="63" t="e">
        <f t="shared" si="75"/>
        <v>#VALUE!</v>
      </c>
      <c r="X164" s="63" t="e">
        <f t="shared" si="76"/>
        <v>#VALUE!</v>
      </c>
      <c r="Y164" s="63" t="str">
        <f>IFERROR(VLOOKUP(MID(T164,W164,X164-W164),[6]skilldef!$C:$D,2,FALSE),"-") &amp; " / " &amp; IFERROR(VLOOKUP(MID(T164,U164,V164-U164),[6]skilldef!$A:$B,2,FALSE),"-")</f>
        <v>- / -</v>
      </c>
      <c r="Z164" s="50"/>
      <c r="AA164" s="52"/>
      <c r="AB164" s="50"/>
    </row>
    <row r="165" spans="1:28" ht="40" customHeight="1" x14ac:dyDescent="0.15">
      <c r="A165" s="127">
        <v>47004504</v>
      </c>
      <c r="B165" s="133" t="s">
        <v>494</v>
      </c>
      <c r="C165" s="50">
        <v>3</v>
      </c>
      <c r="D165" s="50" t="s">
        <v>127</v>
      </c>
      <c r="E165" s="116" t="s">
        <v>264</v>
      </c>
      <c r="F165" s="51" t="s">
        <v>454</v>
      </c>
      <c r="G165" s="63" t="str">
        <f t="shared" si="62"/>
        <v>[effect:enemy_message, val1:1.2, val2:5.0]</v>
      </c>
      <c r="H165" s="63">
        <f t="shared" si="63"/>
        <v>9</v>
      </c>
      <c r="I165" s="63">
        <f t="shared" si="64"/>
        <v>22</v>
      </c>
      <c r="J165" s="63" t="e">
        <f t="shared" si="65"/>
        <v>#VALUE!</v>
      </c>
      <c r="K165" s="63">
        <f t="shared" si="66"/>
        <v>32</v>
      </c>
      <c r="L165" s="63" t="str">
        <f>IFERROR(VLOOKUP(MID(G165,J165,K165-J165),[6]skilldef!$C:$D,2,FALSE),"-") &amp; " / " &amp; IFERROR(VLOOKUP(MID(G165,H165,I165-H165),[6]skilldef!$A:$B,2,FALSE),"-")</f>
        <v>- / -</v>
      </c>
      <c r="M165" s="63" t="str">
        <f t="shared" si="67"/>
        <v>[effect:fix_speed, target:myself, turn:1],[effect:sp_boost, target:unit_all, val:4],[effect:crash_condition, target:unit_all, turn:-1, val:-2, animation:crash_panel_reduce04],[effect:suicide, val:0.95]</v>
      </c>
      <c r="N165" s="48" t="str">
        <f>IFERROR(LEFT(M165,FIND("],",M165)+S177),M165)</f>
        <v>[effect:fix_speed, target:myself, turn:1],[effect:sp_boost, target:unit_all, val:4],[effect:crash_condition, target:unit_all, turn:-1, val:-2, animation:crash_panel_reduce04],[effect:suicide, val:0.95]</v>
      </c>
      <c r="O165" s="63">
        <f t="shared" si="68"/>
        <v>9</v>
      </c>
      <c r="P165" s="63">
        <f t="shared" si="69"/>
        <v>18</v>
      </c>
      <c r="Q165" s="63">
        <f t="shared" si="70"/>
        <v>27</v>
      </c>
      <c r="R165" s="63">
        <f t="shared" si="71"/>
        <v>33</v>
      </c>
      <c r="S165" s="63" t="str">
        <f>IFERROR(VLOOKUP(MID(N165,Q165,R165-Q165),[6]skilldef!$C:$D,2,FALSE),"-") &amp; " / " &amp; IFERROR(VLOOKUP(MID(N165,O165,P165-O165),[6]skilldef!$A:$B,2,FALSE),"-")</f>
        <v>自分自身に / 行動値設定</v>
      </c>
      <c r="T165" s="48" t="str">
        <f t="shared" si="72"/>
        <v>[effect:sp_boost, target:unit_all, val:4],[effect:crash_condition, target:unit_all, turn:-1, val:-2, animation:crash_panel_reduce04],[effect:suicide, val:0.95]</v>
      </c>
      <c r="U165" s="63">
        <f t="shared" si="73"/>
        <v>9</v>
      </c>
      <c r="V165" s="63">
        <f t="shared" si="74"/>
        <v>17</v>
      </c>
      <c r="W165" s="63">
        <f t="shared" si="75"/>
        <v>26</v>
      </c>
      <c r="X165" s="63">
        <f t="shared" si="76"/>
        <v>34</v>
      </c>
      <c r="Y165" s="63" t="str">
        <f>IFERROR(VLOOKUP(MID(T165,W165,X165-W165),[6]skilldef!$C:$D,2,FALSE),"-") &amp; " / " &amp; IFERROR(VLOOKUP(MID(T165,U165,V165-U165),[6]skilldef!$A:$B,2,FALSE),"-")</f>
        <v>味方全体に / -</v>
      </c>
      <c r="Z165" s="50"/>
      <c r="AA165" s="52"/>
      <c r="AB165" s="50"/>
    </row>
    <row r="166" spans="1:28" ht="40" customHeight="1" x14ac:dyDescent="0.15">
      <c r="A166" s="127">
        <v>47004505</v>
      </c>
      <c r="B166" s="133" t="s">
        <v>495</v>
      </c>
      <c r="C166" s="50">
        <v>3</v>
      </c>
      <c r="D166" s="50" t="s">
        <v>127</v>
      </c>
      <c r="E166" s="116" t="s">
        <v>265</v>
      </c>
      <c r="F166" s="51" t="s">
        <v>490</v>
      </c>
      <c r="G166" s="63" t="str">
        <f t="shared" si="62"/>
        <v>[effect:enemy_message, val1:1.7, val2:5.0]</v>
      </c>
      <c r="H166" s="63">
        <f t="shared" si="63"/>
        <v>9</v>
      </c>
      <c r="I166" s="63">
        <f t="shared" si="64"/>
        <v>22</v>
      </c>
      <c r="J166" s="63" t="e">
        <f t="shared" si="65"/>
        <v>#VALUE!</v>
      </c>
      <c r="K166" s="63">
        <f t="shared" si="66"/>
        <v>32</v>
      </c>
      <c r="L166" s="63" t="str">
        <f>IFERROR(VLOOKUP(MID(G166,J166,K166-J166),[6]skilldef!$C:$D,2,FALSE),"-") &amp; " / " &amp; IFERROR(VLOOKUP(MID(G166,H166,I166-H166),[6]skilldef!$A:$B,2,FALSE),"-")</f>
        <v>- / -</v>
      </c>
      <c r="M166" s="63" t="str">
        <f t="shared" si="67"/>
        <v>[effect:fix_speed, target:myself, turn:1],[effect:sp_boost, target:unit_all, val:4],[effect:crash_condition, target:unit_all, turn:-1, val:-2, animation:crash_panel_reduce04],[effect:suicide, val:0.95]</v>
      </c>
      <c r="N166" s="48" t="str">
        <f>IFERROR(LEFT(M166,FIND("],",M166)+S178),M166)</f>
        <v>[effect:fix_speed, target:myself, turn:1],[effect:sp_boost, target:unit_all, val:4],[effect:crash_condition, target:unit_all, turn:-1, val:-2, animation:crash_panel_reduce04],[effect:suicide, val:0.95]</v>
      </c>
      <c r="O166" s="63">
        <f t="shared" si="68"/>
        <v>9</v>
      </c>
      <c r="P166" s="63">
        <f t="shared" si="69"/>
        <v>18</v>
      </c>
      <c r="Q166" s="63">
        <f t="shared" si="70"/>
        <v>27</v>
      </c>
      <c r="R166" s="63">
        <f t="shared" si="71"/>
        <v>33</v>
      </c>
      <c r="S166" s="63" t="str">
        <f>IFERROR(VLOOKUP(MID(N166,Q166,R166-Q166),[6]skilldef!$C:$D,2,FALSE),"-") &amp; " / " &amp; IFERROR(VLOOKUP(MID(N166,O166,P166-O166),[6]skilldef!$A:$B,2,FALSE),"-")</f>
        <v>自分自身に / 行動値設定</v>
      </c>
      <c r="T166" s="48" t="str">
        <f t="shared" si="72"/>
        <v>[effect:sp_boost, target:unit_all, val:4],[effect:crash_condition, target:unit_all, turn:-1, val:-2, animation:crash_panel_reduce04],[effect:suicide, val:0.95]</v>
      </c>
      <c r="U166" s="63">
        <f t="shared" si="73"/>
        <v>9</v>
      </c>
      <c r="V166" s="63">
        <f t="shared" si="74"/>
        <v>17</v>
      </c>
      <c r="W166" s="63">
        <f t="shared" si="75"/>
        <v>26</v>
      </c>
      <c r="X166" s="63">
        <f t="shared" si="76"/>
        <v>34</v>
      </c>
      <c r="Y166" s="63" t="str">
        <f>IFERROR(VLOOKUP(MID(T166,W166,X166-W166),[6]skilldef!$C:$D,2,FALSE),"-") &amp; " / " &amp; IFERROR(VLOOKUP(MID(T166,U166,V166-U166),[6]skilldef!$A:$B,2,FALSE),"-")</f>
        <v>味方全体に / -</v>
      </c>
      <c r="Z166" s="50"/>
      <c r="AA166" s="52"/>
      <c r="AB166" s="50"/>
    </row>
    <row r="167" spans="1:28" ht="40" customHeight="1" x14ac:dyDescent="0.15">
      <c r="A167" s="127">
        <v>47004506</v>
      </c>
      <c r="B167" s="133" t="s">
        <v>496</v>
      </c>
      <c r="C167" s="50">
        <v>3</v>
      </c>
      <c r="D167" s="50" t="s">
        <v>127</v>
      </c>
      <c r="E167" s="116" t="s">
        <v>266</v>
      </c>
      <c r="F167" s="51" t="s">
        <v>456</v>
      </c>
      <c r="G167" s="63" t="str">
        <f t="shared" si="62"/>
        <v>[effect:enemy_message, val1:1.7, val2:5.0]</v>
      </c>
      <c r="H167" s="63">
        <f t="shared" si="63"/>
        <v>9</v>
      </c>
      <c r="I167" s="63">
        <f t="shared" si="64"/>
        <v>22</v>
      </c>
      <c r="J167" s="63" t="e">
        <f t="shared" si="65"/>
        <v>#VALUE!</v>
      </c>
      <c r="K167" s="63">
        <f t="shared" si="66"/>
        <v>32</v>
      </c>
      <c r="L167" s="63" t="str">
        <f>IFERROR(VLOOKUP(MID(G167,J167,K167-J167),[6]skilldef!$C:$D,2,FALSE),"-") &amp; " / " &amp; IFERROR(VLOOKUP(MID(G167,H167,I167-H167),[6]skilldef!$A:$B,2,FALSE),"-")</f>
        <v>- / -</v>
      </c>
      <c r="M167" s="63" t="str">
        <f t="shared" si="67"/>
        <v>[effect:fix_speed, target:myself, turn:1],[effect:sp_boost, target:unit_all, val:4],[effect:crash_condition, target:unit_all, turn:-1, val:-2, animation:crash_panel_reduce04],[effect:suicide, val:0.8]</v>
      </c>
      <c r="N167" s="48" t="str">
        <f>IFERROR(LEFT(M167,FIND("],",M167)+S180),M167)</f>
        <v>[effect:fix_speed, target:myself, turn:1],[effect:sp_boost, target:unit_all, val:4],[effect:crash_condition, target:unit_all, turn:-1, val:-2, animation:crash_panel_reduce04],[effect:suicide, val:0.8]</v>
      </c>
      <c r="O167" s="63">
        <f t="shared" si="68"/>
        <v>9</v>
      </c>
      <c r="P167" s="63">
        <f t="shared" si="69"/>
        <v>18</v>
      </c>
      <c r="Q167" s="63">
        <f t="shared" si="70"/>
        <v>27</v>
      </c>
      <c r="R167" s="63">
        <f t="shared" si="71"/>
        <v>33</v>
      </c>
      <c r="S167" s="63" t="str">
        <f>IFERROR(VLOOKUP(MID(N167,Q167,R167-Q167),[6]skilldef!$C:$D,2,FALSE),"-") &amp; " / " &amp; IFERROR(VLOOKUP(MID(N167,O167,P167-O167),[6]skilldef!$A:$B,2,FALSE),"-")</f>
        <v>自分自身に / 行動値設定</v>
      </c>
      <c r="T167" s="48" t="str">
        <f t="shared" si="72"/>
        <v>[effect:sp_boost, target:unit_all, val:4],[effect:crash_condition, target:unit_all, turn:-1, val:-2, animation:crash_panel_reduce04],[effect:suicide, val:0.8]</v>
      </c>
      <c r="U167" s="63">
        <f t="shared" si="73"/>
        <v>9</v>
      </c>
      <c r="V167" s="63">
        <f t="shared" si="74"/>
        <v>17</v>
      </c>
      <c r="W167" s="63">
        <f t="shared" si="75"/>
        <v>26</v>
      </c>
      <c r="X167" s="63">
        <f t="shared" si="76"/>
        <v>34</v>
      </c>
      <c r="Y167" s="63" t="str">
        <f>IFERROR(VLOOKUP(MID(T167,W167,X167-W167),[6]skilldef!$C:$D,2,FALSE),"-") &amp; " / " &amp; IFERROR(VLOOKUP(MID(T167,U167,V167-U167),[6]skilldef!$A:$B,2,FALSE),"-")</f>
        <v>味方全体に / -</v>
      </c>
      <c r="Z167" s="50"/>
      <c r="AA167" s="52"/>
      <c r="AB167" s="50"/>
    </row>
    <row r="168" spans="1:28" ht="40" customHeight="1" x14ac:dyDescent="0.15">
      <c r="A168" s="127">
        <v>47004507</v>
      </c>
      <c r="B168" s="133" t="s">
        <v>497</v>
      </c>
      <c r="C168" s="50">
        <v>3</v>
      </c>
      <c r="D168" s="50" t="s">
        <v>127</v>
      </c>
      <c r="E168" s="116" t="s">
        <v>267</v>
      </c>
      <c r="F168" s="51" t="s">
        <v>463</v>
      </c>
      <c r="G168" s="63" t="str">
        <f t="shared" si="62"/>
        <v>[effect:enemy_message, val1:2.9, val2:5.0]</v>
      </c>
      <c r="H168" s="63">
        <f t="shared" si="63"/>
        <v>9</v>
      </c>
      <c r="I168" s="63">
        <f t="shared" si="64"/>
        <v>22</v>
      </c>
      <c r="J168" s="63" t="e">
        <f t="shared" si="65"/>
        <v>#VALUE!</v>
      </c>
      <c r="K168" s="63">
        <f t="shared" si="66"/>
        <v>32</v>
      </c>
      <c r="L168" s="63" t="str">
        <f>IFERROR(VLOOKUP(MID(G168,J168,K168-J168),[6]skilldef!$C:$D,2,FALSE),"-") &amp; " / " &amp; IFERROR(VLOOKUP(MID(G168,H168,I168-H168),[6]skilldef!$A:$B,2,FALSE),"-")</f>
        <v>- / -</v>
      </c>
      <c r="M168" s="63" t="str">
        <f t="shared" si="67"/>
        <v>[effect:fix_speed, target:myself, turn:1],[effect:sp_boost, target:unit_all, val:4],[effect:crash_condition, target:unit_all, turn:-1, val:-2, animation:crash_panel_reduce04],[effect:suicide, val:0.8]</v>
      </c>
      <c r="N168" s="48" t="str">
        <f>IFERROR(LEFT(M168,FIND("],",M168)+S181),M168)</f>
        <v>[effect:fix_speed, target:myself, turn:1],[effect:sp_boost, target:unit_all, val:4],[effect:crash_condition, target:unit_all, turn:-1, val:-2, animation:crash_panel_reduce04],[effect:suicide, val:0.8]</v>
      </c>
      <c r="O168" s="63">
        <f t="shared" si="68"/>
        <v>9</v>
      </c>
      <c r="P168" s="63">
        <f t="shared" si="69"/>
        <v>18</v>
      </c>
      <c r="Q168" s="63">
        <f t="shared" si="70"/>
        <v>27</v>
      </c>
      <c r="R168" s="63">
        <f t="shared" si="71"/>
        <v>33</v>
      </c>
      <c r="S168" s="63" t="str">
        <f>IFERROR(VLOOKUP(MID(N168,Q168,R168-Q168),[6]skilldef!$C:$D,2,FALSE),"-") &amp; " / " &amp; IFERROR(VLOOKUP(MID(N168,O168,P168-O168),[6]skilldef!$A:$B,2,FALSE),"-")</f>
        <v>自分自身に / 行動値設定</v>
      </c>
      <c r="T168" s="48" t="str">
        <f t="shared" si="72"/>
        <v>[effect:sp_boost, target:unit_all, val:4],[effect:crash_condition, target:unit_all, turn:-1, val:-2, animation:crash_panel_reduce04],[effect:suicide, val:0.8]</v>
      </c>
      <c r="U168" s="63">
        <f t="shared" si="73"/>
        <v>9</v>
      </c>
      <c r="V168" s="63">
        <f t="shared" si="74"/>
        <v>17</v>
      </c>
      <c r="W168" s="63">
        <f t="shared" si="75"/>
        <v>26</v>
      </c>
      <c r="X168" s="63">
        <f t="shared" si="76"/>
        <v>34</v>
      </c>
      <c r="Y168" s="63" t="str">
        <f>IFERROR(VLOOKUP(MID(T168,W168,X168-W168),[6]skilldef!$C:$D,2,FALSE),"-") &amp; " / " &amp; IFERROR(VLOOKUP(MID(T168,U168,V168-U168),[6]skilldef!$A:$B,2,FALSE),"-")</f>
        <v>味方全体に / -</v>
      </c>
      <c r="Z168" s="50"/>
      <c r="AA168" s="52"/>
      <c r="AB168" s="50"/>
    </row>
    <row r="169" spans="1:28" ht="40" customHeight="1" x14ac:dyDescent="0.15">
      <c r="A169" s="127">
        <v>47004508</v>
      </c>
      <c r="B169" s="133" t="s">
        <v>498</v>
      </c>
      <c r="C169" s="50">
        <v>3</v>
      </c>
      <c r="D169" s="50" t="s">
        <v>127</v>
      </c>
      <c r="E169" s="116" t="s">
        <v>268</v>
      </c>
      <c r="F169" s="51" t="s">
        <v>463</v>
      </c>
      <c r="G169" s="63" t="str">
        <f t="shared" si="62"/>
        <v>[effect:enemy_message, val1:2.0, val2:5.0]</v>
      </c>
      <c r="H169" s="63">
        <f t="shared" si="63"/>
        <v>9</v>
      </c>
      <c r="I169" s="63">
        <f t="shared" si="64"/>
        <v>22</v>
      </c>
      <c r="J169" s="63" t="e">
        <f t="shared" si="65"/>
        <v>#VALUE!</v>
      </c>
      <c r="K169" s="63">
        <f t="shared" si="66"/>
        <v>32</v>
      </c>
      <c r="L169" s="63" t="str">
        <f>IFERROR(VLOOKUP(MID(G169,J169,K169-J169),[6]skilldef!$C:$D,2,FALSE),"-") &amp; " / " &amp; IFERROR(VLOOKUP(MID(G169,H169,I169-H169),[6]skilldef!$A:$B,2,FALSE),"-")</f>
        <v>- / -</v>
      </c>
      <c r="M169" s="63" t="str">
        <f t="shared" si="67"/>
        <v>[effect:fix_speed, target:myself, turn:1],[effect:sp_boost, target:unit_all, val:4],[effect:crash_condition, target:unit_all, turn:-1, val:-2, animation:crash_panel_reduce04],[effect:suicide, val:0.8]</v>
      </c>
      <c r="N169" s="48" t="str">
        <f>IFERROR(LEFT(M169,FIND("],",M169)+S182),M169)</f>
        <v>[effect:fix_speed, target:myself, turn:1],[effect:sp_boost, target:unit_all, val:4],[effect:crash_condition, target:unit_all, turn:-1, val:-2, animation:crash_panel_reduce04],[effect:suicide, val:0.8]</v>
      </c>
      <c r="O169" s="63">
        <f t="shared" si="68"/>
        <v>9</v>
      </c>
      <c r="P169" s="63">
        <f t="shared" si="69"/>
        <v>18</v>
      </c>
      <c r="Q169" s="63">
        <f t="shared" si="70"/>
        <v>27</v>
      </c>
      <c r="R169" s="63">
        <f t="shared" si="71"/>
        <v>33</v>
      </c>
      <c r="S169" s="63" t="str">
        <f>IFERROR(VLOOKUP(MID(N169,Q169,R169-Q169),[6]skilldef!$C:$D,2,FALSE),"-") &amp; " / " &amp; IFERROR(VLOOKUP(MID(N169,O169,P169-O169),[6]skilldef!$A:$B,2,FALSE),"-")</f>
        <v>自分自身に / 行動値設定</v>
      </c>
      <c r="T169" s="48" t="str">
        <f t="shared" si="72"/>
        <v>[effect:sp_boost, target:unit_all, val:4],[effect:crash_condition, target:unit_all, turn:-1, val:-2, animation:crash_panel_reduce04],[effect:suicide, val:0.8]</v>
      </c>
      <c r="U169" s="63">
        <f t="shared" si="73"/>
        <v>9</v>
      </c>
      <c r="V169" s="63">
        <f t="shared" si="74"/>
        <v>17</v>
      </c>
      <c r="W169" s="63">
        <f t="shared" si="75"/>
        <v>26</v>
      </c>
      <c r="X169" s="63">
        <f t="shared" si="76"/>
        <v>34</v>
      </c>
      <c r="Y169" s="63" t="str">
        <f>IFERROR(VLOOKUP(MID(T169,W169,X169-W169),[6]skilldef!$C:$D,2,FALSE),"-") &amp; " / " &amp; IFERROR(VLOOKUP(MID(T169,U169,V169-U169),[6]skilldef!$A:$B,2,FALSE),"-")</f>
        <v>味方全体に / -</v>
      </c>
      <c r="Z169" s="50"/>
      <c r="AA169" s="52"/>
      <c r="AB169" s="50"/>
    </row>
    <row r="170" spans="1:28" ht="40" customHeight="1" x14ac:dyDescent="0.15">
      <c r="A170" s="127">
        <v>47004509</v>
      </c>
      <c r="B170" s="133" t="s">
        <v>499</v>
      </c>
      <c r="C170" s="50">
        <v>3</v>
      </c>
      <c r="D170" s="50" t="s">
        <v>127</v>
      </c>
      <c r="E170" s="129" t="s">
        <v>385</v>
      </c>
      <c r="F170" s="51" t="s">
        <v>465</v>
      </c>
      <c r="G170" s="63"/>
      <c r="H170" s="63"/>
      <c r="I170" s="63"/>
      <c r="J170" s="63"/>
      <c r="K170" s="63"/>
      <c r="L170" s="63"/>
      <c r="M170" s="63"/>
      <c r="N170" s="48"/>
      <c r="O170" s="63"/>
      <c r="P170" s="63"/>
      <c r="Q170" s="63"/>
      <c r="R170" s="63"/>
      <c r="S170" s="63"/>
      <c r="T170" s="48"/>
      <c r="U170" s="63"/>
      <c r="V170" s="63"/>
      <c r="W170" s="63"/>
      <c r="X170" s="63"/>
      <c r="Y170" s="63"/>
      <c r="Z170" s="50"/>
      <c r="AA170" s="52"/>
      <c r="AB170" s="50"/>
    </row>
    <row r="171" spans="1:28" ht="40" customHeight="1" x14ac:dyDescent="0.15">
      <c r="A171" s="127">
        <v>47004521</v>
      </c>
      <c r="B171" s="132" t="s">
        <v>500</v>
      </c>
      <c r="C171" s="111">
        <v>3</v>
      </c>
      <c r="D171" s="111" t="s">
        <v>127</v>
      </c>
      <c r="E171" s="112" t="s">
        <v>307</v>
      </c>
      <c r="F171" s="112" t="s">
        <v>306</v>
      </c>
      <c r="G171" s="63" t="str">
        <f t="shared" si="62"/>
        <v>[effect:enemy_message, val1:1.2, val2:3.0]</v>
      </c>
      <c r="H171" s="63">
        <f t="shared" si="63"/>
        <v>9</v>
      </c>
      <c r="I171" s="63">
        <f t="shared" si="64"/>
        <v>22</v>
      </c>
      <c r="J171" s="63" t="e">
        <f t="shared" si="65"/>
        <v>#VALUE!</v>
      </c>
      <c r="K171" s="63">
        <f t="shared" si="66"/>
        <v>32</v>
      </c>
      <c r="L171" s="63" t="str">
        <f>IFERROR(VLOOKUP(MID(G171,J171,K171-J171),[6]skilldef!$C:$D,2,FALSE),"-") &amp; " / " &amp; IFERROR(VLOOKUP(MID(G171,H171,I171-H171),[6]skilldef!$A:$B,2,FALSE),"-")</f>
        <v>- / -</v>
      </c>
      <c r="M171" s="63" t="str">
        <f t="shared" si="67"/>
        <v>[effect:fix_speed, target:myself, turn:2]</v>
      </c>
      <c r="N171" s="48" t="str">
        <f>IFERROR(LEFT(M171,FIND("],",M171)+S183),M171)</f>
        <v>[effect:fix_speed, target:myself, turn:2]</v>
      </c>
      <c r="O171" s="63">
        <f t="shared" si="68"/>
        <v>9</v>
      </c>
      <c r="P171" s="63">
        <f t="shared" si="69"/>
        <v>18</v>
      </c>
      <c r="Q171" s="63">
        <f t="shared" si="70"/>
        <v>27</v>
      </c>
      <c r="R171" s="63">
        <f t="shared" si="71"/>
        <v>33</v>
      </c>
      <c r="S171" s="63" t="str">
        <f>IFERROR(VLOOKUP(MID(N171,Q171,R171-Q171),[6]skilldef!$C:$D,2,FALSE),"-") &amp; " / " &amp; IFERROR(VLOOKUP(MID(N171,O171,P171-O171),[6]skilldef!$A:$B,2,FALSE),"-")</f>
        <v>自分自身に / 行動値設定</v>
      </c>
      <c r="T171" s="48" t="str">
        <f t="shared" si="72"/>
        <v>none</v>
      </c>
      <c r="U171" s="63" t="e">
        <f t="shared" si="73"/>
        <v>#VALUE!</v>
      </c>
      <c r="V171" s="63">
        <f t="shared" si="74"/>
        <v>4</v>
      </c>
      <c r="W171" s="63" t="e">
        <f t="shared" si="75"/>
        <v>#VALUE!</v>
      </c>
      <c r="X171" s="63" t="e">
        <f t="shared" si="76"/>
        <v>#VALUE!</v>
      </c>
      <c r="Y171" s="63" t="str">
        <f>IFERROR(VLOOKUP(MID(T171,W171,X171-W171),[6]skilldef!$C:$D,2,FALSE),"-") &amp; " / " &amp; IFERROR(VLOOKUP(MID(T171,U171,V171-U171),[6]skilldef!$A:$B,2,FALSE),"-")</f>
        <v>- / -</v>
      </c>
      <c r="Z171" s="50"/>
      <c r="AA171" s="52"/>
      <c r="AB171" s="50"/>
    </row>
    <row r="172" spans="1:28" ht="40" customHeight="1" x14ac:dyDescent="0.15">
      <c r="A172" s="127">
        <v>47004522</v>
      </c>
      <c r="B172" s="132" t="s">
        <v>501</v>
      </c>
      <c r="C172" s="111">
        <v>3</v>
      </c>
      <c r="D172" s="111" t="s">
        <v>127</v>
      </c>
      <c r="E172" s="112" t="s">
        <v>332</v>
      </c>
      <c r="F172" s="112" t="s">
        <v>262</v>
      </c>
      <c r="G172" s="63" t="str">
        <f t="shared" si="62"/>
        <v>[effect:enemy_message, val1:1.2, val2:1.2]</v>
      </c>
      <c r="H172" s="63">
        <f t="shared" si="63"/>
        <v>9</v>
      </c>
      <c r="I172" s="63">
        <f t="shared" si="64"/>
        <v>22</v>
      </c>
      <c r="J172" s="63" t="e">
        <f t="shared" si="65"/>
        <v>#VALUE!</v>
      </c>
      <c r="K172" s="63">
        <f t="shared" si="66"/>
        <v>32</v>
      </c>
      <c r="L172" s="63" t="str">
        <f>IFERROR(VLOOKUP(MID(G172,J172,K172-J172),[6]skilldef!$C:$D,2,FALSE),"-") &amp; " / " &amp; IFERROR(VLOOKUP(MID(G172,H172,I172-H172),[6]skilldef!$A:$B,2,FALSE),"-")</f>
        <v>- / -</v>
      </c>
      <c r="M172" s="63" t="str">
        <f t="shared" si="67"/>
        <v>[effect:spread, val:0.3]</v>
      </c>
      <c r="N172" s="48" t="str">
        <f t="shared" ref="N172" si="77">IFERROR(LEFT(M172,FIND("],",M172)+S183),M172)</f>
        <v>[effect:spread, val:0.3]</v>
      </c>
      <c r="O172" s="63">
        <f t="shared" si="68"/>
        <v>9</v>
      </c>
      <c r="P172" s="63">
        <f t="shared" si="69"/>
        <v>15</v>
      </c>
      <c r="Q172" s="63" t="e">
        <f t="shared" si="70"/>
        <v>#VALUE!</v>
      </c>
      <c r="R172" s="63" t="e">
        <f t="shared" si="71"/>
        <v>#VALUE!</v>
      </c>
      <c r="S172" s="63" t="str">
        <f>IFERROR(VLOOKUP(MID(N172,Q172,R172-Q172),[6]skilldef!$C:$D,2,FALSE),"-") &amp; " / " &amp; IFERROR(VLOOKUP(MID(N172,O172,P172-O172),[6]skilldef!$A:$B,2,FALSE),"-")</f>
        <v>- / 全体攻撃</v>
      </c>
      <c r="T172" s="48" t="str">
        <f t="shared" si="72"/>
        <v>none</v>
      </c>
      <c r="U172" s="63" t="e">
        <f t="shared" si="73"/>
        <v>#VALUE!</v>
      </c>
      <c r="V172" s="63">
        <f t="shared" si="74"/>
        <v>4</v>
      </c>
      <c r="W172" s="63" t="e">
        <f t="shared" si="75"/>
        <v>#VALUE!</v>
      </c>
      <c r="X172" s="63" t="e">
        <f t="shared" si="76"/>
        <v>#VALUE!</v>
      </c>
      <c r="Y172" s="63" t="str">
        <f>IFERROR(VLOOKUP(MID(T172,W172,X172-W172),[6]skilldef!$C:$D,2,FALSE),"-") &amp; " / " &amp; IFERROR(VLOOKUP(MID(T172,U172,V172-U172),[6]skilldef!$A:$B,2,FALSE),"-")</f>
        <v>- / -</v>
      </c>
      <c r="Z172" s="50"/>
      <c r="AA172" s="52"/>
      <c r="AB172" s="50"/>
    </row>
    <row r="173" spans="1:28" ht="40" customHeight="1" x14ac:dyDescent="0.15">
      <c r="A173" s="127">
        <v>47004523</v>
      </c>
      <c r="B173" s="132" t="s">
        <v>502</v>
      </c>
      <c r="C173" s="111">
        <v>3</v>
      </c>
      <c r="D173" s="111" t="s">
        <v>127</v>
      </c>
      <c r="E173" s="112" t="s">
        <v>302</v>
      </c>
      <c r="F173" s="112" t="s">
        <v>453</v>
      </c>
      <c r="G173" s="63" t="str">
        <f t="shared" si="62"/>
        <v>[effect:enemy_message, val1:2.4, val2:1.2]</v>
      </c>
      <c r="H173" s="63">
        <f t="shared" si="63"/>
        <v>9</v>
      </c>
      <c r="I173" s="63">
        <f t="shared" si="64"/>
        <v>22</v>
      </c>
      <c r="J173" s="63" t="e">
        <f t="shared" si="65"/>
        <v>#VALUE!</v>
      </c>
      <c r="K173" s="63">
        <f t="shared" si="66"/>
        <v>32</v>
      </c>
      <c r="L173" s="63" t="str">
        <f>IFERROR(VLOOKUP(MID(G173,J173,K173-J173),[6]skilldef!$C:$D,2,FALSE),"-") &amp; " / " &amp; IFERROR(VLOOKUP(MID(G173,H173,I173-H173),[6]skilldef!$A:$B,2,FALSE),"-")</f>
        <v>- / -</v>
      </c>
      <c r="M173" s="63" t="str">
        <f t="shared" si="67"/>
        <v>[effect:enhance_enemy, target:enemy_all, turn:-1, status:attack, val:0.5, calc:mul, animation:enemy_enhance_attack]</v>
      </c>
      <c r="N173" s="48" t="str">
        <f>IFERROR(LEFT(M173,FIND("],",M173)+#REF!),M173)</f>
        <v>[effect:enhance_enemy, target:enemy_all, turn:-1, status:attack, val:0.5, calc:mul, animation:enemy_enhance_attack]</v>
      </c>
      <c r="O173" s="63">
        <f t="shared" si="68"/>
        <v>9</v>
      </c>
      <c r="P173" s="63">
        <f t="shared" si="69"/>
        <v>22</v>
      </c>
      <c r="Q173" s="63">
        <f t="shared" si="70"/>
        <v>31</v>
      </c>
      <c r="R173" s="63">
        <f t="shared" si="71"/>
        <v>40</v>
      </c>
      <c r="S173" s="63" t="str">
        <f>IFERROR(VLOOKUP(MID(N173,Q173,R173-Q173),[6]skilldef!$C:$D,2,FALSE),"-") &amp; " / " &amp; IFERROR(VLOOKUP(MID(N173,O173,P173-O173),[6]skilldef!$A:$B,2,FALSE),"-")</f>
        <v>敵全体に / ステータス強化</v>
      </c>
      <c r="T173" s="48" t="str">
        <f t="shared" si="72"/>
        <v>none</v>
      </c>
      <c r="U173" s="63" t="e">
        <f t="shared" si="73"/>
        <v>#VALUE!</v>
      </c>
      <c r="V173" s="63">
        <f t="shared" si="74"/>
        <v>4</v>
      </c>
      <c r="W173" s="63" t="e">
        <f t="shared" si="75"/>
        <v>#VALUE!</v>
      </c>
      <c r="X173" s="63" t="e">
        <f t="shared" si="76"/>
        <v>#VALUE!</v>
      </c>
      <c r="Y173" s="63" t="str">
        <f>IFERROR(VLOOKUP(MID(T173,W173,X173-W173),[6]skilldef!$C:$D,2,FALSE),"-") &amp; " / " &amp; IFERROR(VLOOKUP(MID(T173,U173,V173-U173),[6]skilldef!$A:$B,2,FALSE),"-")</f>
        <v>- / -</v>
      </c>
      <c r="Z173" s="50"/>
      <c r="AA173" s="52"/>
      <c r="AB173" s="50"/>
    </row>
    <row r="174" spans="1:28" ht="40" customHeight="1" x14ac:dyDescent="0.15">
      <c r="A174" s="127">
        <v>47004524</v>
      </c>
      <c r="B174" s="132" t="s">
        <v>503</v>
      </c>
      <c r="C174" s="111">
        <v>3</v>
      </c>
      <c r="D174" s="111" t="s">
        <v>127</v>
      </c>
      <c r="E174" s="116" t="s">
        <v>269</v>
      </c>
      <c r="F174" s="112" t="s">
        <v>467</v>
      </c>
      <c r="G174" s="63" t="str">
        <f t="shared" si="62"/>
        <v>[effect:enemy_message, val1:3.0, val2:4.8]</v>
      </c>
      <c r="H174" s="63">
        <f t="shared" si="63"/>
        <v>9</v>
      </c>
      <c r="I174" s="63">
        <f t="shared" si="64"/>
        <v>22</v>
      </c>
      <c r="J174" s="63" t="e">
        <f t="shared" si="65"/>
        <v>#VALUE!</v>
      </c>
      <c r="K174" s="63">
        <f t="shared" si="66"/>
        <v>32</v>
      </c>
      <c r="L174" s="63" t="str">
        <f>IFERROR(VLOOKUP(MID(G174,J174,K174-J174),[6]skilldef!$C:$D,2,FALSE),"-") &amp; " / " &amp; IFERROR(VLOOKUP(MID(G174,H174,I174-H174),[6]skilldef!$A:$B,2,FALSE),"-")</f>
        <v>- / -</v>
      </c>
      <c r="M174" s="63" t="str">
        <f t="shared" si="67"/>
        <v>[effect:fix_speed, target:myself, turn:2],[effect:sp_boost, target:unit_all, val:4],[effect:change_bomb_range, target:unit_all, val:1.2, rate:1, turn:-1, animation:bomb_big],[effect:suicide, val:0.95]</v>
      </c>
      <c r="N174" s="48" t="str">
        <f>IFERROR(LEFT(M174,FIND("],",M174)+#REF!),M174)</f>
        <v>[effect:fix_speed, target:myself, turn:2],[effect:sp_boost, target:unit_all, val:4],[effect:change_bomb_range, target:unit_all, val:1.2, rate:1, turn:-1, animation:bomb_big],[effect:suicide, val:0.95]</v>
      </c>
      <c r="O174" s="63">
        <f t="shared" si="68"/>
        <v>9</v>
      </c>
      <c r="P174" s="63">
        <f t="shared" si="69"/>
        <v>18</v>
      </c>
      <c r="Q174" s="63">
        <f t="shared" si="70"/>
        <v>27</v>
      </c>
      <c r="R174" s="63">
        <f t="shared" si="71"/>
        <v>33</v>
      </c>
      <c r="S174" s="63" t="str">
        <f>IFERROR(VLOOKUP(MID(N174,Q174,R174-Q174),[6]skilldef!$C:$D,2,FALSE),"-") &amp; " / " &amp; IFERROR(VLOOKUP(MID(N174,O174,P174-O174),[6]skilldef!$A:$B,2,FALSE),"-")</f>
        <v>自分自身に / 行動値設定</v>
      </c>
      <c r="T174" s="48" t="str">
        <f t="shared" si="72"/>
        <v>[effect:sp_boost, target:unit_all, val:4],[effect:change_bomb_range, target:unit_all, val:1.2, rate:1, turn:-1, animation:bomb_big],[effect:suicide, val:0.95]</v>
      </c>
      <c r="U174" s="63">
        <f t="shared" si="73"/>
        <v>9</v>
      </c>
      <c r="V174" s="63">
        <f t="shared" si="74"/>
        <v>17</v>
      </c>
      <c r="W174" s="63">
        <f t="shared" si="75"/>
        <v>26</v>
      </c>
      <c r="X174" s="63">
        <f t="shared" si="76"/>
        <v>34</v>
      </c>
      <c r="Y174" s="63" t="str">
        <f>IFERROR(VLOOKUP(MID(T174,W174,X174-W174),[6]skilldef!$C:$D,2,FALSE),"-") &amp; " / " &amp; IFERROR(VLOOKUP(MID(T174,U174,V174-U174),[6]skilldef!$A:$B,2,FALSE),"-")</f>
        <v>味方全体に / -</v>
      </c>
      <c r="Z174" s="50"/>
      <c r="AA174" s="52"/>
      <c r="AB174" s="50"/>
    </row>
    <row r="175" spans="1:28" ht="40" customHeight="1" x14ac:dyDescent="0.15">
      <c r="A175" s="127">
        <v>47004525</v>
      </c>
      <c r="B175" s="132" t="s">
        <v>504</v>
      </c>
      <c r="C175" s="111">
        <v>3</v>
      </c>
      <c r="D175" s="111" t="s">
        <v>127</v>
      </c>
      <c r="E175" s="116" t="s">
        <v>270</v>
      </c>
      <c r="F175" s="112" t="s">
        <v>466</v>
      </c>
      <c r="G175" s="63" t="str">
        <f t="shared" si="62"/>
        <v>[effect:enemy_message, val1:2.2, val2:4.8]</v>
      </c>
      <c r="H175" s="63">
        <f t="shared" si="63"/>
        <v>9</v>
      </c>
      <c r="I175" s="63">
        <f t="shared" si="64"/>
        <v>22</v>
      </c>
      <c r="J175" s="63" t="e">
        <f t="shared" si="65"/>
        <v>#VALUE!</v>
      </c>
      <c r="K175" s="63">
        <f t="shared" si="66"/>
        <v>32</v>
      </c>
      <c r="L175" s="63" t="str">
        <f>IFERROR(VLOOKUP(MID(G175,J175,K175-J175),[6]skilldef!$C:$D,2,FALSE),"-") &amp; " / " &amp; IFERROR(VLOOKUP(MID(G175,H175,I175-H175),[6]skilldef!$A:$B,2,FALSE),"-")</f>
        <v>- / -</v>
      </c>
      <c r="M175" s="63" t="str">
        <f t="shared" si="67"/>
        <v>[effect:fix_speed, target:myself, turn:2],[effect:sp_boost, target:unit_all, val:4],[effect:change_bomb_range, target:unit_all, val:1.2, rate:1, turn:-1, animation:bomb_big],[effect:suicide, val:0.95]</v>
      </c>
      <c r="N175" s="48" t="str">
        <f>IFERROR(LEFT(M175,FIND("],",M175)+#REF!),M175)</f>
        <v>[effect:fix_speed, target:myself, turn:2],[effect:sp_boost, target:unit_all, val:4],[effect:change_bomb_range, target:unit_all, val:1.2, rate:1, turn:-1, animation:bomb_big],[effect:suicide, val:0.95]</v>
      </c>
      <c r="O175" s="63">
        <f t="shared" si="68"/>
        <v>9</v>
      </c>
      <c r="P175" s="63">
        <f t="shared" si="69"/>
        <v>18</v>
      </c>
      <c r="Q175" s="63">
        <f t="shared" si="70"/>
        <v>27</v>
      </c>
      <c r="R175" s="63">
        <f t="shared" si="71"/>
        <v>33</v>
      </c>
      <c r="S175" s="63" t="str">
        <f>IFERROR(VLOOKUP(MID(N175,Q175,R175-Q175),[6]skilldef!$C:$D,2,FALSE),"-") &amp; " / " &amp; IFERROR(VLOOKUP(MID(N175,O175,P175-O175),[6]skilldef!$A:$B,2,FALSE),"-")</f>
        <v>自分自身に / 行動値設定</v>
      </c>
      <c r="T175" s="48" t="str">
        <f t="shared" si="72"/>
        <v>[effect:sp_boost, target:unit_all, val:4],[effect:change_bomb_range, target:unit_all, val:1.2, rate:1, turn:-1, animation:bomb_big],[effect:suicide, val:0.95]</v>
      </c>
      <c r="U175" s="63">
        <f t="shared" si="73"/>
        <v>9</v>
      </c>
      <c r="V175" s="63">
        <f t="shared" si="74"/>
        <v>17</v>
      </c>
      <c r="W175" s="63">
        <f t="shared" si="75"/>
        <v>26</v>
      </c>
      <c r="X175" s="63">
        <f t="shared" si="76"/>
        <v>34</v>
      </c>
      <c r="Y175" s="63" t="str">
        <f>IFERROR(VLOOKUP(MID(T175,W175,X175-W175),[6]skilldef!$C:$D,2,FALSE),"-") &amp; " / " &amp; IFERROR(VLOOKUP(MID(T175,U175,V175-U175),[6]skilldef!$A:$B,2,FALSE),"-")</f>
        <v>味方全体に / -</v>
      </c>
      <c r="Z175" s="50"/>
      <c r="AA175" s="52"/>
      <c r="AB175" s="50"/>
    </row>
    <row r="176" spans="1:28" ht="40" customHeight="1" x14ac:dyDescent="0.15">
      <c r="A176" s="127">
        <v>47004526</v>
      </c>
      <c r="B176" s="132" t="s">
        <v>505</v>
      </c>
      <c r="C176" s="111">
        <v>3</v>
      </c>
      <c r="D176" s="111" t="s">
        <v>127</v>
      </c>
      <c r="E176" s="116" t="s">
        <v>271</v>
      </c>
      <c r="F176" s="112" t="s">
        <v>469</v>
      </c>
      <c r="G176" s="63" t="str">
        <f t="shared" si="62"/>
        <v>[effect:enemy_message, val1:2.6, val2:4.8]</v>
      </c>
      <c r="H176" s="63">
        <f t="shared" si="63"/>
        <v>9</v>
      </c>
      <c r="I176" s="63">
        <f t="shared" si="64"/>
        <v>22</v>
      </c>
      <c r="J176" s="63" t="e">
        <f t="shared" si="65"/>
        <v>#VALUE!</v>
      </c>
      <c r="K176" s="63">
        <f t="shared" si="66"/>
        <v>32</v>
      </c>
      <c r="L176" s="63" t="str">
        <f>IFERROR(VLOOKUP(MID(G176,J176,K176-J176),[6]skilldef!$C:$D,2,FALSE),"-") &amp; " / " &amp; IFERROR(VLOOKUP(MID(G176,H176,I176-H176),[6]skilldef!$A:$B,2,FALSE),"-")</f>
        <v>- / -</v>
      </c>
      <c r="M176" s="63" t="str">
        <f t="shared" si="67"/>
        <v>[effect:fix_speed, target:myself, turn:2],[effect:sp_boost, target:unit_all, val:4],[effect:change_bomb_range, target:unit_all, val:1.2, rate:1, turn:-1, animation:bomb_big],[effect:suicide, val:0.8]</v>
      </c>
      <c r="N176" s="48" t="str">
        <f>IFERROR(LEFT(M176,FIND("],",M176)+#REF!),M176)</f>
        <v>[effect:fix_speed, target:myself, turn:2],[effect:sp_boost, target:unit_all, val:4],[effect:change_bomb_range, target:unit_all, val:1.2, rate:1, turn:-1, animation:bomb_big],[effect:suicide, val:0.8]</v>
      </c>
      <c r="O176" s="63">
        <f t="shared" si="68"/>
        <v>9</v>
      </c>
      <c r="P176" s="63">
        <f t="shared" si="69"/>
        <v>18</v>
      </c>
      <c r="Q176" s="63">
        <f t="shared" si="70"/>
        <v>27</v>
      </c>
      <c r="R176" s="63">
        <f t="shared" si="71"/>
        <v>33</v>
      </c>
      <c r="S176" s="63" t="str">
        <f>IFERROR(VLOOKUP(MID(N176,Q176,R176-Q176),[6]skilldef!$C:$D,2,FALSE),"-") &amp; " / " &amp; IFERROR(VLOOKUP(MID(N176,O176,P176-O176),[6]skilldef!$A:$B,2,FALSE),"-")</f>
        <v>自分自身に / 行動値設定</v>
      </c>
      <c r="T176" s="48" t="str">
        <f t="shared" si="72"/>
        <v>[effect:sp_boost, target:unit_all, val:4],[effect:change_bomb_range, target:unit_all, val:1.2, rate:1, turn:-1, animation:bomb_big],[effect:suicide, val:0.8]</v>
      </c>
      <c r="U176" s="63">
        <f t="shared" si="73"/>
        <v>9</v>
      </c>
      <c r="V176" s="63">
        <f t="shared" si="74"/>
        <v>17</v>
      </c>
      <c r="W176" s="63">
        <f t="shared" si="75"/>
        <v>26</v>
      </c>
      <c r="X176" s="63">
        <f t="shared" si="76"/>
        <v>34</v>
      </c>
      <c r="Y176" s="63" t="str">
        <f>IFERROR(VLOOKUP(MID(T176,W176,X176-W176),[6]skilldef!$C:$D,2,FALSE),"-") &amp; " / " &amp; IFERROR(VLOOKUP(MID(T176,U176,V176-U176),[6]skilldef!$A:$B,2,FALSE),"-")</f>
        <v>味方全体に / -</v>
      </c>
      <c r="Z176" s="50"/>
      <c r="AA176" s="52"/>
      <c r="AB176" s="50"/>
    </row>
    <row r="177" spans="1:28" ht="40" customHeight="1" x14ac:dyDescent="0.15">
      <c r="A177" s="127">
        <v>47004527</v>
      </c>
      <c r="B177" s="132" t="s">
        <v>505</v>
      </c>
      <c r="C177" s="111">
        <v>3</v>
      </c>
      <c r="D177" s="111" t="s">
        <v>127</v>
      </c>
      <c r="E177" s="116" t="s">
        <v>272</v>
      </c>
      <c r="F177" s="112" t="s">
        <v>469</v>
      </c>
      <c r="G177" s="63" t="str">
        <f t="shared" si="62"/>
        <v>[effect:enemy_message, val1:2.6, val2:4.8]</v>
      </c>
      <c r="H177" s="63">
        <f t="shared" si="63"/>
        <v>9</v>
      </c>
      <c r="I177" s="63">
        <f t="shared" si="64"/>
        <v>22</v>
      </c>
      <c r="J177" s="63" t="e">
        <f t="shared" si="65"/>
        <v>#VALUE!</v>
      </c>
      <c r="K177" s="63">
        <f t="shared" si="66"/>
        <v>32</v>
      </c>
      <c r="L177" s="63" t="str">
        <f>IFERROR(VLOOKUP(MID(G177,J177,K177-J177),[6]skilldef!$C:$D,2,FALSE),"-") &amp; " / " &amp; IFERROR(VLOOKUP(MID(G177,H177,I177-H177),[6]skilldef!$A:$B,2,FALSE),"-")</f>
        <v>- / -</v>
      </c>
      <c r="M177" s="63" t="str">
        <f t="shared" si="67"/>
        <v>[effect:fix_speed, target:myself, turn:2],[effect:sp_boost, target:unit_all, val:4],[effect:change_bomb_range, target:unit_all, val:1.2, rate:1, turn:-1, animation:bomb_big],[effect:suicide, val:0.8]</v>
      </c>
      <c r="N177" s="48" t="str">
        <f>IFERROR(LEFT(M177,FIND("],",M177)+#REF!),M177)</f>
        <v>[effect:fix_speed, target:myself, turn:2],[effect:sp_boost, target:unit_all, val:4],[effect:change_bomb_range, target:unit_all, val:1.2, rate:1, turn:-1, animation:bomb_big],[effect:suicide, val:0.8]</v>
      </c>
      <c r="O177" s="63">
        <f t="shared" si="68"/>
        <v>9</v>
      </c>
      <c r="P177" s="63">
        <f t="shared" si="69"/>
        <v>18</v>
      </c>
      <c r="Q177" s="63">
        <f t="shared" si="70"/>
        <v>27</v>
      </c>
      <c r="R177" s="63">
        <f t="shared" si="71"/>
        <v>33</v>
      </c>
      <c r="S177" s="63" t="str">
        <f>IFERROR(VLOOKUP(MID(N177,Q177,R177-Q177),[6]skilldef!$C:$D,2,FALSE),"-") &amp; " / " &amp; IFERROR(VLOOKUP(MID(N177,O177,P177-O177),[6]skilldef!$A:$B,2,FALSE),"-")</f>
        <v>自分自身に / 行動値設定</v>
      </c>
      <c r="T177" s="48" t="str">
        <f t="shared" si="72"/>
        <v>[effect:sp_boost, target:unit_all, val:4],[effect:change_bomb_range, target:unit_all, val:1.2, rate:1, turn:-1, animation:bomb_big],[effect:suicide, val:0.8]</v>
      </c>
      <c r="U177" s="63">
        <f t="shared" si="73"/>
        <v>9</v>
      </c>
      <c r="V177" s="63">
        <f t="shared" si="74"/>
        <v>17</v>
      </c>
      <c r="W177" s="63">
        <f t="shared" si="75"/>
        <v>26</v>
      </c>
      <c r="X177" s="63">
        <f t="shared" si="76"/>
        <v>34</v>
      </c>
      <c r="Y177" s="63" t="str">
        <f>IFERROR(VLOOKUP(MID(T177,W177,X177-W177),[6]skilldef!$C:$D,2,FALSE),"-") &amp; " / " &amp; IFERROR(VLOOKUP(MID(T177,U177,V177-U177),[6]skilldef!$A:$B,2,FALSE),"-")</f>
        <v>味方全体に / -</v>
      </c>
      <c r="Z177" s="50"/>
      <c r="AA177" s="52"/>
      <c r="AB177" s="50"/>
    </row>
    <row r="178" spans="1:28" ht="40" customHeight="1" x14ac:dyDescent="0.15">
      <c r="A178" s="127">
        <v>47004528</v>
      </c>
      <c r="B178" s="132" t="s">
        <v>505</v>
      </c>
      <c r="C178" s="111">
        <v>3</v>
      </c>
      <c r="D178" s="111" t="s">
        <v>127</v>
      </c>
      <c r="E178" s="116" t="s">
        <v>273</v>
      </c>
      <c r="F178" s="112" t="s">
        <v>469</v>
      </c>
      <c r="G178" s="63" t="str">
        <f t="shared" si="62"/>
        <v>[effect:enemy_message, val1:2.6, val2:4.8]</v>
      </c>
      <c r="H178" s="63">
        <f t="shared" si="63"/>
        <v>9</v>
      </c>
      <c r="I178" s="63">
        <f t="shared" si="64"/>
        <v>22</v>
      </c>
      <c r="J178" s="63" t="e">
        <f t="shared" si="65"/>
        <v>#VALUE!</v>
      </c>
      <c r="K178" s="63">
        <f t="shared" si="66"/>
        <v>32</v>
      </c>
      <c r="L178" s="63" t="str">
        <f>IFERROR(VLOOKUP(MID(G178,J178,K178-J178),[6]skilldef!$C:$D,2,FALSE),"-") &amp; " / " &amp; IFERROR(VLOOKUP(MID(G178,H178,I178-H178),[6]skilldef!$A:$B,2,FALSE),"-")</f>
        <v>- / -</v>
      </c>
      <c r="M178" s="63" t="str">
        <f t="shared" si="67"/>
        <v>[effect:fix_speed, target:myself, turn:2],[effect:sp_boost, target:unit_all, val:4],[effect:change_bomb_range, target:unit_all, val:1.2, rate:1, turn:-1, animation:bomb_big],[effect:suicide, val:0.8]</v>
      </c>
      <c r="N178" s="48" t="str">
        <f>IFERROR(LEFT(M178,FIND("],",M178)+#REF!),M178)</f>
        <v>[effect:fix_speed, target:myself, turn:2],[effect:sp_boost, target:unit_all, val:4],[effect:change_bomb_range, target:unit_all, val:1.2, rate:1, turn:-1, animation:bomb_big],[effect:suicide, val:0.8]</v>
      </c>
      <c r="O178" s="63">
        <f t="shared" si="68"/>
        <v>9</v>
      </c>
      <c r="P178" s="63">
        <f t="shared" si="69"/>
        <v>18</v>
      </c>
      <c r="Q178" s="63">
        <f t="shared" si="70"/>
        <v>27</v>
      </c>
      <c r="R178" s="63">
        <f t="shared" si="71"/>
        <v>33</v>
      </c>
      <c r="S178" s="63" t="str">
        <f>IFERROR(VLOOKUP(MID(N178,Q178,R178-Q178),[6]skilldef!$C:$D,2,FALSE),"-") &amp; " / " &amp; IFERROR(VLOOKUP(MID(N178,O178,P178-O178),[6]skilldef!$A:$B,2,FALSE),"-")</f>
        <v>自分自身に / 行動値設定</v>
      </c>
      <c r="T178" s="48" t="str">
        <f t="shared" si="72"/>
        <v>[effect:sp_boost, target:unit_all, val:4],[effect:change_bomb_range, target:unit_all, val:1.2, rate:1, turn:-1, animation:bomb_big],[effect:suicide, val:0.8]</v>
      </c>
      <c r="U178" s="63">
        <f t="shared" si="73"/>
        <v>9</v>
      </c>
      <c r="V178" s="63">
        <f t="shared" si="74"/>
        <v>17</v>
      </c>
      <c r="W178" s="63">
        <f t="shared" si="75"/>
        <v>26</v>
      </c>
      <c r="X178" s="63">
        <f t="shared" si="76"/>
        <v>34</v>
      </c>
      <c r="Y178" s="63" t="str">
        <f>IFERROR(VLOOKUP(MID(T178,W178,X178-W178),[6]skilldef!$C:$D,2,FALSE),"-") &amp; " / " &amp; IFERROR(VLOOKUP(MID(T178,U178,V178-U178),[6]skilldef!$A:$B,2,FALSE),"-")</f>
        <v>味方全体に / -</v>
      </c>
      <c r="Z178" s="50"/>
      <c r="AA178" s="52"/>
      <c r="AB178" s="50"/>
    </row>
    <row r="179" spans="1:28" ht="40" customHeight="1" x14ac:dyDescent="0.15">
      <c r="A179" s="127">
        <v>47004529</v>
      </c>
      <c r="B179" s="132" t="s">
        <v>506</v>
      </c>
      <c r="C179" s="111">
        <v>3</v>
      </c>
      <c r="D179" s="111" t="s">
        <v>127</v>
      </c>
      <c r="E179" s="129" t="s">
        <v>386</v>
      </c>
      <c r="F179" s="112" t="s">
        <v>472</v>
      </c>
      <c r="G179" s="63"/>
      <c r="H179" s="63"/>
      <c r="I179" s="63"/>
      <c r="J179" s="63"/>
      <c r="K179" s="63"/>
      <c r="L179" s="63"/>
      <c r="M179" s="63"/>
      <c r="N179" s="48"/>
      <c r="O179" s="63"/>
      <c r="P179" s="63"/>
      <c r="Q179" s="63"/>
      <c r="R179" s="63"/>
      <c r="S179" s="63"/>
      <c r="T179" s="48"/>
      <c r="U179" s="63"/>
      <c r="V179" s="63"/>
      <c r="W179" s="63"/>
      <c r="X179" s="63"/>
      <c r="Y179" s="63"/>
      <c r="Z179" s="50"/>
      <c r="AA179" s="52"/>
      <c r="AB179" s="50"/>
    </row>
    <row r="180" spans="1:28" ht="40" customHeight="1" x14ac:dyDescent="0.15">
      <c r="A180" s="127">
        <v>47004541</v>
      </c>
      <c r="B180" s="133" t="s">
        <v>507</v>
      </c>
      <c r="C180" s="50">
        <v>3</v>
      </c>
      <c r="D180" s="50" t="s">
        <v>127</v>
      </c>
      <c r="E180" s="51" t="s">
        <v>309</v>
      </c>
      <c r="F180" s="51" t="s">
        <v>451</v>
      </c>
      <c r="G180" s="63" t="str">
        <f t="shared" si="62"/>
        <v>[effect:enemy_message, val1:1.2, val2:4.2]</v>
      </c>
      <c r="H180" s="63">
        <f t="shared" si="63"/>
        <v>9</v>
      </c>
      <c r="I180" s="63">
        <f t="shared" si="64"/>
        <v>22</v>
      </c>
      <c r="J180" s="63" t="e">
        <f t="shared" si="65"/>
        <v>#VALUE!</v>
      </c>
      <c r="K180" s="63">
        <f t="shared" si="66"/>
        <v>32</v>
      </c>
      <c r="L180" s="63" t="str">
        <f>IFERROR(VLOOKUP(MID(G180,J180,K180-J180),[6]skilldef!$C:$D,2,FALSE),"-") &amp; " / " &amp; IFERROR(VLOOKUP(MID(G180,H180,I180-H180),[6]skilldef!$A:$B,2,FALSE),"-")</f>
        <v>- / -</v>
      </c>
      <c r="M180" s="63" t="str">
        <f t="shared" si="67"/>
        <v>[effect:enemy_counter, target:myself, invoke_condition:unit_all, counter_target:attacker, turn:-1, val:0.1, animation:enemy_counter],[effect:fix_speed, target:myself, turn:2]</v>
      </c>
      <c r="N180" s="48" t="str">
        <f>IFERROR(LEFT(M180,FIND("],",M180)+#REF!),M180)</f>
        <v>[effect:enemy_counter, target:myself, invoke_condition:unit_all, counter_target:attacker, turn:-1, val:0.1, animation:enemy_counter],[effect:fix_speed, target:myself, turn:2]</v>
      </c>
      <c r="O180" s="63">
        <f t="shared" si="68"/>
        <v>9</v>
      </c>
      <c r="P180" s="63">
        <f t="shared" si="69"/>
        <v>22</v>
      </c>
      <c r="Q180" s="63">
        <f t="shared" si="70"/>
        <v>31</v>
      </c>
      <c r="R180" s="63">
        <f t="shared" si="71"/>
        <v>37</v>
      </c>
      <c r="S180" s="63" t="str">
        <f>IFERROR(VLOOKUP(MID(N180,Q180,R180-Q180),[6]skilldef!$C:$D,2,FALSE),"-") &amp; " / " &amp; IFERROR(VLOOKUP(MID(N180,O180,P180-O180),[6]skilldef!$A:$B,2,FALSE),"-")</f>
        <v>自分自身に / カウンター</v>
      </c>
      <c r="T180" s="48" t="str">
        <f t="shared" si="72"/>
        <v>[effect:fix_speed, target:myself, turn:2]</v>
      </c>
      <c r="U180" s="63">
        <f t="shared" si="73"/>
        <v>9</v>
      </c>
      <c r="V180" s="63">
        <f t="shared" si="74"/>
        <v>18</v>
      </c>
      <c r="W180" s="63">
        <f t="shared" si="75"/>
        <v>27</v>
      </c>
      <c r="X180" s="63">
        <f t="shared" si="76"/>
        <v>33</v>
      </c>
      <c r="Y180" s="63" t="str">
        <f>IFERROR(VLOOKUP(MID(T180,W180,X180-W180),[6]skilldef!$C:$D,2,FALSE),"-") &amp; " / " &amp; IFERROR(VLOOKUP(MID(T180,U180,V180-U180),[6]skilldef!$A:$B,2,FALSE),"-")</f>
        <v>自分自身に / 行動値設定</v>
      </c>
      <c r="Z180" s="50"/>
      <c r="AA180" s="52"/>
      <c r="AB180" s="50"/>
    </row>
    <row r="181" spans="1:28" ht="40" customHeight="1" x14ac:dyDescent="0.15">
      <c r="A181" s="127">
        <v>47004542</v>
      </c>
      <c r="B181" s="136" t="s">
        <v>587</v>
      </c>
      <c r="C181" s="50">
        <v>3</v>
      </c>
      <c r="D181" s="50" t="s">
        <v>127</v>
      </c>
      <c r="E181" s="51" t="s">
        <v>310</v>
      </c>
      <c r="F181" s="51" t="s">
        <v>291</v>
      </c>
      <c r="G181" s="63" t="str">
        <f t="shared" si="62"/>
        <v>[effect:enemy_message, val1:1.2, val2:2.4]</v>
      </c>
      <c r="H181" s="63">
        <f t="shared" si="63"/>
        <v>9</v>
      </c>
      <c r="I181" s="63">
        <f t="shared" si="64"/>
        <v>22</v>
      </c>
      <c r="J181" s="63" t="e">
        <f t="shared" si="65"/>
        <v>#VALUE!</v>
      </c>
      <c r="K181" s="63">
        <f t="shared" si="66"/>
        <v>32</v>
      </c>
      <c r="L181" s="63" t="str">
        <f>IFERROR(VLOOKUP(MID(G181,J181,K181-J181),[6]skilldef!$C:$D,2,FALSE),"-") &amp; " / " &amp; IFERROR(VLOOKUP(MID(G181,H181,I181-H181),[6]skilldef!$A:$B,2,FALSE),"-")</f>
        <v>- / -</v>
      </c>
      <c r="M181" s="63" t="str">
        <f t="shared" si="67"/>
        <v xml:space="preserve">[effect:force_change_block, new_block:damage, target:block_yellow, count:5, val:0.03],[effect:rush, count:1, val:1.0]    </v>
      </c>
      <c r="N181" s="48" t="str">
        <f>IFERROR(LEFT(M181,FIND("],",M181)+S184),M181)</f>
        <v xml:space="preserve">[effect:force_change_block, new_block:damage, target:block_yellow, count:5, val:0.03],[effect:rush, count:1, val:1.0]    </v>
      </c>
      <c r="O181" s="63">
        <f t="shared" si="68"/>
        <v>9</v>
      </c>
      <c r="P181" s="63">
        <f t="shared" si="69"/>
        <v>27</v>
      </c>
      <c r="Q181" s="63">
        <f t="shared" si="70"/>
        <v>54</v>
      </c>
      <c r="R181" s="63">
        <f t="shared" si="71"/>
        <v>45</v>
      </c>
      <c r="S181" s="63" t="str">
        <f>IFERROR(VLOOKUP(MID(N181,Q181,R181-Q181),[6]skilldef!$C:$D,2,FALSE),"-") &amp; " / " &amp; IFERROR(VLOOKUP(MID(N181,O181,P181-O181),[6]skilldef!$A:$B,2,FALSE),"-")</f>
        <v>- / -</v>
      </c>
      <c r="T181" s="48" t="str">
        <f t="shared" si="72"/>
        <v xml:space="preserve">[effect:rush, count:1, val:1.0]    </v>
      </c>
      <c r="U181" s="63">
        <f t="shared" si="73"/>
        <v>9</v>
      </c>
      <c r="V181" s="63">
        <f t="shared" si="74"/>
        <v>13</v>
      </c>
      <c r="W181" s="63" t="e">
        <f t="shared" si="75"/>
        <v>#VALUE!</v>
      </c>
      <c r="X181" s="63">
        <f t="shared" si="76"/>
        <v>22</v>
      </c>
      <c r="Y181" s="63" t="str">
        <f>IFERROR(VLOOKUP(MID(T181,W181,X181-W181),[6]skilldef!$C:$D,2,FALSE),"-") &amp; " / " &amp; IFERROR(VLOOKUP(MID(T181,U181,V181-U181),[6]skilldef!$A:$B,2,FALSE),"-")</f>
        <v>- / 連続攻撃</v>
      </c>
      <c r="Z181" s="50"/>
      <c r="AA181" s="52"/>
      <c r="AB181" s="50"/>
    </row>
    <row r="182" spans="1:28" ht="40" customHeight="1" x14ac:dyDescent="0.15">
      <c r="A182" s="127">
        <v>47004543</v>
      </c>
      <c r="B182" s="133" t="s">
        <v>509</v>
      </c>
      <c r="C182" s="50">
        <v>3</v>
      </c>
      <c r="D182" s="50" t="s">
        <v>127</v>
      </c>
      <c r="E182" s="51" t="s">
        <v>312</v>
      </c>
      <c r="F182" s="51" t="s">
        <v>482</v>
      </c>
      <c r="G182" s="63" t="str">
        <f t="shared" si="62"/>
        <v>[effect:enemy_message, val1:1.2, val2:2.0]</v>
      </c>
      <c r="H182" s="63">
        <f t="shared" si="63"/>
        <v>9</v>
      </c>
      <c r="I182" s="63">
        <f t="shared" si="64"/>
        <v>22</v>
      </c>
      <c r="J182" s="63" t="e">
        <f t="shared" si="65"/>
        <v>#VALUE!</v>
      </c>
      <c r="K182" s="63">
        <f t="shared" si="66"/>
        <v>32</v>
      </c>
      <c r="L182" s="63" t="str">
        <f>IFERROR(VLOOKUP(MID(G182,J182,K182-J182),[6]skilldef!$C:$D,2,FALSE),"-") &amp; " / " &amp; IFERROR(VLOOKUP(MID(G182,H182,I182-H182),[6]skilldef!$A:$B,2,FALSE),"-")</f>
        <v>- / -</v>
      </c>
      <c r="M182" s="63" t="str">
        <f t="shared" si="67"/>
        <v>[effect:damage_abnormal, target:unit_one, val:1, status:sleep, turn:2, rate:1, animation:sleep02]</v>
      </c>
      <c r="N182" s="48" t="str">
        <f>IFERROR(LEFT(M182,FIND("],",M182)+S185),M182)</f>
        <v>[effect:damage_abnormal, target:unit_one, val:1, status:sleep, turn:2, rate:1, animation:sleep02]</v>
      </c>
      <c r="O182" s="63">
        <f t="shared" si="68"/>
        <v>9</v>
      </c>
      <c r="P182" s="63">
        <f t="shared" si="69"/>
        <v>24</v>
      </c>
      <c r="Q182" s="63">
        <f t="shared" si="70"/>
        <v>33</v>
      </c>
      <c r="R182" s="63">
        <f t="shared" si="71"/>
        <v>41</v>
      </c>
      <c r="S182" s="63" t="str">
        <f>IFERROR(VLOOKUP(MID(N182,Q182,R182-Q182),[6]skilldef!$C:$D,2,FALSE),"-") &amp; " / " &amp; IFERROR(VLOOKUP(MID(N182,O182,P182-O182),[6]skilldef!$A:$B,2,FALSE),"-")</f>
        <v>味方単体に / -</v>
      </c>
      <c r="T182" s="48" t="str">
        <f t="shared" si="72"/>
        <v>none</v>
      </c>
      <c r="U182" s="63" t="e">
        <f t="shared" si="73"/>
        <v>#VALUE!</v>
      </c>
      <c r="V182" s="63">
        <f t="shared" si="74"/>
        <v>4</v>
      </c>
      <c r="W182" s="63" t="e">
        <f t="shared" si="75"/>
        <v>#VALUE!</v>
      </c>
      <c r="X182" s="63" t="e">
        <f t="shared" si="76"/>
        <v>#VALUE!</v>
      </c>
      <c r="Y182" s="63" t="str">
        <f>IFERROR(VLOOKUP(MID(T182,W182,X182-W182),[6]skilldef!$C:$D,2,FALSE),"-") &amp; " / " &amp; IFERROR(VLOOKUP(MID(T182,U182,V182-U182),[6]skilldef!$A:$B,2,FALSE),"-")</f>
        <v>- / -</v>
      </c>
      <c r="Z182" s="50"/>
      <c r="AA182" s="52"/>
      <c r="AB182" s="50"/>
    </row>
    <row r="183" spans="1:28" ht="40" customHeight="1" x14ac:dyDescent="0.15">
      <c r="A183" s="127">
        <v>47004544</v>
      </c>
      <c r="B183" s="133" t="s">
        <v>510</v>
      </c>
      <c r="C183" s="50">
        <v>3</v>
      </c>
      <c r="D183" s="50" t="s">
        <v>127</v>
      </c>
      <c r="E183" s="51" t="s">
        <v>431</v>
      </c>
      <c r="F183" s="51" t="s">
        <v>475</v>
      </c>
      <c r="G183" s="63" t="str">
        <f t="shared" si="62"/>
        <v>[effect:enemy_message, val1:1.2, val2:2.3]</v>
      </c>
      <c r="H183" s="63">
        <f t="shared" si="63"/>
        <v>9</v>
      </c>
      <c r="I183" s="63">
        <f t="shared" si="64"/>
        <v>22</v>
      </c>
      <c r="J183" s="63" t="e">
        <f t="shared" si="65"/>
        <v>#VALUE!</v>
      </c>
      <c r="K183" s="63">
        <f t="shared" si="66"/>
        <v>32</v>
      </c>
      <c r="L183" s="63" t="str">
        <f>IFERROR(VLOOKUP(MID(G183,J183,K183-J183),[6]skilldef!$C:$D,2,FALSE),"-") &amp; " / " &amp; IFERROR(VLOOKUP(MID(G183,H183,I183-H183),[6]skilldef!$A:$B,2,FALSE),"-")</f>
        <v>- / -</v>
      </c>
      <c r="M183" s="63" t="str">
        <f t="shared" si="67"/>
        <v>[effect:force_change_block, new_block:block_blue, target:block_heart, count:5, val:0],[effect:freq_turn, target:myself, turn:-1, val:1, animation:enemy_freq_turn]</v>
      </c>
      <c r="N183" s="48" t="str">
        <f>IFERROR(LEFT(M183,FIND("],",M183)+S186),M183)</f>
        <v>[effect:force_change_block, new_block:block_blue, target:block_heart, count:5, val:0],[effect:freq_turn, target:myself, turn:-1, val:1, animation:enemy_freq_turn]</v>
      </c>
      <c r="O183" s="63">
        <f t="shared" si="68"/>
        <v>9</v>
      </c>
      <c r="P183" s="63">
        <f t="shared" si="69"/>
        <v>27</v>
      </c>
      <c r="Q183" s="63">
        <f t="shared" si="70"/>
        <v>58</v>
      </c>
      <c r="R183" s="63">
        <f t="shared" si="71"/>
        <v>49</v>
      </c>
      <c r="S183" s="63" t="str">
        <f>IFERROR(VLOOKUP(MID(N183,Q183,R183-Q183),[6]skilldef!$C:$D,2,FALSE),"-") &amp; " / " &amp; IFERROR(VLOOKUP(MID(N183,O183,P183-O183),[6]skilldef!$A:$B,2,FALSE),"-")</f>
        <v>- / -</v>
      </c>
      <c r="T183" s="48" t="str">
        <f t="shared" si="72"/>
        <v>[effect:freq_turn, target:myself, turn:-1, val:1, animation:enemy_freq_turn]</v>
      </c>
      <c r="U183" s="63">
        <f t="shared" si="73"/>
        <v>9</v>
      </c>
      <c r="V183" s="63">
        <f t="shared" si="74"/>
        <v>18</v>
      </c>
      <c r="W183" s="63">
        <f t="shared" si="75"/>
        <v>27</v>
      </c>
      <c r="X183" s="63">
        <f t="shared" si="76"/>
        <v>33</v>
      </c>
      <c r="Y183" s="63" t="str">
        <f>IFERROR(VLOOKUP(MID(T183,W183,X183-W183),[6]skilldef!$C:$D,2,FALSE),"-") &amp; " / " &amp; IFERROR(VLOOKUP(MID(T183,U183,V183-U183),[6]skilldef!$A:$B,2,FALSE),"-")</f>
        <v>自分自身に / 攻撃頻度がUP</v>
      </c>
      <c r="Z183" s="50"/>
      <c r="AA183" s="52"/>
      <c r="AB183" s="50"/>
    </row>
    <row r="184" spans="1:28" ht="40" customHeight="1" x14ac:dyDescent="0.15">
      <c r="A184" s="127">
        <v>47004551</v>
      </c>
      <c r="B184" s="132" t="s">
        <v>511</v>
      </c>
      <c r="C184" s="111">
        <v>3</v>
      </c>
      <c r="D184" s="111" t="s">
        <v>127</v>
      </c>
      <c r="E184" s="112" t="s">
        <v>311</v>
      </c>
      <c r="F184" s="112" t="s">
        <v>347</v>
      </c>
      <c r="G184" s="63" t="str">
        <f t="shared" si="62"/>
        <v>[effect:enemy_message, val1:1.2, val2:2.0]</v>
      </c>
      <c r="H184" s="63">
        <f t="shared" si="63"/>
        <v>9</v>
      </c>
      <c r="I184" s="63">
        <f t="shared" si="64"/>
        <v>22</v>
      </c>
      <c r="J184" s="63" t="e">
        <f t="shared" si="65"/>
        <v>#VALUE!</v>
      </c>
      <c r="K184" s="63">
        <f t="shared" si="66"/>
        <v>32</v>
      </c>
      <c r="L184" s="63" t="str">
        <f>IFERROR(VLOOKUP(MID(G184,J184,K184-J184),[6]skilldef!$C:$D,2,FALSE),"-") &amp; " / " &amp; IFERROR(VLOOKUP(MID(G184,H184,I184-H184),[6]skilldef!$A:$B,2,FALSE),"-")</f>
        <v>- / -</v>
      </c>
      <c r="M184" s="63" t="str">
        <f t="shared" si="67"/>
        <v>[effect:ability_lock, target:unit_all, turn:1],[effect:sleep, target:unit_all, turn:1, rate:1],[effect:fix_speed, target:myself, turn:1]</v>
      </c>
      <c r="N184" s="48" t="str">
        <f>IFERROR(LEFT(M184,FIND("],",M184)+S198),M184)</f>
        <v>[effect:ability_lock, target:unit_all, turn:1],[effect:sleep, target:unit_all, turn:1, rate:1],[effect:fix_speed, target:myself, turn:1]</v>
      </c>
      <c r="O184" s="63">
        <f t="shared" si="68"/>
        <v>9</v>
      </c>
      <c r="P184" s="63">
        <f t="shared" si="69"/>
        <v>21</v>
      </c>
      <c r="Q184" s="63">
        <f t="shared" si="70"/>
        <v>30</v>
      </c>
      <c r="R184" s="63">
        <f t="shared" si="71"/>
        <v>38</v>
      </c>
      <c r="S184" s="63" t="str">
        <f>IFERROR(VLOOKUP(MID(N184,Q184,R184-Q184),[6]skilldef!$C:$D,2,FALSE),"-") &amp; " / " &amp; IFERROR(VLOOKUP(MID(N184,O184,P184-O184),[6]skilldef!$A:$B,2,FALSE),"-")</f>
        <v>味方全体に / -</v>
      </c>
      <c r="T184" s="48" t="str">
        <f t="shared" si="72"/>
        <v>[effect:sleep, target:unit_all, turn:1, rate:1],[effect:fix_speed, target:myself, turn:1]</v>
      </c>
      <c r="U184" s="63">
        <f t="shared" si="73"/>
        <v>9</v>
      </c>
      <c r="V184" s="63">
        <f t="shared" si="74"/>
        <v>14</v>
      </c>
      <c r="W184" s="63">
        <f t="shared" si="75"/>
        <v>23</v>
      </c>
      <c r="X184" s="63">
        <f t="shared" si="76"/>
        <v>31</v>
      </c>
      <c r="Y184" s="63" t="str">
        <f>IFERROR(VLOOKUP(MID(T184,W184,X184-W184),[6]skilldef!$C:$D,2,FALSE),"-") &amp; " / " &amp; IFERROR(VLOOKUP(MID(T184,U184,V184-U184),[6]skilldef!$A:$B,2,FALSE),"-")</f>
        <v>味方全体に / スリープ</v>
      </c>
      <c r="Z184" s="50"/>
      <c r="AA184" s="52"/>
      <c r="AB184" s="50"/>
    </row>
    <row r="185" spans="1:28" ht="40" customHeight="1" x14ac:dyDescent="0.15">
      <c r="A185" s="127">
        <v>47004552</v>
      </c>
      <c r="B185" s="132" t="s">
        <v>512</v>
      </c>
      <c r="C185" s="111">
        <v>3</v>
      </c>
      <c r="D185" s="111" t="s">
        <v>127</v>
      </c>
      <c r="E185" s="112" t="s">
        <v>300</v>
      </c>
      <c r="F185" s="112" t="s">
        <v>425</v>
      </c>
      <c r="G185" s="63" t="str">
        <f t="shared" si="62"/>
        <v>[effect:enemy_message, val1:1.2, val2:2.7]</v>
      </c>
      <c r="H185" s="63">
        <f t="shared" si="63"/>
        <v>9</v>
      </c>
      <c r="I185" s="63">
        <f t="shared" si="64"/>
        <v>22</v>
      </c>
      <c r="J185" s="63" t="e">
        <f t="shared" si="65"/>
        <v>#VALUE!</v>
      </c>
      <c r="K185" s="63">
        <f t="shared" si="66"/>
        <v>32</v>
      </c>
      <c r="L185" s="63" t="str">
        <f>IFERROR(VLOOKUP(MID(G185,J185,K185-J185),[6]skilldef!$C:$D,2,FALSE),"-") &amp; " / " &amp; IFERROR(VLOOKUP(MID(G185,H185,I185-H185),[6]skilldef!$A:$B,2,FALSE),"-")</f>
        <v>- / -</v>
      </c>
      <c r="M185" s="63" t="str">
        <f t="shared" si="67"/>
        <v>[effect:suicide, target:myself, val:1, dead_type:escape]</v>
      </c>
      <c r="N185" s="48" t="str">
        <f>IFERROR(LEFT(M185,FIND("],",M185)+#REF!),M185)</f>
        <v>[effect:suicide, target:myself, val:1, dead_type:escape]</v>
      </c>
      <c r="O185" s="63">
        <f t="shared" si="68"/>
        <v>9</v>
      </c>
      <c r="P185" s="63">
        <f t="shared" si="69"/>
        <v>16</v>
      </c>
      <c r="Q185" s="63">
        <f t="shared" si="70"/>
        <v>25</v>
      </c>
      <c r="R185" s="63">
        <f t="shared" si="71"/>
        <v>31</v>
      </c>
      <c r="S185" s="63" t="str">
        <f>IFERROR(VLOOKUP(MID(N185,Q185,R185-Q185),[6]skilldef!$C:$D,2,FALSE),"-") &amp; " / " &amp; IFERROR(VLOOKUP(MID(N185,O185,P185-O185),[6]skilldef!$A:$B,2,FALSE),"-")</f>
        <v>自分自身に / -</v>
      </c>
      <c r="T185" s="48" t="str">
        <f t="shared" si="72"/>
        <v>none</v>
      </c>
      <c r="U185" s="63" t="e">
        <f t="shared" si="73"/>
        <v>#VALUE!</v>
      </c>
      <c r="V185" s="63">
        <f t="shared" si="74"/>
        <v>4</v>
      </c>
      <c r="W185" s="63" t="e">
        <f t="shared" si="75"/>
        <v>#VALUE!</v>
      </c>
      <c r="X185" s="63" t="e">
        <f t="shared" si="76"/>
        <v>#VALUE!</v>
      </c>
      <c r="Y185" s="63" t="str">
        <f>IFERROR(VLOOKUP(MID(T185,W185,X185-W185),[6]skilldef!$C:$D,2,FALSE),"-") &amp; " / " &amp; IFERROR(VLOOKUP(MID(T185,U185,V185-U185),[6]skilldef!$A:$B,2,FALSE),"-")</f>
        <v>- / -</v>
      </c>
      <c r="Z185" s="50"/>
      <c r="AA185" s="52"/>
      <c r="AB185" s="50"/>
    </row>
    <row r="186" spans="1:28" ht="40" customHeight="1" x14ac:dyDescent="0.15">
      <c r="A186" s="127">
        <v>47004561</v>
      </c>
      <c r="B186" s="132" t="s">
        <v>511</v>
      </c>
      <c r="C186" s="111">
        <v>3</v>
      </c>
      <c r="D186" s="111" t="s">
        <v>127</v>
      </c>
      <c r="E186" s="112" t="s">
        <v>313</v>
      </c>
      <c r="F186" s="112" t="s">
        <v>315</v>
      </c>
      <c r="G186" s="63" t="str">
        <f t="shared" si="62"/>
        <v>[effect:enemy_message, val1:1.2, val2:2.0]</v>
      </c>
      <c r="H186" s="63">
        <f t="shared" si="63"/>
        <v>9</v>
      </c>
      <c r="I186" s="63">
        <f t="shared" si="64"/>
        <v>22</v>
      </c>
      <c r="J186" s="63" t="e">
        <f t="shared" si="65"/>
        <v>#VALUE!</v>
      </c>
      <c r="K186" s="63">
        <f t="shared" si="66"/>
        <v>32</v>
      </c>
      <c r="L186" s="63" t="str">
        <f>IFERROR(VLOOKUP(MID(G186,J186,K186-J186),[6]skilldef!$C:$D,2,FALSE),"-") &amp; " / " &amp; IFERROR(VLOOKUP(MID(G186,H186,I186-H186),[6]skilldef!$A:$B,2,FALSE),"-")</f>
        <v>- / -</v>
      </c>
      <c r="M186" s="63" t="str">
        <f t="shared" si="67"/>
        <v>[effect:ability_lock, target:unit_all, turn:1],[effect:sleep, target:unit_all, turn:1, rate:1],[effect:fix_speed, target:myself, turn:1]</v>
      </c>
      <c r="N186" s="48" t="str">
        <f>IFERROR(LEFT(M186,FIND("],",M186)+#REF!),M186)</f>
        <v>[effect:ability_lock, target:unit_all, turn:1],[effect:sleep, target:unit_all, turn:1, rate:1],[effect:fix_speed, target:myself, turn:1]</v>
      </c>
      <c r="O186" s="63">
        <f t="shared" si="68"/>
        <v>9</v>
      </c>
      <c r="P186" s="63">
        <f t="shared" si="69"/>
        <v>21</v>
      </c>
      <c r="Q186" s="63">
        <f t="shared" si="70"/>
        <v>30</v>
      </c>
      <c r="R186" s="63">
        <f t="shared" si="71"/>
        <v>38</v>
      </c>
      <c r="S186" s="63" t="str">
        <f>IFERROR(VLOOKUP(MID(N186,Q186,R186-Q186),[6]skilldef!$C:$D,2,FALSE),"-") &amp; " / " &amp; IFERROR(VLOOKUP(MID(N186,O186,P186-O186),[6]skilldef!$A:$B,2,FALSE),"-")</f>
        <v>味方全体に / -</v>
      </c>
      <c r="T186" s="48" t="str">
        <f t="shared" si="72"/>
        <v>[effect:sleep, target:unit_all, turn:1, rate:1],[effect:fix_speed, target:myself, turn:1]</v>
      </c>
      <c r="U186" s="63">
        <f t="shared" si="73"/>
        <v>9</v>
      </c>
      <c r="V186" s="63">
        <f t="shared" si="74"/>
        <v>14</v>
      </c>
      <c r="W186" s="63">
        <f t="shared" si="75"/>
        <v>23</v>
      </c>
      <c r="X186" s="63">
        <f t="shared" si="76"/>
        <v>31</v>
      </c>
      <c r="Y186" s="63" t="str">
        <f>IFERROR(VLOOKUP(MID(T186,W186,X186-W186),[6]skilldef!$C:$D,2,FALSE),"-") &amp; " / " &amp; IFERROR(VLOOKUP(MID(T186,U186,V186-U186),[6]skilldef!$A:$B,2,FALSE),"-")</f>
        <v>味方全体に / スリープ</v>
      </c>
      <c r="Z186" s="50"/>
      <c r="AA186" s="52"/>
      <c r="AB186" s="50"/>
    </row>
    <row r="187" spans="1:28" ht="40" customHeight="1" x14ac:dyDescent="0.15">
      <c r="A187" s="127">
        <v>47004562</v>
      </c>
      <c r="B187" s="132" t="s">
        <v>513</v>
      </c>
      <c r="C187" s="111">
        <v>3</v>
      </c>
      <c r="D187" s="111" t="s">
        <v>127</v>
      </c>
      <c r="E187" s="112" t="s">
        <v>301</v>
      </c>
      <c r="F187" s="112" t="s">
        <v>483</v>
      </c>
      <c r="G187" s="63" t="str">
        <f t="shared" si="62"/>
        <v>[effect:enemy_message, val1:2.4, val2:3.4]</v>
      </c>
      <c r="H187" s="63">
        <f t="shared" si="63"/>
        <v>9</v>
      </c>
      <c r="I187" s="63">
        <f t="shared" si="64"/>
        <v>22</v>
      </c>
      <c r="J187" s="63" t="e">
        <f t="shared" si="65"/>
        <v>#VALUE!</v>
      </c>
      <c r="K187" s="63">
        <f t="shared" si="66"/>
        <v>32</v>
      </c>
      <c r="L187" s="63" t="str">
        <f>IFERROR(VLOOKUP(MID(G187,J187,K187-J187),[6]skilldef!$C:$D,2,FALSE),"-") &amp; " / " &amp; IFERROR(VLOOKUP(MID(G187,H187,I187-H187),[6]skilldef!$A:$B,2,FALSE),"-")</f>
        <v>- / -</v>
      </c>
      <c r="M187" s="63" t="str">
        <f t="shared" si="67"/>
        <v>[effect:change_panel_ratio, turn:-1, block_type:yellow, val:0.02, animation:block_incidence04],[effect:suicide, target:myself, val:1, dead_type:escape]</v>
      </c>
      <c r="N187" s="48" t="str">
        <f>IFERROR(LEFT(M187,FIND("],",M187)+#REF!),M187)</f>
        <v>[effect:change_panel_ratio, turn:-1, block_type:yellow, val:0.02, animation:block_incidence04],[effect:suicide, target:myself, val:1, dead_type:escape]</v>
      </c>
      <c r="O187" s="63">
        <f t="shared" si="68"/>
        <v>9</v>
      </c>
      <c r="P187" s="63">
        <f t="shared" si="69"/>
        <v>27</v>
      </c>
      <c r="Q187" s="63">
        <f t="shared" si="70"/>
        <v>120</v>
      </c>
      <c r="R187" s="63">
        <f t="shared" si="71"/>
        <v>36</v>
      </c>
      <c r="S187" s="63" t="str">
        <f>IFERROR(VLOOKUP(MID(N187,Q187,R187-Q187),[6]skilldef!$C:$D,2,FALSE),"-") &amp; " / " &amp; IFERROR(VLOOKUP(MID(N187,O187,P187-O187),[6]skilldef!$A:$B,2,FALSE),"-")</f>
        <v>- / -</v>
      </c>
      <c r="T187" s="48" t="str">
        <f t="shared" si="72"/>
        <v>[effect:suicide, target:myself, val:1, dead_type:escape]</v>
      </c>
      <c r="U187" s="63">
        <f t="shared" si="73"/>
        <v>9</v>
      </c>
      <c r="V187" s="63">
        <f t="shared" si="74"/>
        <v>16</v>
      </c>
      <c r="W187" s="63">
        <f t="shared" si="75"/>
        <v>25</v>
      </c>
      <c r="X187" s="63">
        <f t="shared" si="76"/>
        <v>31</v>
      </c>
      <c r="Y187" s="63" t="str">
        <f>IFERROR(VLOOKUP(MID(T187,W187,X187-W187),[6]skilldef!$C:$D,2,FALSE),"-") &amp; " / " &amp; IFERROR(VLOOKUP(MID(T187,U187,V187-U187),[6]skilldef!$A:$B,2,FALSE),"-")</f>
        <v>自分自身に / -</v>
      </c>
      <c r="Z187" s="50"/>
      <c r="AA187" s="52"/>
      <c r="AB187" s="50"/>
    </row>
    <row r="188" spans="1:28" ht="40" customHeight="1" x14ac:dyDescent="0.15">
      <c r="A188" s="127">
        <v>47004563</v>
      </c>
      <c r="B188" s="132" t="s">
        <v>514</v>
      </c>
      <c r="C188" s="111">
        <v>3</v>
      </c>
      <c r="D188" s="111" t="s">
        <v>127</v>
      </c>
      <c r="E188" s="116" t="s">
        <v>274</v>
      </c>
      <c r="F188" s="112" t="s">
        <v>458</v>
      </c>
      <c r="G188" s="63" t="str">
        <f t="shared" si="62"/>
        <v>[effect:enemy_message, val1:2.3, val2:1.8]</v>
      </c>
      <c r="H188" s="63">
        <f t="shared" si="63"/>
        <v>9</v>
      </c>
      <c r="I188" s="63">
        <f t="shared" si="64"/>
        <v>22</v>
      </c>
      <c r="J188" s="63" t="e">
        <f t="shared" si="65"/>
        <v>#VALUE!</v>
      </c>
      <c r="K188" s="63">
        <f t="shared" si="66"/>
        <v>32</v>
      </c>
      <c r="L188" s="63" t="str">
        <f>IFERROR(VLOOKUP(MID(G188,J188,K188-J188),[6]skilldef!$C:$D,2,FALSE),"-") &amp; " / " &amp; IFERROR(VLOOKUP(MID(G188,H188,I188-H188),[6]skilldef!$A:$B,2,FALSE),"-")</f>
        <v>- / -</v>
      </c>
      <c r="M188" s="63" t="str">
        <f t="shared" si="67"/>
        <v>[effect:ability_lock, target:unit_all, turn:1],[effect:sleep, target:unit_all, turn:1, rate:1],[effect:regenerate, turn:-1, target:unit_all, val:1225, type:fix, animation:heal01],[effect:fix_speed, target:myself, turn:1]</v>
      </c>
      <c r="N188" s="48" t="str">
        <f>IFERROR(LEFT(M188,FIND("],",M188)+S200),M188)</f>
        <v>[effect:ability_lock, target:unit_all, turn:1],[effect:sleep, target:unit_all, turn:1, rate:1],[effect:regenerate, turn:-1, target:unit_all, val:1225, type:fix, animation:heal01],[effect:fix_speed, target:myself, turn:1]</v>
      </c>
      <c r="O188" s="63">
        <f t="shared" si="68"/>
        <v>9</v>
      </c>
      <c r="P188" s="63">
        <f t="shared" si="69"/>
        <v>21</v>
      </c>
      <c r="Q188" s="63">
        <f t="shared" si="70"/>
        <v>30</v>
      </c>
      <c r="R188" s="63">
        <f t="shared" si="71"/>
        <v>38</v>
      </c>
      <c r="S188" s="63" t="str">
        <f>IFERROR(VLOOKUP(MID(N188,Q188,R188-Q188),[6]skilldef!$C:$D,2,FALSE),"-") &amp; " / " &amp; IFERROR(VLOOKUP(MID(N188,O188,P188-O188),[6]skilldef!$A:$B,2,FALSE),"-")</f>
        <v>味方全体に / -</v>
      </c>
      <c r="T188" s="48" t="str">
        <f t="shared" si="72"/>
        <v>[effect:sleep, target:unit_all, turn:1, rate:1],[effect:regenerate, turn:-1, target:unit_all, val:1225, type:fix, animation:heal01],[effect:fix_speed, target:myself, turn:1]</v>
      </c>
      <c r="U188" s="63">
        <f t="shared" si="73"/>
        <v>9</v>
      </c>
      <c r="V188" s="63">
        <f t="shared" si="74"/>
        <v>14</v>
      </c>
      <c r="W188" s="63">
        <f t="shared" si="75"/>
        <v>23</v>
      </c>
      <c r="X188" s="63">
        <f t="shared" si="76"/>
        <v>31</v>
      </c>
      <c r="Y188" s="63" t="str">
        <f>IFERROR(VLOOKUP(MID(T188,W188,X188-W188),[6]skilldef!$C:$D,2,FALSE),"-") &amp; " / " &amp; IFERROR(VLOOKUP(MID(T188,U188,V188-U188),[6]skilldef!$A:$B,2,FALSE),"-")</f>
        <v>味方全体に / スリープ</v>
      </c>
      <c r="Z188" s="50"/>
      <c r="AA188" s="52"/>
      <c r="AB188" s="50"/>
    </row>
    <row r="189" spans="1:28" ht="40" customHeight="1" x14ac:dyDescent="0.15">
      <c r="A189" s="127">
        <v>47004564</v>
      </c>
      <c r="B189" s="132" t="s">
        <v>515</v>
      </c>
      <c r="C189" s="111">
        <v>3</v>
      </c>
      <c r="D189" s="111" t="s">
        <v>127</v>
      </c>
      <c r="E189" s="116" t="s">
        <v>275</v>
      </c>
      <c r="F189" s="112" t="s">
        <v>458</v>
      </c>
      <c r="G189" s="63" t="str">
        <f t="shared" si="62"/>
        <v>[effect:enemy_message, val1:1.9, val2:1.8]</v>
      </c>
      <c r="H189" s="63">
        <f t="shared" si="63"/>
        <v>9</v>
      </c>
      <c r="I189" s="63">
        <f t="shared" si="64"/>
        <v>22</v>
      </c>
      <c r="J189" s="63" t="e">
        <f t="shared" si="65"/>
        <v>#VALUE!</v>
      </c>
      <c r="K189" s="63">
        <f t="shared" si="66"/>
        <v>32</v>
      </c>
      <c r="L189" s="63" t="str">
        <f>IFERROR(VLOOKUP(MID(G189,J189,K189-J189),[6]skilldef!$C:$D,2,FALSE),"-") &amp; " / " &amp; IFERROR(VLOOKUP(MID(G189,H189,I189-H189),[6]skilldef!$A:$B,2,FALSE),"-")</f>
        <v>- / -</v>
      </c>
      <c r="M189" s="63" t="str">
        <f t="shared" si="67"/>
        <v>[effect:ability_lock, target:unit_all, turn:1],[effect:sleep, target:unit_all, turn:1, rate:1],[effect:regenerate, turn:-1, target:unit_all, val:1225, type:fix, animation:heal01],[effect:fix_speed, target:myself, turn:1]</v>
      </c>
      <c r="N189" s="48" t="str">
        <f>IFERROR(LEFT(M189,FIND("],",M189)+S201),M189)</f>
        <v>[effect:ability_lock, target:unit_all, turn:1],[effect:sleep, target:unit_all, turn:1, rate:1],[effect:regenerate, turn:-1, target:unit_all, val:1225, type:fix, animation:heal01],[effect:fix_speed, target:myself, turn:1]</v>
      </c>
      <c r="O189" s="63">
        <f t="shared" si="68"/>
        <v>9</v>
      </c>
      <c r="P189" s="63">
        <f t="shared" si="69"/>
        <v>21</v>
      </c>
      <c r="Q189" s="63">
        <f t="shared" si="70"/>
        <v>30</v>
      </c>
      <c r="R189" s="63">
        <f t="shared" si="71"/>
        <v>38</v>
      </c>
      <c r="S189" s="63" t="str">
        <f>IFERROR(VLOOKUP(MID(N189,Q189,R189-Q189),[6]skilldef!$C:$D,2,FALSE),"-") &amp; " / " &amp; IFERROR(VLOOKUP(MID(N189,O189,P189-O189),[6]skilldef!$A:$B,2,FALSE),"-")</f>
        <v>味方全体に / -</v>
      </c>
      <c r="T189" s="48" t="str">
        <f t="shared" si="72"/>
        <v>[effect:sleep, target:unit_all, turn:1, rate:1],[effect:regenerate, turn:-1, target:unit_all, val:1225, type:fix, animation:heal01],[effect:fix_speed, target:myself, turn:1]</v>
      </c>
      <c r="U189" s="63">
        <f t="shared" si="73"/>
        <v>9</v>
      </c>
      <c r="V189" s="63">
        <f t="shared" si="74"/>
        <v>14</v>
      </c>
      <c r="W189" s="63">
        <f t="shared" si="75"/>
        <v>23</v>
      </c>
      <c r="X189" s="63">
        <f t="shared" si="76"/>
        <v>31</v>
      </c>
      <c r="Y189" s="63" t="str">
        <f>IFERROR(VLOOKUP(MID(T189,W189,X189-W189),[6]skilldef!$C:$D,2,FALSE),"-") &amp; " / " &amp; IFERROR(VLOOKUP(MID(T189,U189,V189-U189),[6]skilldef!$A:$B,2,FALSE),"-")</f>
        <v>味方全体に / スリープ</v>
      </c>
      <c r="Z189" s="50"/>
      <c r="AA189" s="52"/>
      <c r="AB189" s="50"/>
    </row>
    <row r="190" spans="1:28" ht="40" customHeight="1" x14ac:dyDescent="0.15">
      <c r="A190" s="127">
        <v>47004565</v>
      </c>
      <c r="B190" s="132" t="s">
        <v>514</v>
      </c>
      <c r="C190" s="111">
        <v>3</v>
      </c>
      <c r="D190" s="111" t="s">
        <v>127</v>
      </c>
      <c r="E190" s="116" t="s">
        <v>276</v>
      </c>
      <c r="F190" s="112" t="s">
        <v>458</v>
      </c>
      <c r="G190" s="63" t="str">
        <f t="shared" si="62"/>
        <v>[effect:enemy_message, val1:2.3, val2:1.8]</v>
      </c>
      <c r="H190" s="63">
        <f t="shared" si="63"/>
        <v>9</v>
      </c>
      <c r="I190" s="63">
        <f t="shared" si="64"/>
        <v>22</v>
      </c>
      <c r="J190" s="63" t="e">
        <f t="shared" si="65"/>
        <v>#VALUE!</v>
      </c>
      <c r="K190" s="63">
        <f t="shared" si="66"/>
        <v>32</v>
      </c>
      <c r="L190" s="63" t="str">
        <f>IFERROR(VLOOKUP(MID(G190,J190,K190-J190),[6]skilldef!$C:$D,2,FALSE),"-") &amp; " / " &amp; IFERROR(VLOOKUP(MID(G190,H190,I190-H190),[6]skilldef!$A:$B,2,FALSE),"-")</f>
        <v>- / -</v>
      </c>
      <c r="M190" s="63" t="str">
        <f t="shared" si="67"/>
        <v>[effect:ability_lock, target:unit_all, turn:1],[effect:sleep, target:unit_all, turn:1, rate:1],[effect:regenerate, turn:-1, target:unit_all, val:1225, type:fix, animation:heal01],[effect:fix_speed, target:myself, turn:1]</v>
      </c>
      <c r="N190" s="48" t="str">
        <f>IFERROR(LEFT(M190,FIND("],",M190)+S205),M190)</f>
        <v>[effect:ability_lock, target:unit_all, turn:1],[effect:sleep, target:unit_all, turn:1, rate:1],[effect:regenerate, turn:-1, target:unit_all, val:1225, type:fix, animation:heal01],[effect:fix_speed, target:myself, turn:1]</v>
      </c>
      <c r="O190" s="63">
        <f t="shared" si="68"/>
        <v>9</v>
      </c>
      <c r="P190" s="63">
        <f t="shared" si="69"/>
        <v>21</v>
      </c>
      <c r="Q190" s="63">
        <f t="shared" si="70"/>
        <v>30</v>
      </c>
      <c r="R190" s="63">
        <f t="shared" si="71"/>
        <v>38</v>
      </c>
      <c r="S190" s="63" t="str">
        <f>IFERROR(VLOOKUP(MID(N190,Q190,R190-Q190),[6]skilldef!$C:$D,2,FALSE),"-") &amp; " / " &amp; IFERROR(VLOOKUP(MID(N190,O190,P190-O190),[6]skilldef!$A:$B,2,FALSE),"-")</f>
        <v>味方全体に / -</v>
      </c>
      <c r="T190" s="48" t="str">
        <f t="shared" si="72"/>
        <v>[effect:sleep, target:unit_all, turn:1, rate:1],[effect:regenerate, turn:-1, target:unit_all, val:1225, type:fix, animation:heal01],[effect:fix_speed, target:myself, turn:1]</v>
      </c>
      <c r="U190" s="63">
        <f t="shared" si="73"/>
        <v>9</v>
      </c>
      <c r="V190" s="63">
        <f t="shared" si="74"/>
        <v>14</v>
      </c>
      <c r="W190" s="63">
        <f t="shared" si="75"/>
        <v>23</v>
      </c>
      <c r="X190" s="63">
        <f t="shared" si="76"/>
        <v>31</v>
      </c>
      <c r="Y190" s="63" t="str">
        <f>IFERROR(VLOOKUP(MID(T190,W190,X190-W190),[6]skilldef!$C:$D,2,FALSE),"-") &amp; " / " &amp; IFERROR(VLOOKUP(MID(T190,U190,V190-U190),[6]skilldef!$A:$B,2,FALSE),"-")</f>
        <v>味方全体に / スリープ</v>
      </c>
      <c r="Z190" s="50"/>
      <c r="AA190" s="52"/>
      <c r="AB190" s="50"/>
    </row>
    <row r="191" spans="1:28" ht="40" customHeight="1" x14ac:dyDescent="0.15">
      <c r="A191" s="127">
        <v>47004566</v>
      </c>
      <c r="B191" s="132" t="s">
        <v>514</v>
      </c>
      <c r="C191" s="111">
        <v>3</v>
      </c>
      <c r="D191" s="111" t="s">
        <v>127</v>
      </c>
      <c r="E191" s="116" t="s">
        <v>277</v>
      </c>
      <c r="F191" s="112" t="s">
        <v>484</v>
      </c>
      <c r="G191" s="63" t="str">
        <f t="shared" si="62"/>
        <v>[effect:enemy_message, val1:2.3, val2:1.8]</v>
      </c>
      <c r="H191" s="63">
        <f t="shared" si="63"/>
        <v>9</v>
      </c>
      <c r="I191" s="63">
        <f t="shared" si="64"/>
        <v>22</v>
      </c>
      <c r="J191" s="63" t="e">
        <f t="shared" si="65"/>
        <v>#VALUE!</v>
      </c>
      <c r="K191" s="63">
        <f t="shared" si="66"/>
        <v>32</v>
      </c>
      <c r="L191" s="63" t="str">
        <f>IFERROR(VLOOKUP(MID(G191,J191,K191-J191),[6]skilldef!$C:$D,2,FALSE),"-") &amp; " / " &amp; IFERROR(VLOOKUP(MID(G191,H191,I191-H191),[6]skilldef!$A:$B,2,FALSE),"-")</f>
        <v>- / -</v>
      </c>
      <c r="M191" s="63" t="str">
        <f t="shared" si="67"/>
        <v>[effect:ability_lock, target:unit_all, turn:1],[effect:sleep, target:unit_all, turn:1, rate:1],[effect:regenerate, turn:-1, target:unit_all, val:1225, type:fix, animation:heal01],[effect:fix_speed, target:myself, turn:1]</v>
      </c>
      <c r="N191" s="48" t="str">
        <f>IFERROR(LEFT(M191,FIND("],",M191)+S206),M191)</f>
        <v>[effect:ability_lock, target:unit_all, turn:1],[effect:sleep, target:unit_all, turn:1, rate:1],[effect:regenerate, turn:-1, target:unit_all, val:1225, type:fix, animation:heal01],[effect:fix_speed, target:myself, turn:1]</v>
      </c>
      <c r="O191" s="63">
        <f t="shared" si="68"/>
        <v>9</v>
      </c>
      <c r="P191" s="63">
        <f t="shared" si="69"/>
        <v>21</v>
      </c>
      <c r="Q191" s="63">
        <f t="shared" si="70"/>
        <v>30</v>
      </c>
      <c r="R191" s="63">
        <f t="shared" si="71"/>
        <v>38</v>
      </c>
      <c r="S191" s="63" t="str">
        <f>IFERROR(VLOOKUP(MID(N191,Q191,R191-Q191),[6]skilldef!$C:$D,2,FALSE),"-") &amp; " / " &amp; IFERROR(VLOOKUP(MID(N191,O191,P191-O191),[6]skilldef!$A:$B,2,FALSE),"-")</f>
        <v>味方全体に / -</v>
      </c>
      <c r="T191" s="48" t="str">
        <f t="shared" si="72"/>
        <v>[effect:sleep, target:unit_all, turn:1, rate:1],[effect:regenerate, turn:-1, target:unit_all, val:1225, type:fix, animation:heal01],[effect:fix_speed, target:myself, turn:1]</v>
      </c>
      <c r="U191" s="63">
        <f t="shared" si="73"/>
        <v>9</v>
      </c>
      <c r="V191" s="63">
        <f t="shared" si="74"/>
        <v>14</v>
      </c>
      <c r="W191" s="63">
        <f t="shared" si="75"/>
        <v>23</v>
      </c>
      <c r="X191" s="63">
        <f t="shared" si="76"/>
        <v>31</v>
      </c>
      <c r="Y191" s="63" t="str">
        <f>IFERROR(VLOOKUP(MID(T191,W191,X191-W191),[6]skilldef!$C:$D,2,FALSE),"-") &amp; " / " &amp; IFERROR(VLOOKUP(MID(T191,U191,V191-U191),[6]skilldef!$A:$B,2,FALSE),"-")</f>
        <v>味方全体に / スリープ</v>
      </c>
      <c r="Z191" s="50"/>
      <c r="AA191" s="52"/>
      <c r="AB191" s="50"/>
    </row>
    <row r="192" spans="1:28" ht="40" customHeight="1" x14ac:dyDescent="0.15">
      <c r="A192" s="127">
        <v>47004567</v>
      </c>
      <c r="B192" s="132" t="s">
        <v>516</v>
      </c>
      <c r="C192" s="111">
        <v>3</v>
      </c>
      <c r="D192" s="111" t="s">
        <v>127</v>
      </c>
      <c r="E192" s="129" t="s">
        <v>387</v>
      </c>
      <c r="F192" s="112" t="s">
        <v>484</v>
      </c>
      <c r="G192" s="63"/>
      <c r="H192" s="63"/>
      <c r="I192" s="63"/>
      <c r="J192" s="63"/>
      <c r="K192" s="63"/>
      <c r="L192" s="63"/>
      <c r="M192" s="63"/>
      <c r="N192" s="48"/>
      <c r="O192" s="63"/>
      <c r="P192" s="63"/>
      <c r="Q192" s="63"/>
      <c r="R192" s="63"/>
      <c r="S192" s="63"/>
      <c r="T192" s="48"/>
      <c r="U192" s="63"/>
      <c r="V192" s="63"/>
      <c r="W192" s="63"/>
      <c r="X192" s="63"/>
      <c r="Y192" s="63"/>
      <c r="Z192" s="50"/>
      <c r="AA192" s="52"/>
      <c r="AB192" s="50"/>
    </row>
    <row r="193" spans="1:28" ht="40" customHeight="1" x14ac:dyDescent="0.15">
      <c r="A193" s="127">
        <v>47004568</v>
      </c>
      <c r="B193" s="132" t="s">
        <v>517</v>
      </c>
      <c r="C193" s="111">
        <v>3</v>
      </c>
      <c r="D193" s="111" t="s">
        <v>127</v>
      </c>
      <c r="E193" s="129" t="s">
        <v>388</v>
      </c>
      <c r="F193" s="112" t="s">
        <v>484</v>
      </c>
      <c r="G193" s="63"/>
      <c r="H193" s="63"/>
      <c r="I193" s="63"/>
      <c r="J193" s="63"/>
      <c r="K193" s="63"/>
      <c r="L193" s="63"/>
      <c r="M193" s="63"/>
      <c r="N193" s="48"/>
      <c r="O193" s="63"/>
      <c r="P193" s="63"/>
      <c r="Q193" s="63"/>
      <c r="R193" s="63"/>
      <c r="S193" s="63"/>
      <c r="T193" s="48"/>
      <c r="U193" s="63"/>
      <c r="V193" s="63"/>
      <c r="W193" s="63"/>
      <c r="X193" s="63"/>
      <c r="Y193" s="63"/>
      <c r="Z193" s="50"/>
      <c r="AA193" s="52"/>
      <c r="AB193" s="50"/>
    </row>
    <row r="194" spans="1:28" ht="40" customHeight="1" x14ac:dyDescent="0.15">
      <c r="A194" s="127">
        <v>47004581</v>
      </c>
      <c r="B194" s="133" t="s">
        <v>518</v>
      </c>
      <c r="C194" s="50">
        <v>3</v>
      </c>
      <c r="D194" s="50" t="s">
        <v>127</v>
      </c>
      <c r="E194" s="51" t="s">
        <v>316</v>
      </c>
      <c r="F194" s="51" t="s">
        <v>479</v>
      </c>
      <c r="G194" s="63" t="str">
        <f t="shared" si="62"/>
        <v>[effect:enemy_message, val1:2.3, val2:1.2]</v>
      </c>
      <c r="H194" s="63">
        <f t="shared" si="63"/>
        <v>9</v>
      </c>
      <c r="I194" s="63">
        <f t="shared" si="64"/>
        <v>22</v>
      </c>
      <c r="J194" s="63" t="e">
        <f t="shared" si="65"/>
        <v>#VALUE!</v>
      </c>
      <c r="K194" s="63">
        <f t="shared" si="66"/>
        <v>32</v>
      </c>
      <c r="L194" s="63" t="str">
        <f>IFERROR(VLOOKUP(MID(G194,J194,K194-J194),[6]skilldef!$C:$D,2,FALSE),"-") &amp; " / " &amp; IFERROR(VLOOKUP(MID(G194,H194,I194-H194),[6]skilldef!$A:$B,2,FALSE),"-")</f>
        <v>- / -</v>
      </c>
      <c r="M194" s="63" t="str">
        <f t="shared" si="67"/>
        <v>[effect:enhance_enemy, target:enemy_all, turn:2, status:attack, val:0.5, calc:mul, animation:enemy_enhance_attack],[effect:fix_speed, target:myself, turn:2]</v>
      </c>
      <c r="N194" s="48" t="str">
        <f>IFERROR(LEFT(M194,FIND("],",M194)+#REF!),M194)</f>
        <v>[effect:enhance_enemy, target:enemy_all, turn:2, status:attack, val:0.5, calc:mul, animation:enemy_enhance_attack],[effect:fix_speed, target:myself, turn:2]</v>
      </c>
      <c r="O194" s="63">
        <f t="shared" si="68"/>
        <v>9</v>
      </c>
      <c r="P194" s="63">
        <f t="shared" si="69"/>
        <v>22</v>
      </c>
      <c r="Q194" s="63">
        <f t="shared" si="70"/>
        <v>31</v>
      </c>
      <c r="R194" s="63">
        <f t="shared" si="71"/>
        <v>40</v>
      </c>
      <c r="S194" s="63" t="str">
        <f>IFERROR(VLOOKUP(MID(N194,Q194,R194-Q194),[6]skilldef!$C:$D,2,FALSE),"-") &amp; " / " &amp; IFERROR(VLOOKUP(MID(N194,O194,P194-O194),[6]skilldef!$A:$B,2,FALSE),"-")</f>
        <v>敵全体に / ステータス強化</v>
      </c>
      <c r="T194" s="48" t="str">
        <f t="shared" si="72"/>
        <v>[effect:fix_speed, target:myself, turn:2]</v>
      </c>
      <c r="U194" s="63">
        <f t="shared" si="73"/>
        <v>9</v>
      </c>
      <c r="V194" s="63">
        <f t="shared" si="74"/>
        <v>18</v>
      </c>
      <c r="W194" s="63">
        <f t="shared" si="75"/>
        <v>27</v>
      </c>
      <c r="X194" s="63">
        <f t="shared" si="76"/>
        <v>33</v>
      </c>
      <c r="Y194" s="63" t="str">
        <f>IFERROR(VLOOKUP(MID(T194,W194,X194-W194),[6]skilldef!$C:$D,2,FALSE),"-") &amp; " / " &amp; IFERROR(VLOOKUP(MID(T194,U194,V194-U194),[6]skilldef!$A:$B,2,FALSE),"-")</f>
        <v>自分自身に / 行動値設定</v>
      </c>
      <c r="Z194" s="50"/>
      <c r="AA194" s="52"/>
      <c r="AB194" s="50"/>
    </row>
    <row r="195" spans="1:28" ht="40" customHeight="1" x14ac:dyDescent="0.15">
      <c r="A195" s="127">
        <v>47004582</v>
      </c>
      <c r="B195" s="135" t="s">
        <v>588</v>
      </c>
      <c r="C195" s="50">
        <v>3</v>
      </c>
      <c r="D195" s="50" t="s">
        <v>127</v>
      </c>
      <c r="E195" s="51" t="s">
        <v>317</v>
      </c>
      <c r="F195" s="51" t="s">
        <v>370</v>
      </c>
      <c r="G195" s="63" t="str">
        <f t="shared" si="62"/>
        <v>[effect:enemy_message, val1:2.1, val2:3.0]</v>
      </c>
      <c r="H195" s="63">
        <f t="shared" si="63"/>
        <v>9</v>
      </c>
      <c r="I195" s="63">
        <f t="shared" si="64"/>
        <v>22</v>
      </c>
      <c r="J195" s="63" t="e">
        <f t="shared" si="65"/>
        <v>#VALUE!</v>
      </c>
      <c r="K195" s="63">
        <f t="shared" si="66"/>
        <v>32</v>
      </c>
      <c r="L195" s="63" t="str">
        <f>IFERROR(VLOOKUP(MID(G195,J195,K195-J195),[6]skilldef!$C:$D,2,FALSE),"-") &amp; " / " &amp; IFERROR(VLOOKUP(MID(G195,H195,I195-H195),[6]skilldef!$A:$B,2,FALSE),"-")</f>
        <v>- / -</v>
      </c>
      <c r="M195" s="63" t="str">
        <f t="shared" si="67"/>
        <v>[effect:force_change_block, new_block:damage, target:block_heart, count:5, val:0.03],[effect:spread, val:0.1],[effect:spread, val:0.1]</v>
      </c>
      <c r="N195" s="48" t="str">
        <f>IFERROR(LEFT(M195,FIND("],",M195)+#REF!),M195)</f>
        <v>[effect:force_change_block, new_block:damage, target:block_heart, count:5, val:0.03],[effect:spread, val:0.1],[effect:spread, val:0.1]</v>
      </c>
      <c r="O195" s="63">
        <f t="shared" si="68"/>
        <v>9</v>
      </c>
      <c r="P195" s="63">
        <f t="shared" si="69"/>
        <v>27</v>
      </c>
      <c r="Q195" s="63">
        <f t="shared" si="70"/>
        <v>54</v>
      </c>
      <c r="R195" s="63">
        <f t="shared" si="71"/>
        <v>45</v>
      </c>
      <c r="S195" s="63" t="str">
        <f>IFERROR(VLOOKUP(MID(N195,Q195,R195-Q195),[6]skilldef!$C:$D,2,FALSE),"-") &amp; " / " &amp; IFERROR(VLOOKUP(MID(N195,O195,P195-O195),[6]skilldef!$A:$B,2,FALSE),"-")</f>
        <v>- / -</v>
      </c>
      <c r="T195" s="48" t="str">
        <f t="shared" si="72"/>
        <v>[effect:spread, val:0.1],[effect:spread, val:0.1]</v>
      </c>
      <c r="U195" s="63">
        <f t="shared" si="73"/>
        <v>9</v>
      </c>
      <c r="V195" s="63">
        <f t="shared" si="74"/>
        <v>15</v>
      </c>
      <c r="W195" s="63" t="e">
        <f t="shared" si="75"/>
        <v>#VALUE!</v>
      </c>
      <c r="X195" s="63">
        <f t="shared" si="76"/>
        <v>25</v>
      </c>
      <c r="Y195" s="63" t="str">
        <f>IFERROR(VLOOKUP(MID(T195,W195,X195-W195),[6]skilldef!$C:$D,2,FALSE),"-") &amp; " / " &amp; IFERROR(VLOOKUP(MID(T195,U195,V195-U195),[6]skilldef!$A:$B,2,FALSE),"-")</f>
        <v>- / 全体攻撃</v>
      </c>
      <c r="Z195" s="50"/>
      <c r="AA195" s="52"/>
      <c r="AB195" s="50"/>
    </row>
    <row r="196" spans="1:28" ht="40" customHeight="1" x14ac:dyDescent="0.15">
      <c r="A196" s="127">
        <v>47004583</v>
      </c>
      <c r="B196" s="133" t="s">
        <v>589</v>
      </c>
      <c r="C196" s="50">
        <v>3</v>
      </c>
      <c r="D196" s="50" t="s">
        <v>127</v>
      </c>
      <c r="E196" s="51" t="s">
        <v>338</v>
      </c>
      <c r="F196" s="51" t="s">
        <v>298</v>
      </c>
      <c r="G196" s="63" t="str">
        <f t="shared" si="62"/>
        <v>[effect:enemy_message, val1:1.6, val2:2.7]</v>
      </c>
      <c r="H196" s="63">
        <f t="shared" si="63"/>
        <v>9</v>
      </c>
      <c r="I196" s="63">
        <f t="shared" si="64"/>
        <v>22</v>
      </c>
      <c r="J196" s="63" t="e">
        <f t="shared" si="65"/>
        <v>#VALUE!</v>
      </c>
      <c r="K196" s="63">
        <f t="shared" si="66"/>
        <v>32</v>
      </c>
      <c r="L196" s="63" t="str">
        <f>IFERROR(VLOOKUP(MID(G196,J196,K196-J196),[6]skilldef!$C:$D,2,FALSE),"-") &amp; " / " &amp; IFERROR(VLOOKUP(MID(G196,H196,I196-H196),[6]skilldef!$A:$B,2,FALSE),"-")</f>
        <v>- / -</v>
      </c>
      <c r="M196" s="63" t="str">
        <f t="shared" si="67"/>
        <v>[effect:force_change_block, new_block:block_red, target:block_blue,  count:10, val:0],[effect:rush, count:1, val:1.0],[effect:freq_turn, target:myself, turn:-1, val:1, animation:enemy_freq_turn]</v>
      </c>
      <c r="N196" s="48" t="str">
        <f>IFERROR(LEFT(M196,FIND("],",M196)+S199),M196)</f>
        <v>[effect:force_change_block, new_block:block_red, target:block_blue,  count:10, val:0],[effect:rush, count:1, val:1.0],[effect:freq_turn, target:myself, turn:-1, val:1, animation:enemy_freq_turn]</v>
      </c>
      <c r="O196" s="63">
        <f t="shared" si="68"/>
        <v>9</v>
      </c>
      <c r="P196" s="63">
        <f t="shared" si="69"/>
        <v>27</v>
      </c>
      <c r="Q196" s="63">
        <f t="shared" si="70"/>
        <v>57</v>
      </c>
      <c r="R196" s="63">
        <f t="shared" si="71"/>
        <v>48</v>
      </c>
      <c r="S196" s="63" t="str">
        <f>IFERROR(VLOOKUP(MID(N196,Q196,R196-Q196),[6]skilldef!$C:$D,2,FALSE),"-") &amp; " / " &amp; IFERROR(VLOOKUP(MID(N196,O196,P196-O196),[6]skilldef!$A:$B,2,FALSE),"-")</f>
        <v>- / -</v>
      </c>
      <c r="T196" s="48" t="str">
        <f t="shared" si="72"/>
        <v>[effect:rush, count:1, val:1.0],[effect:freq_turn, target:myself, turn:-1, val:1, animation:enemy_freq_turn]</v>
      </c>
      <c r="U196" s="63">
        <f t="shared" si="73"/>
        <v>9</v>
      </c>
      <c r="V196" s="63">
        <f t="shared" si="74"/>
        <v>13</v>
      </c>
      <c r="W196" s="63">
        <f t="shared" si="75"/>
        <v>59</v>
      </c>
      <c r="X196" s="63">
        <f t="shared" si="76"/>
        <v>22</v>
      </c>
      <c r="Y196" s="63" t="str">
        <f>IFERROR(VLOOKUP(MID(T196,W196,X196-W196),[6]skilldef!$C:$D,2,FALSE),"-") &amp; " / " &amp; IFERROR(VLOOKUP(MID(T196,U196,V196-U196),[6]skilldef!$A:$B,2,FALSE),"-")</f>
        <v>- / 連続攻撃</v>
      </c>
      <c r="Z196" s="50"/>
      <c r="AA196" s="52"/>
      <c r="AB196" s="50"/>
    </row>
    <row r="197" spans="1:28" ht="40" customHeight="1" x14ac:dyDescent="0.15">
      <c r="A197" s="127">
        <v>47004584</v>
      </c>
      <c r="B197" s="133" t="s">
        <v>521</v>
      </c>
      <c r="C197" s="50">
        <v>3</v>
      </c>
      <c r="D197" s="50" t="s">
        <v>127</v>
      </c>
      <c r="E197" s="51" t="s">
        <v>318</v>
      </c>
      <c r="F197" s="51" t="s">
        <v>257</v>
      </c>
      <c r="G197" s="63" t="str">
        <f t="shared" si="62"/>
        <v>[effect:enemy_message, val1:1.2, val2:1.2]</v>
      </c>
      <c r="H197" s="63">
        <f t="shared" si="63"/>
        <v>9</v>
      </c>
      <c r="I197" s="63">
        <f t="shared" si="64"/>
        <v>22</v>
      </c>
      <c r="J197" s="63" t="e">
        <f t="shared" si="65"/>
        <v>#VALUE!</v>
      </c>
      <c r="K197" s="63">
        <f t="shared" si="66"/>
        <v>32</v>
      </c>
      <c r="L197" s="63" t="str">
        <f>IFERROR(VLOOKUP(MID(G197,J197,K197-J197),[6]skilldef!$C:$D,2,FALSE),"-") &amp; " / " &amp; IFERROR(VLOOKUP(MID(G197,H197,I197-H197),[6]skilldef!$A:$B,2,FALSE),"-")</f>
        <v>- / -</v>
      </c>
      <c r="M197" s="63" t="str">
        <f t="shared" si="67"/>
        <v>[effect:spread, val:0.25]</v>
      </c>
      <c r="N197" s="48" t="str">
        <f>IFERROR(LEFT(M197,FIND("],",M197)+S200),M197)</f>
        <v>[effect:spread, val:0.25]</v>
      </c>
      <c r="O197" s="63">
        <f t="shared" si="68"/>
        <v>9</v>
      </c>
      <c r="P197" s="63">
        <f t="shared" si="69"/>
        <v>15</v>
      </c>
      <c r="Q197" s="63" t="e">
        <f t="shared" si="70"/>
        <v>#VALUE!</v>
      </c>
      <c r="R197" s="63" t="e">
        <f t="shared" si="71"/>
        <v>#VALUE!</v>
      </c>
      <c r="S197" s="63" t="str">
        <f>IFERROR(VLOOKUP(MID(N197,Q197,R197-Q197),[6]skilldef!$C:$D,2,FALSE),"-") &amp; " / " &amp; IFERROR(VLOOKUP(MID(N197,O197,P197-O197),[6]skilldef!$A:$B,2,FALSE),"-")</f>
        <v>- / 全体攻撃</v>
      </c>
      <c r="T197" s="48" t="str">
        <f t="shared" si="72"/>
        <v>none</v>
      </c>
      <c r="U197" s="63" t="e">
        <f t="shared" si="73"/>
        <v>#VALUE!</v>
      </c>
      <c r="V197" s="63">
        <f t="shared" si="74"/>
        <v>4</v>
      </c>
      <c r="W197" s="63" t="e">
        <f t="shared" si="75"/>
        <v>#VALUE!</v>
      </c>
      <c r="X197" s="63" t="e">
        <f t="shared" si="76"/>
        <v>#VALUE!</v>
      </c>
      <c r="Y197" s="63" t="str">
        <f>IFERROR(VLOOKUP(MID(T197,W197,X197-W197),[6]skilldef!$C:$D,2,FALSE),"-") &amp; " / " &amp; IFERROR(VLOOKUP(MID(T197,U197,V197-U197),[6]skilldef!$A:$B,2,FALSE),"-")</f>
        <v>- / -</v>
      </c>
      <c r="Z197" s="50"/>
      <c r="AA197" s="52"/>
      <c r="AB197" s="50"/>
    </row>
    <row r="198" spans="1:28" ht="40" customHeight="1" x14ac:dyDescent="0.15">
      <c r="A198" s="127">
        <v>47004585</v>
      </c>
      <c r="B198" s="135" t="s">
        <v>590</v>
      </c>
      <c r="C198" s="50">
        <v>3</v>
      </c>
      <c r="D198" s="50" t="s">
        <v>339</v>
      </c>
      <c r="E198" s="51" t="s">
        <v>343</v>
      </c>
      <c r="F198" s="51" t="s">
        <v>293</v>
      </c>
      <c r="G198" s="63" t="str">
        <f t="shared" si="62"/>
        <v>[effect:enemy_message, val1:1.8, val2:1.3]</v>
      </c>
      <c r="H198" s="63">
        <f t="shared" si="63"/>
        <v>9</v>
      </c>
      <c r="I198" s="63">
        <f t="shared" si="64"/>
        <v>22</v>
      </c>
      <c r="J198" s="63" t="e">
        <f t="shared" si="65"/>
        <v>#VALUE!</v>
      </c>
      <c r="K198" s="63">
        <f t="shared" si="66"/>
        <v>32</v>
      </c>
      <c r="L198" s="63" t="str">
        <f>IFERROR(VLOOKUP(MID(G198,J198,K198-J198),[6]skilldef!$C:$D,2,FALSE),"-") &amp; " / " &amp; IFERROR(VLOOKUP(MID(G198,H198,I198-H198),[6]skilldef!$A:$B,2,FALSE),"-")</f>
        <v>- / -</v>
      </c>
      <c r="M198" s="63" t="str">
        <f t="shared" si="67"/>
        <v>[effect:break_attack_fix, target:unit_one, val:700, lowest_val:2800, count:-1, color:red, block_color:block_heart, block01:block_heart]</v>
      </c>
      <c r="N198" s="48" t="str">
        <f>IFERROR(LEFT(M198,FIND("],",M198)+S201),M198)</f>
        <v>[effect:break_attack_fix, target:unit_one, val:700, lowest_val:2800, count:-1, color:red, block_color:block_heart, block01:block_heart]</v>
      </c>
      <c r="O198" s="63">
        <f t="shared" si="68"/>
        <v>9</v>
      </c>
      <c r="P198" s="63">
        <f t="shared" si="69"/>
        <v>25</v>
      </c>
      <c r="Q198" s="63">
        <f t="shared" si="70"/>
        <v>34</v>
      </c>
      <c r="R198" s="63">
        <f t="shared" si="71"/>
        <v>42</v>
      </c>
      <c r="S198" s="63" t="str">
        <f>IFERROR(VLOOKUP(MID(N198,Q198,R198-Q198),[6]skilldef!$C:$D,2,FALSE),"-") &amp; " / " &amp; IFERROR(VLOOKUP(MID(N198,O198,P198-O198),[6]skilldef!$A:$B,2,FALSE),"-")</f>
        <v>味方単体に / -</v>
      </c>
      <c r="T198" s="48" t="str">
        <f t="shared" si="72"/>
        <v>none</v>
      </c>
      <c r="U198" s="63" t="e">
        <f t="shared" si="73"/>
        <v>#VALUE!</v>
      </c>
      <c r="V198" s="63">
        <f t="shared" si="74"/>
        <v>4</v>
      </c>
      <c r="W198" s="63" t="e">
        <f t="shared" si="75"/>
        <v>#VALUE!</v>
      </c>
      <c r="X198" s="63" t="e">
        <f t="shared" si="76"/>
        <v>#VALUE!</v>
      </c>
      <c r="Y198" s="63" t="str">
        <f>IFERROR(VLOOKUP(MID(T198,W198,X198-W198),[6]skilldef!$C:$D,2,FALSE),"-") &amp; " / " &amp; IFERROR(VLOOKUP(MID(T198,U198,V198-U198),[6]skilldef!$A:$B,2,FALSE),"-")</f>
        <v>- / -</v>
      </c>
      <c r="Z198" s="50"/>
      <c r="AA198" s="52"/>
      <c r="AB198" s="50"/>
    </row>
    <row r="199" spans="1:28" ht="40" customHeight="1" x14ac:dyDescent="0.15">
      <c r="A199" s="127">
        <v>47004586</v>
      </c>
      <c r="B199" s="133" t="s">
        <v>523</v>
      </c>
      <c r="C199" s="50">
        <v>3</v>
      </c>
      <c r="D199" s="50" t="s">
        <v>127</v>
      </c>
      <c r="E199" s="116" t="s">
        <v>278</v>
      </c>
      <c r="F199" s="51" t="s">
        <v>478</v>
      </c>
      <c r="G199" s="63" t="str">
        <f t="shared" si="62"/>
        <v>[effect:enemy_message, val1:2.6, val2:1.2]</v>
      </c>
      <c r="H199" s="63">
        <f t="shared" si="63"/>
        <v>9</v>
      </c>
      <c r="I199" s="63">
        <f t="shared" si="64"/>
        <v>22</v>
      </c>
      <c r="J199" s="63" t="e">
        <f t="shared" si="65"/>
        <v>#VALUE!</v>
      </c>
      <c r="K199" s="63">
        <f t="shared" si="66"/>
        <v>32</v>
      </c>
      <c r="L199" s="63" t="str">
        <f>IFERROR(VLOOKUP(MID(G199,J199,K199-J199),[6]skilldef!$C:$D,2,FALSE),"-") &amp; " / " &amp; IFERROR(VLOOKUP(MID(G199,H199,I199-H199),[6]skilldef!$A:$B,2,FALSE),"-")</f>
        <v>- / -</v>
      </c>
      <c r="M199" s="63" t="str">
        <f t="shared" si="67"/>
        <v>[effect:enhance_enemy, target:enemy_all, turn:2, status:attack, val:0.5, calc:mul, animation:enemy_enhance_attack],[effect:fix_speed, target:myself, turn:2]</v>
      </c>
      <c r="N199" s="48" t="str">
        <f>IFERROR(LEFT(M199,FIND("],",M199)+S207),M199)</f>
        <v>[effect:enhance_enemy, target:enemy_all, turn:2, status:attack, val:0.5, calc:mul, animation:enemy_enhance_attack],[effect:fix_speed, target:myself, turn:2]</v>
      </c>
      <c r="O199" s="63">
        <f t="shared" si="68"/>
        <v>9</v>
      </c>
      <c r="P199" s="63">
        <f t="shared" si="69"/>
        <v>22</v>
      </c>
      <c r="Q199" s="63">
        <f t="shared" si="70"/>
        <v>31</v>
      </c>
      <c r="R199" s="63">
        <f t="shared" si="71"/>
        <v>40</v>
      </c>
      <c r="S199" s="63" t="str">
        <f>IFERROR(VLOOKUP(MID(N199,Q199,R199-Q199),[6]skilldef!$C:$D,2,FALSE),"-") &amp; " / " &amp; IFERROR(VLOOKUP(MID(N199,O199,P199-O199),[6]skilldef!$A:$B,2,FALSE),"-")</f>
        <v>敵全体に / ステータス強化</v>
      </c>
      <c r="T199" s="48" t="str">
        <f t="shared" si="72"/>
        <v>[effect:fix_speed, target:myself, turn:2]</v>
      </c>
      <c r="U199" s="63">
        <f t="shared" si="73"/>
        <v>9</v>
      </c>
      <c r="V199" s="63">
        <f t="shared" si="74"/>
        <v>18</v>
      </c>
      <c r="W199" s="63">
        <f t="shared" si="75"/>
        <v>27</v>
      </c>
      <c r="X199" s="63">
        <f t="shared" si="76"/>
        <v>33</v>
      </c>
      <c r="Y199" s="63" t="str">
        <f>IFERROR(VLOOKUP(MID(T199,W199,X199-W199),[6]skilldef!$C:$D,2,FALSE),"-") &amp; " / " &amp; IFERROR(VLOOKUP(MID(T199,U199,V199-U199),[6]skilldef!$A:$B,2,FALSE),"-")</f>
        <v>自分自身に / 行動値設定</v>
      </c>
      <c r="Z199" s="50"/>
      <c r="AA199" s="52"/>
      <c r="AB199" s="50"/>
    </row>
    <row r="200" spans="1:28" ht="40" customHeight="1" x14ac:dyDescent="0.15">
      <c r="A200" s="127">
        <v>47004587</v>
      </c>
      <c r="B200" s="133" t="s">
        <v>524</v>
      </c>
      <c r="C200" s="50">
        <v>3</v>
      </c>
      <c r="D200" s="50" t="s">
        <v>127</v>
      </c>
      <c r="E200" s="116" t="s">
        <v>279</v>
      </c>
      <c r="F200" s="51" t="s">
        <v>478</v>
      </c>
      <c r="G200" s="63" t="str">
        <f t="shared" si="62"/>
        <v>[effect:enemy_message, val1:2.8, val2:1.2]</v>
      </c>
      <c r="H200" s="63">
        <f t="shared" si="63"/>
        <v>9</v>
      </c>
      <c r="I200" s="63">
        <f t="shared" si="64"/>
        <v>22</v>
      </c>
      <c r="J200" s="63" t="e">
        <f t="shared" si="65"/>
        <v>#VALUE!</v>
      </c>
      <c r="K200" s="63">
        <f t="shared" si="66"/>
        <v>32</v>
      </c>
      <c r="L200" s="63" t="str">
        <f>IFERROR(VLOOKUP(MID(G200,J200,K200-J200),[6]skilldef!$C:$D,2,FALSE),"-") &amp; " / " &amp; IFERROR(VLOOKUP(MID(G200,H200,I200-H200),[6]skilldef!$A:$B,2,FALSE),"-")</f>
        <v>- / -</v>
      </c>
      <c r="M200" s="63" t="str">
        <f t="shared" si="67"/>
        <v>[effect:enhance_enemy, target:enemy_all, turn:2, status:attack, val:0.5, calc:mul, animation:enemy_enhance_attack],[effect:fix_speed, target:myself, turn:2]</v>
      </c>
      <c r="N200" s="48" t="str">
        <f>IFERROR(LEFT(M200,FIND("],",M200)+#REF!),M200)</f>
        <v>[effect:enhance_enemy, target:enemy_all, turn:2, status:attack, val:0.5, calc:mul, animation:enemy_enhance_attack],[effect:fix_speed, target:myself, turn:2]</v>
      </c>
      <c r="O200" s="63">
        <f t="shared" si="68"/>
        <v>9</v>
      </c>
      <c r="P200" s="63">
        <f t="shared" si="69"/>
        <v>22</v>
      </c>
      <c r="Q200" s="63">
        <f t="shared" si="70"/>
        <v>31</v>
      </c>
      <c r="R200" s="63">
        <f t="shared" si="71"/>
        <v>40</v>
      </c>
      <c r="S200" s="63" t="str">
        <f>IFERROR(VLOOKUP(MID(N200,Q200,R200-Q200),[6]skilldef!$C:$D,2,FALSE),"-") &amp; " / " &amp; IFERROR(VLOOKUP(MID(N200,O200,P200-O200),[6]skilldef!$A:$B,2,FALSE),"-")</f>
        <v>敵全体に / ステータス強化</v>
      </c>
      <c r="T200" s="48" t="str">
        <f t="shared" si="72"/>
        <v>[effect:fix_speed, target:myself, turn:2]</v>
      </c>
      <c r="U200" s="63">
        <f t="shared" si="73"/>
        <v>9</v>
      </c>
      <c r="V200" s="63">
        <f t="shared" si="74"/>
        <v>18</v>
      </c>
      <c r="W200" s="63">
        <f t="shared" si="75"/>
        <v>27</v>
      </c>
      <c r="X200" s="63">
        <f t="shared" si="76"/>
        <v>33</v>
      </c>
      <c r="Y200" s="63" t="str">
        <f>IFERROR(VLOOKUP(MID(T200,W200,X200-W200),[6]skilldef!$C:$D,2,FALSE),"-") &amp; " / " &amp; IFERROR(VLOOKUP(MID(T200,U200,V200-U200),[6]skilldef!$A:$B,2,FALSE),"-")</f>
        <v>自分自身に / 行動値設定</v>
      </c>
      <c r="Z200" s="50"/>
      <c r="AA200" s="52"/>
      <c r="AB200" s="50"/>
    </row>
    <row r="201" spans="1:28" ht="40" customHeight="1" x14ac:dyDescent="0.15">
      <c r="A201" s="127">
        <v>47004588</v>
      </c>
      <c r="B201" s="133" t="s">
        <v>525</v>
      </c>
      <c r="C201" s="50">
        <v>3</v>
      </c>
      <c r="D201" s="50" t="s">
        <v>127</v>
      </c>
      <c r="E201" s="116" t="s">
        <v>280</v>
      </c>
      <c r="F201" s="51" t="s">
        <v>478</v>
      </c>
      <c r="G201" s="63" t="str">
        <f t="shared" si="62"/>
        <v>[effect:enemy_message, val1:1.9, val2:1.2]</v>
      </c>
      <c r="H201" s="63">
        <f t="shared" si="63"/>
        <v>9</v>
      </c>
      <c r="I201" s="63">
        <f t="shared" si="64"/>
        <v>22</v>
      </c>
      <c r="J201" s="63" t="e">
        <f t="shared" si="65"/>
        <v>#VALUE!</v>
      </c>
      <c r="K201" s="63">
        <f t="shared" si="66"/>
        <v>32</v>
      </c>
      <c r="L201" s="63" t="str">
        <f>IFERROR(VLOOKUP(MID(G201,J201,K201-J201),[6]skilldef!$C:$D,2,FALSE),"-") &amp; " / " &amp; IFERROR(VLOOKUP(MID(G201,H201,I201-H201),[6]skilldef!$A:$B,2,FALSE),"-")</f>
        <v>- / -</v>
      </c>
      <c r="M201" s="63" t="str">
        <f t="shared" si="67"/>
        <v>[effect:enhance_enemy, target:enemy_all, turn:2, status:attack, val:0.5, calc:mul, animation:enemy_enhance_attack],[effect:fix_speed, target:myself, turn:2]</v>
      </c>
      <c r="N201" s="48" t="str">
        <f>IFERROR(LEFT(M201,FIND("],",M201)+S208),M201)</f>
        <v>[effect:enhance_enemy, target:enemy_all, turn:2, status:attack, val:0.5, calc:mul, animation:enemy_enhance_attack],[effect:fix_speed, target:myself, turn:2]</v>
      </c>
      <c r="O201" s="63">
        <f t="shared" si="68"/>
        <v>9</v>
      </c>
      <c r="P201" s="63">
        <f t="shared" si="69"/>
        <v>22</v>
      </c>
      <c r="Q201" s="63">
        <f t="shared" si="70"/>
        <v>31</v>
      </c>
      <c r="R201" s="63">
        <f t="shared" si="71"/>
        <v>40</v>
      </c>
      <c r="S201" s="63" t="str">
        <f>IFERROR(VLOOKUP(MID(N201,Q201,R201-Q201),[6]skilldef!$C:$D,2,FALSE),"-") &amp; " / " &amp; IFERROR(VLOOKUP(MID(N201,O201,P201-O201),[6]skilldef!$A:$B,2,FALSE),"-")</f>
        <v>敵全体に / ステータス強化</v>
      </c>
      <c r="T201" s="48" t="str">
        <f t="shared" si="72"/>
        <v>[effect:fix_speed, target:myself, turn:2]</v>
      </c>
      <c r="U201" s="63">
        <f t="shared" si="73"/>
        <v>9</v>
      </c>
      <c r="V201" s="63">
        <f t="shared" si="74"/>
        <v>18</v>
      </c>
      <c r="W201" s="63">
        <f t="shared" si="75"/>
        <v>27</v>
      </c>
      <c r="X201" s="63">
        <f t="shared" si="76"/>
        <v>33</v>
      </c>
      <c r="Y201" s="63" t="str">
        <f>IFERROR(VLOOKUP(MID(T201,W201,X201-W201),[6]skilldef!$C:$D,2,FALSE),"-") &amp; " / " &amp; IFERROR(VLOOKUP(MID(T201,U201,V201-U201),[6]skilldef!$A:$B,2,FALSE),"-")</f>
        <v>自分自身に / 行動値設定</v>
      </c>
      <c r="Z201" s="50"/>
      <c r="AA201" s="52"/>
      <c r="AB201" s="50"/>
    </row>
    <row r="202" spans="1:28" ht="40" customHeight="1" x14ac:dyDescent="0.15">
      <c r="A202" s="127">
        <v>47004589</v>
      </c>
      <c r="B202" s="133" t="s">
        <v>526</v>
      </c>
      <c r="C202" s="50">
        <v>3</v>
      </c>
      <c r="D202" s="50" t="s">
        <v>127</v>
      </c>
      <c r="E202" s="116" t="s">
        <v>281</v>
      </c>
      <c r="F202" s="51" t="s">
        <v>478</v>
      </c>
      <c r="G202" s="63" t="str">
        <f t="shared" si="62"/>
        <v>[effect:enemy_message, val1:2.2, val2:1.2]</v>
      </c>
      <c r="H202" s="63">
        <f t="shared" si="63"/>
        <v>9</v>
      </c>
      <c r="I202" s="63">
        <f t="shared" si="64"/>
        <v>22</v>
      </c>
      <c r="J202" s="63" t="e">
        <f t="shared" si="65"/>
        <v>#VALUE!</v>
      </c>
      <c r="K202" s="63">
        <f t="shared" si="66"/>
        <v>32</v>
      </c>
      <c r="L202" s="63" t="str">
        <f>IFERROR(VLOOKUP(MID(G202,J202,K202-J202),[6]skilldef!$C:$D,2,FALSE),"-") &amp; " / " &amp; IFERROR(VLOOKUP(MID(G202,H202,I202-H202),[6]skilldef!$A:$B,2,FALSE),"-")</f>
        <v>- / -</v>
      </c>
      <c r="M202" s="63" t="str">
        <f t="shared" si="67"/>
        <v>[effect:enhance_enemy, target:enemy_all, turn:2, status:attack, val:0.5, calc:mul, animation:enemy_enhance_attack],[effect:fix_speed, target:myself, turn:2]</v>
      </c>
      <c r="N202" s="48" t="str">
        <f>IFERROR(LEFT(M202,FIND("],",M202)+S209),M202)</f>
        <v>[effect:enhance_enemy, target:enemy_all, turn:2, status:attack, val:0.5, calc:mul, animation:enemy_enhance_attack],[effect:fix_speed, target:myself, turn:2]</v>
      </c>
      <c r="O202" s="63">
        <f t="shared" si="68"/>
        <v>9</v>
      </c>
      <c r="P202" s="63">
        <f t="shared" si="69"/>
        <v>22</v>
      </c>
      <c r="Q202" s="63">
        <f t="shared" si="70"/>
        <v>31</v>
      </c>
      <c r="R202" s="63">
        <f t="shared" si="71"/>
        <v>40</v>
      </c>
      <c r="S202" s="63" t="str">
        <f>IFERROR(VLOOKUP(MID(N202,Q202,R202-Q202),[6]skilldef!$C:$D,2,FALSE),"-") &amp; " / " &amp; IFERROR(VLOOKUP(MID(N202,O202,P202-O202),[6]skilldef!$A:$B,2,FALSE),"-")</f>
        <v>敵全体に / ステータス強化</v>
      </c>
      <c r="T202" s="48" t="str">
        <f t="shared" si="72"/>
        <v>[effect:fix_speed, target:myself, turn:2]</v>
      </c>
      <c r="U202" s="63">
        <f t="shared" si="73"/>
        <v>9</v>
      </c>
      <c r="V202" s="63">
        <f t="shared" si="74"/>
        <v>18</v>
      </c>
      <c r="W202" s="63">
        <f t="shared" si="75"/>
        <v>27</v>
      </c>
      <c r="X202" s="63">
        <f t="shared" si="76"/>
        <v>33</v>
      </c>
      <c r="Y202" s="63" t="str">
        <f>IFERROR(VLOOKUP(MID(T202,W202,X202-W202),[6]skilldef!$C:$D,2,FALSE),"-") &amp; " / " &amp; IFERROR(VLOOKUP(MID(T202,U202,V202-U202),[6]skilldef!$A:$B,2,FALSE),"-")</f>
        <v>自分自身に / 行動値設定</v>
      </c>
      <c r="Z202" s="50"/>
      <c r="AA202" s="52"/>
      <c r="AB202" s="50"/>
    </row>
    <row r="203" spans="1:28" ht="40" customHeight="1" x14ac:dyDescent="0.15">
      <c r="A203" s="127">
        <v>47004590</v>
      </c>
      <c r="B203" s="133" t="s">
        <v>525</v>
      </c>
      <c r="C203" s="50">
        <v>3</v>
      </c>
      <c r="D203" s="50" t="s">
        <v>127</v>
      </c>
      <c r="E203" s="129" t="s">
        <v>389</v>
      </c>
      <c r="F203" s="51" t="s">
        <v>478</v>
      </c>
      <c r="G203" s="63"/>
      <c r="H203" s="63"/>
      <c r="I203" s="63"/>
      <c r="J203" s="63"/>
      <c r="K203" s="63"/>
      <c r="L203" s="63"/>
      <c r="M203" s="63"/>
      <c r="N203" s="48"/>
      <c r="O203" s="63"/>
      <c r="P203" s="63"/>
      <c r="Q203" s="63"/>
      <c r="R203" s="63"/>
      <c r="S203" s="63"/>
      <c r="T203" s="48"/>
      <c r="U203" s="63"/>
      <c r="V203" s="63"/>
      <c r="W203" s="63"/>
      <c r="X203" s="63"/>
      <c r="Y203" s="63"/>
      <c r="Z203" s="50"/>
      <c r="AA203" s="52"/>
      <c r="AB203" s="50"/>
    </row>
    <row r="204" spans="1:28" ht="40" customHeight="1" x14ac:dyDescent="0.15">
      <c r="A204" s="127">
        <v>47004591</v>
      </c>
      <c r="B204" s="133" t="s">
        <v>527</v>
      </c>
      <c r="C204" s="50">
        <v>3</v>
      </c>
      <c r="D204" s="50" t="s">
        <v>127</v>
      </c>
      <c r="E204" s="129" t="s">
        <v>390</v>
      </c>
      <c r="F204" s="51" t="s">
        <v>478</v>
      </c>
      <c r="G204" s="63"/>
      <c r="H204" s="63"/>
      <c r="I204" s="63"/>
      <c r="J204" s="63"/>
      <c r="K204" s="63"/>
      <c r="L204" s="63"/>
      <c r="M204" s="63"/>
      <c r="N204" s="48"/>
      <c r="O204" s="63"/>
      <c r="P204" s="63"/>
      <c r="Q204" s="63"/>
      <c r="R204" s="63"/>
      <c r="S204" s="63"/>
      <c r="T204" s="48"/>
      <c r="U204" s="63"/>
      <c r="V204" s="63"/>
      <c r="W204" s="63"/>
      <c r="X204" s="63"/>
      <c r="Y204" s="63"/>
      <c r="Z204" s="50"/>
      <c r="AA204" s="52"/>
      <c r="AB204" s="50"/>
    </row>
    <row r="205" spans="1:28" ht="40" customHeight="1" x14ac:dyDescent="0.15">
      <c r="A205" s="127">
        <v>47004611</v>
      </c>
      <c r="B205" s="135" t="s">
        <v>591</v>
      </c>
      <c r="C205" s="111">
        <v>3</v>
      </c>
      <c r="D205" s="111" t="s">
        <v>127</v>
      </c>
      <c r="E205" s="112" t="s">
        <v>432</v>
      </c>
      <c r="F205" s="112" t="s">
        <v>371</v>
      </c>
      <c r="G205" s="63" t="str">
        <f t="shared" si="62"/>
        <v>[effect:enemy_message, val1:2.7, val2:5.4]</v>
      </c>
      <c r="H205" s="63">
        <f t="shared" si="63"/>
        <v>9</v>
      </c>
      <c r="I205" s="63">
        <f t="shared" si="64"/>
        <v>22</v>
      </c>
      <c r="J205" s="63" t="e">
        <f t="shared" si="65"/>
        <v>#VALUE!</v>
      </c>
      <c r="K205" s="63">
        <f t="shared" si="66"/>
        <v>32</v>
      </c>
      <c r="L205" s="63" t="str">
        <f>IFERROR(VLOOKUP(MID(G205,J205,K205-J205),[6]skilldef!$C:$D,2,FALSE),"-") &amp; " / " &amp; IFERROR(VLOOKUP(MID(G205,H205,I205-H205),[6]skilldef!$A:$B,2,FALSE),"-")</f>
        <v>- / -</v>
      </c>
      <c r="M205" s="63" t="str">
        <f t="shared" si="67"/>
        <v>[effect:dark, target:unit_all, turn:3, animation:enemy_dark],[effect:force_change_block, new_block:damage, target:block_red, count:5, val:0.03],[effect:fix_speed, target:myself, turn:2]</v>
      </c>
      <c r="N205" s="48" t="str">
        <f>IFERROR(LEFT(M205,FIND("],",M205)+#REF!),M205)</f>
        <v>[effect:dark, target:unit_all, turn:3, animation:enemy_dark],[effect:force_change_block, new_block:damage, target:block_red, count:5, val:0.03],[effect:fix_speed, target:myself, turn:2]</v>
      </c>
      <c r="O205" s="63">
        <f t="shared" si="68"/>
        <v>9</v>
      </c>
      <c r="P205" s="63">
        <f t="shared" si="69"/>
        <v>13</v>
      </c>
      <c r="Q205" s="63">
        <f t="shared" si="70"/>
        <v>22</v>
      </c>
      <c r="R205" s="63">
        <f t="shared" si="71"/>
        <v>30</v>
      </c>
      <c r="S205" s="63" t="str">
        <f>IFERROR(VLOOKUP(MID(N205,Q205,R205-Q205),[6]skilldef!$C:$D,2,FALSE),"-") &amp; " / " &amp; IFERROR(VLOOKUP(MID(N205,O205,P205-O205),[6]skilldef!$A:$B,2,FALSE),"-")</f>
        <v>味方全体に / 暗黒</v>
      </c>
      <c r="T205" s="48" t="str">
        <f t="shared" si="72"/>
        <v>[effect:force_change_block, new_block:damage, target:block_red, count:5, val:0.03],[effect:fix_speed, target:myself, turn:2]</v>
      </c>
      <c r="U205" s="63">
        <f t="shared" si="73"/>
        <v>9</v>
      </c>
      <c r="V205" s="63">
        <f t="shared" si="74"/>
        <v>27</v>
      </c>
      <c r="W205" s="63">
        <f t="shared" si="75"/>
        <v>54</v>
      </c>
      <c r="X205" s="63">
        <f t="shared" si="76"/>
        <v>45</v>
      </c>
      <c r="Y205" s="63" t="str">
        <f>IFERROR(VLOOKUP(MID(T205,W205,X205-W205),[6]skilldef!$C:$D,2,FALSE),"-") &amp; " / " &amp; IFERROR(VLOOKUP(MID(T205,U205,V205-U205),[6]skilldef!$A:$B,2,FALSE),"-")</f>
        <v>- / -</v>
      </c>
      <c r="Z205" s="50"/>
      <c r="AA205" s="52"/>
      <c r="AB205" s="50"/>
    </row>
    <row r="206" spans="1:28" ht="40" customHeight="1" x14ac:dyDescent="0.15">
      <c r="A206" s="127">
        <v>47004612</v>
      </c>
      <c r="B206" s="132" t="s">
        <v>529</v>
      </c>
      <c r="C206" s="111">
        <v>3</v>
      </c>
      <c r="D206" s="111" t="s">
        <v>127</v>
      </c>
      <c r="E206" s="112" t="s">
        <v>314</v>
      </c>
      <c r="F206" s="112" t="s">
        <v>256</v>
      </c>
      <c r="G206" s="63" t="str">
        <f t="shared" si="62"/>
        <v>[effect:enemy_message, val1:2.3, val2:1.2]</v>
      </c>
      <c r="H206" s="63">
        <f t="shared" si="63"/>
        <v>9</v>
      </c>
      <c r="I206" s="63">
        <f t="shared" si="64"/>
        <v>22</v>
      </c>
      <c r="J206" s="63" t="e">
        <f t="shared" si="65"/>
        <v>#VALUE!</v>
      </c>
      <c r="K206" s="63">
        <f t="shared" si="66"/>
        <v>32</v>
      </c>
      <c r="L206" s="63" t="str">
        <f>IFERROR(VLOOKUP(MID(G206,J206,K206-J206),[6]skilldef!$C:$D,2,FALSE),"-") &amp; " / " &amp; IFERROR(VLOOKUP(MID(G206,H206,I206-H206),[6]skilldef!$A:$B,2,FALSE),"-")</f>
        <v>- / -</v>
      </c>
      <c r="M206" s="63" t="str">
        <f t="shared" si="67"/>
        <v>[effect:spread, val:0.25]</v>
      </c>
      <c r="N206" s="48" t="str">
        <f>IFERROR(LEFT(M206,FIND("],",M206)+#REF!),M206)</f>
        <v>[effect:spread, val:0.25]</v>
      </c>
      <c r="O206" s="63">
        <f t="shared" si="68"/>
        <v>9</v>
      </c>
      <c r="P206" s="63">
        <f t="shared" si="69"/>
        <v>15</v>
      </c>
      <c r="Q206" s="63" t="e">
        <f t="shared" si="70"/>
        <v>#VALUE!</v>
      </c>
      <c r="R206" s="63" t="e">
        <f t="shared" si="71"/>
        <v>#VALUE!</v>
      </c>
      <c r="S206" s="63" t="str">
        <f>IFERROR(VLOOKUP(MID(N206,Q206,R206-Q206),[6]skilldef!$C:$D,2,FALSE),"-") &amp; " / " &amp; IFERROR(VLOOKUP(MID(N206,O206,P206-O206),[6]skilldef!$A:$B,2,FALSE),"-")</f>
        <v>- / 全体攻撃</v>
      </c>
      <c r="T206" s="48" t="str">
        <f t="shared" si="72"/>
        <v>none</v>
      </c>
      <c r="U206" s="63" t="e">
        <f t="shared" si="73"/>
        <v>#VALUE!</v>
      </c>
      <c r="V206" s="63">
        <f t="shared" si="74"/>
        <v>4</v>
      </c>
      <c r="W206" s="63" t="e">
        <f t="shared" si="75"/>
        <v>#VALUE!</v>
      </c>
      <c r="X206" s="63" t="e">
        <f t="shared" si="76"/>
        <v>#VALUE!</v>
      </c>
      <c r="Y206" s="63" t="str">
        <f>IFERROR(VLOOKUP(MID(T206,W206,X206-W206),[6]skilldef!$C:$D,2,FALSE),"-") &amp; " / " &amp; IFERROR(VLOOKUP(MID(T206,U206,V206-U206),[6]skilldef!$A:$B,2,FALSE),"-")</f>
        <v>- / -</v>
      </c>
      <c r="Z206" s="50"/>
      <c r="AA206" s="52"/>
      <c r="AB206" s="50"/>
    </row>
    <row r="207" spans="1:28" ht="40" customHeight="1" x14ac:dyDescent="0.15">
      <c r="A207" s="127">
        <v>47004613</v>
      </c>
      <c r="B207" s="132" t="s">
        <v>530</v>
      </c>
      <c r="C207" s="111">
        <v>3</v>
      </c>
      <c r="D207" s="111" t="s">
        <v>127</v>
      </c>
      <c r="E207" s="112" t="s">
        <v>329</v>
      </c>
      <c r="F207" s="112" t="s">
        <v>434</v>
      </c>
      <c r="G207" s="63" t="str">
        <f t="shared" si="62"/>
        <v>[effect:enemy_message, val1:2.3, val2:3.5]</v>
      </c>
      <c r="H207" s="63">
        <f t="shared" si="63"/>
        <v>9</v>
      </c>
      <c r="I207" s="63">
        <f t="shared" si="64"/>
        <v>22</v>
      </c>
      <c r="J207" s="63" t="e">
        <f t="shared" si="65"/>
        <v>#VALUE!</v>
      </c>
      <c r="K207" s="63">
        <f t="shared" si="66"/>
        <v>32</v>
      </c>
      <c r="L207" s="63" t="str">
        <f>IFERROR(VLOOKUP(MID(G207,J207,K207-J207),[6]skilldef!$C:$D,2,FALSE),"-") &amp; " / " &amp; IFERROR(VLOOKUP(MID(G207,H207,I207-H207),[6]skilldef!$A:$B,2,FALSE),"-")</f>
        <v>- / -</v>
      </c>
      <c r="M207" s="63" t="str">
        <f t="shared" si="67"/>
        <v>[effect:suicide, target:myself, val:1, dead_type:escape]</v>
      </c>
      <c r="N207" s="48" t="str">
        <f>IFERROR(LEFT(M207,FIND("],",M207)+S209),M207)</f>
        <v>[effect:suicide, target:myself, val:1, dead_type:escape]</v>
      </c>
      <c r="O207" s="63">
        <f t="shared" si="68"/>
        <v>9</v>
      </c>
      <c r="P207" s="63">
        <f t="shared" si="69"/>
        <v>16</v>
      </c>
      <c r="Q207" s="63">
        <f t="shared" si="70"/>
        <v>25</v>
      </c>
      <c r="R207" s="63">
        <f t="shared" si="71"/>
        <v>31</v>
      </c>
      <c r="S207" s="63" t="str">
        <f>IFERROR(VLOOKUP(MID(N207,Q207,R207-Q207),[6]skilldef!$C:$D,2,FALSE),"-") &amp; " / " &amp; IFERROR(VLOOKUP(MID(N207,O207,P207-O207),[6]skilldef!$A:$B,2,FALSE),"-")</f>
        <v>自分自身に / -</v>
      </c>
      <c r="T207" s="48" t="str">
        <f t="shared" si="72"/>
        <v>none</v>
      </c>
      <c r="U207" s="63" t="e">
        <f t="shared" si="73"/>
        <v>#VALUE!</v>
      </c>
      <c r="V207" s="63">
        <f t="shared" si="74"/>
        <v>4</v>
      </c>
      <c r="W207" s="63" t="e">
        <f t="shared" si="75"/>
        <v>#VALUE!</v>
      </c>
      <c r="X207" s="63" t="e">
        <f t="shared" si="76"/>
        <v>#VALUE!</v>
      </c>
      <c r="Y207" s="63" t="str">
        <f>IFERROR(VLOOKUP(MID(T207,W207,X207-W207),[6]skilldef!$C:$D,2,FALSE),"-") &amp; " / " &amp; IFERROR(VLOOKUP(MID(T207,U207,V207-U207),[6]skilldef!$A:$B,2,FALSE),"-")</f>
        <v>- / -</v>
      </c>
      <c r="Z207" s="50"/>
      <c r="AA207" s="52"/>
      <c r="AB207" s="50"/>
    </row>
    <row r="208" spans="1:28" ht="40" customHeight="1" x14ac:dyDescent="0.15">
      <c r="A208" s="127">
        <v>47004614</v>
      </c>
      <c r="B208" s="135" t="s">
        <v>592</v>
      </c>
      <c r="C208" s="111">
        <v>3</v>
      </c>
      <c r="D208" s="111" t="s">
        <v>127</v>
      </c>
      <c r="E208" s="116" t="s">
        <v>282</v>
      </c>
      <c r="F208" s="112" t="s">
        <v>395</v>
      </c>
      <c r="G208" s="63" t="str">
        <f t="shared" si="62"/>
        <v>[effect:enemy_message, val1:2.1, val2:1.9]</v>
      </c>
      <c r="H208" s="63">
        <f t="shared" si="63"/>
        <v>9</v>
      </c>
      <c r="I208" s="63">
        <f t="shared" si="64"/>
        <v>22</v>
      </c>
      <c r="J208" s="63" t="e">
        <f t="shared" si="65"/>
        <v>#VALUE!</v>
      </c>
      <c r="K208" s="63">
        <f t="shared" si="66"/>
        <v>32</v>
      </c>
      <c r="L208" s="63" t="str">
        <f>IFERROR(VLOOKUP(MID(G208,J208,K208-J208),[6]skilldef!$C:$D,2,FALSE),"-") &amp; " / " &amp; IFERROR(VLOOKUP(MID(G208,H208,I208-H208),[6]skilldef!$A:$B,2,FALSE),"-")</f>
        <v>- / -</v>
      </c>
      <c r="M208" s="63" t="str">
        <f t="shared" si="67"/>
        <v>[effect:force_change_block, new_block:damage, target:block_red, count:5, val:0.03],[effect:fix_speed, target:myself, turn:2]</v>
      </c>
      <c r="N208" s="48" t="str">
        <f>IFERROR(LEFT(M208,FIND("],",M208)+S217),M208)</f>
        <v>[effect:force_change_block, new_block:damage, target:block_red, count:5, val:0.03],[effect:fix_speed, target:myself, turn:2]</v>
      </c>
      <c r="O208" s="63">
        <f t="shared" si="68"/>
        <v>9</v>
      </c>
      <c r="P208" s="63">
        <f t="shared" si="69"/>
        <v>27</v>
      </c>
      <c r="Q208" s="63">
        <f t="shared" si="70"/>
        <v>54</v>
      </c>
      <c r="R208" s="63">
        <f t="shared" si="71"/>
        <v>45</v>
      </c>
      <c r="S208" s="63" t="str">
        <f>IFERROR(VLOOKUP(MID(N208,Q208,R208-Q208),[6]skilldef!$C:$D,2,FALSE),"-") &amp; " / " &amp; IFERROR(VLOOKUP(MID(N208,O208,P208-O208),[6]skilldef!$A:$B,2,FALSE),"-")</f>
        <v>- / -</v>
      </c>
      <c r="T208" s="48" t="str">
        <f t="shared" si="72"/>
        <v>[effect:fix_speed, target:myself, turn:2]</v>
      </c>
      <c r="U208" s="63">
        <f t="shared" si="73"/>
        <v>9</v>
      </c>
      <c r="V208" s="63">
        <f t="shared" si="74"/>
        <v>18</v>
      </c>
      <c r="W208" s="63">
        <f t="shared" si="75"/>
        <v>27</v>
      </c>
      <c r="X208" s="63">
        <f t="shared" si="76"/>
        <v>33</v>
      </c>
      <c r="Y208" s="63" t="str">
        <f>IFERROR(VLOOKUP(MID(T208,W208,X208-W208),[6]skilldef!$C:$D,2,FALSE),"-") &amp; " / " &amp; IFERROR(VLOOKUP(MID(T208,U208,V208-U208),[6]skilldef!$A:$B,2,FALSE),"-")</f>
        <v>自分自身に / 行動値設定</v>
      </c>
      <c r="Z208" s="50"/>
      <c r="AA208" s="52"/>
      <c r="AB208" s="50"/>
    </row>
    <row r="209" spans="1:28" ht="40" customHeight="1" x14ac:dyDescent="0.15">
      <c r="A209" s="127">
        <v>47004615</v>
      </c>
      <c r="B209" s="135" t="s">
        <v>593</v>
      </c>
      <c r="C209" s="111">
        <v>3</v>
      </c>
      <c r="D209" s="111" t="s">
        <v>127</v>
      </c>
      <c r="E209" s="116" t="s">
        <v>283</v>
      </c>
      <c r="F209" s="112" t="s">
        <v>395</v>
      </c>
      <c r="G209" s="63" t="str">
        <f t="shared" si="62"/>
        <v>[effect:enemy_message, val1:3.1, val2:1.9]</v>
      </c>
      <c r="H209" s="63">
        <f t="shared" si="63"/>
        <v>9</v>
      </c>
      <c r="I209" s="63">
        <f t="shared" si="64"/>
        <v>22</v>
      </c>
      <c r="J209" s="63" t="e">
        <f t="shared" si="65"/>
        <v>#VALUE!</v>
      </c>
      <c r="K209" s="63">
        <f t="shared" si="66"/>
        <v>32</v>
      </c>
      <c r="L209" s="63" t="str">
        <f>IFERROR(VLOOKUP(MID(G209,J209,K209-J209),[6]skilldef!$C:$D,2,FALSE),"-") &amp; " / " &amp; IFERROR(VLOOKUP(MID(G209,H209,I209-H209),[6]skilldef!$A:$B,2,FALSE),"-")</f>
        <v>- / -</v>
      </c>
      <c r="M209" s="63" t="str">
        <f t="shared" si="67"/>
        <v>[effect:force_change_block, new_block:damage, target:block_red, count:5, val:0.03],[effect:fix_speed, target:myself, turn:2]</v>
      </c>
      <c r="N209" s="48" t="str">
        <f>IFERROR(LEFT(M209,FIND("],",M209)+S219),M209)</f>
        <v>[effect:force_change_block, new_block:damage, target:block_red, count:5, val:0.03],[effect:fix_speed, target:myself, turn:2]</v>
      </c>
      <c r="O209" s="63">
        <f t="shared" si="68"/>
        <v>9</v>
      </c>
      <c r="P209" s="63">
        <f t="shared" si="69"/>
        <v>27</v>
      </c>
      <c r="Q209" s="63">
        <f t="shared" si="70"/>
        <v>54</v>
      </c>
      <c r="R209" s="63">
        <f t="shared" si="71"/>
        <v>45</v>
      </c>
      <c r="S209" s="63" t="str">
        <f>IFERROR(VLOOKUP(MID(N209,Q209,R209-Q209),[6]skilldef!$C:$D,2,FALSE),"-") &amp; " / " &amp; IFERROR(VLOOKUP(MID(N209,O209,P209-O209),[6]skilldef!$A:$B,2,FALSE),"-")</f>
        <v>- / -</v>
      </c>
      <c r="T209" s="48" t="str">
        <f t="shared" si="72"/>
        <v>[effect:fix_speed, target:myself, turn:2]</v>
      </c>
      <c r="U209" s="63">
        <f t="shared" si="73"/>
        <v>9</v>
      </c>
      <c r="V209" s="63">
        <f t="shared" si="74"/>
        <v>18</v>
      </c>
      <c r="W209" s="63">
        <f t="shared" si="75"/>
        <v>27</v>
      </c>
      <c r="X209" s="63">
        <f t="shared" si="76"/>
        <v>33</v>
      </c>
      <c r="Y209" s="63" t="str">
        <f>IFERROR(VLOOKUP(MID(T209,W209,X209-W209),[6]skilldef!$C:$D,2,FALSE),"-") &amp; " / " &amp; IFERROR(VLOOKUP(MID(T209,U209,V209-U209),[6]skilldef!$A:$B,2,FALSE),"-")</f>
        <v>自分自身に / 行動値設定</v>
      </c>
      <c r="Z209" s="50"/>
      <c r="AA209" s="52"/>
      <c r="AB209" s="50"/>
    </row>
    <row r="210" spans="1:28" ht="40" customHeight="1" x14ac:dyDescent="0.15">
      <c r="A210" s="127">
        <v>47004616</v>
      </c>
      <c r="B210" s="135" t="s">
        <v>594</v>
      </c>
      <c r="C210" s="111">
        <v>3</v>
      </c>
      <c r="D210" s="111" t="s">
        <v>127</v>
      </c>
      <c r="E210" s="116" t="s">
        <v>284</v>
      </c>
      <c r="F210" s="112" t="s">
        <v>395</v>
      </c>
      <c r="G210" s="63" t="str">
        <f t="shared" si="62"/>
        <v>[effect:enemy_message, val1:2.2, val2:1.9]</v>
      </c>
      <c r="H210" s="63">
        <f t="shared" si="63"/>
        <v>9</v>
      </c>
      <c r="I210" s="63">
        <f t="shared" si="64"/>
        <v>22</v>
      </c>
      <c r="J210" s="63" t="e">
        <f t="shared" si="65"/>
        <v>#VALUE!</v>
      </c>
      <c r="K210" s="63">
        <f t="shared" si="66"/>
        <v>32</v>
      </c>
      <c r="L210" s="63" t="str">
        <f>IFERROR(VLOOKUP(MID(G210,J210,K210-J210),[6]skilldef!$C:$D,2,FALSE),"-") &amp; " / " &amp; IFERROR(VLOOKUP(MID(G210,H210,I210-H210),[6]skilldef!$A:$B,2,FALSE),"-")</f>
        <v>- / -</v>
      </c>
      <c r="M210" s="63" t="str">
        <f t="shared" si="67"/>
        <v>[effect:force_change_block, new_block:damage, target:block_red, count:5, val:0.03],[effect:fix_speed, target:myself, turn:2]</v>
      </c>
      <c r="N210" s="48" t="str">
        <f>IFERROR(LEFT(M210,FIND("],",M210)+S220),M210)</f>
        <v>[effect:force_change_block, new_block:damage, target:block_red, count:5, val:0.03],[effect:fix_speed, target:myself, turn:2]</v>
      </c>
      <c r="O210" s="63">
        <f t="shared" si="68"/>
        <v>9</v>
      </c>
      <c r="P210" s="63">
        <f t="shared" si="69"/>
        <v>27</v>
      </c>
      <c r="Q210" s="63">
        <f t="shared" si="70"/>
        <v>54</v>
      </c>
      <c r="R210" s="63">
        <f t="shared" si="71"/>
        <v>45</v>
      </c>
      <c r="S210" s="63" t="str">
        <f>IFERROR(VLOOKUP(MID(N210,Q210,R210-Q210),[6]skilldef!$C:$D,2,FALSE),"-") &amp; " / " &amp; IFERROR(VLOOKUP(MID(N210,O210,P210-O210),[6]skilldef!$A:$B,2,FALSE),"-")</f>
        <v>- / -</v>
      </c>
      <c r="T210" s="48" t="str">
        <f t="shared" si="72"/>
        <v>[effect:fix_speed, target:myself, turn:2]</v>
      </c>
      <c r="U210" s="63">
        <f t="shared" si="73"/>
        <v>9</v>
      </c>
      <c r="V210" s="63">
        <f t="shared" si="74"/>
        <v>18</v>
      </c>
      <c r="W210" s="63">
        <f t="shared" si="75"/>
        <v>27</v>
      </c>
      <c r="X210" s="63">
        <f t="shared" si="76"/>
        <v>33</v>
      </c>
      <c r="Y210" s="63" t="str">
        <f>IFERROR(VLOOKUP(MID(T210,W210,X210-W210),[6]skilldef!$C:$D,2,FALSE),"-") &amp; " / " &amp; IFERROR(VLOOKUP(MID(T210,U210,V210-U210),[6]skilldef!$A:$B,2,FALSE),"-")</f>
        <v>自分自身に / 行動値設定</v>
      </c>
      <c r="Z210" s="50"/>
      <c r="AA210" s="52"/>
      <c r="AB210" s="50"/>
    </row>
    <row r="211" spans="1:28" ht="40" customHeight="1" x14ac:dyDescent="0.15">
      <c r="A211" s="127">
        <v>47004617</v>
      </c>
      <c r="B211" s="135" t="s">
        <v>595</v>
      </c>
      <c r="C211" s="111">
        <v>3</v>
      </c>
      <c r="D211" s="111" t="s">
        <v>127</v>
      </c>
      <c r="E211" s="116" t="s">
        <v>285</v>
      </c>
      <c r="F211" s="112" t="s">
        <v>395</v>
      </c>
      <c r="G211" s="63" t="str">
        <f t="shared" si="62"/>
        <v>[effect:enemy_message, val1:2.9, val2:1.9]</v>
      </c>
      <c r="H211" s="63">
        <f t="shared" si="63"/>
        <v>9</v>
      </c>
      <c r="I211" s="63">
        <f t="shared" si="64"/>
        <v>22</v>
      </c>
      <c r="J211" s="63" t="e">
        <f t="shared" si="65"/>
        <v>#VALUE!</v>
      </c>
      <c r="K211" s="63">
        <f t="shared" si="66"/>
        <v>32</v>
      </c>
      <c r="L211" s="63" t="str">
        <f>IFERROR(VLOOKUP(MID(G211,J211,K211-J211),[6]skilldef!$C:$D,2,FALSE),"-") &amp; " / " &amp; IFERROR(VLOOKUP(MID(G211,H211,I211-H211),[6]skilldef!$A:$B,2,FALSE),"-")</f>
        <v>- / -</v>
      </c>
      <c r="M211" s="63" t="str">
        <f t="shared" si="67"/>
        <v>[effect:force_change_block, new_block:damage, target:block_red, count:5, val:0.03],[effect:fix_speed, target:myself, turn:2]</v>
      </c>
      <c r="N211" s="48" t="str">
        <f>IFERROR(LEFT(M211,FIND("],",M211)+S222),M211)</f>
        <v>[effect:force_change_block, new_block:damage, target:block_red, count:5, val:0.03],[effect:fix_speed, target:myself, turn:2]</v>
      </c>
      <c r="O211" s="63">
        <f t="shared" si="68"/>
        <v>9</v>
      </c>
      <c r="P211" s="63">
        <f t="shared" si="69"/>
        <v>27</v>
      </c>
      <c r="Q211" s="63">
        <f t="shared" si="70"/>
        <v>54</v>
      </c>
      <c r="R211" s="63">
        <f t="shared" si="71"/>
        <v>45</v>
      </c>
      <c r="S211" s="63" t="str">
        <f>IFERROR(VLOOKUP(MID(N211,Q211,R211-Q211),[6]skilldef!$C:$D,2,FALSE),"-") &amp; " / " &amp; IFERROR(VLOOKUP(MID(N211,O211,P211-O211),[6]skilldef!$A:$B,2,FALSE),"-")</f>
        <v>- / -</v>
      </c>
      <c r="T211" s="48" t="str">
        <f t="shared" si="72"/>
        <v>[effect:fix_speed, target:myself, turn:2]</v>
      </c>
      <c r="U211" s="63">
        <f t="shared" si="73"/>
        <v>9</v>
      </c>
      <c r="V211" s="63">
        <f t="shared" si="74"/>
        <v>18</v>
      </c>
      <c r="W211" s="63">
        <f t="shared" si="75"/>
        <v>27</v>
      </c>
      <c r="X211" s="63">
        <f t="shared" si="76"/>
        <v>33</v>
      </c>
      <c r="Y211" s="63" t="str">
        <f>IFERROR(VLOOKUP(MID(T211,W211,X211-W211),[6]skilldef!$C:$D,2,FALSE),"-") &amp; " / " &amp; IFERROR(VLOOKUP(MID(T211,U211,V211-U211),[6]skilldef!$A:$B,2,FALSE),"-")</f>
        <v>自分自身に / 行動値設定</v>
      </c>
      <c r="Z211" s="50"/>
      <c r="AA211" s="52"/>
      <c r="AB211" s="50"/>
    </row>
    <row r="212" spans="1:28" ht="40" customHeight="1" x14ac:dyDescent="0.15">
      <c r="A212" s="127">
        <v>47004618</v>
      </c>
      <c r="B212" s="135" t="s">
        <v>596</v>
      </c>
      <c r="C212" s="111">
        <v>3</v>
      </c>
      <c r="D212" s="111" t="s">
        <v>127</v>
      </c>
      <c r="E212" s="129" t="s">
        <v>391</v>
      </c>
      <c r="F212" s="112" t="s">
        <v>395</v>
      </c>
      <c r="G212" s="63"/>
      <c r="H212" s="63"/>
      <c r="I212" s="63"/>
      <c r="J212" s="63"/>
      <c r="K212" s="63"/>
      <c r="L212" s="63"/>
      <c r="M212" s="63"/>
      <c r="N212" s="48"/>
      <c r="O212" s="63"/>
      <c r="P212" s="63"/>
      <c r="Q212" s="63"/>
      <c r="R212" s="63"/>
      <c r="S212" s="63"/>
      <c r="T212" s="48"/>
      <c r="U212" s="63"/>
      <c r="V212" s="63"/>
      <c r="W212" s="63"/>
      <c r="X212" s="63"/>
      <c r="Y212" s="63"/>
      <c r="Z212" s="50"/>
      <c r="AA212" s="52"/>
      <c r="AB212" s="50"/>
    </row>
    <row r="213" spans="1:28" ht="40" customHeight="1" x14ac:dyDescent="0.15">
      <c r="A213" s="127">
        <v>47004619</v>
      </c>
      <c r="B213" s="135" t="s">
        <v>597</v>
      </c>
      <c r="C213" s="111">
        <v>3</v>
      </c>
      <c r="D213" s="111" t="s">
        <v>127</v>
      </c>
      <c r="E213" s="129" t="s">
        <v>392</v>
      </c>
      <c r="F213" s="112" t="s">
        <v>395</v>
      </c>
      <c r="G213" s="63"/>
      <c r="H213" s="63"/>
      <c r="I213" s="63"/>
      <c r="J213" s="63"/>
      <c r="K213" s="63"/>
      <c r="L213" s="63"/>
      <c r="M213" s="63"/>
      <c r="N213" s="48"/>
      <c r="O213" s="63"/>
      <c r="P213" s="63"/>
      <c r="Q213" s="63"/>
      <c r="R213" s="63"/>
      <c r="S213" s="63"/>
      <c r="T213" s="48"/>
      <c r="U213" s="63"/>
      <c r="V213" s="63"/>
      <c r="W213" s="63"/>
      <c r="X213" s="63"/>
      <c r="Y213" s="63"/>
      <c r="Z213" s="50"/>
      <c r="AA213" s="52"/>
      <c r="AB213" s="50"/>
    </row>
    <row r="214" spans="1:28" ht="40" customHeight="1" x14ac:dyDescent="0.15">
      <c r="A214" s="127">
        <v>47004651</v>
      </c>
      <c r="B214" s="133" t="s">
        <v>537</v>
      </c>
      <c r="C214" s="50">
        <v>3</v>
      </c>
      <c r="D214" s="50" t="s">
        <v>127</v>
      </c>
      <c r="E214" s="51" t="s">
        <v>319</v>
      </c>
      <c r="F214" s="51" t="s">
        <v>294</v>
      </c>
      <c r="G214" s="63" t="str">
        <f t="shared" si="62"/>
        <v>[effect:enemy_message, val1:1.9, val2:2.6]</v>
      </c>
      <c r="H214" s="63">
        <f t="shared" si="63"/>
        <v>9</v>
      </c>
      <c r="I214" s="63">
        <f t="shared" si="64"/>
        <v>22</v>
      </c>
      <c r="J214" s="63" t="e">
        <f t="shared" si="65"/>
        <v>#VALUE!</v>
      </c>
      <c r="K214" s="63">
        <f t="shared" si="66"/>
        <v>32</v>
      </c>
      <c r="L214" s="63" t="str">
        <f>IFERROR(VLOOKUP(MID(G214,J214,K214-J214),[6]skilldef!$C:$D,2,FALSE),"-") &amp; " / " &amp; IFERROR(VLOOKUP(MID(G214,H214,I214-H214),[6]skilldef!$A:$B,2,FALSE),"-")</f>
        <v>- / -</v>
      </c>
      <c r="M214" s="63" t="str">
        <f t="shared" si="67"/>
        <v>[effect:change_panel_ratio, turn:-1, block_type:heal, val:0.05, animation:block_incidence04],[effect:degrade_fever, val:1000, animation:fevergauge_down],[effect:fix_speed, target:myself, turn:2]</v>
      </c>
      <c r="N214" s="48" t="str">
        <f>IFERROR(LEFT(M214,FIND("],",M214)+#REF!),M214)</f>
        <v>[effect:change_panel_ratio, turn:-1, block_type:heal, val:0.05, animation:block_incidence04],[effect:degrade_fever, val:1000, animation:fevergauge_down],[effect:fix_speed, target:myself, turn:2]</v>
      </c>
      <c r="O214" s="63">
        <f t="shared" si="68"/>
        <v>9</v>
      </c>
      <c r="P214" s="63">
        <f t="shared" si="69"/>
        <v>27</v>
      </c>
      <c r="Q214" s="63">
        <f t="shared" si="70"/>
        <v>180</v>
      </c>
      <c r="R214" s="63">
        <f t="shared" si="71"/>
        <v>36</v>
      </c>
      <c r="S214" s="63" t="str">
        <f>IFERROR(VLOOKUP(MID(N214,Q214,R214-Q214),[6]skilldef!$C:$D,2,FALSE),"-") &amp; " / " &amp; IFERROR(VLOOKUP(MID(N214,O214,P214-O214),[6]skilldef!$A:$B,2,FALSE),"-")</f>
        <v>- / -</v>
      </c>
      <c r="T214" s="48" t="str">
        <f t="shared" si="72"/>
        <v>[effect:degrade_fever, val:1000, animation:fevergauge_down],[effect:fix_speed, target:myself, turn:2]</v>
      </c>
      <c r="U214" s="63">
        <f t="shared" si="73"/>
        <v>9</v>
      </c>
      <c r="V214" s="63">
        <f t="shared" si="74"/>
        <v>22</v>
      </c>
      <c r="W214" s="63">
        <f t="shared" si="75"/>
        <v>87</v>
      </c>
      <c r="X214" s="63">
        <f t="shared" si="76"/>
        <v>32</v>
      </c>
      <c r="Y214" s="63" t="str">
        <f>IFERROR(VLOOKUP(MID(T214,W214,X214-W214),[6]skilldef!$C:$D,2,FALSE),"-") &amp; " / " &amp; IFERROR(VLOOKUP(MID(T214,U214,V214-U214),[6]skilldef!$A:$B,2,FALSE),"-")</f>
        <v>- / フィーバーゲージ減少</v>
      </c>
      <c r="Z214" s="50"/>
      <c r="AA214" s="52"/>
      <c r="AB214" s="50"/>
    </row>
    <row r="215" spans="1:28" ht="40" customHeight="1" x14ac:dyDescent="0.15">
      <c r="A215" s="127">
        <v>47004652</v>
      </c>
      <c r="B215" s="135" t="s">
        <v>598</v>
      </c>
      <c r="C215" s="50">
        <v>3</v>
      </c>
      <c r="D215" s="50" t="s">
        <v>127</v>
      </c>
      <c r="E215" s="51" t="s">
        <v>320</v>
      </c>
      <c r="F215" s="51" t="s">
        <v>372</v>
      </c>
      <c r="G215" s="63" t="str">
        <f t="shared" si="62"/>
        <v>[effect:enemy_message, val1:1.2, val2:2.6]</v>
      </c>
      <c r="H215" s="63">
        <f t="shared" si="63"/>
        <v>9</v>
      </c>
      <c r="I215" s="63">
        <f t="shared" si="64"/>
        <v>22</v>
      </c>
      <c r="J215" s="63" t="e">
        <f t="shared" si="65"/>
        <v>#VALUE!</v>
      </c>
      <c r="K215" s="63">
        <f t="shared" si="66"/>
        <v>32</v>
      </c>
      <c r="L215" s="63" t="str">
        <f>IFERROR(VLOOKUP(MID(G215,J215,K215-J215),[6]skilldef!$C:$D,2,FALSE),"-") &amp; " / " &amp; IFERROR(VLOOKUP(MID(G215,H215,I215-H215),[6]skilldef!$A:$B,2,FALSE),"-")</f>
        <v>- / -</v>
      </c>
      <c r="M215" s="63" t="str">
        <f t="shared" si="67"/>
        <v xml:space="preserve">[effect:force_change_block, new_block:damage, target:block_heart, count:5, val:0.03],[effect:rush, count:1, val:1.0]    </v>
      </c>
      <c r="N215" s="48" t="str">
        <f>IFERROR(LEFT(M215,FIND("],",M215)+#REF!),M215)</f>
        <v xml:space="preserve">[effect:force_change_block, new_block:damage, target:block_heart, count:5, val:0.03],[effect:rush, count:1, val:1.0]    </v>
      </c>
      <c r="O215" s="63">
        <f t="shared" si="68"/>
        <v>9</v>
      </c>
      <c r="P215" s="63">
        <f t="shared" si="69"/>
        <v>27</v>
      </c>
      <c r="Q215" s="63">
        <f t="shared" si="70"/>
        <v>54</v>
      </c>
      <c r="R215" s="63">
        <f t="shared" si="71"/>
        <v>45</v>
      </c>
      <c r="S215" s="63" t="str">
        <f>IFERROR(VLOOKUP(MID(N215,Q215,R215-Q215),[6]skilldef!$C:$D,2,FALSE),"-") &amp; " / " &amp; IFERROR(VLOOKUP(MID(N215,O215,P215-O215),[6]skilldef!$A:$B,2,FALSE),"-")</f>
        <v>- / -</v>
      </c>
      <c r="T215" s="48" t="str">
        <f t="shared" si="72"/>
        <v xml:space="preserve">[effect:rush, count:1, val:1.0]    </v>
      </c>
      <c r="U215" s="63">
        <f t="shared" si="73"/>
        <v>9</v>
      </c>
      <c r="V215" s="63">
        <f t="shared" si="74"/>
        <v>13</v>
      </c>
      <c r="W215" s="63" t="e">
        <f t="shared" si="75"/>
        <v>#VALUE!</v>
      </c>
      <c r="X215" s="63">
        <f t="shared" si="76"/>
        <v>22</v>
      </c>
      <c r="Y215" s="63" t="str">
        <f>IFERROR(VLOOKUP(MID(T215,W215,X215-W215),[6]skilldef!$C:$D,2,FALSE),"-") &amp; " / " &amp; IFERROR(VLOOKUP(MID(T215,U215,V215-U215),[6]skilldef!$A:$B,2,FALSE),"-")</f>
        <v>- / 連続攻撃</v>
      </c>
      <c r="Z215" s="50"/>
      <c r="AA215" s="52"/>
      <c r="AB215" s="50"/>
    </row>
    <row r="216" spans="1:28" ht="40" customHeight="1" x14ac:dyDescent="0.15">
      <c r="A216" s="127">
        <v>47004653</v>
      </c>
      <c r="B216" s="133" t="s">
        <v>539</v>
      </c>
      <c r="C216" s="50">
        <v>3</v>
      </c>
      <c r="D216" s="50" t="s">
        <v>127</v>
      </c>
      <c r="E216" s="51" t="s">
        <v>321</v>
      </c>
      <c r="F216" s="51" t="s">
        <v>299</v>
      </c>
      <c r="G216" s="63" t="str">
        <f t="shared" si="62"/>
        <v>[effect:enemy_message, val1:1.2, val2:1.7]</v>
      </c>
      <c r="H216" s="63">
        <f t="shared" si="63"/>
        <v>9</v>
      </c>
      <c r="I216" s="63">
        <f t="shared" si="64"/>
        <v>22</v>
      </c>
      <c r="J216" s="63" t="e">
        <f t="shared" si="65"/>
        <v>#VALUE!</v>
      </c>
      <c r="K216" s="63">
        <f t="shared" si="66"/>
        <v>32</v>
      </c>
      <c r="L216" s="63" t="str">
        <f>IFERROR(VLOOKUP(MID(G216,J216,K216-J216),[6]skilldef!$C:$D,2,FALSE),"-") &amp; " / " &amp; IFERROR(VLOOKUP(MID(G216,H216,I216-H216),[6]skilldef!$A:$B,2,FALSE),"-")</f>
        <v>- / -</v>
      </c>
      <c r="M216" s="63" t="str">
        <f t="shared" si="67"/>
        <v xml:space="preserve">[effect:force_change_block, new_block:block_blue, target:block_red, count:0, val:0],[effect:rush, count:1, val:1.0]    </v>
      </c>
      <c r="N216" s="48" t="str">
        <f>IFERROR(LEFT(M216,FIND("],",M216)+#REF!),M216)</f>
        <v xml:space="preserve">[effect:force_change_block, new_block:block_blue, target:block_red, count:0, val:0],[effect:rush, count:1, val:1.0]    </v>
      </c>
      <c r="O216" s="63">
        <f t="shared" si="68"/>
        <v>9</v>
      </c>
      <c r="P216" s="63">
        <f t="shared" si="69"/>
        <v>27</v>
      </c>
      <c r="Q216" s="63">
        <f t="shared" si="70"/>
        <v>58</v>
      </c>
      <c r="R216" s="63">
        <f t="shared" si="71"/>
        <v>49</v>
      </c>
      <c r="S216" s="63" t="str">
        <f>IFERROR(VLOOKUP(MID(N216,Q216,R216-Q216),[6]skilldef!$C:$D,2,FALSE),"-") &amp; " / " &amp; IFERROR(VLOOKUP(MID(N216,O216,P216-O216),[6]skilldef!$A:$B,2,FALSE),"-")</f>
        <v>- / -</v>
      </c>
      <c r="T216" s="48" t="str">
        <f t="shared" si="72"/>
        <v xml:space="preserve">[effect:rush, count:1, val:1.0]    </v>
      </c>
      <c r="U216" s="63">
        <f t="shared" si="73"/>
        <v>9</v>
      </c>
      <c r="V216" s="63">
        <f t="shared" si="74"/>
        <v>13</v>
      </c>
      <c r="W216" s="63" t="e">
        <f t="shared" si="75"/>
        <v>#VALUE!</v>
      </c>
      <c r="X216" s="63">
        <f t="shared" si="76"/>
        <v>22</v>
      </c>
      <c r="Y216" s="63" t="str">
        <f>IFERROR(VLOOKUP(MID(T216,W216,X216-W216),[6]skilldef!$C:$D,2,FALSE),"-") &amp; " / " &amp; IFERROR(VLOOKUP(MID(T216,U216,V216-U216),[6]skilldef!$A:$B,2,FALSE),"-")</f>
        <v>- / 連続攻撃</v>
      </c>
      <c r="Z216" s="50"/>
      <c r="AA216" s="52"/>
      <c r="AB216" s="50"/>
    </row>
    <row r="217" spans="1:28" ht="40" customHeight="1" x14ac:dyDescent="0.15">
      <c r="A217" s="127">
        <v>47004654</v>
      </c>
      <c r="B217" s="135" t="s">
        <v>599</v>
      </c>
      <c r="C217" s="50">
        <v>3</v>
      </c>
      <c r="D217" s="50" t="s">
        <v>127</v>
      </c>
      <c r="E217" s="51" t="s">
        <v>335</v>
      </c>
      <c r="F217" s="51" t="s">
        <v>383</v>
      </c>
      <c r="G217" s="63" t="str">
        <f t="shared" si="62"/>
        <v>[effect:enemy_message, val1:1.2, val2:1.3]</v>
      </c>
      <c r="H217" s="63">
        <f t="shared" si="63"/>
        <v>9</v>
      </c>
      <c r="I217" s="63">
        <f t="shared" si="64"/>
        <v>22</v>
      </c>
      <c r="J217" s="63" t="e">
        <f t="shared" si="65"/>
        <v>#VALUE!</v>
      </c>
      <c r="K217" s="63">
        <f t="shared" si="66"/>
        <v>32</v>
      </c>
      <c r="L217" s="63" t="str">
        <f>IFERROR(VLOOKUP(MID(G217,J217,K217-J217),[6]skilldef!$C:$D,2,FALSE),"-") &amp; " / " &amp; IFERROR(VLOOKUP(MID(G217,H217,I217-H217),[6]skilldef!$A:$B,2,FALSE),"-")</f>
        <v>- / -</v>
      </c>
      <c r="M217" s="63" t="str">
        <f t="shared" si="67"/>
        <v>[effect:break_attack_fix, target:unit_all, val:180, lowest_val:700, count:-1, color:blue, block01:block_blue]</v>
      </c>
      <c r="N217" s="48" t="str">
        <f>IFERROR(LEFT(M217,FIND("],",M217)+#REF!),M217)</f>
        <v>[effect:break_attack_fix, target:unit_all, val:180, lowest_val:700, count:-1, color:blue, block01:block_blue]</v>
      </c>
      <c r="O217" s="63">
        <f t="shared" si="68"/>
        <v>9</v>
      </c>
      <c r="P217" s="63">
        <f t="shared" si="69"/>
        <v>25</v>
      </c>
      <c r="Q217" s="63">
        <f t="shared" si="70"/>
        <v>34</v>
      </c>
      <c r="R217" s="63">
        <f t="shared" si="71"/>
        <v>42</v>
      </c>
      <c r="S217" s="63" t="str">
        <f>IFERROR(VLOOKUP(MID(N217,Q217,R217-Q217),[6]skilldef!$C:$D,2,FALSE),"-") &amp; " / " &amp; IFERROR(VLOOKUP(MID(N217,O217,P217-O217),[6]skilldef!$A:$B,2,FALSE),"-")</f>
        <v>味方全体に / -</v>
      </c>
      <c r="T217" s="48" t="str">
        <f t="shared" si="72"/>
        <v>none</v>
      </c>
      <c r="U217" s="63" t="e">
        <f t="shared" si="73"/>
        <v>#VALUE!</v>
      </c>
      <c r="V217" s="63">
        <f t="shared" si="74"/>
        <v>4</v>
      </c>
      <c r="W217" s="63" t="e">
        <f t="shared" si="75"/>
        <v>#VALUE!</v>
      </c>
      <c r="X217" s="63" t="e">
        <f t="shared" si="76"/>
        <v>#VALUE!</v>
      </c>
      <c r="Y217" s="63" t="str">
        <f>IFERROR(VLOOKUP(MID(T217,W217,X217-W217),[6]skilldef!$C:$D,2,FALSE),"-") &amp; " / " &amp; IFERROR(VLOOKUP(MID(T217,U217,V217-U217),[6]skilldef!$A:$B,2,FALSE),"-")</f>
        <v>- / -</v>
      </c>
      <c r="Z217" s="50"/>
      <c r="AA217" s="52"/>
      <c r="AB217" s="50"/>
    </row>
    <row r="218" spans="1:28" ht="40" customHeight="1" x14ac:dyDescent="0.15">
      <c r="A218" s="127">
        <v>47004655</v>
      </c>
      <c r="B218" s="133" t="s">
        <v>600</v>
      </c>
      <c r="C218" s="50">
        <v>3</v>
      </c>
      <c r="D218" s="50" t="s">
        <v>127</v>
      </c>
      <c r="E218" s="51" t="s">
        <v>323</v>
      </c>
      <c r="F218" s="51" t="s">
        <v>261</v>
      </c>
      <c r="G218" s="63" t="str">
        <f t="shared" si="62"/>
        <v>[effect:enemy_message, val1:1.7, val2:1.7]</v>
      </c>
      <c r="H218" s="63">
        <f t="shared" si="63"/>
        <v>9</v>
      </c>
      <c r="I218" s="63">
        <f t="shared" si="64"/>
        <v>22</v>
      </c>
      <c r="J218" s="63" t="e">
        <f t="shared" si="65"/>
        <v>#VALUE!</v>
      </c>
      <c r="K218" s="63">
        <f t="shared" si="66"/>
        <v>32</v>
      </c>
      <c r="L218" s="63" t="str">
        <f>IFERROR(VLOOKUP(MID(G218,J218,K218-J218),[6]skilldef!$C:$D,2,FALSE),"-") &amp; " / " &amp; IFERROR(VLOOKUP(MID(G218,H218,I218-H218),[6]skilldef!$A:$B,2,FALSE),"-")</f>
        <v>- / -</v>
      </c>
      <c r="M218" s="63" t="str">
        <f t="shared" si="67"/>
        <v>[effect:force_change_block, new_block:block_blue, target:block_green, count:0, val:0],[effect:rush, count:1, val:1.0]</v>
      </c>
      <c r="N218" s="48" t="str">
        <f>IFERROR(LEFT(M218,FIND("],",M218)+#REF!),M218)</f>
        <v>[effect:force_change_block, new_block:block_blue, target:block_green, count:0, val:0],[effect:rush, count:1, val:1.0]</v>
      </c>
      <c r="O218" s="63">
        <f t="shared" si="68"/>
        <v>9</v>
      </c>
      <c r="P218" s="63">
        <f t="shared" si="69"/>
        <v>27</v>
      </c>
      <c r="Q218" s="63">
        <f t="shared" si="70"/>
        <v>58</v>
      </c>
      <c r="R218" s="63">
        <f t="shared" si="71"/>
        <v>49</v>
      </c>
      <c r="S218" s="63" t="str">
        <f>IFERROR(VLOOKUP(MID(N218,Q218,R218-Q218),[6]skilldef!$C:$D,2,FALSE),"-") &amp; " / " &amp; IFERROR(VLOOKUP(MID(N218,O218,P218-O218),[6]skilldef!$A:$B,2,FALSE),"-")</f>
        <v>- / -</v>
      </c>
      <c r="T218" s="48" t="str">
        <f t="shared" si="72"/>
        <v>[effect:rush, count:1, val:1.0]</v>
      </c>
      <c r="U218" s="63">
        <f t="shared" si="73"/>
        <v>9</v>
      </c>
      <c r="V218" s="63">
        <f t="shared" si="74"/>
        <v>13</v>
      </c>
      <c r="W218" s="63" t="e">
        <f t="shared" si="75"/>
        <v>#VALUE!</v>
      </c>
      <c r="X218" s="63">
        <f t="shared" si="76"/>
        <v>22</v>
      </c>
      <c r="Y218" s="63" t="str">
        <f>IFERROR(VLOOKUP(MID(T218,W218,X218-W218),[6]skilldef!$C:$D,2,FALSE),"-") &amp; " / " &amp; IFERROR(VLOOKUP(MID(T218,U218,V218-U218),[6]skilldef!$A:$B,2,FALSE),"-")</f>
        <v>- / 連続攻撃</v>
      </c>
      <c r="Z218" s="50"/>
      <c r="AA218" s="52"/>
      <c r="AB218" s="50"/>
    </row>
    <row r="219" spans="1:28" ht="40" customHeight="1" x14ac:dyDescent="0.15">
      <c r="A219" s="127">
        <v>47004656</v>
      </c>
      <c r="B219" s="133" t="s">
        <v>542</v>
      </c>
      <c r="C219" s="50">
        <v>3</v>
      </c>
      <c r="D219" s="50" t="s">
        <v>127</v>
      </c>
      <c r="E219" s="116" t="s">
        <v>286</v>
      </c>
      <c r="F219" s="51" t="s">
        <v>295</v>
      </c>
      <c r="G219" s="63" t="str">
        <f t="shared" si="62"/>
        <v>[effect:enemy_message, val1:2.2, val2:1.5]</v>
      </c>
      <c r="H219" s="63">
        <f t="shared" si="63"/>
        <v>9</v>
      </c>
      <c r="I219" s="63">
        <f t="shared" si="64"/>
        <v>22</v>
      </c>
      <c r="J219" s="63" t="e">
        <f t="shared" si="65"/>
        <v>#VALUE!</v>
      </c>
      <c r="K219" s="63">
        <f t="shared" si="66"/>
        <v>32</v>
      </c>
      <c r="L219" s="63" t="str">
        <f>IFERROR(VLOOKUP(MID(G219,J219,K219-J219),[6]skilldef!$C:$D,2,FALSE),"-") &amp; " / " &amp; IFERROR(VLOOKUP(MID(G219,H219,I219-H219),[6]skilldef!$A:$B,2,FALSE),"-")</f>
        <v>- / -</v>
      </c>
      <c r="M219" s="63" t="str">
        <f t="shared" si="67"/>
        <v>[effect:change_panel_ratio, turn:-1, block_type:heal, val:0.05, animation:block_incidence04],[effect:fix_speed, target:myself, turn:2]</v>
      </c>
      <c r="N219" s="48" t="str">
        <f>IFERROR(LEFT(M219,FIND("],",M219)+S230),M219)</f>
        <v>[effect:change_panel_ratio, turn:-1, block_type:heal, val:0.05, animation:block_incidence04],[effect:fix_speed, target:myself, turn:2]</v>
      </c>
      <c r="O219" s="63">
        <f t="shared" si="68"/>
        <v>9</v>
      </c>
      <c r="P219" s="63">
        <f t="shared" si="69"/>
        <v>27</v>
      </c>
      <c r="Q219" s="63">
        <f t="shared" si="70"/>
        <v>120</v>
      </c>
      <c r="R219" s="63">
        <f t="shared" si="71"/>
        <v>36</v>
      </c>
      <c r="S219" s="63" t="str">
        <f>IFERROR(VLOOKUP(MID(N219,Q219,R219-Q219),[6]skilldef!$C:$D,2,FALSE),"-") &amp; " / " &amp; IFERROR(VLOOKUP(MID(N219,O219,P219-O219),[6]skilldef!$A:$B,2,FALSE),"-")</f>
        <v>- / -</v>
      </c>
      <c r="T219" s="48" t="str">
        <f t="shared" si="72"/>
        <v>[effect:fix_speed, target:myself, turn:2]</v>
      </c>
      <c r="U219" s="63">
        <f t="shared" si="73"/>
        <v>9</v>
      </c>
      <c r="V219" s="63">
        <f t="shared" si="74"/>
        <v>18</v>
      </c>
      <c r="W219" s="63">
        <f t="shared" si="75"/>
        <v>27</v>
      </c>
      <c r="X219" s="63">
        <f t="shared" si="76"/>
        <v>33</v>
      </c>
      <c r="Y219" s="63" t="str">
        <f>IFERROR(VLOOKUP(MID(T219,W219,X219-W219),[6]skilldef!$C:$D,2,FALSE),"-") &amp; " / " &amp; IFERROR(VLOOKUP(MID(T219,U219,V219-U219),[6]skilldef!$A:$B,2,FALSE),"-")</f>
        <v>自分自身に / 行動値設定</v>
      </c>
      <c r="Z219" s="50"/>
      <c r="AA219" s="52"/>
      <c r="AB219" s="50"/>
    </row>
    <row r="220" spans="1:28" ht="40" customHeight="1" x14ac:dyDescent="0.15">
      <c r="A220" s="127">
        <v>47004657</v>
      </c>
      <c r="B220" s="133" t="s">
        <v>543</v>
      </c>
      <c r="C220" s="50">
        <v>3</v>
      </c>
      <c r="D220" s="50" t="s">
        <v>127</v>
      </c>
      <c r="E220" s="116" t="s">
        <v>287</v>
      </c>
      <c r="F220" s="51" t="s">
        <v>345</v>
      </c>
      <c r="G220" s="63" t="str">
        <f t="shared" si="62"/>
        <v>[effect:enemy_message, val1:2.3, val2:1.5]</v>
      </c>
      <c r="H220" s="63">
        <f t="shared" si="63"/>
        <v>9</v>
      </c>
      <c r="I220" s="63">
        <f t="shared" si="64"/>
        <v>22</v>
      </c>
      <c r="J220" s="63" t="e">
        <f t="shared" si="65"/>
        <v>#VALUE!</v>
      </c>
      <c r="K220" s="63">
        <f t="shared" si="66"/>
        <v>32</v>
      </c>
      <c r="L220" s="63" t="str">
        <f>IFERROR(VLOOKUP(MID(G220,J220,K220-J220),[6]skilldef!$C:$D,2,FALSE),"-") &amp; " / " &amp; IFERROR(VLOOKUP(MID(G220,H220,I220-H220),[6]skilldef!$A:$B,2,FALSE),"-")</f>
        <v>- / -</v>
      </c>
      <c r="M220" s="63" t="str">
        <f t="shared" si="67"/>
        <v>[effect:change_panel_ratio, turn:-1, block_type:heal, val:0.05, animation:block_incidence04],[effect:fix_speed, target:myself, turn:2]</v>
      </c>
      <c r="N220" s="48" t="str">
        <f>IFERROR(LEFT(M220,FIND("],",M220)+S231),M220)</f>
        <v>[effect:change_panel_ratio, turn:-1, block_type:heal, val:0.05, animation:block_incidence04],[effect:fix_speed, target:myself, turn:2]</v>
      </c>
      <c r="O220" s="63">
        <f t="shared" si="68"/>
        <v>9</v>
      </c>
      <c r="P220" s="63">
        <f t="shared" si="69"/>
        <v>27</v>
      </c>
      <c r="Q220" s="63">
        <f t="shared" si="70"/>
        <v>120</v>
      </c>
      <c r="R220" s="63">
        <f t="shared" si="71"/>
        <v>36</v>
      </c>
      <c r="S220" s="63" t="str">
        <f>IFERROR(VLOOKUP(MID(N220,Q220,R220-Q220),[6]skilldef!$C:$D,2,FALSE),"-") &amp; " / " &amp; IFERROR(VLOOKUP(MID(N220,O220,P220-O220),[6]skilldef!$A:$B,2,FALSE),"-")</f>
        <v>- / -</v>
      </c>
      <c r="T220" s="48" t="str">
        <f t="shared" si="72"/>
        <v>[effect:fix_speed, target:myself, turn:2]</v>
      </c>
      <c r="U220" s="63">
        <f t="shared" si="73"/>
        <v>9</v>
      </c>
      <c r="V220" s="63">
        <f t="shared" si="74"/>
        <v>18</v>
      </c>
      <c r="W220" s="63">
        <f t="shared" si="75"/>
        <v>27</v>
      </c>
      <c r="X220" s="63">
        <f t="shared" si="76"/>
        <v>33</v>
      </c>
      <c r="Y220" s="63" t="str">
        <f>IFERROR(VLOOKUP(MID(T220,W220,X220-W220),[6]skilldef!$C:$D,2,FALSE),"-") &amp; " / " &amp; IFERROR(VLOOKUP(MID(T220,U220,V220-U220),[6]skilldef!$A:$B,2,FALSE),"-")</f>
        <v>自分自身に / 行動値設定</v>
      </c>
      <c r="Z220" s="50"/>
      <c r="AA220" s="52"/>
      <c r="AB220" s="50"/>
    </row>
    <row r="221" spans="1:28" ht="40" customHeight="1" x14ac:dyDescent="0.15">
      <c r="A221" s="127">
        <v>47004658</v>
      </c>
      <c r="B221" s="133" t="s">
        <v>544</v>
      </c>
      <c r="C221" s="50">
        <v>3</v>
      </c>
      <c r="D221" s="50" t="s">
        <v>127</v>
      </c>
      <c r="E221" s="116" t="s">
        <v>288</v>
      </c>
      <c r="F221" s="51" t="s">
        <v>295</v>
      </c>
      <c r="G221" s="63" t="str">
        <f t="shared" si="62"/>
        <v>[effect:enemy_message, val1:1.9, val2:1.5]</v>
      </c>
      <c r="H221" s="63">
        <f t="shared" si="63"/>
        <v>9</v>
      </c>
      <c r="I221" s="63">
        <f t="shared" si="64"/>
        <v>22</v>
      </c>
      <c r="J221" s="63" t="e">
        <f t="shared" si="65"/>
        <v>#VALUE!</v>
      </c>
      <c r="K221" s="63">
        <f t="shared" si="66"/>
        <v>32</v>
      </c>
      <c r="L221" s="63" t="str">
        <f>IFERROR(VLOOKUP(MID(G221,J221,K221-J221),[6]skilldef!$C:$D,2,FALSE),"-") &amp; " / " &amp; IFERROR(VLOOKUP(MID(G221,H221,I221-H221),[6]skilldef!$A:$B,2,FALSE),"-")</f>
        <v>- / -</v>
      </c>
      <c r="M221" s="63" t="str">
        <f t="shared" si="67"/>
        <v>[effect:change_panel_ratio, turn:-1, block_type:heal, val:0.05, animation:block_incidence04],[effect:fix_speed, target:myself, turn:2]</v>
      </c>
      <c r="N221" s="48" t="str">
        <f>IFERROR(LEFT(M221,FIND("],",M221)+S232),M221)</f>
        <v>[effect:change_panel_ratio, turn:-1, block_type:heal, val:0.05, animation:block_incidence04],[effect:fix_speed, target:myself, turn:2]</v>
      </c>
      <c r="O221" s="63">
        <f t="shared" si="68"/>
        <v>9</v>
      </c>
      <c r="P221" s="63">
        <f t="shared" si="69"/>
        <v>27</v>
      </c>
      <c r="Q221" s="63">
        <f t="shared" si="70"/>
        <v>120</v>
      </c>
      <c r="R221" s="63">
        <f t="shared" si="71"/>
        <v>36</v>
      </c>
      <c r="S221" s="63" t="str">
        <f>IFERROR(VLOOKUP(MID(N221,Q221,R221-Q221),[6]skilldef!$C:$D,2,FALSE),"-") &amp; " / " &amp; IFERROR(VLOOKUP(MID(N221,O221,P221-O221),[6]skilldef!$A:$B,2,FALSE),"-")</f>
        <v>- / -</v>
      </c>
      <c r="T221" s="48" t="str">
        <f t="shared" si="72"/>
        <v>[effect:fix_speed, target:myself, turn:2]</v>
      </c>
      <c r="U221" s="63">
        <f t="shared" si="73"/>
        <v>9</v>
      </c>
      <c r="V221" s="63">
        <f t="shared" si="74"/>
        <v>18</v>
      </c>
      <c r="W221" s="63">
        <f t="shared" si="75"/>
        <v>27</v>
      </c>
      <c r="X221" s="63">
        <f t="shared" si="76"/>
        <v>33</v>
      </c>
      <c r="Y221" s="63" t="str">
        <f>IFERROR(VLOOKUP(MID(T221,W221,X221-W221),[6]skilldef!$C:$D,2,FALSE),"-") &amp; " / " &amp; IFERROR(VLOOKUP(MID(T221,U221,V221-U221),[6]skilldef!$A:$B,2,FALSE),"-")</f>
        <v>自分自身に / 行動値設定</v>
      </c>
      <c r="Z221" s="50"/>
      <c r="AA221" s="52"/>
      <c r="AB221" s="50"/>
    </row>
    <row r="222" spans="1:28" ht="40" customHeight="1" x14ac:dyDescent="0.15">
      <c r="A222" s="127">
        <v>47004659</v>
      </c>
      <c r="B222" s="133" t="s">
        <v>545</v>
      </c>
      <c r="C222" s="50">
        <v>3</v>
      </c>
      <c r="D222" s="50" t="s">
        <v>127</v>
      </c>
      <c r="E222" s="116" t="s">
        <v>289</v>
      </c>
      <c r="F222" s="51" t="s">
        <v>295</v>
      </c>
      <c r="G222" s="63" t="str">
        <f t="shared" si="62"/>
        <v>[effect:enemy_message, val1:2.7, val2:1.5]</v>
      </c>
      <c r="H222" s="63">
        <f t="shared" si="63"/>
        <v>9</v>
      </c>
      <c r="I222" s="63">
        <f t="shared" si="64"/>
        <v>22</v>
      </c>
      <c r="J222" s="63" t="e">
        <f t="shared" si="65"/>
        <v>#VALUE!</v>
      </c>
      <c r="K222" s="63">
        <f t="shared" si="66"/>
        <v>32</v>
      </c>
      <c r="L222" s="63" t="str">
        <f>IFERROR(VLOOKUP(MID(G222,J222,K222-J222),[6]skilldef!$C:$D,2,FALSE),"-") &amp; " / " &amp; IFERROR(VLOOKUP(MID(G222,H222,I222-H222),[6]skilldef!$A:$B,2,FALSE),"-")</f>
        <v>- / -</v>
      </c>
      <c r="M222" s="63" t="str">
        <f t="shared" si="67"/>
        <v>[effect:change_panel_ratio, turn:-1, block_type:heal, val:0.05, animation:block_incidence04],[effect:fix_speed, target:myself, turn:2]</v>
      </c>
      <c r="N222" s="48" t="str">
        <f>IFERROR(LEFT(M222,FIND("],",M222)+S233),M222)</f>
        <v>[effect:change_panel_ratio, turn:-1, block_type:heal, val:0.05, animation:block_incidence04],[effect:fix_speed, target:myself, turn:2]</v>
      </c>
      <c r="O222" s="63">
        <f t="shared" si="68"/>
        <v>9</v>
      </c>
      <c r="P222" s="63">
        <f t="shared" si="69"/>
        <v>27</v>
      </c>
      <c r="Q222" s="63">
        <f t="shared" si="70"/>
        <v>120</v>
      </c>
      <c r="R222" s="63">
        <f t="shared" si="71"/>
        <v>36</v>
      </c>
      <c r="S222" s="63" t="str">
        <f>IFERROR(VLOOKUP(MID(N222,Q222,R222-Q222),[6]skilldef!$C:$D,2,FALSE),"-") &amp; " / " &amp; IFERROR(VLOOKUP(MID(N222,O222,P222-O222),[6]skilldef!$A:$B,2,FALSE),"-")</f>
        <v>- / -</v>
      </c>
      <c r="T222" s="48" t="str">
        <f t="shared" si="72"/>
        <v>[effect:fix_speed, target:myself, turn:2]</v>
      </c>
      <c r="U222" s="63">
        <f t="shared" si="73"/>
        <v>9</v>
      </c>
      <c r="V222" s="63">
        <f t="shared" si="74"/>
        <v>18</v>
      </c>
      <c r="W222" s="63">
        <f t="shared" si="75"/>
        <v>27</v>
      </c>
      <c r="X222" s="63">
        <f t="shared" si="76"/>
        <v>33</v>
      </c>
      <c r="Y222" s="63" t="str">
        <f>IFERROR(VLOOKUP(MID(T222,W222,X222-W222),[6]skilldef!$C:$D,2,FALSE),"-") &amp; " / " &amp; IFERROR(VLOOKUP(MID(T222,U222,V222-U222),[6]skilldef!$A:$B,2,FALSE),"-")</f>
        <v>自分自身に / 行動値設定</v>
      </c>
      <c r="Z222" s="50"/>
      <c r="AA222" s="52"/>
      <c r="AB222" s="50"/>
    </row>
    <row r="223" spans="1:28" ht="40" customHeight="1" x14ac:dyDescent="0.15">
      <c r="A223" s="127">
        <v>47004660</v>
      </c>
      <c r="B223" s="133" t="s">
        <v>546</v>
      </c>
      <c r="C223" s="50">
        <v>3</v>
      </c>
      <c r="D223" s="50" t="s">
        <v>127</v>
      </c>
      <c r="E223" s="116" t="s">
        <v>290</v>
      </c>
      <c r="F223" s="51" t="s">
        <v>295</v>
      </c>
      <c r="G223" s="63" t="str">
        <f t="shared" si="62"/>
        <v>[effect:enemy_message, val1:2.6, val2:1.5]</v>
      </c>
      <c r="H223" s="63">
        <f t="shared" si="63"/>
        <v>9</v>
      </c>
      <c r="I223" s="63">
        <f t="shared" si="64"/>
        <v>22</v>
      </c>
      <c r="J223" s="63" t="e">
        <f t="shared" si="65"/>
        <v>#VALUE!</v>
      </c>
      <c r="K223" s="63">
        <f t="shared" si="66"/>
        <v>32</v>
      </c>
      <c r="L223" s="63" t="str">
        <f>IFERROR(VLOOKUP(MID(G223,J223,K223-J223),[6]skilldef!$C:$D,2,FALSE),"-") &amp; " / " &amp; IFERROR(VLOOKUP(MID(G223,H223,I223-H223),[6]skilldef!$A:$B,2,FALSE),"-")</f>
        <v>- / -</v>
      </c>
      <c r="M223" s="63" t="str">
        <f t="shared" si="67"/>
        <v>[effect:change_panel_ratio, turn:-1, block_type:heal, val:0.05, animation:block_incidence04],[effect:fix_speed, target:myself, turn:2]</v>
      </c>
      <c r="N223" s="48" t="str">
        <f>IFERROR(LEFT(M223,FIND("],",M223)+S234),M223)</f>
        <v>[effect:change_panel_ratio, turn:-1, block_type:heal, val:0.05, animation:block_incidence04],[effect:fix_speed, target:myself, turn:2]</v>
      </c>
      <c r="O223" s="63">
        <f t="shared" si="68"/>
        <v>9</v>
      </c>
      <c r="P223" s="63">
        <f t="shared" si="69"/>
        <v>27</v>
      </c>
      <c r="Q223" s="63">
        <f t="shared" si="70"/>
        <v>120</v>
      </c>
      <c r="R223" s="63">
        <f t="shared" si="71"/>
        <v>36</v>
      </c>
      <c r="S223" s="63" t="str">
        <f>IFERROR(VLOOKUP(MID(N223,Q223,R223-Q223),[6]skilldef!$C:$D,2,FALSE),"-") &amp; " / " &amp; IFERROR(VLOOKUP(MID(N223,O223,P223-O223),[6]skilldef!$A:$B,2,FALSE),"-")</f>
        <v>- / -</v>
      </c>
      <c r="T223" s="48" t="str">
        <f t="shared" si="72"/>
        <v>[effect:fix_speed, target:myself, turn:2]</v>
      </c>
      <c r="U223" s="63">
        <f t="shared" si="73"/>
        <v>9</v>
      </c>
      <c r="V223" s="63">
        <f t="shared" si="74"/>
        <v>18</v>
      </c>
      <c r="W223" s="63">
        <f t="shared" si="75"/>
        <v>27</v>
      </c>
      <c r="X223" s="63">
        <f t="shared" si="76"/>
        <v>33</v>
      </c>
      <c r="Y223" s="63" t="str">
        <f>IFERROR(VLOOKUP(MID(T223,W223,X223-W223),[6]skilldef!$C:$D,2,FALSE),"-") &amp; " / " &amp; IFERROR(VLOOKUP(MID(T223,U223,V223-U223),[6]skilldef!$A:$B,2,FALSE),"-")</f>
        <v>自分自身に / 行動値設定</v>
      </c>
      <c r="Z223" s="50"/>
      <c r="AA223" s="52"/>
      <c r="AB223" s="50"/>
    </row>
    <row r="224" spans="1:28" ht="40" customHeight="1" x14ac:dyDescent="0.15">
      <c r="A224" s="127">
        <v>47004661</v>
      </c>
      <c r="B224" s="133" t="s">
        <v>547</v>
      </c>
      <c r="C224" s="50">
        <v>3</v>
      </c>
      <c r="D224" s="50" t="s">
        <v>127</v>
      </c>
      <c r="E224" s="129" t="s">
        <v>393</v>
      </c>
      <c r="F224" s="51" t="s">
        <v>295</v>
      </c>
      <c r="G224" s="63"/>
      <c r="H224" s="63"/>
      <c r="I224" s="63"/>
      <c r="J224" s="63"/>
      <c r="K224" s="63"/>
      <c r="L224" s="63"/>
      <c r="M224" s="63"/>
      <c r="N224" s="48"/>
      <c r="O224" s="63"/>
      <c r="P224" s="63"/>
      <c r="Q224" s="63"/>
      <c r="R224" s="63"/>
      <c r="S224" s="63"/>
      <c r="T224" s="48"/>
      <c r="U224" s="63"/>
      <c r="V224" s="63"/>
      <c r="W224" s="63"/>
      <c r="X224" s="63"/>
      <c r="Y224" s="63"/>
      <c r="Z224" s="50"/>
      <c r="AA224" s="52"/>
      <c r="AB224" s="50"/>
    </row>
    <row r="225" spans="1:28" ht="40" customHeight="1" x14ac:dyDescent="0.15">
      <c r="A225" s="127">
        <v>47004662</v>
      </c>
      <c r="B225" s="133" t="s">
        <v>548</v>
      </c>
      <c r="C225" s="50">
        <v>3</v>
      </c>
      <c r="D225" s="50" t="s">
        <v>127</v>
      </c>
      <c r="E225" s="129" t="s">
        <v>394</v>
      </c>
      <c r="F225" s="51" t="s">
        <v>295</v>
      </c>
      <c r="G225" s="63"/>
      <c r="H225" s="63"/>
      <c r="I225" s="63"/>
      <c r="J225" s="63"/>
      <c r="K225" s="63"/>
      <c r="L225" s="63"/>
      <c r="M225" s="63"/>
      <c r="N225" s="48"/>
      <c r="O225" s="63"/>
      <c r="P225" s="63"/>
      <c r="Q225" s="63"/>
      <c r="R225" s="63"/>
      <c r="S225" s="63"/>
      <c r="T225" s="48"/>
      <c r="U225" s="63"/>
      <c r="V225" s="63"/>
      <c r="W225" s="63"/>
      <c r="X225" s="63"/>
      <c r="Y225" s="63"/>
      <c r="Z225" s="50"/>
      <c r="AA225" s="52"/>
      <c r="AB225" s="50"/>
    </row>
    <row r="226" spans="1:28" ht="40" customHeight="1" x14ac:dyDescent="0.15">
      <c r="A226" s="127">
        <v>47004681</v>
      </c>
      <c r="B226" s="132" t="s">
        <v>549</v>
      </c>
      <c r="C226" s="111">
        <v>3</v>
      </c>
      <c r="D226" s="111" t="s">
        <v>127</v>
      </c>
      <c r="E226" s="112" t="s">
        <v>324</v>
      </c>
      <c r="F226" s="112" t="s">
        <v>632</v>
      </c>
      <c r="G226" s="63" t="str">
        <f t="shared" si="62"/>
        <v>[effect:enemy_message, val1:1.4, val2:4.6]</v>
      </c>
      <c r="H226" s="63">
        <f t="shared" si="63"/>
        <v>9</v>
      </c>
      <c r="I226" s="63">
        <f t="shared" si="64"/>
        <v>22</v>
      </c>
      <c r="J226" s="63" t="e">
        <f t="shared" si="65"/>
        <v>#VALUE!</v>
      </c>
      <c r="K226" s="63">
        <f t="shared" si="66"/>
        <v>32</v>
      </c>
      <c r="L226" s="63" t="str">
        <f>IFERROR(VLOOKUP(MID(G226,J226,K226-J226),[6]skilldef!$C:$D,2,FALSE),"-") &amp; " / " &amp; IFERROR(VLOOKUP(MID(G226,H226,I226-H226),[6]skilldef!$A:$B,2,FALSE),"-")</f>
        <v>- / -</v>
      </c>
      <c r="M226" s="63" t="str">
        <f t="shared" si="67"/>
        <v>[effect:degrade_unit, target:unit_all, turn:5, status:action, val:2, calc:add, animation:enemy_tap_down],[effect:tolerance, target:myself, turn:-1, count:-1, tolerance_effect:all, animation:enemy_tolerance],[effect:fix_speed, target:myself, turn:1]</v>
      </c>
      <c r="N226" s="48" t="str">
        <f>IFERROR(LEFT(M226,FIND("],",M226)+#REF!),M226)</f>
        <v>[effect:degrade_unit, target:unit_all, turn:5, status:action, val:2, calc:add, animation:enemy_tap_down],[effect:tolerance, target:myself, turn:-1, count:-1, tolerance_effect:all, animation:enemy_tolerance],[effect:fix_speed, target:myself, turn:1]</v>
      </c>
      <c r="O226" s="63">
        <f t="shared" si="68"/>
        <v>9</v>
      </c>
      <c r="P226" s="63">
        <f t="shared" si="69"/>
        <v>21</v>
      </c>
      <c r="Q226" s="63">
        <f t="shared" si="70"/>
        <v>30</v>
      </c>
      <c r="R226" s="63">
        <f t="shared" si="71"/>
        <v>38</v>
      </c>
      <c r="S226" s="63" t="str">
        <f>IFERROR(VLOOKUP(MID(N226,Q226,R226-Q226),[6]skilldef!$C:$D,2,FALSE),"-") &amp; " / " &amp; IFERROR(VLOOKUP(MID(N226,O226,P226-O226),[6]skilldef!$A:$B,2,FALSE),"-")</f>
        <v>味方全体に / ステータスDOWN</v>
      </c>
      <c r="T226" s="48" t="str">
        <f t="shared" si="72"/>
        <v>[effect:tolerance, target:myself, turn:-1, count:-1, tolerance_effect:all, animation:enemy_tolerance],[effect:fix_speed, target:myself, turn:1]</v>
      </c>
      <c r="U226" s="63">
        <f t="shared" si="73"/>
        <v>9</v>
      </c>
      <c r="V226" s="63">
        <f t="shared" si="74"/>
        <v>18</v>
      </c>
      <c r="W226" s="63">
        <f t="shared" si="75"/>
        <v>27</v>
      </c>
      <c r="X226" s="63">
        <f t="shared" si="76"/>
        <v>33</v>
      </c>
      <c r="Y226" s="63" t="str">
        <f>IFERROR(VLOOKUP(MID(T226,W226,X226-W226),[6]skilldef!$C:$D,2,FALSE),"-") &amp; " / " &amp; IFERROR(VLOOKUP(MID(T226,U226,V226-U226),[6]skilldef!$A:$B,2,FALSE),"-")</f>
        <v>自分自身に / 状態異常耐性</v>
      </c>
      <c r="Z226" s="50"/>
      <c r="AA226" s="52"/>
      <c r="AB226" s="50"/>
    </row>
    <row r="227" spans="1:28" ht="40" customHeight="1" x14ac:dyDescent="0.15">
      <c r="A227" s="127">
        <v>47004682</v>
      </c>
      <c r="B227" s="135" t="s">
        <v>601</v>
      </c>
      <c r="C227" s="111">
        <v>3</v>
      </c>
      <c r="D227" s="111" t="s">
        <v>127</v>
      </c>
      <c r="E227" s="112" t="s">
        <v>325</v>
      </c>
      <c r="F227" s="112" t="s">
        <v>485</v>
      </c>
      <c r="G227" s="63" t="str">
        <f t="shared" si="62"/>
        <v>[effect:enemy_message, val1:1.5, val2:3.7]</v>
      </c>
      <c r="H227" s="63">
        <f t="shared" si="63"/>
        <v>9</v>
      </c>
      <c r="I227" s="63">
        <f t="shared" si="64"/>
        <v>22</v>
      </c>
      <c r="J227" s="63" t="e">
        <f t="shared" si="65"/>
        <v>#VALUE!</v>
      </c>
      <c r="K227" s="63">
        <f t="shared" si="66"/>
        <v>32</v>
      </c>
      <c r="L227" s="63" t="str">
        <f>IFERROR(VLOOKUP(MID(G227,J227,K227-J227),[6]skilldef!$C:$D,2,FALSE),"-") &amp; " / " &amp; IFERROR(VLOOKUP(MID(G227,H227,I227-H227),[6]skilldef!$A:$B,2,FALSE),"-")</f>
        <v>- / -</v>
      </c>
      <c r="M227" s="63" t="str">
        <f t="shared" si="67"/>
        <v>[effect:suicide, val:0.2],[effect:spread, val:0.25],[effect:force_change_block, new_block:damage, target:block_all, ignore01:block_positive, ignore02:block_negative, count:4, val:0.03]</v>
      </c>
      <c r="N227" s="48" t="str">
        <f>IFERROR(LEFT(M227,FIND("],",M227)+#REF!),M227)</f>
        <v>[effect:suicide, val:0.2],[effect:spread, val:0.25],[effect:force_change_block, new_block:damage, target:block_all, ignore01:block_positive, ignore02:block_negative, count:4, val:0.03]</v>
      </c>
      <c r="O227" s="63">
        <f t="shared" si="68"/>
        <v>9</v>
      </c>
      <c r="P227" s="63">
        <f t="shared" si="69"/>
        <v>16</v>
      </c>
      <c r="Q227" s="63">
        <f t="shared" si="70"/>
        <v>106</v>
      </c>
      <c r="R227" s="63">
        <f t="shared" si="71"/>
        <v>26</v>
      </c>
      <c r="S227" s="63" t="str">
        <f>IFERROR(VLOOKUP(MID(N227,Q227,R227-Q227),[6]skilldef!$C:$D,2,FALSE),"-") &amp; " / " &amp; IFERROR(VLOOKUP(MID(N227,O227,P227-O227),[6]skilldef!$A:$B,2,FALSE),"-")</f>
        <v>- / -</v>
      </c>
      <c r="T227" s="48" t="str">
        <f t="shared" si="72"/>
        <v>[effect:spread, val:0.25],[effect:force_change_block, new_block:damage, target:block_all, ignore01:block_positive, ignore02:block_negative, count:4, val:0.03]</v>
      </c>
      <c r="U227" s="63">
        <f t="shared" si="73"/>
        <v>9</v>
      </c>
      <c r="V227" s="63">
        <f t="shared" si="74"/>
        <v>15</v>
      </c>
      <c r="W227" s="63">
        <f t="shared" si="75"/>
        <v>80</v>
      </c>
      <c r="X227" s="63">
        <f t="shared" si="76"/>
        <v>26</v>
      </c>
      <c r="Y227" s="63" t="str">
        <f>IFERROR(VLOOKUP(MID(T227,W227,X227-W227),[6]skilldef!$C:$D,2,FALSE),"-") &amp; " / " &amp; IFERROR(VLOOKUP(MID(T227,U227,V227-U227),[6]skilldef!$A:$B,2,FALSE),"-")</f>
        <v>- / 全体攻撃</v>
      </c>
      <c r="Z227" s="50"/>
      <c r="AA227" s="52"/>
      <c r="AB227" s="50"/>
    </row>
    <row r="228" spans="1:28" ht="40" customHeight="1" x14ac:dyDescent="0.15">
      <c r="A228" s="127">
        <v>47004683</v>
      </c>
      <c r="B228" s="135" t="s">
        <v>602</v>
      </c>
      <c r="C228" s="111">
        <v>3</v>
      </c>
      <c r="D228" s="111" t="s">
        <v>127</v>
      </c>
      <c r="E228" s="112" t="s">
        <v>326</v>
      </c>
      <c r="F228" s="112" t="s">
        <v>486</v>
      </c>
      <c r="G228" s="63" t="str">
        <f t="shared" si="62"/>
        <v>[effect:enemy_message, val1:1.2, val2:3.7]</v>
      </c>
      <c r="H228" s="63">
        <f t="shared" si="63"/>
        <v>9</v>
      </c>
      <c r="I228" s="63">
        <f t="shared" si="64"/>
        <v>22</v>
      </c>
      <c r="J228" s="63" t="e">
        <f t="shared" si="65"/>
        <v>#VALUE!</v>
      </c>
      <c r="K228" s="63">
        <f t="shared" si="66"/>
        <v>32</v>
      </c>
      <c r="L228" s="63" t="str">
        <f>IFERROR(VLOOKUP(MID(G228,J228,K228-J228),[6]skilldef!$C:$D,2,FALSE),"-") &amp; " / " &amp; IFERROR(VLOOKUP(MID(G228,H228,I228-H228),[6]skilldef!$A:$B,2,FALSE),"-")</f>
        <v>- / -</v>
      </c>
      <c r="M228" s="63" t="str">
        <f t="shared" si="67"/>
        <v>[effect:suicide, val:0.25],[effect:spread, val:0.26],[effect:force_change_block, new_block:damage, target:block_all, ignore01:block_positive, ignore02:block_negative, count:4, val:0.03]</v>
      </c>
      <c r="N228" s="48" t="str">
        <f>IFERROR(LEFT(M228,FIND("],",M228)+#REF!),M228)</f>
        <v>[effect:suicide, val:0.25],[effect:spread, val:0.26],[effect:force_change_block, new_block:damage, target:block_all, ignore01:block_positive, ignore02:block_negative, count:4, val:0.03]</v>
      </c>
      <c r="O228" s="63">
        <f t="shared" si="68"/>
        <v>9</v>
      </c>
      <c r="P228" s="63">
        <f t="shared" si="69"/>
        <v>16</v>
      </c>
      <c r="Q228" s="63">
        <f t="shared" si="70"/>
        <v>107</v>
      </c>
      <c r="R228" s="63">
        <f t="shared" si="71"/>
        <v>27</v>
      </c>
      <c r="S228" s="63" t="str">
        <f>IFERROR(VLOOKUP(MID(N228,Q228,R228-Q228),[6]skilldef!$C:$D,2,FALSE),"-") &amp; " / " &amp; IFERROR(VLOOKUP(MID(N228,O228,P228-O228),[6]skilldef!$A:$B,2,FALSE),"-")</f>
        <v>- / -</v>
      </c>
      <c r="T228" s="48" t="str">
        <f t="shared" si="72"/>
        <v>[effect:spread, val:0.26],[effect:force_change_block, new_block:damage, target:block_all, ignore01:block_positive, ignore02:block_negative, count:4, val:0.03]</v>
      </c>
      <c r="U228" s="63">
        <f t="shared" si="73"/>
        <v>9</v>
      </c>
      <c r="V228" s="63">
        <f t="shared" si="74"/>
        <v>15</v>
      </c>
      <c r="W228" s="63">
        <f t="shared" si="75"/>
        <v>80</v>
      </c>
      <c r="X228" s="63">
        <f t="shared" si="76"/>
        <v>26</v>
      </c>
      <c r="Y228" s="63" t="str">
        <f>IFERROR(VLOOKUP(MID(T228,W228,X228-W228),[6]skilldef!$C:$D,2,FALSE),"-") &amp; " / " &amp; IFERROR(VLOOKUP(MID(T228,U228,V228-U228),[6]skilldef!$A:$B,2,FALSE),"-")</f>
        <v>- / 全体攻撃</v>
      </c>
      <c r="Z228" s="50"/>
      <c r="AA228" s="52"/>
      <c r="AB228" s="50"/>
    </row>
    <row r="229" spans="1:28" ht="40" customHeight="1" x14ac:dyDescent="0.15">
      <c r="A229" s="127">
        <v>47004684</v>
      </c>
      <c r="B229" s="135" t="s">
        <v>603</v>
      </c>
      <c r="C229" s="111">
        <v>3</v>
      </c>
      <c r="D229" s="111" t="s">
        <v>127</v>
      </c>
      <c r="E229" s="112" t="s">
        <v>327</v>
      </c>
      <c r="F229" s="112" t="s">
        <v>487</v>
      </c>
      <c r="G229" s="63" t="str">
        <f t="shared" si="62"/>
        <v>[effect:enemy_message, val1:1.2, val2:3.7]</v>
      </c>
      <c r="H229" s="63">
        <f t="shared" si="63"/>
        <v>9</v>
      </c>
      <c r="I229" s="63">
        <f t="shared" si="64"/>
        <v>22</v>
      </c>
      <c r="J229" s="63" t="e">
        <f t="shared" si="65"/>
        <v>#VALUE!</v>
      </c>
      <c r="K229" s="63">
        <f t="shared" si="66"/>
        <v>32</v>
      </c>
      <c r="L229" s="63" t="str">
        <f>IFERROR(VLOOKUP(MID(G229,J229,K229-J229),[6]skilldef!$C:$D,2,FALSE),"-") &amp; " / " &amp; IFERROR(VLOOKUP(MID(G229,H229,I229-H229),[6]skilldef!$A:$B,2,FALSE),"-")</f>
        <v>- / -</v>
      </c>
      <c r="M229" s="63" t="str">
        <f t="shared" si="67"/>
        <v>[effect:suicide, val:0.33],[effect:spread, val:0.27],[effect:force_change_block, new_block:damage, target:block_all, ignore01:block_positive, ignore02:block_negative, count:4, val:0.03]</v>
      </c>
      <c r="N229" s="48" t="str">
        <f>IFERROR(LEFT(M229,FIND("],",M229)+#REF!),M229)</f>
        <v>[effect:suicide, val:0.33],[effect:spread, val:0.27],[effect:force_change_block, new_block:damage, target:block_all, ignore01:block_positive, ignore02:block_negative, count:4, val:0.03]</v>
      </c>
      <c r="O229" s="63">
        <f t="shared" si="68"/>
        <v>9</v>
      </c>
      <c r="P229" s="63">
        <f t="shared" si="69"/>
        <v>16</v>
      </c>
      <c r="Q229" s="63">
        <f t="shared" si="70"/>
        <v>107</v>
      </c>
      <c r="R229" s="63">
        <f t="shared" si="71"/>
        <v>27</v>
      </c>
      <c r="S229" s="63" t="str">
        <f>IFERROR(VLOOKUP(MID(N229,Q229,R229-Q229),[6]skilldef!$C:$D,2,FALSE),"-") &amp; " / " &amp; IFERROR(VLOOKUP(MID(N229,O229,P229-O229),[6]skilldef!$A:$B,2,FALSE),"-")</f>
        <v>- / -</v>
      </c>
      <c r="T229" s="48" t="str">
        <f t="shared" si="72"/>
        <v>[effect:spread, val:0.27],[effect:force_change_block, new_block:damage, target:block_all, ignore01:block_positive, ignore02:block_negative, count:4, val:0.03]</v>
      </c>
      <c r="U229" s="63">
        <f t="shared" si="73"/>
        <v>9</v>
      </c>
      <c r="V229" s="63">
        <f t="shared" si="74"/>
        <v>15</v>
      </c>
      <c r="W229" s="63">
        <f t="shared" si="75"/>
        <v>80</v>
      </c>
      <c r="X229" s="63">
        <f t="shared" si="76"/>
        <v>26</v>
      </c>
      <c r="Y229" s="63" t="str">
        <f>IFERROR(VLOOKUP(MID(T229,W229,X229-W229),[6]skilldef!$C:$D,2,FALSE),"-") &amp; " / " &amp; IFERROR(VLOOKUP(MID(T229,U229,V229-U229),[6]skilldef!$A:$B,2,FALSE),"-")</f>
        <v>- / 全体攻撃</v>
      </c>
      <c r="Z229" s="50"/>
      <c r="AA229" s="52"/>
      <c r="AB229" s="50"/>
    </row>
    <row r="230" spans="1:28" ht="40" customHeight="1" x14ac:dyDescent="0.15">
      <c r="A230" s="127">
        <v>47004685</v>
      </c>
      <c r="B230" s="135" t="s">
        <v>604</v>
      </c>
      <c r="C230" s="111">
        <v>3</v>
      </c>
      <c r="D230" s="111" t="s">
        <v>127</v>
      </c>
      <c r="E230" s="112" t="s">
        <v>328</v>
      </c>
      <c r="F230" s="112" t="s">
        <v>488</v>
      </c>
      <c r="G230" s="63" t="str">
        <f t="shared" si="62"/>
        <v>[effect:enemy_message, val1:1.2, val2:3.7]</v>
      </c>
      <c r="H230" s="63">
        <f t="shared" si="63"/>
        <v>9</v>
      </c>
      <c r="I230" s="63">
        <f t="shared" si="64"/>
        <v>22</v>
      </c>
      <c r="J230" s="63" t="e">
        <f t="shared" si="65"/>
        <v>#VALUE!</v>
      </c>
      <c r="K230" s="63">
        <f t="shared" si="66"/>
        <v>32</v>
      </c>
      <c r="L230" s="63" t="str">
        <f>IFERROR(VLOOKUP(MID(G230,J230,K230-J230),[6]skilldef!$C:$D,2,FALSE),"-") &amp; " / " &amp; IFERROR(VLOOKUP(MID(G230,H230,I230-H230),[6]skilldef!$A:$B,2,FALSE),"-")</f>
        <v>- / -</v>
      </c>
      <c r="M230" s="63" t="str">
        <f t="shared" si="67"/>
        <v>[effect:suicide, val:0.50],[effect:spread, val:0.28],[effect:force_change_block, new_block:damage, target:block_all, ignore01:block_positive, ignore02:block_negative, count:4, val:0.03]</v>
      </c>
      <c r="N230" s="48" t="str">
        <f>IFERROR(LEFT(M230,FIND("],",M230)+#REF!),M230)</f>
        <v>[effect:suicide, val:0.50],[effect:spread, val:0.28],[effect:force_change_block, new_block:damage, target:block_all, ignore01:block_positive, ignore02:block_negative, count:4, val:0.03]</v>
      </c>
      <c r="O230" s="63">
        <f t="shared" si="68"/>
        <v>9</v>
      </c>
      <c r="P230" s="63">
        <f t="shared" si="69"/>
        <v>16</v>
      </c>
      <c r="Q230" s="63">
        <f t="shared" si="70"/>
        <v>107</v>
      </c>
      <c r="R230" s="63">
        <f t="shared" si="71"/>
        <v>27</v>
      </c>
      <c r="S230" s="63" t="str">
        <f>IFERROR(VLOOKUP(MID(N230,Q230,R230-Q230),[6]skilldef!$C:$D,2,FALSE),"-") &amp; " / " &amp; IFERROR(VLOOKUP(MID(N230,O230,P230-O230),[6]skilldef!$A:$B,2,FALSE),"-")</f>
        <v>- / -</v>
      </c>
      <c r="T230" s="48" t="str">
        <f t="shared" si="72"/>
        <v>[effect:spread, val:0.28],[effect:force_change_block, new_block:damage, target:block_all, ignore01:block_positive, ignore02:block_negative, count:4, val:0.03]</v>
      </c>
      <c r="U230" s="63">
        <f t="shared" si="73"/>
        <v>9</v>
      </c>
      <c r="V230" s="63">
        <f t="shared" si="74"/>
        <v>15</v>
      </c>
      <c r="W230" s="63">
        <f t="shared" si="75"/>
        <v>80</v>
      </c>
      <c r="X230" s="63">
        <f t="shared" si="76"/>
        <v>26</v>
      </c>
      <c r="Y230" s="63" t="str">
        <f>IFERROR(VLOOKUP(MID(T230,W230,X230-W230),[6]skilldef!$C:$D,2,FALSE),"-") &amp; " / " &amp; IFERROR(VLOOKUP(MID(T230,U230,V230-U230),[6]skilldef!$A:$B,2,FALSE),"-")</f>
        <v>- / 全体攻撃</v>
      </c>
      <c r="Z230" s="50"/>
      <c r="AA230" s="52"/>
      <c r="AB230" s="50"/>
    </row>
    <row r="231" spans="1:28" ht="40" customHeight="1" x14ac:dyDescent="0.15">
      <c r="A231" s="127">
        <v>47004686</v>
      </c>
      <c r="B231" s="135" t="s">
        <v>605</v>
      </c>
      <c r="C231" s="111">
        <v>3</v>
      </c>
      <c r="D231" s="111" t="s">
        <v>127</v>
      </c>
      <c r="E231" s="112" t="s">
        <v>436</v>
      </c>
      <c r="F231" s="112" t="s">
        <v>489</v>
      </c>
      <c r="G231" s="63" t="str">
        <f t="shared" si="62"/>
        <v>[effect:enemy_message, val1:1.3, val2:3.8]</v>
      </c>
      <c r="H231" s="63">
        <f t="shared" si="63"/>
        <v>9</v>
      </c>
      <c r="I231" s="63">
        <f t="shared" si="64"/>
        <v>22</v>
      </c>
      <c r="J231" s="63" t="e">
        <f t="shared" si="65"/>
        <v>#VALUE!</v>
      </c>
      <c r="K231" s="63">
        <f t="shared" si="66"/>
        <v>32</v>
      </c>
      <c r="L231" s="63" t="str">
        <f>IFERROR(VLOOKUP(MID(G231,J231,K231-J231),[6]skilldef!$C:$D,2,FALSE),"-") &amp; " / " &amp; IFERROR(VLOOKUP(MID(G231,H231,I231-H231),[6]skilldef!$A:$B,2,FALSE),"-")</f>
        <v>- / -</v>
      </c>
      <c r="M231" s="63" t="str">
        <f t="shared" si="67"/>
        <v>[effect:suicide, val:1.0, dead_type:suicide],[effect:spread, val:0.29],[effect:force_change_block, new_block:damage, target:block_all, ignore01:block_positive, ignore02:block_negative, count:4, val:0.03]</v>
      </c>
      <c r="N231" s="48" t="str">
        <f>IFERROR(LEFT(M231,FIND("],",M231)+#REF!),M231)</f>
        <v>[effect:suicide, val:1.0, dead_type:suicide],[effect:spread, val:0.29],[effect:force_change_block, new_block:damage, target:block_all, ignore01:block_positive, ignore02:block_negative, count:4, val:0.03]</v>
      </c>
      <c r="O231" s="63">
        <f t="shared" si="68"/>
        <v>9</v>
      </c>
      <c r="P231" s="63">
        <f t="shared" si="69"/>
        <v>16</v>
      </c>
      <c r="Q231" s="63">
        <f t="shared" si="70"/>
        <v>125</v>
      </c>
      <c r="R231" s="63">
        <f t="shared" si="71"/>
        <v>25</v>
      </c>
      <c r="S231" s="63" t="str">
        <f>IFERROR(VLOOKUP(MID(N231,Q231,R231-Q231),[6]skilldef!$C:$D,2,FALSE),"-") &amp; " / " &amp; IFERROR(VLOOKUP(MID(N231,O231,P231-O231),[6]skilldef!$A:$B,2,FALSE),"-")</f>
        <v>- / -</v>
      </c>
      <c r="T231" s="48" t="str">
        <f t="shared" si="72"/>
        <v>[effect:spread, val:0.29],[effect:force_change_block, new_block:damage, target:block_all, ignore01:block_positive, ignore02:block_negative, count:4, val:0.03]</v>
      </c>
      <c r="U231" s="63">
        <f t="shared" si="73"/>
        <v>9</v>
      </c>
      <c r="V231" s="63">
        <f t="shared" si="74"/>
        <v>15</v>
      </c>
      <c r="W231" s="63">
        <f t="shared" si="75"/>
        <v>80</v>
      </c>
      <c r="X231" s="63">
        <f t="shared" si="76"/>
        <v>26</v>
      </c>
      <c r="Y231" s="63" t="str">
        <f>IFERROR(VLOOKUP(MID(T231,W231,X231-W231),[6]skilldef!$C:$D,2,FALSE),"-") &amp; " / " &amp; IFERROR(VLOOKUP(MID(T231,U231,V231-U231),[6]skilldef!$A:$B,2,FALSE),"-")</f>
        <v>- / 全体攻撃</v>
      </c>
      <c r="Z231" s="50"/>
      <c r="AA231" s="52"/>
      <c r="AB231" s="50"/>
    </row>
    <row r="232" spans="1:28" ht="40" customHeight="1" x14ac:dyDescent="0.15">
      <c r="A232" s="127">
        <v>47004711</v>
      </c>
      <c r="B232" s="133" t="s">
        <v>555</v>
      </c>
      <c r="C232" s="50">
        <v>3</v>
      </c>
      <c r="D232" s="50" t="s">
        <v>127</v>
      </c>
      <c r="E232" s="51" t="s">
        <v>333</v>
      </c>
      <c r="F232" s="51" t="s">
        <v>348</v>
      </c>
      <c r="G232" s="63" t="str">
        <f t="shared" si="62"/>
        <v>[effect:enemy_message, val1:1.5, val2:2.4]</v>
      </c>
      <c r="H232" s="63">
        <f t="shared" si="63"/>
        <v>9</v>
      </c>
      <c r="I232" s="63">
        <f t="shared" si="64"/>
        <v>22</v>
      </c>
      <c r="J232" s="63" t="e">
        <f t="shared" si="65"/>
        <v>#VALUE!</v>
      </c>
      <c r="K232" s="63">
        <f t="shared" si="66"/>
        <v>32</v>
      </c>
      <c r="L232" s="63" t="str">
        <f>IFERROR(VLOOKUP(MID(G232,J232,K232-J232),[6]skilldef!$C:$D,2,FALSE),"-") &amp; " / " &amp; IFERROR(VLOOKUP(MID(G232,H232,I232-H232),[6]skilldef!$A:$B,2,FALSE),"-")</f>
        <v>- / -</v>
      </c>
      <c r="M232" s="63" t="str">
        <f t="shared" si="67"/>
        <v>[effect:enemy_message, val1:1.0, val2:0],[effect:fix_speed, target:myself, turn:1]</v>
      </c>
      <c r="N232" s="48" t="str">
        <f>IFERROR(LEFT(M232,FIND("],",M232)+#REF!),M232)</f>
        <v>[effect:enemy_message, val1:1.0, val2:0],[effect:fix_speed, target:myself, turn:1]</v>
      </c>
      <c r="O232" s="63">
        <f t="shared" si="68"/>
        <v>9</v>
      </c>
      <c r="P232" s="63">
        <f t="shared" si="69"/>
        <v>22</v>
      </c>
      <c r="Q232" s="63">
        <f t="shared" si="70"/>
        <v>68</v>
      </c>
      <c r="R232" s="63">
        <f t="shared" si="71"/>
        <v>32</v>
      </c>
      <c r="S232" s="63" t="str">
        <f>IFERROR(VLOOKUP(MID(N232,Q232,R232-Q232),[6]skilldef!$C:$D,2,FALSE),"-") &amp; " / " &amp; IFERROR(VLOOKUP(MID(N232,O232,P232-O232),[6]skilldef!$A:$B,2,FALSE),"-")</f>
        <v>- / -</v>
      </c>
      <c r="T232" s="48" t="str">
        <f t="shared" si="72"/>
        <v>[effect:fix_speed, target:myself, turn:1]</v>
      </c>
      <c r="U232" s="63">
        <f t="shared" si="73"/>
        <v>9</v>
      </c>
      <c r="V232" s="63">
        <f t="shared" si="74"/>
        <v>18</v>
      </c>
      <c r="W232" s="63">
        <f t="shared" si="75"/>
        <v>27</v>
      </c>
      <c r="X232" s="63">
        <f t="shared" si="76"/>
        <v>33</v>
      </c>
      <c r="Y232" s="63" t="str">
        <f>IFERROR(VLOOKUP(MID(T232,W232,X232-W232),[6]skilldef!$C:$D,2,FALSE),"-") &amp; " / " &amp; IFERROR(VLOOKUP(MID(T232,U232,V232-U232),[6]skilldef!$A:$B,2,FALSE),"-")</f>
        <v>自分自身に / 行動値設定</v>
      </c>
      <c r="Z232" s="50"/>
      <c r="AA232" s="52"/>
      <c r="AB232" s="50"/>
    </row>
    <row r="233" spans="1:28" ht="40" customHeight="1" x14ac:dyDescent="0.15">
      <c r="A233" s="127">
        <v>47004712</v>
      </c>
      <c r="B233" s="133" t="s">
        <v>556</v>
      </c>
      <c r="C233" s="50">
        <v>3</v>
      </c>
      <c r="D233" s="50" t="s">
        <v>127</v>
      </c>
      <c r="E233" s="51" t="s">
        <v>336</v>
      </c>
      <c r="F233" s="51" t="s">
        <v>257</v>
      </c>
      <c r="G233" s="63" t="str">
        <f t="shared" si="62"/>
        <v>[effect:enemy_message, val1:1.2, val2:1.2]</v>
      </c>
      <c r="H233" s="63">
        <f t="shared" si="63"/>
        <v>9</v>
      </c>
      <c r="I233" s="63">
        <f t="shared" si="64"/>
        <v>22</v>
      </c>
      <c r="J233" s="63" t="e">
        <f t="shared" si="65"/>
        <v>#VALUE!</v>
      </c>
      <c r="K233" s="63">
        <f t="shared" si="66"/>
        <v>32</v>
      </c>
      <c r="L233" s="63" t="str">
        <f>IFERROR(VLOOKUP(MID(G233,J233,K233-J233),[6]skilldef!$C:$D,2,FALSE),"-") &amp; " / " &amp; IFERROR(VLOOKUP(MID(G233,H233,I233-H233),[6]skilldef!$A:$B,2,FALSE),"-")</f>
        <v>- / -</v>
      </c>
      <c r="M233" s="63" t="str">
        <f t="shared" si="67"/>
        <v>[effect:spread, val:0.33]</v>
      </c>
      <c r="N233" s="48" t="str">
        <f>IFERROR(LEFT(M233,FIND("],",M233)+#REF!),M233)</f>
        <v>[effect:spread, val:0.33]</v>
      </c>
      <c r="O233" s="63">
        <f t="shared" si="68"/>
        <v>9</v>
      </c>
      <c r="P233" s="63">
        <f t="shared" si="69"/>
        <v>15</v>
      </c>
      <c r="Q233" s="63" t="e">
        <f t="shared" si="70"/>
        <v>#VALUE!</v>
      </c>
      <c r="R233" s="63" t="e">
        <f t="shared" si="71"/>
        <v>#VALUE!</v>
      </c>
      <c r="S233" s="63" t="str">
        <f>IFERROR(VLOOKUP(MID(N233,Q233,R233-Q233),[6]skilldef!$C:$D,2,FALSE),"-") &amp; " / " &amp; IFERROR(VLOOKUP(MID(N233,O233,P233-O233),[6]skilldef!$A:$B,2,FALSE),"-")</f>
        <v>- / 全体攻撃</v>
      </c>
      <c r="T233" s="48" t="str">
        <f t="shared" si="72"/>
        <v>none</v>
      </c>
      <c r="U233" s="63" t="e">
        <f t="shared" si="73"/>
        <v>#VALUE!</v>
      </c>
      <c r="V233" s="63">
        <f t="shared" si="74"/>
        <v>4</v>
      </c>
      <c r="W233" s="63" t="e">
        <f t="shared" si="75"/>
        <v>#VALUE!</v>
      </c>
      <c r="X233" s="63" t="e">
        <f t="shared" si="76"/>
        <v>#VALUE!</v>
      </c>
      <c r="Y233" s="63" t="str">
        <f>IFERROR(VLOOKUP(MID(T233,W233,X233-W233),[6]skilldef!$C:$D,2,FALSE),"-") &amp; " / " &amp; IFERROR(VLOOKUP(MID(T233,U233,V233-U233),[6]skilldef!$A:$B,2,FALSE),"-")</f>
        <v>- / -</v>
      </c>
      <c r="Z233" s="50"/>
      <c r="AA233" s="52"/>
      <c r="AB233" s="50"/>
    </row>
    <row r="234" spans="1:28" ht="40" customHeight="1" x14ac:dyDescent="0.15">
      <c r="A234" s="127">
        <v>47004713</v>
      </c>
      <c r="B234" s="135" t="s">
        <v>606</v>
      </c>
      <c r="C234" s="50">
        <v>3</v>
      </c>
      <c r="D234" s="50" t="s">
        <v>127</v>
      </c>
      <c r="E234" s="51" t="s">
        <v>322</v>
      </c>
      <c r="F234" s="51" t="s">
        <v>429</v>
      </c>
      <c r="G234" s="63" t="str">
        <f t="shared" si="62"/>
        <v>[effect:enemy_message, val1:2.1, val2:2.0]</v>
      </c>
      <c r="H234" s="63">
        <f t="shared" si="63"/>
        <v>9</v>
      </c>
      <c r="I234" s="63">
        <f t="shared" si="64"/>
        <v>22</v>
      </c>
      <c r="J234" s="63" t="e">
        <f t="shared" si="65"/>
        <v>#VALUE!</v>
      </c>
      <c r="K234" s="63">
        <f t="shared" si="66"/>
        <v>32</v>
      </c>
      <c r="L234" s="63" t="str">
        <f>IFERROR(VLOOKUP(MID(G234,J234,K234-J234),[6]skilldef!$C:$D,2,FALSE),"-") &amp; " / " &amp; IFERROR(VLOOKUP(MID(G234,H234,I234-H234),[6]skilldef!$A:$B,2,FALSE),"-")</f>
        <v>- / -</v>
      </c>
      <c r="M234" s="63" t="str">
        <f t="shared" si="67"/>
        <v>[effect:break_attack_fix, target:unit_all, val:140, lowest_val:700, count:-1, color:blue, block01:block_blue, color:blue, block02:block_heart]</v>
      </c>
      <c r="N234" s="48" t="str">
        <f>IFERROR(LEFT(M234,FIND("],",M234)+#REF!),M234)</f>
        <v>[effect:break_attack_fix, target:unit_all, val:140, lowest_val:700, count:-1, color:blue, block01:block_blue, color:blue, block02:block_heart]</v>
      </c>
      <c r="O234" s="63">
        <f t="shared" si="68"/>
        <v>9</v>
      </c>
      <c r="P234" s="63">
        <f t="shared" si="69"/>
        <v>25</v>
      </c>
      <c r="Q234" s="63">
        <f t="shared" si="70"/>
        <v>34</v>
      </c>
      <c r="R234" s="63">
        <f t="shared" si="71"/>
        <v>42</v>
      </c>
      <c r="S234" s="63" t="str">
        <f>IFERROR(VLOOKUP(MID(N234,Q234,R234-Q234),[6]skilldef!$C:$D,2,FALSE),"-") &amp; " / " &amp; IFERROR(VLOOKUP(MID(N234,O234,P234-O234),[6]skilldef!$A:$B,2,FALSE),"-")</f>
        <v>味方全体に / -</v>
      </c>
      <c r="T234" s="48" t="str">
        <f t="shared" si="72"/>
        <v>none</v>
      </c>
      <c r="U234" s="63" t="e">
        <f t="shared" si="73"/>
        <v>#VALUE!</v>
      </c>
      <c r="V234" s="63">
        <f t="shared" si="74"/>
        <v>4</v>
      </c>
      <c r="W234" s="63" t="e">
        <f t="shared" si="75"/>
        <v>#VALUE!</v>
      </c>
      <c r="X234" s="63" t="e">
        <f t="shared" si="76"/>
        <v>#VALUE!</v>
      </c>
      <c r="Y234" s="63" t="str">
        <f>IFERROR(VLOOKUP(MID(T234,W234,X234-W234),[6]skilldef!$C:$D,2,FALSE),"-") &amp; " / " &amp; IFERROR(VLOOKUP(MID(T234,U234,V234-U234),[6]skilldef!$A:$B,2,FALSE),"-")</f>
        <v>- / -</v>
      </c>
      <c r="Z234" s="50"/>
      <c r="AA234" s="52"/>
      <c r="AB234" s="50"/>
    </row>
    <row r="235" spans="1:28" ht="40" customHeight="1" x14ac:dyDescent="0.15">
      <c r="A235" s="127">
        <v>47004714</v>
      </c>
      <c r="B235" s="135" t="s">
        <v>607</v>
      </c>
      <c r="C235" s="50">
        <v>3</v>
      </c>
      <c r="D235" s="50" t="s">
        <v>127</v>
      </c>
      <c r="E235" s="51" t="s">
        <v>342</v>
      </c>
      <c r="F235" s="51" t="s">
        <v>373</v>
      </c>
      <c r="G235" s="63" t="str">
        <f t="shared" si="62"/>
        <v>[effect:enemy_message, val1:1.2, val2:2.4]</v>
      </c>
      <c r="H235" s="63">
        <f t="shared" si="63"/>
        <v>9</v>
      </c>
      <c r="I235" s="63">
        <f t="shared" si="64"/>
        <v>22</v>
      </c>
      <c r="J235" s="63" t="e">
        <f t="shared" si="65"/>
        <v>#VALUE!</v>
      </c>
      <c r="K235" s="63">
        <f t="shared" si="66"/>
        <v>32</v>
      </c>
      <c r="L235" s="63" t="str">
        <f>IFERROR(VLOOKUP(MID(G235,J235,K235-J235),[6]skilldef!$C:$D,2,FALSE),"-") &amp; " / " &amp; IFERROR(VLOOKUP(MID(G235,H235,I235-H235),[6]skilldef!$A:$B,2,FALSE),"-")</f>
        <v>- / -</v>
      </c>
      <c r="M235" s="63" t="str">
        <f t="shared" si="67"/>
        <v xml:space="preserve">[effect:force_change_block, new_block:damage, target:block_red, count:5, val:0.03],[effect:rush, count:1, val:1.0]    </v>
      </c>
      <c r="N235" s="48" t="str">
        <f>IFERROR(LEFT(M235,FIND("],",M235)+#REF!),M235)</f>
        <v xml:space="preserve">[effect:force_change_block, new_block:damage, target:block_red, count:5, val:0.03],[effect:rush, count:1, val:1.0]    </v>
      </c>
      <c r="O235" s="63">
        <f t="shared" si="68"/>
        <v>9</v>
      </c>
      <c r="P235" s="63">
        <f t="shared" si="69"/>
        <v>27</v>
      </c>
      <c r="Q235" s="63">
        <f t="shared" si="70"/>
        <v>54</v>
      </c>
      <c r="R235" s="63">
        <f t="shared" si="71"/>
        <v>45</v>
      </c>
      <c r="S235" s="63" t="str">
        <f>IFERROR(VLOOKUP(MID(N235,Q235,R235-Q235),[6]skilldef!$C:$D,2,FALSE),"-") &amp; " / " &amp; IFERROR(VLOOKUP(MID(N235,O235,P235-O235),[6]skilldef!$A:$B,2,FALSE),"-")</f>
        <v>- / -</v>
      </c>
      <c r="T235" s="48" t="str">
        <f t="shared" si="72"/>
        <v xml:space="preserve">[effect:rush, count:1, val:1.0]    </v>
      </c>
      <c r="U235" s="63">
        <f t="shared" si="73"/>
        <v>9</v>
      </c>
      <c r="V235" s="63">
        <f t="shared" si="74"/>
        <v>13</v>
      </c>
      <c r="W235" s="63" t="e">
        <f t="shared" si="75"/>
        <v>#VALUE!</v>
      </c>
      <c r="X235" s="63">
        <f t="shared" si="76"/>
        <v>22</v>
      </c>
      <c r="Y235" s="63" t="str">
        <f>IFERROR(VLOOKUP(MID(T235,W235,X235-W235),[6]skilldef!$C:$D,2,FALSE),"-") &amp; " / " &amp; IFERROR(VLOOKUP(MID(T235,U235,V235-U235),[6]skilldef!$A:$B,2,FALSE),"-")</f>
        <v>- / 連続攻撃</v>
      </c>
      <c r="Z235" s="50"/>
      <c r="AA235" s="52"/>
      <c r="AB235" s="50"/>
    </row>
    <row r="236" spans="1:28" ht="40" customHeight="1" x14ac:dyDescent="0.15">
      <c r="A236" s="127">
        <v>47004715</v>
      </c>
      <c r="B236" s="133" t="s">
        <v>559</v>
      </c>
      <c r="C236" s="50">
        <v>3</v>
      </c>
      <c r="D236" s="50" t="s">
        <v>127</v>
      </c>
      <c r="E236" s="51" t="s">
        <v>331</v>
      </c>
      <c r="F236" s="51" t="s">
        <v>257</v>
      </c>
      <c r="G236" s="63" t="str">
        <f t="shared" si="62"/>
        <v>[effect:enemy_message, val1:1.2, val2:1.2]</v>
      </c>
      <c r="H236" s="63">
        <f t="shared" si="63"/>
        <v>9</v>
      </c>
      <c r="I236" s="63">
        <f t="shared" si="64"/>
        <v>22</v>
      </c>
      <c r="J236" s="63" t="e">
        <f t="shared" si="65"/>
        <v>#VALUE!</v>
      </c>
      <c r="K236" s="63">
        <f t="shared" si="66"/>
        <v>32</v>
      </c>
      <c r="L236" s="63" t="str">
        <f>IFERROR(VLOOKUP(MID(G236,J236,K236-J236),[6]skilldef!$C:$D,2,FALSE),"-") &amp; " / " &amp; IFERROR(VLOOKUP(MID(G236,H236,I236-H236),[6]skilldef!$A:$B,2,FALSE),"-")</f>
        <v>- / -</v>
      </c>
      <c r="M236" s="63" t="str">
        <f t="shared" si="67"/>
        <v>[effect:spread, val:0.35]</v>
      </c>
      <c r="N236" s="48" t="str">
        <f>IFERROR(LEFT(M236,FIND("],",M236)+#REF!),M236)</f>
        <v>[effect:spread, val:0.35]</v>
      </c>
      <c r="O236" s="63">
        <f t="shared" si="68"/>
        <v>9</v>
      </c>
      <c r="P236" s="63">
        <f t="shared" si="69"/>
        <v>15</v>
      </c>
      <c r="Q236" s="63" t="e">
        <f t="shared" si="70"/>
        <v>#VALUE!</v>
      </c>
      <c r="R236" s="63" t="e">
        <f t="shared" si="71"/>
        <v>#VALUE!</v>
      </c>
      <c r="S236" s="63" t="str">
        <f>IFERROR(VLOOKUP(MID(N236,Q236,R236-Q236),[6]skilldef!$C:$D,2,FALSE),"-") &amp; " / " &amp; IFERROR(VLOOKUP(MID(N236,O236,P236-O236),[6]skilldef!$A:$B,2,FALSE),"-")</f>
        <v>- / 全体攻撃</v>
      </c>
      <c r="T236" s="48" t="str">
        <f t="shared" si="72"/>
        <v>none</v>
      </c>
      <c r="U236" s="63" t="e">
        <f t="shared" si="73"/>
        <v>#VALUE!</v>
      </c>
      <c r="V236" s="63">
        <f t="shared" si="74"/>
        <v>4</v>
      </c>
      <c r="W236" s="63" t="e">
        <f t="shared" si="75"/>
        <v>#VALUE!</v>
      </c>
      <c r="X236" s="63" t="e">
        <f t="shared" si="76"/>
        <v>#VALUE!</v>
      </c>
      <c r="Y236" s="63" t="str">
        <f>IFERROR(VLOOKUP(MID(T236,W236,X236-W236),[6]skilldef!$C:$D,2,FALSE),"-") &amp; " / " &amp; IFERROR(VLOOKUP(MID(T236,U236,V236-U236),[6]skilldef!$A:$B,2,FALSE),"-")</f>
        <v>- / -</v>
      </c>
      <c r="Z236" s="50"/>
      <c r="AA236" s="52"/>
      <c r="AB236" s="50"/>
    </row>
    <row r="237" spans="1:28" ht="40" customHeight="1" x14ac:dyDescent="0.15">
      <c r="A237" s="127">
        <v>47004716</v>
      </c>
      <c r="B237" s="135" t="s">
        <v>608</v>
      </c>
      <c r="C237" s="50">
        <v>3</v>
      </c>
      <c r="D237" s="50" t="s">
        <v>127</v>
      </c>
      <c r="E237" s="51" t="s">
        <v>330</v>
      </c>
      <c r="F237" s="51" t="s">
        <v>429</v>
      </c>
      <c r="G237" s="63" t="str">
        <f t="shared" ref="G237:G241" si="78">IFERROR(LEFT(B237,FIND("],",B237)),B237)</f>
        <v>[effect:enemy_message, val1:1.2, val2:2.0]</v>
      </c>
      <c r="H237" s="63">
        <f t="shared" ref="H237:H241" si="79">FIND("effect:",G237)+7</f>
        <v>9</v>
      </c>
      <c r="I237" s="63">
        <f t="shared" ref="I237:I241" si="80">IFERROR(FIND(",",G237),LEN(G237))</f>
        <v>22</v>
      </c>
      <c r="J237" s="63" t="e">
        <f t="shared" ref="J237:J241" si="81">FIND("target:",G237)+7</f>
        <v>#VALUE!</v>
      </c>
      <c r="K237" s="63">
        <f t="shared" ref="K237:K241" si="82">FIND(",",G237,I237+1)</f>
        <v>32</v>
      </c>
      <c r="L237" s="63" t="str">
        <f>IFERROR(VLOOKUP(MID(G237,J237,K237-J237),[6]skilldef!$C:$D,2,FALSE),"-") &amp; " / " &amp; IFERROR(VLOOKUP(MID(G237,H237,I237-H237),[6]skilldef!$A:$B,2,FALSE),"-")</f>
        <v>- / -</v>
      </c>
      <c r="M237" s="63" t="str">
        <f t="shared" ref="M237:M241" si="83">IFERROR(RIGHT(B237,LEN(B237)-FIND("],",B237)-1),"none")</f>
        <v>[effect:break_attack_fix, target:unit_all, val:140, lowest_val:700, count:-1, color:blue, block01:block_blue, color:blue, block02:block_heart]</v>
      </c>
      <c r="N237" s="48" t="str">
        <f>IFERROR(LEFT(M237,FIND("],",M237)+#REF!),M237)</f>
        <v>[effect:break_attack_fix, target:unit_all, val:140, lowest_val:700, count:-1, color:blue, block01:block_blue, color:blue, block02:block_heart]</v>
      </c>
      <c r="O237" s="63">
        <f t="shared" ref="O237:O241" si="84">FIND("effect:",N237)+7</f>
        <v>9</v>
      </c>
      <c r="P237" s="63">
        <f t="shared" ref="P237:P241" si="85">IFERROR(FIND(",",N237),LEN(N237))</f>
        <v>25</v>
      </c>
      <c r="Q237" s="63">
        <f t="shared" ref="Q237:Q241" si="86">FIND("target:",N237)+7</f>
        <v>34</v>
      </c>
      <c r="R237" s="63">
        <f t="shared" ref="R237:R241" si="87">FIND(",",N237,P237+1)</f>
        <v>42</v>
      </c>
      <c r="S237" s="63" t="str">
        <f>IFERROR(VLOOKUP(MID(N237,Q237,R237-Q237),[6]skilldef!$C:$D,2,FALSE),"-") &amp; " / " &amp; IFERROR(VLOOKUP(MID(N237,O237,P237-O237),[6]skilldef!$A:$B,2,FALSE),"-")</f>
        <v>味方全体に / -</v>
      </c>
      <c r="T237" s="48" t="str">
        <f t="shared" ref="T237:T241" si="88">IFERROR(RIGHT(M237,LEN(M237)-FIND("],",M237)-1),"none")</f>
        <v>none</v>
      </c>
      <c r="U237" s="63" t="e">
        <f t="shared" ref="U237:U241" si="89">FIND("effect:",T237)+7</f>
        <v>#VALUE!</v>
      </c>
      <c r="V237" s="63">
        <f t="shared" ref="V237:V241" si="90">IFERROR(FIND(",",T237),LEN(T237))</f>
        <v>4</v>
      </c>
      <c r="W237" s="63" t="e">
        <f t="shared" ref="W237:W241" si="91">FIND("target:",T237)+7</f>
        <v>#VALUE!</v>
      </c>
      <c r="X237" s="63" t="e">
        <f t="shared" ref="X237:X241" si="92">FIND(",",T237,V237+1)</f>
        <v>#VALUE!</v>
      </c>
      <c r="Y237" s="63" t="str">
        <f>IFERROR(VLOOKUP(MID(T237,W237,X237-W237),[6]skilldef!$C:$D,2,FALSE),"-") &amp; " / " &amp; IFERROR(VLOOKUP(MID(T237,U237,V237-U237),[6]skilldef!$A:$B,2,FALSE),"-")</f>
        <v>- / -</v>
      </c>
      <c r="Z237" s="50"/>
      <c r="AA237" s="52"/>
      <c r="AB237" s="50"/>
    </row>
    <row r="238" spans="1:28" ht="40" customHeight="1" x14ac:dyDescent="0.15">
      <c r="A238" s="127">
        <v>47004717</v>
      </c>
      <c r="B238" s="135" t="s">
        <v>609</v>
      </c>
      <c r="C238" s="50">
        <v>3</v>
      </c>
      <c r="D238" s="50" t="s">
        <v>127</v>
      </c>
      <c r="E238" s="51" t="s">
        <v>337</v>
      </c>
      <c r="F238" s="51" t="s">
        <v>374</v>
      </c>
      <c r="G238" s="63" t="str">
        <f t="shared" si="78"/>
        <v>[effect:enemy_message, val1:1.2, val2:2.4]</v>
      </c>
      <c r="H238" s="63">
        <f t="shared" si="79"/>
        <v>9</v>
      </c>
      <c r="I238" s="63">
        <f t="shared" si="80"/>
        <v>22</v>
      </c>
      <c r="J238" s="63" t="e">
        <f t="shared" si="81"/>
        <v>#VALUE!</v>
      </c>
      <c r="K238" s="63">
        <f t="shared" si="82"/>
        <v>32</v>
      </c>
      <c r="L238" s="63" t="str">
        <f>IFERROR(VLOOKUP(MID(G238,J238,K238-J238),[6]skilldef!$C:$D,2,FALSE),"-") &amp; " / " &amp; IFERROR(VLOOKUP(MID(G238,H238,I238-H238),[6]skilldef!$A:$B,2,FALSE),"-")</f>
        <v>- / -</v>
      </c>
      <c r="M238" s="63" t="str">
        <f t="shared" si="83"/>
        <v xml:space="preserve">[effect:force_change_block, new_block:damage, target:block_green, count:5, val:0.03],[effect:rush, count:1, val:1.0]    </v>
      </c>
      <c r="N238" s="48" t="str">
        <f>IFERROR(LEFT(M238,FIND("],",M238)+#REF!),M238)</f>
        <v xml:space="preserve">[effect:force_change_block, new_block:damage, target:block_green, count:5, val:0.03],[effect:rush, count:1, val:1.0]    </v>
      </c>
      <c r="O238" s="63">
        <f t="shared" si="84"/>
        <v>9</v>
      </c>
      <c r="P238" s="63">
        <f t="shared" si="85"/>
        <v>27</v>
      </c>
      <c r="Q238" s="63">
        <f t="shared" si="86"/>
        <v>54</v>
      </c>
      <c r="R238" s="63">
        <f t="shared" si="87"/>
        <v>45</v>
      </c>
      <c r="S238" s="63" t="str">
        <f>IFERROR(VLOOKUP(MID(N238,Q238,R238-Q238),[6]skilldef!$C:$D,2,FALSE),"-") &amp; " / " &amp; IFERROR(VLOOKUP(MID(N238,O238,P238-O238),[6]skilldef!$A:$B,2,FALSE),"-")</f>
        <v>- / -</v>
      </c>
      <c r="T238" s="48" t="str">
        <f t="shared" si="88"/>
        <v xml:space="preserve">[effect:rush, count:1, val:1.0]    </v>
      </c>
      <c r="U238" s="63">
        <f t="shared" si="89"/>
        <v>9</v>
      </c>
      <c r="V238" s="63">
        <f t="shared" si="90"/>
        <v>13</v>
      </c>
      <c r="W238" s="63" t="e">
        <f t="shared" si="91"/>
        <v>#VALUE!</v>
      </c>
      <c r="X238" s="63">
        <f t="shared" si="92"/>
        <v>22</v>
      </c>
      <c r="Y238" s="63" t="str">
        <f>IFERROR(VLOOKUP(MID(T238,W238,X238-W238),[6]skilldef!$C:$D,2,FALSE),"-") &amp; " / " &amp; IFERROR(VLOOKUP(MID(T238,U238,V238-U238),[6]skilldef!$A:$B,2,FALSE),"-")</f>
        <v>- / 連続攻撃</v>
      </c>
      <c r="Z238" s="50"/>
      <c r="AA238" s="52"/>
      <c r="AB238" s="50"/>
    </row>
    <row r="239" spans="1:28" ht="40" customHeight="1" x14ac:dyDescent="0.15">
      <c r="A239" s="127">
        <v>47004718</v>
      </c>
      <c r="B239" s="133" t="s">
        <v>562</v>
      </c>
      <c r="C239" s="50">
        <v>3</v>
      </c>
      <c r="D239" s="50" t="s">
        <v>127</v>
      </c>
      <c r="E239" s="51" t="s">
        <v>334</v>
      </c>
      <c r="F239" s="51" t="s">
        <v>297</v>
      </c>
      <c r="G239" s="63" t="str">
        <f t="shared" si="78"/>
        <v>[effect:enemy_message, val1:1.2, val2:1.2]</v>
      </c>
      <c r="H239" s="63">
        <f t="shared" si="79"/>
        <v>9</v>
      </c>
      <c r="I239" s="63">
        <f t="shared" si="80"/>
        <v>22</v>
      </c>
      <c r="J239" s="63" t="e">
        <f t="shared" si="81"/>
        <v>#VALUE!</v>
      </c>
      <c r="K239" s="63">
        <f t="shared" si="82"/>
        <v>32</v>
      </c>
      <c r="L239" s="63" t="str">
        <f>IFERROR(VLOOKUP(MID(G239,J239,K239-J239),[6]skilldef!$C:$D,2,FALSE),"-") &amp; " / " &amp; IFERROR(VLOOKUP(MID(G239,H239,I239-H239),[6]skilldef!$A:$B,2,FALSE),"-")</f>
        <v>- / -</v>
      </c>
      <c r="M239" s="63" t="str">
        <f t="shared" si="83"/>
        <v xml:space="preserve">[effect:rush, count:24, val:0.07],[effect:critical, val:1.4] </v>
      </c>
      <c r="N239" s="48" t="str">
        <f>IFERROR(LEFT(M239,FIND("],",M239)+#REF!),M239)</f>
        <v xml:space="preserve">[effect:rush, count:24, val:0.07],[effect:critical, val:1.4] </v>
      </c>
      <c r="O239" s="63">
        <f t="shared" si="84"/>
        <v>9</v>
      </c>
      <c r="P239" s="63">
        <f t="shared" si="85"/>
        <v>13</v>
      </c>
      <c r="Q239" s="63" t="e">
        <f t="shared" si="86"/>
        <v>#VALUE!</v>
      </c>
      <c r="R239" s="63">
        <f t="shared" si="87"/>
        <v>23</v>
      </c>
      <c r="S239" s="63" t="str">
        <f>IFERROR(VLOOKUP(MID(N239,Q239,R239-Q239),[6]skilldef!$C:$D,2,FALSE),"-") &amp; " / " &amp; IFERROR(VLOOKUP(MID(N239,O239,P239-O239),[6]skilldef!$A:$B,2,FALSE),"-")</f>
        <v>- / 連続攻撃</v>
      </c>
      <c r="T239" s="48" t="str">
        <f t="shared" si="88"/>
        <v xml:space="preserve">[effect:critical, val:1.4] </v>
      </c>
      <c r="U239" s="63">
        <f t="shared" si="89"/>
        <v>9</v>
      </c>
      <c r="V239" s="63">
        <f t="shared" si="90"/>
        <v>17</v>
      </c>
      <c r="W239" s="63" t="e">
        <f t="shared" si="91"/>
        <v>#VALUE!</v>
      </c>
      <c r="X239" s="63" t="e">
        <f t="shared" si="92"/>
        <v>#VALUE!</v>
      </c>
      <c r="Y239" s="63" t="str">
        <f>IFERROR(VLOOKUP(MID(T239,W239,X239-W239),[6]skilldef!$C:$D,2,FALSE),"-") &amp; " / " &amp; IFERROR(VLOOKUP(MID(T239,U239,V239-U239),[6]skilldef!$A:$B,2,FALSE),"-")</f>
        <v>- / 大攻撃</v>
      </c>
      <c r="Z239" s="50"/>
      <c r="AA239" s="52"/>
      <c r="AB239" s="50"/>
    </row>
    <row r="240" spans="1:28" ht="40" customHeight="1" x14ac:dyDescent="0.15">
      <c r="A240" s="127">
        <v>47004719</v>
      </c>
      <c r="B240" s="133" t="s">
        <v>563</v>
      </c>
      <c r="C240" s="50">
        <v>3</v>
      </c>
      <c r="D240" s="50" t="s">
        <v>127</v>
      </c>
      <c r="E240" s="51" t="s">
        <v>340</v>
      </c>
      <c r="F240" s="51" t="s">
        <v>346</v>
      </c>
      <c r="G240" s="63" t="str">
        <f t="shared" si="78"/>
        <v>[effect:enemy_message, val1:1.5, val2:2.0]</v>
      </c>
      <c r="H240" s="63">
        <f t="shared" si="79"/>
        <v>9</v>
      </c>
      <c r="I240" s="63">
        <f t="shared" si="80"/>
        <v>22</v>
      </c>
      <c r="J240" s="63" t="e">
        <f t="shared" si="81"/>
        <v>#VALUE!</v>
      </c>
      <c r="K240" s="63">
        <f t="shared" si="82"/>
        <v>32</v>
      </c>
      <c r="L240" s="63" t="str">
        <f>IFERROR(VLOOKUP(MID(G240,J240,K240-J240),[6]skilldef!$C:$D,2,FALSE),"-") &amp; " / " &amp; IFERROR(VLOOKUP(MID(G240,H240,I240-H240),[6]skilldef!$A:$B,2,FALSE),"-")</f>
        <v>- / -</v>
      </c>
      <c r="M240" s="63" t="str">
        <f t="shared" si="83"/>
        <v>[effect:suicide, val:1, dead_type:suicide]</v>
      </c>
      <c r="N240" s="48" t="str">
        <f>IFERROR(LEFT(M240,FIND("],",M240)+#REF!),M240)</f>
        <v>[effect:suicide, val:1, dead_type:suicide]</v>
      </c>
      <c r="O240" s="63">
        <f t="shared" si="84"/>
        <v>9</v>
      </c>
      <c r="P240" s="63">
        <f t="shared" si="85"/>
        <v>16</v>
      </c>
      <c r="Q240" s="63" t="e">
        <f t="shared" si="86"/>
        <v>#VALUE!</v>
      </c>
      <c r="R240" s="63">
        <f t="shared" si="87"/>
        <v>23</v>
      </c>
      <c r="S240" s="63" t="str">
        <f>IFERROR(VLOOKUP(MID(N240,Q240,R240-Q240),[6]skilldef!$C:$D,2,FALSE),"-") &amp; " / " &amp; IFERROR(VLOOKUP(MID(N240,O240,P240-O240),[6]skilldef!$A:$B,2,FALSE),"-")</f>
        <v>- / -</v>
      </c>
      <c r="T240" s="48" t="str">
        <f t="shared" si="88"/>
        <v>none</v>
      </c>
      <c r="U240" s="63" t="e">
        <f t="shared" si="89"/>
        <v>#VALUE!</v>
      </c>
      <c r="V240" s="63">
        <f t="shared" si="90"/>
        <v>4</v>
      </c>
      <c r="W240" s="63" t="e">
        <f t="shared" si="91"/>
        <v>#VALUE!</v>
      </c>
      <c r="X240" s="63" t="e">
        <f t="shared" si="92"/>
        <v>#VALUE!</v>
      </c>
      <c r="Y240" s="63" t="str">
        <f>IFERROR(VLOOKUP(MID(T240,W240,X240-W240),[6]skilldef!$C:$D,2,FALSE),"-") &amp; " / " &amp; IFERROR(VLOOKUP(MID(T240,U240,V240-U240),[6]skilldef!$A:$B,2,FALSE),"-")</f>
        <v>- / -</v>
      </c>
      <c r="Z240" s="50"/>
      <c r="AA240" s="52"/>
      <c r="AB240" s="50"/>
    </row>
    <row r="241" spans="1:28" ht="40" customHeight="1" x14ac:dyDescent="0.15">
      <c r="A241" s="127">
        <v>47004720</v>
      </c>
      <c r="B241" s="133" t="s">
        <v>564</v>
      </c>
      <c r="C241" s="50">
        <v>3</v>
      </c>
      <c r="D241" s="50" t="s">
        <v>127</v>
      </c>
      <c r="E241" s="51" t="s">
        <v>344</v>
      </c>
      <c r="F241" s="51" t="s">
        <v>341</v>
      </c>
      <c r="G241" s="63" t="str">
        <f t="shared" si="78"/>
        <v>[effect:enemy_message, val1:2.2, val2:2.8]</v>
      </c>
      <c r="H241" s="63">
        <f t="shared" si="79"/>
        <v>9</v>
      </c>
      <c r="I241" s="63">
        <f t="shared" si="80"/>
        <v>22</v>
      </c>
      <c r="J241" s="63" t="e">
        <f t="shared" si="81"/>
        <v>#VALUE!</v>
      </c>
      <c r="K241" s="63">
        <f t="shared" si="82"/>
        <v>32</v>
      </c>
      <c r="L241" s="63" t="str">
        <f>IFERROR(VLOOKUP(MID(G241,J241,K241-J241),[6]skilldef!$C:$D,2,FALSE),"-") &amp; " / " &amp; IFERROR(VLOOKUP(MID(G241,H241,I241-H241),[6]skilldef!$A:$B,2,FALSE),"-")</f>
        <v>- / -</v>
      </c>
      <c r="M241" s="63" t="str">
        <f t="shared" si="83"/>
        <v>none</v>
      </c>
      <c r="N241" s="48" t="str">
        <f>IFERROR(LEFT(M241,FIND("],",M241)+S251),M241)</f>
        <v>none</v>
      </c>
      <c r="O241" s="63" t="e">
        <f t="shared" si="84"/>
        <v>#VALUE!</v>
      </c>
      <c r="P241" s="63">
        <f t="shared" si="85"/>
        <v>4</v>
      </c>
      <c r="Q241" s="63" t="e">
        <f t="shared" si="86"/>
        <v>#VALUE!</v>
      </c>
      <c r="R241" s="63" t="e">
        <f t="shared" si="87"/>
        <v>#VALUE!</v>
      </c>
      <c r="S241" s="63" t="str">
        <f>IFERROR(VLOOKUP(MID(N241,Q241,R241-Q241),[6]skilldef!$C:$D,2,FALSE),"-") &amp; " / " &amp; IFERROR(VLOOKUP(MID(N241,O241,P241-O241),[6]skilldef!$A:$B,2,FALSE),"-")</f>
        <v>- / -</v>
      </c>
      <c r="T241" s="48" t="str">
        <f t="shared" si="88"/>
        <v>none</v>
      </c>
      <c r="U241" s="63" t="e">
        <f t="shared" si="89"/>
        <v>#VALUE!</v>
      </c>
      <c r="V241" s="63">
        <f t="shared" si="90"/>
        <v>4</v>
      </c>
      <c r="W241" s="63" t="e">
        <f t="shared" si="91"/>
        <v>#VALUE!</v>
      </c>
      <c r="X241" s="63" t="e">
        <f t="shared" si="92"/>
        <v>#VALUE!</v>
      </c>
      <c r="Y241" s="63" t="str">
        <f>IFERROR(VLOOKUP(MID(T241,W241,X241-W241),[6]skilldef!$C:$D,2,FALSE),"-") &amp; " / " &amp; IFERROR(VLOOKUP(MID(T241,U241,V241-U241),[6]skilldef!$A:$B,2,FALSE),"-")</f>
        <v>- / -</v>
      </c>
      <c r="Z241" s="50"/>
      <c r="AA241" s="52"/>
      <c r="AB241" s="50"/>
    </row>
    <row r="242" spans="1:28" ht="40" customHeight="1" x14ac:dyDescent="0.15">
      <c r="A242" s="47">
        <v>47004751</v>
      </c>
      <c r="B242" s="133" t="s">
        <v>491</v>
      </c>
      <c r="C242" s="50">
        <v>3</v>
      </c>
      <c r="D242" s="50" t="s">
        <v>127</v>
      </c>
      <c r="E242" s="51" t="s">
        <v>303</v>
      </c>
      <c r="F242" s="51" t="s">
        <v>304</v>
      </c>
      <c r="G242" s="63" t="str">
        <f>IFERROR(LEFT(B242,FIND("],",B242)),B242)</f>
        <v>[effect:enemy_message, val1:1.2, val2:2.0]</v>
      </c>
      <c r="H242" s="63">
        <f>FIND("effect:",G242)+7</f>
        <v>9</v>
      </c>
      <c r="I242" s="63">
        <f>IFERROR(FIND(",",G242),LEN(G242))</f>
        <v>22</v>
      </c>
      <c r="J242" s="63" t="e">
        <f>FIND("target:",G242)+7</f>
        <v>#VALUE!</v>
      </c>
      <c r="K242" s="63">
        <f>FIND(",",G242,I242+1)</f>
        <v>32</v>
      </c>
      <c r="L242" s="63" t="str">
        <f>IFERROR(VLOOKUP(MID(G242,J242,K242-J242),[6]skilldef!$C:$D,2,FALSE),"-") &amp; " / " &amp; IFERROR(VLOOKUP(MID(G242,H242,I242-H242),[6]skilldef!$A:$B,2,FALSE),"-")</f>
        <v>- / -</v>
      </c>
      <c r="M242" s="63" t="str">
        <f>IFERROR(RIGHT(B242,LEN(B242)-FIND("],",B242)-1),"none")</f>
        <v>[effect:fix_speed, target:myself, turn:1]</v>
      </c>
      <c r="N242" s="48" t="str">
        <f>IFERROR(LEFT(M242,FIND("],",M242)+S255),M242)</f>
        <v>[effect:fix_speed, target:myself, turn:1]</v>
      </c>
      <c r="O242" s="63">
        <f>FIND("effect:",N242)+7</f>
        <v>9</v>
      </c>
      <c r="P242" s="63">
        <f>IFERROR(FIND(",",N242),LEN(N242))</f>
        <v>18</v>
      </c>
      <c r="Q242" s="63">
        <f>FIND("target:",N242)+7</f>
        <v>27</v>
      </c>
      <c r="R242" s="63">
        <f>FIND(",",N242,P242+1)</f>
        <v>33</v>
      </c>
      <c r="S242" s="63" t="str">
        <f>IFERROR(VLOOKUP(MID(N242,Q242,R242-Q242),[6]skilldef!$C:$D,2,FALSE),"-") &amp; " / " &amp; IFERROR(VLOOKUP(MID(N242,O242,P242-O242),[6]skilldef!$A:$B,2,FALSE),"-")</f>
        <v>自分自身に / 行動値設定</v>
      </c>
      <c r="T242" s="48" t="str">
        <f>IFERROR(RIGHT(M242,LEN(M242)-FIND("],",M242)-1),"none")</f>
        <v>none</v>
      </c>
      <c r="U242" s="63" t="e">
        <f>FIND("effect:",T242)+7</f>
        <v>#VALUE!</v>
      </c>
      <c r="V242" s="63">
        <f>IFERROR(FIND(",",T242),LEN(T242))</f>
        <v>4</v>
      </c>
      <c r="W242" s="63" t="e">
        <f>FIND("target:",T242)+7</f>
        <v>#VALUE!</v>
      </c>
      <c r="X242" s="63" t="e">
        <f>FIND(",",T242,V242+1)</f>
        <v>#VALUE!</v>
      </c>
      <c r="Y242" s="63" t="str">
        <f>IFERROR(VLOOKUP(MID(T242,W242,X242-W242),[6]skilldef!$C:$D,2,FALSE),"-") &amp; " / " &amp; IFERROR(VLOOKUP(MID(T242,U242,V242-U242),[6]skilldef!$A:$B,2,FALSE),"-")</f>
        <v>- / -</v>
      </c>
      <c r="Z242" s="50"/>
      <c r="AA242" s="52"/>
      <c r="AB242" s="50"/>
    </row>
    <row r="243" spans="1:28" ht="40" customHeight="1" x14ac:dyDescent="0.15">
      <c r="A243" s="47">
        <v>47004752</v>
      </c>
      <c r="B243" s="133" t="s">
        <v>492</v>
      </c>
      <c r="C243" s="50">
        <v>3</v>
      </c>
      <c r="D243" s="50" t="s">
        <v>127</v>
      </c>
      <c r="E243" s="51" t="s">
        <v>308</v>
      </c>
      <c r="F243" s="51" t="s">
        <v>430</v>
      </c>
      <c r="G243" s="63" t="str">
        <f t="shared" ref="G243" si="93">IFERROR(LEFT(B243,FIND("],",B243)),B243)</f>
        <v>[effect:enemy_message, val1:1.2, val2:1.2]</v>
      </c>
      <c r="H243" s="63">
        <f t="shared" ref="H243" si="94">FIND("effect:",G243)+7</f>
        <v>9</v>
      </c>
      <c r="I243" s="63">
        <f t="shared" ref="I243" si="95">IFERROR(FIND(",",G243),LEN(G243))</f>
        <v>22</v>
      </c>
      <c r="J243" s="63" t="e">
        <f t="shared" ref="J243" si="96">FIND("target:",G243)+7</f>
        <v>#VALUE!</v>
      </c>
      <c r="K243" s="63">
        <f t="shared" ref="K243" si="97">FIND(",",G243,I243+1)</f>
        <v>32</v>
      </c>
      <c r="L243" s="63" t="str">
        <f>IFERROR(VLOOKUP(MID(G243,J243,K243-J243),[6]skilldef!$C:$D,2,FALSE),"-") &amp; " / " &amp; IFERROR(VLOOKUP(MID(G243,H243,I243-H243),[6]skilldef!$A:$B,2,FALSE),"-")</f>
        <v>- / -</v>
      </c>
      <c r="M243" s="63" t="str">
        <f t="shared" ref="M243" si="98">IFERROR(RIGHT(B243,LEN(B243)-FIND("],",B243)-1),"none")</f>
        <v>[effect:rush, count:4, val:0.3]</v>
      </c>
      <c r="N243" s="48" t="str">
        <f>IFERROR(LEFT(M243,FIND("],",M243)+S255),M243)</f>
        <v>[effect:rush, count:4, val:0.3]</v>
      </c>
      <c r="O243" s="63">
        <f t="shared" ref="O243" si="99">FIND("effect:",N243)+7</f>
        <v>9</v>
      </c>
      <c r="P243" s="63">
        <f t="shared" ref="P243" si="100">IFERROR(FIND(",",N243),LEN(N243))</f>
        <v>13</v>
      </c>
      <c r="Q243" s="63" t="e">
        <f t="shared" ref="Q243" si="101">FIND("target:",N243)+7</f>
        <v>#VALUE!</v>
      </c>
      <c r="R243" s="63">
        <f t="shared" ref="R243" si="102">FIND(",",N243,P243+1)</f>
        <v>22</v>
      </c>
      <c r="S243" s="63" t="str">
        <f>IFERROR(VLOOKUP(MID(N243,Q243,R243-Q243),[6]skilldef!$C:$D,2,FALSE),"-") &amp; " / " &amp; IFERROR(VLOOKUP(MID(N243,O243,P243-O243),[6]skilldef!$A:$B,2,FALSE),"-")</f>
        <v>- / 連続攻撃</v>
      </c>
      <c r="T243" s="48" t="str">
        <f t="shared" ref="T243" si="103">IFERROR(RIGHT(M243,LEN(M243)-FIND("],",M243)-1),"none")</f>
        <v>none</v>
      </c>
      <c r="U243" s="63" t="e">
        <f t="shared" ref="U243" si="104">FIND("effect:",T243)+7</f>
        <v>#VALUE!</v>
      </c>
      <c r="V243" s="63">
        <f t="shared" ref="V243" si="105">IFERROR(FIND(",",T243),LEN(T243))</f>
        <v>4</v>
      </c>
      <c r="W243" s="63" t="e">
        <f t="shared" ref="W243" si="106">FIND("target:",T243)+7</f>
        <v>#VALUE!</v>
      </c>
      <c r="X243" s="63" t="e">
        <f t="shared" ref="X243" si="107">FIND(",",T243,V243+1)</f>
        <v>#VALUE!</v>
      </c>
      <c r="Y243" s="63" t="str">
        <f>IFERROR(VLOOKUP(MID(T243,W243,X243-W243),[6]skilldef!$C:$D,2,FALSE),"-") &amp; " / " &amp; IFERROR(VLOOKUP(MID(T243,U243,V243-U243),[6]skilldef!$A:$B,2,FALSE),"-")</f>
        <v>- / -</v>
      </c>
      <c r="Z243" s="50"/>
      <c r="AA243" s="52"/>
      <c r="AB243" s="50"/>
    </row>
    <row r="244" spans="1:28" ht="40" customHeight="1" x14ac:dyDescent="0.15">
      <c r="A244" s="47">
        <v>47004753</v>
      </c>
      <c r="B244" s="133" t="s">
        <v>493</v>
      </c>
      <c r="C244" s="50">
        <v>3</v>
      </c>
      <c r="D244" s="50" t="s">
        <v>127</v>
      </c>
      <c r="E244" s="51" t="s">
        <v>305</v>
      </c>
      <c r="F244" s="51" t="s">
        <v>453</v>
      </c>
      <c r="G244" s="63" t="str">
        <f t="shared" ref="G244:G256" si="108">IFERROR(LEFT(B244,FIND("],",B244)),B244)</f>
        <v>[effect:enemy_message, val1:2.7, val2:1.2]</v>
      </c>
      <c r="H244" s="63">
        <f t="shared" ref="H244:H318" si="109">FIND("effect:",G244)+7</f>
        <v>9</v>
      </c>
      <c r="I244" s="63">
        <f t="shared" ref="I244:I256" si="110">IFERROR(FIND(",",G244),LEN(G244))</f>
        <v>22</v>
      </c>
      <c r="J244" s="63" t="e">
        <f t="shared" ref="J244:J256" si="111">FIND("target:",G244)+7</f>
        <v>#VALUE!</v>
      </c>
      <c r="K244" s="63">
        <f t="shared" ref="K244:K256" si="112">FIND(",",G244,I244+1)</f>
        <v>32</v>
      </c>
      <c r="L244" s="63" t="str">
        <f>IFERROR(VLOOKUP(MID(G244,J244,K244-J244),[6]skilldef!$C:$D,2,FALSE),"-") &amp; " / " &amp; IFERROR(VLOOKUP(MID(G244,H244,I244-H244),[6]skilldef!$A:$B,2,FALSE),"-")</f>
        <v>- / -</v>
      </c>
      <c r="M244" s="63" t="str">
        <f t="shared" ref="M244:M256" si="113">IFERROR(RIGHT(B244,LEN(B244)-FIND("],",B244)-1),"none")</f>
        <v>[effect:enhance_enemy, target:enemy_all, turn:-1, status:attack, val:0.5, calc:mul, animation:enemy_enhance_attack]</v>
      </c>
      <c r="N244" s="48" t="str">
        <f>IFERROR(LEFT(M244,FIND("],",M244)+S256),M244)</f>
        <v>[effect:enhance_enemy, target:enemy_all, turn:-1, status:attack, val:0.5, calc:mul, animation:enemy_enhance_attack]</v>
      </c>
      <c r="O244" s="63">
        <f t="shared" ref="O244:O318" si="114">FIND("effect:",N244)+7</f>
        <v>9</v>
      </c>
      <c r="P244" s="63">
        <f t="shared" ref="P244:P256" si="115">IFERROR(FIND(",",N244),LEN(N244))</f>
        <v>22</v>
      </c>
      <c r="Q244" s="63">
        <f t="shared" ref="Q244:Q256" si="116">FIND("target:",N244)+7</f>
        <v>31</v>
      </c>
      <c r="R244" s="63">
        <f t="shared" ref="R244:R256" si="117">FIND(",",N244,P244+1)</f>
        <v>40</v>
      </c>
      <c r="S244" s="63" t="str">
        <f>IFERROR(VLOOKUP(MID(N244,Q244,R244-Q244),[6]skilldef!$C:$D,2,FALSE),"-") &amp; " / " &amp; IFERROR(VLOOKUP(MID(N244,O244,P244-O244),[6]skilldef!$A:$B,2,FALSE),"-")</f>
        <v>敵全体に / ステータス強化</v>
      </c>
      <c r="T244" s="48" t="str">
        <f t="shared" ref="T244:T256" si="118">IFERROR(RIGHT(M244,LEN(M244)-FIND("],",M244)-1),"none")</f>
        <v>none</v>
      </c>
      <c r="U244" s="63" t="e">
        <f t="shared" ref="U244:U318" si="119">FIND("effect:",T244)+7</f>
        <v>#VALUE!</v>
      </c>
      <c r="V244" s="63">
        <f t="shared" ref="V244:V256" si="120">IFERROR(FIND(",",T244),LEN(T244))</f>
        <v>4</v>
      </c>
      <c r="W244" s="63" t="e">
        <f t="shared" ref="W244:W256" si="121">FIND("target:",T244)+7</f>
        <v>#VALUE!</v>
      </c>
      <c r="X244" s="63" t="e">
        <f t="shared" ref="X244:X256" si="122">FIND(",",T244,V244+1)</f>
        <v>#VALUE!</v>
      </c>
      <c r="Y244" s="63" t="str">
        <f>IFERROR(VLOOKUP(MID(T244,W244,X244-W244),[6]skilldef!$C:$D,2,FALSE),"-") &amp; " / " &amp; IFERROR(VLOOKUP(MID(T244,U244,V244-U244),[6]skilldef!$A:$B,2,FALSE),"-")</f>
        <v>- / -</v>
      </c>
      <c r="Z244" s="50"/>
      <c r="AA244" s="52"/>
      <c r="AB244" s="50"/>
    </row>
    <row r="245" spans="1:28" ht="40" customHeight="1" x14ac:dyDescent="0.15">
      <c r="A245" s="47">
        <v>47004754</v>
      </c>
      <c r="B245" s="133" t="s">
        <v>494</v>
      </c>
      <c r="C245" s="50">
        <v>3</v>
      </c>
      <c r="D245" s="50" t="s">
        <v>127</v>
      </c>
      <c r="E245" s="116" t="s">
        <v>264</v>
      </c>
      <c r="F245" s="51" t="s">
        <v>454</v>
      </c>
      <c r="G245" s="63" t="str">
        <f t="shared" si="108"/>
        <v>[effect:enemy_message, val1:1.2, val2:5.0]</v>
      </c>
      <c r="H245" s="63">
        <f t="shared" si="109"/>
        <v>9</v>
      </c>
      <c r="I245" s="63">
        <f t="shared" si="110"/>
        <v>22</v>
      </c>
      <c r="J245" s="63" t="e">
        <f t="shared" si="111"/>
        <v>#VALUE!</v>
      </c>
      <c r="K245" s="63">
        <f t="shared" si="112"/>
        <v>32</v>
      </c>
      <c r="L245" s="63" t="str">
        <f>IFERROR(VLOOKUP(MID(G245,J245,K245-J245),[6]skilldef!$C:$D,2,FALSE),"-") &amp; " / " &amp; IFERROR(VLOOKUP(MID(G245,H245,I245-H245),[6]skilldef!$A:$B,2,FALSE),"-")</f>
        <v>- / -</v>
      </c>
      <c r="M245" s="63" t="str">
        <f t="shared" si="113"/>
        <v>[effect:fix_speed, target:myself, turn:1],[effect:sp_boost, target:unit_all, val:4],[effect:crash_condition, target:unit_all, turn:-1, val:-2, animation:crash_panel_reduce04],[effect:suicide, val:0.95]</v>
      </c>
      <c r="N245" s="48" t="str">
        <f>IFERROR(LEFT(M245,FIND("],",M245)+S257),M245)</f>
        <v>[effect:fix_speed, target:myself, turn:1],[effect:sp_boost, target:unit_all, val:4],[effect:crash_condition, target:unit_all, turn:-1, val:-2, animation:crash_panel_reduce04],[effect:suicide, val:0.95]</v>
      </c>
      <c r="O245" s="63">
        <f t="shared" si="114"/>
        <v>9</v>
      </c>
      <c r="P245" s="63">
        <f t="shared" si="115"/>
        <v>18</v>
      </c>
      <c r="Q245" s="63">
        <f t="shared" si="116"/>
        <v>27</v>
      </c>
      <c r="R245" s="63">
        <f t="shared" si="117"/>
        <v>33</v>
      </c>
      <c r="S245" s="63" t="str">
        <f>IFERROR(VLOOKUP(MID(N245,Q245,R245-Q245),[6]skilldef!$C:$D,2,FALSE),"-") &amp; " / " &amp; IFERROR(VLOOKUP(MID(N245,O245,P245-O245),[6]skilldef!$A:$B,2,FALSE),"-")</f>
        <v>自分自身に / 行動値設定</v>
      </c>
      <c r="T245" s="48" t="str">
        <f t="shared" si="118"/>
        <v>[effect:sp_boost, target:unit_all, val:4],[effect:crash_condition, target:unit_all, turn:-1, val:-2, animation:crash_panel_reduce04],[effect:suicide, val:0.95]</v>
      </c>
      <c r="U245" s="63">
        <f t="shared" si="119"/>
        <v>9</v>
      </c>
      <c r="V245" s="63">
        <f t="shared" si="120"/>
        <v>17</v>
      </c>
      <c r="W245" s="63">
        <f t="shared" si="121"/>
        <v>26</v>
      </c>
      <c r="X245" s="63">
        <f t="shared" si="122"/>
        <v>34</v>
      </c>
      <c r="Y245" s="63" t="str">
        <f>IFERROR(VLOOKUP(MID(T245,W245,X245-W245),[6]skilldef!$C:$D,2,FALSE),"-") &amp; " / " &amp; IFERROR(VLOOKUP(MID(T245,U245,V245-U245),[6]skilldef!$A:$B,2,FALSE),"-")</f>
        <v>味方全体に / -</v>
      </c>
      <c r="Z245" s="50"/>
      <c r="AA245" s="52"/>
      <c r="AB245" s="50"/>
    </row>
    <row r="246" spans="1:28" ht="40" customHeight="1" x14ac:dyDescent="0.15">
      <c r="A246" s="47">
        <v>47004755</v>
      </c>
      <c r="B246" s="133" t="s">
        <v>495</v>
      </c>
      <c r="C246" s="50">
        <v>3</v>
      </c>
      <c r="D246" s="50" t="s">
        <v>127</v>
      </c>
      <c r="E246" s="116" t="s">
        <v>265</v>
      </c>
      <c r="F246" s="51" t="s">
        <v>490</v>
      </c>
      <c r="G246" s="63" t="str">
        <f t="shared" si="108"/>
        <v>[effect:enemy_message, val1:1.7, val2:5.0]</v>
      </c>
      <c r="H246" s="63">
        <f t="shared" si="109"/>
        <v>9</v>
      </c>
      <c r="I246" s="63">
        <f t="shared" si="110"/>
        <v>22</v>
      </c>
      <c r="J246" s="63" t="e">
        <f t="shared" si="111"/>
        <v>#VALUE!</v>
      </c>
      <c r="K246" s="63">
        <f t="shared" si="112"/>
        <v>32</v>
      </c>
      <c r="L246" s="63" t="str">
        <f>IFERROR(VLOOKUP(MID(G246,J246,K246-J246),[6]skilldef!$C:$D,2,FALSE),"-") &amp; " / " &amp; IFERROR(VLOOKUP(MID(G246,H246,I246-H246),[6]skilldef!$A:$B,2,FALSE),"-")</f>
        <v>- / -</v>
      </c>
      <c r="M246" s="63" t="str">
        <f t="shared" si="113"/>
        <v>[effect:fix_speed, target:myself, turn:1],[effect:sp_boost, target:unit_all, val:4],[effect:crash_condition, target:unit_all, turn:-1, val:-2, animation:crash_panel_reduce04],[effect:suicide, val:0.95]</v>
      </c>
      <c r="N246" s="48" t="str">
        <f>IFERROR(LEFT(M246,FIND("],",M246)+S258),M246)</f>
        <v>[effect:fix_speed, target:myself, turn:1],[effect:sp_boost, target:unit_all, val:4],[effect:crash_condition, target:unit_all, turn:-1, val:-2, animation:crash_panel_reduce04],[effect:suicide, val:0.95]</v>
      </c>
      <c r="O246" s="63">
        <f t="shared" si="114"/>
        <v>9</v>
      </c>
      <c r="P246" s="63">
        <f t="shared" si="115"/>
        <v>18</v>
      </c>
      <c r="Q246" s="63">
        <f t="shared" si="116"/>
        <v>27</v>
      </c>
      <c r="R246" s="63">
        <f t="shared" si="117"/>
        <v>33</v>
      </c>
      <c r="S246" s="63" t="str">
        <f>IFERROR(VLOOKUP(MID(N246,Q246,R246-Q246),[6]skilldef!$C:$D,2,FALSE),"-") &amp; " / " &amp; IFERROR(VLOOKUP(MID(N246,O246,P246-O246),[6]skilldef!$A:$B,2,FALSE),"-")</f>
        <v>自分自身に / 行動値設定</v>
      </c>
      <c r="T246" s="48" t="str">
        <f t="shared" si="118"/>
        <v>[effect:sp_boost, target:unit_all, val:4],[effect:crash_condition, target:unit_all, turn:-1, val:-2, animation:crash_panel_reduce04],[effect:suicide, val:0.95]</v>
      </c>
      <c r="U246" s="63">
        <f t="shared" si="119"/>
        <v>9</v>
      </c>
      <c r="V246" s="63">
        <f t="shared" si="120"/>
        <v>17</v>
      </c>
      <c r="W246" s="63">
        <f t="shared" si="121"/>
        <v>26</v>
      </c>
      <c r="X246" s="63">
        <f t="shared" si="122"/>
        <v>34</v>
      </c>
      <c r="Y246" s="63" t="str">
        <f>IFERROR(VLOOKUP(MID(T246,W246,X246-W246),[6]skilldef!$C:$D,2,FALSE),"-") &amp; " / " &amp; IFERROR(VLOOKUP(MID(T246,U246,V246-U246),[6]skilldef!$A:$B,2,FALSE),"-")</f>
        <v>味方全体に / -</v>
      </c>
      <c r="Z246" s="50"/>
      <c r="AA246" s="52"/>
      <c r="AB246" s="50"/>
    </row>
    <row r="247" spans="1:28" ht="40" customHeight="1" x14ac:dyDescent="0.15">
      <c r="A247" s="47">
        <v>47004756</v>
      </c>
      <c r="B247" s="133" t="s">
        <v>496</v>
      </c>
      <c r="C247" s="50">
        <v>3</v>
      </c>
      <c r="D247" s="50" t="s">
        <v>127</v>
      </c>
      <c r="E247" s="116" t="s">
        <v>266</v>
      </c>
      <c r="F247" s="51" t="s">
        <v>456</v>
      </c>
      <c r="G247" s="63" t="str">
        <f t="shared" si="108"/>
        <v>[effect:enemy_message, val1:1.7, val2:5.0]</v>
      </c>
      <c r="H247" s="63">
        <f t="shared" si="109"/>
        <v>9</v>
      </c>
      <c r="I247" s="63">
        <f t="shared" si="110"/>
        <v>22</v>
      </c>
      <c r="J247" s="63" t="e">
        <f t="shared" si="111"/>
        <v>#VALUE!</v>
      </c>
      <c r="K247" s="63">
        <f t="shared" si="112"/>
        <v>32</v>
      </c>
      <c r="L247" s="63" t="str">
        <f>IFERROR(VLOOKUP(MID(G247,J247,K247-J247),[6]skilldef!$C:$D,2,FALSE),"-") &amp; " / " &amp; IFERROR(VLOOKUP(MID(G247,H247,I247-H247),[6]skilldef!$A:$B,2,FALSE),"-")</f>
        <v>- / -</v>
      </c>
      <c r="M247" s="63" t="str">
        <f t="shared" si="113"/>
        <v>[effect:fix_speed, target:myself, turn:1],[effect:sp_boost, target:unit_all, val:4],[effect:crash_condition, target:unit_all, turn:-1, val:-2, animation:crash_panel_reduce04],[effect:suicide, val:0.8]</v>
      </c>
      <c r="N247" s="48" t="str">
        <f>IFERROR(LEFT(M247,FIND("],",M247)+S260),M247)</f>
        <v>[effect:fix_speed, target:myself, turn:1],[effect:sp_boost, target:unit_all, val:4],[effect:crash_condition, target:unit_all, turn:-1, val:-2, animation:crash_panel_reduce04],[effect:suicide, val:0.8]</v>
      </c>
      <c r="O247" s="63">
        <f t="shared" si="114"/>
        <v>9</v>
      </c>
      <c r="P247" s="63">
        <f t="shared" si="115"/>
        <v>18</v>
      </c>
      <c r="Q247" s="63">
        <f t="shared" si="116"/>
        <v>27</v>
      </c>
      <c r="R247" s="63">
        <f t="shared" si="117"/>
        <v>33</v>
      </c>
      <c r="S247" s="63" t="str">
        <f>IFERROR(VLOOKUP(MID(N247,Q247,R247-Q247),[6]skilldef!$C:$D,2,FALSE),"-") &amp; " / " &amp; IFERROR(VLOOKUP(MID(N247,O247,P247-O247),[6]skilldef!$A:$B,2,FALSE),"-")</f>
        <v>自分自身に / 行動値設定</v>
      </c>
      <c r="T247" s="48" t="str">
        <f t="shared" si="118"/>
        <v>[effect:sp_boost, target:unit_all, val:4],[effect:crash_condition, target:unit_all, turn:-1, val:-2, animation:crash_panel_reduce04],[effect:suicide, val:0.8]</v>
      </c>
      <c r="U247" s="63">
        <f t="shared" si="119"/>
        <v>9</v>
      </c>
      <c r="V247" s="63">
        <f t="shared" si="120"/>
        <v>17</v>
      </c>
      <c r="W247" s="63">
        <f t="shared" si="121"/>
        <v>26</v>
      </c>
      <c r="X247" s="63">
        <f t="shared" si="122"/>
        <v>34</v>
      </c>
      <c r="Y247" s="63" t="str">
        <f>IFERROR(VLOOKUP(MID(T247,W247,X247-W247),[6]skilldef!$C:$D,2,FALSE),"-") &amp; " / " &amp; IFERROR(VLOOKUP(MID(T247,U247,V247-U247),[6]skilldef!$A:$B,2,FALSE),"-")</f>
        <v>味方全体に / -</v>
      </c>
      <c r="Z247" s="50"/>
      <c r="AA247" s="52"/>
      <c r="AB247" s="50"/>
    </row>
    <row r="248" spans="1:28" ht="40" customHeight="1" x14ac:dyDescent="0.15">
      <c r="A248" s="47">
        <v>47004757</v>
      </c>
      <c r="B248" s="133" t="s">
        <v>497</v>
      </c>
      <c r="C248" s="50">
        <v>3</v>
      </c>
      <c r="D248" s="50" t="s">
        <v>127</v>
      </c>
      <c r="E248" s="116" t="s">
        <v>267</v>
      </c>
      <c r="F248" s="51" t="s">
        <v>455</v>
      </c>
      <c r="G248" s="63" t="str">
        <f t="shared" si="108"/>
        <v>[effect:enemy_message, val1:2.9, val2:5.0]</v>
      </c>
      <c r="H248" s="63">
        <f t="shared" si="109"/>
        <v>9</v>
      </c>
      <c r="I248" s="63">
        <f t="shared" si="110"/>
        <v>22</v>
      </c>
      <c r="J248" s="63" t="e">
        <f t="shared" si="111"/>
        <v>#VALUE!</v>
      </c>
      <c r="K248" s="63">
        <f t="shared" si="112"/>
        <v>32</v>
      </c>
      <c r="L248" s="63" t="str">
        <f>IFERROR(VLOOKUP(MID(G248,J248,K248-J248),[6]skilldef!$C:$D,2,FALSE),"-") &amp; " / " &amp; IFERROR(VLOOKUP(MID(G248,H248,I248-H248),[6]skilldef!$A:$B,2,FALSE),"-")</f>
        <v>- / -</v>
      </c>
      <c r="M248" s="63" t="str">
        <f t="shared" si="113"/>
        <v>[effect:fix_speed, target:myself, turn:1],[effect:sp_boost, target:unit_all, val:4],[effect:crash_condition, target:unit_all, turn:-1, val:-2, animation:crash_panel_reduce04],[effect:suicide, val:0.8]</v>
      </c>
      <c r="N248" s="48" t="str">
        <f>IFERROR(LEFT(M248,FIND("],",M248)+S261),M248)</f>
        <v>[effect:fix_speed, target:myself, turn:1],[effect:sp_boost, target:unit_all, val:4],[effect:crash_condition, target:unit_all, turn:-1, val:-2, animation:crash_panel_reduce04],[effect:suicide, val:0.8]</v>
      </c>
      <c r="O248" s="63">
        <f t="shared" si="114"/>
        <v>9</v>
      </c>
      <c r="P248" s="63">
        <f t="shared" si="115"/>
        <v>18</v>
      </c>
      <c r="Q248" s="63">
        <f t="shared" si="116"/>
        <v>27</v>
      </c>
      <c r="R248" s="63">
        <f t="shared" si="117"/>
        <v>33</v>
      </c>
      <c r="S248" s="63" t="str">
        <f>IFERROR(VLOOKUP(MID(N248,Q248,R248-Q248),[6]skilldef!$C:$D,2,FALSE),"-") &amp; " / " &amp; IFERROR(VLOOKUP(MID(N248,O248,P248-O248),[6]skilldef!$A:$B,2,FALSE),"-")</f>
        <v>自分自身に / 行動値設定</v>
      </c>
      <c r="T248" s="48" t="str">
        <f t="shared" si="118"/>
        <v>[effect:sp_boost, target:unit_all, val:4],[effect:crash_condition, target:unit_all, turn:-1, val:-2, animation:crash_panel_reduce04],[effect:suicide, val:0.8]</v>
      </c>
      <c r="U248" s="63">
        <f t="shared" si="119"/>
        <v>9</v>
      </c>
      <c r="V248" s="63">
        <f t="shared" si="120"/>
        <v>17</v>
      </c>
      <c r="W248" s="63">
        <f t="shared" si="121"/>
        <v>26</v>
      </c>
      <c r="X248" s="63">
        <f t="shared" si="122"/>
        <v>34</v>
      </c>
      <c r="Y248" s="63" t="str">
        <f>IFERROR(VLOOKUP(MID(T248,W248,X248-W248),[6]skilldef!$C:$D,2,FALSE),"-") &amp; " / " &amp; IFERROR(VLOOKUP(MID(T248,U248,V248-U248),[6]skilldef!$A:$B,2,FALSE),"-")</f>
        <v>味方全体に / -</v>
      </c>
      <c r="Z248" s="50"/>
      <c r="AA248" s="52"/>
      <c r="AB248" s="50"/>
    </row>
    <row r="249" spans="1:28" ht="40" customHeight="1" x14ac:dyDescent="0.15">
      <c r="A249" s="47">
        <v>47004758</v>
      </c>
      <c r="B249" s="133" t="s">
        <v>498</v>
      </c>
      <c r="C249" s="50">
        <v>3</v>
      </c>
      <c r="D249" s="50" t="s">
        <v>127</v>
      </c>
      <c r="E249" s="116" t="s">
        <v>268</v>
      </c>
      <c r="F249" s="51" t="s">
        <v>455</v>
      </c>
      <c r="G249" s="63" t="str">
        <f t="shared" si="108"/>
        <v>[effect:enemy_message, val1:2.0, val2:5.0]</v>
      </c>
      <c r="H249" s="63">
        <f t="shared" si="109"/>
        <v>9</v>
      </c>
      <c r="I249" s="63">
        <f t="shared" si="110"/>
        <v>22</v>
      </c>
      <c r="J249" s="63" t="e">
        <f t="shared" si="111"/>
        <v>#VALUE!</v>
      </c>
      <c r="K249" s="63">
        <f t="shared" si="112"/>
        <v>32</v>
      </c>
      <c r="L249" s="63" t="str">
        <f>IFERROR(VLOOKUP(MID(G249,J249,K249-J249),[6]skilldef!$C:$D,2,FALSE),"-") &amp; " / " &amp; IFERROR(VLOOKUP(MID(G249,H249,I249-H249),[6]skilldef!$A:$B,2,FALSE),"-")</f>
        <v>- / -</v>
      </c>
      <c r="M249" s="63" t="str">
        <f t="shared" si="113"/>
        <v>[effect:fix_speed, target:myself, turn:1],[effect:sp_boost, target:unit_all, val:4],[effect:crash_condition, target:unit_all, turn:-1, val:-2, animation:crash_panel_reduce04],[effect:suicide, val:0.8]</v>
      </c>
      <c r="N249" s="48" t="str">
        <f>IFERROR(LEFT(M249,FIND("],",M249)+S262),M249)</f>
        <v>[effect:fix_speed, target:myself, turn:1],[effect:sp_boost, target:unit_all, val:4],[effect:crash_condition, target:unit_all, turn:-1, val:-2, animation:crash_panel_reduce04],[effect:suicide, val:0.8]</v>
      </c>
      <c r="O249" s="63">
        <f t="shared" si="114"/>
        <v>9</v>
      </c>
      <c r="P249" s="63">
        <f t="shared" si="115"/>
        <v>18</v>
      </c>
      <c r="Q249" s="63">
        <f t="shared" si="116"/>
        <v>27</v>
      </c>
      <c r="R249" s="63">
        <f t="shared" si="117"/>
        <v>33</v>
      </c>
      <c r="S249" s="63" t="str">
        <f>IFERROR(VLOOKUP(MID(N249,Q249,R249-Q249),[6]skilldef!$C:$D,2,FALSE),"-") &amp; " / " &amp; IFERROR(VLOOKUP(MID(N249,O249,P249-O249),[6]skilldef!$A:$B,2,FALSE),"-")</f>
        <v>自分自身に / 行動値設定</v>
      </c>
      <c r="T249" s="48" t="str">
        <f t="shared" si="118"/>
        <v>[effect:sp_boost, target:unit_all, val:4],[effect:crash_condition, target:unit_all, turn:-1, val:-2, animation:crash_panel_reduce04],[effect:suicide, val:0.8]</v>
      </c>
      <c r="U249" s="63">
        <f t="shared" si="119"/>
        <v>9</v>
      </c>
      <c r="V249" s="63">
        <f t="shared" si="120"/>
        <v>17</v>
      </c>
      <c r="W249" s="63">
        <f t="shared" si="121"/>
        <v>26</v>
      </c>
      <c r="X249" s="63">
        <f t="shared" si="122"/>
        <v>34</v>
      </c>
      <c r="Y249" s="63" t="str">
        <f>IFERROR(VLOOKUP(MID(T249,W249,X249-W249),[6]skilldef!$C:$D,2,FALSE),"-") &amp; " / " &amp; IFERROR(VLOOKUP(MID(T249,U249,V249-U249),[6]skilldef!$A:$B,2,FALSE),"-")</f>
        <v>味方全体に / -</v>
      </c>
      <c r="Z249" s="50"/>
      <c r="AA249" s="52"/>
      <c r="AB249" s="50"/>
    </row>
    <row r="250" spans="1:28" ht="40" customHeight="1" x14ac:dyDescent="0.15">
      <c r="A250" s="47">
        <v>47004759</v>
      </c>
      <c r="B250" s="133" t="s">
        <v>499</v>
      </c>
      <c r="C250" s="50">
        <v>3</v>
      </c>
      <c r="D250" s="50" t="s">
        <v>127</v>
      </c>
      <c r="E250" s="129" t="s">
        <v>385</v>
      </c>
      <c r="F250" s="51" t="s">
        <v>465</v>
      </c>
      <c r="G250" s="63" t="str">
        <f t="shared" ref="G250" si="123">IFERROR(LEFT(B250,FIND("],",B250)),B250)</f>
        <v>[effect:enemy_message, val1:2.3, val2:4.5]</v>
      </c>
      <c r="H250" s="63">
        <f t="shared" ref="H250" si="124">FIND("effect:",G250)+7</f>
        <v>9</v>
      </c>
      <c r="I250" s="63">
        <f t="shared" ref="I250" si="125">IFERROR(FIND(",",G250),LEN(G250))</f>
        <v>22</v>
      </c>
      <c r="J250" s="63" t="e">
        <f t="shared" ref="J250" si="126">FIND("target:",G250)+7</f>
        <v>#VALUE!</v>
      </c>
      <c r="K250" s="63">
        <f t="shared" ref="K250" si="127">FIND(",",G250,I250+1)</f>
        <v>32</v>
      </c>
      <c r="L250" s="63" t="str">
        <f>IFERROR(VLOOKUP(MID(G250,J250,K250-J250),[6]skilldef!$C:$D,2,FALSE),"-") &amp; " / " &amp; IFERROR(VLOOKUP(MID(G250,H250,I250-H250),[6]skilldef!$A:$B,2,FALSE),"-")</f>
        <v>- / -</v>
      </c>
      <c r="M250" s="63" t="str">
        <f t="shared" ref="M250" si="128">IFERROR(RIGHT(B250,LEN(B250)-FIND("],",B250)-1),"none")</f>
        <v>[effect:fix_speed, target:myself, turn:1],[effect:sp_boost, target:unit_all, val:2],[effect:crash_condition, target:unit_all, turn:-1, val:-1, animation:crash_panel_reduce03],[effect:suicide, val:0.5]</v>
      </c>
      <c r="N250" s="48" t="str">
        <f>IFERROR(LEFT(M250,FIND("],",M250)+S263),M250)</f>
        <v>[effect:fix_speed, target:myself, turn:1],[effect:sp_boost, target:unit_all, val:2],[effect:crash_condition, target:unit_all, turn:-1, val:-1, animation:crash_panel_reduce03],[effect:suicide, val:0.5]</v>
      </c>
      <c r="O250" s="63">
        <f t="shared" ref="O250" si="129">FIND("effect:",N250)+7</f>
        <v>9</v>
      </c>
      <c r="P250" s="63">
        <f t="shared" ref="P250" si="130">IFERROR(FIND(",",N250),LEN(N250))</f>
        <v>18</v>
      </c>
      <c r="Q250" s="63">
        <f t="shared" ref="Q250" si="131">FIND("target:",N250)+7</f>
        <v>27</v>
      </c>
      <c r="R250" s="63">
        <f t="shared" ref="R250" si="132">FIND(",",N250,P250+1)</f>
        <v>33</v>
      </c>
      <c r="S250" s="63" t="str">
        <f>IFERROR(VLOOKUP(MID(N250,Q250,R250-Q250),[6]skilldef!$C:$D,2,FALSE),"-") &amp; " / " &amp; IFERROR(VLOOKUP(MID(N250,O250,P250-O250),[6]skilldef!$A:$B,2,FALSE),"-")</f>
        <v>自分自身に / 行動値設定</v>
      </c>
      <c r="T250" s="48" t="str">
        <f t="shared" ref="T250" si="133">IFERROR(RIGHT(M250,LEN(M250)-FIND("],",M250)-1),"none")</f>
        <v>[effect:sp_boost, target:unit_all, val:2],[effect:crash_condition, target:unit_all, turn:-1, val:-1, animation:crash_panel_reduce03],[effect:suicide, val:0.5]</v>
      </c>
      <c r="U250" s="63">
        <f t="shared" ref="U250" si="134">FIND("effect:",T250)+7</f>
        <v>9</v>
      </c>
      <c r="V250" s="63">
        <f t="shared" ref="V250" si="135">IFERROR(FIND(",",T250),LEN(T250))</f>
        <v>17</v>
      </c>
      <c r="W250" s="63">
        <f t="shared" ref="W250" si="136">FIND("target:",T250)+7</f>
        <v>26</v>
      </c>
      <c r="X250" s="63">
        <f t="shared" ref="X250" si="137">FIND(",",T250,V250+1)</f>
        <v>34</v>
      </c>
      <c r="Y250" s="63" t="str">
        <f>IFERROR(VLOOKUP(MID(T250,W250,X250-W250),[6]skilldef!$C:$D,2,FALSE),"-") &amp; " / " &amp; IFERROR(VLOOKUP(MID(T250,U250,V250-U250),[6]skilldef!$A:$B,2,FALSE),"-")</f>
        <v>味方全体に / -</v>
      </c>
      <c r="Z250" s="50"/>
      <c r="AA250" s="52"/>
      <c r="AB250" s="50"/>
    </row>
    <row r="251" spans="1:28" ht="40" customHeight="1" x14ac:dyDescent="0.15">
      <c r="A251" s="110">
        <v>47004771</v>
      </c>
      <c r="B251" s="132" t="s">
        <v>500</v>
      </c>
      <c r="C251" s="111">
        <v>3</v>
      </c>
      <c r="D251" s="111" t="s">
        <v>127</v>
      </c>
      <c r="E251" s="112" t="s">
        <v>307</v>
      </c>
      <c r="F251" s="112" t="s">
        <v>306</v>
      </c>
      <c r="G251" s="63" t="str">
        <f t="shared" si="108"/>
        <v>[effect:enemy_message, val1:1.2, val2:3.0]</v>
      </c>
      <c r="H251" s="63">
        <f t="shared" si="109"/>
        <v>9</v>
      </c>
      <c r="I251" s="63">
        <f t="shared" si="110"/>
        <v>22</v>
      </c>
      <c r="J251" s="63" t="e">
        <f t="shared" si="111"/>
        <v>#VALUE!</v>
      </c>
      <c r="K251" s="63">
        <f t="shared" si="112"/>
        <v>32</v>
      </c>
      <c r="L251" s="63" t="str">
        <f>IFERROR(VLOOKUP(MID(G251,J251,K251-J251),[6]skilldef!$C:$D,2,FALSE),"-") &amp; " / " &amp; IFERROR(VLOOKUP(MID(G251,H251,I251-H251),[6]skilldef!$A:$B,2,FALSE),"-")</f>
        <v>- / -</v>
      </c>
      <c r="M251" s="63" t="str">
        <f t="shared" si="113"/>
        <v>[effect:fix_speed, target:myself, turn:2]</v>
      </c>
      <c r="N251" s="48" t="str">
        <f t="shared" ref="N251" si="138">IFERROR(LEFT(M251,FIND("],",M251)+S263),M251)</f>
        <v>[effect:fix_speed, target:myself, turn:2]</v>
      </c>
      <c r="O251" s="63">
        <f t="shared" si="114"/>
        <v>9</v>
      </c>
      <c r="P251" s="63">
        <f t="shared" si="115"/>
        <v>18</v>
      </c>
      <c r="Q251" s="63">
        <f t="shared" si="116"/>
        <v>27</v>
      </c>
      <c r="R251" s="63">
        <f t="shared" si="117"/>
        <v>33</v>
      </c>
      <c r="S251" s="63" t="str">
        <f>IFERROR(VLOOKUP(MID(N251,Q251,R251-Q251),[6]skilldef!$C:$D,2,FALSE),"-") &amp; " / " &amp; IFERROR(VLOOKUP(MID(N251,O251,P251-O251),[6]skilldef!$A:$B,2,FALSE),"-")</f>
        <v>自分自身に / 行動値設定</v>
      </c>
      <c r="T251" s="48" t="str">
        <f t="shared" si="118"/>
        <v>none</v>
      </c>
      <c r="U251" s="63" t="e">
        <f t="shared" si="119"/>
        <v>#VALUE!</v>
      </c>
      <c r="V251" s="63">
        <f t="shared" si="120"/>
        <v>4</v>
      </c>
      <c r="W251" s="63" t="e">
        <f t="shared" si="121"/>
        <v>#VALUE!</v>
      </c>
      <c r="X251" s="63" t="e">
        <f t="shared" si="122"/>
        <v>#VALUE!</v>
      </c>
      <c r="Y251" s="63" t="str">
        <f>IFERROR(VLOOKUP(MID(T251,W251,X251-W251),[6]skilldef!$C:$D,2,FALSE),"-") &amp; " / " &amp; IFERROR(VLOOKUP(MID(T251,U251,V251-U251),[6]skilldef!$A:$B,2,FALSE),"-")</f>
        <v>- / -</v>
      </c>
      <c r="Z251" s="50"/>
      <c r="AA251" s="52"/>
      <c r="AB251" s="50"/>
    </row>
    <row r="252" spans="1:28" ht="40" customHeight="1" x14ac:dyDescent="0.15">
      <c r="A252" s="110">
        <v>47004772</v>
      </c>
      <c r="B252" s="132" t="s">
        <v>501</v>
      </c>
      <c r="C252" s="111">
        <v>3</v>
      </c>
      <c r="D252" s="111" t="s">
        <v>127</v>
      </c>
      <c r="E252" s="112" t="s">
        <v>332</v>
      </c>
      <c r="F252" s="112" t="s">
        <v>262</v>
      </c>
      <c r="G252" s="63" t="str">
        <f t="shared" ref="G252" si="139">IFERROR(LEFT(B252,FIND("],",B252)),B252)</f>
        <v>[effect:enemy_message, val1:1.2, val2:1.2]</v>
      </c>
      <c r="H252" s="63">
        <f t="shared" ref="H252" si="140">FIND("effect:",G252)+7</f>
        <v>9</v>
      </c>
      <c r="I252" s="63">
        <f t="shared" ref="I252" si="141">IFERROR(FIND(",",G252),LEN(G252))</f>
        <v>22</v>
      </c>
      <c r="J252" s="63" t="e">
        <f t="shared" ref="J252" si="142">FIND("target:",G252)+7</f>
        <v>#VALUE!</v>
      </c>
      <c r="K252" s="63">
        <f t="shared" ref="K252" si="143">FIND(",",G252,I252+1)</f>
        <v>32</v>
      </c>
      <c r="L252" s="63" t="str">
        <f>IFERROR(VLOOKUP(MID(G252,J252,K252-J252),[6]skilldef!$C:$D,2,FALSE),"-") &amp; " / " &amp; IFERROR(VLOOKUP(MID(G252,H252,I252-H252),[6]skilldef!$A:$B,2,FALSE),"-")</f>
        <v>- / -</v>
      </c>
      <c r="M252" s="63" t="str">
        <f t="shared" ref="M252" si="144">IFERROR(RIGHT(B252,LEN(B252)-FIND("],",B252)-1),"none")</f>
        <v>[effect:spread, val:0.3]</v>
      </c>
      <c r="N252" s="48" t="str">
        <f t="shared" ref="N252" si="145">IFERROR(LEFT(M252,FIND("],",M252)+S263),M252)</f>
        <v>[effect:spread, val:0.3]</v>
      </c>
      <c r="O252" s="63">
        <f t="shared" ref="O252" si="146">FIND("effect:",N252)+7</f>
        <v>9</v>
      </c>
      <c r="P252" s="63">
        <f t="shared" ref="P252" si="147">IFERROR(FIND(",",N252),LEN(N252))</f>
        <v>15</v>
      </c>
      <c r="Q252" s="63" t="e">
        <f t="shared" ref="Q252" si="148">FIND("target:",N252)+7</f>
        <v>#VALUE!</v>
      </c>
      <c r="R252" s="63" t="e">
        <f t="shared" ref="R252" si="149">FIND(",",N252,P252+1)</f>
        <v>#VALUE!</v>
      </c>
      <c r="S252" s="63" t="str">
        <f>IFERROR(VLOOKUP(MID(N252,Q252,R252-Q252),[6]skilldef!$C:$D,2,FALSE),"-") &amp; " / " &amp; IFERROR(VLOOKUP(MID(N252,O252,P252-O252),[6]skilldef!$A:$B,2,FALSE),"-")</f>
        <v>- / 全体攻撃</v>
      </c>
      <c r="T252" s="48" t="str">
        <f t="shared" ref="T252" si="150">IFERROR(RIGHT(M252,LEN(M252)-FIND("],",M252)-1),"none")</f>
        <v>none</v>
      </c>
      <c r="U252" s="63" t="e">
        <f t="shared" ref="U252" si="151">FIND("effect:",T252)+7</f>
        <v>#VALUE!</v>
      </c>
      <c r="V252" s="63">
        <f t="shared" ref="V252" si="152">IFERROR(FIND(",",T252),LEN(T252))</f>
        <v>4</v>
      </c>
      <c r="W252" s="63" t="e">
        <f t="shared" ref="W252" si="153">FIND("target:",T252)+7</f>
        <v>#VALUE!</v>
      </c>
      <c r="X252" s="63" t="e">
        <f t="shared" ref="X252" si="154">FIND(",",T252,V252+1)</f>
        <v>#VALUE!</v>
      </c>
      <c r="Y252" s="63" t="str">
        <f>IFERROR(VLOOKUP(MID(T252,W252,X252-W252),[6]skilldef!$C:$D,2,FALSE),"-") &amp; " / " &amp; IFERROR(VLOOKUP(MID(T252,U252,V252-U252),[6]skilldef!$A:$B,2,FALSE),"-")</f>
        <v>- / -</v>
      </c>
      <c r="Z252" s="50"/>
      <c r="AA252" s="52"/>
      <c r="AB252" s="50"/>
    </row>
    <row r="253" spans="1:28" ht="40" customHeight="1" x14ac:dyDescent="0.15">
      <c r="A253" s="110">
        <v>47004773</v>
      </c>
      <c r="B253" s="132" t="s">
        <v>502</v>
      </c>
      <c r="C253" s="111">
        <v>3</v>
      </c>
      <c r="D253" s="111" t="s">
        <v>127</v>
      </c>
      <c r="E253" s="112" t="s">
        <v>302</v>
      </c>
      <c r="F253" s="112" t="s">
        <v>453</v>
      </c>
      <c r="G253" s="63" t="str">
        <f t="shared" si="108"/>
        <v>[effect:enemy_message, val1:2.4, val2:1.2]</v>
      </c>
      <c r="H253" s="63">
        <f t="shared" si="109"/>
        <v>9</v>
      </c>
      <c r="I253" s="63">
        <f t="shared" si="110"/>
        <v>22</v>
      </c>
      <c r="J253" s="63" t="e">
        <f t="shared" si="111"/>
        <v>#VALUE!</v>
      </c>
      <c r="K253" s="63">
        <f t="shared" si="112"/>
        <v>32</v>
      </c>
      <c r="L253" s="63" t="str">
        <f>IFERROR(VLOOKUP(MID(G253,J253,K253-J253),[6]skilldef!$C:$D,2,FALSE),"-") &amp; " / " &amp; IFERROR(VLOOKUP(MID(G253,H253,I253-H253),[6]skilldef!$A:$B,2,FALSE),"-")</f>
        <v>- / -</v>
      </c>
      <c r="M253" s="63" t="str">
        <f t="shared" si="113"/>
        <v>[effect:enhance_enemy, target:enemy_all, turn:-1, status:attack, val:0.5, calc:mul, animation:enemy_enhance_attack]</v>
      </c>
      <c r="N253" s="48" t="str">
        <f>IFERROR(LEFT(M253,FIND("],",M253)+#REF!),M253)</f>
        <v>[effect:enhance_enemy, target:enemy_all, turn:-1, status:attack, val:0.5, calc:mul, animation:enemy_enhance_attack]</v>
      </c>
      <c r="O253" s="63">
        <f t="shared" si="114"/>
        <v>9</v>
      </c>
      <c r="P253" s="63">
        <f t="shared" si="115"/>
        <v>22</v>
      </c>
      <c r="Q253" s="63">
        <f t="shared" si="116"/>
        <v>31</v>
      </c>
      <c r="R253" s="63">
        <f t="shared" si="117"/>
        <v>40</v>
      </c>
      <c r="S253" s="63" t="str">
        <f>IFERROR(VLOOKUP(MID(N253,Q253,R253-Q253),[6]skilldef!$C:$D,2,FALSE),"-") &amp; " / " &amp; IFERROR(VLOOKUP(MID(N253,O253,P253-O253),[6]skilldef!$A:$B,2,FALSE),"-")</f>
        <v>敵全体に / ステータス強化</v>
      </c>
      <c r="T253" s="48" t="str">
        <f t="shared" si="118"/>
        <v>none</v>
      </c>
      <c r="U253" s="63" t="e">
        <f t="shared" si="119"/>
        <v>#VALUE!</v>
      </c>
      <c r="V253" s="63">
        <f t="shared" si="120"/>
        <v>4</v>
      </c>
      <c r="W253" s="63" t="e">
        <f t="shared" si="121"/>
        <v>#VALUE!</v>
      </c>
      <c r="X253" s="63" t="e">
        <f t="shared" si="122"/>
        <v>#VALUE!</v>
      </c>
      <c r="Y253" s="63" t="str">
        <f>IFERROR(VLOOKUP(MID(T253,W253,X253-W253),[6]skilldef!$C:$D,2,FALSE),"-") &amp; " / " &amp; IFERROR(VLOOKUP(MID(T253,U253,V253-U253),[6]skilldef!$A:$B,2,FALSE),"-")</f>
        <v>- / -</v>
      </c>
      <c r="Z253" s="50"/>
      <c r="AA253" s="52"/>
      <c r="AB253" s="50"/>
    </row>
    <row r="254" spans="1:28" ht="40" customHeight="1" x14ac:dyDescent="0.15">
      <c r="A254" s="110">
        <v>47004774</v>
      </c>
      <c r="B254" s="132" t="s">
        <v>503</v>
      </c>
      <c r="C254" s="111">
        <v>3</v>
      </c>
      <c r="D254" s="111" t="s">
        <v>127</v>
      </c>
      <c r="E254" s="116" t="s">
        <v>269</v>
      </c>
      <c r="F254" s="112" t="s">
        <v>467</v>
      </c>
      <c r="G254" s="63" t="str">
        <f t="shared" si="108"/>
        <v>[effect:enemy_message, val1:3.0, val2:4.8]</v>
      </c>
      <c r="H254" s="63">
        <f t="shared" si="109"/>
        <v>9</v>
      </c>
      <c r="I254" s="63">
        <f t="shared" si="110"/>
        <v>22</v>
      </c>
      <c r="J254" s="63" t="e">
        <f t="shared" si="111"/>
        <v>#VALUE!</v>
      </c>
      <c r="K254" s="63">
        <f t="shared" si="112"/>
        <v>32</v>
      </c>
      <c r="L254" s="63" t="str">
        <f>IFERROR(VLOOKUP(MID(G254,J254,K254-J254),[6]skilldef!$C:$D,2,FALSE),"-") &amp; " / " &amp; IFERROR(VLOOKUP(MID(G254,H254,I254-H254),[6]skilldef!$A:$B,2,FALSE),"-")</f>
        <v>- / -</v>
      </c>
      <c r="M254" s="63" t="str">
        <f t="shared" si="113"/>
        <v>[effect:fix_speed, target:myself, turn:2],[effect:sp_boost, target:unit_all, val:4],[effect:change_bomb_range, target:unit_all, val:1.2, rate:1, turn:-1, animation:bomb_big],[effect:suicide, val:0.95]</v>
      </c>
      <c r="N254" s="48" t="str">
        <f>IFERROR(LEFT(M254,FIND("],",M254)+#REF!),M254)</f>
        <v>[effect:fix_speed, target:myself, turn:2],[effect:sp_boost, target:unit_all, val:4],[effect:change_bomb_range, target:unit_all, val:1.2, rate:1, turn:-1, animation:bomb_big],[effect:suicide, val:0.95]</v>
      </c>
      <c r="O254" s="63">
        <f t="shared" si="114"/>
        <v>9</v>
      </c>
      <c r="P254" s="63">
        <f t="shared" si="115"/>
        <v>18</v>
      </c>
      <c r="Q254" s="63">
        <f t="shared" si="116"/>
        <v>27</v>
      </c>
      <c r="R254" s="63">
        <f t="shared" si="117"/>
        <v>33</v>
      </c>
      <c r="S254" s="63" t="str">
        <f>IFERROR(VLOOKUP(MID(N254,Q254,R254-Q254),[6]skilldef!$C:$D,2,FALSE),"-") &amp; " / " &amp; IFERROR(VLOOKUP(MID(N254,O254,P254-O254),[6]skilldef!$A:$B,2,FALSE),"-")</f>
        <v>自分自身に / 行動値設定</v>
      </c>
      <c r="T254" s="48" t="str">
        <f t="shared" si="118"/>
        <v>[effect:sp_boost, target:unit_all, val:4],[effect:change_bomb_range, target:unit_all, val:1.2, rate:1, turn:-1, animation:bomb_big],[effect:suicide, val:0.95]</v>
      </c>
      <c r="U254" s="63">
        <f t="shared" si="119"/>
        <v>9</v>
      </c>
      <c r="V254" s="63">
        <f t="shared" si="120"/>
        <v>17</v>
      </c>
      <c r="W254" s="63">
        <f t="shared" si="121"/>
        <v>26</v>
      </c>
      <c r="X254" s="63">
        <f t="shared" si="122"/>
        <v>34</v>
      </c>
      <c r="Y254" s="63" t="str">
        <f>IFERROR(VLOOKUP(MID(T254,W254,X254-W254),[6]skilldef!$C:$D,2,FALSE),"-") &amp; " / " &amp; IFERROR(VLOOKUP(MID(T254,U254,V254-U254),[6]skilldef!$A:$B,2,FALSE),"-")</f>
        <v>味方全体に / -</v>
      </c>
      <c r="Z254" s="50"/>
      <c r="AA254" s="52"/>
      <c r="AB254" s="50"/>
    </row>
    <row r="255" spans="1:28" ht="40" customHeight="1" x14ac:dyDescent="0.15">
      <c r="A255" s="110">
        <v>47004775</v>
      </c>
      <c r="B255" s="132" t="s">
        <v>504</v>
      </c>
      <c r="C255" s="111">
        <v>3</v>
      </c>
      <c r="D255" s="111" t="s">
        <v>127</v>
      </c>
      <c r="E255" s="116" t="s">
        <v>270</v>
      </c>
      <c r="F255" s="112" t="s">
        <v>466</v>
      </c>
      <c r="G255" s="63" t="str">
        <f t="shared" si="108"/>
        <v>[effect:enemy_message, val1:2.2, val2:4.8]</v>
      </c>
      <c r="H255" s="63">
        <f t="shared" si="109"/>
        <v>9</v>
      </c>
      <c r="I255" s="63">
        <f t="shared" si="110"/>
        <v>22</v>
      </c>
      <c r="J255" s="63" t="e">
        <f t="shared" si="111"/>
        <v>#VALUE!</v>
      </c>
      <c r="K255" s="63">
        <f t="shared" si="112"/>
        <v>32</v>
      </c>
      <c r="L255" s="63" t="str">
        <f>IFERROR(VLOOKUP(MID(G255,J255,K255-J255),[6]skilldef!$C:$D,2,FALSE),"-") &amp; " / " &amp; IFERROR(VLOOKUP(MID(G255,H255,I255-H255),[6]skilldef!$A:$B,2,FALSE),"-")</f>
        <v>- / -</v>
      </c>
      <c r="M255" s="63" t="str">
        <f t="shared" si="113"/>
        <v>[effect:fix_speed, target:myself, turn:2],[effect:sp_boost, target:unit_all, val:4],[effect:change_bomb_range, target:unit_all, val:1.2, rate:1, turn:-1, animation:bomb_big],[effect:suicide, val:0.95]</v>
      </c>
      <c r="N255" s="48" t="str">
        <f>IFERROR(LEFT(M255,FIND("],",M255)+#REF!),M255)</f>
        <v>[effect:fix_speed, target:myself, turn:2],[effect:sp_boost, target:unit_all, val:4],[effect:change_bomb_range, target:unit_all, val:1.2, rate:1, turn:-1, animation:bomb_big],[effect:suicide, val:0.95]</v>
      </c>
      <c r="O255" s="63">
        <f t="shared" si="114"/>
        <v>9</v>
      </c>
      <c r="P255" s="63">
        <f t="shared" si="115"/>
        <v>18</v>
      </c>
      <c r="Q255" s="63">
        <f t="shared" si="116"/>
        <v>27</v>
      </c>
      <c r="R255" s="63">
        <f t="shared" si="117"/>
        <v>33</v>
      </c>
      <c r="S255" s="63" t="str">
        <f>IFERROR(VLOOKUP(MID(N255,Q255,R255-Q255),[6]skilldef!$C:$D,2,FALSE),"-") &amp; " / " &amp; IFERROR(VLOOKUP(MID(N255,O255,P255-O255),[6]skilldef!$A:$B,2,FALSE),"-")</f>
        <v>自分自身に / 行動値設定</v>
      </c>
      <c r="T255" s="48" t="str">
        <f t="shared" si="118"/>
        <v>[effect:sp_boost, target:unit_all, val:4],[effect:change_bomb_range, target:unit_all, val:1.2, rate:1, turn:-1, animation:bomb_big],[effect:suicide, val:0.95]</v>
      </c>
      <c r="U255" s="63">
        <f t="shared" si="119"/>
        <v>9</v>
      </c>
      <c r="V255" s="63">
        <f t="shared" si="120"/>
        <v>17</v>
      </c>
      <c r="W255" s="63">
        <f t="shared" si="121"/>
        <v>26</v>
      </c>
      <c r="X255" s="63">
        <f t="shared" si="122"/>
        <v>34</v>
      </c>
      <c r="Y255" s="63" t="str">
        <f>IFERROR(VLOOKUP(MID(T255,W255,X255-W255),[6]skilldef!$C:$D,2,FALSE),"-") &amp; " / " &amp; IFERROR(VLOOKUP(MID(T255,U255,V255-U255),[6]skilldef!$A:$B,2,FALSE),"-")</f>
        <v>味方全体に / -</v>
      </c>
      <c r="Z255" s="50"/>
      <c r="AA255" s="52"/>
      <c r="AB255" s="50"/>
    </row>
    <row r="256" spans="1:28" ht="40" customHeight="1" x14ac:dyDescent="0.15">
      <c r="A256" s="110">
        <v>47004776</v>
      </c>
      <c r="B256" s="132" t="s">
        <v>505</v>
      </c>
      <c r="C256" s="111">
        <v>3</v>
      </c>
      <c r="D256" s="111" t="s">
        <v>127</v>
      </c>
      <c r="E256" s="116" t="s">
        <v>271</v>
      </c>
      <c r="F256" s="112" t="s">
        <v>469</v>
      </c>
      <c r="G256" s="63" t="str">
        <f t="shared" si="108"/>
        <v>[effect:enemy_message, val1:2.6, val2:4.8]</v>
      </c>
      <c r="H256" s="63">
        <f t="shared" si="109"/>
        <v>9</v>
      </c>
      <c r="I256" s="63">
        <f t="shared" si="110"/>
        <v>22</v>
      </c>
      <c r="J256" s="63" t="e">
        <f t="shared" si="111"/>
        <v>#VALUE!</v>
      </c>
      <c r="K256" s="63">
        <f t="shared" si="112"/>
        <v>32</v>
      </c>
      <c r="L256" s="63" t="str">
        <f>IFERROR(VLOOKUP(MID(G256,J256,K256-J256),[6]skilldef!$C:$D,2,FALSE),"-") &amp; " / " &amp; IFERROR(VLOOKUP(MID(G256,H256,I256-H256),[6]skilldef!$A:$B,2,FALSE),"-")</f>
        <v>- / -</v>
      </c>
      <c r="M256" s="63" t="str">
        <f t="shared" si="113"/>
        <v>[effect:fix_speed, target:myself, turn:2],[effect:sp_boost, target:unit_all, val:4],[effect:change_bomb_range, target:unit_all, val:1.2, rate:1, turn:-1, animation:bomb_big],[effect:suicide, val:0.8]</v>
      </c>
      <c r="N256" s="48" t="str">
        <f>IFERROR(LEFT(M256,FIND("],",M256)+#REF!),M256)</f>
        <v>[effect:fix_speed, target:myself, turn:2],[effect:sp_boost, target:unit_all, val:4],[effect:change_bomb_range, target:unit_all, val:1.2, rate:1, turn:-1, animation:bomb_big],[effect:suicide, val:0.8]</v>
      </c>
      <c r="O256" s="63">
        <f t="shared" si="114"/>
        <v>9</v>
      </c>
      <c r="P256" s="63">
        <f t="shared" si="115"/>
        <v>18</v>
      </c>
      <c r="Q256" s="63">
        <f t="shared" si="116"/>
        <v>27</v>
      </c>
      <c r="R256" s="63">
        <f t="shared" si="117"/>
        <v>33</v>
      </c>
      <c r="S256" s="63" t="str">
        <f>IFERROR(VLOOKUP(MID(N256,Q256,R256-Q256),[6]skilldef!$C:$D,2,FALSE),"-") &amp; " / " &amp; IFERROR(VLOOKUP(MID(N256,O256,P256-O256),[6]skilldef!$A:$B,2,FALSE),"-")</f>
        <v>自分自身に / 行動値設定</v>
      </c>
      <c r="T256" s="48" t="str">
        <f t="shared" si="118"/>
        <v>[effect:sp_boost, target:unit_all, val:4],[effect:change_bomb_range, target:unit_all, val:1.2, rate:1, turn:-1, animation:bomb_big],[effect:suicide, val:0.8]</v>
      </c>
      <c r="U256" s="63">
        <f t="shared" si="119"/>
        <v>9</v>
      </c>
      <c r="V256" s="63">
        <f t="shared" si="120"/>
        <v>17</v>
      </c>
      <c r="W256" s="63">
        <f t="shared" si="121"/>
        <v>26</v>
      </c>
      <c r="X256" s="63">
        <f t="shared" si="122"/>
        <v>34</v>
      </c>
      <c r="Y256" s="63" t="str">
        <f>IFERROR(VLOOKUP(MID(T256,W256,X256-W256),[6]skilldef!$C:$D,2,FALSE),"-") &amp; " / " &amp; IFERROR(VLOOKUP(MID(T256,U256,V256-U256),[6]skilldef!$A:$B,2,FALSE),"-")</f>
        <v>味方全体に / -</v>
      </c>
      <c r="Z256" s="50"/>
      <c r="AA256" s="52"/>
      <c r="AB256" s="50"/>
    </row>
    <row r="257" spans="1:28" ht="40" customHeight="1" x14ac:dyDescent="0.15">
      <c r="A257" s="110">
        <v>47004777</v>
      </c>
      <c r="B257" s="132" t="s">
        <v>505</v>
      </c>
      <c r="C257" s="111">
        <v>3</v>
      </c>
      <c r="D257" s="111" t="s">
        <v>127</v>
      </c>
      <c r="E257" s="116" t="s">
        <v>272</v>
      </c>
      <c r="F257" s="112" t="s">
        <v>469</v>
      </c>
      <c r="G257" s="63" t="str">
        <f t="shared" ref="G257" si="155">IFERROR(LEFT(B257,FIND("],",B257)),B257)</f>
        <v>[effect:enemy_message, val1:2.6, val2:4.8]</v>
      </c>
      <c r="H257" s="63">
        <f t="shared" si="109"/>
        <v>9</v>
      </c>
      <c r="I257" s="63">
        <f t="shared" ref="I257" si="156">IFERROR(FIND(",",G257),LEN(G257))</f>
        <v>22</v>
      </c>
      <c r="J257" s="63" t="e">
        <f t="shared" ref="J257" si="157">FIND("target:",G257)+7</f>
        <v>#VALUE!</v>
      </c>
      <c r="K257" s="63">
        <f t="shared" ref="K257" si="158">FIND(",",G257,I257+1)</f>
        <v>32</v>
      </c>
      <c r="L257" s="63" t="str">
        <f>IFERROR(VLOOKUP(MID(G257,J257,K257-J257),[6]skilldef!$C:$D,2,FALSE),"-") &amp; " / " &amp; IFERROR(VLOOKUP(MID(G257,H257,I257-H257),[6]skilldef!$A:$B,2,FALSE),"-")</f>
        <v>- / -</v>
      </c>
      <c r="M257" s="63" t="str">
        <f t="shared" ref="M257" si="159">IFERROR(RIGHT(B257,LEN(B257)-FIND("],",B257)-1),"none")</f>
        <v>[effect:fix_speed, target:myself, turn:2],[effect:sp_boost, target:unit_all, val:4],[effect:change_bomb_range, target:unit_all, val:1.2, rate:1, turn:-1, animation:bomb_big],[effect:suicide, val:0.8]</v>
      </c>
      <c r="N257" s="48" t="str">
        <f>IFERROR(LEFT(M257,FIND("],",M257)+#REF!),M257)</f>
        <v>[effect:fix_speed, target:myself, turn:2],[effect:sp_boost, target:unit_all, val:4],[effect:change_bomb_range, target:unit_all, val:1.2, rate:1, turn:-1, animation:bomb_big],[effect:suicide, val:0.8]</v>
      </c>
      <c r="O257" s="63">
        <f t="shared" si="114"/>
        <v>9</v>
      </c>
      <c r="P257" s="63">
        <f t="shared" ref="P257" si="160">IFERROR(FIND(",",N257),LEN(N257))</f>
        <v>18</v>
      </c>
      <c r="Q257" s="63">
        <f t="shared" ref="Q257" si="161">FIND("target:",N257)+7</f>
        <v>27</v>
      </c>
      <c r="R257" s="63">
        <f t="shared" ref="R257" si="162">FIND(",",N257,P257+1)</f>
        <v>33</v>
      </c>
      <c r="S257" s="63" t="str">
        <f>IFERROR(VLOOKUP(MID(N257,Q257,R257-Q257),[6]skilldef!$C:$D,2,FALSE),"-") &amp; " / " &amp; IFERROR(VLOOKUP(MID(N257,O257,P257-O257),[6]skilldef!$A:$B,2,FALSE),"-")</f>
        <v>自分自身に / 行動値設定</v>
      </c>
      <c r="T257" s="48" t="str">
        <f t="shared" ref="T257" si="163">IFERROR(RIGHT(M257,LEN(M257)-FIND("],",M257)-1),"none")</f>
        <v>[effect:sp_boost, target:unit_all, val:4],[effect:change_bomb_range, target:unit_all, val:1.2, rate:1, turn:-1, animation:bomb_big],[effect:suicide, val:0.8]</v>
      </c>
      <c r="U257" s="63">
        <f t="shared" si="119"/>
        <v>9</v>
      </c>
      <c r="V257" s="63">
        <f t="shared" ref="V257" si="164">IFERROR(FIND(",",T257),LEN(T257))</f>
        <v>17</v>
      </c>
      <c r="W257" s="63">
        <f t="shared" ref="W257" si="165">FIND("target:",T257)+7</f>
        <v>26</v>
      </c>
      <c r="X257" s="63">
        <f t="shared" ref="X257" si="166">FIND(",",T257,V257+1)</f>
        <v>34</v>
      </c>
      <c r="Y257" s="63" t="str">
        <f>IFERROR(VLOOKUP(MID(T257,W257,X257-W257),[6]skilldef!$C:$D,2,FALSE),"-") &amp; " / " &amp; IFERROR(VLOOKUP(MID(T257,U257,V257-U257),[6]skilldef!$A:$B,2,FALSE),"-")</f>
        <v>味方全体に / -</v>
      </c>
      <c r="Z257" s="50"/>
      <c r="AA257" s="52"/>
      <c r="AB257" s="50"/>
    </row>
    <row r="258" spans="1:28" ht="40" customHeight="1" x14ac:dyDescent="0.15">
      <c r="A258" s="110">
        <v>47004778</v>
      </c>
      <c r="B258" s="132" t="s">
        <v>505</v>
      </c>
      <c r="C258" s="111">
        <v>3</v>
      </c>
      <c r="D258" s="111" t="s">
        <v>127</v>
      </c>
      <c r="E258" s="116" t="s">
        <v>273</v>
      </c>
      <c r="F258" s="112" t="s">
        <v>469</v>
      </c>
      <c r="G258" s="63" t="str">
        <f t="shared" ref="G258:G263" si="167">IFERROR(LEFT(B258,FIND("],",B258)),B258)</f>
        <v>[effect:enemy_message, val1:2.6, val2:4.8]</v>
      </c>
      <c r="H258" s="63">
        <f t="shared" si="109"/>
        <v>9</v>
      </c>
      <c r="I258" s="63">
        <f t="shared" ref="I258:I263" si="168">IFERROR(FIND(",",G258),LEN(G258))</f>
        <v>22</v>
      </c>
      <c r="J258" s="63" t="e">
        <f t="shared" ref="J258:J263" si="169">FIND("target:",G258)+7</f>
        <v>#VALUE!</v>
      </c>
      <c r="K258" s="63">
        <f t="shared" ref="K258:K263" si="170">FIND(",",G258,I258+1)</f>
        <v>32</v>
      </c>
      <c r="L258" s="63" t="str">
        <f>IFERROR(VLOOKUP(MID(G258,J258,K258-J258),[6]skilldef!$C:$D,2,FALSE),"-") &amp; " / " &amp; IFERROR(VLOOKUP(MID(G258,H258,I258-H258),[6]skilldef!$A:$B,2,FALSE),"-")</f>
        <v>- / -</v>
      </c>
      <c r="M258" s="63" t="str">
        <f t="shared" ref="M258:M263" si="171">IFERROR(RIGHT(B258,LEN(B258)-FIND("],",B258)-1),"none")</f>
        <v>[effect:fix_speed, target:myself, turn:2],[effect:sp_boost, target:unit_all, val:4],[effect:change_bomb_range, target:unit_all, val:1.2, rate:1, turn:-1, animation:bomb_big],[effect:suicide, val:0.8]</v>
      </c>
      <c r="N258" s="48" t="str">
        <f>IFERROR(LEFT(M258,FIND("],",M258)+#REF!),M258)</f>
        <v>[effect:fix_speed, target:myself, turn:2],[effect:sp_boost, target:unit_all, val:4],[effect:change_bomb_range, target:unit_all, val:1.2, rate:1, turn:-1, animation:bomb_big],[effect:suicide, val:0.8]</v>
      </c>
      <c r="O258" s="63">
        <f t="shared" si="114"/>
        <v>9</v>
      </c>
      <c r="P258" s="63">
        <f t="shared" ref="P258:P263" si="172">IFERROR(FIND(",",N258),LEN(N258))</f>
        <v>18</v>
      </c>
      <c r="Q258" s="63">
        <f t="shared" ref="Q258:Q263" si="173">FIND("target:",N258)+7</f>
        <v>27</v>
      </c>
      <c r="R258" s="63">
        <f t="shared" ref="R258:R263" si="174">FIND(",",N258,P258+1)</f>
        <v>33</v>
      </c>
      <c r="S258" s="63" t="str">
        <f>IFERROR(VLOOKUP(MID(N258,Q258,R258-Q258),[6]skilldef!$C:$D,2,FALSE),"-") &amp; " / " &amp; IFERROR(VLOOKUP(MID(N258,O258,P258-O258),[6]skilldef!$A:$B,2,FALSE),"-")</f>
        <v>自分自身に / 行動値設定</v>
      </c>
      <c r="T258" s="48" t="str">
        <f t="shared" ref="T258:T263" si="175">IFERROR(RIGHT(M258,LEN(M258)-FIND("],",M258)-1),"none")</f>
        <v>[effect:sp_boost, target:unit_all, val:4],[effect:change_bomb_range, target:unit_all, val:1.2, rate:1, turn:-1, animation:bomb_big],[effect:suicide, val:0.8]</v>
      </c>
      <c r="U258" s="63">
        <f t="shared" si="119"/>
        <v>9</v>
      </c>
      <c r="V258" s="63">
        <f t="shared" ref="V258:V263" si="176">IFERROR(FIND(",",T258),LEN(T258))</f>
        <v>17</v>
      </c>
      <c r="W258" s="63">
        <f t="shared" ref="W258:W263" si="177">FIND("target:",T258)+7</f>
        <v>26</v>
      </c>
      <c r="X258" s="63">
        <f t="shared" ref="X258:X263" si="178">FIND(",",T258,V258+1)</f>
        <v>34</v>
      </c>
      <c r="Y258" s="63" t="str">
        <f>IFERROR(VLOOKUP(MID(T258,W258,X258-W258),[6]skilldef!$C:$D,2,FALSE),"-") &amp; " / " &amp; IFERROR(VLOOKUP(MID(T258,U258,V258-U258),[6]skilldef!$A:$B,2,FALSE),"-")</f>
        <v>味方全体に / -</v>
      </c>
      <c r="Z258" s="50"/>
      <c r="AA258" s="52"/>
      <c r="AB258" s="50"/>
    </row>
    <row r="259" spans="1:28" ht="40" customHeight="1" x14ac:dyDescent="0.15">
      <c r="A259" s="110">
        <v>47004779</v>
      </c>
      <c r="B259" s="132" t="s">
        <v>506</v>
      </c>
      <c r="C259" s="111">
        <v>3</v>
      </c>
      <c r="D259" s="111" t="s">
        <v>127</v>
      </c>
      <c r="E259" s="129" t="s">
        <v>386</v>
      </c>
      <c r="F259" s="112" t="s">
        <v>472</v>
      </c>
      <c r="G259" s="63" t="str">
        <f t="shared" ref="G259" si="179">IFERROR(LEFT(B259,FIND("],",B259)),B259)</f>
        <v>[effect:enemy_message, val1:2.5, val2:4.8]</v>
      </c>
      <c r="H259" s="63">
        <f t="shared" ref="H259" si="180">FIND("effect:",G259)+7</f>
        <v>9</v>
      </c>
      <c r="I259" s="63">
        <f t="shared" ref="I259" si="181">IFERROR(FIND(",",G259),LEN(G259))</f>
        <v>22</v>
      </c>
      <c r="J259" s="63" t="e">
        <f t="shared" ref="J259" si="182">FIND("target:",G259)+7</f>
        <v>#VALUE!</v>
      </c>
      <c r="K259" s="63">
        <f t="shared" ref="K259" si="183">FIND(",",G259,I259+1)</f>
        <v>32</v>
      </c>
      <c r="L259" s="63" t="str">
        <f>IFERROR(VLOOKUP(MID(G259,J259,K259-J259),[6]skilldef!$C:$D,2,FALSE),"-") &amp; " / " &amp; IFERROR(VLOOKUP(MID(G259,H259,I259-H259),[6]skilldef!$A:$B,2,FALSE),"-")</f>
        <v>- / -</v>
      </c>
      <c r="M259" s="63" t="str">
        <f t="shared" ref="M259" si="184">IFERROR(RIGHT(B259,LEN(B259)-FIND("],",B259)-1),"none")</f>
        <v>[effect:fix_speed, target:myself, turn:2],[effect:sp_boost, target:unit_all, val:2],[effect:change_bomb_range, target:unit_all, val:1.1, rate:1, turn:-1, animation:bomb_big],[effect:suicide, val:0.5]</v>
      </c>
      <c r="N259" s="48" t="str">
        <f>IFERROR(LEFT(M259,FIND("],",M259)+#REF!),M259)</f>
        <v>[effect:fix_speed, target:myself, turn:2],[effect:sp_boost, target:unit_all, val:2],[effect:change_bomb_range, target:unit_all, val:1.1, rate:1, turn:-1, animation:bomb_big],[effect:suicide, val:0.5]</v>
      </c>
      <c r="O259" s="63">
        <f t="shared" ref="O259" si="185">FIND("effect:",N259)+7</f>
        <v>9</v>
      </c>
      <c r="P259" s="63">
        <f t="shared" ref="P259" si="186">IFERROR(FIND(",",N259),LEN(N259))</f>
        <v>18</v>
      </c>
      <c r="Q259" s="63">
        <f t="shared" ref="Q259" si="187">FIND("target:",N259)+7</f>
        <v>27</v>
      </c>
      <c r="R259" s="63">
        <f t="shared" ref="R259" si="188">FIND(",",N259,P259+1)</f>
        <v>33</v>
      </c>
      <c r="S259" s="63" t="str">
        <f>IFERROR(VLOOKUP(MID(N259,Q259,R259-Q259),[6]skilldef!$C:$D,2,FALSE),"-") &amp; " / " &amp; IFERROR(VLOOKUP(MID(N259,O259,P259-O259),[6]skilldef!$A:$B,2,FALSE),"-")</f>
        <v>自分自身に / 行動値設定</v>
      </c>
      <c r="T259" s="48" t="str">
        <f t="shared" ref="T259" si="189">IFERROR(RIGHT(M259,LEN(M259)-FIND("],",M259)-1),"none")</f>
        <v>[effect:sp_boost, target:unit_all, val:2],[effect:change_bomb_range, target:unit_all, val:1.1, rate:1, turn:-1, animation:bomb_big],[effect:suicide, val:0.5]</v>
      </c>
      <c r="U259" s="63">
        <f t="shared" ref="U259" si="190">FIND("effect:",T259)+7</f>
        <v>9</v>
      </c>
      <c r="V259" s="63">
        <f t="shared" ref="V259" si="191">IFERROR(FIND(",",T259),LEN(T259))</f>
        <v>17</v>
      </c>
      <c r="W259" s="63">
        <f t="shared" ref="W259" si="192">FIND("target:",T259)+7</f>
        <v>26</v>
      </c>
      <c r="X259" s="63">
        <f t="shared" ref="X259" si="193">FIND(",",T259,V259+1)</f>
        <v>34</v>
      </c>
      <c r="Y259" s="63" t="str">
        <f>IFERROR(VLOOKUP(MID(T259,W259,X259-W259),[6]skilldef!$C:$D,2,FALSE),"-") &amp; " / " &amp; IFERROR(VLOOKUP(MID(T259,U259,V259-U259),[6]skilldef!$A:$B,2,FALSE),"-")</f>
        <v>味方全体に / -</v>
      </c>
      <c r="Z259" s="50"/>
      <c r="AA259" s="52"/>
      <c r="AB259" s="50"/>
    </row>
    <row r="260" spans="1:28" ht="40" customHeight="1" x14ac:dyDescent="0.15">
      <c r="A260" s="47">
        <v>47004791</v>
      </c>
      <c r="B260" s="133" t="s">
        <v>507</v>
      </c>
      <c r="C260" s="50">
        <v>3</v>
      </c>
      <c r="D260" s="50" t="s">
        <v>127</v>
      </c>
      <c r="E260" s="51" t="s">
        <v>309</v>
      </c>
      <c r="F260" s="51" t="s">
        <v>451</v>
      </c>
      <c r="G260" s="63" t="str">
        <f t="shared" si="167"/>
        <v>[effect:enemy_message, val1:1.2, val2:4.2]</v>
      </c>
      <c r="H260" s="63">
        <f t="shared" si="109"/>
        <v>9</v>
      </c>
      <c r="I260" s="63">
        <f t="shared" si="168"/>
        <v>22</v>
      </c>
      <c r="J260" s="63" t="e">
        <f t="shared" si="169"/>
        <v>#VALUE!</v>
      </c>
      <c r="K260" s="63">
        <f t="shared" si="170"/>
        <v>32</v>
      </c>
      <c r="L260" s="63" t="str">
        <f>IFERROR(VLOOKUP(MID(G260,J260,K260-J260),[6]skilldef!$C:$D,2,FALSE),"-") &amp; " / " &amp; IFERROR(VLOOKUP(MID(G260,H260,I260-H260),[6]skilldef!$A:$B,2,FALSE),"-")</f>
        <v>- / -</v>
      </c>
      <c r="M260" s="63" t="str">
        <f t="shared" si="171"/>
        <v>[effect:enemy_counter, target:myself, invoke_condition:unit_all, counter_target:attacker, turn:-1, val:0.1, animation:enemy_counter],[effect:fix_speed, target:myself, turn:2]</v>
      </c>
      <c r="N260" s="48" t="str">
        <f>IFERROR(LEFT(M260,FIND("],",M260)+#REF!),M260)</f>
        <v>[effect:enemy_counter, target:myself, invoke_condition:unit_all, counter_target:attacker, turn:-1, val:0.1, animation:enemy_counter],[effect:fix_speed, target:myself, turn:2]</v>
      </c>
      <c r="O260" s="63">
        <f t="shared" si="114"/>
        <v>9</v>
      </c>
      <c r="P260" s="63">
        <f t="shared" si="172"/>
        <v>22</v>
      </c>
      <c r="Q260" s="63">
        <f t="shared" si="173"/>
        <v>31</v>
      </c>
      <c r="R260" s="63">
        <f t="shared" si="174"/>
        <v>37</v>
      </c>
      <c r="S260" s="63" t="str">
        <f>IFERROR(VLOOKUP(MID(N260,Q260,R260-Q260),[6]skilldef!$C:$D,2,FALSE),"-") &amp; " / " &amp; IFERROR(VLOOKUP(MID(N260,O260,P260-O260),[6]skilldef!$A:$B,2,FALSE),"-")</f>
        <v>自分自身に / カウンター</v>
      </c>
      <c r="T260" s="48" t="str">
        <f t="shared" si="175"/>
        <v>[effect:fix_speed, target:myself, turn:2]</v>
      </c>
      <c r="U260" s="63">
        <f t="shared" si="119"/>
        <v>9</v>
      </c>
      <c r="V260" s="63">
        <f t="shared" si="176"/>
        <v>18</v>
      </c>
      <c r="W260" s="63">
        <f t="shared" si="177"/>
        <v>27</v>
      </c>
      <c r="X260" s="63">
        <f t="shared" si="178"/>
        <v>33</v>
      </c>
      <c r="Y260" s="63" t="str">
        <f>IFERROR(VLOOKUP(MID(T260,W260,X260-W260),[6]skilldef!$C:$D,2,FALSE),"-") &amp; " / " &amp; IFERROR(VLOOKUP(MID(T260,U260,V260-U260),[6]skilldef!$A:$B,2,FALSE),"-")</f>
        <v>自分自身に / 行動値設定</v>
      </c>
      <c r="Z260" s="50"/>
      <c r="AA260" s="52"/>
      <c r="AB260" s="50"/>
    </row>
    <row r="261" spans="1:28" ht="40" customHeight="1" x14ac:dyDescent="0.15">
      <c r="A261" s="47">
        <v>47004792</v>
      </c>
      <c r="B261" s="136" t="s">
        <v>610</v>
      </c>
      <c r="C261" s="50">
        <v>3</v>
      </c>
      <c r="D261" s="50" t="s">
        <v>127</v>
      </c>
      <c r="E261" s="51" t="s">
        <v>310</v>
      </c>
      <c r="F261" s="51" t="s">
        <v>291</v>
      </c>
      <c r="G261" s="63" t="str">
        <f t="shared" si="167"/>
        <v>[effect:enemy_message, val1:1.2, val2:2.4]</v>
      </c>
      <c r="H261" s="63">
        <f t="shared" si="109"/>
        <v>9</v>
      </c>
      <c r="I261" s="63">
        <f t="shared" si="168"/>
        <v>22</v>
      </c>
      <c r="J261" s="63" t="e">
        <f t="shared" si="169"/>
        <v>#VALUE!</v>
      </c>
      <c r="K261" s="63">
        <f t="shared" si="170"/>
        <v>32</v>
      </c>
      <c r="L261" s="63" t="str">
        <f>IFERROR(VLOOKUP(MID(G261,J261,K261-J261),[6]skilldef!$C:$D,2,FALSE),"-") &amp; " / " &amp; IFERROR(VLOOKUP(MID(G261,H261,I261-H261),[6]skilldef!$A:$B,2,FALSE),"-")</f>
        <v>- / -</v>
      </c>
      <c r="M261" s="63" t="str">
        <f t="shared" si="171"/>
        <v xml:space="preserve">[effect:force_change_block, new_block:damage, target:block_yellow, count:5, val:0.05],[effect:rush, count:1, val:1.0]    </v>
      </c>
      <c r="N261" s="48" t="str">
        <f>IFERROR(LEFT(M261,FIND("],",M261)+S264),M261)</f>
        <v xml:space="preserve">[effect:force_change_block, new_block:damage, target:block_yellow, count:5, val:0.05],[effect:rush, count:1, val:1.0]    </v>
      </c>
      <c r="O261" s="63">
        <f t="shared" si="114"/>
        <v>9</v>
      </c>
      <c r="P261" s="63">
        <f t="shared" si="172"/>
        <v>27</v>
      </c>
      <c r="Q261" s="63">
        <f t="shared" si="173"/>
        <v>54</v>
      </c>
      <c r="R261" s="63">
        <f t="shared" si="174"/>
        <v>45</v>
      </c>
      <c r="S261" s="63" t="str">
        <f>IFERROR(VLOOKUP(MID(N261,Q261,R261-Q261),[6]skilldef!$C:$D,2,FALSE),"-") &amp; " / " &amp; IFERROR(VLOOKUP(MID(N261,O261,P261-O261),[6]skilldef!$A:$B,2,FALSE),"-")</f>
        <v>- / -</v>
      </c>
      <c r="T261" s="48" t="str">
        <f t="shared" si="175"/>
        <v xml:space="preserve">[effect:rush, count:1, val:1.0]    </v>
      </c>
      <c r="U261" s="63">
        <f t="shared" si="119"/>
        <v>9</v>
      </c>
      <c r="V261" s="63">
        <f t="shared" si="176"/>
        <v>13</v>
      </c>
      <c r="W261" s="63" t="e">
        <f t="shared" si="177"/>
        <v>#VALUE!</v>
      </c>
      <c r="X261" s="63">
        <f t="shared" si="178"/>
        <v>22</v>
      </c>
      <c r="Y261" s="63" t="str">
        <f>IFERROR(VLOOKUP(MID(T261,W261,X261-W261),[6]skilldef!$C:$D,2,FALSE),"-") &amp; " / " &amp; IFERROR(VLOOKUP(MID(T261,U261,V261-U261),[6]skilldef!$A:$B,2,FALSE),"-")</f>
        <v>- / 連続攻撃</v>
      </c>
      <c r="Z261" s="50"/>
      <c r="AA261" s="52"/>
      <c r="AB261" s="50"/>
    </row>
    <row r="262" spans="1:28" ht="40" customHeight="1" x14ac:dyDescent="0.15">
      <c r="A262" s="47">
        <v>47004793</v>
      </c>
      <c r="B262" s="133" t="s">
        <v>509</v>
      </c>
      <c r="C262" s="50">
        <v>3</v>
      </c>
      <c r="D262" s="50" t="s">
        <v>127</v>
      </c>
      <c r="E262" s="51" t="s">
        <v>312</v>
      </c>
      <c r="F262" s="51" t="s">
        <v>482</v>
      </c>
      <c r="G262" s="63" t="str">
        <f t="shared" si="167"/>
        <v>[effect:enemy_message, val1:1.2, val2:2.0]</v>
      </c>
      <c r="H262" s="63">
        <f t="shared" si="109"/>
        <v>9</v>
      </c>
      <c r="I262" s="63">
        <f t="shared" si="168"/>
        <v>22</v>
      </c>
      <c r="J262" s="63" t="e">
        <f t="shared" si="169"/>
        <v>#VALUE!</v>
      </c>
      <c r="K262" s="63">
        <f t="shared" si="170"/>
        <v>32</v>
      </c>
      <c r="L262" s="63" t="str">
        <f>IFERROR(VLOOKUP(MID(G262,J262,K262-J262),[6]skilldef!$C:$D,2,FALSE),"-") &amp; " / " &amp; IFERROR(VLOOKUP(MID(G262,H262,I262-H262),[6]skilldef!$A:$B,2,FALSE),"-")</f>
        <v>- / -</v>
      </c>
      <c r="M262" s="63" t="str">
        <f t="shared" si="171"/>
        <v>[effect:damage_abnormal, target:unit_one, val:1, status:sleep, turn:2, rate:1, animation:sleep02]</v>
      </c>
      <c r="N262" s="48" t="str">
        <f>IFERROR(LEFT(M262,FIND("],",M262)+S265),M262)</f>
        <v>[effect:damage_abnormal, target:unit_one, val:1, status:sleep, turn:2, rate:1, animation:sleep02]</v>
      </c>
      <c r="O262" s="63">
        <f t="shared" si="114"/>
        <v>9</v>
      </c>
      <c r="P262" s="63">
        <f t="shared" si="172"/>
        <v>24</v>
      </c>
      <c r="Q262" s="63">
        <f t="shared" si="173"/>
        <v>33</v>
      </c>
      <c r="R262" s="63">
        <f t="shared" si="174"/>
        <v>41</v>
      </c>
      <c r="S262" s="63" t="str">
        <f>IFERROR(VLOOKUP(MID(N262,Q262,R262-Q262),[6]skilldef!$C:$D,2,FALSE),"-") &amp; " / " &amp; IFERROR(VLOOKUP(MID(N262,O262,P262-O262),[6]skilldef!$A:$B,2,FALSE),"-")</f>
        <v>味方単体に / -</v>
      </c>
      <c r="T262" s="48" t="str">
        <f t="shared" si="175"/>
        <v>none</v>
      </c>
      <c r="U262" s="63" t="e">
        <f t="shared" si="119"/>
        <v>#VALUE!</v>
      </c>
      <c r="V262" s="63">
        <f t="shared" si="176"/>
        <v>4</v>
      </c>
      <c r="W262" s="63" t="e">
        <f t="shared" si="177"/>
        <v>#VALUE!</v>
      </c>
      <c r="X262" s="63" t="e">
        <f t="shared" si="178"/>
        <v>#VALUE!</v>
      </c>
      <c r="Y262" s="63" t="str">
        <f>IFERROR(VLOOKUP(MID(T262,W262,X262-W262),[6]skilldef!$C:$D,2,FALSE),"-") &amp; " / " &amp; IFERROR(VLOOKUP(MID(T262,U262,V262-U262),[6]skilldef!$A:$B,2,FALSE),"-")</f>
        <v>- / -</v>
      </c>
      <c r="Z262" s="50"/>
      <c r="AA262" s="52"/>
      <c r="AB262" s="50"/>
    </row>
    <row r="263" spans="1:28" ht="40" customHeight="1" x14ac:dyDescent="0.15">
      <c r="A263" s="47">
        <v>47004794</v>
      </c>
      <c r="B263" s="133" t="s">
        <v>510</v>
      </c>
      <c r="C263" s="50">
        <v>3</v>
      </c>
      <c r="D263" s="50" t="s">
        <v>127</v>
      </c>
      <c r="E263" s="51" t="s">
        <v>431</v>
      </c>
      <c r="F263" s="51" t="s">
        <v>475</v>
      </c>
      <c r="G263" s="63" t="str">
        <f t="shared" si="167"/>
        <v>[effect:enemy_message, val1:1.2, val2:2.3]</v>
      </c>
      <c r="H263" s="63">
        <f t="shared" si="109"/>
        <v>9</v>
      </c>
      <c r="I263" s="63">
        <f t="shared" si="168"/>
        <v>22</v>
      </c>
      <c r="J263" s="63" t="e">
        <f t="shared" si="169"/>
        <v>#VALUE!</v>
      </c>
      <c r="K263" s="63">
        <f t="shared" si="170"/>
        <v>32</v>
      </c>
      <c r="L263" s="63" t="str">
        <f>IFERROR(VLOOKUP(MID(G263,J263,K263-J263),[6]skilldef!$C:$D,2,FALSE),"-") &amp; " / " &amp; IFERROR(VLOOKUP(MID(G263,H263,I263-H263),[6]skilldef!$A:$B,2,FALSE),"-")</f>
        <v>- / -</v>
      </c>
      <c r="M263" s="63" t="str">
        <f t="shared" si="171"/>
        <v>[effect:force_change_block, new_block:block_blue, target:block_heart, count:5, val:0],[effect:freq_turn, target:myself, turn:-1, val:1, animation:enemy_freq_turn]</v>
      </c>
      <c r="N263" s="48" t="str">
        <f>IFERROR(LEFT(M263,FIND("],",M263)+S266),M263)</f>
        <v>[effect:force_change_block, new_block:block_blue, target:block_heart, count:5, val:0],[effect:freq_turn, target:myself, turn:-1, val:1, animation:enemy_freq_turn]</v>
      </c>
      <c r="O263" s="63">
        <f t="shared" si="114"/>
        <v>9</v>
      </c>
      <c r="P263" s="63">
        <f t="shared" si="172"/>
        <v>27</v>
      </c>
      <c r="Q263" s="63">
        <f t="shared" si="173"/>
        <v>58</v>
      </c>
      <c r="R263" s="63">
        <f t="shared" si="174"/>
        <v>49</v>
      </c>
      <c r="S263" s="63" t="str">
        <f>IFERROR(VLOOKUP(MID(N263,Q263,R263-Q263),[6]skilldef!$C:$D,2,FALSE),"-") &amp; " / " &amp; IFERROR(VLOOKUP(MID(N263,O263,P263-O263),[6]skilldef!$A:$B,2,FALSE),"-")</f>
        <v>- / -</v>
      </c>
      <c r="T263" s="48" t="str">
        <f t="shared" si="175"/>
        <v>[effect:freq_turn, target:myself, turn:-1, val:1, animation:enemy_freq_turn]</v>
      </c>
      <c r="U263" s="63">
        <f t="shared" si="119"/>
        <v>9</v>
      </c>
      <c r="V263" s="63">
        <f t="shared" si="176"/>
        <v>18</v>
      </c>
      <c r="W263" s="63">
        <f t="shared" si="177"/>
        <v>27</v>
      </c>
      <c r="X263" s="63">
        <f t="shared" si="178"/>
        <v>33</v>
      </c>
      <c r="Y263" s="63" t="str">
        <f>IFERROR(VLOOKUP(MID(T263,W263,X263-W263),[6]skilldef!$C:$D,2,FALSE),"-") &amp; " / " &amp; IFERROR(VLOOKUP(MID(T263,U263,V263-U263),[6]skilldef!$A:$B,2,FALSE),"-")</f>
        <v>自分自身に / 攻撃頻度がUP</v>
      </c>
      <c r="Z263" s="50"/>
      <c r="AA263" s="52"/>
      <c r="AB263" s="50"/>
    </row>
    <row r="264" spans="1:28" ht="40" customHeight="1" x14ac:dyDescent="0.15">
      <c r="A264" s="110">
        <v>47004801</v>
      </c>
      <c r="B264" s="132" t="s">
        <v>511</v>
      </c>
      <c r="C264" s="111">
        <v>3</v>
      </c>
      <c r="D264" s="111" t="s">
        <v>127</v>
      </c>
      <c r="E264" s="112" t="s">
        <v>311</v>
      </c>
      <c r="F264" s="112" t="s">
        <v>347</v>
      </c>
      <c r="G264" s="63" t="str">
        <f t="shared" ref="G264:G265" si="194">IFERROR(LEFT(B264,FIND("],",B264)),B264)</f>
        <v>[effect:enemy_message, val1:1.2, val2:2.0]</v>
      </c>
      <c r="H264" s="63">
        <f t="shared" si="109"/>
        <v>9</v>
      </c>
      <c r="I264" s="63">
        <f t="shared" ref="I264:I265" si="195">IFERROR(FIND(",",G264),LEN(G264))</f>
        <v>22</v>
      </c>
      <c r="J264" s="63" t="e">
        <f t="shared" ref="J264:J265" si="196">FIND("target:",G264)+7</f>
        <v>#VALUE!</v>
      </c>
      <c r="K264" s="63">
        <f t="shared" ref="K264:K265" si="197">FIND(",",G264,I264+1)</f>
        <v>32</v>
      </c>
      <c r="L264" s="63" t="str">
        <f>IFERROR(VLOOKUP(MID(G264,J264,K264-J264),[6]skilldef!$C:$D,2,FALSE),"-") &amp; " / " &amp; IFERROR(VLOOKUP(MID(G264,H264,I264-H264),[6]skilldef!$A:$B,2,FALSE),"-")</f>
        <v>- / -</v>
      </c>
      <c r="M264" s="63" t="str">
        <f t="shared" ref="M264:M265" si="198">IFERROR(RIGHT(B264,LEN(B264)-FIND("],",B264)-1),"none")</f>
        <v>[effect:ability_lock, target:unit_all, turn:1],[effect:sleep, target:unit_all, turn:1, rate:1],[effect:fix_speed, target:myself, turn:1]</v>
      </c>
      <c r="N264" s="48" t="str">
        <f>IFERROR(LEFT(M264,FIND("],",M264)+S278),M264)</f>
        <v>[effect:ability_lock, target:unit_all, turn:1],[effect:sleep, target:unit_all, turn:1, rate:1],[effect:fix_speed, target:myself, turn:1]</v>
      </c>
      <c r="O264" s="63">
        <f t="shared" si="114"/>
        <v>9</v>
      </c>
      <c r="P264" s="63">
        <f t="shared" ref="P264:P265" si="199">IFERROR(FIND(",",N264),LEN(N264))</f>
        <v>21</v>
      </c>
      <c r="Q264" s="63">
        <f t="shared" ref="Q264:Q265" si="200">FIND("target:",N264)+7</f>
        <v>30</v>
      </c>
      <c r="R264" s="63">
        <f t="shared" ref="R264:R265" si="201">FIND(",",N264,P264+1)</f>
        <v>38</v>
      </c>
      <c r="S264" s="63" t="str">
        <f>IFERROR(VLOOKUP(MID(N264,Q264,R264-Q264),[6]skilldef!$C:$D,2,FALSE),"-") &amp; " / " &amp; IFERROR(VLOOKUP(MID(N264,O264,P264-O264),[6]skilldef!$A:$B,2,FALSE),"-")</f>
        <v>味方全体に / -</v>
      </c>
      <c r="T264" s="48" t="str">
        <f t="shared" ref="T264:T265" si="202">IFERROR(RIGHT(M264,LEN(M264)-FIND("],",M264)-1),"none")</f>
        <v>[effect:sleep, target:unit_all, turn:1, rate:1],[effect:fix_speed, target:myself, turn:1]</v>
      </c>
      <c r="U264" s="63">
        <f t="shared" si="119"/>
        <v>9</v>
      </c>
      <c r="V264" s="63">
        <f t="shared" ref="V264:V265" si="203">IFERROR(FIND(",",T264),LEN(T264))</f>
        <v>14</v>
      </c>
      <c r="W264" s="63">
        <f t="shared" ref="W264:W265" si="204">FIND("target:",T264)+7</f>
        <v>23</v>
      </c>
      <c r="X264" s="63">
        <f t="shared" ref="X264:X265" si="205">FIND(",",T264,V264+1)</f>
        <v>31</v>
      </c>
      <c r="Y264" s="63" t="str">
        <f>IFERROR(VLOOKUP(MID(T264,W264,X264-W264),[6]skilldef!$C:$D,2,FALSE),"-") &amp; " / " &amp; IFERROR(VLOOKUP(MID(T264,U264,V264-U264),[6]skilldef!$A:$B,2,FALSE),"-")</f>
        <v>味方全体に / スリープ</v>
      </c>
      <c r="Z264" s="50"/>
      <c r="AA264" s="52"/>
      <c r="AB264" s="50"/>
    </row>
    <row r="265" spans="1:28" ht="40" customHeight="1" x14ac:dyDescent="0.15">
      <c r="A265" s="110">
        <v>47004802</v>
      </c>
      <c r="B265" s="132" t="s">
        <v>512</v>
      </c>
      <c r="C265" s="111">
        <v>3</v>
      </c>
      <c r="D265" s="111" t="s">
        <v>127</v>
      </c>
      <c r="E265" s="112" t="s">
        <v>300</v>
      </c>
      <c r="F265" s="112" t="s">
        <v>426</v>
      </c>
      <c r="G265" s="63" t="str">
        <f t="shared" si="194"/>
        <v>[effect:enemy_message, val1:1.2, val2:2.7]</v>
      </c>
      <c r="H265" s="63">
        <f t="shared" si="109"/>
        <v>9</v>
      </c>
      <c r="I265" s="63">
        <f t="shared" si="195"/>
        <v>22</v>
      </c>
      <c r="J265" s="63" t="e">
        <f t="shared" si="196"/>
        <v>#VALUE!</v>
      </c>
      <c r="K265" s="63">
        <f t="shared" si="197"/>
        <v>32</v>
      </c>
      <c r="L265" s="63" t="str">
        <f>IFERROR(VLOOKUP(MID(G265,J265,K265-J265),[6]skilldef!$C:$D,2,FALSE),"-") &amp; " / " &amp; IFERROR(VLOOKUP(MID(G265,H265,I265-H265),[6]skilldef!$A:$B,2,FALSE),"-")</f>
        <v>- / -</v>
      </c>
      <c r="M265" s="63" t="str">
        <f t="shared" si="198"/>
        <v>[effect:suicide, target:myself, val:1, dead_type:escape]</v>
      </c>
      <c r="N265" s="48" t="str">
        <f>IFERROR(LEFT(M265,FIND("],",M265)+#REF!),M265)</f>
        <v>[effect:suicide, target:myself, val:1, dead_type:escape]</v>
      </c>
      <c r="O265" s="63">
        <f t="shared" si="114"/>
        <v>9</v>
      </c>
      <c r="P265" s="63">
        <f t="shared" si="199"/>
        <v>16</v>
      </c>
      <c r="Q265" s="63">
        <f t="shared" si="200"/>
        <v>25</v>
      </c>
      <c r="R265" s="63">
        <f t="shared" si="201"/>
        <v>31</v>
      </c>
      <c r="S265" s="63" t="str">
        <f>IFERROR(VLOOKUP(MID(N265,Q265,R265-Q265),[6]skilldef!$C:$D,2,FALSE),"-") &amp; " / " &amp; IFERROR(VLOOKUP(MID(N265,O265,P265-O265),[6]skilldef!$A:$B,2,FALSE),"-")</f>
        <v>自分自身に / -</v>
      </c>
      <c r="T265" s="48" t="str">
        <f t="shared" si="202"/>
        <v>none</v>
      </c>
      <c r="U265" s="63" t="e">
        <f t="shared" si="119"/>
        <v>#VALUE!</v>
      </c>
      <c r="V265" s="63">
        <f t="shared" si="203"/>
        <v>4</v>
      </c>
      <c r="W265" s="63" t="e">
        <f t="shared" si="204"/>
        <v>#VALUE!</v>
      </c>
      <c r="X265" s="63" t="e">
        <f t="shared" si="205"/>
        <v>#VALUE!</v>
      </c>
      <c r="Y265" s="63" t="str">
        <f>IFERROR(VLOOKUP(MID(T265,W265,X265-W265),[6]skilldef!$C:$D,2,FALSE),"-") &amp; " / " &amp; IFERROR(VLOOKUP(MID(T265,U265,V265-U265),[6]skilldef!$A:$B,2,FALSE),"-")</f>
        <v>- / -</v>
      </c>
      <c r="Z265" s="50"/>
      <c r="AA265" s="52"/>
      <c r="AB265" s="50"/>
    </row>
    <row r="266" spans="1:28" ht="40" customHeight="1" x14ac:dyDescent="0.15">
      <c r="A266" s="110">
        <v>47004811</v>
      </c>
      <c r="B266" s="132" t="s">
        <v>511</v>
      </c>
      <c r="C266" s="111">
        <v>3</v>
      </c>
      <c r="D266" s="111" t="s">
        <v>127</v>
      </c>
      <c r="E266" s="112" t="s">
        <v>313</v>
      </c>
      <c r="F266" s="112" t="s">
        <v>315</v>
      </c>
      <c r="G266" s="63" t="str">
        <f t="shared" ref="G266:G277" si="206">IFERROR(LEFT(B266,FIND("],",B266)),B266)</f>
        <v>[effect:enemy_message, val1:1.2, val2:2.0]</v>
      </c>
      <c r="H266" s="63">
        <f t="shared" si="109"/>
        <v>9</v>
      </c>
      <c r="I266" s="63">
        <f t="shared" ref="I266:I277" si="207">IFERROR(FIND(",",G266),LEN(G266))</f>
        <v>22</v>
      </c>
      <c r="J266" s="63" t="e">
        <f t="shared" ref="J266:J277" si="208">FIND("target:",G266)+7</f>
        <v>#VALUE!</v>
      </c>
      <c r="K266" s="63">
        <f t="shared" ref="K266:K277" si="209">FIND(",",G266,I266+1)</f>
        <v>32</v>
      </c>
      <c r="L266" s="63" t="str">
        <f>IFERROR(VLOOKUP(MID(G266,J266,K266-J266),[6]skilldef!$C:$D,2,FALSE),"-") &amp; " / " &amp; IFERROR(VLOOKUP(MID(G266,H266,I266-H266),[6]skilldef!$A:$B,2,FALSE),"-")</f>
        <v>- / -</v>
      </c>
      <c r="M266" s="63" t="str">
        <f t="shared" ref="M266:M277" si="210">IFERROR(RIGHT(B266,LEN(B266)-FIND("],",B266)-1),"none")</f>
        <v>[effect:ability_lock, target:unit_all, turn:1],[effect:sleep, target:unit_all, turn:1, rate:1],[effect:fix_speed, target:myself, turn:1]</v>
      </c>
      <c r="N266" s="48" t="str">
        <f>IFERROR(LEFT(M266,FIND("],",M266)+#REF!),M266)</f>
        <v>[effect:ability_lock, target:unit_all, turn:1],[effect:sleep, target:unit_all, turn:1, rate:1],[effect:fix_speed, target:myself, turn:1]</v>
      </c>
      <c r="O266" s="63">
        <f t="shared" si="114"/>
        <v>9</v>
      </c>
      <c r="P266" s="63">
        <f t="shared" ref="P266:P277" si="211">IFERROR(FIND(",",N266),LEN(N266))</f>
        <v>21</v>
      </c>
      <c r="Q266" s="63">
        <f t="shared" ref="Q266:Q277" si="212">FIND("target:",N266)+7</f>
        <v>30</v>
      </c>
      <c r="R266" s="63">
        <f t="shared" ref="R266:R277" si="213">FIND(",",N266,P266+1)</f>
        <v>38</v>
      </c>
      <c r="S266" s="63" t="str">
        <f>IFERROR(VLOOKUP(MID(N266,Q266,R266-Q266),[6]skilldef!$C:$D,2,FALSE),"-") &amp; " / " &amp; IFERROR(VLOOKUP(MID(N266,O266,P266-O266),[6]skilldef!$A:$B,2,FALSE),"-")</f>
        <v>味方全体に / -</v>
      </c>
      <c r="T266" s="48" t="str">
        <f t="shared" ref="T266:T277" si="214">IFERROR(RIGHT(M266,LEN(M266)-FIND("],",M266)-1),"none")</f>
        <v>[effect:sleep, target:unit_all, turn:1, rate:1],[effect:fix_speed, target:myself, turn:1]</v>
      </c>
      <c r="U266" s="63">
        <f t="shared" si="119"/>
        <v>9</v>
      </c>
      <c r="V266" s="63">
        <f t="shared" ref="V266:V277" si="215">IFERROR(FIND(",",T266),LEN(T266))</f>
        <v>14</v>
      </c>
      <c r="W266" s="63">
        <f t="shared" ref="W266:W277" si="216">FIND("target:",T266)+7</f>
        <v>23</v>
      </c>
      <c r="X266" s="63">
        <f t="shared" ref="X266:X277" si="217">FIND(",",T266,V266+1)</f>
        <v>31</v>
      </c>
      <c r="Y266" s="63" t="str">
        <f>IFERROR(VLOOKUP(MID(T266,W266,X266-W266),[6]skilldef!$C:$D,2,FALSE),"-") &amp; " / " &amp; IFERROR(VLOOKUP(MID(T266,U266,V266-U266),[6]skilldef!$A:$B,2,FALSE),"-")</f>
        <v>味方全体に / スリープ</v>
      </c>
      <c r="Z266" s="50"/>
      <c r="AA266" s="52"/>
      <c r="AB266" s="50"/>
    </row>
    <row r="267" spans="1:28" ht="40" customHeight="1" x14ac:dyDescent="0.15">
      <c r="A267" s="110">
        <v>47004812</v>
      </c>
      <c r="B267" s="132" t="s">
        <v>513</v>
      </c>
      <c r="C267" s="111">
        <v>3</v>
      </c>
      <c r="D267" s="111" t="s">
        <v>127</v>
      </c>
      <c r="E267" s="112" t="s">
        <v>301</v>
      </c>
      <c r="F267" s="112" t="s">
        <v>483</v>
      </c>
      <c r="G267" s="63" t="str">
        <f t="shared" si="206"/>
        <v>[effect:enemy_message, val1:2.4, val2:3.4]</v>
      </c>
      <c r="H267" s="63">
        <f t="shared" si="109"/>
        <v>9</v>
      </c>
      <c r="I267" s="63">
        <f t="shared" si="207"/>
        <v>22</v>
      </c>
      <c r="J267" s="63" t="e">
        <f t="shared" si="208"/>
        <v>#VALUE!</v>
      </c>
      <c r="K267" s="63">
        <f t="shared" si="209"/>
        <v>32</v>
      </c>
      <c r="L267" s="63" t="str">
        <f>IFERROR(VLOOKUP(MID(G267,J267,K267-J267),[6]skilldef!$C:$D,2,FALSE),"-") &amp; " / " &amp; IFERROR(VLOOKUP(MID(G267,H267,I267-H267),[6]skilldef!$A:$B,2,FALSE),"-")</f>
        <v>- / -</v>
      </c>
      <c r="M267" s="63" t="str">
        <f t="shared" si="210"/>
        <v>[effect:change_panel_ratio, turn:-1, block_type:yellow, val:0.02, animation:block_incidence04],[effect:suicide, target:myself, val:1, dead_type:escape]</v>
      </c>
      <c r="N267" s="48" t="str">
        <f>IFERROR(LEFT(M267,FIND("],",M267)+#REF!),M267)</f>
        <v>[effect:change_panel_ratio, turn:-1, block_type:yellow, val:0.02, animation:block_incidence04],[effect:suicide, target:myself, val:1, dead_type:escape]</v>
      </c>
      <c r="O267" s="63">
        <f t="shared" si="114"/>
        <v>9</v>
      </c>
      <c r="P267" s="63">
        <f t="shared" si="211"/>
        <v>27</v>
      </c>
      <c r="Q267" s="63">
        <f t="shared" si="212"/>
        <v>120</v>
      </c>
      <c r="R267" s="63">
        <f t="shared" si="213"/>
        <v>36</v>
      </c>
      <c r="S267" s="63" t="str">
        <f>IFERROR(VLOOKUP(MID(N267,Q267,R267-Q267),[6]skilldef!$C:$D,2,FALSE),"-") &amp; " / " &amp; IFERROR(VLOOKUP(MID(N267,O267,P267-O267),[6]skilldef!$A:$B,2,FALSE),"-")</f>
        <v>- / -</v>
      </c>
      <c r="T267" s="48" t="str">
        <f t="shared" si="214"/>
        <v>[effect:suicide, target:myself, val:1, dead_type:escape]</v>
      </c>
      <c r="U267" s="63">
        <f t="shared" si="119"/>
        <v>9</v>
      </c>
      <c r="V267" s="63">
        <f t="shared" si="215"/>
        <v>16</v>
      </c>
      <c r="W267" s="63">
        <f t="shared" si="216"/>
        <v>25</v>
      </c>
      <c r="X267" s="63">
        <f t="shared" si="217"/>
        <v>31</v>
      </c>
      <c r="Y267" s="63" t="str">
        <f>IFERROR(VLOOKUP(MID(T267,W267,X267-W267),[6]skilldef!$C:$D,2,FALSE),"-") &amp; " / " &amp; IFERROR(VLOOKUP(MID(T267,U267,V267-U267),[6]skilldef!$A:$B,2,FALSE),"-")</f>
        <v>自分自身に / -</v>
      </c>
      <c r="Z267" s="50"/>
      <c r="AA267" s="52"/>
      <c r="AB267" s="50"/>
    </row>
    <row r="268" spans="1:28" ht="40" customHeight="1" x14ac:dyDescent="0.15">
      <c r="A268" s="110">
        <v>47004813</v>
      </c>
      <c r="B268" s="132" t="s">
        <v>514</v>
      </c>
      <c r="C268" s="111">
        <v>3</v>
      </c>
      <c r="D268" s="111" t="s">
        <v>127</v>
      </c>
      <c r="E268" s="116" t="s">
        <v>274</v>
      </c>
      <c r="F268" s="112" t="s">
        <v>458</v>
      </c>
      <c r="G268" s="63" t="str">
        <f t="shared" si="206"/>
        <v>[effect:enemy_message, val1:2.3, val2:1.8]</v>
      </c>
      <c r="H268" s="63">
        <f t="shared" ref="H268:H271" si="218">FIND("effect:",G268)+7</f>
        <v>9</v>
      </c>
      <c r="I268" s="63">
        <f t="shared" si="207"/>
        <v>22</v>
      </c>
      <c r="J268" s="63" t="e">
        <f t="shared" si="208"/>
        <v>#VALUE!</v>
      </c>
      <c r="K268" s="63">
        <f t="shared" si="209"/>
        <v>32</v>
      </c>
      <c r="L268" s="63" t="str">
        <f>IFERROR(VLOOKUP(MID(G268,J268,K268-J268),[6]skilldef!$C:$D,2,FALSE),"-") &amp; " / " &amp; IFERROR(VLOOKUP(MID(G268,H268,I268-H268),[6]skilldef!$A:$B,2,FALSE),"-")</f>
        <v>- / -</v>
      </c>
      <c r="M268" s="63" t="str">
        <f t="shared" si="210"/>
        <v>[effect:ability_lock, target:unit_all, turn:1],[effect:sleep, target:unit_all, turn:1, rate:1],[effect:regenerate, turn:-1, target:unit_all, val:1225, type:fix, animation:heal01],[effect:fix_speed, target:myself, turn:1]</v>
      </c>
      <c r="N268" s="48" t="str">
        <f>IFERROR(LEFT(M268,FIND("],",M268)+S280),M268)</f>
        <v>[effect:ability_lock, target:unit_all, turn:1],[effect:sleep, target:unit_all, turn:1, rate:1],[effect:regenerate, turn:-1, target:unit_all, val:1225, type:fix, animation:heal01],[effect:fix_speed, target:myself, turn:1]</v>
      </c>
      <c r="O268" s="63">
        <f t="shared" ref="O268:O271" si="219">FIND("effect:",N268)+7</f>
        <v>9</v>
      </c>
      <c r="P268" s="63">
        <f t="shared" si="211"/>
        <v>21</v>
      </c>
      <c r="Q268" s="63">
        <f t="shared" si="212"/>
        <v>30</v>
      </c>
      <c r="R268" s="63">
        <f t="shared" si="213"/>
        <v>38</v>
      </c>
      <c r="S268" s="63" t="str">
        <f>IFERROR(VLOOKUP(MID(N268,Q268,R268-Q268),[6]skilldef!$C:$D,2,FALSE),"-") &amp; " / " &amp; IFERROR(VLOOKUP(MID(N268,O268,P268-O268),[6]skilldef!$A:$B,2,FALSE),"-")</f>
        <v>味方全体に / -</v>
      </c>
      <c r="T268" s="48" t="str">
        <f t="shared" si="214"/>
        <v>[effect:sleep, target:unit_all, turn:1, rate:1],[effect:regenerate, turn:-1, target:unit_all, val:1225, type:fix, animation:heal01],[effect:fix_speed, target:myself, turn:1]</v>
      </c>
      <c r="U268" s="63">
        <f t="shared" ref="U268:U271" si="220">FIND("effect:",T268)+7</f>
        <v>9</v>
      </c>
      <c r="V268" s="63">
        <f t="shared" si="215"/>
        <v>14</v>
      </c>
      <c r="W268" s="63">
        <f t="shared" si="216"/>
        <v>23</v>
      </c>
      <c r="X268" s="63">
        <f t="shared" si="217"/>
        <v>31</v>
      </c>
      <c r="Y268" s="63" t="str">
        <f>IFERROR(VLOOKUP(MID(T268,W268,X268-W268),[6]skilldef!$C:$D,2,FALSE),"-") &amp; " / " &amp; IFERROR(VLOOKUP(MID(T268,U268,V268-U268),[6]skilldef!$A:$B,2,FALSE),"-")</f>
        <v>味方全体に / スリープ</v>
      </c>
      <c r="Z268" s="50"/>
      <c r="AA268" s="52"/>
      <c r="AB268" s="50"/>
    </row>
    <row r="269" spans="1:28" ht="40" customHeight="1" x14ac:dyDescent="0.15">
      <c r="A269" s="110">
        <v>47004814</v>
      </c>
      <c r="B269" s="132" t="s">
        <v>515</v>
      </c>
      <c r="C269" s="111">
        <v>3</v>
      </c>
      <c r="D269" s="111" t="s">
        <v>127</v>
      </c>
      <c r="E269" s="116" t="s">
        <v>275</v>
      </c>
      <c r="F269" s="112" t="s">
        <v>458</v>
      </c>
      <c r="G269" s="63" t="str">
        <f t="shared" si="206"/>
        <v>[effect:enemy_message, val1:1.9, val2:1.8]</v>
      </c>
      <c r="H269" s="63">
        <f t="shared" si="218"/>
        <v>9</v>
      </c>
      <c r="I269" s="63">
        <f t="shared" si="207"/>
        <v>22</v>
      </c>
      <c r="J269" s="63" t="e">
        <f t="shared" si="208"/>
        <v>#VALUE!</v>
      </c>
      <c r="K269" s="63">
        <f t="shared" si="209"/>
        <v>32</v>
      </c>
      <c r="L269" s="63" t="str">
        <f>IFERROR(VLOOKUP(MID(G269,J269,K269-J269),[6]skilldef!$C:$D,2,FALSE),"-") &amp; " / " &amp; IFERROR(VLOOKUP(MID(G269,H269,I269-H269),[6]skilldef!$A:$B,2,FALSE),"-")</f>
        <v>- / -</v>
      </c>
      <c r="M269" s="63" t="str">
        <f t="shared" si="210"/>
        <v>[effect:ability_lock, target:unit_all, turn:1],[effect:sleep, target:unit_all, turn:1, rate:1],[effect:regenerate, turn:-1, target:unit_all, val:1225, type:fix, animation:heal01],[effect:fix_speed, target:myself, turn:1]</v>
      </c>
      <c r="N269" s="48" t="str">
        <f>IFERROR(LEFT(M269,FIND("],",M269)+S281),M269)</f>
        <v>[effect:ability_lock, target:unit_all, turn:1],[effect:sleep, target:unit_all, turn:1, rate:1],[effect:regenerate, turn:-1, target:unit_all, val:1225, type:fix, animation:heal01],[effect:fix_speed, target:myself, turn:1]</v>
      </c>
      <c r="O269" s="63">
        <f t="shared" si="219"/>
        <v>9</v>
      </c>
      <c r="P269" s="63">
        <f t="shared" si="211"/>
        <v>21</v>
      </c>
      <c r="Q269" s="63">
        <f t="shared" si="212"/>
        <v>30</v>
      </c>
      <c r="R269" s="63">
        <f t="shared" si="213"/>
        <v>38</v>
      </c>
      <c r="S269" s="63" t="str">
        <f>IFERROR(VLOOKUP(MID(N269,Q269,R269-Q269),[6]skilldef!$C:$D,2,FALSE),"-") &amp; " / " &amp; IFERROR(VLOOKUP(MID(N269,O269,P269-O269),[6]skilldef!$A:$B,2,FALSE),"-")</f>
        <v>味方全体に / -</v>
      </c>
      <c r="T269" s="48" t="str">
        <f t="shared" si="214"/>
        <v>[effect:sleep, target:unit_all, turn:1, rate:1],[effect:regenerate, turn:-1, target:unit_all, val:1225, type:fix, animation:heal01],[effect:fix_speed, target:myself, turn:1]</v>
      </c>
      <c r="U269" s="63">
        <f t="shared" si="220"/>
        <v>9</v>
      </c>
      <c r="V269" s="63">
        <f t="shared" si="215"/>
        <v>14</v>
      </c>
      <c r="W269" s="63">
        <f t="shared" si="216"/>
        <v>23</v>
      </c>
      <c r="X269" s="63">
        <f t="shared" si="217"/>
        <v>31</v>
      </c>
      <c r="Y269" s="63" t="str">
        <f>IFERROR(VLOOKUP(MID(T269,W269,X269-W269),[6]skilldef!$C:$D,2,FALSE),"-") &amp; " / " &amp; IFERROR(VLOOKUP(MID(T269,U269,V269-U269),[6]skilldef!$A:$B,2,FALSE),"-")</f>
        <v>味方全体に / スリープ</v>
      </c>
      <c r="Z269" s="50"/>
      <c r="AA269" s="52"/>
      <c r="AB269" s="50"/>
    </row>
    <row r="270" spans="1:28" ht="40" customHeight="1" x14ac:dyDescent="0.15">
      <c r="A270" s="110">
        <v>47004815</v>
      </c>
      <c r="B270" s="132" t="s">
        <v>514</v>
      </c>
      <c r="C270" s="111">
        <v>3</v>
      </c>
      <c r="D270" s="111" t="s">
        <v>127</v>
      </c>
      <c r="E270" s="116" t="s">
        <v>276</v>
      </c>
      <c r="F270" s="112" t="s">
        <v>458</v>
      </c>
      <c r="G270" s="63" t="str">
        <f t="shared" si="206"/>
        <v>[effect:enemy_message, val1:2.3, val2:1.8]</v>
      </c>
      <c r="H270" s="63">
        <f t="shared" si="218"/>
        <v>9</v>
      </c>
      <c r="I270" s="63">
        <f t="shared" si="207"/>
        <v>22</v>
      </c>
      <c r="J270" s="63" t="e">
        <f t="shared" si="208"/>
        <v>#VALUE!</v>
      </c>
      <c r="K270" s="63">
        <f t="shared" si="209"/>
        <v>32</v>
      </c>
      <c r="L270" s="63" t="str">
        <f>IFERROR(VLOOKUP(MID(G270,J270,K270-J270),[6]skilldef!$C:$D,2,FALSE),"-") &amp; " / " &amp; IFERROR(VLOOKUP(MID(G270,H270,I270-H270),[6]skilldef!$A:$B,2,FALSE),"-")</f>
        <v>- / -</v>
      </c>
      <c r="M270" s="63" t="str">
        <f t="shared" si="210"/>
        <v>[effect:ability_lock, target:unit_all, turn:1],[effect:sleep, target:unit_all, turn:1, rate:1],[effect:regenerate, turn:-1, target:unit_all, val:1225, type:fix, animation:heal01],[effect:fix_speed, target:myself, turn:1]</v>
      </c>
      <c r="N270" s="48" t="str">
        <f>IFERROR(LEFT(M270,FIND("],",M270)+S285),M270)</f>
        <v>[effect:ability_lock, target:unit_all, turn:1],[effect:sleep, target:unit_all, turn:1, rate:1],[effect:regenerate, turn:-1, target:unit_all, val:1225, type:fix, animation:heal01],[effect:fix_speed, target:myself, turn:1]</v>
      </c>
      <c r="O270" s="63">
        <f t="shared" si="219"/>
        <v>9</v>
      </c>
      <c r="P270" s="63">
        <f t="shared" si="211"/>
        <v>21</v>
      </c>
      <c r="Q270" s="63">
        <f t="shared" si="212"/>
        <v>30</v>
      </c>
      <c r="R270" s="63">
        <f t="shared" si="213"/>
        <v>38</v>
      </c>
      <c r="S270" s="63" t="str">
        <f>IFERROR(VLOOKUP(MID(N270,Q270,R270-Q270),[6]skilldef!$C:$D,2,FALSE),"-") &amp; " / " &amp; IFERROR(VLOOKUP(MID(N270,O270,P270-O270),[6]skilldef!$A:$B,2,FALSE),"-")</f>
        <v>味方全体に / -</v>
      </c>
      <c r="T270" s="48" t="str">
        <f t="shared" si="214"/>
        <v>[effect:sleep, target:unit_all, turn:1, rate:1],[effect:regenerate, turn:-1, target:unit_all, val:1225, type:fix, animation:heal01],[effect:fix_speed, target:myself, turn:1]</v>
      </c>
      <c r="U270" s="63">
        <f t="shared" si="220"/>
        <v>9</v>
      </c>
      <c r="V270" s="63">
        <f t="shared" si="215"/>
        <v>14</v>
      </c>
      <c r="W270" s="63">
        <f t="shared" si="216"/>
        <v>23</v>
      </c>
      <c r="X270" s="63">
        <f t="shared" si="217"/>
        <v>31</v>
      </c>
      <c r="Y270" s="63" t="str">
        <f>IFERROR(VLOOKUP(MID(T270,W270,X270-W270),[6]skilldef!$C:$D,2,FALSE),"-") &amp; " / " &amp; IFERROR(VLOOKUP(MID(T270,U270,V270-U270),[6]skilldef!$A:$B,2,FALSE),"-")</f>
        <v>味方全体に / スリープ</v>
      </c>
      <c r="Z270" s="50"/>
      <c r="AA270" s="52"/>
      <c r="AB270" s="50"/>
    </row>
    <row r="271" spans="1:28" ht="40" customHeight="1" x14ac:dyDescent="0.15">
      <c r="A271" s="110">
        <v>47004816</v>
      </c>
      <c r="B271" s="132" t="s">
        <v>514</v>
      </c>
      <c r="C271" s="111">
        <v>3</v>
      </c>
      <c r="D271" s="111" t="s">
        <v>127</v>
      </c>
      <c r="E271" s="116" t="s">
        <v>277</v>
      </c>
      <c r="F271" s="112" t="s">
        <v>458</v>
      </c>
      <c r="G271" s="63" t="str">
        <f t="shared" si="206"/>
        <v>[effect:enemy_message, val1:2.3, val2:1.8]</v>
      </c>
      <c r="H271" s="63">
        <f t="shared" si="218"/>
        <v>9</v>
      </c>
      <c r="I271" s="63">
        <f t="shared" si="207"/>
        <v>22</v>
      </c>
      <c r="J271" s="63" t="e">
        <f t="shared" si="208"/>
        <v>#VALUE!</v>
      </c>
      <c r="K271" s="63">
        <f t="shared" si="209"/>
        <v>32</v>
      </c>
      <c r="L271" s="63" t="str">
        <f>IFERROR(VLOOKUP(MID(G271,J271,K271-J271),[6]skilldef!$C:$D,2,FALSE),"-") &amp; " / " &amp; IFERROR(VLOOKUP(MID(G271,H271,I271-H271),[6]skilldef!$A:$B,2,FALSE),"-")</f>
        <v>- / -</v>
      </c>
      <c r="M271" s="63" t="str">
        <f t="shared" si="210"/>
        <v>[effect:ability_lock, target:unit_all, turn:1],[effect:sleep, target:unit_all, turn:1, rate:1],[effect:regenerate, turn:-1, target:unit_all, val:1225, type:fix, animation:heal01],[effect:fix_speed, target:myself, turn:1]</v>
      </c>
      <c r="N271" s="48" t="str">
        <f>IFERROR(LEFT(M271,FIND("],",M271)+S286),M271)</f>
        <v>[effect:ability_lock, target:unit_all, turn:1],[effect:sleep, target:unit_all, turn:1, rate:1],[effect:regenerate, turn:-1, target:unit_all, val:1225, type:fix, animation:heal01],[effect:fix_speed, target:myself, turn:1]</v>
      </c>
      <c r="O271" s="63">
        <f t="shared" si="219"/>
        <v>9</v>
      </c>
      <c r="P271" s="63">
        <f t="shared" si="211"/>
        <v>21</v>
      </c>
      <c r="Q271" s="63">
        <f t="shared" si="212"/>
        <v>30</v>
      </c>
      <c r="R271" s="63">
        <f t="shared" si="213"/>
        <v>38</v>
      </c>
      <c r="S271" s="63" t="str">
        <f>IFERROR(VLOOKUP(MID(N271,Q271,R271-Q271),[6]skilldef!$C:$D,2,FALSE),"-") &amp; " / " &amp; IFERROR(VLOOKUP(MID(N271,O271,P271-O271),[6]skilldef!$A:$B,2,FALSE),"-")</f>
        <v>味方全体に / -</v>
      </c>
      <c r="T271" s="48" t="str">
        <f t="shared" si="214"/>
        <v>[effect:sleep, target:unit_all, turn:1, rate:1],[effect:regenerate, turn:-1, target:unit_all, val:1225, type:fix, animation:heal01],[effect:fix_speed, target:myself, turn:1]</v>
      </c>
      <c r="U271" s="63">
        <f t="shared" si="220"/>
        <v>9</v>
      </c>
      <c r="V271" s="63">
        <f t="shared" si="215"/>
        <v>14</v>
      </c>
      <c r="W271" s="63">
        <f t="shared" si="216"/>
        <v>23</v>
      </c>
      <c r="X271" s="63">
        <f t="shared" si="217"/>
        <v>31</v>
      </c>
      <c r="Y271" s="63" t="str">
        <f>IFERROR(VLOOKUP(MID(T271,W271,X271-W271),[6]skilldef!$C:$D,2,FALSE),"-") &amp; " / " &amp; IFERROR(VLOOKUP(MID(T271,U271,V271-U271),[6]skilldef!$A:$B,2,FALSE),"-")</f>
        <v>味方全体に / スリープ</v>
      </c>
      <c r="Z271" s="50"/>
      <c r="AA271" s="52"/>
      <c r="AB271" s="50"/>
    </row>
    <row r="272" spans="1:28" ht="40" customHeight="1" x14ac:dyDescent="0.15">
      <c r="A272" s="110">
        <v>47004817</v>
      </c>
      <c r="B272" s="132" t="s">
        <v>516</v>
      </c>
      <c r="C272" s="111">
        <v>3</v>
      </c>
      <c r="D272" s="111" t="s">
        <v>127</v>
      </c>
      <c r="E272" s="129" t="s">
        <v>387</v>
      </c>
      <c r="F272" s="112" t="s">
        <v>458</v>
      </c>
      <c r="G272" s="63" t="str">
        <f t="shared" ref="G272:G273" si="221">IFERROR(LEFT(B272,FIND("],",B272)),B272)</f>
        <v>[effect:enemy_message, val1:2.0, val2:1.8]</v>
      </c>
      <c r="H272" s="63">
        <f t="shared" ref="H272:H273" si="222">FIND("effect:",G272)+7</f>
        <v>9</v>
      </c>
      <c r="I272" s="63">
        <f t="shared" ref="I272:I273" si="223">IFERROR(FIND(",",G272),LEN(G272))</f>
        <v>22</v>
      </c>
      <c r="J272" s="63" t="e">
        <f t="shared" ref="J272:J273" si="224">FIND("target:",G272)+7</f>
        <v>#VALUE!</v>
      </c>
      <c r="K272" s="63">
        <f t="shared" ref="K272:K273" si="225">FIND(",",G272,I272+1)</f>
        <v>32</v>
      </c>
      <c r="L272" s="63" t="str">
        <f>IFERROR(VLOOKUP(MID(G272,J272,K272-J272),[6]skilldef!$C:$D,2,FALSE),"-") &amp; " / " &amp; IFERROR(VLOOKUP(MID(G272,H272,I272-H272),[6]skilldef!$A:$B,2,FALSE),"-")</f>
        <v>- / -</v>
      </c>
      <c r="M272" s="63" t="str">
        <f t="shared" ref="M272:M273" si="226">IFERROR(RIGHT(B272,LEN(B272)-FIND("],",B272)-1),"none")</f>
        <v>[effect:ability_lock, target:unit_all, turn:1],[effect:sleep, target:unit_all, turn:1, rate:1],[effect:regenerate, turn:1, target:unit_all, val:1225, type:fix, animation:heal01_unit01],[effect:fix_speed, target:myself, turn:1]</v>
      </c>
      <c r="N272" s="48" t="str">
        <f>IFERROR(LEFT(M272,FIND("],",M272)+S287),M272)</f>
        <v>[effect:ability_lock, target:unit_all, turn:1],[effect:sleep, target:unit_all, turn:1, rate:1],[effect:regenerate, turn:1, target:unit_all, val:1225, type:fix, animation:heal01_unit01],[effect:fix_speed, target:myself, turn:1]</v>
      </c>
      <c r="O272" s="63">
        <f t="shared" ref="O272:O273" si="227">FIND("effect:",N272)+7</f>
        <v>9</v>
      </c>
      <c r="P272" s="63">
        <f t="shared" ref="P272:P273" si="228">IFERROR(FIND(",",N272),LEN(N272))</f>
        <v>21</v>
      </c>
      <c r="Q272" s="63">
        <f t="shared" ref="Q272:Q273" si="229">FIND("target:",N272)+7</f>
        <v>30</v>
      </c>
      <c r="R272" s="63">
        <f t="shared" ref="R272:R273" si="230">FIND(",",N272,P272+1)</f>
        <v>38</v>
      </c>
      <c r="S272" s="63" t="str">
        <f>IFERROR(VLOOKUP(MID(N272,Q272,R272-Q272),[6]skilldef!$C:$D,2,FALSE),"-") &amp; " / " &amp; IFERROR(VLOOKUP(MID(N272,O272,P272-O272),[6]skilldef!$A:$B,2,FALSE),"-")</f>
        <v>味方全体に / -</v>
      </c>
      <c r="T272" s="48" t="str">
        <f t="shared" ref="T272:T273" si="231">IFERROR(RIGHT(M272,LEN(M272)-FIND("],",M272)-1),"none")</f>
        <v>[effect:sleep, target:unit_all, turn:1, rate:1],[effect:regenerate, turn:1, target:unit_all, val:1225, type:fix, animation:heal01_unit01],[effect:fix_speed, target:myself, turn:1]</v>
      </c>
      <c r="U272" s="63">
        <f t="shared" ref="U272:U273" si="232">FIND("effect:",T272)+7</f>
        <v>9</v>
      </c>
      <c r="V272" s="63">
        <f t="shared" ref="V272:V273" si="233">IFERROR(FIND(",",T272),LEN(T272))</f>
        <v>14</v>
      </c>
      <c r="W272" s="63">
        <f t="shared" ref="W272:W273" si="234">FIND("target:",T272)+7</f>
        <v>23</v>
      </c>
      <c r="X272" s="63">
        <f t="shared" ref="X272:X273" si="235">FIND(",",T272,V272+1)</f>
        <v>31</v>
      </c>
      <c r="Y272" s="63" t="str">
        <f>IFERROR(VLOOKUP(MID(T272,W272,X272-W272),[6]skilldef!$C:$D,2,FALSE),"-") &amp; " / " &amp; IFERROR(VLOOKUP(MID(T272,U272,V272-U272),[6]skilldef!$A:$B,2,FALSE),"-")</f>
        <v>味方全体に / スリープ</v>
      </c>
      <c r="Z272" s="50"/>
      <c r="AA272" s="52"/>
      <c r="AB272" s="50"/>
    </row>
    <row r="273" spans="1:28" ht="40" customHeight="1" x14ac:dyDescent="0.15">
      <c r="A273" s="110">
        <v>47004818</v>
      </c>
      <c r="B273" s="132" t="s">
        <v>517</v>
      </c>
      <c r="C273" s="111">
        <v>3</v>
      </c>
      <c r="D273" s="111" t="s">
        <v>127</v>
      </c>
      <c r="E273" s="129" t="s">
        <v>388</v>
      </c>
      <c r="F273" s="112" t="s">
        <v>458</v>
      </c>
      <c r="G273" s="63" t="str">
        <f t="shared" si="221"/>
        <v>[effect:enemy_message, val1:1.9, val2:1.8]</v>
      </c>
      <c r="H273" s="63">
        <f t="shared" si="222"/>
        <v>9</v>
      </c>
      <c r="I273" s="63">
        <f t="shared" si="223"/>
        <v>22</v>
      </c>
      <c r="J273" s="63" t="e">
        <f t="shared" si="224"/>
        <v>#VALUE!</v>
      </c>
      <c r="K273" s="63">
        <f t="shared" si="225"/>
        <v>32</v>
      </c>
      <c r="L273" s="63" t="str">
        <f>IFERROR(VLOOKUP(MID(G273,J273,K273-J273),[6]skilldef!$C:$D,2,FALSE),"-") &amp; " / " &amp; IFERROR(VLOOKUP(MID(G273,H273,I273-H273),[6]skilldef!$A:$B,2,FALSE),"-")</f>
        <v>- / -</v>
      </c>
      <c r="M273" s="63" t="str">
        <f t="shared" si="226"/>
        <v>[effect:ability_lock, target:unit_all, turn:1],[effect:sleep, target:unit_all, turn:1, rate:1],[effect:regenerate, turn:1, target:unit_all, val:1225, type:fix, animation:heal01_unit01],[effect:fix_speed, target:myself, turn:1]</v>
      </c>
      <c r="N273" s="48" t="str">
        <f>IFERROR(LEFT(M273,FIND("],",M273)+S288),M273)</f>
        <v>[effect:ability_lock, target:unit_all, turn:1],[effect:sleep, target:unit_all, turn:1, rate:1],[effect:regenerate, turn:1, target:unit_all, val:1225, type:fix, animation:heal01_unit01],[effect:fix_speed, target:myself, turn:1]</v>
      </c>
      <c r="O273" s="63">
        <f t="shared" si="227"/>
        <v>9</v>
      </c>
      <c r="P273" s="63">
        <f t="shared" si="228"/>
        <v>21</v>
      </c>
      <c r="Q273" s="63">
        <f t="shared" si="229"/>
        <v>30</v>
      </c>
      <c r="R273" s="63">
        <f t="shared" si="230"/>
        <v>38</v>
      </c>
      <c r="S273" s="63" t="str">
        <f>IFERROR(VLOOKUP(MID(N273,Q273,R273-Q273),[6]skilldef!$C:$D,2,FALSE),"-") &amp; " / " &amp; IFERROR(VLOOKUP(MID(N273,O273,P273-O273),[6]skilldef!$A:$B,2,FALSE),"-")</f>
        <v>味方全体に / -</v>
      </c>
      <c r="T273" s="48" t="str">
        <f t="shared" si="231"/>
        <v>[effect:sleep, target:unit_all, turn:1, rate:1],[effect:regenerate, turn:1, target:unit_all, val:1225, type:fix, animation:heal01_unit01],[effect:fix_speed, target:myself, turn:1]</v>
      </c>
      <c r="U273" s="63">
        <f t="shared" si="232"/>
        <v>9</v>
      </c>
      <c r="V273" s="63">
        <f t="shared" si="233"/>
        <v>14</v>
      </c>
      <c r="W273" s="63">
        <f t="shared" si="234"/>
        <v>23</v>
      </c>
      <c r="X273" s="63">
        <f t="shared" si="235"/>
        <v>31</v>
      </c>
      <c r="Y273" s="63" t="str">
        <f>IFERROR(VLOOKUP(MID(T273,W273,X273-W273),[6]skilldef!$C:$D,2,FALSE),"-") &amp; " / " &amp; IFERROR(VLOOKUP(MID(T273,U273,V273-U273),[6]skilldef!$A:$B,2,FALSE),"-")</f>
        <v>味方全体に / スリープ</v>
      </c>
      <c r="Z273" s="50"/>
      <c r="AA273" s="52"/>
      <c r="AB273" s="50"/>
    </row>
    <row r="274" spans="1:28" ht="40" customHeight="1" x14ac:dyDescent="0.15">
      <c r="A274" s="47">
        <v>47004831</v>
      </c>
      <c r="B274" s="133" t="s">
        <v>518</v>
      </c>
      <c r="C274" s="50">
        <v>3</v>
      </c>
      <c r="D274" s="50" t="s">
        <v>127</v>
      </c>
      <c r="E274" s="51" t="s">
        <v>316</v>
      </c>
      <c r="F274" s="51" t="s">
        <v>478</v>
      </c>
      <c r="G274" s="63" t="str">
        <f t="shared" si="206"/>
        <v>[effect:enemy_message, val1:2.3, val2:1.2]</v>
      </c>
      <c r="H274" s="63">
        <f t="shared" si="109"/>
        <v>9</v>
      </c>
      <c r="I274" s="63">
        <f t="shared" si="207"/>
        <v>22</v>
      </c>
      <c r="J274" s="63" t="e">
        <f t="shared" si="208"/>
        <v>#VALUE!</v>
      </c>
      <c r="K274" s="63">
        <f t="shared" si="209"/>
        <v>32</v>
      </c>
      <c r="L274" s="63" t="str">
        <f>IFERROR(VLOOKUP(MID(G274,J274,K274-J274),[6]skilldef!$C:$D,2,FALSE),"-") &amp; " / " &amp; IFERROR(VLOOKUP(MID(G274,H274,I274-H274),[6]skilldef!$A:$B,2,FALSE),"-")</f>
        <v>- / -</v>
      </c>
      <c r="M274" s="63" t="str">
        <f t="shared" si="210"/>
        <v>[effect:enhance_enemy, target:enemy_all, turn:2, status:attack, val:0.5, calc:mul, animation:enemy_enhance_attack],[effect:fix_speed, target:myself, turn:2]</v>
      </c>
      <c r="N274" s="48" t="str">
        <f>IFERROR(LEFT(M274,FIND("],",M274)+#REF!),M274)</f>
        <v>[effect:enhance_enemy, target:enemy_all, turn:2, status:attack, val:0.5, calc:mul, animation:enemy_enhance_attack],[effect:fix_speed, target:myself, turn:2]</v>
      </c>
      <c r="O274" s="63">
        <f t="shared" si="114"/>
        <v>9</v>
      </c>
      <c r="P274" s="63">
        <f t="shared" si="211"/>
        <v>22</v>
      </c>
      <c r="Q274" s="63">
        <f t="shared" si="212"/>
        <v>31</v>
      </c>
      <c r="R274" s="63">
        <f t="shared" si="213"/>
        <v>40</v>
      </c>
      <c r="S274" s="63" t="str">
        <f>IFERROR(VLOOKUP(MID(N274,Q274,R274-Q274),[6]skilldef!$C:$D,2,FALSE),"-") &amp; " / " &amp; IFERROR(VLOOKUP(MID(N274,O274,P274-O274),[6]skilldef!$A:$B,2,FALSE),"-")</f>
        <v>敵全体に / ステータス強化</v>
      </c>
      <c r="T274" s="48" t="str">
        <f t="shared" si="214"/>
        <v>[effect:fix_speed, target:myself, turn:2]</v>
      </c>
      <c r="U274" s="63">
        <f t="shared" si="119"/>
        <v>9</v>
      </c>
      <c r="V274" s="63">
        <f t="shared" si="215"/>
        <v>18</v>
      </c>
      <c r="W274" s="63">
        <f t="shared" si="216"/>
        <v>27</v>
      </c>
      <c r="X274" s="63">
        <f t="shared" si="217"/>
        <v>33</v>
      </c>
      <c r="Y274" s="63" t="str">
        <f>IFERROR(VLOOKUP(MID(T274,W274,X274-W274),[6]skilldef!$C:$D,2,FALSE),"-") &amp; " / " &amp; IFERROR(VLOOKUP(MID(T274,U274,V274-U274),[6]skilldef!$A:$B,2,FALSE),"-")</f>
        <v>自分自身に / 行動値設定</v>
      </c>
      <c r="Z274" s="50"/>
      <c r="AA274" s="52"/>
      <c r="AB274" s="50"/>
    </row>
    <row r="275" spans="1:28" ht="40" customHeight="1" x14ac:dyDescent="0.15">
      <c r="A275" s="47">
        <v>47004832</v>
      </c>
      <c r="B275" s="136" t="s">
        <v>611</v>
      </c>
      <c r="C275" s="50">
        <v>3</v>
      </c>
      <c r="D275" s="50" t="s">
        <v>127</v>
      </c>
      <c r="E275" s="51" t="s">
        <v>317</v>
      </c>
      <c r="F275" s="51" t="s">
        <v>292</v>
      </c>
      <c r="G275" s="63" t="str">
        <f t="shared" si="206"/>
        <v>[effect:enemy_message, val1:2.1, val2:2.8]</v>
      </c>
      <c r="H275" s="63">
        <f t="shared" si="109"/>
        <v>9</v>
      </c>
      <c r="I275" s="63">
        <f t="shared" si="207"/>
        <v>22</v>
      </c>
      <c r="J275" s="63" t="e">
        <f t="shared" si="208"/>
        <v>#VALUE!</v>
      </c>
      <c r="K275" s="63">
        <f t="shared" si="209"/>
        <v>32</v>
      </c>
      <c r="L275" s="63" t="str">
        <f>IFERROR(VLOOKUP(MID(G275,J275,K275-J275),[6]skilldef!$C:$D,2,FALSE),"-") &amp; " / " &amp; IFERROR(VLOOKUP(MID(G275,H275,I275-H275),[6]skilldef!$A:$B,2,FALSE),"-")</f>
        <v>- / -</v>
      </c>
      <c r="M275" s="63" t="str">
        <f t="shared" si="210"/>
        <v>[effect:force_change_block, new_block:damage, target:block_heart, count:0, val:0.05],[effect:spread, val:0.1],[effect:spread, val:0.1]</v>
      </c>
      <c r="N275" s="48" t="str">
        <f>IFERROR(LEFT(M275,FIND("],",M275)+#REF!),M275)</f>
        <v>[effect:force_change_block, new_block:damage, target:block_heart, count:0, val:0.05],[effect:spread, val:0.1],[effect:spread, val:0.1]</v>
      </c>
      <c r="O275" s="63">
        <f t="shared" si="114"/>
        <v>9</v>
      </c>
      <c r="P275" s="63">
        <f t="shared" si="211"/>
        <v>27</v>
      </c>
      <c r="Q275" s="63">
        <f t="shared" si="212"/>
        <v>54</v>
      </c>
      <c r="R275" s="63">
        <f t="shared" si="213"/>
        <v>45</v>
      </c>
      <c r="S275" s="63" t="str">
        <f>IFERROR(VLOOKUP(MID(N275,Q275,R275-Q275),[6]skilldef!$C:$D,2,FALSE),"-") &amp; " / " &amp; IFERROR(VLOOKUP(MID(N275,O275,P275-O275),[6]skilldef!$A:$B,2,FALSE),"-")</f>
        <v>- / -</v>
      </c>
      <c r="T275" s="48" t="str">
        <f t="shared" si="214"/>
        <v>[effect:spread, val:0.1],[effect:spread, val:0.1]</v>
      </c>
      <c r="U275" s="63">
        <f t="shared" si="119"/>
        <v>9</v>
      </c>
      <c r="V275" s="63">
        <f t="shared" si="215"/>
        <v>15</v>
      </c>
      <c r="W275" s="63" t="e">
        <f t="shared" si="216"/>
        <v>#VALUE!</v>
      </c>
      <c r="X275" s="63">
        <f t="shared" si="217"/>
        <v>25</v>
      </c>
      <c r="Y275" s="63" t="str">
        <f>IFERROR(VLOOKUP(MID(T275,W275,X275-W275),[6]skilldef!$C:$D,2,FALSE),"-") &amp; " / " &amp; IFERROR(VLOOKUP(MID(T275,U275,V275-U275),[6]skilldef!$A:$B,2,FALSE),"-")</f>
        <v>- / 全体攻撃</v>
      </c>
      <c r="Z275" s="50"/>
      <c r="AA275" s="52"/>
      <c r="AB275" s="50"/>
    </row>
    <row r="276" spans="1:28" ht="40" customHeight="1" x14ac:dyDescent="0.15">
      <c r="A276" s="47">
        <v>47004833</v>
      </c>
      <c r="B276" s="133" t="s">
        <v>520</v>
      </c>
      <c r="C276" s="50">
        <v>3</v>
      </c>
      <c r="D276" s="50" t="s">
        <v>127</v>
      </c>
      <c r="E276" s="51" t="s">
        <v>338</v>
      </c>
      <c r="F276" s="51" t="s">
        <v>298</v>
      </c>
      <c r="G276" s="63" t="str">
        <f t="shared" si="206"/>
        <v>[effect:enemy_message, val1:1.6, val2:2.7]</v>
      </c>
      <c r="H276" s="63">
        <f t="shared" si="109"/>
        <v>9</v>
      </c>
      <c r="I276" s="63">
        <f t="shared" si="207"/>
        <v>22</v>
      </c>
      <c r="J276" s="63" t="e">
        <f t="shared" si="208"/>
        <v>#VALUE!</v>
      </c>
      <c r="K276" s="63">
        <f t="shared" si="209"/>
        <v>32</v>
      </c>
      <c r="L276" s="63" t="str">
        <f>IFERROR(VLOOKUP(MID(G276,J276,K276-J276),[6]skilldef!$C:$D,2,FALSE),"-") &amp; " / " &amp; IFERROR(VLOOKUP(MID(G276,H276,I276-H276),[6]skilldef!$A:$B,2,FALSE),"-")</f>
        <v>- / -</v>
      </c>
      <c r="M276" s="63" t="str">
        <f t="shared" si="210"/>
        <v>[effect:force_change_block, new_block:block_red, target:block_blue, count:10, val:0],[effect:rush, count:1, val:1.0],[effect:freq_turn, target:myself, turn:-1, val:1, animation:enemy_freq_turn]</v>
      </c>
      <c r="N276" s="48" t="str">
        <f>IFERROR(LEFT(M276,FIND("],",M276)+S279),M276)</f>
        <v>[effect:force_change_block, new_block:block_red, target:block_blue, count:10, val:0],[effect:rush, count:1, val:1.0],[effect:freq_turn, target:myself, turn:-1, val:1, animation:enemy_freq_turn]</v>
      </c>
      <c r="O276" s="63">
        <f t="shared" si="114"/>
        <v>9</v>
      </c>
      <c r="P276" s="63">
        <f t="shared" si="211"/>
        <v>27</v>
      </c>
      <c r="Q276" s="63">
        <f t="shared" si="212"/>
        <v>57</v>
      </c>
      <c r="R276" s="63">
        <f t="shared" si="213"/>
        <v>48</v>
      </c>
      <c r="S276" s="63" t="str">
        <f>IFERROR(VLOOKUP(MID(N276,Q276,R276-Q276),[6]skilldef!$C:$D,2,FALSE),"-") &amp; " / " &amp; IFERROR(VLOOKUP(MID(N276,O276,P276-O276),[6]skilldef!$A:$B,2,FALSE),"-")</f>
        <v>- / -</v>
      </c>
      <c r="T276" s="48" t="str">
        <f t="shared" si="214"/>
        <v>[effect:rush, count:1, val:1.0],[effect:freq_turn, target:myself, turn:-1, val:1, animation:enemy_freq_turn]</v>
      </c>
      <c r="U276" s="63">
        <f t="shared" si="119"/>
        <v>9</v>
      </c>
      <c r="V276" s="63">
        <f t="shared" si="215"/>
        <v>13</v>
      </c>
      <c r="W276" s="63">
        <f t="shared" si="216"/>
        <v>59</v>
      </c>
      <c r="X276" s="63">
        <f t="shared" si="217"/>
        <v>22</v>
      </c>
      <c r="Y276" s="63" t="str">
        <f>IFERROR(VLOOKUP(MID(T276,W276,X276-W276),[6]skilldef!$C:$D,2,FALSE),"-") &amp; " / " &amp; IFERROR(VLOOKUP(MID(T276,U276,V276-U276),[6]skilldef!$A:$B,2,FALSE),"-")</f>
        <v>- / 連続攻撃</v>
      </c>
      <c r="Z276" s="50"/>
      <c r="AA276" s="52"/>
      <c r="AB276" s="50"/>
    </row>
    <row r="277" spans="1:28" ht="40" customHeight="1" x14ac:dyDescent="0.15">
      <c r="A277" s="47">
        <v>47004834</v>
      </c>
      <c r="B277" s="133" t="s">
        <v>521</v>
      </c>
      <c r="C277" s="50">
        <v>3</v>
      </c>
      <c r="D277" s="50" t="s">
        <v>127</v>
      </c>
      <c r="E277" s="51" t="s">
        <v>318</v>
      </c>
      <c r="F277" s="51" t="s">
        <v>257</v>
      </c>
      <c r="G277" s="63" t="str">
        <f t="shared" si="206"/>
        <v>[effect:enemy_message, val1:1.2, val2:1.2]</v>
      </c>
      <c r="H277" s="63">
        <f t="shared" si="109"/>
        <v>9</v>
      </c>
      <c r="I277" s="63">
        <f t="shared" si="207"/>
        <v>22</v>
      </c>
      <c r="J277" s="63" t="e">
        <f t="shared" si="208"/>
        <v>#VALUE!</v>
      </c>
      <c r="K277" s="63">
        <f t="shared" si="209"/>
        <v>32</v>
      </c>
      <c r="L277" s="63" t="str">
        <f>IFERROR(VLOOKUP(MID(G277,J277,K277-J277),[6]skilldef!$C:$D,2,FALSE),"-") &amp; " / " &amp; IFERROR(VLOOKUP(MID(G277,H277,I277-H277),[6]skilldef!$A:$B,2,FALSE),"-")</f>
        <v>- / -</v>
      </c>
      <c r="M277" s="63" t="str">
        <f t="shared" si="210"/>
        <v>[effect:spread, val:0.25]</v>
      </c>
      <c r="N277" s="48" t="str">
        <f>IFERROR(LEFT(M277,FIND("],",M277)+S280),M277)</f>
        <v>[effect:spread, val:0.25]</v>
      </c>
      <c r="O277" s="63">
        <f t="shared" si="114"/>
        <v>9</v>
      </c>
      <c r="P277" s="63">
        <f t="shared" si="211"/>
        <v>15</v>
      </c>
      <c r="Q277" s="63" t="e">
        <f t="shared" si="212"/>
        <v>#VALUE!</v>
      </c>
      <c r="R277" s="63" t="e">
        <f t="shared" si="213"/>
        <v>#VALUE!</v>
      </c>
      <c r="S277" s="63" t="str">
        <f>IFERROR(VLOOKUP(MID(N277,Q277,R277-Q277),[6]skilldef!$C:$D,2,FALSE),"-") &amp; " / " &amp; IFERROR(VLOOKUP(MID(N277,O277,P277-O277),[6]skilldef!$A:$B,2,FALSE),"-")</f>
        <v>- / 全体攻撃</v>
      </c>
      <c r="T277" s="48" t="str">
        <f t="shared" si="214"/>
        <v>none</v>
      </c>
      <c r="U277" s="63" t="e">
        <f t="shared" si="119"/>
        <v>#VALUE!</v>
      </c>
      <c r="V277" s="63">
        <f t="shared" si="215"/>
        <v>4</v>
      </c>
      <c r="W277" s="63" t="e">
        <f t="shared" si="216"/>
        <v>#VALUE!</v>
      </c>
      <c r="X277" s="63" t="e">
        <f t="shared" si="217"/>
        <v>#VALUE!</v>
      </c>
      <c r="Y277" s="63" t="str">
        <f>IFERROR(VLOOKUP(MID(T277,W277,X277-W277),[6]skilldef!$C:$D,2,FALSE),"-") &amp; " / " &amp; IFERROR(VLOOKUP(MID(T277,U277,V277-U277),[6]skilldef!$A:$B,2,FALSE),"-")</f>
        <v>- / -</v>
      </c>
      <c r="Z277" s="50"/>
      <c r="AA277" s="52"/>
      <c r="AB277" s="50"/>
    </row>
    <row r="278" spans="1:28" ht="40" customHeight="1" x14ac:dyDescent="0.15">
      <c r="A278" s="47">
        <v>47004835</v>
      </c>
      <c r="B278" s="136" t="s">
        <v>612</v>
      </c>
      <c r="C278" s="50">
        <v>3</v>
      </c>
      <c r="D278" s="50" t="s">
        <v>339</v>
      </c>
      <c r="E278" s="51" t="s">
        <v>343</v>
      </c>
      <c r="F278" s="51" t="s">
        <v>293</v>
      </c>
      <c r="G278" s="63" t="str">
        <f t="shared" ref="G278:G287" si="236">IFERROR(LEFT(B278,FIND("],",B278)),B278)</f>
        <v>[effect:enemy_message, val1:1.8, val2:1.3]</v>
      </c>
      <c r="H278" s="63">
        <f t="shared" si="109"/>
        <v>9</v>
      </c>
      <c r="I278" s="63">
        <f t="shared" ref="I278:I287" si="237">IFERROR(FIND(",",G278),LEN(G278))</f>
        <v>22</v>
      </c>
      <c r="J278" s="63" t="e">
        <f t="shared" ref="J278:J287" si="238">FIND("target:",G278)+7</f>
        <v>#VALUE!</v>
      </c>
      <c r="K278" s="63">
        <f t="shared" ref="K278:K287" si="239">FIND(",",G278,I278+1)</f>
        <v>32</v>
      </c>
      <c r="L278" s="63" t="str">
        <f>IFERROR(VLOOKUP(MID(G278,J278,K278-J278),[6]skilldef!$C:$D,2,FALSE),"-") &amp; " / " &amp; IFERROR(VLOOKUP(MID(G278,H278,I278-H278),[6]skilldef!$A:$B,2,FALSE),"-")</f>
        <v>- / -</v>
      </c>
      <c r="M278" s="63" t="str">
        <f t="shared" ref="M278:M287" si="240">IFERROR(RIGHT(B278,LEN(B278)-FIND("],",B278)-1),"none")</f>
        <v>[effect:break_attack_fix, target:unit_one, val:1000, lowest_val:4000, count:-1, color:red, block_color:block_heart, block01:block_heart]</v>
      </c>
      <c r="N278" s="48" t="str">
        <f>IFERROR(LEFT(M278,FIND("],",M278)+S281),M278)</f>
        <v>[effect:break_attack_fix, target:unit_one, val:1000, lowest_val:4000, count:-1, color:red, block_color:block_heart, block01:block_heart]</v>
      </c>
      <c r="O278" s="63">
        <f t="shared" si="114"/>
        <v>9</v>
      </c>
      <c r="P278" s="63">
        <f t="shared" ref="P278:P287" si="241">IFERROR(FIND(",",N278),LEN(N278))</f>
        <v>25</v>
      </c>
      <c r="Q278" s="63">
        <f t="shared" ref="Q278:Q287" si="242">FIND("target:",N278)+7</f>
        <v>34</v>
      </c>
      <c r="R278" s="63">
        <f t="shared" ref="R278:R287" si="243">FIND(",",N278,P278+1)</f>
        <v>42</v>
      </c>
      <c r="S278" s="63" t="str">
        <f>IFERROR(VLOOKUP(MID(N278,Q278,R278-Q278),[6]skilldef!$C:$D,2,FALSE),"-") &amp; " / " &amp; IFERROR(VLOOKUP(MID(N278,O278,P278-O278),[6]skilldef!$A:$B,2,FALSE),"-")</f>
        <v>味方単体に / -</v>
      </c>
      <c r="T278" s="48" t="str">
        <f t="shared" ref="T278:T287" si="244">IFERROR(RIGHT(M278,LEN(M278)-FIND("],",M278)-1),"none")</f>
        <v>none</v>
      </c>
      <c r="U278" s="63" t="e">
        <f t="shared" si="119"/>
        <v>#VALUE!</v>
      </c>
      <c r="V278" s="63">
        <f t="shared" ref="V278:V287" si="245">IFERROR(FIND(",",T278),LEN(T278))</f>
        <v>4</v>
      </c>
      <c r="W278" s="63" t="e">
        <f t="shared" ref="W278:W287" si="246">FIND("target:",T278)+7</f>
        <v>#VALUE!</v>
      </c>
      <c r="X278" s="63" t="e">
        <f t="shared" ref="X278:X287" si="247">FIND(",",T278,V278+1)</f>
        <v>#VALUE!</v>
      </c>
      <c r="Y278" s="63" t="str">
        <f>IFERROR(VLOOKUP(MID(T278,W278,X278-W278),[6]skilldef!$C:$D,2,FALSE),"-") &amp; " / " &amp; IFERROR(VLOOKUP(MID(T278,U278,V278-U278),[6]skilldef!$A:$B,2,FALSE),"-")</f>
        <v>- / -</v>
      </c>
      <c r="Z278" s="50"/>
      <c r="AA278" s="52"/>
      <c r="AB278" s="50"/>
    </row>
    <row r="279" spans="1:28" ht="40" customHeight="1" x14ac:dyDescent="0.15">
      <c r="A279" s="47">
        <v>47004836</v>
      </c>
      <c r="B279" s="133" t="s">
        <v>523</v>
      </c>
      <c r="C279" s="50">
        <v>3</v>
      </c>
      <c r="D279" s="50" t="s">
        <v>127</v>
      </c>
      <c r="E279" s="116" t="s">
        <v>278</v>
      </c>
      <c r="F279" s="51" t="s">
        <v>478</v>
      </c>
      <c r="G279" s="63" t="str">
        <f t="shared" si="236"/>
        <v>[effect:enemy_message, val1:2.6, val2:1.2]</v>
      </c>
      <c r="H279" s="63">
        <f t="shared" si="109"/>
        <v>9</v>
      </c>
      <c r="I279" s="63">
        <f t="shared" si="237"/>
        <v>22</v>
      </c>
      <c r="J279" s="63" t="e">
        <f t="shared" si="238"/>
        <v>#VALUE!</v>
      </c>
      <c r="K279" s="63">
        <f t="shared" si="239"/>
        <v>32</v>
      </c>
      <c r="L279" s="63" t="str">
        <f>IFERROR(VLOOKUP(MID(G279,J279,K279-J279),[6]skilldef!$C:$D,2,FALSE),"-") &amp; " / " &amp; IFERROR(VLOOKUP(MID(G279,H279,I279-H279),[6]skilldef!$A:$B,2,FALSE),"-")</f>
        <v>- / -</v>
      </c>
      <c r="M279" s="63" t="str">
        <f t="shared" si="240"/>
        <v>[effect:enhance_enemy, target:enemy_all, turn:2, status:attack, val:0.5, calc:mul, animation:enemy_enhance_attack],[effect:fix_speed, target:myself, turn:2]</v>
      </c>
      <c r="N279" s="48" t="str">
        <f>IFERROR(LEFT(M279,FIND("],",M279)+S287),M279)</f>
        <v>[effect:enhance_enemy, target:enemy_all, turn:2, status:attack, val:0.5, calc:mul, animation:enemy_enhance_attack],[effect:fix_speed, target:myself, turn:2]</v>
      </c>
      <c r="O279" s="63">
        <f t="shared" si="114"/>
        <v>9</v>
      </c>
      <c r="P279" s="63">
        <f t="shared" si="241"/>
        <v>22</v>
      </c>
      <c r="Q279" s="63">
        <f t="shared" si="242"/>
        <v>31</v>
      </c>
      <c r="R279" s="63">
        <f t="shared" si="243"/>
        <v>40</v>
      </c>
      <c r="S279" s="63" t="str">
        <f>IFERROR(VLOOKUP(MID(N279,Q279,R279-Q279),[6]skilldef!$C:$D,2,FALSE),"-") &amp; " / " &amp; IFERROR(VLOOKUP(MID(N279,O279,P279-O279),[6]skilldef!$A:$B,2,FALSE),"-")</f>
        <v>敵全体に / ステータス強化</v>
      </c>
      <c r="T279" s="48" t="str">
        <f t="shared" si="244"/>
        <v>[effect:fix_speed, target:myself, turn:2]</v>
      </c>
      <c r="U279" s="63">
        <f t="shared" si="119"/>
        <v>9</v>
      </c>
      <c r="V279" s="63">
        <f t="shared" si="245"/>
        <v>18</v>
      </c>
      <c r="W279" s="63">
        <f t="shared" si="246"/>
        <v>27</v>
      </c>
      <c r="X279" s="63">
        <f t="shared" si="247"/>
        <v>33</v>
      </c>
      <c r="Y279" s="63" t="str">
        <f>IFERROR(VLOOKUP(MID(T279,W279,X279-W279),[6]skilldef!$C:$D,2,FALSE),"-") &amp; " / " &amp; IFERROR(VLOOKUP(MID(T279,U279,V279-U279),[6]skilldef!$A:$B,2,FALSE),"-")</f>
        <v>自分自身に / 行動値設定</v>
      </c>
      <c r="Z279" s="50"/>
      <c r="AA279" s="52"/>
      <c r="AB279" s="50"/>
    </row>
    <row r="280" spans="1:28" ht="40" customHeight="1" x14ac:dyDescent="0.15">
      <c r="A280" s="47">
        <v>47004837</v>
      </c>
      <c r="B280" s="133" t="s">
        <v>524</v>
      </c>
      <c r="C280" s="50">
        <v>3</v>
      </c>
      <c r="D280" s="50" t="s">
        <v>127</v>
      </c>
      <c r="E280" s="116" t="s">
        <v>279</v>
      </c>
      <c r="F280" s="51" t="s">
        <v>478</v>
      </c>
      <c r="G280" s="63" t="str">
        <f t="shared" si="236"/>
        <v>[effect:enemy_message, val1:2.8, val2:1.2]</v>
      </c>
      <c r="H280" s="63">
        <f t="shared" si="109"/>
        <v>9</v>
      </c>
      <c r="I280" s="63">
        <f t="shared" si="237"/>
        <v>22</v>
      </c>
      <c r="J280" s="63" t="e">
        <f t="shared" si="238"/>
        <v>#VALUE!</v>
      </c>
      <c r="K280" s="63">
        <f t="shared" si="239"/>
        <v>32</v>
      </c>
      <c r="L280" s="63" t="str">
        <f>IFERROR(VLOOKUP(MID(G280,J280,K280-J280),[6]skilldef!$C:$D,2,FALSE),"-") &amp; " / " &amp; IFERROR(VLOOKUP(MID(G280,H280,I280-H280),[6]skilldef!$A:$B,2,FALSE),"-")</f>
        <v>- / -</v>
      </c>
      <c r="M280" s="63" t="str">
        <f t="shared" si="240"/>
        <v>[effect:enhance_enemy, target:enemy_all, turn:2, status:attack, val:0.5, calc:mul, animation:enemy_enhance_attack],[effect:fix_speed, target:myself, turn:2]</v>
      </c>
      <c r="N280" s="48" t="str">
        <f>IFERROR(LEFT(M280,FIND("],",M280)+#REF!),M280)</f>
        <v>[effect:enhance_enemy, target:enemy_all, turn:2, status:attack, val:0.5, calc:mul, animation:enemy_enhance_attack],[effect:fix_speed, target:myself, turn:2]</v>
      </c>
      <c r="O280" s="63">
        <f t="shared" si="114"/>
        <v>9</v>
      </c>
      <c r="P280" s="63">
        <f t="shared" si="241"/>
        <v>22</v>
      </c>
      <c r="Q280" s="63">
        <f t="shared" si="242"/>
        <v>31</v>
      </c>
      <c r="R280" s="63">
        <f t="shared" si="243"/>
        <v>40</v>
      </c>
      <c r="S280" s="63" t="str">
        <f>IFERROR(VLOOKUP(MID(N280,Q280,R280-Q280),[6]skilldef!$C:$D,2,FALSE),"-") &amp; " / " &amp; IFERROR(VLOOKUP(MID(N280,O280,P280-O280),[6]skilldef!$A:$B,2,FALSE),"-")</f>
        <v>敵全体に / ステータス強化</v>
      </c>
      <c r="T280" s="48" t="str">
        <f t="shared" si="244"/>
        <v>[effect:fix_speed, target:myself, turn:2]</v>
      </c>
      <c r="U280" s="63">
        <f t="shared" si="119"/>
        <v>9</v>
      </c>
      <c r="V280" s="63">
        <f t="shared" si="245"/>
        <v>18</v>
      </c>
      <c r="W280" s="63">
        <f t="shared" si="246"/>
        <v>27</v>
      </c>
      <c r="X280" s="63">
        <f t="shared" si="247"/>
        <v>33</v>
      </c>
      <c r="Y280" s="63" t="str">
        <f>IFERROR(VLOOKUP(MID(T280,W280,X280-W280),[6]skilldef!$C:$D,2,FALSE),"-") &amp; " / " &amp; IFERROR(VLOOKUP(MID(T280,U280,V280-U280),[6]skilldef!$A:$B,2,FALSE),"-")</f>
        <v>自分自身に / 行動値設定</v>
      </c>
      <c r="Z280" s="50"/>
      <c r="AA280" s="52"/>
      <c r="AB280" s="50"/>
    </row>
    <row r="281" spans="1:28" ht="40" customHeight="1" x14ac:dyDescent="0.15">
      <c r="A281" s="47">
        <v>47004838</v>
      </c>
      <c r="B281" s="133" t="s">
        <v>525</v>
      </c>
      <c r="C281" s="50">
        <v>3</v>
      </c>
      <c r="D281" s="50" t="s">
        <v>127</v>
      </c>
      <c r="E281" s="116" t="s">
        <v>280</v>
      </c>
      <c r="F281" s="51" t="s">
        <v>478</v>
      </c>
      <c r="G281" s="63" t="str">
        <f t="shared" si="236"/>
        <v>[effect:enemy_message, val1:1.9, val2:1.2]</v>
      </c>
      <c r="H281" s="63">
        <f t="shared" si="109"/>
        <v>9</v>
      </c>
      <c r="I281" s="63">
        <f t="shared" si="237"/>
        <v>22</v>
      </c>
      <c r="J281" s="63" t="e">
        <f t="shared" si="238"/>
        <v>#VALUE!</v>
      </c>
      <c r="K281" s="63">
        <f t="shared" si="239"/>
        <v>32</v>
      </c>
      <c r="L281" s="63" t="str">
        <f>IFERROR(VLOOKUP(MID(G281,J281,K281-J281),[6]skilldef!$C:$D,2,FALSE),"-") &amp; " / " &amp; IFERROR(VLOOKUP(MID(G281,H281,I281-H281),[6]skilldef!$A:$B,2,FALSE),"-")</f>
        <v>- / -</v>
      </c>
      <c r="M281" s="63" t="str">
        <f t="shared" si="240"/>
        <v>[effect:enhance_enemy, target:enemy_all, turn:2, status:attack, val:0.5, calc:mul, animation:enemy_enhance_attack],[effect:fix_speed, target:myself, turn:2]</v>
      </c>
      <c r="N281" s="48" t="str">
        <f>IFERROR(LEFT(M281,FIND("],",M281)+S288),M281)</f>
        <v>[effect:enhance_enemy, target:enemy_all, turn:2, status:attack, val:0.5, calc:mul, animation:enemy_enhance_attack],[effect:fix_speed, target:myself, turn:2]</v>
      </c>
      <c r="O281" s="63">
        <f t="shared" si="114"/>
        <v>9</v>
      </c>
      <c r="P281" s="63">
        <f t="shared" si="241"/>
        <v>22</v>
      </c>
      <c r="Q281" s="63">
        <f t="shared" si="242"/>
        <v>31</v>
      </c>
      <c r="R281" s="63">
        <f t="shared" si="243"/>
        <v>40</v>
      </c>
      <c r="S281" s="63" t="str">
        <f>IFERROR(VLOOKUP(MID(N281,Q281,R281-Q281),[6]skilldef!$C:$D,2,FALSE),"-") &amp; " / " &amp; IFERROR(VLOOKUP(MID(N281,O281,P281-O281),[6]skilldef!$A:$B,2,FALSE),"-")</f>
        <v>敵全体に / ステータス強化</v>
      </c>
      <c r="T281" s="48" t="str">
        <f t="shared" si="244"/>
        <v>[effect:fix_speed, target:myself, turn:2]</v>
      </c>
      <c r="U281" s="63">
        <f t="shared" si="119"/>
        <v>9</v>
      </c>
      <c r="V281" s="63">
        <f t="shared" si="245"/>
        <v>18</v>
      </c>
      <c r="W281" s="63">
        <f t="shared" si="246"/>
        <v>27</v>
      </c>
      <c r="X281" s="63">
        <f t="shared" si="247"/>
        <v>33</v>
      </c>
      <c r="Y281" s="63" t="str">
        <f>IFERROR(VLOOKUP(MID(T281,W281,X281-W281),[6]skilldef!$C:$D,2,FALSE),"-") &amp; " / " &amp; IFERROR(VLOOKUP(MID(T281,U281,V281-U281),[6]skilldef!$A:$B,2,FALSE),"-")</f>
        <v>自分自身に / 行動値設定</v>
      </c>
      <c r="Z281" s="50"/>
      <c r="AA281" s="52"/>
      <c r="AB281" s="50"/>
    </row>
    <row r="282" spans="1:28" ht="40" customHeight="1" x14ac:dyDescent="0.15">
      <c r="A282" s="47">
        <v>47004839</v>
      </c>
      <c r="B282" s="133" t="s">
        <v>526</v>
      </c>
      <c r="C282" s="50">
        <v>3</v>
      </c>
      <c r="D282" s="50" t="s">
        <v>127</v>
      </c>
      <c r="E282" s="116" t="s">
        <v>281</v>
      </c>
      <c r="F282" s="51" t="s">
        <v>478</v>
      </c>
      <c r="G282" s="63" t="str">
        <f t="shared" si="236"/>
        <v>[effect:enemy_message, val1:2.2, val2:1.2]</v>
      </c>
      <c r="H282" s="63">
        <f t="shared" si="109"/>
        <v>9</v>
      </c>
      <c r="I282" s="63">
        <f t="shared" si="237"/>
        <v>22</v>
      </c>
      <c r="J282" s="63" t="e">
        <f t="shared" si="238"/>
        <v>#VALUE!</v>
      </c>
      <c r="K282" s="63">
        <f t="shared" si="239"/>
        <v>32</v>
      </c>
      <c r="L282" s="63" t="str">
        <f>IFERROR(VLOOKUP(MID(G282,J282,K282-J282),[6]skilldef!$C:$D,2,FALSE),"-") &amp; " / " &amp; IFERROR(VLOOKUP(MID(G282,H282,I282-H282),[6]skilldef!$A:$B,2,FALSE),"-")</f>
        <v>- / -</v>
      </c>
      <c r="M282" s="63" t="str">
        <f t="shared" si="240"/>
        <v>[effect:enhance_enemy, target:enemy_all, turn:2, status:attack, val:0.5, calc:mul, animation:enemy_enhance_attack],[effect:fix_speed, target:myself, turn:2]</v>
      </c>
      <c r="N282" s="48" t="str">
        <f>IFERROR(LEFT(M282,FIND("],",M282)+S289),M282)</f>
        <v>[effect:enhance_enemy, target:enemy_all, turn:2, status:attack, val:0.5, calc:mul, animation:enemy_enhance_attack],[effect:fix_speed, target:myself, turn:2]</v>
      </c>
      <c r="O282" s="63">
        <f t="shared" si="114"/>
        <v>9</v>
      </c>
      <c r="P282" s="63">
        <f t="shared" si="241"/>
        <v>22</v>
      </c>
      <c r="Q282" s="63">
        <f t="shared" si="242"/>
        <v>31</v>
      </c>
      <c r="R282" s="63">
        <f t="shared" si="243"/>
        <v>40</v>
      </c>
      <c r="S282" s="63" t="str">
        <f>IFERROR(VLOOKUP(MID(N282,Q282,R282-Q282),[6]skilldef!$C:$D,2,FALSE),"-") &amp; " / " &amp; IFERROR(VLOOKUP(MID(N282,O282,P282-O282),[6]skilldef!$A:$B,2,FALSE),"-")</f>
        <v>敵全体に / ステータス強化</v>
      </c>
      <c r="T282" s="48" t="str">
        <f t="shared" si="244"/>
        <v>[effect:fix_speed, target:myself, turn:2]</v>
      </c>
      <c r="U282" s="63">
        <f t="shared" si="119"/>
        <v>9</v>
      </c>
      <c r="V282" s="63">
        <f t="shared" si="245"/>
        <v>18</v>
      </c>
      <c r="W282" s="63">
        <f t="shared" si="246"/>
        <v>27</v>
      </c>
      <c r="X282" s="63">
        <f t="shared" si="247"/>
        <v>33</v>
      </c>
      <c r="Y282" s="63" t="str">
        <f>IFERROR(VLOOKUP(MID(T282,W282,X282-W282),[6]skilldef!$C:$D,2,FALSE),"-") &amp; " / " &amp; IFERROR(VLOOKUP(MID(T282,U282,V282-U282),[6]skilldef!$A:$B,2,FALSE),"-")</f>
        <v>自分自身に / 行動値設定</v>
      </c>
      <c r="Z282" s="50"/>
      <c r="AA282" s="52"/>
      <c r="AB282" s="50"/>
    </row>
    <row r="283" spans="1:28" ht="40" customHeight="1" x14ac:dyDescent="0.15">
      <c r="A283" s="47">
        <v>47004840</v>
      </c>
      <c r="B283" s="133" t="s">
        <v>525</v>
      </c>
      <c r="C283" s="50">
        <v>3</v>
      </c>
      <c r="D283" s="50" t="s">
        <v>127</v>
      </c>
      <c r="E283" s="129" t="s">
        <v>389</v>
      </c>
      <c r="F283" s="51" t="s">
        <v>478</v>
      </c>
      <c r="G283" s="63" t="str">
        <f t="shared" ref="G283:G284" si="248">IFERROR(LEFT(B283,FIND("],",B283)),B283)</f>
        <v>[effect:enemy_message, val1:1.9, val2:1.2]</v>
      </c>
      <c r="H283" s="63">
        <f t="shared" ref="H283:H284" si="249">FIND("effect:",G283)+7</f>
        <v>9</v>
      </c>
      <c r="I283" s="63">
        <f t="shared" ref="I283:I284" si="250">IFERROR(FIND(",",G283),LEN(G283))</f>
        <v>22</v>
      </c>
      <c r="J283" s="63" t="e">
        <f t="shared" ref="J283:J284" si="251">FIND("target:",G283)+7</f>
        <v>#VALUE!</v>
      </c>
      <c r="K283" s="63">
        <f t="shared" ref="K283:K284" si="252">FIND(",",G283,I283+1)</f>
        <v>32</v>
      </c>
      <c r="L283" s="63" t="str">
        <f>IFERROR(VLOOKUP(MID(G283,J283,K283-J283),[6]skilldef!$C:$D,2,FALSE),"-") &amp; " / " &amp; IFERROR(VLOOKUP(MID(G283,H283,I283-H283),[6]skilldef!$A:$B,2,FALSE),"-")</f>
        <v>- / -</v>
      </c>
      <c r="M283" s="63" t="str">
        <f t="shared" ref="M283:M284" si="253">IFERROR(RIGHT(B283,LEN(B283)-FIND("],",B283)-1),"none")</f>
        <v>[effect:enhance_enemy, target:enemy_all, turn:2, status:attack, val:0.5, calc:mul, animation:enemy_enhance_attack],[effect:fix_speed, target:myself, turn:2]</v>
      </c>
      <c r="N283" s="48" t="str">
        <f t="shared" ref="N283:N284" si="254">IFERROR(LEFT(M283,FIND("],",M283)+S290),M283)</f>
        <v>[effect:enhance_enemy, target:enemy_all, turn:2, status:attack, val:0.5, calc:mul, animation:enemy_enhance_attack],[effect:fix_speed, target:myself, turn:2]</v>
      </c>
      <c r="O283" s="63">
        <f t="shared" ref="O283:O284" si="255">FIND("effect:",N283)+7</f>
        <v>9</v>
      </c>
      <c r="P283" s="63">
        <f t="shared" ref="P283:P284" si="256">IFERROR(FIND(",",N283),LEN(N283))</f>
        <v>22</v>
      </c>
      <c r="Q283" s="63">
        <f t="shared" ref="Q283:Q284" si="257">FIND("target:",N283)+7</f>
        <v>31</v>
      </c>
      <c r="R283" s="63">
        <f t="shared" ref="R283:R284" si="258">FIND(",",N283,P283+1)</f>
        <v>40</v>
      </c>
      <c r="S283" s="63" t="str">
        <f>IFERROR(VLOOKUP(MID(N283,Q283,R283-Q283),[6]skilldef!$C:$D,2,FALSE),"-") &amp; " / " &amp; IFERROR(VLOOKUP(MID(N283,O283,P283-O283),[6]skilldef!$A:$B,2,FALSE),"-")</f>
        <v>敵全体に / ステータス強化</v>
      </c>
      <c r="T283" s="48" t="str">
        <f t="shared" ref="T283:T284" si="259">IFERROR(RIGHT(M283,LEN(M283)-FIND("],",M283)-1),"none")</f>
        <v>[effect:fix_speed, target:myself, turn:2]</v>
      </c>
      <c r="U283" s="63">
        <f t="shared" ref="U283:U284" si="260">FIND("effect:",T283)+7</f>
        <v>9</v>
      </c>
      <c r="V283" s="63">
        <f t="shared" ref="V283:V284" si="261">IFERROR(FIND(",",T283),LEN(T283))</f>
        <v>18</v>
      </c>
      <c r="W283" s="63">
        <f t="shared" ref="W283:W284" si="262">FIND("target:",T283)+7</f>
        <v>27</v>
      </c>
      <c r="X283" s="63">
        <f t="shared" ref="X283:X284" si="263">FIND(",",T283,V283+1)</f>
        <v>33</v>
      </c>
      <c r="Y283" s="63" t="str">
        <f>IFERROR(VLOOKUP(MID(T283,W283,X283-W283),[6]skilldef!$C:$D,2,FALSE),"-") &amp; " / " &amp; IFERROR(VLOOKUP(MID(T283,U283,V283-U283),[6]skilldef!$A:$B,2,FALSE),"-")</f>
        <v>自分自身に / 行動値設定</v>
      </c>
      <c r="Z283" s="50"/>
      <c r="AA283" s="52"/>
      <c r="AB283" s="50"/>
    </row>
    <row r="284" spans="1:28" ht="40" customHeight="1" x14ac:dyDescent="0.15">
      <c r="A284" s="47">
        <v>47004841</v>
      </c>
      <c r="B284" s="133" t="s">
        <v>527</v>
      </c>
      <c r="C284" s="50">
        <v>3</v>
      </c>
      <c r="D284" s="50" t="s">
        <v>127</v>
      </c>
      <c r="E284" s="129" t="s">
        <v>390</v>
      </c>
      <c r="F284" s="51" t="s">
        <v>478</v>
      </c>
      <c r="G284" s="63" t="str">
        <f t="shared" si="248"/>
        <v>[effect:enemy_message, val1:1.8, val2:1.2]</v>
      </c>
      <c r="H284" s="63">
        <f t="shared" si="249"/>
        <v>9</v>
      </c>
      <c r="I284" s="63">
        <f t="shared" si="250"/>
        <v>22</v>
      </c>
      <c r="J284" s="63" t="e">
        <f t="shared" si="251"/>
        <v>#VALUE!</v>
      </c>
      <c r="K284" s="63">
        <f t="shared" si="252"/>
        <v>32</v>
      </c>
      <c r="L284" s="63" t="str">
        <f>IFERROR(VLOOKUP(MID(G284,J284,K284-J284),[6]skilldef!$C:$D,2,FALSE),"-") &amp; " / " &amp; IFERROR(VLOOKUP(MID(G284,H284,I284-H284),[6]skilldef!$A:$B,2,FALSE),"-")</f>
        <v>- / -</v>
      </c>
      <c r="M284" s="63" t="str">
        <f t="shared" si="253"/>
        <v>[effect:enhance_enemy, target:enemy_all, turn:2, status:attack, val:0.5, calc:mul, animation:enemy_enhance_attack],[effect:fix_speed, target:myself, turn:2]</v>
      </c>
      <c r="N284" s="48" t="str">
        <f t="shared" si="254"/>
        <v>[effect:enhance_enemy, target:enemy_all, turn:2, status:attack, val:0.5, calc:mul, animation:enemy_enhance_attack],[effect:fix_speed, target:myself, turn:2]</v>
      </c>
      <c r="O284" s="63">
        <f t="shared" si="255"/>
        <v>9</v>
      </c>
      <c r="P284" s="63">
        <f t="shared" si="256"/>
        <v>22</v>
      </c>
      <c r="Q284" s="63">
        <f t="shared" si="257"/>
        <v>31</v>
      </c>
      <c r="R284" s="63">
        <f t="shared" si="258"/>
        <v>40</v>
      </c>
      <c r="S284" s="63" t="str">
        <f>IFERROR(VLOOKUP(MID(N284,Q284,R284-Q284),[6]skilldef!$C:$D,2,FALSE),"-") &amp; " / " &amp; IFERROR(VLOOKUP(MID(N284,O284,P284-O284),[6]skilldef!$A:$B,2,FALSE),"-")</f>
        <v>敵全体に / ステータス強化</v>
      </c>
      <c r="T284" s="48" t="str">
        <f t="shared" si="259"/>
        <v>[effect:fix_speed, target:myself, turn:2]</v>
      </c>
      <c r="U284" s="63">
        <f t="shared" si="260"/>
        <v>9</v>
      </c>
      <c r="V284" s="63">
        <f t="shared" si="261"/>
        <v>18</v>
      </c>
      <c r="W284" s="63">
        <f t="shared" si="262"/>
        <v>27</v>
      </c>
      <c r="X284" s="63">
        <f t="shared" si="263"/>
        <v>33</v>
      </c>
      <c r="Y284" s="63" t="str">
        <f>IFERROR(VLOOKUP(MID(T284,W284,X284-W284),[6]skilldef!$C:$D,2,FALSE),"-") &amp; " / " &amp; IFERROR(VLOOKUP(MID(T284,U284,V284-U284),[6]skilldef!$A:$B,2,FALSE),"-")</f>
        <v>自分自身に / 行動値設定</v>
      </c>
      <c r="Z284" s="50"/>
      <c r="AA284" s="52"/>
      <c r="AB284" s="50"/>
    </row>
    <row r="285" spans="1:28" ht="40" customHeight="1" x14ac:dyDescent="0.15">
      <c r="A285" s="110">
        <v>47004861</v>
      </c>
      <c r="B285" s="136" t="s">
        <v>613</v>
      </c>
      <c r="C285" s="111">
        <v>3</v>
      </c>
      <c r="D285" s="111" t="s">
        <v>127</v>
      </c>
      <c r="E285" s="112" t="s">
        <v>432</v>
      </c>
      <c r="F285" s="112" t="s">
        <v>428</v>
      </c>
      <c r="G285" s="63" t="str">
        <f t="shared" si="236"/>
        <v>[effect:enemy_message, val1:2.7, val2:5.4]</v>
      </c>
      <c r="H285" s="63">
        <f t="shared" si="109"/>
        <v>9</v>
      </c>
      <c r="I285" s="63">
        <f t="shared" si="237"/>
        <v>22</v>
      </c>
      <c r="J285" s="63" t="e">
        <f t="shared" si="238"/>
        <v>#VALUE!</v>
      </c>
      <c r="K285" s="63">
        <f t="shared" si="239"/>
        <v>32</v>
      </c>
      <c r="L285" s="63" t="str">
        <f>IFERROR(VLOOKUP(MID(G285,J285,K285-J285),[6]skilldef!$C:$D,2,FALSE),"-") &amp; " / " &amp; IFERROR(VLOOKUP(MID(G285,H285,I285-H285),[6]skilldef!$A:$B,2,FALSE),"-")</f>
        <v>- / -</v>
      </c>
      <c r="M285" s="63" t="str">
        <f t="shared" si="240"/>
        <v>[effect:dark, target:unit_all, turn:3, animation:enemy_dark],[effect:force_change_block, new_block:damage, target:block_red, count:5, val:0.05],[effect:fix_speed, target:myself, turn:2]</v>
      </c>
      <c r="N285" s="48" t="str">
        <f>IFERROR(LEFT(M285,FIND("],",M285)+#REF!),M285)</f>
        <v>[effect:dark, target:unit_all, turn:3, animation:enemy_dark],[effect:force_change_block, new_block:damage, target:block_red, count:5, val:0.05],[effect:fix_speed, target:myself, turn:2]</v>
      </c>
      <c r="O285" s="63">
        <f t="shared" si="114"/>
        <v>9</v>
      </c>
      <c r="P285" s="63">
        <f t="shared" si="241"/>
        <v>13</v>
      </c>
      <c r="Q285" s="63">
        <f t="shared" si="242"/>
        <v>22</v>
      </c>
      <c r="R285" s="63">
        <f t="shared" si="243"/>
        <v>30</v>
      </c>
      <c r="S285" s="63" t="str">
        <f>IFERROR(VLOOKUP(MID(N285,Q285,R285-Q285),[6]skilldef!$C:$D,2,FALSE),"-") &amp; " / " &amp; IFERROR(VLOOKUP(MID(N285,O285,P285-O285),[6]skilldef!$A:$B,2,FALSE),"-")</f>
        <v>味方全体に / 暗黒</v>
      </c>
      <c r="T285" s="48" t="str">
        <f t="shared" si="244"/>
        <v>[effect:force_change_block, new_block:damage, target:block_red, count:5, val:0.05],[effect:fix_speed, target:myself, turn:2]</v>
      </c>
      <c r="U285" s="63">
        <f t="shared" si="119"/>
        <v>9</v>
      </c>
      <c r="V285" s="63">
        <f t="shared" si="245"/>
        <v>27</v>
      </c>
      <c r="W285" s="63">
        <f t="shared" si="246"/>
        <v>54</v>
      </c>
      <c r="X285" s="63">
        <f t="shared" si="247"/>
        <v>45</v>
      </c>
      <c r="Y285" s="63" t="str">
        <f>IFERROR(VLOOKUP(MID(T285,W285,X285-W285),[6]skilldef!$C:$D,2,FALSE),"-") &amp; " / " &amp; IFERROR(VLOOKUP(MID(T285,U285,V285-U285),[6]skilldef!$A:$B,2,FALSE),"-")</f>
        <v>- / -</v>
      </c>
      <c r="Z285" s="50"/>
      <c r="AA285" s="52"/>
      <c r="AB285" s="50"/>
    </row>
    <row r="286" spans="1:28" ht="40" customHeight="1" x14ac:dyDescent="0.15">
      <c r="A286" s="110">
        <v>47004862</v>
      </c>
      <c r="B286" s="132" t="s">
        <v>529</v>
      </c>
      <c r="C286" s="111">
        <v>3</v>
      </c>
      <c r="D286" s="111" t="s">
        <v>127</v>
      </c>
      <c r="E286" s="112" t="s">
        <v>314</v>
      </c>
      <c r="F286" s="112" t="s">
        <v>256</v>
      </c>
      <c r="G286" s="63" t="str">
        <f t="shared" si="236"/>
        <v>[effect:enemy_message, val1:2.3, val2:1.2]</v>
      </c>
      <c r="H286" s="63">
        <f t="shared" si="109"/>
        <v>9</v>
      </c>
      <c r="I286" s="63">
        <f t="shared" si="237"/>
        <v>22</v>
      </c>
      <c r="J286" s="63" t="e">
        <f t="shared" si="238"/>
        <v>#VALUE!</v>
      </c>
      <c r="K286" s="63">
        <f t="shared" si="239"/>
        <v>32</v>
      </c>
      <c r="L286" s="63" t="str">
        <f>IFERROR(VLOOKUP(MID(G286,J286,K286-J286),[6]skilldef!$C:$D,2,FALSE),"-") &amp; " / " &amp; IFERROR(VLOOKUP(MID(G286,H286,I286-H286),[6]skilldef!$A:$B,2,FALSE),"-")</f>
        <v>- / -</v>
      </c>
      <c r="M286" s="63" t="str">
        <f t="shared" si="240"/>
        <v>[effect:spread, val:0.25]</v>
      </c>
      <c r="N286" s="48" t="str">
        <f>IFERROR(LEFT(M286,FIND("],",M286)+#REF!),M286)</f>
        <v>[effect:spread, val:0.25]</v>
      </c>
      <c r="O286" s="63">
        <f t="shared" si="114"/>
        <v>9</v>
      </c>
      <c r="P286" s="63">
        <f t="shared" si="241"/>
        <v>15</v>
      </c>
      <c r="Q286" s="63" t="e">
        <f t="shared" si="242"/>
        <v>#VALUE!</v>
      </c>
      <c r="R286" s="63" t="e">
        <f t="shared" si="243"/>
        <v>#VALUE!</v>
      </c>
      <c r="S286" s="63" t="str">
        <f>IFERROR(VLOOKUP(MID(N286,Q286,R286-Q286),[6]skilldef!$C:$D,2,FALSE),"-") &amp; " / " &amp; IFERROR(VLOOKUP(MID(N286,O286,P286-O286),[6]skilldef!$A:$B,2,FALSE),"-")</f>
        <v>- / 全体攻撃</v>
      </c>
      <c r="T286" s="48" t="str">
        <f t="shared" si="244"/>
        <v>none</v>
      </c>
      <c r="U286" s="63" t="e">
        <f t="shared" si="119"/>
        <v>#VALUE!</v>
      </c>
      <c r="V286" s="63">
        <f t="shared" si="245"/>
        <v>4</v>
      </c>
      <c r="W286" s="63" t="e">
        <f t="shared" si="246"/>
        <v>#VALUE!</v>
      </c>
      <c r="X286" s="63" t="e">
        <f t="shared" si="247"/>
        <v>#VALUE!</v>
      </c>
      <c r="Y286" s="63" t="str">
        <f>IFERROR(VLOOKUP(MID(T286,W286,X286-W286),[6]skilldef!$C:$D,2,FALSE),"-") &amp; " / " &amp; IFERROR(VLOOKUP(MID(T286,U286,V286-U286),[6]skilldef!$A:$B,2,FALSE),"-")</f>
        <v>- / -</v>
      </c>
      <c r="Z286" s="50"/>
      <c r="AA286" s="52"/>
      <c r="AB286" s="50"/>
    </row>
    <row r="287" spans="1:28" ht="40" customHeight="1" x14ac:dyDescent="0.15">
      <c r="A287" s="110">
        <v>47004863</v>
      </c>
      <c r="B287" s="132" t="s">
        <v>530</v>
      </c>
      <c r="C287" s="111">
        <v>3</v>
      </c>
      <c r="D287" s="111" t="s">
        <v>127</v>
      </c>
      <c r="E287" s="112" t="s">
        <v>329</v>
      </c>
      <c r="F287" s="112" t="s">
        <v>434</v>
      </c>
      <c r="G287" s="63" t="str">
        <f t="shared" si="236"/>
        <v>[effect:enemy_message, val1:2.3, val2:3.5]</v>
      </c>
      <c r="H287" s="63">
        <f t="shared" si="109"/>
        <v>9</v>
      </c>
      <c r="I287" s="63">
        <f t="shared" si="237"/>
        <v>22</v>
      </c>
      <c r="J287" s="63" t="e">
        <f t="shared" si="238"/>
        <v>#VALUE!</v>
      </c>
      <c r="K287" s="63">
        <f t="shared" si="239"/>
        <v>32</v>
      </c>
      <c r="L287" s="63" t="str">
        <f>IFERROR(VLOOKUP(MID(G287,J287,K287-J287),[6]skilldef!$C:$D,2,FALSE),"-") &amp; " / " &amp; IFERROR(VLOOKUP(MID(G287,H287,I287-H287),[6]skilldef!$A:$B,2,FALSE),"-")</f>
        <v>- / -</v>
      </c>
      <c r="M287" s="63" t="str">
        <f t="shared" si="240"/>
        <v>[effect:suicide, target:myself, val:1, dead_type:escape]</v>
      </c>
      <c r="N287" s="48" t="str">
        <f>IFERROR(LEFT(M287,FIND("],",M287)+S289),M287)</f>
        <v>[effect:suicide, target:myself, val:1, dead_type:escape]</v>
      </c>
      <c r="O287" s="63">
        <f t="shared" si="114"/>
        <v>9</v>
      </c>
      <c r="P287" s="63">
        <f t="shared" si="241"/>
        <v>16</v>
      </c>
      <c r="Q287" s="63">
        <f t="shared" si="242"/>
        <v>25</v>
      </c>
      <c r="R287" s="63">
        <f t="shared" si="243"/>
        <v>31</v>
      </c>
      <c r="S287" s="63" t="str">
        <f>IFERROR(VLOOKUP(MID(N287,Q287,R287-Q287),[6]skilldef!$C:$D,2,FALSE),"-") &amp; " / " &amp; IFERROR(VLOOKUP(MID(N287,O287,P287-O287),[6]skilldef!$A:$B,2,FALSE),"-")</f>
        <v>自分自身に / -</v>
      </c>
      <c r="T287" s="48" t="str">
        <f t="shared" si="244"/>
        <v>none</v>
      </c>
      <c r="U287" s="63" t="e">
        <f t="shared" si="119"/>
        <v>#VALUE!</v>
      </c>
      <c r="V287" s="63">
        <f t="shared" si="245"/>
        <v>4</v>
      </c>
      <c r="W287" s="63" t="e">
        <f t="shared" si="246"/>
        <v>#VALUE!</v>
      </c>
      <c r="X287" s="63" t="e">
        <f t="shared" si="247"/>
        <v>#VALUE!</v>
      </c>
      <c r="Y287" s="63" t="str">
        <f>IFERROR(VLOOKUP(MID(T287,W287,X287-W287),[6]skilldef!$C:$D,2,FALSE),"-") &amp; " / " &amp; IFERROR(VLOOKUP(MID(T287,U287,V287-U287),[6]skilldef!$A:$B,2,FALSE),"-")</f>
        <v>- / -</v>
      </c>
      <c r="Z287" s="50"/>
      <c r="AA287" s="52"/>
      <c r="AB287" s="50"/>
    </row>
    <row r="288" spans="1:28" ht="40" customHeight="1" x14ac:dyDescent="0.15">
      <c r="A288" s="110">
        <v>47004864</v>
      </c>
      <c r="B288" s="136" t="s">
        <v>614</v>
      </c>
      <c r="C288" s="111">
        <v>3</v>
      </c>
      <c r="D288" s="111" t="s">
        <v>127</v>
      </c>
      <c r="E288" s="116" t="s">
        <v>282</v>
      </c>
      <c r="F288" s="112" t="s">
        <v>427</v>
      </c>
      <c r="G288" s="63" t="str">
        <f t="shared" ref="G288:G294" si="264">IFERROR(LEFT(B288,FIND("],",B288)),B288)</f>
        <v>[effect:enemy_message, val1:2.1, val2:1.9]</v>
      </c>
      <c r="H288" s="63">
        <f t="shared" si="109"/>
        <v>9</v>
      </c>
      <c r="I288" s="63">
        <f t="shared" ref="I288:I294" si="265">IFERROR(FIND(",",G288),LEN(G288))</f>
        <v>22</v>
      </c>
      <c r="J288" s="63" t="e">
        <f t="shared" ref="J288:J294" si="266">FIND("target:",G288)+7</f>
        <v>#VALUE!</v>
      </c>
      <c r="K288" s="63">
        <f t="shared" ref="K288:K294" si="267">FIND(",",G288,I288+1)</f>
        <v>32</v>
      </c>
      <c r="L288" s="63" t="str">
        <f>IFERROR(VLOOKUP(MID(G288,J288,K288-J288),[6]skilldef!$C:$D,2,FALSE),"-") &amp; " / " &amp; IFERROR(VLOOKUP(MID(G288,H288,I288-H288),[6]skilldef!$A:$B,2,FALSE),"-")</f>
        <v>- / -</v>
      </c>
      <c r="M288" s="63" t="str">
        <f t="shared" ref="M288:M294" si="268">IFERROR(RIGHT(B288,LEN(B288)-FIND("],",B288)-1),"none")</f>
        <v>[effect:force_change_block, new_block:damage, target:block_red, count:5, val:0.05],[effect:fix_speed, target:myself, turn:2]</v>
      </c>
      <c r="N288" s="48" t="str">
        <f>IFERROR(LEFT(M288,FIND("],",M288)+S297),M288)</f>
        <v>[effect:force_change_block, new_block:damage, target:block_red, count:5, val:0.05],[effect:fix_speed, target:myself, turn:2]</v>
      </c>
      <c r="O288" s="63">
        <f t="shared" si="114"/>
        <v>9</v>
      </c>
      <c r="P288" s="63">
        <f t="shared" ref="P288:P294" si="269">IFERROR(FIND(",",N288),LEN(N288))</f>
        <v>27</v>
      </c>
      <c r="Q288" s="63">
        <f t="shared" ref="Q288:Q294" si="270">FIND("target:",N288)+7</f>
        <v>54</v>
      </c>
      <c r="R288" s="63">
        <f t="shared" ref="R288:R294" si="271">FIND(",",N288,P288+1)</f>
        <v>45</v>
      </c>
      <c r="S288" s="63" t="str">
        <f>IFERROR(VLOOKUP(MID(N288,Q288,R288-Q288),[6]skilldef!$C:$D,2,FALSE),"-") &amp; " / " &amp; IFERROR(VLOOKUP(MID(N288,O288,P288-O288),[6]skilldef!$A:$B,2,FALSE),"-")</f>
        <v>- / -</v>
      </c>
      <c r="T288" s="48" t="str">
        <f t="shared" ref="T288:T294" si="272">IFERROR(RIGHT(M288,LEN(M288)-FIND("],",M288)-1),"none")</f>
        <v>[effect:fix_speed, target:myself, turn:2]</v>
      </c>
      <c r="U288" s="63">
        <f t="shared" si="119"/>
        <v>9</v>
      </c>
      <c r="V288" s="63">
        <f t="shared" ref="V288:V294" si="273">IFERROR(FIND(",",T288),LEN(T288))</f>
        <v>18</v>
      </c>
      <c r="W288" s="63">
        <f t="shared" ref="W288:W294" si="274">FIND("target:",T288)+7</f>
        <v>27</v>
      </c>
      <c r="X288" s="63">
        <f t="shared" ref="X288:X294" si="275">FIND(",",T288,V288+1)</f>
        <v>33</v>
      </c>
      <c r="Y288" s="63" t="str">
        <f>IFERROR(VLOOKUP(MID(T288,W288,X288-W288),[6]skilldef!$C:$D,2,FALSE),"-") &amp; " / " &amp; IFERROR(VLOOKUP(MID(T288,U288,V288-U288),[6]skilldef!$A:$B,2,FALSE),"-")</f>
        <v>自分自身に / 行動値設定</v>
      </c>
      <c r="Z288" s="50"/>
      <c r="AA288" s="52"/>
      <c r="AB288" s="50"/>
    </row>
    <row r="289" spans="1:28" ht="40" customHeight="1" x14ac:dyDescent="0.15">
      <c r="A289" s="110">
        <v>47004865</v>
      </c>
      <c r="B289" s="136" t="s">
        <v>615</v>
      </c>
      <c r="C289" s="111">
        <v>3</v>
      </c>
      <c r="D289" s="111" t="s">
        <v>127</v>
      </c>
      <c r="E289" s="116" t="s">
        <v>283</v>
      </c>
      <c r="F289" s="112" t="s">
        <v>427</v>
      </c>
      <c r="G289" s="63" t="str">
        <f t="shared" si="264"/>
        <v>[effect:enemy_message, val1:3.1, val2:1.9]</v>
      </c>
      <c r="H289" s="63">
        <f t="shared" si="109"/>
        <v>9</v>
      </c>
      <c r="I289" s="63">
        <f t="shared" si="265"/>
        <v>22</v>
      </c>
      <c r="J289" s="63" t="e">
        <f t="shared" si="266"/>
        <v>#VALUE!</v>
      </c>
      <c r="K289" s="63">
        <f t="shared" si="267"/>
        <v>32</v>
      </c>
      <c r="L289" s="63" t="str">
        <f>IFERROR(VLOOKUP(MID(G289,J289,K289-J289),[6]skilldef!$C:$D,2,FALSE),"-") &amp; " / " &amp; IFERROR(VLOOKUP(MID(G289,H289,I289-H289),[6]skilldef!$A:$B,2,FALSE),"-")</f>
        <v>- / -</v>
      </c>
      <c r="M289" s="63" t="str">
        <f t="shared" si="268"/>
        <v>[effect:force_change_block, new_block:damage, target:block_red, count:5, val:0.05],[effect:fix_speed, target:myself, turn:2]</v>
      </c>
      <c r="N289" s="48" t="str">
        <f>IFERROR(LEFT(M289,FIND("],",M289)+S299),M289)</f>
        <v>[effect:force_change_block, new_block:damage, target:block_red, count:5, val:0.05],[effect:fix_speed, target:myself, turn:2]</v>
      </c>
      <c r="O289" s="63">
        <f t="shared" si="114"/>
        <v>9</v>
      </c>
      <c r="P289" s="63">
        <f t="shared" si="269"/>
        <v>27</v>
      </c>
      <c r="Q289" s="63">
        <f t="shared" si="270"/>
        <v>54</v>
      </c>
      <c r="R289" s="63">
        <f t="shared" si="271"/>
        <v>45</v>
      </c>
      <c r="S289" s="63" t="str">
        <f>IFERROR(VLOOKUP(MID(N289,Q289,R289-Q289),[6]skilldef!$C:$D,2,FALSE),"-") &amp; " / " &amp; IFERROR(VLOOKUP(MID(N289,O289,P289-O289),[6]skilldef!$A:$B,2,FALSE),"-")</f>
        <v>- / -</v>
      </c>
      <c r="T289" s="48" t="str">
        <f t="shared" si="272"/>
        <v>[effect:fix_speed, target:myself, turn:2]</v>
      </c>
      <c r="U289" s="63">
        <f t="shared" si="119"/>
        <v>9</v>
      </c>
      <c r="V289" s="63">
        <f t="shared" si="273"/>
        <v>18</v>
      </c>
      <c r="W289" s="63">
        <f t="shared" si="274"/>
        <v>27</v>
      </c>
      <c r="X289" s="63">
        <f t="shared" si="275"/>
        <v>33</v>
      </c>
      <c r="Y289" s="63" t="str">
        <f>IFERROR(VLOOKUP(MID(T289,W289,X289-W289),[6]skilldef!$C:$D,2,FALSE),"-") &amp; " / " &amp; IFERROR(VLOOKUP(MID(T289,U289,V289-U289),[6]skilldef!$A:$B,2,FALSE),"-")</f>
        <v>自分自身に / 行動値設定</v>
      </c>
      <c r="Z289" s="50"/>
      <c r="AA289" s="52"/>
      <c r="AB289" s="50"/>
    </row>
    <row r="290" spans="1:28" ht="40" customHeight="1" x14ac:dyDescent="0.15">
      <c r="A290" s="110">
        <v>47004866</v>
      </c>
      <c r="B290" s="136" t="s">
        <v>616</v>
      </c>
      <c r="C290" s="111">
        <v>3</v>
      </c>
      <c r="D290" s="111" t="s">
        <v>127</v>
      </c>
      <c r="E290" s="116" t="s">
        <v>284</v>
      </c>
      <c r="F290" s="112" t="s">
        <v>427</v>
      </c>
      <c r="G290" s="63" t="str">
        <f t="shared" si="264"/>
        <v>[effect:enemy_message, val1:2.2, val2:1.9]</v>
      </c>
      <c r="H290" s="63">
        <f t="shared" si="109"/>
        <v>9</v>
      </c>
      <c r="I290" s="63">
        <f t="shared" si="265"/>
        <v>22</v>
      </c>
      <c r="J290" s="63" t="e">
        <f t="shared" si="266"/>
        <v>#VALUE!</v>
      </c>
      <c r="K290" s="63">
        <f t="shared" si="267"/>
        <v>32</v>
      </c>
      <c r="L290" s="63" t="str">
        <f>IFERROR(VLOOKUP(MID(G290,J290,K290-J290),[6]skilldef!$C:$D,2,FALSE),"-") &amp; " / " &amp; IFERROR(VLOOKUP(MID(G290,H290,I290-H290),[6]skilldef!$A:$B,2,FALSE),"-")</f>
        <v>- / -</v>
      </c>
      <c r="M290" s="63" t="str">
        <f t="shared" si="268"/>
        <v>[effect:force_change_block, new_block:damage, target:block_red, count:5, val:0.05],[effect:fix_speed, target:myself, turn:2]</v>
      </c>
      <c r="N290" s="48" t="str">
        <f>IFERROR(LEFT(M290,FIND("],",M290)+S300),M290)</f>
        <v>[effect:force_change_block, new_block:damage, target:block_red, count:5, val:0.05],[effect:fix_speed, target:myself, turn:2]</v>
      </c>
      <c r="O290" s="63">
        <f t="shared" si="114"/>
        <v>9</v>
      </c>
      <c r="P290" s="63">
        <f t="shared" si="269"/>
        <v>27</v>
      </c>
      <c r="Q290" s="63">
        <f t="shared" si="270"/>
        <v>54</v>
      </c>
      <c r="R290" s="63">
        <f t="shared" si="271"/>
        <v>45</v>
      </c>
      <c r="S290" s="63" t="str">
        <f>IFERROR(VLOOKUP(MID(N290,Q290,R290-Q290),[6]skilldef!$C:$D,2,FALSE),"-") &amp; " / " &amp; IFERROR(VLOOKUP(MID(N290,O290,P290-O290),[6]skilldef!$A:$B,2,FALSE),"-")</f>
        <v>- / -</v>
      </c>
      <c r="T290" s="48" t="str">
        <f t="shared" si="272"/>
        <v>[effect:fix_speed, target:myself, turn:2]</v>
      </c>
      <c r="U290" s="63">
        <f t="shared" si="119"/>
        <v>9</v>
      </c>
      <c r="V290" s="63">
        <f t="shared" si="273"/>
        <v>18</v>
      </c>
      <c r="W290" s="63">
        <f t="shared" si="274"/>
        <v>27</v>
      </c>
      <c r="X290" s="63">
        <f t="shared" si="275"/>
        <v>33</v>
      </c>
      <c r="Y290" s="63" t="str">
        <f>IFERROR(VLOOKUP(MID(T290,W290,X290-W290),[6]skilldef!$C:$D,2,FALSE),"-") &amp; " / " &amp; IFERROR(VLOOKUP(MID(T290,U290,V290-U290),[6]skilldef!$A:$B,2,FALSE),"-")</f>
        <v>自分自身に / 行動値設定</v>
      </c>
      <c r="Z290" s="50"/>
      <c r="AA290" s="52"/>
      <c r="AB290" s="50"/>
    </row>
    <row r="291" spans="1:28" ht="40" customHeight="1" x14ac:dyDescent="0.15">
      <c r="A291" s="110">
        <v>47004867</v>
      </c>
      <c r="B291" s="136" t="s">
        <v>617</v>
      </c>
      <c r="C291" s="111">
        <v>3</v>
      </c>
      <c r="D291" s="111" t="s">
        <v>127</v>
      </c>
      <c r="E291" s="116" t="s">
        <v>285</v>
      </c>
      <c r="F291" s="112" t="s">
        <v>427</v>
      </c>
      <c r="G291" s="63" t="str">
        <f t="shared" si="264"/>
        <v>[effect:enemy_message, val1:2.9, val2:1.9]</v>
      </c>
      <c r="H291" s="63">
        <f t="shared" si="109"/>
        <v>9</v>
      </c>
      <c r="I291" s="63">
        <f t="shared" si="265"/>
        <v>22</v>
      </c>
      <c r="J291" s="63" t="e">
        <f t="shared" si="266"/>
        <v>#VALUE!</v>
      </c>
      <c r="K291" s="63">
        <f t="shared" si="267"/>
        <v>32</v>
      </c>
      <c r="L291" s="63" t="str">
        <f>IFERROR(VLOOKUP(MID(G291,J291,K291-J291),[6]skilldef!$C:$D,2,FALSE),"-") &amp; " / " &amp; IFERROR(VLOOKUP(MID(G291,H291,I291-H291),[6]skilldef!$A:$B,2,FALSE),"-")</f>
        <v>- / -</v>
      </c>
      <c r="M291" s="63" t="str">
        <f t="shared" si="268"/>
        <v>[effect:force_change_block, new_block:damage, target:block_red, count:5, val:0.05],[effect:fix_speed, target:myself, turn:2]</v>
      </c>
      <c r="N291" s="48" t="str">
        <f>IFERROR(LEFT(M291,FIND("],",M291)+S302),M291)</f>
        <v>[effect:force_change_block, new_block:damage, target:block_red, count:5, val:0.05],[effect:fix_speed, target:myself, turn:2]</v>
      </c>
      <c r="O291" s="63">
        <f t="shared" si="114"/>
        <v>9</v>
      </c>
      <c r="P291" s="63">
        <f t="shared" si="269"/>
        <v>27</v>
      </c>
      <c r="Q291" s="63">
        <f t="shared" si="270"/>
        <v>54</v>
      </c>
      <c r="R291" s="63">
        <f t="shared" si="271"/>
        <v>45</v>
      </c>
      <c r="S291" s="63" t="str">
        <f>IFERROR(VLOOKUP(MID(N291,Q291,R291-Q291),[6]skilldef!$C:$D,2,FALSE),"-") &amp; " / " &amp; IFERROR(VLOOKUP(MID(N291,O291,P291-O291),[6]skilldef!$A:$B,2,FALSE),"-")</f>
        <v>- / -</v>
      </c>
      <c r="T291" s="48" t="str">
        <f t="shared" si="272"/>
        <v>[effect:fix_speed, target:myself, turn:2]</v>
      </c>
      <c r="U291" s="63">
        <f t="shared" si="119"/>
        <v>9</v>
      </c>
      <c r="V291" s="63">
        <f t="shared" si="273"/>
        <v>18</v>
      </c>
      <c r="W291" s="63">
        <f t="shared" si="274"/>
        <v>27</v>
      </c>
      <c r="X291" s="63">
        <f t="shared" si="275"/>
        <v>33</v>
      </c>
      <c r="Y291" s="63" t="str">
        <f>IFERROR(VLOOKUP(MID(T291,W291,X291-W291),[6]skilldef!$C:$D,2,FALSE),"-") &amp; " / " &amp; IFERROR(VLOOKUP(MID(T291,U291,V291-U291),[6]skilldef!$A:$B,2,FALSE),"-")</f>
        <v>自分自身に / 行動値設定</v>
      </c>
      <c r="Z291" s="50"/>
      <c r="AA291" s="52"/>
      <c r="AB291" s="50"/>
    </row>
    <row r="292" spans="1:28" ht="40" customHeight="1" x14ac:dyDescent="0.15">
      <c r="A292" s="110">
        <v>47004868</v>
      </c>
      <c r="B292" s="136" t="s">
        <v>618</v>
      </c>
      <c r="C292" s="111">
        <v>3</v>
      </c>
      <c r="D292" s="111" t="s">
        <v>127</v>
      </c>
      <c r="E292" s="129" t="s">
        <v>391</v>
      </c>
      <c r="F292" s="112" t="s">
        <v>427</v>
      </c>
      <c r="G292" s="63" t="str">
        <f t="shared" ref="G292:G293" si="276">IFERROR(LEFT(B292,FIND("],",B292)),B292)</f>
        <v>[effect:enemy_message, val1:1.5, val2:1.9]</v>
      </c>
      <c r="H292" s="63">
        <f t="shared" ref="H292:H293" si="277">FIND("effect:",G292)+7</f>
        <v>9</v>
      </c>
      <c r="I292" s="63">
        <f t="shared" ref="I292:I293" si="278">IFERROR(FIND(",",G292),LEN(G292))</f>
        <v>22</v>
      </c>
      <c r="J292" s="63" t="e">
        <f t="shared" ref="J292:J293" si="279">FIND("target:",G292)+7</f>
        <v>#VALUE!</v>
      </c>
      <c r="K292" s="63">
        <f t="shared" ref="K292:K293" si="280">FIND(",",G292,I292+1)</f>
        <v>32</v>
      </c>
      <c r="L292" s="63" t="str">
        <f>IFERROR(VLOOKUP(MID(G292,J292,K292-J292),[6]skilldef!$C:$D,2,FALSE),"-") &amp; " / " &amp; IFERROR(VLOOKUP(MID(G292,H292,I292-H292),[6]skilldef!$A:$B,2,FALSE),"-")</f>
        <v>- / -</v>
      </c>
      <c r="M292" s="63" t="str">
        <f t="shared" ref="M292:M293" si="281">IFERROR(RIGHT(B292,LEN(B292)-FIND("],",B292)-1),"none")</f>
        <v>[effect:force_change_block, new_block:damage, target:block_red, count:5, val:0.05],[effect:fix_speed, target:myself, turn:2]</v>
      </c>
      <c r="N292" s="48" t="str">
        <f t="shared" ref="N292:N293" si="282">IFERROR(LEFT(M292,FIND("],",M292)+S303),M292)</f>
        <v>[effect:force_change_block, new_block:damage, target:block_red, count:5, val:0.05],[effect:fix_speed, target:myself, turn:2]</v>
      </c>
      <c r="O292" s="63">
        <f t="shared" ref="O292:O293" si="283">FIND("effect:",N292)+7</f>
        <v>9</v>
      </c>
      <c r="P292" s="63">
        <f t="shared" ref="P292:P293" si="284">IFERROR(FIND(",",N292),LEN(N292))</f>
        <v>27</v>
      </c>
      <c r="Q292" s="63">
        <f t="shared" ref="Q292:Q293" si="285">FIND("target:",N292)+7</f>
        <v>54</v>
      </c>
      <c r="R292" s="63">
        <f t="shared" ref="R292:R293" si="286">FIND(",",N292,P292+1)</f>
        <v>45</v>
      </c>
      <c r="S292" s="63" t="str">
        <f>IFERROR(VLOOKUP(MID(N292,Q292,R292-Q292),[6]skilldef!$C:$D,2,FALSE),"-") &amp; " / " &amp; IFERROR(VLOOKUP(MID(N292,O292,P292-O292),[6]skilldef!$A:$B,2,FALSE),"-")</f>
        <v>- / -</v>
      </c>
      <c r="T292" s="48" t="str">
        <f t="shared" ref="T292:T293" si="287">IFERROR(RIGHT(M292,LEN(M292)-FIND("],",M292)-1),"none")</f>
        <v>[effect:fix_speed, target:myself, turn:2]</v>
      </c>
      <c r="U292" s="63">
        <f t="shared" ref="U292:U293" si="288">FIND("effect:",T292)+7</f>
        <v>9</v>
      </c>
      <c r="V292" s="63">
        <f t="shared" ref="V292:V293" si="289">IFERROR(FIND(",",T292),LEN(T292))</f>
        <v>18</v>
      </c>
      <c r="W292" s="63">
        <f t="shared" ref="W292:W293" si="290">FIND("target:",T292)+7</f>
        <v>27</v>
      </c>
      <c r="X292" s="63">
        <f t="shared" ref="X292:X293" si="291">FIND(",",T292,V292+1)</f>
        <v>33</v>
      </c>
      <c r="Y292" s="63" t="str">
        <f>IFERROR(VLOOKUP(MID(T292,W292,X292-W292),[6]skilldef!$C:$D,2,FALSE),"-") &amp; " / " &amp; IFERROR(VLOOKUP(MID(T292,U292,V292-U292),[6]skilldef!$A:$B,2,FALSE),"-")</f>
        <v>自分自身に / 行動値設定</v>
      </c>
      <c r="Z292" s="50"/>
      <c r="AA292" s="52"/>
      <c r="AB292" s="50"/>
    </row>
    <row r="293" spans="1:28" ht="40" customHeight="1" x14ac:dyDescent="0.15">
      <c r="A293" s="110">
        <v>47004869</v>
      </c>
      <c r="B293" s="136" t="s">
        <v>619</v>
      </c>
      <c r="C293" s="111">
        <v>3</v>
      </c>
      <c r="D293" s="111" t="s">
        <v>127</v>
      </c>
      <c r="E293" s="129" t="s">
        <v>392</v>
      </c>
      <c r="F293" s="112" t="s">
        <v>427</v>
      </c>
      <c r="G293" s="63" t="str">
        <f t="shared" si="276"/>
        <v>[effect:enemy_message, val1:1.4, val2:1.9]</v>
      </c>
      <c r="H293" s="63">
        <f t="shared" si="277"/>
        <v>9</v>
      </c>
      <c r="I293" s="63">
        <f t="shared" si="278"/>
        <v>22</v>
      </c>
      <c r="J293" s="63" t="e">
        <f t="shared" si="279"/>
        <v>#VALUE!</v>
      </c>
      <c r="K293" s="63">
        <f t="shared" si="280"/>
        <v>32</v>
      </c>
      <c r="L293" s="63" t="str">
        <f>IFERROR(VLOOKUP(MID(G293,J293,K293-J293),[6]skilldef!$C:$D,2,FALSE),"-") &amp; " / " &amp; IFERROR(VLOOKUP(MID(G293,H293,I293-H293),[6]skilldef!$A:$B,2,FALSE),"-")</f>
        <v>- / -</v>
      </c>
      <c r="M293" s="63" t="str">
        <f t="shared" si="281"/>
        <v>[effect:force_change_block, new_block:damage, target:block_red, count:5, val:0.05],[effect:fix_speed, target:myself, turn:2]</v>
      </c>
      <c r="N293" s="48" t="str">
        <f t="shared" si="282"/>
        <v>[effect:force_change_block, new_block:damage, target:block_red, count:5, val:0.05],[effect:fix_speed, target:myself, turn:2]</v>
      </c>
      <c r="O293" s="63">
        <f t="shared" si="283"/>
        <v>9</v>
      </c>
      <c r="P293" s="63">
        <f t="shared" si="284"/>
        <v>27</v>
      </c>
      <c r="Q293" s="63">
        <f t="shared" si="285"/>
        <v>54</v>
      </c>
      <c r="R293" s="63">
        <f t="shared" si="286"/>
        <v>45</v>
      </c>
      <c r="S293" s="63" t="str">
        <f>IFERROR(VLOOKUP(MID(N293,Q293,R293-Q293),[6]skilldef!$C:$D,2,FALSE),"-") &amp; " / " &amp; IFERROR(VLOOKUP(MID(N293,O293,P293-O293),[6]skilldef!$A:$B,2,FALSE),"-")</f>
        <v>- / -</v>
      </c>
      <c r="T293" s="48" t="str">
        <f t="shared" si="287"/>
        <v>[effect:fix_speed, target:myself, turn:2]</v>
      </c>
      <c r="U293" s="63">
        <f t="shared" si="288"/>
        <v>9</v>
      </c>
      <c r="V293" s="63">
        <f t="shared" si="289"/>
        <v>18</v>
      </c>
      <c r="W293" s="63">
        <f t="shared" si="290"/>
        <v>27</v>
      </c>
      <c r="X293" s="63">
        <f t="shared" si="291"/>
        <v>33</v>
      </c>
      <c r="Y293" s="63" t="str">
        <f>IFERROR(VLOOKUP(MID(T293,W293,X293-W293),[6]skilldef!$C:$D,2,FALSE),"-") &amp; " / " &amp; IFERROR(VLOOKUP(MID(T293,U293,V293-U293),[6]skilldef!$A:$B,2,FALSE),"-")</f>
        <v>自分自身に / 行動値設定</v>
      </c>
      <c r="Z293" s="50"/>
      <c r="AA293" s="52"/>
      <c r="AB293" s="50"/>
    </row>
    <row r="294" spans="1:28" ht="40" customHeight="1" x14ac:dyDescent="0.15">
      <c r="A294" s="47">
        <v>47004901</v>
      </c>
      <c r="B294" s="133" t="s">
        <v>537</v>
      </c>
      <c r="C294" s="50">
        <v>3</v>
      </c>
      <c r="D294" s="50" t="s">
        <v>127</v>
      </c>
      <c r="E294" s="51" t="s">
        <v>319</v>
      </c>
      <c r="F294" s="51" t="s">
        <v>294</v>
      </c>
      <c r="G294" s="63" t="str">
        <f t="shared" si="264"/>
        <v>[effect:enemy_message, val1:1.9, val2:2.6]</v>
      </c>
      <c r="H294" s="63">
        <f t="shared" si="109"/>
        <v>9</v>
      </c>
      <c r="I294" s="63">
        <f t="shared" si="265"/>
        <v>22</v>
      </c>
      <c r="J294" s="63" t="e">
        <f t="shared" si="266"/>
        <v>#VALUE!</v>
      </c>
      <c r="K294" s="63">
        <f t="shared" si="267"/>
        <v>32</v>
      </c>
      <c r="L294" s="63" t="str">
        <f>IFERROR(VLOOKUP(MID(G294,J294,K294-J294),[6]skilldef!$C:$D,2,FALSE),"-") &amp; " / " &amp; IFERROR(VLOOKUP(MID(G294,H294,I294-H294),[6]skilldef!$A:$B,2,FALSE),"-")</f>
        <v>- / -</v>
      </c>
      <c r="M294" s="63" t="str">
        <f t="shared" si="268"/>
        <v>[effect:change_panel_ratio, turn:-1, block_type:heal, val:0.05, animation:block_incidence04],[effect:degrade_fever, val:1000, animation:fevergauge_down],[effect:fix_speed, target:myself, turn:2]</v>
      </c>
      <c r="N294" s="48" t="str">
        <f>IFERROR(LEFT(M294,FIND("],",M294)+#REF!),M294)</f>
        <v>[effect:change_panel_ratio, turn:-1, block_type:heal, val:0.05, animation:block_incidence04],[effect:degrade_fever, val:1000, animation:fevergauge_down],[effect:fix_speed, target:myself, turn:2]</v>
      </c>
      <c r="O294" s="63">
        <f t="shared" si="114"/>
        <v>9</v>
      </c>
      <c r="P294" s="63">
        <f t="shared" si="269"/>
        <v>27</v>
      </c>
      <c r="Q294" s="63">
        <f t="shared" si="270"/>
        <v>180</v>
      </c>
      <c r="R294" s="63">
        <f t="shared" si="271"/>
        <v>36</v>
      </c>
      <c r="S294" s="63" t="str">
        <f>IFERROR(VLOOKUP(MID(N294,Q294,R294-Q294),[6]skilldef!$C:$D,2,FALSE),"-") &amp; " / " &amp; IFERROR(VLOOKUP(MID(N294,O294,P294-O294),[6]skilldef!$A:$B,2,FALSE),"-")</f>
        <v>- / -</v>
      </c>
      <c r="T294" s="48" t="str">
        <f t="shared" si="272"/>
        <v>[effect:degrade_fever, val:1000, animation:fevergauge_down],[effect:fix_speed, target:myself, turn:2]</v>
      </c>
      <c r="U294" s="63">
        <f t="shared" si="119"/>
        <v>9</v>
      </c>
      <c r="V294" s="63">
        <f t="shared" si="273"/>
        <v>22</v>
      </c>
      <c r="W294" s="63">
        <f t="shared" si="274"/>
        <v>87</v>
      </c>
      <c r="X294" s="63">
        <f t="shared" si="275"/>
        <v>32</v>
      </c>
      <c r="Y294" s="63" t="str">
        <f>IFERROR(VLOOKUP(MID(T294,W294,X294-W294),[6]skilldef!$C:$D,2,FALSE),"-") &amp; " / " &amp; IFERROR(VLOOKUP(MID(T294,U294,V294-U294),[6]skilldef!$A:$B,2,FALSE),"-")</f>
        <v>- / フィーバーゲージ減少</v>
      </c>
      <c r="Z294" s="50"/>
      <c r="AA294" s="52"/>
      <c r="AB294" s="50"/>
    </row>
    <row r="295" spans="1:28" ht="40" customHeight="1" x14ac:dyDescent="0.15">
      <c r="A295" s="47">
        <v>47004902</v>
      </c>
      <c r="B295" s="136" t="s">
        <v>620</v>
      </c>
      <c r="C295" s="50">
        <v>3</v>
      </c>
      <c r="D295" s="50" t="s">
        <v>127</v>
      </c>
      <c r="E295" s="51" t="s">
        <v>320</v>
      </c>
      <c r="F295" s="51" t="s">
        <v>296</v>
      </c>
      <c r="G295" s="63" t="str">
        <f t="shared" ref="G295:G307" si="292">IFERROR(LEFT(B295,FIND("],",B295)),B295)</f>
        <v>[effect:enemy_message, val1:1.2, val2:2.4]</v>
      </c>
      <c r="H295" s="63">
        <f t="shared" si="109"/>
        <v>9</v>
      </c>
      <c r="I295" s="63">
        <f t="shared" ref="I295:I307" si="293">IFERROR(FIND(",",G295),LEN(G295))</f>
        <v>22</v>
      </c>
      <c r="J295" s="63" t="e">
        <f t="shared" ref="J295:J307" si="294">FIND("target:",G295)+7</f>
        <v>#VALUE!</v>
      </c>
      <c r="K295" s="63">
        <f t="shared" ref="K295:K307" si="295">FIND(",",G295,I295+1)</f>
        <v>32</v>
      </c>
      <c r="L295" s="63" t="str">
        <f>IFERROR(VLOOKUP(MID(G295,J295,K295-J295),[6]skilldef!$C:$D,2,FALSE),"-") &amp; " / " &amp; IFERROR(VLOOKUP(MID(G295,H295,I295-H295),[6]skilldef!$A:$B,2,FALSE),"-")</f>
        <v>- / -</v>
      </c>
      <c r="M295" s="63" t="str">
        <f t="shared" ref="M295:M307" si="296">IFERROR(RIGHT(B295,LEN(B295)-FIND("],",B295)-1),"none")</f>
        <v xml:space="preserve">[effect:force_change_block, new_block:damage, target:block_heart, count:0, val:0.05],[effect:rush, count:1, val:1.0]    </v>
      </c>
      <c r="N295" s="48" t="str">
        <f>IFERROR(LEFT(M295,FIND("],",M295)+#REF!),M295)</f>
        <v xml:space="preserve">[effect:force_change_block, new_block:damage, target:block_heart, count:0, val:0.05],[effect:rush, count:1, val:1.0]    </v>
      </c>
      <c r="O295" s="63">
        <f t="shared" si="114"/>
        <v>9</v>
      </c>
      <c r="P295" s="63">
        <f t="shared" ref="P295:P307" si="297">IFERROR(FIND(",",N295),LEN(N295))</f>
        <v>27</v>
      </c>
      <c r="Q295" s="63">
        <f t="shared" ref="Q295:Q307" si="298">FIND("target:",N295)+7</f>
        <v>54</v>
      </c>
      <c r="R295" s="63">
        <f t="shared" ref="R295:R307" si="299">FIND(",",N295,P295+1)</f>
        <v>45</v>
      </c>
      <c r="S295" s="63" t="str">
        <f>IFERROR(VLOOKUP(MID(N295,Q295,R295-Q295),[6]skilldef!$C:$D,2,FALSE),"-") &amp; " / " &amp; IFERROR(VLOOKUP(MID(N295,O295,P295-O295),[6]skilldef!$A:$B,2,FALSE),"-")</f>
        <v>- / -</v>
      </c>
      <c r="T295" s="48" t="str">
        <f t="shared" ref="T295:T307" si="300">IFERROR(RIGHT(M295,LEN(M295)-FIND("],",M295)-1),"none")</f>
        <v xml:space="preserve">[effect:rush, count:1, val:1.0]    </v>
      </c>
      <c r="U295" s="63">
        <f t="shared" si="119"/>
        <v>9</v>
      </c>
      <c r="V295" s="63">
        <f t="shared" ref="V295:V307" si="301">IFERROR(FIND(",",T295),LEN(T295))</f>
        <v>13</v>
      </c>
      <c r="W295" s="63" t="e">
        <f t="shared" ref="W295:W307" si="302">FIND("target:",T295)+7</f>
        <v>#VALUE!</v>
      </c>
      <c r="X295" s="63">
        <f t="shared" ref="X295:X307" si="303">FIND(",",T295,V295+1)</f>
        <v>22</v>
      </c>
      <c r="Y295" s="63" t="str">
        <f>IFERROR(VLOOKUP(MID(T295,W295,X295-W295),[6]skilldef!$C:$D,2,FALSE),"-") &amp; " / " &amp; IFERROR(VLOOKUP(MID(T295,U295,V295-U295),[6]skilldef!$A:$B,2,FALSE),"-")</f>
        <v>- / 連続攻撃</v>
      </c>
      <c r="Z295" s="50"/>
      <c r="AA295" s="52"/>
      <c r="AB295" s="50"/>
    </row>
    <row r="296" spans="1:28" ht="40" customHeight="1" x14ac:dyDescent="0.15">
      <c r="A296" s="47">
        <v>47004903</v>
      </c>
      <c r="B296" s="133" t="s">
        <v>539</v>
      </c>
      <c r="C296" s="50">
        <v>3</v>
      </c>
      <c r="D296" s="50" t="s">
        <v>127</v>
      </c>
      <c r="E296" s="51" t="s">
        <v>321</v>
      </c>
      <c r="F296" s="51" t="s">
        <v>299</v>
      </c>
      <c r="G296" s="63" t="str">
        <f t="shared" si="292"/>
        <v>[effect:enemy_message, val1:1.2, val2:1.7]</v>
      </c>
      <c r="H296" s="63">
        <f t="shared" si="109"/>
        <v>9</v>
      </c>
      <c r="I296" s="63">
        <f t="shared" si="293"/>
        <v>22</v>
      </c>
      <c r="J296" s="63" t="e">
        <f t="shared" si="294"/>
        <v>#VALUE!</v>
      </c>
      <c r="K296" s="63">
        <f t="shared" si="295"/>
        <v>32</v>
      </c>
      <c r="L296" s="63" t="str">
        <f>IFERROR(VLOOKUP(MID(G296,J296,K296-J296),[6]skilldef!$C:$D,2,FALSE),"-") &amp; " / " &amp; IFERROR(VLOOKUP(MID(G296,H296,I296-H296),[6]skilldef!$A:$B,2,FALSE),"-")</f>
        <v>- / -</v>
      </c>
      <c r="M296" s="63" t="str">
        <f t="shared" si="296"/>
        <v xml:space="preserve">[effect:force_change_block, new_block:block_blue, target:block_red, count:0, val:0],[effect:rush, count:1, val:1.0]    </v>
      </c>
      <c r="N296" s="48" t="str">
        <f>IFERROR(LEFT(M296,FIND("],",M296)+#REF!),M296)</f>
        <v xml:space="preserve">[effect:force_change_block, new_block:block_blue, target:block_red, count:0, val:0],[effect:rush, count:1, val:1.0]    </v>
      </c>
      <c r="O296" s="63">
        <f t="shared" si="114"/>
        <v>9</v>
      </c>
      <c r="P296" s="63">
        <f t="shared" si="297"/>
        <v>27</v>
      </c>
      <c r="Q296" s="63">
        <f t="shared" si="298"/>
        <v>58</v>
      </c>
      <c r="R296" s="63">
        <f t="shared" si="299"/>
        <v>49</v>
      </c>
      <c r="S296" s="63" t="str">
        <f>IFERROR(VLOOKUP(MID(N296,Q296,R296-Q296),[6]skilldef!$C:$D,2,FALSE),"-") &amp; " / " &amp; IFERROR(VLOOKUP(MID(N296,O296,P296-O296),[6]skilldef!$A:$B,2,FALSE),"-")</f>
        <v>- / -</v>
      </c>
      <c r="T296" s="48" t="str">
        <f t="shared" si="300"/>
        <v xml:space="preserve">[effect:rush, count:1, val:1.0]    </v>
      </c>
      <c r="U296" s="63">
        <f t="shared" si="119"/>
        <v>9</v>
      </c>
      <c r="V296" s="63">
        <f t="shared" si="301"/>
        <v>13</v>
      </c>
      <c r="W296" s="63" t="e">
        <f t="shared" si="302"/>
        <v>#VALUE!</v>
      </c>
      <c r="X296" s="63">
        <f t="shared" si="303"/>
        <v>22</v>
      </c>
      <c r="Y296" s="63" t="str">
        <f>IFERROR(VLOOKUP(MID(T296,W296,X296-W296),[6]skilldef!$C:$D,2,FALSE),"-") &amp; " / " &amp; IFERROR(VLOOKUP(MID(T296,U296,V296-U296),[6]skilldef!$A:$B,2,FALSE),"-")</f>
        <v>- / 連続攻撃</v>
      </c>
      <c r="Z296" s="50"/>
      <c r="AA296" s="52"/>
      <c r="AB296" s="50"/>
    </row>
    <row r="297" spans="1:28" ht="40" customHeight="1" x14ac:dyDescent="0.15">
      <c r="A297" s="47">
        <v>47004904</v>
      </c>
      <c r="B297" s="136" t="s">
        <v>621</v>
      </c>
      <c r="C297" s="50">
        <v>3</v>
      </c>
      <c r="D297" s="50" t="s">
        <v>127</v>
      </c>
      <c r="E297" s="51" t="s">
        <v>335</v>
      </c>
      <c r="F297" s="51" t="s">
        <v>384</v>
      </c>
      <c r="G297" s="63" t="str">
        <f t="shared" si="292"/>
        <v>[effect:enemy_message, val1:1.2, val2:1.3]</v>
      </c>
      <c r="H297" s="63">
        <f t="shared" si="109"/>
        <v>9</v>
      </c>
      <c r="I297" s="63">
        <f t="shared" si="293"/>
        <v>22</v>
      </c>
      <c r="J297" s="63" t="e">
        <f t="shared" si="294"/>
        <v>#VALUE!</v>
      </c>
      <c r="K297" s="63">
        <f t="shared" si="295"/>
        <v>32</v>
      </c>
      <c r="L297" s="63" t="str">
        <f>IFERROR(VLOOKUP(MID(G297,J297,K297-J297),[6]skilldef!$C:$D,2,FALSE),"-") &amp; " / " &amp; IFERROR(VLOOKUP(MID(G297,H297,I297-H297),[6]skilldef!$A:$B,2,FALSE),"-")</f>
        <v>- / -</v>
      </c>
      <c r="M297" s="63" t="str">
        <f t="shared" si="296"/>
        <v>[effect:break_attack_fix, target:unit_all, val:300, lowest_val:1200, count:-1, color:blue, block01:block_blue]</v>
      </c>
      <c r="N297" s="48" t="str">
        <f>IFERROR(LEFT(M297,FIND("],",M297)+#REF!),M297)</f>
        <v>[effect:break_attack_fix, target:unit_all, val:300, lowest_val:1200, count:-1, color:blue, block01:block_blue]</v>
      </c>
      <c r="O297" s="63">
        <f t="shared" si="114"/>
        <v>9</v>
      </c>
      <c r="P297" s="63">
        <f t="shared" si="297"/>
        <v>25</v>
      </c>
      <c r="Q297" s="63">
        <f t="shared" si="298"/>
        <v>34</v>
      </c>
      <c r="R297" s="63">
        <f t="shared" si="299"/>
        <v>42</v>
      </c>
      <c r="S297" s="63" t="str">
        <f>IFERROR(VLOOKUP(MID(N297,Q297,R297-Q297),[6]skilldef!$C:$D,2,FALSE),"-") &amp; " / " &amp; IFERROR(VLOOKUP(MID(N297,O297,P297-O297),[6]skilldef!$A:$B,2,FALSE),"-")</f>
        <v>味方全体に / -</v>
      </c>
      <c r="T297" s="48" t="str">
        <f t="shared" si="300"/>
        <v>none</v>
      </c>
      <c r="U297" s="63" t="e">
        <f t="shared" si="119"/>
        <v>#VALUE!</v>
      </c>
      <c r="V297" s="63">
        <f t="shared" si="301"/>
        <v>4</v>
      </c>
      <c r="W297" s="63" t="e">
        <f t="shared" si="302"/>
        <v>#VALUE!</v>
      </c>
      <c r="X297" s="63" t="e">
        <f t="shared" si="303"/>
        <v>#VALUE!</v>
      </c>
      <c r="Y297" s="63" t="str">
        <f>IFERROR(VLOOKUP(MID(T297,W297,X297-W297),[6]skilldef!$C:$D,2,FALSE),"-") &amp; " / " &amp; IFERROR(VLOOKUP(MID(T297,U297,V297-U297),[6]skilldef!$A:$B,2,FALSE),"-")</f>
        <v>- / -</v>
      </c>
      <c r="Z297" s="50"/>
      <c r="AA297" s="52"/>
      <c r="AB297" s="50"/>
    </row>
    <row r="298" spans="1:28" ht="40" customHeight="1" x14ac:dyDescent="0.15">
      <c r="A298" s="47">
        <v>47004905</v>
      </c>
      <c r="B298" s="133" t="s">
        <v>600</v>
      </c>
      <c r="C298" s="50">
        <v>3</v>
      </c>
      <c r="D298" s="50" t="s">
        <v>127</v>
      </c>
      <c r="E298" s="51" t="s">
        <v>323</v>
      </c>
      <c r="F298" s="51" t="s">
        <v>261</v>
      </c>
      <c r="G298" s="63" t="str">
        <f t="shared" ref="G298" si="304">IFERROR(LEFT(B298,FIND("],",B298)),B298)</f>
        <v>[effect:enemy_message, val1:1.7, val2:1.7]</v>
      </c>
      <c r="H298" s="63">
        <f t="shared" ref="H298" si="305">FIND("effect:",G298)+7</f>
        <v>9</v>
      </c>
      <c r="I298" s="63">
        <f t="shared" ref="I298" si="306">IFERROR(FIND(",",G298),LEN(G298))</f>
        <v>22</v>
      </c>
      <c r="J298" s="63" t="e">
        <f t="shared" ref="J298" si="307">FIND("target:",G298)+7</f>
        <v>#VALUE!</v>
      </c>
      <c r="K298" s="63">
        <f t="shared" ref="K298" si="308">FIND(",",G298,I298+1)</f>
        <v>32</v>
      </c>
      <c r="L298" s="63" t="str">
        <f>IFERROR(VLOOKUP(MID(G298,J298,K298-J298),[6]skilldef!$C:$D,2,FALSE),"-") &amp; " / " &amp; IFERROR(VLOOKUP(MID(G298,H298,I298-H298),[6]skilldef!$A:$B,2,FALSE),"-")</f>
        <v>- / -</v>
      </c>
      <c r="M298" s="63" t="str">
        <f t="shared" ref="M298" si="309">IFERROR(RIGHT(B298,LEN(B298)-FIND("],",B298)-1),"none")</f>
        <v>[effect:force_change_block, new_block:block_blue, target:block_green, count:0, val:0],[effect:rush, count:1, val:1.0]</v>
      </c>
      <c r="N298" s="48" t="str">
        <f>IFERROR(LEFT(M298,FIND("],",M298)+#REF!),M298)</f>
        <v>[effect:force_change_block, new_block:block_blue, target:block_green, count:0, val:0],[effect:rush, count:1, val:1.0]</v>
      </c>
      <c r="O298" s="63">
        <f t="shared" ref="O298" si="310">FIND("effect:",N298)+7</f>
        <v>9</v>
      </c>
      <c r="P298" s="63">
        <f t="shared" ref="P298" si="311">IFERROR(FIND(",",N298),LEN(N298))</f>
        <v>27</v>
      </c>
      <c r="Q298" s="63">
        <f t="shared" ref="Q298" si="312">FIND("target:",N298)+7</f>
        <v>58</v>
      </c>
      <c r="R298" s="63">
        <f t="shared" ref="R298" si="313">FIND(",",N298,P298+1)</f>
        <v>49</v>
      </c>
      <c r="S298" s="63" t="str">
        <f>IFERROR(VLOOKUP(MID(N298,Q298,R298-Q298),[6]skilldef!$C:$D,2,FALSE),"-") &amp; " / " &amp; IFERROR(VLOOKUP(MID(N298,O298,P298-O298),[6]skilldef!$A:$B,2,FALSE),"-")</f>
        <v>- / -</v>
      </c>
      <c r="T298" s="48" t="str">
        <f t="shared" ref="T298" si="314">IFERROR(RIGHT(M298,LEN(M298)-FIND("],",M298)-1),"none")</f>
        <v>[effect:rush, count:1, val:1.0]</v>
      </c>
      <c r="U298" s="63">
        <f t="shared" ref="U298" si="315">FIND("effect:",T298)+7</f>
        <v>9</v>
      </c>
      <c r="V298" s="63">
        <f t="shared" ref="V298" si="316">IFERROR(FIND(",",T298),LEN(T298))</f>
        <v>13</v>
      </c>
      <c r="W298" s="63" t="e">
        <f t="shared" ref="W298" si="317">FIND("target:",T298)+7</f>
        <v>#VALUE!</v>
      </c>
      <c r="X298" s="63">
        <f t="shared" ref="X298" si="318">FIND(",",T298,V298+1)</f>
        <v>22</v>
      </c>
      <c r="Y298" s="63" t="str">
        <f>IFERROR(VLOOKUP(MID(T298,W298,X298-W298),[6]skilldef!$C:$D,2,FALSE),"-") &amp; " / " &amp; IFERROR(VLOOKUP(MID(T298,U298,V298-U298),[6]skilldef!$A:$B,2,FALSE),"-")</f>
        <v>- / 連続攻撃</v>
      </c>
      <c r="Z298" s="50"/>
      <c r="AA298" s="52"/>
      <c r="AB298" s="50"/>
    </row>
    <row r="299" spans="1:28" ht="40" customHeight="1" x14ac:dyDescent="0.15">
      <c r="A299" s="47">
        <v>47004906</v>
      </c>
      <c r="B299" s="133" t="s">
        <v>542</v>
      </c>
      <c r="C299" s="50">
        <v>3</v>
      </c>
      <c r="D299" s="50" t="s">
        <v>127</v>
      </c>
      <c r="E299" s="116" t="s">
        <v>286</v>
      </c>
      <c r="F299" s="51" t="s">
        <v>295</v>
      </c>
      <c r="G299" s="63" t="str">
        <f t="shared" si="292"/>
        <v>[effect:enemy_message, val1:2.2, val2:1.5]</v>
      </c>
      <c r="H299" s="63">
        <f t="shared" si="109"/>
        <v>9</v>
      </c>
      <c r="I299" s="63">
        <f t="shared" si="293"/>
        <v>22</v>
      </c>
      <c r="J299" s="63" t="e">
        <f t="shared" si="294"/>
        <v>#VALUE!</v>
      </c>
      <c r="K299" s="63">
        <f t="shared" si="295"/>
        <v>32</v>
      </c>
      <c r="L299" s="63" t="str">
        <f>IFERROR(VLOOKUP(MID(G299,J299,K299-J299),[6]skilldef!$C:$D,2,FALSE),"-") &amp; " / " &amp; IFERROR(VLOOKUP(MID(G299,H299,I299-H299),[6]skilldef!$A:$B,2,FALSE),"-")</f>
        <v>- / -</v>
      </c>
      <c r="M299" s="63" t="str">
        <f t="shared" si="296"/>
        <v>[effect:change_panel_ratio, turn:-1, block_type:heal, val:0.05, animation:block_incidence04],[effect:fix_speed, target:myself, turn:2]</v>
      </c>
      <c r="N299" s="48" t="str">
        <f>IFERROR(LEFT(M299,FIND("],",M299)+S310),M299)</f>
        <v>[effect:change_panel_ratio, turn:-1, block_type:heal, val:0.05, animation:block_incidence04],[effect:fix_speed, target:myself, turn:2]</v>
      </c>
      <c r="O299" s="63">
        <f t="shared" si="114"/>
        <v>9</v>
      </c>
      <c r="P299" s="63">
        <f t="shared" si="297"/>
        <v>27</v>
      </c>
      <c r="Q299" s="63">
        <f t="shared" si="298"/>
        <v>120</v>
      </c>
      <c r="R299" s="63">
        <f t="shared" si="299"/>
        <v>36</v>
      </c>
      <c r="S299" s="63" t="str">
        <f>IFERROR(VLOOKUP(MID(N299,Q299,R299-Q299),[6]skilldef!$C:$D,2,FALSE),"-") &amp; " / " &amp; IFERROR(VLOOKUP(MID(N299,O299,P299-O299),[6]skilldef!$A:$B,2,FALSE),"-")</f>
        <v>- / -</v>
      </c>
      <c r="T299" s="48" t="str">
        <f t="shared" si="300"/>
        <v>[effect:fix_speed, target:myself, turn:2]</v>
      </c>
      <c r="U299" s="63">
        <f t="shared" si="119"/>
        <v>9</v>
      </c>
      <c r="V299" s="63">
        <f t="shared" si="301"/>
        <v>18</v>
      </c>
      <c r="W299" s="63">
        <f t="shared" si="302"/>
        <v>27</v>
      </c>
      <c r="X299" s="63">
        <f t="shared" si="303"/>
        <v>33</v>
      </c>
      <c r="Y299" s="63" t="str">
        <f>IFERROR(VLOOKUP(MID(T299,W299,X299-W299),[6]skilldef!$C:$D,2,FALSE),"-") &amp; " / " &amp; IFERROR(VLOOKUP(MID(T299,U299,V299-U299),[6]skilldef!$A:$B,2,FALSE),"-")</f>
        <v>自分自身に / 行動値設定</v>
      </c>
      <c r="Z299" s="50"/>
      <c r="AA299" s="52"/>
      <c r="AB299" s="50"/>
    </row>
    <row r="300" spans="1:28" ht="40" customHeight="1" x14ac:dyDescent="0.15">
      <c r="A300" s="47">
        <v>47004907</v>
      </c>
      <c r="B300" s="133" t="s">
        <v>543</v>
      </c>
      <c r="C300" s="50">
        <v>3</v>
      </c>
      <c r="D300" s="50" t="s">
        <v>127</v>
      </c>
      <c r="E300" s="116" t="s">
        <v>287</v>
      </c>
      <c r="F300" s="51" t="s">
        <v>345</v>
      </c>
      <c r="G300" s="63" t="str">
        <f t="shared" si="292"/>
        <v>[effect:enemy_message, val1:2.3, val2:1.5]</v>
      </c>
      <c r="H300" s="63">
        <f t="shared" si="109"/>
        <v>9</v>
      </c>
      <c r="I300" s="63">
        <f t="shared" si="293"/>
        <v>22</v>
      </c>
      <c r="J300" s="63" t="e">
        <f t="shared" si="294"/>
        <v>#VALUE!</v>
      </c>
      <c r="K300" s="63">
        <f t="shared" si="295"/>
        <v>32</v>
      </c>
      <c r="L300" s="63" t="str">
        <f>IFERROR(VLOOKUP(MID(G300,J300,K300-J300),[6]skilldef!$C:$D,2,FALSE),"-") &amp; " / " &amp; IFERROR(VLOOKUP(MID(G300,H300,I300-H300),[6]skilldef!$A:$B,2,FALSE),"-")</f>
        <v>- / -</v>
      </c>
      <c r="M300" s="63" t="str">
        <f t="shared" si="296"/>
        <v>[effect:change_panel_ratio, turn:-1, block_type:heal, val:0.05, animation:block_incidence04],[effect:fix_speed, target:myself, turn:2]</v>
      </c>
      <c r="N300" s="48" t="str">
        <f>IFERROR(LEFT(M300,FIND("],",M300)+S311),M300)</f>
        <v>[effect:change_panel_ratio, turn:-1, block_type:heal, val:0.05, animation:block_incidence04],[effect:fix_speed, target:myself, turn:2]</v>
      </c>
      <c r="O300" s="63">
        <f t="shared" si="114"/>
        <v>9</v>
      </c>
      <c r="P300" s="63">
        <f t="shared" si="297"/>
        <v>27</v>
      </c>
      <c r="Q300" s="63">
        <f t="shared" si="298"/>
        <v>120</v>
      </c>
      <c r="R300" s="63">
        <f t="shared" si="299"/>
        <v>36</v>
      </c>
      <c r="S300" s="63" t="str">
        <f>IFERROR(VLOOKUP(MID(N300,Q300,R300-Q300),[6]skilldef!$C:$D,2,FALSE),"-") &amp; " / " &amp; IFERROR(VLOOKUP(MID(N300,O300,P300-O300),[6]skilldef!$A:$B,2,FALSE),"-")</f>
        <v>- / -</v>
      </c>
      <c r="T300" s="48" t="str">
        <f t="shared" si="300"/>
        <v>[effect:fix_speed, target:myself, turn:2]</v>
      </c>
      <c r="U300" s="63">
        <f t="shared" si="119"/>
        <v>9</v>
      </c>
      <c r="V300" s="63">
        <f t="shared" si="301"/>
        <v>18</v>
      </c>
      <c r="W300" s="63">
        <f t="shared" si="302"/>
        <v>27</v>
      </c>
      <c r="X300" s="63">
        <f t="shared" si="303"/>
        <v>33</v>
      </c>
      <c r="Y300" s="63" t="str">
        <f>IFERROR(VLOOKUP(MID(T300,W300,X300-W300),[6]skilldef!$C:$D,2,FALSE),"-") &amp; " / " &amp; IFERROR(VLOOKUP(MID(T300,U300,V300-U300),[6]skilldef!$A:$B,2,FALSE),"-")</f>
        <v>自分自身に / 行動値設定</v>
      </c>
      <c r="Z300" s="50"/>
      <c r="AA300" s="52"/>
      <c r="AB300" s="50"/>
    </row>
    <row r="301" spans="1:28" ht="40" customHeight="1" x14ac:dyDescent="0.15">
      <c r="A301" s="47">
        <v>47004908</v>
      </c>
      <c r="B301" s="133" t="s">
        <v>544</v>
      </c>
      <c r="C301" s="50">
        <v>3</v>
      </c>
      <c r="D301" s="50" t="s">
        <v>127</v>
      </c>
      <c r="E301" s="116" t="s">
        <v>288</v>
      </c>
      <c r="F301" s="51" t="s">
        <v>295</v>
      </c>
      <c r="G301" s="63" t="str">
        <f t="shared" si="292"/>
        <v>[effect:enemy_message, val1:1.9, val2:1.5]</v>
      </c>
      <c r="H301" s="63">
        <f t="shared" si="109"/>
        <v>9</v>
      </c>
      <c r="I301" s="63">
        <f t="shared" si="293"/>
        <v>22</v>
      </c>
      <c r="J301" s="63" t="e">
        <f t="shared" si="294"/>
        <v>#VALUE!</v>
      </c>
      <c r="K301" s="63">
        <f t="shared" si="295"/>
        <v>32</v>
      </c>
      <c r="L301" s="63" t="str">
        <f>IFERROR(VLOOKUP(MID(G301,J301,K301-J301),[6]skilldef!$C:$D,2,FALSE),"-") &amp; " / " &amp; IFERROR(VLOOKUP(MID(G301,H301,I301-H301),[6]skilldef!$A:$B,2,FALSE),"-")</f>
        <v>- / -</v>
      </c>
      <c r="M301" s="63" t="str">
        <f t="shared" si="296"/>
        <v>[effect:change_panel_ratio, turn:-1, block_type:heal, val:0.05, animation:block_incidence04],[effect:fix_speed, target:myself, turn:2]</v>
      </c>
      <c r="N301" s="48" t="str">
        <f>IFERROR(LEFT(M301,FIND("],",M301)+S312),M301)</f>
        <v>[effect:change_panel_ratio, turn:-1, block_type:heal, val:0.05, animation:block_incidence04],[effect:fix_speed, target:myself, turn:2]</v>
      </c>
      <c r="O301" s="63">
        <f t="shared" si="114"/>
        <v>9</v>
      </c>
      <c r="P301" s="63">
        <f t="shared" si="297"/>
        <v>27</v>
      </c>
      <c r="Q301" s="63">
        <f t="shared" si="298"/>
        <v>120</v>
      </c>
      <c r="R301" s="63">
        <f t="shared" si="299"/>
        <v>36</v>
      </c>
      <c r="S301" s="63" t="str">
        <f>IFERROR(VLOOKUP(MID(N301,Q301,R301-Q301),[6]skilldef!$C:$D,2,FALSE),"-") &amp; " / " &amp; IFERROR(VLOOKUP(MID(N301,O301,P301-O301),[6]skilldef!$A:$B,2,FALSE),"-")</f>
        <v>- / -</v>
      </c>
      <c r="T301" s="48" t="str">
        <f t="shared" si="300"/>
        <v>[effect:fix_speed, target:myself, turn:2]</v>
      </c>
      <c r="U301" s="63">
        <f t="shared" si="119"/>
        <v>9</v>
      </c>
      <c r="V301" s="63">
        <f t="shared" si="301"/>
        <v>18</v>
      </c>
      <c r="W301" s="63">
        <f t="shared" si="302"/>
        <v>27</v>
      </c>
      <c r="X301" s="63">
        <f t="shared" si="303"/>
        <v>33</v>
      </c>
      <c r="Y301" s="63" t="str">
        <f>IFERROR(VLOOKUP(MID(T301,W301,X301-W301),[6]skilldef!$C:$D,2,FALSE),"-") &amp; " / " &amp; IFERROR(VLOOKUP(MID(T301,U301,V301-U301),[6]skilldef!$A:$B,2,FALSE),"-")</f>
        <v>自分自身に / 行動値設定</v>
      </c>
      <c r="Z301" s="50"/>
      <c r="AA301" s="52"/>
      <c r="AB301" s="50"/>
    </row>
    <row r="302" spans="1:28" ht="40" customHeight="1" x14ac:dyDescent="0.15">
      <c r="A302" s="47">
        <v>47004909</v>
      </c>
      <c r="B302" s="133" t="s">
        <v>545</v>
      </c>
      <c r="C302" s="50">
        <v>3</v>
      </c>
      <c r="D302" s="50" t="s">
        <v>127</v>
      </c>
      <c r="E302" s="116" t="s">
        <v>289</v>
      </c>
      <c r="F302" s="51" t="s">
        <v>295</v>
      </c>
      <c r="G302" s="63" t="str">
        <f t="shared" si="292"/>
        <v>[effect:enemy_message, val1:2.7, val2:1.5]</v>
      </c>
      <c r="H302" s="63">
        <f t="shared" si="109"/>
        <v>9</v>
      </c>
      <c r="I302" s="63">
        <f t="shared" si="293"/>
        <v>22</v>
      </c>
      <c r="J302" s="63" t="e">
        <f t="shared" si="294"/>
        <v>#VALUE!</v>
      </c>
      <c r="K302" s="63">
        <f t="shared" si="295"/>
        <v>32</v>
      </c>
      <c r="L302" s="63" t="str">
        <f>IFERROR(VLOOKUP(MID(G302,J302,K302-J302),[6]skilldef!$C:$D,2,FALSE),"-") &amp; " / " &amp; IFERROR(VLOOKUP(MID(G302,H302,I302-H302),[6]skilldef!$A:$B,2,FALSE),"-")</f>
        <v>- / -</v>
      </c>
      <c r="M302" s="63" t="str">
        <f t="shared" si="296"/>
        <v>[effect:change_panel_ratio, turn:-1, block_type:heal, val:0.05, animation:block_incidence04],[effect:fix_speed, target:myself, turn:2]</v>
      </c>
      <c r="N302" s="48" t="str">
        <f>IFERROR(LEFT(M302,FIND("],",M302)+S313),M302)</f>
        <v>[effect:change_panel_ratio, turn:-1, block_type:heal, val:0.05, animation:block_incidence04],[effect:fix_speed, target:myself, turn:2]</v>
      </c>
      <c r="O302" s="63">
        <f t="shared" si="114"/>
        <v>9</v>
      </c>
      <c r="P302" s="63">
        <f t="shared" si="297"/>
        <v>27</v>
      </c>
      <c r="Q302" s="63">
        <f t="shared" si="298"/>
        <v>120</v>
      </c>
      <c r="R302" s="63">
        <f t="shared" si="299"/>
        <v>36</v>
      </c>
      <c r="S302" s="63" t="str">
        <f>IFERROR(VLOOKUP(MID(N302,Q302,R302-Q302),[6]skilldef!$C:$D,2,FALSE),"-") &amp; " / " &amp; IFERROR(VLOOKUP(MID(N302,O302,P302-O302),[6]skilldef!$A:$B,2,FALSE),"-")</f>
        <v>- / -</v>
      </c>
      <c r="T302" s="48" t="str">
        <f t="shared" si="300"/>
        <v>[effect:fix_speed, target:myself, turn:2]</v>
      </c>
      <c r="U302" s="63">
        <f t="shared" si="119"/>
        <v>9</v>
      </c>
      <c r="V302" s="63">
        <f t="shared" si="301"/>
        <v>18</v>
      </c>
      <c r="W302" s="63">
        <f t="shared" si="302"/>
        <v>27</v>
      </c>
      <c r="X302" s="63">
        <f t="shared" si="303"/>
        <v>33</v>
      </c>
      <c r="Y302" s="63" t="str">
        <f>IFERROR(VLOOKUP(MID(T302,W302,X302-W302),[6]skilldef!$C:$D,2,FALSE),"-") &amp; " / " &amp; IFERROR(VLOOKUP(MID(T302,U302,V302-U302),[6]skilldef!$A:$B,2,FALSE),"-")</f>
        <v>自分自身に / 行動値設定</v>
      </c>
      <c r="Z302" s="50"/>
      <c r="AA302" s="52"/>
      <c r="AB302" s="50"/>
    </row>
    <row r="303" spans="1:28" ht="40" customHeight="1" x14ac:dyDescent="0.15">
      <c r="A303" s="47">
        <v>47004910</v>
      </c>
      <c r="B303" s="133" t="s">
        <v>546</v>
      </c>
      <c r="C303" s="50">
        <v>3</v>
      </c>
      <c r="D303" s="50" t="s">
        <v>127</v>
      </c>
      <c r="E303" s="116" t="s">
        <v>290</v>
      </c>
      <c r="F303" s="51" t="s">
        <v>295</v>
      </c>
      <c r="G303" s="63" t="str">
        <f t="shared" si="292"/>
        <v>[effect:enemy_message, val1:2.6, val2:1.5]</v>
      </c>
      <c r="H303" s="63">
        <f t="shared" si="109"/>
        <v>9</v>
      </c>
      <c r="I303" s="63">
        <f t="shared" si="293"/>
        <v>22</v>
      </c>
      <c r="J303" s="63" t="e">
        <f t="shared" si="294"/>
        <v>#VALUE!</v>
      </c>
      <c r="K303" s="63">
        <f t="shared" si="295"/>
        <v>32</v>
      </c>
      <c r="L303" s="63" t="str">
        <f>IFERROR(VLOOKUP(MID(G303,J303,K303-J303),[6]skilldef!$C:$D,2,FALSE),"-") &amp; " / " &amp; IFERROR(VLOOKUP(MID(G303,H303,I303-H303),[6]skilldef!$A:$B,2,FALSE),"-")</f>
        <v>- / -</v>
      </c>
      <c r="M303" s="63" t="str">
        <f t="shared" si="296"/>
        <v>[effect:change_panel_ratio, turn:-1, block_type:heal, val:0.05, animation:block_incidence04],[effect:fix_speed, target:myself, turn:2]</v>
      </c>
      <c r="N303" s="48" t="str">
        <f>IFERROR(LEFT(M303,FIND("],",M303)+S314),M303)</f>
        <v>[effect:change_panel_ratio, turn:-1, block_type:heal, val:0.05, animation:block_incidence04],[effect:fix_speed, target:myself, turn:2]</v>
      </c>
      <c r="O303" s="63">
        <f t="shared" si="114"/>
        <v>9</v>
      </c>
      <c r="P303" s="63">
        <f t="shared" si="297"/>
        <v>27</v>
      </c>
      <c r="Q303" s="63">
        <f t="shared" si="298"/>
        <v>120</v>
      </c>
      <c r="R303" s="63">
        <f t="shared" si="299"/>
        <v>36</v>
      </c>
      <c r="S303" s="63" t="str">
        <f>IFERROR(VLOOKUP(MID(N303,Q303,R303-Q303),[6]skilldef!$C:$D,2,FALSE),"-") &amp; " / " &amp; IFERROR(VLOOKUP(MID(N303,O303,P303-O303),[6]skilldef!$A:$B,2,FALSE),"-")</f>
        <v>- / -</v>
      </c>
      <c r="T303" s="48" t="str">
        <f t="shared" si="300"/>
        <v>[effect:fix_speed, target:myself, turn:2]</v>
      </c>
      <c r="U303" s="63">
        <f t="shared" si="119"/>
        <v>9</v>
      </c>
      <c r="V303" s="63">
        <f t="shared" si="301"/>
        <v>18</v>
      </c>
      <c r="W303" s="63">
        <f t="shared" si="302"/>
        <v>27</v>
      </c>
      <c r="X303" s="63">
        <f t="shared" si="303"/>
        <v>33</v>
      </c>
      <c r="Y303" s="63" t="str">
        <f>IFERROR(VLOOKUP(MID(T303,W303,X303-W303),[6]skilldef!$C:$D,2,FALSE),"-") &amp; " / " &amp; IFERROR(VLOOKUP(MID(T303,U303,V303-U303),[6]skilldef!$A:$B,2,FALSE),"-")</f>
        <v>自分自身に / 行動値設定</v>
      </c>
      <c r="Z303" s="50"/>
      <c r="AA303" s="52"/>
      <c r="AB303" s="50"/>
    </row>
    <row r="304" spans="1:28" ht="40" customHeight="1" x14ac:dyDescent="0.15">
      <c r="A304" s="47">
        <v>47004911</v>
      </c>
      <c r="B304" s="133" t="s">
        <v>547</v>
      </c>
      <c r="C304" s="50">
        <v>3</v>
      </c>
      <c r="D304" s="50" t="s">
        <v>127</v>
      </c>
      <c r="E304" s="129" t="s">
        <v>393</v>
      </c>
      <c r="F304" s="51" t="s">
        <v>295</v>
      </c>
      <c r="G304" s="63" t="str">
        <f t="shared" ref="G304:G305" si="319">IFERROR(LEFT(B304,FIND("],",B304)),B304)</f>
        <v>[effect:enemy_message, val1:2.0, val2:1.5]</v>
      </c>
      <c r="H304" s="63">
        <f t="shared" ref="H304:H305" si="320">FIND("effect:",G304)+7</f>
        <v>9</v>
      </c>
      <c r="I304" s="63">
        <f t="shared" ref="I304:I305" si="321">IFERROR(FIND(",",G304),LEN(G304))</f>
        <v>22</v>
      </c>
      <c r="J304" s="63" t="e">
        <f t="shared" ref="J304:J305" si="322">FIND("target:",G304)+7</f>
        <v>#VALUE!</v>
      </c>
      <c r="K304" s="63">
        <f t="shared" ref="K304:K305" si="323">FIND(",",G304,I304+1)</f>
        <v>32</v>
      </c>
      <c r="L304" s="63" t="str">
        <f>IFERROR(VLOOKUP(MID(G304,J304,K304-J304),[6]skilldef!$C:$D,2,FALSE),"-") &amp; " / " &amp; IFERROR(VLOOKUP(MID(G304,H304,I304-H304),[6]skilldef!$A:$B,2,FALSE),"-")</f>
        <v>- / -</v>
      </c>
      <c r="M304" s="63" t="str">
        <f t="shared" ref="M304:M305" si="324">IFERROR(RIGHT(B304,LEN(B304)-FIND("],",B304)-1),"none")</f>
        <v>[effect:change_panel_ratio, turn:-1, block_type:heal, val:0.05, animation:block_incidence04],[effect:fix_speed, target:myself, turn:2]</v>
      </c>
      <c r="N304" s="48" t="str">
        <f t="shared" ref="N304:N305" si="325">IFERROR(LEFT(M304,FIND("],",M304)+S315),M304)</f>
        <v>[effect:change_panel_ratio, turn:-1, block_type:heal, val:0.05, animation:block_incidence04],[effect:fix_speed, target:myself, turn:2]</v>
      </c>
      <c r="O304" s="63">
        <f t="shared" ref="O304:O305" si="326">FIND("effect:",N304)+7</f>
        <v>9</v>
      </c>
      <c r="P304" s="63">
        <f t="shared" ref="P304:P305" si="327">IFERROR(FIND(",",N304),LEN(N304))</f>
        <v>27</v>
      </c>
      <c r="Q304" s="63">
        <f t="shared" ref="Q304:Q305" si="328">FIND("target:",N304)+7</f>
        <v>120</v>
      </c>
      <c r="R304" s="63">
        <f t="shared" ref="R304:R305" si="329">FIND(",",N304,P304+1)</f>
        <v>36</v>
      </c>
      <c r="S304" s="63" t="str">
        <f>IFERROR(VLOOKUP(MID(N304,Q304,R304-Q304),[6]skilldef!$C:$D,2,FALSE),"-") &amp; " / " &amp; IFERROR(VLOOKUP(MID(N304,O304,P304-O304),[6]skilldef!$A:$B,2,FALSE),"-")</f>
        <v>- / -</v>
      </c>
      <c r="T304" s="48" t="str">
        <f t="shared" ref="T304:T305" si="330">IFERROR(RIGHT(M304,LEN(M304)-FIND("],",M304)-1),"none")</f>
        <v>[effect:fix_speed, target:myself, turn:2]</v>
      </c>
      <c r="U304" s="63">
        <f t="shared" ref="U304:U305" si="331">FIND("effect:",T304)+7</f>
        <v>9</v>
      </c>
      <c r="V304" s="63">
        <f t="shared" ref="V304:V305" si="332">IFERROR(FIND(",",T304),LEN(T304))</f>
        <v>18</v>
      </c>
      <c r="W304" s="63">
        <f t="shared" ref="W304:W305" si="333">FIND("target:",T304)+7</f>
        <v>27</v>
      </c>
      <c r="X304" s="63">
        <f t="shared" ref="X304:X305" si="334">FIND(",",T304,V304+1)</f>
        <v>33</v>
      </c>
      <c r="Y304" s="63" t="str">
        <f>IFERROR(VLOOKUP(MID(T304,W304,X304-W304),[6]skilldef!$C:$D,2,FALSE),"-") &amp; " / " &amp; IFERROR(VLOOKUP(MID(T304,U304,V304-U304),[6]skilldef!$A:$B,2,FALSE),"-")</f>
        <v>自分自身に / 行動値設定</v>
      </c>
      <c r="Z304" s="50"/>
      <c r="AA304" s="52"/>
      <c r="AB304" s="50"/>
    </row>
    <row r="305" spans="1:28" ht="40" customHeight="1" x14ac:dyDescent="0.15">
      <c r="A305" s="47">
        <v>47004912</v>
      </c>
      <c r="B305" s="133" t="s">
        <v>548</v>
      </c>
      <c r="C305" s="50">
        <v>3</v>
      </c>
      <c r="D305" s="50" t="s">
        <v>127</v>
      </c>
      <c r="E305" s="129" t="s">
        <v>394</v>
      </c>
      <c r="F305" s="51" t="s">
        <v>295</v>
      </c>
      <c r="G305" s="63" t="str">
        <f t="shared" si="319"/>
        <v>[effect:enemy_message, val1:1.8, val2:1.5]</v>
      </c>
      <c r="H305" s="63">
        <f t="shared" si="320"/>
        <v>9</v>
      </c>
      <c r="I305" s="63">
        <f t="shared" si="321"/>
        <v>22</v>
      </c>
      <c r="J305" s="63" t="e">
        <f t="shared" si="322"/>
        <v>#VALUE!</v>
      </c>
      <c r="K305" s="63">
        <f t="shared" si="323"/>
        <v>32</v>
      </c>
      <c r="L305" s="63" t="str">
        <f>IFERROR(VLOOKUP(MID(G305,J305,K305-J305),[6]skilldef!$C:$D,2,FALSE),"-") &amp; " / " &amp; IFERROR(VLOOKUP(MID(G305,H305,I305-H305),[6]skilldef!$A:$B,2,FALSE),"-")</f>
        <v>- / -</v>
      </c>
      <c r="M305" s="63" t="str">
        <f t="shared" si="324"/>
        <v>[effect:change_panel_ratio, turn:-1, block_type:heal, val:0.05, animation:block_incidence04],[effect:fix_speed, target:myself, turn:2]</v>
      </c>
      <c r="N305" s="48" t="str">
        <f t="shared" si="325"/>
        <v>[effect:change_panel_ratio, turn:-1, block_type:heal, val:0.05, animation:block_incidence04],[effect:fix_speed, target:myself, turn:2]</v>
      </c>
      <c r="O305" s="63">
        <f t="shared" si="326"/>
        <v>9</v>
      </c>
      <c r="P305" s="63">
        <f t="shared" si="327"/>
        <v>27</v>
      </c>
      <c r="Q305" s="63">
        <f t="shared" si="328"/>
        <v>120</v>
      </c>
      <c r="R305" s="63">
        <f t="shared" si="329"/>
        <v>36</v>
      </c>
      <c r="S305" s="63" t="str">
        <f>IFERROR(VLOOKUP(MID(N305,Q305,R305-Q305),[6]skilldef!$C:$D,2,FALSE),"-") &amp; " / " &amp; IFERROR(VLOOKUP(MID(N305,O305,P305-O305),[6]skilldef!$A:$B,2,FALSE),"-")</f>
        <v>- / -</v>
      </c>
      <c r="T305" s="48" t="str">
        <f t="shared" si="330"/>
        <v>[effect:fix_speed, target:myself, turn:2]</v>
      </c>
      <c r="U305" s="63">
        <f t="shared" si="331"/>
        <v>9</v>
      </c>
      <c r="V305" s="63">
        <f t="shared" si="332"/>
        <v>18</v>
      </c>
      <c r="W305" s="63">
        <f t="shared" si="333"/>
        <v>27</v>
      </c>
      <c r="X305" s="63">
        <f t="shared" si="334"/>
        <v>33</v>
      </c>
      <c r="Y305" s="63" t="str">
        <f>IFERROR(VLOOKUP(MID(T305,W305,X305-W305),[6]skilldef!$C:$D,2,FALSE),"-") &amp; " / " &amp; IFERROR(VLOOKUP(MID(T305,U305,V305-U305),[6]skilldef!$A:$B,2,FALSE),"-")</f>
        <v>自分自身に / 行動値設定</v>
      </c>
      <c r="Z305" s="50"/>
      <c r="AA305" s="52"/>
      <c r="AB305" s="50"/>
    </row>
    <row r="306" spans="1:28" ht="40" customHeight="1" x14ac:dyDescent="0.15">
      <c r="A306" s="110">
        <v>47004931</v>
      </c>
      <c r="B306" s="132" t="s">
        <v>549</v>
      </c>
      <c r="C306" s="111">
        <v>3</v>
      </c>
      <c r="D306" s="111" t="s">
        <v>127</v>
      </c>
      <c r="E306" s="112" t="s">
        <v>324</v>
      </c>
      <c r="F306" s="112" t="s">
        <v>631</v>
      </c>
      <c r="G306" s="63" t="str">
        <f t="shared" si="292"/>
        <v>[effect:enemy_message, val1:1.4, val2:4.6]</v>
      </c>
      <c r="H306" s="63">
        <f t="shared" si="109"/>
        <v>9</v>
      </c>
      <c r="I306" s="63">
        <f t="shared" si="293"/>
        <v>22</v>
      </c>
      <c r="J306" s="63" t="e">
        <f t="shared" si="294"/>
        <v>#VALUE!</v>
      </c>
      <c r="K306" s="63">
        <f t="shared" si="295"/>
        <v>32</v>
      </c>
      <c r="L306" s="63" t="str">
        <f>IFERROR(VLOOKUP(MID(G306,J306,K306-J306),[6]skilldef!$C:$D,2,FALSE),"-") &amp; " / " &amp; IFERROR(VLOOKUP(MID(G306,H306,I306-H306),[6]skilldef!$A:$B,2,FALSE),"-")</f>
        <v>- / -</v>
      </c>
      <c r="M306" s="63" t="str">
        <f t="shared" si="296"/>
        <v>[effect:degrade_unit, target:unit_all, turn:5, status:action, val:2, calc:add, animation:enemy_tap_down],[effect:tolerance, target:myself, turn:-1, count:-1, tolerance_effect:all, animation:enemy_tolerance],[effect:fix_speed, target:myself, turn:1]</v>
      </c>
      <c r="N306" s="48" t="str">
        <f>IFERROR(LEFT(M306,FIND("],",M306)+#REF!),M306)</f>
        <v>[effect:degrade_unit, target:unit_all, turn:5, status:action, val:2, calc:add, animation:enemy_tap_down],[effect:tolerance, target:myself, turn:-1, count:-1, tolerance_effect:all, animation:enemy_tolerance],[effect:fix_speed, target:myself, turn:1]</v>
      </c>
      <c r="O306" s="63">
        <f t="shared" si="114"/>
        <v>9</v>
      </c>
      <c r="P306" s="63">
        <f t="shared" si="297"/>
        <v>21</v>
      </c>
      <c r="Q306" s="63">
        <f t="shared" si="298"/>
        <v>30</v>
      </c>
      <c r="R306" s="63">
        <f t="shared" si="299"/>
        <v>38</v>
      </c>
      <c r="S306" s="63" t="str">
        <f>IFERROR(VLOOKUP(MID(N306,Q306,R306-Q306),[6]skilldef!$C:$D,2,FALSE),"-") &amp; " / " &amp; IFERROR(VLOOKUP(MID(N306,O306,P306-O306),[6]skilldef!$A:$B,2,FALSE),"-")</f>
        <v>味方全体に / ステータスDOWN</v>
      </c>
      <c r="T306" s="48" t="str">
        <f t="shared" si="300"/>
        <v>[effect:tolerance, target:myself, turn:-1, count:-1, tolerance_effect:all, animation:enemy_tolerance],[effect:fix_speed, target:myself, turn:1]</v>
      </c>
      <c r="U306" s="63">
        <f t="shared" si="119"/>
        <v>9</v>
      </c>
      <c r="V306" s="63">
        <f t="shared" si="301"/>
        <v>18</v>
      </c>
      <c r="W306" s="63">
        <f t="shared" si="302"/>
        <v>27</v>
      </c>
      <c r="X306" s="63">
        <f t="shared" si="303"/>
        <v>33</v>
      </c>
      <c r="Y306" s="63" t="str">
        <f>IFERROR(VLOOKUP(MID(T306,W306,X306-W306),[6]skilldef!$C:$D,2,FALSE),"-") &amp; " / " &amp; IFERROR(VLOOKUP(MID(T306,U306,V306-U306),[6]skilldef!$A:$B,2,FALSE),"-")</f>
        <v>自分自身に / 状態異常耐性</v>
      </c>
      <c r="Z306" s="50"/>
      <c r="AA306" s="52"/>
      <c r="AB306" s="50"/>
    </row>
    <row r="307" spans="1:28" ht="40" customHeight="1" x14ac:dyDescent="0.15">
      <c r="A307" s="110">
        <v>47004932</v>
      </c>
      <c r="B307" s="136" t="s">
        <v>622</v>
      </c>
      <c r="C307" s="111">
        <v>3</v>
      </c>
      <c r="D307" s="111" t="s">
        <v>127</v>
      </c>
      <c r="E307" s="112" t="s">
        <v>325</v>
      </c>
      <c r="F307" s="112" t="s">
        <v>485</v>
      </c>
      <c r="G307" s="63" t="str">
        <f t="shared" si="292"/>
        <v>[effect:enemy_message, val1:1.5, val2:3.7]</v>
      </c>
      <c r="H307" s="63">
        <f t="shared" si="109"/>
        <v>9</v>
      </c>
      <c r="I307" s="63">
        <f t="shared" si="293"/>
        <v>22</v>
      </c>
      <c r="J307" s="63" t="e">
        <f t="shared" si="294"/>
        <v>#VALUE!</v>
      </c>
      <c r="K307" s="63">
        <f t="shared" si="295"/>
        <v>32</v>
      </c>
      <c r="L307" s="63" t="str">
        <f>IFERROR(VLOOKUP(MID(G307,J307,K307-J307),[6]skilldef!$C:$D,2,FALSE),"-") &amp; " / " &amp; IFERROR(VLOOKUP(MID(G307,H307,I307-H307),[6]skilldef!$A:$B,2,FALSE),"-")</f>
        <v>- / -</v>
      </c>
      <c r="M307" s="63" t="str">
        <f t="shared" si="296"/>
        <v>[effect:suicide, val:0.2],[effect:spread, val:0.25],[effect:force_change_block, new_block:damage, target:block_all, ignore01:block_positive, ignore02:block_negative, count:4, val:0.05]</v>
      </c>
      <c r="N307" s="48" t="str">
        <f>IFERROR(LEFT(M307,FIND("],",M307)+#REF!),M307)</f>
        <v>[effect:suicide, val:0.2],[effect:spread, val:0.25],[effect:force_change_block, new_block:damage, target:block_all, ignore01:block_positive, ignore02:block_negative, count:4, val:0.05]</v>
      </c>
      <c r="O307" s="63">
        <f t="shared" si="114"/>
        <v>9</v>
      </c>
      <c r="P307" s="63">
        <f t="shared" si="297"/>
        <v>16</v>
      </c>
      <c r="Q307" s="63">
        <f t="shared" si="298"/>
        <v>106</v>
      </c>
      <c r="R307" s="63">
        <f t="shared" si="299"/>
        <v>26</v>
      </c>
      <c r="S307" s="63" t="str">
        <f>IFERROR(VLOOKUP(MID(N307,Q307,R307-Q307),[6]skilldef!$C:$D,2,FALSE),"-") &amp; " / " &amp; IFERROR(VLOOKUP(MID(N307,O307,P307-O307),[6]skilldef!$A:$B,2,FALSE),"-")</f>
        <v>- / -</v>
      </c>
      <c r="T307" s="48" t="str">
        <f t="shared" si="300"/>
        <v>[effect:spread, val:0.25],[effect:force_change_block, new_block:damage, target:block_all, ignore01:block_positive, ignore02:block_negative, count:4, val:0.05]</v>
      </c>
      <c r="U307" s="63">
        <f t="shared" si="119"/>
        <v>9</v>
      </c>
      <c r="V307" s="63">
        <f t="shared" si="301"/>
        <v>15</v>
      </c>
      <c r="W307" s="63">
        <f t="shared" si="302"/>
        <v>80</v>
      </c>
      <c r="X307" s="63">
        <f t="shared" si="303"/>
        <v>26</v>
      </c>
      <c r="Y307" s="63" t="str">
        <f>IFERROR(VLOOKUP(MID(T307,W307,X307-W307),[6]skilldef!$C:$D,2,FALSE),"-") &amp; " / " &amp; IFERROR(VLOOKUP(MID(T307,U307,V307-U307),[6]skilldef!$A:$B,2,FALSE),"-")</f>
        <v>- / 全体攻撃</v>
      </c>
      <c r="Z307" s="50"/>
      <c r="AA307" s="52"/>
      <c r="AB307" s="50"/>
    </row>
    <row r="308" spans="1:28" ht="40" customHeight="1" x14ac:dyDescent="0.15">
      <c r="A308" s="110">
        <v>47004933</v>
      </c>
      <c r="B308" s="136" t="s">
        <v>623</v>
      </c>
      <c r="C308" s="111">
        <v>3</v>
      </c>
      <c r="D308" s="111" t="s">
        <v>127</v>
      </c>
      <c r="E308" s="112" t="s">
        <v>326</v>
      </c>
      <c r="F308" s="112" t="s">
        <v>486</v>
      </c>
      <c r="G308" s="63" t="str">
        <f t="shared" ref="G308:G315" si="335">IFERROR(LEFT(B308,FIND("],",B308)),B308)</f>
        <v>[effect:enemy_message, val1:1.2, val2:3.7]</v>
      </c>
      <c r="H308" s="63">
        <f t="shared" si="109"/>
        <v>9</v>
      </c>
      <c r="I308" s="63">
        <f t="shared" ref="I308:I315" si="336">IFERROR(FIND(",",G308),LEN(G308))</f>
        <v>22</v>
      </c>
      <c r="J308" s="63" t="e">
        <f t="shared" ref="J308:J315" si="337">FIND("target:",G308)+7</f>
        <v>#VALUE!</v>
      </c>
      <c r="K308" s="63">
        <f t="shared" ref="K308:K315" si="338">FIND(",",G308,I308+1)</f>
        <v>32</v>
      </c>
      <c r="L308" s="63" t="str">
        <f>IFERROR(VLOOKUP(MID(G308,J308,K308-J308),[6]skilldef!$C:$D,2,FALSE),"-") &amp; " / " &amp; IFERROR(VLOOKUP(MID(G308,H308,I308-H308),[6]skilldef!$A:$B,2,FALSE),"-")</f>
        <v>- / -</v>
      </c>
      <c r="M308" s="63" t="str">
        <f t="shared" ref="M308:M315" si="339">IFERROR(RIGHT(B308,LEN(B308)-FIND("],",B308)-1),"none")</f>
        <v>[effect:suicide, val:0.25],[effect:spread, val:0.26],[effect:force_change_block, new_block:damage, target:block_all, ignore01:block_positive, ignore02:block_negative, count:4, val:0.05]</v>
      </c>
      <c r="N308" s="48" t="str">
        <f>IFERROR(LEFT(M308,FIND("],",M308)+#REF!),M308)</f>
        <v>[effect:suicide, val:0.25],[effect:spread, val:0.26],[effect:force_change_block, new_block:damage, target:block_all, ignore01:block_positive, ignore02:block_negative, count:4, val:0.05]</v>
      </c>
      <c r="O308" s="63">
        <f t="shared" si="114"/>
        <v>9</v>
      </c>
      <c r="P308" s="63">
        <f t="shared" ref="P308:P315" si="340">IFERROR(FIND(",",N308),LEN(N308))</f>
        <v>16</v>
      </c>
      <c r="Q308" s="63">
        <f t="shared" ref="Q308:Q315" si="341">FIND("target:",N308)+7</f>
        <v>107</v>
      </c>
      <c r="R308" s="63">
        <f t="shared" ref="R308:R315" si="342">FIND(",",N308,P308+1)</f>
        <v>27</v>
      </c>
      <c r="S308" s="63" t="str">
        <f>IFERROR(VLOOKUP(MID(N308,Q308,R308-Q308),[6]skilldef!$C:$D,2,FALSE),"-") &amp; " / " &amp; IFERROR(VLOOKUP(MID(N308,O308,P308-O308),[6]skilldef!$A:$B,2,FALSE),"-")</f>
        <v>- / -</v>
      </c>
      <c r="T308" s="48" t="str">
        <f t="shared" ref="T308:T315" si="343">IFERROR(RIGHT(M308,LEN(M308)-FIND("],",M308)-1),"none")</f>
        <v>[effect:spread, val:0.26],[effect:force_change_block, new_block:damage, target:block_all, ignore01:block_positive, ignore02:block_negative, count:4, val:0.05]</v>
      </c>
      <c r="U308" s="63">
        <f t="shared" si="119"/>
        <v>9</v>
      </c>
      <c r="V308" s="63">
        <f t="shared" ref="V308:V315" si="344">IFERROR(FIND(",",T308),LEN(T308))</f>
        <v>15</v>
      </c>
      <c r="W308" s="63">
        <f t="shared" ref="W308:W315" si="345">FIND("target:",T308)+7</f>
        <v>80</v>
      </c>
      <c r="X308" s="63">
        <f t="shared" ref="X308:X315" si="346">FIND(",",T308,V308+1)</f>
        <v>26</v>
      </c>
      <c r="Y308" s="63" t="str">
        <f>IFERROR(VLOOKUP(MID(T308,W308,X308-W308),[6]skilldef!$C:$D,2,FALSE),"-") &amp; " / " &amp; IFERROR(VLOOKUP(MID(T308,U308,V308-U308),[6]skilldef!$A:$B,2,FALSE),"-")</f>
        <v>- / 全体攻撃</v>
      </c>
      <c r="Z308" s="50"/>
      <c r="AA308" s="52"/>
      <c r="AB308" s="50"/>
    </row>
    <row r="309" spans="1:28" ht="40" customHeight="1" x14ac:dyDescent="0.15">
      <c r="A309" s="110">
        <v>47004934</v>
      </c>
      <c r="B309" s="136" t="s">
        <v>624</v>
      </c>
      <c r="C309" s="111">
        <v>3</v>
      </c>
      <c r="D309" s="111" t="s">
        <v>127</v>
      </c>
      <c r="E309" s="112" t="s">
        <v>327</v>
      </c>
      <c r="F309" s="112" t="s">
        <v>487</v>
      </c>
      <c r="G309" s="63" t="str">
        <f t="shared" si="335"/>
        <v>[effect:enemy_message, val1:1.2, val2:3.7]</v>
      </c>
      <c r="H309" s="63">
        <f t="shared" si="109"/>
        <v>9</v>
      </c>
      <c r="I309" s="63">
        <f t="shared" si="336"/>
        <v>22</v>
      </c>
      <c r="J309" s="63" t="e">
        <f t="shared" si="337"/>
        <v>#VALUE!</v>
      </c>
      <c r="K309" s="63">
        <f t="shared" si="338"/>
        <v>32</v>
      </c>
      <c r="L309" s="63" t="str">
        <f>IFERROR(VLOOKUP(MID(G309,J309,K309-J309),[6]skilldef!$C:$D,2,FALSE),"-") &amp; " / " &amp; IFERROR(VLOOKUP(MID(G309,H309,I309-H309),[6]skilldef!$A:$B,2,FALSE),"-")</f>
        <v>- / -</v>
      </c>
      <c r="M309" s="63" t="str">
        <f t="shared" si="339"/>
        <v>[effect:suicide, val:0.33],[effect:spread, val:0.27],[effect:force_change_block, new_block:damage, target:block_all, ignore01:block_positive, ignore02:block_negative, count:4, val:0.05]</v>
      </c>
      <c r="N309" s="48" t="str">
        <f>IFERROR(LEFT(M309,FIND("],",M309)+#REF!),M309)</f>
        <v>[effect:suicide, val:0.33],[effect:spread, val:0.27],[effect:force_change_block, new_block:damage, target:block_all, ignore01:block_positive, ignore02:block_negative, count:4, val:0.05]</v>
      </c>
      <c r="O309" s="63">
        <f t="shared" si="114"/>
        <v>9</v>
      </c>
      <c r="P309" s="63">
        <f t="shared" si="340"/>
        <v>16</v>
      </c>
      <c r="Q309" s="63">
        <f t="shared" si="341"/>
        <v>107</v>
      </c>
      <c r="R309" s="63">
        <f t="shared" si="342"/>
        <v>27</v>
      </c>
      <c r="S309" s="63" t="str">
        <f>IFERROR(VLOOKUP(MID(N309,Q309,R309-Q309),[6]skilldef!$C:$D,2,FALSE),"-") &amp; " / " &amp; IFERROR(VLOOKUP(MID(N309,O309,P309-O309),[6]skilldef!$A:$B,2,FALSE),"-")</f>
        <v>- / -</v>
      </c>
      <c r="T309" s="48" t="str">
        <f t="shared" si="343"/>
        <v>[effect:spread, val:0.27],[effect:force_change_block, new_block:damage, target:block_all, ignore01:block_positive, ignore02:block_negative, count:4, val:0.05]</v>
      </c>
      <c r="U309" s="63">
        <f t="shared" si="119"/>
        <v>9</v>
      </c>
      <c r="V309" s="63">
        <f t="shared" si="344"/>
        <v>15</v>
      </c>
      <c r="W309" s="63">
        <f t="shared" si="345"/>
        <v>80</v>
      </c>
      <c r="X309" s="63">
        <f t="shared" si="346"/>
        <v>26</v>
      </c>
      <c r="Y309" s="63" t="str">
        <f>IFERROR(VLOOKUP(MID(T309,W309,X309-W309),[6]skilldef!$C:$D,2,FALSE),"-") &amp; " / " &amp; IFERROR(VLOOKUP(MID(T309,U309,V309-U309),[6]skilldef!$A:$B,2,FALSE),"-")</f>
        <v>- / 全体攻撃</v>
      </c>
      <c r="Z309" s="50"/>
      <c r="AA309" s="52"/>
      <c r="AB309" s="50"/>
    </row>
    <row r="310" spans="1:28" ht="40" customHeight="1" x14ac:dyDescent="0.15">
      <c r="A310" s="110">
        <v>47004935</v>
      </c>
      <c r="B310" s="136" t="s">
        <v>625</v>
      </c>
      <c r="C310" s="111">
        <v>3</v>
      </c>
      <c r="D310" s="111" t="s">
        <v>127</v>
      </c>
      <c r="E310" s="112" t="s">
        <v>328</v>
      </c>
      <c r="F310" s="112" t="s">
        <v>488</v>
      </c>
      <c r="G310" s="63" t="str">
        <f t="shared" si="335"/>
        <v>[effect:enemy_message, val1:1.2, val2:3.7]</v>
      </c>
      <c r="H310" s="63">
        <f t="shared" si="109"/>
        <v>9</v>
      </c>
      <c r="I310" s="63">
        <f t="shared" si="336"/>
        <v>22</v>
      </c>
      <c r="J310" s="63" t="e">
        <f t="shared" si="337"/>
        <v>#VALUE!</v>
      </c>
      <c r="K310" s="63">
        <f t="shared" si="338"/>
        <v>32</v>
      </c>
      <c r="L310" s="63" t="str">
        <f>IFERROR(VLOOKUP(MID(G310,J310,K310-J310),[6]skilldef!$C:$D,2,FALSE),"-") &amp; " / " &amp; IFERROR(VLOOKUP(MID(G310,H310,I310-H310),[6]skilldef!$A:$B,2,FALSE),"-")</f>
        <v>- / -</v>
      </c>
      <c r="M310" s="63" t="str">
        <f t="shared" si="339"/>
        <v>[effect:suicide, val:0.50],[effect:spread, val:0.28],[effect:force_change_block, new_block:damage, target:block_all, ignore01:block_positive, ignore02:block_negative, count:4, val:0.05]</v>
      </c>
      <c r="N310" s="48" t="str">
        <f>IFERROR(LEFT(M310,FIND("],",M310)+#REF!),M310)</f>
        <v>[effect:suicide, val:0.50],[effect:spread, val:0.28],[effect:force_change_block, new_block:damage, target:block_all, ignore01:block_positive, ignore02:block_negative, count:4, val:0.05]</v>
      </c>
      <c r="O310" s="63">
        <f t="shared" si="114"/>
        <v>9</v>
      </c>
      <c r="P310" s="63">
        <f t="shared" si="340"/>
        <v>16</v>
      </c>
      <c r="Q310" s="63">
        <f t="shared" si="341"/>
        <v>107</v>
      </c>
      <c r="R310" s="63">
        <f t="shared" si="342"/>
        <v>27</v>
      </c>
      <c r="S310" s="63" t="str">
        <f>IFERROR(VLOOKUP(MID(N310,Q310,R310-Q310),[6]skilldef!$C:$D,2,FALSE),"-") &amp; " / " &amp; IFERROR(VLOOKUP(MID(N310,O310,P310-O310),[6]skilldef!$A:$B,2,FALSE),"-")</f>
        <v>- / -</v>
      </c>
      <c r="T310" s="48" t="str">
        <f t="shared" si="343"/>
        <v>[effect:spread, val:0.28],[effect:force_change_block, new_block:damage, target:block_all, ignore01:block_positive, ignore02:block_negative, count:4, val:0.05]</v>
      </c>
      <c r="U310" s="63">
        <f t="shared" si="119"/>
        <v>9</v>
      </c>
      <c r="V310" s="63">
        <f t="shared" si="344"/>
        <v>15</v>
      </c>
      <c r="W310" s="63">
        <f t="shared" si="345"/>
        <v>80</v>
      </c>
      <c r="X310" s="63">
        <f t="shared" si="346"/>
        <v>26</v>
      </c>
      <c r="Y310" s="63" t="str">
        <f>IFERROR(VLOOKUP(MID(T310,W310,X310-W310),[6]skilldef!$C:$D,2,FALSE),"-") &amp; " / " &amp; IFERROR(VLOOKUP(MID(T310,U310,V310-U310),[6]skilldef!$A:$B,2,FALSE),"-")</f>
        <v>- / 全体攻撃</v>
      </c>
      <c r="Z310" s="50"/>
      <c r="AA310" s="52"/>
      <c r="AB310" s="50"/>
    </row>
    <row r="311" spans="1:28" ht="40" customHeight="1" x14ac:dyDescent="0.15">
      <c r="A311" s="110">
        <v>47004936</v>
      </c>
      <c r="B311" s="136" t="s">
        <v>626</v>
      </c>
      <c r="C311" s="111">
        <v>3</v>
      </c>
      <c r="D311" s="111" t="s">
        <v>127</v>
      </c>
      <c r="E311" s="112" t="s">
        <v>436</v>
      </c>
      <c r="F311" s="112" t="s">
        <v>489</v>
      </c>
      <c r="G311" s="63" t="str">
        <f t="shared" si="335"/>
        <v>[effect:enemy_message, val1:1.3, val2:3.8]</v>
      </c>
      <c r="H311" s="63">
        <f t="shared" si="109"/>
        <v>9</v>
      </c>
      <c r="I311" s="63">
        <f t="shared" si="336"/>
        <v>22</v>
      </c>
      <c r="J311" s="63" t="e">
        <f t="shared" si="337"/>
        <v>#VALUE!</v>
      </c>
      <c r="K311" s="63">
        <f t="shared" si="338"/>
        <v>32</v>
      </c>
      <c r="L311" s="63" t="str">
        <f>IFERROR(VLOOKUP(MID(G311,J311,K311-J311),[6]skilldef!$C:$D,2,FALSE),"-") &amp; " / " &amp; IFERROR(VLOOKUP(MID(G311,H311,I311-H311),[6]skilldef!$A:$B,2,FALSE),"-")</f>
        <v>- / -</v>
      </c>
      <c r="M311" s="63" t="str">
        <f t="shared" si="339"/>
        <v>[effect:suicide, val:1.0, dead_type:suicide],[effect:spread, val:0.29],[effect:force_change_block, new_block:damage, target:block_all, ignore01:block_positive, ignore02:block_negative, count:4, val:0.05]</v>
      </c>
      <c r="N311" s="48" t="str">
        <f>IFERROR(LEFT(M311,FIND("],",M311)+#REF!),M311)</f>
        <v>[effect:suicide, val:1.0, dead_type:suicide],[effect:spread, val:0.29],[effect:force_change_block, new_block:damage, target:block_all, ignore01:block_positive, ignore02:block_negative, count:4, val:0.05]</v>
      </c>
      <c r="O311" s="63">
        <f t="shared" si="114"/>
        <v>9</v>
      </c>
      <c r="P311" s="63">
        <f t="shared" si="340"/>
        <v>16</v>
      </c>
      <c r="Q311" s="63">
        <f t="shared" si="341"/>
        <v>125</v>
      </c>
      <c r="R311" s="63">
        <f t="shared" si="342"/>
        <v>25</v>
      </c>
      <c r="S311" s="63" t="str">
        <f>IFERROR(VLOOKUP(MID(N311,Q311,R311-Q311),[6]skilldef!$C:$D,2,FALSE),"-") &amp; " / " &amp; IFERROR(VLOOKUP(MID(N311,O311,P311-O311),[6]skilldef!$A:$B,2,FALSE),"-")</f>
        <v>- / -</v>
      </c>
      <c r="T311" s="48" t="str">
        <f t="shared" si="343"/>
        <v>[effect:spread, val:0.29],[effect:force_change_block, new_block:damage, target:block_all, ignore01:block_positive, ignore02:block_negative, count:4, val:0.05]</v>
      </c>
      <c r="U311" s="63">
        <f t="shared" si="119"/>
        <v>9</v>
      </c>
      <c r="V311" s="63">
        <f t="shared" si="344"/>
        <v>15</v>
      </c>
      <c r="W311" s="63">
        <f t="shared" si="345"/>
        <v>80</v>
      </c>
      <c r="X311" s="63">
        <f t="shared" si="346"/>
        <v>26</v>
      </c>
      <c r="Y311" s="63" t="str">
        <f>IFERROR(VLOOKUP(MID(T311,W311,X311-W311),[6]skilldef!$C:$D,2,FALSE),"-") &amp; " / " &amp; IFERROR(VLOOKUP(MID(T311,U311,V311-U311),[6]skilldef!$A:$B,2,FALSE),"-")</f>
        <v>- / 全体攻撃</v>
      </c>
      <c r="Z311" s="50"/>
      <c r="AA311" s="52"/>
      <c r="AB311" s="50"/>
    </row>
    <row r="312" spans="1:28" ht="40" customHeight="1" x14ac:dyDescent="0.15">
      <c r="A312" s="47">
        <v>47004961</v>
      </c>
      <c r="B312" s="133" t="s">
        <v>555</v>
      </c>
      <c r="C312" s="50">
        <v>3</v>
      </c>
      <c r="D312" s="50" t="s">
        <v>127</v>
      </c>
      <c r="E312" s="51" t="s">
        <v>333</v>
      </c>
      <c r="F312" s="51" t="s">
        <v>348</v>
      </c>
      <c r="G312" s="63" t="str">
        <f t="shared" si="335"/>
        <v>[effect:enemy_message, val1:1.5, val2:2.4]</v>
      </c>
      <c r="H312" s="63">
        <f t="shared" si="109"/>
        <v>9</v>
      </c>
      <c r="I312" s="63">
        <f t="shared" si="336"/>
        <v>22</v>
      </c>
      <c r="J312" s="63" t="e">
        <f t="shared" si="337"/>
        <v>#VALUE!</v>
      </c>
      <c r="K312" s="63">
        <f t="shared" si="338"/>
        <v>32</v>
      </c>
      <c r="L312" s="63" t="str">
        <f>IFERROR(VLOOKUP(MID(G312,J312,K312-J312),[6]skilldef!$C:$D,2,FALSE),"-") &amp; " / " &amp; IFERROR(VLOOKUP(MID(G312,H312,I312-H312),[6]skilldef!$A:$B,2,FALSE),"-")</f>
        <v>- / -</v>
      </c>
      <c r="M312" s="63" t="str">
        <f t="shared" si="339"/>
        <v>[effect:enemy_message, val1:1.0, val2:0],[effect:fix_speed, target:myself, turn:1]</v>
      </c>
      <c r="N312" s="48" t="str">
        <f>IFERROR(LEFT(M312,FIND("],",M312)+#REF!),M312)</f>
        <v>[effect:enemy_message, val1:1.0, val2:0],[effect:fix_speed, target:myself, turn:1]</v>
      </c>
      <c r="O312" s="63">
        <f t="shared" si="114"/>
        <v>9</v>
      </c>
      <c r="P312" s="63">
        <f t="shared" si="340"/>
        <v>22</v>
      </c>
      <c r="Q312" s="63">
        <f t="shared" si="341"/>
        <v>68</v>
      </c>
      <c r="R312" s="63">
        <f t="shared" si="342"/>
        <v>32</v>
      </c>
      <c r="S312" s="63" t="str">
        <f>IFERROR(VLOOKUP(MID(N312,Q312,R312-Q312),[6]skilldef!$C:$D,2,FALSE),"-") &amp; " / " &amp; IFERROR(VLOOKUP(MID(N312,O312,P312-O312),[6]skilldef!$A:$B,2,FALSE),"-")</f>
        <v>- / -</v>
      </c>
      <c r="T312" s="48" t="str">
        <f t="shared" si="343"/>
        <v>[effect:fix_speed, target:myself, turn:1]</v>
      </c>
      <c r="U312" s="63">
        <f t="shared" si="119"/>
        <v>9</v>
      </c>
      <c r="V312" s="63">
        <f t="shared" si="344"/>
        <v>18</v>
      </c>
      <c r="W312" s="63">
        <f t="shared" si="345"/>
        <v>27</v>
      </c>
      <c r="X312" s="63">
        <f t="shared" si="346"/>
        <v>33</v>
      </c>
      <c r="Y312" s="63" t="str">
        <f>IFERROR(VLOOKUP(MID(T312,W312,X312-W312),[6]skilldef!$C:$D,2,FALSE),"-") &amp; " / " &amp; IFERROR(VLOOKUP(MID(T312,U312,V312-U312),[6]skilldef!$A:$B,2,FALSE),"-")</f>
        <v>自分自身に / 行動値設定</v>
      </c>
      <c r="Z312" s="50"/>
      <c r="AA312" s="52"/>
      <c r="AB312" s="50"/>
    </row>
    <row r="313" spans="1:28" ht="40" customHeight="1" x14ac:dyDescent="0.15">
      <c r="A313" s="47">
        <v>47004962</v>
      </c>
      <c r="B313" s="133" t="s">
        <v>556</v>
      </c>
      <c r="C313" s="50">
        <v>3</v>
      </c>
      <c r="D313" s="50" t="s">
        <v>127</v>
      </c>
      <c r="E313" s="51" t="s">
        <v>336</v>
      </c>
      <c r="F313" s="51" t="s">
        <v>258</v>
      </c>
      <c r="G313" s="63" t="str">
        <f t="shared" si="335"/>
        <v>[effect:enemy_message, val1:1.2, val2:1.2]</v>
      </c>
      <c r="H313" s="63">
        <f t="shared" si="109"/>
        <v>9</v>
      </c>
      <c r="I313" s="63">
        <f t="shared" si="336"/>
        <v>22</v>
      </c>
      <c r="J313" s="63" t="e">
        <f t="shared" si="337"/>
        <v>#VALUE!</v>
      </c>
      <c r="K313" s="63">
        <f t="shared" si="338"/>
        <v>32</v>
      </c>
      <c r="L313" s="63" t="str">
        <f>IFERROR(VLOOKUP(MID(G313,J313,K313-J313),[6]skilldef!$C:$D,2,FALSE),"-") &amp; " / " &amp; IFERROR(VLOOKUP(MID(G313,H313,I313-H313),[6]skilldef!$A:$B,2,FALSE),"-")</f>
        <v>- / -</v>
      </c>
      <c r="M313" s="63" t="str">
        <f t="shared" si="339"/>
        <v>[effect:spread, val:0.33]</v>
      </c>
      <c r="N313" s="48" t="str">
        <f>IFERROR(LEFT(M313,FIND("],",M313)+#REF!),M313)</f>
        <v>[effect:spread, val:0.33]</v>
      </c>
      <c r="O313" s="63">
        <f t="shared" si="114"/>
        <v>9</v>
      </c>
      <c r="P313" s="63">
        <f t="shared" si="340"/>
        <v>15</v>
      </c>
      <c r="Q313" s="63" t="e">
        <f t="shared" si="341"/>
        <v>#VALUE!</v>
      </c>
      <c r="R313" s="63" t="e">
        <f t="shared" si="342"/>
        <v>#VALUE!</v>
      </c>
      <c r="S313" s="63" t="str">
        <f>IFERROR(VLOOKUP(MID(N313,Q313,R313-Q313),[6]skilldef!$C:$D,2,FALSE),"-") &amp; " / " &amp; IFERROR(VLOOKUP(MID(N313,O313,P313-O313),[6]skilldef!$A:$B,2,FALSE),"-")</f>
        <v>- / 全体攻撃</v>
      </c>
      <c r="T313" s="48" t="str">
        <f t="shared" si="343"/>
        <v>none</v>
      </c>
      <c r="U313" s="63" t="e">
        <f t="shared" si="119"/>
        <v>#VALUE!</v>
      </c>
      <c r="V313" s="63">
        <f t="shared" si="344"/>
        <v>4</v>
      </c>
      <c r="W313" s="63" t="e">
        <f t="shared" si="345"/>
        <v>#VALUE!</v>
      </c>
      <c r="X313" s="63" t="e">
        <f t="shared" si="346"/>
        <v>#VALUE!</v>
      </c>
      <c r="Y313" s="63" t="str">
        <f>IFERROR(VLOOKUP(MID(T313,W313,X313-W313),[6]skilldef!$C:$D,2,FALSE),"-") &amp; " / " &amp; IFERROR(VLOOKUP(MID(T313,U313,V313-U313),[6]skilldef!$A:$B,2,FALSE),"-")</f>
        <v>- / -</v>
      </c>
      <c r="Z313" s="50"/>
      <c r="AA313" s="52"/>
      <c r="AB313" s="50"/>
    </row>
    <row r="314" spans="1:28" ht="40" customHeight="1" x14ac:dyDescent="0.15">
      <c r="A314" s="47">
        <v>47004963</v>
      </c>
      <c r="B314" s="136" t="s">
        <v>627</v>
      </c>
      <c r="C314" s="50">
        <v>3</v>
      </c>
      <c r="D314" s="50" t="s">
        <v>127</v>
      </c>
      <c r="E314" s="51" t="s">
        <v>322</v>
      </c>
      <c r="F314" s="51" t="s">
        <v>429</v>
      </c>
      <c r="G314" s="63" t="str">
        <f t="shared" si="335"/>
        <v>[effect:enemy_message, val1:2.1, val2:2.0]</v>
      </c>
      <c r="H314" s="63">
        <f t="shared" si="109"/>
        <v>9</v>
      </c>
      <c r="I314" s="63">
        <f t="shared" si="336"/>
        <v>22</v>
      </c>
      <c r="J314" s="63" t="e">
        <f t="shared" si="337"/>
        <v>#VALUE!</v>
      </c>
      <c r="K314" s="63">
        <f t="shared" si="338"/>
        <v>32</v>
      </c>
      <c r="L314" s="63" t="str">
        <f>IFERROR(VLOOKUP(MID(G314,J314,K314-J314),[6]skilldef!$C:$D,2,FALSE),"-") &amp; " / " &amp; IFERROR(VLOOKUP(MID(G314,H314,I314-H314),[6]skilldef!$A:$B,2,FALSE),"-")</f>
        <v>- / -</v>
      </c>
      <c r="M314" s="63" t="str">
        <f t="shared" si="339"/>
        <v>[effect:break_attack_fix, target:unit_all, val:200, lowest_val:1000, count:-1, color:blue, block01:block_blue, color:blue, block02:block_heart]</v>
      </c>
      <c r="N314" s="48" t="str">
        <f>IFERROR(LEFT(M314,FIND("],",M314)+#REF!),M314)</f>
        <v>[effect:break_attack_fix, target:unit_all, val:200, lowest_val:1000, count:-1, color:blue, block01:block_blue, color:blue, block02:block_heart]</v>
      </c>
      <c r="O314" s="63">
        <f t="shared" si="114"/>
        <v>9</v>
      </c>
      <c r="P314" s="63">
        <f t="shared" si="340"/>
        <v>25</v>
      </c>
      <c r="Q314" s="63">
        <f t="shared" si="341"/>
        <v>34</v>
      </c>
      <c r="R314" s="63">
        <f t="shared" si="342"/>
        <v>42</v>
      </c>
      <c r="S314" s="63" t="str">
        <f>IFERROR(VLOOKUP(MID(N314,Q314,R314-Q314),[6]skilldef!$C:$D,2,FALSE),"-") &amp; " / " &amp; IFERROR(VLOOKUP(MID(N314,O314,P314-O314),[6]skilldef!$A:$B,2,FALSE),"-")</f>
        <v>味方全体に / -</v>
      </c>
      <c r="T314" s="48" t="str">
        <f t="shared" si="343"/>
        <v>none</v>
      </c>
      <c r="U314" s="63" t="e">
        <f t="shared" si="119"/>
        <v>#VALUE!</v>
      </c>
      <c r="V314" s="63">
        <f t="shared" si="344"/>
        <v>4</v>
      </c>
      <c r="W314" s="63" t="e">
        <f t="shared" si="345"/>
        <v>#VALUE!</v>
      </c>
      <c r="X314" s="63" t="e">
        <f t="shared" si="346"/>
        <v>#VALUE!</v>
      </c>
      <c r="Y314" s="63" t="str">
        <f>IFERROR(VLOOKUP(MID(T314,W314,X314-W314),[6]skilldef!$C:$D,2,FALSE),"-") &amp; " / " &amp; IFERROR(VLOOKUP(MID(T314,U314,V314-U314),[6]skilldef!$A:$B,2,FALSE),"-")</f>
        <v>- / -</v>
      </c>
      <c r="Z314" s="50"/>
      <c r="AA314" s="52"/>
      <c r="AB314" s="50"/>
    </row>
    <row r="315" spans="1:28" ht="40" customHeight="1" x14ac:dyDescent="0.15">
      <c r="A315" s="47">
        <v>47004964</v>
      </c>
      <c r="B315" s="136" t="s">
        <v>628</v>
      </c>
      <c r="C315" s="50">
        <v>3</v>
      </c>
      <c r="D315" s="50" t="s">
        <v>127</v>
      </c>
      <c r="E315" s="51" t="s">
        <v>342</v>
      </c>
      <c r="F315" s="51" t="s">
        <v>259</v>
      </c>
      <c r="G315" s="63" t="str">
        <f t="shared" si="335"/>
        <v>[effect:enemy_message, val1:1.2, val2:2.2]</v>
      </c>
      <c r="H315" s="63">
        <f t="shared" si="109"/>
        <v>9</v>
      </c>
      <c r="I315" s="63">
        <f t="shared" si="336"/>
        <v>22</v>
      </c>
      <c r="J315" s="63" t="e">
        <f t="shared" si="337"/>
        <v>#VALUE!</v>
      </c>
      <c r="K315" s="63">
        <f t="shared" si="338"/>
        <v>32</v>
      </c>
      <c r="L315" s="63" t="str">
        <f>IFERROR(VLOOKUP(MID(G315,J315,K315-J315),[6]skilldef!$C:$D,2,FALSE),"-") &amp; " / " &amp; IFERROR(VLOOKUP(MID(G315,H315,I315-H315),[6]skilldef!$A:$B,2,FALSE),"-")</f>
        <v>- / -</v>
      </c>
      <c r="M315" s="63" t="str">
        <f t="shared" si="339"/>
        <v xml:space="preserve">[effect:force_change_block, new_block:damage, target:block_red, count:0, val:0.05],[effect:rush, count:1, val:1.0]    </v>
      </c>
      <c r="N315" s="48" t="str">
        <f>IFERROR(LEFT(M315,FIND("],",M315)+#REF!),M315)</f>
        <v xml:space="preserve">[effect:force_change_block, new_block:damage, target:block_red, count:0, val:0.05],[effect:rush, count:1, val:1.0]    </v>
      </c>
      <c r="O315" s="63">
        <f t="shared" si="114"/>
        <v>9</v>
      </c>
      <c r="P315" s="63">
        <f t="shared" si="340"/>
        <v>27</v>
      </c>
      <c r="Q315" s="63">
        <f t="shared" si="341"/>
        <v>54</v>
      </c>
      <c r="R315" s="63">
        <f t="shared" si="342"/>
        <v>45</v>
      </c>
      <c r="S315" s="63" t="str">
        <f>IFERROR(VLOOKUP(MID(N315,Q315,R315-Q315),[6]skilldef!$C:$D,2,FALSE),"-") &amp; " / " &amp; IFERROR(VLOOKUP(MID(N315,O315,P315-O315),[6]skilldef!$A:$B,2,FALSE),"-")</f>
        <v>- / -</v>
      </c>
      <c r="T315" s="48" t="str">
        <f t="shared" si="343"/>
        <v xml:space="preserve">[effect:rush, count:1, val:1.0]    </v>
      </c>
      <c r="U315" s="63">
        <f t="shared" si="119"/>
        <v>9</v>
      </c>
      <c r="V315" s="63">
        <f t="shared" si="344"/>
        <v>13</v>
      </c>
      <c r="W315" s="63" t="e">
        <f t="shared" si="345"/>
        <v>#VALUE!</v>
      </c>
      <c r="X315" s="63">
        <f t="shared" si="346"/>
        <v>22</v>
      </c>
      <c r="Y315" s="63" t="str">
        <f>IFERROR(VLOOKUP(MID(T315,W315,X315-W315),[6]skilldef!$C:$D,2,FALSE),"-") &amp; " / " &amp; IFERROR(VLOOKUP(MID(T315,U315,V315-U315),[6]skilldef!$A:$B,2,FALSE),"-")</f>
        <v>- / 連続攻撃</v>
      </c>
      <c r="Z315" s="50"/>
      <c r="AA315" s="52"/>
      <c r="AB315" s="50"/>
    </row>
    <row r="316" spans="1:28" ht="40" customHeight="1" x14ac:dyDescent="0.15">
      <c r="A316" s="47">
        <v>47004965</v>
      </c>
      <c r="B316" s="133" t="s">
        <v>559</v>
      </c>
      <c r="C316" s="50">
        <v>3</v>
      </c>
      <c r="D316" s="50" t="s">
        <v>127</v>
      </c>
      <c r="E316" s="51" t="s">
        <v>331</v>
      </c>
      <c r="F316" s="51" t="s">
        <v>258</v>
      </c>
      <c r="G316" s="63" t="str">
        <f t="shared" ref="G316:G320" si="347">IFERROR(LEFT(B316,FIND("],",B316)),B316)</f>
        <v>[effect:enemy_message, val1:1.2, val2:1.2]</v>
      </c>
      <c r="H316" s="63">
        <f t="shared" si="109"/>
        <v>9</v>
      </c>
      <c r="I316" s="63">
        <f t="shared" ref="I316:I320" si="348">IFERROR(FIND(",",G316),LEN(G316))</f>
        <v>22</v>
      </c>
      <c r="J316" s="63" t="e">
        <f t="shared" ref="J316:J320" si="349">FIND("target:",G316)+7</f>
        <v>#VALUE!</v>
      </c>
      <c r="K316" s="63">
        <f t="shared" ref="K316:K320" si="350">FIND(",",G316,I316+1)</f>
        <v>32</v>
      </c>
      <c r="L316" s="63" t="str">
        <f>IFERROR(VLOOKUP(MID(G316,J316,K316-J316),[6]skilldef!$C:$D,2,FALSE),"-") &amp; " / " &amp; IFERROR(VLOOKUP(MID(G316,H316,I316-H316),[6]skilldef!$A:$B,2,FALSE),"-")</f>
        <v>- / -</v>
      </c>
      <c r="M316" s="63" t="str">
        <f t="shared" ref="M316:M320" si="351">IFERROR(RIGHT(B316,LEN(B316)-FIND("],",B316)-1),"none")</f>
        <v>[effect:spread, val:0.35]</v>
      </c>
      <c r="N316" s="48" t="str">
        <f>IFERROR(LEFT(M316,FIND("],",M316)+#REF!),M316)</f>
        <v>[effect:spread, val:0.35]</v>
      </c>
      <c r="O316" s="63">
        <f t="shared" si="114"/>
        <v>9</v>
      </c>
      <c r="P316" s="63">
        <f t="shared" ref="P316:P320" si="352">IFERROR(FIND(",",N316),LEN(N316))</f>
        <v>15</v>
      </c>
      <c r="Q316" s="63" t="e">
        <f t="shared" ref="Q316:Q320" si="353">FIND("target:",N316)+7</f>
        <v>#VALUE!</v>
      </c>
      <c r="R316" s="63" t="e">
        <f t="shared" ref="R316:R320" si="354">FIND(",",N316,P316+1)</f>
        <v>#VALUE!</v>
      </c>
      <c r="S316" s="63" t="str">
        <f>IFERROR(VLOOKUP(MID(N316,Q316,R316-Q316),[6]skilldef!$C:$D,2,FALSE),"-") &amp; " / " &amp; IFERROR(VLOOKUP(MID(N316,O316,P316-O316),[6]skilldef!$A:$B,2,FALSE),"-")</f>
        <v>- / 全体攻撃</v>
      </c>
      <c r="T316" s="48" t="str">
        <f t="shared" ref="T316:T320" si="355">IFERROR(RIGHT(M316,LEN(M316)-FIND("],",M316)-1),"none")</f>
        <v>none</v>
      </c>
      <c r="U316" s="63" t="e">
        <f t="shared" si="119"/>
        <v>#VALUE!</v>
      </c>
      <c r="V316" s="63">
        <f t="shared" ref="V316:V320" si="356">IFERROR(FIND(",",T316),LEN(T316))</f>
        <v>4</v>
      </c>
      <c r="W316" s="63" t="e">
        <f t="shared" ref="W316:W320" si="357">FIND("target:",T316)+7</f>
        <v>#VALUE!</v>
      </c>
      <c r="X316" s="63" t="e">
        <f t="shared" ref="X316:X320" si="358">FIND(",",T316,V316+1)</f>
        <v>#VALUE!</v>
      </c>
      <c r="Y316" s="63" t="str">
        <f>IFERROR(VLOOKUP(MID(T316,W316,X316-W316),[6]skilldef!$C:$D,2,FALSE),"-") &amp; " / " &amp; IFERROR(VLOOKUP(MID(T316,U316,V316-U316),[6]skilldef!$A:$B,2,FALSE),"-")</f>
        <v>- / -</v>
      </c>
      <c r="Z316" s="50"/>
      <c r="AA316" s="52"/>
      <c r="AB316" s="50"/>
    </row>
    <row r="317" spans="1:28" ht="40" customHeight="1" x14ac:dyDescent="0.15">
      <c r="A317" s="47">
        <v>47004966</v>
      </c>
      <c r="B317" s="136" t="s">
        <v>629</v>
      </c>
      <c r="C317" s="50">
        <v>3</v>
      </c>
      <c r="D317" s="50" t="s">
        <v>127</v>
      </c>
      <c r="E317" s="51" t="s">
        <v>330</v>
      </c>
      <c r="F317" s="51" t="s">
        <v>429</v>
      </c>
      <c r="G317" s="63" t="str">
        <f t="shared" si="347"/>
        <v>[effect:enemy_message, val1:1.2, val2:2.0]</v>
      </c>
      <c r="H317" s="63">
        <f t="shared" si="109"/>
        <v>9</v>
      </c>
      <c r="I317" s="63">
        <f t="shared" si="348"/>
        <v>22</v>
      </c>
      <c r="J317" s="63" t="e">
        <f t="shared" si="349"/>
        <v>#VALUE!</v>
      </c>
      <c r="K317" s="63">
        <f t="shared" si="350"/>
        <v>32</v>
      </c>
      <c r="L317" s="63" t="str">
        <f>IFERROR(VLOOKUP(MID(G317,J317,K317-J317),[6]skilldef!$C:$D,2,FALSE),"-") &amp; " / " &amp; IFERROR(VLOOKUP(MID(G317,H317,I317-H317),[6]skilldef!$A:$B,2,FALSE),"-")</f>
        <v>- / -</v>
      </c>
      <c r="M317" s="63" t="str">
        <f t="shared" si="351"/>
        <v>[effect:break_attack_fix, target:unit_all, val:200, lowest_val:1000, count:-1, color:blue, block01:block_blue, color:blue, block02:block_heart]</v>
      </c>
      <c r="N317" s="48" t="str">
        <f>IFERROR(LEFT(M317,FIND("],",M317)+#REF!),M317)</f>
        <v>[effect:break_attack_fix, target:unit_all, val:200, lowest_val:1000, count:-1, color:blue, block01:block_blue, color:blue, block02:block_heart]</v>
      </c>
      <c r="O317" s="63">
        <f t="shared" si="114"/>
        <v>9</v>
      </c>
      <c r="P317" s="63">
        <f t="shared" si="352"/>
        <v>25</v>
      </c>
      <c r="Q317" s="63">
        <f t="shared" si="353"/>
        <v>34</v>
      </c>
      <c r="R317" s="63">
        <f t="shared" si="354"/>
        <v>42</v>
      </c>
      <c r="S317" s="63" t="str">
        <f>IFERROR(VLOOKUP(MID(N317,Q317,R317-Q317),[6]skilldef!$C:$D,2,FALSE),"-") &amp; " / " &amp; IFERROR(VLOOKUP(MID(N317,O317,P317-O317),[6]skilldef!$A:$B,2,FALSE),"-")</f>
        <v>味方全体に / -</v>
      </c>
      <c r="T317" s="48" t="str">
        <f t="shared" si="355"/>
        <v>none</v>
      </c>
      <c r="U317" s="63" t="e">
        <f t="shared" si="119"/>
        <v>#VALUE!</v>
      </c>
      <c r="V317" s="63">
        <f t="shared" si="356"/>
        <v>4</v>
      </c>
      <c r="W317" s="63" t="e">
        <f t="shared" si="357"/>
        <v>#VALUE!</v>
      </c>
      <c r="X317" s="63" t="e">
        <f t="shared" si="358"/>
        <v>#VALUE!</v>
      </c>
      <c r="Y317" s="63" t="str">
        <f>IFERROR(VLOOKUP(MID(T317,W317,X317-W317),[6]skilldef!$C:$D,2,FALSE),"-") &amp; " / " &amp; IFERROR(VLOOKUP(MID(T317,U317,V317-U317),[6]skilldef!$A:$B,2,FALSE),"-")</f>
        <v>- / -</v>
      </c>
      <c r="Z317" s="50"/>
      <c r="AA317" s="52"/>
      <c r="AB317" s="50"/>
    </row>
    <row r="318" spans="1:28" ht="40" customHeight="1" x14ac:dyDescent="0.15">
      <c r="A318" s="47">
        <v>47004967</v>
      </c>
      <c r="B318" s="136" t="s">
        <v>630</v>
      </c>
      <c r="C318" s="50">
        <v>3</v>
      </c>
      <c r="D318" s="50" t="s">
        <v>127</v>
      </c>
      <c r="E318" s="51" t="s">
        <v>337</v>
      </c>
      <c r="F318" s="51" t="s">
        <v>260</v>
      </c>
      <c r="G318" s="63" t="str">
        <f t="shared" si="347"/>
        <v>[effect:enemy_message, val1:1.2, val2:2.2]</v>
      </c>
      <c r="H318" s="63">
        <f t="shared" si="109"/>
        <v>9</v>
      </c>
      <c r="I318" s="63">
        <f t="shared" si="348"/>
        <v>22</v>
      </c>
      <c r="J318" s="63" t="e">
        <f t="shared" si="349"/>
        <v>#VALUE!</v>
      </c>
      <c r="K318" s="63">
        <f t="shared" si="350"/>
        <v>32</v>
      </c>
      <c r="L318" s="63" t="str">
        <f>IFERROR(VLOOKUP(MID(G318,J318,K318-J318),[6]skilldef!$C:$D,2,FALSE),"-") &amp; " / " &amp; IFERROR(VLOOKUP(MID(G318,H318,I318-H318),[6]skilldef!$A:$B,2,FALSE),"-")</f>
        <v>- / -</v>
      </c>
      <c r="M318" s="63" t="str">
        <f t="shared" si="351"/>
        <v xml:space="preserve">[effect:force_change_block, new_block:damage, target:block_green, count:0, val:0.05],[effect:rush, count:1, val:1.0]    </v>
      </c>
      <c r="N318" s="48" t="str">
        <f>IFERROR(LEFT(M318,FIND("],",M318)+#REF!),M318)</f>
        <v xml:space="preserve">[effect:force_change_block, new_block:damage, target:block_green, count:0, val:0.05],[effect:rush, count:1, val:1.0]    </v>
      </c>
      <c r="O318" s="63">
        <f t="shared" si="114"/>
        <v>9</v>
      </c>
      <c r="P318" s="63">
        <f t="shared" si="352"/>
        <v>27</v>
      </c>
      <c r="Q318" s="63">
        <f t="shared" si="353"/>
        <v>54</v>
      </c>
      <c r="R318" s="63">
        <f t="shared" si="354"/>
        <v>45</v>
      </c>
      <c r="S318" s="63" t="str">
        <f>IFERROR(VLOOKUP(MID(N318,Q318,R318-Q318),[6]skilldef!$C:$D,2,FALSE),"-") &amp; " / " &amp; IFERROR(VLOOKUP(MID(N318,O318,P318-O318),[6]skilldef!$A:$B,2,FALSE),"-")</f>
        <v>- / -</v>
      </c>
      <c r="T318" s="48" t="str">
        <f t="shared" si="355"/>
        <v xml:space="preserve">[effect:rush, count:1, val:1.0]    </v>
      </c>
      <c r="U318" s="63">
        <f t="shared" si="119"/>
        <v>9</v>
      </c>
      <c r="V318" s="63">
        <f t="shared" si="356"/>
        <v>13</v>
      </c>
      <c r="W318" s="63" t="e">
        <f t="shared" si="357"/>
        <v>#VALUE!</v>
      </c>
      <c r="X318" s="63">
        <f t="shared" si="358"/>
        <v>22</v>
      </c>
      <c r="Y318" s="63" t="str">
        <f>IFERROR(VLOOKUP(MID(T318,W318,X318-W318),[6]skilldef!$C:$D,2,FALSE),"-") &amp; " / " &amp; IFERROR(VLOOKUP(MID(T318,U318,V318-U318),[6]skilldef!$A:$B,2,FALSE),"-")</f>
        <v>- / 連続攻撃</v>
      </c>
      <c r="Z318" s="50"/>
      <c r="AA318" s="52"/>
      <c r="AB318" s="50"/>
    </row>
    <row r="319" spans="1:28" ht="40" customHeight="1" x14ac:dyDescent="0.15">
      <c r="A319" s="47">
        <v>47004968</v>
      </c>
      <c r="B319" s="133" t="s">
        <v>562</v>
      </c>
      <c r="C319" s="50">
        <v>3</v>
      </c>
      <c r="D319" s="50" t="s">
        <v>127</v>
      </c>
      <c r="E319" s="51" t="s">
        <v>334</v>
      </c>
      <c r="F319" s="51" t="s">
        <v>297</v>
      </c>
      <c r="G319" s="63" t="str">
        <f t="shared" si="347"/>
        <v>[effect:enemy_message, val1:1.2, val2:1.2]</v>
      </c>
      <c r="H319" s="63">
        <f t="shared" ref="H319:H321" si="359">FIND("effect:",G319)+7</f>
        <v>9</v>
      </c>
      <c r="I319" s="63">
        <f t="shared" si="348"/>
        <v>22</v>
      </c>
      <c r="J319" s="63" t="e">
        <f t="shared" si="349"/>
        <v>#VALUE!</v>
      </c>
      <c r="K319" s="63">
        <f t="shared" si="350"/>
        <v>32</v>
      </c>
      <c r="L319" s="63" t="str">
        <f>IFERROR(VLOOKUP(MID(G319,J319,K319-J319),[6]skilldef!$C:$D,2,FALSE),"-") &amp; " / " &amp; IFERROR(VLOOKUP(MID(G319,H319,I319-H319),[6]skilldef!$A:$B,2,FALSE),"-")</f>
        <v>- / -</v>
      </c>
      <c r="M319" s="63" t="str">
        <f t="shared" si="351"/>
        <v xml:space="preserve">[effect:rush, count:24, val:0.07],[effect:critical, val:1.4] </v>
      </c>
      <c r="N319" s="48" t="str">
        <f>IFERROR(LEFT(M319,FIND("],",M319)+#REF!),M319)</f>
        <v xml:space="preserve">[effect:rush, count:24, val:0.07],[effect:critical, val:1.4] </v>
      </c>
      <c r="O319" s="63">
        <f t="shared" ref="O319:O321" si="360">FIND("effect:",N319)+7</f>
        <v>9</v>
      </c>
      <c r="P319" s="63">
        <f t="shared" si="352"/>
        <v>13</v>
      </c>
      <c r="Q319" s="63" t="e">
        <f t="shared" si="353"/>
        <v>#VALUE!</v>
      </c>
      <c r="R319" s="63">
        <f t="shared" si="354"/>
        <v>23</v>
      </c>
      <c r="S319" s="63" t="str">
        <f>IFERROR(VLOOKUP(MID(N319,Q319,R319-Q319),[6]skilldef!$C:$D,2,FALSE),"-") &amp; " / " &amp; IFERROR(VLOOKUP(MID(N319,O319,P319-O319),[6]skilldef!$A:$B,2,FALSE),"-")</f>
        <v>- / 連続攻撃</v>
      </c>
      <c r="T319" s="48" t="str">
        <f t="shared" si="355"/>
        <v xml:space="preserve">[effect:critical, val:1.4] </v>
      </c>
      <c r="U319" s="63">
        <f t="shared" ref="U319:U321" si="361">FIND("effect:",T319)+7</f>
        <v>9</v>
      </c>
      <c r="V319" s="63">
        <f t="shared" si="356"/>
        <v>17</v>
      </c>
      <c r="W319" s="63" t="e">
        <f t="shared" si="357"/>
        <v>#VALUE!</v>
      </c>
      <c r="X319" s="63" t="e">
        <f t="shared" si="358"/>
        <v>#VALUE!</v>
      </c>
      <c r="Y319" s="63" t="str">
        <f>IFERROR(VLOOKUP(MID(T319,W319,X319-W319),[6]skilldef!$C:$D,2,FALSE),"-") &amp; " / " &amp; IFERROR(VLOOKUP(MID(T319,U319,V319-U319),[6]skilldef!$A:$B,2,FALSE),"-")</f>
        <v>- / 大攻撃</v>
      </c>
      <c r="Z319" s="50"/>
      <c r="AA319" s="52"/>
      <c r="AB319" s="50"/>
    </row>
    <row r="320" spans="1:28" ht="40" customHeight="1" x14ac:dyDescent="0.15">
      <c r="A320" s="47">
        <v>47004969</v>
      </c>
      <c r="B320" s="133" t="s">
        <v>563</v>
      </c>
      <c r="C320" s="50">
        <v>3</v>
      </c>
      <c r="D320" s="50" t="s">
        <v>127</v>
      </c>
      <c r="E320" s="51" t="s">
        <v>340</v>
      </c>
      <c r="F320" s="51" t="s">
        <v>346</v>
      </c>
      <c r="G320" s="63" t="str">
        <f t="shared" si="347"/>
        <v>[effect:enemy_message, val1:1.5, val2:2.0]</v>
      </c>
      <c r="H320" s="63">
        <f t="shared" si="359"/>
        <v>9</v>
      </c>
      <c r="I320" s="63">
        <f t="shared" si="348"/>
        <v>22</v>
      </c>
      <c r="J320" s="63" t="e">
        <f t="shared" si="349"/>
        <v>#VALUE!</v>
      </c>
      <c r="K320" s="63">
        <f t="shared" si="350"/>
        <v>32</v>
      </c>
      <c r="L320" s="63" t="str">
        <f>IFERROR(VLOOKUP(MID(G320,J320,K320-J320),[6]skilldef!$C:$D,2,FALSE),"-") &amp; " / " &amp; IFERROR(VLOOKUP(MID(G320,H320,I320-H320),[6]skilldef!$A:$B,2,FALSE),"-")</f>
        <v>- / -</v>
      </c>
      <c r="M320" s="63" t="str">
        <f t="shared" si="351"/>
        <v>[effect:suicide, val:1, dead_type:suicide]</v>
      </c>
      <c r="N320" s="48" t="str">
        <f>IFERROR(LEFT(M320,FIND("],",M320)+#REF!),M320)</f>
        <v>[effect:suicide, val:1, dead_type:suicide]</v>
      </c>
      <c r="O320" s="63">
        <f t="shared" si="360"/>
        <v>9</v>
      </c>
      <c r="P320" s="63">
        <f t="shared" si="352"/>
        <v>16</v>
      </c>
      <c r="Q320" s="63" t="e">
        <f t="shared" si="353"/>
        <v>#VALUE!</v>
      </c>
      <c r="R320" s="63">
        <f t="shared" si="354"/>
        <v>23</v>
      </c>
      <c r="S320" s="63" t="str">
        <f>IFERROR(VLOOKUP(MID(N320,Q320,R320-Q320),[6]skilldef!$C:$D,2,FALSE),"-") &amp; " / " &amp; IFERROR(VLOOKUP(MID(N320,O320,P320-O320),[6]skilldef!$A:$B,2,FALSE),"-")</f>
        <v>- / -</v>
      </c>
      <c r="T320" s="48" t="str">
        <f t="shared" si="355"/>
        <v>none</v>
      </c>
      <c r="U320" s="63" t="e">
        <f t="shared" si="361"/>
        <v>#VALUE!</v>
      </c>
      <c r="V320" s="63">
        <f t="shared" si="356"/>
        <v>4</v>
      </c>
      <c r="W320" s="63" t="e">
        <f t="shared" si="357"/>
        <v>#VALUE!</v>
      </c>
      <c r="X320" s="63" t="e">
        <f t="shared" si="358"/>
        <v>#VALUE!</v>
      </c>
      <c r="Y320" s="63" t="str">
        <f>IFERROR(VLOOKUP(MID(T320,W320,X320-W320),[6]skilldef!$C:$D,2,FALSE),"-") &amp; " / " &amp; IFERROR(VLOOKUP(MID(T320,U320,V320-U320),[6]skilldef!$A:$B,2,FALSE),"-")</f>
        <v>- / -</v>
      </c>
      <c r="Z320" s="50"/>
      <c r="AA320" s="52"/>
      <c r="AB320" s="50"/>
    </row>
    <row r="321" spans="1:28" ht="40" customHeight="1" x14ac:dyDescent="0.15">
      <c r="A321" s="47">
        <v>47004970</v>
      </c>
      <c r="B321" s="133" t="s">
        <v>564</v>
      </c>
      <c r="C321" s="50">
        <v>3</v>
      </c>
      <c r="D321" s="50" t="s">
        <v>127</v>
      </c>
      <c r="E321" s="51" t="s">
        <v>344</v>
      </c>
      <c r="F321" s="51" t="s">
        <v>341</v>
      </c>
      <c r="G321" s="63" t="str">
        <f t="shared" ref="G321" si="362">IFERROR(LEFT(B321,FIND("],",B321)),B321)</f>
        <v>[effect:enemy_message, val1:2.2, val2:2.8]</v>
      </c>
      <c r="H321" s="63">
        <f t="shared" si="359"/>
        <v>9</v>
      </c>
      <c r="I321" s="63">
        <f t="shared" ref="I321" si="363">IFERROR(FIND(",",G321),LEN(G321))</f>
        <v>22</v>
      </c>
      <c r="J321" s="63" t="e">
        <f t="shared" ref="J321" si="364">FIND("target:",G321)+7</f>
        <v>#VALUE!</v>
      </c>
      <c r="K321" s="63">
        <f t="shared" ref="K321" si="365">FIND(",",G321,I321+1)</f>
        <v>32</v>
      </c>
      <c r="L321" s="63" t="str">
        <f>IFERROR(VLOOKUP(MID(G321,J321,K321-J321),[6]skilldef!$C:$D,2,FALSE),"-") &amp; " / " &amp; IFERROR(VLOOKUP(MID(G321,H321,I321-H321),[6]skilldef!$A:$B,2,FALSE),"-")</f>
        <v>- / -</v>
      </c>
      <c r="M321" s="63" t="str">
        <f t="shared" ref="M321" si="366">IFERROR(RIGHT(B321,LEN(B321)-FIND("],",B321)-1),"none")</f>
        <v>none</v>
      </c>
      <c r="N321" s="48" t="str">
        <f>IFERROR(LEFT(M321,FIND("],",M321)+S330),M321)</f>
        <v>none</v>
      </c>
      <c r="O321" s="63" t="e">
        <f t="shared" si="360"/>
        <v>#VALUE!</v>
      </c>
      <c r="P321" s="63">
        <f t="shared" ref="P321" si="367">IFERROR(FIND(",",N321),LEN(N321))</f>
        <v>4</v>
      </c>
      <c r="Q321" s="63" t="e">
        <f t="shared" ref="Q321" si="368">FIND("target:",N321)+7</f>
        <v>#VALUE!</v>
      </c>
      <c r="R321" s="63" t="e">
        <f t="shared" ref="R321" si="369">FIND(",",N321,P321+1)</f>
        <v>#VALUE!</v>
      </c>
      <c r="S321" s="63" t="str">
        <f>IFERROR(VLOOKUP(MID(N321,Q321,R321-Q321),[6]skilldef!$C:$D,2,FALSE),"-") &amp; " / " &amp; IFERROR(VLOOKUP(MID(N321,O321,P321-O321),[6]skilldef!$A:$B,2,FALSE),"-")</f>
        <v>- / -</v>
      </c>
      <c r="T321" s="48" t="str">
        <f t="shared" ref="T321" si="370">IFERROR(RIGHT(M321,LEN(M321)-FIND("],",M321)-1),"none")</f>
        <v>none</v>
      </c>
      <c r="U321" s="63" t="e">
        <f t="shared" si="361"/>
        <v>#VALUE!</v>
      </c>
      <c r="V321" s="63">
        <f t="shared" ref="V321" si="371">IFERROR(FIND(",",T321),LEN(T321))</f>
        <v>4</v>
      </c>
      <c r="W321" s="63" t="e">
        <f t="shared" ref="W321" si="372">FIND("target:",T321)+7</f>
        <v>#VALUE!</v>
      </c>
      <c r="X321" s="63" t="e">
        <f t="shared" ref="X321" si="373">FIND(",",T321,V321+1)</f>
        <v>#VALUE!</v>
      </c>
      <c r="Y321" s="63" t="str">
        <f>IFERROR(VLOOKUP(MID(T321,W321,X321-W321),[6]skilldef!$C:$D,2,FALSE),"-") &amp; " / " &amp; IFERROR(VLOOKUP(MID(T321,U321,V321-U321),[6]skilldef!$A:$B,2,FALSE),"-")</f>
        <v>- / -</v>
      </c>
      <c r="Z321" s="50"/>
      <c r="AA321" s="52"/>
      <c r="AB32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13"/>
  <sheetViews>
    <sheetView showGridLines="0" zoomScale="75" zoomScaleNormal="75" zoomScalePageLayoutView="75" workbookViewId="0">
      <pane ySplit="1" topLeftCell="A2" activePane="bottomLeft" state="frozenSplit"/>
      <selection pane="bottomLeft" activeCell="E19" sqref="E19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47004001</v>
      </c>
      <c r="B2" s="47">
        <v>1</v>
      </c>
      <c r="C2" s="47">
        <v>100</v>
      </c>
      <c r="D2" s="47">
        <v>100</v>
      </c>
      <c r="E2" s="47" t="s">
        <v>53</v>
      </c>
      <c r="F2" s="47" t="s">
        <v>53</v>
      </c>
      <c r="G2" s="47">
        <v>1</v>
      </c>
      <c r="H2" s="47" t="s">
        <v>53</v>
      </c>
      <c r="I2" s="47" t="s">
        <v>53</v>
      </c>
      <c r="J2" s="48">
        <f t="shared" ref="J2:J69" si="0">D2</f>
        <v>100</v>
      </c>
    </row>
    <row r="3" spans="1:11" ht="21" customHeight="1" x14ac:dyDescent="0.15">
      <c r="A3" s="47">
        <v>47004002</v>
      </c>
      <c r="B3" s="47">
        <v>0</v>
      </c>
      <c r="C3" s="47">
        <v>110</v>
      </c>
      <c r="D3" s="47">
        <v>100</v>
      </c>
      <c r="E3" s="47" t="s">
        <v>53</v>
      </c>
      <c r="F3" s="47" t="s">
        <v>53</v>
      </c>
      <c r="G3" s="47" t="s">
        <v>53</v>
      </c>
      <c r="H3" s="47">
        <v>3</v>
      </c>
      <c r="I3" s="47" t="s">
        <v>53</v>
      </c>
      <c r="J3" s="48">
        <f t="shared" si="0"/>
        <v>100</v>
      </c>
    </row>
    <row r="4" spans="1:11" ht="21" customHeight="1" x14ac:dyDescent="0.15">
      <c r="A4" s="47">
        <v>47004003</v>
      </c>
      <c r="B4" s="47">
        <v>0</v>
      </c>
      <c r="C4" s="47">
        <v>120</v>
      </c>
      <c r="D4" s="47">
        <v>100</v>
      </c>
      <c r="E4" s="47" t="s">
        <v>53</v>
      </c>
      <c r="F4" s="47" t="s">
        <v>53</v>
      </c>
      <c r="G4" s="47">
        <v>1</v>
      </c>
      <c r="H4" s="47">
        <v>6</v>
      </c>
      <c r="I4" s="47" t="s">
        <v>53</v>
      </c>
      <c r="J4" s="48">
        <f t="shared" si="0"/>
        <v>100</v>
      </c>
    </row>
    <row r="5" spans="1:11" ht="21" customHeight="1" x14ac:dyDescent="0.15">
      <c r="A5" s="47">
        <v>47004004</v>
      </c>
      <c r="B5" s="47">
        <v>1</v>
      </c>
      <c r="C5" s="47">
        <v>250</v>
      </c>
      <c r="D5" s="47">
        <v>100</v>
      </c>
      <c r="E5" s="47" t="s">
        <v>53</v>
      </c>
      <c r="F5" s="47" t="s">
        <v>53</v>
      </c>
      <c r="G5" s="47">
        <v>1</v>
      </c>
      <c r="H5" s="47" t="s">
        <v>53</v>
      </c>
      <c r="I5" s="113">
        <v>1278</v>
      </c>
      <c r="J5" s="48">
        <f t="shared" si="0"/>
        <v>100</v>
      </c>
    </row>
    <row r="6" spans="1:11" ht="21" customHeight="1" x14ac:dyDescent="0.15">
      <c r="A6" s="47">
        <v>47004005</v>
      </c>
      <c r="B6" s="47">
        <v>1</v>
      </c>
      <c r="C6" s="47">
        <v>251</v>
      </c>
      <c r="D6" s="47">
        <v>100</v>
      </c>
      <c r="E6" s="47" t="s">
        <v>53</v>
      </c>
      <c r="F6" s="47" t="s">
        <v>53</v>
      </c>
      <c r="G6" s="47">
        <v>1</v>
      </c>
      <c r="H6" s="47" t="s">
        <v>53</v>
      </c>
      <c r="I6" s="113">
        <v>1279</v>
      </c>
      <c r="J6" s="48">
        <f t="shared" si="0"/>
        <v>100</v>
      </c>
    </row>
    <row r="7" spans="1:11" ht="21" customHeight="1" x14ac:dyDescent="0.15">
      <c r="A7" s="47">
        <v>47004006</v>
      </c>
      <c r="B7" s="47">
        <v>1</v>
      </c>
      <c r="C7" s="47">
        <v>240</v>
      </c>
      <c r="D7" s="47">
        <v>100</v>
      </c>
      <c r="E7" s="47" t="s">
        <v>53</v>
      </c>
      <c r="F7" s="47" t="s">
        <v>53</v>
      </c>
      <c r="G7" s="47">
        <v>1</v>
      </c>
      <c r="H7" s="47" t="s">
        <v>53</v>
      </c>
      <c r="I7" s="113">
        <v>516</v>
      </c>
      <c r="J7" s="48">
        <f t="shared" si="0"/>
        <v>100</v>
      </c>
    </row>
    <row r="8" spans="1:11" ht="21" customHeight="1" x14ac:dyDescent="0.15">
      <c r="A8" s="47">
        <v>47004007</v>
      </c>
      <c r="B8" s="47">
        <v>1</v>
      </c>
      <c r="C8" s="47">
        <v>241</v>
      </c>
      <c r="D8" s="47">
        <v>100</v>
      </c>
      <c r="E8" s="47" t="s">
        <v>53</v>
      </c>
      <c r="F8" s="47" t="s">
        <v>53</v>
      </c>
      <c r="G8" s="47">
        <v>1</v>
      </c>
      <c r="H8" s="47" t="s">
        <v>53</v>
      </c>
      <c r="I8" s="113">
        <v>517</v>
      </c>
      <c r="J8" s="48">
        <f t="shared" si="0"/>
        <v>100</v>
      </c>
    </row>
    <row r="9" spans="1:11" ht="21" customHeight="1" x14ac:dyDescent="0.15">
      <c r="A9" s="47">
        <v>47004008</v>
      </c>
      <c r="B9" s="47">
        <v>1</v>
      </c>
      <c r="C9" s="47">
        <v>242</v>
      </c>
      <c r="D9" s="47">
        <v>100</v>
      </c>
      <c r="E9" s="47" t="s">
        <v>53</v>
      </c>
      <c r="F9" s="47" t="s">
        <v>53</v>
      </c>
      <c r="G9" s="47">
        <v>1</v>
      </c>
      <c r="H9" s="47" t="s">
        <v>53</v>
      </c>
      <c r="I9" s="113">
        <v>1274</v>
      </c>
      <c r="J9" s="48">
        <f t="shared" si="0"/>
        <v>100</v>
      </c>
    </row>
    <row r="10" spans="1:11" ht="21" customHeight="1" x14ac:dyDescent="0.15">
      <c r="A10" s="47">
        <v>47004009</v>
      </c>
      <c r="B10" s="47">
        <v>0</v>
      </c>
      <c r="C10" s="47">
        <v>230</v>
      </c>
      <c r="D10" s="47">
        <v>100</v>
      </c>
      <c r="E10" s="47" t="s">
        <v>53</v>
      </c>
      <c r="F10" s="47" t="s">
        <v>53</v>
      </c>
      <c r="G10" s="47">
        <v>1</v>
      </c>
      <c r="H10" s="47" t="s">
        <v>53</v>
      </c>
      <c r="I10" s="113">
        <v>518</v>
      </c>
      <c r="J10" s="48">
        <f t="shared" si="0"/>
        <v>100</v>
      </c>
    </row>
    <row r="11" spans="1:11" ht="21" customHeight="1" x14ac:dyDescent="0.15">
      <c r="A11" s="47">
        <v>47004010</v>
      </c>
      <c r="B11" s="47">
        <v>0</v>
      </c>
      <c r="C11" s="47">
        <v>231</v>
      </c>
      <c r="D11" s="47">
        <v>100</v>
      </c>
      <c r="E11" s="47" t="s">
        <v>53</v>
      </c>
      <c r="F11" s="47" t="s">
        <v>53</v>
      </c>
      <c r="G11" s="47">
        <v>1</v>
      </c>
      <c r="H11" s="47" t="s">
        <v>53</v>
      </c>
      <c r="I11" s="113">
        <v>519</v>
      </c>
      <c r="J11" s="48">
        <f t="shared" si="0"/>
        <v>100</v>
      </c>
    </row>
    <row r="12" spans="1:11" ht="21" customHeight="1" x14ac:dyDescent="0.15">
      <c r="A12" s="47">
        <v>47004011</v>
      </c>
      <c r="B12" s="47">
        <v>0</v>
      </c>
      <c r="C12" s="47">
        <v>232</v>
      </c>
      <c r="D12" s="47">
        <v>100</v>
      </c>
      <c r="E12" s="47" t="s">
        <v>53</v>
      </c>
      <c r="F12" s="47" t="s">
        <v>53</v>
      </c>
      <c r="G12" s="47">
        <v>1</v>
      </c>
      <c r="H12" s="47" t="s">
        <v>53</v>
      </c>
      <c r="I12" s="113">
        <v>1277</v>
      </c>
      <c r="J12" s="48">
        <f t="shared" si="0"/>
        <v>100</v>
      </c>
    </row>
    <row r="13" spans="1:11" ht="21" customHeight="1" x14ac:dyDescent="0.15">
      <c r="A13" s="47">
        <v>47004012</v>
      </c>
      <c r="B13" s="47">
        <v>0</v>
      </c>
      <c r="C13" s="47">
        <v>220</v>
      </c>
      <c r="D13" s="47">
        <v>100</v>
      </c>
      <c r="E13" s="47" t="s">
        <v>53</v>
      </c>
      <c r="F13" s="47" t="s">
        <v>53</v>
      </c>
      <c r="G13" s="47">
        <v>1</v>
      </c>
      <c r="H13" s="47" t="s">
        <v>53</v>
      </c>
      <c r="I13" s="113">
        <v>514</v>
      </c>
      <c r="J13" s="48">
        <f t="shared" si="0"/>
        <v>100</v>
      </c>
    </row>
    <row r="14" spans="1:11" ht="21" customHeight="1" x14ac:dyDescent="0.15">
      <c r="A14" s="47">
        <v>47004013</v>
      </c>
      <c r="B14" s="47">
        <v>0</v>
      </c>
      <c r="C14" s="47">
        <v>221</v>
      </c>
      <c r="D14" s="47">
        <v>100</v>
      </c>
      <c r="E14" s="47" t="s">
        <v>53</v>
      </c>
      <c r="F14" s="47" t="s">
        <v>53</v>
      </c>
      <c r="G14" s="47">
        <v>1</v>
      </c>
      <c r="H14" s="47" t="s">
        <v>53</v>
      </c>
      <c r="I14" s="113">
        <v>515</v>
      </c>
      <c r="J14" s="48">
        <f t="shared" si="0"/>
        <v>100</v>
      </c>
    </row>
    <row r="15" spans="1:11" ht="21" customHeight="1" x14ac:dyDescent="0.15">
      <c r="A15" s="47">
        <v>47004014</v>
      </c>
      <c r="B15" s="47">
        <v>0</v>
      </c>
      <c r="C15" s="47">
        <v>222</v>
      </c>
      <c r="D15" s="47">
        <v>100</v>
      </c>
      <c r="E15" s="47" t="s">
        <v>53</v>
      </c>
      <c r="F15" s="47" t="s">
        <v>53</v>
      </c>
      <c r="G15" s="47">
        <v>1</v>
      </c>
      <c r="H15" s="47" t="s">
        <v>53</v>
      </c>
      <c r="I15" s="113">
        <v>1276</v>
      </c>
      <c r="J15" s="48">
        <f t="shared" si="0"/>
        <v>100</v>
      </c>
    </row>
    <row r="16" spans="1:11" ht="21" customHeight="1" x14ac:dyDescent="0.15">
      <c r="A16" s="47">
        <v>47004015</v>
      </c>
      <c r="B16" s="47">
        <v>0</v>
      </c>
      <c r="C16" s="47">
        <v>210</v>
      </c>
      <c r="D16" s="47">
        <v>100</v>
      </c>
      <c r="E16" s="47" t="s">
        <v>53</v>
      </c>
      <c r="F16" s="47" t="s">
        <v>53</v>
      </c>
      <c r="G16" s="47">
        <v>1</v>
      </c>
      <c r="H16" s="47" t="s">
        <v>53</v>
      </c>
      <c r="I16" s="113">
        <v>512</v>
      </c>
      <c r="J16" s="48">
        <f t="shared" si="0"/>
        <v>100</v>
      </c>
    </row>
    <row r="17" spans="1:10" ht="21" customHeight="1" x14ac:dyDescent="0.15">
      <c r="A17" s="47">
        <v>47004016</v>
      </c>
      <c r="B17" s="47">
        <v>0</v>
      </c>
      <c r="C17" s="47">
        <v>211</v>
      </c>
      <c r="D17" s="47">
        <v>100</v>
      </c>
      <c r="E17" s="47" t="s">
        <v>53</v>
      </c>
      <c r="F17" s="47" t="s">
        <v>53</v>
      </c>
      <c r="G17" s="47">
        <v>1</v>
      </c>
      <c r="H17" s="47" t="s">
        <v>53</v>
      </c>
      <c r="I17" s="113">
        <v>513</v>
      </c>
      <c r="J17" s="48">
        <f t="shared" si="0"/>
        <v>100</v>
      </c>
    </row>
    <row r="18" spans="1:10" ht="21" customHeight="1" x14ac:dyDescent="0.15">
      <c r="A18" s="47">
        <v>47004017</v>
      </c>
      <c r="B18" s="47">
        <v>0</v>
      </c>
      <c r="C18" s="47">
        <v>212</v>
      </c>
      <c r="D18" s="47">
        <v>100</v>
      </c>
      <c r="E18" s="47" t="s">
        <v>53</v>
      </c>
      <c r="F18" s="47" t="s">
        <v>53</v>
      </c>
      <c r="G18" s="47">
        <v>1</v>
      </c>
      <c r="H18" s="47" t="s">
        <v>53</v>
      </c>
      <c r="I18" s="113">
        <v>1275</v>
      </c>
      <c r="J18" s="48">
        <f t="shared" si="0"/>
        <v>100</v>
      </c>
    </row>
    <row r="19" spans="1:10" ht="21" customHeight="1" x14ac:dyDescent="0.15">
      <c r="A19" s="47">
        <v>47004018</v>
      </c>
      <c r="B19" s="47">
        <v>0</v>
      </c>
      <c r="C19" s="47">
        <v>209</v>
      </c>
      <c r="D19" s="47">
        <v>100</v>
      </c>
      <c r="E19" s="47" t="s">
        <v>53</v>
      </c>
      <c r="F19" s="47" t="s">
        <v>53</v>
      </c>
      <c r="G19" s="47">
        <v>1</v>
      </c>
      <c r="H19" s="47" t="s">
        <v>53</v>
      </c>
      <c r="I19" s="113">
        <v>1281</v>
      </c>
      <c r="J19" s="48">
        <f t="shared" si="0"/>
        <v>100</v>
      </c>
    </row>
    <row r="20" spans="1:10" ht="21" customHeight="1" x14ac:dyDescent="0.15">
      <c r="A20" s="47">
        <v>47004021</v>
      </c>
      <c r="B20" s="47">
        <v>1</v>
      </c>
      <c r="C20" s="47">
        <v>100</v>
      </c>
      <c r="D20" s="47">
        <v>100</v>
      </c>
      <c r="E20" s="47" t="s">
        <v>53</v>
      </c>
      <c r="F20" s="47" t="s">
        <v>53</v>
      </c>
      <c r="G20" s="47">
        <v>1</v>
      </c>
      <c r="H20" s="47" t="s">
        <v>53</v>
      </c>
      <c r="I20" s="47" t="s">
        <v>53</v>
      </c>
      <c r="J20" s="48">
        <f t="shared" si="0"/>
        <v>100</v>
      </c>
    </row>
    <row r="21" spans="1:10" ht="21" customHeight="1" x14ac:dyDescent="0.15">
      <c r="A21" s="47">
        <v>47004022</v>
      </c>
      <c r="B21" s="47">
        <v>0</v>
      </c>
      <c r="C21" s="47">
        <v>110</v>
      </c>
      <c r="D21" s="47">
        <v>100</v>
      </c>
      <c r="E21" s="47" t="s">
        <v>53</v>
      </c>
      <c r="F21" s="47" t="s">
        <v>53</v>
      </c>
      <c r="G21" s="47" t="s">
        <v>53</v>
      </c>
      <c r="H21" s="47">
        <v>2</v>
      </c>
      <c r="I21" s="47" t="s">
        <v>53</v>
      </c>
      <c r="J21" s="48">
        <f t="shared" si="0"/>
        <v>100</v>
      </c>
    </row>
    <row r="22" spans="1:10" ht="21" customHeight="1" x14ac:dyDescent="0.15">
      <c r="A22" s="47">
        <v>47004023</v>
      </c>
      <c r="B22" s="47">
        <v>0</v>
      </c>
      <c r="C22" s="47">
        <v>120</v>
      </c>
      <c r="D22" s="47">
        <v>100</v>
      </c>
      <c r="E22" s="47" t="s">
        <v>53</v>
      </c>
      <c r="F22" s="47" t="s">
        <v>53</v>
      </c>
      <c r="G22" s="47">
        <v>1</v>
      </c>
      <c r="H22" s="47">
        <v>3</v>
      </c>
      <c r="I22" s="47" t="s">
        <v>53</v>
      </c>
      <c r="J22" s="48">
        <f t="shared" si="0"/>
        <v>100</v>
      </c>
    </row>
    <row r="23" spans="1:10" ht="21" customHeight="1" x14ac:dyDescent="0.15">
      <c r="A23" s="47">
        <v>47004024</v>
      </c>
      <c r="B23" s="47">
        <v>1</v>
      </c>
      <c r="C23" s="47">
        <v>250</v>
      </c>
      <c r="D23" s="47">
        <v>100</v>
      </c>
      <c r="E23" s="47" t="s">
        <v>53</v>
      </c>
      <c r="F23" s="47" t="s">
        <v>53</v>
      </c>
      <c r="G23" s="47">
        <v>1</v>
      </c>
      <c r="H23" s="47" t="s">
        <v>53</v>
      </c>
      <c r="I23" s="113">
        <v>1278</v>
      </c>
      <c r="J23" s="48">
        <f t="shared" si="0"/>
        <v>100</v>
      </c>
    </row>
    <row r="24" spans="1:10" ht="21" customHeight="1" x14ac:dyDescent="0.15">
      <c r="A24" s="47">
        <v>47004025</v>
      </c>
      <c r="B24" s="47">
        <v>1</v>
      </c>
      <c r="C24" s="47">
        <v>251</v>
      </c>
      <c r="D24" s="47">
        <v>100</v>
      </c>
      <c r="E24" s="47" t="s">
        <v>53</v>
      </c>
      <c r="F24" s="47" t="s">
        <v>53</v>
      </c>
      <c r="G24" s="47">
        <v>1</v>
      </c>
      <c r="H24" s="47" t="s">
        <v>53</v>
      </c>
      <c r="I24" s="113">
        <v>1279</v>
      </c>
      <c r="J24" s="48">
        <f t="shared" si="0"/>
        <v>100</v>
      </c>
    </row>
    <row r="25" spans="1:10" ht="21" customHeight="1" x14ac:dyDescent="0.15">
      <c r="A25" s="47">
        <v>47004026</v>
      </c>
      <c r="B25" s="47">
        <v>1</v>
      </c>
      <c r="C25" s="47">
        <v>240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113">
        <v>516</v>
      </c>
      <c r="J25" s="48">
        <f t="shared" si="0"/>
        <v>100</v>
      </c>
    </row>
    <row r="26" spans="1:10" ht="21" customHeight="1" x14ac:dyDescent="0.15">
      <c r="A26" s="47">
        <v>47004027</v>
      </c>
      <c r="B26" s="47">
        <v>1</v>
      </c>
      <c r="C26" s="47">
        <v>241</v>
      </c>
      <c r="D26" s="47">
        <v>100</v>
      </c>
      <c r="E26" s="47" t="s">
        <v>53</v>
      </c>
      <c r="F26" s="47" t="s">
        <v>53</v>
      </c>
      <c r="G26" s="47">
        <v>1</v>
      </c>
      <c r="H26" s="47" t="s">
        <v>53</v>
      </c>
      <c r="I26" s="113">
        <v>517</v>
      </c>
      <c r="J26" s="48">
        <f t="shared" si="0"/>
        <v>100</v>
      </c>
    </row>
    <row r="27" spans="1:10" ht="21" customHeight="1" x14ac:dyDescent="0.15">
      <c r="A27" s="47">
        <v>47004028</v>
      </c>
      <c r="B27" s="47">
        <v>1</v>
      </c>
      <c r="C27" s="47">
        <v>242</v>
      </c>
      <c r="D27" s="47">
        <v>100</v>
      </c>
      <c r="E27" s="47" t="s">
        <v>53</v>
      </c>
      <c r="F27" s="47" t="s">
        <v>53</v>
      </c>
      <c r="G27" s="47">
        <v>1</v>
      </c>
      <c r="H27" s="47" t="s">
        <v>53</v>
      </c>
      <c r="I27" s="113">
        <v>1274</v>
      </c>
      <c r="J27" s="48">
        <f t="shared" si="0"/>
        <v>100</v>
      </c>
    </row>
    <row r="28" spans="1:10" ht="21" customHeight="1" x14ac:dyDescent="0.15">
      <c r="A28" s="47">
        <v>47004029</v>
      </c>
      <c r="B28" s="47">
        <v>0</v>
      </c>
      <c r="C28" s="47">
        <v>230</v>
      </c>
      <c r="D28" s="47">
        <v>100</v>
      </c>
      <c r="E28" s="47" t="s">
        <v>53</v>
      </c>
      <c r="F28" s="47" t="s">
        <v>53</v>
      </c>
      <c r="G28" s="47">
        <v>1</v>
      </c>
      <c r="H28" s="47" t="s">
        <v>53</v>
      </c>
      <c r="I28" s="113">
        <v>518</v>
      </c>
      <c r="J28" s="48">
        <f t="shared" si="0"/>
        <v>100</v>
      </c>
    </row>
    <row r="29" spans="1:10" ht="21" customHeight="1" x14ac:dyDescent="0.15">
      <c r="A29" s="47">
        <v>47004030</v>
      </c>
      <c r="B29" s="47">
        <v>0</v>
      </c>
      <c r="C29" s="47">
        <v>231</v>
      </c>
      <c r="D29" s="47">
        <v>100</v>
      </c>
      <c r="E29" s="47" t="s">
        <v>53</v>
      </c>
      <c r="F29" s="47" t="s">
        <v>53</v>
      </c>
      <c r="G29" s="47">
        <v>1</v>
      </c>
      <c r="H29" s="47" t="s">
        <v>53</v>
      </c>
      <c r="I29" s="113">
        <v>519</v>
      </c>
      <c r="J29" s="48">
        <f t="shared" si="0"/>
        <v>100</v>
      </c>
    </row>
    <row r="30" spans="1:10" ht="21" customHeight="1" x14ac:dyDescent="0.15">
      <c r="A30" s="47">
        <v>47004031</v>
      </c>
      <c r="B30" s="47">
        <v>0</v>
      </c>
      <c r="C30" s="47">
        <v>232</v>
      </c>
      <c r="D30" s="47">
        <v>100</v>
      </c>
      <c r="E30" s="47" t="s">
        <v>53</v>
      </c>
      <c r="F30" s="47" t="s">
        <v>53</v>
      </c>
      <c r="G30" s="47">
        <v>1</v>
      </c>
      <c r="H30" s="47" t="s">
        <v>53</v>
      </c>
      <c r="I30" s="113">
        <v>1277</v>
      </c>
      <c r="J30" s="48">
        <f t="shared" si="0"/>
        <v>100</v>
      </c>
    </row>
    <row r="31" spans="1:10" ht="21" customHeight="1" x14ac:dyDescent="0.15">
      <c r="A31" s="47">
        <v>47004032</v>
      </c>
      <c r="B31" s="47">
        <v>0</v>
      </c>
      <c r="C31" s="47">
        <v>220</v>
      </c>
      <c r="D31" s="47">
        <v>100</v>
      </c>
      <c r="E31" s="47" t="s">
        <v>53</v>
      </c>
      <c r="F31" s="47" t="s">
        <v>53</v>
      </c>
      <c r="G31" s="47">
        <v>1</v>
      </c>
      <c r="H31" s="47" t="s">
        <v>53</v>
      </c>
      <c r="I31" s="113">
        <v>514</v>
      </c>
      <c r="J31" s="48">
        <f t="shared" si="0"/>
        <v>100</v>
      </c>
    </row>
    <row r="32" spans="1:10" ht="21" customHeight="1" x14ac:dyDescent="0.15">
      <c r="A32" s="47">
        <v>47004033</v>
      </c>
      <c r="B32" s="47">
        <v>0</v>
      </c>
      <c r="C32" s="47">
        <v>221</v>
      </c>
      <c r="D32" s="47">
        <v>100</v>
      </c>
      <c r="E32" s="47" t="s">
        <v>53</v>
      </c>
      <c r="F32" s="47" t="s">
        <v>53</v>
      </c>
      <c r="G32" s="47">
        <v>1</v>
      </c>
      <c r="H32" s="47" t="s">
        <v>53</v>
      </c>
      <c r="I32" s="113">
        <v>515</v>
      </c>
      <c r="J32" s="48">
        <f t="shared" si="0"/>
        <v>100</v>
      </c>
    </row>
    <row r="33" spans="1:10" ht="21" customHeight="1" x14ac:dyDescent="0.15">
      <c r="A33" s="47">
        <v>47004034</v>
      </c>
      <c r="B33" s="47">
        <v>0</v>
      </c>
      <c r="C33" s="47">
        <v>222</v>
      </c>
      <c r="D33" s="47">
        <v>100</v>
      </c>
      <c r="E33" s="47" t="s">
        <v>53</v>
      </c>
      <c r="F33" s="47" t="s">
        <v>53</v>
      </c>
      <c r="G33" s="47">
        <v>1</v>
      </c>
      <c r="H33" s="47" t="s">
        <v>53</v>
      </c>
      <c r="I33" s="113">
        <v>1276</v>
      </c>
      <c r="J33" s="48">
        <f t="shared" si="0"/>
        <v>100</v>
      </c>
    </row>
    <row r="34" spans="1:10" ht="21" customHeight="1" x14ac:dyDescent="0.15">
      <c r="A34" s="47">
        <v>47004035</v>
      </c>
      <c r="B34" s="47">
        <v>0</v>
      </c>
      <c r="C34" s="47">
        <v>210</v>
      </c>
      <c r="D34" s="47">
        <v>100</v>
      </c>
      <c r="E34" s="47" t="s">
        <v>53</v>
      </c>
      <c r="F34" s="47" t="s">
        <v>53</v>
      </c>
      <c r="G34" s="47">
        <v>1</v>
      </c>
      <c r="H34" s="47" t="s">
        <v>53</v>
      </c>
      <c r="I34" s="113">
        <v>512</v>
      </c>
      <c r="J34" s="48">
        <f t="shared" si="0"/>
        <v>100</v>
      </c>
    </row>
    <row r="35" spans="1:10" ht="21" customHeight="1" x14ac:dyDescent="0.15">
      <c r="A35" s="47">
        <v>47004036</v>
      </c>
      <c r="B35" s="47">
        <v>0</v>
      </c>
      <c r="C35" s="47">
        <v>211</v>
      </c>
      <c r="D35" s="47">
        <v>100</v>
      </c>
      <c r="E35" s="47" t="s">
        <v>53</v>
      </c>
      <c r="F35" s="47" t="s">
        <v>53</v>
      </c>
      <c r="G35" s="47">
        <v>1</v>
      </c>
      <c r="H35" s="47" t="s">
        <v>53</v>
      </c>
      <c r="I35" s="113">
        <v>513</v>
      </c>
      <c r="J35" s="48">
        <f t="shared" si="0"/>
        <v>100</v>
      </c>
    </row>
    <row r="36" spans="1:10" ht="21" customHeight="1" x14ac:dyDescent="0.15">
      <c r="A36" s="47">
        <v>47004037</v>
      </c>
      <c r="B36" s="47">
        <v>0</v>
      </c>
      <c r="C36" s="47">
        <v>212</v>
      </c>
      <c r="D36" s="47">
        <v>100</v>
      </c>
      <c r="E36" s="47" t="s">
        <v>53</v>
      </c>
      <c r="F36" s="47" t="s">
        <v>53</v>
      </c>
      <c r="G36" s="47">
        <v>1</v>
      </c>
      <c r="H36" s="47" t="s">
        <v>53</v>
      </c>
      <c r="I36" s="113">
        <v>1275</v>
      </c>
      <c r="J36" s="48">
        <f t="shared" si="0"/>
        <v>100</v>
      </c>
    </row>
    <row r="37" spans="1:10" ht="21" customHeight="1" x14ac:dyDescent="0.15">
      <c r="A37" s="47">
        <v>47004038</v>
      </c>
      <c r="B37" s="47">
        <v>0</v>
      </c>
      <c r="C37" s="47">
        <v>209</v>
      </c>
      <c r="D37" s="47">
        <v>100</v>
      </c>
      <c r="E37" s="47" t="s">
        <v>53</v>
      </c>
      <c r="F37" s="47" t="s">
        <v>53</v>
      </c>
      <c r="G37" s="47">
        <v>1</v>
      </c>
      <c r="H37" s="47" t="s">
        <v>53</v>
      </c>
      <c r="I37" s="113">
        <v>1280</v>
      </c>
      <c r="J37" s="48">
        <f t="shared" si="0"/>
        <v>100</v>
      </c>
    </row>
    <row r="38" spans="1:10" ht="21" customHeight="1" x14ac:dyDescent="0.15">
      <c r="A38" s="47">
        <v>47004041</v>
      </c>
      <c r="B38" s="47">
        <v>1</v>
      </c>
      <c r="C38" s="47">
        <v>100</v>
      </c>
      <c r="D38" s="47">
        <v>100</v>
      </c>
      <c r="E38" s="47" t="s">
        <v>53</v>
      </c>
      <c r="F38" s="47" t="s">
        <v>53</v>
      </c>
      <c r="G38" s="47">
        <v>1</v>
      </c>
      <c r="H38" s="47" t="s">
        <v>53</v>
      </c>
      <c r="I38" s="47" t="s">
        <v>53</v>
      </c>
      <c r="J38" s="48">
        <f t="shared" si="0"/>
        <v>100</v>
      </c>
    </row>
    <row r="39" spans="1:10" ht="21" customHeight="1" x14ac:dyDescent="0.15">
      <c r="A39" s="47">
        <v>47004042</v>
      </c>
      <c r="B39" s="47">
        <v>0</v>
      </c>
      <c r="C39" s="47">
        <v>110</v>
      </c>
      <c r="D39" s="47">
        <v>100</v>
      </c>
      <c r="E39" s="47" t="s">
        <v>53</v>
      </c>
      <c r="F39" s="47" t="s">
        <v>53</v>
      </c>
      <c r="G39" s="47" t="s">
        <v>53</v>
      </c>
      <c r="H39" s="47">
        <v>2</v>
      </c>
      <c r="I39" s="47" t="s">
        <v>53</v>
      </c>
      <c r="J39" s="48">
        <f t="shared" si="0"/>
        <v>100</v>
      </c>
    </row>
    <row r="40" spans="1:10" ht="21" customHeight="1" x14ac:dyDescent="0.15">
      <c r="A40" s="47">
        <v>47004043</v>
      </c>
      <c r="B40" s="47">
        <v>0</v>
      </c>
      <c r="C40" s="47">
        <v>120</v>
      </c>
      <c r="D40" s="47">
        <v>100</v>
      </c>
      <c r="E40" s="47" t="s">
        <v>53</v>
      </c>
      <c r="F40" s="47" t="s">
        <v>53</v>
      </c>
      <c r="G40" s="47" t="s">
        <v>53</v>
      </c>
      <c r="H40" s="47">
        <v>3</v>
      </c>
      <c r="I40" s="47" t="s">
        <v>53</v>
      </c>
      <c r="J40" s="48">
        <f t="shared" si="0"/>
        <v>100</v>
      </c>
    </row>
    <row r="41" spans="1:10" ht="21" customHeight="1" x14ac:dyDescent="0.15">
      <c r="A41" s="47">
        <v>47004044</v>
      </c>
      <c r="B41" s="47">
        <v>0</v>
      </c>
      <c r="C41" s="47">
        <v>140</v>
      </c>
      <c r="D41" s="47">
        <v>100</v>
      </c>
      <c r="E41" s="47">
        <v>50</v>
      </c>
      <c r="F41" s="47" t="s">
        <v>53</v>
      </c>
      <c r="G41" s="47">
        <v>1</v>
      </c>
      <c r="H41" s="47">
        <v>1</v>
      </c>
      <c r="I41" s="47" t="s">
        <v>53</v>
      </c>
      <c r="J41" s="48">
        <f t="shared" si="0"/>
        <v>100</v>
      </c>
    </row>
    <row r="42" spans="1:10" ht="21" customHeight="1" x14ac:dyDescent="0.15">
      <c r="A42" s="47">
        <v>47004051</v>
      </c>
      <c r="B42" s="47">
        <v>1</v>
      </c>
      <c r="C42" s="47">
        <v>100</v>
      </c>
      <c r="D42" s="47">
        <v>100</v>
      </c>
      <c r="E42" s="47" t="s">
        <v>53</v>
      </c>
      <c r="F42" s="47" t="s">
        <v>53</v>
      </c>
      <c r="G42" s="47">
        <v>1</v>
      </c>
      <c r="H42" s="47" t="s">
        <v>53</v>
      </c>
      <c r="I42" s="47" t="s">
        <v>53</v>
      </c>
      <c r="J42" s="48">
        <f t="shared" si="0"/>
        <v>100</v>
      </c>
    </row>
    <row r="43" spans="1:10" ht="21" customHeight="1" x14ac:dyDescent="0.15">
      <c r="A43" s="47">
        <v>47004052</v>
      </c>
      <c r="B43" s="47">
        <v>0</v>
      </c>
      <c r="C43" s="47">
        <v>110</v>
      </c>
      <c r="D43" s="47">
        <v>100</v>
      </c>
      <c r="E43" s="47" t="s">
        <v>53</v>
      </c>
      <c r="F43" s="47" t="s">
        <v>53</v>
      </c>
      <c r="G43" s="47">
        <v>1</v>
      </c>
      <c r="H43" s="47">
        <v>1</v>
      </c>
      <c r="I43" s="47" t="s">
        <v>53</v>
      </c>
      <c r="J43" s="48">
        <f t="shared" si="0"/>
        <v>100</v>
      </c>
    </row>
    <row r="44" spans="1:10" ht="21" customHeight="1" x14ac:dyDescent="0.15">
      <c r="A44" s="47">
        <v>47004061</v>
      </c>
      <c r="B44" s="47">
        <v>1</v>
      </c>
      <c r="C44" s="47">
        <v>100</v>
      </c>
      <c r="D44" s="47">
        <v>100</v>
      </c>
      <c r="E44" s="47" t="s">
        <v>53</v>
      </c>
      <c r="F44" s="47" t="s">
        <v>53</v>
      </c>
      <c r="G44" s="47">
        <v>1</v>
      </c>
      <c r="H44" s="47" t="s">
        <v>53</v>
      </c>
      <c r="I44" s="47" t="s">
        <v>53</v>
      </c>
      <c r="J44" s="48">
        <f t="shared" si="0"/>
        <v>100</v>
      </c>
    </row>
    <row r="45" spans="1:10" ht="21" customHeight="1" x14ac:dyDescent="0.15">
      <c r="A45" s="47">
        <v>47004062</v>
      </c>
      <c r="B45" s="47">
        <v>0</v>
      </c>
      <c r="C45" s="47">
        <v>110</v>
      </c>
      <c r="D45" s="47">
        <v>100</v>
      </c>
      <c r="E45" s="47" t="s">
        <v>53</v>
      </c>
      <c r="F45" s="47" t="s">
        <v>53</v>
      </c>
      <c r="G45" s="47">
        <v>1</v>
      </c>
      <c r="H45" s="47">
        <v>1</v>
      </c>
      <c r="I45" s="47" t="s">
        <v>53</v>
      </c>
      <c r="J45" s="48">
        <f t="shared" si="0"/>
        <v>100</v>
      </c>
    </row>
    <row r="46" spans="1:10" ht="21" customHeight="1" x14ac:dyDescent="0.15">
      <c r="A46" s="47">
        <v>47004063</v>
      </c>
      <c r="B46" s="47">
        <v>1</v>
      </c>
      <c r="C46" s="47">
        <v>250</v>
      </c>
      <c r="D46" s="47">
        <v>100</v>
      </c>
      <c r="E46" s="47" t="s">
        <v>53</v>
      </c>
      <c r="F46" s="47" t="s">
        <v>53</v>
      </c>
      <c r="G46" s="47">
        <v>1</v>
      </c>
      <c r="H46" s="47">
        <v>1</v>
      </c>
      <c r="I46" s="113">
        <v>1278</v>
      </c>
      <c r="J46" s="48">
        <f t="shared" si="0"/>
        <v>100</v>
      </c>
    </row>
    <row r="47" spans="1:10" ht="21" customHeight="1" x14ac:dyDescent="0.15">
      <c r="A47" s="47">
        <v>47004064</v>
      </c>
      <c r="B47" s="47">
        <v>1</v>
      </c>
      <c r="C47" s="47">
        <v>251</v>
      </c>
      <c r="D47" s="47">
        <v>100</v>
      </c>
      <c r="E47" s="47" t="s">
        <v>53</v>
      </c>
      <c r="F47" s="47" t="s">
        <v>53</v>
      </c>
      <c r="G47" s="47">
        <v>1</v>
      </c>
      <c r="H47" s="47">
        <v>1</v>
      </c>
      <c r="I47" s="113">
        <v>1279</v>
      </c>
      <c r="J47" s="48">
        <f t="shared" si="0"/>
        <v>100</v>
      </c>
    </row>
    <row r="48" spans="1:10" ht="21" customHeight="1" x14ac:dyDescent="0.15">
      <c r="A48" s="47">
        <v>47004065</v>
      </c>
      <c r="B48" s="47">
        <v>1</v>
      </c>
      <c r="C48" s="47">
        <v>240</v>
      </c>
      <c r="D48" s="47">
        <v>100</v>
      </c>
      <c r="E48" s="47" t="s">
        <v>53</v>
      </c>
      <c r="F48" s="47" t="s">
        <v>53</v>
      </c>
      <c r="G48" s="47">
        <v>1</v>
      </c>
      <c r="H48" s="47">
        <v>1</v>
      </c>
      <c r="I48" s="113">
        <v>516</v>
      </c>
      <c r="J48" s="48">
        <f t="shared" si="0"/>
        <v>100</v>
      </c>
    </row>
    <row r="49" spans="1:10" ht="21" customHeight="1" x14ac:dyDescent="0.15">
      <c r="A49" s="47">
        <v>47004066</v>
      </c>
      <c r="B49" s="47">
        <v>1</v>
      </c>
      <c r="C49" s="47">
        <v>241</v>
      </c>
      <c r="D49" s="47">
        <v>100</v>
      </c>
      <c r="E49" s="47" t="s">
        <v>53</v>
      </c>
      <c r="F49" s="47" t="s">
        <v>53</v>
      </c>
      <c r="G49" s="47">
        <v>1</v>
      </c>
      <c r="H49" s="47">
        <v>1</v>
      </c>
      <c r="I49" s="113">
        <v>517</v>
      </c>
      <c r="J49" s="48">
        <f t="shared" si="0"/>
        <v>100</v>
      </c>
    </row>
    <row r="50" spans="1:10" ht="21" customHeight="1" x14ac:dyDescent="0.15">
      <c r="A50" s="47">
        <v>47004067</v>
      </c>
      <c r="B50" s="47">
        <v>1</v>
      </c>
      <c r="C50" s="47">
        <v>242</v>
      </c>
      <c r="D50" s="47">
        <v>100</v>
      </c>
      <c r="E50" s="47" t="s">
        <v>53</v>
      </c>
      <c r="F50" s="47" t="s">
        <v>53</v>
      </c>
      <c r="G50" s="47">
        <v>1</v>
      </c>
      <c r="H50" s="47">
        <v>1</v>
      </c>
      <c r="I50" s="113">
        <v>1274</v>
      </c>
      <c r="J50" s="48">
        <f t="shared" si="0"/>
        <v>100</v>
      </c>
    </row>
    <row r="51" spans="1:10" ht="21" customHeight="1" x14ac:dyDescent="0.15">
      <c r="A51" s="47">
        <v>47004068</v>
      </c>
      <c r="B51" s="47">
        <v>1</v>
      </c>
      <c r="C51" s="47">
        <v>220</v>
      </c>
      <c r="D51" s="47">
        <v>100</v>
      </c>
      <c r="E51" s="47" t="s">
        <v>53</v>
      </c>
      <c r="F51" s="47" t="s">
        <v>53</v>
      </c>
      <c r="G51" s="47">
        <v>1</v>
      </c>
      <c r="H51" s="47">
        <v>1</v>
      </c>
      <c r="I51" s="113">
        <v>514</v>
      </c>
      <c r="J51" s="48">
        <f t="shared" si="0"/>
        <v>100</v>
      </c>
    </row>
    <row r="52" spans="1:10" ht="21" customHeight="1" x14ac:dyDescent="0.15">
      <c r="A52" s="47">
        <v>47004069</v>
      </c>
      <c r="B52" s="47">
        <v>1</v>
      </c>
      <c r="C52" s="47">
        <v>221</v>
      </c>
      <c r="D52" s="47">
        <v>100</v>
      </c>
      <c r="E52" s="47" t="s">
        <v>53</v>
      </c>
      <c r="F52" s="47" t="s">
        <v>53</v>
      </c>
      <c r="G52" s="47">
        <v>1</v>
      </c>
      <c r="H52" s="47">
        <v>1</v>
      </c>
      <c r="I52" s="113">
        <v>515</v>
      </c>
      <c r="J52" s="48">
        <f t="shared" si="0"/>
        <v>100</v>
      </c>
    </row>
    <row r="53" spans="1:10" ht="21" customHeight="1" x14ac:dyDescent="0.15">
      <c r="A53" s="47">
        <v>47004070</v>
      </c>
      <c r="B53" s="47">
        <v>1</v>
      </c>
      <c r="C53" s="47">
        <v>222</v>
      </c>
      <c r="D53" s="47">
        <v>100</v>
      </c>
      <c r="E53" s="47" t="s">
        <v>53</v>
      </c>
      <c r="F53" s="47" t="s">
        <v>53</v>
      </c>
      <c r="G53" s="47">
        <v>1</v>
      </c>
      <c r="H53" s="47">
        <v>1</v>
      </c>
      <c r="I53" s="113">
        <v>1276</v>
      </c>
      <c r="J53" s="48">
        <f t="shared" si="0"/>
        <v>100</v>
      </c>
    </row>
    <row r="54" spans="1:10" ht="21" customHeight="1" x14ac:dyDescent="0.15">
      <c r="A54" s="47">
        <v>47004071</v>
      </c>
      <c r="B54" s="47">
        <v>1</v>
      </c>
      <c r="C54" s="47">
        <v>210</v>
      </c>
      <c r="D54" s="47">
        <v>100</v>
      </c>
      <c r="E54" s="47" t="s">
        <v>53</v>
      </c>
      <c r="F54" s="47" t="s">
        <v>53</v>
      </c>
      <c r="G54" s="47">
        <v>1</v>
      </c>
      <c r="H54" s="47">
        <v>1</v>
      </c>
      <c r="I54" s="113">
        <v>512</v>
      </c>
      <c r="J54" s="48">
        <f t="shared" si="0"/>
        <v>100</v>
      </c>
    </row>
    <row r="55" spans="1:10" ht="21" customHeight="1" x14ac:dyDescent="0.15">
      <c r="A55" s="47">
        <v>47004072</v>
      </c>
      <c r="B55" s="47">
        <v>1</v>
      </c>
      <c r="C55" s="47">
        <v>211</v>
      </c>
      <c r="D55" s="47">
        <v>100</v>
      </c>
      <c r="E55" s="47" t="s">
        <v>53</v>
      </c>
      <c r="F55" s="47" t="s">
        <v>53</v>
      </c>
      <c r="G55" s="47">
        <v>1</v>
      </c>
      <c r="H55" s="47">
        <v>1</v>
      </c>
      <c r="I55" s="113">
        <v>513</v>
      </c>
      <c r="J55" s="48">
        <f t="shared" si="0"/>
        <v>100</v>
      </c>
    </row>
    <row r="56" spans="1:10" ht="21" customHeight="1" x14ac:dyDescent="0.15">
      <c r="A56" s="47">
        <v>47004073</v>
      </c>
      <c r="B56" s="47">
        <v>1</v>
      </c>
      <c r="C56" s="47">
        <v>212</v>
      </c>
      <c r="D56" s="47">
        <v>100</v>
      </c>
      <c r="E56" s="47" t="s">
        <v>53</v>
      </c>
      <c r="F56" s="47" t="s">
        <v>53</v>
      </c>
      <c r="G56" s="47">
        <v>1</v>
      </c>
      <c r="H56" s="47">
        <v>1</v>
      </c>
      <c r="I56" s="113">
        <v>1275</v>
      </c>
      <c r="J56" s="48">
        <f t="shared" si="0"/>
        <v>100</v>
      </c>
    </row>
    <row r="57" spans="1:10" ht="21" customHeight="1" x14ac:dyDescent="0.15">
      <c r="A57" s="47">
        <v>47004074</v>
      </c>
      <c r="B57" s="47">
        <v>1</v>
      </c>
      <c r="C57" s="47">
        <v>209</v>
      </c>
      <c r="D57" s="47">
        <v>100</v>
      </c>
      <c r="E57" s="47" t="s">
        <v>53</v>
      </c>
      <c r="F57" s="47" t="s">
        <v>53</v>
      </c>
      <c r="G57" s="47">
        <v>1</v>
      </c>
      <c r="H57" s="47">
        <v>1</v>
      </c>
      <c r="I57" s="113">
        <v>1281</v>
      </c>
      <c r="J57" s="48">
        <f t="shared" si="0"/>
        <v>100</v>
      </c>
    </row>
    <row r="58" spans="1:10" ht="21" customHeight="1" x14ac:dyDescent="0.15">
      <c r="A58" s="47">
        <v>47004075</v>
      </c>
      <c r="B58" s="47">
        <v>1</v>
      </c>
      <c r="C58" s="47">
        <v>208</v>
      </c>
      <c r="D58" s="47">
        <v>100</v>
      </c>
      <c r="E58" s="47" t="s">
        <v>53</v>
      </c>
      <c r="F58" s="47" t="s">
        <v>53</v>
      </c>
      <c r="G58" s="47">
        <v>1</v>
      </c>
      <c r="H58" s="47">
        <v>1</v>
      </c>
      <c r="I58" s="113">
        <v>1280</v>
      </c>
      <c r="J58" s="48">
        <f t="shared" si="0"/>
        <v>100</v>
      </c>
    </row>
    <row r="59" spans="1:10" ht="21" customHeight="1" x14ac:dyDescent="0.15">
      <c r="A59" s="47">
        <v>47004081</v>
      </c>
      <c r="B59" s="47">
        <v>1</v>
      </c>
      <c r="C59" s="47">
        <v>100</v>
      </c>
      <c r="D59" s="47">
        <v>100</v>
      </c>
      <c r="E59" s="47" t="s">
        <v>53</v>
      </c>
      <c r="F59" s="47" t="s">
        <v>53</v>
      </c>
      <c r="G59" s="47">
        <v>1</v>
      </c>
      <c r="H59" s="47" t="s">
        <v>53</v>
      </c>
      <c r="I59" s="47" t="s">
        <v>53</v>
      </c>
      <c r="J59" s="48">
        <f t="shared" si="0"/>
        <v>100</v>
      </c>
    </row>
    <row r="60" spans="1:10" ht="21" customHeight="1" x14ac:dyDescent="0.15">
      <c r="A60" s="47">
        <v>47004082</v>
      </c>
      <c r="B60" s="47">
        <v>0</v>
      </c>
      <c r="C60" s="47">
        <v>200</v>
      </c>
      <c r="D60" s="47">
        <v>100</v>
      </c>
      <c r="E60" s="47" t="s">
        <v>53</v>
      </c>
      <c r="F60" s="47" t="s">
        <v>53</v>
      </c>
      <c r="G60" s="47">
        <v>1</v>
      </c>
      <c r="H60" s="47">
        <v>1</v>
      </c>
      <c r="I60" s="47" t="s">
        <v>53</v>
      </c>
      <c r="J60" s="48">
        <f t="shared" si="0"/>
        <v>100</v>
      </c>
    </row>
    <row r="61" spans="1:10" ht="21" customHeight="1" x14ac:dyDescent="0.15">
      <c r="A61" s="47">
        <v>47004083</v>
      </c>
      <c r="B61" s="47">
        <v>0</v>
      </c>
      <c r="C61" s="47">
        <v>201</v>
      </c>
      <c r="D61" s="47">
        <v>100</v>
      </c>
      <c r="E61" s="47" t="s">
        <v>53</v>
      </c>
      <c r="F61" s="47" t="s">
        <v>53</v>
      </c>
      <c r="G61" s="47">
        <v>1</v>
      </c>
      <c r="H61" s="47">
        <v>2</v>
      </c>
      <c r="I61" s="47" t="s">
        <v>53</v>
      </c>
      <c r="J61" s="48">
        <f t="shared" si="0"/>
        <v>100</v>
      </c>
    </row>
    <row r="62" spans="1:10" ht="21" customHeight="1" x14ac:dyDescent="0.15">
      <c r="A62" s="47">
        <v>47004084</v>
      </c>
      <c r="B62" s="47">
        <v>0</v>
      </c>
      <c r="C62" s="47">
        <v>110</v>
      </c>
      <c r="D62" s="47">
        <v>100</v>
      </c>
      <c r="E62" s="47" t="s">
        <v>53</v>
      </c>
      <c r="F62" s="47" t="s">
        <v>53</v>
      </c>
      <c r="G62" s="47" t="s">
        <v>53</v>
      </c>
      <c r="H62" s="47">
        <v>2</v>
      </c>
      <c r="I62" s="47" t="s">
        <v>53</v>
      </c>
      <c r="J62" s="48">
        <f t="shared" si="0"/>
        <v>100</v>
      </c>
    </row>
    <row r="63" spans="1:10" ht="21" customHeight="1" x14ac:dyDescent="0.15">
      <c r="A63" s="47">
        <v>47004085</v>
      </c>
      <c r="B63" s="47">
        <v>0</v>
      </c>
      <c r="C63" s="47">
        <v>202</v>
      </c>
      <c r="D63" s="47">
        <v>100</v>
      </c>
      <c r="E63" s="47">
        <v>30</v>
      </c>
      <c r="F63" s="47" t="s">
        <v>53</v>
      </c>
      <c r="G63" s="47">
        <v>1</v>
      </c>
      <c r="H63" s="47">
        <v>1</v>
      </c>
      <c r="I63" s="47" t="s">
        <v>53</v>
      </c>
      <c r="J63" s="48">
        <f t="shared" si="0"/>
        <v>100</v>
      </c>
    </row>
    <row r="64" spans="1:10" ht="21" customHeight="1" x14ac:dyDescent="0.15">
      <c r="A64" s="47">
        <v>47004086</v>
      </c>
      <c r="B64" s="47">
        <v>1</v>
      </c>
      <c r="C64" s="47">
        <v>250</v>
      </c>
      <c r="D64" s="47">
        <v>100</v>
      </c>
      <c r="E64" s="47" t="s">
        <v>53</v>
      </c>
      <c r="F64" s="47" t="s">
        <v>53</v>
      </c>
      <c r="G64" s="47">
        <v>1</v>
      </c>
      <c r="H64" s="47" t="s">
        <v>53</v>
      </c>
      <c r="I64" s="113">
        <v>1278</v>
      </c>
      <c r="J64" s="48">
        <f t="shared" si="0"/>
        <v>100</v>
      </c>
    </row>
    <row r="65" spans="1:10" ht="21" customHeight="1" x14ac:dyDescent="0.15">
      <c r="A65" s="47">
        <v>47004087</v>
      </c>
      <c r="B65" s="47">
        <v>1</v>
      </c>
      <c r="C65" s="47">
        <v>251</v>
      </c>
      <c r="D65" s="47">
        <v>100</v>
      </c>
      <c r="E65" s="47" t="s">
        <v>53</v>
      </c>
      <c r="F65" s="47" t="s">
        <v>53</v>
      </c>
      <c r="G65" s="47">
        <v>1</v>
      </c>
      <c r="H65" s="47" t="s">
        <v>53</v>
      </c>
      <c r="I65" s="113">
        <v>1279</v>
      </c>
      <c r="J65" s="48">
        <f t="shared" si="0"/>
        <v>100</v>
      </c>
    </row>
    <row r="66" spans="1:10" ht="21" customHeight="1" x14ac:dyDescent="0.15">
      <c r="A66" s="47">
        <v>47004088</v>
      </c>
      <c r="B66" s="47">
        <v>1</v>
      </c>
      <c r="C66" s="47">
        <v>240</v>
      </c>
      <c r="D66" s="47">
        <v>100</v>
      </c>
      <c r="E66" s="47" t="s">
        <v>53</v>
      </c>
      <c r="F66" s="47" t="s">
        <v>53</v>
      </c>
      <c r="G66" s="47">
        <v>1</v>
      </c>
      <c r="H66" s="47" t="s">
        <v>53</v>
      </c>
      <c r="I66" s="113">
        <v>516</v>
      </c>
      <c r="J66" s="48">
        <f t="shared" si="0"/>
        <v>100</v>
      </c>
    </row>
    <row r="67" spans="1:10" ht="21" customHeight="1" x14ac:dyDescent="0.15">
      <c r="A67" s="47">
        <v>47004089</v>
      </c>
      <c r="B67" s="47">
        <v>1</v>
      </c>
      <c r="C67" s="47">
        <v>241</v>
      </c>
      <c r="D67" s="47">
        <v>100</v>
      </c>
      <c r="E67" s="47" t="s">
        <v>53</v>
      </c>
      <c r="F67" s="47" t="s">
        <v>53</v>
      </c>
      <c r="G67" s="47">
        <v>1</v>
      </c>
      <c r="H67" s="47" t="s">
        <v>53</v>
      </c>
      <c r="I67" s="113">
        <v>517</v>
      </c>
      <c r="J67" s="48">
        <f t="shared" si="0"/>
        <v>100</v>
      </c>
    </row>
    <row r="68" spans="1:10" ht="21" customHeight="1" x14ac:dyDescent="0.15">
      <c r="A68" s="47">
        <v>47004090</v>
      </c>
      <c r="B68" s="47">
        <v>1</v>
      </c>
      <c r="C68" s="47">
        <v>242</v>
      </c>
      <c r="D68" s="47">
        <v>100</v>
      </c>
      <c r="E68" s="47" t="s">
        <v>53</v>
      </c>
      <c r="F68" s="47" t="s">
        <v>53</v>
      </c>
      <c r="G68" s="47">
        <v>1</v>
      </c>
      <c r="H68" s="47" t="s">
        <v>53</v>
      </c>
      <c r="I68" s="113">
        <v>1274</v>
      </c>
      <c r="J68" s="48">
        <f t="shared" si="0"/>
        <v>100</v>
      </c>
    </row>
    <row r="69" spans="1:10" ht="21" customHeight="1" x14ac:dyDescent="0.15">
      <c r="A69" s="47">
        <v>47004091</v>
      </c>
      <c r="B69" s="47">
        <v>1</v>
      </c>
      <c r="C69" s="47">
        <v>230</v>
      </c>
      <c r="D69" s="47">
        <v>100</v>
      </c>
      <c r="E69" s="47" t="s">
        <v>53</v>
      </c>
      <c r="F69" s="47" t="s">
        <v>53</v>
      </c>
      <c r="G69" s="47">
        <v>1</v>
      </c>
      <c r="H69" s="47" t="s">
        <v>53</v>
      </c>
      <c r="I69" s="113">
        <v>518</v>
      </c>
      <c r="J69" s="48">
        <f t="shared" si="0"/>
        <v>100</v>
      </c>
    </row>
    <row r="70" spans="1:10" ht="21" customHeight="1" x14ac:dyDescent="0.15">
      <c r="A70" s="47">
        <v>47004092</v>
      </c>
      <c r="B70" s="47">
        <v>1</v>
      </c>
      <c r="C70" s="47">
        <v>231</v>
      </c>
      <c r="D70" s="47">
        <v>100</v>
      </c>
      <c r="E70" s="47" t="s">
        <v>53</v>
      </c>
      <c r="F70" s="47" t="s">
        <v>53</v>
      </c>
      <c r="G70" s="47">
        <v>1</v>
      </c>
      <c r="H70" s="47" t="s">
        <v>53</v>
      </c>
      <c r="I70" s="113">
        <v>519</v>
      </c>
      <c r="J70" s="48">
        <f t="shared" ref="J70:J123" si="1">D70</f>
        <v>100</v>
      </c>
    </row>
    <row r="71" spans="1:10" ht="21" customHeight="1" x14ac:dyDescent="0.15">
      <c r="A71" s="47">
        <v>47004093</v>
      </c>
      <c r="B71" s="47">
        <v>1</v>
      </c>
      <c r="C71" s="47">
        <v>232</v>
      </c>
      <c r="D71" s="47">
        <v>100</v>
      </c>
      <c r="E71" s="47" t="s">
        <v>53</v>
      </c>
      <c r="F71" s="47" t="s">
        <v>53</v>
      </c>
      <c r="G71" s="47">
        <v>1</v>
      </c>
      <c r="H71" s="47" t="s">
        <v>53</v>
      </c>
      <c r="I71" s="113">
        <v>1277</v>
      </c>
      <c r="J71" s="48">
        <f t="shared" si="1"/>
        <v>100</v>
      </c>
    </row>
    <row r="72" spans="1:10" ht="21" customHeight="1" x14ac:dyDescent="0.15">
      <c r="A72" s="47">
        <v>47004094</v>
      </c>
      <c r="B72" s="47">
        <v>1</v>
      </c>
      <c r="C72" s="47">
        <v>220</v>
      </c>
      <c r="D72" s="47">
        <v>100</v>
      </c>
      <c r="E72" s="47" t="s">
        <v>53</v>
      </c>
      <c r="F72" s="47" t="s">
        <v>53</v>
      </c>
      <c r="G72" s="47">
        <v>1</v>
      </c>
      <c r="H72" s="47" t="s">
        <v>53</v>
      </c>
      <c r="I72" s="113">
        <v>514</v>
      </c>
      <c r="J72" s="48">
        <f t="shared" si="1"/>
        <v>100</v>
      </c>
    </row>
    <row r="73" spans="1:10" ht="21" customHeight="1" x14ac:dyDescent="0.15">
      <c r="A73" s="47">
        <v>47004095</v>
      </c>
      <c r="B73" s="47">
        <v>1</v>
      </c>
      <c r="C73" s="47">
        <v>221</v>
      </c>
      <c r="D73" s="47">
        <v>100</v>
      </c>
      <c r="E73" s="47" t="s">
        <v>53</v>
      </c>
      <c r="F73" s="47" t="s">
        <v>53</v>
      </c>
      <c r="G73" s="47">
        <v>1</v>
      </c>
      <c r="H73" s="47" t="s">
        <v>53</v>
      </c>
      <c r="I73" s="113">
        <v>515</v>
      </c>
      <c r="J73" s="48">
        <f t="shared" si="1"/>
        <v>100</v>
      </c>
    </row>
    <row r="74" spans="1:10" ht="21" customHeight="1" x14ac:dyDescent="0.15">
      <c r="A74" s="47">
        <v>47004096</v>
      </c>
      <c r="B74" s="47">
        <v>1</v>
      </c>
      <c r="C74" s="47">
        <v>222</v>
      </c>
      <c r="D74" s="47">
        <v>100</v>
      </c>
      <c r="E74" s="47" t="s">
        <v>53</v>
      </c>
      <c r="F74" s="47" t="s">
        <v>53</v>
      </c>
      <c r="G74" s="47">
        <v>1</v>
      </c>
      <c r="H74" s="47" t="s">
        <v>53</v>
      </c>
      <c r="I74" s="113">
        <v>1276</v>
      </c>
      <c r="J74" s="48">
        <f t="shared" si="1"/>
        <v>100</v>
      </c>
    </row>
    <row r="75" spans="1:10" ht="21" customHeight="1" x14ac:dyDescent="0.15">
      <c r="A75" s="47">
        <v>47004097</v>
      </c>
      <c r="B75" s="47">
        <v>1</v>
      </c>
      <c r="C75" s="47">
        <v>219</v>
      </c>
      <c r="D75" s="47">
        <v>100</v>
      </c>
      <c r="E75" s="47" t="s">
        <v>53</v>
      </c>
      <c r="F75" s="47" t="s">
        <v>53</v>
      </c>
      <c r="G75" s="47">
        <v>1</v>
      </c>
      <c r="H75" s="47" t="s">
        <v>53</v>
      </c>
      <c r="I75" s="113">
        <v>1281</v>
      </c>
      <c r="J75" s="48">
        <f t="shared" si="1"/>
        <v>100</v>
      </c>
    </row>
    <row r="76" spans="1:10" ht="21" customHeight="1" x14ac:dyDescent="0.15">
      <c r="A76" s="47">
        <v>47004098</v>
      </c>
      <c r="B76" s="47">
        <v>1</v>
      </c>
      <c r="C76" s="47">
        <v>218</v>
      </c>
      <c r="D76" s="47">
        <v>100</v>
      </c>
      <c r="E76" s="47" t="s">
        <v>53</v>
      </c>
      <c r="F76" s="47" t="s">
        <v>53</v>
      </c>
      <c r="G76" s="47">
        <v>1</v>
      </c>
      <c r="H76" s="47" t="s">
        <v>53</v>
      </c>
      <c r="I76" s="113">
        <v>1280</v>
      </c>
      <c r="J76" s="48">
        <f t="shared" si="1"/>
        <v>100</v>
      </c>
    </row>
    <row r="77" spans="1:10" ht="21" customHeight="1" x14ac:dyDescent="0.15">
      <c r="A77" s="47">
        <v>47004111</v>
      </c>
      <c r="B77" s="47">
        <v>1</v>
      </c>
      <c r="C77" s="47">
        <v>100</v>
      </c>
      <c r="D77" s="47">
        <v>100</v>
      </c>
      <c r="E77" s="47" t="s">
        <v>53</v>
      </c>
      <c r="F77" s="47" t="s">
        <v>53</v>
      </c>
      <c r="G77" s="47">
        <v>1</v>
      </c>
      <c r="H77" s="47" t="s">
        <v>53</v>
      </c>
      <c r="I77" s="47" t="s">
        <v>53</v>
      </c>
      <c r="J77" s="48">
        <f t="shared" si="1"/>
        <v>100</v>
      </c>
    </row>
    <row r="78" spans="1:10" ht="21" customHeight="1" x14ac:dyDescent="0.15">
      <c r="A78" s="47">
        <v>47004112</v>
      </c>
      <c r="B78" s="47">
        <v>0</v>
      </c>
      <c r="C78" s="47">
        <v>110</v>
      </c>
      <c r="D78" s="47">
        <v>100</v>
      </c>
      <c r="E78" s="47" t="s">
        <v>53</v>
      </c>
      <c r="F78" s="47" t="s">
        <v>53</v>
      </c>
      <c r="G78" s="47">
        <v>1</v>
      </c>
      <c r="H78" s="47">
        <v>2</v>
      </c>
      <c r="I78" s="47" t="s">
        <v>53</v>
      </c>
      <c r="J78" s="48">
        <f t="shared" si="1"/>
        <v>100</v>
      </c>
    </row>
    <row r="79" spans="1:10" ht="21" customHeight="1" x14ac:dyDescent="0.15">
      <c r="A79" s="47">
        <v>47004113</v>
      </c>
      <c r="B79" s="47">
        <v>0</v>
      </c>
      <c r="C79" s="47">
        <v>120</v>
      </c>
      <c r="D79" s="47">
        <v>100</v>
      </c>
      <c r="E79" s="47" t="s">
        <v>53</v>
      </c>
      <c r="F79" s="47" t="s">
        <v>53</v>
      </c>
      <c r="G79" s="47">
        <v>1</v>
      </c>
      <c r="H79" s="47">
        <v>3</v>
      </c>
      <c r="I79" s="47" t="s">
        <v>53</v>
      </c>
      <c r="J79" s="48">
        <f t="shared" si="1"/>
        <v>100</v>
      </c>
    </row>
    <row r="80" spans="1:10" ht="21" customHeight="1" x14ac:dyDescent="0.15">
      <c r="A80" s="47">
        <v>47004114</v>
      </c>
      <c r="B80" s="47">
        <v>1</v>
      </c>
      <c r="C80" s="47">
        <v>250</v>
      </c>
      <c r="D80" s="47">
        <v>100</v>
      </c>
      <c r="E80" s="47" t="s">
        <v>53</v>
      </c>
      <c r="F80" s="47" t="s">
        <v>53</v>
      </c>
      <c r="G80" s="47">
        <v>1</v>
      </c>
      <c r="H80" s="47" t="s">
        <v>53</v>
      </c>
      <c r="I80" s="113">
        <v>1278</v>
      </c>
      <c r="J80" s="48">
        <f t="shared" si="1"/>
        <v>100</v>
      </c>
    </row>
    <row r="81" spans="1:10" ht="21" customHeight="1" x14ac:dyDescent="0.15">
      <c r="A81" s="47">
        <v>47004115</v>
      </c>
      <c r="B81" s="47">
        <v>1</v>
      </c>
      <c r="C81" s="47">
        <v>251</v>
      </c>
      <c r="D81" s="47">
        <v>100</v>
      </c>
      <c r="E81" s="47" t="s">
        <v>53</v>
      </c>
      <c r="F81" s="47" t="s">
        <v>53</v>
      </c>
      <c r="G81" s="47">
        <v>1</v>
      </c>
      <c r="H81" s="47" t="s">
        <v>53</v>
      </c>
      <c r="I81" s="113">
        <v>1279</v>
      </c>
      <c r="J81" s="48">
        <f t="shared" si="1"/>
        <v>100</v>
      </c>
    </row>
    <row r="82" spans="1:10" ht="21" customHeight="1" x14ac:dyDescent="0.15">
      <c r="A82" s="47">
        <v>47004116</v>
      </c>
      <c r="B82" s="47">
        <v>1</v>
      </c>
      <c r="C82" s="47">
        <v>240</v>
      </c>
      <c r="D82" s="47">
        <v>100</v>
      </c>
      <c r="E82" s="47" t="s">
        <v>53</v>
      </c>
      <c r="F82" s="47" t="s">
        <v>53</v>
      </c>
      <c r="G82" s="47">
        <v>1</v>
      </c>
      <c r="H82" s="47" t="s">
        <v>53</v>
      </c>
      <c r="I82" s="113">
        <v>516</v>
      </c>
      <c r="J82" s="48">
        <f t="shared" si="1"/>
        <v>100</v>
      </c>
    </row>
    <row r="83" spans="1:10" ht="21" customHeight="1" x14ac:dyDescent="0.15">
      <c r="A83" s="47">
        <v>47004117</v>
      </c>
      <c r="B83" s="47">
        <v>1</v>
      </c>
      <c r="C83" s="47">
        <v>241</v>
      </c>
      <c r="D83" s="47">
        <v>100</v>
      </c>
      <c r="E83" s="47" t="s">
        <v>53</v>
      </c>
      <c r="F83" s="47" t="s">
        <v>53</v>
      </c>
      <c r="G83" s="47">
        <v>1</v>
      </c>
      <c r="H83" s="47" t="s">
        <v>53</v>
      </c>
      <c r="I83" s="113">
        <v>517</v>
      </c>
      <c r="J83" s="48">
        <f t="shared" si="1"/>
        <v>100</v>
      </c>
    </row>
    <row r="84" spans="1:10" ht="21" customHeight="1" x14ac:dyDescent="0.15">
      <c r="A84" s="47">
        <v>47004118</v>
      </c>
      <c r="B84" s="47">
        <v>1</v>
      </c>
      <c r="C84" s="47">
        <v>242</v>
      </c>
      <c r="D84" s="47">
        <v>100</v>
      </c>
      <c r="E84" s="47" t="s">
        <v>53</v>
      </c>
      <c r="F84" s="47" t="s">
        <v>53</v>
      </c>
      <c r="G84" s="47">
        <v>1</v>
      </c>
      <c r="H84" s="47" t="s">
        <v>53</v>
      </c>
      <c r="I84" s="113">
        <v>1274</v>
      </c>
      <c r="J84" s="48">
        <f t="shared" si="1"/>
        <v>100</v>
      </c>
    </row>
    <row r="85" spans="1:10" ht="21" customHeight="1" x14ac:dyDescent="0.15">
      <c r="A85" s="47">
        <v>47004119</v>
      </c>
      <c r="B85" s="47">
        <v>1</v>
      </c>
      <c r="C85" s="47">
        <v>230</v>
      </c>
      <c r="D85" s="47">
        <v>100</v>
      </c>
      <c r="E85" s="47" t="s">
        <v>53</v>
      </c>
      <c r="F85" s="47" t="s">
        <v>53</v>
      </c>
      <c r="G85" s="47">
        <v>1</v>
      </c>
      <c r="H85" s="47" t="s">
        <v>53</v>
      </c>
      <c r="I85" s="113">
        <v>518</v>
      </c>
      <c r="J85" s="48">
        <f t="shared" si="1"/>
        <v>100</v>
      </c>
    </row>
    <row r="86" spans="1:10" ht="21" customHeight="1" x14ac:dyDescent="0.15">
      <c r="A86" s="47">
        <v>47004120</v>
      </c>
      <c r="B86" s="47">
        <v>1</v>
      </c>
      <c r="C86" s="47">
        <v>231</v>
      </c>
      <c r="D86" s="47">
        <v>100</v>
      </c>
      <c r="E86" s="47" t="s">
        <v>53</v>
      </c>
      <c r="F86" s="47" t="s">
        <v>53</v>
      </c>
      <c r="G86" s="47">
        <v>1</v>
      </c>
      <c r="H86" s="47" t="s">
        <v>53</v>
      </c>
      <c r="I86" s="113">
        <v>519</v>
      </c>
      <c r="J86" s="48">
        <f t="shared" si="1"/>
        <v>100</v>
      </c>
    </row>
    <row r="87" spans="1:10" ht="21" customHeight="1" x14ac:dyDescent="0.15">
      <c r="A87" s="47">
        <v>47004121</v>
      </c>
      <c r="B87" s="47">
        <v>1</v>
      </c>
      <c r="C87" s="47">
        <v>232</v>
      </c>
      <c r="D87" s="47">
        <v>100</v>
      </c>
      <c r="E87" s="47" t="s">
        <v>53</v>
      </c>
      <c r="F87" s="47" t="s">
        <v>53</v>
      </c>
      <c r="G87" s="47">
        <v>1</v>
      </c>
      <c r="H87" s="47" t="s">
        <v>53</v>
      </c>
      <c r="I87" s="113">
        <v>1277</v>
      </c>
      <c r="J87" s="48">
        <f t="shared" si="1"/>
        <v>100</v>
      </c>
    </row>
    <row r="88" spans="1:10" ht="21" customHeight="1" x14ac:dyDescent="0.15">
      <c r="A88" s="47">
        <v>47004122</v>
      </c>
      <c r="B88" s="47">
        <v>1</v>
      </c>
      <c r="C88" s="47">
        <v>210</v>
      </c>
      <c r="D88" s="47">
        <v>100</v>
      </c>
      <c r="E88" s="47" t="s">
        <v>53</v>
      </c>
      <c r="F88" s="47" t="s">
        <v>53</v>
      </c>
      <c r="G88" s="47">
        <v>1</v>
      </c>
      <c r="H88" s="47" t="s">
        <v>53</v>
      </c>
      <c r="I88" s="113">
        <v>512</v>
      </c>
      <c r="J88" s="48">
        <f t="shared" si="1"/>
        <v>100</v>
      </c>
    </row>
    <row r="89" spans="1:10" ht="21" customHeight="1" x14ac:dyDescent="0.15">
      <c r="A89" s="47">
        <v>47004123</v>
      </c>
      <c r="B89" s="47">
        <v>1</v>
      </c>
      <c r="C89" s="47">
        <v>211</v>
      </c>
      <c r="D89" s="47">
        <v>100</v>
      </c>
      <c r="E89" s="47" t="s">
        <v>53</v>
      </c>
      <c r="F89" s="47" t="s">
        <v>53</v>
      </c>
      <c r="G89" s="47">
        <v>1</v>
      </c>
      <c r="H89" s="47" t="s">
        <v>53</v>
      </c>
      <c r="I89" s="113">
        <v>513</v>
      </c>
      <c r="J89" s="48">
        <f t="shared" si="1"/>
        <v>100</v>
      </c>
    </row>
    <row r="90" spans="1:10" ht="21" customHeight="1" x14ac:dyDescent="0.15">
      <c r="A90" s="47">
        <v>47004124</v>
      </c>
      <c r="B90" s="47">
        <v>1</v>
      </c>
      <c r="C90" s="47">
        <v>212</v>
      </c>
      <c r="D90" s="47">
        <v>100</v>
      </c>
      <c r="E90" s="47" t="s">
        <v>53</v>
      </c>
      <c r="F90" s="47" t="s">
        <v>53</v>
      </c>
      <c r="G90" s="47">
        <v>1</v>
      </c>
      <c r="H90" s="47" t="s">
        <v>53</v>
      </c>
      <c r="I90" s="113">
        <v>1275</v>
      </c>
      <c r="J90" s="48">
        <f t="shared" si="1"/>
        <v>100</v>
      </c>
    </row>
    <row r="91" spans="1:10" ht="21" customHeight="1" x14ac:dyDescent="0.15">
      <c r="A91" s="47">
        <v>47004125</v>
      </c>
      <c r="B91" s="47">
        <v>1</v>
      </c>
      <c r="C91" s="47">
        <v>209</v>
      </c>
      <c r="D91" s="47">
        <v>100</v>
      </c>
      <c r="E91" s="47" t="s">
        <v>53</v>
      </c>
      <c r="F91" s="47" t="s">
        <v>53</v>
      </c>
      <c r="G91" s="47">
        <v>1</v>
      </c>
      <c r="H91" s="47" t="s">
        <v>53</v>
      </c>
      <c r="I91" s="113">
        <v>1281</v>
      </c>
      <c r="J91" s="48">
        <f t="shared" si="1"/>
        <v>100</v>
      </c>
    </row>
    <row r="92" spans="1:10" ht="21" customHeight="1" x14ac:dyDescent="0.15">
      <c r="A92" s="47">
        <v>47004126</v>
      </c>
      <c r="B92" s="47">
        <v>1</v>
      </c>
      <c r="C92" s="47">
        <v>208</v>
      </c>
      <c r="D92" s="47">
        <v>100</v>
      </c>
      <c r="E92" s="47" t="s">
        <v>53</v>
      </c>
      <c r="F92" s="47" t="s">
        <v>53</v>
      </c>
      <c r="G92" s="47">
        <v>1</v>
      </c>
      <c r="H92" s="47" t="s">
        <v>53</v>
      </c>
      <c r="I92" s="113">
        <v>1280</v>
      </c>
      <c r="J92" s="48">
        <f t="shared" si="1"/>
        <v>100</v>
      </c>
    </row>
    <row r="93" spans="1:10" ht="21" customHeight="1" x14ac:dyDescent="0.15">
      <c r="A93" s="47">
        <v>47004151</v>
      </c>
      <c r="B93" s="47">
        <v>1</v>
      </c>
      <c r="C93" s="47">
        <v>100</v>
      </c>
      <c r="D93" s="47">
        <v>100</v>
      </c>
      <c r="E93" s="47" t="s">
        <v>53</v>
      </c>
      <c r="F93" s="47" t="s">
        <v>53</v>
      </c>
      <c r="G93" s="47">
        <v>1</v>
      </c>
      <c r="H93" s="47" t="s">
        <v>53</v>
      </c>
      <c r="I93" s="47" t="s">
        <v>53</v>
      </c>
      <c r="J93" s="48">
        <f t="shared" si="1"/>
        <v>100</v>
      </c>
    </row>
    <row r="94" spans="1:10" ht="21" customHeight="1" x14ac:dyDescent="0.15">
      <c r="A94" s="47">
        <v>47004152</v>
      </c>
      <c r="B94" s="47">
        <v>0</v>
      </c>
      <c r="C94" s="47">
        <v>110</v>
      </c>
      <c r="D94" s="47">
        <v>100</v>
      </c>
      <c r="E94" s="47" t="s">
        <v>53</v>
      </c>
      <c r="F94" s="47" t="s">
        <v>53</v>
      </c>
      <c r="G94" s="47" t="s">
        <v>53</v>
      </c>
      <c r="H94" s="47">
        <v>1</v>
      </c>
      <c r="I94" s="47" t="s">
        <v>53</v>
      </c>
      <c r="J94" s="48">
        <f t="shared" si="1"/>
        <v>100</v>
      </c>
    </row>
    <row r="95" spans="1:10" ht="21" customHeight="1" x14ac:dyDescent="0.15">
      <c r="A95" s="47">
        <v>47004153</v>
      </c>
      <c r="B95" s="47">
        <v>0</v>
      </c>
      <c r="C95" s="47">
        <v>120</v>
      </c>
      <c r="D95" s="47">
        <v>100</v>
      </c>
      <c r="E95" s="47" t="s">
        <v>53</v>
      </c>
      <c r="F95" s="47" t="s">
        <v>53</v>
      </c>
      <c r="G95" s="47" t="s">
        <v>53</v>
      </c>
      <c r="H95" s="47">
        <v>2</v>
      </c>
      <c r="I95" s="47" t="s">
        <v>53</v>
      </c>
      <c r="J95" s="48">
        <f t="shared" si="1"/>
        <v>100</v>
      </c>
    </row>
    <row r="96" spans="1:10" ht="21" customHeight="1" x14ac:dyDescent="0.15">
      <c r="A96" s="47">
        <v>47004154</v>
      </c>
      <c r="B96" s="47">
        <v>0</v>
      </c>
      <c r="C96" s="47">
        <v>130</v>
      </c>
      <c r="D96" s="47">
        <v>100</v>
      </c>
      <c r="E96" s="47" t="s">
        <v>53</v>
      </c>
      <c r="F96" s="47" t="s">
        <v>53</v>
      </c>
      <c r="G96" s="47" t="s">
        <v>53</v>
      </c>
      <c r="H96" s="47">
        <v>3</v>
      </c>
      <c r="I96" s="47" t="s">
        <v>53</v>
      </c>
      <c r="J96" s="48">
        <f t="shared" si="1"/>
        <v>100</v>
      </c>
    </row>
    <row r="97" spans="1:10" ht="21" customHeight="1" x14ac:dyDescent="0.15">
      <c r="A97" s="47">
        <v>47004155</v>
      </c>
      <c r="B97" s="47">
        <v>0</v>
      </c>
      <c r="C97" s="47">
        <v>140</v>
      </c>
      <c r="D97" s="47">
        <v>100</v>
      </c>
      <c r="E97" s="47" t="s">
        <v>53</v>
      </c>
      <c r="F97" s="47" t="s">
        <v>53</v>
      </c>
      <c r="G97" s="47" t="s">
        <v>53</v>
      </c>
      <c r="H97" s="47">
        <v>4</v>
      </c>
      <c r="I97" s="47" t="s">
        <v>53</v>
      </c>
      <c r="J97" s="48">
        <f t="shared" si="1"/>
        <v>100</v>
      </c>
    </row>
    <row r="98" spans="1:10" ht="21" customHeight="1" x14ac:dyDescent="0.15">
      <c r="A98" s="47">
        <v>47004156</v>
      </c>
      <c r="B98" s="47">
        <v>1</v>
      </c>
      <c r="C98" s="47">
        <v>250</v>
      </c>
      <c r="D98" s="47">
        <v>100</v>
      </c>
      <c r="E98" s="47" t="s">
        <v>53</v>
      </c>
      <c r="F98" s="47" t="s">
        <v>53</v>
      </c>
      <c r="G98" s="47">
        <v>1</v>
      </c>
      <c r="H98" s="47" t="s">
        <v>53</v>
      </c>
      <c r="I98" s="113">
        <v>1278</v>
      </c>
      <c r="J98" s="48">
        <f t="shared" si="1"/>
        <v>100</v>
      </c>
    </row>
    <row r="99" spans="1:10" ht="21" customHeight="1" x14ac:dyDescent="0.15">
      <c r="A99" s="47">
        <v>47004157</v>
      </c>
      <c r="B99" s="47">
        <v>1</v>
      </c>
      <c r="C99" s="47">
        <v>251</v>
      </c>
      <c r="D99" s="47">
        <v>100</v>
      </c>
      <c r="E99" s="47" t="s">
        <v>53</v>
      </c>
      <c r="F99" s="47" t="s">
        <v>53</v>
      </c>
      <c r="G99" s="47">
        <v>1</v>
      </c>
      <c r="H99" s="47" t="s">
        <v>53</v>
      </c>
      <c r="I99" s="113">
        <v>1279</v>
      </c>
      <c r="J99" s="48">
        <f t="shared" si="1"/>
        <v>100</v>
      </c>
    </row>
    <row r="100" spans="1:10" ht="21" customHeight="1" x14ac:dyDescent="0.15">
      <c r="A100" s="47">
        <v>47004158</v>
      </c>
      <c r="B100" s="47">
        <v>1</v>
      </c>
      <c r="C100" s="47">
        <v>240</v>
      </c>
      <c r="D100" s="47">
        <v>100</v>
      </c>
      <c r="E100" s="47" t="s">
        <v>53</v>
      </c>
      <c r="F100" s="47" t="s">
        <v>53</v>
      </c>
      <c r="G100" s="47">
        <v>1</v>
      </c>
      <c r="H100" s="47" t="s">
        <v>53</v>
      </c>
      <c r="I100" s="113">
        <v>516</v>
      </c>
      <c r="J100" s="48">
        <f t="shared" si="1"/>
        <v>100</v>
      </c>
    </row>
    <row r="101" spans="1:10" ht="21" customHeight="1" x14ac:dyDescent="0.15">
      <c r="A101" s="47">
        <v>47004159</v>
      </c>
      <c r="B101" s="47">
        <v>1</v>
      </c>
      <c r="C101" s="47">
        <v>241</v>
      </c>
      <c r="D101" s="47">
        <v>100</v>
      </c>
      <c r="E101" s="47" t="s">
        <v>53</v>
      </c>
      <c r="F101" s="47" t="s">
        <v>53</v>
      </c>
      <c r="G101" s="47">
        <v>1</v>
      </c>
      <c r="H101" s="47" t="s">
        <v>53</v>
      </c>
      <c r="I101" s="113">
        <v>517</v>
      </c>
      <c r="J101" s="48">
        <f t="shared" si="1"/>
        <v>100</v>
      </c>
    </row>
    <row r="102" spans="1:10" ht="21" customHeight="1" x14ac:dyDescent="0.15">
      <c r="A102" s="47">
        <v>47004160</v>
      </c>
      <c r="B102" s="47">
        <v>1</v>
      </c>
      <c r="C102" s="47">
        <v>242</v>
      </c>
      <c r="D102" s="47">
        <v>100</v>
      </c>
      <c r="E102" s="47" t="s">
        <v>53</v>
      </c>
      <c r="F102" s="47" t="s">
        <v>53</v>
      </c>
      <c r="G102" s="47">
        <v>1</v>
      </c>
      <c r="H102" s="47" t="s">
        <v>53</v>
      </c>
      <c r="I102" s="113">
        <v>1274</v>
      </c>
      <c r="J102" s="48">
        <f t="shared" si="1"/>
        <v>100</v>
      </c>
    </row>
    <row r="103" spans="1:10" ht="21" customHeight="1" x14ac:dyDescent="0.15">
      <c r="A103" s="47">
        <v>47004161</v>
      </c>
      <c r="B103" s="47">
        <v>1</v>
      </c>
      <c r="C103" s="47">
        <v>230</v>
      </c>
      <c r="D103" s="47">
        <v>100</v>
      </c>
      <c r="E103" s="47" t="s">
        <v>53</v>
      </c>
      <c r="F103" s="47" t="s">
        <v>53</v>
      </c>
      <c r="G103" s="47">
        <v>1</v>
      </c>
      <c r="H103" s="47" t="s">
        <v>53</v>
      </c>
      <c r="I103" s="113">
        <v>518</v>
      </c>
      <c r="J103" s="48">
        <f t="shared" si="1"/>
        <v>100</v>
      </c>
    </row>
    <row r="104" spans="1:10" ht="21" customHeight="1" x14ac:dyDescent="0.15">
      <c r="A104" s="47">
        <v>47004162</v>
      </c>
      <c r="B104" s="47">
        <v>1</v>
      </c>
      <c r="C104" s="47">
        <v>231</v>
      </c>
      <c r="D104" s="47">
        <v>100</v>
      </c>
      <c r="E104" s="47" t="s">
        <v>53</v>
      </c>
      <c r="F104" s="47" t="s">
        <v>53</v>
      </c>
      <c r="G104" s="47">
        <v>1</v>
      </c>
      <c r="H104" s="47" t="s">
        <v>53</v>
      </c>
      <c r="I104" s="113">
        <v>519</v>
      </c>
      <c r="J104" s="48">
        <f t="shared" si="1"/>
        <v>100</v>
      </c>
    </row>
    <row r="105" spans="1:10" ht="21" customHeight="1" x14ac:dyDescent="0.15">
      <c r="A105" s="47">
        <v>47004163</v>
      </c>
      <c r="B105" s="47">
        <v>1</v>
      </c>
      <c r="C105" s="47">
        <v>232</v>
      </c>
      <c r="D105" s="47">
        <v>100</v>
      </c>
      <c r="E105" s="47" t="s">
        <v>53</v>
      </c>
      <c r="F105" s="47" t="s">
        <v>53</v>
      </c>
      <c r="G105" s="47">
        <v>1</v>
      </c>
      <c r="H105" s="47" t="s">
        <v>53</v>
      </c>
      <c r="I105" s="113">
        <v>1277</v>
      </c>
      <c r="J105" s="48">
        <f t="shared" si="1"/>
        <v>100</v>
      </c>
    </row>
    <row r="106" spans="1:10" ht="21" customHeight="1" x14ac:dyDescent="0.15">
      <c r="A106" s="47">
        <v>47004164</v>
      </c>
      <c r="B106" s="47">
        <v>1</v>
      </c>
      <c r="C106" s="47">
        <v>220</v>
      </c>
      <c r="D106" s="47">
        <v>100</v>
      </c>
      <c r="E106" s="47" t="s">
        <v>53</v>
      </c>
      <c r="F106" s="47" t="s">
        <v>53</v>
      </c>
      <c r="G106" s="47">
        <v>1</v>
      </c>
      <c r="H106" s="47" t="s">
        <v>53</v>
      </c>
      <c r="I106" s="113">
        <v>514</v>
      </c>
      <c r="J106" s="48">
        <f t="shared" si="1"/>
        <v>100</v>
      </c>
    </row>
    <row r="107" spans="1:10" ht="21" customHeight="1" x14ac:dyDescent="0.15">
      <c r="A107" s="47">
        <v>47004165</v>
      </c>
      <c r="B107" s="47">
        <v>1</v>
      </c>
      <c r="C107" s="47">
        <v>221</v>
      </c>
      <c r="D107" s="47">
        <v>100</v>
      </c>
      <c r="E107" s="47" t="s">
        <v>53</v>
      </c>
      <c r="F107" s="47" t="s">
        <v>53</v>
      </c>
      <c r="G107" s="47">
        <v>1</v>
      </c>
      <c r="H107" s="47" t="s">
        <v>53</v>
      </c>
      <c r="I107" s="113">
        <v>515</v>
      </c>
      <c r="J107" s="48">
        <f t="shared" si="1"/>
        <v>100</v>
      </c>
    </row>
    <row r="108" spans="1:10" ht="21" customHeight="1" x14ac:dyDescent="0.15">
      <c r="A108" s="47">
        <v>47004166</v>
      </c>
      <c r="B108" s="47">
        <v>1</v>
      </c>
      <c r="C108" s="47">
        <v>222</v>
      </c>
      <c r="D108" s="47">
        <v>100</v>
      </c>
      <c r="E108" s="47" t="s">
        <v>53</v>
      </c>
      <c r="F108" s="47" t="s">
        <v>53</v>
      </c>
      <c r="G108" s="47">
        <v>1</v>
      </c>
      <c r="H108" s="47" t="s">
        <v>53</v>
      </c>
      <c r="I108" s="113">
        <v>1276</v>
      </c>
      <c r="J108" s="48">
        <f t="shared" si="1"/>
        <v>100</v>
      </c>
    </row>
    <row r="109" spans="1:10" ht="21" customHeight="1" x14ac:dyDescent="0.15">
      <c r="A109" s="47">
        <v>47004167</v>
      </c>
      <c r="B109" s="47">
        <v>1</v>
      </c>
      <c r="C109" s="47">
        <v>210</v>
      </c>
      <c r="D109" s="47">
        <v>100</v>
      </c>
      <c r="E109" s="47" t="s">
        <v>53</v>
      </c>
      <c r="F109" s="47" t="s">
        <v>53</v>
      </c>
      <c r="G109" s="47">
        <v>1</v>
      </c>
      <c r="H109" s="47" t="s">
        <v>53</v>
      </c>
      <c r="I109" s="113">
        <v>512</v>
      </c>
      <c r="J109" s="48">
        <f t="shared" si="1"/>
        <v>100</v>
      </c>
    </row>
    <row r="110" spans="1:10" ht="21" customHeight="1" x14ac:dyDescent="0.15">
      <c r="A110" s="47">
        <v>47004168</v>
      </c>
      <c r="B110" s="47">
        <v>1</v>
      </c>
      <c r="C110" s="47">
        <v>211</v>
      </c>
      <c r="D110" s="47">
        <v>100</v>
      </c>
      <c r="E110" s="47" t="s">
        <v>53</v>
      </c>
      <c r="F110" s="47" t="s">
        <v>53</v>
      </c>
      <c r="G110" s="47">
        <v>1</v>
      </c>
      <c r="H110" s="47" t="s">
        <v>53</v>
      </c>
      <c r="I110" s="113">
        <v>513</v>
      </c>
      <c r="J110" s="48">
        <f t="shared" si="1"/>
        <v>100</v>
      </c>
    </row>
    <row r="111" spans="1:10" ht="21" customHeight="1" x14ac:dyDescent="0.15">
      <c r="A111" s="47">
        <v>47004169</v>
      </c>
      <c r="B111" s="47">
        <v>1</v>
      </c>
      <c r="C111" s="47">
        <v>212</v>
      </c>
      <c r="D111" s="47">
        <v>100</v>
      </c>
      <c r="E111" s="47" t="s">
        <v>53</v>
      </c>
      <c r="F111" s="47" t="s">
        <v>53</v>
      </c>
      <c r="G111" s="47">
        <v>1</v>
      </c>
      <c r="H111" s="47" t="s">
        <v>53</v>
      </c>
      <c r="I111" s="113">
        <v>1275</v>
      </c>
      <c r="J111" s="48">
        <f t="shared" si="1"/>
        <v>100</v>
      </c>
    </row>
    <row r="112" spans="1:10" ht="21" customHeight="1" x14ac:dyDescent="0.15">
      <c r="A112" s="47">
        <v>47004170</v>
      </c>
      <c r="B112" s="47">
        <v>1</v>
      </c>
      <c r="C112" s="47">
        <v>209</v>
      </c>
      <c r="D112" s="47">
        <v>100</v>
      </c>
      <c r="E112" s="47" t="s">
        <v>53</v>
      </c>
      <c r="F112" s="47" t="s">
        <v>53</v>
      </c>
      <c r="G112" s="47">
        <v>1</v>
      </c>
      <c r="H112" s="47" t="s">
        <v>53</v>
      </c>
      <c r="I112" s="113">
        <v>1281</v>
      </c>
      <c r="J112" s="48">
        <f t="shared" si="1"/>
        <v>100</v>
      </c>
    </row>
    <row r="113" spans="1:10" ht="21" customHeight="1" x14ac:dyDescent="0.15">
      <c r="A113" s="47">
        <v>47004171</v>
      </c>
      <c r="B113" s="47">
        <v>1</v>
      </c>
      <c r="C113" s="47">
        <v>208</v>
      </c>
      <c r="D113" s="47">
        <v>100</v>
      </c>
      <c r="E113" s="47" t="s">
        <v>53</v>
      </c>
      <c r="F113" s="47" t="s">
        <v>53</v>
      </c>
      <c r="G113" s="47">
        <v>1</v>
      </c>
      <c r="H113" s="47" t="s">
        <v>53</v>
      </c>
      <c r="I113" s="113">
        <v>1280</v>
      </c>
      <c r="J113" s="48">
        <f t="shared" si="1"/>
        <v>100</v>
      </c>
    </row>
    <row r="114" spans="1:10" ht="21" customHeight="1" x14ac:dyDescent="0.15">
      <c r="A114" s="47">
        <v>47004181</v>
      </c>
      <c r="B114" s="47">
        <v>1</v>
      </c>
      <c r="C114" s="47">
        <v>100</v>
      </c>
      <c r="D114" s="47">
        <v>100</v>
      </c>
      <c r="E114" s="47" t="s">
        <v>53</v>
      </c>
      <c r="F114" s="47" t="s">
        <v>53</v>
      </c>
      <c r="G114" s="47">
        <v>1</v>
      </c>
      <c r="H114" s="47" t="s">
        <v>53</v>
      </c>
      <c r="I114" s="47" t="s">
        <v>53</v>
      </c>
      <c r="J114" s="48">
        <f t="shared" si="1"/>
        <v>100</v>
      </c>
    </row>
    <row r="115" spans="1:10" ht="21" customHeight="1" x14ac:dyDescent="0.15">
      <c r="A115" s="47">
        <v>47004182</v>
      </c>
      <c r="B115" s="47">
        <v>0</v>
      </c>
      <c r="C115" s="47">
        <v>110</v>
      </c>
      <c r="D115" s="47">
        <v>100</v>
      </c>
      <c r="E115" s="47" t="s">
        <v>53</v>
      </c>
      <c r="F115" s="47" t="s">
        <v>53</v>
      </c>
      <c r="G115" s="47">
        <v>1</v>
      </c>
      <c r="H115" s="47">
        <v>1</v>
      </c>
      <c r="I115" s="47" t="s">
        <v>53</v>
      </c>
      <c r="J115" s="48">
        <f t="shared" si="1"/>
        <v>100</v>
      </c>
    </row>
    <row r="116" spans="1:10" ht="21" customHeight="1" x14ac:dyDescent="0.15">
      <c r="A116" s="47">
        <v>47004183</v>
      </c>
      <c r="B116" s="47">
        <v>0</v>
      </c>
      <c r="C116" s="47">
        <v>120</v>
      </c>
      <c r="D116" s="47">
        <v>100</v>
      </c>
      <c r="E116" s="47" t="s">
        <v>53</v>
      </c>
      <c r="F116" s="47" t="s">
        <v>53</v>
      </c>
      <c r="G116" s="47">
        <v>1</v>
      </c>
      <c r="H116" s="47">
        <v>2</v>
      </c>
      <c r="I116" s="47" t="s">
        <v>53</v>
      </c>
      <c r="J116" s="48">
        <f t="shared" si="1"/>
        <v>100</v>
      </c>
    </row>
    <row r="117" spans="1:10" ht="21" customHeight="1" x14ac:dyDescent="0.15">
      <c r="A117" s="47">
        <v>47004184</v>
      </c>
      <c r="B117" s="47">
        <v>0</v>
      </c>
      <c r="C117" s="47">
        <v>130</v>
      </c>
      <c r="D117" s="47">
        <v>100</v>
      </c>
      <c r="E117" s="47" t="s">
        <v>53</v>
      </c>
      <c r="F117" s="47" t="s">
        <v>53</v>
      </c>
      <c r="G117" s="47">
        <v>1</v>
      </c>
      <c r="H117" s="47">
        <v>3</v>
      </c>
      <c r="I117" s="47" t="s">
        <v>53</v>
      </c>
      <c r="J117" s="48">
        <f t="shared" si="1"/>
        <v>100</v>
      </c>
    </row>
    <row r="118" spans="1:10" ht="21" customHeight="1" x14ac:dyDescent="0.15">
      <c r="A118" s="47">
        <v>47004185</v>
      </c>
      <c r="B118" s="47">
        <v>0</v>
      </c>
      <c r="C118" s="47">
        <v>140</v>
      </c>
      <c r="D118" s="47">
        <v>100</v>
      </c>
      <c r="E118" s="47" t="s">
        <v>53</v>
      </c>
      <c r="F118" s="47" t="s">
        <v>53</v>
      </c>
      <c r="G118" s="47">
        <v>1</v>
      </c>
      <c r="H118" s="47">
        <v>4</v>
      </c>
      <c r="I118" s="47" t="s">
        <v>53</v>
      </c>
      <c r="J118" s="48">
        <f t="shared" si="1"/>
        <v>100</v>
      </c>
    </row>
    <row r="119" spans="1:10" ht="21" customHeight="1" x14ac:dyDescent="0.15">
      <c r="A119" s="47">
        <v>47004186</v>
      </c>
      <c r="B119" s="47">
        <v>0</v>
      </c>
      <c r="C119" s="47">
        <v>150</v>
      </c>
      <c r="D119" s="47">
        <v>100</v>
      </c>
      <c r="E119" s="47" t="s">
        <v>53</v>
      </c>
      <c r="F119" s="47" t="s">
        <v>53</v>
      </c>
      <c r="G119" s="47">
        <v>1</v>
      </c>
      <c r="H119" s="47">
        <v>5</v>
      </c>
      <c r="I119" s="47" t="s">
        <v>53</v>
      </c>
      <c r="J119" s="48">
        <f t="shared" si="1"/>
        <v>100</v>
      </c>
    </row>
    <row r="120" spans="1:10" ht="21" customHeight="1" x14ac:dyDescent="0.15">
      <c r="A120" s="47">
        <v>47004211</v>
      </c>
      <c r="B120" s="47">
        <v>1</v>
      </c>
      <c r="C120" s="47">
        <v>100</v>
      </c>
      <c r="D120" s="47">
        <v>100</v>
      </c>
      <c r="E120" s="47" t="s">
        <v>53</v>
      </c>
      <c r="F120" s="47" t="s">
        <v>53</v>
      </c>
      <c r="G120" s="47">
        <v>1</v>
      </c>
      <c r="H120" s="47" t="s">
        <v>53</v>
      </c>
      <c r="I120" s="47" t="s">
        <v>53</v>
      </c>
      <c r="J120" s="48">
        <f t="shared" si="1"/>
        <v>100</v>
      </c>
    </row>
    <row r="121" spans="1:10" ht="21" customHeight="1" x14ac:dyDescent="0.15">
      <c r="A121" s="47">
        <v>47004212</v>
      </c>
      <c r="B121" s="47">
        <v>0</v>
      </c>
      <c r="C121" s="47">
        <v>101</v>
      </c>
      <c r="D121" s="47">
        <v>100</v>
      </c>
      <c r="E121" s="47" t="s">
        <v>53</v>
      </c>
      <c r="F121" s="47" t="s">
        <v>53</v>
      </c>
      <c r="G121" s="47">
        <v>1</v>
      </c>
      <c r="H121" s="47">
        <v>1</v>
      </c>
      <c r="I121" s="47" t="s">
        <v>53</v>
      </c>
      <c r="J121" s="48">
        <f t="shared" si="1"/>
        <v>100</v>
      </c>
    </row>
    <row r="122" spans="1:10" ht="21" customHeight="1" x14ac:dyDescent="0.15">
      <c r="A122" s="47">
        <v>47004213</v>
      </c>
      <c r="B122" s="47">
        <v>0</v>
      </c>
      <c r="C122" s="47">
        <v>102</v>
      </c>
      <c r="D122" s="47">
        <v>100</v>
      </c>
      <c r="E122" s="47" t="s">
        <v>53</v>
      </c>
      <c r="F122" s="47" t="s">
        <v>53</v>
      </c>
      <c r="G122" s="47">
        <v>1</v>
      </c>
      <c r="H122" s="47">
        <v>2</v>
      </c>
      <c r="I122" s="47" t="s">
        <v>53</v>
      </c>
      <c r="J122" s="48">
        <f t="shared" si="1"/>
        <v>100</v>
      </c>
    </row>
    <row r="123" spans="1:10" ht="21" customHeight="1" x14ac:dyDescent="0.15">
      <c r="A123" s="47">
        <v>47004214</v>
      </c>
      <c r="B123" s="47">
        <v>0</v>
      </c>
      <c r="C123" s="47">
        <v>103</v>
      </c>
      <c r="D123" s="47">
        <v>100</v>
      </c>
      <c r="E123" s="47" t="s">
        <v>53</v>
      </c>
      <c r="F123" s="47" t="s">
        <v>53</v>
      </c>
      <c r="G123" s="47">
        <v>1</v>
      </c>
      <c r="H123" s="47">
        <v>3</v>
      </c>
      <c r="I123" s="47" t="s">
        <v>53</v>
      </c>
      <c r="J123" s="48">
        <f t="shared" si="1"/>
        <v>100</v>
      </c>
    </row>
    <row r="124" spans="1:10" ht="21" customHeight="1" x14ac:dyDescent="0.15">
      <c r="A124" s="47">
        <v>47004215</v>
      </c>
      <c r="B124" s="47">
        <v>0</v>
      </c>
      <c r="C124" s="47">
        <v>104</v>
      </c>
      <c r="D124" s="47">
        <v>100</v>
      </c>
      <c r="E124" s="47" t="s">
        <v>53</v>
      </c>
      <c r="F124" s="47" t="s">
        <v>53</v>
      </c>
      <c r="G124" s="47">
        <v>1</v>
      </c>
      <c r="H124" s="47">
        <v>4</v>
      </c>
      <c r="I124" s="47" t="s">
        <v>53</v>
      </c>
      <c r="J124" s="48">
        <f t="shared" ref="J124:J129" si="2">D124</f>
        <v>100</v>
      </c>
    </row>
    <row r="125" spans="1:10" ht="21" customHeight="1" x14ac:dyDescent="0.15">
      <c r="A125" s="47">
        <v>47004216</v>
      </c>
      <c r="B125" s="47">
        <v>0</v>
      </c>
      <c r="C125" s="47">
        <v>105</v>
      </c>
      <c r="D125" s="47">
        <v>100</v>
      </c>
      <c r="E125" s="47" t="s">
        <v>53</v>
      </c>
      <c r="F125" s="47" t="s">
        <v>53</v>
      </c>
      <c r="G125" s="47">
        <v>1</v>
      </c>
      <c r="H125" s="47">
        <v>5</v>
      </c>
      <c r="I125" s="47" t="s">
        <v>53</v>
      </c>
      <c r="J125" s="48">
        <f t="shared" si="2"/>
        <v>100</v>
      </c>
    </row>
    <row r="126" spans="1:10" ht="21" customHeight="1" x14ac:dyDescent="0.15">
      <c r="A126" s="47">
        <v>47004217</v>
      </c>
      <c r="B126" s="47">
        <v>0</v>
      </c>
      <c r="C126" s="47">
        <v>106</v>
      </c>
      <c r="D126" s="47">
        <v>100</v>
      </c>
      <c r="E126" s="47" t="s">
        <v>53</v>
      </c>
      <c r="F126" s="47" t="s">
        <v>53</v>
      </c>
      <c r="G126" s="47">
        <v>1</v>
      </c>
      <c r="H126" s="47">
        <v>6</v>
      </c>
      <c r="I126" s="47" t="s">
        <v>53</v>
      </c>
      <c r="J126" s="48">
        <f t="shared" si="2"/>
        <v>100</v>
      </c>
    </row>
    <row r="127" spans="1:10" ht="21" customHeight="1" x14ac:dyDescent="0.15">
      <c r="A127" s="47">
        <v>47004218</v>
      </c>
      <c r="B127" s="47">
        <v>0</v>
      </c>
      <c r="C127" s="47">
        <v>107</v>
      </c>
      <c r="D127" s="47">
        <v>100</v>
      </c>
      <c r="E127" s="47" t="s">
        <v>53</v>
      </c>
      <c r="F127" s="47" t="s">
        <v>53</v>
      </c>
      <c r="G127" s="47">
        <v>1</v>
      </c>
      <c r="H127" s="47">
        <v>7</v>
      </c>
      <c r="I127" s="47" t="s">
        <v>53</v>
      </c>
      <c r="J127" s="48">
        <f t="shared" si="2"/>
        <v>100</v>
      </c>
    </row>
    <row r="128" spans="1:10" ht="21" customHeight="1" x14ac:dyDescent="0.15">
      <c r="A128" s="47">
        <v>47004219</v>
      </c>
      <c r="B128" s="47">
        <v>0</v>
      </c>
      <c r="C128" s="47">
        <v>108</v>
      </c>
      <c r="D128" s="47">
        <v>100</v>
      </c>
      <c r="E128" s="47" t="s">
        <v>53</v>
      </c>
      <c r="F128" s="47" t="s">
        <v>53</v>
      </c>
      <c r="G128" s="47">
        <v>1</v>
      </c>
      <c r="H128" s="47">
        <v>8</v>
      </c>
      <c r="I128" s="47" t="s">
        <v>53</v>
      </c>
      <c r="J128" s="48">
        <f t="shared" si="2"/>
        <v>100</v>
      </c>
    </row>
    <row r="129" spans="1:10" ht="21" customHeight="1" x14ac:dyDescent="0.15">
      <c r="A129" s="47">
        <v>47004220</v>
      </c>
      <c r="B129" s="47">
        <v>0</v>
      </c>
      <c r="C129" s="47">
        <v>200</v>
      </c>
      <c r="D129" s="47">
        <v>100</v>
      </c>
      <c r="E129" s="47" t="s">
        <v>53</v>
      </c>
      <c r="F129" s="47" t="s">
        <v>53</v>
      </c>
      <c r="G129" s="47">
        <v>0</v>
      </c>
      <c r="H129" s="47">
        <v>1</v>
      </c>
      <c r="I129" s="113">
        <v>0</v>
      </c>
      <c r="J129" s="48">
        <f t="shared" si="2"/>
        <v>100</v>
      </c>
    </row>
    <row r="130" spans="1:10" ht="21" customHeight="1" x14ac:dyDescent="0.15">
      <c r="A130" s="128">
        <v>47004251</v>
      </c>
      <c r="B130" s="47">
        <v>1</v>
      </c>
      <c r="C130" s="47">
        <v>100</v>
      </c>
      <c r="D130" s="47">
        <v>100</v>
      </c>
      <c r="E130" s="47" t="s">
        <v>53</v>
      </c>
      <c r="F130" s="47" t="s">
        <v>53</v>
      </c>
      <c r="G130" s="47">
        <v>1</v>
      </c>
      <c r="H130" s="47" t="s">
        <v>53</v>
      </c>
      <c r="I130" s="47" t="s">
        <v>53</v>
      </c>
      <c r="J130" s="48">
        <f t="shared" ref="J130:J197" si="3">D130</f>
        <v>100</v>
      </c>
    </row>
    <row r="131" spans="1:10" ht="21" customHeight="1" x14ac:dyDescent="0.15">
      <c r="A131" s="128">
        <v>47004252</v>
      </c>
      <c r="B131" s="47">
        <v>0</v>
      </c>
      <c r="C131" s="47">
        <v>110</v>
      </c>
      <c r="D131" s="47">
        <v>100</v>
      </c>
      <c r="E131" s="47" t="s">
        <v>53</v>
      </c>
      <c r="F131" s="47" t="s">
        <v>53</v>
      </c>
      <c r="G131" s="47" t="s">
        <v>53</v>
      </c>
      <c r="H131" s="47">
        <v>3</v>
      </c>
      <c r="I131" s="47" t="s">
        <v>53</v>
      </c>
      <c r="J131" s="48">
        <f t="shared" si="3"/>
        <v>100</v>
      </c>
    </row>
    <row r="132" spans="1:10" ht="21" customHeight="1" x14ac:dyDescent="0.15">
      <c r="A132" s="128">
        <v>47004253</v>
      </c>
      <c r="B132" s="47">
        <v>0</v>
      </c>
      <c r="C132" s="47">
        <v>120</v>
      </c>
      <c r="D132" s="47">
        <v>100</v>
      </c>
      <c r="E132" s="47" t="s">
        <v>53</v>
      </c>
      <c r="F132" s="47" t="s">
        <v>53</v>
      </c>
      <c r="G132" s="47">
        <v>1</v>
      </c>
      <c r="H132" s="47">
        <v>6</v>
      </c>
      <c r="I132" s="47" t="s">
        <v>53</v>
      </c>
      <c r="J132" s="48">
        <f t="shared" si="3"/>
        <v>100</v>
      </c>
    </row>
    <row r="133" spans="1:10" ht="21" customHeight="1" x14ac:dyDescent="0.15">
      <c r="A133" s="128">
        <v>47004254</v>
      </c>
      <c r="B133" s="47">
        <v>1</v>
      </c>
      <c r="C133" s="47">
        <v>250</v>
      </c>
      <c r="D133" s="47">
        <v>100</v>
      </c>
      <c r="E133" s="47" t="s">
        <v>53</v>
      </c>
      <c r="F133" s="47" t="s">
        <v>53</v>
      </c>
      <c r="G133" s="47">
        <v>1</v>
      </c>
      <c r="H133" s="47" t="s">
        <v>53</v>
      </c>
      <c r="I133" s="113">
        <v>1278</v>
      </c>
      <c r="J133" s="48">
        <f t="shared" si="3"/>
        <v>100</v>
      </c>
    </row>
    <row r="134" spans="1:10" ht="21" customHeight="1" x14ac:dyDescent="0.15">
      <c r="A134" s="128">
        <v>47004255</v>
      </c>
      <c r="B134" s="47">
        <v>1</v>
      </c>
      <c r="C134" s="47">
        <v>251</v>
      </c>
      <c r="D134" s="47">
        <v>100</v>
      </c>
      <c r="E134" s="47" t="s">
        <v>53</v>
      </c>
      <c r="F134" s="47" t="s">
        <v>53</v>
      </c>
      <c r="G134" s="47">
        <v>1</v>
      </c>
      <c r="H134" s="47" t="s">
        <v>53</v>
      </c>
      <c r="I134" s="113">
        <v>1279</v>
      </c>
      <c r="J134" s="48">
        <f t="shared" si="3"/>
        <v>100</v>
      </c>
    </row>
    <row r="135" spans="1:10" ht="21" customHeight="1" x14ac:dyDescent="0.15">
      <c r="A135" s="128">
        <v>47004256</v>
      </c>
      <c r="B135" s="47">
        <v>1</v>
      </c>
      <c r="C135" s="47">
        <v>240</v>
      </c>
      <c r="D135" s="47">
        <v>100</v>
      </c>
      <c r="E135" s="47" t="s">
        <v>53</v>
      </c>
      <c r="F135" s="47" t="s">
        <v>53</v>
      </c>
      <c r="G135" s="47">
        <v>1</v>
      </c>
      <c r="H135" s="47" t="s">
        <v>53</v>
      </c>
      <c r="I135" s="113">
        <v>516</v>
      </c>
      <c r="J135" s="48">
        <f t="shared" si="3"/>
        <v>100</v>
      </c>
    </row>
    <row r="136" spans="1:10" ht="21" customHeight="1" x14ac:dyDescent="0.15">
      <c r="A136" s="128">
        <v>47004257</v>
      </c>
      <c r="B136" s="47">
        <v>1</v>
      </c>
      <c r="C136" s="47">
        <v>241</v>
      </c>
      <c r="D136" s="47">
        <v>100</v>
      </c>
      <c r="E136" s="47" t="s">
        <v>53</v>
      </c>
      <c r="F136" s="47" t="s">
        <v>53</v>
      </c>
      <c r="G136" s="47">
        <v>1</v>
      </c>
      <c r="H136" s="47" t="s">
        <v>53</v>
      </c>
      <c r="I136" s="113">
        <v>517</v>
      </c>
      <c r="J136" s="48">
        <f t="shared" si="3"/>
        <v>100</v>
      </c>
    </row>
    <row r="137" spans="1:10" ht="21" customHeight="1" x14ac:dyDescent="0.15">
      <c r="A137" s="128">
        <v>47004258</v>
      </c>
      <c r="B137" s="47">
        <v>1</v>
      </c>
      <c r="C137" s="47">
        <v>242</v>
      </c>
      <c r="D137" s="47">
        <v>100</v>
      </c>
      <c r="E137" s="47" t="s">
        <v>53</v>
      </c>
      <c r="F137" s="47" t="s">
        <v>53</v>
      </c>
      <c r="G137" s="47">
        <v>1</v>
      </c>
      <c r="H137" s="47" t="s">
        <v>53</v>
      </c>
      <c r="I137" s="113">
        <v>1274</v>
      </c>
      <c r="J137" s="48">
        <f t="shared" si="3"/>
        <v>100</v>
      </c>
    </row>
    <row r="138" spans="1:10" ht="21" customHeight="1" x14ac:dyDescent="0.15">
      <c r="A138" s="128">
        <v>47004259</v>
      </c>
      <c r="B138" s="47">
        <v>0</v>
      </c>
      <c r="C138" s="47">
        <v>230</v>
      </c>
      <c r="D138" s="47">
        <v>100</v>
      </c>
      <c r="E138" s="47" t="s">
        <v>53</v>
      </c>
      <c r="F138" s="47" t="s">
        <v>53</v>
      </c>
      <c r="G138" s="47">
        <v>1</v>
      </c>
      <c r="H138" s="47" t="s">
        <v>53</v>
      </c>
      <c r="I138" s="113">
        <v>518</v>
      </c>
      <c r="J138" s="48">
        <f t="shared" si="3"/>
        <v>100</v>
      </c>
    </row>
    <row r="139" spans="1:10" ht="21" customHeight="1" x14ac:dyDescent="0.15">
      <c r="A139" s="128">
        <v>47004260</v>
      </c>
      <c r="B139" s="47">
        <v>0</v>
      </c>
      <c r="C139" s="47">
        <v>231</v>
      </c>
      <c r="D139" s="47">
        <v>100</v>
      </c>
      <c r="E139" s="47" t="s">
        <v>53</v>
      </c>
      <c r="F139" s="47" t="s">
        <v>53</v>
      </c>
      <c r="G139" s="47">
        <v>1</v>
      </c>
      <c r="H139" s="47" t="s">
        <v>53</v>
      </c>
      <c r="I139" s="113">
        <v>519</v>
      </c>
      <c r="J139" s="48">
        <f t="shared" si="3"/>
        <v>100</v>
      </c>
    </row>
    <row r="140" spans="1:10" ht="21" customHeight="1" x14ac:dyDescent="0.15">
      <c r="A140" s="128">
        <v>47004261</v>
      </c>
      <c r="B140" s="47">
        <v>0</v>
      </c>
      <c r="C140" s="47">
        <v>232</v>
      </c>
      <c r="D140" s="47">
        <v>100</v>
      </c>
      <c r="E140" s="47" t="s">
        <v>53</v>
      </c>
      <c r="F140" s="47" t="s">
        <v>53</v>
      </c>
      <c r="G140" s="47">
        <v>1</v>
      </c>
      <c r="H140" s="47" t="s">
        <v>53</v>
      </c>
      <c r="I140" s="113">
        <v>1277</v>
      </c>
      <c r="J140" s="48">
        <f t="shared" si="3"/>
        <v>100</v>
      </c>
    </row>
    <row r="141" spans="1:10" ht="21" customHeight="1" x14ac:dyDescent="0.15">
      <c r="A141" s="128">
        <v>47004262</v>
      </c>
      <c r="B141" s="47">
        <v>0</v>
      </c>
      <c r="C141" s="47">
        <v>220</v>
      </c>
      <c r="D141" s="47">
        <v>100</v>
      </c>
      <c r="E141" s="47" t="s">
        <v>53</v>
      </c>
      <c r="F141" s="47" t="s">
        <v>53</v>
      </c>
      <c r="G141" s="47">
        <v>1</v>
      </c>
      <c r="H141" s="47" t="s">
        <v>53</v>
      </c>
      <c r="I141" s="113">
        <v>514</v>
      </c>
      <c r="J141" s="48">
        <f t="shared" si="3"/>
        <v>100</v>
      </c>
    </row>
    <row r="142" spans="1:10" ht="21" customHeight="1" x14ac:dyDescent="0.15">
      <c r="A142" s="128">
        <v>47004263</v>
      </c>
      <c r="B142" s="47">
        <v>0</v>
      </c>
      <c r="C142" s="47">
        <v>221</v>
      </c>
      <c r="D142" s="47">
        <v>100</v>
      </c>
      <c r="E142" s="47" t="s">
        <v>53</v>
      </c>
      <c r="F142" s="47" t="s">
        <v>53</v>
      </c>
      <c r="G142" s="47">
        <v>1</v>
      </c>
      <c r="H142" s="47" t="s">
        <v>53</v>
      </c>
      <c r="I142" s="113">
        <v>515</v>
      </c>
      <c r="J142" s="48">
        <f t="shared" si="3"/>
        <v>100</v>
      </c>
    </row>
    <row r="143" spans="1:10" ht="21" customHeight="1" x14ac:dyDescent="0.15">
      <c r="A143" s="128">
        <v>47004264</v>
      </c>
      <c r="B143" s="47">
        <v>0</v>
      </c>
      <c r="C143" s="47">
        <v>222</v>
      </c>
      <c r="D143" s="47">
        <v>100</v>
      </c>
      <c r="E143" s="47" t="s">
        <v>53</v>
      </c>
      <c r="F143" s="47" t="s">
        <v>53</v>
      </c>
      <c r="G143" s="47">
        <v>1</v>
      </c>
      <c r="H143" s="47" t="s">
        <v>53</v>
      </c>
      <c r="I143" s="113">
        <v>1276</v>
      </c>
      <c r="J143" s="48">
        <f t="shared" si="3"/>
        <v>100</v>
      </c>
    </row>
    <row r="144" spans="1:10" ht="21" customHeight="1" x14ac:dyDescent="0.15">
      <c r="A144" s="128">
        <v>47004265</v>
      </c>
      <c r="B144" s="47">
        <v>0</v>
      </c>
      <c r="C144" s="47">
        <v>210</v>
      </c>
      <c r="D144" s="47">
        <v>100</v>
      </c>
      <c r="E144" s="47" t="s">
        <v>53</v>
      </c>
      <c r="F144" s="47" t="s">
        <v>53</v>
      </c>
      <c r="G144" s="47">
        <v>1</v>
      </c>
      <c r="H144" s="47" t="s">
        <v>53</v>
      </c>
      <c r="I144" s="113">
        <v>512</v>
      </c>
      <c r="J144" s="48">
        <f t="shared" si="3"/>
        <v>100</v>
      </c>
    </row>
    <row r="145" spans="1:10" ht="21" customHeight="1" x14ac:dyDescent="0.15">
      <c r="A145" s="128">
        <v>47004266</v>
      </c>
      <c r="B145" s="47">
        <v>0</v>
      </c>
      <c r="C145" s="47">
        <v>211</v>
      </c>
      <c r="D145" s="47">
        <v>100</v>
      </c>
      <c r="E145" s="47" t="s">
        <v>53</v>
      </c>
      <c r="F145" s="47" t="s">
        <v>53</v>
      </c>
      <c r="G145" s="47">
        <v>1</v>
      </c>
      <c r="H145" s="47" t="s">
        <v>53</v>
      </c>
      <c r="I145" s="113">
        <v>513</v>
      </c>
      <c r="J145" s="48">
        <f t="shared" si="3"/>
        <v>100</v>
      </c>
    </row>
    <row r="146" spans="1:10" ht="21" customHeight="1" x14ac:dyDescent="0.15">
      <c r="A146" s="128">
        <v>47004267</v>
      </c>
      <c r="B146" s="47">
        <v>0</v>
      </c>
      <c r="C146" s="47">
        <v>212</v>
      </c>
      <c r="D146" s="47">
        <v>100</v>
      </c>
      <c r="E146" s="47" t="s">
        <v>53</v>
      </c>
      <c r="F146" s="47" t="s">
        <v>53</v>
      </c>
      <c r="G146" s="47">
        <v>1</v>
      </c>
      <c r="H146" s="47" t="s">
        <v>53</v>
      </c>
      <c r="I146" s="113">
        <v>1275</v>
      </c>
      <c r="J146" s="48">
        <f t="shared" si="3"/>
        <v>100</v>
      </c>
    </row>
    <row r="147" spans="1:10" ht="21" customHeight="1" x14ac:dyDescent="0.15">
      <c r="A147" s="128">
        <v>47004268</v>
      </c>
      <c r="B147" s="47">
        <v>0</v>
      </c>
      <c r="C147" s="47">
        <v>209</v>
      </c>
      <c r="D147" s="47">
        <v>100</v>
      </c>
      <c r="E147" s="47" t="s">
        <v>53</v>
      </c>
      <c r="F147" s="47" t="s">
        <v>53</v>
      </c>
      <c r="G147" s="47">
        <v>1</v>
      </c>
      <c r="H147" s="47" t="s">
        <v>53</v>
      </c>
      <c r="I147" s="113">
        <v>1281</v>
      </c>
      <c r="J147" s="48">
        <f t="shared" si="3"/>
        <v>100</v>
      </c>
    </row>
    <row r="148" spans="1:10" ht="21" customHeight="1" x14ac:dyDescent="0.15">
      <c r="A148" s="128">
        <v>47004271</v>
      </c>
      <c r="B148" s="47">
        <v>1</v>
      </c>
      <c r="C148" s="47">
        <v>100</v>
      </c>
      <c r="D148" s="47">
        <v>100</v>
      </c>
      <c r="E148" s="47" t="s">
        <v>53</v>
      </c>
      <c r="F148" s="47" t="s">
        <v>53</v>
      </c>
      <c r="G148" s="47">
        <v>1</v>
      </c>
      <c r="H148" s="47" t="s">
        <v>53</v>
      </c>
      <c r="I148" s="47" t="s">
        <v>53</v>
      </c>
      <c r="J148" s="48">
        <f t="shared" si="3"/>
        <v>100</v>
      </c>
    </row>
    <row r="149" spans="1:10" ht="21" customHeight="1" x14ac:dyDescent="0.15">
      <c r="A149" s="128">
        <v>47004272</v>
      </c>
      <c r="B149" s="47">
        <v>0</v>
      </c>
      <c r="C149" s="47">
        <v>110</v>
      </c>
      <c r="D149" s="47">
        <v>100</v>
      </c>
      <c r="E149" s="47" t="s">
        <v>53</v>
      </c>
      <c r="F149" s="47" t="s">
        <v>53</v>
      </c>
      <c r="G149" s="47" t="s">
        <v>53</v>
      </c>
      <c r="H149" s="47">
        <v>2</v>
      </c>
      <c r="I149" s="47" t="s">
        <v>53</v>
      </c>
      <c r="J149" s="48">
        <f t="shared" si="3"/>
        <v>100</v>
      </c>
    </row>
    <row r="150" spans="1:10" ht="21" customHeight="1" x14ac:dyDescent="0.15">
      <c r="A150" s="128">
        <v>47004273</v>
      </c>
      <c r="B150" s="47">
        <v>0</v>
      </c>
      <c r="C150" s="47">
        <v>120</v>
      </c>
      <c r="D150" s="47">
        <v>100</v>
      </c>
      <c r="E150" s="47" t="s">
        <v>53</v>
      </c>
      <c r="F150" s="47" t="s">
        <v>53</v>
      </c>
      <c r="G150" s="47">
        <v>1</v>
      </c>
      <c r="H150" s="47">
        <v>3</v>
      </c>
      <c r="I150" s="47" t="s">
        <v>53</v>
      </c>
      <c r="J150" s="48">
        <f t="shared" si="3"/>
        <v>100</v>
      </c>
    </row>
    <row r="151" spans="1:10" ht="21" customHeight="1" x14ac:dyDescent="0.15">
      <c r="A151" s="128">
        <v>47004274</v>
      </c>
      <c r="B151" s="47">
        <v>1</v>
      </c>
      <c r="C151" s="47">
        <v>250</v>
      </c>
      <c r="D151" s="47">
        <v>100</v>
      </c>
      <c r="E151" s="47" t="s">
        <v>53</v>
      </c>
      <c r="F151" s="47" t="s">
        <v>53</v>
      </c>
      <c r="G151" s="47">
        <v>1</v>
      </c>
      <c r="H151" s="47" t="s">
        <v>53</v>
      </c>
      <c r="I151" s="113">
        <v>1278</v>
      </c>
      <c r="J151" s="48">
        <f t="shared" si="3"/>
        <v>100</v>
      </c>
    </row>
    <row r="152" spans="1:10" ht="21" customHeight="1" x14ac:dyDescent="0.15">
      <c r="A152" s="128">
        <v>47004275</v>
      </c>
      <c r="B152" s="47">
        <v>1</v>
      </c>
      <c r="C152" s="47">
        <v>251</v>
      </c>
      <c r="D152" s="47">
        <v>100</v>
      </c>
      <c r="E152" s="47" t="s">
        <v>53</v>
      </c>
      <c r="F152" s="47" t="s">
        <v>53</v>
      </c>
      <c r="G152" s="47">
        <v>1</v>
      </c>
      <c r="H152" s="47" t="s">
        <v>53</v>
      </c>
      <c r="I152" s="113">
        <v>1279</v>
      </c>
      <c r="J152" s="48">
        <f t="shared" si="3"/>
        <v>100</v>
      </c>
    </row>
    <row r="153" spans="1:10" ht="21" customHeight="1" x14ac:dyDescent="0.15">
      <c r="A153" s="128">
        <v>47004276</v>
      </c>
      <c r="B153" s="47">
        <v>1</v>
      </c>
      <c r="C153" s="47">
        <v>240</v>
      </c>
      <c r="D153" s="47">
        <v>100</v>
      </c>
      <c r="E153" s="47" t="s">
        <v>53</v>
      </c>
      <c r="F153" s="47" t="s">
        <v>53</v>
      </c>
      <c r="G153" s="47">
        <v>1</v>
      </c>
      <c r="H153" s="47" t="s">
        <v>53</v>
      </c>
      <c r="I153" s="113">
        <v>516</v>
      </c>
      <c r="J153" s="48">
        <f t="shared" si="3"/>
        <v>100</v>
      </c>
    </row>
    <row r="154" spans="1:10" ht="21" customHeight="1" x14ac:dyDescent="0.15">
      <c r="A154" s="128">
        <v>47004277</v>
      </c>
      <c r="B154" s="47">
        <v>1</v>
      </c>
      <c r="C154" s="47">
        <v>241</v>
      </c>
      <c r="D154" s="47">
        <v>100</v>
      </c>
      <c r="E154" s="47" t="s">
        <v>53</v>
      </c>
      <c r="F154" s="47" t="s">
        <v>53</v>
      </c>
      <c r="G154" s="47">
        <v>1</v>
      </c>
      <c r="H154" s="47" t="s">
        <v>53</v>
      </c>
      <c r="I154" s="113">
        <v>517</v>
      </c>
      <c r="J154" s="48">
        <f t="shared" si="3"/>
        <v>100</v>
      </c>
    </row>
    <row r="155" spans="1:10" ht="21" customHeight="1" x14ac:dyDescent="0.15">
      <c r="A155" s="128">
        <v>47004278</v>
      </c>
      <c r="B155" s="47">
        <v>1</v>
      </c>
      <c r="C155" s="47">
        <v>242</v>
      </c>
      <c r="D155" s="47">
        <v>100</v>
      </c>
      <c r="E155" s="47" t="s">
        <v>53</v>
      </c>
      <c r="F155" s="47" t="s">
        <v>53</v>
      </c>
      <c r="G155" s="47">
        <v>1</v>
      </c>
      <c r="H155" s="47" t="s">
        <v>53</v>
      </c>
      <c r="I155" s="113">
        <v>1274</v>
      </c>
      <c r="J155" s="48">
        <f t="shared" si="3"/>
        <v>100</v>
      </c>
    </row>
    <row r="156" spans="1:10" ht="21" customHeight="1" x14ac:dyDescent="0.15">
      <c r="A156" s="128">
        <v>47004279</v>
      </c>
      <c r="B156" s="47">
        <v>0</v>
      </c>
      <c r="C156" s="47">
        <v>230</v>
      </c>
      <c r="D156" s="47">
        <v>100</v>
      </c>
      <c r="E156" s="47" t="s">
        <v>53</v>
      </c>
      <c r="F156" s="47" t="s">
        <v>53</v>
      </c>
      <c r="G156" s="47">
        <v>1</v>
      </c>
      <c r="H156" s="47" t="s">
        <v>53</v>
      </c>
      <c r="I156" s="113">
        <v>518</v>
      </c>
      <c r="J156" s="48">
        <f t="shared" si="3"/>
        <v>100</v>
      </c>
    </row>
    <row r="157" spans="1:10" ht="21" customHeight="1" x14ac:dyDescent="0.15">
      <c r="A157" s="128">
        <v>47004280</v>
      </c>
      <c r="B157" s="47">
        <v>0</v>
      </c>
      <c r="C157" s="47">
        <v>231</v>
      </c>
      <c r="D157" s="47">
        <v>100</v>
      </c>
      <c r="E157" s="47" t="s">
        <v>53</v>
      </c>
      <c r="F157" s="47" t="s">
        <v>53</v>
      </c>
      <c r="G157" s="47">
        <v>1</v>
      </c>
      <c r="H157" s="47" t="s">
        <v>53</v>
      </c>
      <c r="I157" s="113">
        <v>519</v>
      </c>
      <c r="J157" s="48">
        <f t="shared" si="3"/>
        <v>100</v>
      </c>
    </row>
    <row r="158" spans="1:10" ht="21" customHeight="1" x14ac:dyDescent="0.15">
      <c r="A158" s="128">
        <v>47004281</v>
      </c>
      <c r="B158" s="47">
        <v>0</v>
      </c>
      <c r="C158" s="47">
        <v>232</v>
      </c>
      <c r="D158" s="47">
        <v>100</v>
      </c>
      <c r="E158" s="47" t="s">
        <v>53</v>
      </c>
      <c r="F158" s="47" t="s">
        <v>53</v>
      </c>
      <c r="G158" s="47">
        <v>1</v>
      </c>
      <c r="H158" s="47" t="s">
        <v>53</v>
      </c>
      <c r="I158" s="113">
        <v>1277</v>
      </c>
      <c r="J158" s="48">
        <f t="shared" si="3"/>
        <v>100</v>
      </c>
    </row>
    <row r="159" spans="1:10" ht="21" customHeight="1" x14ac:dyDescent="0.15">
      <c r="A159" s="128">
        <v>47004282</v>
      </c>
      <c r="B159" s="47">
        <v>0</v>
      </c>
      <c r="C159" s="47">
        <v>220</v>
      </c>
      <c r="D159" s="47">
        <v>100</v>
      </c>
      <c r="E159" s="47" t="s">
        <v>53</v>
      </c>
      <c r="F159" s="47" t="s">
        <v>53</v>
      </c>
      <c r="G159" s="47">
        <v>1</v>
      </c>
      <c r="H159" s="47" t="s">
        <v>53</v>
      </c>
      <c r="I159" s="113">
        <v>514</v>
      </c>
      <c r="J159" s="48">
        <f t="shared" si="3"/>
        <v>100</v>
      </c>
    </row>
    <row r="160" spans="1:10" ht="21" customHeight="1" x14ac:dyDescent="0.15">
      <c r="A160" s="128">
        <v>47004283</v>
      </c>
      <c r="B160" s="47">
        <v>0</v>
      </c>
      <c r="C160" s="47">
        <v>221</v>
      </c>
      <c r="D160" s="47">
        <v>100</v>
      </c>
      <c r="E160" s="47" t="s">
        <v>53</v>
      </c>
      <c r="F160" s="47" t="s">
        <v>53</v>
      </c>
      <c r="G160" s="47">
        <v>1</v>
      </c>
      <c r="H160" s="47" t="s">
        <v>53</v>
      </c>
      <c r="I160" s="113">
        <v>515</v>
      </c>
      <c r="J160" s="48">
        <f t="shared" si="3"/>
        <v>100</v>
      </c>
    </row>
    <row r="161" spans="1:10" ht="21" customHeight="1" x14ac:dyDescent="0.15">
      <c r="A161" s="128">
        <v>47004284</v>
      </c>
      <c r="B161" s="47">
        <v>0</v>
      </c>
      <c r="C161" s="47">
        <v>222</v>
      </c>
      <c r="D161" s="47">
        <v>100</v>
      </c>
      <c r="E161" s="47" t="s">
        <v>53</v>
      </c>
      <c r="F161" s="47" t="s">
        <v>53</v>
      </c>
      <c r="G161" s="47">
        <v>1</v>
      </c>
      <c r="H161" s="47" t="s">
        <v>53</v>
      </c>
      <c r="I161" s="113">
        <v>1276</v>
      </c>
      <c r="J161" s="48">
        <f t="shared" si="3"/>
        <v>100</v>
      </c>
    </row>
    <row r="162" spans="1:10" ht="21" customHeight="1" x14ac:dyDescent="0.15">
      <c r="A162" s="128">
        <v>47004285</v>
      </c>
      <c r="B162" s="47">
        <v>0</v>
      </c>
      <c r="C162" s="47">
        <v>210</v>
      </c>
      <c r="D162" s="47">
        <v>100</v>
      </c>
      <c r="E162" s="47" t="s">
        <v>53</v>
      </c>
      <c r="F162" s="47" t="s">
        <v>53</v>
      </c>
      <c r="G162" s="47">
        <v>1</v>
      </c>
      <c r="H162" s="47" t="s">
        <v>53</v>
      </c>
      <c r="I162" s="113">
        <v>512</v>
      </c>
      <c r="J162" s="48">
        <f t="shared" si="3"/>
        <v>100</v>
      </c>
    </row>
    <row r="163" spans="1:10" ht="21" customHeight="1" x14ac:dyDescent="0.15">
      <c r="A163" s="128">
        <v>47004286</v>
      </c>
      <c r="B163" s="47">
        <v>0</v>
      </c>
      <c r="C163" s="47">
        <v>211</v>
      </c>
      <c r="D163" s="47">
        <v>100</v>
      </c>
      <c r="E163" s="47" t="s">
        <v>53</v>
      </c>
      <c r="F163" s="47" t="s">
        <v>53</v>
      </c>
      <c r="G163" s="47">
        <v>1</v>
      </c>
      <c r="H163" s="47" t="s">
        <v>53</v>
      </c>
      <c r="I163" s="113">
        <v>513</v>
      </c>
      <c r="J163" s="48">
        <f t="shared" si="3"/>
        <v>100</v>
      </c>
    </row>
    <row r="164" spans="1:10" ht="21" customHeight="1" x14ac:dyDescent="0.15">
      <c r="A164" s="128">
        <v>47004287</v>
      </c>
      <c r="B164" s="47">
        <v>0</v>
      </c>
      <c r="C164" s="47">
        <v>212</v>
      </c>
      <c r="D164" s="47">
        <v>100</v>
      </c>
      <c r="E164" s="47" t="s">
        <v>53</v>
      </c>
      <c r="F164" s="47" t="s">
        <v>53</v>
      </c>
      <c r="G164" s="47">
        <v>1</v>
      </c>
      <c r="H164" s="47" t="s">
        <v>53</v>
      </c>
      <c r="I164" s="113">
        <v>1275</v>
      </c>
      <c r="J164" s="48">
        <f t="shared" si="3"/>
        <v>100</v>
      </c>
    </row>
    <row r="165" spans="1:10" ht="21" customHeight="1" x14ac:dyDescent="0.15">
      <c r="A165" s="128">
        <v>47004288</v>
      </c>
      <c r="B165" s="47">
        <v>0</v>
      </c>
      <c r="C165" s="47">
        <v>209</v>
      </c>
      <c r="D165" s="47">
        <v>100</v>
      </c>
      <c r="E165" s="47" t="s">
        <v>53</v>
      </c>
      <c r="F165" s="47" t="s">
        <v>53</v>
      </c>
      <c r="G165" s="47">
        <v>1</v>
      </c>
      <c r="H165" s="47" t="s">
        <v>53</v>
      </c>
      <c r="I165" s="113">
        <v>1280</v>
      </c>
      <c r="J165" s="48">
        <f t="shared" si="3"/>
        <v>100</v>
      </c>
    </row>
    <row r="166" spans="1:10" ht="21" customHeight="1" x14ac:dyDescent="0.15">
      <c r="A166" s="128">
        <v>47004291</v>
      </c>
      <c r="B166" s="47">
        <v>1</v>
      </c>
      <c r="C166" s="47">
        <v>100</v>
      </c>
      <c r="D166" s="47">
        <v>100</v>
      </c>
      <c r="E166" s="47" t="s">
        <v>53</v>
      </c>
      <c r="F166" s="47" t="s">
        <v>53</v>
      </c>
      <c r="G166" s="47">
        <v>1</v>
      </c>
      <c r="H166" s="47" t="s">
        <v>53</v>
      </c>
      <c r="I166" s="47" t="s">
        <v>53</v>
      </c>
      <c r="J166" s="48">
        <f t="shared" si="3"/>
        <v>100</v>
      </c>
    </row>
    <row r="167" spans="1:10" ht="21" customHeight="1" x14ac:dyDescent="0.15">
      <c r="A167" s="128">
        <v>47004292</v>
      </c>
      <c r="B167" s="47">
        <v>0</v>
      </c>
      <c r="C167" s="47">
        <v>110</v>
      </c>
      <c r="D167" s="47">
        <v>100</v>
      </c>
      <c r="E167" s="47" t="s">
        <v>53</v>
      </c>
      <c r="F167" s="47" t="s">
        <v>53</v>
      </c>
      <c r="G167" s="47" t="s">
        <v>53</v>
      </c>
      <c r="H167" s="47">
        <v>2</v>
      </c>
      <c r="I167" s="47" t="s">
        <v>53</v>
      </c>
      <c r="J167" s="48">
        <f t="shared" si="3"/>
        <v>100</v>
      </c>
    </row>
    <row r="168" spans="1:10" ht="21" customHeight="1" x14ac:dyDescent="0.15">
      <c r="A168" s="128">
        <v>47004293</v>
      </c>
      <c r="B168" s="47">
        <v>0</v>
      </c>
      <c r="C168" s="47">
        <v>120</v>
      </c>
      <c r="D168" s="47">
        <v>100</v>
      </c>
      <c r="E168" s="47" t="s">
        <v>53</v>
      </c>
      <c r="F168" s="47" t="s">
        <v>53</v>
      </c>
      <c r="G168" s="47" t="s">
        <v>53</v>
      </c>
      <c r="H168" s="47">
        <v>3</v>
      </c>
      <c r="I168" s="47" t="s">
        <v>53</v>
      </c>
      <c r="J168" s="48">
        <f t="shared" si="3"/>
        <v>100</v>
      </c>
    </row>
    <row r="169" spans="1:10" ht="21" customHeight="1" x14ac:dyDescent="0.15">
      <c r="A169" s="128">
        <v>47004294</v>
      </c>
      <c r="B169" s="47">
        <v>0</v>
      </c>
      <c r="C169" s="47">
        <v>140</v>
      </c>
      <c r="D169" s="47">
        <v>100</v>
      </c>
      <c r="E169" s="47">
        <v>50</v>
      </c>
      <c r="F169" s="47" t="s">
        <v>53</v>
      </c>
      <c r="G169" s="47">
        <v>1</v>
      </c>
      <c r="H169" s="47">
        <v>1</v>
      </c>
      <c r="I169" s="47" t="s">
        <v>53</v>
      </c>
      <c r="J169" s="48">
        <f t="shared" si="3"/>
        <v>100</v>
      </c>
    </row>
    <row r="170" spans="1:10" ht="21" customHeight="1" x14ac:dyDescent="0.15">
      <c r="A170" s="128">
        <v>47004301</v>
      </c>
      <c r="B170" s="47">
        <v>1</v>
      </c>
      <c r="C170" s="47">
        <v>100</v>
      </c>
      <c r="D170" s="47">
        <v>100</v>
      </c>
      <c r="E170" s="47" t="s">
        <v>53</v>
      </c>
      <c r="F170" s="47" t="s">
        <v>53</v>
      </c>
      <c r="G170" s="47">
        <v>1</v>
      </c>
      <c r="H170" s="47" t="s">
        <v>53</v>
      </c>
      <c r="I170" s="47" t="s">
        <v>53</v>
      </c>
      <c r="J170" s="48">
        <f t="shared" si="3"/>
        <v>100</v>
      </c>
    </row>
    <row r="171" spans="1:10" ht="21" customHeight="1" x14ac:dyDescent="0.15">
      <c r="A171" s="128">
        <v>47004302</v>
      </c>
      <c r="B171" s="47">
        <v>0</v>
      </c>
      <c r="C171" s="47">
        <v>110</v>
      </c>
      <c r="D171" s="47">
        <v>100</v>
      </c>
      <c r="E171" s="47" t="s">
        <v>53</v>
      </c>
      <c r="F171" s="47" t="s">
        <v>53</v>
      </c>
      <c r="G171" s="47">
        <v>1</v>
      </c>
      <c r="H171" s="47">
        <v>1</v>
      </c>
      <c r="I171" s="47" t="s">
        <v>53</v>
      </c>
      <c r="J171" s="48">
        <f t="shared" si="3"/>
        <v>100</v>
      </c>
    </row>
    <row r="172" spans="1:10" ht="21" customHeight="1" x14ac:dyDescent="0.15">
      <c r="A172" s="128">
        <v>47004311</v>
      </c>
      <c r="B172" s="47">
        <v>1</v>
      </c>
      <c r="C172" s="47">
        <v>100</v>
      </c>
      <c r="D172" s="47">
        <v>100</v>
      </c>
      <c r="E172" s="47" t="s">
        <v>53</v>
      </c>
      <c r="F172" s="47" t="s">
        <v>53</v>
      </c>
      <c r="G172" s="47">
        <v>1</v>
      </c>
      <c r="H172" s="47" t="s">
        <v>53</v>
      </c>
      <c r="I172" s="47" t="s">
        <v>53</v>
      </c>
      <c r="J172" s="48">
        <f t="shared" si="3"/>
        <v>100</v>
      </c>
    </row>
    <row r="173" spans="1:10" ht="21" customHeight="1" x14ac:dyDescent="0.15">
      <c r="A173" s="128">
        <v>47004312</v>
      </c>
      <c r="B173" s="47">
        <v>0</v>
      </c>
      <c r="C173" s="47">
        <v>110</v>
      </c>
      <c r="D173" s="47">
        <v>100</v>
      </c>
      <c r="E173" s="47" t="s">
        <v>53</v>
      </c>
      <c r="F173" s="47" t="s">
        <v>53</v>
      </c>
      <c r="G173" s="47">
        <v>1</v>
      </c>
      <c r="H173" s="47">
        <v>1</v>
      </c>
      <c r="I173" s="47" t="s">
        <v>53</v>
      </c>
      <c r="J173" s="48">
        <f t="shared" si="3"/>
        <v>100</v>
      </c>
    </row>
    <row r="174" spans="1:10" ht="21" customHeight="1" x14ac:dyDescent="0.15">
      <c r="A174" s="128">
        <v>47004313</v>
      </c>
      <c r="B174" s="47">
        <v>1</v>
      </c>
      <c r="C174" s="47">
        <v>250</v>
      </c>
      <c r="D174" s="47">
        <v>100</v>
      </c>
      <c r="E174" s="47" t="s">
        <v>53</v>
      </c>
      <c r="F174" s="47" t="s">
        <v>53</v>
      </c>
      <c r="G174" s="47">
        <v>1</v>
      </c>
      <c r="H174" s="47">
        <v>1</v>
      </c>
      <c r="I174" s="113">
        <v>1278</v>
      </c>
      <c r="J174" s="48">
        <f t="shared" si="3"/>
        <v>100</v>
      </c>
    </row>
    <row r="175" spans="1:10" ht="21" customHeight="1" x14ac:dyDescent="0.15">
      <c r="A175" s="128">
        <v>47004314</v>
      </c>
      <c r="B175" s="47">
        <v>1</v>
      </c>
      <c r="C175" s="47">
        <v>251</v>
      </c>
      <c r="D175" s="47">
        <v>100</v>
      </c>
      <c r="E175" s="47" t="s">
        <v>53</v>
      </c>
      <c r="F175" s="47" t="s">
        <v>53</v>
      </c>
      <c r="G175" s="47">
        <v>1</v>
      </c>
      <c r="H175" s="47">
        <v>1</v>
      </c>
      <c r="I175" s="113">
        <v>1279</v>
      </c>
      <c r="J175" s="48">
        <f t="shared" si="3"/>
        <v>100</v>
      </c>
    </row>
    <row r="176" spans="1:10" ht="21" customHeight="1" x14ac:dyDescent="0.15">
      <c r="A176" s="128">
        <v>47004315</v>
      </c>
      <c r="B176" s="47">
        <v>1</v>
      </c>
      <c r="C176" s="47">
        <v>240</v>
      </c>
      <c r="D176" s="47">
        <v>100</v>
      </c>
      <c r="E176" s="47" t="s">
        <v>53</v>
      </c>
      <c r="F176" s="47" t="s">
        <v>53</v>
      </c>
      <c r="G176" s="47">
        <v>1</v>
      </c>
      <c r="H176" s="47">
        <v>1</v>
      </c>
      <c r="I176" s="113">
        <v>516</v>
      </c>
      <c r="J176" s="48">
        <f t="shared" si="3"/>
        <v>100</v>
      </c>
    </row>
    <row r="177" spans="1:10" ht="21" customHeight="1" x14ac:dyDescent="0.15">
      <c r="A177" s="128">
        <v>47004316</v>
      </c>
      <c r="B177" s="47">
        <v>1</v>
      </c>
      <c r="C177" s="47">
        <v>241</v>
      </c>
      <c r="D177" s="47">
        <v>100</v>
      </c>
      <c r="E177" s="47" t="s">
        <v>53</v>
      </c>
      <c r="F177" s="47" t="s">
        <v>53</v>
      </c>
      <c r="G177" s="47">
        <v>1</v>
      </c>
      <c r="H177" s="47">
        <v>1</v>
      </c>
      <c r="I177" s="113">
        <v>517</v>
      </c>
      <c r="J177" s="48">
        <f t="shared" si="3"/>
        <v>100</v>
      </c>
    </row>
    <row r="178" spans="1:10" ht="21" customHeight="1" x14ac:dyDescent="0.15">
      <c r="A178" s="128">
        <v>47004317</v>
      </c>
      <c r="B178" s="47">
        <v>1</v>
      </c>
      <c r="C178" s="47">
        <v>242</v>
      </c>
      <c r="D178" s="47">
        <v>100</v>
      </c>
      <c r="E178" s="47" t="s">
        <v>53</v>
      </c>
      <c r="F178" s="47" t="s">
        <v>53</v>
      </c>
      <c r="G178" s="47">
        <v>1</v>
      </c>
      <c r="H178" s="47">
        <v>1</v>
      </c>
      <c r="I178" s="113">
        <v>1274</v>
      </c>
      <c r="J178" s="48">
        <f t="shared" si="3"/>
        <v>100</v>
      </c>
    </row>
    <row r="179" spans="1:10" ht="21" customHeight="1" x14ac:dyDescent="0.15">
      <c r="A179" s="128">
        <v>47004318</v>
      </c>
      <c r="B179" s="47">
        <v>1</v>
      </c>
      <c r="C179" s="47">
        <v>220</v>
      </c>
      <c r="D179" s="47">
        <v>100</v>
      </c>
      <c r="E179" s="47" t="s">
        <v>53</v>
      </c>
      <c r="F179" s="47" t="s">
        <v>53</v>
      </c>
      <c r="G179" s="47">
        <v>1</v>
      </c>
      <c r="H179" s="47">
        <v>1</v>
      </c>
      <c r="I179" s="113">
        <v>514</v>
      </c>
      <c r="J179" s="48">
        <f t="shared" si="3"/>
        <v>100</v>
      </c>
    </row>
    <row r="180" spans="1:10" ht="21" customHeight="1" x14ac:dyDescent="0.15">
      <c r="A180" s="128">
        <v>47004319</v>
      </c>
      <c r="B180" s="47">
        <v>1</v>
      </c>
      <c r="C180" s="47">
        <v>221</v>
      </c>
      <c r="D180" s="47">
        <v>100</v>
      </c>
      <c r="E180" s="47" t="s">
        <v>53</v>
      </c>
      <c r="F180" s="47" t="s">
        <v>53</v>
      </c>
      <c r="G180" s="47">
        <v>1</v>
      </c>
      <c r="H180" s="47">
        <v>1</v>
      </c>
      <c r="I180" s="113">
        <v>515</v>
      </c>
      <c r="J180" s="48">
        <f t="shared" si="3"/>
        <v>100</v>
      </c>
    </row>
    <row r="181" spans="1:10" ht="21" customHeight="1" x14ac:dyDescent="0.15">
      <c r="A181" s="128">
        <v>47004320</v>
      </c>
      <c r="B181" s="47">
        <v>1</v>
      </c>
      <c r="C181" s="47">
        <v>222</v>
      </c>
      <c r="D181" s="47">
        <v>100</v>
      </c>
      <c r="E181" s="47" t="s">
        <v>53</v>
      </c>
      <c r="F181" s="47" t="s">
        <v>53</v>
      </c>
      <c r="G181" s="47">
        <v>1</v>
      </c>
      <c r="H181" s="47">
        <v>1</v>
      </c>
      <c r="I181" s="113">
        <v>1276</v>
      </c>
      <c r="J181" s="48">
        <f t="shared" si="3"/>
        <v>100</v>
      </c>
    </row>
    <row r="182" spans="1:10" ht="21" customHeight="1" x14ac:dyDescent="0.15">
      <c r="A182" s="128">
        <v>47004321</v>
      </c>
      <c r="B182" s="47">
        <v>1</v>
      </c>
      <c r="C182" s="47">
        <v>210</v>
      </c>
      <c r="D182" s="47">
        <v>100</v>
      </c>
      <c r="E182" s="47" t="s">
        <v>53</v>
      </c>
      <c r="F182" s="47" t="s">
        <v>53</v>
      </c>
      <c r="G182" s="47">
        <v>1</v>
      </c>
      <c r="H182" s="47">
        <v>1</v>
      </c>
      <c r="I182" s="113">
        <v>512</v>
      </c>
      <c r="J182" s="48">
        <f t="shared" si="3"/>
        <v>100</v>
      </c>
    </row>
    <row r="183" spans="1:10" ht="21" customHeight="1" x14ac:dyDescent="0.15">
      <c r="A183" s="128">
        <v>47004322</v>
      </c>
      <c r="B183" s="47">
        <v>1</v>
      </c>
      <c r="C183" s="47">
        <v>211</v>
      </c>
      <c r="D183" s="47">
        <v>100</v>
      </c>
      <c r="E183" s="47" t="s">
        <v>53</v>
      </c>
      <c r="F183" s="47" t="s">
        <v>53</v>
      </c>
      <c r="G183" s="47">
        <v>1</v>
      </c>
      <c r="H183" s="47">
        <v>1</v>
      </c>
      <c r="I183" s="113">
        <v>513</v>
      </c>
      <c r="J183" s="48">
        <f t="shared" si="3"/>
        <v>100</v>
      </c>
    </row>
    <row r="184" spans="1:10" ht="21" customHeight="1" x14ac:dyDescent="0.15">
      <c r="A184" s="128">
        <v>47004323</v>
      </c>
      <c r="B184" s="47">
        <v>1</v>
      </c>
      <c r="C184" s="47">
        <v>212</v>
      </c>
      <c r="D184" s="47">
        <v>100</v>
      </c>
      <c r="E184" s="47" t="s">
        <v>53</v>
      </c>
      <c r="F184" s="47" t="s">
        <v>53</v>
      </c>
      <c r="G184" s="47">
        <v>1</v>
      </c>
      <c r="H184" s="47">
        <v>1</v>
      </c>
      <c r="I184" s="113">
        <v>1275</v>
      </c>
      <c r="J184" s="48">
        <f t="shared" si="3"/>
        <v>100</v>
      </c>
    </row>
    <row r="185" spans="1:10" ht="21" customHeight="1" x14ac:dyDescent="0.15">
      <c r="A185" s="128">
        <v>47004324</v>
      </c>
      <c r="B185" s="47">
        <v>1</v>
      </c>
      <c r="C185" s="47">
        <v>209</v>
      </c>
      <c r="D185" s="47">
        <v>100</v>
      </c>
      <c r="E185" s="47" t="s">
        <v>53</v>
      </c>
      <c r="F185" s="47" t="s">
        <v>53</v>
      </c>
      <c r="G185" s="47">
        <v>1</v>
      </c>
      <c r="H185" s="47">
        <v>1</v>
      </c>
      <c r="I185" s="113">
        <v>1281</v>
      </c>
      <c r="J185" s="48">
        <f t="shared" si="3"/>
        <v>100</v>
      </c>
    </row>
    <row r="186" spans="1:10" ht="21" customHeight="1" x14ac:dyDescent="0.15">
      <c r="A186" s="128">
        <v>47004325</v>
      </c>
      <c r="B186" s="47">
        <v>1</v>
      </c>
      <c r="C186" s="47">
        <v>208</v>
      </c>
      <c r="D186" s="47">
        <v>100</v>
      </c>
      <c r="E186" s="47" t="s">
        <v>53</v>
      </c>
      <c r="F186" s="47" t="s">
        <v>53</v>
      </c>
      <c r="G186" s="47">
        <v>1</v>
      </c>
      <c r="H186" s="47">
        <v>1</v>
      </c>
      <c r="I186" s="113">
        <v>1280</v>
      </c>
      <c r="J186" s="48">
        <f t="shared" si="3"/>
        <v>100</v>
      </c>
    </row>
    <row r="187" spans="1:10" ht="21" customHeight="1" x14ac:dyDescent="0.15">
      <c r="A187" s="128">
        <v>47004331</v>
      </c>
      <c r="B187" s="47">
        <v>1</v>
      </c>
      <c r="C187" s="47">
        <v>100</v>
      </c>
      <c r="D187" s="47">
        <v>100</v>
      </c>
      <c r="E187" s="47" t="s">
        <v>53</v>
      </c>
      <c r="F187" s="47" t="s">
        <v>53</v>
      </c>
      <c r="G187" s="47">
        <v>1</v>
      </c>
      <c r="H187" s="47" t="s">
        <v>53</v>
      </c>
      <c r="I187" s="47" t="s">
        <v>53</v>
      </c>
      <c r="J187" s="48">
        <f t="shared" si="3"/>
        <v>100</v>
      </c>
    </row>
    <row r="188" spans="1:10" ht="21" customHeight="1" x14ac:dyDescent="0.15">
      <c r="A188" s="128">
        <v>47004332</v>
      </c>
      <c r="B188" s="47">
        <v>0</v>
      </c>
      <c r="C188" s="47">
        <v>200</v>
      </c>
      <c r="D188" s="47">
        <v>100</v>
      </c>
      <c r="E188" s="47" t="s">
        <v>53</v>
      </c>
      <c r="F188" s="47" t="s">
        <v>53</v>
      </c>
      <c r="G188" s="47">
        <v>1</v>
      </c>
      <c r="H188" s="47">
        <v>1</v>
      </c>
      <c r="I188" s="47" t="s">
        <v>53</v>
      </c>
      <c r="J188" s="48">
        <f t="shared" si="3"/>
        <v>100</v>
      </c>
    </row>
    <row r="189" spans="1:10" ht="21" customHeight="1" x14ac:dyDescent="0.15">
      <c r="A189" s="128">
        <v>47004333</v>
      </c>
      <c r="B189" s="47">
        <v>0</v>
      </c>
      <c r="C189" s="47">
        <v>201</v>
      </c>
      <c r="D189" s="47">
        <v>100</v>
      </c>
      <c r="E189" s="47" t="s">
        <v>53</v>
      </c>
      <c r="F189" s="47" t="s">
        <v>53</v>
      </c>
      <c r="G189" s="47">
        <v>1</v>
      </c>
      <c r="H189" s="47">
        <v>2</v>
      </c>
      <c r="I189" s="47" t="s">
        <v>53</v>
      </c>
      <c r="J189" s="48">
        <f t="shared" si="3"/>
        <v>100</v>
      </c>
    </row>
    <row r="190" spans="1:10" ht="21" customHeight="1" x14ac:dyDescent="0.15">
      <c r="A190" s="128">
        <v>47004334</v>
      </c>
      <c r="B190" s="47">
        <v>0</v>
      </c>
      <c r="C190" s="47">
        <v>110</v>
      </c>
      <c r="D190" s="47">
        <v>100</v>
      </c>
      <c r="E190" s="47" t="s">
        <v>53</v>
      </c>
      <c r="F190" s="47" t="s">
        <v>53</v>
      </c>
      <c r="G190" s="47" t="s">
        <v>53</v>
      </c>
      <c r="H190" s="47">
        <v>2</v>
      </c>
      <c r="I190" s="47" t="s">
        <v>53</v>
      </c>
      <c r="J190" s="48">
        <f t="shared" si="3"/>
        <v>100</v>
      </c>
    </row>
    <row r="191" spans="1:10" ht="21" customHeight="1" x14ac:dyDescent="0.15">
      <c r="A191" s="128">
        <v>47004335</v>
      </c>
      <c r="B191" s="47">
        <v>0</v>
      </c>
      <c r="C191" s="47">
        <v>202</v>
      </c>
      <c r="D191" s="47">
        <v>100</v>
      </c>
      <c r="E191" s="47">
        <v>30</v>
      </c>
      <c r="F191" s="47" t="s">
        <v>53</v>
      </c>
      <c r="G191" s="47">
        <v>1</v>
      </c>
      <c r="H191" s="47">
        <v>1</v>
      </c>
      <c r="I191" s="47" t="s">
        <v>53</v>
      </c>
      <c r="J191" s="48">
        <f t="shared" si="3"/>
        <v>100</v>
      </c>
    </row>
    <row r="192" spans="1:10" ht="21" customHeight="1" x14ac:dyDescent="0.15">
      <c r="A192" s="128">
        <v>47004336</v>
      </c>
      <c r="B192" s="47">
        <v>1</v>
      </c>
      <c r="C192" s="47">
        <v>250</v>
      </c>
      <c r="D192" s="47">
        <v>100</v>
      </c>
      <c r="E192" s="47" t="s">
        <v>53</v>
      </c>
      <c r="F192" s="47" t="s">
        <v>53</v>
      </c>
      <c r="G192" s="47">
        <v>1</v>
      </c>
      <c r="H192" s="47" t="s">
        <v>53</v>
      </c>
      <c r="I192" s="113">
        <v>1278</v>
      </c>
      <c r="J192" s="48">
        <f t="shared" si="3"/>
        <v>100</v>
      </c>
    </row>
    <row r="193" spans="1:10" ht="21" customHeight="1" x14ac:dyDescent="0.15">
      <c r="A193" s="128">
        <v>47004337</v>
      </c>
      <c r="B193" s="47">
        <v>1</v>
      </c>
      <c r="C193" s="47">
        <v>251</v>
      </c>
      <c r="D193" s="47">
        <v>100</v>
      </c>
      <c r="E193" s="47" t="s">
        <v>53</v>
      </c>
      <c r="F193" s="47" t="s">
        <v>53</v>
      </c>
      <c r="G193" s="47">
        <v>1</v>
      </c>
      <c r="H193" s="47" t="s">
        <v>53</v>
      </c>
      <c r="I193" s="113">
        <v>1279</v>
      </c>
      <c r="J193" s="48">
        <f t="shared" si="3"/>
        <v>100</v>
      </c>
    </row>
    <row r="194" spans="1:10" ht="21" customHeight="1" x14ac:dyDescent="0.15">
      <c r="A194" s="128">
        <v>47004338</v>
      </c>
      <c r="B194" s="47">
        <v>1</v>
      </c>
      <c r="C194" s="47">
        <v>240</v>
      </c>
      <c r="D194" s="47">
        <v>100</v>
      </c>
      <c r="E194" s="47" t="s">
        <v>53</v>
      </c>
      <c r="F194" s="47" t="s">
        <v>53</v>
      </c>
      <c r="G194" s="47">
        <v>1</v>
      </c>
      <c r="H194" s="47" t="s">
        <v>53</v>
      </c>
      <c r="I194" s="113">
        <v>516</v>
      </c>
      <c r="J194" s="48">
        <f t="shared" si="3"/>
        <v>100</v>
      </c>
    </row>
    <row r="195" spans="1:10" ht="21" customHeight="1" x14ac:dyDescent="0.15">
      <c r="A195" s="128">
        <v>47004339</v>
      </c>
      <c r="B195" s="47">
        <v>1</v>
      </c>
      <c r="C195" s="47">
        <v>241</v>
      </c>
      <c r="D195" s="47">
        <v>100</v>
      </c>
      <c r="E195" s="47" t="s">
        <v>53</v>
      </c>
      <c r="F195" s="47" t="s">
        <v>53</v>
      </c>
      <c r="G195" s="47">
        <v>1</v>
      </c>
      <c r="H195" s="47" t="s">
        <v>53</v>
      </c>
      <c r="I195" s="113">
        <v>517</v>
      </c>
      <c r="J195" s="48">
        <f t="shared" si="3"/>
        <v>100</v>
      </c>
    </row>
    <row r="196" spans="1:10" ht="21" customHeight="1" x14ac:dyDescent="0.15">
      <c r="A196" s="128">
        <v>47004340</v>
      </c>
      <c r="B196" s="47">
        <v>1</v>
      </c>
      <c r="C196" s="47">
        <v>242</v>
      </c>
      <c r="D196" s="47">
        <v>100</v>
      </c>
      <c r="E196" s="47" t="s">
        <v>53</v>
      </c>
      <c r="F196" s="47" t="s">
        <v>53</v>
      </c>
      <c r="G196" s="47">
        <v>1</v>
      </c>
      <c r="H196" s="47" t="s">
        <v>53</v>
      </c>
      <c r="I196" s="113">
        <v>1274</v>
      </c>
      <c r="J196" s="48">
        <f t="shared" si="3"/>
        <v>100</v>
      </c>
    </row>
    <row r="197" spans="1:10" ht="21" customHeight="1" x14ac:dyDescent="0.15">
      <c r="A197" s="128">
        <v>47004341</v>
      </c>
      <c r="B197" s="47">
        <v>1</v>
      </c>
      <c r="C197" s="47">
        <v>230</v>
      </c>
      <c r="D197" s="47">
        <v>100</v>
      </c>
      <c r="E197" s="47" t="s">
        <v>53</v>
      </c>
      <c r="F197" s="47" t="s">
        <v>53</v>
      </c>
      <c r="G197" s="47">
        <v>1</v>
      </c>
      <c r="H197" s="47" t="s">
        <v>53</v>
      </c>
      <c r="I197" s="113">
        <v>518</v>
      </c>
      <c r="J197" s="48">
        <f t="shared" si="3"/>
        <v>100</v>
      </c>
    </row>
    <row r="198" spans="1:10" ht="21" customHeight="1" x14ac:dyDescent="0.15">
      <c r="A198" s="128">
        <v>47004342</v>
      </c>
      <c r="B198" s="47">
        <v>1</v>
      </c>
      <c r="C198" s="47">
        <v>231</v>
      </c>
      <c r="D198" s="47">
        <v>100</v>
      </c>
      <c r="E198" s="47" t="s">
        <v>53</v>
      </c>
      <c r="F198" s="47" t="s">
        <v>53</v>
      </c>
      <c r="G198" s="47">
        <v>1</v>
      </c>
      <c r="H198" s="47" t="s">
        <v>53</v>
      </c>
      <c r="I198" s="113">
        <v>519</v>
      </c>
      <c r="J198" s="48">
        <f t="shared" ref="J198:J261" si="4">D198</f>
        <v>100</v>
      </c>
    </row>
    <row r="199" spans="1:10" ht="21" customHeight="1" x14ac:dyDescent="0.15">
      <c r="A199" s="128">
        <v>47004343</v>
      </c>
      <c r="B199" s="47">
        <v>1</v>
      </c>
      <c r="C199" s="47">
        <v>232</v>
      </c>
      <c r="D199" s="47">
        <v>100</v>
      </c>
      <c r="E199" s="47" t="s">
        <v>53</v>
      </c>
      <c r="F199" s="47" t="s">
        <v>53</v>
      </c>
      <c r="G199" s="47">
        <v>1</v>
      </c>
      <c r="H199" s="47" t="s">
        <v>53</v>
      </c>
      <c r="I199" s="113">
        <v>1277</v>
      </c>
      <c r="J199" s="48">
        <f t="shared" si="4"/>
        <v>100</v>
      </c>
    </row>
    <row r="200" spans="1:10" ht="21" customHeight="1" x14ac:dyDescent="0.15">
      <c r="A200" s="128">
        <v>47004344</v>
      </c>
      <c r="B200" s="47">
        <v>1</v>
      </c>
      <c r="C200" s="47">
        <v>220</v>
      </c>
      <c r="D200" s="47">
        <v>100</v>
      </c>
      <c r="E200" s="47" t="s">
        <v>53</v>
      </c>
      <c r="F200" s="47" t="s">
        <v>53</v>
      </c>
      <c r="G200" s="47">
        <v>1</v>
      </c>
      <c r="H200" s="47" t="s">
        <v>53</v>
      </c>
      <c r="I200" s="113">
        <v>514</v>
      </c>
      <c r="J200" s="48">
        <f t="shared" si="4"/>
        <v>100</v>
      </c>
    </row>
    <row r="201" spans="1:10" ht="21" customHeight="1" x14ac:dyDescent="0.15">
      <c r="A201" s="128">
        <v>47004345</v>
      </c>
      <c r="B201" s="47">
        <v>1</v>
      </c>
      <c r="C201" s="47">
        <v>221</v>
      </c>
      <c r="D201" s="47">
        <v>100</v>
      </c>
      <c r="E201" s="47" t="s">
        <v>53</v>
      </c>
      <c r="F201" s="47" t="s">
        <v>53</v>
      </c>
      <c r="G201" s="47">
        <v>1</v>
      </c>
      <c r="H201" s="47" t="s">
        <v>53</v>
      </c>
      <c r="I201" s="113">
        <v>515</v>
      </c>
      <c r="J201" s="48">
        <f t="shared" si="4"/>
        <v>100</v>
      </c>
    </row>
    <row r="202" spans="1:10" ht="21" customHeight="1" x14ac:dyDescent="0.15">
      <c r="A202" s="128">
        <v>47004346</v>
      </c>
      <c r="B202" s="47">
        <v>1</v>
      </c>
      <c r="C202" s="47">
        <v>222</v>
      </c>
      <c r="D202" s="47">
        <v>100</v>
      </c>
      <c r="E202" s="47" t="s">
        <v>53</v>
      </c>
      <c r="F202" s="47" t="s">
        <v>53</v>
      </c>
      <c r="G202" s="47">
        <v>1</v>
      </c>
      <c r="H202" s="47" t="s">
        <v>53</v>
      </c>
      <c r="I202" s="113">
        <v>1276</v>
      </c>
      <c r="J202" s="48">
        <f t="shared" si="4"/>
        <v>100</v>
      </c>
    </row>
    <row r="203" spans="1:10" ht="21" customHeight="1" x14ac:dyDescent="0.15">
      <c r="A203" s="128">
        <v>47004347</v>
      </c>
      <c r="B203" s="47">
        <v>1</v>
      </c>
      <c r="C203" s="47">
        <v>219</v>
      </c>
      <c r="D203" s="47">
        <v>100</v>
      </c>
      <c r="E203" s="47" t="s">
        <v>53</v>
      </c>
      <c r="F203" s="47" t="s">
        <v>53</v>
      </c>
      <c r="G203" s="47">
        <v>1</v>
      </c>
      <c r="H203" s="47" t="s">
        <v>53</v>
      </c>
      <c r="I203" s="113">
        <v>1281</v>
      </c>
      <c r="J203" s="48">
        <f t="shared" si="4"/>
        <v>100</v>
      </c>
    </row>
    <row r="204" spans="1:10" ht="21" customHeight="1" x14ac:dyDescent="0.15">
      <c r="A204" s="128">
        <v>47004348</v>
      </c>
      <c r="B204" s="47">
        <v>1</v>
      </c>
      <c r="C204" s="47">
        <v>218</v>
      </c>
      <c r="D204" s="47">
        <v>100</v>
      </c>
      <c r="E204" s="47" t="s">
        <v>53</v>
      </c>
      <c r="F204" s="47" t="s">
        <v>53</v>
      </c>
      <c r="G204" s="47">
        <v>1</v>
      </c>
      <c r="H204" s="47" t="s">
        <v>53</v>
      </c>
      <c r="I204" s="113">
        <v>1280</v>
      </c>
      <c r="J204" s="48">
        <f t="shared" si="4"/>
        <v>100</v>
      </c>
    </row>
    <row r="205" spans="1:10" ht="21" customHeight="1" x14ac:dyDescent="0.15">
      <c r="A205" s="128">
        <v>47004361</v>
      </c>
      <c r="B205" s="47">
        <v>1</v>
      </c>
      <c r="C205" s="47">
        <v>100</v>
      </c>
      <c r="D205" s="47">
        <v>100</v>
      </c>
      <c r="E205" s="47" t="s">
        <v>53</v>
      </c>
      <c r="F205" s="47" t="s">
        <v>53</v>
      </c>
      <c r="G205" s="47">
        <v>1</v>
      </c>
      <c r="H205" s="47" t="s">
        <v>53</v>
      </c>
      <c r="I205" s="47" t="s">
        <v>53</v>
      </c>
      <c r="J205" s="48">
        <f t="shared" si="4"/>
        <v>100</v>
      </c>
    </row>
    <row r="206" spans="1:10" ht="21" customHeight="1" x14ac:dyDescent="0.15">
      <c r="A206" s="128">
        <v>47004362</v>
      </c>
      <c r="B206" s="47">
        <v>0</v>
      </c>
      <c r="C206" s="47">
        <v>110</v>
      </c>
      <c r="D206" s="47">
        <v>100</v>
      </c>
      <c r="E206" s="47" t="s">
        <v>53</v>
      </c>
      <c r="F206" s="47" t="s">
        <v>53</v>
      </c>
      <c r="G206" s="47">
        <v>1</v>
      </c>
      <c r="H206" s="47">
        <v>2</v>
      </c>
      <c r="I206" s="47" t="s">
        <v>53</v>
      </c>
      <c r="J206" s="48">
        <f t="shared" si="4"/>
        <v>100</v>
      </c>
    </row>
    <row r="207" spans="1:10" ht="21" customHeight="1" x14ac:dyDescent="0.15">
      <c r="A207" s="128">
        <v>47004363</v>
      </c>
      <c r="B207" s="47">
        <v>0</v>
      </c>
      <c r="C207" s="47">
        <v>120</v>
      </c>
      <c r="D207" s="47">
        <v>100</v>
      </c>
      <c r="E207" s="47" t="s">
        <v>53</v>
      </c>
      <c r="F207" s="47" t="s">
        <v>53</v>
      </c>
      <c r="G207" s="47">
        <v>1</v>
      </c>
      <c r="H207" s="47">
        <v>3</v>
      </c>
      <c r="I207" s="47" t="s">
        <v>53</v>
      </c>
      <c r="J207" s="48">
        <f t="shared" si="4"/>
        <v>100</v>
      </c>
    </row>
    <row r="208" spans="1:10" ht="21" customHeight="1" x14ac:dyDescent="0.15">
      <c r="A208" s="128">
        <v>47004364</v>
      </c>
      <c r="B208" s="47">
        <v>1</v>
      </c>
      <c r="C208" s="47">
        <v>250</v>
      </c>
      <c r="D208" s="47">
        <v>100</v>
      </c>
      <c r="E208" s="47" t="s">
        <v>53</v>
      </c>
      <c r="F208" s="47" t="s">
        <v>53</v>
      </c>
      <c r="G208" s="47">
        <v>1</v>
      </c>
      <c r="H208" s="47" t="s">
        <v>53</v>
      </c>
      <c r="I208" s="113">
        <v>1278</v>
      </c>
      <c r="J208" s="48">
        <f t="shared" si="4"/>
        <v>100</v>
      </c>
    </row>
    <row r="209" spans="1:10" ht="21" customHeight="1" x14ac:dyDescent="0.15">
      <c r="A209" s="128">
        <v>47004365</v>
      </c>
      <c r="B209" s="47">
        <v>1</v>
      </c>
      <c r="C209" s="47">
        <v>251</v>
      </c>
      <c r="D209" s="47">
        <v>100</v>
      </c>
      <c r="E209" s="47" t="s">
        <v>53</v>
      </c>
      <c r="F209" s="47" t="s">
        <v>53</v>
      </c>
      <c r="G209" s="47">
        <v>1</v>
      </c>
      <c r="H209" s="47" t="s">
        <v>53</v>
      </c>
      <c r="I209" s="113">
        <v>1279</v>
      </c>
      <c r="J209" s="48">
        <f t="shared" si="4"/>
        <v>100</v>
      </c>
    </row>
    <row r="210" spans="1:10" ht="21" customHeight="1" x14ac:dyDescent="0.15">
      <c r="A210" s="128">
        <v>47004366</v>
      </c>
      <c r="B210" s="47">
        <v>1</v>
      </c>
      <c r="C210" s="47">
        <v>240</v>
      </c>
      <c r="D210" s="47">
        <v>100</v>
      </c>
      <c r="E210" s="47" t="s">
        <v>53</v>
      </c>
      <c r="F210" s="47" t="s">
        <v>53</v>
      </c>
      <c r="G210" s="47">
        <v>1</v>
      </c>
      <c r="H210" s="47" t="s">
        <v>53</v>
      </c>
      <c r="I210" s="113">
        <v>516</v>
      </c>
      <c r="J210" s="48">
        <f t="shared" si="4"/>
        <v>100</v>
      </c>
    </row>
    <row r="211" spans="1:10" ht="21" customHeight="1" x14ac:dyDescent="0.15">
      <c r="A211" s="128">
        <v>47004367</v>
      </c>
      <c r="B211" s="47">
        <v>1</v>
      </c>
      <c r="C211" s="47">
        <v>241</v>
      </c>
      <c r="D211" s="47">
        <v>100</v>
      </c>
      <c r="E211" s="47" t="s">
        <v>53</v>
      </c>
      <c r="F211" s="47" t="s">
        <v>53</v>
      </c>
      <c r="G211" s="47">
        <v>1</v>
      </c>
      <c r="H211" s="47" t="s">
        <v>53</v>
      </c>
      <c r="I211" s="113">
        <v>517</v>
      </c>
      <c r="J211" s="48">
        <f t="shared" si="4"/>
        <v>100</v>
      </c>
    </row>
    <row r="212" spans="1:10" ht="21" customHeight="1" x14ac:dyDescent="0.15">
      <c r="A212" s="128">
        <v>47004368</v>
      </c>
      <c r="B212" s="47">
        <v>1</v>
      </c>
      <c r="C212" s="47">
        <v>242</v>
      </c>
      <c r="D212" s="47">
        <v>100</v>
      </c>
      <c r="E212" s="47" t="s">
        <v>53</v>
      </c>
      <c r="F212" s="47" t="s">
        <v>53</v>
      </c>
      <c r="G212" s="47">
        <v>1</v>
      </c>
      <c r="H212" s="47" t="s">
        <v>53</v>
      </c>
      <c r="I212" s="113">
        <v>1274</v>
      </c>
      <c r="J212" s="48">
        <f t="shared" si="4"/>
        <v>100</v>
      </c>
    </row>
    <row r="213" spans="1:10" ht="21" customHeight="1" x14ac:dyDescent="0.15">
      <c r="A213" s="128">
        <v>47004369</v>
      </c>
      <c r="B213" s="47">
        <v>1</v>
      </c>
      <c r="C213" s="47">
        <v>230</v>
      </c>
      <c r="D213" s="47">
        <v>100</v>
      </c>
      <c r="E213" s="47" t="s">
        <v>53</v>
      </c>
      <c r="F213" s="47" t="s">
        <v>53</v>
      </c>
      <c r="G213" s="47">
        <v>1</v>
      </c>
      <c r="H213" s="47" t="s">
        <v>53</v>
      </c>
      <c r="I213" s="113">
        <v>518</v>
      </c>
      <c r="J213" s="48">
        <f t="shared" si="4"/>
        <v>100</v>
      </c>
    </row>
    <row r="214" spans="1:10" ht="21" customHeight="1" x14ac:dyDescent="0.15">
      <c r="A214" s="128">
        <v>47004370</v>
      </c>
      <c r="B214" s="47">
        <v>1</v>
      </c>
      <c r="C214" s="47">
        <v>231</v>
      </c>
      <c r="D214" s="47">
        <v>100</v>
      </c>
      <c r="E214" s="47" t="s">
        <v>53</v>
      </c>
      <c r="F214" s="47" t="s">
        <v>53</v>
      </c>
      <c r="G214" s="47">
        <v>1</v>
      </c>
      <c r="H214" s="47" t="s">
        <v>53</v>
      </c>
      <c r="I214" s="113">
        <v>519</v>
      </c>
      <c r="J214" s="48">
        <f t="shared" si="4"/>
        <v>100</v>
      </c>
    </row>
    <row r="215" spans="1:10" ht="21" customHeight="1" x14ac:dyDescent="0.15">
      <c r="A215" s="128">
        <v>47004371</v>
      </c>
      <c r="B215" s="47">
        <v>1</v>
      </c>
      <c r="C215" s="47">
        <v>232</v>
      </c>
      <c r="D215" s="47">
        <v>100</v>
      </c>
      <c r="E215" s="47" t="s">
        <v>53</v>
      </c>
      <c r="F215" s="47" t="s">
        <v>53</v>
      </c>
      <c r="G215" s="47">
        <v>1</v>
      </c>
      <c r="H215" s="47" t="s">
        <v>53</v>
      </c>
      <c r="I215" s="113">
        <v>1277</v>
      </c>
      <c r="J215" s="48">
        <f t="shared" si="4"/>
        <v>100</v>
      </c>
    </row>
    <row r="216" spans="1:10" ht="21" customHeight="1" x14ac:dyDescent="0.15">
      <c r="A216" s="128">
        <v>47004372</v>
      </c>
      <c r="B216" s="47">
        <v>1</v>
      </c>
      <c r="C216" s="47">
        <v>210</v>
      </c>
      <c r="D216" s="47">
        <v>100</v>
      </c>
      <c r="E216" s="47" t="s">
        <v>53</v>
      </c>
      <c r="F216" s="47" t="s">
        <v>53</v>
      </c>
      <c r="G216" s="47">
        <v>1</v>
      </c>
      <c r="H216" s="47" t="s">
        <v>53</v>
      </c>
      <c r="I216" s="113">
        <v>512</v>
      </c>
      <c r="J216" s="48">
        <f t="shared" si="4"/>
        <v>100</v>
      </c>
    </row>
    <row r="217" spans="1:10" ht="21" customHeight="1" x14ac:dyDescent="0.15">
      <c r="A217" s="128">
        <v>47004373</v>
      </c>
      <c r="B217" s="47">
        <v>1</v>
      </c>
      <c r="C217" s="47">
        <v>211</v>
      </c>
      <c r="D217" s="47">
        <v>100</v>
      </c>
      <c r="E217" s="47" t="s">
        <v>53</v>
      </c>
      <c r="F217" s="47" t="s">
        <v>53</v>
      </c>
      <c r="G217" s="47">
        <v>1</v>
      </c>
      <c r="H217" s="47" t="s">
        <v>53</v>
      </c>
      <c r="I217" s="113">
        <v>513</v>
      </c>
      <c r="J217" s="48">
        <f t="shared" si="4"/>
        <v>100</v>
      </c>
    </row>
    <row r="218" spans="1:10" ht="21" customHeight="1" x14ac:dyDescent="0.15">
      <c r="A218" s="128">
        <v>47004374</v>
      </c>
      <c r="B218" s="47">
        <v>1</v>
      </c>
      <c r="C218" s="47">
        <v>212</v>
      </c>
      <c r="D218" s="47">
        <v>100</v>
      </c>
      <c r="E218" s="47" t="s">
        <v>53</v>
      </c>
      <c r="F218" s="47" t="s">
        <v>53</v>
      </c>
      <c r="G218" s="47">
        <v>1</v>
      </c>
      <c r="H218" s="47" t="s">
        <v>53</v>
      </c>
      <c r="I218" s="113">
        <v>1275</v>
      </c>
      <c r="J218" s="48">
        <f t="shared" si="4"/>
        <v>100</v>
      </c>
    </row>
    <row r="219" spans="1:10" ht="21" customHeight="1" x14ac:dyDescent="0.15">
      <c r="A219" s="128">
        <v>47004375</v>
      </c>
      <c r="B219" s="47">
        <v>1</v>
      </c>
      <c r="C219" s="47">
        <v>209</v>
      </c>
      <c r="D219" s="47">
        <v>100</v>
      </c>
      <c r="E219" s="47" t="s">
        <v>53</v>
      </c>
      <c r="F219" s="47" t="s">
        <v>53</v>
      </c>
      <c r="G219" s="47">
        <v>1</v>
      </c>
      <c r="H219" s="47" t="s">
        <v>53</v>
      </c>
      <c r="I219" s="113">
        <v>1281</v>
      </c>
      <c r="J219" s="48">
        <f t="shared" si="4"/>
        <v>100</v>
      </c>
    </row>
    <row r="220" spans="1:10" ht="21" customHeight="1" x14ac:dyDescent="0.15">
      <c r="A220" s="128">
        <v>47004376</v>
      </c>
      <c r="B220" s="47">
        <v>1</v>
      </c>
      <c r="C220" s="47">
        <v>208</v>
      </c>
      <c r="D220" s="47">
        <v>100</v>
      </c>
      <c r="E220" s="47" t="s">
        <v>53</v>
      </c>
      <c r="F220" s="47" t="s">
        <v>53</v>
      </c>
      <c r="G220" s="47">
        <v>1</v>
      </c>
      <c r="H220" s="47" t="s">
        <v>53</v>
      </c>
      <c r="I220" s="113">
        <v>1280</v>
      </c>
      <c r="J220" s="48">
        <f t="shared" si="4"/>
        <v>100</v>
      </c>
    </row>
    <row r="221" spans="1:10" ht="21" customHeight="1" x14ac:dyDescent="0.15">
      <c r="A221" s="128">
        <v>47004401</v>
      </c>
      <c r="B221" s="47">
        <v>1</v>
      </c>
      <c r="C221" s="47">
        <v>100</v>
      </c>
      <c r="D221" s="47">
        <v>100</v>
      </c>
      <c r="E221" s="47" t="s">
        <v>53</v>
      </c>
      <c r="F221" s="47" t="s">
        <v>53</v>
      </c>
      <c r="G221" s="47">
        <v>1</v>
      </c>
      <c r="H221" s="47" t="s">
        <v>53</v>
      </c>
      <c r="I221" s="47" t="s">
        <v>53</v>
      </c>
      <c r="J221" s="48">
        <f t="shared" si="4"/>
        <v>100</v>
      </c>
    </row>
    <row r="222" spans="1:10" ht="21" customHeight="1" x14ac:dyDescent="0.15">
      <c r="A222" s="128">
        <v>47004402</v>
      </c>
      <c r="B222" s="47">
        <v>0</v>
      </c>
      <c r="C222" s="47">
        <v>110</v>
      </c>
      <c r="D222" s="47">
        <v>100</v>
      </c>
      <c r="E222" s="47" t="s">
        <v>53</v>
      </c>
      <c r="F222" s="47" t="s">
        <v>53</v>
      </c>
      <c r="G222" s="47" t="s">
        <v>53</v>
      </c>
      <c r="H222" s="47">
        <v>1</v>
      </c>
      <c r="I222" s="47" t="s">
        <v>53</v>
      </c>
      <c r="J222" s="48">
        <f t="shared" si="4"/>
        <v>100</v>
      </c>
    </row>
    <row r="223" spans="1:10" ht="21" customHeight="1" x14ac:dyDescent="0.15">
      <c r="A223" s="128">
        <v>47004403</v>
      </c>
      <c r="B223" s="47">
        <v>0</v>
      </c>
      <c r="C223" s="47">
        <v>120</v>
      </c>
      <c r="D223" s="47">
        <v>100</v>
      </c>
      <c r="E223" s="47" t="s">
        <v>53</v>
      </c>
      <c r="F223" s="47" t="s">
        <v>53</v>
      </c>
      <c r="G223" s="47" t="s">
        <v>53</v>
      </c>
      <c r="H223" s="47">
        <v>2</v>
      </c>
      <c r="I223" s="47" t="s">
        <v>53</v>
      </c>
      <c r="J223" s="48">
        <f t="shared" si="4"/>
        <v>100</v>
      </c>
    </row>
    <row r="224" spans="1:10" ht="21" customHeight="1" x14ac:dyDescent="0.15">
      <c r="A224" s="128">
        <v>47004404</v>
      </c>
      <c r="B224" s="47">
        <v>0</v>
      </c>
      <c r="C224" s="47">
        <v>130</v>
      </c>
      <c r="D224" s="47">
        <v>100</v>
      </c>
      <c r="E224" s="47" t="s">
        <v>53</v>
      </c>
      <c r="F224" s="47" t="s">
        <v>53</v>
      </c>
      <c r="G224" s="47" t="s">
        <v>53</v>
      </c>
      <c r="H224" s="47">
        <v>3</v>
      </c>
      <c r="I224" s="47" t="s">
        <v>53</v>
      </c>
      <c r="J224" s="48">
        <f t="shared" si="4"/>
        <v>100</v>
      </c>
    </row>
    <row r="225" spans="1:10" ht="21" customHeight="1" x14ac:dyDescent="0.15">
      <c r="A225" s="128">
        <v>47004405</v>
      </c>
      <c r="B225" s="47">
        <v>0</v>
      </c>
      <c r="C225" s="47">
        <v>140</v>
      </c>
      <c r="D225" s="47">
        <v>100</v>
      </c>
      <c r="E225" s="47" t="s">
        <v>53</v>
      </c>
      <c r="F225" s="47" t="s">
        <v>53</v>
      </c>
      <c r="G225" s="47" t="s">
        <v>53</v>
      </c>
      <c r="H225" s="47">
        <v>4</v>
      </c>
      <c r="I225" s="47" t="s">
        <v>53</v>
      </c>
      <c r="J225" s="48">
        <f t="shared" si="4"/>
        <v>100</v>
      </c>
    </row>
    <row r="226" spans="1:10" ht="21" customHeight="1" x14ac:dyDescent="0.15">
      <c r="A226" s="128">
        <v>47004406</v>
      </c>
      <c r="B226" s="47">
        <v>1</v>
      </c>
      <c r="C226" s="47">
        <v>250</v>
      </c>
      <c r="D226" s="47">
        <v>100</v>
      </c>
      <c r="E226" s="47" t="s">
        <v>53</v>
      </c>
      <c r="F226" s="47" t="s">
        <v>53</v>
      </c>
      <c r="G226" s="47">
        <v>1</v>
      </c>
      <c r="H226" s="47" t="s">
        <v>53</v>
      </c>
      <c r="I226" s="113">
        <v>1278</v>
      </c>
      <c r="J226" s="48">
        <f t="shared" si="4"/>
        <v>100</v>
      </c>
    </row>
    <row r="227" spans="1:10" ht="21" customHeight="1" x14ac:dyDescent="0.15">
      <c r="A227" s="128">
        <v>47004407</v>
      </c>
      <c r="B227" s="47">
        <v>1</v>
      </c>
      <c r="C227" s="47">
        <v>251</v>
      </c>
      <c r="D227" s="47">
        <v>100</v>
      </c>
      <c r="E227" s="47" t="s">
        <v>53</v>
      </c>
      <c r="F227" s="47" t="s">
        <v>53</v>
      </c>
      <c r="G227" s="47">
        <v>1</v>
      </c>
      <c r="H227" s="47" t="s">
        <v>53</v>
      </c>
      <c r="I227" s="113">
        <v>1279</v>
      </c>
      <c r="J227" s="48">
        <f t="shared" si="4"/>
        <v>100</v>
      </c>
    </row>
    <row r="228" spans="1:10" ht="21" customHeight="1" x14ac:dyDescent="0.15">
      <c r="A228" s="128">
        <v>47004408</v>
      </c>
      <c r="B228" s="47">
        <v>1</v>
      </c>
      <c r="C228" s="47">
        <v>240</v>
      </c>
      <c r="D228" s="47">
        <v>100</v>
      </c>
      <c r="E228" s="47" t="s">
        <v>53</v>
      </c>
      <c r="F228" s="47" t="s">
        <v>53</v>
      </c>
      <c r="G228" s="47">
        <v>1</v>
      </c>
      <c r="H228" s="47" t="s">
        <v>53</v>
      </c>
      <c r="I228" s="113">
        <v>516</v>
      </c>
      <c r="J228" s="48">
        <f t="shared" si="4"/>
        <v>100</v>
      </c>
    </row>
    <row r="229" spans="1:10" ht="21" customHeight="1" x14ac:dyDescent="0.15">
      <c r="A229" s="128">
        <v>47004409</v>
      </c>
      <c r="B229" s="47">
        <v>1</v>
      </c>
      <c r="C229" s="47">
        <v>241</v>
      </c>
      <c r="D229" s="47">
        <v>100</v>
      </c>
      <c r="E229" s="47" t="s">
        <v>53</v>
      </c>
      <c r="F229" s="47" t="s">
        <v>53</v>
      </c>
      <c r="G229" s="47">
        <v>1</v>
      </c>
      <c r="H229" s="47" t="s">
        <v>53</v>
      </c>
      <c r="I229" s="113">
        <v>517</v>
      </c>
      <c r="J229" s="48">
        <f t="shared" si="4"/>
        <v>100</v>
      </c>
    </row>
    <row r="230" spans="1:10" ht="21" customHeight="1" x14ac:dyDescent="0.15">
      <c r="A230" s="128">
        <v>47004410</v>
      </c>
      <c r="B230" s="47">
        <v>1</v>
      </c>
      <c r="C230" s="47">
        <v>242</v>
      </c>
      <c r="D230" s="47">
        <v>100</v>
      </c>
      <c r="E230" s="47" t="s">
        <v>53</v>
      </c>
      <c r="F230" s="47" t="s">
        <v>53</v>
      </c>
      <c r="G230" s="47">
        <v>1</v>
      </c>
      <c r="H230" s="47" t="s">
        <v>53</v>
      </c>
      <c r="I230" s="113">
        <v>1274</v>
      </c>
      <c r="J230" s="48">
        <f t="shared" si="4"/>
        <v>100</v>
      </c>
    </row>
    <row r="231" spans="1:10" ht="21" customHeight="1" x14ac:dyDescent="0.15">
      <c r="A231" s="128">
        <v>47004411</v>
      </c>
      <c r="B231" s="47">
        <v>1</v>
      </c>
      <c r="C231" s="47">
        <v>230</v>
      </c>
      <c r="D231" s="47">
        <v>100</v>
      </c>
      <c r="E231" s="47" t="s">
        <v>53</v>
      </c>
      <c r="F231" s="47" t="s">
        <v>53</v>
      </c>
      <c r="G231" s="47">
        <v>1</v>
      </c>
      <c r="H231" s="47" t="s">
        <v>53</v>
      </c>
      <c r="I231" s="113">
        <v>518</v>
      </c>
      <c r="J231" s="48">
        <f t="shared" si="4"/>
        <v>100</v>
      </c>
    </row>
    <row r="232" spans="1:10" ht="21" customHeight="1" x14ac:dyDescent="0.15">
      <c r="A232" s="128">
        <v>47004412</v>
      </c>
      <c r="B232" s="47">
        <v>1</v>
      </c>
      <c r="C232" s="47">
        <v>231</v>
      </c>
      <c r="D232" s="47">
        <v>100</v>
      </c>
      <c r="E232" s="47" t="s">
        <v>53</v>
      </c>
      <c r="F232" s="47" t="s">
        <v>53</v>
      </c>
      <c r="G232" s="47">
        <v>1</v>
      </c>
      <c r="H232" s="47" t="s">
        <v>53</v>
      </c>
      <c r="I232" s="113">
        <v>519</v>
      </c>
      <c r="J232" s="48">
        <f t="shared" si="4"/>
        <v>100</v>
      </c>
    </row>
    <row r="233" spans="1:10" ht="21" customHeight="1" x14ac:dyDescent="0.15">
      <c r="A233" s="128">
        <v>47004413</v>
      </c>
      <c r="B233" s="47">
        <v>1</v>
      </c>
      <c r="C233" s="47">
        <v>232</v>
      </c>
      <c r="D233" s="47">
        <v>100</v>
      </c>
      <c r="E233" s="47" t="s">
        <v>53</v>
      </c>
      <c r="F233" s="47" t="s">
        <v>53</v>
      </c>
      <c r="G233" s="47">
        <v>1</v>
      </c>
      <c r="H233" s="47" t="s">
        <v>53</v>
      </c>
      <c r="I233" s="113">
        <v>1277</v>
      </c>
      <c r="J233" s="48">
        <f t="shared" si="4"/>
        <v>100</v>
      </c>
    </row>
    <row r="234" spans="1:10" ht="21" customHeight="1" x14ac:dyDescent="0.15">
      <c r="A234" s="128">
        <v>47004414</v>
      </c>
      <c r="B234" s="47">
        <v>1</v>
      </c>
      <c r="C234" s="47">
        <v>220</v>
      </c>
      <c r="D234" s="47">
        <v>100</v>
      </c>
      <c r="E234" s="47" t="s">
        <v>53</v>
      </c>
      <c r="F234" s="47" t="s">
        <v>53</v>
      </c>
      <c r="G234" s="47">
        <v>1</v>
      </c>
      <c r="H234" s="47" t="s">
        <v>53</v>
      </c>
      <c r="I234" s="113">
        <v>514</v>
      </c>
      <c r="J234" s="48">
        <f t="shared" si="4"/>
        <v>100</v>
      </c>
    </row>
    <row r="235" spans="1:10" ht="21" customHeight="1" x14ac:dyDescent="0.15">
      <c r="A235" s="128">
        <v>47004415</v>
      </c>
      <c r="B235" s="47">
        <v>1</v>
      </c>
      <c r="C235" s="47">
        <v>221</v>
      </c>
      <c r="D235" s="47">
        <v>100</v>
      </c>
      <c r="E235" s="47" t="s">
        <v>53</v>
      </c>
      <c r="F235" s="47" t="s">
        <v>53</v>
      </c>
      <c r="G235" s="47">
        <v>1</v>
      </c>
      <c r="H235" s="47" t="s">
        <v>53</v>
      </c>
      <c r="I235" s="113">
        <v>515</v>
      </c>
      <c r="J235" s="48">
        <f t="shared" si="4"/>
        <v>100</v>
      </c>
    </row>
    <row r="236" spans="1:10" ht="21" customHeight="1" x14ac:dyDescent="0.15">
      <c r="A236" s="128">
        <v>47004416</v>
      </c>
      <c r="B236" s="47">
        <v>1</v>
      </c>
      <c r="C236" s="47">
        <v>222</v>
      </c>
      <c r="D236" s="47">
        <v>100</v>
      </c>
      <c r="E236" s="47" t="s">
        <v>53</v>
      </c>
      <c r="F236" s="47" t="s">
        <v>53</v>
      </c>
      <c r="G236" s="47">
        <v>1</v>
      </c>
      <c r="H236" s="47" t="s">
        <v>53</v>
      </c>
      <c r="I236" s="113">
        <v>1276</v>
      </c>
      <c r="J236" s="48">
        <f t="shared" si="4"/>
        <v>100</v>
      </c>
    </row>
    <row r="237" spans="1:10" ht="21" customHeight="1" x14ac:dyDescent="0.15">
      <c r="A237" s="128">
        <v>47004417</v>
      </c>
      <c r="B237" s="47">
        <v>1</v>
      </c>
      <c r="C237" s="47">
        <v>210</v>
      </c>
      <c r="D237" s="47">
        <v>100</v>
      </c>
      <c r="E237" s="47" t="s">
        <v>53</v>
      </c>
      <c r="F237" s="47" t="s">
        <v>53</v>
      </c>
      <c r="G237" s="47">
        <v>1</v>
      </c>
      <c r="H237" s="47" t="s">
        <v>53</v>
      </c>
      <c r="I237" s="113">
        <v>512</v>
      </c>
      <c r="J237" s="48">
        <f t="shared" si="4"/>
        <v>100</v>
      </c>
    </row>
    <row r="238" spans="1:10" ht="21" customHeight="1" x14ac:dyDescent="0.15">
      <c r="A238" s="128">
        <v>47004418</v>
      </c>
      <c r="B238" s="47">
        <v>1</v>
      </c>
      <c r="C238" s="47">
        <v>211</v>
      </c>
      <c r="D238" s="47">
        <v>100</v>
      </c>
      <c r="E238" s="47" t="s">
        <v>53</v>
      </c>
      <c r="F238" s="47" t="s">
        <v>53</v>
      </c>
      <c r="G238" s="47">
        <v>1</v>
      </c>
      <c r="H238" s="47" t="s">
        <v>53</v>
      </c>
      <c r="I238" s="113">
        <v>513</v>
      </c>
      <c r="J238" s="48">
        <f t="shared" si="4"/>
        <v>100</v>
      </c>
    </row>
    <row r="239" spans="1:10" ht="21" customHeight="1" x14ac:dyDescent="0.15">
      <c r="A239" s="128">
        <v>47004419</v>
      </c>
      <c r="B239" s="47">
        <v>1</v>
      </c>
      <c r="C239" s="47">
        <v>212</v>
      </c>
      <c r="D239" s="47">
        <v>100</v>
      </c>
      <c r="E239" s="47" t="s">
        <v>53</v>
      </c>
      <c r="F239" s="47" t="s">
        <v>53</v>
      </c>
      <c r="G239" s="47">
        <v>1</v>
      </c>
      <c r="H239" s="47" t="s">
        <v>53</v>
      </c>
      <c r="I239" s="113">
        <v>1275</v>
      </c>
      <c r="J239" s="48">
        <f t="shared" si="4"/>
        <v>100</v>
      </c>
    </row>
    <row r="240" spans="1:10" ht="21" customHeight="1" x14ac:dyDescent="0.15">
      <c r="A240" s="128">
        <v>47004420</v>
      </c>
      <c r="B240" s="47">
        <v>1</v>
      </c>
      <c r="C240" s="47">
        <v>209</v>
      </c>
      <c r="D240" s="47">
        <v>100</v>
      </c>
      <c r="E240" s="47" t="s">
        <v>53</v>
      </c>
      <c r="F240" s="47" t="s">
        <v>53</v>
      </c>
      <c r="G240" s="47">
        <v>1</v>
      </c>
      <c r="H240" s="47" t="s">
        <v>53</v>
      </c>
      <c r="I240" s="113">
        <v>1281</v>
      </c>
      <c r="J240" s="48">
        <f t="shared" si="4"/>
        <v>100</v>
      </c>
    </row>
    <row r="241" spans="1:10" ht="21" customHeight="1" x14ac:dyDescent="0.15">
      <c r="A241" s="128">
        <v>47004421</v>
      </c>
      <c r="B241" s="47">
        <v>1</v>
      </c>
      <c r="C241" s="47">
        <v>208</v>
      </c>
      <c r="D241" s="47">
        <v>100</v>
      </c>
      <c r="E241" s="47" t="s">
        <v>53</v>
      </c>
      <c r="F241" s="47" t="s">
        <v>53</v>
      </c>
      <c r="G241" s="47">
        <v>1</v>
      </c>
      <c r="H241" s="47" t="s">
        <v>53</v>
      </c>
      <c r="I241" s="113">
        <v>1280</v>
      </c>
      <c r="J241" s="48">
        <f t="shared" si="4"/>
        <v>100</v>
      </c>
    </row>
    <row r="242" spans="1:10" ht="21" customHeight="1" x14ac:dyDescent="0.15">
      <c r="A242" s="128">
        <v>47004431</v>
      </c>
      <c r="B242" s="47">
        <v>1</v>
      </c>
      <c r="C242" s="47">
        <v>100</v>
      </c>
      <c r="D242" s="47">
        <v>100</v>
      </c>
      <c r="E242" s="47" t="s">
        <v>53</v>
      </c>
      <c r="F242" s="47" t="s">
        <v>53</v>
      </c>
      <c r="G242" s="47">
        <v>1</v>
      </c>
      <c r="H242" s="47" t="s">
        <v>53</v>
      </c>
      <c r="I242" s="47" t="s">
        <v>53</v>
      </c>
      <c r="J242" s="48">
        <f t="shared" si="4"/>
        <v>100</v>
      </c>
    </row>
    <row r="243" spans="1:10" ht="21" customHeight="1" x14ac:dyDescent="0.15">
      <c r="A243" s="128">
        <v>47004432</v>
      </c>
      <c r="B243" s="47">
        <v>0</v>
      </c>
      <c r="C243" s="47">
        <v>110</v>
      </c>
      <c r="D243" s="47">
        <v>100</v>
      </c>
      <c r="E243" s="47" t="s">
        <v>53</v>
      </c>
      <c r="F243" s="47" t="s">
        <v>53</v>
      </c>
      <c r="G243" s="47">
        <v>1</v>
      </c>
      <c r="H243" s="47">
        <v>1</v>
      </c>
      <c r="I243" s="47" t="s">
        <v>53</v>
      </c>
      <c r="J243" s="48">
        <f t="shared" si="4"/>
        <v>100</v>
      </c>
    </row>
    <row r="244" spans="1:10" ht="21" customHeight="1" x14ac:dyDescent="0.15">
      <c r="A244" s="128">
        <v>47004433</v>
      </c>
      <c r="B244" s="47">
        <v>0</v>
      </c>
      <c r="C244" s="47">
        <v>120</v>
      </c>
      <c r="D244" s="47">
        <v>100</v>
      </c>
      <c r="E244" s="47" t="s">
        <v>53</v>
      </c>
      <c r="F244" s="47" t="s">
        <v>53</v>
      </c>
      <c r="G244" s="47">
        <v>1</v>
      </c>
      <c r="H244" s="47">
        <v>2</v>
      </c>
      <c r="I244" s="47" t="s">
        <v>53</v>
      </c>
      <c r="J244" s="48">
        <f t="shared" si="4"/>
        <v>100</v>
      </c>
    </row>
    <row r="245" spans="1:10" ht="21" customHeight="1" x14ac:dyDescent="0.15">
      <c r="A245" s="128">
        <v>47004434</v>
      </c>
      <c r="B245" s="47">
        <v>0</v>
      </c>
      <c r="C245" s="47">
        <v>130</v>
      </c>
      <c r="D245" s="47">
        <v>100</v>
      </c>
      <c r="E245" s="47" t="s">
        <v>53</v>
      </c>
      <c r="F245" s="47" t="s">
        <v>53</v>
      </c>
      <c r="G245" s="47">
        <v>1</v>
      </c>
      <c r="H245" s="47">
        <v>3</v>
      </c>
      <c r="I245" s="47" t="s">
        <v>53</v>
      </c>
      <c r="J245" s="48">
        <f t="shared" si="4"/>
        <v>100</v>
      </c>
    </row>
    <row r="246" spans="1:10" ht="21" customHeight="1" x14ac:dyDescent="0.15">
      <c r="A246" s="128">
        <v>47004435</v>
      </c>
      <c r="B246" s="47">
        <v>0</v>
      </c>
      <c r="C246" s="47">
        <v>140</v>
      </c>
      <c r="D246" s="47">
        <v>100</v>
      </c>
      <c r="E246" s="47" t="s">
        <v>53</v>
      </c>
      <c r="F246" s="47" t="s">
        <v>53</v>
      </c>
      <c r="G246" s="47">
        <v>1</v>
      </c>
      <c r="H246" s="47">
        <v>4</v>
      </c>
      <c r="I246" s="47" t="s">
        <v>53</v>
      </c>
      <c r="J246" s="48">
        <f t="shared" si="4"/>
        <v>100</v>
      </c>
    </row>
    <row r="247" spans="1:10" ht="21" customHeight="1" x14ac:dyDescent="0.15">
      <c r="A247" s="128">
        <v>47004436</v>
      </c>
      <c r="B247" s="47">
        <v>0</v>
      </c>
      <c r="C247" s="47">
        <v>150</v>
      </c>
      <c r="D247" s="47">
        <v>100</v>
      </c>
      <c r="E247" s="47" t="s">
        <v>53</v>
      </c>
      <c r="F247" s="47" t="s">
        <v>53</v>
      </c>
      <c r="G247" s="47">
        <v>1</v>
      </c>
      <c r="H247" s="47">
        <v>5</v>
      </c>
      <c r="I247" s="47" t="s">
        <v>53</v>
      </c>
      <c r="J247" s="48">
        <f t="shared" si="4"/>
        <v>100</v>
      </c>
    </row>
    <row r="248" spans="1:10" ht="21" customHeight="1" x14ac:dyDescent="0.15">
      <c r="A248" s="128">
        <v>47004461</v>
      </c>
      <c r="B248" s="47">
        <v>1</v>
      </c>
      <c r="C248" s="47">
        <v>100</v>
      </c>
      <c r="D248" s="47">
        <v>100</v>
      </c>
      <c r="E248" s="47" t="s">
        <v>53</v>
      </c>
      <c r="F248" s="47" t="s">
        <v>53</v>
      </c>
      <c r="G248" s="47">
        <v>1</v>
      </c>
      <c r="H248" s="47" t="s">
        <v>53</v>
      </c>
      <c r="I248" s="47" t="s">
        <v>53</v>
      </c>
      <c r="J248" s="48">
        <f t="shared" si="4"/>
        <v>100</v>
      </c>
    </row>
    <row r="249" spans="1:10" ht="21" customHeight="1" x14ac:dyDescent="0.15">
      <c r="A249" s="128">
        <v>47004462</v>
      </c>
      <c r="B249" s="47">
        <v>0</v>
      </c>
      <c r="C249" s="47">
        <v>101</v>
      </c>
      <c r="D249" s="47">
        <v>100</v>
      </c>
      <c r="E249" s="47" t="s">
        <v>53</v>
      </c>
      <c r="F249" s="47" t="s">
        <v>53</v>
      </c>
      <c r="G249" s="47">
        <v>1</v>
      </c>
      <c r="H249" s="47">
        <v>1</v>
      </c>
      <c r="I249" s="47" t="s">
        <v>53</v>
      </c>
      <c r="J249" s="48">
        <f t="shared" si="4"/>
        <v>100</v>
      </c>
    </row>
    <row r="250" spans="1:10" ht="21" customHeight="1" x14ac:dyDescent="0.15">
      <c r="A250" s="128">
        <v>47004463</v>
      </c>
      <c r="B250" s="47">
        <v>0</v>
      </c>
      <c r="C250" s="47">
        <v>102</v>
      </c>
      <c r="D250" s="47">
        <v>100</v>
      </c>
      <c r="E250" s="47" t="s">
        <v>53</v>
      </c>
      <c r="F250" s="47" t="s">
        <v>53</v>
      </c>
      <c r="G250" s="47">
        <v>1</v>
      </c>
      <c r="H250" s="47">
        <v>2</v>
      </c>
      <c r="I250" s="47" t="s">
        <v>53</v>
      </c>
      <c r="J250" s="48">
        <f t="shared" si="4"/>
        <v>100</v>
      </c>
    </row>
    <row r="251" spans="1:10" ht="21" customHeight="1" x14ac:dyDescent="0.15">
      <c r="A251" s="128">
        <v>47004464</v>
      </c>
      <c r="B251" s="47">
        <v>0</v>
      </c>
      <c r="C251" s="47">
        <v>103</v>
      </c>
      <c r="D251" s="47">
        <v>100</v>
      </c>
      <c r="E251" s="47" t="s">
        <v>53</v>
      </c>
      <c r="F251" s="47" t="s">
        <v>53</v>
      </c>
      <c r="G251" s="47">
        <v>1</v>
      </c>
      <c r="H251" s="47">
        <v>3</v>
      </c>
      <c r="I251" s="47" t="s">
        <v>53</v>
      </c>
      <c r="J251" s="48">
        <f t="shared" si="4"/>
        <v>100</v>
      </c>
    </row>
    <row r="252" spans="1:10" ht="21" customHeight="1" x14ac:dyDescent="0.15">
      <c r="A252" s="128">
        <v>47004465</v>
      </c>
      <c r="B252" s="47">
        <v>0</v>
      </c>
      <c r="C252" s="47">
        <v>104</v>
      </c>
      <c r="D252" s="47">
        <v>100</v>
      </c>
      <c r="E252" s="47" t="s">
        <v>53</v>
      </c>
      <c r="F252" s="47" t="s">
        <v>53</v>
      </c>
      <c r="G252" s="47">
        <v>1</v>
      </c>
      <c r="H252" s="47">
        <v>4</v>
      </c>
      <c r="I252" s="47" t="s">
        <v>53</v>
      </c>
      <c r="J252" s="48">
        <f t="shared" si="4"/>
        <v>100</v>
      </c>
    </row>
    <row r="253" spans="1:10" ht="21" customHeight="1" x14ac:dyDescent="0.15">
      <c r="A253" s="128">
        <v>47004466</v>
      </c>
      <c r="B253" s="47">
        <v>0</v>
      </c>
      <c r="C253" s="47">
        <v>105</v>
      </c>
      <c r="D253" s="47">
        <v>100</v>
      </c>
      <c r="E253" s="47" t="s">
        <v>53</v>
      </c>
      <c r="F253" s="47" t="s">
        <v>53</v>
      </c>
      <c r="G253" s="47">
        <v>1</v>
      </c>
      <c r="H253" s="47">
        <v>5</v>
      </c>
      <c r="I253" s="47" t="s">
        <v>53</v>
      </c>
      <c r="J253" s="48">
        <f t="shared" si="4"/>
        <v>100</v>
      </c>
    </row>
    <row r="254" spans="1:10" ht="21" customHeight="1" x14ac:dyDescent="0.15">
      <c r="A254" s="128">
        <v>47004467</v>
      </c>
      <c r="B254" s="47">
        <v>0</v>
      </c>
      <c r="C254" s="47">
        <v>106</v>
      </c>
      <c r="D254" s="47">
        <v>100</v>
      </c>
      <c r="E254" s="47" t="s">
        <v>53</v>
      </c>
      <c r="F254" s="47" t="s">
        <v>53</v>
      </c>
      <c r="G254" s="47">
        <v>1</v>
      </c>
      <c r="H254" s="47">
        <v>6</v>
      </c>
      <c r="I254" s="47" t="s">
        <v>53</v>
      </c>
      <c r="J254" s="48">
        <f t="shared" si="4"/>
        <v>100</v>
      </c>
    </row>
    <row r="255" spans="1:10" ht="21" customHeight="1" x14ac:dyDescent="0.15">
      <c r="A255" s="128">
        <v>47004468</v>
      </c>
      <c r="B255" s="47">
        <v>0</v>
      </c>
      <c r="C255" s="47">
        <v>107</v>
      </c>
      <c r="D255" s="47">
        <v>100</v>
      </c>
      <c r="E255" s="47" t="s">
        <v>53</v>
      </c>
      <c r="F255" s="47" t="s">
        <v>53</v>
      </c>
      <c r="G255" s="47">
        <v>1</v>
      </c>
      <c r="H255" s="47">
        <v>7</v>
      </c>
      <c r="I255" s="47" t="s">
        <v>53</v>
      </c>
      <c r="J255" s="48">
        <f t="shared" si="4"/>
        <v>100</v>
      </c>
    </row>
    <row r="256" spans="1:10" ht="21" customHeight="1" x14ac:dyDescent="0.15">
      <c r="A256" s="128">
        <v>47004469</v>
      </c>
      <c r="B256" s="47">
        <v>0</v>
      </c>
      <c r="C256" s="47">
        <v>108</v>
      </c>
      <c r="D256" s="47">
        <v>100</v>
      </c>
      <c r="E256" s="47" t="s">
        <v>53</v>
      </c>
      <c r="F256" s="47" t="s">
        <v>53</v>
      </c>
      <c r="G256" s="47">
        <v>1</v>
      </c>
      <c r="H256" s="47">
        <v>8</v>
      </c>
      <c r="I256" s="47" t="s">
        <v>53</v>
      </c>
      <c r="J256" s="48">
        <f t="shared" si="4"/>
        <v>100</v>
      </c>
    </row>
    <row r="257" spans="1:10" ht="21" customHeight="1" x14ac:dyDescent="0.15">
      <c r="A257" s="128">
        <v>47004470</v>
      </c>
      <c r="B257" s="47">
        <v>0</v>
      </c>
      <c r="C257" s="47">
        <v>200</v>
      </c>
      <c r="D257" s="47">
        <v>100</v>
      </c>
      <c r="E257" s="47" t="s">
        <v>53</v>
      </c>
      <c r="F257" s="47" t="s">
        <v>53</v>
      </c>
      <c r="G257" s="47">
        <v>0</v>
      </c>
      <c r="H257" s="47">
        <v>1</v>
      </c>
      <c r="I257" s="113">
        <v>0</v>
      </c>
      <c r="J257" s="48">
        <f t="shared" si="4"/>
        <v>100</v>
      </c>
    </row>
    <row r="258" spans="1:10" ht="21" customHeight="1" x14ac:dyDescent="0.15">
      <c r="A258" s="127">
        <v>47004501</v>
      </c>
      <c r="B258" s="47">
        <v>1</v>
      </c>
      <c r="C258" s="47">
        <v>100</v>
      </c>
      <c r="D258" s="47">
        <v>100</v>
      </c>
      <c r="E258" s="47" t="s">
        <v>53</v>
      </c>
      <c r="F258" s="47" t="s">
        <v>53</v>
      </c>
      <c r="G258" s="47">
        <v>1</v>
      </c>
      <c r="H258" s="47" t="s">
        <v>53</v>
      </c>
      <c r="I258" s="47" t="s">
        <v>53</v>
      </c>
      <c r="J258" s="48">
        <f t="shared" si="4"/>
        <v>100</v>
      </c>
    </row>
    <row r="259" spans="1:10" ht="21" customHeight="1" x14ac:dyDescent="0.15">
      <c r="A259" s="127">
        <v>47004502</v>
      </c>
      <c r="B259" s="47">
        <v>0</v>
      </c>
      <c r="C259" s="47">
        <v>110</v>
      </c>
      <c r="D259" s="47">
        <v>100</v>
      </c>
      <c r="E259" s="47" t="s">
        <v>53</v>
      </c>
      <c r="F259" s="47" t="s">
        <v>53</v>
      </c>
      <c r="G259" s="47" t="s">
        <v>53</v>
      </c>
      <c r="H259" s="47">
        <v>3</v>
      </c>
      <c r="I259" s="47" t="s">
        <v>53</v>
      </c>
      <c r="J259" s="48">
        <f t="shared" si="4"/>
        <v>100</v>
      </c>
    </row>
    <row r="260" spans="1:10" ht="21" customHeight="1" x14ac:dyDescent="0.15">
      <c r="A260" s="127">
        <v>47004503</v>
      </c>
      <c r="B260" s="47">
        <v>0</v>
      </c>
      <c r="C260" s="47">
        <v>120</v>
      </c>
      <c r="D260" s="47">
        <v>100</v>
      </c>
      <c r="E260" s="47" t="s">
        <v>53</v>
      </c>
      <c r="F260" s="47" t="s">
        <v>53</v>
      </c>
      <c r="G260" s="47">
        <v>1</v>
      </c>
      <c r="H260" s="47">
        <v>6</v>
      </c>
      <c r="I260" s="47" t="s">
        <v>53</v>
      </c>
      <c r="J260" s="48">
        <f t="shared" si="4"/>
        <v>100</v>
      </c>
    </row>
    <row r="261" spans="1:10" ht="21" customHeight="1" x14ac:dyDescent="0.15">
      <c r="A261" s="127">
        <v>47004504</v>
      </c>
      <c r="B261" s="47">
        <v>1</v>
      </c>
      <c r="C261" s="47">
        <v>250</v>
      </c>
      <c r="D261" s="47">
        <v>100</v>
      </c>
      <c r="E261" s="47" t="s">
        <v>53</v>
      </c>
      <c r="F261" s="47" t="s">
        <v>53</v>
      </c>
      <c r="G261" s="47">
        <v>1</v>
      </c>
      <c r="H261" s="47" t="s">
        <v>53</v>
      </c>
      <c r="I261" s="113">
        <v>1278</v>
      </c>
      <c r="J261" s="48">
        <f t="shared" si="4"/>
        <v>100</v>
      </c>
    </row>
    <row r="262" spans="1:10" ht="21" customHeight="1" x14ac:dyDescent="0.15">
      <c r="A262" s="127">
        <v>47004505</v>
      </c>
      <c r="B262" s="47">
        <v>1</v>
      </c>
      <c r="C262" s="47">
        <v>251</v>
      </c>
      <c r="D262" s="47">
        <v>100</v>
      </c>
      <c r="E262" s="47" t="s">
        <v>53</v>
      </c>
      <c r="F262" s="47" t="s">
        <v>53</v>
      </c>
      <c r="G262" s="47">
        <v>1</v>
      </c>
      <c r="H262" s="47" t="s">
        <v>53</v>
      </c>
      <c r="I262" s="113">
        <v>1279</v>
      </c>
      <c r="J262" s="48">
        <f t="shared" ref="J262:J325" si="5">D262</f>
        <v>100</v>
      </c>
    </row>
    <row r="263" spans="1:10" ht="21" customHeight="1" x14ac:dyDescent="0.15">
      <c r="A263" s="127">
        <v>47004506</v>
      </c>
      <c r="B263" s="47">
        <v>1</v>
      </c>
      <c r="C263" s="47">
        <v>240</v>
      </c>
      <c r="D263" s="47">
        <v>100</v>
      </c>
      <c r="E263" s="47" t="s">
        <v>53</v>
      </c>
      <c r="F263" s="47" t="s">
        <v>53</v>
      </c>
      <c r="G263" s="47">
        <v>1</v>
      </c>
      <c r="H263" s="47" t="s">
        <v>53</v>
      </c>
      <c r="I263" s="113">
        <v>516</v>
      </c>
      <c r="J263" s="48">
        <f t="shared" si="5"/>
        <v>100</v>
      </c>
    </row>
    <row r="264" spans="1:10" ht="21" customHeight="1" x14ac:dyDescent="0.15">
      <c r="A264" s="127">
        <v>47004507</v>
      </c>
      <c r="B264" s="47">
        <v>1</v>
      </c>
      <c r="C264" s="47">
        <v>241</v>
      </c>
      <c r="D264" s="47">
        <v>100</v>
      </c>
      <c r="E264" s="47" t="s">
        <v>53</v>
      </c>
      <c r="F264" s="47" t="s">
        <v>53</v>
      </c>
      <c r="G264" s="47">
        <v>1</v>
      </c>
      <c r="H264" s="47" t="s">
        <v>53</v>
      </c>
      <c r="I264" s="113">
        <v>517</v>
      </c>
      <c r="J264" s="48">
        <f t="shared" si="5"/>
        <v>100</v>
      </c>
    </row>
    <row r="265" spans="1:10" ht="21" customHeight="1" x14ac:dyDescent="0.15">
      <c r="A265" s="127">
        <v>47004508</v>
      </c>
      <c r="B265" s="47">
        <v>1</v>
      </c>
      <c r="C265" s="47">
        <v>242</v>
      </c>
      <c r="D265" s="47">
        <v>100</v>
      </c>
      <c r="E265" s="47" t="s">
        <v>53</v>
      </c>
      <c r="F265" s="47" t="s">
        <v>53</v>
      </c>
      <c r="G265" s="47">
        <v>1</v>
      </c>
      <c r="H265" s="47" t="s">
        <v>53</v>
      </c>
      <c r="I265" s="113">
        <v>1274</v>
      </c>
      <c r="J265" s="48">
        <f t="shared" si="5"/>
        <v>100</v>
      </c>
    </row>
    <row r="266" spans="1:10" ht="21" customHeight="1" x14ac:dyDescent="0.15">
      <c r="A266" s="127">
        <v>47004509</v>
      </c>
      <c r="B266" s="47">
        <v>0</v>
      </c>
      <c r="C266" s="47">
        <v>230</v>
      </c>
      <c r="D266" s="47">
        <v>100</v>
      </c>
      <c r="E266" s="47" t="s">
        <v>53</v>
      </c>
      <c r="F266" s="47" t="s">
        <v>53</v>
      </c>
      <c r="G266" s="47">
        <v>1</v>
      </c>
      <c r="H266" s="47" t="s">
        <v>53</v>
      </c>
      <c r="I266" s="113">
        <v>518</v>
      </c>
      <c r="J266" s="48">
        <f t="shared" si="5"/>
        <v>100</v>
      </c>
    </row>
    <row r="267" spans="1:10" ht="21" customHeight="1" x14ac:dyDescent="0.15">
      <c r="A267" s="127">
        <v>47004510</v>
      </c>
      <c r="B267" s="47">
        <v>0</v>
      </c>
      <c r="C267" s="47">
        <v>231</v>
      </c>
      <c r="D267" s="47">
        <v>100</v>
      </c>
      <c r="E267" s="47" t="s">
        <v>53</v>
      </c>
      <c r="F267" s="47" t="s">
        <v>53</v>
      </c>
      <c r="G267" s="47">
        <v>1</v>
      </c>
      <c r="H267" s="47" t="s">
        <v>53</v>
      </c>
      <c r="I267" s="113">
        <v>519</v>
      </c>
      <c r="J267" s="48">
        <f t="shared" si="5"/>
        <v>100</v>
      </c>
    </row>
    <row r="268" spans="1:10" ht="21" customHeight="1" x14ac:dyDescent="0.15">
      <c r="A268" s="127">
        <v>47004511</v>
      </c>
      <c r="B268" s="47">
        <v>0</v>
      </c>
      <c r="C268" s="47">
        <v>232</v>
      </c>
      <c r="D268" s="47">
        <v>100</v>
      </c>
      <c r="E268" s="47" t="s">
        <v>53</v>
      </c>
      <c r="F268" s="47" t="s">
        <v>53</v>
      </c>
      <c r="G268" s="47">
        <v>1</v>
      </c>
      <c r="H268" s="47" t="s">
        <v>53</v>
      </c>
      <c r="I268" s="113">
        <v>1277</v>
      </c>
      <c r="J268" s="48">
        <f t="shared" si="5"/>
        <v>100</v>
      </c>
    </row>
    <row r="269" spans="1:10" ht="21" customHeight="1" x14ac:dyDescent="0.15">
      <c r="A269" s="127">
        <v>47004512</v>
      </c>
      <c r="B269" s="47">
        <v>0</v>
      </c>
      <c r="C269" s="47">
        <v>220</v>
      </c>
      <c r="D269" s="47">
        <v>100</v>
      </c>
      <c r="E269" s="47" t="s">
        <v>53</v>
      </c>
      <c r="F269" s="47" t="s">
        <v>53</v>
      </c>
      <c r="G269" s="47">
        <v>1</v>
      </c>
      <c r="H269" s="47" t="s">
        <v>53</v>
      </c>
      <c r="I269" s="113">
        <v>514</v>
      </c>
      <c r="J269" s="48">
        <f t="shared" si="5"/>
        <v>100</v>
      </c>
    </row>
    <row r="270" spans="1:10" ht="21" customHeight="1" x14ac:dyDescent="0.15">
      <c r="A270" s="127">
        <v>47004513</v>
      </c>
      <c r="B270" s="47">
        <v>0</v>
      </c>
      <c r="C270" s="47">
        <v>221</v>
      </c>
      <c r="D270" s="47">
        <v>100</v>
      </c>
      <c r="E270" s="47" t="s">
        <v>53</v>
      </c>
      <c r="F270" s="47" t="s">
        <v>53</v>
      </c>
      <c r="G270" s="47">
        <v>1</v>
      </c>
      <c r="H270" s="47" t="s">
        <v>53</v>
      </c>
      <c r="I270" s="113">
        <v>515</v>
      </c>
      <c r="J270" s="48">
        <f t="shared" si="5"/>
        <v>100</v>
      </c>
    </row>
    <row r="271" spans="1:10" ht="21" customHeight="1" x14ac:dyDescent="0.15">
      <c r="A271" s="127">
        <v>47004514</v>
      </c>
      <c r="B271" s="47">
        <v>0</v>
      </c>
      <c r="C271" s="47">
        <v>222</v>
      </c>
      <c r="D271" s="47">
        <v>100</v>
      </c>
      <c r="E271" s="47" t="s">
        <v>53</v>
      </c>
      <c r="F271" s="47" t="s">
        <v>53</v>
      </c>
      <c r="G271" s="47">
        <v>1</v>
      </c>
      <c r="H271" s="47" t="s">
        <v>53</v>
      </c>
      <c r="I271" s="113">
        <v>1276</v>
      </c>
      <c r="J271" s="48">
        <f t="shared" si="5"/>
        <v>100</v>
      </c>
    </row>
    <row r="272" spans="1:10" ht="21" customHeight="1" x14ac:dyDescent="0.15">
      <c r="A272" s="127">
        <v>47004515</v>
      </c>
      <c r="B272" s="47">
        <v>0</v>
      </c>
      <c r="C272" s="47">
        <v>210</v>
      </c>
      <c r="D272" s="47">
        <v>100</v>
      </c>
      <c r="E272" s="47" t="s">
        <v>53</v>
      </c>
      <c r="F272" s="47" t="s">
        <v>53</v>
      </c>
      <c r="G272" s="47">
        <v>1</v>
      </c>
      <c r="H272" s="47" t="s">
        <v>53</v>
      </c>
      <c r="I272" s="113">
        <v>512</v>
      </c>
      <c r="J272" s="48">
        <f t="shared" si="5"/>
        <v>100</v>
      </c>
    </row>
    <row r="273" spans="1:10" ht="21" customHeight="1" x14ac:dyDescent="0.15">
      <c r="A273" s="127">
        <v>47004516</v>
      </c>
      <c r="B273" s="47">
        <v>0</v>
      </c>
      <c r="C273" s="47">
        <v>211</v>
      </c>
      <c r="D273" s="47">
        <v>100</v>
      </c>
      <c r="E273" s="47" t="s">
        <v>53</v>
      </c>
      <c r="F273" s="47" t="s">
        <v>53</v>
      </c>
      <c r="G273" s="47">
        <v>1</v>
      </c>
      <c r="H273" s="47" t="s">
        <v>53</v>
      </c>
      <c r="I273" s="113">
        <v>513</v>
      </c>
      <c r="J273" s="48">
        <f t="shared" si="5"/>
        <v>100</v>
      </c>
    </row>
    <row r="274" spans="1:10" ht="21" customHeight="1" x14ac:dyDescent="0.15">
      <c r="A274" s="127">
        <v>47004517</v>
      </c>
      <c r="B274" s="47">
        <v>0</v>
      </c>
      <c r="C274" s="47">
        <v>212</v>
      </c>
      <c r="D274" s="47">
        <v>100</v>
      </c>
      <c r="E274" s="47" t="s">
        <v>53</v>
      </c>
      <c r="F274" s="47" t="s">
        <v>53</v>
      </c>
      <c r="G274" s="47">
        <v>1</v>
      </c>
      <c r="H274" s="47" t="s">
        <v>53</v>
      </c>
      <c r="I274" s="113">
        <v>1275</v>
      </c>
      <c r="J274" s="48">
        <f t="shared" si="5"/>
        <v>100</v>
      </c>
    </row>
    <row r="275" spans="1:10" ht="21" customHeight="1" x14ac:dyDescent="0.15">
      <c r="A275" s="127">
        <v>47004518</v>
      </c>
      <c r="B275" s="47">
        <v>0</v>
      </c>
      <c r="C275" s="47">
        <v>209</v>
      </c>
      <c r="D275" s="47">
        <v>100</v>
      </c>
      <c r="E275" s="47" t="s">
        <v>53</v>
      </c>
      <c r="F275" s="47" t="s">
        <v>53</v>
      </c>
      <c r="G275" s="47">
        <v>1</v>
      </c>
      <c r="H275" s="47" t="s">
        <v>53</v>
      </c>
      <c r="I275" s="113">
        <v>1281</v>
      </c>
      <c r="J275" s="48">
        <f t="shared" si="5"/>
        <v>100</v>
      </c>
    </row>
    <row r="276" spans="1:10" ht="21" customHeight="1" x14ac:dyDescent="0.15">
      <c r="A276" s="127">
        <v>47004521</v>
      </c>
      <c r="B276" s="47">
        <v>1</v>
      </c>
      <c r="C276" s="47">
        <v>100</v>
      </c>
      <c r="D276" s="47">
        <v>100</v>
      </c>
      <c r="E276" s="47" t="s">
        <v>53</v>
      </c>
      <c r="F276" s="47" t="s">
        <v>53</v>
      </c>
      <c r="G276" s="47">
        <v>1</v>
      </c>
      <c r="H276" s="47" t="s">
        <v>53</v>
      </c>
      <c r="I276" s="47" t="s">
        <v>53</v>
      </c>
      <c r="J276" s="48">
        <f t="shared" si="5"/>
        <v>100</v>
      </c>
    </row>
    <row r="277" spans="1:10" ht="21" customHeight="1" x14ac:dyDescent="0.15">
      <c r="A277" s="127">
        <v>47004522</v>
      </c>
      <c r="B277" s="47">
        <v>0</v>
      </c>
      <c r="C277" s="47">
        <v>110</v>
      </c>
      <c r="D277" s="47">
        <v>100</v>
      </c>
      <c r="E277" s="47" t="s">
        <v>53</v>
      </c>
      <c r="F277" s="47" t="s">
        <v>53</v>
      </c>
      <c r="G277" s="47" t="s">
        <v>53</v>
      </c>
      <c r="H277" s="47">
        <v>2</v>
      </c>
      <c r="I277" s="47" t="s">
        <v>53</v>
      </c>
      <c r="J277" s="48">
        <f t="shared" si="5"/>
        <v>100</v>
      </c>
    </row>
    <row r="278" spans="1:10" ht="21" customHeight="1" x14ac:dyDescent="0.15">
      <c r="A278" s="127">
        <v>47004523</v>
      </c>
      <c r="B278" s="47">
        <v>0</v>
      </c>
      <c r="C278" s="47">
        <v>120</v>
      </c>
      <c r="D278" s="47">
        <v>100</v>
      </c>
      <c r="E278" s="47" t="s">
        <v>53</v>
      </c>
      <c r="F278" s="47" t="s">
        <v>53</v>
      </c>
      <c r="G278" s="47">
        <v>1</v>
      </c>
      <c r="H278" s="47">
        <v>3</v>
      </c>
      <c r="I278" s="47" t="s">
        <v>53</v>
      </c>
      <c r="J278" s="48">
        <f t="shared" si="5"/>
        <v>100</v>
      </c>
    </row>
    <row r="279" spans="1:10" ht="21" customHeight="1" x14ac:dyDescent="0.15">
      <c r="A279" s="127">
        <v>47004524</v>
      </c>
      <c r="B279" s="47">
        <v>1</v>
      </c>
      <c r="C279" s="47">
        <v>250</v>
      </c>
      <c r="D279" s="47">
        <v>100</v>
      </c>
      <c r="E279" s="47" t="s">
        <v>53</v>
      </c>
      <c r="F279" s="47" t="s">
        <v>53</v>
      </c>
      <c r="G279" s="47">
        <v>1</v>
      </c>
      <c r="H279" s="47" t="s">
        <v>53</v>
      </c>
      <c r="I279" s="113">
        <v>1278</v>
      </c>
      <c r="J279" s="48">
        <f t="shared" si="5"/>
        <v>100</v>
      </c>
    </row>
    <row r="280" spans="1:10" ht="21" customHeight="1" x14ac:dyDescent="0.15">
      <c r="A280" s="127">
        <v>47004525</v>
      </c>
      <c r="B280" s="47">
        <v>1</v>
      </c>
      <c r="C280" s="47">
        <v>251</v>
      </c>
      <c r="D280" s="47">
        <v>100</v>
      </c>
      <c r="E280" s="47" t="s">
        <v>53</v>
      </c>
      <c r="F280" s="47" t="s">
        <v>53</v>
      </c>
      <c r="G280" s="47">
        <v>1</v>
      </c>
      <c r="H280" s="47" t="s">
        <v>53</v>
      </c>
      <c r="I280" s="113">
        <v>1279</v>
      </c>
      <c r="J280" s="48">
        <f t="shared" si="5"/>
        <v>100</v>
      </c>
    </row>
    <row r="281" spans="1:10" ht="21" customHeight="1" x14ac:dyDescent="0.15">
      <c r="A281" s="127">
        <v>47004526</v>
      </c>
      <c r="B281" s="47">
        <v>1</v>
      </c>
      <c r="C281" s="47">
        <v>240</v>
      </c>
      <c r="D281" s="47">
        <v>100</v>
      </c>
      <c r="E281" s="47" t="s">
        <v>53</v>
      </c>
      <c r="F281" s="47" t="s">
        <v>53</v>
      </c>
      <c r="G281" s="47">
        <v>1</v>
      </c>
      <c r="H281" s="47" t="s">
        <v>53</v>
      </c>
      <c r="I281" s="113">
        <v>516</v>
      </c>
      <c r="J281" s="48">
        <f t="shared" si="5"/>
        <v>100</v>
      </c>
    </row>
    <row r="282" spans="1:10" ht="21" customHeight="1" x14ac:dyDescent="0.15">
      <c r="A282" s="127">
        <v>47004527</v>
      </c>
      <c r="B282" s="47">
        <v>1</v>
      </c>
      <c r="C282" s="47">
        <v>241</v>
      </c>
      <c r="D282" s="47">
        <v>100</v>
      </c>
      <c r="E282" s="47" t="s">
        <v>53</v>
      </c>
      <c r="F282" s="47" t="s">
        <v>53</v>
      </c>
      <c r="G282" s="47">
        <v>1</v>
      </c>
      <c r="H282" s="47" t="s">
        <v>53</v>
      </c>
      <c r="I282" s="113">
        <v>517</v>
      </c>
      <c r="J282" s="48">
        <f t="shared" si="5"/>
        <v>100</v>
      </c>
    </row>
    <row r="283" spans="1:10" ht="21" customHeight="1" x14ac:dyDescent="0.15">
      <c r="A283" s="127">
        <v>47004528</v>
      </c>
      <c r="B283" s="47">
        <v>1</v>
      </c>
      <c r="C283" s="47">
        <v>242</v>
      </c>
      <c r="D283" s="47">
        <v>100</v>
      </c>
      <c r="E283" s="47" t="s">
        <v>53</v>
      </c>
      <c r="F283" s="47" t="s">
        <v>53</v>
      </c>
      <c r="G283" s="47">
        <v>1</v>
      </c>
      <c r="H283" s="47" t="s">
        <v>53</v>
      </c>
      <c r="I283" s="113">
        <v>1274</v>
      </c>
      <c r="J283" s="48">
        <f t="shared" si="5"/>
        <v>100</v>
      </c>
    </row>
    <row r="284" spans="1:10" ht="21" customHeight="1" x14ac:dyDescent="0.15">
      <c r="A284" s="127">
        <v>47004529</v>
      </c>
      <c r="B284" s="47">
        <v>0</v>
      </c>
      <c r="C284" s="47">
        <v>230</v>
      </c>
      <c r="D284" s="47">
        <v>100</v>
      </c>
      <c r="E284" s="47" t="s">
        <v>53</v>
      </c>
      <c r="F284" s="47" t="s">
        <v>53</v>
      </c>
      <c r="G284" s="47">
        <v>1</v>
      </c>
      <c r="H284" s="47" t="s">
        <v>53</v>
      </c>
      <c r="I284" s="113">
        <v>518</v>
      </c>
      <c r="J284" s="48">
        <f t="shared" si="5"/>
        <v>100</v>
      </c>
    </row>
    <row r="285" spans="1:10" ht="21" customHeight="1" x14ac:dyDescent="0.15">
      <c r="A285" s="127">
        <v>47004530</v>
      </c>
      <c r="B285" s="47">
        <v>0</v>
      </c>
      <c r="C285" s="47">
        <v>231</v>
      </c>
      <c r="D285" s="47">
        <v>100</v>
      </c>
      <c r="E285" s="47" t="s">
        <v>53</v>
      </c>
      <c r="F285" s="47" t="s">
        <v>53</v>
      </c>
      <c r="G285" s="47">
        <v>1</v>
      </c>
      <c r="H285" s="47" t="s">
        <v>53</v>
      </c>
      <c r="I285" s="113">
        <v>519</v>
      </c>
      <c r="J285" s="48">
        <f t="shared" si="5"/>
        <v>100</v>
      </c>
    </row>
    <row r="286" spans="1:10" ht="21" customHeight="1" x14ac:dyDescent="0.15">
      <c r="A286" s="127">
        <v>47004531</v>
      </c>
      <c r="B286" s="47">
        <v>0</v>
      </c>
      <c r="C286" s="47">
        <v>232</v>
      </c>
      <c r="D286" s="47">
        <v>100</v>
      </c>
      <c r="E286" s="47" t="s">
        <v>53</v>
      </c>
      <c r="F286" s="47" t="s">
        <v>53</v>
      </c>
      <c r="G286" s="47">
        <v>1</v>
      </c>
      <c r="H286" s="47" t="s">
        <v>53</v>
      </c>
      <c r="I286" s="113">
        <v>1277</v>
      </c>
      <c r="J286" s="48">
        <f t="shared" si="5"/>
        <v>100</v>
      </c>
    </row>
    <row r="287" spans="1:10" ht="21" customHeight="1" x14ac:dyDescent="0.15">
      <c r="A287" s="127">
        <v>47004532</v>
      </c>
      <c r="B287" s="47">
        <v>0</v>
      </c>
      <c r="C287" s="47">
        <v>220</v>
      </c>
      <c r="D287" s="47">
        <v>100</v>
      </c>
      <c r="E287" s="47" t="s">
        <v>53</v>
      </c>
      <c r="F287" s="47" t="s">
        <v>53</v>
      </c>
      <c r="G287" s="47">
        <v>1</v>
      </c>
      <c r="H287" s="47" t="s">
        <v>53</v>
      </c>
      <c r="I287" s="113">
        <v>514</v>
      </c>
      <c r="J287" s="48">
        <f t="shared" si="5"/>
        <v>100</v>
      </c>
    </row>
    <row r="288" spans="1:10" ht="21" customHeight="1" x14ac:dyDescent="0.15">
      <c r="A288" s="127">
        <v>47004533</v>
      </c>
      <c r="B288" s="47">
        <v>0</v>
      </c>
      <c r="C288" s="47">
        <v>221</v>
      </c>
      <c r="D288" s="47">
        <v>100</v>
      </c>
      <c r="E288" s="47" t="s">
        <v>53</v>
      </c>
      <c r="F288" s="47" t="s">
        <v>53</v>
      </c>
      <c r="G288" s="47">
        <v>1</v>
      </c>
      <c r="H288" s="47" t="s">
        <v>53</v>
      </c>
      <c r="I288" s="113">
        <v>515</v>
      </c>
      <c r="J288" s="48">
        <f t="shared" si="5"/>
        <v>100</v>
      </c>
    </row>
    <row r="289" spans="1:10" ht="21" customHeight="1" x14ac:dyDescent="0.15">
      <c r="A289" s="127">
        <v>47004534</v>
      </c>
      <c r="B289" s="47">
        <v>0</v>
      </c>
      <c r="C289" s="47">
        <v>222</v>
      </c>
      <c r="D289" s="47">
        <v>100</v>
      </c>
      <c r="E289" s="47" t="s">
        <v>53</v>
      </c>
      <c r="F289" s="47" t="s">
        <v>53</v>
      </c>
      <c r="G289" s="47">
        <v>1</v>
      </c>
      <c r="H289" s="47" t="s">
        <v>53</v>
      </c>
      <c r="I289" s="113">
        <v>1276</v>
      </c>
      <c r="J289" s="48">
        <f t="shared" si="5"/>
        <v>100</v>
      </c>
    </row>
    <row r="290" spans="1:10" ht="21" customHeight="1" x14ac:dyDescent="0.15">
      <c r="A290" s="127">
        <v>47004535</v>
      </c>
      <c r="B290" s="47">
        <v>0</v>
      </c>
      <c r="C290" s="47">
        <v>210</v>
      </c>
      <c r="D290" s="47">
        <v>100</v>
      </c>
      <c r="E290" s="47" t="s">
        <v>53</v>
      </c>
      <c r="F290" s="47" t="s">
        <v>53</v>
      </c>
      <c r="G290" s="47">
        <v>1</v>
      </c>
      <c r="H290" s="47" t="s">
        <v>53</v>
      </c>
      <c r="I290" s="113">
        <v>512</v>
      </c>
      <c r="J290" s="48">
        <f t="shared" si="5"/>
        <v>100</v>
      </c>
    </row>
    <row r="291" spans="1:10" ht="21" customHeight="1" x14ac:dyDescent="0.15">
      <c r="A291" s="127">
        <v>47004536</v>
      </c>
      <c r="B291" s="47">
        <v>0</v>
      </c>
      <c r="C291" s="47">
        <v>211</v>
      </c>
      <c r="D291" s="47">
        <v>100</v>
      </c>
      <c r="E291" s="47" t="s">
        <v>53</v>
      </c>
      <c r="F291" s="47" t="s">
        <v>53</v>
      </c>
      <c r="G291" s="47">
        <v>1</v>
      </c>
      <c r="H291" s="47" t="s">
        <v>53</v>
      </c>
      <c r="I291" s="113">
        <v>513</v>
      </c>
      <c r="J291" s="48">
        <f t="shared" si="5"/>
        <v>100</v>
      </c>
    </row>
    <row r="292" spans="1:10" ht="21" customHeight="1" x14ac:dyDescent="0.15">
      <c r="A292" s="127">
        <v>47004537</v>
      </c>
      <c r="B292" s="47">
        <v>0</v>
      </c>
      <c r="C292" s="47">
        <v>212</v>
      </c>
      <c r="D292" s="47">
        <v>100</v>
      </c>
      <c r="E292" s="47" t="s">
        <v>53</v>
      </c>
      <c r="F292" s="47" t="s">
        <v>53</v>
      </c>
      <c r="G292" s="47">
        <v>1</v>
      </c>
      <c r="H292" s="47" t="s">
        <v>53</v>
      </c>
      <c r="I292" s="113">
        <v>1275</v>
      </c>
      <c r="J292" s="48">
        <f t="shared" si="5"/>
        <v>100</v>
      </c>
    </row>
    <row r="293" spans="1:10" ht="21" customHeight="1" x14ac:dyDescent="0.15">
      <c r="A293" s="127">
        <v>47004538</v>
      </c>
      <c r="B293" s="47">
        <v>0</v>
      </c>
      <c r="C293" s="47">
        <v>209</v>
      </c>
      <c r="D293" s="47">
        <v>100</v>
      </c>
      <c r="E293" s="47" t="s">
        <v>53</v>
      </c>
      <c r="F293" s="47" t="s">
        <v>53</v>
      </c>
      <c r="G293" s="47">
        <v>1</v>
      </c>
      <c r="H293" s="47" t="s">
        <v>53</v>
      </c>
      <c r="I293" s="113">
        <v>1280</v>
      </c>
      <c r="J293" s="48">
        <f t="shared" si="5"/>
        <v>100</v>
      </c>
    </row>
    <row r="294" spans="1:10" ht="21" customHeight="1" x14ac:dyDescent="0.15">
      <c r="A294" s="127">
        <v>47004541</v>
      </c>
      <c r="B294" s="47">
        <v>1</v>
      </c>
      <c r="C294" s="47">
        <v>100</v>
      </c>
      <c r="D294" s="47">
        <v>100</v>
      </c>
      <c r="E294" s="47" t="s">
        <v>53</v>
      </c>
      <c r="F294" s="47" t="s">
        <v>53</v>
      </c>
      <c r="G294" s="47">
        <v>1</v>
      </c>
      <c r="H294" s="47" t="s">
        <v>53</v>
      </c>
      <c r="I294" s="47" t="s">
        <v>53</v>
      </c>
      <c r="J294" s="48">
        <f t="shared" si="5"/>
        <v>100</v>
      </c>
    </row>
    <row r="295" spans="1:10" ht="21" customHeight="1" x14ac:dyDescent="0.15">
      <c r="A295" s="127">
        <v>47004542</v>
      </c>
      <c r="B295" s="47">
        <v>0</v>
      </c>
      <c r="C295" s="47">
        <v>110</v>
      </c>
      <c r="D295" s="47">
        <v>100</v>
      </c>
      <c r="E295" s="47" t="s">
        <v>53</v>
      </c>
      <c r="F295" s="47" t="s">
        <v>53</v>
      </c>
      <c r="G295" s="47" t="s">
        <v>53</v>
      </c>
      <c r="H295" s="47">
        <v>2</v>
      </c>
      <c r="I295" s="47" t="s">
        <v>53</v>
      </c>
      <c r="J295" s="48">
        <f t="shared" si="5"/>
        <v>100</v>
      </c>
    </row>
    <row r="296" spans="1:10" ht="21" customHeight="1" x14ac:dyDescent="0.15">
      <c r="A296" s="127">
        <v>47004543</v>
      </c>
      <c r="B296" s="47">
        <v>0</v>
      </c>
      <c r="C296" s="47">
        <v>120</v>
      </c>
      <c r="D296" s="47">
        <v>100</v>
      </c>
      <c r="E296" s="47" t="s">
        <v>53</v>
      </c>
      <c r="F296" s="47" t="s">
        <v>53</v>
      </c>
      <c r="G296" s="47" t="s">
        <v>53</v>
      </c>
      <c r="H296" s="47">
        <v>3</v>
      </c>
      <c r="I296" s="47" t="s">
        <v>53</v>
      </c>
      <c r="J296" s="48">
        <f t="shared" si="5"/>
        <v>100</v>
      </c>
    </row>
    <row r="297" spans="1:10" ht="21" customHeight="1" x14ac:dyDescent="0.15">
      <c r="A297" s="127">
        <v>47004544</v>
      </c>
      <c r="B297" s="47">
        <v>0</v>
      </c>
      <c r="C297" s="47">
        <v>140</v>
      </c>
      <c r="D297" s="47">
        <v>100</v>
      </c>
      <c r="E297" s="47">
        <v>50</v>
      </c>
      <c r="F297" s="47" t="s">
        <v>53</v>
      </c>
      <c r="G297" s="47">
        <v>1</v>
      </c>
      <c r="H297" s="47">
        <v>1</v>
      </c>
      <c r="I297" s="47" t="s">
        <v>53</v>
      </c>
      <c r="J297" s="48">
        <f t="shared" si="5"/>
        <v>100</v>
      </c>
    </row>
    <row r="298" spans="1:10" ht="21" customHeight="1" x14ac:dyDescent="0.15">
      <c r="A298" s="127">
        <v>47004551</v>
      </c>
      <c r="B298" s="47">
        <v>1</v>
      </c>
      <c r="C298" s="47">
        <v>100</v>
      </c>
      <c r="D298" s="47">
        <v>100</v>
      </c>
      <c r="E298" s="47" t="s">
        <v>53</v>
      </c>
      <c r="F298" s="47" t="s">
        <v>53</v>
      </c>
      <c r="G298" s="47">
        <v>1</v>
      </c>
      <c r="H298" s="47" t="s">
        <v>53</v>
      </c>
      <c r="I298" s="47" t="s">
        <v>53</v>
      </c>
      <c r="J298" s="48">
        <f t="shared" si="5"/>
        <v>100</v>
      </c>
    </row>
    <row r="299" spans="1:10" ht="21" customHeight="1" x14ac:dyDescent="0.15">
      <c r="A299" s="127">
        <v>47004552</v>
      </c>
      <c r="B299" s="47">
        <v>0</v>
      </c>
      <c r="C299" s="47">
        <v>110</v>
      </c>
      <c r="D299" s="47">
        <v>100</v>
      </c>
      <c r="E299" s="47" t="s">
        <v>53</v>
      </c>
      <c r="F299" s="47" t="s">
        <v>53</v>
      </c>
      <c r="G299" s="47">
        <v>1</v>
      </c>
      <c r="H299" s="47">
        <v>1</v>
      </c>
      <c r="I299" s="47" t="s">
        <v>53</v>
      </c>
      <c r="J299" s="48">
        <f t="shared" si="5"/>
        <v>100</v>
      </c>
    </row>
    <row r="300" spans="1:10" ht="21" customHeight="1" x14ac:dyDescent="0.15">
      <c r="A300" s="127">
        <v>47004561</v>
      </c>
      <c r="B300" s="47">
        <v>1</v>
      </c>
      <c r="C300" s="47">
        <v>100</v>
      </c>
      <c r="D300" s="47">
        <v>100</v>
      </c>
      <c r="E300" s="47" t="s">
        <v>53</v>
      </c>
      <c r="F300" s="47" t="s">
        <v>53</v>
      </c>
      <c r="G300" s="47">
        <v>1</v>
      </c>
      <c r="H300" s="47" t="s">
        <v>53</v>
      </c>
      <c r="I300" s="47" t="s">
        <v>53</v>
      </c>
      <c r="J300" s="48">
        <f t="shared" si="5"/>
        <v>100</v>
      </c>
    </row>
    <row r="301" spans="1:10" ht="21" customHeight="1" x14ac:dyDescent="0.15">
      <c r="A301" s="127">
        <v>47004562</v>
      </c>
      <c r="B301" s="47">
        <v>0</v>
      </c>
      <c r="C301" s="47">
        <v>110</v>
      </c>
      <c r="D301" s="47">
        <v>100</v>
      </c>
      <c r="E301" s="47" t="s">
        <v>53</v>
      </c>
      <c r="F301" s="47" t="s">
        <v>53</v>
      </c>
      <c r="G301" s="47">
        <v>1</v>
      </c>
      <c r="H301" s="47">
        <v>1</v>
      </c>
      <c r="I301" s="47" t="s">
        <v>53</v>
      </c>
      <c r="J301" s="48">
        <f t="shared" si="5"/>
        <v>100</v>
      </c>
    </row>
    <row r="302" spans="1:10" ht="21" customHeight="1" x14ac:dyDescent="0.15">
      <c r="A302" s="127">
        <v>47004563</v>
      </c>
      <c r="B302" s="47">
        <v>1</v>
      </c>
      <c r="C302" s="47">
        <v>250</v>
      </c>
      <c r="D302" s="47">
        <v>100</v>
      </c>
      <c r="E302" s="47" t="s">
        <v>53</v>
      </c>
      <c r="F302" s="47" t="s">
        <v>53</v>
      </c>
      <c r="G302" s="47">
        <v>1</v>
      </c>
      <c r="H302" s="47">
        <v>1</v>
      </c>
      <c r="I302" s="113">
        <v>1278</v>
      </c>
      <c r="J302" s="48">
        <f t="shared" si="5"/>
        <v>100</v>
      </c>
    </row>
    <row r="303" spans="1:10" ht="21" customHeight="1" x14ac:dyDescent="0.15">
      <c r="A303" s="127">
        <v>47004564</v>
      </c>
      <c r="B303" s="47">
        <v>1</v>
      </c>
      <c r="C303" s="47">
        <v>251</v>
      </c>
      <c r="D303" s="47">
        <v>100</v>
      </c>
      <c r="E303" s="47" t="s">
        <v>53</v>
      </c>
      <c r="F303" s="47" t="s">
        <v>53</v>
      </c>
      <c r="G303" s="47">
        <v>1</v>
      </c>
      <c r="H303" s="47">
        <v>1</v>
      </c>
      <c r="I303" s="113">
        <v>1279</v>
      </c>
      <c r="J303" s="48">
        <f t="shared" si="5"/>
        <v>100</v>
      </c>
    </row>
    <row r="304" spans="1:10" ht="21" customHeight="1" x14ac:dyDescent="0.15">
      <c r="A304" s="127">
        <v>47004565</v>
      </c>
      <c r="B304" s="47">
        <v>1</v>
      </c>
      <c r="C304" s="47">
        <v>240</v>
      </c>
      <c r="D304" s="47">
        <v>100</v>
      </c>
      <c r="E304" s="47" t="s">
        <v>53</v>
      </c>
      <c r="F304" s="47" t="s">
        <v>53</v>
      </c>
      <c r="G304" s="47">
        <v>1</v>
      </c>
      <c r="H304" s="47">
        <v>1</v>
      </c>
      <c r="I304" s="113">
        <v>516</v>
      </c>
      <c r="J304" s="48">
        <f t="shared" si="5"/>
        <v>100</v>
      </c>
    </row>
    <row r="305" spans="1:10" ht="21" customHeight="1" x14ac:dyDescent="0.15">
      <c r="A305" s="127">
        <v>47004566</v>
      </c>
      <c r="B305" s="47">
        <v>1</v>
      </c>
      <c r="C305" s="47">
        <v>241</v>
      </c>
      <c r="D305" s="47">
        <v>100</v>
      </c>
      <c r="E305" s="47" t="s">
        <v>53</v>
      </c>
      <c r="F305" s="47" t="s">
        <v>53</v>
      </c>
      <c r="G305" s="47">
        <v>1</v>
      </c>
      <c r="H305" s="47">
        <v>1</v>
      </c>
      <c r="I305" s="113">
        <v>517</v>
      </c>
      <c r="J305" s="48">
        <f t="shared" si="5"/>
        <v>100</v>
      </c>
    </row>
    <row r="306" spans="1:10" ht="21" customHeight="1" x14ac:dyDescent="0.15">
      <c r="A306" s="127">
        <v>47004567</v>
      </c>
      <c r="B306" s="47">
        <v>1</v>
      </c>
      <c r="C306" s="47">
        <v>242</v>
      </c>
      <c r="D306" s="47">
        <v>100</v>
      </c>
      <c r="E306" s="47" t="s">
        <v>53</v>
      </c>
      <c r="F306" s="47" t="s">
        <v>53</v>
      </c>
      <c r="G306" s="47">
        <v>1</v>
      </c>
      <c r="H306" s="47">
        <v>1</v>
      </c>
      <c r="I306" s="113">
        <v>1274</v>
      </c>
      <c r="J306" s="48">
        <f t="shared" si="5"/>
        <v>100</v>
      </c>
    </row>
    <row r="307" spans="1:10" ht="21" customHeight="1" x14ac:dyDescent="0.15">
      <c r="A307" s="127">
        <v>47004568</v>
      </c>
      <c r="B307" s="47">
        <v>1</v>
      </c>
      <c r="C307" s="47">
        <v>220</v>
      </c>
      <c r="D307" s="47">
        <v>100</v>
      </c>
      <c r="E307" s="47" t="s">
        <v>53</v>
      </c>
      <c r="F307" s="47" t="s">
        <v>53</v>
      </c>
      <c r="G307" s="47">
        <v>1</v>
      </c>
      <c r="H307" s="47">
        <v>1</v>
      </c>
      <c r="I307" s="113">
        <v>514</v>
      </c>
      <c r="J307" s="48">
        <f t="shared" si="5"/>
        <v>100</v>
      </c>
    </row>
    <row r="308" spans="1:10" ht="21" customHeight="1" x14ac:dyDescent="0.15">
      <c r="A308" s="127">
        <v>47004569</v>
      </c>
      <c r="B308" s="47">
        <v>1</v>
      </c>
      <c r="C308" s="47">
        <v>221</v>
      </c>
      <c r="D308" s="47">
        <v>100</v>
      </c>
      <c r="E308" s="47" t="s">
        <v>53</v>
      </c>
      <c r="F308" s="47" t="s">
        <v>53</v>
      </c>
      <c r="G308" s="47">
        <v>1</v>
      </c>
      <c r="H308" s="47">
        <v>1</v>
      </c>
      <c r="I308" s="113">
        <v>515</v>
      </c>
      <c r="J308" s="48">
        <f t="shared" si="5"/>
        <v>100</v>
      </c>
    </row>
    <row r="309" spans="1:10" ht="21" customHeight="1" x14ac:dyDescent="0.15">
      <c r="A309" s="127">
        <v>47004570</v>
      </c>
      <c r="B309" s="47">
        <v>1</v>
      </c>
      <c r="C309" s="47">
        <v>222</v>
      </c>
      <c r="D309" s="47">
        <v>100</v>
      </c>
      <c r="E309" s="47" t="s">
        <v>53</v>
      </c>
      <c r="F309" s="47" t="s">
        <v>53</v>
      </c>
      <c r="G309" s="47">
        <v>1</v>
      </c>
      <c r="H309" s="47">
        <v>1</v>
      </c>
      <c r="I309" s="113">
        <v>1276</v>
      </c>
      <c r="J309" s="48">
        <f t="shared" si="5"/>
        <v>100</v>
      </c>
    </row>
    <row r="310" spans="1:10" ht="21" customHeight="1" x14ac:dyDescent="0.15">
      <c r="A310" s="127">
        <v>47004571</v>
      </c>
      <c r="B310" s="47">
        <v>1</v>
      </c>
      <c r="C310" s="47">
        <v>210</v>
      </c>
      <c r="D310" s="47">
        <v>100</v>
      </c>
      <c r="E310" s="47" t="s">
        <v>53</v>
      </c>
      <c r="F310" s="47" t="s">
        <v>53</v>
      </c>
      <c r="G310" s="47">
        <v>1</v>
      </c>
      <c r="H310" s="47">
        <v>1</v>
      </c>
      <c r="I310" s="113">
        <v>512</v>
      </c>
      <c r="J310" s="48">
        <f t="shared" si="5"/>
        <v>100</v>
      </c>
    </row>
    <row r="311" spans="1:10" ht="21" customHeight="1" x14ac:dyDescent="0.15">
      <c r="A311" s="127">
        <v>47004572</v>
      </c>
      <c r="B311" s="47">
        <v>1</v>
      </c>
      <c r="C311" s="47">
        <v>211</v>
      </c>
      <c r="D311" s="47">
        <v>100</v>
      </c>
      <c r="E311" s="47" t="s">
        <v>53</v>
      </c>
      <c r="F311" s="47" t="s">
        <v>53</v>
      </c>
      <c r="G311" s="47">
        <v>1</v>
      </c>
      <c r="H311" s="47">
        <v>1</v>
      </c>
      <c r="I311" s="113">
        <v>513</v>
      </c>
      <c r="J311" s="48">
        <f t="shared" si="5"/>
        <v>100</v>
      </c>
    </row>
    <row r="312" spans="1:10" ht="21" customHeight="1" x14ac:dyDescent="0.15">
      <c r="A312" s="127">
        <v>47004573</v>
      </c>
      <c r="B312" s="47">
        <v>1</v>
      </c>
      <c r="C312" s="47">
        <v>212</v>
      </c>
      <c r="D312" s="47">
        <v>100</v>
      </c>
      <c r="E312" s="47" t="s">
        <v>53</v>
      </c>
      <c r="F312" s="47" t="s">
        <v>53</v>
      </c>
      <c r="G312" s="47">
        <v>1</v>
      </c>
      <c r="H312" s="47">
        <v>1</v>
      </c>
      <c r="I312" s="113">
        <v>1275</v>
      </c>
      <c r="J312" s="48">
        <f t="shared" si="5"/>
        <v>100</v>
      </c>
    </row>
    <row r="313" spans="1:10" ht="21" customHeight="1" x14ac:dyDescent="0.15">
      <c r="A313" s="127">
        <v>47004574</v>
      </c>
      <c r="B313" s="47">
        <v>1</v>
      </c>
      <c r="C313" s="47">
        <v>209</v>
      </c>
      <c r="D313" s="47">
        <v>100</v>
      </c>
      <c r="E313" s="47" t="s">
        <v>53</v>
      </c>
      <c r="F313" s="47" t="s">
        <v>53</v>
      </c>
      <c r="G313" s="47">
        <v>1</v>
      </c>
      <c r="H313" s="47">
        <v>1</v>
      </c>
      <c r="I313" s="113">
        <v>1281</v>
      </c>
      <c r="J313" s="48">
        <f t="shared" si="5"/>
        <v>100</v>
      </c>
    </row>
    <row r="314" spans="1:10" ht="21" customHeight="1" x14ac:dyDescent="0.15">
      <c r="A314" s="127">
        <v>47004575</v>
      </c>
      <c r="B314" s="47">
        <v>1</v>
      </c>
      <c r="C314" s="47">
        <v>208</v>
      </c>
      <c r="D314" s="47">
        <v>100</v>
      </c>
      <c r="E314" s="47" t="s">
        <v>53</v>
      </c>
      <c r="F314" s="47" t="s">
        <v>53</v>
      </c>
      <c r="G314" s="47">
        <v>1</v>
      </c>
      <c r="H314" s="47">
        <v>1</v>
      </c>
      <c r="I314" s="113">
        <v>1280</v>
      </c>
      <c r="J314" s="48">
        <f t="shared" si="5"/>
        <v>100</v>
      </c>
    </row>
    <row r="315" spans="1:10" ht="21" customHeight="1" x14ac:dyDescent="0.15">
      <c r="A315" s="127">
        <v>47004581</v>
      </c>
      <c r="B315" s="47">
        <v>1</v>
      </c>
      <c r="C315" s="47">
        <v>100</v>
      </c>
      <c r="D315" s="47">
        <v>100</v>
      </c>
      <c r="E315" s="47" t="s">
        <v>53</v>
      </c>
      <c r="F315" s="47" t="s">
        <v>53</v>
      </c>
      <c r="G315" s="47">
        <v>1</v>
      </c>
      <c r="H315" s="47" t="s">
        <v>53</v>
      </c>
      <c r="I315" s="47" t="s">
        <v>53</v>
      </c>
      <c r="J315" s="48">
        <f t="shared" si="5"/>
        <v>100</v>
      </c>
    </row>
    <row r="316" spans="1:10" ht="21" customHeight="1" x14ac:dyDescent="0.15">
      <c r="A316" s="127">
        <v>47004582</v>
      </c>
      <c r="B316" s="47">
        <v>0</v>
      </c>
      <c r="C316" s="47">
        <v>200</v>
      </c>
      <c r="D316" s="47">
        <v>100</v>
      </c>
      <c r="E316" s="47" t="s">
        <v>53</v>
      </c>
      <c r="F316" s="47" t="s">
        <v>53</v>
      </c>
      <c r="G316" s="47">
        <v>1</v>
      </c>
      <c r="H316" s="47">
        <v>1</v>
      </c>
      <c r="I316" s="47" t="s">
        <v>53</v>
      </c>
      <c r="J316" s="48">
        <f t="shared" si="5"/>
        <v>100</v>
      </c>
    </row>
    <row r="317" spans="1:10" ht="21" customHeight="1" x14ac:dyDescent="0.15">
      <c r="A317" s="127">
        <v>47004583</v>
      </c>
      <c r="B317" s="47">
        <v>0</v>
      </c>
      <c r="C317" s="47">
        <v>201</v>
      </c>
      <c r="D317" s="47">
        <v>100</v>
      </c>
      <c r="E317" s="47" t="s">
        <v>53</v>
      </c>
      <c r="F317" s="47" t="s">
        <v>53</v>
      </c>
      <c r="G317" s="47">
        <v>1</v>
      </c>
      <c r="H317" s="47">
        <v>2</v>
      </c>
      <c r="I317" s="47" t="s">
        <v>53</v>
      </c>
      <c r="J317" s="48">
        <f t="shared" si="5"/>
        <v>100</v>
      </c>
    </row>
    <row r="318" spans="1:10" ht="21" customHeight="1" x14ac:dyDescent="0.15">
      <c r="A318" s="127">
        <v>47004584</v>
      </c>
      <c r="B318" s="47">
        <v>0</v>
      </c>
      <c r="C318" s="47">
        <v>110</v>
      </c>
      <c r="D318" s="47">
        <v>100</v>
      </c>
      <c r="E318" s="47" t="s">
        <v>53</v>
      </c>
      <c r="F318" s="47" t="s">
        <v>53</v>
      </c>
      <c r="G318" s="47" t="s">
        <v>53</v>
      </c>
      <c r="H318" s="47">
        <v>2</v>
      </c>
      <c r="I318" s="47" t="s">
        <v>53</v>
      </c>
      <c r="J318" s="48">
        <f t="shared" si="5"/>
        <v>100</v>
      </c>
    </row>
    <row r="319" spans="1:10" ht="21" customHeight="1" x14ac:dyDescent="0.15">
      <c r="A319" s="127">
        <v>47004585</v>
      </c>
      <c r="B319" s="47">
        <v>0</v>
      </c>
      <c r="C319" s="47">
        <v>202</v>
      </c>
      <c r="D319" s="47">
        <v>100</v>
      </c>
      <c r="E319" s="47">
        <v>30</v>
      </c>
      <c r="F319" s="47" t="s">
        <v>53</v>
      </c>
      <c r="G319" s="47">
        <v>1</v>
      </c>
      <c r="H319" s="47">
        <v>1</v>
      </c>
      <c r="I319" s="47" t="s">
        <v>53</v>
      </c>
      <c r="J319" s="48">
        <f t="shared" si="5"/>
        <v>100</v>
      </c>
    </row>
    <row r="320" spans="1:10" ht="21" customHeight="1" x14ac:dyDescent="0.15">
      <c r="A320" s="127">
        <v>47004586</v>
      </c>
      <c r="B320" s="47">
        <v>1</v>
      </c>
      <c r="C320" s="47">
        <v>250</v>
      </c>
      <c r="D320" s="47">
        <v>100</v>
      </c>
      <c r="E320" s="47" t="s">
        <v>53</v>
      </c>
      <c r="F320" s="47" t="s">
        <v>53</v>
      </c>
      <c r="G320" s="47">
        <v>1</v>
      </c>
      <c r="H320" s="47" t="s">
        <v>53</v>
      </c>
      <c r="I320" s="113">
        <v>1278</v>
      </c>
      <c r="J320" s="48">
        <f t="shared" si="5"/>
        <v>100</v>
      </c>
    </row>
    <row r="321" spans="1:10" ht="21" customHeight="1" x14ac:dyDescent="0.15">
      <c r="A321" s="127">
        <v>47004587</v>
      </c>
      <c r="B321" s="47">
        <v>1</v>
      </c>
      <c r="C321" s="47">
        <v>251</v>
      </c>
      <c r="D321" s="47">
        <v>100</v>
      </c>
      <c r="E321" s="47" t="s">
        <v>53</v>
      </c>
      <c r="F321" s="47" t="s">
        <v>53</v>
      </c>
      <c r="G321" s="47">
        <v>1</v>
      </c>
      <c r="H321" s="47" t="s">
        <v>53</v>
      </c>
      <c r="I321" s="113">
        <v>1279</v>
      </c>
      <c r="J321" s="48">
        <f t="shared" si="5"/>
        <v>100</v>
      </c>
    </row>
    <row r="322" spans="1:10" ht="21" customHeight="1" x14ac:dyDescent="0.15">
      <c r="A322" s="127">
        <v>47004588</v>
      </c>
      <c r="B322" s="47">
        <v>1</v>
      </c>
      <c r="C322" s="47">
        <v>240</v>
      </c>
      <c r="D322" s="47">
        <v>100</v>
      </c>
      <c r="E322" s="47" t="s">
        <v>53</v>
      </c>
      <c r="F322" s="47" t="s">
        <v>53</v>
      </c>
      <c r="G322" s="47">
        <v>1</v>
      </c>
      <c r="H322" s="47" t="s">
        <v>53</v>
      </c>
      <c r="I322" s="113">
        <v>516</v>
      </c>
      <c r="J322" s="48">
        <f t="shared" si="5"/>
        <v>100</v>
      </c>
    </row>
    <row r="323" spans="1:10" ht="21" customHeight="1" x14ac:dyDescent="0.15">
      <c r="A323" s="127">
        <v>47004589</v>
      </c>
      <c r="B323" s="47">
        <v>1</v>
      </c>
      <c r="C323" s="47">
        <v>241</v>
      </c>
      <c r="D323" s="47">
        <v>100</v>
      </c>
      <c r="E323" s="47" t="s">
        <v>53</v>
      </c>
      <c r="F323" s="47" t="s">
        <v>53</v>
      </c>
      <c r="G323" s="47">
        <v>1</v>
      </c>
      <c r="H323" s="47" t="s">
        <v>53</v>
      </c>
      <c r="I323" s="113">
        <v>517</v>
      </c>
      <c r="J323" s="48">
        <f t="shared" si="5"/>
        <v>100</v>
      </c>
    </row>
    <row r="324" spans="1:10" ht="21" customHeight="1" x14ac:dyDescent="0.15">
      <c r="A324" s="127">
        <v>47004590</v>
      </c>
      <c r="B324" s="47">
        <v>1</v>
      </c>
      <c r="C324" s="47">
        <v>242</v>
      </c>
      <c r="D324" s="47">
        <v>100</v>
      </c>
      <c r="E324" s="47" t="s">
        <v>53</v>
      </c>
      <c r="F324" s="47" t="s">
        <v>53</v>
      </c>
      <c r="G324" s="47">
        <v>1</v>
      </c>
      <c r="H324" s="47" t="s">
        <v>53</v>
      </c>
      <c r="I324" s="113">
        <v>1274</v>
      </c>
      <c r="J324" s="48">
        <f t="shared" si="5"/>
        <v>100</v>
      </c>
    </row>
    <row r="325" spans="1:10" ht="21" customHeight="1" x14ac:dyDescent="0.15">
      <c r="A325" s="127">
        <v>47004591</v>
      </c>
      <c r="B325" s="47">
        <v>1</v>
      </c>
      <c r="C325" s="47">
        <v>230</v>
      </c>
      <c r="D325" s="47">
        <v>100</v>
      </c>
      <c r="E325" s="47" t="s">
        <v>53</v>
      </c>
      <c r="F325" s="47" t="s">
        <v>53</v>
      </c>
      <c r="G325" s="47">
        <v>1</v>
      </c>
      <c r="H325" s="47" t="s">
        <v>53</v>
      </c>
      <c r="I325" s="113">
        <v>518</v>
      </c>
      <c r="J325" s="48">
        <f t="shared" si="5"/>
        <v>100</v>
      </c>
    </row>
    <row r="326" spans="1:10" ht="21" customHeight="1" x14ac:dyDescent="0.15">
      <c r="A326" s="127">
        <v>47004592</v>
      </c>
      <c r="B326" s="47">
        <v>1</v>
      </c>
      <c r="C326" s="47">
        <v>231</v>
      </c>
      <c r="D326" s="47">
        <v>100</v>
      </c>
      <c r="E326" s="47" t="s">
        <v>53</v>
      </c>
      <c r="F326" s="47" t="s">
        <v>53</v>
      </c>
      <c r="G326" s="47">
        <v>1</v>
      </c>
      <c r="H326" s="47" t="s">
        <v>53</v>
      </c>
      <c r="I326" s="113">
        <v>519</v>
      </c>
      <c r="J326" s="48">
        <f t="shared" ref="J326:J389" si="6">D326</f>
        <v>100</v>
      </c>
    </row>
    <row r="327" spans="1:10" ht="21" customHeight="1" x14ac:dyDescent="0.15">
      <c r="A327" s="127">
        <v>47004593</v>
      </c>
      <c r="B327" s="47">
        <v>1</v>
      </c>
      <c r="C327" s="47">
        <v>232</v>
      </c>
      <c r="D327" s="47">
        <v>100</v>
      </c>
      <c r="E327" s="47" t="s">
        <v>53</v>
      </c>
      <c r="F327" s="47" t="s">
        <v>53</v>
      </c>
      <c r="G327" s="47">
        <v>1</v>
      </c>
      <c r="H327" s="47" t="s">
        <v>53</v>
      </c>
      <c r="I327" s="113">
        <v>1277</v>
      </c>
      <c r="J327" s="48">
        <f t="shared" si="6"/>
        <v>100</v>
      </c>
    </row>
    <row r="328" spans="1:10" ht="21" customHeight="1" x14ac:dyDescent="0.15">
      <c r="A328" s="127">
        <v>47004594</v>
      </c>
      <c r="B328" s="47">
        <v>1</v>
      </c>
      <c r="C328" s="47">
        <v>220</v>
      </c>
      <c r="D328" s="47">
        <v>100</v>
      </c>
      <c r="E328" s="47" t="s">
        <v>53</v>
      </c>
      <c r="F328" s="47" t="s">
        <v>53</v>
      </c>
      <c r="G328" s="47">
        <v>1</v>
      </c>
      <c r="H328" s="47" t="s">
        <v>53</v>
      </c>
      <c r="I328" s="113">
        <v>514</v>
      </c>
      <c r="J328" s="48">
        <f t="shared" si="6"/>
        <v>100</v>
      </c>
    </row>
    <row r="329" spans="1:10" ht="21" customHeight="1" x14ac:dyDescent="0.15">
      <c r="A329" s="127">
        <v>47004595</v>
      </c>
      <c r="B329" s="47">
        <v>1</v>
      </c>
      <c r="C329" s="47">
        <v>221</v>
      </c>
      <c r="D329" s="47">
        <v>100</v>
      </c>
      <c r="E329" s="47" t="s">
        <v>53</v>
      </c>
      <c r="F329" s="47" t="s">
        <v>53</v>
      </c>
      <c r="G329" s="47">
        <v>1</v>
      </c>
      <c r="H329" s="47" t="s">
        <v>53</v>
      </c>
      <c r="I329" s="113">
        <v>515</v>
      </c>
      <c r="J329" s="48">
        <f t="shared" si="6"/>
        <v>100</v>
      </c>
    </row>
    <row r="330" spans="1:10" ht="21" customHeight="1" x14ac:dyDescent="0.15">
      <c r="A330" s="127">
        <v>47004596</v>
      </c>
      <c r="B330" s="47">
        <v>1</v>
      </c>
      <c r="C330" s="47">
        <v>222</v>
      </c>
      <c r="D330" s="47">
        <v>100</v>
      </c>
      <c r="E330" s="47" t="s">
        <v>53</v>
      </c>
      <c r="F330" s="47" t="s">
        <v>53</v>
      </c>
      <c r="G330" s="47">
        <v>1</v>
      </c>
      <c r="H330" s="47" t="s">
        <v>53</v>
      </c>
      <c r="I330" s="113">
        <v>1276</v>
      </c>
      <c r="J330" s="48">
        <f t="shared" si="6"/>
        <v>100</v>
      </c>
    </row>
    <row r="331" spans="1:10" ht="21" customHeight="1" x14ac:dyDescent="0.15">
      <c r="A331" s="127">
        <v>47004597</v>
      </c>
      <c r="B331" s="47">
        <v>1</v>
      </c>
      <c r="C331" s="47">
        <v>219</v>
      </c>
      <c r="D331" s="47">
        <v>100</v>
      </c>
      <c r="E331" s="47" t="s">
        <v>53</v>
      </c>
      <c r="F331" s="47" t="s">
        <v>53</v>
      </c>
      <c r="G331" s="47">
        <v>1</v>
      </c>
      <c r="H331" s="47" t="s">
        <v>53</v>
      </c>
      <c r="I331" s="113">
        <v>1281</v>
      </c>
      <c r="J331" s="48">
        <f t="shared" si="6"/>
        <v>100</v>
      </c>
    </row>
    <row r="332" spans="1:10" ht="21" customHeight="1" x14ac:dyDescent="0.15">
      <c r="A332" s="127">
        <v>47004598</v>
      </c>
      <c r="B332" s="47">
        <v>1</v>
      </c>
      <c r="C332" s="47">
        <v>218</v>
      </c>
      <c r="D332" s="47">
        <v>100</v>
      </c>
      <c r="E332" s="47" t="s">
        <v>53</v>
      </c>
      <c r="F332" s="47" t="s">
        <v>53</v>
      </c>
      <c r="G332" s="47">
        <v>1</v>
      </c>
      <c r="H332" s="47" t="s">
        <v>53</v>
      </c>
      <c r="I332" s="113">
        <v>1280</v>
      </c>
      <c r="J332" s="48">
        <f t="shared" si="6"/>
        <v>100</v>
      </c>
    </row>
    <row r="333" spans="1:10" ht="21" customHeight="1" x14ac:dyDescent="0.15">
      <c r="A333" s="127">
        <v>47004611</v>
      </c>
      <c r="B333" s="47">
        <v>1</v>
      </c>
      <c r="C333" s="47">
        <v>100</v>
      </c>
      <c r="D333" s="47">
        <v>100</v>
      </c>
      <c r="E333" s="47" t="s">
        <v>53</v>
      </c>
      <c r="F333" s="47" t="s">
        <v>53</v>
      </c>
      <c r="G333" s="47">
        <v>1</v>
      </c>
      <c r="H333" s="47" t="s">
        <v>53</v>
      </c>
      <c r="I333" s="47" t="s">
        <v>53</v>
      </c>
      <c r="J333" s="48">
        <f t="shared" si="6"/>
        <v>100</v>
      </c>
    </row>
    <row r="334" spans="1:10" ht="21" customHeight="1" x14ac:dyDescent="0.15">
      <c r="A334" s="127">
        <v>47004612</v>
      </c>
      <c r="B334" s="47">
        <v>0</v>
      </c>
      <c r="C334" s="47">
        <v>110</v>
      </c>
      <c r="D334" s="47">
        <v>100</v>
      </c>
      <c r="E334" s="47" t="s">
        <v>53</v>
      </c>
      <c r="F334" s="47" t="s">
        <v>53</v>
      </c>
      <c r="G334" s="47">
        <v>1</v>
      </c>
      <c r="H334" s="47">
        <v>2</v>
      </c>
      <c r="I334" s="47" t="s">
        <v>53</v>
      </c>
      <c r="J334" s="48">
        <f t="shared" si="6"/>
        <v>100</v>
      </c>
    </row>
    <row r="335" spans="1:10" ht="21" customHeight="1" x14ac:dyDescent="0.15">
      <c r="A335" s="127">
        <v>47004613</v>
      </c>
      <c r="B335" s="47">
        <v>0</v>
      </c>
      <c r="C335" s="47">
        <v>120</v>
      </c>
      <c r="D335" s="47">
        <v>100</v>
      </c>
      <c r="E335" s="47" t="s">
        <v>53</v>
      </c>
      <c r="F335" s="47" t="s">
        <v>53</v>
      </c>
      <c r="G335" s="47">
        <v>1</v>
      </c>
      <c r="H335" s="47">
        <v>3</v>
      </c>
      <c r="I335" s="47" t="s">
        <v>53</v>
      </c>
      <c r="J335" s="48">
        <f t="shared" si="6"/>
        <v>100</v>
      </c>
    </row>
    <row r="336" spans="1:10" ht="21" customHeight="1" x14ac:dyDescent="0.15">
      <c r="A336" s="127">
        <v>47004614</v>
      </c>
      <c r="B336" s="47">
        <v>1</v>
      </c>
      <c r="C336" s="47">
        <v>250</v>
      </c>
      <c r="D336" s="47">
        <v>100</v>
      </c>
      <c r="E336" s="47" t="s">
        <v>53</v>
      </c>
      <c r="F336" s="47" t="s">
        <v>53</v>
      </c>
      <c r="G336" s="47">
        <v>1</v>
      </c>
      <c r="H336" s="47" t="s">
        <v>53</v>
      </c>
      <c r="I336" s="113">
        <v>1278</v>
      </c>
      <c r="J336" s="48">
        <f t="shared" si="6"/>
        <v>100</v>
      </c>
    </row>
    <row r="337" spans="1:10" ht="21" customHeight="1" x14ac:dyDescent="0.15">
      <c r="A337" s="127">
        <v>47004615</v>
      </c>
      <c r="B337" s="47">
        <v>1</v>
      </c>
      <c r="C337" s="47">
        <v>251</v>
      </c>
      <c r="D337" s="47">
        <v>100</v>
      </c>
      <c r="E337" s="47" t="s">
        <v>53</v>
      </c>
      <c r="F337" s="47" t="s">
        <v>53</v>
      </c>
      <c r="G337" s="47">
        <v>1</v>
      </c>
      <c r="H337" s="47" t="s">
        <v>53</v>
      </c>
      <c r="I337" s="113">
        <v>1279</v>
      </c>
      <c r="J337" s="48">
        <f t="shared" si="6"/>
        <v>100</v>
      </c>
    </row>
    <row r="338" spans="1:10" ht="21" customHeight="1" x14ac:dyDescent="0.15">
      <c r="A338" s="127">
        <v>47004616</v>
      </c>
      <c r="B338" s="47">
        <v>1</v>
      </c>
      <c r="C338" s="47">
        <v>240</v>
      </c>
      <c r="D338" s="47">
        <v>100</v>
      </c>
      <c r="E338" s="47" t="s">
        <v>53</v>
      </c>
      <c r="F338" s="47" t="s">
        <v>53</v>
      </c>
      <c r="G338" s="47">
        <v>1</v>
      </c>
      <c r="H338" s="47" t="s">
        <v>53</v>
      </c>
      <c r="I338" s="113">
        <v>516</v>
      </c>
      <c r="J338" s="48">
        <f t="shared" si="6"/>
        <v>100</v>
      </c>
    </row>
    <row r="339" spans="1:10" ht="21" customHeight="1" x14ac:dyDescent="0.15">
      <c r="A339" s="127">
        <v>47004617</v>
      </c>
      <c r="B339" s="47">
        <v>1</v>
      </c>
      <c r="C339" s="47">
        <v>241</v>
      </c>
      <c r="D339" s="47">
        <v>100</v>
      </c>
      <c r="E339" s="47" t="s">
        <v>53</v>
      </c>
      <c r="F339" s="47" t="s">
        <v>53</v>
      </c>
      <c r="G339" s="47">
        <v>1</v>
      </c>
      <c r="H339" s="47" t="s">
        <v>53</v>
      </c>
      <c r="I339" s="113">
        <v>517</v>
      </c>
      <c r="J339" s="48">
        <f t="shared" si="6"/>
        <v>100</v>
      </c>
    </row>
    <row r="340" spans="1:10" ht="21" customHeight="1" x14ac:dyDescent="0.15">
      <c r="A340" s="127">
        <v>47004618</v>
      </c>
      <c r="B340" s="47">
        <v>1</v>
      </c>
      <c r="C340" s="47">
        <v>242</v>
      </c>
      <c r="D340" s="47">
        <v>100</v>
      </c>
      <c r="E340" s="47" t="s">
        <v>53</v>
      </c>
      <c r="F340" s="47" t="s">
        <v>53</v>
      </c>
      <c r="G340" s="47">
        <v>1</v>
      </c>
      <c r="H340" s="47" t="s">
        <v>53</v>
      </c>
      <c r="I340" s="113">
        <v>1274</v>
      </c>
      <c r="J340" s="48">
        <f t="shared" si="6"/>
        <v>100</v>
      </c>
    </row>
    <row r="341" spans="1:10" ht="21" customHeight="1" x14ac:dyDescent="0.15">
      <c r="A341" s="127">
        <v>47004619</v>
      </c>
      <c r="B341" s="47">
        <v>1</v>
      </c>
      <c r="C341" s="47">
        <v>230</v>
      </c>
      <c r="D341" s="47">
        <v>100</v>
      </c>
      <c r="E341" s="47" t="s">
        <v>53</v>
      </c>
      <c r="F341" s="47" t="s">
        <v>53</v>
      </c>
      <c r="G341" s="47">
        <v>1</v>
      </c>
      <c r="H341" s="47" t="s">
        <v>53</v>
      </c>
      <c r="I341" s="113">
        <v>518</v>
      </c>
      <c r="J341" s="48">
        <f t="shared" si="6"/>
        <v>100</v>
      </c>
    </row>
    <row r="342" spans="1:10" ht="21" customHeight="1" x14ac:dyDescent="0.15">
      <c r="A342" s="127">
        <v>47004620</v>
      </c>
      <c r="B342" s="47">
        <v>1</v>
      </c>
      <c r="C342" s="47">
        <v>231</v>
      </c>
      <c r="D342" s="47">
        <v>100</v>
      </c>
      <c r="E342" s="47" t="s">
        <v>53</v>
      </c>
      <c r="F342" s="47" t="s">
        <v>53</v>
      </c>
      <c r="G342" s="47">
        <v>1</v>
      </c>
      <c r="H342" s="47" t="s">
        <v>53</v>
      </c>
      <c r="I342" s="113">
        <v>519</v>
      </c>
      <c r="J342" s="48">
        <f t="shared" si="6"/>
        <v>100</v>
      </c>
    </row>
    <row r="343" spans="1:10" ht="21" customHeight="1" x14ac:dyDescent="0.15">
      <c r="A343" s="127">
        <v>47004621</v>
      </c>
      <c r="B343" s="47">
        <v>1</v>
      </c>
      <c r="C343" s="47">
        <v>232</v>
      </c>
      <c r="D343" s="47">
        <v>100</v>
      </c>
      <c r="E343" s="47" t="s">
        <v>53</v>
      </c>
      <c r="F343" s="47" t="s">
        <v>53</v>
      </c>
      <c r="G343" s="47">
        <v>1</v>
      </c>
      <c r="H343" s="47" t="s">
        <v>53</v>
      </c>
      <c r="I343" s="113">
        <v>1277</v>
      </c>
      <c r="J343" s="48">
        <f t="shared" si="6"/>
        <v>100</v>
      </c>
    </row>
    <row r="344" spans="1:10" ht="21" customHeight="1" x14ac:dyDescent="0.15">
      <c r="A344" s="127">
        <v>47004622</v>
      </c>
      <c r="B344" s="47">
        <v>1</v>
      </c>
      <c r="C344" s="47">
        <v>210</v>
      </c>
      <c r="D344" s="47">
        <v>100</v>
      </c>
      <c r="E344" s="47" t="s">
        <v>53</v>
      </c>
      <c r="F344" s="47" t="s">
        <v>53</v>
      </c>
      <c r="G344" s="47">
        <v>1</v>
      </c>
      <c r="H344" s="47" t="s">
        <v>53</v>
      </c>
      <c r="I344" s="113">
        <v>512</v>
      </c>
      <c r="J344" s="48">
        <f t="shared" si="6"/>
        <v>100</v>
      </c>
    </row>
    <row r="345" spans="1:10" ht="21" customHeight="1" x14ac:dyDescent="0.15">
      <c r="A345" s="127">
        <v>47004623</v>
      </c>
      <c r="B345" s="47">
        <v>1</v>
      </c>
      <c r="C345" s="47">
        <v>211</v>
      </c>
      <c r="D345" s="47">
        <v>100</v>
      </c>
      <c r="E345" s="47" t="s">
        <v>53</v>
      </c>
      <c r="F345" s="47" t="s">
        <v>53</v>
      </c>
      <c r="G345" s="47">
        <v>1</v>
      </c>
      <c r="H345" s="47" t="s">
        <v>53</v>
      </c>
      <c r="I345" s="113">
        <v>513</v>
      </c>
      <c r="J345" s="48">
        <f t="shared" si="6"/>
        <v>100</v>
      </c>
    </row>
    <row r="346" spans="1:10" ht="21" customHeight="1" x14ac:dyDescent="0.15">
      <c r="A346" s="127">
        <v>47004624</v>
      </c>
      <c r="B346" s="47">
        <v>1</v>
      </c>
      <c r="C346" s="47">
        <v>212</v>
      </c>
      <c r="D346" s="47">
        <v>100</v>
      </c>
      <c r="E346" s="47" t="s">
        <v>53</v>
      </c>
      <c r="F346" s="47" t="s">
        <v>53</v>
      </c>
      <c r="G346" s="47">
        <v>1</v>
      </c>
      <c r="H346" s="47" t="s">
        <v>53</v>
      </c>
      <c r="I346" s="113">
        <v>1275</v>
      </c>
      <c r="J346" s="48">
        <f t="shared" si="6"/>
        <v>100</v>
      </c>
    </row>
    <row r="347" spans="1:10" ht="21" customHeight="1" x14ac:dyDescent="0.15">
      <c r="A347" s="127">
        <v>47004625</v>
      </c>
      <c r="B347" s="47">
        <v>1</v>
      </c>
      <c r="C347" s="47">
        <v>209</v>
      </c>
      <c r="D347" s="47">
        <v>100</v>
      </c>
      <c r="E347" s="47" t="s">
        <v>53</v>
      </c>
      <c r="F347" s="47" t="s">
        <v>53</v>
      </c>
      <c r="G347" s="47">
        <v>1</v>
      </c>
      <c r="H347" s="47" t="s">
        <v>53</v>
      </c>
      <c r="I347" s="113">
        <v>1281</v>
      </c>
      <c r="J347" s="48">
        <f t="shared" si="6"/>
        <v>100</v>
      </c>
    </row>
    <row r="348" spans="1:10" ht="21" customHeight="1" x14ac:dyDescent="0.15">
      <c r="A348" s="127">
        <v>47004626</v>
      </c>
      <c r="B348" s="47">
        <v>1</v>
      </c>
      <c r="C348" s="47">
        <v>208</v>
      </c>
      <c r="D348" s="47">
        <v>100</v>
      </c>
      <c r="E348" s="47" t="s">
        <v>53</v>
      </c>
      <c r="F348" s="47" t="s">
        <v>53</v>
      </c>
      <c r="G348" s="47">
        <v>1</v>
      </c>
      <c r="H348" s="47" t="s">
        <v>53</v>
      </c>
      <c r="I348" s="113">
        <v>1280</v>
      </c>
      <c r="J348" s="48">
        <f t="shared" si="6"/>
        <v>100</v>
      </c>
    </row>
    <row r="349" spans="1:10" ht="21" customHeight="1" x14ac:dyDescent="0.15">
      <c r="A349" s="127">
        <v>47004651</v>
      </c>
      <c r="B349" s="47">
        <v>1</v>
      </c>
      <c r="C349" s="47">
        <v>100</v>
      </c>
      <c r="D349" s="47">
        <v>100</v>
      </c>
      <c r="E349" s="47" t="s">
        <v>53</v>
      </c>
      <c r="F349" s="47" t="s">
        <v>53</v>
      </c>
      <c r="G349" s="47">
        <v>1</v>
      </c>
      <c r="H349" s="47" t="s">
        <v>53</v>
      </c>
      <c r="I349" s="47" t="s">
        <v>53</v>
      </c>
      <c r="J349" s="48">
        <f t="shared" si="6"/>
        <v>100</v>
      </c>
    </row>
    <row r="350" spans="1:10" ht="21" customHeight="1" x14ac:dyDescent="0.15">
      <c r="A350" s="127">
        <v>47004652</v>
      </c>
      <c r="B350" s="47">
        <v>0</v>
      </c>
      <c r="C350" s="47">
        <v>110</v>
      </c>
      <c r="D350" s="47">
        <v>100</v>
      </c>
      <c r="E350" s="47" t="s">
        <v>53</v>
      </c>
      <c r="F350" s="47" t="s">
        <v>53</v>
      </c>
      <c r="G350" s="47" t="s">
        <v>53</v>
      </c>
      <c r="H350" s="47">
        <v>1</v>
      </c>
      <c r="I350" s="47" t="s">
        <v>53</v>
      </c>
      <c r="J350" s="48">
        <f t="shared" si="6"/>
        <v>100</v>
      </c>
    </row>
    <row r="351" spans="1:10" ht="21" customHeight="1" x14ac:dyDescent="0.15">
      <c r="A351" s="127">
        <v>47004653</v>
      </c>
      <c r="B351" s="47">
        <v>0</v>
      </c>
      <c r="C351" s="47">
        <v>120</v>
      </c>
      <c r="D351" s="47">
        <v>100</v>
      </c>
      <c r="E351" s="47" t="s">
        <v>53</v>
      </c>
      <c r="F351" s="47" t="s">
        <v>53</v>
      </c>
      <c r="G351" s="47" t="s">
        <v>53</v>
      </c>
      <c r="H351" s="47">
        <v>2</v>
      </c>
      <c r="I351" s="47" t="s">
        <v>53</v>
      </c>
      <c r="J351" s="48">
        <f t="shared" si="6"/>
        <v>100</v>
      </c>
    </row>
    <row r="352" spans="1:10" ht="21" customHeight="1" x14ac:dyDescent="0.15">
      <c r="A352" s="127">
        <v>47004654</v>
      </c>
      <c r="B352" s="47">
        <v>0</v>
      </c>
      <c r="C352" s="47">
        <v>130</v>
      </c>
      <c r="D352" s="47">
        <v>100</v>
      </c>
      <c r="E352" s="47" t="s">
        <v>53</v>
      </c>
      <c r="F352" s="47" t="s">
        <v>53</v>
      </c>
      <c r="G352" s="47" t="s">
        <v>53</v>
      </c>
      <c r="H352" s="47">
        <v>3</v>
      </c>
      <c r="I352" s="47" t="s">
        <v>53</v>
      </c>
      <c r="J352" s="48">
        <f t="shared" si="6"/>
        <v>100</v>
      </c>
    </row>
    <row r="353" spans="1:10" ht="21" customHeight="1" x14ac:dyDescent="0.15">
      <c r="A353" s="127">
        <v>47004655</v>
      </c>
      <c r="B353" s="47">
        <v>0</v>
      </c>
      <c r="C353" s="47">
        <v>140</v>
      </c>
      <c r="D353" s="47">
        <v>100</v>
      </c>
      <c r="E353" s="47" t="s">
        <v>53</v>
      </c>
      <c r="F353" s="47" t="s">
        <v>53</v>
      </c>
      <c r="G353" s="47" t="s">
        <v>53</v>
      </c>
      <c r="H353" s="47">
        <v>4</v>
      </c>
      <c r="I353" s="47" t="s">
        <v>53</v>
      </c>
      <c r="J353" s="48">
        <f t="shared" si="6"/>
        <v>100</v>
      </c>
    </row>
    <row r="354" spans="1:10" ht="21" customHeight="1" x14ac:dyDescent="0.15">
      <c r="A354" s="127">
        <v>47004656</v>
      </c>
      <c r="B354" s="47">
        <v>1</v>
      </c>
      <c r="C354" s="47">
        <v>250</v>
      </c>
      <c r="D354" s="47">
        <v>100</v>
      </c>
      <c r="E354" s="47" t="s">
        <v>53</v>
      </c>
      <c r="F354" s="47" t="s">
        <v>53</v>
      </c>
      <c r="G354" s="47">
        <v>1</v>
      </c>
      <c r="H354" s="47" t="s">
        <v>53</v>
      </c>
      <c r="I354" s="113">
        <v>1278</v>
      </c>
      <c r="J354" s="48">
        <f t="shared" si="6"/>
        <v>100</v>
      </c>
    </row>
    <row r="355" spans="1:10" ht="21" customHeight="1" x14ac:dyDescent="0.15">
      <c r="A355" s="127">
        <v>47004657</v>
      </c>
      <c r="B355" s="47">
        <v>1</v>
      </c>
      <c r="C355" s="47">
        <v>251</v>
      </c>
      <c r="D355" s="47">
        <v>100</v>
      </c>
      <c r="E355" s="47" t="s">
        <v>53</v>
      </c>
      <c r="F355" s="47" t="s">
        <v>53</v>
      </c>
      <c r="G355" s="47">
        <v>1</v>
      </c>
      <c r="H355" s="47" t="s">
        <v>53</v>
      </c>
      <c r="I355" s="113">
        <v>1279</v>
      </c>
      <c r="J355" s="48">
        <f t="shared" si="6"/>
        <v>100</v>
      </c>
    </row>
    <row r="356" spans="1:10" ht="21" customHeight="1" x14ac:dyDescent="0.15">
      <c r="A356" s="127">
        <v>47004658</v>
      </c>
      <c r="B356" s="47">
        <v>1</v>
      </c>
      <c r="C356" s="47">
        <v>240</v>
      </c>
      <c r="D356" s="47">
        <v>100</v>
      </c>
      <c r="E356" s="47" t="s">
        <v>53</v>
      </c>
      <c r="F356" s="47" t="s">
        <v>53</v>
      </c>
      <c r="G356" s="47">
        <v>1</v>
      </c>
      <c r="H356" s="47" t="s">
        <v>53</v>
      </c>
      <c r="I356" s="113">
        <v>516</v>
      </c>
      <c r="J356" s="48">
        <f t="shared" si="6"/>
        <v>100</v>
      </c>
    </row>
    <row r="357" spans="1:10" ht="21" customHeight="1" x14ac:dyDescent="0.15">
      <c r="A357" s="127">
        <v>47004659</v>
      </c>
      <c r="B357" s="47">
        <v>1</v>
      </c>
      <c r="C357" s="47">
        <v>241</v>
      </c>
      <c r="D357" s="47">
        <v>100</v>
      </c>
      <c r="E357" s="47" t="s">
        <v>53</v>
      </c>
      <c r="F357" s="47" t="s">
        <v>53</v>
      </c>
      <c r="G357" s="47">
        <v>1</v>
      </c>
      <c r="H357" s="47" t="s">
        <v>53</v>
      </c>
      <c r="I357" s="113">
        <v>517</v>
      </c>
      <c r="J357" s="48">
        <f t="shared" si="6"/>
        <v>100</v>
      </c>
    </row>
    <row r="358" spans="1:10" ht="21" customHeight="1" x14ac:dyDescent="0.15">
      <c r="A358" s="127">
        <v>47004660</v>
      </c>
      <c r="B358" s="47">
        <v>1</v>
      </c>
      <c r="C358" s="47">
        <v>242</v>
      </c>
      <c r="D358" s="47">
        <v>100</v>
      </c>
      <c r="E358" s="47" t="s">
        <v>53</v>
      </c>
      <c r="F358" s="47" t="s">
        <v>53</v>
      </c>
      <c r="G358" s="47">
        <v>1</v>
      </c>
      <c r="H358" s="47" t="s">
        <v>53</v>
      </c>
      <c r="I358" s="113">
        <v>1274</v>
      </c>
      <c r="J358" s="48">
        <f t="shared" si="6"/>
        <v>100</v>
      </c>
    </row>
    <row r="359" spans="1:10" ht="21" customHeight="1" x14ac:dyDescent="0.15">
      <c r="A359" s="127">
        <v>47004661</v>
      </c>
      <c r="B359" s="47">
        <v>1</v>
      </c>
      <c r="C359" s="47">
        <v>230</v>
      </c>
      <c r="D359" s="47">
        <v>100</v>
      </c>
      <c r="E359" s="47" t="s">
        <v>53</v>
      </c>
      <c r="F359" s="47" t="s">
        <v>53</v>
      </c>
      <c r="G359" s="47">
        <v>1</v>
      </c>
      <c r="H359" s="47" t="s">
        <v>53</v>
      </c>
      <c r="I359" s="113">
        <v>518</v>
      </c>
      <c r="J359" s="48">
        <f t="shared" si="6"/>
        <v>100</v>
      </c>
    </row>
    <row r="360" spans="1:10" ht="21" customHeight="1" x14ac:dyDescent="0.15">
      <c r="A360" s="127">
        <v>47004662</v>
      </c>
      <c r="B360" s="47">
        <v>1</v>
      </c>
      <c r="C360" s="47">
        <v>231</v>
      </c>
      <c r="D360" s="47">
        <v>100</v>
      </c>
      <c r="E360" s="47" t="s">
        <v>53</v>
      </c>
      <c r="F360" s="47" t="s">
        <v>53</v>
      </c>
      <c r="G360" s="47">
        <v>1</v>
      </c>
      <c r="H360" s="47" t="s">
        <v>53</v>
      </c>
      <c r="I360" s="113">
        <v>519</v>
      </c>
      <c r="J360" s="48">
        <f t="shared" si="6"/>
        <v>100</v>
      </c>
    </row>
    <row r="361" spans="1:10" ht="21" customHeight="1" x14ac:dyDescent="0.15">
      <c r="A361" s="127">
        <v>47004663</v>
      </c>
      <c r="B361" s="47">
        <v>1</v>
      </c>
      <c r="C361" s="47">
        <v>232</v>
      </c>
      <c r="D361" s="47">
        <v>100</v>
      </c>
      <c r="E361" s="47" t="s">
        <v>53</v>
      </c>
      <c r="F361" s="47" t="s">
        <v>53</v>
      </c>
      <c r="G361" s="47">
        <v>1</v>
      </c>
      <c r="H361" s="47" t="s">
        <v>53</v>
      </c>
      <c r="I361" s="113">
        <v>1277</v>
      </c>
      <c r="J361" s="48">
        <f t="shared" si="6"/>
        <v>100</v>
      </c>
    </row>
    <row r="362" spans="1:10" ht="21" customHeight="1" x14ac:dyDescent="0.15">
      <c r="A362" s="127">
        <v>47004664</v>
      </c>
      <c r="B362" s="47">
        <v>1</v>
      </c>
      <c r="C362" s="47">
        <v>220</v>
      </c>
      <c r="D362" s="47">
        <v>100</v>
      </c>
      <c r="E362" s="47" t="s">
        <v>53</v>
      </c>
      <c r="F362" s="47" t="s">
        <v>53</v>
      </c>
      <c r="G362" s="47">
        <v>1</v>
      </c>
      <c r="H362" s="47" t="s">
        <v>53</v>
      </c>
      <c r="I362" s="113">
        <v>514</v>
      </c>
      <c r="J362" s="48">
        <f t="shared" si="6"/>
        <v>100</v>
      </c>
    </row>
    <row r="363" spans="1:10" ht="21" customHeight="1" x14ac:dyDescent="0.15">
      <c r="A363" s="127">
        <v>47004665</v>
      </c>
      <c r="B363" s="47">
        <v>1</v>
      </c>
      <c r="C363" s="47">
        <v>221</v>
      </c>
      <c r="D363" s="47">
        <v>100</v>
      </c>
      <c r="E363" s="47" t="s">
        <v>53</v>
      </c>
      <c r="F363" s="47" t="s">
        <v>53</v>
      </c>
      <c r="G363" s="47">
        <v>1</v>
      </c>
      <c r="H363" s="47" t="s">
        <v>53</v>
      </c>
      <c r="I363" s="113">
        <v>515</v>
      </c>
      <c r="J363" s="48">
        <f t="shared" si="6"/>
        <v>100</v>
      </c>
    </row>
    <row r="364" spans="1:10" ht="21" customHeight="1" x14ac:dyDescent="0.15">
      <c r="A364" s="127">
        <v>47004666</v>
      </c>
      <c r="B364" s="47">
        <v>1</v>
      </c>
      <c r="C364" s="47">
        <v>222</v>
      </c>
      <c r="D364" s="47">
        <v>100</v>
      </c>
      <c r="E364" s="47" t="s">
        <v>53</v>
      </c>
      <c r="F364" s="47" t="s">
        <v>53</v>
      </c>
      <c r="G364" s="47">
        <v>1</v>
      </c>
      <c r="H364" s="47" t="s">
        <v>53</v>
      </c>
      <c r="I364" s="113">
        <v>1276</v>
      </c>
      <c r="J364" s="48">
        <f t="shared" si="6"/>
        <v>100</v>
      </c>
    </row>
    <row r="365" spans="1:10" ht="21" customHeight="1" x14ac:dyDescent="0.15">
      <c r="A365" s="127">
        <v>47004667</v>
      </c>
      <c r="B365" s="47">
        <v>1</v>
      </c>
      <c r="C365" s="47">
        <v>210</v>
      </c>
      <c r="D365" s="47">
        <v>100</v>
      </c>
      <c r="E365" s="47" t="s">
        <v>53</v>
      </c>
      <c r="F365" s="47" t="s">
        <v>53</v>
      </c>
      <c r="G365" s="47">
        <v>1</v>
      </c>
      <c r="H365" s="47" t="s">
        <v>53</v>
      </c>
      <c r="I365" s="113">
        <v>512</v>
      </c>
      <c r="J365" s="48">
        <f t="shared" si="6"/>
        <v>100</v>
      </c>
    </row>
    <row r="366" spans="1:10" ht="21" customHeight="1" x14ac:dyDescent="0.15">
      <c r="A366" s="127">
        <v>47004668</v>
      </c>
      <c r="B366" s="47">
        <v>1</v>
      </c>
      <c r="C366" s="47">
        <v>211</v>
      </c>
      <c r="D366" s="47">
        <v>100</v>
      </c>
      <c r="E366" s="47" t="s">
        <v>53</v>
      </c>
      <c r="F366" s="47" t="s">
        <v>53</v>
      </c>
      <c r="G366" s="47">
        <v>1</v>
      </c>
      <c r="H366" s="47" t="s">
        <v>53</v>
      </c>
      <c r="I366" s="113">
        <v>513</v>
      </c>
      <c r="J366" s="48">
        <f t="shared" si="6"/>
        <v>100</v>
      </c>
    </row>
    <row r="367" spans="1:10" ht="21" customHeight="1" x14ac:dyDescent="0.15">
      <c r="A367" s="127">
        <v>47004669</v>
      </c>
      <c r="B367" s="47">
        <v>1</v>
      </c>
      <c r="C367" s="47">
        <v>212</v>
      </c>
      <c r="D367" s="47">
        <v>100</v>
      </c>
      <c r="E367" s="47" t="s">
        <v>53</v>
      </c>
      <c r="F367" s="47" t="s">
        <v>53</v>
      </c>
      <c r="G367" s="47">
        <v>1</v>
      </c>
      <c r="H367" s="47" t="s">
        <v>53</v>
      </c>
      <c r="I367" s="113">
        <v>1275</v>
      </c>
      <c r="J367" s="48">
        <f t="shared" si="6"/>
        <v>100</v>
      </c>
    </row>
    <row r="368" spans="1:10" ht="21" customHeight="1" x14ac:dyDescent="0.15">
      <c r="A368" s="127">
        <v>47004670</v>
      </c>
      <c r="B368" s="47">
        <v>1</v>
      </c>
      <c r="C368" s="47">
        <v>209</v>
      </c>
      <c r="D368" s="47">
        <v>100</v>
      </c>
      <c r="E368" s="47" t="s">
        <v>53</v>
      </c>
      <c r="F368" s="47" t="s">
        <v>53</v>
      </c>
      <c r="G368" s="47">
        <v>1</v>
      </c>
      <c r="H368" s="47" t="s">
        <v>53</v>
      </c>
      <c r="I368" s="113">
        <v>1281</v>
      </c>
      <c r="J368" s="48">
        <f t="shared" si="6"/>
        <v>100</v>
      </c>
    </row>
    <row r="369" spans="1:10" ht="21" customHeight="1" x14ac:dyDescent="0.15">
      <c r="A369" s="127">
        <v>47004671</v>
      </c>
      <c r="B369" s="47">
        <v>1</v>
      </c>
      <c r="C369" s="47">
        <v>208</v>
      </c>
      <c r="D369" s="47">
        <v>100</v>
      </c>
      <c r="E369" s="47" t="s">
        <v>53</v>
      </c>
      <c r="F369" s="47" t="s">
        <v>53</v>
      </c>
      <c r="G369" s="47">
        <v>1</v>
      </c>
      <c r="H369" s="47" t="s">
        <v>53</v>
      </c>
      <c r="I369" s="113">
        <v>1280</v>
      </c>
      <c r="J369" s="48">
        <f t="shared" si="6"/>
        <v>100</v>
      </c>
    </row>
    <row r="370" spans="1:10" ht="21" customHeight="1" x14ac:dyDescent="0.15">
      <c r="A370" s="127">
        <v>47004681</v>
      </c>
      <c r="B370" s="47">
        <v>1</v>
      </c>
      <c r="C370" s="47">
        <v>100</v>
      </c>
      <c r="D370" s="47">
        <v>100</v>
      </c>
      <c r="E370" s="47" t="s">
        <v>53</v>
      </c>
      <c r="F370" s="47" t="s">
        <v>53</v>
      </c>
      <c r="G370" s="47">
        <v>1</v>
      </c>
      <c r="H370" s="47" t="s">
        <v>53</v>
      </c>
      <c r="I370" s="47" t="s">
        <v>53</v>
      </c>
      <c r="J370" s="48">
        <f t="shared" si="6"/>
        <v>100</v>
      </c>
    </row>
    <row r="371" spans="1:10" ht="21" customHeight="1" x14ac:dyDescent="0.15">
      <c r="A371" s="127">
        <v>47004682</v>
      </c>
      <c r="B371" s="47">
        <v>0</v>
      </c>
      <c r="C371" s="47">
        <v>110</v>
      </c>
      <c r="D371" s="47">
        <v>100</v>
      </c>
      <c r="E371" s="47" t="s">
        <v>53</v>
      </c>
      <c r="F371" s="47" t="s">
        <v>53</v>
      </c>
      <c r="G371" s="47">
        <v>1</v>
      </c>
      <c r="H371" s="47">
        <v>1</v>
      </c>
      <c r="I371" s="47" t="s">
        <v>53</v>
      </c>
      <c r="J371" s="48">
        <f t="shared" si="6"/>
        <v>100</v>
      </c>
    </row>
    <row r="372" spans="1:10" ht="21" customHeight="1" x14ac:dyDescent="0.15">
      <c r="A372" s="127">
        <v>47004683</v>
      </c>
      <c r="B372" s="47">
        <v>0</v>
      </c>
      <c r="C372" s="47">
        <v>120</v>
      </c>
      <c r="D372" s="47">
        <v>100</v>
      </c>
      <c r="E372" s="47" t="s">
        <v>53</v>
      </c>
      <c r="F372" s="47" t="s">
        <v>53</v>
      </c>
      <c r="G372" s="47">
        <v>1</v>
      </c>
      <c r="H372" s="47">
        <v>2</v>
      </c>
      <c r="I372" s="47" t="s">
        <v>53</v>
      </c>
      <c r="J372" s="48">
        <f t="shared" si="6"/>
        <v>100</v>
      </c>
    </row>
    <row r="373" spans="1:10" ht="21" customHeight="1" x14ac:dyDescent="0.15">
      <c r="A373" s="127">
        <v>47004684</v>
      </c>
      <c r="B373" s="47">
        <v>0</v>
      </c>
      <c r="C373" s="47">
        <v>130</v>
      </c>
      <c r="D373" s="47">
        <v>100</v>
      </c>
      <c r="E373" s="47" t="s">
        <v>53</v>
      </c>
      <c r="F373" s="47" t="s">
        <v>53</v>
      </c>
      <c r="G373" s="47">
        <v>1</v>
      </c>
      <c r="H373" s="47">
        <v>3</v>
      </c>
      <c r="I373" s="47" t="s">
        <v>53</v>
      </c>
      <c r="J373" s="48">
        <f t="shared" si="6"/>
        <v>100</v>
      </c>
    </row>
    <row r="374" spans="1:10" ht="21" customHeight="1" x14ac:dyDescent="0.15">
      <c r="A374" s="127">
        <v>47004685</v>
      </c>
      <c r="B374" s="47">
        <v>0</v>
      </c>
      <c r="C374" s="47">
        <v>140</v>
      </c>
      <c r="D374" s="47">
        <v>100</v>
      </c>
      <c r="E374" s="47" t="s">
        <v>53</v>
      </c>
      <c r="F374" s="47" t="s">
        <v>53</v>
      </c>
      <c r="G374" s="47">
        <v>1</v>
      </c>
      <c r="H374" s="47">
        <v>4</v>
      </c>
      <c r="I374" s="47" t="s">
        <v>53</v>
      </c>
      <c r="J374" s="48">
        <f t="shared" si="6"/>
        <v>100</v>
      </c>
    </row>
    <row r="375" spans="1:10" ht="21" customHeight="1" x14ac:dyDescent="0.15">
      <c r="A375" s="127">
        <v>47004686</v>
      </c>
      <c r="B375" s="47">
        <v>0</v>
      </c>
      <c r="C375" s="47">
        <v>150</v>
      </c>
      <c r="D375" s="47">
        <v>100</v>
      </c>
      <c r="E375" s="47" t="s">
        <v>53</v>
      </c>
      <c r="F375" s="47" t="s">
        <v>53</v>
      </c>
      <c r="G375" s="47">
        <v>1</v>
      </c>
      <c r="H375" s="47">
        <v>5</v>
      </c>
      <c r="I375" s="47" t="s">
        <v>53</v>
      </c>
      <c r="J375" s="48">
        <f t="shared" si="6"/>
        <v>100</v>
      </c>
    </row>
    <row r="376" spans="1:10" ht="21" customHeight="1" x14ac:dyDescent="0.15">
      <c r="A376" s="127">
        <v>47004711</v>
      </c>
      <c r="B376" s="47">
        <v>1</v>
      </c>
      <c r="C376" s="47">
        <v>100</v>
      </c>
      <c r="D376" s="47">
        <v>100</v>
      </c>
      <c r="E376" s="47" t="s">
        <v>53</v>
      </c>
      <c r="F376" s="47" t="s">
        <v>53</v>
      </c>
      <c r="G376" s="47">
        <v>1</v>
      </c>
      <c r="H376" s="47" t="s">
        <v>53</v>
      </c>
      <c r="I376" s="47" t="s">
        <v>53</v>
      </c>
      <c r="J376" s="48">
        <f t="shared" si="6"/>
        <v>100</v>
      </c>
    </row>
    <row r="377" spans="1:10" ht="21" customHeight="1" x14ac:dyDescent="0.15">
      <c r="A377" s="127">
        <v>47004712</v>
      </c>
      <c r="B377" s="47">
        <v>0</v>
      </c>
      <c r="C377" s="47">
        <v>101</v>
      </c>
      <c r="D377" s="47">
        <v>100</v>
      </c>
      <c r="E377" s="47" t="s">
        <v>53</v>
      </c>
      <c r="F377" s="47" t="s">
        <v>53</v>
      </c>
      <c r="G377" s="47">
        <v>1</v>
      </c>
      <c r="H377" s="47">
        <v>1</v>
      </c>
      <c r="I377" s="47" t="s">
        <v>53</v>
      </c>
      <c r="J377" s="48">
        <f t="shared" si="6"/>
        <v>100</v>
      </c>
    </row>
    <row r="378" spans="1:10" ht="21" customHeight="1" x14ac:dyDescent="0.15">
      <c r="A378" s="127">
        <v>47004713</v>
      </c>
      <c r="B378" s="47">
        <v>0</v>
      </c>
      <c r="C378" s="47">
        <v>102</v>
      </c>
      <c r="D378" s="47">
        <v>100</v>
      </c>
      <c r="E378" s="47" t="s">
        <v>53</v>
      </c>
      <c r="F378" s="47" t="s">
        <v>53</v>
      </c>
      <c r="G378" s="47">
        <v>1</v>
      </c>
      <c r="H378" s="47">
        <v>2</v>
      </c>
      <c r="I378" s="47" t="s">
        <v>53</v>
      </c>
      <c r="J378" s="48">
        <f t="shared" si="6"/>
        <v>100</v>
      </c>
    </row>
    <row r="379" spans="1:10" ht="21" customHeight="1" x14ac:dyDescent="0.15">
      <c r="A379" s="127">
        <v>47004714</v>
      </c>
      <c r="B379" s="47">
        <v>0</v>
      </c>
      <c r="C379" s="47">
        <v>103</v>
      </c>
      <c r="D379" s="47">
        <v>100</v>
      </c>
      <c r="E379" s="47" t="s">
        <v>53</v>
      </c>
      <c r="F379" s="47" t="s">
        <v>53</v>
      </c>
      <c r="G379" s="47">
        <v>1</v>
      </c>
      <c r="H379" s="47">
        <v>3</v>
      </c>
      <c r="I379" s="47" t="s">
        <v>53</v>
      </c>
      <c r="J379" s="48">
        <f t="shared" si="6"/>
        <v>100</v>
      </c>
    </row>
    <row r="380" spans="1:10" ht="21" customHeight="1" x14ac:dyDescent="0.15">
      <c r="A380" s="127">
        <v>47004715</v>
      </c>
      <c r="B380" s="47">
        <v>0</v>
      </c>
      <c r="C380" s="47">
        <v>104</v>
      </c>
      <c r="D380" s="47">
        <v>100</v>
      </c>
      <c r="E380" s="47" t="s">
        <v>53</v>
      </c>
      <c r="F380" s="47" t="s">
        <v>53</v>
      </c>
      <c r="G380" s="47">
        <v>1</v>
      </c>
      <c r="H380" s="47">
        <v>4</v>
      </c>
      <c r="I380" s="47" t="s">
        <v>53</v>
      </c>
      <c r="J380" s="48">
        <f t="shared" si="6"/>
        <v>100</v>
      </c>
    </row>
    <row r="381" spans="1:10" ht="21" customHeight="1" x14ac:dyDescent="0.15">
      <c r="A381" s="127">
        <v>47004716</v>
      </c>
      <c r="B381" s="47">
        <v>0</v>
      </c>
      <c r="C381" s="47">
        <v>105</v>
      </c>
      <c r="D381" s="47">
        <v>100</v>
      </c>
      <c r="E381" s="47" t="s">
        <v>53</v>
      </c>
      <c r="F381" s="47" t="s">
        <v>53</v>
      </c>
      <c r="G381" s="47">
        <v>1</v>
      </c>
      <c r="H381" s="47">
        <v>5</v>
      </c>
      <c r="I381" s="47" t="s">
        <v>53</v>
      </c>
      <c r="J381" s="48">
        <f t="shared" si="6"/>
        <v>100</v>
      </c>
    </row>
    <row r="382" spans="1:10" ht="21" customHeight="1" x14ac:dyDescent="0.15">
      <c r="A382" s="127">
        <v>47004717</v>
      </c>
      <c r="B382" s="47">
        <v>0</v>
      </c>
      <c r="C382" s="47">
        <v>106</v>
      </c>
      <c r="D382" s="47">
        <v>100</v>
      </c>
      <c r="E382" s="47" t="s">
        <v>53</v>
      </c>
      <c r="F382" s="47" t="s">
        <v>53</v>
      </c>
      <c r="G382" s="47">
        <v>1</v>
      </c>
      <c r="H382" s="47">
        <v>6</v>
      </c>
      <c r="I382" s="47" t="s">
        <v>53</v>
      </c>
      <c r="J382" s="48">
        <f t="shared" si="6"/>
        <v>100</v>
      </c>
    </row>
    <row r="383" spans="1:10" ht="21" customHeight="1" x14ac:dyDescent="0.15">
      <c r="A383" s="127">
        <v>47004718</v>
      </c>
      <c r="B383" s="47">
        <v>0</v>
      </c>
      <c r="C383" s="47">
        <v>107</v>
      </c>
      <c r="D383" s="47">
        <v>100</v>
      </c>
      <c r="E383" s="47" t="s">
        <v>53</v>
      </c>
      <c r="F383" s="47" t="s">
        <v>53</v>
      </c>
      <c r="G383" s="47">
        <v>1</v>
      </c>
      <c r="H383" s="47">
        <v>7</v>
      </c>
      <c r="I383" s="47" t="s">
        <v>53</v>
      </c>
      <c r="J383" s="48">
        <f t="shared" si="6"/>
        <v>100</v>
      </c>
    </row>
    <row r="384" spans="1:10" ht="21" customHeight="1" x14ac:dyDescent="0.15">
      <c r="A384" s="127">
        <v>47004719</v>
      </c>
      <c r="B384" s="47">
        <v>0</v>
      </c>
      <c r="C384" s="47">
        <v>108</v>
      </c>
      <c r="D384" s="47">
        <v>100</v>
      </c>
      <c r="E384" s="47" t="s">
        <v>53</v>
      </c>
      <c r="F384" s="47" t="s">
        <v>53</v>
      </c>
      <c r="G384" s="47">
        <v>1</v>
      </c>
      <c r="H384" s="47">
        <v>8</v>
      </c>
      <c r="I384" s="47" t="s">
        <v>53</v>
      </c>
      <c r="J384" s="48">
        <f t="shared" si="6"/>
        <v>100</v>
      </c>
    </row>
    <row r="385" spans="1:10" ht="21" customHeight="1" x14ac:dyDescent="0.15">
      <c r="A385" s="127">
        <v>47004720</v>
      </c>
      <c r="B385" s="47">
        <v>0</v>
      </c>
      <c r="C385" s="47">
        <v>200</v>
      </c>
      <c r="D385" s="47">
        <v>100</v>
      </c>
      <c r="E385" s="47" t="s">
        <v>53</v>
      </c>
      <c r="F385" s="47" t="s">
        <v>53</v>
      </c>
      <c r="G385" s="47">
        <v>0</v>
      </c>
      <c r="H385" s="47">
        <v>1</v>
      </c>
      <c r="I385" s="113">
        <v>0</v>
      </c>
      <c r="J385" s="48">
        <f t="shared" si="6"/>
        <v>100</v>
      </c>
    </row>
    <row r="386" spans="1:10" ht="21" customHeight="1" x14ac:dyDescent="0.15">
      <c r="A386" s="47">
        <v>47004751</v>
      </c>
      <c r="B386" s="47">
        <v>1</v>
      </c>
      <c r="C386" s="47">
        <v>100</v>
      </c>
      <c r="D386" s="47">
        <v>100</v>
      </c>
      <c r="E386" s="47" t="s">
        <v>89</v>
      </c>
      <c r="F386" s="47" t="s">
        <v>89</v>
      </c>
      <c r="G386" s="47">
        <v>1</v>
      </c>
      <c r="H386" s="47" t="s">
        <v>89</v>
      </c>
      <c r="I386" s="47" t="s">
        <v>89</v>
      </c>
      <c r="J386" s="48">
        <f t="shared" si="6"/>
        <v>100</v>
      </c>
    </row>
    <row r="387" spans="1:10" ht="21" customHeight="1" x14ac:dyDescent="0.15">
      <c r="A387" s="47">
        <v>47004752</v>
      </c>
      <c r="B387" s="47">
        <v>0</v>
      </c>
      <c r="C387" s="47">
        <v>110</v>
      </c>
      <c r="D387" s="47">
        <v>100</v>
      </c>
      <c r="E387" s="47" t="s">
        <v>89</v>
      </c>
      <c r="F387" s="47" t="s">
        <v>89</v>
      </c>
      <c r="G387" s="47" t="s">
        <v>263</v>
      </c>
      <c r="H387" s="47">
        <v>3</v>
      </c>
      <c r="I387" s="47" t="s">
        <v>89</v>
      </c>
      <c r="J387" s="48">
        <f t="shared" si="6"/>
        <v>100</v>
      </c>
    </row>
    <row r="388" spans="1:10" ht="21" customHeight="1" x14ac:dyDescent="0.15">
      <c r="A388" s="47">
        <v>47004753</v>
      </c>
      <c r="B388" s="47">
        <v>0</v>
      </c>
      <c r="C388" s="47">
        <v>120</v>
      </c>
      <c r="D388" s="47">
        <v>100</v>
      </c>
      <c r="E388" s="47" t="s">
        <v>89</v>
      </c>
      <c r="F388" s="47" t="s">
        <v>89</v>
      </c>
      <c r="G388" s="47">
        <v>1</v>
      </c>
      <c r="H388" s="47">
        <v>6</v>
      </c>
      <c r="I388" s="47" t="s">
        <v>89</v>
      </c>
      <c r="J388" s="48">
        <f t="shared" si="6"/>
        <v>100</v>
      </c>
    </row>
    <row r="389" spans="1:10" ht="21" customHeight="1" x14ac:dyDescent="0.15">
      <c r="A389" s="47">
        <v>47004754</v>
      </c>
      <c r="B389" s="47">
        <v>1</v>
      </c>
      <c r="C389" s="47">
        <v>250</v>
      </c>
      <c r="D389" s="47">
        <v>100</v>
      </c>
      <c r="E389" s="47" t="s">
        <v>89</v>
      </c>
      <c r="F389" s="47" t="s">
        <v>89</v>
      </c>
      <c r="G389" s="47">
        <v>1</v>
      </c>
      <c r="H389" s="47" t="s">
        <v>89</v>
      </c>
      <c r="I389" s="113">
        <v>1278</v>
      </c>
      <c r="J389" s="48">
        <f t="shared" si="6"/>
        <v>100</v>
      </c>
    </row>
    <row r="390" spans="1:10" ht="21" customHeight="1" x14ac:dyDescent="0.15">
      <c r="A390" s="47">
        <v>47004755</v>
      </c>
      <c r="B390" s="47">
        <v>1</v>
      </c>
      <c r="C390" s="47">
        <v>251</v>
      </c>
      <c r="D390" s="47">
        <v>100</v>
      </c>
      <c r="E390" s="47" t="s">
        <v>89</v>
      </c>
      <c r="F390" s="47" t="s">
        <v>89</v>
      </c>
      <c r="G390" s="47">
        <v>1</v>
      </c>
      <c r="H390" s="47" t="s">
        <v>89</v>
      </c>
      <c r="I390" s="113">
        <v>1279</v>
      </c>
      <c r="J390" s="48">
        <f t="shared" ref="J390:J403" si="7">D390</f>
        <v>100</v>
      </c>
    </row>
    <row r="391" spans="1:10" ht="21" customHeight="1" x14ac:dyDescent="0.15">
      <c r="A391" s="47">
        <v>47004756</v>
      </c>
      <c r="B391" s="47">
        <v>1</v>
      </c>
      <c r="C391" s="47">
        <v>240</v>
      </c>
      <c r="D391" s="47">
        <v>100</v>
      </c>
      <c r="E391" s="47" t="s">
        <v>89</v>
      </c>
      <c r="F391" s="47" t="s">
        <v>89</v>
      </c>
      <c r="G391" s="47">
        <v>1</v>
      </c>
      <c r="H391" s="47" t="s">
        <v>89</v>
      </c>
      <c r="I391" s="113">
        <v>516</v>
      </c>
      <c r="J391" s="48">
        <f t="shared" si="7"/>
        <v>100</v>
      </c>
    </row>
    <row r="392" spans="1:10" ht="21" customHeight="1" x14ac:dyDescent="0.15">
      <c r="A392" s="47">
        <v>47004757</v>
      </c>
      <c r="B392" s="47">
        <v>1</v>
      </c>
      <c r="C392" s="47">
        <v>241</v>
      </c>
      <c r="D392" s="47">
        <v>100</v>
      </c>
      <c r="E392" s="47" t="s">
        <v>89</v>
      </c>
      <c r="F392" s="47" t="s">
        <v>89</v>
      </c>
      <c r="G392" s="47">
        <v>1</v>
      </c>
      <c r="H392" s="47" t="s">
        <v>89</v>
      </c>
      <c r="I392" s="113">
        <v>517</v>
      </c>
      <c r="J392" s="48">
        <f t="shared" si="7"/>
        <v>100</v>
      </c>
    </row>
    <row r="393" spans="1:10" ht="21" customHeight="1" x14ac:dyDescent="0.15">
      <c r="A393" s="47">
        <v>47004758</v>
      </c>
      <c r="B393" s="47">
        <v>1</v>
      </c>
      <c r="C393" s="47">
        <v>242</v>
      </c>
      <c r="D393" s="47">
        <v>100</v>
      </c>
      <c r="E393" s="47" t="s">
        <v>89</v>
      </c>
      <c r="F393" s="47" t="s">
        <v>89</v>
      </c>
      <c r="G393" s="47">
        <v>1</v>
      </c>
      <c r="H393" s="47" t="s">
        <v>89</v>
      </c>
      <c r="I393" s="113">
        <v>1274</v>
      </c>
      <c r="J393" s="48">
        <f t="shared" si="7"/>
        <v>100</v>
      </c>
    </row>
    <row r="394" spans="1:10" ht="21" customHeight="1" x14ac:dyDescent="0.15">
      <c r="A394" s="47">
        <v>47004759</v>
      </c>
      <c r="B394" s="47">
        <v>0</v>
      </c>
      <c r="C394" s="47">
        <v>230</v>
      </c>
      <c r="D394" s="47">
        <v>100</v>
      </c>
      <c r="E394" s="47" t="s">
        <v>89</v>
      </c>
      <c r="F394" s="47" t="s">
        <v>89</v>
      </c>
      <c r="G394" s="47">
        <v>1</v>
      </c>
      <c r="H394" s="47" t="s">
        <v>89</v>
      </c>
      <c r="I394" s="113">
        <v>518</v>
      </c>
      <c r="J394" s="48">
        <f t="shared" si="7"/>
        <v>100</v>
      </c>
    </row>
    <row r="395" spans="1:10" ht="21" customHeight="1" x14ac:dyDescent="0.15">
      <c r="A395" s="47">
        <v>47004760</v>
      </c>
      <c r="B395" s="47">
        <v>0</v>
      </c>
      <c r="C395" s="47">
        <v>231</v>
      </c>
      <c r="D395" s="47">
        <v>100</v>
      </c>
      <c r="E395" s="47" t="s">
        <v>89</v>
      </c>
      <c r="F395" s="47" t="s">
        <v>89</v>
      </c>
      <c r="G395" s="47">
        <v>1</v>
      </c>
      <c r="H395" s="47" t="s">
        <v>89</v>
      </c>
      <c r="I395" s="113">
        <v>519</v>
      </c>
      <c r="J395" s="48">
        <f t="shared" si="7"/>
        <v>100</v>
      </c>
    </row>
    <row r="396" spans="1:10" ht="21" customHeight="1" x14ac:dyDescent="0.15">
      <c r="A396" s="47">
        <v>47004761</v>
      </c>
      <c r="B396" s="47">
        <v>0</v>
      </c>
      <c r="C396" s="47">
        <v>232</v>
      </c>
      <c r="D396" s="47">
        <v>100</v>
      </c>
      <c r="E396" s="47" t="s">
        <v>89</v>
      </c>
      <c r="F396" s="47" t="s">
        <v>89</v>
      </c>
      <c r="G396" s="47">
        <v>1</v>
      </c>
      <c r="H396" s="47" t="s">
        <v>89</v>
      </c>
      <c r="I396" s="113">
        <v>1277</v>
      </c>
      <c r="J396" s="48">
        <f t="shared" si="7"/>
        <v>100</v>
      </c>
    </row>
    <row r="397" spans="1:10" ht="21" customHeight="1" x14ac:dyDescent="0.15">
      <c r="A397" s="47">
        <v>47004762</v>
      </c>
      <c r="B397" s="47">
        <v>0</v>
      </c>
      <c r="C397" s="47">
        <v>220</v>
      </c>
      <c r="D397" s="47">
        <v>100</v>
      </c>
      <c r="E397" s="47" t="s">
        <v>89</v>
      </c>
      <c r="F397" s="47" t="s">
        <v>89</v>
      </c>
      <c r="G397" s="47">
        <v>1</v>
      </c>
      <c r="H397" s="47" t="s">
        <v>89</v>
      </c>
      <c r="I397" s="113">
        <v>514</v>
      </c>
      <c r="J397" s="48">
        <f t="shared" si="7"/>
        <v>100</v>
      </c>
    </row>
    <row r="398" spans="1:10" ht="21" customHeight="1" x14ac:dyDescent="0.15">
      <c r="A398" s="47">
        <v>47004763</v>
      </c>
      <c r="B398" s="47">
        <v>0</v>
      </c>
      <c r="C398" s="47">
        <v>221</v>
      </c>
      <c r="D398" s="47">
        <v>100</v>
      </c>
      <c r="E398" s="47" t="s">
        <v>89</v>
      </c>
      <c r="F398" s="47" t="s">
        <v>89</v>
      </c>
      <c r="G398" s="47">
        <v>1</v>
      </c>
      <c r="H398" s="47" t="s">
        <v>89</v>
      </c>
      <c r="I398" s="113">
        <v>515</v>
      </c>
      <c r="J398" s="48">
        <f t="shared" si="7"/>
        <v>100</v>
      </c>
    </row>
    <row r="399" spans="1:10" ht="21" customHeight="1" x14ac:dyDescent="0.15">
      <c r="A399" s="47">
        <v>47004764</v>
      </c>
      <c r="B399" s="47">
        <v>0</v>
      </c>
      <c r="C399" s="47">
        <v>222</v>
      </c>
      <c r="D399" s="47">
        <v>100</v>
      </c>
      <c r="E399" s="47" t="s">
        <v>89</v>
      </c>
      <c r="F399" s="47" t="s">
        <v>89</v>
      </c>
      <c r="G399" s="47">
        <v>1</v>
      </c>
      <c r="H399" s="47" t="s">
        <v>89</v>
      </c>
      <c r="I399" s="113">
        <v>1276</v>
      </c>
      <c r="J399" s="48">
        <f t="shared" si="7"/>
        <v>100</v>
      </c>
    </row>
    <row r="400" spans="1:10" ht="21" customHeight="1" x14ac:dyDescent="0.15">
      <c r="A400" s="47">
        <v>47004765</v>
      </c>
      <c r="B400" s="47">
        <v>0</v>
      </c>
      <c r="C400" s="47">
        <v>210</v>
      </c>
      <c r="D400" s="47">
        <v>100</v>
      </c>
      <c r="E400" s="47" t="s">
        <v>89</v>
      </c>
      <c r="F400" s="47" t="s">
        <v>89</v>
      </c>
      <c r="G400" s="47">
        <v>1</v>
      </c>
      <c r="H400" s="47" t="s">
        <v>89</v>
      </c>
      <c r="I400" s="113">
        <v>512</v>
      </c>
      <c r="J400" s="48">
        <f t="shared" si="7"/>
        <v>100</v>
      </c>
    </row>
    <row r="401" spans="1:10" ht="21" customHeight="1" x14ac:dyDescent="0.15">
      <c r="A401" s="47">
        <v>47004766</v>
      </c>
      <c r="B401" s="47">
        <v>0</v>
      </c>
      <c r="C401" s="47">
        <v>211</v>
      </c>
      <c r="D401" s="47">
        <v>100</v>
      </c>
      <c r="E401" s="47" t="s">
        <v>89</v>
      </c>
      <c r="F401" s="47" t="s">
        <v>89</v>
      </c>
      <c r="G401" s="47">
        <v>1</v>
      </c>
      <c r="H401" s="47" t="s">
        <v>89</v>
      </c>
      <c r="I401" s="113">
        <v>513</v>
      </c>
      <c r="J401" s="48">
        <f t="shared" si="7"/>
        <v>100</v>
      </c>
    </row>
    <row r="402" spans="1:10" ht="21" customHeight="1" x14ac:dyDescent="0.15">
      <c r="A402" s="47">
        <v>47004767</v>
      </c>
      <c r="B402" s="47">
        <v>0</v>
      </c>
      <c r="C402" s="47">
        <v>212</v>
      </c>
      <c r="D402" s="47">
        <v>100</v>
      </c>
      <c r="E402" s="47" t="s">
        <v>89</v>
      </c>
      <c r="F402" s="47" t="s">
        <v>89</v>
      </c>
      <c r="G402" s="47">
        <v>1</v>
      </c>
      <c r="H402" s="47" t="s">
        <v>89</v>
      </c>
      <c r="I402" s="113">
        <v>1275</v>
      </c>
      <c r="J402" s="48">
        <f t="shared" si="7"/>
        <v>100</v>
      </c>
    </row>
    <row r="403" spans="1:10" ht="21" customHeight="1" x14ac:dyDescent="0.15">
      <c r="A403" s="47">
        <v>47004768</v>
      </c>
      <c r="B403" s="47">
        <v>0</v>
      </c>
      <c r="C403" s="47">
        <v>209</v>
      </c>
      <c r="D403" s="47">
        <v>100</v>
      </c>
      <c r="E403" s="47" t="s">
        <v>53</v>
      </c>
      <c r="F403" s="47" t="s">
        <v>53</v>
      </c>
      <c r="G403" s="47">
        <v>1</v>
      </c>
      <c r="H403" s="47" t="s">
        <v>53</v>
      </c>
      <c r="I403" s="113">
        <v>1281</v>
      </c>
      <c r="J403" s="48">
        <f t="shared" si="7"/>
        <v>100</v>
      </c>
    </row>
    <row r="404" spans="1:10" ht="21" customHeight="1" x14ac:dyDescent="0.15">
      <c r="A404" s="110">
        <v>47004771</v>
      </c>
      <c r="B404" s="47">
        <v>1</v>
      </c>
      <c r="C404" s="47">
        <v>100</v>
      </c>
      <c r="D404" s="47">
        <v>100</v>
      </c>
      <c r="E404" s="47" t="s">
        <v>89</v>
      </c>
      <c r="F404" s="47" t="s">
        <v>89</v>
      </c>
      <c r="G404" s="47">
        <v>1</v>
      </c>
      <c r="H404" s="47" t="s">
        <v>89</v>
      </c>
      <c r="I404" s="47" t="s">
        <v>89</v>
      </c>
      <c r="J404" s="48">
        <f t="shared" ref="J404:J405" si="8">D404</f>
        <v>100</v>
      </c>
    </row>
    <row r="405" spans="1:10" ht="21" customHeight="1" x14ac:dyDescent="0.15">
      <c r="A405" s="110">
        <v>47004772</v>
      </c>
      <c r="B405" s="47">
        <v>0</v>
      </c>
      <c r="C405" s="47">
        <v>110</v>
      </c>
      <c r="D405" s="47">
        <v>100</v>
      </c>
      <c r="E405" s="47" t="s">
        <v>89</v>
      </c>
      <c r="F405" s="47" t="s">
        <v>89</v>
      </c>
      <c r="G405" s="47" t="s">
        <v>263</v>
      </c>
      <c r="H405" s="47">
        <v>2</v>
      </c>
      <c r="I405" s="47" t="s">
        <v>89</v>
      </c>
      <c r="J405" s="48">
        <f t="shared" si="8"/>
        <v>100</v>
      </c>
    </row>
    <row r="406" spans="1:10" ht="21" customHeight="1" x14ac:dyDescent="0.15">
      <c r="A406" s="110">
        <v>47004773</v>
      </c>
      <c r="B406" s="47">
        <v>0</v>
      </c>
      <c r="C406" s="47">
        <v>120</v>
      </c>
      <c r="D406" s="47">
        <v>100</v>
      </c>
      <c r="E406" s="47" t="s">
        <v>89</v>
      </c>
      <c r="F406" s="47" t="s">
        <v>89</v>
      </c>
      <c r="G406" s="47">
        <v>1</v>
      </c>
      <c r="H406" s="47">
        <v>3</v>
      </c>
      <c r="I406" s="47" t="s">
        <v>89</v>
      </c>
      <c r="J406" s="48">
        <f t="shared" ref="J406:J422" si="9">D406</f>
        <v>100</v>
      </c>
    </row>
    <row r="407" spans="1:10" ht="21" customHeight="1" x14ac:dyDescent="0.15">
      <c r="A407" s="110">
        <v>47004774</v>
      </c>
      <c r="B407" s="47">
        <v>1</v>
      </c>
      <c r="C407" s="47">
        <v>250</v>
      </c>
      <c r="D407" s="47">
        <v>100</v>
      </c>
      <c r="E407" s="47" t="s">
        <v>89</v>
      </c>
      <c r="F407" s="47" t="s">
        <v>89</v>
      </c>
      <c r="G407" s="47">
        <v>1</v>
      </c>
      <c r="H407" s="47" t="s">
        <v>89</v>
      </c>
      <c r="I407" s="113">
        <v>1278</v>
      </c>
      <c r="J407" s="48">
        <f t="shared" si="9"/>
        <v>100</v>
      </c>
    </row>
    <row r="408" spans="1:10" ht="21" customHeight="1" x14ac:dyDescent="0.15">
      <c r="A408" s="110">
        <v>47004775</v>
      </c>
      <c r="B408" s="47">
        <v>1</v>
      </c>
      <c r="C408" s="47">
        <v>251</v>
      </c>
      <c r="D408" s="47">
        <v>100</v>
      </c>
      <c r="E408" s="47" t="s">
        <v>89</v>
      </c>
      <c r="F408" s="47" t="s">
        <v>89</v>
      </c>
      <c r="G408" s="47">
        <v>1</v>
      </c>
      <c r="H408" s="47" t="s">
        <v>89</v>
      </c>
      <c r="I408" s="113">
        <v>1279</v>
      </c>
      <c r="J408" s="48">
        <f t="shared" si="9"/>
        <v>100</v>
      </c>
    </row>
    <row r="409" spans="1:10" ht="21" customHeight="1" x14ac:dyDescent="0.15">
      <c r="A409" s="110">
        <v>47004776</v>
      </c>
      <c r="B409" s="47">
        <v>1</v>
      </c>
      <c r="C409" s="47">
        <v>240</v>
      </c>
      <c r="D409" s="47">
        <v>100</v>
      </c>
      <c r="E409" s="47" t="s">
        <v>89</v>
      </c>
      <c r="F409" s="47" t="s">
        <v>89</v>
      </c>
      <c r="G409" s="47">
        <v>1</v>
      </c>
      <c r="H409" s="47" t="s">
        <v>89</v>
      </c>
      <c r="I409" s="113">
        <v>516</v>
      </c>
      <c r="J409" s="48">
        <f t="shared" si="9"/>
        <v>100</v>
      </c>
    </row>
    <row r="410" spans="1:10" ht="21" customHeight="1" x14ac:dyDescent="0.15">
      <c r="A410" s="110">
        <v>47004777</v>
      </c>
      <c r="B410" s="47">
        <v>1</v>
      </c>
      <c r="C410" s="47">
        <v>241</v>
      </c>
      <c r="D410" s="47">
        <v>100</v>
      </c>
      <c r="E410" s="47" t="s">
        <v>89</v>
      </c>
      <c r="F410" s="47" t="s">
        <v>89</v>
      </c>
      <c r="G410" s="47">
        <v>1</v>
      </c>
      <c r="H410" s="47" t="s">
        <v>89</v>
      </c>
      <c r="I410" s="113">
        <v>517</v>
      </c>
      <c r="J410" s="48">
        <f t="shared" si="9"/>
        <v>100</v>
      </c>
    </row>
    <row r="411" spans="1:10" ht="21" customHeight="1" x14ac:dyDescent="0.15">
      <c r="A411" s="110">
        <v>47004778</v>
      </c>
      <c r="B411" s="47">
        <v>1</v>
      </c>
      <c r="C411" s="47">
        <v>242</v>
      </c>
      <c r="D411" s="47">
        <v>100</v>
      </c>
      <c r="E411" s="47" t="s">
        <v>89</v>
      </c>
      <c r="F411" s="47" t="s">
        <v>89</v>
      </c>
      <c r="G411" s="47">
        <v>1</v>
      </c>
      <c r="H411" s="47" t="s">
        <v>89</v>
      </c>
      <c r="I411" s="113">
        <v>1274</v>
      </c>
      <c r="J411" s="48">
        <f t="shared" si="9"/>
        <v>100</v>
      </c>
    </row>
    <row r="412" spans="1:10" ht="21" customHeight="1" x14ac:dyDescent="0.15">
      <c r="A412" s="110">
        <v>47004779</v>
      </c>
      <c r="B412" s="47">
        <v>0</v>
      </c>
      <c r="C412" s="47">
        <v>230</v>
      </c>
      <c r="D412" s="47">
        <v>100</v>
      </c>
      <c r="E412" s="47" t="s">
        <v>89</v>
      </c>
      <c r="F412" s="47" t="s">
        <v>89</v>
      </c>
      <c r="G412" s="47">
        <v>1</v>
      </c>
      <c r="H412" s="47" t="s">
        <v>89</v>
      </c>
      <c r="I412" s="113">
        <v>518</v>
      </c>
      <c r="J412" s="48">
        <f t="shared" si="9"/>
        <v>100</v>
      </c>
    </row>
    <row r="413" spans="1:10" ht="21" customHeight="1" x14ac:dyDescent="0.15">
      <c r="A413" s="110">
        <v>47004780</v>
      </c>
      <c r="B413" s="47">
        <v>0</v>
      </c>
      <c r="C413" s="47">
        <v>231</v>
      </c>
      <c r="D413" s="47">
        <v>100</v>
      </c>
      <c r="E413" s="47" t="s">
        <v>89</v>
      </c>
      <c r="F413" s="47" t="s">
        <v>89</v>
      </c>
      <c r="G413" s="47">
        <v>1</v>
      </c>
      <c r="H413" s="47" t="s">
        <v>89</v>
      </c>
      <c r="I413" s="113">
        <v>519</v>
      </c>
      <c r="J413" s="48">
        <f t="shared" si="9"/>
        <v>100</v>
      </c>
    </row>
    <row r="414" spans="1:10" ht="21" customHeight="1" x14ac:dyDescent="0.15">
      <c r="A414" s="110">
        <v>47004781</v>
      </c>
      <c r="B414" s="47">
        <v>0</v>
      </c>
      <c r="C414" s="47">
        <v>232</v>
      </c>
      <c r="D414" s="47">
        <v>100</v>
      </c>
      <c r="E414" s="47" t="s">
        <v>89</v>
      </c>
      <c r="F414" s="47" t="s">
        <v>89</v>
      </c>
      <c r="G414" s="47">
        <v>1</v>
      </c>
      <c r="H414" s="47" t="s">
        <v>89</v>
      </c>
      <c r="I414" s="113">
        <v>1277</v>
      </c>
      <c r="J414" s="48">
        <f t="shared" si="9"/>
        <v>100</v>
      </c>
    </row>
    <row r="415" spans="1:10" ht="21" customHeight="1" x14ac:dyDescent="0.15">
      <c r="A415" s="110">
        <v>47004782</v>
      </c>
      <c r="B415" s="47">
        <v>0</v>
      </c>
      <c r="C415" s="47">
        <v>220</v>
      </c>
      <c r="D415" s="47">
        <v>100</v>
      </c>
      <c r="E415" s="47" t="s">
        <v>89</v>
      </c>
      <c r="F415" s="47" t="s">
        <v>89</v>
      </c>
      <c r="G415" s="47">
        <v>1</v>
      </c>
      <c r="H415" s="47" t="s">
        <v>89</v>
      </c>
      <c r="I415" s="113">
        <v>514</v>
      </c>
      <c r="J415" s="48">
        <f t="shared" si="9"/>
        <v>100</v>
      </c>
    </row>
    <row r="416" spans="1:10" ht="21" customHeight="1" x14ac:dyDescent="0.15">
      <c r="A416" s="110">
        <v>47004783</v>
      </c>
      <c r="B416" s="47">
        <v>0</v>
      </c>
      <c r="C416" s="47">
        <v>221</v>
      </c>
      <c r="D416" s="47">
        <v>100</v>
      </c>
      <c r="E416" s="47" t="s">
        <v>89</v>
      </c>
      <c r="F416" s="47" t="s">
        <v>89</v>
      </c>
      <c r="G416" s="47">
        <v>1</v>
      </c>
      <c r="H416" s="47" t="s">
        <v>89</v>
      </c>
      <c r="I416" s="113">
        <v>515</v>
      </c>
      <c r="J416" s="48">
        <f t="shared" si="9"/>
        <v>100</v>
      </c>
    </row>
    <row r="417" spans="1:10" ht="21" customHeight="1" x14ac:dyDescent="0.15">
      <c r="A417" s="110">
        <v>47004784</v>
      </c>
      <c r="B417" s="47">
        <v>0</v>
      </c>
      <c r="C417" s="47">
        <v>222</v>
      </c>
      <c r="D417" s="47">
        <v>100</v>
      </c>
      <c r="E417" s="47" t="s">
        <v>89</v>
      </c>
      <c r="F417" s="47" t="s">
        <v>89</v>
      </c>
      <c r="G417" s="47">
        <v>1</v>
      </c>
      <c r="H417" s="47" t="s">
        <v>89</v>
      </c>
      <c r="I417" s="113">
        <v>1276</v>
      </c>
      <c r="J417" s="48">
        <f t="shared" si="9"/>
        <v>100</v>
      </c>
    </row>
    <row r="418" spans="1:10" ht="21" customHeight="1" x14ac:dyDescent="0.15">
      <c r="A418" s="110">
        <v>47004785</v>
      </c>
      <c r="B418" s="47">
        <v>0</v>
      </c>
      <c r="C418" s="47">
        <v>210</v>
      </c>
      <c r="D418" s="47">
        <v>100</v>
      </c>
      <c r="E418" s="47" t="s">
        <v>89</v>
      </c>
      <c r="F418" s="47" t="s">
        <v>89</v>
      </c>
      <c r="G418" s="47">
        <v>1</v>
      </c>
      <c r="H418" s="47" t="s">
        <v>89</v>
      </c>
      <c r="I418" s="113">
        <v>512</v>
      </c>
      <c r="J418" s="48">
        <f t="shared" si="9"/>
        <v>100</v>
      </c>
    </row>
    <row r="419" spans="1:10" ht="21" customHeight="1" x14ac:dyDescent="0.15">
      <c r="A419" s="110">
        <v>47004786</v>
      </c>
      <c r="B419" s="47">
        <v>0</v>
      </c>
      <c r="C419" s="47">
        <v>211</v>
      </c>
      <c r="D419" s="47">
        <v>100</v>
      </c>
      <c r="E419" s="47" t="s">
        <v>89</v>
      </c>
      <c r="F419" s="47" t="s">
        <v>89</v>
      </c>
      <c r="G419" s="47">
        <v>1</v>
      </c>
      <c r="H419" s="47" t="s">
        <v>89</v>
      </c>
      <c r="I419" s="113">
        <v>513</v>
      </c>
      <c r="J419" s="48">
        <f t="shared" si="9"/>
        <v>100</v>
      </c>
    </row>
    <row r="420" spans="1:10" ht="21" customHeight="1" x14ac:dyDescent="0.15">
      <c r="A420" s="110">
        <v>47004787</v>
      </c>
      <c r="B420" s="47">
        <v>0</v>
      </c>
      <c r="C420" s="47">
        <v>212</v>
      </c>
      <c r="D420" s="47">
        <v>100</v>
      </c>
      <c r="E420" s="47" t="s">
        <v>89</v>
      </c>
      <c r="F420" s="47" t="s">
        <v>89</v>
      </c>
      <c r="G420" s="47">
        <v>1</v>
      </c>
      <c r="H420" s="47" t="s">
        <v>89</v>
      </c>
      <c r="I420" s="113">
        <v>1275</v>
      </c>
      <c r="J420" s="48">
        <f t="shared" si="9"/>
        <v>100</v>
      </c>
    </row>
    <row r="421" spans="1:10" ht="21" customHeight="1" x14ac:dyDescent="0.15">
      <c r="A421" s="110">
        <v>47004788</v>
      </c>
      <c r="B421" s="47">
        <v>0</v>
      </c>
      <c r="C421" s="47">
        <v>209</v>
      </c>
      <c r="D421" s="47">
        <v>100</v>
      </c>
      <c r="E421" s="47" t="s">
        <v>53</v>
      </c>
      <c r="F421" s="47" t="s">
        <v>53</v>
      </c>
      <c r="G421" s="47">
        <v>1</v>
      </c>
      <c r="H421" s="47" t="s">
        <v>53</v>
      </c>
      <c r="I421" s="113">
        <v>1280</v>
      </c>
      <c r="J421" s="48">
        <f t="shared" ref="J421" si="10">D421</f>
        <v>100</v>
      </c>
    </row>
    <row r="422" spans="1:10" ht="21" customHeight="1" x14ac:dyDescent="0.15">
      <c r="A422" s="47">
        <v>47004791</v>
      </c>
      <c r="B422" s="47">
        <v>1</v>
      </c>
      <c r="C422" s="47">
        <v>100</v>
      </c>
      <c r="D422" s="47">
        <v>100</v>
      </c>
      <c r="E422" s="47" t="s">
        <v>89</v>
      </c>
      <c r="F422" s="47" t="s">
        <v>89</v>
      </c>
      <c r="G422" s="47">
        <v>1</v>
      </c>
      <c r="H422" s="47" t="s">
        <v>89</v>
      </c>
      <c r="I422" s="47" t="s">
        <v>89</v>
      </c>
      <c r="J422" s="48">
        <f t="shared" si="9"/>
        <v>100</v>
      </c>
    </row>
    <row r="423" spans="1:10" ht="21" customHeight="1" x14ac:dyDescent="0.15">
      <c r="A423" s="47">
        <v>47004792</v>
      </c>
      <c r="B423" s="47">
        <v>0</v>
      </c>
      <c r="C423" s="47">
        <v>110</v>
      </c>
      <c r="D423" s="47">
        <v>100</v>
      </c>
      <c r="E423" s="47" t="s">
        <v>89</v>
      </c>
      <c r="F423" s="47" t="s">
        <v>89</v>
      </c>
      <c r="G423" s="47" t="s">
        <v>89</v>
      </c>
      <c r="H423" s="47">
        <v>2</v>
      </c>
      <c r="I423" s="47" t="s">
        <v>89</v>
      </c>
      <c r="J423" s="48">
        <f t="shared" ref="J423:J426" si="11">D423</f>
        <v>100</v>
      </c>
    </row>
    <row r="424" spans="1:10" ht="21" customHeight="1" x14ac:dyDescent="0.15">
      <c r="A424" s="47">
        <v>47004793</v>
      </c>
      <c r="B424" s="47">
        <v>0</v>
      </c>
      <c r="C424" s="47">
        <v>120</v>
      </c>
      <c r="D424" s="47">
        <v>100</v>
      </c>
      <c r="E424" s="47" t="s">
        <v>89</v>
      </c>
      <c r="F424" s="47" t="s">
        <v>89</v>
      </c>
      <c r="G424" s="47" t="s">
        <v>89</v>
      </c>
      <c r="H424" s="47">
        <v>3</v>
      </c>
      <c r="I424" s="47" t="s">
        <v>89</v>
      </c>
      <c r="J424" s="48">
        <f t="shared" si="11"/>
        <v>100</v>
      </c>
    </row>
    <row r="425" spans="1:10" ht="21" customHeight="1" x14ac:dyDescent="0.15">
      <c r="A425" s="47">
        <v>47004794</v>
      </c>
      <c r="B425" s="47">
        <v>0</v>
      </c>
      <c r="C425" s="47">
        <v>140</v>
      </c>
      <c r="D425" s="47">
        <v>100</v>
      </c>
      <c r="E425" s="47">
        <v>50</v>
      </c>
      <c r="F425" s="47" t="s">
        <v>89</v>
      </c>
      <c r="G425" s="47">
        <v>1</v>
      </c>
      <c r="H425" s="47">
        <v>1</v>
      </c>
      <c r="I425" s="47" t="s">
        <v>89</v>
      </c>
      <c r="J425" s="48">
        <f t="shared" ref="J425" si="12">D425</f>
        <v>100</v>
      </c>
    </row>
    <row r="426" spans="1:10" ht="21" customHeight="1" x14ac:dyDescent="0.15">
      <c r="A426" s="110">
        <v>47004801</v>
      </c>
      <c r="B426" s="47">
        <v>1</v>
      </c>
      <c r="C426" s="47">
        <v>100</v>
      </c>
      <c r="D426" s="47">
        <v>100</v>
      </c>
      <c r="E426" s="47" t="s">
        <v>89</v>
      </c>
      <c r="F426" s="47" t="s">
        <v>89</v>
      </c>
      <c r="G426" s="47">
        <v>1</v>
      </c>
      <c r="H426" s="47" t="s">
        <v>89</v>
      </c>
      <c r="I426" s="47" t="s">
        <v>89</v>
      </c>
      <c r="J426" s="48">
        <f t="shared" si="11"/>
        <v>100</v>
      </c>
    </row>
    <row r="427" spans="1:10" ht="21" customHeight="1" x14ac:dyDescent="0.15">
      <c r="A427" s="110">
        <v>47004802</v>
      </c>
      <c r="B427" s="47">
        <v>0</v>
      </c>
      <c r="C427" s="47">
        <v>110</v>
      </c>
      <c r="D427" s="47">
        <v>100</v>
      </c>
      <c r="E427" s="47" t="s">
        <v>89</v>
      </c>
      <c r="F427" s="47" t="s">
        <v>89</v>
      </c>
      <c r="G427" s="47">
        <v>1</v>
      </c>
      <c r="H427" s="47">
        <v>1</v>
      </c>
      <c r="I427" s="47" t="s">
        <v>89</v>
      </c>
      <c r="J427" s="48">
        <f t="shared" ref="J427:J428" si="13">D427</f>
        <v>100</v>
      </c>
    </row>
    <row r="428" spans="1:10" ht="21" customHeight="1" x14ac:dyDescent="0.15">
      <c r="A428" s="110">
        <v>47004811</v>
      </c>
      <c r="B428" s="47">
        <v>1</v>
      </c>
      <c r="C428" s="47">
        <v>100</v>
      </c>
      <c r="D428" s="47">
        <v>100</v>
      </c>
      <c r="E428" s="47" t="s">
        <v>89</v>
      </c>
      <c r="F428" s="47" t="s">
        <v>89</v>
      </c>
      <c r="G428" s="47">
        <v>1</v>
      </c>
      <c r="H428" s="47" t="s">
        <v>89</v>
      </c>
      <c r="I428" s="47" t="s">
        <v>89</v>
      </c>
      <c r="J428" s="48">
        <f t="shared" si="13"/>
        <v>100</v>
      </c>
    </row>
    <row r="429" spans="1:10" ht="21" customHeight="1" x14ac:dyDescent="0.15">
      <c r="A429" s="110">
        <v>47004812</v>
      </c>
      <c r="B429" s="47">
        <v>0</v>
      </c>
      <c r="C429" s="47">
        <v>110</v>
      </c>
      <c r="D429" s="47">
        <v>100</v>
      </c>
      <c r="E429" s="47" t="s">
        <v>89</v>
      </c>
      <c r="F429" s="47" t="s">
        <v>89</v>
      </c>
      <c r="G429" s="47">
        <v>1</v>
      </c>
      <c r="H429" s="47">
        <v>1</v>
      </c>
      <c r="I429" s="47" t="s">
        <v>89</v>
      </c>
      <c r="J429" s="48">
        <f t="shared" ref="J429:J458" si="14">D429</f>
        <v>100</v>
      </c>
    </row>
    <row r="430" spans="1:10" ht="21" customHeight="1" x14ac:dyDescent="0.15">
      <c r="A430" s="110">
        <v>47004813</v>
      </c>
      <c r="B430" s="47">
        <v>1</v>
      </c>
      <c r="C430" s="47">
        <v>250</v>
      </c>
      <c r="D430" s="47">
        <v>100</v>
      </c>
      <c r="E430" s="47" t="s">
        <v>53</v>
      </c>
      <c r="F430" s="47" t="s">
        <v>53</v>
      </c>
      <c r="G430" s="47">
        <v>1</v>
      </c>
      <c r="H430" s="47">
        <v>1</v>
      </c>
      <c r="I430" s="113">
        <v>1278</v>
      </c>
      <c r="J430" s="48">
        <f t="shared" si="14"/>
        <v>100</v>
      </c>
    </row>
    <row r="431" spans="1:10" ht="21" customHeight="1" x14ac:dyDescent="0.15">
      <c r="A431" s="110">
        <v>47004814</v>
      </c>
      <c r="B431" s="47">
        <v>1</v>
      </c>
      <c r="C431" s="47">
        <v>251</v>
      </c>
      <c r="D431" s="47">
        <v>100</v>
      </c>
      <c r="E431" s="47" t="s">
        <v>53</v>
      </c>
      <c r="F431" s="47" t="s">
        <v>53</v>
      </c>
      <c r="G431" s="47">
        <v>1</v>
      </c>
      <c r="H431" s="47">
        <v>1</v>
      </c>
      <c r="I431" s="113">
        <v>1279</v>
      </c>
      <c r="J431" s="48">
        <f t="shared" si="14"/>
        <v>100</v>
      </c>
    </row>
    <row r="432" spans="1:10" ht="21" customHeight="1" x14ac:dyDescent="0.15">
      <c r="A432" s="110">
        <v>47004815</v>
      </c>
      <c r="B432" s="47">
        <v>1</v>
      </c>
      <c r="C432" s="47">
        <v>240</v>
      </c>
      <c r="D432" s="47">
        <v>100</v>
      </c>
      <c r="E432" s="47" t="s">
        <v>53</v>
      </c>
      <c r="F432" s="47" t="s">
        <v>53</v>
      </c>
      <c r="G432" s="47">
        <v>1</v>
      </c>
      <c r="H432" s="47">
        <v>1</v>
      </c>
      <c r="I432" s="113">
        <v>516</v>
      </c>
      <c r="J432" s="48">
        <f t="shared" si="14"/>
        <v>100</v>
      </c>
    </row>
    <row r="433" spans="1:10" ht="21" customHeight="1" x14ac:dyDescent="0.15">
      <c r="A433" s="110">
        <v>47004816</v>
      </c>
      <c r="B433" s="47">
        <v>1</v>
      </c>
      <c r="C433" s="47">
        <v>241</v>
      </c>
      <c r="D433" s="47">
        <v>100</v>
      </c>
      <c r="E433" s="47" t="s">
        <v>53</v>
      </c>
      <c r="F433" s="47" t="s">
        <v>53</v>
      </c>
      <c r="G433" s="47">
        <v>1</v>
      </c>
      <c r="H433" s="47">
        <v>1</v>
      </c>
      <c r="I433" s="113">
        <v>517</v>
      </c>
      <c r="J433" s="48">
        <f t="shared" si="14"/>
        <v>100</v>
      </c>
    </row>
    <row r="434" spans="1:10" ht="21" customHeight="1" x14ac:dyDescent="0.15">
      <c r="A434" s="110">
        <v>47004817</v>
      </c>
      <c r="B434" s="47">
        <v>1</v>
      </c>
      <c r="C434" s="47">
        <v>242</v>
      </c>
      <c r="D434" s="47">
        <v>100</v>
      </c>
      <c r="E434" s="47" t="s">
        <v>53</v>
      </c>
      <c r="F434" s="47" t="s">
        <v>53</v>
      </c>
      <c r="G434" s="47">
        <v>1</v>
      </c>
      <c r="H434" s="47">
        <v>1</v>
      </c>
      <c r="I434" s="113">
        <v>1274</v>
      </c>
      <c r="J434" s="48">
        <f t="shared" si="14"/>
        <v>100</v>
      </c>
    </row>
    <row r="435" spans="1:10" ht="21" customHeight="1" x14ac:dyDescent="0.15">
      <c r="A435" s="110">
        <v>47004818</v>
      </c>
      <c r="B435" s="47">
        <v>1</v>
      </c>
      <c r="C435" s="47">
        <v>220</v>
      </c>
      <c r="D435" s="47">
        <v>100</v>
      </c>
      <c r="E435" s="47" t="s">
        <v>53</v>
      </c>
      <c r="F435" s="47" t="s">
        <v>53</v>
      </c>
      <c r="G435" s="47">
        <v>1</v>
      </c>
      <c r="H435" s="47">
        <v>1</v>
      </c>
      <c r="I435" s="113">
        <v>514</v>
      </c>
      <c r="J435" s="48">
        <f t="shared" si="14"/>
        <v>100</v>
      </c>
    </row>
    <row r="436" spans="1:10" ht="21" customHeight="1" x14ac:dyDescent="0.15">
      <c r="A436" s="110">
        <v>47004819</v>
      </c>
      <c r="B436" s="47">
        <v>1</v>
      </c>
      <c r="C436" s="47">
        <v>221</v>
      </c>
      <c r="D436" s="47">
        <v>100</v>
      </c>
      <c r="E436" s="47" t="s">
        <v>53</v>
      </c>
      <c r="F436" s="47" t="s">
        <v>53</v>
      </c>
      <c r="G436" s="47">
        <v>1</v>
      </c>
      <c r="H436" s="47">
        <v>1</v>
      </c>
      <c r="I436" s="113">
        <v>515</v>
      </c>
      <c r="J436" s="48">
        <f t="shared" si="14"/>
        <v>100</v>
      </c>
    </row>
    <row r="437" spans="1:10" ht="21" customHeight="1" x14ac:dyDescent="0.15">
      <c r="A437" s="110">
        <v>47004820</v>
      </c>
      <c r="B437" s="47">
        <v>1</v>
      </c>
      <c r="C437" s="47">
        <v>222</v>
      </c>
      <c r="D437" s="47">
        <v>100</v>
      </c>
      <c r="E437" s="47" t="s">
        <v>53</v>
      </c>
      <c r="F437" s="47" t="s">
        <v>53</v>
      </c>
      <c r="G437" s="47">
        <v>1</v>
      </c>
      <c r="H437" s="47">
        <v>1</v>
      </c>
      <c r="I437" s="113">
        <v>1276</v>
      </c>
      <c r="J437" s="48">
        <f t="shared" si="14"/>
        <v>100</v>
      </c>
    </row>
    <row r="438" spans="1:10" ht="21" customHeight="1" x14ac:dyDescent="0.15">
      <c r="A438" s="110">
        <v>47004821</v>
      </c>
      <c r="B438" s="47">
        <v>1</v>
      </c>
      <c r="C438" s="47">
        <v>210</v>
      </c>
      <c r="D438" s="47">
        <v>100</v>
      </c>
      <c r="E438" s="47" t="s">
        <v>53</v>
      </c>
      <c r="F438" s="47" t="s">
        <v>53</v>
      </c>
      <c r="G438" s="47">
        <v>1</v>
      </c>
      <c r="H438" s="47">
        <v>1</v>
      </c>
      <c r="I438" s="113">
        <v>512</v>
      </c>
      <c r="J438" s="48">
        <f t="shared" si="14"/>
        <v>100</v>
      </c>
    </row>
    <row r="439" spans="1:10" ht="21" customHeight="1" x14ac:dyDescent="0.15">
      <c r="A439" s="110">
        <v>47004822</v>
      </c>
      <c r="B439" s="47">
        <v>1</v>
      </c>
      <c r="C439" s="47">
        <v>211</v>
      </c>
      <c r="D439" s="47">
        <v>100</v>
      </c>
      <c r="E439" s="47" t="s">
        <v>53</v>
      </c>
      <c r="F439" s="47" t="s">
        <v>53</v>
      </c>
      <c r="G439" s="47">
        <v>1</v>
      </c>
      <c r="H439" s="47">
        <v>1</v>
      </c>
      <c r="I439" s="113">
        <v>513</v>
      </c>
      <c r="J439" s="48">
        <f t="shared" si="14"/>
        <v>100</v>
      </c>
    </row>
    <row r="440" spans="1:10" ht="21" customHeight="1" x14ac:dyDescent="0.15">
      <c r="A440" s="110">
        <v>47004823</v>
      </c>
      <c r="B440" s="47">
        <v>1</v>
      </c>
      <c r="C440" s="47">
        <v>212</v>
      </c>
      <c r="D440" s="47">
        <v>100</v>
      </c>
      <c r="E440" s="47" t="s">
        <v>53</v>
      </c>
      <c r="F440" s="47" t="s">
        <v>53</v>
      </c>
      <c r="G440" s="47">
        <v>1</v>
      </c>
      <c r="H440" s="47">
        <v>1</v>
      </c>
      <c r="I440" s="113">
        <v>1275</v>
      </c>
      <c r="J440" s="48">
        <f t="shared" si="14"/>
        <v>100</v>
      </c>
    </row>
    <row r="441" spans="1:10" ht="21" customHeight="1" x14ac:dyDescent="0.15">
      <c r="A441" s="110">
        <v>47004824</v>
      </c>
      <c r="B441" s="47">
        <v>1</v>
      </c>
      <c r="C441" s="47">
        <v>209</v>
      </c>
      <c r="D441" s="47">
        <v>100</v>
      </c>
      <c r="E441" s="47" t="s">
        <v>53</v>
      </c>
      <c r="F441" s="47" t="s">
        <v>53</v>
      </c>
      <c r="G441" s="47">
        <v>1</v>
      </c>
      <c r="H441" s="47">
        <v>1</v>
      </c>
      <c r="I441" s="113">
        <v>1281</v>
      </c>
      <c r="J441" s="48">
        <f t="shared" ref="J441:J442" si="15">D441</f>
        <v>100</v>
      </c>
    </row>
    <row r="442" spans="1:10" ht="21" customHeight="1" x14ac:dyDescent="0.15">
      <c r="A442" s="110">
        <v>47004825</v>
      </c>
      <c r="B442" s="47">
        <v>1</v>
      </c>
      <c r="C442" s="47">
        <v>208</v>
      </c>
      <c r="D442" s="47">
        <v>100</v>
      </c>
      <c r="E442" s="47" t="s">
        <v>53</v>
      </c>
      <c r="F442" s="47" t="s">
        <v>53</v>
      </c>
      <c r="G442" s="47">
        <v>1</v>
      </c>
      <c r="H442" s="47">
        <v>1</v>
      </c>
      <c r="I442" s="113">
        <v>1280</v>
      </c>
      <c r="J442" s="48">
        <f t="shared" si="15"/>
        <v>100</v>
      </c>
    </row>
    <row r="443" spans="1:10" ht="21" customHeight="1" x14ac:dyDescent="0.15">
      <c r="A443" s="47">
        <v>47004831</v>
      </c>
      <c r="B443" s="47">
        <v>1</v>
      </c>
      <c r="C443" s="47">
        <v>100</v>
      </c>
      <c r="D443" s="47">
        <v>100</v>
      </c>
      <c r="E443" s="47" t="s">
        <v>89</v>
      </c>
      <c r="F443" s="47" t="s">
        <v>89</v>
      </c>
      <c r="G443" s="47">
        <v>1</v>
      </c>
      <c r="H443" s="47" t="s">
        <v>89</v>
      </c>
      <c r="I443" s="47" t="s">
        <v>89</v>
      </c>
      <c r="J443" s="48">
        <f t="shared" si="14"/>
        <v>100</v>
      </c>
    </row>
    <row r="444" spans="1:10" ht="21" customHeight="1" x14ac:dyDescent="0.15">
      <c r="A444" s="47">
        <v>47004832</v>
      </c>
      <c r="B444" s="47">
        <v>0</v>
      </c>
      <c r="C444" s="47">
        <v>200</v>
      </c>
      <c r="D444" s="47">
        <v>100</v>
      </c>
      <c r="E444" s="47" t="s">
        <v>89</v>
      </c>
      <c r="F444" s="47" t="s">
        <v>89</v>
      </c>
      <c r="G444" s="47">
        <v>1</v>
      </c>
      <c r="H444" s="47">
        <v>1</v>
      </c>
      <c r="I444" s="47" t="s">
        <v>89</v>
      </c>
      <c r="J444" s="48">
        <f t="shared" ref="J444" si="16">D444</f>
        <v>100</v>
      </c>
    </row>
    <row r="445" spans="1:10" ht="21" customHeight="1" x14ac:dyDescent="0.15">
      <c r="A445" s="47">
        <v>47004833</v>
      </c>
      <c r="B445" s="47">
        <v>0</v>
      </c>
      <c r="C445" s="47">
        <v>201</v>
      </c>
      <c r="D445" s="47">
        <v>100</v>
      </c>
      <c r="E445" s="47" t="s">
        <v>89</v>
      </c>
      <c r="F445" s="47" t="s">
        <v>89</v>
      </c>
      <c r="G445" s="47">
        <v>1</v>
      </c>
      <c r="H445" s="47">
        <v>2</v>
      </c>
      <c r="I445" s="47" t="s">
        <v>89</v>
      </c>
      <c r="J445" s="48">
        <f t="shared" si="14"/>
        <v>100</v>
      </c>
    </row>
    <row r="446" spans="1:10" ht="21" customHeight="1" x14ac:dyDescent="0.15">
      <c r="A446" s="47">
        <v>47004834</v>
      </c>
      <c r="B446" s="47">
        <v>0</v>
      </c>
      <c r="C446" s="47">
        <v>110</v>
      </c>
      <c r="D446" s="47">
        <v>100</v>
      </c>
      <c r="E446" s="47" t="s">
        <v>89</v>
      </c>
      <c r="F446" s="47" t="s">
        <v>89</v>
      </c>
      <c r="G446" s="47" t="s">
        <v>89</v>
      </c>
      <c r="H446" s="47">
        <v>2</v>
      </c>
      <c r="I446" s="47" t="s">
        <v>89</v>
      </c>
      <c r="J446" s="48">
        <f t="shared" si="14"/>
        <v>100</v>
      </c>
    </row>
    <row r="447" spans="1:10" ht="21" customHeight="1" x14ac:dyDescent="0.15">
      <c r="A447" s="47">
        <v>47004835</v>
      </c>
      <c r="B447" s="47">
        <v>0</v>
      </c>
      <c r="C447" s="47">
        <v>202</v>
      </c>
      <c r="D447" s="47">
        <v>100</v>
      </c>
      <c r="E447" s="47">
        <v>30</v>
      </c>
      <c r="F447" s="47" t="s">
        <v>89</v>
      </c>
      <c r="G447" s="47">
        <v>1</v>
      </c>
      <c r="H447" s="47">
        <v>1</v>
      </c>
      <c r="I447" s="47" t="s">
        <v>89</v>
      </c>
      <c r="J447" s="48">
        <f t="shared" si="14"/>
        <v>100</v>
      </c>
    </row>
    <row r="448" spans="1:10" ht="21" customHeight="1" x14ac:dyDescent="0.15">
      <c r="A448" s="47">
        <v>47004836</v>
      </c>
      <c r="B448" s="47">
        <v>1</v>
      </c>
      <c r="C448" s="47">
        <v>250</v>
      </c>
      <c r="D448" s="47">
        <v>100</v>
      </c>
      <c r="E448" s="47" t="s">
        <v>89</v>
      </c>
      <c r="F448" s="47" t="s">
        <v>89</v>
      </c>
      <c r="G448" s="47">
        <v>1</v>
      </c>
      <c r="H448" s="47" t="s">
        <v>89</v>
      </c>
      <c r="I448" s="113">
        <v>1278</v>
      </c>
      <c r="J448" s="48">
        <f t="shared" si="14"/>
        <v>100</v>
      </c>
    </row>
    <row r="449" spans="1:10" ht="21" customHeight="1" x14ac:dyDescent="0.15">
      <c r="A449" s="47">
        <v>47004837</v>
      </c>
      <c r="B449" s="47">
        <v>1</v>
      </c>
      <c r="C449" s="47">
        <v>251</v>
      </c>
      <c r="D449" s="47">
        <v>100</v>
      </c>
      <c r="E449" s="47" t="s">
        <v>89</v>
      </c>
      <c r="F449" s="47" t="s">
        <v>89</v>
      </c>
      <c r="G449" s="47">
        <v>1</v>
      </c>
      <c r="H449" s="47" t="s">
        <v>89</v>
      </c>
      <c r="I449" s="113">
        <v>1279</v>
      </c>
      <c r="J449" s="48">
        <f t="shared" si="14"/>
        <v>100</v>
      </c>
    </row>
    <row r="450" spans="1:10" ht="21" customHeight="1" x14ac:dyDescent="0.15">
      <c r="A450" s="47">
        <v>47004838</v>
      </c>
      <c r="B450" s="47">
        <v>1</v>
      </c>
      <c r="C450" s="47">
        <v>240</v>
      </c>
      <c r="D450" s="47">
        <v>100</v>
      </c>
      <c r="E450" s="47" t="s">
        <v>89</v>
      </c>
      <c r="F450" s="47" t="s">
        <v>89</v>
      </c>
      <c r="G450" s="47">
        <v>1</v>
      </c>
      <c r="H450" s="47" t="s">
        <v>89</v>
      </c>
      <c r="I450" s="113">
        <v>516</v>
      </c>
      <c r="J450" s="48">
        <f t="shared" si="14"/>
        <v>100</v>
      </c>
    </row>
    <row r="451" spans="1:10" ht="21" customHeight="1" x14ac:dyDescent="0.15">
      <c r="A451" s="47">
        <v>47004839</v>
      </c>
      <c r="B451" s="47">
        <v>1</v>
      </c>
      <c r="C451" s="47">
        <v>241</v>
      </c>
      <c r="D451" s="47">
        <v>100</v>
      </c>
      <c r="E451" s="47" t="s">
        <v>89</v>
      </c>
      <c r="F451" s="47" t="s">
        <v>89</v>
      </c>
      <c r="G451" s="47">
        <v>1</v>
      </c>
      <c r="H451" s="47" t="s">
        <v>89</v>
      </c>
      <c r="I451" s="113">
        <v>517</v>
      </c>
      <c r="J451" s="48">
        <f t="shared" si="14"/>
        <v>100</v>
      </c>
    </row>
    <row r="452" spans="1:10" ht="21" customHeight="1" x14ac:dyDescent="0.15">
      <c r="A452" s="47">
        <v>47004840</v>
      </c>
      <c r="B452" s="47">
        <v>1</v>
      </c>
      <c r="C452" s="47">
        <v>242</v>
      </c>
      <c r="D452" s="47">
        <v>100</v>
      </c>
      <c r="E452" s="47" t="s">
        <v>89</v>
      </c>
      <c r="F452" s="47" t="s">
        <v>89</v>
      </c>
      <c r="G452" s="47">
        <v>1</v>
      </c>
      <c r="H452" s="47" t="s">
        <v>89</v>
      </c>
      <c r="I452" s="113">
        <v>1274</v>
      </c>
      <c r="J452" s="48">
        <f t="shared" si="14"/>
        <v>100</v>
      </c>
    </row>
    <row r="453" spans="1:10" ht="21" customHeight="1" x14ac:dyDescent="0.15">
      <c r="A453" s="47">
        <v>47004841</v>
      </c>
      <c r="B453" s="47">
        <v>1</v>
      </c>
      <c r="C453" s="47">
        <v>230</v>
      </c>
      <c r="D453" s="47">
        <v>100</v>
      </c>
      <c r="E453" s="47" t="s">
        <v>89</v>
      </c>
      <c r="F453" s="47" t="s">
        <v>89</v>
      </c>
      <c r="G453" s="47">
        <v>1</v>
      </c>
      <c r="H453" s="47" t="s">
        <v>89</v>
      </c>
      <c r="I453" s="113">
        <v>518</v>
      </c>
      <c r="J453" s="48">
        <f t="shared" si="14"/>
        <v>100</v>
      </c>
    </row>
    <row r="454" spans="1:10" ht="21" customHeight="1" x14ac:dyDescent="0.15">
      <c r="A454" s="47">
        <v>47004842</v>
      </c>
      <c r="B454" s="47">
        <v>1</v>
      </c>
      <c r="C454" s="47">
        <v>231</v>
      </c>
      <c r="D454" s="47">
        <v>100</v>
      </c>
      <c r="E454" s="47" t="s">
        <v>89</v>
      </c>
      <c r="F454" s="47" t="s">
        <v>89</v>
      </c>
      <c r="G454" s="47">
        <v>1</v>
      </c>
      <c r="H454" s="47" t="s">
        <v>89</v>
      </c>
      <c r="I454" s="113">
        <v>519</v>
      </c>
      <c r="J454" s="48">
        <f t="shared" si="14"/>
        <v>100</v>
      </c>
    </row>
    <row r="455" spans="1:10" ht="21" customHeight="1" x14ac:dyDescent="0.15">
      <c r="A455" s="47">
        <v>47004843</v>
      </c>
      <c r="B455" s="47">
        <v>1</v>
      </c>
      <c r="C455" s="47">
        <v>232</v>
      </c>
      <c r="D455" s="47">
        <v>100</v>
      </c>
      <c r="E455" s="47" t="s">
        <v>89</v>
      </c>
      <c r="F455" s="47" t="s">
        <v>89</v>
      </c>
      <c r="G455" s="47">
        <v>1</v>
      </c>
      <c r="H455" s="47" t="s">
        <v>89</v>
      </c>
      <c r="I455" s="113">
        <v>1277</v>
      </c>
      <c r="J455" s="48">
        <f t="shared" si="14"/>
        <v>100</v>
      </c>
    </row>
    <row r="456" spans="1:10" ht="21" customHeight="1" x14ac:dyDescent="0.15">
      <c r="A456" s="47">
        <v>47004844</v>
      </c>
      <c r="B456" s="47">
        <v>1</v>
      </c>
      <c r="C456" s="47">
        <v>220</v>
      </c>
      <c r="D456" s="47">
        <v>100</v>
      </c>
      <c r="E456" s="47" t="s">
        <v>89</v>
      </c>
      <c r="F456" s="47" t="s">
        <v>89</v>
      </c>
      <c r="G456" s="47">
        <v>1</v>
      </c>
      <c r="H456" s="47" t="s">
        <v>89</v>
      </c>
      <c r="I456" s="113">
        <v>514</v>
      </c>
      <c r="J456" s="48">
        <f t="shared" si="14"/>
        <v>100</v>
      </c>
    </row>
    <row r="457" spans="1:10" ht="21" customHeight="1" x14ac:dyDescent="0.15">
      <c r="A457" s="47">
        <v>47004845</v>
      </c>
      <c r="B457" s="47">
        <v>1</v>
      </c>
      <c r="C457" s="47">
        <v>221</v>
      </c>
      <c r="D457" s="47">
        <v>100</v>
      </c>
      <c r="E457" s="47" t="s">
        <v>89</v>
      </c>
      <c r="F457" s="47" t="s">
        <v>89</v>
      </c>
      <c r="G457" s="47">
        <v>1</v>
      </c>
      <c r="H457" s="47" t="s">
        <v>89</v>
      </c>
      <c r="I457" s="113">
        <v>515</v>
      </c>
      <c r="J457" s="48">
        <f t="shared" si="14"/>
        <v>100</v>
      </c>
    </row>
    <row r="458" spans="1:10" ht="21" customHeight="1" x14ac:dyDescent="0.15">
      <c r="A458" s="47">
        <v>47004846</v>
      </c>
      <c r="B458" s="47">
        <v>1</v>
      </c>
      <c r="C458" s="47">
        <v>222</v>
      </c>
      <c r="D458" s="47">
        <v>100</v>
      </c>
      <c r="E458" s="47" t="s">
        <v>89</v>
      </c>
      <c r="F458" s="47" t="s">
        <v>89</v>
      </c>
      <c r="G458" s="47">
        <v>1</v>
      </c>
      <c r="H458" s="47" t="s">
        <v>89</v>
      </c>
      <c r="I458" s="113">
        <v>1276</v>
      </c>
      <c r="J458" s="48">
        <f t="shared" si="14"/>
        <v>100</v>
      </c>
    </row>
    <row r="459" spans="1:10" ht="21" customHeight="1" x14ac:dyDescent="0.15">
      <c r="A459" s="47">
        <v>47004847</v>
      </c>
      <c r="B459" s="47">
        <v>1</v>
      </c>
      <c r="C459" s="47">
        <v>219</v>
      </c>
      <c r="D459" s="47">
        <v>100</v>
      </c>
      <c r="E459" s="47" t="s">
        <v>53</v>
      </c>
      <c r="F459" s="47" t="s">
        <v>53</v>
      </c>
      <c r="G459" s="47">
        <v>1</v>
      </c>
      <c r="H459" s="47" t="s">
        <v>53</v>
      </c>
      <c r="I459" s="113">
        <v>1281</v>
      </c>
      <c r="J459" s="48">
        <f t="shared" ref="J459:J460" si="17">D459</f>
        <v>100</v>
      </c>
    </row>
    <row r="460" spans="1:10" ht="21" customHeight="1" x14ac:dyDescent="0.15">
      <c r="A460" s="47">
        <v>47004848</v>
      </c>
      <c r="B460" s="47">
        <v>1</v>
      </c>
      <c r="C460" s="47">
        <v>218</v>
      </c>
      <c r="D460" s="47">
        <v>100</v>
      </c>
      <c r="E460" s="47" t="s">
        <v>53</v>
      </c>
      <c r="F460" s="47" t="s">
        <v>53</v>
      </c>
      <c r="G460" s="47">
        <v>1</v>
      </c>
      <c r="H460" s="47" t="s">
        <v>53</v>
      </c>
      <c r="I460" s="113">
        <v>1280</v>
      </c>
      <c r="J460" s="48">
        <f t="shared" si="17"/>
        <v>100</v>
      </c>
    </row>
    <row r="461" spans="1:10" ht="21" customHeight="1" x14ac:dyDescent="0.15">
      <c r="A461" s="110">
        <v>47004861</v>
      </c>
      <c r="B461" s="47">
        <v>1</v>
      </c>
      <c r="C461" s="47">
        <v>100</v>
      </c>
      <c r="D461" s="47">
        <v>100</v>
      </c>
      <c r="E461" s="47" t="s">
        <v>89</v>
      </c>
      <c r="F461" s="47" t="s">
        <v>89</v>
      </c>
      <c r="G461" s="47">
        <v>1</v>
      </c>
      <c r="H461" s="47" t="s">
        <v>89</v>
      </c>
      <c r="I461" s="47" t="s">
        <v>89</v>
      </c>
      <c r="J461" s="48">
        <f t="shared" ref="J461:J495" si="18">D461</f>
        <v>100</v>
      </c>
    </row>
    <row r="462" spans="1:10" ht="21" customHeight="1" x14ac:dyDescent="0.15">
      <c r="A462" s="110">
        <v>47004862</v>
      </c>
      <c r="B462" s="47">
        <v>0</v>
      </c>
      <c r="C462" s="47">
        <v>110</v>
      </c>
      <c r="D462" s="47">
        <v>100</v>
      </c>
      <c r="E462" s="47" t="s">
        <v>89</v>
      </c>
      <c r="F462" s="47" t="s">
        <v>89</v>
      </c>
      <c r="G462" s="47">
        <v>1</v>
      </c>
      <c r="H462" s="47">
        <v>2</v>
      </c>
      <c r="I462" s="47" t="s">
        <v>89</v>
      </c>
      <c r="J462" s="48">
        <f t="shared" si="18"/>
        <v>100</v>
      </c>
    </row>
    <row r="463" spans="1:10" ht="21" customHeight="1" x14ac:dyDescent="0.15">
      <c r="A463" s="110">
        <v>47004863</v>
      </c>
      <c r="B463" s="47">
        <v>0</v>
      </c>
      <c r="C463" s="47">
        <v>120</v>
      </c>
      <c r="D463" s="47">
        <v>100</v>
      </c>
      <c r="E463" s="47" t="s">
        <v>89</v>
      </c>
      <c r="F463" s="47" t="s">
        <v>89</v>
      </c>
      <c r="G463" s="47">
        <v>1</v>
      </c>
      <c r="H463" s="47">
        <v>3</v>
      </c>
      <c r="I463" s="47" t="s">
        <v>89</v>
      </c>
      <c r="J463" s="48">
        <f t="shared" si="18"/>
        <v>100</v>
      </c>
    </row>
    <row r="464" spans="1:10" ht="21" customHeight="1" x14ac:dyDescent="0.15">
      <c r="A464" s="110">
        <v>47004864</v>
      </c>
      <c r="B464" s="47">
        <v>1</v>
      </c>
      <c r="C464" s="47">
        <v>250</v>
      </c>
      <c r="D464" s="47">
        <v>100</v>
      </c>
      <c r="E464" s="47" t="s">
        <v>89</v>
      </c>
      <c r="F464" s="47" t="s">
        <v>89</v>
      </c>
      <c r="G464" s="47">
        <v>1</v>
      </c>
      <c r="H464" s="47" t="s">
        <v>89</v>
      </c>
      <c r="I464" s="113">
        <v>1278</v>
      </c>
      <c r="J464" s="48">
        <f t="shared" si="18"/>
        <v>100</v>
      </c>
    </row>
    <row r="465" spans="1:10" ht="21" customHeight="1" x14ac:dyDescent="0.15">
      <c r="A465" s="110">
        <v>47004865</v>
      </c>
      <c r="B465" s="47">
        <v>1</v>
      </c>
      <c r="C465" s="47">
        <v>251</v>
      </c>
      <c r="D465" s="47">
        <v>100</v>
      </c>
      <c r="E465" s="47" t="s">
        <v>89</v>
      </c>
      <c r="F465" s="47" t="s">
        <v>89</v>
      </c>
      <c r="G465" s="47">
        <v>1</v>
      </c>
      <c r="H465" s="47" t="s">
        <v>89</v>
      </c>
      <c r="I465" s="113">
        <v>1279</v>
      </c>
      <c r="J465" s="48">
        <f t="shared" si="18"/>
        <v>100</v>
      </c>
    </row>
    <row r="466" spans="1:10" ht="21" customHeight="1" x14ac:dyDescent="0.15">
      <c r="A466" s="110">
        <v>47004866</v>
      </c>
      <c r="B466" s="47">
        <v>1</v>
      </c>
      <c r="C466" s="47">
        <v>240</v>
      </c>
      <c r="D466" s="47">
        <v>100</v>
      </c>
      <c r="E466" s="47" t="s">
        <v>89</v>
      </c>
      <c r="F466" s="47" t="s">
        <v>89</v>
      </c>
      <c r="G466" s="47">
        <v>1</v>
      </c>
      <c r="H466" s="47" t="s">
        <v>89</v>
      </c>
      <c r="I466" s="113">
        <v>516</v>
      </c>
      <c r="J466" s="48">
        <f t="shared" si="18"/>
        <v>100</v>
      </c>
    </row>
    <row r="467" spans="1:10" ht="21" customHeight="1" x14ac:dyDescent="0.15">
      <c r="A467" s="110">
        <v>47004867</v>
      </c>
      <c r="B467" s="47">
        <v>1</v>
      </c>
      <c r="C467" s="47">
        <v>241</v>
      </c>
      <c r="D467" s="47">
        <v>100</v>
      </c>
      <c r="E467" s="47" t="s">
        <v>89</v>
      </c>
      <c r="F467" s="47" t="s">
        <v>89</v>
      </c>
      <c r="G467" s="47">
        <v>1</v>
      </c>
      <c r="H467" s="47" t="s">
        <v>89</v>
      </c>
      <c r="I467" s="113">
        <v>517</v>
      </c>
      <c r="J467" s="48">
        <f t="shared" si="18"/>
        <v>100</v>
      </c>
    </row>
    <row r="468" spans="1:10" ht="21" customHeight="1" x14ac:dyDescent="0.15">
      <c r="A468" s="110">
        <v>47004868</v>
      </c>
      <c r="B468" s="47">
        <v>1</v>
      </c>
      <c r="C468" s="47">
        <v>242</v>
      </c>
      <c r="D468" s="47">
        <v>100</v>
      </c>
      <c r="E468" s="47" t="s">
        <v>89</v>
      </c>
      <c r="F468" s="47" t="s">
        <v>89</v>
      </c>
      <c r="G468" s="47">
        <v>1</v>
      </c>
      <c r="H468" s="47" t="s">
        <v>89</v>
      </c>
      <c r="I468" s="113">
        <v>1274</v>
      </c>
      <c r="J468" s="48">
        <f t="shared" si="18"/>
        <v>100</v>
      </c>
    </row>
    <row r="469" spans="1:10" ht="21" customHeight="1" x14ac:dyDescent="0.15">
      <c r="A469" s="110">
        <v>47004869</v>
      </c>
      <c r="B469" s="47">
        <v>1</v>
      </c>
      <c r="C469" s="47">
        <v>230</v>
      </c>
      <c r="D469" s="47">
        <v>100</v>
      </c>
      <c r="E469" s="47" t="s">
        <v>89</v>
      </c>
      <c r="F469" s="47" t="s">
        <v>89</v>
      </c>
      <c r="G469" s="47">
        <v>1</v>
      </c>
      <c r="H469" s="47" t="s">
        <v>89</v>
      </c>
      <c r="I469" s="113">
        <v>518</v>
      </c>
      <c r="J469" s="48">
        <f t="shared" si="18"/>
        <v>100</v>
      </c>
    </row>
    <row r="470" spans="1:10" ht="21" customHeight="1" x14ac:dyDescent="0.15">
      <c r="A470" s="110">
        <v>47004870</v>
      </c>
      <c r="B470" s="47">
        <v>1</v>
      </c>
      <c r="C470" s="47">
        <v>231</v>
      </c>
      <c r="D470" s="47">
        <v>100</v>
      </c>
      <c r="E470" s="47" t="s">
        <v>89</v>
      </c>
      <c r="F470" s="47" t="s">
        <v>89</v>
      </c>
      <c r="G470" s="47">
        <v>1</v>
      </c>
      <c r="H470" s="47" t="s">
        <v>89</v>
      </c>
      <c r="I470" s="113">
        <v>519</v>
      </c>
      <c r="J470" s="48">
        <f t="shared" si="18"/>
        <v>100</v>
      </c>
    </row>
    <row r="471" spans="1:10" ht="21" customHeight="1" x14ac:dyDescent="0.15">
      <c r="A471" s="110">
        <v>47004871</v>
      </c>
      <c r="B471" s="47">
        <v>1</v>
      </c>
      <c r="C471" s="47">
        <v>232</v>
      </c>
      <c r="D471" s="47">
        <v>100</v>
      </c>
      <c r="E471" s="47" t="s">
        <v>89</v>
      </c>
      <c r="F471" s="47" t="s">
        <v>89</v>
      </c>
      <c r="G471" s="47">
        <v>1</v>
      </c>
      <c r="H471" s="47" t="s">
        <v>89</v>
      </c>
      <c r="I471" s="113">
        <v>1277</v>
      </c>
      <c r="J471" s="48">
        <f t="shared" si="18"/>
        <v>100</v>
      </c>
    </row>
    <row r="472" spans="1:10" ht="21" customHeight="1" x14ac:dyDescent="0.15">
      <c r="A472" s="110">
        <v>47004872</v>
      </c>
      <c r="B472" s="47">
        <v>1</v>
      </c>
      <c r="C472" s="47">
        <v>210</v>
      </c>
      <c r="D472" s="47">
        <v>100</v>
      </c>
      <c r="E472" s="47" t="s">
        <v>89</v>
      </c>
      <c r="F472" s="47" t="s">
        <v>89</v>
      </c>
      <c r="G472" s="47">
        <v>1</v>
      </c>
      <c r="H472" s="47" t="s">
        <v>89</v>
      </c>
      <c r="I472" s="113">
        <v>512</v>
      </c>
      <c r="J472" s="48">
        <f t="shared" si="18"/>
        <v>100</v>
      </c>
    </row>
    <row r="473" spans="1:10" ht="21" customHeight="1" x14ac:dyDescent="0.15">
      <c r="A473" s="110">
        <v>47004873</v>
      </c>
      <c r="B473" s="47">
        <v>1</v>
      </c>
      <c r="C473" s="47">
        <v>211</v>
      </c>
      <c r="D473" s="47">
        <v>100</v>
      </c>
      <c r="E473" s="47" t="s">
        <v>89</v>
      </c>
      <c r="F473" s="47" t="s">
        <v>89</v>
      </c>
      <c r="G473" s="47">
        <v>1</v>
      </c>
      <c r="H473" s="47" t="s">
        <v>89</v>
      </c>
      <c r="I473" s="113">
        <v>513</v>
      </c>
      <c r="J473" s="48">
        <f t="shared" si="18"/>
        <v>100</v>
      </c>
    </row>
    <row r="474" spans="1:10" ht="21" customHeight="1" x14ac:dyDescent="0.15">
      <c r="A474" s="110">
        <v>47004874</v>
      </c>
      <c r="B474" s="47">
        <v>1</v>
      </c>
      <c r="C474" s="47">
        <v>212</v>
      </c>
      <c r="D474" s="47">
        <v>100</v>
      </c>
      <c r="E474" s="47" t="s">
        <v>89</v>
      </c>
      <c r="F474" s="47" t="s">
        <v>89</v>
      </c>
      <c r="G474" s="47">
        <v>1</v>
      </c>
      <c r="H474" s="47" t="s">
        <v>89</v>
      </c>
      <c r="I474" s="113">
        <v>1275</v>
      </c>
      <c r="J474" s="48">
        <f t="shared" si="18"/>
        <v>100</v>
      </c>
    </row>
    <row r="475" spans="1:10" ht="21" customHeight="1" x14ac:dyDescent="0.15">
      <c r="A475" s="110">
        <v>47004875</v>
      </c>
      <c r="B475" s="47">
        <v>1</v>
      </c>
      <c r="C475" s="47">
        <v>209</v>
      </c>
      <c r="D475" s="47">
        <v>100</v>
      </c>
      <c r="E475" s="47" t="s">
        <v>53</v>
      </c>
      <c r="F475" s="47" t="s">
        <v>53</v>
      </c>
      <c r="G475" s="47">
        <v>1</v>
      </c>
      <c r="H475" s="47" t="s">
        <v>53</v>
      </c>
      <c r="I475" s="113">
        <v>1281</v>
      </c>
      <c r="J475" s="48">
        <f t="shared" ref="J475:J476" si="19">D475</f>
        <v>100</v>
      </c>
    </row>
    <row r="476" spans="1:10" ht="21" customHeight="1" x14ac:dyDescent="0.15">
      <c r="A476" s="110">
        <v>47004876</v>
      </c>
      <c r="B476" s="47">
        <v>1</v>
      </c>
      <c r="C476" s="47">
        <v>208</v>
      </c>
      <c r="D476" s="47">
        <v>100</v>
      </c>
      <c r="E476" s="47" t="s">
        <v>53</v>
      </c>
      <c r="F476" s="47" t="s">
        <v>53</v>
      </c>
      <c r="G476" s="47">
        <v>1</v>
      </c>
      <c r="H476" s="47" t="s">
        <v>53</v>
      </c>
      <c r="I476" s="113">
        <v>1280</v>
      </c>
      <c r="J476" s="48">
        <f t="shared" si="19"/>
        <v>100</v>
      </c>
    </row>
    <row r="477" spans="1:10" ht="21" customHeight="1" x14ac:dyDescent="0.15">
      <c r="A477" s="47">
        <v>47004901</v>
      </c>
      <c r="B477" s="47">
        <v>1</v>
      </c>
      <c r="C477" s="47">
        <v>100</v>
      </c>
      <c r="D477" s="47">
        <v>100</v>
      </c>
      <c r="E477" s="47" t="s">
        <v>89</v>
      </c>
      <c r="F477" s="47" t="s">
        <v>89</v>
      </c>
      <c r="G477" s="47">
        <v>1</v>
      </c>
      <c r="H477" s="47" t="s">
        <v>89</v>
      </c>
      <c r="I477" s="47" t="s">
        <v>89</v>
      </c>
      <c r="J477" s="48">
        <f t="shared" si="18"/>
        <v>100</v>
      </c>
    </row>
    <row r="478" spans="1:10" ht="21" customHeight="1" x14ac:dyDescent="0.15">
      <c r="A478" s="47">
        <v>47004902</v>
      </c>
      <c r="B478" s="47">
        <v>0</v>
      </c>
      <c r="C478" s="47">
        <v>110</v>
      </c>
      <c r="D478" s="47">
        <v>100</v>
      </c>
      <c r="E478" s="47" t="s">
        <v>89</v>
      </c>
      <c r="F478" s="47" t="s">
        <v>89</v>
      </c>
      <c r="G478" s="47" t="s">
        <v>89</v>
      </c>
      <c r="H478" s="47">
        <v>1</v>
      </c>
      <c r="I478" s="47" t="s">
        <v>89</v>
      </c>
      <c r="J478" s="48">
        <f t="shared" si="18"/>
        <v>100</v>
      </c>
    </row>
    <row r="479" spans="1:10" ht="21" customHeight="1" x14ac:dyDescent="0.15">
      <c r="A479" s="47">
        <v>47004903</v>
      </c>
      <c r="B479" s="47">
        <v>0</v>
      </c>
      <c r="C479" s="47">
        <v>120</v>
      </c>
      <c r="D479" s="47">
        <v>100</v>
      </c>
      <c r="E479" s="47" t="s">
        <v>89</v>
      </c>
      <c r="F479" s="47" t="s">
        <v>89</v>
      </c>
      <c r="G479" s="47" t="s">
        <v>89</v>
      </c>
      <c r="H479" s="47">
        <v>2</v>
      </c>
      <c r="I479" s="47" t="s">
        <v>89</v>
      </c>
      <c r="J479" s="48">
        <f t="shared" si="18"/>
        <v>100</v>
      </c>
    </row>
    <row r="480" spans="1:10" ht="21" customHeight="1" x14ac:dyDescent="0.15">
      <c r="A480" s="47">
        <v>47004904</v>
      </c>
      <c r="B480" s="47">
        <v>0</v>
      </c>
      <c r="C480" s="47">
        <v>130</v>
      </c>
      <c r="D480" s="47">
        <v>100</v>
      </c>
      <c r="E480" s="47" t="s">
        <v>89</v>
      </c>
      <c r="F480" s="47" t="s">
        <v>89</v>
      </c>
      <c r="G480" s="47" t="s">
        <v>89</v>
      </c>
      <c r="H480" s="47">
        <v>3</v>
      </c>
      <c r="I480" s="47" t="s">
        <v>89</v>
      </c>
      <c r="J480" s="48">
        <f t="shared" si="18"/>
        <v>100</v>
      </c>
    </row>
    <row r="481" spans="1:10" ht="21" customHeight="1" x14ac:dyDescent="0.15">
      <c r="A481" s="47">
        <v>47004905</v>
      </c>
      <c r="B481" s="47">
        <v>0</v>
      </c>
      <c r="C481" s="47">
        <v>140</v>
      </c>
      <c r="D481" s="47">
        <v>100</v>
      </c>
      <c r="E481" s="47" t="s">
        <v>89</v>
      </c>
      <c r="F481" s="47" t="s">
        <v>89</v>
      </c>
      <c r="G481" s="47" t="s">
        <v>89</v>
      </c>
      <c r="H481" s="47">
        <v>4</v>
      </c>
      <c r="I481" s="47" t="s">
        <v>89</v>
      </c>
      <c r="J481" s="48">
        <f t="shared" ref="J481" si="20">D481</f>
        <v>100</v>
      </c>
    </row>
    <row r="482" spans="1:10" ht="21" customHeight="1" x14ac:dyDescent="0.15">
      <c r="A482" s="47">
        <v>47004906</v>
      </c>
      <c r="B482" s="47">
        <v>1</v>
      </c>
      <c r="C482" s="47">
        <v>250</v>
      </c>
      <c r="D482" s="47">
        <v>100</v>
      </c>
      <c r="E482" s="47" t="s">
        <v>89</v>
      </c>
      <c r="F482" s="47" t="s">
        <v>89</v>
      </c>
      <c r="G482" s="47">
        <v>1</v>
      </c>
      <c r="H482" s="47" t="s">
        <v>89</v>
      </c>
      <c r="I482" s="113">
        <v>1278</v>
      </c>
      <c r="J482" s="48">
        <f t="shared" si="18"/>
        <v>100</v>
      </c>
    </row>
    <row r="483" spans="1:10" ht="21" customHeight="1" x14ac:dyDescent="0.15">
      <c r="A483" s="47">
        <v>47004907</v>
      </c>
      <c r="B483" s="47">
        <v>1</v>
      </c>
      <c r="C483" s="47">
        <v>251</v>
      </c>
      <c r="D483" s="47">
        <v>100</v>
      </c>
      <c r="E483" s="47" t="s">
        <v>89</v>
      </c>
      <c r="F483" s="47" t="s">
        <v>89</v>
      </c>
      <c r="G483" s="47">
        <v>1</v>
      </c>
      <c r="H483" s="47" t="s">
        <v>89</v>
      </c>
      <c r="I483" s="113">
        <v>1279</v>
      </c>
      <c r="J483" s="48">
        <f t="shared" si="18"/>
        <v>100</v>
      </c>
    </row>
    <row r="484" spans="1:10" ht="21" customHeight="1" x14ac:dyDescent="0.15">
      <c r="A484" s="47">
        <v>47004908</v>
      </c>
      <c r="B484" s="47">
        <v>1</v>
      </c>
      <c r="C484" s="47">
        <v>240</v>
      </c>
      <c r="D484" s="47">
        <v>100</v>
      </c>
      <c r="E484" s="47" t="s">
        <v>89</v>
      </c>
      <c r="F484" s="47" t="s">
        <v>89</v>
      </c>
      <c r="G484" s="47">
        <v>1</v>
      </c>
      <c r="H484" s="47" t="s">
        <v>89</v>
      </c>
      <c r="I484" s="113">
        <v>516</v>
      </c>
      <c r="J484" s="48">
        <f t="shared" si="18"/>
        <v>100</v>
      </c>
    </row>
    <row r="485" spans="1:10" ht="21" customHeight="1" x14ac:dyDescent="0.15">
      <c r="A485" s="47">
        <v>47004909</v>
      </c>
      <c r="B485" s="47">
        <v>1</v>
      </c>
      <c r="C485" s="47">
        <v>241</v>
      </c>
      <c r="D485" s="47">
        <v>100</v>
      </c>
      <c r="E485" s="47" t="s">
        <v>89</v>
      </c>
      <c r="F485" s="47" t="s">
        <v>89</v>
      </c>
      <c r="G485" s="47">
        <v>1</v>
      </c>
      <c r="H485" s="47" t="s">
        <v>89</v>
      </c>
      <c r="I485" s="113">
        <v>517</v>
      </c>
      <c r="J485" s="48">
        <f t="shared" si="18"/>
        <v>100</v>
      </c>
    </row>
    <row r="486" spans="1:10" ht="21" customHeight="1" x14ac:dyDescent="0.15">
      <c r="A486" s="47">
        <v>47004910</v>
      </c>
      <c r="B486" s="47">
        <v>1</v>
      </c>
      <c r="C486" s="47">
        <v>242</v>
      </c>
      <c r="D486" s="47">
        <v>100</v>
      </c>
      <c r="E486" s="47" t="s">
        <v>89</v>
      </c>
      <c r="F486" s="47" t="s">
        <v>89</v>
      </c>
      <c r="G486" s="47">
        <v>1</v>
      </c>
      <c r="H486" s="47" t="s">
        <v>89</v>
      </c>
      <c r="I486" s="113">
        <v>1274</v>
      </c>
      <c r="J486" s="48">
        <f t="shared" si="18"/>
        <v>100</v>
      </c>
    </row>
    <row r="487" spans="1:10" ht="21" customHeight="1" x14ac:dyDescent="0.15">
      <c r="A487" s="47">
        <v>47004911</v>
      </c>
      <c r="B487" s="47">
        <v>1</v>
      </c>
      <c r="C487" s="47">
        <v>230</v>
      </c>
      <c r="D487" s="47">
        <v>100</v>
      </c>
      <c r="E487" s="47" t="s">
        <v>89</v>
      </c>
      <c r="F487" s="47" t="s">
        <v>89</v>
      </c>
      <c r="G487" s="47">
        <v>1</v>
      </c>
      <c r="H487" s="47" t="s">
        <v>89</v>
      </c>
      <c r="I487" s="113">
        <v>518</v>
      </c>
      <c r="J487" s="48">
        <f t="shared" si="18"/>
        <v>100</v>
      </c>
    </row>
    <row r="488" spans="1:10" ht="21" customHeight="1" x14ac:dyDescent="0.15">
      <c r="A488" s="47">
        <v>47004912</v>
      </c>
      <c r="B488" s="47">
        <v>1</v>
      </c>
      <c r="C488" s="47">
        <v>231</v>
      </c>
      <c r="D488" s="47">
        <v>100</v>
      </c>
      <c r="E488" s="47" t="s">
        <v>89</v>
      </c>
      <c r="F488" s="47" t="s">
        <v>89</v>
      </c>
      <c r="G488" s="47">
        <v>1</v>
      </c>
      <c r="H488" s="47" t="s">
        <v>89</v>
      </c>
      <c r="I488" s="113">
        <v>519</v>
      </c>
      <c r="J488" s="48">
        <f t="shared" si="18"/>
        <v>100</v>
      </c>
    </row>
    <row r="489" spans="1:10" ht="21" customHeight="1" x14ac:dyDescent="0.15">
      <c r="A489" s="47">
        <v>47004913</v>
      </c>
      <c r="B489" s="47">
        <v>1</v>
      </c>
      <c r="C489" s="47">
        <v>232</v>
      </c>
      <c r="D489" s="47">
        <v>100</v>
      </c>
      <c r="E489" s="47" t="s">
        <v>89</v>
      </c>
      <c r="F489" s="47" t="s">
        <v>89</v>
      </c>
      <c r="G489" s="47">
        <v>1</v>
      </c>
      <c r="H489" s="47" t="s">
        <v>89</v>
      </c>
      <c r="I489" s="113">
        <v>1277</v>
      </c>
      <c r="J489" s="48">
        <f t="shared" si="18"/>
        <v>100</v>
      </c>
    </row>
    <row r="490" spans="1:10" ht="21" customHeight="1" x14ac:dyDescent="0.15">
      <c r="A490" s="47">
        <v>47004914</v>
      </c>
      <c r="B490" s="47">
        <v>1</v>
      </c>
      <c r="C490" s="47">
        <v>220</v>
      </c>
      <c r="D490" s="47">
        <v>100</v>
      </c>
      <c r="E490" s="47" t="s">
        <v>89</v>
      </c>
      <c r="F490" s="47" t="s">
        <v>89</v>
      </c>
      <c r="G490" s="47">
        <v>1</v>
      </c>
      <c r="H490" s="47" t="s">
        <v>89</v>
      </c>
      <c r="I490" s="113">
        <v>514</v>
      </c>
      <c r="J490" s="48">
        <f t="shared" si="18"/>
        <v>100</v>
      </c>
    </row>
    <row r="491" spans="1:10" ht="21" customHeight="1" x14ac:dyDescent="0.15">
      <c r="A491" s="47">
        <v>47004915</v>
      </c>
      <c r="B491" s="47">
        <v>1</v>
      </c>
      <c r="C491" s="47">
        <v>221</v>
      </c>
      <c r="D491" s="47">
        <v>100</v>
      </c>
      <c r="E491" s="47" t="s">
        <v>89</v>
      </c>
      <c r="F491" s="47" t="s">
        <v>89</v>
      </c>
      <c r="G491" s="47">
        <v>1</v>
      </c>
      <c r="H491" s="47" t="s">
        <v>89</v>
      </c>
      <c r="I491" s="113">
        <v>515</v>
      </c>
      <c r="J491" s="48">
        <f t="shared" si="18"/>
        <v>100</v>
      </c>
    </row>
    <row r="492" spans="1:10" ht="21" customHeight="1" x14ac:dyDescent="0.15">
      <c r="A492" s="47">
        <v>47004916</v>
      </c>
      <c r="B492" s="47">
        <v>1</v>
      </c>
      <c r="C492" s="47">
        <v>222</v>
      </c>
      <c r="D492" s="47">
        <v>100</v>
      </c>
      <c r="E492" s="47" t="s">
        <v>89</v>
      </c>
      <c r="F492" s="47" t="s">
        <v>89</v>
      </c>
      <c r="G492" s="47">
        <v>1</v>
      </c>
      <c r="H492" s="47" t="s">
        <v>89</v>
      </c>
      <c r="I492" s="113">
        <v>1276</v>
      </c>
      <c r="J492" s="48">
        <f t="shared" si="18"/>
        <v>100</v>
      </c>
    </row>
    <row r="493" spans="1:10" ht="21" customHeight="1" x14ac:dyDescent="0.15">
      <c r="A493" s="47">
        <v>47004917</v>
      </c>
      <c r="B493" s="47">
        <v>1</v>
      </c>
      <c r="C493" s="47">
        <v>210</v>
      </c>
      <c r="D493" s="47">
        <v>100</v>
      </c>
      <c r="E493" s="47" t="s">
        <v>89</v>
      </c>
      <c r="F493" s="47" t="s">
        <v>89</v>
      </c>
      <c r="G493" s="47">
        <v>1</v>
      </c>
      <c r="H493" s="47" t="s">
        <v>89</v>
      </c>
      <c r="I493" s="113">
        <v>512</v>
      </c>
      <c r="J493" s="48">
        <f t="shared" si="18"/>
        <v>100</v>
      </c>
    </row>
    <row r="494" spans="1:10" ht="21" customHeight="1" x14ac:dyDescent="0.15">
      <c r="A494" s="47">
        <v>47004918</v>
      </c>
      <c r="B494" s="47">
        <v>1</v>
      </c>
      <c r="C494" s="47">
        <v>211</v>
      </c>
      <c r="D494" s="47">
        <v>100</v>
      </c>
      <c r="E494" s="47" t="s">
        <v>89</v>
      </c>
      <c r="F494" s="47" t="s">
        <v>89</v>
      </c>
      <c r="G494" s="47">
        <v>1</v>
      </c>
      <c r="H494" s="47" t="s">
        <v>89</v>
      </c>
      <c r="I494" s="113">
        <v>513</v>
      </c>
      <c r="J494" s="48">
        <f t="shared" si="18"/>
        <v>100</v>
      </c>
    </row>
    <row r="495" spans="1:10" ht="21" customHeight="1" x14ac:dyDescent="0.15">
      <c r="A495" s="47">
        <v>47004919</v>
      </c>
      <c r="B495" s="47">
        <v>1</v>
      </c>
      <c r="C495" s="47">
        <v>212</v>
      </c>
      <c r="D495" s="47">
        <v>100</v>
      </c>
      <c r="E495" s="47" t="s">
        <v>89</v>
      </c>
      <c r="F495" s="47" t="s">
        <v>89</v>
      </c>
      <c r="G495" s="47">
        <v>1</v>
      </c>
      <c r="H495" s="47" t="s">
        <v>89</v>
      </c>
      <c r="I495" s="113">
        <v>1275</v>
      </c>
      <c r="J495" s="48">
        <f t="shared" si="18"/>
        <v>100</v>
      </c>
    </row>
    <row r="496" spans="1:10" ht="21" customHeight="1" x14ac:dyDescent="0.15">
      <c r="A496" s="47">
        <v>47004920</v>
      </c>
      <c r="B496" s="47">
        <v>1</v>
      </c>
      <c r="C496" s="47">
        <v>209</v>
      </c>
      <c r="D496" s="47">
        <v>100</v>
      </c>
      <c r="E496" s="47" t="s">
        <v>53</v>
      </c>
      <c r="F496" s="47" t="s">
        <v>53</v>
      </c>
      <c r="G496" s="47">
        <v>1</v>
      </c>
      <c r="H496" s="47" t="s">
        <v>53</v>
      </c>
      <c r="I496" s="113">
        <v>1281</v>
      </c>
      <c r="J496" s="48">
        <f t="shared" ref="J496:J497" si="21">D496</f>
        <v>100</v>
      </c>
    </row>
    <row r="497" spans="1:10" ht="21" customHeight="1" x14ac:dyDescent="0.15">
      <c r="A497" s="47">
        <v>47004921</v>
      </c>
      <c r="B497" s="47">
        <v>1</v>
      </c>
      <c r="C497" s="47">
        <v>208</v>
      </c>
      <c r="D497" s="47">
        <v>100</v>
      </c>
      <c r="E497" s="47" t="s">
        <v>53</v>
      </c>
      <c r="F497" s="47" t="s">
        <v>53</v>
      </c>
      <c r="G497" s="47">
        <v>1</v>
      </c>
      <c r="H497" s="47" t="s">
        <v>53</v>
      </c>
      <c r="I497" s="113">
        <v>1280</v>
      </c>
      <c r="J497" s="48">
        <f t="shared" si="21"/>
        <v>100</v>
      </c>
    </row>
    <row r="498" spans="1:10" ht="21" customHeight="1" x14ac:dyDescent="0.15">
      <c r="A498" s="110">
        <v>47004931</v>
      </c>
      <c r="B498" s="47">
        <v>1</v>
      </c>
      <c r="C498" s="47">
        <v>100</v>
      </c>
      <c r="D498" s="47">
        <v>100</v>
      </c>
      <c r="E498" s="47" t="s">
        <v>89</v>
      </c>
      <c r="F498" s="47" t="s">
        <v>89</v>
      </c>
      <c r="G498" s="47">
        <v>1</v>
      </c>
      <c r="H498" s="47" t="s">
        <v>89</v>
      </c>
      <c r="I498" s="47" t="s">
        <v>89</v>
      </c>
      <c r="J498" s="48">
        <f t="shared" ref="J498" si="22">D498</f>
        <v>100</v>
      </c>
    </row>
    <row r="499" spans="1:10" ht="21" customHeight="1" x14ac:dyDescent="0.15">
      <c r="A499" s="110">
        <v>47004932</v>
      </c>
      <c r="B499" s="47">
        <v>0</v>
      </c>
      <c r="C499" s="47">
        <v>110</v>
      </c>
      <c r="D499" s="47">
        <v>100</v>
      </c>
      <c r="E499" s="47" t="s">
        <v>89</v>
      </c>
      <c r="F499" s="47" t="s">
        <v>89</v>
      </c>
      <c r="G499" s="47">
        <v>1</v>
      </c>
      <c r="H499" s="47">
        <v>1</v>
      </c>
      <c r="I499" s="47" t="s">
        <v>89</v>
      </c>
      <c r="J499" s="48">
        <f t="shared" ref="J499:J507" si="23">D499</f>
        <v>100</v>
      </c>
    </row>
    <row r="500" spans="1:10" ht="21" customHeight="1" x14ac:dyDescent="0.15">
      <c r="A500" s="110">
        <v>47004933</v>
      </c>
      <c r="B500" s="47">
        <v>0</v>
      </c>
      <c r="C500" s="47">
        <v>120</v>
      </c>
      <c r="D500" s="47">
        <v>100</v>
      </c>
      <c r="E500" s="47" t="s">
        <v>89</v>
      </c>
      <c r="F500" s="47" t="s">
        <v>89</v>
      </c>
      <c r="G500" s="47">
        <v>1</v>
      </c>
      <c r="H500" s="47">
        <v>2</v>
      </c>
      <c r="I500" s="47" t="s">
        <v>89</v>
      </c>
      <c r="J500" s="48">
        <f t="shared" si="23"/>
        <v>100</v>
      </c>
    </row>
    <row r="501" spans="1:10" ht="21" customHeight="1" x14ac:dyDescent="0.15">
      <c r="A501" s="110">
        <v>47004934</v>
      </c>
      <c r="B501" s="47">
        <v>0</v>
      </c>
      <c r="C501" s="47">
        <v>130</v>
      </c>
      <c r="D501" s="47">
        <v>100</v>
      </c>
      <c r="E501" s="47" t="s">
        <v>89</v>
      </c>
      <c r="F501" s="47" t="s">
        <v>89</v>
      </c>
      <c r="G501" s="47">
        <v>1</v>
      </c>
      <c r="H501" s="47">
        <v>3</v>
      </c>
      <c r="I501" s="47" t="s">
        <v>89</v>
      </c>
      <c r="J501" s="48">
        <f t="shared" si="23"/>
        <v>100</v>
      </c>
    </row>
    <row r="502" spans="1:10" ht="21" customHeight="1" x14ac:dyDescent="0.15">
      <c r="A502" s="110">
        <v>47004935</v>
      </c>
      <c r="B502" s="47">
        <v>0</v>
      </c>
      <c r="C502" s="47">
        <v>140</v>
      </c>
      <c r="D502" s="47">
        <v>100</v>
      </c>
      <c r="E502" s="47" t="s">
        <v>89</v>
      </c>
      <c r="F502" s="47" t="s">
        <v>89</v>
      </c>
      <c r="G502" s="47">
        <v>1</v>
      </c>
      <c r="H502" s="47">
        <v>4</v>
      </c>
      <c r="I502" s="47" t="s">
        <v>89</v>
      </c>
      <c r="J502" s="48">
        <f t="shared" si="23"/>
        <v>100</v>
      </c>
    </row>
    <row r="503" spans="1:10" ht="21" customHeight="1" x14ac:dyDescent="0.15">
      <c r="A503" s="110">
        <v>47004936</v>
      </c>
      <c r="B503" s="47">
        <v>0</v>
      </c>
      <c r="C503" s="47">
        <v>150</v>
      </c>
      <c r="D503" s="47">
        <v>100</v>
      </c>
      <c r="E503" s="47" t="s">
        <v>89</v>
      </c>
      <c r="F503" s="47" t="s">
        <v>89</v>
      </c>
      <c r="G503" s="47">
        <v>1</v>
      </c>
      <c r="H503" s="47">
        <v>5</v>
      </c>
      <c r="I503" s="47" t="s">
        <v>89</v>
      </c>
      <c r="J503" s="48">
        <f t="shared" si="23"/>
        <v>100</v>
      </c>
    </row>
    <row r="504" spans="1:10" ht="21" customHeight="1" x14ac:dyDescent="0.15">
      <c r="A504" s="47">
        <v>47004961</v>
      </c>
      <c r="B504" s="47">
        <v>1</v>
      </c>
      <c r="C504" s="47">
        <v>100</v>
      </c>
      <c r="D504" s="47">
        <v>100</v>
      </c>
      <c r="E504" s="47" t="s">
        <v>89</v>
      </c>
      <c r="F504" s="47" t="s">
        <v>89</v>
      </c>
      <c r="G504" s="47">
        <v>1</v>
      </c>
      <c r="H504" s="47" t="s">
        <v>89</v>
      </c>
      <c r="I504" s="47" t="s">
        <v>89</v>
      </c>
      <c r="J504" s="48">
        <f t="shared" si="23"/>
        <v>100</v>
      </c>
    </row>
    <row r="505" spans="1:10" ht="21" customHeight="1" x14ac:dyDescent="0.15">
      <c r="A505" s="47">
        <v>47004962</v>
      </c>
      <c r="B505" s="47">
        <v>0</v>
      </c>
      <c r="C505" s="47">
        <v>101</v>
      </c>
      <c r="D505" s="47">
        <v>100</v>
      </c>
      <c r="E505" s="47" t="s">
        <v>89</v>
      </c>
      <c r="F505" s="47" t="s">
        <v>89</v>
      </c>
      <c r="G505" s="47">
        <v>1</v>
      </c>
      <c r="H505" s="47">
        <v>1</v>
      </c>
      <c r="I505" s="47" t="s">
        <v>89</v>
      </c>
      <c r="J505" s="48">
        <f t="shared" si="23"/>
        <v>100</v>
      </c>
    </row>
    <row r="506" spans="1:10" ht="21" customHeight="1" x14ac:dyDescent="0.15">
      <c r="A506" s="47">
        <v>47004963</v>
      </c>
      <c r="B506" s="47">
        <v>0</v>
      </c>
      <c r="C506" s="47">
        <v>102</v>
      </c>
      <c r="D506" s="47">
        <v>100</v>
      </c>
      <c r="E506" s="47" t="s">
        <v>89</v>
      </c>
      <c r="F506" s="47" t="s">
        <v>89</v>
      </c>
      <c r="G506" s="47">
        <v>1</v>
      </c>
      <c r="H506" s="47">
        <v>2</v>
      </c>
      <c r="I506" s="47" t="s">
        <v>89</v>
      </c>
      <c r="J506" s="48">
        <f t="shared" si="23"/>
        <v>100</v>
      </c>
    </row>
    <row r="507" spans="1:10" ht="21" customHeight="1" x14ac:dyDescent="0.15">
      <c r="A507" s="47">
        <v>47004964</v>
      </c>
      <c r="B507" s="47">
        <v>0</v>
      </c>
      <c r="C507" s="47">
        <v>103</v>
      </c>
      <c r="D507" s="47">
        <v>100</v>
      </c>
      <c r="E507" s="47" t="s">
        <v>89</v>
      </c>
      <c r="F507" s="47" t="s">
        <v>89</v>
      </c>
      <c r="G507" s="47">
        <v>1</v>
      </c>
      <c r="H507" s="47">
        <v>3</v>
      </c>
      <c r="I507" s="47" t="s">
        <v>89</v>
      </c>
      <c r="J507" s="48">
        <f t="shared" si="23"/>
        <v>100</v>
      </c>
    </row>
    <row r="508" spans="1:10" ht="21" customHeight="1" x14ac:dyDescent="0.15">
      <c r="A508" s="47">
        <v>47004965</v>
      </c>
      <c r="B508" s="47">
        <v>0</v>
      </c>
      <c r="C508" s="47">
        <v>104</v>
      </c>
      <c r="D508" s="47">
        <v>100</v>
      </c>
      <c r="E508" s="47" t="s">
        <v>89</v>
      </c>
      <c r="F508" s="47" t="s">
        <v>89</v>
      </c>
      <c r="G508" s="47">
        <v>1</v>
      </c>
      <c r="H508" s="47">
        <v>4</v>
      </c>
      <c r="I508" s="47" t="s">
        <v>89</v>
      </c>
      <c r="J508" s="48">
        <f t="shared" ref="J508:J510" si="24">D508</f>
        <v>100</v>
      </c>
    </row>
    <row r="509" spans="1:10" ht="21" customHeight="1" x14ac:dyDescent="0.15">
      <c r="A509" s="47">
        <v>47004966</v>
      </c>
      <c r="B509" s="47">
        <v>0</v>
      </c>
      <c r="C509" s="47">
        <v>105</v>
      </c>
      <c r="D509" s="47">
        <v>100</v>
      </c>
      <c r="E509" s="47" t="s">
        <v>89</v>
      </c>
      <c r="F509" s="47" t="s">
        <v>89</v>
      </c>
      <c r="G509" s="47">
        <v>1</v>
      </c>
      <c r="H509" s="47">
        <v>5</v>
      </c>
      <c r="I509" s="47" t="s">
        <v>89</v>
      </c>
      <c r="J509" s="48">
        <f t="shared" si="24"/>
        <v>100</v>
      </c>
    </row>
    <row r="510" spans="1:10" ht="21" customHeight="1" x14ac:dyDescent="0.15">
      <c r="A510" s="47">
        <v>47004967</v>
      </c>
      <c r="B510" s="47">
        <v>0</v>
      </c>
      <c r="C510" s="47">
        <v>106</v>
      </c>
      <c r="D510" s="47">
        <v>100</v>
      </c>
      <c r="E510" s="47" t="s">
        <v>89</v>
      </c>
      <c r="F510" s="47" t="s">
        <v>89</v>
      </c>
      <c r="G510" s="47">
        <v>1</v>
      </c>
      <c r="H510" s="47">
        <v>6</v>
      </c>
      <c r="I510" s="47" t="s">
        <v>89</v>
      </c>
      <c r="J510" s="48">
        <f t="shared" si="24"/>
        <v>100</v>
      </c>
    </row>
    <row r="511" spans="1:10" ht="21" customHeight="1" x14ac:dyDescent="0.15">
      <c r="A511" s="47">
        <v>47004968</v>
      </c>
      <c r="B511" s="47">
        <v>0</v>
      </c>
      <c r="C511" s="47">
        <v>107</v>
      </c>
      <c r="D511" s="47">
        <v>100</v>
      </c>
      <c r="E511" s="47" t="s">
        <v>89</v>
      </c>
      <c r="F511" s="47" t="s">
        <v>89</v>
      </c>
      <c r="G511" s="47">
        <v>1</v>
      </c>
      <c r="H511" s="47">
        <v>7</v>
      </c>
      <c r="I511" s="47" t="s">
        <v>89</v>
      </c>
      <c r="J511" s="48">
        <f t="shared" ref="J511:J512" si="25">D511</f>
        <v>100</v>
      </c>
    </row>
    <row r="512" spans="1:10" ht="21" customHeight="1" x14ac:dyDescent="0.15">
      <c r="A512" s="47">
        <v>47004969</v>
      </c>
      <c r="B512" s="47">
        <v>0</v>
      </c>
      <c r="C512" s="47">
        <v>108</v>
      </c>
      <c r="D512" s="47">
        <v>100</v>
      </c>
      <c r="E512" s="47" t="s">
        <v>89</v>
      </c>
      <c r="F512" s="47" t="s">
        <v>89</v>
      </c>
      <c r="G512" s="47">
        <v>1</v>
      </c>
      <c r="H512" s="47">
        <v>8</v>
      </c>
      <c r="I512" s="47" t="s">
        <v>89</v>
      </c>
      <c r="J512" s="48">
        <f t="shared" si="25"/>
        <v>100</v>
      </c>
    </row>
    <row r="513" spans="1:10" ht="21" customHeight="1" x14ac:dyDescent="0.15">
      <c r="A513" s="47">
        <v>47004970</v>
      </c>
      <c r="B513" s="47">
        <v>0</v>
      </c>
      <c r="C513" s="47">
        <v>200</v>
      </c>
      <c r="D513" s="47">
        <v>100</v>
      </c>
      <c r="E513" s="47" t="s">
        <v>89</v>
      </c>
      <c r="F513" s="47" t="s">
        <v>89</v>
      </c>
      <c r="G513" s="47">
        <v>0</v>
      </c>
      <c r="H513" s="47">
        <v>1</v>
      </c>
      <c r="I513" s="113">
        <v>0</v>
      </c>
      <c r="J513" s="48">
        <f t="shared" ref="J513" si="26">D513</f>
        <v>100</v>
      </c>
    </row>
  </sheetData>
  <autoFilter ref="A1:G1"/>
  <phoneticPr fontId="5"/>
  <conditionalFormatting sqref="K514:K1048576 K1 K386">
    <cfRule type="duplicateValues" dxfId="129" priority="131"/>
  </conditionalFormatting>
  <conditionalFormatting sqref="K404">
    <cfRule type="duplicateValues" dxfId="128" priority="128"/>
  </conditionalFormatting>
  <conditionalFormatting sqref="K388:K402">
    <cfRule type="duplicateValues" dxfId="127" priority="135"/>
  </conditionalFormatting>
  <conditionalFormatting sqref="K406:K420">
    <cfRule type="duplicateValues" dxfId="126" priority="137"/>
  </conditionalFormatting>
  <conditionalFormatting sqref="K422">
    <cfRule type="duplicateValues" dxfId="125" priority="127"/>
  </conditionalFormatting>
  <conditionalFormatting sqref="K426">
    <cfRule type="duplicateValues" dxfId="124" priority="125"/>
  </conditionalFormatting>
  <conditionalFormatting sqref="K427">
    <cfRule type="duplicateValues" dxfId="123" priority="124"/>
  </conditionalFormatting>
  <conditionalFormatting sqref="K428">
    <cfRule type="duplicateValues" dxfId="122" priority="123"/>
  </conditionalFormatting>
  <conditionalFormatting sqref="K429">
    <cfRule type="duplicateValues" dxfId="121" priority="122"/>
  </conditionalFormatting>
  <conditionalFormatting sqref="K443">
    <cfRule type="duplicateValues" dxfId="120" priority="120"/>
  </conditionalFormatting>
  <conditionalFormatting sqref="K444">
    <cfRule type="duplicateValues" dxfId="119" priority="119"/>
  </conditionalFormatting>
  <conditionalFormatting sqref="K445:K458">
    <cfRule type="duplicateValues" dxfId="118" priority="141"/>
  </conditionalFormatting>
  <conditionalFormatting sqref="K461">
    <cfRule type="duplicateValues" dxfId="117" priority="117"/>
  </conditionalFormatting>
  <conditionalFormatting sqref="K462">
    <cfRule type="duplicateValues" dxfId="116" priority="116"/>
  </conditionalFormatting>
  <conditionalFormatting sqref="K472:K474">
    <cfRule type="duplicateValues" dxfId="115" priority="115"/>
  </conditionalFormatting>
  <conditionalFormatting sqref="K463:K471">
    <cfRule type="duplicateValues" dxfId="114" priority="145"/>
  </conditionalFormatting>
  <conditionalFormatting sqref="K477">
    <cfRule type="duplicateValues" dxfId="113" priority="113"/>
  </conditionalFormatting>
  <conditionalFormatting sqref="K478:K480 K482:K495">
    <cfRule type="duplicateValues" dxfId="112" priority="114"/>
  </conditionalFormatting>
  <conditionalFormatting sqref="K498">
    <cfRule type="duplicateValues" dxfId="111" priority="112"/>
  </conditionalFormatting>
  <conditionalFormatting sqref="K499:K503">
    <cfRule type="duplicateValues" dxfId="110" priority="111"/>
  </conditionalFormatting>
  <conditionalFormatting sqref="K504">
    <cfRule type="duplicateValues" dxfId="109" priority="109"/>
  </conditionalFormatting>
  <conditionalFormatting sqref="K508:K510">
    <cfRule type="duplicateValues" dxfId="108" priority="108"/>
  </conditionalFormatting>
  <conditionalFormatting sqref="K511:K512">
    <cfRule type="duplicateValues" dxfId="107" priority="107"/>
  </conditionalFormatting>
  <conditionalFormatting sqref="K513">
    <cfRule type="duplicateValues" dxfId="106" priority="106"/>
  </conditionalFormatting>
  <conditionalFormatting sqref="K505:K507">
    <cfRule type="duplicateValues" dxfId="105" priority="147"/>
  </conditionalFormatting>
  <conditionalFormatting sqref="K425">
    <cfRule type="duplicateValues" dxfId="104" priority="105"/>
  </conditionalFormatting>
  <conditionalFormatting sqref="K481">
    <cfRule type="duplicateValues" dxfId="103" priority="103"/>
  </conditionalFormatting>
  <conditionalFormatting sqref="K387">
    <cfRule type="duplicateValues" dxfId="102" priority="102"/>
  </conditionalFormatting>
  <conditionalFormatting sqref="K405">
    <cfRule type="duplicateValues" dxfId="101" priority="101"/>
  </conditionalFormatting>
  <conditionalFormatting sqref="K423:K424">
    <cfRule type="duplicateValues" dxfId="100" priority="149"/>
  </conditionalFormatting>
  <conditionalFormatting sqref="K430:K440">
    <cfRule type="duplicateValues" dxfId="99" priority="152"/>
  </conditionalFormatting>
  <conditionalFormatting sqref="K258">
    <cfRule type="duplicateValues" dxfId="98" priority="92"/>
  </conditionalFormatting>
  <conditionalFormatting sqref="K276">
    <cfRule type="duplicateValues" dxfId="97" priority="91"/>
  </conditionalFormatting>
  <conditionalFormatting sqref="K260:K275">
    <cfRule type="duplicateValues" dxfId="96" priority="93"/>
  </conditionalFormatting>
  <conditionalFormatting sqref="K278:K293">
    <cfRule type="duplicateValues" dxfId="95" priority="94"/>
  </conditionalFormatting>
  <conditionalFormatting sqref="K294">
    <cfRule type="duplicateValues" dxfId="94" priority="90"/>
  </conditionalFormatting>
  <conditionalFormatting sqref="K298">
    <cfRule type="duplicateValues" dxfId="93" priority="89"/>
  </conditionalFormatting>
  <conditionalFormatting sqref="K299">
    <cfRule type="duplicateValues" dxfId="92" priority="88"/>
  </conditionalFormatting>
  <conditionalFormatting sqref="K300">
    <cfRule type="duplicateValues" dxfId="91" priority="87"/>
  </conditionalFormatting>
  <conditionalFormatting sqref="K301">
    <cfRule type="duplicateValues" dxfId="90" priority="86"/>
  </conditionalFormatting>
  <conditionalFormatting sqref="K315">
    <cfRule type="duplicateValues" dxfId="89" priority="85"/>
  </conditionalFormatting>
  <conditionalFormatting sqref="K316">
    <cfRule type="duplicateValues" dxfId="88" priority="84"/>
  </conditionalFormatting>
  <conditionalFormatting sqref="K317:K332">
    <cfRule type="duplicateValues" dxfId="87" priority="95"/>
  </conditionalFormatting>
  <conditionalFormatting sqref="K333">
    <cfRule type="duplicateValues" dxfId="86" priority="83"/>
  </conditionalFormatting>
  <conditionalFormatting sqref="K334">
    <cfRule type="duplicateValues" dxfId="85" priority="82"/>
  </conditionalFormatting>
  <conditionalFormatting sqref="K344:K348">
    <cfRule type="duplicateValues" dxfId="84" priority="81"/>
  </conditionalFormatting>
  <conditionalFormatting sqref="K335:K343">
    <cfRule type="duplicateValues" dxfId="83" priority="96"/>
  </conditionalFormatting>
  <conditionalFormatting sqref="K349">
    <cfRule type="duplicateValues" dxfId="82" priority="79"/>
  </conditionalFormatting>
  <conditionalFormatting sqref="K350:K352 K354:K369">
    <cfRule type="duplicateValues" dxfId="81" priority="80"/>
  </conditionalFormatting>
  <conditionalFormatting sqref="K370">
    <cfRule type="duplicateValues" dxfId="80" priority="78"/>
  </conditionalFormatting>
  <conditionalFormatting sqref="K371:K375">
    <cfRule type="duplicateValues" dxfId="79" priority="77"/>
  </conditionalFormatting>
  <conditionalFormatting sqref="K376">
    <cfRule type="duplicateValues" dxfId="78" priority="76"/>
  </conditionalFormatting>
  <conditionalFormatting sqref="K380:K382">
    <cfRule type="duplicateValues" dxfId="77" priority="75"/>
  </conditionalFormatting>
  <conditionalFormatting sqref="K383:K384">
    <cfRule type="duplicateValues" dxfId="76" priority="74"/>
  </conditionalFormatting>
  <conditionalFormatting sqref="K385">
    <cfRule type="duplicateValues" dxfId="75" priority="73"/>
  </conditionalFormatting>
  <conditionalFormatting sqref="K377:K379">
    <cfRule type="duplicateValues" dxfId="74" priority="97"/>
  </conditionalFormatting>
  <conditionalFormatting sqref="K297">
    <cfRule type="duplicateValues" dxfId="73" priority="72"/>
  </conditionalFormatting>
  <conditionalFormatting sqref="K353">
    <cfRule type="duplicateValues" dxfId="72" priority="71"/>
  </conditionalFormatting>
  <conditionalFormatting sqref="K259">
    <cfRule type="duplicateValues" dxfId="71" priority="70"/>
  </conditionalFormatting>
  <conditionalFormatting sqref="K277">
    <cfRule type="duplicateValues" dxfId="70" priority="69"/>
  </conditionalFormatting>
  <conditionalFormatting sqref="K295:K296">
    <cfRule type="duplicateValues" dxfId="69" priority="98"/>
  </conditionalFormatting>
  <conditionalFormatting sqref="K302:K314">
    <cfRule type="duplicateValues" dxfId="68" priority="99"/>
  </conditionalFormatting>
  <conditionalFormatting sqref="K130">
    <cfRule type="duplicateValues" dxfId="67" priority="61"/>
  </conditionalFormatting>
  <conditionalFormatting sqref="K148">
    <cfRule type="duplicateValues" dxfId="66" priority="60"/>
  </conditionalFormatting>
  <conditionalFormatting sqref="K132:K147">
    <cfRule type="duplicateValues" dxfId="65" priority="62"/>
  </conditionalFormatting>
  <conditionalFormatting sqref="K150:K165">
    <cfRule type="duplicateValues" dxfId="64" priority="63"/>
  </conditionalFormatting>
  <conditionalFormatting sqref="K166">
    <cfRule type="duplicateValues" dxfId="63" priority="59"/>
  </conditionalFormatting>
  <conditionalFormatting sqref="K170">
    <cfRule type="duplicateValues" dxfId="62" priority="58"/>
  </conditionalFormatting>
  <conditionalFormatting sqref="K171">
    <cfRule type="duplicateValues" dxfId="61" priority="57"/>
  </conditionalFormatting>
  <conditionalFormatting sqref="K172">
    <cfRule type="duplicateValues" dxfId="60" priority="56"/>
  </conditionalFormatting>
  <conditionalFormatting sqref="K173">
    <cfRule type="duplicateValues" dxfId="59" priority="55"/>
  </conditionalFormatting>
  <conditionalFormatting sqref="K187">
    <cfRule type="duplicateValues" dxfId="58" priority="54"/>
  </conditionalFormatting>
  <conditionalFormatting sqref="K188">
    <cfRule type="duplicateValues" dxfId="57" priority="53"/>
  </conditionalFormatting>
  <conditionalFormatting sqref="K189:K204">
    <cfRule type="duplicateValues" dxfId="56" priority="64"/>
  </conditionalFormatting>
  <conditionalFormatting sqref="K205">
    <cfRule type="duplicateValues" dxfId="55" priority="52"/>
  </conditionalFormatting>
  <conditionalFormatting sqref="K206">
    <cfRule type="duplicateValues" dxfId="54" priority="51"/>
  </conditionalFormatting>
  <conditionalFormatting sqref="K216:K220">
    <cfRule type="duplicateValues" dxfId="53" priority="50"/>
  </conditionalFormatting>
  <conditionalFormatting sqref="K207:K215">
    <cfRule type="duplicateValues" dxfId="52" priority="65"/>
  </conditionalFormatting>
  <conditionalFormatting sqref="K221">
    <cfRule type="duplicateValues" dxfId="51" priority="48"/>
  </conditionalFormatting>
  <conditionalFormatting sqref="K222:K224 K226:K241">
    <cfRule type="duplicateValues" dxfId="50" priority="49"/>
  </conditionalFormatting>
  <conditionalFormatting sqref="K242">
    <cfRule type="duplicateValues" dxfId="49" priority="47"/>
  </conditionalFormatting>
  <conditionalFormatting sqref="K243:K247">
    <cfRule type="duplicateValues" dxfId="48" priority="46"/>
  </conditionalFormatting>
  <conditionalFormatting sqref="K248">
    <cfRule type="duplicateValues" dxfId="47" priority="45"/>
  </conditionalFormatting>
  <conditionalFormatting sqref="K252:K254">
    <cfRule type="duplicateValues" dxfId="46" priority="44"/>
  </conditionalFormatting>
  <conditionalFormatting sqref="K255:K256">
    <cfRule type="duplicateValues" dxfId="45" priority="43"/>
  </conditionalFormatting>
  <conditionalFormatting sqref="K257">
    <cfRule type="duplicateValues" dxfId="44" priority="42"/>
  </conditionalFormatting>
  <conditionalFormatting sqref="K249:K251">
    <cfRule type="duplicateValues" dxfId="43" priority="66"/>
  </conditionalFormatting>
  <conditionalFormatting sqref="K169">
    <cfRule type="duplicateValues" dxfId="42" priority="41"/>
  </conditionalFormatting>
  <conditionalFormatting sqref="K225">
    <cfRule type="duplicateValues" dxfId="41" priority="40"/>
  </conditionalFormatting>
  <conditionalFormatting sqref="K131">
    <cfRule type="duplicateValues" dxfId="40" priority="39"/>
  </conditionalFormatting>
  <conditionalFormatting sqref="K149">
    <cfRule type="duplicateValues" dxfId="39" priority="38"/>
  </conditionalFormatting>
  <conditionalFormatting sqref="K167:K168">
    <cfRule type="duplicateValues" dxfId="38" priority="67"/>
  </conditionalFormatting>
  <conditionalFormatting sqref="K174:K186">
    <cfRule type="duplicateValues" dxfId="37" priority="68"/>
  </conditionalFormatting>
  <conditionalFormatting sqref="K2">
    <cfRule type="duplicateValues" dxfId="36" priority="30"/>
  </conditionalFormatting>
  <conditionalFormatting sqref="K20">
    <cfRule type="duplicateValues" dxfId="35" priority="29"/>
  </conditionalFormatting>
  <conditionalFormatting sqref="K4:K19">
    <cfRule type="duplicateValues" dxfId="34" priority="31"/>
  </conditionalFormatting>
  <conditionalFormatting sqref="K22:K37">
    <cfRule type="duplicateValues" dxfId="33" priority="32"/>
  </conditionalFormatting>
  <conditionalFormatting sqref="K38">
    <cfRule type="duplicateValues" dxfId="32" priority="28"/>
  </conditionalFormatting>
  <conditionalFormatting sqref="K42">
    <cfRule type="duplicateValues" dxfId="31" priority="27"/>
  </conditionalFormatting>
  <conditionalFormatting sqref="K43">
    <cfRule type="duplicateValues" dxfId="30" priority="26"/>
  </conditionalFormatting>
  <conditionalFormatting sqref="K44">
    <cfRule type="duplicateValues" dxfId="29" priority="25"/>
  </conditionalFormatting>
  <conditionalFormatting sqref="K45">
    <cfRule type="duplicateValues" dxfId="28" priority="24"/>
  </conditionalFormatting>
  <conditionalFormatting sqref="K59">
    <cfRule type="duplicateValues" dxfId="27" priority="23"/>
  </conditionalFormatting>
  <conditionalFormatting sqref="K60">
    <cfRule type="duplicateValues" dxfId="26" priority="22"/>
  </conditionalFormatting>
  <conditionalFormatting sqref="K61:K76">
    <cfRule type="duplicateValues" dxfId="25" priority="33"/>
  </conditionalFormatting>
  <conditionalFormatting sqref="K77">
    <cfRule type="duplicateValues" dxfId="24" priority="21"/>
  </conditionalFormatting>
  <conditionalFormatting sqref="K78">
    <cfRule type="duplicateValues" dxfId="23" priority="20"/>
  </conditionalFormatting>
  <conditionalFormatting sqref="K88:K92">
    <cfRule type="duplicateValues" dxfId="22" priority="19"/>
  </conditionalFormatting>
  <conditionalFormatting sqref="K79:K87">
    <cfRule type="duplicateValues" dxfId="21" priority="34"/>
  </conditionalFormatting>
  <conditionalFormatting sqref="K93">
    <cfRule type="duplicateValues" dxfId="20" priority="17"/>
  </conditionalFormatting>
  <conditionalFormatting sqref="K94:K96 K98:K113">
    <cfRule type="duplicateValues" dxfId="19" priority="18"/>
  </conditionalFormatting>
  <conditionalFormatting sqref="K114">
    <cfRule type="duplicateValues" dxfId="18" priority="16"/>
  </conditionalFormatting>
  <conditionalFormatting sqref="K115:K119">
    <cfRule type="duplicateValues" dxfId="17" priority="15"/>
  </conditionalFormatting>
  <conditionalFormatting sqref="K120">
    <cfRule type="duplicateValues" dxfId="16" priority="14"/>
  </conditionalFormatting>
  <conditionalFormatting sqref="K124:K126">
    <cfRule type="duplicateValues" dxfId="15" priority="13"/>
  </conditionalFormatting>
  <conditionalFormatting sqref="K127:K128">
    <cfRule type="duplicateValues" dxfId="14" priority="12"/>
  </conditionalFormatting>
  <conditionalFormatting sqref="K129">
    <cfRule type="duplicateValues" dxfId="13" priority="11"/>
  </conditionalFormatting>
  <conditionalFormatting sqref="K121:K123">
    <cfRule type="duplicateValues" dxfId="12" priority="35"/>
  </conditionalFormatting>
  <conditionalFormatting sqref="K41">
    <cfRule type="duplicateValues" dxfId="11" priority="10"/>
  </conditionalFormatting>
  <conditionalFormatting sqref="K97">
    <cfRule type="duplicateValues" dxfId="10" priority="9"/>
  </conditionalFormatting>
  <conditionalFormatting sqref="K3">
    <cfRule type="duplicateValues" dxfId="9" priority="8"/>
  </conditionalFormatting>
  <conditionalFormatting sqref="K21">
    <cfRule type="duplicateValues" dxfId="8" priority="7"/>
  </conditionalFormatting>
  <conditionalFormatting sqref="K39:K40">
    <cfRule type="duplicateValues" dxfId="7" priority="36"/>
  </conditionalFormatting>
  <conditionalFormatting sqref="K46:K58">
    <cfRule type="duplicateValues" dxfId="6" priority="37"/>
  </conditionalFormatting>
  <conditionalFormatting sqref="K403">
    <cfRule type="duplicateValues" dxfId="5" priority="6"/>
  </conditionalFormatting>
  <conditionalFormatting sqref="K421">
    <cfRule type="duplicateValues" dxfId="4" priority="5"/>
  </conditionalFormatting>
  <conditionalFormatting sqref="K441:K442">
    <cfRule type="duplicateValues" dxfId="3" priority="4"/>
  </conditionalFormatting>
  <conditionalFormatting sqref="K459:K460">
    <cfRule type="duplicateValues" dxfId="2" priority="3"/>
  </conditionalFormatting>
  <conditionalFormatting sqref="K475:K476">
    <cfRule type="duplicateValues" dxfId="1" priority="2"/>
  </conditionalFormatting>
  <conditionalFormatting sqref="K496:K49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6"/>
  <sheetViews>
    <sheetView topLeftCell="A5" workbookViewId="0">
      <selection activeCell="E43" sqref="E4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v>47004</v>
      </c>
      <c r="B2" s="57">
        <v>1</v>
      </c>
      <c r="C2" s="71" t="str">
        <f>A2&amp; "_"&amp;B2</f>
        <v>47004_1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403</v>
      </c>
      <c r="G2" s="57">
        <v>702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540</v>
      </c>
      <c r="Q2" s="57" t="s">
        <v>170</v>
      </c>
      <c r="R2" s="57" t="s">
        <v>171</v>
      </c>
    </row>
    <row r="3" spans="1:18" x14ac:dyDescent="0.15">
      <c r="A3" s="57">
        <v>47004</v>
      </c>
      <c r="B3" s="57">
        <v>1</v>
      </c>
      <c r="C3" s="71" t="str">
        <f t="shared" ref="C3:C23" si="0">A3&amp; "_"&amp;B3</f>
        <v>47004_1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407</v>
      </c>
      <c r="G3" s="57">
        <v>702</v>
      </c>
      <c r="H3" s="57">
        <v>2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75</v>
      </c>
      <c r="Q3" s="57" t="s">
        <v>170</v>
      </c>
      <c r="R3" s="57" t="s">
        <v>171</v>
      </c>
    </row>
    <row r="4" spans="1:18" x14ac:dyDescent="0.15">
      <c r="A4" s="57">
        <v>47004</v>
      </c>
      <c r="B4" s="57">
        <v>1</v>
      </c>
      <c r="C4" s="71" t="str">
        <f t="shared" si="0"/>
        <v>47004_1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412</v>
      </c>
      <c r="G4" s="57">
        <v>702</v>
      </c>
      <c r="H4" s="57">
        <v>3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10</v>
      </c>
      <c r="Q4" s="57" t="s">
        <v>170</v>
      </c>
      <c r="R4" s="57" t="s">
        <v>171</v>
      </c>
    </row>
    <row r="5" spans="1:18" x14ac:dyDescent="0.15">
      <c r="A5" s="57">
        <v>47004</v>
      </c>
      <c r="B5" s="57">
        <v>1</v>
      </c>
      <c r="C5" s="71" t="str">
        <f t="shared" si="0"/>
        <v>47004_1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415</v>
      </c>
      <c r="G5" s="84">
        <v>121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10</v>
      </c>
      <c r="Q5" s="57" t="s">
        <v>170</v>
      </c>
      <c r="R5" s="57" t="s">
        <v>171</v>
      </c>
    </row>
    <row r="6" spans="1:18" x14ac:dyDescent="0.15">
      <c r="A6" s="57">
        <v>47004</v>
      </c>
      <c r="B6" s="57">
        <v>1</v>
      </c>
      <c r="C6" s="71" t="str">
        <f t="shared" si="0"/>
        <v>47004_1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415</v>
      </c>
      <c r="G6" s="84">
        <v>122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</v>
      </c>
      <c r="Q6" s="57" t="s">
        <v>170</v>
      </c>
      <c r="R6" s="57" t="s">
        <v>171</v>
      </c>
    </row>
    <row r="7" spans="1:18" x14ac:dyDescent="0.15">
      <c r="A7" s="57">
        <v>47004</v>
      </c>
      <c r="B7" s="57">
        <v>1</v>
      </c>
      <c r="C7" s="71" t="str">
        <f t="shared" si="0"/>
        <v>47004_1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415</v>
      </c>
      <c r="G7" s="84">
        <v>123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</v>
      </c>
      <c r="Q7" s="57" t="s">
        <v>170</v>
      </c>
      <c r="R7" s="57" t="s">
        <v>171</v>
      </c>
    </row>
    <row r="8" spans="1:18" x14ac:dyDescent="0.15">
      <c r="A8" s="57">
        <v>47004</v>
      </c>
      <c r="B8" s="57">
        <v>1</v>
      </c>
      <c r="C8" s="71" t="str">
        <f t="shared" si="0"/>
        <v>47004_1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415</v>
      </c>
      <c r="G8" s="57">
        <v>125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</v>
      </c>
      <c r="Q8" s="57" t="s">
        <v>170</v>
      </c>
      <c r="R8" s="57" t="s">
        <v>171</v>
      </c>
    </row>
    <row r="9" spans="1:18" x14ac:dyDescent="0.15">
      <c r="A9" s="57">
        <v>47004</v>
      </c>
      <c r="B9" s="57">
        <v>1</v>
      </c>
      <c r="C9" s="71" t="str">
        <f t="shared" si="0"/>
        <v>47004_1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415</v>
      </c>
      <c r="G9" s="57">
        <v>334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170</v>
      </c>
      <c r="R9" s="57" t="s">
        <v>171</v>
      </c>
    </row>
    <row r="10" spans="1:18" x14ac:dyDescent="0.15">
      <c r="A10" s="57">
        <v>47004</v>
      </c>
      <c r="B10" s="57">
        <v>1</v>
      </c>
      <c r="C10" s="71" t="str">
        <f t="shared" si="0"/>
        <v>47004_1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415</v>
      </c>
      <c r="G10" s="57">
        <v>338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10</v>
      </c>
      <c r="Q10" s="57" t="s">
        <v>170</v>
      </c>
      <c r="R10" s="57" t="s">
        <v>171</v>
      </c>
    </row>
    <row r="11" spans="1:18" x14ac:dyDescent="0.15">
      <c r="A11" s="57">
        <v>47004</v>
      </c>
      <c r="B11" s="57">
        <v>1</v>
      </c>
      <c r="C11" s="71" t="str">
        <f t="shared" si="0"/>
        <v>47004_1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415</v>
      </c>
      <c r="G11" s="57">
        <v>342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10</v>
      </c>
      <c r="Q11" s="57" t="s">
        <v>170</v>
      </c>
      <c r="R11" s="57" t="s">
        <v>171</v>
      </c>
    </row>
    <row r="12" spans="1:18" x14ac:dyDescent="0.15">
      <c r="A12" s="57">
        <v>47004</v>
      </c>
      <c r="B12" s="57">
        <v>1</v>
      </c>
      <c r="C12" s="71" t="str">
        <f t="shared" si="0"/>
        <v>47004_1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415</v>
      </c>
      <c r="G12" s="57">
        <v>346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10</v>
      </c>
      <c r="Q12" s="57" t="s">
        <v>170</v>
      </c>
      <c r="R12" s="57" t="s">
        <v>171</v>
      </c>
    </row>
    <row r="13" spans="1:18" x14ac:dyDescent="0.15">
      <c r="A13" s="57">
        <v>47004</v>
      </c>
      <c r="B13" s="57">
        <v>1</v>
      </c>
      <c r="C13" s="71" t="str">
        <f t="shared" si="0"/>
        <v>47004_1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168</v>
      </c>
      <c r="G13" s="57">
        <v>5000</v>
      </c>
      <c r="H13" s="57" t="s">
        <v>413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150</v>
      </c>
      <c r="Q13" s="57" t="s">
        <v>170</v>
      </c>
      <c r="R13" s="57" t="s">
        <v>171</v>
      </c>
    </row>
    <row r="14" spans="1:18" x14ac:dyDescent="0.15">
      <c r="A14" s="57">
        <v>47004</v>
      </c>
      <c r="B14" s="57">
        <v>1</v>
      </c>
      <c r="C14" s="71" t="str">
        <f t="shared" si="0"/>
        <v>47004_1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416</v>
      </c>
      <c r="G14" s="57">
        <v>25</v>
      </c>
      <c r="H14" s="57" t="s">
        <v>169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150</v>
      </c>
      <c r="Q14" s="57" t="s">
        <v>170</v>
      </c>
      <c r="R14" s="57" t="s">
        <v>171</v>
      </c>
    </row>
    <row r="15" spans="1:18" x14ac:dyDescent="0.15">
      <c r="A15" s="62">
        <v>47004</v>
      </c>
      <c r="B15" s="62">
        <v>2</v>
      </c>
      <c r="C15" s="71" t="str">
        <f t="shared" si="0"/>
        <v>47004_2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62">
        <v>14</v>
      </c>
      <c r="F15" s="62" t="s">
        <v>403</v>
      </c>
      <c r="G15" s="62">
        <v>702</v>
      </c>
      <c r="H15" s="62">
        <v>1</v>
      </c>
      <c r="I15" s="62">
        <v>1</v>
      </c>
      <c r="J15" s="62">
        <v>1</v>
      </c>
      <c r="K15" s="62">
        <v>0</v>
      </c>
      <c r="L15" s="62">
        <v>0</v>
      </c>
      <c r="M15" s="62">
        <v>0</v>
      </c>
      <c r="N15" s="62">
        <v>0</v>
      </c>
      <c r="O15" s="62">
        <v>1</v>
      </c>
      <c r="P15" s="62">
        <v>410</v>
      </c>
      <c r="Q15" s="57" t="s">
        <v>170</v>
      </c>
      <c r="R15" s="57" t="s">
        <v>171</v>
      </c>
    </row>
    <row r="16" spans="1:18" x14ac:dyDescent="0.15">
      <c r="A16" s="62">
        <v>47004</v>
      </c>
      <c r="B16" s="62">
        <v>2</v>
      </c>
      <c r="C16" s="71" t="str">
        <f t="shared" si="0"/>
        <v>47004_2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62">
        <v>15</v>
      </c>
      <c r="F16" s="62" t="s">
        <v>403</v>
      </c>
      <c r="G16" s="62">
        <v>702</v>
      </c>
      <c r="H16" s="62">
        <v>2</v>
      </c>
      <c r="I16" s="62">
        <v>1</v>
      </c>
      <c r="J16" s="62">
        <v>1</v>
      </c>
      <c r="K16" s="62">
        <v>0</v>
      </c>
      <c r="L16" s="62">
        <v>0</v>
      </c>
      <c r="M16" s="62">
        <v>0</v>
      </c>
      <c r="N16" s="62">
        <v>0</v>
      </c>
      <c r="O16" s="62">
        <v>1</v>
      </c>
      <c r="P16" s="62">
        <v>150</v>
      </c>
      <c r="Q16" s="57" t="s">
        <v>170</v>
      </c>
      <c r="R16" s="57" t="s">
        <v>171</v>
      </c>
    </row>
    <row r="17" spans="1:18" x14ac:dyDescent="0.15">
      <c r="A17" s="62">
        <v>47004</v>
      </c>
      <c r="B17" s="62">
        <v>2</v>
      </c>
      <c r="C17" s="71" t="str">
        <f t="shared" si="0"/>
        <v>47004_2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62">
        <v>16</v>
      </c>
      <c r="F17" s="62" t="s">
        <v>403</v>
      </c>
      <c r="G17" s="62">
        <v>702</v>
      </c>
      <c r="H17" s="62">
        <v>3</v>
      </c>
      <c r="I17" s="62">
        <v>1</v>
      </c>
      <c r="J17" s="62">
        <v>1</v>
      </c>
      <c r="K17" s="62">
        <v>0</v>
      </c>
      <c r="L17" s="62">
        <v>0</v>
      </c>
      <c r="M17" s="62">
        <v>0</v>
      </c>
      <c r="N17" s="62">
        <v>0</v>
      </c>
      <c r="O17" s="62">
        <v>1</v>
      </c>
      <c r="P17" s="62">
        <v>50</v>
      </c>
      <c r="Q17" s="57" t="s">
        <v>170</v>
      </c>
      <c r="R17" s="57" t="s">
        <v>171</v>
      </c>
    </row>
    <row r="18" spans="1:18" x14ac:dyDescent="0.15">
      <c r="A18" s="62">
        <v>47004</v>
      </c>
      <c r="B18" s="62">
        <v>2</v>
      </c>
      <c r="C18" s="71" t="str">
        <f t="shared" si="0"/>
        <v>47004_2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62">
        <v>17</v>
      </c>
      <c r="F18" s="62" t="s">
        <v>403</v>
      </c>
      <c r="G18" s="62">
        <v>702</v>
      </c>
      <c r="H18" s="62">
        <v>4</v>
      </c>
      <c r="I18" s="62">
        <v>1</v>
      </c>
      <c r="J18" s="62">
        <v>1</v>
      </c>
      <c r="K18" s="62">
        <v>0</v>
      </c>
      <c r="L18" s="62">
        <v>0</v>
      </c>
      <c r="M18" s="62">
        <v>0</v>
      </c>
      <c r="N18" s="62">
        <v>0</v>
      </c>
      <c r="O18" s="62">
        <v>1</v>
      </c>
      <c r="P18" s="62">
        <v>20</v>
      </c>
      <c r="Q18" s="57" t="s">
        <v>170</v>
      </c>
      <c r="R18" s="57" t="s">
        <v>171</v>
      </c>
    </row>
    <row r="19" spans="1:18" x14ac:dyDescent="0.15">
      <c r="A19" s="62">
        <v>47004</v>
      </c>
      <c r="B19" s="62">
        <v>2</v>
      </c>
      <c r="C19" s="71" t="str">
        <f t="shared" si="0"/>
        <v>47004_2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62">
        <v>18</v>
      </c>
      <c r="F19" s="62" t="s">
        <v>403</v>
      </c>
      <c r="G19" s="62">
        <v>702</v>
      </c>
      <c r="H19" s="62">
        <v>5</v>
      </c>
      <c r="I19" s="62">
        <v>1</v>
      </c>
      <c r="J19" s="62">
        <v>1</v>
      </c>
      <c r="K19" s="62">
        <v>0</v>
      </c>
      <c r="L19" s="62">
        <v>0</v>
      </c>
      <c r="M19" s="62">
        <v>0</v>
      </c>
      <c r="N19" s="62">
        <v>0</v>
      </c>
      <c r="O19" s="62">
        <v>1</v>
      </c>
      <c r="P19" s="62">
        <v>10</v>
      </c>
      <c r="Q19" s="57" t="s">
        <v>170</v>
      </c>
      <c r="R19" s="57" t="s">
        <v>171</v>
      </c>
    </row>
    <row r="20" spans="1:18" x14ac:dyDescent="0.15">
      <c r="A20" s="62">
        <v>47004</v>
      </c>
      <c r="B20" s="62">
        <v>2</v>
      </c>
      <c r="C20" s="71" t="str">
        <f t="shared" si="0"/>
        <v>47004_2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62">
        <v>19</v>
      </c>
      <c r="F20" s="62" t="s">
        <v>415</v>
      </c>
      <c r="G20" s="123">
        <v>121</v>
      </c>
      <c r="H20" s="62">
        <v>1</v>
      </c>
      <c r="I20" s="62">
        <v>1</v>
      </c>
      <c r="J20" s="62">
        <v>1</v>
      </c>
      <c r="K20" s="62">
        <v>0</v>
      </c>
      <c r="L20" s="62">
        <v>0</v>
      </c>
      <c r="M20" s="62">
        <v>0</v>
      </c>
      <c r="N20" s="62">
        <v>0</v>
      </c>
      <c r="O20" s="62">
        <v>1</v>
      </c>
      <c r="P20" s="62">
        <v>10</v>
      </c>
      <c r="Q20" s="57" t="s">
        <v>170</v>
      </c>
      <c r="R20" s="57" t="s">
        <v>171</v>
      </c>
    </row>
    <row r="21" spans="1:18" x14ac:dyDescent="0.15">
      <c r="A21" s="62">
        <v>47004</v>
      </c>
      <c r="B21" s="62">
        <v>2</v>
      </c>
      <c r="C21" s="71" t="str">
        <f t="shared" si="0"/>
        <v>47004_2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62">
        <v>20</v>
      </c>
      <c r="F21" s="62" t="s">
        <v>415</v>
      </c>
      <c r="G21" s="123">
        <v>122</v>
      </c>
      <c r="H21" s="62">
        <v>1</v>
      </c>
      <c r="I21" s="62">
        <v>1</v>
      </c>
      <c r="J21" s="62">
        <v>1</v>
      </c>
      <c r="K21" s="62">
        <v>0</v>
      </c>
      <c r="L21" s="62">
        <v>0</v>
      </c>
      <c r="M21" s="62">
        <v>0</v>
      </c>
      <c r="N21" s="62">
        <v>0</v>
      </c>
      <c r="O21" s="62">
        <v>1</v>
      </c>
      <c r="P21" s="62">
        <v>10</v>
      </c>
      <c r="Q21" s="57" t="s">
        <v>170</v>
      </c>
      <c r="R21" s="57" t="s">
        <v>171</v>
      </c>
    </row>
    <row r="22" spans="1:18" x14ac:dyDescent="0.15">
      <c r="A22" s="62">
        <v>47004</v>
      </c>
      <c r="B22" s="62">
        <v>2</v>
      </c>
      <c r="C22" s="71" t="str">
        <f t="shared" si="0"/>
        <v>47004_2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62">
        <v>21</v>
      </c>
      <c r="F22" s="62" t="s">
        <v>415</v>
      </c>
      <c r="G22" s="123">
        <v>123</v>
      </c>
      <c r="H22" s="62">
        <v>1</v>
      </c>
      <c r="I22" s="62">
        <v>1</v>
      </c>
      <c r="J22" s="62">
        <v>1</v>
      </c>
      <c r="K22" s="62">
        <v>0</v>
      </c>
      <c r="L22" s="62">
        <v>0</v>
      </c>
      <c r="M22" s="62">
        <v>0</v>
      </c>
      <c r="N22" s="62">
        <v>0</v>
      </c>
      <c r="O22" s="62">
        <v>1</v>
      </c>
      <c r="P22" s="62">
        <v>10</v>
      </c>
      <c r="Q22" s="57" t="s">
        <v>170</v>
      </c>
      <c r="R22" s="57" t="s">
        <v>171</v>
      </c>
    </row>
    <row r="23" spans="1:18" x14ac:dyDescent="0.15">
      <c r="A23" s="62">
        <v>47004</v>
      </c>
      <c r="B23" s="62">
        <v>2</v>
      </c>
      <c r="C23" s="71" t="str">
        <f t="shared" si="0"/>
        <v>47004_2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62">
        <v>22</v>
      </c>
      <c r="F23" s="62" t="s">
        <v>415</v>
      </c>
      <c r="G23" s="62">
        <v>125</v>
      </c>
      <c r="H23" s="62">
        <v>1</v>
      </c>
      <c r="I23" s="62">
        <v>1</v>
      </c>
      <c r="J23" s="62">
        <v>1</v>
      </c>
      <c r="K23" s="62">
        <v>0</v>
      </c>
      <c r="L23" s="62">
        <v>0</v>
      </c>
      <c r="M23" s="62">
        <v>0</v>
      </c>
      <c r="N23" s="62">
        <v>0</v>
      </c>
      <c r="O23" s="62">
        <v>1</v>
      </c>
      <c r="P23" s="62">
        <v>5</v>
      </c>
      <c r="Q23" s="57" t="s">
        <v>170</v>
      </c>
      <c r="R23" s="57" t="s">
        <v>171</v>
      </c>
    </row>
    <row r="24" spans="1:18" x14ac:dyDescent="0.15">
      <c r="A24" s="62">
        <v>47004</v>
      </c>
      <c r="B24" s="62">
        <v>2</v>
      </c>
      <c r="C24" s="71" t="str">
        <f>A24&amp; "_"&amp;B24</f>
        <v>47004_2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62">
        <v>23</v>
      </c>
      <c r="F24" s="62" t="s">
        <v>415</v>
      </c>
      <c r="G24" s="62">
        <v>334</v>
      </c>
      <c r="H24" s="62">
        <v>1</v>
      </c>
      <c r="I24" s="62">
        <v>1</v>
      </c>
      <c r="J24" s="62">
        <v>1</v>
      </c>
      <c r="K24" s="62">
        <v>0</v>
      </c>
      <c r="L24" s="62">
        <v>0</v>
      </c>
      <c r="M24" s="62">
        <v>0</v>
      </c>
      <c r="N24" s="62">
        <v>0</v>
      </c>
      <c r="O24" s="62">
        <v>1</v>
      </c>
      <c r="P24" s="62">
        <v>10</v>
      </c>
      <c r="Q24" s="57" t="s">
        <v>170</v>
      </c>
      <c r="R24" s="57" t="s">
        <v>171</v>
      </c>
    </row>
    <row r="25" spans="1:18" x14ac:dyDescent="0.15">
      <c r="A25" s="62">
        <v>47004</v>
      </c>
      <c r="B25" s="62">
        <v>2</v>
      </c>
      <c r="C25" s="71" t="str">
        <f t="shared" ref="C25:C37" si="1">A25&amp; "_"&amp;B25</f>
        <v>47004_2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62">
        <v>24</v>
      </c>
      <c r="F25" s="62" t="s">
        <v>415</v>
      </c>
      <c r="G25" s="62">
        <v>338</v>
      </c>
      <c r="H25" s="62">
        <v>1</v>
      </c>
      <c r="I25" s="62">
        <v>1</v>
      </c>
      <c r="J25" s="62">
        <v>1</v>
      </c>
      <c r="K25" s="62">
        <v>0</v>
      </c>
      <c r="L25" s="62">
        <v>0</v>
      </c>
      <c r="M25" s="62">
        <v>0</v>
      </c>
      <c r="N25" s="62">
        <v>0</v>
      </c>
      <c r="O25" s="62">
        <v>1</v>
      </c>
      <c r="P25" s="62">
        <v>10</v>
      </c>
      <c r="Q25" s="57" t="s">
        <v>170</v>
      </c>
      <c r="R25" s="57" t="s">
        <v>171</v>
      </c>
    </row>
    <row r="26" spans="1:18" x14ac:dyDescent="0.15">
      <c r="A26" s="62">
        <v>47004</v>
      </c>
      <c r="B26" s="62">
        <v>2</v>
      </c>
      <c r="C26" s="71" t="str">
        <f t="shared" si="1"/>
        <v>47004_2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62">
        <v>25</v>
      </c>
      <c r="F26" s="62" t="s">
        <v>415</v>
      </c>
      <c r="G26" s="62">
        <v>342</v>
      </c>
      <c r="H26" s="62">
        <v>1</v>
      </c>
      <c r="I26" s="62">
        <v>1</v>
      </c>
      <c r="J26" s="62">
        <v>1</v>
      </c>
      <c r="K26" s="62">
        <v>0</v>
      </c>
      <c r="L26" s="62">
        <v>0</v>
      </c>
      <c r="M26" s="62">
        <v>0</v>
      </c>
      <c r="N26" s="62">
        <v>0</v>
      </c>
      <c r="O26" s="62">
        <v>1</v>
      </c>
      <c r="P26" s="62">
        <v>10</v>
      </c>
      <c r="Q26" s="57" t="s">
        <v>170</v>
      </c>
      <c r="R26" s="57" t="s">
        <v>171</v>
      </c>
    </row>
    <row r="27" spans="1:18" x14ac:dyDescent="0.15">
      <c r="A27" s="62">
        <v>47004</v>
      </c>
      <c r="B27" s="62">
        <v>2</v>
      </c>
      <c r="C27" s="71" t="str">
        <f t="shared" si="1"/>
        <v>47004_2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62">
        <v>26</v>
      </c>
      <c r="F27" s="62" t="s">
        <v>415</v>
      </c>
      <c r="G27" s="62">
        <v>346</v>
      </c>
      <c r="H27" s="62">
        <v>1</v>
      </c>
      <c r="I27" s="62">
        <v>1</v>
      </c>
      <c r="J27" s="62">
        <v>1</v>
      </c>
      <c r="K27" s="62">
        <v>0</v>
      </c>
      <c r="L27" s="62">
        <v>0</v>
      </c>
      <c r="M27" s="62">
        <v>0</v>
      </c>
      <c r="N27" s="62">
        <v>0</v>
      </c>
      <c r="O27" s="62">
        <v>1</v>
      </c>
      <c r="P27" s="62">
        <v>10</v>
      </c>
      <c r="Q27" s="57" t="s">
        <v>170</v>
      </c>
      <c r="R27" s="57" t="s">
        <v>171</v>
      </c>
    </row>
    <row r="28" spans="1:18" x14ac:dyDescent="0.15">
      <c r="A28" s="62">
        <v>47004</v>
      </c>
      <c r="B28" s="62">
        <v>2</v>
      </c>
      <c r="C28" s="71" t="str">
        <f t="shared" si="1"/>
        <v>47004_2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62">
        <v>27</v>
      </c>
      <c r="F28" s="62" t="s">
        <v>168</v>
      </c>
      <c r="G28" s="62">
        <v>6500</v>
      </c>
      <c r="H28" s="62" t="s">
        <v>413</v>
      </c>
      <c r="I28" s="62">
        <v>1</v>
      </c>
      <c r="J28" s="62">
        <v>1</v>
      </c>
      <c r="K28" s="62">
        <v>0</v>
      </c>
      <c r="L28" s="62">
        <v>0</v>
      </c>
      <c r="M28" s="62">
        <v>0</v>
      </c>
      <c r="N28" s="62">
        <v>0</v>
      </c>
      <c r="O28" s="62">
        <v>1</v>
      </c>
      <c r="P28" s="62">
        <v>150</v>
      </c>
      <c r="Q28" s="57" t="s">
        <v>170</v>
      </c>
      <c r="R28" s="57" t="s">
        <v>171</v>
      </c>
    </row>
    <row r="29" spans="1:18" x14ac:dyDescent="0.15">
      <c r="A29" s="62">
        <v>47004</v>
      </c>
      <c r="B29" s="62">
        <v>2</v>
      </c>
      <c r="C29" s="71" t="str">
        <f t="shared" si="1"/>
        <v>47004_2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62">
        <v>28</v>
      </c>
      <c r="F29" s="62" t="s">
        <v>416</v>
      </c>
      <c r="G29" s="62">
        <v>25</v>
      </c>
      <c r="H29" s="62" t="s">
        <v>169</v>
      </c>
      <c r="I29" s="62">
        <v>1</v>
      </c>
      <c r="J29" s="62">
        <v>1</v>
      </c>
      <c r="K29" s="62">
        <v>0</v>
      </c>
      <c r="L29" s="62">
        <v>0</v>
      </c>
      <c r="M29" s="62">
        <v>0</v>
      </c>
      <c r="N29" s="62">
        <v>0</v>
      </c>
      <c r="O29" s="62">
        <v>1</v>
      </c>
      <c r="P29" s="62">
        <v>135</v>
      </c>
      <c r="Q29" s="57" t="s">
        <v>170</v>
      </c>
      <c r="R29" s="57" t="s">
        <v>171</v>
      </c>
    </row>
    <row r="30" spans="1:18" x14ac:dyDescent="0.15">
      <c r="A30" s="57">
        <v>47004</v>
      </c>
      <c r="B30" s="57">
        <v>3</v>
      </c>
      <c r="C30" s="71" t="str">
        <f t="shared" si="1"/>
        <v>47004_3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57" t="s">
        <v>403</v>
      </c>
      <c r="G30" s="57">
        <v>702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250</v>
      </c>
      <c r="Q30" s="57" t="s">
        <v>170</v>
      </c>
      <c r="R30" s="57" t="s">
        <v>171</v>
      </c>
    </row>
    <row r="31" spans="1:18" x14ac:dyDescent="0.15">
      <c r="A31" s="57">
        <v>47004</v>
      </c>
      <c r="B31" s="57">
        <v>3</v>
      </c>
      <c r="C31" s="71" t="str">
        <f t="shared" si="1"/>
        <v>47004_3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57" t="s">
        <v>403</v>
      </c>
      <c r="G31" s="57">
        <v>702</v>
      </c>
      <c r="H31" s="57">
        <v>2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350</v>
      </c>
      <c r="Q31" s="57" t="s">
        <v>170</v>
      </c>
      <c r="R31" s="57" t="s">
        <v>171</v>
      </c>
    </row>
    <row r="32" spans="1:18" x14ac:dyDescent="0.15">
      <c r="A32" s="57">
        <v>47004</v>
      </c>
      <c r="B32" s="57">
        <v>3</v>
      </c>
      <c r="C32" s="71" t="str">
        <f t="shared" si="1"/>
        <v>47004_3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31</v>
      </c>
      <c r="F32" s="57" t="s">
        <v>403</v>
      </c>
      <c r="G32" s="57">
        <v>702</v>
      </c>
      <c r="H32" s="57">
        <v>3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57">
        <v>180</v>
      </c>
      <c r="Q32" s="57" t="s">
        <v>170</v>
      </c>
      <c r="R32" s="57" t="s">
        <v>171</v>
      </c>
    </row>
    <row r="33" spans="1:18" x14ac:dyDescent="0.15">
      <c r="A33" s="57">
        <v>47004</v>
      </c>
      <c r="B33" s="57">
        <v>3</v>
      </c>
      <c r="C33" s="71" t="str">
        <f t="shared" si="1"/>
        <v>47004_3</v>
      </c>
      <c r="D33" s="1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7">
        <v>32</v>
      </c>
      <c r="F33" s="57" t="s">
        <v>403</v>
      </c>
      <c r="G33" s="57">
        <v>702</v>
      </c>
      <c r="H33" s="57">
        <v>4</v>
      </c>
      <c r="I33" s="57">
        <v>1</v>
      </c>
      <c r="J33" s="57">
        <v>1</v>
      </c>
      <c r="K33" s="57">
        <v>0</v>
      </c>
      <c r="L33" s="57">
        <v>0</v>
      </c>
      <c r="M33" s="57">
        <v>0</v>
      </c>
      <c r="N33" s="57">
        <v>0</v>
      </c>
      <c r="O33" s="57">
        <v>1</v>
      </c>
      <c r="P33" s="57">
        <v>50</v>
      </c>
      <c r="Q33" s="57" t="s">
        <v>170</v>
      </c>
      <c r="R33" s="57" t="s">
        <v>171</v>
      </c>
    </row>
    <row r="34" spans="1:18" x14ac:dyDescent="0.15">
      <c r="A34" s="57">
        <v>47004</v>
      </c>
      <c r="B34" s="57">
        <v>3</v>
      </c>
      <c r="C34" s="71" t="str">
        <f t="shared" si="1"/>
        <v>47004_3</v>
      </c>
      <c r="D34" s="11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57">
        <v>33</v>
      </c>
      <c r="F34" s="57" t="s">
        <v>403</v>
      </c>
      <c r="G34" s="57">
        <v>702</v>
      </c>
      <c r="H34" s="57">
        <v>5</v>
      </c>
      <c r="I34" s="57">
        <v>1</v>
      </c>
      <c r="J34" s="57">
        <v>1</v>
      </c>
      <c r="K34" s="57">
        <v>0</v>
      </c>
      <c r="L34" s="57">
        <v>0</v>
      </c>
      <c r="M34" s="57">
        <v>0</v>
      </c>
      <c r="N34" s="57">
        <v>0</v>
      </c>
      <c r="O34" s="57">
        <v>1</v>
      </c>
      <c r="P34" s="57">
        <v>20</v>
      </c>
      <c r="Q34" s="57" t="s">
        <v>170</v>
      </c>
      <c r="R34" s="57" t="s">
        <v>171</v>
      </c>
    </row>
    <row r="35" spans="1:18" x14ac:dyDescent="0.15">
      <c r="A35" s="57">
        <v>47004</v>
      </c>
      <c r="B35" s="57">
        <v>3</v>
      </c>
      <c r="C35" s="71" t="str">
        <f t="shared" si="1"/>
        <v>47004_3</v>
      </c>
      <c r="D35" s="11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57">
        <v>34</v>
      </c>
      <c r="F35" s="57" t="s">
        <v>414</v>
      </c>
      <c r="G35" s="57">
        <v>121</v>
      </c>
      <c r="H35" s="57">
        <v>1</v>
      </c>
      <c r="I35" s="57">
        <v>1</v>
      </c>
      <c r="J35" s="57">
        <v>1</v>
      </c>
      <c r="K35" s="57">
        <v>0</v>
      </c>
      <c r="L35" s="57">
        <v>0</v>
      </c>
      <c r="M35" s="57">
        <v>0</v>
      </c>
      <c r="N35" s="57">
        <v>0</v>
      </c>
      <c r="O35" s="57">
        <v>1</v>
      </c>
      <c r="P35" s="57">
        <v>20</v>
      </c>
      <c r="Q35" s="57" t="s">
        <v>170</v>
      </c>
      <c r="R35" s="57" t="s">
        <v>171</v>
      </c>
    </row>
    <row r="36" spans="1:18" x14ac:dyDescent="0.15">
      <c r="A36" s="57">
        <v>47004</v>
      </c>
      <c r="B36" s="57">
        <v>3</v>
      </c>
      <c r="C36" s="71" t="str">
        <f t="shared" si="1"/>
        <v>47004_3</v>
      </c>
      <c r="D36" s="11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57">
        <v>35</v>
      </c>
      <c r="F36" s="57" t="s">
        <v>414</v>
      </c>
      <c r="G36" s="57">
        <v>122</v>
      </c>
      <c r="H36" s="57">
        <v>1</v>
      </c>
      <c r="I36" s="57">
        <v>1</v>
      </c>
      <c r="J36" s="57">
        <v>1</v>
      </c>
      <c r="K36" s="57">
        <v>0</v>
      </c>
      <c r="L36" s="57">
        <v>0</v>
      </c>
      <c r="M36" s="57">
        <v>0</v>
      </c>
      <c r="N36" s="57">
        <v>0</v>
      </c>
      <c r="O36" s="57">
        <v>1</v>
      </c>
      <c r="P36" s="57">
        <v>20</v>
      </c>
      <c r="Q36" s="57" t="s">
        <v>170</v>
      </c>
      <c r="R36" s="57" t="s">
        <v>171</v>
      </c>
    </row>
    <row r="37" spans="1:18" x14ac:dyDescent="0.15">
      <c r="A37" s="57">
        <v>47004</v>
      </c>
      <c r="B37" s="57">
        <v>3</v>
      </c>
      <c r="C37" s="71" t="str">
        <f t="shared" si="1"/>
        <v>47004_3</v>
      </c>
      <c r="D37" s="11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57">
        <v>36</v>
      </c>
      <c r="F37" s="57" t="s">
        <v>414</v>
      </c>
      <c r="G37" s="57">
        <v>123</v>
      </c>
      <c r="H37" s="57">
        <v>1</v>
      </c>
      <c r="I37" s="57">
        <v>1</v>
      </c>
      <c r="J37" s="57">
        <v>1</v>
      </c>
      <c r="K37" s="57">
        <v>0</v>
      </c>
      <c r="L37" s="57">
        <v>0</v>
      </c>
      <c r="M37" s="57">
        <v>0</v>
      </c>
      <c r="N37" s="57">
        <v>0</v>
      </c>
      <c r="O37" s="57">
        <v>1</v>
      </c>
      <c r="P37" s="57">
        <v>20</v>
      </c>
      <c r="Q37" s="57" t="s">
        <v>170</v>
      </c>
      <c r="R37" s="57" t="s">
        <v>171</v>
      </c>
    </row>
    <row r="38" spans="1:18" x14ac:dyDescent="0.15">
      <c r="A38" s="57">
        <v>47004</v>
      </c>
      <c r="B38" s="57">
        <v>3</v>
      </c>
      <c r="C38" s="71" t="str">
        <f>A38&amp; "_"&amp;B38</f>
        <v>47004_3</v>
      </c>
      <c r="D38" s="11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57">
        <v>37</v>
      </c>
      <c r="F38" s="57" t="s">
        <v>414</v>
      </c>
      <c r="G38" s="57">
        <v>125</v>
      </c>
      <c r="H38" s="57">
        <v>1</v>
      </c>
      <c r="I38" s="57">
        <v>1</v>
      </c>
      <c r="J38" s="57">
        <v>1</v>
      </c>
      <c r="K38" s="57">
        <v>0</v>
      </c>
      <c r="L38" s="57">
        <v>0</v>
      </c>
      <c r="M38" s="57">
        <v>0</v>
      </c>
      <c r="N38" s="57">
        <v>0</v>
      </c>
      <c r="O38" s="57">
        <v>1</v>
      </c>
      <c r="P38" s="57">
        <v>10</v>
      </c>
      <c r="Q38" s="57" t="s">
        <v>170</v>
      </c>
      <c r="R38" s="57" t="s">
        <v>171</v>
      </c>
    </row>
    <row r="39" spans="1:18" x14ac:dyDescent="0.15">
      <c r="A39" s="57">
        <v>47004</v>
      </c>
      <c r="B39" s="57">
        <v>3</v>
      </c>
      <c r="C39" s="71" t="str">
        <f t="shared" ref="C39:C47" si="2">A39&amp; "_"&amp;B39</f>
        <v>47004_3</v>
      </c>
      <c r="D39" s="11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57">
        <v>38</v>
      </c>
      <c r="F39" s="57" t="s">
        <v>414</v>
      </c>
      <c r="G39" s="57">
        <v>334</v>
      </c>
      <c r="H39" s="57">
        <v>1</v>
      </c>
      <c r="I39" s="57">
        <v>1</v>
      </c>
      <c r="J39" s="57">
        <v>1</v>
      </c>
      <c r="K39" s="57">
        <v>0</v>
      </c>
      <c r="L39" s="57">
        <v>0</v>
      </c>
      <c r="M39" s="57">
        <v>0</v>
      </c>
      <c r="N39" s="57">
        <v>0</v>
      </c>
      <c r="O39" s="57">
        <v>1</v>
      </c>
      <c r="P39" s="57">
        <v>20</v>
      </c>
      <c r="Q39" s="57" t="s">
        <v>170</v>
      </c>
      <c r="R39" s="57" t="s">
        <v>171</v>
      </c>
    </row>
    <row r="40" spans="1:18" x14ac:dyDescent="0.15">
      <c r="A40" s="57">
        <v>47004</v>
      </c>
      <c r="B40" s="57">
        <v>3</v>
      </c>
      <c r="C40" s="71" t="str">
        <f t="shared" si="2"/>
        <v>47004_3</v>
      </c>
      <c r="D40" s="11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57">
        <v>39</v>
      </c>
      <c r="F40" s="57" t="s">
        <v>414</v>
      </c>
      <c r="G40" s="57">
        <v>338</v>
      </c>
      <c r="H40" s="57">
        <v>1</v>
      </c>
      <c r="I40" s="57">
        <v>1</v>
      </c>
      <c r="J40" s="57">
        <v>1</v>
      </c>
      <c r="K40" s="57">
        <v>0</v>
      </c>
      <c r="L40" s="57">
        <v>0</v>
      </c>
      <c r="M40" s="57">
        <v>0</v>
      </c>
      <c r="N40" s="57">
        <v>0</v>
      </c>
      <c r="O40" s="57">
        <v>1</v>
      </c>
      <c r="P40" s="57">
        <v>20</v>
      </c>
      <c r="Q40" s="57" t="s">
        <v>170</v>
      </c>
      <c r="R40" s="57" t="s">
        <v>171</v>
      </c>
    </row>
    <row r="41" spans="1:18" x14ac:dyDescent="0.15">
      <c r="A41" s="57">
        <v>47004</v>
      </c>
      <c r="B41" s="57">
        <v>3</v>
      </c>
      <c r="C41" s="71" t="str">
        <f t="shared" si="2"/>
        <v>47004_3</v>
      </c>
      <c r="D41" s="11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57">
        <v>40</v>
      </c>
      <c r="F41" s="57" t="s">
        <v>414</v>
      </c>
      <c r="G41" s="57">
        <v>342</v>
      </c>
      <c r="H41" s="57">
        <v>1</v>
      </c>
      <c r="I41" s="57">
        <v>1</v>
      </c>
      <c r="J41" s="57">
        <v>1</v>
      </c>
      <c r="K41" s="57">
        <v>0</v>
      </c>
      <c r="L41" s="57">
        <v>0</v>
      </c>
      <c r="M41" s="57">
        <v>0</v>
      </c>
      <c r="N41" s="57">
        <v>0</v>
      </c>
      <c r="O41" s="57">
        <v>1</v>
      </c>
      <c r="P41" s="57">
        <v>20</v>
      </c>
      <c r="Q41" s="57" t="s">
        <v>170</v>
      </c>
      <c r="R41" s="57" t="s">
        <v>171</v>
      </c>
    </row>
    <row r="42" spans="1:18" x14ac:dyDescent="0.15">
      <c r="A42" s="57">
        <v>47004</v>
      </c>
      <c r="B42" s="57">
        <v>3</v>
      </c>
      <c r="C42" s="71" t="str">
        <f t="shared" si="2"/>
        <v>47004_3</v>
      </c>
      <c r="D42" s="11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57">
        <v>41</v>
      </c>
      <c r="F42" s="57" t="s">
        <v>414</v>
      </c>
      <c r="G42" s="57">
        <v>346</v>
      </c>
      <c r="H42" s="57">
        <v>1</v>
      </c>
      <c r="I42" s="57">
        <v>1</v>
      </c>
      <c r="J42" s="57">
        <v>1</v>
      </c>
      <c r="K42" s="57">
        <v>0</v>
      </c>
      <c r="L42" s="57">
        <v>0</v>
      </c>
      <c r="M42" s="57">
        <v>0</v>
      </c>
      <c r="N42" s="57">
        <v>0</v>
      </c>
      <c r="O42" s="57">
        <v>1</v>
      </c>
      <c r="P42" s="57">
        <v>20</v>
      </c>
      <c r="Q42" s="57" t="s">
        <v>170</v>
      </c>
      <c r="R42" s="57" t="s">
        <v>171</v>
      </c>
    </row>
    <row r="43" spans="1:18" x14ac:dyDescent="0.15">
      <c r="A43" s="62">
        <v>47004</v>
      </c>
      <c r="B43" s="62">
        <v>4</v>
      </c>
      <c r="C43" s="71" t="str">
        <f t="shared" si="2"/>
        <v>47004_4</v>
      </c>
      <c r="D43" s="11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62">
        <v>42</v>
      </c>
      <c r="F43" s="62" t="s">
        <v>417</v>
      </c>
      <c r="G43" s="62">
        <v>1284</v>
      </c>
      <c r="H43" s="62">
        <v>1</v>
      </c>
      <c r="I43" s="62">
        <v>1</v>
      </c>
      <c r="J43" s="62">
        <v>1</v>
      </c>
      <c r="K43" s="62">
        <v>0</v>
      </c>
      <c r="L43" s="62">
        <v>0</v>
      </c>
      <c r="M43" s="62">
        <v>0</v>
      </c>
      <c r="N43" s="62">
        <v>0</v>
      </c>
      <c r="O43" s="62">
        <v>1</v>
      </c>
      <c r="P43" s="62">
        <v>40</v>
      </c>
      <c r="Q43" s="57" t="s">
        <v>170</v>
      </c>
      <c r="R43" s="57" t="s">
        <v>171</v>
      </c>
    </row>
    <row r="44" spans="1:18" x14ac:dyDescent="0.15">
      <c r="A44" s="62">
        <v>47004</v>
      </c>
      <c r="B44" s="62">
        <v>4</v>
      </c>
      <c r="C44" s="71" t="str">
        <f t="shared" si="2"/>
        <v>47004_4</v>
      </c>
      <c r="D44" s="11" t="str">
        <f ca="1">VLOOKUP($C44,OFFSET([2]stages!$A$1,0,0,COUNTA([2]stages!$A:$A),MATCH(D$1,[2]stages!$2:$2,0)-MATCH($C$1,[2]stages!$2:$2,0)+1),MATCH(D$1,[2]stages!$2:$2,0)-MATCH($C$1,[2]stages!$2:$2,0)+1,FALSE)</f>
        <v>everyone</v>
      </c>
      <c r="E44" s="62">
        <v>43</v>
      </c>
      <c r="F44" s="62" t="s">
        <v>418</v>
      </c>
      <c r="G44" s="62">
        <v>702</v>
      </c>
      <c r="H44" s="62">
        <v>2</v>
      </c>
      <c r="I44" s="62">
        <v>1</v>
      </c>
      <c r="J44" s="62">
        <v>1</v>
      </c>
      <c r="K44" s="62">
        <v>0</v>
      </c>
      <c r="L44" s="62">
        <v>0</v>
      </c>
      <c r="M44" s="62">
        <v>0</v>
      </c>
      <c r="N44" s="62">
        <v>0</v>
      </c>
      <c r="O44" s="62">
        <v>1</v>
      </c>
      <c r="P44" s="131">
        <v>367</v>
      </c>
      <c r="Q44" s="57" t="s">
        <v>170</v>
      </c>
      <c r="R44" s="57" t="s">
        <v>171</v>
      </c>
    </row>
    <row r="45" spans="1:18" x14ac:dyDescent="0.15">
      <c r="A45" s="62">
        <v>47004</v>
      </c>
      <c r="B45" s="62">
        <v>4</v>
      </c>
      <c r="C45" s="71" t="str">
        <f t="shared" si="2"/>
        <v>47004_4</v>
      </c>
      <c r="D45" s="11" t="str">
        <f ca="1">VLOOKUP($C45,OFFSET([2]stages!$A$1,0,0,COUNTA([2]stages!$A:$A),MATCH(D$1,[2]stages!$2:$2,0)-MATCH($C$1,[2]stages!$2:$2,0)+1),MATCH(D$1,[2]stages!$2:$2,0)-MATCH($C$1,[2]stages!$2:$2,0)+1,FALSE)</f>
        <v>everyone</v>
      </c>
      <c r="E45" s="62">
        <v>44</v>
      </c>
      <c r="F45" s="62" t="s">
        <v>418</v>
      </c>
      <c r="G45" s="62">
        <v>702</v>
      </c>
      <c r="H45" s="62">
        <v>3</v>
      </c>
      <c r="I45" s="62">
        <v>1</v>
      </c>
      <c r="J45" s="62">
        <v>1</v>
      </c>
      <c r="K45" s="62">
        <v>0</v>
      </c>
      <c r="L45" s="62">
        <v>0</v>
      </c>
      <c r="M45" s="62">
        <v>0</v>
      </c>
      <c r="N45" s="62">
        <v>0</v>
      </c>
      <c r="O45" s="62">
        <v>1</v>
      </c>
      <c r="P45" s="62">
        <v>280</v>
      </c>
      <c r="Q45" s="57" t="s">
        <v>170</v>
      </c>
      <c r="R45" s="57" t="s">
        <v>171</v>
      </c>
    </row>
    <row r="46" spans="1:18" x14ac:dyDescent="0.15">
      <c r="A46" s="62">
        <v>47004</v>
      </c>
      <c r="B46" s="62">
        <v>4</v>
      </c>
      <c r="C46" s="71" t="str">
        <f t="shared" si="2"/>
        <v>47004_4</v>
      </c>
      <c r="D46" s="11" t="str">
        <f ca="1">VLOOKUP($C46,OFFSET([2]stages!$A$1,0,0,COUNTA([2]stages!$A:$A),MATCH(D$1,[2]stages!$2:$2,0)-MATCH($C$1,[2]stages!$2:$2,0)+1),MATCH(D$1,[2]stages!$2:$2,0)-MATCH($C$1,[2]stages!$2:$2,0)+1,FALSE)</f>
        <v>everyone</v>
      </c>
      <c r="E46" s="62">
        <v>45</v>
      </c>
      <c r="F46" s="62" t="s">
        <v>418</v>
      </c>
      <c r="G46" s="62">
        <v>702</v>
      </c>
      <c r="H46" s="62">
        <v>4</v>
      </c>
      <c r="I46" s="62">
        <v>1</v>
      </c>
      <c r="J46" s="62">
        <v>1</v>
      </c>
      <c r="K46" s="62">
        <v>0</v>
      </c>
      <c r="L46" s="62">
        <v>0</v>
      </c>
      <c r="M46" s="62">
        <v>0</v>
      </c>
      <c r="N46" s="62">
        <v>0</v>
      </c>
      <c r="O46" s="62">
        <v>1</v>
      </c>
      <c r="P46" s="62">
        <v>120</v>
      </c>
      <c r="Q46" s="57" t="s">
        <v>170</v>
      </c>
      <c r="R46" s="57" t="s">
        <v>171</v>
      </c>
    </row>
    <row r="47" spans="1:18" x14ac:dyDescent="0.15">
      <c r="A47" s="62">
        <v>47004</v>
      </c>
      <c r="B47" s="62">
        <v>4</v>
      </c>
      <c r="C47" s="71" t="str">
        <f t="shared" si="2"/>
        <v>47004_4</v>
      </c>
      <c r="D47" s="11" t="str">
        <f ca="1">VLOOKUP($C47,OFFSET([2]stages!$A$1,0,0,COUNTA([2]stages!$A:$A),MATCH(D$1,[2]stages!$2:$2,0)-MATCH($C$1,[2]stages!$2:$2,0)+1),MATCH(D$1,[2]stages!$2:$2,0)-MATCH($C$1,[2]stages!$2:$2,0)+1,FALSE)</f>
        <v>everyone</v>
      </c>
      <c r="E47" s="62">
        <v>46</v>
      </c>
      <c r="F47" s="62" t="s">
        <v>418</v>
      </c>
      <c r="G47" s="62">
        <v>702</v>
      </c>
      <c r="H47" s="62">
        <v>5</v>
      </c>
      <c r="I47" s="62">
        <v>1</v>
      </c>
      <c r="J47" s="62">
        <v>1</v>
      </c>
      <c r="K47" s="62">
        <v>0</v>
      </c>
      <c r="L47" s="62">
        <v>0</v>
      </c>
      <c r="M47" s="62">
        <v>0</v>
      </c>
      <c r="N47" s="62">
        <v>0</v>
      </c>
      <c r="O47" s="62">
        <v>1</v>
      </c>
      <c r="P47" s="62">
        <v>30</v>
      </c>
      <c r="Q47" s="57" t="s">
        <v>170</v>
      </c>
      <c r="R47" s="57" t="s">
        <v>171</v>
      </c>
    </row>
    <row r="48" spans="1:18" x14ac:dyDescent="0.15">
      <c r="A48" s="62">
        <v>47004</v>
      </c>
      <c r="B48" s="62">
        <v>4</v>
      </c>
      <c r="C48" s="71" t="str">
        <f>A48&amp; "_"&amp;B48</f>
        <v>47004_4</v>
      </c>
      <c r="D48" s="11" t="str">
        <f ca="1">VLOOKUP($C48,OFFSET([2]stages!$A$1,0,0,COUNTA([2]stages!$A:$A),MATCH(D$1,[2]stages!$2:$2,0)-MATCH($C$1,[2]stages!$2:$2,0)+1),MATCH(D$1,[2]stages!$2:$2,0)-MATCH($C$1,[2]stages!$2:$2,0)+1,FALSE)</f>
        <v>everyone</v>
      </c>
      <c r="E48" s="62">
        <v>47</v>
      </c>
      <c r="F48" s="62" t="s">
        <v>418</v>
      </c>
      <c r="G48" s="62">
        <v>702</v>
      </c>
      <c r="H48" s="62">
        <v>10</v>
      </c>
      <c r="I48" s="62">
        <v>1</v>
      </c>
      <c r="J48" s="62">
        <v>1</v>
      </c>
      <c r="K48" s="62">
        <v>0</v>
      </c>
      <c r="L48" s="62">
        <v>0</v>
      </c>
      <c r="M48" s="62">
        <v>0</v>
      </c>
      <c r="N48" s="62">
        <v>0</v>
      </c>
      <c r="O48" s="62">
        <v>1</v>
      </c>
      <c r="P48" s="131">
        <v>13</v>
      </c>
      <c r="Q48" s="57" t="s">
        <v>170</v>
      </c>
      <c r="R48" s="57" t="s">
        <v>171</v>
      </c>
    </row>
    <row r="49" spans="1:18" x14ac:dyDescent="0.15">
      <c r="A49" s="62">
        <v>47004</v>
      </c>
      <c r="B49" s="62">
        <v>4</v>
      </c>
      <c r="C49" s="71" t="str">
        <f t="shared" ref="C49:C56" si="3">A49&amp; "_"&amp;B49</f>
        <v>47004_4</v>
      </c>
      <c r="D49" s="11" t="str">
        <f ca="1">VLOOKUP($C49,OFFSET([2]stages!$A$1,0,0,COUNTA([2]stages!$A:$A),MATCH(D$1,[2]stages!$2:$2,0)-MATCH($C$1,[2]stages!$2:$2,0)+1),MATCH(D$1,[2]stages!$2:$2,0)-MATCH($C$1,[2]stages!$2:$2,0)+1,FALSE)</f>
        <v>everyone</v>
      </c>
      <c r="E49" s="62">
        <v>48</v>
      </c>
      <c r="F49" s="62" t="s">
        <v>419</v>
      </c>
      <c r="G49" s="123">
        <v>121</v>
      </c>
      <c r="H49" s="62">
        <v>1</v>
      </c>
      <c r="I49" s="62">
        <v>1</v>
      </c>
      <c r="J49" s="62">
        <v>1</v>
      </c>
      <c r="K49" s="62">
        <v>0</v>
      </c>
      <c r="L49" s="62">
        <v>0</v>
      </c>
      <c r="M49" s="62">
        <v>0</v>
      </c>
      <c r="N49" s="62">
        <v>0</v>
      </c>
      <c r="O49" s="62">
        <v>1</v>
      </c>
      <c r="P49" s="62">
        <v>20</v>
      </c>
      <c r="Q49" s="57" t="s">
        <v>170</v>
      </c>
      <c r="R49" s="57" t="s">
        <v>171</v>
      </c>
    </row>
    <row r="50" spans="1:18" x14ac:dyDescent="0.15">
      <c r="A50" s="62">
        <v>47004</v>
      </c>
      <c r="B50" s="62">
        <v>4</v>
      </c>
      <c r="C50" s="71" t="str">
        <f t="shared" si="3"/>
        <v>47004_4</v>
      </c>
      <c r="D50" s="11" t="str">
        <f ca="1">VLOOKUP($C50,OFFSET([2]stages!$A$1,0,0,COUNTA([2]stages!$A:$A),MATCH(D$1,[2]stages!$2:$2,0)-MATCH($C$1,[2]stages!$2:$2,0)+1),MATCH(D$1,[2]stages!$2:$2,0)-MATCH($C$1,[2]stages!$2:$2,0)+1,FALSE)</f>
        <v>everyone</v>
      </c>
      <c r="E50" s="62">
        <v>49</v>
      </c>
      <c r="F50" s="62" t="s">
        <v>419</v>
      </c>
      <c r="G50" s="123">
        <v>122</v>
      </c>
      <c r="H50" s="62">
        <v>1</v>
      </c>
      <c r="I50" s="62">
        <v>1</v>
      </c>
      <c r="J50" s="62">
        <v>1</v>
      </c>
      <c r="K50" s="62">
        <v>0</v>
      </c>
      <c r="L50" s="62">
        <v>0</v>
      </c>
      <c r="M50" s="62">
        <v>0</v>
      </c>
      <c r="N50" s="62">
        <v>0</v>
      </c>
      <c r="O50" s="62">
        <v>1</v>
      </c>
      <c r="P50" s="62">
        <v>20</v>
      </c>
      <c r="Q50" s="57" t="s">
        <v>170</v>
      </c>
      <c r="R50" s="57" t="s">
        <v>171</v>
      </c>
    </row>
    <row r="51" spans="1:18" x14ac:dyDescent="0.15">
      <c r="A51" s="62">
        <v>47004</v>
      </c>
      <c r="B51" s="62">
        <v>4</v>
      </c>
      <c r="C51" s="71" t="str">
        <f t="shared" si="3"/>
        <v>47004_4</v>
      </c>
      <c r="D51" s="11" t="str">
        <f ca="1">VLOOKUP($C51,OFFSET([2]stages!$A$1,0,0,COUNTA([2]stages!$A:$A),MATCH(D$1,[2]stages!$2:$2,0)-MATCH($C$1,[2]stages!$2:$2,0)+1),MATCH(D$1,[2]stages!$2:$2,0)-MATCH($C$1,[2]stages!$2:$2,0)+1,FALSE)</f>
        <v>everyone</v>
      </c>
      <c r="E51" s="62">
        <v>50</v>
      </c>
      <c r="F51" s="62" t="s">
        <v>419</v>
      </c>
      <c r="G51" s="123">
        <v>123</v>
      </c>
      <c r="H51" s="62">
        <v>1</v>
      </c>
      <c r="I51" s="62">
        <v>1</v>
      </c>
      <c r="J51" s="62">
        <v>1</v>
      </c>
      <c r="K51" s="62">
        <v>0</v>
      </c>
      <c r="L51" s="62">
        <v>0</v>
      </c>
      <c r="M51" s="62">
        <v>0</v>
      </c>
      <c r="N51" s="62">
        <v>0</v>
      </c>
      <c r="O51" s="62">
        <v>1</v>
      </c>
      <c r="P51" s="62">
        <v>20</v>
      </c>
      <c r="Q51" s="57" t="s">
        <v>170</v>
      </c>
      <c r="R51" s="57" t="s">
        <v>171</v>
      </c>
    </row>
    <row r="52" spans="1:18" x14ac:dyDescent="0.15">
      <c r="A52" s="62">
        <v>47004</v>
      </c>
      <c r="B52" s="62">
        <v>4</v>
      </c>
      <c r="C52" s="71" t="str">
        <f t="shared" si="3"/>
        <v>47004_4</v>
      </c>
      <c r="D52" s="11" t="str">
        <f ca="1">VLOOKUP($C52,OFFSET([2]stages!$A$1,0,0,COUNTA([2]stages!$A:$A),MATCH(D$1,[2]stages!$2:$2,0)-MATCH($C$1,[2]stages!$2:$2,0)+1),MATCH(D$1,[2]stages!$2:$2,0)-MATCH($C$1,[2]stages!$2:$2,0)+1,FALSE)</f>
        <v>everyone</v>
      </c>
      <c r="E52" s="62">
        <v>51</v>
      </c>
      <c r="F52" s="62" t="s">
        <v>419</v>
      </c>
      <c r="G52" s="62">
        <v>125</v>
      </c>
      <c r="H52" s="62">
        <v>1</v>
      </c>
      <c r="I52" s="62">
        <v>1</v>
      </c>
      <c r="J52" s="62">
        <v>1</v>
      </c>
      <c r="K52" s="62">
        <v>0</v>
      </c>
      <c r="L52" s="62">
        <v>0</v>
      </c>
      <c r="M52" s="62">
        <v>0</v>
      </c>
      <c r="N52" s="62">
        <v>0</v>
      </c>
      <c r="O52" s="62">
        <v>1</v>
      </c>
      <c r="P52" s="62">
        <v>10</v>
      </c>
      <c r="Q52" s="57" t="s">
        <v>170</v>
      </c>
      <c r="R52" s="57" t="s">
        <v>171</v>
      </c>
    </row>
    <row r="53" spans="1:18" x14ac:dyDescent="0.15">
      <c r="A53" s="62">
        <v>47004</v>
      </c>
      <c r="B53" s="62">
        <v>4</v>
      </c>
      <c r="C53" s="71" t="str">
        <f t="shared" si="3"/>
        <v>47004_4</v>
      </c>
      <c r="D53" s="11" t="str">
        <f ca="1">VLOOKUP($C53,OFFSET([2]stages!$A$1,0,0,COUNTA([2]stages!$A:$A),MATCH(D$1,[2]stages!$2:$2,0)-MATCH($C$1,[2]stages!$2:$2,0)+1),MATCH(D$1,[2]stages!$2:$2,0)-MATCH($C$1,[2]stages!$2:$2,0)+1,FALSE)</f>
        <v>everyone</v>
      </c>
      <c r="E53" s="62">
        <v>52</v>
      </c>
      <c r="F53" s="62" t="s">
        <v>419</v>
      </c>
      <c r="G53" s="62">
        <v>334</v>
      </c>
      <c r="H53" s="62">
        <v>1</v>
      </c>
      <c r="I53" s="62">
        <v>1</v>
      </c>
      <c r="J53" s="62">
        <v>1</v>
      </c>
      <c r="K53" s="62">
        <v>0</v>
      </c>
      <c r="L53" s="62">
        <v>0</v>
      </c>
      <c r="M53" s="62">
        <v>0</v>
      </c>
      <c r="N53" s="62">
        <v>0</v>
      </c>
      <c r="O53" s="62">
        <v>1</v>
      </c>
      <c r="P53" s="62">
        <v>20</v>
      </c>
      <c r="Q53" s="57" t="s">
        <v>170</v>
      </c>
      <c r="R53" s="57" t="s">
        <v>171</v>
      </c>
    </row>
    <row r="54" spans="1:18" x14ac:dyDescent="0.15">
      <c r="A54" s="62">
        <v>47004</v>
      </c>
      <c r="B54" s="62">
        <v>4</v>
      </c>
      <c r="C54" s="71" t="str">
        <f t="shared" si="3"/>
        <v>47004_4</v>
      </c>
      <c r="D54" s="11" t="str">
        <f ca="1">VLOOKUP($C54,OFFSET([2]stages!$A$1,0,0,COUNTA([2]stages!$A:$A),MATCH(D$1,[2]stages!$2:$2,0)-MATCH($C$1,[2]stages!$2:$2,0)+1),MATCH(D$1,[2]stages!$2:$2,0)-MATCH($C$1,[2]stages!$2:$2,0)+1,FALSE)</f>
        <v>everyone</v>
      </c>
      <c r="E54" s="62">
        <v>53</v>
      </c>
      <c r="F54" s="62" t="s">
        <v>419</v>
      </c>
      <c r="G54" s="62">
        <v>338</v>
      </c>
      <c r="H54" s="62">
        <v>1</v>
      </c>
      <c r="I54" s="62">
        <v>1</v>
      </c>
      <c r="J54" s="62">
        <v>1</v>
      </c>
      <c r="K54" s="62">
        <v>0</v>
      </c>
      <c r="L54" s="62">
        <v>0</v>
      </c>
      <c r="M54" s="62">
        <v>0</v>
      </c>
      <c r="N54" s="62">
        <v>0</v>
      </c>
      <c r="O54" s="62">
        <v>1</v>
      </c>
      <c r="P54" s="62">
        <v>20</v>
      </c>
      <c r="Q54" s="57" t="s">
        <v>170</v>
      </c>
      <c r="R54" s="57" t="s">
        <v>171</v>
      </c>
    </row>
    <row r="55" spans="1:18" x14ac:dyDescent="0.15">
      <c r="A55" s="62">
        <v>47004</v>
      </c>
      <c r="B55" s="62">
        <v>4</v>
      </c>
      <c r="C55" s="71" t="str">
        <f t="shared" si="3"/>
        <v>47004_4</v>
      </c>
      <c r="D55" s="11" t="str">
        <f ca="1">VLOOKUP($C55,OFFSET([2]stages!$A$1,0,0,COUNTA([2]stages!$A:$A),MATCH(D$1,[2]stages!$2:$2,0)-MATCH($C$1,[2]stages!$2:$2,0)+1),MATCH(D$1,[2]stages!$2:$2,0)-MATCH($C$1,[2]stages!$2:$2,0)+1,FALSE)</f>
        <v>everyone</v>
      </c>
      <c r="E55" s="62">
        <v>54</v>
      </c>
      <c r="F55" s="62" t="s">
        <v>419</v>
      </c>
      <c r="G55" s="62">
        <v>342</v>
      </c>
      <c r="H55" s="62">
        <v>1</v>
      </c>
      <c r="I55" s="62">
        <v>1</v>
      </c>
      <c r="J55" s="62">
        <v>1</v>
      </c>
      <c r="K55" s="62">
        <v>0</v>
      </c>
      <c r="L55" s="62">
        <v>0</v>
      </c>
      <c r="M55" s="62">
        <v>0</v>
      </c>
      <c r="N55" s="62">
        <v>0</v>
      </c>
      <c r="O55" s="62">
        <v>1</v>
      </c>
      <c r="P55" s="62">
        <v>20</v>
      </c>
      <c r="Q55" s="57" t="s">
        <v>170</v>
      </c>
      <c r="R55" s="57" t="s">
        <v>171</v>
      </c>
    </row>
    <row r="56" spans="1:18" x14ac:dyDescent="0.15">
      <c r="A56" s="62">
        <v>47004</v>
      </c>
      <c r="B56" s="62">
        <v>4</v>
      </c>
      <c r="C56" s="71" t="str">
        <f t="shared" si="3"/>
        <v>47004_4</v>
      </c>
      <c r="D56" s="11" t="str">
        <f ca="1">VLOOKUP($C56,OFFSET([2]stages!$A$1,0,0,COUNTA([2]stages!$A:$A),MATCH(D$1,[2]stages!$2:$2,0)-MATCH($C$1,[2]stages!$2:$2,0)+1),MATCH(D$1,[2]stages!$2:$2,0)-MATCH($C$1,[2]stages!$2:$2,0)+1,FALSE)</f>
        <v>everyone</v>
      </c>
      <c r="E56" s="62">
        <v>55</v>
      </c>
      <c r="F56" s="62" t="s">
        <v>419</v>
      </c>
      <c r="G56" s="62">
        <v>346</v>
      </c>
      <c r="H56" s="62">
        <v>1</v>
      </c>
      <c r="I56" s="62">
        <v>1</v>
      </c>
      <c r="J56" s="62">
        <v>1</v>
      </c>
      <c r="K56" s="62">
        <v>0</v>
      </c>
      <c r="L56" s="62">
        <v>0</v>
      </c>
      <c r="M56" s="62">
        <v>0</v>
      </c>
      <c r="N56" s="62">
        <v>0</v>
      </c>
      <c r="O56" s="62">
        <v>1</v>
      </c>
      <c r="P56" s="62">
        <v>20</v>
      </c>
      <c r="Q56" s="57" t="s">
        <v>170</v>
      </c>
      <c r="R56" s="57" t="s">
        <v>171</v>
      </c>
    </row>
  </sheetData>
  <phoneticPr fontId="5"/>
  <dataValidations count="1">
    <dataValidation type="list" allowBlank="1" showInputMessage="1" showErrorMessage="1" sqref="F2:F56">
      <formula1>"bit,link,polygon,unit,item"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1" t="s">
        <v>196</v>
      </c>
      <c r="J1" s="79" t="s">
        <v>126</v>
      </c>
      <c r="K1" s="78" t="s">
        <v>187</v>
      </c>
      <c r="L1" s="92" t="s">
        <v>186</v>
      </c>
      <c r="M1" s="80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53"/>
  <sheetViews>
    <sheetView showGridLines="0" workbookViewId="0">
      <pane ySplit="1" topLeftCell="A2" activePane="bottomLeft" state="frozen"/>
      <selection pane="bottomLeft" activeCell="I6" sqref="I6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189</v>
      </c>
      <c r="B1" s="73" t="s">
        <v>150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89" t="s">
        <v>195</v>
      </c>
      <c r="J1" s="91" t="s">
        <v>196</v>
      </c>
      <c r="K1" s="79" t="s">
        <v>126</v>
      </c>
      <c r="L1" s="78" t="s">
        <v>187</v>
      </c>
      <c r="M1" s="92" t="s">
        <v>186</v>
      </c>
      <c r="N1" s="80" t="s">
        <v>197</v>
      </c>
    </row>
    <row r="2" spans="1:14" ht="42" x14ac:dyDescent="0.15">
      <c r="A2" s="81" t="s">
        <v>198</v>
      </c>
      <c r="B2" s="82">
        <f>floors!$C$2</f>
        <v>47004</v>
      </c>
      <c r="C2" s="83" t="str">
        <f ca="1">VLOOKUP($B2,OFFSET([2]quests!$A$1,0,0,COUNTA([2]quests!$A:$A),MATCH(C$1,[2]quests!$1:$1,0)-MATCH($B$1,[2]quests!$1:$1,0)+1),MATCH(C$1,[2]quests!$1:$1,0)-MATCH($B$1,[2]quests!$1:$1,0)+1,FALSE)</f>
        <v>聖なる夜に祝福を</v>
      </c>
      <c r="D2" s="83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【上級】聖なる夜に祝福を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4">
        <v>1</v>
      </c>
      <c r="I2" s="90">
        <f>ROW()-1</f>
        <v>1</v>
      </c>
      <c r="J2" s="86" t="str">
        <f>B2&amp;TEXT(I2,"00")</f>
        <v>4700401</v>
      </c>
      <c r="K2" s="84" t="s">
        <v>199</v>
      </c>
      <c r="L2" s="87" t="s">
        <v>200</v>
      </c>
      <c r="M2" s="118" t="s">
        <v>352</v>
      </c>
      <c r="N2" s="57" t="s">
        <v>201</v>
      </c>
    </row>
    <row r="3" spans="1:14" ht="42" x14ac:dyDescent="0.15">
      <c r="A3" s="81" t="s">
        <v>198</v>
      </c>
      <c r="B3" s="82">
        <f>floors!$C$2</f>
        <v>47004</v>
      </c>
      <c r="C3" s="83" t="str">
        <f ca="1">VLOOKUP($B3,OFFSET([2]quests!$A$1,0,0,COUNTA([2]quests!$A:$A),MATCH(C$1,[2]quests!$1:$1,0)-MATCH($B$1,[2]quests!$1:$1,0)+1),MATCH(C$1,[2]quests!$1:$1,0)-MATCH($B$1,[2]quests!$1:$1,0)+1,FALSE)</f>
        <v>聖なる夜に祝福を</v>
      </c>
      <c r="D3" s="83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【上級】聖なる夜に祝福を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4">
        <v>2</v>
      </c>
      <c r="I3" s="90">
        <f t="shared" ref="I3:I14" si="0">ROW()-1</f>
        <v>2</v>
      </c>
      <c r="J3" s="86" t="str">
        <f t="shared" ref="J3:J14" si="1">B3&amp;TEXT(I3,"00")</f>
        <v>4700402</v>
      </c>
      <c r="K3" s="84" t="s">
        <v>199</v>
      </c>
      <c r="L3" s="87" t="s">
        <v>200</v>
      </c>
      <c r="M3" s="118" t="s">
        <v>353</v>
      </c>
      <c r="N3" s="57" t="s">
        <v>201</v>
      </c>
    </row>
    <row r="4" spans="1:14" ht="28" x14ac:dyDescent="0.15">
      <c r="A4" s="81" t="s">
        <v>198</v>
      </c>
      <c r="B4" s="82">
        <f>floors!$C$2</f>
        <v>47004</v>
      </c>
      <c r="C4" s="83" t="str">
        <f ca="1">VLOOKUP($B4,OFFSET([2]quests!$A$1,0,0,COUNTA([2]quests!$A:$A),MATCH(C$1,[2]quests!$1:$1,0)-MATCH($B$1,[2]quests!$1:$1,0)+1),MATCH(C$1,[2]quests!$1:$1,0)-MATCH($B$1,[2]quests!$1:$1,0)+1,FALSE)</f>
        <v>聖なる夜に祝福を</v>
      </c>
      <c r="D4" s="83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【上級】聖なる夜に祝福を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4">
        <v>3</v>
      </c>
      <c r="I4" s="90">
        <f t="shared" si="0"/>
        <v>3</v>
      </c>
      <c r="J4" s="86" t="str">
        <f t="shared" si="1"/>
        <v>4700403</v>
      </c>
      <c r="K4" s="84" t="s">
        <v>199</v>
      </c>
      <c r="L4" s="87" t="s">
        <v>200</v>
      </c>
      <c r="M4" s="118" t="s">
        <v>354</v>
      </c>
      <c r="N4" s="57" t="s">
        <v>201</v>
      </c>
    </row>
    <row r="5" spans="1:14" ht="56" x14ac:dyDescent="0.15">
      <c r="A5" s="81" t="s">
        <v>198</v>
      </c>
      <c r="B5" s="82">
        <f>floors!$C$2</f>
        <v>47004</v>
      </c>
      <c r="C5" s="83" t="str">
        <f ca="1">VLOOKUP($B5,OFFSET([2]quests!$A$1,0,0,COUNTA([2]quests!$A:$A),MATCH(C$1,[2]quests!$1:$1,0)-MATCH($B$1,[2]quests!$1:$1,0)+1),MATCH(C$1,[2]quests!$1:$1,0)-MATCH($B$1,[2]quests!$1:$1,0)+1,FALSE)</f>
        <v>聖なる夜に祝福を</v>
      </c>
      <c r="D5" s="83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【上級】聖なる夜に祝福を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4">
        <v>3</v>
      </c>
      <c r="I5" s="90">
        <f t="shared" si="0"/>
        <v>4</v>
      </c>
      <c r="J5" s="86" t="str">
        <f t="shared" si="1"/>
        <v>4700404</v>
      </c>
      <c r="K5" s="84" t="s">
        <v>199</v>
      </c>
      <c r="L5" s="87" t="s">
        <v>200</v>
      </c>
      <c r="M5" s="118" t="s">
        <v>355</v>
      </c>
      <c r="N5" s="57" t="s">
        <v>201</v>
      </c>
    </row>
    <row r="6" spans="1:14" ht="56" x14ac:dyDescent="0.15">
      <c r="A6" s="81" t="s">
        <v>198</v>
      </c>
      <c r="B6" s="82">
        <f>floors!$C$2</f>
        <v>47004</v>
      </c>
      <c r="C6" s="83" t="str">
        <f ca="1">VLOOKUP($B6,OFFSET([2]quests!$A$1,0,0,COUNTA([2]quests!$A:$A),MATCH(C$1,[2]quests!$1:$1,0)-MATCH($B$1,[2]quests!$1:$1,0)+1),MATCH(C$1,[2]quests!$1:$1,0)-MATCH($B$1,[2]quests!$1:$1,0)+1,FALSE)</f>
        <v>聖なる夜に祝福を</v>
      </c>
      <c r="D6" s="83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【上級】聖なる夜に祝福を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4">
        <v>4</v>
      </c>
      <c r="I6" s="90">
        <f t="shared" si="0"/>
        <v>5</v>
      </c>
      <c r="J6" s="86" t="str">
        <f t="shared" si="1"/>
        <v>4700405</v>
      </c>
      <c r="K6" s="84" t="s">
        <v>199</v>
      </c>
      <c r="L6" s="87" t="s">
        <v>200</v>
      </c>
      <c r="M6" s="118" t="s">
        <v>356</v>
      </c>
      <c r="N6" s="57" t="s">
        <v>201</v>
      </c>
    </row>
    <row r="7" spans="1:14" ht="42" x14ac:dyDescent="0.15">
      <c r="A7" s="81" t="s">
        <v>198</v>
      </c>
      <c r="B7" s="82">
        <f>floors!$C$2</f>
        <v>47004</v>
      </c>
      <c r="C7" s="83" t="str">
        <f ca="1">VLOOKUP($B7,OFFSET([2]quests!$A$1,0,0,COUNTA([2]quests!$A:$A),MATCH(C$1,[2]quests!$1:$1,0)-MATCH($B$1,[2]quests!$1:$1,0)+1),MATCH(C$1,[2]quests!$1:$1,0)-MATCH($B$1,[2]quests!$1:$1,0)+1,FALSE)</f>
        <v>聖なる夜に祝福を</v>
      </c>
      <c r="D7" s="83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【上級】聖なる夜に祝福を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4">
        <v>4</v>
      </c>
      <c r="I7" s="90">
        <f t="shared" si="0"/>
        <v>6</v>
      </c>
      <c r="J7" s="86" t="str">
        <f t="shared" si="1"/>
        <v>4700406</v>
      </c>
      <c r="K7" s="84" t="s">
        <v>199</v>
      </c>
      <c r="L7" s="87" t="s">
        <v>200</v>
      </c>
      <c r="M7" s="118" t="s">
        <v>357</v>
      </c>
      <c r="N7" s="57" t="s">
        <v>201</v>
      </c>
    </row>
    <row r="8" spans="1:14" ht="28" x14ac:dyDescent="0.15">
      <c r="A8" s="81" t="s">
        <v>198</v>
      </c>
      <c r="B8" s="82">
        <f>floors!$C$2</f>
        <v>47004</v>
      </c>
      <c r="C8" s="83" t="str">
        <f ca="1">VLOOKUP($B8,OFFSET([2]quests!$A$1,0,0,COUNTA([2]quests!$A:$A),MATCH(C$1,[2]quests!$1:$1,0)-MATCH($B$1,[2]quests!$1:$1,0)+1),MATCH(C$1,[2]quests!$1:$1,0)-MATCH($B$1,[2]quests!$1:$1,0)+1,FALSE)</f>
        <v>聖なる夜に祝福を</v>
      </c>
      <c r="D8" s="83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【上級】聖なる夜に祝福を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84">
        <v>4</v>
      </c>
      <c r="I8" s="90">
        <f t="shared" si="0"/>
        <v>7</v>
      </c>
      <c r="J8" s="86" t="str">
        <f t="shared" si="1"/>
        <v>4700407</v>
      </c>
      <c r="K8" s="84" t="s">
        <v>199</v>
      </c>
      <c r="L8" s="87" t="s">
        <v>200</v>
      </c>
      <c r="M8" s="118" t="s">
        <v>359</v>
      </c>
      <c r="N8" s="57" t="s">
        <v>201</v>
      </c>
    </row>
    <row r="9" spans="1:14" ht="42" x14ac:dyDescent="0.15">
      <c r="A9" s="81" t="s">
        <v>198</v>
      </c>
      <c r="B9" s="82">
        <f>floors!$C$2</f>
        <v>47004</v>
      </c>
      <c r="C9" s="83" t="str">
        <f ca="1">VLOOKUP($B9,OFFSET([2]quests!$A$1,0,0,COUNTA([2]quests!$A:$A),MATCH(C$1,[2]quests!$1:$1,0)-MATCH($B$1,[2]quests!$1:$1,0)+1),MATCH(C$1,[2]quests!$1:$1,0)-MATCH($B$1,[2]quests!$1:$1,0)+1,FALSE)</f>
        <v>聖なる夜に祝福を</v>
      </c>
      <c r="D9" s="83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【上級】聖なる夜に祝福を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4">
        <v>4</v>
      </c>
      <c r="I9" s="90">
        <f t="shared" si="0"/>
        <v>8</v>
      </c>
      <c r="J9" s="86" t="str">
        <f t="shared" si="1"/>
        <v>4700408</v>
      </c>
      <c r="K9" s="84" t="s">
        <v>199</v>
      </c>
      <c r="L9" s="87" t="s">
        <v>200</v>
      </c>
      <c r="M9" s="118" t="s">
        <v>358</v>
      </c>
      <c r="N9" s="57" t="s">
        <v>201</v>
      </c>
    </row>
    <row r="10" spans="1:14" ht="42" x14ac:dyDescent="0.15">
      <c r="A10" s="117" t="s">
        <v>349</v>
      </c>
      <c r="B10" s="121">
        <v>47004</v>
      </c>
      <c r="C10" s="122" t="str">
        <f ca="1">VLOOKUP($B10,OFFSET([2]quests!$A$1,0,0,COUNTA([2]quests!$A:$A),MATCH(C$1,[2]quests!$1:$1,0)-MATCH($B$1,[2]quests!$1:$1,0)+1),MATCH(C$1,[2]quests!$1:$1,0)-MATCH($B$1,[2]quests!$1:$1,0)+1,FALSE)</f>
        <v>聖なる夜に祝福を</v>
      </c>
      <c r="D10" s="122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123">
        <v>1</v>
      </c>
      <c r="F10" s="122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【上級】聖なる夜に祝福を</v>
      </c>
      <c r="G10" s="122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122">
        <v>0</v>
      </c>
      <c r="I10" s="90">
        <f t="shared" si="0"/>
        <v>9</v>
      </c>
      <c r="J10" s="86" t="str">
        <f t="shared" si="1"/>
        <v>4700409</v>
      </c>
      <c r="K10" s="123" t="s">
        <v>350</v>
      </c>
      <c r="L10" s="119" t="s">
        <v>360</v>
      </c>
      <c r="M10" s="120" t="s">
        <v>361</v>
      </c>
      <c r="N10" s="57" t="s">
        <v>351</v>
      </c>
    </row>
    <row r="11" spans="1:14" ht="70" x14ac:dyDescent="0.15">
      <c r="A11" s="117" t="s">
        <v>349</v>
      </c>
      <c r="B11" s="121">
        <v>47004</v>
      </c>
      <c r="C11" s="122" t="str">
        <f ca="1">VLOOKUP($B11,OFFSET([2]quests!$A$1,0,0,COUNTA([2]quests!$A:$A),MATCH(C$1,[2]quests!$1:$1,0)-MATCH($B$1,[2]quests!$1:$1,0)+1),MATCH(C$1,[2]quests!$1:$1,0)-MATCH($B$1,[2]quests!$1:$1,0)+1,FALSE)</f>
        <v>聖なる夜に祝福を</v>
      </c>
      <c r="D11" s="122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123">
        <v>1</v>
      </c>
      <c r="F11" s="122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【上級】聖なる夜に祝福を</v>
      </c>
      <c r="G11" s="122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122">
        <v>0</v>
      </c>
      <c r="I11" s="90">
        <f t="shared" si="0"/>
        <v>10</v>
      </c>
      <c r="J11" s="86" t="str">
        <f t="shared" si="1"/>
        <v>4700410</v>
      </c>
      <c r="K11" s="123" t="s">
        <v>350</v>
      </c>
      <c r="L11" s="119" t="s">
        <v>362</v>
      </c>
      <c r="M11" s="120" t="s">
        <v>363</v>
      </c>
      <c r="N11" s="57" t="s">
        <v>351</v>
      </c>
    </row>
    <row r="12" spans="1:14" ht="56" x14ac:dyDescent="0.15">
      <c r="A12" s="117" t="s">
        <v>349</v>
      </c>
      <c r="B12" s="121">
        <v>47004</v>
      </c>
      <c r="C12" s="122" t="str">
        <f ca="1">VLOOKUP($B12,OFFSET([2]quests!$A$1,0,0,COUNTA([2]quests!$A:$A),MATCH(C$1,[2]quests!$1:$1,0)-MATCH($B$1,[2]quests!$1:$1,0)+1),MATCH(C$1,[2]quests!$1:$1,0)-MATCH($B$1,[2]quests!$1:$1,0)+1,FALSE)</f>
        <v>聖なる夜に祝福を</v>
      </c>
      <c r="D12" s="122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123">
        <v>1</v>
      </c>
      <c r="F12" s="122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【上級】聖なる夜に祝福を</v>
      </c>
      <c r="G12" s="122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122">
        <v>0</v>
      </c>
      <c r="I12" s="90">
        <f t="shared" si="0"/>
        <v>11</v>
      </c>
      <c r="J12" s="86" t="str">
        <f t="shared" si="1"/>
        <v>4700411</v>
      </c>
      <c r="K12" s="123" t="s">
        <v>350</v>
      </c>
      <c r="L12" s="119" t="s">
        <v>364</v>
      </c>
      <c r="M12" s="120" t="s">
        <v>365</v>
      </c>
      <c r="N12" s="57" t="s">
        <v>351</v>
      </c>
    </row>
    <row r="13" spans="1:14" ht="56" x14ac:dyDescent="0.15">
      <c r="A13" s="117" t="s">
        <v>349</v>
      </c>
      <c r="B13" s="121">
        <v>47004</v>
      </c>
      <c r="C13" s="122" t="str">
        <f ca="1">VLOOKUP($B13,OFFSET([2]quests!$A$1,0,0,COUNTA([2]quests!$A:$A),MATCH(C$1,[2]quests!$1:$1,0)-MATCH($B$1,[2]quests!$1:$1,0)+1),MATCH(C$1,[2]quests!$1:$1,0)-MATCH($B$1,[2]quests!$1:$1,0)+1,FALSE)</f>
        <v>聖なる夜に祝福を</v>
      </c>
      <c r="D13" s="122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123">
        <v>1</v>
      </c>
      <c r="F13" s="122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【上級】聖なる夜に祝福を</v>
      </c>
      <c r="G13" s="122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122">
        <v>0</v>
      </c>
      <c r="I13" s="90">
        <f t="shared" si="0"/>
        <v>12</v>
      </c>
      <c r="J13" s="86" t="str">
        <f t="shared" si="1"/>
        <v>4700412</v>
      </c>
      <c r="K13" s="123" t="s">
        <v>350</v>
      </c>
      <c r="L13" s="119" t="s">
        <v>366</v>
      </c>
      <c r="M13" s="120" t="s">
        <v>367</v>
      </c>
      <c r="N13" s="57" t="s">
        <v>351</v>
      </c>
    </row>
    <row r="14" spans="1:14" ht="56" x14ac:dyDescent="0.15">
      <c r="A14" s="117" t="s">
        <v>349</v>
      </c>
      <c r="B14" s="121">
        <v>47004</v>
      </c>
      <c r="C14" s="122" t="str">
        <f ca="1">VLOOKUP($B14,OFFSET([2]quests!$A$1,0,0,COUNTA([2]quests!$A:$A),MATCH(C$1,[2]quests!$1:$1,0)-MATCH($B$1,[2]quests!$1:$1,0)+1),MATCH(C$1,[2]quests!$1:$1,0)-MATCH($B$1,[2]quests!$1:$1,0)+1,FALSE)</f>
        <v>聖なる夜に祝福を</v>
      </c>
      <c r="D14" s="122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123">
        <v>1</v>
      </c>
      <c r="F14" s="122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【上級】聖なる夜に祝福を</v>
      </c>
      <c r="G14" s="122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122">
        <v>0</v>
      </c>
      <c r="I14" s="90">
        <f t="shared" si="0"/>
        <v>13</v>
      </c>
      <c r="J14" s="86" t="str">
        <f t="shared" si="1"/>
        <v>4700413</v>
      </c>
      <c r="K14" s="123" t="s">
        <v>350</v>
      </c>
      <c r="L14" s="119" t="s">
        <v>368</v>
      </c>
      <c r="M14" s="120" t="s">
        <v>369</v>
      </c>
      <c r="N14" s="57" t="s">
        <v>351</v>
      </c>
    </row>
    <row r="15" spans="1:14" ht="42" x14ac:dyDescent="0.15">
      <c r="A15" s="81" t="s">
        <v>198</v>
      </c>
      <c r="B15" s="82">
        <f>floors!$C$2</f>
        <v>47004</v>
      </c>
      <c r="C15" s="83" t="str">
        <f ca="1">VLOOKUP($B15,OFFSET([2]quests!$A$1,0,0,COUNTA([2]quests!$A:$A),MATCH(C$1,[2]quests!$1:$1,0)-MATCH($B$1,[2]quests!$1:$1,0)+1),MATCH(C$1,[2]quests!$1:$1,0)-MATCH($B$1,[2]quests!$1:$1,0)+1,FALSE)</f>
        <v>聖なる夜に祝福を</v>
      </c>
      <c r="D15" s="83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4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【超級】聖なる夜に祝福を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84">
        <v>1</v>
      </c>
      <c r="I15" s="90">
        <f>ROW()-1</f>
        <v>14</v>
      </c>
      <c r="J15" s="86" t="str">
        <f>B15&amp;TEXT(I15,"00")</f>
        <v>4700414</v>
      </c>
      <c r="K15" s="84" t="s">
        <v>199</v>
      </c>
      <c r="L15" s="87" t="s">
        <v>200</v>
      </c>
      <c r="M15" s="118" t="s">
        <v>352</v>
      </c>
      <c r="N15" s="57" t="s">
        <v>201</v>
      </c>
    </row>
    <row r="16" spans="1:14" ht="42" x14ac:dyDescent="0.15">
      <c r="A16" s="81" t="s">
        <v>198</v>
      </c>
      <c r="B16" s="82">
        <f>floors!$C$2</f>
        <v>47004</v>
      </c>
      <c r="C16" s="83" t="str">
        <f ca="1">VLOOKUP($B16,OFFSET([2]quests!$A$1,0,0,COUNTA([2]quests!$A:$A),MATCH(C$1,[2]quests!$1:$1,0)-MATCH($B$1,[2]quests!$1:$1,0)+1),MATCH(C$1,[2]quests!$1:$1,0)-MATCH($B$1,[2]quests!$1:$1,0)+1,FALSE)</f>
        <v>聖なる夜に祝福を</v>
      </c>
      <c r="D16" s="83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84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【超級】聖なる夜に祝福を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季節イベント</v>
      </c>
      <c r="H16" s="84">
        <v>2</v>
      </c>
      <c r="I16" s="90">
        <f t="shared" ref="I16:I27" si="2">ROW()-1</f>
        <v>15</v>
      </c>
      <c r="J16" s="86" t="str">
        <f t="shared" ref="J16:J27" si="3">B16&amp;TEXT(I16,"00")</f>
        <v>4700415</v>
      </c>
      <c r="K16" s="84" t="s">
        <v>199</v>
      </c>
      <c r="L16" s="87" t="s">
        <v>200</v>
      </c>
      <c r="M16" s="118" t="s">
        <v>353</v>
      </c>
      <c r="N16" s="57" t="s">
        <v>201</v>
      </c>
    </row>
    <row r="17" spans="1:14" ht="28" x14ac:dyDescent="0.15">
      <c r="A17" s="81" t="s">
        <v>198</v>
      </c>
      <c r="B17" s="82">
        <f>floors!$C$2</f>
        <v>47004</v>
      </c>
      <c r="C17" s="83" t="str">
        <f ca="1">VLOOKUP($B17,OFFSET([2]quests!$A$1,0,0,COUNTA([2]quests!$A:$A),MATCH(C$1,[2]quests!$1:$1,0)-MATCH($B$1,[2]quests!$1:$1,0)+1),MATCH(C$1,[2]quests!$1:$1,0)-MATCH($B$1,[2]quests!$1:$1,0)+1,FALSE)</f>
        <v>聖なる夜に祝福を</v>
      </c>
      <c r="D17" s="83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84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【超級】聖なる夜に祝福を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季節イベント</v>
      </c>
      <c r="H17" s="84">
        <v>3</v>
      </c>
      <c r="I17" s="90">
        <f t="shared" si="2"/>
        <v>16</v>
      </c>
      <c r="J17" s="86" t="str">
        <f t="shared" si="3"/>
        <v>4700416</v>
      </c>
      <c r="K17" s="84" t="s">
        <v>199</v>
      </c>
      <c r="L17" s="87" t="s">
        <v>200</v>
      </c>
      <c r="M17" s="118" t="s">
        <v>354</v>
      </c>
      <c r="N17" s="57" t="s">
        <v>201</v>
      </c>
    </row>
    <row r="18" spans="1:14" ht="56" x14ac:dyDescent="0.15">
      <c r="A18" s="81" t="s">
        <v>198</v>
      </c>
      <c r="B18" s="82">
        <f>floors!$C$2</f>
        <v>47004</v>
      </c>
      <c r="C18" s="83" t="str">
        <f ca="1">VLOOKUP($B18,OFFSET([2]quests!$A$1,0,0,COUNTA([2]quests!$A:$A),MATCH(C$1,[2]quests!$1:$1,0)-MATCH($B$1,[2]quests!$1:$1,0)+1),MATCH(C$1,[2]quests!$1:$1,0)-MATCH($B$1,[2]quests!$1:$1,0)+1,FALSE)</f>
        <v>聖なる夜に祝福を</v>
      </c>
      <c r="D18" s="83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84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【超級】聖なる夜に祝福を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季節イベント</v>
      </c>
      <c r="H18" s="84">
        <v>3</v>
      </c>
      <c r="I18" s="90">
        <f t="shared" si="2"/>
        <v>17</v>
      </c>
      <c r="J18" s="86" t="str">
        <f t="shared" si="3"/>
        <v>4700417</v>
      </c>
      <c r="K18" s="84" t="s">
        <v>199</v>
      </c>
      <c r="L18" s="87" t="s">
        <v>200</v>
      </c>
      <c r="M18" s="118" t="s">
        <v>355</v>
      </c>
      <c r="N18" s="57" t="s">
        <v>201</v>
      </c>
    </row>
    <row r="19" spans="1:14" ht="56" x14ac:dyDescent="0.15">
      <c r="A19" s="81" t="s">
        <v>198</v>
      </c>
      <c r="B19" s="82">
        <f>floors!$C$2</f>
        <v>47004</v>
      </c>
      <c r="C19" s="83" t="str">
        <f ca="1">VLOOKUP($B19,OFFSET([2]quests!$A$1,0,0,COUNTA([2]quests!$A:$A),MATCH(C$1,[2]quests!$1:$1,0)-MATCH($B$1,[2]quests!$1:$1,0)+1),MATCH(C$1,[2]quests!$1:$1,0)-MATCH($B$1,[2]quests!$1:$1,0)+1,FALSE)</f>
        <v>聖なる夜に祝福を</v>
      </c>
      <c r="D19" s="83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84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【超級】聖なる夜に祝福を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季節イベント</v>
      </c>
      <c r="H19" s="84">
        <v>4</v>
      </c>
      <c r="I19" s="90">
        <f t="shared" si="2"/>
        <v>18</v>
      </c>
      <c r="J19" s="86" t="str">
        <f t="shared" si="3"/>
        <v>4700418</v>
      </c>
      <c r="K19" s="84" t="s">
        <v>199</v>
      </c>
      <c r="L19" s="87" t="s">
        <v>200</v>
      </c>
      <c r="M19" s="118" t="s">
        <v>356</v>
      </c>
      <c r="N19" s="57" t="s">
        <v>201</v>
      </c>
    </row>
    <row r="20" spans="1:14" ht="42" x14ac:dyDescent="0.15">
      <c r="A20" s="81" t="s">
        <v>198</v>
      </c>
      <c r="B20" s="82">
        <f>floors!$C$2</f>
        <v>47004</v>
      </c>
      <c r="C20" s="83" t="str">
        <f ca="1">VLOOKUP($B20,OFFSET([2]quests!$A$1,0,0,COUNTA([2]quests!$A:$A),MATCH(C$1,[2]quests!$1:$1,0)-MATCH($B$1,[2]quests!$1:$1,0)+1),MATCH(C$1,[2]quests!$1:$1,0)-MATCH($B$1,[2]quests!$1:$1,0)+1,FALSE)</f>
        <v>聖なる夜に祝福を</v>
      </c>
      <c r="D20" s="83" t="str">
        <f ca="1">VLOOKUP($B20,OFFSET([2]quests!$A$1,0,0,COUNTA([2]quests!$A:$A),MATCH(D$1,[2]quests!$1:$1,0)-MATCH($B$1,[2]quests!$1:$1,0)+1),MATCH(D$1,[2]quests!$1:$1,0)-MATCH($B$1,[2]quests!$1:$1,0)+1,FALSE)</f>
        <v>季節イベント</v>
      </c>
      <c r="E20" s="84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【超級】聖なる夜に祝福を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季節イベント</v>
      </c>
      <c r="H20" s="84">
        <v>4</v>
      </c>
      <c r="I20" s="90">
        <f t="shared" si="2"/>
        <v>19</v>
      </c>
      <c r="J20" s="86" t="str">
        <f t="shared" si="3"/>
        <v>4700419</v>
      </c>
      <c r="K20" s="84" t="s">
        <v>199</v>
      </c>
      <c r="L20" s="87" t="s">
        <v>200</v>
      </c>
      <c r="M20" s="118" t="s">
        <v>357</v>
      </c>
      <c r="N20" s="57" t="s">
        <v>201</v>
      </c>
    </row>
    <row r="21" spans="1:14" ht="28" x14ac:dyDescent="0.15">
      <c r="A21" s="81" t="s">
        <v>198</v>
      </c>
      <c r="B21" s="82">
        <f>floors!$C$2</f>
        <v>47004</v>
      </c>
      <c r="C21" s="83" t="str">
        <f ca="1">VLOOKUP($B21,OFFSET([2]quests!$A$1,0,0,COUNTA([2]quests!$A:$A),MATCH(C$1,[2]quests!$1:$1,0)-MATCH($B$1,[2]quests!$1:$1,0)+1),MATCH(C$1,[2]quests!$1:$1,0)-MATCH($B$1,[2]quests!$1:$1,0)+1,FALSE)</f>
        <v>聖なる夜に祝福を</v>
      </c>
      <c r="D21" s="83" t="str">
        <f ca="1">VLOOKUP($B21,OFFSET([2]quests!$A$1,0,0,COUNTA([2]quests!$A:$A),MATCH(D$1,[2]quests!$1:$1,0)-MATCH($B$1,[2]quests!$1:$1,0)+1),MATCH(D$1,[2]quests!$1:$1,0)-MATCH($B$1,[2]quests!$1:$1,0)+1,FALSE)</f>
        <v>季節イベント</v>
      </c>
      <c r="E21" s="84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【超級】聖なる夜に祝福を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季節イベント</v>
      </c>
      <c r="H21" s="84">
        <v>4</v>
      </c>
      <c r="I21" s="90">
        <f t="shared" si="2"/>
        <v>20</v>
      </c>
      <c r="J21" s="86" t="str">
        <f t="shared" si="3"/>
        <v>4700420</v>
      </c>
      <c r="K21" s="84" t="s">
        <v>199</v>
      </c>
      <c r="L21" s="87" t="s">
        <v>200</v>
      </c>
      <c r="M21" s="118" t="s">
        <v>359</v>
      </c>
      <c r="N21" s="57" t="s">
        <v>201</v>
      </c>
    </row>
    <row r="22" spans="1:14" ht="42" x14ac:dyDescent="0.15">
      <c r="A22" s="81" t="s">
        <v>198</v>
      </c>
      <c r="B22" s="82">
        <f>floors!$C$2</f>
        <v>47004</v>
      </c>
      <c r="C22" s="83" t="str">
        <f ca="1">VLOOKUP($B22,OFFSET([2]quests!$A$1,0,0,COUNTA([2]quests!$A:$A),MATCH(C$1,[2]quests!$1:$1,0)-MATCH($B$1,[2]quests!$1:$1,0)+1),MATCH(C$1,[2]quests!$1:$1,0)-MATCH($B$1,[2]quests!$1:$1,0)+1,FALSE)</f>
        <v>聖なる夜に祝福を</v>
      </c>
      <c r="D22" s="83" t="str">
        <f ca="1">VLOOKUP($B22,OFFSET([2]quests!$A$1,0,0,COUNTA([2]quests!$A:$A),MATCH(D$1,[2]quests!$1:$1,0)-MATCH($B$1,[2]quests!$1:$1,0)+1),MATCH(D$1,[2]quests!$1:$1,0)-MATCH($B$1,[2]quests!$1:$1,0)+1,FALSE)</f>
        <v>季節イベント</v>
      </c>
      <c r="E22" s="84">
        <v>2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【超級】聖なる夜に祝福を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季節イベント</v>
      </c>
      <c r="H22" s="84">
        <v>4</v>
      </c>
      <c r="I22" s="90">
        <f t="shared" si="2"/>
        <v>21</v>
      </c>
      <c r="J22" s="86" t="str">
        <f t="shared" si="3"/>
        <v>4700421</v>
      </c>
      <c r="K22" s="84" t="s">
        <v>199</v>
      </c>
      <c r="L22" s="87" t="s">
        <v>200</v>
      </c>
      <c r="M22" s="118" t="s">
        <v>358</v>
      </c>
      <c r="N22" s="57" t="s">
        <v>201</v>
      </c>
    </row>
    <row r="23" spans="1:14" ht="42" x14ac:dyDescent="0.15">
      <c r="A23" s="117" t="s">
        <v>349</v>
      </c>
      <c r="B23" s="121">
        <v>47004</v>
      </c>
      <c r="C23" s="122" t="str">
        <f ca="1">VLOOKUP($B23,OFFSET([2]quests!$A$1,0,0,COUNTA([2]quests!$A:$A),MATCH(C$1,[2]quests!$1:$1,0)-MATCH($B$1,[2]quests!$1:$1,0)+1),MATCH(C$1,[2]quests!$1:$1,0)-MATCH($B$1,[2]quests!$1:$1,0)+1,FALSE)</f>
        <v>聖なる夜に祝福を</v>
      </c>
      <c r="D23" s="122" t="str">
        <f ca="1">VLOOKUP($B23,OFFSET([2]quests!$A$1,0,0,COUNTA([2]quests!$A:$A),MATCH(D$1,[2]quests!$1:$1,0)-MATCH($B$1,[2]quests!$1:$1,0)+1),MATCH(D$1,[2]quests!$1:$1,0)-MATCH($B$1,[2]quests!$1:$1,0)+1,FALSE)</f>
        <v>季節イベント</v>
      </c>
      <c r="E23" s="123">
        <v>2</v>
      </c>
      <c r="F23" s="122" t="str">
        <f ca="1">VLOOKUP($B23&amp;"_"&amp;$E23,OFFSET([2]stages!$A$1,0,0,COUNTA([2]stages!$A:$A),MATCH(F$1,[2]stages!$2:$2,0)-MATCH("temp_stage",[2]stages!$2:$2,0)+1),MATCH(F$1,[2]stages!$2:$2,0)-MATCH("temp_stage",[2]stages!$2:$2,0)+1,FALSE)</f>
        <v>【超級】聖なる夜に祝福を</v>
      </c>
      <c r="G23" s="122" t="str">
        <f ca="1">VLOOKUP($B23&amp;"_"&amp;$E23,OFFSET([2]stages!$A$1,0,0,COUNTA([2]stages!$A:$A),MATCH(G$1,[2]stages!$2:$2,0)-MATCH("temp_stage",[2]stages!$2:$2,0)+1),MATCH(G$1,[2]stages!$2:$2,0)-MATCH("temp_stage",[2]stages!$2:$2,0)+1,FALSE)</f>
        <v>季節イベント</v>
      </c>
      <c r="H23" s="122">
        <v>0</v>
      </c>
      <c r="I23" s="90">
        <f t="shared" si="2"/>
        <v>22</v>
      </c>
      <c r="J23" s="86" t="str">
        <f t="shared" si="3"/>
        <v>4700422</v>
      </c>
      <c r="K23" s="123" t="s">
        <v>350</v>
      </c>
      <c r="L23" s="119" t="s">
        <v>360</v>
      </c>
      <c r="M23" s="120" t="s">
        <v>361</v>
      </c>
      <c r="N23" s="57" t="s">
        <v>351</v>
      </c>
    </row>
    <row r="24" spans="1:14" ht="70" x14ac:dyDescent="0.15">
      <c r="A24" s="117" t="s">
        <v>349</v>
      </c>
      <c r="B24" s="121">
        <v>47004</v>
      </c>
      <c r="C24" s="122" t="str">
        <f ca="1">VLOOKUP($B24,OFFSET([2]quests!$A$1,0,0,COUNTA([2]quests!$A:$A),MATCH(C$1,[2]quests!$1:$1,0)-MATCH($B$1,[2]quests!$1:$1,0)+1),MATCH(C$1,[2]quests!$1:$1,0)-MATCH($B$1,[2]quests!$1:$1,0)+1,FALSE)</f>
        <v>聖なる夜に祝福を</v>
      </c>
      <c r="D24" s="122" t="str">
        <f ca="1">VLOOKUP($B24,OFFSET([2]quests!$A$1,0,0,COUNTA([2]quests!$A:$A),MATCH(D$1,[2]quests!$1:$1,0)-MATCH($B$1,[2]quests!$1:$1,0)+1),MATCH(D$1,[2]quests!$1:$1,0)-MATCH($B$1,[2]quests!$1:$1,0)+1,FALSE)</f>
        <v>季節イベント</v>
      </c>
      <c r="E24" s="123">
        <v>2</v>
      </c>
      <c r="F24" s="122" t="str">
        <f ca="1">VLOOKUP($B24&amp;"_"&amp;$E24,OFFSET([2]stages!$A$1,0,0,COUNTA([2]stages!$A:$A),MATCH(F$1,[2]stages!$2:$2,0)-MATCH("temp_stage",[2]stages!$2:$2,0)+1),MATCH(F$1,[2]stages!$2:$2,0)-MATCH("temp_stage",[2]stages!$2:$2,0)+1,FALSE)</f>
        <v>【超級】聖なる夜に祝福を</v>
      </c>
      <c r="G24" s="122" t="str">
        <f ca="1">VLOOKUP($B24&amp;"_"&amp;$E24,OFFSET([2]stages!$A$1,0,0,COUNTA([2]stages!$A:$A),MATCH(G$1,[2]stages!$2:$2,0)-MATCH("temp_stage",[2]stages!$2:$2,0)+1),MATCH(G$1,[2]stages!$2:$2,0)-MATCH("temp_stage",[2]stages!$2:$2,0)+1,FALSE)</f>
        <v>季節イベント</v>
      </c>
      <c r="H24" s="122">
        <v>0</v>
      </c>
      <c r="I24" s="90">
        <f t="shared" si="2"/>
        <v>23</v>
      </c>
      <c r="J24" s="86" t="str">
        <f t="shared" si="3"/>
        <v>4700423</v>
      </c>
      <c r="K24" s="123" t="s">
        <v>350</v>
      </c>
      <c r="L24" s="119" t="s">
        <v>362</v>
      </c>
      <c r="M24" s="120" t="s">
        <v>363</v>
      </c>
      <c r="N24" s="57" t="s">
        <v>351</v>
      </c>
    </row>
    <row r="25" spans="1:14" ht="56" x14ac:dyDescent="0.15">
      <c r="A25" s="117" t="s">
        <v>349</v>
      </c>
      <c r="B25" s="121">
        <v>47004</v>
      </c>
      <c r="C25" s="122" t="str">
        <f ca="1">VLOOKUP($B25,OFFSET([2]quests!$A$1,0,0,COUNTA([2]quests!$A:$A),MATCH(C$1,[2]quests!$1:$1,0)-MATCH($B$1,[2]quests!$1:$1,0)+1),MATCH(C$1,[2]quests!$1:$1,0)-MATCH($B$1,[2]quests!$1:$1,0)+1,FALSE)</f>
        <v>聖なる夜に祝福を</v>
      </c>
      <c r="D25" s="122" t="str">
        <f ca="1">VLOOKUP($B25,OFFSET([2]quests!$A$1,0,0,COUNTA([2]quests!$A:$A),MATCH(D$1,[2]quests!$1:$1,0)-MATCH($B$1,[2]quests!$1:$1,0)+1),MATCH(D$1,[2]quests!$1:$1,0)-MATCH($B$1,[2]quests!$1:$1,0)+1,FALSE)</f>
        <v>季節イベント</v>
      </c>
      <c r="E25" s="123">
        <v>2</v>
      </c>
      <c r="F25" s="122" t="str">
        <f ca="1">VLOOKUP($B25&amp;"_"&amp;$E25,OFFSET([2]stages!$A$1,0,0,COUNTA([2]stages!$A:$A),MATCH(F$1,[2]stages!$2:$2,0)-MATCH("temp_stage",[2]stages!$2:$2,0)+1),MATCH(F$1,[2]stages!$2:$2,0)-MATCH("temp_stage",[2]stages!$2:$2,0)+1,FALSE)</f>
        <v>【超級】聖なる夜に祝福を</v>
      </c>
      <c r="G25" s="122" t="str">
        <f ca="1">VLOOKUP($B25&amp;"_"&amp;$E25,OFFSET([2]stages!$A$1,0,0,COUNTA([2]stages!$A:$A),MATCH(G$1,[2]stages!$2:$2,0)-MATCH("temp_stage",[2]stages!$2:$2,0)+1),MATCH(G$1,[2]stages!$2:$2,0)-MATCH("temp_stage",[2]stages!$2:$2,0)+1,FALSE)</f>
        <v>季節イベント</v>
      </c>
      <c r="H25" s="122">
        <v>0</v>
      </c>
      <c r="I25" s="90">
        <f t="shared" si="2"/>
        <v>24</v>
      </c>
      <c r="J25" s="86" t="str">
        <f t="shared" si="3"/>
        <v>4700424</v>
      </c>
      <c r="K25" s="123" t="s">
        <v>350</v>
      </c>
      <c r="L25" s="119" t="s">
        <v>364</v>
      </c>
      <c r="M25" s="120" t="s">
        <v>365</v>
      </c>
      <c r="N25" s="57" t="s">
        <v>351</v>
      </c>
    </row>
    <row r="26" spans="1:14" ht="56" x14ac:dyDescent="0.15">
      <c r="A26" s="117" t="s">
        <v>349</v>
      </c>
      <c r="B26" s="121">
        <v>47004</v>
      </c>
      <c r="C26" s="122" t="str">
        <f ca="1">VLOOKUP($B26,OFFSET([2]quests!$A$1,0,0,COUNTA([2]quests!$A:$A),MATCH(C$1,[2]quests!$1:$1,0)-MATCH($B$1,[2]quests!$1:$1,0)+1),MATCH(C$1,[2]quests!$1:$1,0)-MATCH($B$1,[2]quests!$1:$1,0)+1,FALSE)</f>
        <v>聖なる夜に祝福を</v>
      </c>
      <c r="D26" s="122" t="str">
        <f ca="1">VLOOKUP($B26,OFFSET([2]quests!$A$1,0,0,COUNTA([2]quests!$A:$A),MATCH(D$1,[2]quests!$1:$1,0)-MATCH($B$1,[2]quests!$1:$1,0)+1),MATCH(D$1,[2]quests!$1:$1,0)-MATCH($B$1,[2]quests!$1:$1,0)+1,FALSE)</f>
        <v>季節イベント</v>
      </c>
      <c r="E26" s="123">
        <v>2</v>
      </c>
      <c r="F26" s="122" t="str">
        <f ca="1">VLOOKUP($B26&amp;"_"&amp;$E26,OFFSET([2]stages!$A$1,0,0,COUNTA([2]stages!$A:$A),MATCH(F$1,[2]stages!$2:$2,0)-MATCH("temp_stage",[2]stages!$2:$2,0)+1),MATCH(F$1,[2]stages!$2:$2,0)-MATCH("temp_stage",[2]stages!$2:$2,0)+1,FALSE)</f>
        <v>【超級】聖なる夜に祝福を</v>
      </c>
      <c r="G26" s="122" t="str">
        <f ca="1">VLOOKUP($B26&amp;"_"&amp;$E26,OFFSET([2]stages!$A$1,0,0,COUNTA([2]stages!$A:$A),MATCH(G$1,[2]stages!$2:$2,0)-MATCH("temp_stage",[2]stages!$2:$2,0)+1),MATCH(G$1,[2]stages!$2:$2,0)-MATCH("temp_stage",[2]stages!$2:$2,0)+1,FALSE)</f>
        <v>季節イベント</v>
      </c>
      <c r="H26" s="122">
        <v>0</v>
      </c>
      <c r="I26" s="90">
        <f t="shared" si="2"/>
        <v>25</v>
      </c>
      <c r="J26" s="86" t="str">
        <f t="shared" si="3"/>
        <v>4700425</v>
      </c>
      <c r="K26" s="123" t="s">
        <v>350</v>
      </c>
      <c r="L26" s="119" t="s">
        <v>366</v>
      </c>
      <c r="M26" s="120" t="s">
        <v>367</v>
      </c>
      <c r="N26" s="57" t="s">
        <v>351</v>
      </c>
    </row>
    <row r="27" spans="1:14" ht="56" x14ac:dyDescent="0.15">
      <c r="A27" s="117" t="s">
        <v>349</v>
      </c>
      <c r="B27" s="121">
        <v>47004</v>
      </c>
      <c r="C27" s="122" t="str">
        <f ca="1">VLOOKUP($B27,OFFSET([2]quests!$A$1,0,0,COUNTA([2]quests!$A:$A),MATCH(C$1,[2]quests!$1:$1,0)-MATCH($B$1,[2]quests!$1:$1,0)+1),MATCH(C$1,[2]quests!$1:$1,0)-MATCH($B$1,[2]quests!$1:$1,0)+1,FALSE)</f>
        <v>聖なる夜に祝福を</v>
      </c>
      <c r="D27" s="122" t="str">
        <f ca="1">VLOOKUP($B27,OFFSET([2]quests!$A$1,0,0,COUNTA([2]quests!$A:$A),MATCH(D$1,[2]quests!$1:$1,0)-MATCH($B$1,[2]quests!$1:$1,0)+1),MATCH(D$1,[2]quests!$1:$1,0)-MATCH($B$1,[2]quests!$1:$1,0)+1,FALSE)</f>
        <v>季節イベント</v>
      </c>
      <c r="E27" s="123">
        <v>2</v>
      </c>
      <c r="F27" s="122" t="str">
        <f ca="1">VLOOKUP($B27&amp;"_"&amp;$E27,OFFSET([2]stages!$A$1,0,0,COUNTA([2]stages!$A:$A),MATCH(F$1,[2]stages!$2:$2,0)-MATCH("temp_stage",[2]stages!$2:$2,0)+1),MATCH(F$1,[2]stages!$2:$2,0)-MATCH("temp_stage",[2]stages!$2:$2,0)+1,FALSE)</f>
        <v>【超級】聖なる夜に祝福を</v>
      </c>
      <c r="G27" s="122" t="str">
        <f ca="1">VLOOKUP($B27&amp;"_"&amp;$E27,OFFSET([2]stages!$A$1,0,0,COUNTA([2]stages!$A:$A),MATCH(G$1,[2]stages!$2:$2,0)-MATCH("temp_stage",[2]stages!$2:$2,0)+1),MATCH(G$1,[2]stages!$2:$2,0)-MATCH("temp_stage",[2]stages!$2:$2,0)+1,FALSE)</f>
        <v>季節イベント</v>
      </c>
      <c r="H27" s="122">
        <v>0</v>
      </c>
      <c r="I27" s="90">
        <f t="shared" si="2"/>
        <v>26</v>
      </c>
      <c r="J27" s="86" t="str">
        <f t="shared" si="3"/>
        <v>4700426</v>
      </c>
      <c r="K27" s="123" t="s">
        <v>350</v>
      </c>
      <c r="L27" s="119" t="s">
        <v>368</v>
      </c>
      <c r="M27" s="120" t="s">
        <v>369</v>
      </c>
      <c r="N27" s="57" t="s">
        <v>351</v>
      </c>
    </row>
    <row r="28" spans="1:14" ht="42" x14ac:dyDescent="0.15">
      <c r="A28" s="81" t="s">
        <v>198</v>
      </c>
      <c r="B28" s="82">
        <f>floors!$C$2</f>
        <v>47004</v>
      </c>
      <c r="C28" s="83" t="str">
        <f ca="1">VLOOKUP($B28,OFFSET([2]quests!$A$1,0,0,COUNTA([2]quests!$A:$A),MATCH(C$1,[2]quests!$1:$1,0)-MATCH($B$1,[2]quests!$1:$1,0)+1),MATCH(C$1,[2]quests!$1:$1,0)-MATCH($B$1,[2]quests!$1:$1,0)+1,FALSE)</f>
        <v>聖なる夜に祝福を</v>
      </c>
      <c r="D28" s="83" t="str">
        <f ca="1">VLOOKUP($B28,OFFSET([2]quests!$A$1,0,0,COUNTA([2]quests!$A:$A),MATCH(D$1,[2]quests!$1:$1,0)-MATCH($B$1,[2]quests!$1:$1,0)+1),MATCH(D$1,[2]quests!$1:$1,0)-MATCH($B$1,[2]quests!$1:$1,0)+1,FALSE)</f>
        <v>季節イベント</v>
      </c>
      <c r="E28" s="84">
        <v>3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季節イベント</v>
      </c>
      <c r="H28" s="84">
        <v>1</v>
      </c>
      <c r="I28" s="90">
        <f>ROW()-1</f>
        <v>27</v>
      </c>
      <c r="J28" s="86" t="str">
        <f>B28&amp;TEXT(I28,"00")</f>
        <v>4700427</v>
      </c>
      <c r="K28" s="84" t="s">
        <v>199</v>
      </c>
      <c r="L28" s="87" t="s">
        <v>200</v>
      </c>
      <c r="M28" s="118" t="s">
        <v>352</v>
      </c>
      <c r="N28" s="57" t="s">
        <v>201</v>
      </c>
    </row>
    <row r="29" spans="1:14" ht="42" x14ac:dyDescent="0.15">
      <c r="A29" s="81" t="s">
        <v>198</v>
      </c>
      <c r="B29" s="82">
        <f>floors!$C$2</f>
        <v>47004</v>
      </c>
      <c r="C29" s="83" t="str">
        <f ca="1">VLOOKUP($B29,OFFSET([2]quests!$A$1,0,0,COUNTA([2]quests!$A:$A),MATCH(C$1,[2]quests!$1:$1,0)-MATCH($B$1,[2]quests!$1:$1,0)+1),MATCH(C$1,[2]quests!$1:$1,0)-MATCH($B$1,[2]quests!$1:$1,0)+1,FALSE)</f>
        <v>聖なる夜に祝福を</v>
      </c>
      <c r="D29" s="83" t="str">
        <f ca="1">VLOOKUP($B29,OFFSET([2]quests!$A$1,0,0,COUNTA([2]quests!$A:$A),MATCH(D$1,[2]quests!$1:$1,0)-MATCH($B$1,[2]quests!$1:$1,0)+1),MATCH(D$1,[2]quests!$1:$1,0)-MATCH($B$1,[2]quests!$1:$1,0)+1,FALSE)</f>
        <v>季節イベント</v>
      </c>
      <c r="E29" s="84">
        <v>3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季節イベント</v>
      </c>
      <c r="H29" s="84">
        <v>2</v>
      </c>
      <c r="I29" s="90">
        <f t="shared" ref="I29:I40" si="4">ROW()-1</f>
        <v>28</v>
      </c>
      <c r="J29" s="86" t="str">
        <f t="shared" ref="J29:J40" si="5">B29&amp;TEXT(I29,"00")</f>
        <v>4700428</v>
      </c>
      <c r="K29" s="84" t="s">
        <v>199</v>
      </c>
      <c r="L29" s="87" t="s">
        <v>200</v>
      </c>
      <c r="M29" s="118" t="s">
        <v>353</v>
      </c>
      <c r="N29" s="57" t="s">
        <v>201</v>
      </c>
    </row>
    <row r="30" spans="1:14" ht="28" x14ac:dyDescent="0.15">
      <c r="A30" s="81" t="s">
        <v>198</v>
      </c>
      <c r="B30" s="82">
        <f>floors!$C$2</f>
        <v>47004</v>
      </c>
      <c r="C30" s="83" t="str">
        <f ca="1">VLOOKUP($B30,OFFSET([2]quests!$A$1,0,0,COUNTA([2]quests!$A:$A),MATCH(C$1,[2]quests!$1:$1,0)-MATCH($B$1,[2]quests!$1:$1,0)+1),MATCH(C$1,[2]quests!$1:$1,0)-MATCH($B$1,[2]quests!$1:$1,0)+1,FALSE)</f>
        <v>聖なる夜に祝福を</v>
      </c>
      <c r="D30" s="83" t="str">
        <f ca="1">VLOOKUP($B30,OFFSET([2]quests!$A$1,0,0,COUNTA([2]quests!$A:$A),MATCH(D$1,[2]quests!$1:$1,0)-MATCH($B$1,[2]quests!$1:$1,0)+1),MATCH(D$1,[2]quests!$1:$1,0)-MATCH($B$1,[2]quests!$1:$1,0)+1,FALSE)</f>
        <v>季節イベント</v>
      </c>
      <c r="E30" s="84">
        <v>3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季節イベント</v>
      </c>
      <c r="H30" s="84">
        <v>3</v>
      </c>
      <c r="I30" s="90">
        <f t="shared" si="4"/>
        <v>29</v>
      </c>
      <c r="J30" s="86" t="str">
        <f t="shared" si="5"/>
        <v>4700429</v>
      </c>
      <c r="K30" s="84" t="s">
        <v>199</v>
      </c>
      <c r="L30" s="87" t="s">
        <v>200</v>
      </c>
      <c r="M30" s="118" t="s">
        <v>354</v>
      </c>
      <c r="N30" s="57" t="s">
        <v>201</v>
      </c>
    </row>
    <row r="31" spans="1:14" ht="56" x14ac:dyDescent="0.15">
      <c r="A31" s="81" t="s">
        <v>198</v>
      </c>
      <c r="B31" s="82">
        <f>floors!$C$2</f>
        <v>47004</v>
      </c>
      <c r="C31" s="83" t="str">
        <f ca="1">VLOOKUP($B31,OFFSET([2]quests!$A$1,0,0,COUNTA([2]quests!$A:$A),MATCH(C$1,[2]quests!$1:$1,0)-MATCH($B$1,[2]quests!$1:$1,0)+1),MATCH(C$1,[2]quests!$1:$1,0)-MATCH($B$1,[2]quests!$1:$1,0)+1,FALSE)</f>
        <v>聖なる夜に祝福を</v>
      </c>
      <c r="D31" s="83" t="str">
        <f ca="1">VLOOKUP($B31,OFFSET([2]quests!$A$1,0,0,COUNTA([2]quests!$A:$A),MATCH(D$1,[2]quests!$1:$1,0)-MATCH($B$1,[2]quests!$1:$1,0)+1),MATCH(D$1,[2]quests!$1:$1,0)-MATCH($B$1,[2]quests!$1:$1,0)+1,FALSE)</f>
        <v>季節イベント</v>
      </c>
      <c r="E31" s="84">
        <v>3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季節イベント</v>
      </c>
      <c r="H31" s="84">
        <v>3</v>
      </c>
      <c r="I31" s="90">
        <f t="shared" si="4"/>
        <v>30</v>
      </c>
      <c r="J31" s="86" t="str">
        <f t="shared" si="5"/>
        <v>4700430</v>
      </c>
      <c r="K31" s="84" t="s">
        <v>199</v>
      </c>
      <c r="L31" s="87" t="s">
        <v>200</v>
      </c>
      <c r="M31" s="118" t="s">
        <v>355</v>
      </c>
      <c r="N31" s="57" t="s">
        <v>201</v>
      </c>
    </row>
    <row r="32" spans="1:14" ht="56" x14ac:dyDescent="0.15">
      <c r="A32" s="81" t="s">
        <v>198</v>
      </c>
      <c r="B32" s="82">
        <f>floors!$C$2</f>
        <v>47004</v>
      </c>
      <c r="C32" s="83" t="str">
        <f ca="1">VLOOKUP($B32,OFFSET([2]quests!$A$1,0,0,COUNTA([2]quests!$A:$A),MATCH(C$1,[2]quests!$1:$1,0)-MATCH($B$1,[2]quests!$1:$1,0)+1),MATCH(C$1,[2]quests!$1:$1,0)-MATCH($B$1,[2]quests!$1:$1,0)+1,FALSE)</f>
        <v>聖なる夜に祝福を</v>
      </c>
      <c r="D32" s="83" t="str">
        <f ca="1">VLOOKUP($B32,OFFSET([2]quests!$A$1,0,0,COUNTA([2]quests!$A:$A),MATCH(D$1,[2]quests!$1:$1,0)-MATCH($B$1,[2]quests!$1:$1,0)+1),MATCH(D$1,[2]quests!$1:$1,0)-MATCH($B$1,[2]quests!$1:$1,0)+1,FALSE)</f>
        <v>季節イベント</v>
      </c>
      <c r="E32" s="84">
        <v>3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季節イベント</v>
      </c>
      <c r="H32" s="84">
        <v>4</v>
      </c>
      <c r="I32" s="90">
        <f t="shared" si="4"/>
        <v>31</v>
      </c>
      <c r="J32" s="86" t="str">
        <f t="shared" si="5"/>
        <v>4700431</v>
      </c>
      <c r="K32" s="84" t="s">
        <v>199</v>
      </c>
      <c r="L32" s="87" t="s">
        <v>200</v>
      </c>
      <c r="M32" s="118" t="s">
        <v>356</v>
      </c>
      <c r="N32" s="57" t="s">
        <v>201</v>
      </c>
    </row>
    <row r="33" spans="1:14" ht="42" x14ac:dyDescent="0.15">
      <c r="A33" s="81" t="s">
        <v>198</v>
      </c>
      <c r="B33" s="82">
        <f>floors!$C$2</f>
        <v>47004</v>
      </c>
      <c r="C33" s="83" t="str">
        <f ca="1">VLOOKUP($B33,OFFSET([2]quests!$A$1,0,0,COUNTA([2]quests!$A:$A),MATCH(C$1,[2]quests!$1:$1,0)-MATCH($B$1,[2]quests!$1:$1,0)+1),MATCH(C$1,[2]quests!$1:$1,0)-MATCH($B$1,[2]quests!$1:$1,0)+1,FALSE)</f>
        <v>聖なる夜に祝福を</v>
      </c>
      <c r="D33" s="83" t="str">
        <f ca="1">VLOOKUP($B33,OFFSET([2]quests!$A$1,0,0,COUNTA([2]quests!$A:$A),MATCH(D$1,[2]quests!$1:$1,0)-MATCH($B$1,[2]quests!$1:$1,0)+1),MATCH(D$1,[2]quests!$1:$1,0)-MATCH($B$1,[2]quests!$1:$1,0)+1,FALSE)</f>
        <v>季節イベント</v>
      </c>
      <c r="E33" s="84">
        <v>3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季節イベント</v>
      </c>
      <c r="H33" s="84">
        <v>4</v>
      </c>
      <c r="I33" s="90">
        <f t="shared" si="4"/>
        <v>32</v>
      </c>
      <c r="J33" s="86" t="str">
        <f t="shared" si="5"/>
        <v>4700432</v>
      </c>
      <c r="K33" s="84" t="s">
        <v>199</v>
      </c>
      <c r="L33" s="87" t="s">
        <v>200</v>
      </c>
      <c r="M33" s="118" t="s">
        <v>357</v>
      </c>
      <c r="N33" s="57" t="s">
        <v>201</v>
      </c>
    </row>
    <row r="34" spans="1:14" ht="28" x14ac:dyDescent="0.15">
      <c r="A34" s="81" t="s">
        <v>198</v>
      </c>
      <c r="B34" s="82">
        <f>floors!$C$2</f>
        <v>47004</v>
      </c>
      <c r="C34" s="83" t="str">
        <f ca="1">VLOOKUP($B34,OFFSET([2]quests!$A$1,0,0,COUNTA([2]quests!$A:$A),MATCH(C$1,[2]quests!$1:$1,0)-MATCH($B$1,[2]quests!$1:$1,0)+1),MATCH(C$1,[2]quests!$1:$1,0)-MATCH($B$1,[2]quests!$1:$1,0)+1,FALSE)</f>
        <v>聖なる夜に祝福を</v>
      </c>
      <c r="D34" s="83" t="str">
        <f ca="1">VLOOKUP($B34,OFFSET([2]quests!$A$1,0,0,COUNTA([2]quests!$A:$A),MATCH(D$1,[2]quests!$1:$1,0)-MATCH($B$1,[2]quests!$1:$1,0)+1),MATCH(D$1,[2]quests!$1:$1,0)-MATCH($B$1,[2]quests!$1:$1,0)+1,FALSE)</f>
        <v>季節イベント</v>
      </c>
      <c r="E34" s="84">
        <v>3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季節イベント</v>
      </c>
      <c r="H34" s="84">
        <v>4</v>
      </c>
      <c r="I34" s="90">
        <f t="shared" si="4"/>
        <v>33</v>
      </c>
      <c r="J34" s="86" t="str">
        <f t="shared" si="5"/>
        <v>4700433</v>
      </c>
      <c r="K34" s="84" t="s">
        <v>199</v>
      </c>
      <c r="L34" s="87" t="s">
        <v>200</v>
      </c>
      <c r="M34" s="118" t="s">
        <v>359</v>
      </c>
      <c r="N34" s="57" t="s">
        <v>201</v>
      </c>
    </row>
    <row r="35" spans="1:14" ht="42" x14ac:dyDescent="0.15">
      <c r="A35" s="81" t="s">
        <v>198</v>
      </c>
      <c r="B35" s="82">
        <f>floors!$C$2</f>
        <v>47004</v>
      </c>
      <c r="C35" s="83" t="str">
        <f ca="1">VLOOKUP($B35,OFFSET([2]quests!$A$1,0,0,COUNTA([2]quests!$A:$A),MATCH(C$1,[2]quests!$1:$1,0)-MATCH($B$1,[2]quests!$1:$1,0)+1),MATCH(C$1,[2]quests!$1:$1,0)-MATCH($B$1,[2]quests!$1:$1,0)+1,FALSE)</f>
        <v>聖なる夜に祝福を</v>
      </c>
      <c r="D35" s="83" t="str">
        <f ca="1">VLOOKUP($B35,OFFSET([2]quests!$A$1,0,0,COUNTA([2]quests!$A:$A),MATCH(D$1,[2]quests!$1:$1,0)-MATCH($B$1,[2]quests!$1:$1,0)+1),MATCH(D$1,[2]quests!$1:$1,0)-MATCH($B$1,[2]quests!$1:$1,0)+1,FALSE)</f>
        <v>季節イベント</v>
      </c>
      <c r="E35" s="84">
        <v>3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季節イベント</v>
      </c>
      <c r="H35" s="84">
        <v>4</v>
      </c>
      <c r="I35" s="90">
        <f t="shared" si="4"/>
        <v>34</v>
      </c>
      <c r="J35" s="86" t="str">
        <f t="shared" si="5"/>
        <v>4700434</v>
      </c>
      <c r="K35" s="84" t="s">
        <v>199</v>
      </c>
      <c r="L35" s="87" t="s">
        <v>200</v>
      </c>
      <c r="M35" s="118" t="s">
        <v>358</v>
      </c>
      <c r="N35" s="57" t="s">
        <v>201</v>
      </c>
    </row>
    <row r="36" spans="1:14" ht="42" x14ac:dyDescent="0.15">
      <c r="A36" s="117" t="s">
        <v>349</v>
      </c>
      <c r="B36" s="121">
        <v>47004</v>
      </c>
      <c r="C36" s="122" t="str">
        <f ca="1">VLOOKUP($B36,OFFSET([2]quests!$A$1,0,0,COUNTA([2]quests!$A:$A),MATCH(C$1,[2]quests!$1:$1,0)-MATCH($B$1,[2]quests!$1:$1,0)+1),MATCH(C$1,[2]quests!$1:$1,0)-MATCH($B$1,[2]quests!$1:$1,0)+1,FALSE)</f>
        <v>聖なる夜に祝福を</v>
      </c>
      <c r="D36" s="122" t="str">
        <f ca="1">VLOOKUP($B36,OFFSET([2]quests!$A$1,0,0,COUNTA([2]quests!$A:$A),MATCH(D$1,[2]quests!$1:$1,0)-MATCH($B$1,[2]quests!$1:$1,0)+1),MATCH(D$1,[2]quests!$1:$1,0)-MATCH($B$1,[2]quests!$1:$1,0)+1,FALSE)</f>
        <v>季節イベント</v>
      </c>
      <c r="E36" s="123">
        <v>3</v>
      </c>
      <c r="F36" s="122" t="str">
        <f ca="1">VLOOKUP($B36&amp;"_"&amp;$E36,OFFSET([2]stages!$A$1,0,0,COUNTA([2]stages!$A:$A),MATCH(F$1,[2]stages!$2:$2,0)-MATCH("temp_stage",[2]stages!$2:$2,0)+1),MATCH(F$1,[2]stages!$2:$2,0)-MATCH("temp_stage",[2]stages!$2:$2,0)+1,FALSE)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36" s="122" t="str">
        <f ca="1">VLOOKUP($B36&amp;"_"&amp;$E36,OFFSET([2]stages!$A$1,0,0,COUNTA([2]stages!$A:$A),MATCH(G$1,[2]stages!$2:$2,0)-MATCH("temp_stage",[2]stages!$2:$2,0)+1),MATCH(G$1,[2]stages!$2:$2,0)-MATCH("temp_stage",[2]stages!$2:$2,0)+1,FALSE)</f>
        <v>季節イベント</v>
      </c>
      <c r="H36" s="122">
        <v>0</v>
      </c>
      <c r="I36" s="90">
        <f t="shared" si="4"/>
        <v>35</v>
      </c>
      <c r="J36" s="86" t="str">
        <f t="shared" si="5"/>
        <v>4700435</v>
      </c>
      <c r="K36" s="123" t="s">
        <v>350</v>
      </c>
      <c r="L36" s="119" t="s">
        <v>360</v>
      </c>
      <c r="M36" s="120" t="s">
        <v>361</v>
      </c>
      <c r="N36" s="57" t="s">
        <v>351</v>
      </c>
    </row>
    <row r="37" spans="1:14" ht="70" x14ac:dyDescent="0.15">
      <c r="A37" s="117" t="s">
        <v>349</v>
      </c>
      <c r="B37" s="121">
        <v>47004</v>
      </c>
      <c r="C37" s="122" t="str">
        <f ca="1">VLOOKUP($B37,OFFSET([2]quests!$A$1,0,0,COUNTA([2]quests!$A:$A),MATCH(C$1,[2]quests!$1:$1,0)-MATCH($B$1,[2]quests!$1:$1,0)+1),MATCH(C$1,[2]quests!$1:$1,0)-MATCH($B$1,[2]quests!$1:$1,0)+1,FALSE)</f>
        <v>聖なる夜に祝福を</v>
      </c>
      <c r="D37" s="122" t="str">
        <f ca="1">VLOOKUP($B37,OFFSET([2]quests!$A$1,0,0,COUNTA([2]quests!$A:$A),MATCH(D$1,[2]quests!$1:$1,0)-MATCH($B$1,[2]quests!$1:$1,0)+1),MATCH(D$1,[2]quests!$1:$1,0)-MATCH($B$1,[2]quests!$1:$1,0)+1,FALSE)</f>
        <v>季節イベント</v>
      </c>
      <c r="E37" s="123">
        <v>3</v>
      </c>
      <c r="F37" s="122" t="str">
        <f ca="1">VLOOKUP($B37&amp;"_"&amp;$E37,OFFSET([2]stages!$A$1,0,0,COUNTA([2]stages!$A:$A),MATCH(F$1,[2]stages!$2:$2,0)-MATCH("temp_stage",[2]stages!$2:$2,0)+1),MATCH(F$1,[2]stages!$2:$2,0)-MATCH("temp_stage",[2]stages!$2:$2,0)+1,FALSE)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37" s="122" t="str">
        <f ca="1">VLOOKUP($B37&amp;"_"&amp;$E37,OFFSET([2]stages!$A$1,0,0,COUNTA([2]stages!$A:$A),MATCH(G$1,[2]stages!$2:$2,0)-MATCH("temp_stage",[2]stages!$2:$2,0)+1),MATCH(G$1,[2]stages!$2:$2,0)-MATCH("temp_stage",[2]stages!$2:$2,0)+1,FALSE)</f>
        <v>季節イベント</v>
      </c>
      <c r="H37" s="122">
        <v>0</v>
      </c>
      <c r="I37" s="90">
        <f t="shared" si="4"/>
        <v>36</v>
      </c>
      <c r="J37" s="86" t="str">
        <f t="shared" si="5"/>
        <v>4700436</v>
      </c>
      <c r="K37" s="123" t="s">
        <v>350</v>
      </c>
      <c r="L37" s="119" t="s">
        <v>362</v>
      </c>
      <c r="M37" s="120" t="s">
        <v>363</v>
      </c>
      <c r="N37" s="57" t="s">
        <v>351</v>
      </c>
    </row>
    <row r="38" spans="1:14" ht="56" x14ac:dyDescent="0.15">
      <c r="A38" s="117" t="s">
        <v>349</v>
      </c>
      <c r="B38" s="121">
        <v>47004</v>
      </c>
      <c r="C38" s="122" t="str">
        <f ca="1">VLOOKUP($B38,OFFSET([2]quests!$A$1,0,0,COUNTA([2]quests!$A:$A),MATCH(C$1,[2]quests!$1:$1,0)-MATCH($B$1,[2]quests!$1:$1,0)+1),MATCH(C$1,[2]quests!$1:$1,0)-MATCH($B$1,[2]quests!$1:$1,0)+1,FALSE)</f>
        <v>聖なる夜に祝福を</v>
      </c>
      <c r="D38" s="122" t="str">
        <f ca="1">VLOOKUP($B38,OFFSET([2]quests!$A$1,0,0,COUNTA([2]quests!$A:$A),MATCH(D$1,[2]quests!$1:$1,0)-MATCH($B$1,[2]quests!$1:$1,0)+1),MATCH(D$1,[2]quests!$1:$1,0)-MATCH($B$1,[2]quests!$1:$1,0)+1,FALSE)</f>
        <v>季節イベント</v>
      </c>
      <c r="E38" s="123">
        <v>3</v>
      </c>
      <c r="F38" s="122" t="str">
        <f ca="1">VLOOKUP($B38&amp;"_"&amp;$E38,OFFSET([2]stages!$A$1,0,0,COUNTA([2]stages!$A:$A),MATCH(F$1,[2]stages!$2:$2,0)-MATCH("temp_stage",[2]stages!$2:$2,0)+1),MATCH(F$1,[2]stages!$2:$2,0)-MATCH("temp_stage",[2]stages!$2:$2,0)+1,FALSE)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38" s="122" t="str">
        <f ca="1">VLOOKUP($B38&amp;"_"&amp;$E38,OFFSET([2]stages!$A$1,0,0,COUNTA([2]stages!$A:$A),MATCH(G$1,[2]stages!$2:$2,0)-MATCH("temp_stage",[2]stages!$2:$2,0)+1),MATCH(G$1,[2]stages!$2:$2,0)-MATCH("temp_stage",[2]stages!$2:$2,0)+1,FALSE)</f>
        <v>季節イベント</v>
      </c>
      <c r="H38" s="122">
        <v>0</v>
      </c>
      <c r="I38" s="90">
        <f t="shared" si="4"/>
        <v>37</v>
      </c>
      <c r="J38" s="86" t="str">
        <f t="shared" si="5"/>
        <v>4700437</v>
      </c>
      <c r="K38" s="123" t="s">
        <v>350</v>
      </c>
      <c r="L38" s="119" t="s">
        <v>364</v>
      </c>
      <c r="M38" s="120" t="s">
        <v>365</v>
      </c>
      <c r="N38" s="57" t="s">
        <v>351</v>
      </c>
    </row>
    <row r="39" spans="1:14" ht="56" x14ac:dyDescent="0.15">
      <c r="A39" s="117" t="s">
        <v>349</v>
      </c>
      <c r="B39" s="121">
        <v>47004</v>
      </c>
      <c r="C39" s="122" t="str">
        <f ca="1">VLOOKUP($B39,OFFSET([2]quests!$A$1,0,0,COUNTA([2]quests!$A:$A),MATCH(C$1,[2]quests!$1:$1,0)-MATCH($B$1,[2]quests!$1:$1,0)+1),MATCH(C$1,[2]quests!$1:$1,0)-MATCH($B$1,[2]quests!$1:$1,0)+1,FALSE)</f>
        <v>聖なる夜に祝福を</v>
      </c>
      <c r="D39" s="122" t="str">
        <f ca="1">VLOOKUP($B39,OFFSET([2]quests!$A$1,0,0,COUNTA([2]quests!$A:$A),MATCH(D$1,[2]quests!$1:$1,0)-MATCH($B$1,[2]quests!$1:$1,0)+1),MATCH(D$1,[2]quests!$1:$1,0)-MATCH($B$1,[2]quests!$1:$1,0)+1,FALSE)</f>
        <v>季節イベント</v>
      </c>
      <c r="E39" s="123">
        <v>3</v>
      </c>
      <c r="F39" s="122" t="str">
        <f ca="1">VLOOKUP($B39&amp;"_"&amp;$E39,OFFSET([2]stages!$A$1,0,0,COUNTA([2]stages!$A:$A),MATCH(F$1,[2]stages!$2:$2,0)-MATCH("temp_stage",[2]stages!$2:$2,0)+1),MATCH(F$1,[2]stages!$2:$2,0)-MATCH("temp_stage",[2]stages!$2:$2,0)+1,FALSE)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39" s="122" t="str">
        <f ca="1">VLOOKUP($B39&amp;"_"&amp;$E39,OFFSET([2]stages!$A$1,0,0,COUNTA([2]stages!$A:$A),MATCH(G$1,[2]stages!$2:$2,0)-MATCH("temp_stage",[2]stages!$2:$2,0)+1),MATCH(G$1,[2]stages!$2:$2,0)-MATCH("temp_stage",[2]stages!$2:$2,0)+1,FALSE)</f>
        <v>季節イベント</v>
      </c>
      <c r="H39" s="122">
        <v>0</v>
      </c>
      <c r="I39" s="90">
        <f t="shared" si="4"/>
        <v>38</v>
      </c>
      <c r="J39" s="86" t="str">
        <f t="shared" si="5"/>
        <v>4700438</v>
      </c>
      <c r="K39" s="123" t="s">
        <v>350</v>
      </c>
      <c r="L39" s="119" t="s">
        <v>366</v>
      </c>
      <c r="M39" s="120" t="s">
        <v>367</v>
      </c>
      <c r="N39" s="57" t="s">
        <v>351</v>
      </c>
    </row>
    <row r="40" spans="1:14" ht="56" x14ac:dyDescent="0.15">
      <c r="A40" s="117" t="s">
        <v>349</v>
      </c>
      <c r="B40" s="121">
        <v>47004</v>
      </c>
      <c r="C40" s="122" t="str">
        <f ca="1">VLOOKUP($B40,OFFSET([2]quests!$A$1,0,0,COUNTA([2]quests!$A:$A),MATCH(C$1,[2]quests!$1:$1,0)-MATCH($B$1,[2]quests!$1:$1,0)+1),MATCH(C$1,[2]quests!$1:$1,0)-MATCH($B$1,[2]quests!$1:$1,0)+1,FALSE)</f>
        <v>聖なる夜に祝福を</v>
      </c>
      <c r="D40" s="122" t="str">
        <f ca="1">VLOOKUP($B40,OFFSET([2]quests!$A$1,0,0,COUNTA([2]quests!$A:$A),MATCH(D$1,[2]quests!$1:$1,0)-MATCH($B$1,[2]quests!$1:$1,0)+1),MATCH(D$1,[2]quests!$1:$1,0)-MATCH($B$1,[2]quests!$1:$1,0)+1,FALSE)</f>
        <v>季節イベント</v>
      </c>
      <c r="E40" s="123">
        <v>3</v>
      </c>
      <c r="F40" s="122" t="str">
        <f ca="1">VLOOKUP($B40&amp;"_"&amp;$E40,OFFSET([2]stages!$A$1,0,0,COUNTA([2]stages!$A:$A),MATCH(F$1,[2]stages!$2:$2,0)-MATCH("temp_stage",[2]stages!$2:$2,0)+1),MATCH(F$1,[2]stages!$2:$2,0)-MATCH("temp_stage",[2]stages!$2:$2,0)+1,FALSE)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40" s="122" t="str">
        <f ca="1">VLOOKUP($B40&amp;"_"&amp;$E40,OFFSET([2]stages!$A$1,0,0,COUNTA([2]stages!$A:$A),MATCH(G$1,[2]stages!$2:$2,0)-MATCH("temp_stage",[2]stages!$2:$2,0)+1),MATCH(G$1,[2]stages!$2:$2,0)-MATCH("temp_stage",[2]stages!$2:$2,0)+1,FALSE)</f>
        <v>季節イベント</v>
      </c>
      <c r="H40" s="122">
        <v>0</v>
      </c>
      <c r="I40" s="90">
        <f t="shared" si="4"/>
        <v>39</v>
      </c>
      <c r="J40" s="86" t="str">
        <f t="shared" si="5"/>
        <v>4700439</v>
      </c>
      <c r="K40" s="123" t="s">
        <v>350</v>
      </c>
      <c r="L40" s="119" t="s">
        <v>368</v>
      </c>
      <c r="M40" s="120" t="s">
        <v>369</v>
      </c>
      <c r="N40" s="57" t="s">
        <v>351</v>
      </c>
    </row>
    <row r="41" spans="1:14" ht="42" x14ac:dyDescent="0.15">
      <c r="A41" s="81" t="s">
        <v>198</v>
      </c>
      <c r="B41" s="82">
        <f>floors!$C$2</f>
        <v>47004</v>
      </c>
      <c r="C41" s="83" t="str">
        <f ca="1">VLOOKUP($B41,OFFSET([2]quests!$A$1,0,0,COUNTA([2]quests!$A:$A),MATCH(C$1,[2]quests!$1:$1,0)-MATCH($B$1,[2]quests!$1:$1,0)+1),MATCH(C$1,[2]quests!$1:$1,0)-MATCH($B$1,[2]quests!$1:$1,0)+1,FALSE)</f>
        <v>聖なる夜に祝福を</v>
      </c>
      <c r="D41" s="83" t="str">
        <f ca="1">VLOOKUP($B41,OFFSET([2]quests!$A$1,0,0,COUNTA([2]quests!$A:$A),MATCH(D$1,[2]quests!$1:$1,0)-MATCH($B$1,[2]quests!$1:$1,0)+1),MATCH(D$1,[2]quests!$1:$1,0)-MATCH($B$1,[2]quests!$1:$1,0)+1,FALSE)</f>
        <v>季節イベント</v>
      </c>
      <c r="E41" s="84">
        <v>4</v>
      </c>
      <c r="F41" s="83" t="str">
        <f ca="1">VLOOKUP($B41&amp;"_"&amp;$E41,OFFSET([2]stages!$A$1,0,0,COUNTA([2]stages!$A:$A),MATCH(F$1,[2]stages!$2:$2,0)-MATCH("temp_stage",[2]stages!$2:$2,0)+1),MATCH(F$1,[2]stages!$2:$2,0)-MATCH("temp_stage",[2]stages!$2:$2,0)+1,FALSE)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41" s="83" t="str">
        <f ca="1">VLOOKUP($B41&amp;"_"&amp;$E41,OFFSET([2]stages!$A$1,0,0,COUNTA([2]stages!$A:$A),MATCH(G$1,[2]stages!$2:$2,0)-MATCH("temp_stage",[2]stages!$2:$2,0)+1),MATCH(G$1,[2]stages!$2:$2,0)-MATCH("temp_stage",[2]stages!$2:$2,0)+1,FALSE)</f>
        <v>季節イベント</v>
      </c>
      <c r="H41" s="84">
        <v>1</v>
      </c>
      <c r="I41" s="90">
        <f>ROW()-1</f>
        <v>40</v>
      </c>
      <c r="J41" s="86" t="str">
        <f>B41&amp;TEXT(I41,"00")</f>
        <v>4700440</v>
      </c>
      <c r="K41" s="84" t="s">
        <v>199</v>
      </c>
      <c r="L41" s="87" t="s">
        <v>200</v>
      </c>
      <c r="M41" s="118" t="s">
        <v>352</v>
      </c>
      <c r="N41" s="57" t="s">
        <v>201</v>
      </c>
    </row>
    <row r="42" spans="1:14" ht="42" x14ac:dyDescent="0.15">
      <c r="A42" s="81" t="s">
        <v>198</v>
      </c>
      <c r="B42" s="82">
        <f>floors!$C$2</f>
        <v>47004</v>
      </c>
      <c r="C42" s="83" t="str">
        <f ca="1">VLOOKUP($B42,OFFSET([2]quests!$A$1,0,0,COUNTA([2]quests!$A:$A),MATCH(C$1,[2]quests!$1:$1,0)-MATCH($B$1,[2]quests!$1:$1,0)+1),MATCH(C$1,[2]quests!$1:$1,0)-MATCH($B$1,[2]quests!$1:$1,0)+1,FALSE)</f>
        <v>聖なる夜に祝福を</v>
      </c>
      <c r="D42" s="83" t="str">
        <f ca="1">VLOOKUP($B42,OFFSET([2]quests!$A$1,0,0,COUNTA([2]quests!$A:$A),MATCH(D$1,[2]quests!$1:$1,0)-MATCH($B$1,[2]quests!$1:$1,0)+1),MATCH(D$1,[2]quests!$1:$1,0)-MATCH($B$1,[2]quests!$1:$1,0)+1,FALSE)</f>
        <v>季節イベント</v>
      </c>
      <c r="E42" s="84">
        <v>4</v>
      </c>
      <c r="F42" s="83" t="str">
        <f ca="1">VLOOKUP($B42&amp;"_"&amp;$E42,OFFSET([2]stages!$A$1,0,0,COUNTA([2]stages!$A:$A),MATCH(F$1,[2]stages!$2:$2,0)-MATCH("temp_stage",[2]stages!$2:$2,0)+1),MATCH(F$1,[2]stages!$2:$2,0)-MATCH("temp_stage",[2]stages!$2:$2,0)+1,FALSE)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42" s="83" t="str">
        <f ca="1">VLOOKUP($B42&amp;"_"&amp;$E42,OFFSET([2]stages!$A$1,0,0,COUNTA([2]stages!$A:$A),MATCH(G$1,[2]stages!$2:$2,0)-MATCH("temp_stage",[2]stages!$2:$2,0)+1),MATCH(G$1,[2]stages!$2:$2,0)-MATCH("temp_stage",[2]stages!$2:$2,0)+1,FALSE)</f>
        <v>季節イベント</v>
      </c>
      <c r="H42" s="84">
        <v>2</v>
      </c>
      <c r="I42" s="90">
        <f t="shared" ref="I42:I48" si="6">ROW()-1</f>
        <v>41</v>
      </c>
      <c r="J42" s="86" t="str">
        <f t="shared" ref="J42:J48" si="7">B42&amp;TEXT(I42,"00")</f>
        <v>4700441</v>
      </c>
      <c r="K42" s="84" t="s">
        <v>199</v>
      </c>
      <c r="L42" s="87" t="s">
        <v>200</v>
      </c>
      <c r="M42" s="118" t="s">
        <v>353</v>
      </c>
      <c r="N42" s="57" t="s">
        <v>201</v>
      </c>
    </row>
    <row r="43" spans="1:14" ht="28" x14ac:dyDescent="0.15">
      <c r="A43" s="81" t="s">
        <v>198</v>
      </c>
      <c r="B43" s="82">
        <f>floors!$C$2</f>
        <v>47004</v>
      </c>
      <c r="C43" s="83" t="str">
        <f ca="1">VLOOKUP($B43,OFFSET([2]quests!$A$1,0,0,COUNTA([2]quests!$A:$A),MATCH(C$1,[2]quests!$1:$1,0)-MATCH($B$1,[2]quests!$1:$1,0)+1),MATCH(C$1,[2]quests!$1:$1,0)-MATCH($B$1,[2]quests!$1:$1,0)+1,FALSE)</f>
        <v>聖なる夜に祝福を</v>
      </c>
      <c r="D43" s="83" t="str">
        <f ca="1">VLOOKUP($B43,OFFSET([2]quests!$A$1,0,0,COUNTA([2]quests!$A:$A),MATCH(D$1,[2]quests!$1:$1,0)-MATCH($B$1,[2]quests!$1:$1,0)+1),MATCH(D$1,[2]quests!$1:$1,0)-MATCH($B$1,[2]quests!$1:$1,0)+1,FALSE)</f>
        <v>季節イベント</v>
      </c>
      <c r="E43" s="84">
        <v>4</v>
      </c>
      <c r="F43" s="83" t="str">
        <f ca="1">VLOOKUP($B43&amp;"_"&amp;$E43,OFFSET([2]stages!$A$1,0,0,COUNTA([2]stages!$A:$A),MATCH(F$1,[2]stages!$2:$2,0)-MATCH("temp_stage",[2]stages!$2:$2,0)+1),MATCH(F$1,[2]stages!$2:$2,0)-MATCH("temp_stage",[2]stages!$2:$2,0)+1,FALSE)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43" s="83" t="str">
        <f ca="1">VLOOKUP($B43&amp;"_"&amp;$E43,OFFSET([2]stages!$A$1,0,0,COUNTA([2]stages!$A:$A),MATCH(G$1,[2]stages!$2:$2,0)-MATCH("temp_stage",[2]stages!$2:$2,0)+1),MATCH(G$1,[2]stages!$2:$2,0)-MATCH("temp_stage",[2]stages!$2:$2,0)+1,FALSE)</f>
        <v>季節イベント</v>
      </c>
      <c r="H43" s="84">
        <v>3</v>
      </c>
      <c r="I43" s="90">
        <f t="shared" si="6"/>
        <v>42</v>
      </c>
      <c r="J43" s="86" t="str">
        <f t="shared" si="7"/>
        <v>4700442</v>
      </c>
      <c r="K43" s="84" t="s">
        <v>199</v>
      </c>
      <c r="L43" s="87" t="s">
        <v>200</v>
      </c>
      <c r="M43" s="118" t="s">
        <v>354</v>
      </c>
      <c r="N43" s="57" t="s">
        <v>201</v>
      </c>
    </row>
    <row r="44" spans="1:14" ht="56" x14ac:dyDescent="0.15">
      <c r="A44" s="81" t="s">
        <v>198</v>
      </c>
      <c r="B44" s="82">
        <f>floors!$C$2</f>
        <v>47004</v>
      </c>
      <c r="C44" s="83" t="str">
        <f ca="1">VLOOKUP($B44,OFFSET([2]quests!$A$1,0,0,COUNTA([2]quests!$A:$A),MATCH(C$1,[2]quests!$1:$1,0)-MATCH($B$1,[2]quests!$1:$1,0)+1),MATCH(C$1,[2]quests!$1:$1,0)-MATCH($B$1,[2]quests!$1:$1,0)+1,FALSE)</f>
        <v>聖なる夜に祝福を</v>
      </c>
      <c r="D44" s="83" t="str">
        <f ca="1">VLOOKUP($B44,OFFSET([2]quests!$A$1,0,0,COUNTA([2]quests!$A:$A),MATCH(D$1,[2]quests!$1:$1,0)-MATCH($B$1,[2]quests!$1:$1,0)+1),MATCH(D$1,[2]quests!$1:$1,0)-MATCH($B$1,[2]quests!$1:$1,0)+1,FALSE)</f>
        <v>季節イベント</v>
      </c>
      <c r="E44" s="84">
        <v>4</v>
      </c>
      <c r="F44" s="83" t="str">
        <f ca="1">VLOOKUP($B44&amp;"_"&amp;$E44,OFFSET([2]stages!$A$1,0,0,COUNTA([2]stages!$A:$A),MATCH(F$1,[2]stages!$2:$2,0)-MATCH("temp_stage",[2]stages!$2:$2,0)+1),MATCH(F$1,[2]stages!$2:$2,0)-MATCH("temp_stage",[2]stages!$2:$2,0)+1,FALSE)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44" s="83" t="str">
        <f ca="1">VLOOKUP($B44&amp;"_"&amp;$E44,OFFSET([2]stages!$A$1,0,0,COUNTA([2]stages!$A:$A),MATCH(G$1,[2]stages!$2:$2,0)-MATCH("temp_stage",[2]stages!$2:$2,0)+1),MATCH(G$1,[2]stages!$2:$2,0)-MATCH("temp_stage",[2]stages!$2:$2,0)+1,FALSE)</f>
        <v>季節イベント</v>
      </c>
      <c r="H44" s="84">
        <v>3</v>
      </c>
      <c r="I44" s="90">
        <f t="shared" si="6"/>
        <v>43</v>
      </c>
      <c r="J44" s="86" t="str">
        <f t="shared" si="7"/>
        <v>4700443</v>
      </c>
      <c r="K44" s="84" t="s">
        <v>199</v>
      </c>
      <c r="L44" s="87" t="s">
        <v>200</v>
      </c>
      <c r="M44" s="118" t="s">
        <v>355</v>
      </c>
      <c r="N44" s="57" t="s">
        <v>201</v>
      </c>
    </row>
    <row r="45" spans="1:14" ht="56" x14ac:dyDescent="0.15">
      <c r="A45" s="81" t="s">
        <v>198</v>
      </c>
      <c r="B45" s="82">
        <f>floors!$C$2</f>
        <v>47004</v>
      </c>
      <c r="C45" s="83" t="str">
        <f ca="1">VLOOKUP($B45,OFFSET([2]quests!$A$1,0,0,COUNTA([2]quests!$A:$A),MATCH(C$1,[2]quests!$1:$1,0)-MATCH($B$1,[2]quests!$1:$1,0)+1),MATCH(C$1,[2]quests!$1:$1,0)-MATCH($B$1,[2]quests!$1:$1,0)+1,FALSE)</f>
        <v>聖なる夜に祝福を</v>
      </c>
      <c r="D45" s="83" t="str">
        <f ca="1">VLOOKUP($B45,OFFSET([2]quests!$A$1,0,0,COUNTA([2]quests!$A:$A),MATCH(D$1,[2]quests!$1:$1,0)-MATCH($B$1,[2]quests!$1:$1,0)+1),MATCH(D$1,[2]quests!$1:$1,0)-MATCH($B$1,[2]quests!$1:$1,0)+1,FALSE)</f>
        <v>季節イベント</v>
      </c>
      <c r="E45" s="84">
        <v>4</v>
      </c>
      <c r="F45" s="83" t="str">
        <f ca="1">VLOOKUP($B45&amp;"_"&amp;$E45,OFFSET([2]stages!$A$1,0,0,COUNTA([2]stages!$A:$A),MATCH(F$1,[2]stages!$2:$2,0)-MATCH("temp_stage",[2]stages!$2:$2,0)+1),MATCH(F$1,[2]stages!$2:$2,0)-MATCH("temp_stage",[2]stages!$2:$2,0)+1,FALSE)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45" s="83" t="str">
        <f ca="1">VLOOKUP($B45&amp;"_"&amp;$E45,OFFSET([2]stages!$A$1,0,0,COUNTA([2]stages!$A:$A),MATCH(G$1,[2]stages!$2:$2,0)-MATCH("temp_stage",[2]stages!$2:$2,0)+1),MATCH(G$1,[2]stages!$2:$2,0)-MATCH("temp_stage",[2]stages!$2:$2,0)+1,FALSE)</f>
        <v>季節イベント</v>
      </c>
      <c r="H45" s="84">
        <v>4</v>
      </c>
      <c r="I45" s="90">
        <f t="shared" si="6"/>
        <v>44</v>
      </c>
      <c r="J45" s="86" t="str">
        <f t="shared" si="7"/>
        <v>4700444</v>
      </c>
      <c r="K45" s="84" t="s">
        <v>199</v>
      </c>
      <c r="L45" s="87" t="s">
        <v>200</v>
      </c>
      <c r="M45" s="118" t="s">
        <v>356</v>
      </c>
      <c r="N45" s="57" t="s">
        <v>201</v>
      </c>
    </row>
    <row r="46" spans="1:14" ht="42" x14ac:dyDescent="0.15">
      <c r="A46" s="81" t="s">
        <v>198</v>
      </c>
      <c r="B46" s="82">
        <f>floors!$C$2</f>
        <v>47004</v>
      </c>
      <c r="C46" s="83" t="str">
        <f ca="1">VLOOKUP($B46,OFFSET([2]quests!$A$1,0,0,COUNTA([2]quests!$A:$A),MATCH(C$1,[2]quests!$1:$1,0)-MATCH($B$1,[2]quests!$1:$1,0)+1),MATCH(C$1,[2]quests!$1:$1,0)-MATCH($B$1,[2]quests!$1:$1,0)+1,FALSE)</f>
        <v>聖なる夜に祝福を</v>
      </c>
      <c r="D46" s="83" t="str">
        <f ca="1">VLOOKUP($B46,OFFSET([2]quests!$A$1,0,0,COUNTA([2]quests!$A:$A),MATCH(D$1,[2]quests!$1:$1,0)-MATCH($B$1,[2]quests!$1:$1,0)+1),MATCH(D$1,[2]quests!$1:$1,0)-MATCH($B$1,[2]quests!$1:$1,0)+1,FALSE)</f>
        <v>季節イベント</v>
      </c>
      <c r="E46" s="84">
        <v>4</v>
      </c>
      <c r="F46" s="83" t="str">
        <f ca="1">VLOOKUP($B46&amp;"_"&amp;$E46,OFFSET([2]stages!$A$1,0,0,COUNTA([2]stages!$A:$A),MATCH(F$1,[2]stages!$2:$2,0)-MATCH("temp_stage",[2]stages!$2:$2,0)+1),MATCH(F$1,[2]stages!$2:$2,0)-MATCH("temp_stage",[2]stages!$2:$2,0)+1,FALSE)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46" s="83" t="str">
        <f ca="1">VLOOKUP($B46&amp;"_"&amp;$E46,OFFSET([2]stages!$A$1,0,0,COUNTA([2]stages!$A:$A),MATCH(G$1,[2]stages!$2:$2,0)-MATCH("temp_stage",[2]stages!$2:$2,0)+1),MATCH(G$1,[2]stages!$2:$2,0)-MATCH("temp_stage",[2]stages!$2:$2,0)+1,FALSE)</f>
        <v>季節イベント</v>
      </c>
      <c r="H46" s="84">
        <v>4</v>
      </c>
      <c r="I46" s="90">
        <f t="shared" si="6"/>
        <v>45</v>
      </c>
      <c r="J46" s="86" t="str">
        <f t="shared" si="7"/>
        <v>4700445</v>
      </c>
      <c r="K46" s="84" t="s">
        <v>199</v>
      </c>
      <c r="L46" s="87" t="s">
        <v>200</v>
      </c>
      <c r="M46" s="118" t="s">
        <v>357</v>
      </c>
      <c r="N46" s="57" t="s">
        <v>201</v>
      </c>
    </row>
    <row r="47" spans="1:14" ht="28" x14ac:dyDescent="0.15">
      <c r="A47" s="81" t="s">
        <v>198</v>
      </c>
      <c r="B47" s="82">
        <f>floors!$C$2</f>
        <v>47004</v>
      </c>
      <c r="C47" s="83" t="str">
        <f ca="1">VLOOKUP($B47,OFFSET([2]quests!$A$1,0,0,COUNTA([2]quests!$A:$A),MATCH(C$1,[2]quests!$1:$1,0)-MATCH($B$1,[2]quests!$1:$1,0)+1),MATCH(C$1,[2]quests!$1:$1,0)-MATCH($B$1,[2]quests!$1:$1,0)+1,FALSE)</f>
        <v>聖なる夜に祝福を</v>
      </c>
      <c r="D47" s="83" t="str">
        <f ca="1">VLOOKUP($B47,OFFSET([2]quests!$A$1,0,0,COUNTA([2]quests!$A:$A),MATCH(D$1,[2]quests!$1:$1,0)-MATCH($B$1,[2]quests!$1:$1,0)+1),MATCH(D$1,[2]quests!$1:$1,0)-MATCH($B$1,[2]quests!$1:$1,0)+1,FALSE)</f>
        <v>季節イベント</v>
      </c>
      <c r="E47" s="84">
        <v>4</v>
      </c>
      <c r="F47" s="83" t="str">
        <f ca="1">VLOOKUP($B47&amp;"_"&amp;$E47,OFFSET([2]stages!$A$1,0,0,COUNTA([2]stages!$A:$A),MATCH(F$1,[2]stages!$2:$2,0)-MATCH("temp_stage",[2]stages!$2:$2,0)+1),MATCH(F$1,[2]stages!$2:$2,0)-MATCH("temp_stage",[2]stages!$2:$2,0)+1,FALSE)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47" s="83" t="str">
        <f ca="1">VLOOKUP($B47&amp;"_"&amp;$E47,OFFSET([2]stages!$A$1,0,0,COUNTA([2]stages!$A:$A),MATCH(G$1,[2]stages!$2:$2,0)-MATCH("temp_stage",[2]stages!$2:$2,0)+1),MATCH(G$1,[2]stages!$2:$2,0)-MATCH("temp_stage",[2]stages!$2:$2,0)+1,FALSE)</f>
        <v>季節イベント</v>
      </c>
      <c r="H47" s="84">
        <v>4</v>
      </c>
      <c r="I47" s="90">
        <f t="shared" si="6"/>
        <v>46</v>
      </c>
      <c r="J47" s="86" t="str">
        <f t="shared" si="7"/>
        <v>4700446</v>
      </c>
      <c r="K47" s="84" t="s">
        <v>199</v>
      </c>
      <c r="L47" s="87" t="s">
        <v>200</v>
      </c>
      <c r="M47" s="118" t="s">
        <v>359</v>
      </c>
      <c r="N47" s="57" t="s">
        <v>201</v>
      </c>
    </row>
    <row r="48" spans="1:14" ht="42" x14ac:dyDescent="0.15">
      <c r="A48" s="81" t="s">
        <v>198</v>
      </c>
      <c r="B48" s="82">
        <f>floors!$C$2</f>
        <v>47004</v>
      </c>
      <c r="C48" s="83" t="str">
        <f ca="1">VLOOKUP($B48,OFFSET([2]quests!$A$1,0,0,COUNTA([2]quests!$A:$A),MATCH(C$1,[2]quests!$1:$1,0)-MATCH($B$1,[2]quests!$1:$1,0)+1),MATCH(C$1,[2]quests!$1:$1,0)-MATCH($B$1,[2]quests!$1:$1,0)+1,FALSE)</f>
        <v>聖なる夜に祝福を</v>
      </c>
      <c r="D48" s="83" t="str">
        <f ca="1">VLOOKUP($B48,OFFSET([2]quests!$A$1,0,0,COUNTA([2]quests!$A:$A),MATCH(D$1,[2]quests!$1:$1,0)-MATCH($B$1,[2]quests!$1:$1,0)+1),MATCH(D$1,[2]quests!$1:$1,0)-MATCH($B$1,[2]quests!$1:$1,0)+1,FALSE)</f>
        <v>季節イベント</v>
      </c>
      <c r="E48" s="84">
        <v>4</v>
      </c>
      <c r="F48" s="83" t="str">
        <f ca="1">VLOOKUP($B48&amp;"_"&amp;$E48,OFFSET([2]stages!$A$1,0,0,COUNTA([2]stages!$A:$A),MATCH(F$1,[2]stages!$2:$2,0)-MATCH("temp_stage",[2]stages!$2:$2,0)+1),MATCH(F$1,[2]stages!$2:$2,0)-MATCH("temp_stage",[2]stages!$2:$2,0)+1,FALSE)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48" s="83" t="str">
        <f ca="1">VLOOKUP($B48&amp;"_"&amp;$E48,OFFSET([2]stages!$A$1,0,0,COUNTA([2]stages!$A:$A),MATCH(G$1,[2]stages!$2:$2,0)-MATCH("temp_stage",[2]stages!$2:$2,0)+1),MATCH(G$1,[2]stages!$2:$2,0)-MATCH("temp_stage",[2]stages!$2:$2,0)+1,FALSE)</f>
        <v>季節イベント</v>
      </c>
      <c r="H48" s="84">
        <v>4</v>
      </c>
      <c r="I48" s="90">
        <f t="shared" si="6"/>
        <v>47</v>
      </c>
      <c r="J48" s="86" t="str">
        <f t="shared" si="7"/>
        <v>4700447</v>
      </c>
      <c r="K48" s="84" t="s">
        <v>199</v>
      </c>
      <c r="L48" s="87" t="s">
        <v>200</v>
      </c>
      <c r="M48" s="118" t="s">
        <v>358</v>
      </c>
      <c r="N48" s="57" t="s">
        <v>201</v>
      </c>
    </row>
    <row r="49" spans="1:14" ht="42" x14ac:dyDescent="0.15">
      <c r="A49" s="117" t="s">
        <v>349</v>
      </c>
      <c r="B49" s="121">
        <v>47004</v>
      </c>
      <c r="C49" s="122" t="str">
        <f ca="1">VLOOKUP($B49,OFFSET([2]quests!$A$1,0,0,COUNTA([2]quests!$A:$A),MATCH(C$1,[2]quests!$1:$1,0)-MATCH($B$1,[2]quests!$1:$1,0)+1),MATCH(C$1,[2]quests!$1:$1,0)-MATCH($B$1,[2]quests!$1:$1,0)+1,FALSE)</f>
        <v>聖なる夜に祝福を</v>
      </c>
      <c r="D49" s="122" t="str">
        <f ca="1">VLOOKUP($B49,OFFSET([2]quests!$A$1,0,0,COUNTA([2]quests!$A:$A),MATCH(D$1,[2]quests!$1:$1,0)-MATCH($B$1,[2]quests!$1:$1,0)+1),MATCH(D$1,[2]quests!$1:$1,0)-MATCH($B$1,[2]quests!$1:$1,0)+1,FALSE)</f>
        <v>季節イベント</v>
      </c>
      <c r="E49" s="123">
        <v>4</v>
      </c>
      <c r="F49" s="122" t="str">
        <f ca="1">VLOOKUP($B49&amp;"_"&amp;$E49,OFFSET([2]stages!$A$1,0,0,COUNTA([2]stages!$A:$A),MATCH(F$1,[2]stages!$2:$2,0)-MATCH("temp_stage",[2]stages!$2:$2,0)+1),MATCH(F$1,[2]stages!$2:$2,0)-MATCH("temp_stage",[2]stages!$2:$2,0)+1,FALSE)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49" s="122" t="str">
        <f ca="1">VLOOKUP($B49&amp;"_"&amp;$E49,OFFSET([2]stages!$A$1,0,0,COUNTA([2]stages!$A:$A),MATCH(G$1,[2]stages!$2:$2,0)-MATCH("temp_stage",[2]stages!$2:$2,0)+1),MATCH(G$1,[2]stages!$2:$2,0)-MATCH("temp_stage",[2]stages!$2:$2,0)+1,FALSE)</f>
        <v>季節イベント</v>
      </c>
      <c r="H49" s="122">
        <v>0</v>
      </c>
      <c r="I49" s="90">
        <f t="shared" ref="I49:I53" si="8">ROW()-1</f>
        <v>48</v>
      </c>
      <c r="J49" s="86" t="str">
        <f t="shared" ref="J49" si="9">B49&amp;TEXT(I49,"00")</f>
        <v>4700448</v>
      </c>
      <c r="K49" s="123" t="s">
        <v>350</v>
      </c>
      <c r="L49" s="119" t="s">
        <v>360</v>
      </c>
      <c r="M49" s="120" t="s">
        <v>361</v>
      </c>
      <c r="N49" s="57" t="s">
        <v>351</v>
      </c>
    </row>
    <row r="50" spans="1:14" ht="70" x14ac:dyDescent="0.15">
      <c r="A50" s="117" t="s">
        <v>349</v>
      </c>
      <c r="B50" s="121">
        <v>47004</v>
      </c>
      <c r="C50" s="122" t="str">
        <f ca="1">VLOOKUP($B50,OFFSET([2]quests!$A$1,0,0,COUNTA([2]quests!$A:$A),MATCH(C$1,[2]quests!$1:$1,0)-MATCH($B$1,[2]quests!$1:$1,0)+1),MATCH(C$1,[2]quests!$1:$1,0)-MATCH($B$1,[2]quests!$1:$1,0)+1,FALSE)</f>
        <v>聖なる夜に祝福を</v>
      </c>
      <c r="D50" s="122" t="str">
        <f ca="1">VLOOKUP($B50,OFFSET([2]quests!$A$1,0,0,COUNTA([2]quests!$A:$A),MATCH(D$1,[2]quests!$1:$1,0)-MATCH($B$1,[2]quests!$1:$1,0)+1),MATCH(D$1,[2]quests!$1:$1,0)-MATCH($B$1,[2]quests!$1:$1,0)+1,FALSE)</f>
        <v>季節イベント</v>
      </c>
      <c r="E50" s="123">
        <v>4</v>
      </c>
      <c r="F50" s="122" t="str">
        <f ca="1">VLOOKUP($B50&amp;"_"&amp;$E50,OFFSET([2]stages!$A$1,0,0,COUNTA([2]stages!$A:$A),MATCH(F$1,[2]stages!$2:$2,0)-MATCH("temp_stage",[2]stages!$2:$2,0)+1),MATCH(F$1,[2]stages!$2:$2,0)-MATCH("temp_stage",[2]stages!$2:$2,0)+1,FALSE)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50" s="122" t="str">
        <f ca="1">VLOOKUP($B50&amp;"_"&amp;$E50,OFFSET([2]stages!$A$1,0,0,COUNTA([2]stages!$A:$A),MATCH(G$1,[2]stages!$2:$2,0)-MATCH("temp_stage",[2]stages!$2:$2,0)+1),MATCH(G$1,[2]stages!$2:$2,0)-MATCH("temp_stage",[2]stages!$2:$2,0)+1,FALSE)</f>
        <v>季節イベント</v>
      </c>
      <c r="H50" s="122">
        <v>0</v>
      </c>
      <c r="I50" s="90">
        <f t="shared" si="8"/>
        <v>49</v>
      </c>
      <c r="J50" s="86" t="str">
        <f t="shared" ref="J50:J53" si="10">B50&amp;TEXT(I50,"00")</f>
        <v>4700449</v>
      </c>
      <c r="K50" s="123" t="s">
        <v>350</v>
      </c>
      <c r="L50" s="119" t="s">
        <v>362</v>
      </c>
      <c r="M50" s="120" t="s">
        <v>363</v>
      </c>
      <c r="N50" s="57" t="s">
        <v>351</v>
      </c>
    </row>
    <row r="51" spans="1:14" ht="56" x14ac:dyDescent="0.15">
      <c r="A51" s="117" t="s">
        <v>349</v>
      </c>
      <c r="B51" s="121">
        <v>47004</v>
      </c>
      <c r="C51" s="122" t="str">
        <f ca="1">VLOOKUP($B51,OFFSET([2]quests!$A$1,0,0,COUNTA([2]quests!$A:$A),MATCH(C$1,[2]quests!$1:$1,0)-MATCH($B$1,[2]quests!$1:$1,0)+1),MATCH(C$1,[2]quests!$1:$1,0)-MATCH($B$1,[2]quests!$1:$1,0)+1,FALSE)</f>
        <v>聖なる夜に祝福を</v>
      </c>
      <c r="D51" s="122" t="str">
        <f ca="1">VLOOKUP($B51,OFFSET([2]quests!$A$1,0,0,COUNTA([2]quests!$A:$A),MATCH(D$1,[2]quests!$1:$1,0)-MATCH($B$1,[2]quests!$1:$1,0)+1),MATCH(D$1,[2]quests!$1:$1,0)-MATCH($B$1,[2]quests!$1:$1,0)+1,FALSE)</f>
        <v>季節イベント</v>
      </c>
      <c r="E51" s="123">
        <v>4</v>
      </c>
      <c r="F51" s="122" t="str">
        <f ca="1">VLOOKUP($B51&amp;"_"&amp;$E51,OFFSET([2]stages!$A$1,0,0,COUNTA([2]stages!$A:$A),MATCH(F$1,[2]stages!$2:$2,0)-MATCH("temp_stage",[2]stages!$2:$2,0)+1),MATCH(F$1,[2]stages!$2:$2,0)-MATCH("temp_stage",[2]stages!$2:$2,0)+1,FALSE)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51" s="122" t="str">
        <f ca="1">VLOOKUP($B51&amp;"_"&amp;$E51,OFFSET([2]stages!$A$1,0,0,COUNTA([2]stages!$A:$A),MATCH(G$1,[2]stages!$2:$2,0)-MATCH("temp_stage",[2]stages!$2:$2,0)+1),MATCH(G$1,[2]stages!$2:$2,0)-MATCH("temp_stage",[2]stages!$2:$2,0)+1,FALSE)</f>
        <v>季節イベント</v>
      </c>
      <c r="H51" s="122">
        <v>0</v>
      </c>
      <c r="I51" s="90">
        <f t="shared" si="8"/>
        <v>50</v>
      </c>
      <c r="J51" s="86" t="str">
        <f t="shared" si="10"/>
        <v>4700450</v>
      </c>
      <c r="K51" s="123" t="s">
        <v>350</v>
      </c>
      <c r="L51" s="119" t="s">
        <v>364</v>
      </c>
      <c r="M51" s="120" t="s">
        <v>365</v>
      </c>
      <c r="N51" s="57" t="s">
        <v>351</v>
      </c>
    </row>
    <row r="52" spans="1:14" ht="56" x14ac:dyDescent="0.15">
      <c r="A52" s="117" t="s">
        <v>349</v>
      </c>
      <c r="B52" s="121">
        <v>47004</v>
      </c>
      <c r="C52" s="122" t="str">
        <f ca="1">VLOOKUP($B52,OFFSET([2]quests!$A$1,0,0,COUNTA([2]quests!$A:$A),MATCH(C$1,[2]quests!$1:$1,0)-MATCH($B$1,[2]quests!$1:$1,0)+1),MATCH(C$1,[2]quests!$1:$1,0)-MATCH($B$1,[2]quests!$1:$1,0)+1,FALSE)</f>
        <v>聖なる夜に祝福を</v>
      </c>
      <c r="D52" s="122" t="str">
        <f ca="1">VLOOKUP($B52,OFFSET([2]quests!$A$1,0,0,COUNTA([2]quests!$A:$A),MATCH(D$1,[2]quests!$1:$1,0)-MATCH($B$1,[2]quests!$1:$1,0)+1),MATCH(D$1,[2]quests!$1:$1,0)-MATCH($B$1,[2]quests!$1:$1,0)+1,FALSE)</f>
        <v>季節イベント</v>
      </c>
      <c r="E52" s="123">
        <v>4</v>
      </c>
      <c r="F52" s="122" t="str">
        <f ca="1">VLOOKUP($B52&amp;"_"&amp;$E52,OFFSET([2]stages!$A$1,0,0,COUNTA([2]stages!$A:$A),MATCH(F$1,[2]stages!$2:$2,0)-MATCH("temp_stage",[2]stages!$2:$2,0)+1),MATCH(F$1,[2]stages!$2:$2,0)-MATCH("temp_stage",[2]stages!$2:$2,0)+1,FALSE)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52" s="122" t="str">
        <f ca="1">VLOOKUP($B52&amp;"_"&amp;$E52,OFFSET([2]stages!$A$1,0,0,COUNTA([2]stages!$A:$A),MATCH(G$1,[2]stages!$2:$2,0)-MATCH("temp_stage",[2]stages!$2:$2,0)+1),MATCH(G$1,[2]stages!$2:$2,0)-MATCH("temp_stage",[2]stages!$2:$2,0)+1,FALSE)</f>
        <v>季節イベント</v>
      </c>
      <c r="H52" s="122">
        <v>0</v>
      </c>
      <c r="I52" s="90">
        <f t="shared" si="8"/>
        <v>51</v>
      </c>
      <c r="J52" s="86" t="str">
        <f t="shared" si="10"/>
        <v>4700451</v>
      </c>
      <c r="K52" s="123" t="s">
        <v>350</v>
      </c>
      <c r="L52" s="119" t="s">
        <v>366</v>
      </c>
      <c r="M52" s="120" t="s">
        <v>367</v>
      </c>
      <c r="N52" s="57" t="s">
        <v>351</v>
      </c>
    </row>
    <row r="53" spans="1:14" ht="56" x14ac:dyDescent="0.15">
      <c r="A53" s="117" t="s">
        <v>349</v>
      </c>
      <c r="B53" s="121">
        <v>47004</v>
      </c>
      <c r="C53" s="122" t="str">
        <f ca="1">VLOOKUP($B53,OFFSET([2]quests!$A$1,0,0,COUNTA([2]quests!$A:$A),MATCH(C$1,[2]quests!$1:$1,0)-MATCH($B$1,[2]quests!$1:$1,0)+1),MATCH(C$1,[2]quests!$1:$1,0)-MATCH($B$1,[2]quests!$1:$1,0)+1,FALSE)</f>
        <v>聖なる夜に祝福を</v>
      </c>
      <c r="D53" s="122" t="str">
        <f ca="1">VLOOKUP($B53,OFFSET([2]quests!$A$1,0,0,COUNTA([2]quests!$A:$A),MATCH(D$1,[2]quests!$1:$1,0)-MATCH($B$1,[2]quests!$1:$1,0)+1),MATCH(D$1,[2]quests!$1:$1,0)-MATCH($B$1,[2]quests!$1:$1,0)+1,FALSE)</f>
        <v>季節イベント</v>
      </c>
      <c r="E53" s="123">
        <v>4</v>
      </c>
      <c r="F53" s="122" t="str">
        <f ca="1">VLOOKUP($B53&amp;"_"&amp;$E53,OFFSET([2]stages!$A$1,0,0,COUNTA([2]stages!$A:$A),MATCH(F$1,[2]stages!$2:$2,0)-MATCH("temp_stage",[2]stages!$2:$2,0)+1),MATCH(F$1,[2]stages!$2:$2,0)-MATCH("temp_stage",[2]stages!$2:$2,0)+1,FALSE)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53" s="122" t="str">
        <f ca="1">VLOOKUP($B53&amp;"_"&amp;$E53,OFFSET([2]stages!$A$1,0,0,COUNTA([2]stages!$A:$A),MATCH(G$1,[2]stages!$2:$2,0)-MATCH("temp_stage",[2]stages!$2:$2,0)+1),MATCH(G$1,[2]stages!$2:$2,0)-MATCH("temp_stage",[2]stages!$2:$2,0)+1,FALSE)</f>
        <v>季節イベント</v>
      </c>
      <c r="H53" s="122">
        <v>0</v>
      </c>
      <c r="I53" s="90">
        <f t="shared" si="8"/>
        <v>52</v>
      </c>
      <c r="J53" s="86" t="str">
        <f t="shared" si="10"/>
        <v>4700452</v>
      </c>
      <c r="K53" s="123" t="s">
        <v>350</v>
      </c>
      <c r="L53" s="119" t="s">
        <v>368</v>
      </c>
      <c r="M53" s="120" t="s">
        <v>369</v>
      </c>
      <c r="N53" s="57" t="s">
        <v>351</v>
      </c>
    </row>
  </sheetData>
  <phoneticPr fontId="5"/>
  <dataValidations count="1">
    <dataValidation type="list" allowBlank="1" showInputMessage="1" showErrorMessage="1" sqref="A2:A5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4"/>
  <sheetViews>
    <sheetView showGridLines="0" workbookViewId="0">
      <pane ySplit="1" topLeftCell="A2" activePane="bottomLeft" state="frozen"/>
      <selection pane="bottomLeft" activeCell="J14" sqref="J1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 collapsed="1"/>
    <col min="3" max="3" width="17" hidden="1" customWidth="1" outlineLevel="1"/>
    <col min="4" max="4" width="18.83203125" hidden="1" customWidth="1" outlineLevel="1"/>
    <col min="5" max="5" width="6.83203125" bestFit="1" customWidth="1" collapsed="1"/>
    <col min="6" max="6" width="22.5" hidden="1" customWidth="1" outlineLevel="1"/>
    <col min="7" max="7" width="22" hidden="1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 collapsed="1"/>
    <col min="14" max="14" width="12" hidden="1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213</v>
      </c>
      <c r="B1" s="95" t="s">
        <v>214</v>
      </c>
      <c r="C1" s="77" t="s">
        <v>215</v>
      </c>
      <c r="D1" s="77" t="s">
        <v>33</v>
      </c>
      <c r="E1" s="95" t="s">
        <v>216</v>
      </c>
      <c r="F1" s="77" t="s">
        <v>217</v>
      </c>
      <c r="G1" s="77" t="s">
        <v>33</v>
      </c>
      <c r="H1" s="95" t="s">
        <v>218</v>
      </c>
      <c r="I1" s="95" t="s">
        <v>219</v>
      </c>
      <c r="J1" s="95" t="s">
        <v>220</v>
      </c>
      <c r="K1" s="73" t="s">
        <v>221</v>
      </c>
      <c r="L1" s="73" t="s">
        <v>222</v>
      </c>
      <c r="M1" s="73" t="s">
        <v>156</v>
      </c>
      <c r="N1" s="77" t="s">
        <v>16</v>
      </c>
      <c r="O1" s="73" t="s">
        <v>223</v>
      </c>
      <c r="P1" s="73" t="s">
        <v>57</v>
      </c>
      <c r="Q1" s="73" t="s">
        <v>224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225</v>
      </c>
      <c r="X1" s="73" t="s">
        <v>226</v>
      </c>
    </row>
    <row r="2" spans="1:24" x14ac:dyDescent="0.15">
      <c r="A2" s="96" t="str">
        <f>B2&amp;"_"&amp;E2&amp;"_"&amp;H2&amp;"_"&amp;I2&amp;"_"&amp;J2</f>
        <v>47004_1_everyone_clear_1</v>
      </c>
      <c r="B2" s="82">
        <v>47004</v>
      </c>
      <c r="C2" s="83" t="str">
        <f ca="1">VLOOKUP($B2,OFFSET([2]quests!$A$1,0,0,COUNTA([2]quests!$A:$A),MATCH(C$1,[2]quests!$1:$1,0)-MATCH($B$1,[2]quests!$1:$1,0)+1),MATCH(C$1,[2]quests!$1:$1,0)-MATCH($B$1,[2]quests!$1:$1,0)+1,FALSE)</f>
        <v>聖なる夜に祝福を</v>
      </c>
      <c r="D2" s="83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123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【上級】聖なる夜に祝福を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122" t="s">
        <v>227</v>
      </c>
      <c r="I2" s="123" t="s">
        <v>228</v>
      </c>
      <c r="J2" s="123">
        <v>1</v>
      </c>
      <c r="K2" s="123">
        <v>85</v>
      </c>
      <c r="L2" s="123" t="s">
        <v>404</v>
      </c>
      <c r="M2" s="123">
        <v>702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123">
        <v>1</v>
      </c>
      <c r="P2" s="123">
        <v>1</v>
      </c>
      <c r="Q2" s="123">
        <v>1</v>
      </c>
      <c r="R2" s="123">
        <v>0</v>
      </c>
      <c r="S2" s="123">
        <v>0</v>
      </c>
      <c r="T2" s="123">
        <v>0</v>
      </c>
      <c r="U2" s="123">
        <v>0</v>
      </c>
      <c r="V2" s="123">
        <v>1</v>
      </c>
      <c r="W2" s="98" t="s">
        <v>230</v>
      </c>
      <c r="X2" s="99" t="s">
        <v>231</v>
      </c>
    </row>
    <row r="3" spans="1:24" x14ac:dyDescent="0.15">
      <c r="A3" s="96" t="str">
        <f t="shared" ref="A3:A24" si="0">B3&amp;"_"&amp;E3&amp;"_"&amp;H3&amp;"_"&amp;I3&amp;"_"&amp;J3</f>
        <v>47004_1_everyone_clear_2</v>
      </c>
      <c r="B3" s="82">
        <v>47004</v>
      </c>
      <c r="C3" s="83" t="str">
        <f ca="1">VLOOKUP($B3,OFFSET([2]quests!$A$1,0,0,COUNTA([2]quests!$A:$A),MATCH(C$1,[2]quests!$1:$1,0)-MATCH($B$1,[2]quests!$1:$1,0)+1),MATCH(C$1,[2]quests!$1:$1,0)-MATCH($B$1,[2]quests!$1:$1,0)+1,FALSE)</f>
        <v>聖なる夜に祝福を</v>
      </c>
      <c r="D3" s="83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123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【上級】聖なる夜に祝福を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122" t="s">
        <v>227</v>
      </c>
      <c r="I3" s="123" t="s">
        <v>228</v>
      </c>
      <c r="J3" s="123">
        <v>2</v>
      </c>
      <c r="K3" s="123">
        <v>10</v>
      </c>
      <c r="L3" s="123" t="s">
        <v>405</v>
      </c>
      <c r="M3" s="123">
        <v>702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123">
        <v>2</v>
      </c>
      <c r="P3" s="123">
        <v>1</v>
      </c>
      <c r="Q3" s="123">
        <v>1</v>
      </c>
      <c r="R3" s="123">
        <v>0</v>
      </c>
      <c r="S3" s="123">
        <v>0</v>
      </c>
      <c r="T3" s="123">
        <v>0</v>
      </c>
      <c r="U3" s="123">
        <v>0</v>
      </c>
      <c r="V3" s="123">
        <v>1</v>
      </c>
      <c r="W3" s="98" t="s">
        <v>230</v>
      </c>
      <c r="X3" s="99" t="s">
        <v>231</v>
      </c>
    </row>
    <row r="4" spans="1:24" x14ac:dyDescent="0.15">
      <c r="A4" s="96" t="str">
        <f t="shared" si="0"/>
        <v>47004_1_everyone_clear_3</v>
      </c>
      <c r="B4" s="82">
        <v>47004</v>
      </c>
      <c r="C4" s="83" t="str">
        <f ca="1">VLOOKUP($B4,OFFSET([2]quests!$A$1,0,0,COUNTA([2]quests!$A:$A),MATCH(C$1,[2]quests!$1:$1,0)-MATCH($B$1,[2]quests!$1:$1,0)+1),MATCH(C$1,[2]quests!$1:$1,0)-MATCH($B$1,[2]quests!$1:$1,0)+1,FALSE)</f>
        <v>聖なる夜に祝福を</v>
      </c>
      <c r="D4" s="83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123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【上級】聖なる夜に祝福を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122" t="s">
        <v>227</v>
      </c>
      <c r="I4" s="123" t="s">
        <v>228</v>
      </c>
      <c r="J4" s="123">
        <v>3</v>
      </c>
      <c r="K4" s="123">
        <v>5</v>
      </c>
      <c r="L4" s="123" t="s">
        <v>406</v>
      </c>
      <c r="M4" s="123">
        <v>702</v>
      </c>
      <c r="N4" s="97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/>
      </c>
      <c r="O4" s="123">
        <v>3</v>
      </c>
      <c r="P4" s="123">
        <v>1</v>
      </c>
      <c r="Q4" s="123">
        <v>1</v>
      </c>
      <c r="R4" s="123">
        <v>0</v>
      </c>
      <c r="S4" s="123">
        <v>0</v>
      </c>
      <c r="T4" s="123">
        <v>0</v>
      </c>
      <c r="U4" s="123">
        <v>0</v>
      </c>
      <c r="V4" s="123">
        <v>1</v>
      </c>
      <c r="W4" s="98" t="s">
        <v>230</v>
      </c>
      <c r="X4" s="99" t="s">
        <v>231</v>
      </c>
    </row>
    <row r="5" spans="1:24" x14ac:dyDescent="0.15">
      <c r="A5" s="96" t="str">
        <f t="shared" si="0"/>
        <v>47004_2_everyone_clear_4</v>
      </c>
      <c r="B5" s="82">
        <v>47004</v>
      </c>
      <c r="C5" s="83" t="str">
        <f ca="1">VLOOKUP($B5,OFFSET([2]quests!$A$1,0,0,COUNTA([2]quests!$A:$A),MATCH(C$1,[2]quests!$1:$1,0)-MATCH($B$1,[2]quests!$1:$1,0)+1),MATCH(C$1,[2]quests!$1:$1,0)-MATCH($B$1,[2]quests!$1:$1,0)+1,FALSE)</f>
        <v>聖なる夜に祝福を</v>
      </c>
      <c r="D5" s="83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4">
        <v>2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【超級】聖なる夜に祝福を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5" t="s">
        <v>227</v>
      </c>
      <c r="I5" s="84" t="s">
        <v>228</v>
      </c>
      <c r="J5" s="84">
        <v>4</v>
      </c>
      <c r="K5" s="84">
        <v>50</v>
      </c>
      <c r="L5" s="84" t="s">
        <v>407</v>
      </c>
      <c r="M5" s="84">
        <v>702</v>
      </c>
      <c r="N5" s="97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/>
      </c>
      <c r="O5" s="84">
        <v>1</v>
      </c>
      <c r="P5" s="84">
        <v>1</v>
      </c>
      <c r="Q5" s="84">
        <v>1</v>
      </c>
      <c r="R5" s="84">
        <v>0</v>
      </c>
      <c r="S5" s="84">
        <v>0</v>
      </c>
      <c r="T5" s="84">
        <v>0</v>
      </c>
      <c r="U5" s="84">
        <v>0</v>
      </c>
      <c r="V5" s="84">
        <v>1</v>
      </c>
      <c r="W5" s="98" t="s">
        <v>230</v>
      </c>
      <c r="X5" s="99" t="s">
        <v>231</v>
      </c>
    </row>
    <row r="6" spans="1:24" x14ac:dyDescent="0.15">
      <c r="A6" s="96" t="str">
        <f t="shared" si="0"/>
        <v>47004_2_everyone_clear_5</v>
      </c>
      <c r="B6" s="82">
        <v>47004</v>
      </c>
      <c r="C6" s="83" t="str">
        <f ca="1">VLOOKUP($B6,OFFSET([2]quests!$A$1,0,0,COUNTA([2]quests!$A:$A),MATCH(C$1,[2]quests!$1:$1,0)-MATCH($B$1,[2]quests!$1:$1,0)+1),MATCH(C$1,[2]quests!$1:$1,0)-MATCH($B$1,[2]quests!$1:$1,0)+1,FALSE)</f>
        <v>聖なる夜に祝福を</v>
      </c>
      <c r="D6" s="83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4">
        <v>2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【超級】聖なる夜に祝福を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5" t="s">
        <v>227</v>
      </c>
      <c r="I6" s="84" t="s">
        <v>228</v>
      </c>
      <c r="J6" s="84">
        <v>5</v>
      </c>
      <c r="K6" s="84">
        <v>30</v>
      </c>
      <c r="L6" s="84" t="s">
        <v>407</v>
      </c>
      <c r="M6" s="84">
        <v>702</v>
      </c>
      <c r="N6" s="97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/>
      </c>
      <c r="O6" s="84">
        <v>2</v>
      </c>
      <c r="P6" s="84">
        <v>1</v>
      </c>
      <c r="Q6" s="84">
        <v>1</v>
      </c>
      <c r="R6" s="84">
        <v>0</v>
      </c>
      <c r="S6" s="84">
        <v>0</v>
      </c>
      <c r="T6" s="84">
        <v>0</v>
      </c>
      <c r="U6" s="84">
        <v>0</v>
      </c>
      <c r="V6" s="84">
        <v>1</v>
      </c>
      <c r="W6" s="98" t="s">
        <v>230</v>
      </c>
      <c r="X6" s="99" t="s">
        <v>231</v>
      </c>
    </row>
    <row r="7" spans="1:24" x14ac:dyDescent="0.15">
      <c r="A7" s="96" t="str">
        <f t="shared" si="0"/>
        <v>47004_2_everyone_clear_6</v>
      </c>
      <c r="B7" s="82">
        <v>47004</v>
      </c>
      <c r="C7" s="83" t="str">
        <f ca="1">VLOOKUP($B7,OFFSET([2]quests!$A$1,0,0,COUNTA([2]quests!$A:$A),MATCH(C$1,[2]quests!$1:$1,0)-MATCH($B$1,[2]quests!$1:$1,0)+1),MATCH(C$1,[2]quests!$1:$1,0)-MATCH($B$1,[2]quests!$1:$1,0)+1,FALSE)</f>
        <v>聖なる夜に祝福を</v>
      </c>
      <c r="D7" s="83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4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【超級】聖なる夜に祝福を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5" t="s">
        <v>227</v>
      </c>
      <c r="I7" s="84" t="s">
        <v>228</v>
      </c>
      <c r="J7" s="84">
        <v>6</v>
      </c>
      <c r="K7" s="84">
        <v>12</v>
      </c>
      <c r="L7" s="84" t="s">
        <v>407</v>
      </c>
      <c r="M7" s="84">
        <v>702</v>
      </c>
      <c r="N7" s="97" t="str">
        <f ca="1">IF(L7="unit",VLOOKUP($M7,OFFSET([4]characters!$A$1,0,0,COUNTA([4]characters!$A:$A),MATCH(N$1,[4]characters!$1:$1,0)-MATCH("character_id",[4]characters!$1:$1,0)+1),MATCH(N$1,[4]characters!$1:$1,0)-MATCH("character_id",[4]characters!$1:$1,0)+1,FALSE),"")</f>
        <v/>
      </c>
      <c r="O7" s="84">
        <v>3</v>
      </c>
      <c r="P7" s="84">
        <v>1</v>
      </c>
      <c r="Q7" s="84">
        <v>1</v>
      </c>
      <c r="R7" s="84">
        <v>0</v>
      </c>
      <c r="S7" s="84">
        <v>0</v>
      </c>
      <c r="T7" s="84">
        <v>0</v>
      </c>
      <c r="U7" s="84">
        <v>0</v>
      </c>
      <c r="V7" s="84">
        <v>1</v>
      </c>
      <c r="W7" s="98" t="s">
        <v>230</v>
      </c>
      <c r="X7" s="99" t="s">
        <v>231</v>
      </c>
    </row>
    <row r="8" spans="1:24" x14ac:dyDescent="0.15">
      <c r="A8" s="96" t="str">
        <f t="shared" si="0"/>
        <v>47004_2_everyone_clear_7</v>
      </c>
      <c r="B8" s="82">
        <v>47004</v>
      </c>
      <c r="C8" s="83" t="str">
        <f ca="1">VLOOKUP($B8,OFFSET([2]quests!$A$1,0,0,COUNTA([2]quests!$A:$A),MATCH(C$1,[2]quests!$1:$1,0)-MATCH($B$1,[2]quests!$1:$1,0)+1),MATCH(C$1,[2]quests!$1:$1,0)-MATCH($B$1,[2]quests!$1:$1,0)+1,FALSE)</f>
        <v>聖なる夜に祝福を</v>
      </c>
      <c r="D8" s="83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4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【超級】聖なる夜に祝福を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85" t="s">
        <v>227</v>
      </c>
      <c r="I8" s="84" t="s">
        <v>228</v>
      </c>
      <c r="J8" s="84">
        <v>7</v>
      </c>
      <c r="K8" s="84">
        <v>5</v>
      </c>
      <c r="L8" s="84" t="s">
        <v>407</v>
      </c>
      <c r="M8" s="84">
        <v>702</v>
      </c>
      <c r="N8" s="97" t="str">
        <f ca="1">IF(L8="unit",VLOOKUP($M8,OFFSET([4]characters!$A$1,0,0,COUNTA([4]characters!$A:$A),MATCH(N$1,[4]characters!$1:$1,0)-MATCH("character_id",[4]characters!$1:$1,0)+1),MATCH(N$1,[4]characters!$1:$1,0)-MATCH("character_id",[4]characters!$1:$1,0)+1,FALSE),"")</f>
        <v/>
      </c>
      <c r="O8" s="84">
        <v>4</v>
      </c>
      <c r="P8" s="84">
        <v>1</v>
      </c>
      <c r="Q8" s="84">
        <v>1</v>
      </c>
      <c r="R8" s="84">
        <v>0</v>
      </c>
      <c r="S8" s="84">
        <v>0</v>
      </c>
      <c r="T8" s="84">
        <v>0</v>
      </c>
      <c r="U8" s="84">
        <v>0</v>
      </c>
      <c r="V8" s="84">
        <v>1</v>
      </c>
      <c r="W8" s="98" t="s">
        <v>230</v>
      </c>
      <c r="X8" s="99" t="s">
        <v>231</v>
      </c>
    </row>
    <row r="9" spans="1:24" x14ac:dyDescent="0.15">
      <c r="A9" s="96" t="str">
        <f t="shared" si="0"/>
        <v>47004_2_everyone_clear_8</v>
      </c>
      <c r="B9" s="82">
        <v>47004</v>
      </c>
      <c r="C9" s="83" t="str">
        <f ca="1">VLOOKUP($B9,OFFSET([2]quests!$A$1,0,0,COUNTA([2]quests!$A:$A),MATCH(C$1,[2]quests!$1:$1,0)-MATCH($B$1,[2]quests!$1:$1,0)+1),MATCH(C$1,[2]quests!$1:$1,0)-MATCH($B$1,[2]quests!$1:$1,0)+1,FALSE)</f>
        <v>聖なる夜に祝福を</v>
      </c>
      <c r="D9" s="83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【超級】聖なる夜に祝福を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5" t="s">
        <v>227</v>
      </c>
      <c r="I9" s="84" t="s">
        <v>228</v>
      </c>
      <c r="J9" s="84">
        <v>8</v>
      </c>
      <c r="K9" s="84">
        <v>3</v>
      </c>
      <c r="L9" s="84" t="s">
        <v>407</v>
      </c>
      <c r="M9" s="84">
        <v>702</v>
      </c>
      <c r="N9" s="97" t="str">
        <f ca="1">IF(L9="unit",VLOOKUP($M9,OFFSET([4]characters!$A$1,0,0,COUNTA([4]characters!$A:$A),MATCH(N$1,[4]characters!$1:$1,0)-MATCH("character_id",[4]characters!$1:$1,0)+1),MATCH(N$1,[4]characters!$1:$1,0)-MATCH("character_id",[4]characters!$1:$1,0)+1,FALSE),"")</f>
        <v/>
      </c>
      <c r="O9" s="84">
        <v>5</v>
      </c>
      <c r="P9" s="84">
        <v>1</v>
      </c>
      <c r="Q9" s="84">
        <v>1</v>
      </c>
      <c r="R9" s="84">
        <v>0</v>
      </c>
      <c r="S9" s="84">
        <v>0</v>
      </c>
      <c r="T9" s="84">
        <v>0</v>
      </c>
      <c r="U9" s="84">
        <v>0</v>
      </c>
      <c r="V9" s="84">
        <v>1</v>
      </c>
      <c r="W9" s="98" t="s">
        <v>230</v>
      </c>
      <c r="X9" s="99" t="s">
        <v>231</v>
      </c>
    </row>
    <row r="10" spans="1:24" x14ac:dyDescent="0.15">
      <c r="A10" s="96" t="str">
        <f t="shared" si="0"/>
        <v>47004_3_everyone_clear_9</v>
      </c>
      <c r="B10" s="82">
        <v>47004</v>
      </c>
      <c r="C10" s="83" t="str">
        <f ca="1">VLOOKUP($B10,OFFSET([2]quests!$A$1,0,0,COUNTA([2]quests!$A:$A),MATCH(C$1,[2]quests!$1:$1,0)-MATCH($B$1,[2]quests!$1:$1,0)+1),MATCH(C$1,[2]quests!$1:$1,0)-MATCH($B$1,[2]quests!$1:$1,0)+1,FALSE)</f>
        <v>聖なる夜に祝福を</v>
      </c>
      <c r="D10" s="83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123">
        <v>3</v>
      </c>
      <c r="F10" s="122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10" s="122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122" t="s">
        <v>227</v>
      </c>
      <c r="I10" s="123" t="s">
        <v>228</v>
      </c>
      <c r="J10" s="123">
        <v>9</v>
      </c>
      <c r="K10" s="123">
        <v>2</v>
      </c>
      <c r="L10" s="123" t="s">
        <v>229</v>
      </c>
      <c r="M10" s="123">
        <v>1284</v>
      </c>
      <c r="N10" s="123" t="str">
        <f ca="1">IF(L10="unit",VLOOKUP($M10,OFFSET([4]characters!$A$1,0,0,COUNTA([4]characters!$A:$A),MATCH(N$1,[4]characters!$1:$1,0)-MATCH("character_id",[4]characters!$1:$1,0)+1),MATCH(N$1,[4]characters!$1:$1,0)-MATCH("character_id",[4]characters!$1:$1,0)+1,FALSE),"")</f>
        <v>マシン・シュプール</v>
      </c>
      <c r="O10" s="123">
        <v>1</v>
      </c>
      <c r="P10" s="123">
        <v>1</v>
      </c>
      <c r="Q10" s="123">
        <v>1</v>
      </c>
      <c r="R10" s="123">
        <v>0</v>
      </c>
      <c r="S10" s="123">
        <v>0</v>
      </c>
      <c r="T10" s="123">
        <v>0</v>
      </c>
      <c r="U10" s="123">
        <v>0</v>
      </c>
      <c r="V10" s="123">
        <v>1</v>
      </c>
      <c r="W10" s="98" t="s">
        <v>230</v>
      </c>
      <c r="X10" s="99" t="s">
        <v>231</v>
      </c>
    </row>
    <row r="11" spans="1:24" x14ac:dyDescent="0.15">
      <c r="A11" s="96" t="str">
        <f t="shared" si="0"/>
        <v>47004_3_everyone_clear_10</v>
      </c>
      <c r="B11" s="82">
        <v>47004</v>
      </c>
      <c r="C11" s="83" t="str">
        <f ca="1">VLOOKUP($B11,OFFSET([2]quests!$A$1,0,0,COUNTA([2]quests!$A:$A),MATCH(C$1,[2]quests!$1:$1,0)-MATCH($B$1,[2]quests!$1:$1,0)+1),MATCH(C$1,[2]quests!$1:$1,0)-MATCH($B$1,[2]quests!$1:$1,0)+1,FALSE)</f>
        <v>聖なる夜に祝福を</v>
      </c>
      <c r="D11" s="83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123">
        <v>3</v>
      </c>
      <c r="F11" s="122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11" s="122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122" t="s">
        <v>227</v>
      </c>
      <c r="I11" s="123" t="s">
        <v>228</v>
      </c>
      <c r="J11" s="123">
        <v>10</v>
      </c>
      <c r="K11" s="123">
        <v>70</v>
      </c>
      <c r="L11" s="123" t="s">
        <v>408</v>
      </c>
      <c r="M11" s="123">
        <v>702</v>
      </c>
      <c r="N11" s="123" t="str">
        <f ca="1">IF(L11="unit",VLOOKUP($M11,OFFSET([4]characters!$A$1,0,0,COUNTA([4]characters!$A:$A),MATCH(N$1,[4]characters!$1:$1,0)-MATCH("character_id",[4]characters!$1:$1,0)+1),MATCH(N$1,[4]characters!$1:$1,0)-MATCH("character_id",[4]characters!$1:$1,0)+1,FALSE),"")</f>
        <v/>
      </c>
      <c r="O11" s="123">
        <v>3</v>
      </c>
      <c r="P11" s="123">
        <v>1</v>
      </c>
      <c r="Q11" s="123">
        <v>1</v>
      </c>
      <c r="R11" s="123">
        <v>0</v>
      </c>
      <c r="S11" s="123">
        <v>0</v>
      </c>
      <c r="T11" s="123">
        <v>0</v>
      </c>
      <c r="U11" s="123">
        <v>0</v>
      </c>
      <c r="V11" s="123">
        <v>1</v>
      </c>
      <c r="W11" s="98" t="s">
        <v>230</v>
      </c>
      <c r="X11" s="99" t="s">
        <v>231</v>
      </c>
    </row>
    <row r="12" spans="1:24" x14ac:dyDescent="0.15">
      <c r="A12" s="96" t="str">
        <f t="shared" si="0"/>
        <v>47004_3_everyone_clear_11</v>
      </c>
      <c r="B12" s="82">
        <v>47004</v>
      </c>
      <c r="C12" s="83" t="str">
        <f ca="1">VLOOKUP($B12,OFFSET([2]quests!$A$1,0,0,COUNTA([2]quests!$A:$A),MATCH(C$1,[2]quests!$1:$1,0)-MATCH($B$1,[2]quests!$1:$1,0)+1),MATCH(C$1,[2]quests!$1:$1,0)-MATCH($B$1,[2]quests!$1:$1,0)+1,FALSE)</f>
        <v>聖なる夜に祝福を</v>
      </c>
      <c r="D12" s="83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123">
        <v>3</v>
      </c>
      <c r="F12" s="122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12" s="122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122" t="s">
        <v>227</v>
      </c>
      <c r="I12" s="123" t="s">
        <v>228</v>
      </c>
      <c r="J12" s="123">
        <v>11</v>
      </c>
      <c r="K12" s="123">
        <v>18</v>
      </c>
      <c r="L12" s="123" t="s">
        <v>408</v>
      </c>
      <c r="M12" s="123">
        <v>702</v>
      </c>
      <c r="N12" s="123" t="str">
        <f ca="1">IF(L12="unit",VLOOKUP($M12,OFFSET([4]characters!$A$1,0,0,COUNTA([4]characters!$A:$A),MATCH(N$1,[4]characters!$1:$1,0)-MATCH("character_id",[4]characters!$1:$1,0)+1),MATCH(N$1,[4]characters!$1:$1,0)-MATCH("character_id",[4]characters!$1:$1,0)+1,FALSE),"")</f>
        <v/>
      </c>
      <c r="O12" s="123">
        <v>4</v>
      </c>
      <c r="P12" s="123">
        <v>1</v>
      </c>
      <c r="Q12" s="123">
        <v>1</v>
      </c>
      <c r="R12" s="123">
        <v>0</v>
      </c>
      <c r="S12" s="123">
        <v>0</v>
      </c>
      <c r="T12" s="123">
        <v>0</v>
      </c>
      <c r="U12" s="123">
        <v>0</v>
      </c>
      <c r="V12" s="123">
        <v>1</v>
      </c>
      <c r="W12" s="98" t="s">
        <v>230</v>
      </c>
      <c r="X12" s="99" t="s">
        <v>231</v>
      </c>
    </row>
    <row r="13" spans="1:24" x14ac:dyDescent="0.15">
      <c r="A13" s="96" t="str">
        <f t="shared" si="0"/>
        <v>47004_3_everyone_clear_12</v>
      </c>
      <c r="B13" s="82">
        <v>47004</v>
      </c>
      <c r="C13" s="83" t="str">
        <f ca="1">VLOOKUP($B13,OFFSET([2]quests!$A$1,0,0,COUNTA([2]quests!$A:$A),MATCH(C$1,[2]quests!$1:$1,0)-MATCH($B$1,[2]quests!$1:$1,0)+1),MATCH(C$1,[2]quests!$1:$1,0)-MATCH($B$1,[2]quests!$1:$1,0)+1,FALSE)</f>
        <v>聖なる夜に祝福を</v>
      </c>
      <c r="D13" s="83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123">
        <v>3</v>
      </c>
      <c r="F13" s="122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【超絶級】聖なる夜に祝福を</v>
      </c>
      <c r="G13" s="122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122" t="s">
        <v>227</v>
      </c>
      <c r="I13" s="123" t="s">
        <v>228</v>
      </c>
      <c r="J13" s="123">
        <v>12</v>
      </c>
      <c r="K13" s="123">
        <v>10</v>
      </c>
      <c r="L13" s="123" t="s">
        <v>408</v>
      </c>
      <c r="M13" s="123">
        <v>702</v>
      </c>
      <c r="N13" s="123" t="str">
        <f ca="1">IF(L13="unit",VLOOKUP($M13,OFFSET([4]characters!$A$1,0,0,COUNTA([4]characters!$A:$A),MATCH(N$1,[4]characters!$1:$1,0)-MATCH("character_id",[4]characters!$1:$1,0)+1),MATCH(N$1,[4]characters!$1:$1,0)-MATCH("character_id",[4]characters!$1:$1,0)+1,FALSE),"")</f>
        <v/>
      </c>
      <c r="O13" s="123">
        <v>5</v>
      </c>
      <c r="P13" s="123">
        <v>1</v>
      </c>
      <c r="Q13" s="123">
        <v>1</v>
      </c>
      <c r="R13" s="123">
        <v>0</v>
      </c>
      <c r="S13" s="123">
        <v>0</v>
      </c>
      <c r="T13" s="123">
        <v>0</v>
      </c>
      <c r="U13" s="123">
        <v>0</v>
      </c>
      <c r="V13" s="123">
        <v>1</v>
      </c>
      <c r="W13" s="98" t="s">
        <v>230</v>
      </c>
      <c r="X13" s="99" t="s">
        <v>231</v>
      </c>
    </row>
    <row r="14" spans="1:24" x14ac:dyDescent="0.15">
      <c r="A14" s="96" t="str">
        <f t="shared" si="0"/>
        <v>47004_4_everyone_clear_13</v>
      </c>
      <c r="B14" s="82">
        <v>47004</v>
      </c>
      <c r="C14" s="83" t="str">
        <f ca="1">VLOOKUP($B14,OFFSET([2]quests!$A$1,0,0,COUNTA([2]quests!$A:$A),MATCH(C$1,[2]quests!$1:$1,0)-MATCH($B$1,[2]quests!$1:$1,0)+1),MATCH(C$1,[2]quests!$1:$1,0)-MATCH($B$1,[2]quests!$1:$1,0)+1,FALSE)</f>
        <v>聖なる夜に祝福を</v>
      </c>
      <c r="D14" s="83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84">
        <v>4</v>
      </c>
      <c r="F14" s="85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14" s="85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85" t="s">
        <v>227</v>
      </c>
      <c r="I14" s="84" t="s">
        <v>228</v>
      </c>
      <c r="J14" s="84">
        <v>13</v>
      </c>
      <c r="K14" s="84">
        <v>5</v>
      </c>
      <c r="L14" s="84" t="s">
        <v>229</v>
      </c>
      <c r="M14" s="84">
        <v>1284</v>
      </c>
      <c r="N14" s="84" t="str">
        <f ca="1">IF(L14="unit",VLOOKUP($M14,OFFSET([4]characters!$A$1,0,0,COUNTA([4]characters!$A:$A),MATCH(N$1,[4]characters!$1:$1,0)-MATCH("character_id",[4]characters!$1:$1,0)+1),MATCH(N$1,[4]characters!$1:$1,0)-MATCH("character_id",[4]characters!$1:$1,0)+1,FALSE),"")</f>
        <v>マシン・シュプール</v>
      </c>
      <c r="O14" s="84">
        <v>1</v>
      </c>
      <c r="P14" s="84">
        <v>1</v>
      </c>
      <c r="Q14" s="84">
        <v>1</v>
      </c>
      <c r="R14" s="84">
        <v>0</v>
      </c>
      <c r="S14" s="84">
        <v>0</v>
      </c>
      <c r="T14" s="84">
        <v>0</v>
      </c>
      <c r="U14" s="84">
        <v>0</v>
      </c>
      <c r="V14" s="84">
        <v>1</v>
      </c>
      <c r="W14" s="98" t="s">
        <v>230</v>
      </c>
      <c r="X14" s="99" t="s">
        <v>231</v>
      </c>
    </row>
    <row r="15" spans="1:24" x14ac:dyDescent="0.15">
      <c r="A15" s="96" t="str">
        <f t="shared" si="0"/>
        <v>47004_4_everyone_clear_14</v>
      </c>
      <c r="B15" s="82">
        <v>47004</v>
      </c>
      <c r="C15" s="83" t="str">
        <f ca="1">VLOOKUP($B15,OFFSET([2]quests!$A$1,0,0,COUNTA([2]quests!$A:$A),MATCH(C$1,[2]quests!$1:$1,0)-MATCH($B$1,[2]quests!$1:$1,0)+1),MATCH(C$1,[2]quests!$1:$1,0)-MATCH($B$1,[2]quests!$1:$1,0)+1,FALSE)</f>
        <v>聖なる夜に祝福を</v>
      </c>
      <c r="D15" s="83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4">
        <v>4</v>
      </c>
      <c r="F15" s="85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15" s="85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85" t="s">
        <v>227</v>
      </c>
      <c r="I15" s="84" t="s">
        <v>228</v>
      </c>
      <c r="J15" s="84">
        <v>14</v>
      </c>
      <c r="K15" s="84">
        <v>5</v>
      </c>
      <c r="L15" s="84" t="s">
        <v>409</v>
      </c>
      <c r="M15" s="84">
        <v>702</v>
      </c>
      <c r="N15" s="84" t="str">
        <f ca="1">IF(L15="unit",VLOOKUP($M15,OFFSET([4]characters!$A$1,0,0,COUNTA([4]characters!$A:$A),MATCH(N$1,[4]characters!$1:$1,0)-MATCH("character_id",[4]characters!$1:$1,0)+1),MATCH(N$1,[4]characters!$1:$1,0)-MATCH("character_id",[4]characters!$1:$1,0)+1,FALSE),"")</f>
        <v/>
      </c>
      <c r="O15" s="84">
        <v>3</v>
      </c>
      <c r="P15" s="84">
        <v>1</v>
      </c>
      <c r="Q15" s="84">
        <v>1</v>
      </c>
      <c r="R15" s="84">
        <v>0</v>
      </c>
      <c r="S15" s="84">
        <v>0</v>
      </c>
      <c r="T15" s="84">
        <v>0</v>
      </c>
      <c r="U15" s="84">
        <v>0</v>
      </c>
      <c r="V15" s="84">
        <v>1</v>
      </c>
      <c r="W15" s="98" t="s">
        <v>230</v>
      </c>
      <c r="X15" s="99" t="s">
        <v>231</v>
      </c>
    </row>
    <row r="16" spans="1:24" x14ac:dyDescent="0.15">
      <c r="A16" s="96" t="str">
        <f t="shared" si="0"/>
        <v>47004_4_everyone_clear_15</v>
      </c>
      <c r="B16" s="82">
        <v>47004</v>
      </c>
      <c r="C16" s="83" t="str">
        <f ca="1">VLOOKUP($B16,OFFSET([2]quests!$A$1,0,0,COUNTA([2]quests!$A:$A),MATCH(C$1,[2]quests!$1:$1,0)-MATCH($B$1,[2]quests!$1:$1,0)+1),MATCH(C$1,[2]quests!$1:$1,0)-MATCH($B$1,[2]quests!$1:$1,0)+1,FALSE)</f>
        <v>聖なる夜に祝福を</v>
      </c>
      <c r="D16" s="83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84">
        <v>4</v>
      </c>
      <c r="F16" s="85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16" s="85" t="str">
        <f ca="1">VLOOKUP($B16&amp;"_"&amp;$E16,OFFSET([2]stages!$A$1,0,0,COUNTA([2]stages!$A:$A),MATCH(G$1,[2]stages!$2:$2,0)-MATCH("temp_stage",[2]stages!$2:$2,0)+1),MATCH(G$1,[2]stages!$2:$2,0)-MATCH("temp_stage",[2]stages!$2:$2,0)+1,FALSE)</f>
        <v>季節イベント</v>
      </c>
      <c r="H16" s="85" t="s">
        <v>227</v>
      </c>
      <c r="I16" s="84" t="s">
        <v>228</v>
      </c>
      <c r="J16" s="84">
        <v>15</v>
      </c>
      <c r="K16" s="84">
        <v>25</v>
      </c>
      <c r="L16" s="84" t="s">
        <v>409</v>
      </c>
      <c r="M16" s="84">
        <v>702</v>
      </c>
      <c r="N16" s="84" t="str">
        <f ca="1">IF(L16="unit",VLOOKUP($M16,OFFSET([4]characters!$A$1,0,0,COUNTA([4]characters!$A:$A),MATCH(N$1,[4]characters!$1:$1,0)-MATCH("character_id",[4]characters!$1:$1,0)+1),MATCH(N$1,[4]characters!$1:$1,0)-MATCH("character_id",[4]characters!$1:$1,0)+1,FALSE),"")</f>
        <v/>
      </c>
      <c r="O16" s="84">
        <v>4</v>
      </c>
      <c r="P16" s="84">
        <v>1</v>
      </c>
      <c r="Q16" s="84">
        <v>1</v>
      </c>
      <c r="R16" s="84">
        <v>0</v>
      </c>
      <c r="S16" s="84">
        <v>0</v>
      </c>
      <c r="T16" s="84">
        <v>0</v>
      </c>
      <c r="U16" s="84">
        <v>0</v>
      </c>
      <c r="V16" s="84">
        <v>1</v>
      </c>
      <c r="W16" s="98" t="s">
        <v>230</v>
      </c>
      <c r="X16" s="99" t="s">
        <v>231</v>
      </c>
    </row>
    <row r="17" spans="1:24" x14ac:dyDescent="0.15">
      <c r="A17" s="96" t="str">
        <f t="shared" si="0"/>
        <v>47004_4_everyone_clear_16</v>
      </c>
      <c r="B17" s="82">
        <v>47004</v>
      </c>
      <c r="C17" s="83" t="str">
        <f ca="1">VLOOKUP($B17,OFFSET([2]quests!$A$1,0,0,COUNTA([2]quests!$A:$A),MATCH(C$1,[2]quests!$1:$1,0)-MATCH($B$1,[2]quests!$1:$1,0)+1),MATCH(C$1,[2]quests!$1:$1,0)-MATCH($B$1,[2]quests!$1:$1,0)+1,FALSE)</f>
        <v>聖なる夜に祝福を</v>
      </c>
      <c r="D17" s="83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84">
        <v>4</v>
      </c>
      <c r="F17" s="85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17" s="85" t="str">
        <f ca="1">VLOOKUP($B17&amp;"_"&amp;$E17,OFFSET([2]stages!$A$1,0,0,COUNTA([2]stages!$A:$A),MATCH(G$1,[2]stages!$2:$2,0)-MATCH("temp_stage",[2]stages!$2:$2,0)+1),MATCH(G$1,[2]stages!$2:$2,0)-MATCH("temp_stage",[2]stages!$2:$2,0)+1,FALSE)</f>
        <v>季節イベント</v>
      </c>
      <c r="H17" s="85" t="s">
        <v>227</v>
      </c>
      <c r="I17" s="84" t="s">
        <v>228</v>
      </c>
      <c r="J17" s="84">
        <v>16</v>
      </c>
      <c r="K17" s="84">
        <v>60</v>
      </c>
      <c r="L17" s="84" t="s">
        <v>409</v>
      </c>
      <c r="M17" s="84">
        <v>702</v>
      </c>
      <c r="N17" s="84" t="str">
        <f ca="1">IF(L17="unit",VLOOKUP($M17,OFFSET([4]characters!$A$1,0,0,COUNTA([4]characters!$A:$A),MATCH(N$1,[4]characters!$1:$1,0)-MATCH("character_id",[4]characters!$1:$1,0)+1),MATCH(N$1,[4]characters!$1:$1,0)-MATCH("character_id",[4]characters!$1:$1,0)+1,FALSE),"")</f>
        <v/>
      </c>
      <c r="O17" s="84">
        <v>5</v>
      </c>
      <c r="P17" s="84">
        <v>1</v>
      </c>
      <c r="Q17" s="84">
        <v>1</v>
      </c>
      <c r="R17" s="84">
        <v>0</v>
      </c>
      <c r="S17" s="84">
        <v>0</v>
      </c>
      <c r="T17" s="84">
        <v>0</v>
      </c>
      <c r="U17" s="84">
        <v>0</v>
      </c>
      <c r="V17" s="84">
        <v>1</v>
      </c>
      <c r="W17" s="98" t="s">
        <v>230</v>
      </c>
      <c r="X17" s="99" t="s">
        <v>231</v>
      </c>
    </row>
    <row r="18" spans="1:24" x14ac:dyDescent="0.15">
      <c r="A18" s="96" t="str">
        <f t="shared" si="0"/>
        <v>47004_4_everyone_clear_17</v>
      </c>
      <c r="B18" s="82">
        <v>47004</v>
      </c>
      <c r="C18" s="83" t="str">
        <f ca="1">VLOOKUP($B18,OFFSET([2]quests!$A$1,0,0,COUNTA([2]quests!$A:$A),MATCH(C$1,[2]quests!$1:$1,0)-MATCH($B$1,[2]quests!$1:$1,0)+1),MATCH(C$1,[2]quests!$1:$1,0)-MATCH($B$1,[2]quests!$1:$1,0)+1,FALSE)</f>
        <v>聖なる夜に祝福を</v>
      </c>
      <c r="D18" s="83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84">
        <v>4</v>
      </c>
      <c r="F18" s="85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18" s="85" t="str">
        <f ca="1">VLOOKUP($B18&amp;"_"&amp;$E18,OFFSET([2]stages!$A$1,0,0,COUNTA([2]stages!$A:$A),MATCH(G$1,[2]stages!$2:$2,0)-MATCH("temp_stage",[2]stages!$2:$2,0)+1),MATCH(G$1,[2]stages!$2:$2,0)-MATCH("temp_stage",[2]stages!$2:$2,0)+1,FALSE)</f>
        <v>季節イベント</v>
      </c>
      <c r="H18" s="85" t="s">
        <v>227</v>
      </c>
      <c r="I18" s="84" t="s">
        <v>228</v>
      </c>
      <c r="J18" s="84">
        <v>17</v>
      </c>
      <c r="K18" s="84">
        <v>5</v>
      </c>
      <c r="L18" s="84" t="s">
        <v>409</v>
      </c>
      <c r="M18" s="84">
        <v>702</v>
      </c>
      <c r="N18" s="84" t="str">
        <f ca="1">IF(L18="unit",VLOOKUP($M18,OFFSET([4]characters!$A$1,0,0,COUNTA([4]characters!$A:$A),MATCH(N$1,[4]characters!$1:$1,0)-MATCH("character_id",[4]characters!$1:$1,0)+1),MATCH(N$1,[4]characters!$1:$1,0)-MATCH("character_id",[4]characters!$1:$1,0)+1,FALSE),"")</f>
        <v/>
      </c>
      <c r="O18" s="84">
        <v>10</v>
      </c>
      <c r="P18" s="84">
        <v>1</v>
      </c>
      <c r="Q18" s="84">
        <v>1</v>
      </c>
      <c r="R18" s="84">
        <v>0</v>
      </c>
      <c r="S18" s="84">
        <v>0</v>
      </c>
      <c r="T18" s="84">
        <v>0</v>
      </c>
      <c r="U18" s="84">
        <v>0</v>
      </c>
      <c r="V18" s="84">
        <v>1</v>
      </c>
      <c r="W18" s="98" t="s">
        <v>230</v>
      </c>
      <c r="X18" s="99" t="s">
        <v>231</v>
      </c>
    </row>
    <row r="19" spans="1:24" x14ac:dyDescent="0.15">
      <c r="A19" s="96" t="str">
        <f t="shared" si="0"/>
        <v>47004_4_everyone_no_continue_18</v>
      </c>
      <c r="B19" s="82">
        <v>47004</v>
      </c>
      <c r="C19" s="83" t="str">
        <f ca="1">VLOOKUP($B19,OFFSET([2]quests!$A$1,0,0,COUNTA([2]quests!$A:$A),MATCH(C$1,[2]quests!$1:$1,0)-MATCH($B$1,[2]quests!$1:$1,0)+1),MATCH(C$1,[2]quests!$1:$1,0)-MATCH($B$1,[2]quests!$1:$1,0)+1,FALSE)</f>
        <v>聖なる夜に祝福を</v>
      </c>
      <c r="D19" s="83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84">
        <v>4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季節イベント</v>
      </c>
      <c r="H19" s="85" t="s">
        <v>227</v>
      </c>
      <c r="I19" s="84" t="s">
        <v>410</v>
      </c>
      <c r="J19" s="84">
        <v>18</v>
      </c>
      <c r="K19" s="84">
        <v>25</v>
      </c>
      <c r="L19" s="84" t="s">
        <v>229</v>
      </c>
      <c r="M19" s="84">
        <v>1284</v>
      </c>
      <c r="N19" s="97" t="str">
        <f ca="1">IF(L19="unit",VLOOKUP($M19,OFFSET([4]characters!$A$1,0,0,COUNTA([4]characters!$A:$A),MATCH(N$1,[4]characters!$1:$1,0)-MATCH("character_id",[4]characters!$1:$1,0)+1),MATCH(N$1,[4]characters!$1:$1,0)-MATCH("character_id",[4]characters!$1:$1,0)+1,FALSE),"")</f>
        <v>マシン・シュプール</v>
      </c>
      <c r="O19" s="84">
        <v>1</v>
      </c>
      <c r="P19" s="84">
        <v>1</v>
      </c>
      <c r="Q19" s="84">
        <v>1</v>
      </c>
      <c r="R19" s="84">
        <v>0</v>
      </c>
      <c r="S19" s="84">
        <v>0</v>
      </c>
      <c r="T19" s="84">
        <v>0</v>
      </c>
      <c r="U19" s="84">
        <v>0</v>
      </c>
      <c r="V19" s="84">
        <v>1</v>
      </c>
      <c r="W19" s="98" t="s">
        <v>230</v>
      </c>
      <c r="X19" s="99" t="s">
        <v>231</v>
      </c>
    </row>
    <row r="20" spans="1:24" x14ac:dyDescent="0.15">
      <c r="A20" s="96" t="str">
        <f t="shared" si="0"/>
        <v>47004_4_everyone_no_continue_19</v>
      </c>
      <c r="B20" s="82">
        <v>47004</v>
      </c>
      <c r="C20" s="83" t="str">
        <f ca="1">VLOOKUP($B20,OFFSET([2]quests!$A$1,0,0,COUNTA([2]quests!$A:$A),MATCH(C$1,[2]quests!$1:$1,0)-MATCH($B$1,[2]quests!$1:$1,0)+1),MATCH(C$1,[2]quests!$1:$1,0)-MATCH($B$1,[2]quests!$1:$1,0)+1,FALSE)</f>
        <v>聖なる夜に祝福を</v>
      </c>
      <c r="D20" s="83" t="str">
        <f ca="1">VLOOKUP($B20,OFFSET([2]quests!$A$1,0,0,COUNTA([2]quests!$A:$A),MATCH(D$1,[2]quests!$1:$1,0)-MATCH($B$1,[2]quests!$1:$1,0)+1),MATCH(D$1,[2]quests!$1:$1,0)-MATCH($B$1,[2]quests!$1:$1,0)+1,FALSE)</f>
        <v>季節イベント</v>
      </c>
      <c r="E20" s="84">
        <v>4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季節イベント</v>
      </c>
      <c r="H20" s="85" t="s">
        <v>227</v>
      </c>
      <c r="I20" s="84" t="s">
        <v>410</v>
      </c>
      <c r="J20" s="84">
        <v>19</v>
      </c>
      <c r="K20" s="84">
        <v>70</v>
      </c>
      <c r="L20" s="84" t="s">
        <v>422</v>
      </c>
      <c r="M20" s="84">
        <v>702</v>
      </c>
      <c r="N20" s="97" t="str">
        <f ca="1">IF(L20="unit",VLOOKUP($M20,OFFSET([4]characters!$A$1,0,0,COUNTA([4]characters!$A:$A),MATCH(N$1,[4]characters!$1:$1,0)-MATCH("character_id",[4]characters!$1:$1,0)+1),MATCH(N$1,[4]characters!$1:$1,0)-MATCH("character_id",[4]characters!$1:$1,0)+1,FALSE),"")</f>
        <v/>
      </c>
      <c r="O20" s="84">
        <v>5</v>
      </c>
      <c r="P20" s="84">
        <v>1</v>
      </c>
      <c r="Q20" s="84">
        <v>1</v>
      </c>
      <c r="R20" s="84">
        <v>0</v>
      </c>
      <c r="S20" s="84">
        <v>0</v>
      </c>
      <c r="T20" s="84">
        <v>0</v>
      </c>
      <c r="U20" s="84">
        <v>0</v>
      </c>
      <c r="V20" s="84">
        <v>1</v>
      </c>
      <c r="W20" s="98" t="s">
        <v>230</v>
      </c>
      <c r="X20" s="99" t="s">
        <v>231</v>
      </c>
    </row>
    <row r="21" spans="1:24" x14ac:dyDescent="0.15">
      <c r="A21" s="96" t="str">
        <f t="shared" si="0"/>
        <v>47004_4_everyone_no_continue_20</v>
      </c>
      <c r="B21" s="82">
        <v>47004</v>
      </c>
      <c r="C21" s="83" t="str">
        <f ca="1">VLOOKUP($B21,OFFSET([2]quests!$A$1,0,0,COUNTA([2]quests!$A:$A),MATCH(C$1,[2]quests!$1:$1,0)-MATCH($B$1,[2]quests!$1:$1,0)+1),MATCH(C$1,[2]quests!$1:$1,0)-MATCH($B$1,[2]quests!$1:$1,0)+1,FALSE)</f>
        <v>聖なる夜に祝福を</v>
      </c>
      <c r="D21" s="83" t="str">
        <f ca="1">VLOOKUP($B21,OFFSET([2]quests!$A$1,0,0,COUNTA([2]quests!$A:$A),MATCH(D$1,[2]quests!$1:$1,0)-MATCH($B$1,[2]quests!$1:$1,0)+1),MATCH(D$1,[2]quests!$1:$1,0)-MATCH($B$1,[2]quests!$1:$1,0)+1,FALSE)</f>
        <v>季節イベント</v>
      </c>
      <c r="E21" s="84">
        <v>4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季節イベント</v>
      </c>
      <c r="H21" s="85" t="s">
        <v>227</v>
      </c>
      <c r="I21" s="84" t="s">
        <v>410</v>
      </c>
      <c r="J21" s="84">
        <v>20</v>
      </c>
      <c r="K21" s="84">
        <v>5</v>
      </c>
      <c r="L21" s="84" t="s">
        <v>423</v>
      </c>
      <c r="M21" s="84">
        <v>702</v>
      </c>
      <c r="N21" s="97" t="str">
        <f ca="1">IF(L21="unit",VLOOKUP($M21,OFFSET([4]characters!$A$1,0,0,COUNTA([4]characters!$A:$A),MATCH(N$1,[4]characters!$1:$1,0)-MATCH("character_id",[4]characters!$1:$1,0)+1),MATCH(N$1,[4]characters!$1:$1,0)-MATCH("character_id",[4]characters!$1:$1,0)+1,FALSE),"")</f>
        <v/>
      </c>
      <c r="O21" s="84">
        <v>10</v>
      </c>
      <c r="P21" s="84">
        <v>1</v>
      </c>
      <c r="Q21" s="84">
        <v>1</v>
      </c>
      <c r="R21" s="84">
        <v>0</v>
      </c>
      <c r="S21" s="84">
        <v>0</v>
      </c>
      <c r="T21" s="84">
        <v>0</v>
      </c>
      <c r="U21" s="84">
        <v>0</v>
      </c>
      <c r="V21" s="84">
        <v>1</v>
      </c>
      <c r="W21" s="98" t="s">
        <v>230</v>
      </c>
      <c r="X21" s="99" t="s">
        <v>231</v>
      </c>
    </row>
    <row r="22" spans="1:24" x14ac:dyDescent="0.15">
      <c r="A22" s="96" t="str">
        <f t="shared" si="0"/>
        <v>47004_4_everyone_full_member_21</v>
      </c>
      <c r="B22" s="82">
        <v>47004</v>
      </c>
      <c r="C22" s="83" t="str">
        <f ca="1">VLOOKUP($B22,OFFSET([2]quests!$A$1,0,0,COUNTA([2]quests!$A:$A),MATCH(C$1,[2]quests!$1:$1,0)-MATCH($B$1,[2]quests!$1:$1,0)+1),MATCH(C$1,[2]quests!$1:$1,0)-MATCH($B$1,[2]quests!$1:$1,0)+1,FALSE)</f>
        <v>聖なる夜に祝福を</v>
      </c>
      <c r="D22" s="83" t="str">
        <f ca="1">VLOOKUP($B22,OFFSET([2]quests!$A$1,0,0,COUNTA([2]quests!$A:$A),MATCH(D$1,[2]quests!$1:$1,0)-MATCH($B$1,[2]quests!$1:$1,0)+1),MATCH(D$1,[2]quests!$1:$1,0)-MATCH($B$1,[2]quests!$1:$1,0)+1,FALSE)</f>
        <v>季節イベント</v>
      </c>
      <c r="E22" s="84">
        <v>4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季節イベント</v>
      </c>
      <c r="H22" s="85" t="s">
        <v>227</v>
      </c>
      <c r="I22" s="84" t="s">
        <v>411</v>
      </c>
      <c r="J22" s="84">
        <v>21</v>
      </c>
      <c r="K22" s="84">
        <v>80</v>
      </c>
      <c r="L22" s="84" t="s">
        <v>229</v>
      </c>
      <c r="M22" s="84">
        <v>1284</v>
      </c>
      <c r="N22" s="97" t="str">
        <f ca="1">IF(L22="unit",VLOOKUP($M22,OFFSET([4]characters!$A$1,0,0,COUNTA([4]characters!$A:$A),MATCH(N$1,[4]characters!$1:$1,0)-MATCH("character_id",[4]characters!$1:$1,0)+1),MATCH(N$1,[4]characters!$1:$1,0)-MATCH("character_id",[4]characters!$1:$1,0)+1,FALSE),"")</f>
        <v>マシン・シュプール</v>
      </c>
      <c r="O22" s="84">
        <v>1</v>
      </c>
      <c r="P22" s="84">
        <v>1</v>
      </c>
      <c r="Q22" s="84">
        <v>1</v>
      </c>
      <c r="R22" s="84">
        <v>0</v>
      </c>
      <c r="S22" s="84">
        <v>0</v>
      </c>
      <c r="T22" s="84">
        <v>0</v>
      </c>
      <c r="U22" s="84">
        <v>0</v>
      </c>
      <c r="V22" s="84">
        <v>1</v>
      </c>
      <c r="W22" s="98" t="s">
        <v>230</v>
      </c>
      <c r="X22" s="99" t="s">
        <v>231</v>
      </c>
    </row>
    <row r="23" spans="1:24" x14ac:dyDescent="0.15">
      <c r="A23" s="96" t="str">
        <f t="shared" si="0"/>
        <v>47004_4_everyone_full_member_22</v>
      </c>
      <c r="B23" s="82">
        <v>47004</v>
      </c>
      <c r="C23" s="83" t="str">
        <f ca="1">VLOOKUP($B23,OFFSET([2]quests!$A$1,0,0,COUNTA([2]quests!$A:$A),MATCH(C$1,[2]quests!$1:$1,0)-MATCH($B$1,[2]quests!$1:$1,0)+1),MATCH(C$1,[2]quests!$1:$1,0)-MATCH($B$1,[2]quests!$1:$1,0)+1,FALSE)</f>
        <v>聖なる夜に祝福を</v>
      </c>
      <c r="D23" s="83" t="str">
        <f ca="1">VLOOKUP($B23,OFFSET([2]quests!$A$1,0,0,COUNTA([2]quests!$A:$A),MATCH(D$1,[2]quests!$1:$1,0)-MATCH($B$1,[2]quests!$1:$1,0)+1),MATCH(D$1,[2]quests!$1:$1,0)-MATCH($B$1,[2]quests!$1:$1,0)+1,FALSE)</f>
        <v>季節イベント</v>
      </c>
      <c r="E23" s="84">
        <v>4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季節イベント</v>
      </c>
      <c r="H23" s="85" t="s">
        <v>227</v>
      </c>
      <c r="I23" s="84" t="s">
        <v>411</v>
      </c>
      <c r="J23" s="84">
        <v>22</v>
      </c>
      <c r="K23" s="84">
        <v>15</v>
      </c>
      <c r="L23" s="84" t="s">
        <v>420</v>
      </c>
      <c r="M23" s="84">
        <v>702</v>
      </c>
      <c r="N23" s="97" t="str">
        <f ca="1">IF(L23="unit",VLOOKUP($M23,OFFSET([4]characters!$A$1,0,0,COUNTA([4]characters!$A:$A),MATCH(N$1,[4]characters!$1:$1,0)-MATCH("character_id",[4]characters!$1:$1,0)+1),MATCH(N$1,[4]characters!$1:$1,0)-MATCH("character_id",[4]characters!$1:$1,0)+1,FALSE),"")</f>
        <v/>
      </c>
      <c r="O23" s="84">
        <v>5</v>
      </c>
      <c r="P23" s="84">
        <v>1</v>
      </c>
      <c r="Q23" s="84">
        <v>1</v>
      </c>
      <c r="R23" s="84">
        <v>0</v>
      </c>
      <c r="S23" s="84">
        <v>0</v>
      </c>
      <c r="T23" s="84">
        <v>0</v>
      </c>
      <c r="U23" s="84">
        <v>0</v>
      </c>
      <c r="V23" s="84">
        <v>1</v>
      </c>
      <c r="W23" s="98" t="s">
        <v>230</v>
      </c>
      <c r="X23" s="99" t="s">
        <v>231</v>
      </c>
    </row>
    <row r="24" spans="1:24" x14ac:dyDescent="0.15">
      <c r="A24" s="96" t="str">
        <f t="shared" si="0"/>
        <v>47004_4_everyone_full_member_23</v>
      </c>
      <c r="B24" s="82">
        <v>47004</v>
      </c>
      <c r="C24" s="83" t="str">
        <f ca="1">VLOOKUP($B24,OFFSET([2]quests!$A$1,0,0,COUNTA([2]quests!$A:$A),MATCH(C$1,[2]quests!$1:$1,0)-MATCH($B$1,[2]quests!$1:$1,0)+1),MATCH(C$1,[2]quests!$1:$1,0)-MATCH($B$1,[2]quests!$1:$1,0)+1,FALSE)</f>
        <v>聖なる夜に祝福を</v>
      </c>
      <c r="D24" s="83" t="str">
        <f ca="1">VLOOKUP($B24,OFFSET([2]quests!$A$1,0,0,COUNTA([2]quests!$A:$A),MATCH(D$1,[2]quests!$1:$1,0)-MATCH($B$1,[2]quests!$1:$1,0)+1),MATCH(D$1,[2]quests!$1:$1,0)-MATCH($B$1,[2]quests!$1:$1,0)+1,FALSE)</f>
        <v>季節イベント</v>
      </c>
      <c r="E24" s="84">
        <v>4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【ウィザード級】聖なる夜に祝福を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季節イベント</v>
      </c>
      <c r="H24" s="85" t="s">
        <v>227</v>
      </c>
      <c r="I24" s="84" t="s">
        <v>411</v>
      </c>
      <c r="J24" s="84">
        <v>23</v>
      </c>
      <c r="K24" s="84">
        <v>5</v>
      </c>
      <c r="L24" s="84" t="s">
        <v>421</v>
      </c>
      <c r="M24" s="84">
        <v>702</v>
      </c>
      <c r="N24" s="97" t="str">
        <f ca="1">IF(L24="unit",VLOOKUP($M24,OFFSET([4]characters!$A$1,0,0,COUNTA([4]characters!$A:$A),MATCH(N$1,[4]characters!$1:$1,0)-MATCH("character_id",[4]characters!$1:$1,0)+1),MATCH(N$1,[4]characters!$1:$1,0)-MATCH("character_id",[4]characters!$1:$1,0)+1,FALSE),"")</f>
        <v/>
      </c>
      <c r="O24" s="84">
        <v>10</v>
      </c>
      <c r="P24" s="84">
        <v>1</v>
      </c>
      <c r="Q24" s="84">
        <v>1</v>
      </c>
      <c r="R24" s="84">
        <v>0</v>
      </c>
      <c r="S24" s="84">
        <v>0</v>
      </c>
      <c r="T24" s="84">
        <v>0</v>
      </c>
      <c r="U24" s="84">
        <v>0</v>
      </c>
      <c r="V24" s="84">
        <v>1</v>
      </c>
      <c r="W24" s="98" t="s">
        <v>230</v>
      </c>
      <c r="X24" s="99" t="s">
        <v>231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2017-05-18T10:47:38Z</dcterms:modified>
</cp:coreProperties>
</file>