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zakihitoshi/BULL_data/master_excel/"/>
    </mc:Choice>
  </mc:AlternateContent>
  <bookViews>
    <workbookView xWindow="3740" yWindow="460" windowWidth="29440" windowHeight="18980" tabRatio="740" firstSheet="2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1" i="21" l="1"/>
  <c r="P31" i="21"/>
  <c r="B31" i="21"/>
  <c r="I31" i="21"/>
  <c r="J31" i="21"/>
  <c r="G31" i="21"/>
  <c r="F31" i="21"/>
  <c r="D31" i="21"/>
  <c r="C31" i="21"/>
  <c r="Q30" i="21"/>
  <c r="P30" i="21"/>
  <c r="B30" i="21"/>
  <c r="I30" i="21"/>
  <c r="J30" i="21"/>
  <c r="G30" i="21"/>
  <c r="F30" i="21"/>
  <c r="D30" i="21"/>
  <c r="C30" i="21"/>
  <c r="Q29" i="21"/>
  <c r="P29" i="21"/>
  <c r="B29" i="21"/>
  <c r="I29" i="21"/>
  <c r="J29" i="21"/>
  <c r="G29" i="21"/>
  <c r="F29" i="21"/>
  <c r="D29" i="21"/>
  <c r="C29" i="21"/>
  <c r="Q28" i="21"/>
  <c r="P28" i="21"/>
  <c r="B28" i="21"/>
  <c r="I28" i="21"/>
  <c r="J28" i="21"/>
  <c r="G28" i="21"/>
  <c r="F28" i="21"/>
  <c r="D28" i="21"/>
  <c r="C28" i="21"/>
  <c r="Q27" i="21"/>
  <c r="P27" i="21"/>
  <c r="B27" i="21"/>
  <c r="I27" i="21"/>
  <c r="J27" i="21"/>
  <c r="G27" i="21"/>
  <c r="F27" i="21"/>
  <c r="D27" i="21"/>
  <c r="C27" i="21"/>
  <c r="Q26" i="21"/>
  <c r="P26" i="21"/>
  <c r="B26" i="21"/>
  <c r="I26" i="21"/>
  <c r="J26" i="21"/>
  <c r="G26" i="21"/>
  <c r="F26" i="21"/>
  <c r="D26" i="21"/>
  <c r="C26" i="21"/>
  <c r="Q25" i="21"/>
  <c r="P25" i="21"/>
  <c r="B25" i="21"/>
  <c r="I25" i="21"/>
  <c r="J25" i="21"/>
  <c r="G25" i="21"/>
  <c r="F25" i="21"/>
  <c r="D25" i="21"/>
  <c r="C25" i="21"/>
  <c r="Q24" i="21"/>
  <c r="P24" i="21"/>
  <c r="B24" i="21"/>
  <c r="I24" i="21"/>
  <c r="J24" i="21"/>
  <c r="G24" i="21"/>
  <c r="F24" i="21"/>
  <c r="D24" i="21"/>
  <c r="C24" i="21"/>
  <c r="Q23" i="21"/>
  <c r="P23" i="21"/>
  <c r="B23" i="21"/>
  <c r="I23" i="21"/>
  <c r="J23" i="21"/>
  <c r="G23" i="21"/>
  <c r="F23" i="21"/>
  <c r="D23" i="21"/>
  <c r="C23" i="21"/>
  <c r="Q22" i="21"/>
  <c r="P22" i="21"/>
  <c r="B22" i="21"/>
  <c r="I22" i="21"/>
  <c r="J22" i="21"/>
  <c r="G22" i="21"/>
  <c r="F22" i="21"/>
  <c r="D22" i="21"/>
  <c r="C22" i="21"/>
  <c r="Q21" i="21"/>
  <c r="P21" i="21"/>
  <c r="B21" i="21"/>
  <c r="I21" i="21"/>
  <c r="J21" i="21"/>
  <c r="G21" i="21"/>
  <c r="F21" i="21"/>
  <c r="D21" i="21"/>
  <c r="C21" i="21"/>
  <c r="Q20" i="21"/>
  <c r="P20" i="21"/>
  <c r="B20" i="21"/>
  <c r="I20" i="21"/>
  <c r="J20" i="21"/>
  <c r="G20" i="21"/>
  <c r="F20" i="21"/>
  <c r="D20" i="21"/>
  <c r="C20" i="21"/>
  <c r="Q19" i="21"/>
  <c r="P19" i="21"/>
  <c r="B19" i="21"/>
  <c r="I19" i="21"/>
  <c r="J19" i="21"/>
  <c r="G19" i="21"/>
  <c r="F19" i="21"/>
  <c r="D19" i="21"/>
  <c r="C19" i="21"/>
  <c r="Q18" i="21"/>
  <c r="P18" i="21"/>
  <c r="B18" i="21"/>
  <c r="I18" i="21"/>
  <c r="J18" i="21"/>
  <c r="G18" i="21"/>
  <c r="F18" i="21"/>
  <c r="D18" i="21"/>
  <c r="C18" i="21"/>
  <c r="Q17" i="21"/>
  <c r="P17" i="21"/>
  <c r="B17" i="21"/>
  <c r="I17" i="21"/>
  <c r="J17" i="21"/>
  <c r="G17" i="21"/>
  <c r="F17" i="21"/>
  <c r="D17" i="21"/>
  <c r="C17" i="21"/>
  <c r="Q16" i="21"/>
  <c r="P16" i="21"/>
  <c r="B16" i="21"/>
  <c r="I16" i="21"/>
  <c r="J16" i="21"/>
  <c r="G16" i="21"/>
  <c r="F16" i="21"/>
  <c r="D16" i="21"/>
  <c r="C16" i="21"/>
  <c r="Q15" i="21"/>
  <c r="P15" i="21"/>
  <c r="B15" i="21"/>
  <c r="I15" i="21"/>
  <c r="J15" i="21"/>
  <c r="G15" i="21"/>
  <c r="F15" i="21"/>
  <c r="D15" i="21"/>
  <c r="C15" i="21"/>
  <c r="Q14" i="21"/>
  <c r="P14" i="21"/>
  <c r="B14" i="21"/>
  <c r="I14" i="21"/>
  <c r="J14" i="21"/>
  <c r="G14" i="21"/>
  <c r="F14" i="21"/>
  <c r="D14" i="21"/>
  <c r="C14" i="21"/>
  <c r="Q13" i="21"/>
  <c r="P13" i="21"/>
  <c r="B13" i="21"/>
  <c r="I13" i="21"/>
  <c r="J13" i="21"/>
  <c r="G13" i="21"/>
  <c r="F13" i="21"/>
  <c r="D13" i="21"/>
  <c r="C13" i="21"/>
  <c r="Q12" i="21"/>
  <c r="P12" i="21"/>
  <c r="B12" i="21"/>
  <c r="I12" i="21"/>
  <c r="J12" i="21"/>
  <c r="G12" i="21"/>
  <c r="F12" i="21"/>
  <c r="D12" i="21"/>
  <c r="C12" i="21"/>
  <c r="Q11" i="21"/>
  <c r="P11" i="21"/>
  <c r="B11" i="21"/>
  <c r="I11" i="21"/>
  <c r="J11" i="21"/>
  <c r="G11" i="21"/>
  <c r="F11" i="21"/>
  <c r="D11" i="21"/>
  <c r="C11" i="21"/>
  <c r="Q10" i="21"/>
  <c r="P10" i="21"/>
  <c r="B10" i="21"/>
  <c r="I10" i="21"/>
  <c r="J10" i="21"/>
  <c r="G10" i="21"/>
  <c r="F10" i="21"/>
  <c r="D10" i="21"/>
  <c r="C10" i="21"/>
  <c r="Q61" i="21"/>
  <c r="P61" i="21"/>
  <c r="B61" i="21"/>
  <c r="I61" i="21"/>
  <c r="J61" i="21"/>
  <c r="G61" i="21"/>
  <c r="F61" i="21"/>
  <c r="D61" i="21"/>
  <c r="C61" i="21"/>
  <c r="Q60" i="21"/>
  <c r="P60" i="21"/>
  <c r="B60" i="21"/>
  <c r="I60" i="21"/>
  <c r="J60" i="21"/>
  <c r="G60" i="21"/>
  <c r="F60" i="21"/>
  <c r="D60" i="21"/>
  <c r="C60" i="21"/>
  <c r="Q59" i="21"/>
  <c r="P59" i="21"/>
  <c r="B59" i="21"/>
  <c r="I59" i="21"/>
  <c r="J59" i="21"/>
  <c r="G59" i="21"/>
  <c r="F59" i="21"/>
  <c r="D59" i="21"/>
  <c r="C59" i="21"/>
  <c r="Q58" i="21"/>
  <c r="P58" i="21"/>
  <c r="B58" i="21"/>
  <c r="I58" i="21"/>
  <c r="J58" i="21"/>
  <c r="G58" i="21"/>
  <c r="F58" i="21"/>
  <c r="D58" i="21"/>
  <c r="C58" i="21"/>
  <c r="Q57" i="21"/>
  <c r="P57" i="21"/>
  <c r="B57" i="21"/>
  <c r="I57" i="21"/>
  <c r="J57" i="21"/>
  <c r="G57" i="21"/>
  <c r="F57" i="21"/>
  <c r="D57" i="21"/>
  <c r="C57" i="21"/>
  <c r="Q56" i="21"/>
  <c r="P56" i="21"/>
  <c r="B56" i="21"/>
  <c r="I56" i="21"/>
  <c r="J56" i="21"/>
  <c r="G56" i="21"/>
  <c r="F56" i="21"/>
  <c r="D56" i="21"/>
  <c r="C56" i="21"/>
  <c r="Q55" i="21"/>
  <c r="P55" i="21"/>
  <c r="B55" i="21"/>
  <c r="I55" i="21"/>
  <c r="J55" i="21"/>
  <c r="G55" i="21"/>
  <c r="F55" i="21"/>
  <c r="D55" i="21"/>
  <c r="C55" i="21"/>
  <c r="Q54" i="21"/>
  <c r="P54" i="21"/>
  <c r="B54" i="21"/>
  <c r="I54" i="21"/>
  <c r="J54" i="21"/>
  <c r="G54" i="21"/>
  <c r="F54" i="21"/>
  <c r="D54" i="21"/>
  <c r="C54" i="21"/>
  <c r="Q53" i="21"/>
  <c r="P53" i="21"/>
  <c r="B53" i="21"/>
  <c r="I53" i="21"/>
  <c r="J53" i="21"/>
  <c r="G53" i="21"/>
  <c r="F53" i="21"/>
  <c r="D53" i="21"/>
  <c r="C53" i="21"/>
  <c r="Q52" i="21"/>
  <c r="P52" i="21"/>
  <c r="B52" i="21"/>
  <c r="I52" i="21"/>
  <c r="J52" i="21"/>
  <c r="G52" i="21"/>
  <c r="F52" i="21"/>
  <c r="D52" i="21"/>
  <c r="C52" i="21"/>
  <c r="Q51" i="21"/>
  <c r="P51" i="21"/>
  <c r="B51" i="21"/>
  <c r="I51" i="21"/>
  <c r="J51" i="21"/>
  <c r="G51" i="21"/>
  <c r="F51" i="21"/>
  <c r="D51" i="21"/>
  <c r="C51" i="21"/>
  <c r="Q50" i="21"/>
  <c r="P50" i="21"/>
  <c r="B50" i="21"/>
  <c r="I50" i="21"/>
  <c r="J50" i="21"/>
  <c r="G50" i="21"/>
  <c r="F50" i="21"/>
  <c r="D50" i="21"/>
  <c r="C50" i="21"/>
  <c r="Q49" i="21"/>
  <c r="P49" i="21"/>
  <c r="B49" i="21"/>
  <c r="I49" i="21"/>
  <c r="J49" i="21"/>
  <c r="G49" i="21"/>
  <c r="F49" i="21"/>
  <c r="D49" i="21"/>
  <c r="C49" i="21"/>
  <c r="Q48" i="21"/>
  <c r="P48" i="21"/>
  <c r="B48" i="21"/>
  <c r="I48" i="21"/>
  <c r="J48" i="21"/>
  <c r="G48" i="21"/>
  <c r="F48" i="21"/>
  <c r="D48" i="21"/>
  <c r="C48" i="21"/>
  <c r="Q47" i="21"/>
  <c r="P47" i="21"/>
  <c r="B47" i="21"/>
  <c r="I47" i="21"/>
  <c r="J47" i="21"/>
  <c r="G47" i="21"/>
  <c r="F47" i="21"/>
  <c r="D47" i="21"/>
  <c r="C47" i="21"/>
  <c r="Q46" i="21"/>
  <c r="P46" i="21"/>
  <c r="B46" i="21"/>
  <c r="I46" i="21"/>
  <c r="J46" i="21"/>
  <c r="G46" i="21"/>
  <c r="F46" i="21"/>
  <c r="D46" i="21"/>
  <c r="C46" i="21"/>
  <c r="Q45" i="21"/>
  <c r="P45" i="21"/>
  <c r="B45" i="21"/>
  <c r="I45" i="21"/>
  <c r="J45" i="21"/>
  <c r="G45" i="21"/>
  <c r="F45" i="21"/>
  <c r="D45" i="21"/>
  <c r="C45" i="21"/>
  <c r="Q44" i="21"/>
  <c r="P44" i="21"/>
  <c r="B44" i="21"/>
  <c r="I44" i="21"/>
  <c r="J44" i="21"/>
  <c r="G44" i="21"/>
  <c r="F44" i="21"/>
  <c r="D44" i="21"/>
  <c r="C44" i="21"/>
  <c r="Q43" i="21"/>
  <c r="P43" i="21"/>
  <c r="B43" i="21"/>
  <c r="I43" i="21"/>
  <c r="J43" i="21"/>
  <c r="G43" i="21"/>
  <c r="F43" i="21"/>
  <c r="D43" i="21"/>
  <c r="C43" i="21"/>
  <c r="Q42" i="21"/>
  <c r="P42" i="21"/>
  <c r="B42" i="21"/>
  <c r="I42" i="21"/>
  <c r="J42" i="21"/>
  <c r="G42" i="21"/>
  <c r="F42" i="21"/>
  <c r="D42" i="21"/>
  <c r="C42" i="21"/>
  <c r="Q41" i="21"/>
  <c r="P41" i="21"/>
  <c r="B41" i="21"/>
  <c r="I41" i="21"/>
  <c r="J41" i="21"/>
  <c r="G41" i="21"/>
  <c r="F41" i="21"/>
  <c r="D41" i="21"/>
  <c r="C41" i="21"/>
  <c r="Q40" i="21"/>
  <c r="P40" i="21"/>
  <c r="B40" i="21"/>
  <c r="I40" i="21"/>
  <c r="J40" i="21"/>
  <c r="G40" i="21"/>
  <c r="F40" i="21"/>
  <c r="D40" i="21"/>
  <c r="C40" i="21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N4" i="22"/>
  <c r="G4" i="22"/>
  <c r="F4" i="22"/>
  <c r="D4" i="22"/>
  <c r="C4" i="22"/>
  <c r="A4" i="22"/>
  <c r="J141" i="11"/>
  <c r="O302" i="9"/>
  <c r="N302" i="9"/>
  <c r="M302" i="9"/>
  <c r="L302" i="9"/>
  <c r="K302" i="9"/>
  <c r="J302" i="9"/>
  <c r="I302" i="9"/>
  <c r="H302" i="9"/>
  <c r="G302" i="9"/>
  <c r="E302" i="9"/>
  <c r="D302" i="9"/>
  <c r="A302" i="9"/>
  <c r="J140" i="11"/>
  <c r="O301" i="9"/>
  <c r="N301" i="9"/>
  <c r="M301" i="9"/>
  <c r="L301" i="9"/>
  <c r="K301" i="9"/>
  <c r="J301" i="9"/>
  <c r="I301" i="9"/>
  <c r="H301" i="9"/>
  <c r="G301" i="9"/>
  <c r="E301" i="9"/>
  <c r="D301" i="9"/>
  <c r="A301" i="9"/>
  <c r="J139" i="11"/>
  <c r="O300" i="9"/>
  <c r="N300" i="9"/>
  <c r="M300" i="9"/>
  <c r="L300" i="9"/>
  <c r="K300" i="9"/>
  <c r="J300" i="9"/>
  <c r="I300" i="9"/>
  <c r="H300" i="9"/>
  <c r="G300" i="9"/>
  <c r="E300" i="9"/>
  <c r="D300" i="9"/>
  <c r="A300" i="9"/>
  <c r="J138" i="11"/>
  <c r="O299" i="9"/>
  <c r="N299" i="9"/>
  <c r="M299" i="9"/>
  <c r="L299" i="9"/>
  <c r="K299" i="9"/>
  <c r="J299" i="9"/>
  <c r="I299" i="9"/>
  <c r="H299" i="9"/>
  <c r="G299" i="9"/>
  <c r="E299" i="9"/>
  <c r="D299" i="9"/>
  <c r="A299" i="9"/>
  <c r="J137" i="11"/>
  <c r="O298" i="9"/>
  <c r="N298" i="9"/>
  <c r="M298" i="9"/>
  <c r="L298" i="9"/>
  <c r="K298" i="9"/>
  <c r="J298" i="9"/>
  <c r="I298" i="9"/>
  <c r="H298" i="9"/>
  <c r="G298" i="9"/>
  <c r="E298" i="9"/>
  <c r="D298" i="9"/>
  <c r="A298" i="9"/>
  <c r="J136" i="11"/>
  <c r="O297" i="9"/>
  <c r="N297" i="9"/>
  <c r="M297" i="9"/>
  <c r="L297" i="9"/>
  <c r="K297" i="9"/>
  <c r="J297" i="9"/>
  <c r="I297" i="9"/>
  <c r="H297" i="9"/>
  <c r="G297" i="9"/>
  <c r="E297" i="9"/>
  <c r="D297" i="9"/>
  <c r="A297" i="9"/>
  <c r="J135" i="11"/>
  <c r="O296" i="9"/>
  <c r="N296" i="9"/>
  <c r="M296" i="9"/>
  <c r="L296" i="9"/>
  <c r="K296" i="9"/>
  <c r="J296" i="9"/>
  <c r="I296" i="9"/>
  <c r="H296" i="9"/>
  <c r="G296" i="9"/>
  <c r="E296" i="9"/>
  <c r="D296" i="9"/>
  <c r="A296" i="9"/>
  <c r="J134" i="11"/>
  <c r="O295" i="9"/>
  <c r="N295" i="9"/>
  <c r="M295" i="9"/>
  <c r="L295" i="9"/>
  <c r="K295" i="9"/>
  <c r="J295" i="9"/>
  <c r="I295" i="9"/>
  <c r="H295" i="9"/>
  <c r="G295" i="9"/>
  <c r="E295" i="9"/>
  <c r="D295" i="9"/>
  <c r="A295" i="9"/>
  <c r="J133" i="11"/>
  <c r="O294" i="9"/>
  <c r="N294" i="9"/>
  <c r="M294" i="9"/>
  <c r="L294" i="9"/>
  <c r="K294" i="9"/>
  <c r="J294" i="9"/>
  <c r="I294" i="9"/>
  <c r="H294" i="9"/>
  <c r="G294" i="9"/>
  <c r="E294" i="9"/>
  <c r="D294" i="9"/>
  <c r="A294" i="9"/>
  <c r="J132" i="11"/>
  <c r="O293" i="9"/>
  <c r="N293" i="9"/>
  <c r="M293" i="9"/>
  <c r="L293" i="9"/>
  <c r="K293" i="9"/>
  <c r="J293" i="9"/>
  <c r="I293" i="9"/>
  <c r="H293" i="9"/>
  <c r="G293" i="9"/>
  <c r="E293" i="9"/>
  <c r="D293" i="9"/>
  <c r="A293" i="9"/>
  <c r="J131" i="11"/>
  <c r="O292" i="9"/>
  <c r="N292" i="9"/>
  <c r="M292" i="9"/>
  <c r="L292" i="9"/>
  <c r="K292" i="9"/>
  <c r="J292" i="9"/>
  <c r="I292" i="9"/>
  <c r="H292" i="9"/>
  <c r="G292" i="9"/>
  <c r="E292" i="9"/>
  <c r="D292" i="9"/>
  <c r="A292" i="9"/>
  <c r="J130" i="11"/>
  <c r="O291" i="9"/>
  <c r="N291" i="9"/>
  <c r="M291" i="9"/>
  <c r="L291" i="9"/>
  <c r="K291" i="9"/>
  <c r="J291" i="9"/>
  <c r="I291" i="9"/>
  <c r="H291" i="9"/>
  <c r="G291" i="9"/>
  <c r="E291" i="9"/>
  <c r="D291" i="9"/>
  <c r="A291" i="9"/>
  <c r="J129" i="11"/>
  <c r="O290" i="9"/>
  <c r="N290" i="9"/>
  <c r="M290" i="9"/>
  <c r="L290" i="9"/>
  <c r="K290" i="9"/>
  <c r="J290" i="9"/>
  <c r="I290" i="9"/>
  <c r="H290" i="9"/>
  <c r="G290" i="9"/>
  <c r="E290" i="9"/>
  <c r="D290" i="9"/>
  <c r="A290" i="9"/>
  <c r="J128" i="11"/>
  <c r="O289" i="9"/>
  <c r="N289" i="9"/>
  <c r="M289" i="9"/>
  <c r="L289" i="9"/>
  <c r="K289" i="9"/>
  <c r="J289" i="9"/>
  <c r="I289" i="9"/>
  <c r="H289" i="9"/>
  <c r="G289" i="9"/>
  <c r="E289" i="9"/>
  <c r="D289" i="9"/>
  <c r="A289" i="9"/>
  <c r="J127" i="11"/>
  <c r="O288" i="9"/>
  <c r="N288" i="9"/>
  <c r="M288" i="9"/>
  <c r="L288" i="9"/>
  <c r="K288" i="9"/>
  <c r="J288" i="9"/>
  <c r="I288" i="9"/>
  <c r="H288" i="9"/>
  <c r="G288" i="9"/>
  <c r="E288" i="9"/>
  <c r="D288" i="9"/>
  <c r="A288" i="9"/>
  <c r="J126" i="11"/>
  <c r="O287" i="9"/>
  <c r="N287" i="9"/>
  <c r="M287" i="9"/>
  <c r="L287" i="9"/>
  <c r="K287" i="9"/>
  <c r="J287" i="9"/>
  <c r="I287" i="9"/>
  <c r="H287" i="9"/>
  <c r="G287" i="9"/>
  <c r="E287" i="9"/>
  <c r="D287" i="9"/>
  <c r="A287" i="9"/>
  <c r="O141" i="9"/>
  <c r="N141" i="9"/>
  <c r="M141" i="9"/>
  <c r="L141" i="9"/>
  <c r="K141" i="9"/>
  <c r="J141" i="9"/>
  <c r="I141" i="9"/>
  <c r="H141" i="9"/>
  <c r="G141" i="9"/>
  <c r="E141" i="9"/>
  <c r="D141" i="9"/>
  <c r="A141" i="9"/>
  <c r="O140" i="9"/>
  <c r="N140" i="9"/>
  <c r="M140" i="9"/>
  <c r="L140" i="9"/>
  <c r="K140" i="9"/>
  <c r="J140" i="9"/>
  <c r="I140" i="9"/>
  <c r="H140" i="9"/>
  <c r="G140" i="9"/>
  <c r="E140" i="9"/>
  <c r="D140" i="9"/>
  <c r="A140" i="9"/>
  <c r="O139" i="9"/>
  <c r="N139" i="9"/>
  <c r="M139" i="9"/>
  <c r="L139" i="9"/>
  <c r="K139" i="9"/>
  <c r="J139" i="9"/>
  <c r="I139" i="9"/>
  <c r="H139" i="9"/>
  <c r="G139" i="9"/>
  <c r="E139" i="9"/>
  <c r="D139" i="9"/>
  <c r="A139" i="9"/>
  <c r="O138" i="9"/>
  <c r="N138" i="9"/>
  <c r="M138" i="9"/>
  <c r="L138" i="9"/>
  <c r="K138" i="9"/>
  <c r="J138" i="9"/>
  <c r="I138" i="9"/>
  <c r="H138" i="9"/>
  <c r="G138" i="9"/>
  <c r="E138" i="9"/>
  <c r="D138" i="9"/>
  <c r="A138" i="9"/>
  <c r="O137" i="9"/>
  <c r="N137" i="9"/>
  <c r="M137" i="9"/>
  <c r="L137" i="9"/>
  <c r="K137" i="9"/>
  <c r="J137" i="9"/>
  <c r="I137" i="9"/>
  <c r="H137" i="9"/>
  <c r="G137" i="9"/>
  <c r="E137" i="9"/>
  <c r="D137" i="9"/>
  <c r="A137" i="9"/>
  <c r="O136" i="9"/>
  <c r="N136" i="9"/>
  <c r="M136" i="9"/>
  <c r="L136" i="9"/>
  <c r="K136" i="9"/>
  <c r="J136" i="9"/>
  <c r="I136" i="9"/>
  <c r="H136" i="9"/>
  <c r="G136" i="9"/>
  <c r="E136" i="9"/>
  <c r="D136" i="9"/>
  <c r="A136" i="9"/>
  <c r="O135" i="9"/>
  <c r="N135" i="9"/>
  <c r="M135" i="9"/>
  <c r="L135" i="9"/>
  <c r="K135" i="9"/>
  <c r="J135" i="9"/>
  <c r="I135" i="9"/>
  <c r="H135" i="9"/>
  <c r="G135" i="9"/>
  <c r="E135" i="9"/>
  <c r="D135" i="9"/>
  <c r="A135" i="9"/>
  <c r="O134" i="9"/>
  <c r="N134" i="9"/>
  <c r="M134" i="9"/>
  <c r="L134" i="9"/>
  <c r="K134" i="9"/>
  <c r="J134" i="9"/>
  <c r="I134" i="9"/>
  <c r="H134" i="9"/>
  <c r="G134" i="9"/>
  <c r="E134" i="9"/>
  <c r="D134" i="9"/>
  <c r="A134" i="9"/>
  <c r="O133" i="9"/>
  <c r="N133" i="9"/>
  <c r="M133" i="9"/>
  <c r="L133" i="9"/>
  <c r="K133" i="9"/>
  <c r="J133" i="9"/>
  <c r="I133" i="9"/>
  <c r="H133" i="9"/>
  <c r="G133" i="9"/>
  <c r="E133" i="9"/>
  <c r="D133" i="9"/>
  <c r="A133" i="9"/>
  <c r="O132" i="9"/>
  <c r="N132" i="9"/>
  <c r="M132" i="9"/>
  <c r="L132" i="9"/>
  <c r="K132" i="9"/>
  <c r="J132" i="9"/>
  <c r="I132" i="9"/>
  <c r="H132" i="9"/>
  <c r="G132" i="9"/>
  <c r="E132" i="9"/>
  <c r="D132" i="9"/>
  <c r="A132" i="9"/>
  <c r="O131" i="9"/>
  <c r="N131" i="9"/>
  <c r="M131" i="9"/>
  <c r="L131" i="9"/>
  <c r="K131" i="9"/>
  <c r="J131" i="9"/>
  <c r="I131" i="9"/>
  <c r="H131" i="9"/>
  <c r="G131" i="9"/>
  <c r="E131" i="9"/>
  <c r="D131" i="9"/>
  <c r="A131" i="9"/>
  <c r="O130" i="9"/>
  <c r="N130" i="9"/>
  <c r="M130" i="9"/>
  <c r="L130" i="9"/>
  <c r="K130" i="9"/>
  <c r="J130" i="9"/>
  <c r="I130" i="9"/>
  <c r="H130" i="9"/>
  <c r="G130" i="9"/>
  <c r="E130" i="9"/>
  <c r="D130" i="9"/>
  <c r="A130" i="9"/>
  <c r="O129" i="9"/>
  <c r="N129" i="9"/>
  <c r="M129" i="9"/>
  <c r="L129" i="9"/>
  <c r="K129" i="9"/>
  <c r="J129" i="9"/>
  <c r="I129" i="9"/>
  <c r="H129" i="9"/>
  <c r="G129" i="9"/>
  <c r="E129" i="9"/>
  <c r="D129" i="9"/>
  <c r="A129" i="9"/>
  <c r="O128" i="9"/>
  <c r="N128" i="9"/>
  <c r="M128" i="9"/>
  <c r="L128" i="9"/>
  <c r="K128" i="9"/>
  <c r="J128" i="9"/>
  <c r="I128" i="9"/>
  <c r="H128" i="9"/>
  <c r="G128" i="9"/>
  <c r="E128" i="9"/>
  <c r="D128" i="9"/>
  <c r="A128" i="9"/>
  <c r="O127" i="9"/>
  <c r="N127" i="9"/>
  <c r="M127" i="9"/>
  <c r="L127" i="9"/>
  <c r="K127" i="9"/>
  <c r="J127" i="9"/>
  <c r="I127" i="9"/>
  <c r="H127" i="9"/>
  <c r="G127" i="9"/>
  <c r="E127" i="9"/>
  <c r="D127" i="9"/>
  <c r="A127" i="9"/>
  <c r="O126" i="9"/>
  <c r="N126" i="9"/>
  <c r="M126" i="9"/>
  <c r="L126" i="9"/>
  <c r="K126" i="9"/>
  <c r="J126" i="9"/>
  <c r="I126" i="9"/>
  <c r="H126" i="9"/>
  <c r="G126" i="9"/>
  <c r="E126" i="9"/>
  <c r="D126" i="9"/>
  <c r="A126" i="9"/>
  <c r="M139" i="10"/>
  <c r="T139" i="10"/>
  <c r="W139" i="10"/>
  <c r="V139" i="10"/>
  <c r="X139" i="10"/>
  <c r="U139" i="10"/>
  <c r="Y139" i="10"/>
  <c r="N139" i="10"/>
  <c r="Q139" i="10"/>
  <c r="P139" i="10"/>
  <c r="R139" i="10"/>
  <c r="O139" i="10"/>
  <c r="S139" i="10"/>
  <c r="G139" i="10"/>
  <c r="J139" i="10"/>
  <c r="I139" i="10"/>
  <c r="K139" i="10"/>
  <c r="H139" i="10"/>
  <c r="L139" i="10"/>
  <c r="Q39" i="21"/>
  <c r="P39" i="21"/>
  <c r="B39" i="21"/>
  <c r="I39" i="21"/>
  <c r="J39" i="21"/>
  <c r="G39" i="21"/>
  <c r="F39" i="21"/>
  <c r="D39" i="21"/>
  <c r="C39" i="21"/>
  <c r="Q38" i="21"/>
  <c r="P38" i="21"/>
  <c r="B38" i="21"/>
  <c r="I38" i="21"/>
  <c r="J38" i="21"/>
  <c r="G38" i="21"/>
  <c r="F38" i="21"/>
  <c r="D38" i="21"/>
  <c r="C38" i="21"/>
  <c r="Q37" i="21"/>
  <c r="P37" i="21"/>
  <c r="B37" i="21"/>
  <c r="I37" i="21"/>
  <c r="J37" i="21"/>
  <c r="G37" i="21"/>
  <c r="F37" i="21"/>
  <c r="D37" i="21"/>
  <c r="C37" i="21"/>
  <c r="Q36" i="21"/>
  <c r="P36" i="21"/>
  <c r="B36" i="21"/>
  <c r="I36" i="21"/>
  <c r="J36" i="21"/>
  <c r="G36" i="21"/>
  <c r="F36" i="21"/>
  <c r="D36" i="21"/>
  <c r="C36" i="21"/>
  <c r="Q35" i="21"/>
  <c r="P35" i="21"/>
  <c r="B35" i="21"/>
  <c r="I35" i="21"/>
  <c r="J35" i="21"/>
  <c r="G35" i="21"/>
  <c r="F35" i="21"/>
  <c r="D35" i="21"/>
  <c r="C35" i="21"/>
  <c r="Q34" i="21"/>
  <c r="P34" i="21"/>
  <c r="B34" i="21"/>
  <c r="I34" i="21"/>
  <c r="J34" i="21"/>
  <c r="G34" i="21"/>
  <c r="F34" i="21"/>
  <c r="D34" i="21"/>
  <c r="C34" i="21"/>
  <c r="Q33" i="21"/>
  <c r="P33" i="21"/>
  <c r="B33" i="21"/>
  <c r="I33" i="21"/>
  <c r="J33" i="21"/>
  <c r="G33" i="21"/>
  <c r="F33" i="21"/>
  <c r="D33" i="21"/>
  <c r="C33" i="21"/>
  <c r="Q32" i="21"/>
  <c r="P32" i="21"/>
  <c r="B32" i="21"/>
  <c r="I32" i="21"/>
  <c r="J32" i="21"/>
  <c r="G32" i="21"/>
  <c r="F32" i="21"/>
  <c r="D32" i="21"/>
  <c r="C32" i="21"/>
  <c r="P7" i="21"/>
  <c r="P3" i="21"/>
  <c r="Q3" i="21"/>
  <c r="P4" i="21"/>
  <c r="Q4" i="21"/>
  <c r="P5" i="21"/>
  <c r="Q5" i="21"/>
  <c r="P6" i="21"/>
  <c r="Q6" i="21"/>
  <c r="Q7" i="21"/>
  <c r="P8" i="21"/>
  <c r="Q8" i="21"/>
  <c r="P9" i="21"/>
  <c r="Q9" i="21"/>
  <c r="Q2" i="21"/>
  <c r="P2" i="21"/>
  <c r="B9" i="21"/>
  <c r="I9" i="21"/>
  <c r="J9" i="21"/>
  <c r="G9" i="21"/>
  <c r="F9" i="21"/>
  <c r="D9" i="21"/>
  <c r="C9" i="21"/>
  <c r="B8" i="21"/>
  <c r="I8" i="21"/>
  <c r="J8" i="21"/>
  <c r="G8" i="21"/>
  <c r="F8" i="21"/>
  <c r="D8" i="21"/>
  <c r="C8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J162" i="11"/>
  <c r="O162" i="9"/>
  <c r="N162" i="9"/>
  <c r="M162" i="9"/>
  <c r="L162" i="9"/>
  <c r="K162" i="9"/>
  <c r="J162" i="9"/>
  <c r="I162" i="9"/>
  <c r="H162" i="9"/>
  <c r="G162" i="9"/>
  <c r="E162" i="9"/>
  <c r="D162" i="9"/>
  <c r="A162" i="9"/>
  <c r="J161" i="11"/>
  <c r="O161" i="9"/>
  <c r="N161" i="9"/>
  <c r="M161" i="9"/>
  <c r="L161" i="9"/>
  <c r="K161" i="9"/>
  <c r="J161" i="9"/>
  <c r="I161" i="9"/>
  <c r="H161" i="9"/>
  <c r="G161" i="9"/>
  <c r="E161" i="9"/>
  <c r="D161" i="9"/>
  <c r="A161" i="9"/>
  <c r="J160" i="11"/>
  <c r="O160" i="9"/>
  <c r="N160" i="9"/>
  <c r="M160" i="9"/>
  <c r="L160" i="9"/>
  <c r="K160" i="9"/>
  <c r="J160" i="9"/>
  <c r="I160" i="9"/>
  <c r="H160" i="9"/>
  <c r="G160" i="9"/>
  <c r="E160" i="9"/>
  <c r="D160" i="9"/>
  <c r="A160" i="9"/>
  <c r="J159" i="11"/>
  <c r="O159" i="9"/>
  <c r="N159" i="9"/>
  <c r="M159" i="9"/>
  <c r="L159" i="9"/>
  <c r="K159" i="9"/>
  <c r="J159" i="9"/>
  <c r="I159" i="9"/>
  <c r="H159" i="9"/>
  <c r="G159" i="9"/>
  <c r="E159" i="9"/>
  <c r="D159" i="9"/>
  <c r="A159" i="9"/>
  <c r="J158" i="11"/>
  <c r="O158" i="9"/>
  <c r="N158" i="9"/>
  <c r="M158" i="9"/>
  <c r="L158" i="9"/>
  <c r="K158" i="9"/>
  <c r="J158" i="9"/>
  <c r="I158" i="9"/>
  <c r="H158" i="9"/>
  <c r="G158" i="9"/>
  <c r="E158" i="9"/>
  <c r="D158" i="9"/>
  <c r="A158" i="9"/>
  <c r="J157" i="11"/>
  <c r="O157" i="9"/>
  <c r="N157" i="9"/>
  <c r="M157" i="9"/>
  <c r="L157" i="9"/>
  <c r="K157" i="9"/>
  <c r="J157" i="9"/>
  <c r="I157" i="9"/>
  <c r="H157" i="9"/>
  <c r="G157" i="9"/>
  <c r="E157" i="9"/>
  <c r="D157" i="9"/>
  <c r="A157" i="9"/>
  <c r="J156" i="11"/>
  <c r="O156" i="9"/>
  <c r="N156" i="9"/>
  <c r="M156" i="9"/>
  <c r="L156" i="9"/>
  <c r="K156" i="9"/>
  <c r="J156" i="9"/>
  <c r="I156" i="9"/>
  <c r="H156" i="9"/>
  <c r="G156" i="9"/>
  <c r="E156" i="9"/>
  <c r="D156" i="9"/>
  <c r="A156" i="9"/>
  <c r="J155" i="11"/>
  <c r="O155" i="9"/>
  <c r="N155" i="9"/>
  <c r="M155" i="9"/>
  <c r="L155" i="9"/>
  <c r="K155" i="9"/>
  <c r="J155" i="9"/>
  <c r="I155" i="9"/>
  <c r="H155" i="9"/>
  <c r="G155" i="9"/>
  <c r="E155" i="9"/>
  <c r="D155" i="9"/>
  <c r="A155" i="9"/>
  <c r="J154" i="11"/>
  <c r="O154" i="9"/>
  <c r="N154" i="9"/>
  <c r="M154" i="9"/>
  <c r="L154" i="9"/>
  <c r="K154" i="9"/>
  <c r="J154" i="9"/>
  <c r="I154" i="9"/>
  <c r="H154" i="9"/>
  <c r="G154" i="9"/>
  <c r="E154" i="9"/>
  <c r="D154" i="9"/>
  <c r="A154" i="9"/>
  <c r="J153" i="11"/>
  <c r="O153" i="9"/>
  <c r="N153" i="9"/>
  <c r="M153" i="9"/>
  <c r="L153" i="9"/>
  <c r="K153" i="9"/>
  <c r="J153" i="9"/>
  <c r="I153" i="9"/>
  <c r="H153" i="9"/>
  <c r="G153" i="9"/>
  <c r="E153" i="9"/>
  <c r="D153" i="9"/>
  <c r="A153" i="9"/>
  <c r="J152" i="11"/>
  <c r="O152" i="9"/>
  <c r="N152" i="9"/>
  <c r="M152" i="9"/>
  <c r="L152" i="9"/>
  <c r="K152" i="9"/>
  <c r="J152" i="9"/>
  <c r="I152" i="9"/>
  <c r="H152" i="9"/>
  <c r="G152" i="9"/>
  <c r="E152" i="9"/>
  <c r="D152" i="9"/>
  <c r="A152" i="9"/>
  <c r="J151" i="11"/>
  <c r="O151" i="9"/>
  <c r="N151" i="9"/>
  <c r="M151" i="9"/>
  <c r="L151" i="9"/>
  <c r="K151" i="9"/>
  <c r="J151" i="9"/>
  <c r="I151" i="9"/>
  <c r="H151" i="9"/>
  <c r="G151" i="9"/>
  <c r="E151" i="9"/>
  <c r="D151" i="9"/>
  <c r="A151" i="9"/>
  <c r="J150" i="11"/>
  <c r="O150" i="9"/>
  <c r="N150" i="9"/>
  <c r="M150" i="9"/>
  <c r="L150" i="9"/>
  <c r="K150" i="9"/>
  <c r="J150" i="9"/>
  <c r="I150" i="9"/>
  <c r="H150" i="9"/>
  <c r="G150" i="9"/>
  <c r="E150" i="9"/>
  <c r="D150" i="9"/>
  <c r="A150" i="9"/>
  <c r="J149" i="11"/>
  <c r="O149" i="9"/>
  <c r="N149" i="9"/>
  <c r="M149" i="9"/>
  <c r="L149" i="9"/>
  <c r="K149" i="9"/>
  <c r="J149" i="9"/>
  <c r="I149" i="9"/>
  <c r="H149" i="9"/>
  <c r="G149" i="9"/>
  <c r="E149" i="9"/>
  <c r="D149" i="9"/>
  <c r="A149" i="9"/>
  <c r="J148" i="11"/>
  <c r="O148" i="9"/>
  <c r="N148" i="9"/>
  <c r="M148" i="9"/>
  <c r="L148" i="9"/>
  <c r="K148" i="9"/>
  <c r="J148" i="9"/>
  <c r="I148" i="9"/>
  <c r="H148" i="9"/>
  <c r="G148" i="9"/>
  <c r="E148" i="9"/>
  <c r="D148" i="9"/>
  <c r="A148" i="9"/>
  <c r="J147" i="11"/>
  <c r="O147" i="9"/>
  <c r="N147" i="9"/>
  <c r="M147" i="9"/>
  <c r="L147" i="9"/>
  <c r="K147" i="9"/>
  <c r="J147" i="9"/>
  <c r="I147" i="9"/>
  <c r="H147" i="9"/>
  <c r="G147" i="9"/>
  <c r="E147" i="9"/>
  <c r="D147" i="9"/>
  <c r="A147" i="9"/>
  <c r="J146" i="11"/>
  <c r="O146" i="9"/>
  <c r="N146" i="9"/>
  <c r="M146" i="9"/>
  <c r="L146" i="9"/>
  <c r="K146" i="9"/>
  <c r="J146" i="9"/>
  <c r="I146" i="9"/>
  <c r="H146" i="9"/>
  <c r="G146" i="9"/>
  <c r="E146" i="9"/>
  <c r="D146" i="9"/>
  <c r="A146" i="9"/>
  <c r="J145" i="11"/>
  <c r="O145" i="9"/>
  <c r="N145" i="9"/>
  <c r="M145" i="9"/>
  <c r="L145" i="9"/>
  <c r="K145" i="9"/>
  <c r="J145" i="9"/>
  <c r="I145" i="9"/>
  <c r="H145" i="9"/>
  <c r="G145" i="9"/>
  <c r="E145" i="9"/>
  <c r="D145" i="9"/>
  <c r="A145" i="9"/>
  <c r="J144" i="11"/>
  <c r="O144" i="9"/>
  <c r="N144" i="9"/>
  <c r="M144" i="9"/>
  <c r="L144" i="9"/>
  <c r="K144" i="9"/>
  <c r="J144" i="9"/>
  <c r="I144" i="9"/>
  <c r="H144" i="9"/>
  <c r="G144" i="9"/>
  <c r="E144" i="9"/>
  <c r="D144" i="9"/>
  <c r="A144" i="9"/>
  <c r="J143" i="11"/>
  <c r="O143" i="9"/>
  <c r="N143" i="9"/>
  <c r="M143" i="9"/>
  <c r="L143" i="9"/>
  <c r="K143" i="9"/>
  <c r="J143" i="9"/>
  <c r="I143" i="9"/>
  <c r="H143" i="9"/>
  <c r="G143" i="9"/>
  <c r="E143" i="9"/>
  <c r="D143" i="9"/>
  <c r="A143" i="9"/>
  <c r="J142" i="11"/>
  <c r="O142" i="9"/>
  <c r="N142" i="9"/>
  <c r="M142" i="9"/>
  <c r="L142" i="9"/>
  <c r="K142" i="9"/>
  <c r="J142" i="9"/>
  <c r="I142" i="9"/>
  <c r="H142" i="9"/>
  <c r="G142" i="9"/>
  <c r="E142" i="9"/>
  <c r="D142" i="9"/>
  <c r="A142" i="9"/>
  <c r="O323" i="9"/>
  <c r="N323" i="9"/>
  <c r="M323" i="9"/>
  <c r="L323" i="9"/>
  <c r="K323" i="9"/>
  <c r="J323" i="9"/>
  <c r="I323" i="9"/>
  <c r="H323" i="9"/>
  <c r="G323" i="9"/>
  <c r="E323" i="9"/>
  <c r="D323" i="9"/>
  <c r="A323" i="9"/>
  <c r="O322" i="9"/>
  <c r="N322" i="9"/>
  <c r="M322" i="9"/>
  <c r="L322" i="9"/>
  <c r="K322" i="9"/>
  <c r="J322" i="9"/>
  <c r="I322" i="9"/>
  <c r="H322" i="9"/>
  <c r="G322" i="9"/>
  <c r="E322" i="9"/>
  <c r="D322" i="9"/>
  <c r="A322" i="9"/>
  <c r="O321" i="9"/>
  <c r="N321" i="9"/>
  <c r="M321" i="9"/>
  <c r="L321" i="9"/>
  <c r="K321" i="9"/>
  <c r="J321" i="9"/>
  <c r="I321" i="9"/>
  <c r="H321" i="9"/>
  <c r="G321" i="9"/>
  <c r="E321" i="9"/>
  <c r="D321" i="9"/>
  <c r="A321" i="9"/>
  <c r="O320" i="9"/>
  <c r="N320" i="9"/>
  <c r="M320" i="9"/>
  <c r="L320" i="9"/>
  <c r="K320" i="9"/>
  <c r="J320" i="9"/>
  <c r="I320" i="9"/>
  <c r="H320" i="9"/>
  <c r="G320" i="9"/>
  <c r="E320" i="9"/>
  <c r="D320" i="9"/>
  <c r="A320" i="9"/>
  <c r="O319" i="9"/>
  <c r="N319" i="9"/>
  <c r="M319" i="9"/>
  <c r="L319" i="9"/>
  <c r="K319" i="9"/>
  <c r="J319" i="9"/>
  <c r="I319" i="9"/>
  <c r="H319" i="9"/>
  <c r="G319" i="9"/>
  <c r="E319" i="9"/>
  <c r="D319" i="9"/>
  <c r="A319" i="9"/>
  <c r="O318" i="9"/>
  <c r="N318" i="9"/>
  <c r="M318" i="9"/>
  <c r="L318" i="9"/>
  <c r="K318" i="9"/>
  <c r="J318" i="9"/>
  <c r="I318" i="9"/>
  <c r="H318" i="9"/>
  <c r="G318" i="9"/>
  <c r="E318" i="9"/>
  <c r="D318" i="9"/>
  <c r="A318" i="9"/>
  <c r="O317" i="9"/>
  <c r="N317" i="9"/>
  <c r="M317" i="9"/>
  <c r="L317" i="9"/>
  <c r="K317" i="9"/>
  <c r="J317" i="9"/>
  <c r="I317" i="9"/>
  <c r="H317" i="9"/>
  <c r="G317" i="9"/>
  <c r="E317" i="9"/>
  <c r="D317" i="9"/>
  <c r="A317" i="9"/>
  <c r="O316" i="9"/>
  <c r="N316" i="9"/>
  <c r="M316" i="9"/>
  <c r="L316" i="9"/>
  <c r="K316" i="9"/>
  <c r="J316" i="9"/>
  <c r="I316" i="9"/>
  <c r="H316" i="9"/>
  <c r="G316" i="9"/>
  <c r="E316" i="9"/>
  <c r="D316" i="9"/>
  <c r="A316" i="9"/>
  <c r="O315" i="9"/>
  <c r="N315" i="9"/>
  <c r="M315" i="9"/>
  <c r="L315" i="9"/>
  <c r="K315" i="9"/>
  <c r="J315" i="9"/>
  <c r="I315" i="9"/>
  <c r="H315" i="9"/>
  <c r="G315" i="9"/>
  <c r="E315" i="9"/>
  <c r="D315" i="9"/>
  <c r="A315" i="9"/>
  <c r="O314" i="9"/>
  <c r="N314" i="9"/>
  <c r="M314" i="9"/>
  <c r="L314" i="9"/>
  <c r="K314" i="9"/>
  <c r="J314" i="9"/>
  <c r="I314" i="9"/>
  <c r="H314" i="9"/>
  <c r="G314" i="9"/>
  <c r="E314" i="9"/>
  <c r="D314" i="9"/>
  <c r="A314" i="9"/>
  <c r="O313" i="9"/>
  <c r="N313" i="9"/>
  <c r="M313" i="9"/>
  <c r="L313" i="9"/>
  <c r="K313" i="9"/>
  <c r="J313" i="9"/>
  <c r="I313" i="9"/>
  <c r="H313" i="9"/>
  <c r="G313" i="9"/>
  <c r="E313" i="9"/>
  <c r="D313" i="9"/>
  <c r="A313" i="9"/>
  <c r="O312" i="9"/>
  <c r="N312" i="9"/>
  <c r="M312" i="9"/>
  <c r="L312" i="9"/>
  <c r="K312" i="9"/>
  <c r="J312" i="9"/>
  <c r="I312" i="9"/>
  <c r="H312" i="9"/>
  <c r="G312" i="9"/>
  <c r="E312" i="9"/>
  <c r="D312" i="9"/>
  <c r="A312" i="9"/>
  <c r="O311" i="9"/>
  <c r="N311" i="9"/>
  <c r="M311" i="9"/>
  <c r="L311" i="9"/>
  <c r="K311" i="9"/>
  <c r="J311" i="9"/>
  <c r="I311" i="9"/>
  <c r="H311" i="9"/>
  <c r="G311" i="9"/>
  <c r="E311" i="9"/>
  <c r="D311" i="9"/>
  <c r="A311" i="9"/>
  <c r="O310" i="9"/>
  <c r="N310" i="9"/>
  <c r="M310" i="9"/>
  <c r="L310" i="9"/>
  <c r="K310" i="9"/>
  <c r="J310" i="9"/>
  <c r="I310" i="9"/>
  <c r="H310" i="9"/>
  <c r="G310" i="9"/>
  <c r="E310" i="9"/>
  <c r="D310" i="9"/>
  <c r="A310" i="9"/>
  <c r="O309" i="9"/>
  <c r="N309" i="9"/>
  <c r="M309" i="9"/>
  <c r="L309" i="9"/>
  <c r="K309" i="9"/>
  <c r="J309" i="9"/>
  <c r="I309" i="9"/>
  <c r="H309" i="9"/>
  <c r="G309" i="9"/>
  <c r="E309" i="9"/>
  <c r="D309" i="9"/>
  <c r="A309" i="9"/>
  <c r="O308" i="9"/>
  <c r="N308" i="9"/>
  <c r="M308" i="9"/>
  <c r="L308" i="9"/>
  <c r="K308" i="9"/>
  <c r="J308" i="9"/>
  <c r="I308" i="9"/>
  <c r="H308" i="9"/>
  <c r="G308" i="9"/>
  <c r="E308" i="9"/>
  <c r="D308" i="9"/>
  <c r="A308" i="9"/>
  <c r="O307" i="9"/>
  <c r="N307" i="9"/>
  <c r="M307" i="9"/>
  <c r="L307" i="9"/>
  <c r="K307" i="9"/>
  <c r="J307" i="9"/>
  <c r="I307" i="9"/>
  <c r="H307" i="9"/>
  <c r="G307" i="9"/>
  <c r="E307" i="9"/>
  <c r="D307" i="9"/>
  <c r="A307" i="9"/>
  <c r="O306" i="9"/>
  <c r="N306" i="9"/>
  <c r="M306" i="9"/>
  <c r="L306" i="9"/>
  <c r="K306" i="9"/>
  <c r="J306" i="9"/>
  <c r="I306" i="9"/>
  <c r="H306" i="9"/>
  <c r="G306" i="9"/>
  <c r="E306" i="9"/>
  <c r="D306" i="9"/>
  <c r="A306" i="9"/>
  <c r="O305" i="9"/>
  <c r="N305" i="9"/>
  <c r="M305" i="9"/>
  <c r="L305" i="9"/>
  <c r="K305" i="9"/>
  <c r="J305" i="9"/>
  <c r="I305" i="9"/>
  <c r="H305" i="9"/>
  <c r="G305" i="9"/>
  <c r="E305" i="9"/>
  <c r="D305" i="9"/>
  <c r="A305" i="9"/>
  <c r="O304" i="9"/>
  <c r="N304" i="9"/>
  <c r="M304" i="9"/>
  <c r="L304" i="9"/>
  <c r="K304" i="9"/>
  <c r="J304" i="9"/>
  <c r="I304" i="9"/>
  <c r="H304" i="9"/>
  <c r="G304" i="9"/>
  <c r="E304" i="9"/>
  <c r="D304" i="9"/>
  <c r="A304" i="9"/>
  <c r="O303" i="9"/>
  <c r="N303" i="9"/>
  <c r="M303" i="9"/>
  <c r="L303" i="9"/>
  <c r="K303" i="9"/>
  <c r="J303" i="9"/>
  <c r="I303" i="9"/>
  <c r="H303" i="9"/>
  <c r="G303" i="9"/>
  <c r="E303" i="9"/>
  <c r="D303" i="9"/>
  <c r="A303" i="9"/>
  <c r="M125" i="10"/>
  <c r="T125" i="10"/>
  <c r="W125" i="10"/>
  <c r="V125" i="10"/>
  <c r="X125" i="10"/>
  <c r="U125" i="10"/>
  <c r="Y125" i="10"/>
  <c r="N125" i="10"/>
  <c r="Q125" i="10"/>
  <c r="P125" i="10"/>
  <c r="R125" i="10"/>
  <c r="O125" i="10"/>
  <c r="S125" i="10"/>
  <c r="G125" i="10"/>
  <c r="J125" i="10"/>
  <c r="I125" i="10"/>
  <c r="K125" i="10"/>
  <c r="H125" i="10"/>
  <c r="L125" i="10"/>
  <c r="M138" i="10"/>
  <c r="T138" i="10"/>
  <c r="W138" i="10"/>
  <c r="V138" i="10"/>
  <c r="X138" i="10"/>
  <c r="U138" i="10"/>
  <c r="Y138" i="10"/>
  <c r="N138" i="10"/>
  <c r="Q138" i="10"/>
  <c r="P138" i="10"/>
  <c r="R138" i="10"/>
  <c r="O138" i="10"/>
  <c r="S138" i="10"/>
  <c r="G138" i="10"/>
  <c r="J138" i="10"/>
  <c r="I138" i="10"/>
  <c r="K138" i="10"/>
  <c r="H138" i="10"/>
  <c r="L138" i="10"/>
  <c r="J125" i="11"/>
  <c r="O286" i="9"/>
  <c r="N286" i="9"/>
  <c r="M286" i="9"/>
  <c r="L286" i="9"/>
  <c r="K286" i="9"/>
  <c r="J286" i="9"/>
  <c r="I286" i="9"/>
  <c r="H286" i="9"/>
  <c r="G286" i="9"/>
  <c r="E286" i="9"/>
  <c r="D286" i="9"/>
  <c r="A286" i="9"/>
  <c r="J124" i="11"/>
  <c r="O285" i="9"/>
  <c r="N285" i="9"/>
  <c r="M285" i="9"/>
  <c r="L285" i="9"/>
  <c r="K285" i="9"/>
  <c r="J285" i="9"/>
  <c r="I285" i="9"/>
  <c r="H285" i="9"/>
  <c r="G285" i="9"/>
  <c r="E285" i="9"/>
  <c r="D285" i="9"/>
  <c r="A285" i="9"/>
  <c r="J123" i="11"/>
  <c r="O284" i="9"/>
  <c r="N284" i="9"/>
  <c r="M284" i="9"/>
  <c r="L284" i="9"/>
  <c r="K284" i="9"/>
  <c r="J284" i="9"/>
  <c r="I284" i="9"/>
  <c r="H284" i="9"/>
  <c r="G284" i="9"/>
  <c r="E284" i="9"/>
  <c r="D284" i="9"/>
  <c r="A284" i="9"/>
  <c r="J122" i="11"/>
  <c r="O283" i="9"/>
  <c r="N283" i="9"/>
  <c r="M283" i="9"/>
  <c r="L283" i="9"/>
  <c r="K283" i="9"/>
  <c r="J283" i="9"/>
  <c r="I283" i="9"/>
  <c r="H283" i="9"/>
  <c r="G283" i="9"/>
  <c r="E283" i="9"/>
  <c r="D283" i="9"/>
  <c r="A283" i="9"/>
  <c r="J121" i="11"/>
  <c r="O282" i="9"/>
  <c r="N282" i="9"/>
  <c r="M282" i="9"/>
  <c r="L282" i="9"/>
  <c r="K282" i="9"/>
  <c r="J282" i="9"/>
  <c r="I282" i="9"/>
  <c r="H282" i="9"/>
  <c r="G282" i="9"/>
  <c r="E282" i="9"/>
  <c r="D282" i="9"/>
  <c r="A282" i="9"/>
  <c r="J174" i="11"/>
  <c r="O281" i="9"/>
  <c r="N281" i="9"/>
  <c r="M281" i="9"/>
  <c r="L281" i="9"/>
  <c r="K281" i="9"/>
  <c r="J281" i="9"/>
  <c r="I281" i="9"/>
  <c r="H281" i="9"/>
  <c r="G281" i="9"/>
  <c r="E281" i="9"/>
  <c r="D281" i="9"/>
  <c r="A281" i="9"/>
  <c r="J119" i="11"/>
  <c r="O280" i="9"/>
  <c r="N280" i="9"/>
  <c r="M280" i="9"/>
  <c r="L280" i="9"/>
  <c r="K280" i="9"/>
  <c r="J280" i="9"/>
  <c r="I280" i="9"/>
  <c r="H280" i="9"/>
  <c r="G280" i="9"/>
  <c r="E280" i="9"/>
  <c r="D280" i="9"/>
  <c r="A280" i="9"/>
  <c r="J118" i="11"/>
  <c r="O279" i="9"/>
  <c r="N279" i="9"/>
  <c r="M279" i="9"/>
  <c r="L279" i="9"/>
  <c r="K279" i="9"/>
  <c r="J279" i="9"/>
  <c r="I279" i="9"/>
  <c r="H279" i="9"/>
  <c r="G279" i="9"/>
  <c r="E279" i="9"/>
  <c r="D279" i="9"/>
  <c r="A279" i="9"/>
  <c r="J117" i="11"/>
  <c r="O278" i="9"/>
  <c r="N278" i="9"/>
  <c r="M278" i="9"/>
  <c r="L278" i="9"/>
  <c r="K278" i="9"/>
  <c r="J278" i="9"/>
  <c r="I278" i="9"/>
  <c r="H278" i="9"/>
  <c r="G278" i="9"/>
  <c r="E278" i="9"/>
  <c r="D278" i="9"/>
  <c r="A278" i="9"/>
  <c r="J116" i="11"/>
  <c r="O277" i="9"/>
  <c r="N277" i="9"/>
  <c r="M277" i="9"/>
  <c r="L277" i="9"/>
  <c r="K277" i="9"/>
  <c r="J277" i="9"/>
  <c r="I277" i="9"/>
  <c r="H277" i="9"/>
  <c r="G277" i="9"/>
  <c r="E277" i="9"/>
  <c r="D277" i="9"/>
  <c r="A277" i="9"/>
  <c r="J115" i="11"/>
  <c r="O276" i="9"/>
  <c r="N276" i="9"/>
  <c r="M276" i="9"/>
  <c r="L276" i="9"/>
  <c r="K276" i="9"/>
  <c r="J276" i="9"/>
  <c r="I276" i="9"/>
  <c r="H276" i="9"/>
  <c r="G276" i="9"/>
  <c r="E276" i="9"/>
  <c r="D276" i="9"/>
  <c r="A276" i="9"/>
  <c r="J173" i="11"/>
  <c r="J114" i="11"/>
  <c r="O275" i="9"/>
  <c r="N275" i="9"/>
  <c r="M275" i="9"/>
  <c r="L275" i="9"/>
  <c r="K275" i="9"/>
  <c r="J275" i="9"/>
  <c r="I275" i="9"/>
  <c r="H275" i="9"/>
  <c r="G275" i="9"/>
  <c r="E275" i="9"/>
  <c r="D275" i="9"/>
  <c r="A275" i="9"/>
  <c r="J172" i="11"/>
  <c r="O274" i="9"/>
  <c r="N274" i="9"/>
  <c r="M274" i="9"/>
  <c r="L274" i="9"/>
  <c r="K274" i="9"/>
  <c r="J274" i="9"/>
  <c r="I274" i="9"/>
  <c r="H274" i="9"/>
  <c r="G274" i="9"/>
  <c r="E274" i="9"/>
  <c r="D274" i="9"/>
  <c r="A274" i="9"/>
  <c r="J112" i="11"/>
  <c r="O273" i="9"/>
  <c r="N273" i="9"/>
  <c r="M273" i="9"/>
  <c r="L273" i="9"/>
  <c r="K273" i="9"/>
  <c r="J273" i="9"/>
  <c r="I273" i="9"/>
  <c r="H273" i="9"/>
  <c r="G273" i="9"/>
  <c r="E273" i="9"/>
  <c r="D273" i="9"/>
  <c r="A273" i="9"/>
  <c r="J111" i="11"/>
  <c r="O272" i="9"/>
  <c r="N272" i="9"/>
  <c r="M272" i="9"/>
  <c r="L272" i="9"/>
  <c r="K272" i="9"/>
  <c r="J272" i="9"/>
  <c r="I272" i="9"/>
  <c r="H272" i="9"/>
  <c r="G272" i="9"/>
  <c r="E272" i="9"/>
  <c r="D272" i="9"/>
  <c r="A272" i="9"/>
  <c r="J171" i="11"/>
  <c r="O271" i="9"/>
  <c r="N271" i="9"/>
  <c r="M271" i="9"/>
  <c r="L271" i="9"/>
  <c r="K271" i="9"/>
  <c r="J271" i="9"/>
  <c r="I271" i="9"/>
  <c r="H271" i="9"/>
  <c r="G271" i="9"/>
  <c r="E271" i="9"/>
  <c r="D271" i="9"/>
  <c r="A271" i="9"/>
  <c r="J170" i="11"/>
  <c r="O270" i="9"/>
  <c r="N270" i="9"/>
  <c r="M270" i="9"/>
  <c r="L270" i="9"/>
  <c r="K270" i="9"/>
  <c r="J270" i="9"/>
  <c r="I270" i="9"/>
  <c r="H270" i="9"/>
  <c r="G270" i="9"/>
  <c r="E270" i="9"/>
  <c r="D270" i="9"/>
  <c r="A270" i="9"/>
  <c r="J108" i="11"/>
  <c r="O269" i="9"/>
  <c r="N269" i="9"/>
  <c r="M269" i="9"/>
  <c r="L269" i="9"/>
  <c r="K269" i="9"/>
  <c r="J269" i="9"/>
  <c r="I269" i="9"/>
  <c r="H269" i="9"/>
  <c r="G269" i="9"/>
  <c r="E269" i="9"/>
  <c r="D269" i="9"/>
  <c r="A269" i="9"/>
  <c r="J107" i="11"/>
  <c r="O268" i="9"/>
  <c r="N268" i="9"/>
  <c r="M268" i="9"/>
  <c r="L268" i="9"/>
  <c r="K268" i="9"/>
  <c r="J268" i="9"/>
  <c r="I268" i="9"/>
  <c r="H268" i="9"/>
  <c r="G268" i="9"/>
  <c r="E268" i="9"/>
  <c r="D268" i="9"/>
  <c r="A268" i="9"/>
  <c r="J106" i="11"/>
  <c r="O267" i="9"/>
  <c r="N267" i="9"/>
  <c r="M267" i="9"/>
  <c r="L267" i="9"/>
  <c r="K267" i="9"/>
  <c r="J267" i="9"/>
  <c r="I267" i="9"/>
  <c r="H267" i="9"/>
  <c r="G267" i="9"/>
  <c r="E267" i="9"/>
  <c r="D267" i="9"/>
  <c r="A267" i="9"/>
  <c r="J105" i="11"/>
  <c r="O266" i="9"/>
  <c r="N266" i="9"/>
  <c r="M266" i="9"/>
  <c r="L266" i="9"/>
  <c r="K266" i="9"/>
  <c r="J266" i="9"/>
  <c r="I266" i="9"/>
  <c r="H266" i="9"/>
  <c r="G266" i="9"/>
  <c r="E266" i="9"/>
  <c r="D266" i="9"/>
  <c r="A266" i="9"/>
  <c r="J104" i="11"/>
  <c r="O265" i="9"/>
  <c r="N265" i="9"/>
  <c r="M265" i="9"/>
  <c r="L265" i="9"/>
  <c r="K265" i="9"/>
  <c r="J265" i="9"/>
  <c r="I265" i="9"/>
  <c r="H265" i="9"/>
  <c r="G265" i="9"/>
  <c r="E265" i="9"/>
  <c r="D265" i="9"/>
  <c r="A265" i="9"/>
  <c r="J103" i="11"/>
  <c r="O264" i="9"/>
  <c r="N264" i="9"/>
  <c r="M264" i="9"/>
  <c r="L264" i="9"/>
  <c r="K264" i="9"/>
  <c r="J264" i="9"/>
  <c r="I264" i="9"/>
  <c r="H264" i="9"/>
  <c r="G264" i="9"/>
  <c r="E264" i="9"/>
  <c r="D264" i="9"/>
  <c r="A264" i="9"/>
  <c r="J102" i="11"/>
  <c r="O263" i="9"/>
  <c r="N263" i="9"/>
  <c r="M263" i="9"/>
  <c r="L263" i="9"/>
  <c r="K263" i="9"/>
  <c r="J263" i="9"/>
  <c r="I263" i="9"/>
  <c r="H263" i="9"/>
  <c r="G263" i="9"/>
  <c r="E263" i="9"/>
  <c r="D263" i="9"/>
  <c r="A263" i="9"/>
  <c r="J101" i="11"/>
  <c r="O262" i="9"/>
  <c r="N262" i="9"/>
  <c r="M262" i="9"/>
  <c r="L262" i="9"/>
  <c r="K262" i="9"/>
  <c r="J262" i="9"/>
  <c r="I262" i="9"/>
  <c r="H262" i="9"/>
  <c r="G262" i="9"/>
  <c r="E262" i="9"/>
  <c r="D262" i="9"/>
  <c r="A262" i="9"/>
  <c r="J100" i="11"/>
  <c r="O261" i="9"/>
  <c r="N261" i="9"/>
  <c r="M261" i="9"/>
  <c r="L261" i="9"/>
  <c r="K261" i="9"/>
  <c r="J261" i="9"/>
  <c r="I261" i="9"/>
  <c r="H261" i="9"/>
  <c r="G261" i="9"/>
  <c r="E261" i="9"/>
  <c r="D261" i="9"/>
  <c r="A261" i="9"/>
  <c r="J99" i="11"/>
  <c r="O260" i="9"/>
  <c r="N260" i="9"/>
  <c r="M260" i="9"/>
  <c r="L260" i="9"/>
  <c r="K260" i="9"/>
  <c r="J260" i="9"/>
  <c r="I260" i="9"/>
  <c r="H260" i="9"/>
  <c r="G260" i="9"/>
  <c r="E260" i="9"/>
  <c r="D260" i="9"/>
  <c r="A260" i="9"/>
  <c r="J98" i="11"/>
  <c r="O259" i="9"/>
  <c r="N259" i="9"/>
  <c r="M259" i="9"/>
  <c r="L259" i="9"/>
  <c r="K259" i="9"/>
  <c r="J259" i="9"/>
  <c r="I259" i="9"/>
  <c r="H259" i="9"/>
  <c r="G259" i="9"/>
  <c r="E259" i="9"/>
  <c r="D259" i="9"/>
  <c r="A259" i="9"/>
  <c r="J97" i="11"/>
  <c r="O258" i="9"/>
  <c r="N258" i="9"/>
  <c r="M258" i="9"/>
  <c r="L258" i="9"/>
  <c r="K258" i="9"/>
  <c r="J258" i="9"/>
  <c r="I258" i="9"/>
  <c r="H258" i="9"/>
  <c r="G258" i="9"/>
  <c r="E258" i="9"/>
  <c r="D258" i="9"/>
  <c r="A258" i="9"/>
  <c r="J96" i="11"/>
  <c r="O257" i="9"/>
  <c r="N257" i="9"/>
  <c r="M257" i="9"/>
  <c r="L257" i="9"/>
  <c r="K257" i="9"/>
  <c r="J257" i="9"/>
  <c r="I257" i="9"/>
  <c r="H257" i="9"/>
  <c r="G257" i="9"/>
  <c r="E257" i="9"/>
  <c r="D257" i="9"/>
  <c r="A257" i="9"/>
  <c r="J95" i="11"/>
  <c r="O256" i="9"/>
  <c r="N256" i="9"/>
  <c r="M256" i="9"/>
  <c r="L256" i="9"/>
  <c r="K256" i="9"/>
  <c r="J256" i="9"/>
  <c r="I256" i="9"/>
  <c r="H256" i="9"/>
  <c r="G256" i="9"/>
  <c r="E256" i="9"/>
  <c r="D256" i="9"/>
  <c r="A256" i="9"/>
  <c r="J94" i="11"/>
  <c r="O255" i="9"/>
  <c r="N255" i="9"/>
  <c r="M255" i="9"/>
  <c r="L255" i="9"/>
  <c r="K255" i="9"/>
  <c r="J255" i="9"/>
  <c r="I255" i="9"/>
  <c r="H255" i="9"/>
  <c r="G255" i="9"/>
  <c r="E255" i="9"/>
  <c r="D255" i="9"/>
  <c r="A255" i="9"/>
  <c r="J93" i="11"/>
  <c r="O254" i="9"/>
  <c r="N254" i="9"/>
  <c r="M254" i="9"/>
  <c r="L254" i="9"/>
  <c r="K254" i="9"/>
  <c r="J254" i="9"/>
  <c r="I254" i="9"/>
  <c r="H254" i="9"/>
  <c r="G254" i="9"/>
  <c r="E254" i="9"/>
  <c r="D254" i="9"/>
  <c r="A254" i="9"/>
  <c r="J92" i="11"/>
  <c r="O253" i="9"/>
  <c r="N253" i="9"/>
  <c r="M253" i="9"/>
  <c r="L253" i="9"/>
  <c r="K253" i="9"/>
  <c r="J253" i="9"/>
  <c r="I253" i="9"/>
  <c r="H253" i="9"/>
  <c r="G253" i="9"/>
  <c r="E253" i="9"/>
  <c r="D253" i="9"/>
  <c r="A253" i="9"/>
  <c r="J91" i="11"/>
  <c r="O252" i="9"/>
  <c r="N252" i="9"/>
  <c r="M252" i="9"/>
  <c r="L252" i="9"/>
  <c r="K252" i="9"/>
  <c r="J252" i="9"/>
  <c r="I252" i="9"/>
  <c r="H252" i="9"/>
  <c r="G252" i="9"/>
  <c r="E252" i="9"/>
  <c r="D252" i="9"/>
  <c r="A252" i="9"/>
  <c r="J90" i="11"/>
  <c r="O251" i="9"/>
  <c r="N251" i="9"/>
  <c r="M251" i="9"/>
  <c r="L251" i="9"/>
  <c r="K251" i="9"/>
  <c r="J251" i="9"/>
  <c r="I251" i="9"/>
  <c r="H251" i="9"/>
  <c r="G251" i="9"/>
  <c r="E251" i="9"/>
  <c r="D251" i="9"/>
  <c r="A251" i="9"/>
  <c r="J89" i="11"/>
  <c r="O250" i="9"/>
  <c r="N250" i="9"/>
  <c r="M250" i="9"/>
  <c r="L250" i="9"/>
  <c r="K250" i="9"/>
  <c r="J250" i="9"/>
  <c r="I250" i="9"/>
  <c r="H250" i="9"/>
  <c r="G250" i="9"/>
  <c r="E250" i="9"/>
  <c r="D250" i="9"/>
  <c r="A250" i="9"/>
  <c r="J88" i="11"/>
  <c r="O249" i="9"/>
  <c r="N249" i="9"/>
  <c r="M249" i="9"/>
  <c r="L249" i="9"/>
  <c r="K249" i="9"/>
  <c r="J249" i="9"/>
  <c r="I249" i="9"/>
  <c r="H249" i="9"/>
  <c r="G249" i="9"/>
  <c r="E249" i="9"/>
  <c r="D249" i="9"/>
  <c r="A249" i="9"/>
  <c r="J87" i="11"/>
  <c r="O248" i="9"/>
  <c r="N248" i="9"/>
  <c r="M248" i="9"/>
  <c r="L248" i="9"/>
  <c r="K248" i="9"/>
  <c r="J248" i="9"/>
  <c r="I248" i="9"/>
  <c r="H248" i="9"/>
  <c r="G248" i="9"/>
  <c r="E248" i="9"/>
  <c r="D248" i="9"/>
  <c r="A248" i="9"/>
  <c r="J86" i="11"/>
  <c r="O247" i="9"/>
  <c r="N247" i="9"/>
  <c r="M247" i="9"/>
  <c r="L247" i="9"/>
  <c r="K247" i="9"/>
  <c r="J247" i="9"/>
  <c r="I247" i="9"/>
  <c r="H247" i="9"/>
  <c r="G247" i="9"/>
  <c r="E247" i="9"/>
  <c r="D247" i="9"/>
  <c r="A247" i="9"/>
  <c r="J85" i="11"/>
  <c r="O246" i="9"/>
  <c r="N246" i="9"/>
  <c r="M246" i="9"/>
  <c r="L246" i="9"/>
  <c r="K246" i="9"/>
  <c r="J246" i="9"/>
  <c r="I246" i="9"/>
  <c r="H246" i="9"/>
  <c r="G246" i="9"/>
  <c r="E246" i="9"/>
  <c r="D246" i="9"/>
  <c r="A246" i="9"/>
  <c r="J84" i="11"/>
  <c r="O245" i="9"/>
  <c r="N245" i="9"/>
  <c r="M245" i="9"/>
  <c r="L245" i="9"/>
  <c r="K245" i="9"/>
  <c r="J245" i="9"/>
  <c r="I245" i="9"/>
  <c r="H245" i="9"/>
  <c r="G245" i="9"/>
  <c r="E245" i="9"/>
  <c r="D245" i="9"/>
  <c r="A245" i="9"/>
  <c r="J83" i="11"/>
  <c r="O244" i="9"/>
  <c r="N244" i="9"/>
  <c r="M244" i="9"/>
  <c r="L244" i="9"/>
  <c r="K244" i="9"/>
  <c r="J244" i="9"/>
  <c r="I244" i="9"/>
  <c r="H244" i="9"/>
  <c r="G244" i="9"/>
  <c r="E244" i="9"/>
  <c r="D244" i="9"/>
  <c r="A244" i="9"/>
  <c r="J82" i="11"/>
  <c r="O243" i="9"/>
  <c r="N243" i="9"/>
  <c r="M243" i="9"/>
  <c r="L243" i="9"/>
  <c r="K243" i="9"/>
  <c r="J243" i="9"/>
  <c r="I243" i="9"/>
  <c r="H243" i="9"/>
  <c r="G243" i="9"/>
  <c r="E243" i="9"/>
  <c r="D243" i="9"/>
  <c r="A243" i="9"/>
  <c r="J81" i="11"/>
  <c r="O242" i="9"/>
  <c r="N242" i="9"/>
  <c r="M242" i="9"/>
  <c r="L242" i="9"/>
  <c r="K242" i="9"/>
  <c r="J242" i="9"/>
  <c r="I242" i="9"/>
  <c r="H242" i="9"/>
  <c r="G242" i="9"/>
  <c r="E242" i="9"/>
  <c r="D242" i="9"/>
  <c r="A242" i="9"/>
  <c r="J80" i="11"/>
  <c r="O241" i="9"/>
  <c r="N241" i="9"/>
  <c r="M241" i="9"/>
  <c r="L241" i="9"/>
  <c r="K241" i="9"/>
  <c r="J241" i="9"/>
  <c r="I241" i="9"/>
  <c r="H241" i="9"/>
  <c r="G241" i="9"/>
  <c r="E241" i="9"/>
  <c r="D241" i="9"/>
  <c r="A241" i="9"/>
  <c r="J79" i="11"/>
  <c r="O240" i="9"/>
  <c r="N240" i="9"/>
  <c r="M240" i="9"/>
  <c r="L240" i="9"/>
  <c r="K240" i="9"/>
  <c r="J240" i="9"/>
  <c r="I240" i="9"/>
  <c r="H240" i="9"/>
  <c r="G240" i="9"/>
  <c r="E240" i="9"/>
  <c r="D240" i="9"/>
  <c r="A240" i="9"/>
  <c r="J78" i="11"/>
  <c r="O239" i="9"/>
  <c r="N239" i="9"/>
  <c r="M239" i="9"/>
  <c r="L239" i="9"/>
  <c r="K239" i="9"/>
  <c r="J239" i="9"/>
  <c r="I239" i="9"/>
  <c r="H239" i="9"/>
  <c r="G239" i="9"/>
  <c r="E239" i="9"/>
  <c r="D239" i="9"/>
  <c r="A239" i="9"/>
  <c r="J77" i="11"/>
  <c r="O238" i="9"/>
  <c r="N238" i="9"/>
  <c r="M238" i="9"/>
  <c r="L238" i="9"/>
  <c r="K238" i="9"/>
  <c r="J238" i="9"/>
  <c r="I238" i="9"/>
  <c r="H238" i="9"/>
  <c r="G238" i="9"/>
  <c r="E238" i="9"/>
  <c r="D238" i="9"/>
  <c r="A238" i="9"/>
  <c r="J76" i="11"/>
  <c r="O237" i="9"/>
  <c r="N237" i="9"/>
  <c r="M237" i="9"/>
  <c r="L237" i="9"/>
  <c r="K237" i="9"/>
  <c r="J237" i="9"/>
  <c r="I237" i="9"/>
  <c r="H237" i="9"/>
  <c r="G237" i="9"/>
  <c r="E237" i="9"/>
  <c r="D237" i="9"/>
  <c r="A237" i="9"/>
  <c r="J75" i="11"/>
  <c r="O236" i="9"/>
  <c r="N236" i="9"/>
  <c r="M236" i="9"/>
  <c r="L236" i="9"/>
  <c r="K236" i="9"/>
  <c r="J236" i="9"/>
  <c r="I236" i="9"/>
  <c r="H236" i="9"/>
  <c r="G236" i="9"/>
  <c r="E236" i="9"/>
  <c r="D236" i="9"/>
  <c r="A236" i="9"/>
  <c r="J169" i="11"/>
  <c r="O235" i="9"/>
  <c r="N235" i="9"/>
  <c r="M235" i="9"/>
  <c r="L235" i="9"/>
  <c r="K235" i="9"/>
  <c r="J235" i="9"/>
  <c r="I235" i="9"/>
  <c r="H235" i="9"/>
  <c r="G235" i="9"/>
  <c r="E235" i="9"/>
  <c r="D235" i="9"/>
  <c r="A235" i="9"/>
  <c r="J168" i="11"/>
  <c r="O234" i="9"/>
  <c r="N234" i="9"/>
  <c r="M234" i="9"/>
  <c r="L234" i="9"/>
  <c r="K234" i="9"/>
  <c r="J234" i="9"/>
  <c r="I234" i="9"/>
  <c r="H234" i="9"/>
  <c r="G234" i="9"/>
  <c r="E234" i="9"/>
  <c r="D234" i="9"/>
  <c r="A234" i="9"/>
  <c r="J167" i="11"/>
  <c r="O233" i="9"/>
  <c r="N233" i="9"/>
  <c r="M233" i="9"/>
  <c r="L233" i="9"/>
  <c r="K233" i="9"/>
  <c r="J233" i="9"/>
  <c r="I233" i="9"/>
  <c r="H233" i="9"/>
  <c r="G233" i="9"/>
  <c r="E233" i="9"/>
  <c r="D233" i="9"/>
  <c r="A233" i="9"/>
  <c r="J71" i="11"/>
  <c r="O232" i="9"/>
  <c r="N232" i="9"/>
  <c r="M232" i="9"/>
  <c r="L232" i="9"/>
  <c r="K232" i="9"/>
  <c r="J232" i="9"/>
  <c r="I232" i="9"/>
  <c r="H232" i="9"/>
  <c r="G232" i="9"/>
  <c r="E232" i="9"/>
  <c r="D232" i="9"/>
  <c r="A232" i="9"/>
  <c r="J70" i="11"/>
  <c r="O231" i="9"/>
  <c r="N231" i="9"/>
  <c r="M231" i="9"/>
  <c r="L231" i="9"/>
  <c r="K231" i="9"/>
  <c r="J231" i="9"/>
  <c r="I231" i="9"/>
  <c r="H231" i="9"/>
  <c r="G231" i="9"/>
  <c r="E231" i="9"/>
  <c r="D231" i="9"/>
  <c r="A231" i="9"/>
  <c r="J69" i="11"/>
  <c r="O230" i="9"/>
  <c r="N230" i="9"/>
  <c r="M230" i="9"/>
  <c r="L230" i="9"/>
  <c r="K230" i="9"/>
  <c r="J230" i="9"/>
  <c r="I230" i="9"/>
  <c r="H230" i="9"/>
  <c r="G230" i="9"/>
  <c r="E230" i="9"/>
  <c r="D230" i="9"/>
  <c r="A230" i="9"/>
  <c r="J68" i="11"/>
  <c r="O229" i="9"/>
  <c r="N229" i="9"/>
  <c r="M229" i="9"/>
  <c r="L229" i="9"/>
  <c r="K229" i="9"/>
  <c r="J229" i="9"/>
  <c r="I229" i="9"/>
  <c r="H229" i="9"/>
  <c r="G229" i="9"/>
  <c r="E229" i="9"/>
  <c r="D229" i="9"/>
  <c r="A229" i="9"/>
  <c r="J67" i="11"/>
  <c r="O228" i="9"/>
  <c r="N228" i="9"/>
  <c r="M228" i="9"/>
  <c r="L228" i="9"/>
  <c r="K228" i="9"/>
  <c r="J228" i="9"/>
  <c r="I228" i="9"/>
  <c r="H228" i="9"/>
  <c r="G228" i="9"/>
  <c r="E228" i="9"/>
  <c r="D228" i="9"/>
  <c r="A228" i="9"/>
  <c r="J66" i="11"/>
  <c r="O227" i="9"/>
  <c r="N227" i="9"/>
  <c r="M227" i="9"/>
  <c r="L227" i="9"/>
  <c r="K227" i="9"/>
  <c r="J227" i="9"/>
  <c r="I227" i="9"/>
  <c r="H227" i="9"/>
  <c r="G227" i="9"/>
  <c r="E227" i="9"/>
  <c r="D227" i="9"/>
  <c r="A227" i="9"/>
  <c r="J65" i="11"/>
  <c r="O226" i="9"/>
  <c r="N226" i="9"/>
  <c r="M226" i="9"/>
  <c r="L226" i="9"/>
  <c r="K226" i="9"/>
  <c r="J226" i="9"/>
  <c r="I226" i="9"/>
  <c r="H226" i="9"/>
  <c r="G226" i="9"/>
  <c r="E226" i="9"/>
  <c r="D226" i="9"/>
  <c r="A226" i="9"/>
  <c r="J64" i="11"/>
  <c r="O225" i="9"/>
  <c r="N225" i="9"/>
  <c r="M225" i="9"/>
  <c r="L225" i="9"/>
  <c r="K225" i="9"/>
  <c r="J225" i="9"/>
  <c r="I225" i="9"/>
  <c r="H225" i="9"/>
  <c r="G225" i="9"/>
  <c r="E225" i="9"/>
  <c r="D225" i="9"/>
  <c r="A225" i="9"/>
  <c r="J63" i="11"/>
  <c r="O224" i="9"/>
  <c r="N224" i="9"/>
  <c r="M224" i="9"/>
  <c r="L224" i="9"/>
  <c r="K224" i="9"/>
  <c r="J224" i="9"/>
  <c r="I224" i="9"/>
  <c r="H224" i="9"/>
  <c r="G224" i="9"/>
  <c r="E224" i="9"/>
  <c r="D224" i="9"/>
  <c r="A224" i="9"/>
  <c r="J62" i="11"/>
  <c r="O223" i="9"/>
  <c r="N223" i="9"/>
  <c r="M223" i="9"/>
  <c r="L223" i="9"/>
  <c r="K223" i="9"/>
  <c r="J223" i="9"/>
  <c r="I223" i="9"/>
  <c r="H223" i="9"/>
  <c r="G223" i="9"/>
  <c r="E223" i="9"/>
  <c r="D223" i="9"/>
  <c r="A223" i="9"/>
  <c r="J61" i="11"/>
  <c r="O222" i="9"/>
  <c r="N222" i="9"/>
  <c r="M222" i="9"/>
  <c r="L222" i="9"/>
  <c r="K222" i="9"/>
  <c r="J222" i="9"/>
  <c r="I222" i="9"/>
  <c r="H222" i="9"/>
  <c r="G222" i="9"/>
  <c r="E222" i="9"/>
  <c r="D222" i="9"/>
  <c r="A222" i="9"/>
  <c r="J60" i="11"/>
  <c r="O221" i="9"/>
  <c r="N221" i="9"/>
  <c r="M221" i="9"/>
  <c r="L221" i="9"/>
  <c r="K221" i="9"/>
  <c r="J221" i="9"/>
  <c r="I221" i="9"/>
  <c r="H221" i="9"/>
  <c r="G221" i="9"/>
  <c r="E221" i="9"/>
  <c r="D221" i="9"/>
  <c r="A221" i="9"/>
  <c r="J59" i="11"/>
  <c r="O220" i="9"/>
  <c r="N220" i="9"/>
  <c r="M220" i="9"/>
  <c r="L220" i="9"/>
  <c r="K220" i="9"/>
  <c r="J220" i="9"/>
  <c r="I220" i="9"/>
  <c r="H220" i="9"/>
  <c r="G220" i="9"/>
  <c r="E220" i="9"/>
  <c r="D220" i="9"/>
  <c r="A220" i="9"/>
  <c r="J58" i="11"/>
  <c r="O219" i="9"/>
  <c r="N219" i="9"/>
  <c r="M219" i="9"/>
  <c r="L219" i="9"/>
  <c r="K219" i="9"/>
  <c r="J219" i="9"/>
  <c r="I219" i="9"/>
  <c r="H219" i="9"/>
  <c r="G219" i="9"/>
  <c r="E219" i="9"/>
  <c r="D219" i="9"/>
  <c r="A219" i="9"/>
  <c r="J57" i="11"/>
  <c r="O218" i="9"/>
  <c r="N218" i="9"/>
  <c r="M218" i="9"/>
  <c r="L218" i="9"/>
  <c r="K218" i="9"/>
  <c r="J218" i="9"/>
  <c r="I218" i="9"/>
  <c r="H218" i="9"/>
  <c r="G218" i="9"/>
  <c r="E218" i="9"/>
  <c r="D218" i="9"/>
  <c r="A218" i="9"/>
  <c r="J56" i="11"/>
  <c r="O217" i="9"/>
  <c r="N217" i="9"/>
  <c r="M217" i="9"/>
  <c r="L217" i="9"/>
  <c r="K217" i="9"/>
  <c r="J217" i="9"/>
  <c r="I217" i="9"/>
  <c r="H217" i="9"/>
  <c r="G217" i="9"/>
  <c r="E217" i="9"/>
  <c r="D217" i="9"/>
  <c r="A217" i="9"/>
  <c r="J55" i="11"/>
  <c r="O216" i="9"/>
  <c r="N216" i="9"/>
  <c r="M216" i="9"/>
  <c r="L216" i="9"/>
  <c r="K216" i="9"/>
  <c r="J216" i="9"/>
  <c r="I216" i="9"/>
  <c r="H216" i="9"/>
  <c r="G216" i="9"/>
  <c r="E216" i="9"/>
  <c r="D216" i="9"/>
  <c r="A216" i="9"/>
  <c r="J54" i="11"/>
  <c r="O215" i="9"/>
  <c r="N215" i="9"/>
  <c r="M215" i="9"/>
  <c r="L215" i="9"/>
  <c r="K215" i="9"/>
  <c r="J215" i="9"/>
  <c r="I215" i="9"/>
  <c r="H215" i="9"/>
  <c r="G215" i="9"/>
  <c r="E215" i="9"/>
  <c r="D215" i="9"/>
  <c r="A215" i="9"/>
  <c r="J53" i="11"/>
  <c r="O214" i="9"/>
  <c r="N214" i="9"/>
  <c r="M214" i="9"/>
  <c r="L214" i="9"/>
  <c r="K214" i="9"/>
  <c r="J214" i="9"/>
  <c r="I214" i="9"/>
  <c r="H214" i="9"/>
  <c r="G214" i="9"/>
  <c r="E214" i="9"/>
  <c r="D214" i="9"/>
  <c r="A214" i="9"/>
  <c r="J52" i="11"/>
  <c r="O213" i="9"/>
  <c r="N213" i="9"/>
  <c r="M213" i="9"/>
  <c r="L213" i="9"/>
  <c r="K213" i="9"/>
  <c r="J213" i="9"/>
  <c r="I213" i="9"/>
  <c r="H213" i="9"/>
  <c r="G213" i="9"/>
  <c r="E213" i="9"/>
  <c r="D213" i="9"/>
  <c r="A213" i="9"/>
  <c r="J51" i="11"/>
  <c r="O212" i="9"/>
  <c r="N212" i="9"/>
  <c r="M212" i="9"/>
  <c r="L212" i="9"/>
  <c r="K212" i="9"/>
  <c r="J212" i="9"/>
  <c r="I212" i="9"/>
  <c r="H212" i="9"/>
  <c r="G212" i="9"/>
  <c r="E212" i="9"/>
  <c r="D212" i="9"/>
  <c r="A212" i="9"/>
  <c r="J50" i="11"/>
  <c r="O211" i="9"/>
  <c r="N211" i="9"/>
  <c r="M211" i="9"/>
  <c r="L211" i="9"/>
  <c r="K211" i="9"/>
  <c r="J211" i="9"/>
  <c r="I211" i="9"/>
  <c r="H211" i="9"/>
  <c r="G211" i="9"/>
  <c r="E211" i="9"/>
  <c r="D211" i="9"/>
  <c r="A211" i="9"/>
  <c r="J49" i="11"/>
  <c r="O210" i="9"/>
  <c r="N210" i="9"/>
  <c r="M210" i="9"/>
  <c r="L210" i="9"/>
  <c r="K210" i="9"/>
  <c r="J210" i="9"/>
  <c r="I210" i="9"/>
  <c r="H210" i="9"/>
  <c r="G210" i="9"/>
  <c r="E210" i="9"/>
  <c r="D210" i="9"/>
  <c r="A210" i="9"/>
  <c r="J48" i="11"/>
  <c r="O209" i="9"/>
  <c r="N209" i="9"/>
  <c r="M209" i="9"/>
  <c r="L209" i="9"/>
  <c r="K209" i="9"/>
  <c r="J209" i="9"/>
  <c r="I209" i="9"/>
  <c r="H209" i="9"/>
  <c r="G209" i="9"/>
  <c r="E209" i="9"/>
  <c r="D209" i="9"/>
  <c r="A209" i="9"/>
  <c r="J166" i="11"/>
  <c r="O208" i="9"/>
  <c r="N208" i="9"/>
  <c r="M208" i="9"/>
  <c r="L208" i="9"/>
  <c r="K208" i="9"/>
  <c r="J208" i="9"/>
  <c r="I208" i="9"/>
  <c r="H208" i="9"/>
  <c r="G208" i="9"/>
  <c r="E208" i="9"/>
  <c r="D208" i="9"/>
  <c r="A208" i="9"/>
  <c r="J46" i="11"/>
  <c r="O207" i="9"/>
  <c r="N207" i="9"/>
  <c r="M207" i="9"/>
  <c r="L207" i="9"/>
  <c r="K207" i="9"/>
  <c r="J207" i="9"/>
  <c r="I207" i="9"/>
  <c r="H207" i="9"/>
  <c r="G207" i="9"/>
  <c r="E207" i="9"/>
  <c r="D207" i="9"/>
  <c r="A207" i="9"/>
  <c r="J45" i="11"/>
  <c r="O206" i="9"/>
  <c r="N206" i="9"/>
  <c r="M206" i="9"/>
  <c r="L206" i="9"/>
  <c r="K206" i="9"/>
  <c r="J206" i="9"/>
  <c r="I206" i="9"/>
  <c r="H206" i="9"/>
  <c r="G206" i="9"/>
  <c r="E206" i="9"/>
  <c r="D206" i="9"/>
  <c r="A206" i="9"/>
  <c r="J165" i="11"/>
  <c r="O205" i="9"/>
  <c r="N205" i="9"/>
  <c r="M205" i="9"/>
  <c r="L205" i="9"/>
  <c r="K205" i="9"/>
  <c r="J205" i="9"/>
  <c r="I205" i="9"/>
  <c r="H205" i="9"/>
  <c r="G205" i="9"/>
  <c r="E205" i="9"/>
  <c r="D205" i="9"/>
  <c r="A205" i="9"/>
  <c r="J43" i="11"/>
  <c r="O204" i="9"/>
  <c r="N204" i="9"/>
  <c r="M204" i="9"/>
  <c r="L204" i="9"/>
  <c r="K204" i="9"/>
  <c r="J204" i="9"/>
  <c r="I204" i="9"/>
  <c r="H204" i="9"/>
  <c r="G204" i="9"/>
  <c r="E204" i="9"/>
  <c r="D204" i="9"/>
  <c r="A204" i="9"/>
  <c r="J42" i="11"/>
  <c r="O203" i="9"/>
  <c r="N203" i="9"/>
  <c r="M203" i="9"/>
  <c r="L203" i="9"/>
  <c r="K203" i="9"/>
  <c r="J203" i="9"/>
  <c r="I203" i="9"/>
  <c r="H203" i="9"/>
  <c r="G203" i="9"/>
  <c r="E203" i="9"/>
  <c r="D203" i="9"/>
  <c r="A203" i="9"/>
  <c r="J41" i="11"/>
  <c r="O202" i="9"/>
  <c r="N202" i="9"/>
  <c r="M202" i="9"/>
  <c r="L202" i="9"/>
  <c r="K202" i="9"/>
  <c r="J202" i="9"/>
  <c r="I202" i="9"/>
  <c r="H202" i="9"/>
  <c r="G202" i="9"/>
  <c r="E202" i="9"/>
  <c r="D202" i="9"/>
  <c r="A202" i="9"/>
  <c r="J40" i="11"/>
  <c r="O201" i="9"/>
  <c r="N201" i="9"/>
  <c r="M201" i="9"/>
  <c r="L201" i="9"/>
  <c r="K201" i="9"/>
  <c r="J201" i="9"/>
  <c r="I201" i="9"/>
  <c r="H201" i="9"/>
  <c r="G201" i="9"/>
  <c r="E201" i="9"/>
  <c r="D201" i="9"/>
  <c r="A201" i="9"/>
  <c r="J39" i="11"/>
  <c r="O200" i="9"/>
  <c r="N200" i="9"/>
  <c r="M200" i="9"/>
  <c r="L200" i="9"/>
  <c r="K200" i="9"/>
  <c r="J200" i="9"/>
  <c r="I200" i="9"/>
  <c r="H200" i="9"/>
  <c r="G200" i="9"/>
  <c r="E200" i="9"/>
  <c r="D200" i="9"/>
  <c r="A200" i="9"/>
  <c r="J38" i="11"/>
  <c r="O199" i="9"/>
  <c r="N199" i="9"/>
  <c r="M199" i="9"/>
  <c r="L199" i="9"/>
  <c r="K199" i="9"/>
  <c r="J199" i="9"/>
  <c r="I199" i="9"/>
  <c r="H199" i="9"/>
  <c r="G199" i="9"/>
  <c r="E199" i="9"/>
  <c r="D199" i="9"/>
  <c r="A199" i="9"/>
  <c r="J37" i="11"/>
  <c r="O198" i="9"/>
  <c r="N198" i="9"/>
  <c r="M198" i="9"/>
  <c r="L198" i="9"/>
  <c r="K198" i="9"/>
  <c r="J198" i="9"/>
  <c r="I198" i="9"/>
  <c r="H198" i="9"/>
  <c r="G198" i="9"/>
  <c r="E198" i="9"/>
  <c r="D198" i="9"/>
  <c r="A198" i="9"/>
  <c r="J36" i="11"/>
  <c r="O197" i="9"/>
  <c r="N197" i="9"/>
  <c r="M197" i="9"/>
  <c r="L197" i="9"/>
  <c r="K197" i="9"/>
  <c r="J197" i="9"/>
  <c r="I197" i="9"/>
  <c r="H197" i="9"/>
  <c r="G197" i="9"/>
  <c r="E197" i="9"/>
  <c r="D197" i="9"/>
  <c r="A197" i="9"/>
  <c r="J35" i="11"/>
  <c r="O196" i="9"/>
  <c r="N196" i="9"/>
  <c r="M196" i="9"/>
  <c r="L196" i="9"/>
  <c r="K196" i="9"/>
  <c r="J196" i="9"/>
  <c r="I196" i="9"/>
  <c r="H196" i="9"/>
  <c r="G196" i="9"/>
  <c r="E196" i="9"/>
  <c r="D196" i="9"/>
  <c r="A196" i="9"/>
  <c r="J164" i="11"/>
  <c r="O195" i="9"/>
  <c r="N195" i="9"/>
  <c r="M195" i="9"/>
  <c r="L195" i="9"/>
  <c r="K195" i="9"/>
  <c r="J195" i="9"/>
  <c r="I195" i="9"/>
  <c r="H195" i="9"/>
  <c r="G195" i="9"/>
  <c r="E195" i="9"/>
  <c r="D195" i="9"/>
  <c r="A195" i="9"/>
  <c r="J33" i="11"/>
  <c r="O194" i="9"/>
  <c r="N194" i="9"/>
  <c r="M194" i="9"/>
  <c r="L194" i="9"/>
  <c r="K194" i="9"/>
  <c r="J194" i="9"/>
  <c r="I194" i="9"/>
  <c r="H194" i="9"/>
  <c r="G194" i="9"/>
  <c r="E194" i="9"/>
  <c r="D194" i="9"/>
  <c r="A194" i="9"/>
  <c r="J32" i="11"/>
  <c r="O193" i="9"/>
  <c r="N193" i="9"/>
  <c r="M193" i="9"/>
  <c r="L193" i="9"/>
  <c r="K193" i="9"/>
  <c r="J193" i="9"/>
  <c r="I193" i="9"/>
  <c r="H193" i="9"/>
  <c r="G193" i="9"/>
  <c r="E193" i="9"/>
  <c r="D193" i="9"/>
  <c r="A193" i="9"/>
  <c r="J31" i="11"/>
  <c r="O192" i="9"/>
  <c r="N192" i="9"/>
  <c r="M192" i="9"/>
  <c r="L192" i="9"/>
  <c r="K192" i="9"/>
  <c r="J192" i="9"/>
  <c r="I192" i="9"/>
  <c r="H192" i="9"/>
  <c r="G192" i="9"/>
  <c r="E192" i="9"/>
  <c r="D192" i="9"/>
  <c r="A192" i="9"/>
  <c r="J30" i="11"/>
  <c r="O191" i="9"/>
  <c r="N191" i="9"/>
  <c r="M191" i="9"/>
  <c r="L191" i="9"/>
  <c r="K191" i="9"/>
  <c r="J191" i="9"/>
  <c r="I191" i="9"/>
  <c r="H191" i="9"/>
  <c r="G191" i="9"/>
  <c r="E191" i="9"/>
  <c r="D191" i="9"/>
  <c r="A191" i="9"/>
  <c r="J29" i="11"/>
  <c r="O190" i="9"/>
  <c r="N190" i="9"/>
  <c r="M190" i="9"/>
  <c r="L190" i="9"/>
  <c r="K190" i="9"/>
  <c r="J190" i="9"/>
  <c r="I190" i="9"/>
  <c r="H190" i="9"/>
  <c r="G190" i="9"/>
  <c r="E190" i="9"/>
  <c r="D190" i="9"/>
  <c r="A190" i="9"/>
  <c r="J28" i="11"/>
  <c r="O189" i="9"/>
  <c r="N189" i="9"/>
  <c r="M189" i="9"/>
  <c r="L189" i="9"/>
  <c r="K189" i="9"/>
  <c r="J189" i="9"/>
  <c r="I189" i="9"/>
  <c r="H189" i="9"/>
  <c r="G189" i="9"/>
  <c r="E189" i="9"/>
  <c r="D189" i="9"/>
  <c r="A189" i="9"/>
  <c r="J27" i="11"/>
  <c r="O188" i="9"/>
  <c r="N188" i="9"/>
  <c r="M188" i="9"/>
  <c r="L188" i="9"/>
  <c r="K188" i="9"/>
  <c r="J188" i="9"/>
  <c r="I188" i="9"/>
  <c r="H188" i="9"/>
  <c r="G188" i="9"/>
  <c r="E188" i="9"/>
  <c r="D188" i="9"/>
  <c r="A188" i="9"/>
  <c r="J26" i="11"/>
  <c r="O187" i="9"/>
  <c r="N187" i="9"/>
  <c r="M187" i="9"/>
  <c r="L187" i="9"/>
  <c r="K187" i="9"/>
  <c r="J187" i="9"/>
  <c r="I187" i="9"/>
  <c r="H187" i="9"/>
  <c r="G187" i="9"/>
  <c r="E187" i="9"/>
  <c r="D187" i="9"/>
  <c r="A187" i="9"/>
  <c r="J25" i="11"/>
  <c r="O186" i="9"/>
  <c r="N186" i="9"/>
  <c r="M186" i="9"/>
  <c r="L186" i="9"/>
  <c r="K186" i="9"/>
  <c r="J186" i="9"/>
  <c r="I186" i="9"/>
  <c r="H186" i="9"/>
  <c r="G186" i="9"/>
  <c r="E186" i="9"/>
  <c r="D186" i="9"/>
  <c r="A186" i="9"/>
  <c r="J24" i="11"/>
  <c r="O185" i="9"/>
  <c r="N185" i="9"/>
  <c r="M185" i="9"/>
  <c r="L185" i="9"/>
  <c r="K185" i="9"/>
  <c r="J185" i="9"/>
  <c r="I185" i="9"/>
  <c r="H185" i="9"/>
  <c r="G185" i="9"/>
  <c r="E185" i="9"/>
  <c r="D185" i="9"/>
  <c r="A185" i="9"/>
  <c r="J23" i="11"/>
  <c r="O184" i="9"/>
  <c r="N184" i="9"/>
  <c r="M184" i="9"/>
  <c r="L184" i="9"/>
  <c r="K184" i="9"/>
  <c r="J184" i="9"/>
  <c r="I184" i="9"/>
  <c r="H184" i="9"/>
  <c r="G184" i="9"/>
  <c r="E184" i="9"/>
  <c r="D184" i="9"/>
  <c r="A184" i="9"/>
  <c r="J22" i="11"/>
  <c r="O183" i="9"/>
  <c r="N183" i="9"/>
  <c r="M183" i="9"/>
  <c r="L183" i="9"/>
  <c r="K183" i="9"/>
  <c r="J183" i="9"/>
  <c r="I183" i="9"/>
  <c r="H183" i="9"/>
  <c r="G183" i="9"/>
  <c r="E183" i="9"/>
  <c r="D183" i="9"/>
  <c r="A183" i="9"/>
  <c r="J21" i="11"/>
  <c r="O182" i="9"/>
  <c r="N182" i="9"/>
  <c r="M182" i="9"/>
  <c r="L182" i="9"/>
  <c r="K182" i="9"/>
  <c r="J182" i="9"/>
  <c r="I182" i="9"/>
  <c r="H182" i="9"/>
  <c r="G182" i="9"/>
  <c r="E182" i="9"/>
  <c r="D182" i="9"/>
  <c r="A182" i="9"/>
  <c r="J20" i="11"/>
  <c r="O181" i="9"/>
  <c r="N181" i="9"/>
  <c r="M181" i="9"/>
  <c r="L181" i="9"/>
  <c r="K181" i="9"/>
  <c r="J181" i="9"/>
  <c r="I181" i="9"/>
  <c r="H181" i="9"/>
  <c r="G181" i="9"/>
  <c r="E181" i="9"/>
  <c r="D181" i="9"/>
  <c r="A181" i="9"/>
  <c r="J19" i="11"/>
  <c r="O180" i="9"/>
  <c r="N180" i="9"/>
  <c r="M180" i="9"/>
  <c r="L180" i="9"/>
  <c r="K180" i="9"/>
  <c r="J180" i="9"/>
  <c r="I180" i="9"/>
  <c r="H180" i="9"/>
  <c r="G180" i="9"/>
  <c r="E180" i="9"/>
  <c r="D180" i="9"/>
  <c r="A180" i="9"/>
  <c r="J18" i="11"/>
  <c r="O179" i="9"/>
  <c r="N179" i="9"/>
  <c r="M179" i="9"/>
  <c r="L179" i="9"/>
  <c r="K179" i="9"/>
  <c r="J179" i="9"/>
  <c r="I179" i="9"/>
  <c r="H179" i="9"/>
  <c r="G179" i="9"/>
  <c r="E179" i="9"/>
  <c r="D179" i="9"/>
  <c r="A179" i="9"/>
  <c r="J17" i="11"/>
  <c r="O178" i="9"/>
  <c r="N178" i="9"/>
  <c r="M178" i="9"/>
  <c r="L178" i="9"/>
  <c r="K178" i="9"/>
  <c r="J178" i="9"/>
  <c r="I178" i="9"/>
  <c r="H178" i="9"/>
  <c r="G178" i="9"/>
  <c r="E178" i="9"/>
  <c r="D178" i="9"/>
  <c r="A178" i="9"/>
  <c r="J16" i="11"/>
  <c r="O177" i="9"/>
  <c r="N177" i="9"/>
  <c r="M177" i="9"/>
  <c r="L177" i="9"/>
  <c r="K177" i="9"/>
  <c r="J177" i="9"/>
  <c r="I177" i="9"/>
  <c r="H177" i="9"/>
  <c r="G177" i="9"/>
  <c r="E177" i="9"/>
  <c r="D177" i="9"/>
  <c r="A177" i="9"/>
  <c r="J15" i="11"/>
  <c r="O176" i="9"/>
  <c r="N176" i="9"/>
  <c r="M176" i="9"/>
  <c r="L176" i="9"/>
  <c r="K176" i="9"/>
  <c r="J176" i="9"/>
  <c r="I176" i="9"/>
  <c r="H176" i="9"/>
  <c r="G176" i="9"/>
  <c r="E176" i="9"/>
  <c r="D176" i="9"/>
  <c r="A176" i="9"/>
  <c r="J14" i="11"/>
  <c r="O175" i="9"/>
  <c r="N175" i="9"/>
  <c r="M175" i="9"/>
  <c r="L175" i="9"/>
  <c r="K175" i="9"/>
  <c r="J175" i="9"/>
  <c r="I175" i="9"/>
  <c r="H175" i="9"/>
  <c r="G175" i="9"/>
  <c r="E175" i="9"/>
  <c r="D175" i="9"/>
  <c r="A175" i="9"/>
  <c r="J13" i="11"/>
  <c r="O174" i="9"/>
  <c r="N174" i="9"/>
  <c r="M174" i="9"/>
  <c r="L174" i="9"/>
  <c r="K174" i="9"/>
  <c r="J174" i="9"/>
  <c r="I174" i="9"/>
  <c r="H174" i="9"/>
  <c r="G174" i="9"/>
  <c r="E174" i="9"/>
  <c r="D174" i="9"/>
  <c r="A174" i="9"/>
  <c r="J12" i="11"/>
  <c r="O173" i="9"/>
  <c r="N173" i="9"/>
  <c r="M173" i="9"/>
  <c r="L173" i="9"/>
  <c r="K173" i="9"/>
  <c r="J173" i="9"/>
  <c r="I173" i="9"/>
  <c r="H173" i="9"/>
  <c r="G173" i="9"/>
  <c r="E173" i="9"/>
  <c r="D173" i="9"/>
  <c r="A173" i="9"/>
  <c r="J11" i="11"/>
  <c r="O172" i="9"/>
  <c r="N172" i="9"/>
  <c r="M172" i="9"/>
  <c r="L172" i="9"/>
  <c r="K172" i="9"/>
  <c r="J172" i="9"/>
  <c r="I172" i="9"/>
  <c r="H172" i="9"/>
  <c r="G172" i="9"/>
  <c r="E172" i="9"/>
  <c r="D172" i="9"/>
  <c r="A172" i="9"/>
  <c r="J10" i="11"/>
  <c r="O171" i="9"/>
  <c r="N171" i="9"/>
  <c r="M171" i="9"/>
  <c r="L171" i="9"/>
  <c r="K171" i="9"/>
  <c r="J171" i="9"/>
  <c r="I171" i="9"/>
  <c r="H171" i="9"/>
  <c r="G171" i="9"/>
  <c r="E171" i="9"/>
  <c r="D171" i="9"/>
  <c r="A171" i="9"/>
  <c r="J9" i="11"/>
  <c r="O170" i="9"/>
  <c r="N170" i="9"/>
  <c r="M170" i="9"/>
  <c r="L170" i="9"/>
  <c r="K170" i="9"/>
  <c r="J170" i="9"/>
  <c r="I170" i="9"/>
  <c r="H170" i="9"/>
  <c r="G170" i="9"/>
  <c r="E170" i="9"/>
  <c r="D170" i="9"/>
  <c r="A170" i="9"/>
  <c r="J8" i="11"/>
  <c r="O169" i="9"/>
  <c r="N169" i="9"/>
  <c r="M169" i="9"/>
  <c r="L169" i="9"/>
  <c r="K169" i="9"/>
  <c r="J169" i="9"/>
  <c r="I169" i="9"/>
  <c r="H169" i="9"/>
  <c r="G169" i="9"/>
  <c r="E169" i="9"/>
  <c r="D169" i="9"/>
  <c r="A169" i="9"/>
  <c r="J163" i="11"/>
  <c r="O168" i="9"/>
  <c r="N168" i="9"/>
  <c r="M168" i="9"/>
  <c r="L168" i="9"/>
  <c r="K168" i="9"/>
  <c r="J168" i="9"/>
  <c r="I168" i="9"/>
  <c r="H168" i="9"/>
  <c r="G168" i="9"/>
  <c r="E168" i="9"/>
  <c r="D168" i="9"/>
  <c r="A168" i="9"/>
  <c r="J6" i="11"/>
  <c r="O167" i="9"/>
  <c r="N167" i="9"/>
  <c r="M167" i="9"/>
  <c r="L167" i="9"/>
  <c r="K167" i="9"/>
  <c r="J167" i="9"/>
  <c r="I167" i="9"/>
  <c r="H167" i="9"/>
  <c r="G167" i="9"/>
  <c r="E167" i="9"/>
  <c r="D167" i="9"/>
  <c r="A167" i="9"/>
  <c r="J5" i="11"/>
  <c r="O166" i="9"/>
  <c r="N166" i="9"/>
  <c r="M166" i="9"/>
  <c r="L166" i="9"/>
  <c r="K166" i="9"/>
  <c r="J166" i="9"/>
  <c r="I166" i="9"/>
  <c r="H166" i="9"/>
  <c r="G166" i="9"/>
  <c r="E166" i="9"/>
  <c r="D166" i="9"/>
  <c r="A166" i="9"/>
  <c r="J4" i="11"/>
  <c r="O165" i="9"/>
  <c r="N165" i="9"/>
  <c r="M165" i="9"/>
  <c r="L165" i="9"/>
  <c r="K165" i="9"/>
  <c r="J165" i="9"/>
  <c r="I165" i="9"/>
  <c r="H165" i="9"/>
  <c r="G165" i="9"/>
  <c r="E165" i="9"/>
  <c r="D165" i="9"/>
  <c r="A165" i="9"/>
  <c r="J3" i="11"/>
  <c r="O164" i="9"/>
  <c r="N164" i="9"/>
  <c r="M164" i="9"/>
  <c r="L164" i="9"/>
  <c r="K164" i="9"/>
  <c r="J164" i="9"/>
  <c r="I164" i="9"/>
  <c r="H164" i="9"/>
  <c r="G164" i="9"/>
  <c r="E164" i="9"/>
  <c r="D164" i="9"/>
  <c r="A164" i="9"/>
  <c r="J2" i="11"/>
  <c r="O163" i="9"/>
  <c r="N163" i="9"/>
  <c r="M163" i="9"/>
  <c r="L163" i="9"/>
  <c r="K163" i="9"/>
  <c r="J163" i="9"/>
  <c r="I163" i="9"/>
  <c r="H163" i="9"/>
  <c r="G163" i="9"/>
  <c r="E163" i="9"/>
  <c r="D163" i="9"/>
  <c r="A163" i="9"/>
  <c r="M137" i="10"/>
  <c r="T137" i="10"/>
  <c r="W137" i="10"/>
  <c r="V137" i="10"/>
  <c r="X137" i="10"/>
  <c r="U137" i="10"/>
  <c r="Y137" i="10"/>
  <c r="N137" i="10"/>
  <c r="Q137" i="10"/>
  <c r="P137" i="10"/>
  <c r="R137" i="10"/>
  <c r="O137" i="10"/>
  <c r="S137" i="10"/>
  <c r="G137" i="10"/>
  <c r="J137" i="10"/>
  <c r="I137" i="10"/>
  <c r="K137" i="10"/>
  <c r="H137" i="10"/>
  <c r="L137" i="10"/>
  <c r="M136" i="10"/>
  <c r="T136" i="10"/>
  <c r="W136" i="10"/>
  <c r="V136" i="10"/>
  <c r="X136" i="10"/>
  <c r="U136" i="10"/>
  <c r="Y136" i="10"/>
  <c r="N136" i="10"/>
  <c r="Q136" i="10"/>
  <c r="P136" i="10"/>
  <c r="R136" i="10"/>
  <c r="O136" i="10"/>
  <c r="S136" i="10"/>
  <c r="G136" i="10"/>
  <c r="J136" i="10"/>
  <c r="I136" i="10"/>
  <c r="K136" i="10"/>
  <c r="H136" i="10"/>
  <c r="L136" i="10"/>
  <c r="M135" i="10"/>
  <c r="T135" i="10"/>
  <c r="W135" i="10"/>
  <c r="V135" i="10"/>
  <c r="X135" i="10"/>
  <c r="U135" i="10"/>
  <c r="Y135" i="10"/>
  <c r="N135" i="10"/>
  <c r="Q135" i="10"/>
  <c r="P135" i="10"/>
  <c r="R135" i="10"/>
  <c r="O135" i="10"/>
  <c r="S135" i="10"/>
  <c r="G135" i="10"/>
  <c r="J135" i="10"/>
  <c r="I135" i="10"/>
  <c r="K135" i="10"/>
  <c r="H135" i="10"/>
  <c r="L135" i="10"/>
  <c r="M134" i="10"/>
  <c r="T134" i="10"/>
  <c r="W134" i="10"/>
  <c r="V134" i="10"/>
  <c r="X134" i="10"/>
  <c r="U134" i="10"/>
  <c r="Y134" i="10"/>
  <c r="N134" i="10"/>
  <c r="Q134" i="10"/>
  <c r="P134" i="10"/>
  <c r="R134" i="10"/>
  <c r="O134" i="10"/>
  <c r="S134" i="10"/>
  <c r="G134" i="10"/>
  <c r="J134" i="10"/>
  <c r="I134" i="10"/>
  <c r="K134" i="10"/>
  <c r="H134" i="10"/>
  <c r="L134" i="10"/>
  <c r="M133" i="10"/>
  <c r="T133" i="10"/>
  <c r="W133" i="10"/>
  <c r="V133" i="10"/>
  <c r="X133" i="10"/>
  <c r="U133" i="10"/>
  <c r="Y133" i="10"/>
  <c r="N133" i="10"/>
  <c r="Q133" i="10"/>
  <c r="P133" i="10"/>
  <c r="R133" i="10"/>
  <c r="O133" i="10"/>
  <c r="S133" i="10"/>
  <c r="G133" i="10"/>
  <c r="J133" i="10"/>
  <c r="I133" i="10"/>
  <c r="K133" i="10"/>
  <c r="H133" i="10"/>
  <c r="L133" i="10"/>
  <c r="M132" i="10"/>
  <c r="T132" i="10"/>
  <c r="W132" i="10"/>
  <c r="V132" i="10"/>
  <c r="X132" i="10"/>
  <c r="U132" i="10"/>
  <c r="Y132" i="10"/>
  <c r="N132" i="10"/>
  <c r="Q132" i="10"/>
  <c r="P132" i="10"/>
  <c r="R132" i="10"/>
  <c r="O132" i="10"/>
  <c r="S132" i="10"/>
  <c r="G132" i="10"/>
  <c r="J132" i="10"/>
  <c r="I132" i="10"/>
  <c r="K132" i="10"/>
  <c r="H132" i="10"/>
  <c r="L132" i="10"/>
  <c r="M131" i="10"/>
  <c r="T131" i="10"/>
  <c r="W131" i="10"/>
  <c r="V131" i="10"/>
  <c r="X131" i="10"/>
  <c r="U131" i="10"/>
  <c r="Y131" i="10"/>
  <c r="N131" i="10"/>
  <c r="Q131" i="10"/>
  <c r="P131" i="10"/>
  <c r="R131" i="10"/>
  <c r="O131" i="10"/>
  <c r="S131" i="10"/>
  <c r="G131" i="10"/>
  <c r="J131" i="10"/>
  <c r="I131" i="10"/>
  <c r="K131" i="10"/>
  <c r="H131" i="10"/>
  <c r="L131" i="10"/>
  <c r="M130" i="10"/>
  <c r="T130" i="10"/>
  <c r="W130" i="10"/>
  <c r="V130" i="10"/>
  <c r="X130" i="10"/>
  <c r="U130" i="10"/>
  <c r="Y130" i="10"/>
  <c r="N130" i="10"/>
  <c r="Q130" i="10"/>
  <c r="P130" i="10"/>
  <c r="R130" i="10"/>
  <c r="O130" i="10"/>
  <c r="S130" i="10"/>
  <c r="G130" i="10"/>
  <c r="J130" i="10"/>
  <c r="I130" i="10"/>
  <c r="K130" i="10"/>
  <c r="H130" i="10"/>
  <c r="L130" i="10"/>
  <c r="M129" i="10"/>
  <c r="T129" i="10"/>
  <c r="W129" i="10"/>
  <c r="V129" i="10"/>
  <c r="X129" i="10"/>
  <c r="U129" i="10"/>
  <c r="Y129" i="10"/>
  <c r="N129" i="10"/>
  <c r="Q129" i="10"/>
  <c r="P129" i="10"/>
  <c r="R129" i="10"/>
  <c r="O129" i="10"/>
  <c r="S129" i="10"/>
  <c r="G129" i="10"/>
  <c r="J129" i="10"/>
  <c r="I129" i="10"/>
  <c r="K129" i="10"/>
  <c r="H129" i="10"/>
  <c r="L129" i="10"/>
  <c r="M128" i="10"/>
  <c r="T128" i="10"/>
  <c r="W128" i="10"/>
  <c r="V128" i="10"/>
  <c r="X128" i="10"/>
  <c r="U128" i="10"/>
  <c r="Y128" i="10"/>
  <c r="N128" i="10"/>
  <c r="Q128" i="10"/>
  <c r="P128" i="10"/>
  <c r="R128" i="10"/>
  <c r="O128" i="10"/>
  <c r="S128" i="10"/>
  <c r="G128" i="10"/>
  <c r="J128" i="10"/>
  <c r="I128" i="10"/>
  <c r="K128" i="10"/>
  <c r="H128" i="10"/>
  <c r="L128" i="10"/>
  <c r="M127" i="10"/>
  <c r="T127" i="10"/>
  <c r="W127" i="10"/>
  <c r="V127" i="10"/>
  <c r="X127" i="10"/>
  <c r="U127" i="10"/>
  <c r="Y127" i="10"/>
  <c r="N127" i="10"/>
  <c r="Q127" i="10"/>
  <c r="P127" i="10"/>
  <c r="R127" i="10"/>
  <c r="O127" i="10"/>
  <c r="S127" i="10"/>
  <c r="G127" i="10"/>
  <c r="J127" i="10"/>
  <c r="I127" i="10"/>
  <c r="K127" i="10"/>
  <c r="H127" i="10"/>
  <c r="L127" i="10"/>
  <c r="M126" i="10"/>
  <c r="T126" i="10"/>
  <c r="W126" i="10"/>
  <c r="V126" i="10"/>
  <c r="X126" i="10"/>
  <c r="U126" i="10"/>
  <c r="Y126" i="10"/>
  <c r="N126" i="10"/>
  <c r="Q126" i="10"/>
  <c r="P126" i="10"/>
  <c r="R126" i="10"/>
  <c r="O126" i="10"/>
  <c r="S126" i="10"/>
  <c r="G126" i="10"/>
  <c r="J126" i="10"/>
  <c r="I126" i="10"/>
  <c r="K126" i="10"/>
  <c r="H126" i="10"/>
  <c r="L126" i="10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M4" i="10"/>
  <c r="T4" i="10"/>
  <c r="W4" i="10"/>
  <c r="V4" i="10"/>
  <c r="X4" i="10"/>
  <c r="U4" i="10"/>
  <c r="Y4" i="10"/>
  <c r="M48" i="10"/>
  <c r="M115" i="10"/>
  <c r="M124" i="10"/>
  <c r="N124" i="10"/>
  <c r="Q124" i="10"/>
  <c r="P124" i="10"/>
  <c r="R124" i="10"/>
  <c r="O124" i="10"/>
  <c r="S124" i="10"/>
  <c r="N115" i="10"/>
  <c r="Q115" i="10"/>
  <c r="P115" i="10"/>
  <c r="R115" i="10"/>
  <c r="O115" i="10"/>
  <c r="S115" i="10"/>
  <c r="N48" i="10"/>
  <c r="Q48" i="10"/>
  <c r="P48" i="10"/>
  <c r="R48" i="10"/>
  <c r="O48" i="10"/>
  <c r="S48" i="10"/>
  <c r="N4" i="10"/>
  <c r="Q4" i="10"/>
  <c r="P4" i="10"/>
  <c r="R4" i="10"/>
  <c r="O4" i="10"/>
  <c r="S4" i="10"/>
  <c r="G4" i="10"/>
  <c r="J4" i="10"/>
  <c r="I4" i="10"/>
  <c r="K4" i="10"/>
  <c r="H4" i="10"/>
  <c r="L4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3" i="10"/>
  <c r="T3" i="10"/>
  <c r="W3" i="10"/>
  <c r="V3" i="10"/>
  <c r="X3" i="10"/>
  <c r="U3" i="10"/>
  <c r="Y3" i="10"/>
  <c r="M47" i="10"/>
  <c r="M114" i="10"/>
  <c r="N114" i="10"/>
  <c r="Q114" i="10"/>
  <c r="P114" i="10"/>
  <c r="R114" i="10"/>
  <c r="O114" i="10"/>
  <c r="S114" i="10"/>
  <c r="N47" i="10"/>
  <c r="Q47" i="10"/>
  <c r="P47" i="10"/>
  <c r="R47" i="10"/>
  <c r="O47" i="10"/>
  <c r="S47" i="10"/>
  <c r="N3" i="10"/>
  <c r="Q3" i="10"/>
  <c r="P3" i="10"/>
  <c r="R3" i="10"/>
  <c r="O3" i="10"/>
  <c r="S3" i="10"/>
  <c r="G3" i="10"/>
  <c r="J3" i="10"/>
  <c r="I3" i="10"/>
  <c r="K3" i="10"/>
  <c r="H3" i="10"/>
  <c r="L3" i="10"/>
  <c r="O43" i="9"/>
  <c r="N43" i="9"/>
  <c r="M43" i="9"/>
  <c r="L43" i="9"/>
  <c r="K43" i="9"/>
  <c r="J43" i="9"/>
  <c r="I43" i="9"/>
  <c r="H43" i="9"/>
  <c r="G43" i="9"/>
  <c r="E43" i="9"/>
  <c r="D43" i="9"/>
  <c r="A43" i="9"/>
  <c r="M43" i="10"/>
  <c r="T43" i="10"/>
  <c r="W43" i="10"/>
  <c r="V43" i="10"/>
  <c r="X43" i="10"/>
  <c r="U43" i="10"/>
  <c r="Y43" i="10"/>
  <c r="M111" i="10"/>
  <c r="M121" i="10"/>
  <c r="N121" i="10"/>
  <c r="Q121" i="10"/>
  <c r="P121" i="10"/>
  <c r="R121" i="10"/>
  <c r="O121" i="10"/>
  <c r="S121" i="10"/>
  <c r="N111" i="10"/>
  <c r="Q111" i="10"/>
  <c r="P111" i="10"/>
  <c r="R111" i="10"/>
  <c r="O111" i="10"/>
  <c r="S111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O125" i="9"/>
  <c r="N125" i="9"/>
  <c r="M125" i="9"/>
  <c r="L125" i="9"/>
  <c r="K125" i="9"/>
  <c r="J125" i="9"/>
  <c r="I125" i="9"/>
  <c r="H125" i="9"/>
  <c r="G125" i="9"/>
  <c r="E125" i="9"/>
  <c r="D125" i="9"/>
  <c r="A125" i="9"/>
  <c r="O124" i="9"/>
  <c r="N124" i="9"/>
  <c r="M124" i="9"/>
  <c r="L124" i="9"/>
  <c r="K124" i="9"/>
  <c r="J124" i="9"/>
  <c r="I124" i="9"/>
  <c r="H124" i="9"/>
  <c r="G124" i="9"/>
  <c r="E124" i="9"/>
  <c r="D124" i="9"/>
  <c r="A124" i="9"/>
  <c r="O78" i="9"/>
  <c r="N78" i="9"/>
  <c r="M78" i="9"/>
  <c r="L78" i="9"/>
  <c r="K78" i="9"/>
  <c r="J78" i="9"/>
  <c r="I78" i="9"/>
  <c r="H78" i="9"/>
  <c r="G78" i="9"/>
  <c r="E78" i="9"/>
  <c r="D78" i="9"/>
  <c r="A78" i="9"/>
  <c r="O77" i="9"/>
  <c r="N77" i="9"/>
  <c r="M77" i="9"/>
  <c r="L77" i="9"/>
  <c r="K77" i="9"/>
  <c r="J77" i="9"/>
  <c r="I77" i="9"/>
  <c r="H77" i="9"/>
  <c r="G77" i="9"/>
  <c r="E77" i="9"/>
  <c r="D77" i="9"/>
  <c r="A77" i="9"/>
  <c r="O76" i="9"/>
  <c r="N76" i="9"/>
  <c r="M76" i="9"/>
  <c r="L76" i="9"/>
  <c r="K76" i="9"/>
  <c r="J76" i="9"/>
  <c r="I76" i="9"/>
  <c r="H76" i="9"/>
  <c r="G76" i="9"/>
  <c r="E76" i="9"/>
  <c r="D76" i="9"/>
  <c r="A76" i="9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39" i="10"/>
  <c r="T39" i="10"/>
  <c r="W39" i="10"/>
  <c r="V39" i="10"/>
  <c r="X39" i="10"/>
  <c r="U39" i="10"/>
  <c r="Y39" i="10"/>
  <c r="M105" i="10"/>
  <c r="N105" i="10"/>
  <c r="Q105" i="10"/>
  <c r="P105" i="10"/>
  <c r="R105" i="10"/>
  <c r="O105" i="10"/>
  <c r="S105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M104" i="10"/>
  <c r="N104" i="10"/>
  <c r="Q104" i="10"/>
  <c r="P104" i="10"/>
  <c r="R104" i="10"/>
  <c r="O104" i="10"/>
  <c r="S104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T124" i="10"/>
  <c r="W124" i="10"/>
  <c r="V124" i="10"/>
  <c r="X124" i="10"/>
  <c r="U124" i="10"/>
  <c r="Y124" i="10"/>
  <c r="G124" i="10"/>
  <c r="J124" i="10"/>
  <c r="I124" i="10"/>
  <c r="K124" i="10"/>
  <c r="H124" i="10"/>
  <c r="L124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41" i="10"/>
  <c r="T41" i="10"/>
  <c r="W41" i="10"/>
  <c r="V41" i="10"/>
  <c r="X41" i="10"/>
  <c r="U41" i="10"/>
  <c r="Y41" i="10"/>
  <c r="M107" i="10"/>
  <c r="N107" i="10"/>
  <c r="Q107" i="10"/>
  <c r="P107" i="10"/>
  <c r="R107" i="10"/>
  <c r="O107" i="10"/>
  <c r="S107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M106" i="10"/>
  <c r="N106" i="10"/>
  <c r="Q106" i="10"/>
  <c r="P106" i="10"/>
  <c r="R106" i="10"/>
  <c r="O106" i="10"/>
  <c r="S106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O107" i="9"/>
  <c r="N107" i="9"/>
  <c r="M107" i="9"/>
  <c r="L107" i="9"/>
  <c r="K107" i="9"/>
  <c r="J107" i="9"/>
  <c r="I107" i="9"/>
  <c r="H107" i="9"/>
  <c r="G107" i="9"/>
  <c r="E107" i="9"/>
  <c r="D107" i="9"/>
  <c r="A107" i="9"/>
  <c r="O106" i="9"/>
  <c r="N106" i="9"/>
  <c r="M106" i="9"/>
  <c r="L106" i="9"/>
  <c r="K106" i="9"/>
  <c r="J106" i="9"/>
  <c r="I106" i="9"/>
  <c r="H106" i="9"/>
  <c r="G106" i="9"/>
  <c r="E106" i="9"/>
  <c r="D106" i="9"/>
  <c r="A106" i="9"/>
  <c r="O105" i="9"/>
  <c r="N105" i="9"/>
  <c r="M105" i="9"/>
  <c r="L105" i="9"/>
  <c r="K105" i="9"/>
  <c r="J105" i="9"/>
  <c r="I105" i="9"/>
  <c r="H105" i="9"/>
  <c r="G105" i="9"/>
  <c r="E105" i="9"/>
  <c r="D105" i="9"/>
  <c r="A105" i="9"/>
  <c r="O104" i="9"/>
  <c r="N104" i="9"/>
  <c r="M104" i="9"/>
  <c r="L104" i="9"/>
  <c r="K104" i="9"/>
  <c r="J104" i="9"/>
  <c r="I104" i="9"/>
  <c r="H104" i="9"/>
  <c r="G104" i="9"/>
  <c r="E104" i="9"/>
  <c r="D104" i="9"/>
  <c r="A104" i="9"/>
  <c r="O103" i="9"/>
  <c r="N103" i="9"/>
  <c r="M103" i="9"/>
  <c r="L103" i="9"/>
  <c r="K103" i="9"/>
  <c r="J103" i="9"/>
  <c r="I103" i="9"/>
  <c r="H103" i="9"/>
  <c r="G103" i="9"/>
  <c r="E103" i="9"/>
  <c r="D103" i="9"/>
  <c r="A103" i="9"/>
  <c r="O102" i="9"/>
  <c r="N102" i="9"/>
  <c r="M102" i="9"/>
  <c r="L102" i="9"/>
  <c r="K102" i="9"/>
  <c r="J102" i="9"/>
  <c r="I102" i="9"/>
  <c r="H102" i="9"/>
  <c r="G102" i="9"/>
  <c r="E102" i="9"/>
  <c r="D102" i="9"/>
  <c r="A102" i="9"/>
  <c r="O101" i="9"/>
  <c r="N101" i="9"/>
  <c r="M101" i="9"/>
  <c r="L101" i="9"/>
  <c r="K101" i="9"/>
  <c r="J101" i="9"/>
  <c r="I101" i="9"/>
  <c r="H101" i="9"/>
  <c r="G101" i="9"/>
  <c r="E101" i="9"/>
  <c r="D101" i="9"/>
  <c r="A101" i="9"/>
  <c r="O100" i="9"/>
  <c r="N100" i="9"/>
  <c r="M100" i="9"/>
  <c r="L100" i="9"/>
  <c r="K100" i="9"/>
  <c r="J100" i="9"/>
  <c r="I100" i="9"/>
  <c r="H100" i="9"/>
  <c r="G100" i="9"/>
  <c r="E100" i="9"/>
  <c r="D100" i="9"/>
  <c r="A100" i="9"/>
  <c r="O99" i="9"/>
  <c r="N99" i="9"/>
  <c r="M99" i="9"/>
  <c r="L99" i="9"/>
  <c r="K99" i="9"/>
  <c r="J99" i="9"/>
  <c r="I99" i="9"/>
  <c r="H99" i="9"/>
  <c r="G99" i="9"/>
  <c r="E99" i="9"/>
  <c r="D99" i="9"/>
  <c r="A99" i="9"/>
  <c r="O98" i="9"/>
  <c r="N98" i="9"/>
  <c r="M98" i="9"/>
  <c r="L98" i="9"/>
  <c r="K98" i="9"/>
  <c r="J98" i="9"/>
  <c r="I98" i="9"/>
  <c r="H98" i="9"/>
  <c r="G98" i="9"/>
  <c r="E98" i="9"/>
  <c r="D98" i="9"/>
  <c r="A98" i="9"/>
  <c r="O97" i="9"/>
  <c r="N97" i="9"/>
  <c r="M97" i="9"/>
  <c r="L97" i="9"/>
  <c r="K97" i="9"/>
  <c r="J97" i="9"/>
  <c r="I97" i="9"/>
  <c r="H97" i="9"/>
  <c r="G97" i="9"/>
  <c r="E97" i="9"/>
  <c r="D97" i="9"/>
  <c r="A97" i="9"/>
  <c r="O96" i="9"/>
  <c r="N96" i="9"/>
  <c r="M96" i="9"/>
  <c r="L96" i="9"/>
  <c r="K96" i="9"/>
  <c r="J96" i="9"/>
  <c r="I96" i="9"/>
  <c r="H96" i="9"/>
  <c r="G96" i="9"/>
  <c r="E96" i="9"/>
  <c r="D96" i="9"/>
  <c r="A96" i="9"/>
  <c r="O95" i="9"/>
  <c r="N95" i="9"/>
  <c r="M95" i="9"/>
  <c r="L95" i="9"/>
  <c r="K95" i="9"/>
  <c r="J95" i="9"/>
  <c r="I95" i="9"/>
  <c r="H95" i="9"/>
  <c r="G95" i="9"/>
  <c r="E95" i="9"/>
  <c r="D95" i="9"/>
  <c r="A95" i="9"/>
  <c r="O94" i="9"/>
  <c r="N94" i="9"/>
  <c r="M94" i="9"/>
  <c r="L94" i="9"/>
  <c r="K94" i="9"/>
  <c r="J94" i="9"/>
  <c r="I94" i="9"/>
  <c r="H94" i="9"/>
  <c r="G94" i="9"/>
  <c r="E94" i="9"/>
  <c r="D94" i="9"/>
  <c r="A94" i="9"/>
  <c r="O93" i="9"/>
  <c r="N93" i="9"/>
  <c r="M93" i="9"/>
  <c r="L93" i="9"/>
  <c r="K93" i="9"/>
  <c r="J93" i="9"/>
  <c r="I93" i="9"/>
  <c r="H93" i="9"/>
  <c r="G93" i="9"/>
  <c r="E93" i="9"/>
  <c r="D93" i="9"/>
  <c r="A93" i="9"/>
  <c r="O92" i="9"/>
  <c r="N92" i="9"/>
  <c r="M92" i="9"/>
  <c r="L92" i="9"/>
  <c r="K92" i="9"/>
  <c r="J92" i="9"/>
  <c r="I92" i="9"/>
  <c r="H92" i="9"/>
  <c r="G92" i="9"/>
  <c r="E92" i="9"/>
  <c r="D92" i="9"/>
  <c r="A92" i="9"/>
  <c r="O91" i="9"/>
  <c r="N91" i="9"/>
  <c r="M91" i="9"/>
  <c r="L91" i="9"/>
  <c r="K91" i="9"/>
  <c r="J91" i="9"/>
  <c r="I91" i="9"/>
  <c r="H91" i="9"/>
  <c r="G91" i="9"/>
  <c r="E91" i="9"/>
  <c r="D91" i="9"/>
  <c r="A91" i="9"/>
  <c r="O90" i="9"/>
  <c r="N90" i="9"/>
  <c r="M90" i="9"/>
  <c r="L90" i="9"/>
  <c r="K90" i="9"/>
  <c r="J90" i="9"/>
  <c r="I90" i="9"/>
  <c r="H90" i="9"/>
  <c r="G90" i="9"/>
  <c r="E90" i="9"/>
  <c r="D90" i="9"/>
  <c r="A90" i="9"/>
  <c r="O89" i="9"/>
  <c r="N89" i="9"/>
  <c r="M89" i="9"/>
  <c r="L89" i="9"/>
  <c r="K89" i="9"/>
  <c r="J89" i="9"/>
  <c r="I89" i="9"/>
  <c r="H89" i="9"/>
  <c r="G89" i="9"/>
  <c r="E89" i="9"/>
  <c r="D89" i="9"/>
  <c r="A89" i="9"/>
  <c r="O88" i="9"/>
  <c r="N88" i="9"/>
  <c r="M88" i="9"/>
  <c r="L88" i="9"/>
  <c r="K88" i="9"/>
  <c r="J88" i="9"/>
  <c r="I88" i="9"/>
  <c r="H88" i="9"/>
  <c r="G88" i="9"/>
  <c r="E88" i="9"/>
  <c r="D88" i="9"/>
  <c r="A88" i="9"/>
  <c r="O87" i="9"/>
  <c r="N87" i="9"/>
  <c r="M87" i="9"/>
  <c r="L87" i="9"/>
  <c r="K87" i="9"/>
  <c r="J87" i="9"/>
  <c r="I87" i="9"/>
  <c r="H87" i="9"/>
  <c r="G87" i="9"/>
  <c r="E87" i="9"/>
  <c r="D87" i="9"/>
  <c r="A87" i="9"/>
  <c r="O86" i="9"/>
  <c r="N86" i="9"/>
  <c r="M86" i="9"/>
  <c r="L86" i="9"/>
  <c r="K86" i="9"/>
  <c r="J86" i="9"/>
  <c r="I86" i="9"/>
  <c r="H86" i="9"/>
  <c r="G86" i="9"/>
  <c r="E86" i="9"/>
  <c r="D86" i="9"/>
  <c r="A86" i="9"/>
  <c r="O85" i="9"/>
  <c r="N85" i="9"/>
  <c r="M85" i="9"/>
  <c r="L85" i="9"/>
  <c r="K85" i="9"/>
  <c r="J85" i="9"/>
  <c r="I85" i="9"/>
  <c r="H85" i="9"/>
  <c r="G85" i="9"/>
  <c r="E85" i="9"/>
  <c r="D85" i="9"/>
  <c r="A85" i="9"/>
  <c r="O84" i="9"/>
  <c r="N84" i="9"/>
  <c r="M84" i="9"/>
  <c r="L84" i="9"/>
  <c r="K84" i="9"/>
  <c r="J84" i="9"/>
  <c r="I84" i="9"/>
  <c r="H84" i="9"/>
  <c r="G84" i="9"/>
  <c r="E84" i="9"/>
  <c r="D84" i="9"/>
  <c r="A84" i="9"/>
  <c r="O83" i="9"/>
  <c r="N83" i="9"/>
  <c r="M83" i="9"/>
  <c r="L83" i="9"/>
  <c r="K83" i="9"/>
  <c r="J83" i="9"/>
  <c r="I83" i="9"/>
  <c r="H83" i="9"/>
  <c r="G83" i="9"/>
  <c r="E83" i="9"/>
  <c r="D83" i="9"/>
  <c r="A83" i="9"/>
  <c r="O82" i="9"/>
  <c r="N82" i="9"/>
  <c r="M82" i="9"/>
  <c r="L82" i="9"/>
  <c r="K82" i="9"/>
  <c r="J82" i="9"/>
  <c r="I82" i="9"/>
  <c r="H82" i="9"/>
  <c r="G82" i="9"/>
  <c r="E82" i="9"/>
  <c r="D82" i="9"/>
  <c r="A82" i="9"/>
  <c r="O81" i="9"/>
  <c r="N81" i="9"/>
  <c r="M81" i="9"/>
  <c r="L81" i="9"/>
  <c r="K81" i="9"/>
  <c r="J81" i="9"/>
  <c r="I81" i="9"/>
  <c r="H81" i="9"/>
  <c r="G81" i="9"/>
  <c r="E81" i="9"/>
  <c r="D81" i="9"/>
  <c r="A81" i="9"/>
  <c r="O80" i="9"/>
  <c r="N80" i="9"/>
  <c r="M80" i="9"/>
  <c r="L80" i="9"/>
  <c r="K80" i="9"/>
  <c r="J80" i="9"/>
  <c r="I80" i="9"/>
  <c r="H80" i="9"/>
  <c r="G80" i="9"/>
  <c r="E80" i="9"/>
  <c r="D80" i="9"/>
  <c r="A80" i="9"/>
  <c r="O71" i="9"/>
  <c r="N71" i="9"/>
  <c r="M71" i="9"/>
  <c r="L71" i="9"/>
  <c r="K71" i="9"/>
  <c r="J71" i="9"/>
  <c r="I71" i="9"/>
  <c r="H71" i="9"/>
  <c r="G71" i="9"/>
  <c r="E71" i="9"/>
  <c r="D71" i="9"/>
  <c r="A71" i="9"/>
  <c r="O70" i="9"/>
  <c r="N70" i="9"/>
  <c r="M70" i="9"/>
  <c r="L70" i="9"/>
  <c r="K70" i="9"/>
  <c r="J70" i="9"/>
  <c r="I70" i="9"/>
  <c r="H70" i="9"/>
  <c r="G70" i="9"/>
  <c r="E70" i="9"/>
  <c r="D70" i="9"/>
  <c r="A70" i="9"/>
  <c r="O69" i="9"/>
  <c r="N69" i="9"/>
  <c r="M69" i="9"/>
  <c r="L69" i="9"/>
  <c r="K69" i="9"/>
  <c r="J69" i="9"/>
  <c r="I69" i="9"/>
  <c r="H69" i="9"/>
  <c r="G69" i="9"/>
  <c r="E69" i="9"/>
  <c r="D69" i="9"/>
  <c r="A69" i="9"/>
  <c r="O68" i="9"/>
  <c r="N68" i="9"/>
  <c r="M68" i="9"/>
  <c r="L68" i="9"/>
  <c r="K68" i="9"/>
  <c r="J68" i="9"/>
  <c r="I68" i="9"/>
  <c r="H68" i="9"/>
  <c r="G68" i="9"/>
  <c r="E68" i="9"/>
  <c r="D68" i="9"/>
  <c r="A68" i="9"/>
  <c r="O67" i="9"/>
  <c r="N67" i="9"/>
  <c r="M67" i="9"/>
  <c r="L67" i="9"/>
  <c r="K67" i="9"/>
  <c r="J67" i="9"/>
  <c r="I67" i="9"/>
  <c r="H67" i="9"/>
  <c r="G67" i="9"/>
  <c r="E67" i="9"/>
  <c r="D67" i="9"/>
  <c r="A67" i="9"/>
  <c r="O66" i="9"/>
  <c r="N66" i="9"/>
  <c r="M66" i="9"/>
  <c r="L66" i="9"/>
  <c r="K66" i="9"/>
  <c r="J66" i="9"/>
  <c r="I66" i="9"/>
  <c r="H66" i="9"/>
  <c r="G66" i="9"/>
  <c r="E66" i="9"/>
  <c r="D66" i="9"/>
  <c r="A66" i="9"/>
  <c r="O65" i="9"/>
  <c r="N65" i="9"/>
  <c r="M65" i="9"/>
  <c r="L65" i="9"/>
  <c r="K65" i="9"/>
  <c r="J65" i="9"/>
  <c r="I65" i="9"/>
  <c r="H65" i="9"/>
  <c r="G65" i="9"/>
  <c r="E65" i="9"/>
  <c r="D65" i="9"/>
  <c r="A65" i="9"/>
  <c r="O64" i="9"/>
  <c r="N64" i="9"/>
  <c r="M64" i="9"/>
  <c r="L64" i="9"/>
  <c r="K64" i="9"/>
  <c r="J64" i="9"/>
  <c r="I64" i="9"/>
  <c r="H64" i="9"/>
  <c r="G64" i="9"/>
  <c r="E64" i="9"/>
  <c r="D64" i="9"/>
  <c r="A64" i="9"/>
  <c r="O63" i="9"/>
  <c r="N63" i="9"/>
  <c r="M63" i="9"/>
  <c r="L63" i="9"/>
  <c r="K63" i="9"/>
  <c r="J63" i="9"/>
  <c r="I63" i="9"/>
  <c r="H63" i="9"/>
  <c r="G63" i="9"/>
  <c r="E63" i="9"/>
  <c r="D63" i="9"/>
  <c r="A63" i="9"/>
  <c r="O62" i="9"/>
  <c r="N62" i="9"/>
  <c r="M62" i="9"/>
  <c r="L62" i="9"/>
  <c r="K62" i="9"/>
  <c r="J62" i="9"/>
  <c r="I62" i="9"/>
  <c r="H62" i="9"/>
  <c r="G62" i="9"/>
  <c r="E62" i="9"/>
  <c r="D62" i="9"/>
  <c r="A62" i="9"/>
  <c r="O61" i="9"/>
  <c r="N61" i="9"/>
  <c r="M61" i="9"/>
  <c r="L61" i="9"/>
  <c r="K61" i="9"/>
  <c r="J61" i="9"/>
  <c r="I61" i="9"/>
  <c r="H61" i="9"/>
  <c r="G61" i="9"/>
  <c r="E61" i="9"/>
  <c r="D61" i="9"/>
  <c r="A61" i="9"/>
  <c r="O60" i="9"/>
  <c r="N60" i="9"/>
  <c r="M60" i="9"/>
  <c r="L60" i="9"/>
  <c r="K60" i="9"/>
  <c r="J60" i="9"/>
  <c r="I60" i="9"/>
  <c r="H60" i="9"/>
  <c r="G60" i="9"/>
  <c r="E60" i="9"/>
  <c r="D60" i="9"/>
  <c r="A60" i="9"/>
  <c r="O59" i="9"/>
  <c r="N59" i="9"/>
  <c r="M59" i="9"/>
  <c r="L59" i="9"/>
  <c r="K59" i="9"/>
  <c r="J59" i="9"/>
  <c r="I59" i="9"/>
  <c r="H59" i="9"/>
  <c r="G59" i="9"/>
  <c r="E59" i="9"/>
  <c r="D59" i="9"/>
  <c r="A59" i="9"/>
  <c r="O58" i="9"/>
  <c r="N58" i="9"/>
  <c r="M58" i="9"/>
  <c r="L58" i="9"/>
  <c r="K58" i="9"/>
  <c r="J58" i="9"/>
  <c r="I58" i="9"/>
  <c r="H58" i="9"/>
  <c r="G58" i="9"/>
  <c r="E58" i="9"/>
  <c r="D58" i="9"/>
  <c r="A58" i="9"/>
  <c r="O57" i="9"/>
  <c r="N57" i="9"/>
  <c r="M57" i="9"/>
  <c r="L57" i="9"/>
  <c r="K57" i="9"/>
  <c r="J57" i="9"/>
  <c r="I57" i="9"/>
  <c r="H57" i="9"/>
  <c r="G57" i="9"/>
  <c r="E57" i="9"/>
  <c r="D57" i="9"/>
  <c r="A57" i="9"/>
  <c r="O56" i="9"/>
  <c r="N56" i="9"/>
  <c r="M56" i="9"/>
  <c r="L56" i="9"/>
  <c r="K56" i="9"/>
  <c r="J56" i="9"/>
  <c r="I56" i="9"/>
  <c r="H56" i="9"/>
  <c r="G56" i="9"/>
  <c r="E56" i="9"/>
  <c r="D56" i="9"/>
  <c r="A56" i="9"/>
  <c r="O55" i="9"/>
  <c r="N55" i="9"/>
  <c r="M55" i="9"/>
  <c r="L55" i="9"/>
  <c r="K55" i="9"/>
  <c r="J55" i="9"/>
  <c r="I55" i="9"/>
  <c r="H55" i="9"/>
  <c r="G55" i="9"/>
  <c r="E55" i="9"/>
  <c r="D55" i="9"/>
  <c r="A55" i="9"/>
  <c r="O54" i="9"/>
  <c r="N54" i="9"/>
  <c r="M54" i="9"/>
  <c r="L54" i="9"/>
  <c r="K54" i="9"/>
  <c r="J54" i="9"/>
  <c r="I54" i="9"/>
  <c r="H54" i="9"/>
  <c r="G54" i="9"/>
  <c r="E54" i="9"/>
  <c r="D54" i="9"/>
  <c r="A54" i="9"/>
  <c r="O53" i="9"/>
  <c r="N53" i="9"/>
  <c r="M53" i="9"/>
  <c r="L53" i="9"/>
  <c r="K53" i="9"/>
  <c r="J53" i="9"/>
  <c r="I53" i="9"/>
  <c r="H53" i="9"/>
  <c r="G53" i="9"/>
  <c r="E53" i="9"/>
  <c r="D53" i="9"/>
  <c r="A53" i="9"/>
  <c r="O52" i="9"/>
  <c r="N52" i="9"/>
  <c r="M52" i="9"/>
  <c r="L52" i="9"/>
  <c r="K52" i="9"/>
  <c r="J52" i="9"/>
  <c r="I52" i="9"/>
  <c r="H52" i="9"/>
  <c r="G52" i="9"/>
  <c r="E52" i="9"/>
  <c r="D52" i="9"/>
  <c r="A52" i="9"/>
  <c r="O51" i="9"/>
  <c r="N51" i="9"/>
  <c r="M51" i="9"/>
  <c r="L51" i="9"/>
  <c r="K51" i="9"/>
  <c r="J51" i="9"/>
  <c r="I51" i="9"/>
  <c r="H51" i="9"/>
  <c r="G51" i="9"/>
  <c r="E51" i="9"/>
  <c r="D51" i="9"/>
  <c r="A51" i="9"/>
  <c r="O50" i="9"/>
  <c r="N50" i="9"/>
  <c r="M50" i="9"/>
  <c r="L50" i="9"/>
  <c r="K50" i="9"/>
  <c r="J50" i="9"/>
  <c r="I50" i="9"/>
  <c r="H50" i="9"/>
  <c r="G50" i="9"/>
  <c r="E50" i="9"/>
  <c r="D50" i="9"/>
  <c r="A50" i="9"/>
  <c r="O49" i="9"/>
  <c r="N49" i="9"/>
  <c r="M49" i="9"/>
  <c r="L49" i="9"/>
  <c r="K49" i="9"/>
  <c r="J49" i="9"/>
  <c r="I49" i="9"/>
  <c r="H49" i="9"/>
  <c r="G49" i="9"/>
  <c r="E49" i="9"/>
  <c r="D49" i="9"/>
  <c r="A49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T107" i="10"/>
  <c r="W107" i="10"/>
  <c r="V107" i="10"/>
  <c r="X107" i="10"/>
  <c r="U107" i="10"/>
  <c r="Y107" i="10"/>
  <c r="G107" i="10"/>
  <c r="J107" i="10"/>
  <c r="I107" i="10"/>
  <c r="K107" i="10"/>
  <c r="H107" i="10"/>
  <c r="L107" i="10"/>
  <c r="T106" i="10"/>
  <c r="W106" i="10"/>
  <c r="V106" i="10"/>
  <c r="X106" i="10"/>
  <c r="U106" i="10"/>
  <c r="Y106" i="10"/>
  <c r="G106" i="10"/>
  <c r="J106" i="10"/>
  <c r="I106" i="10"/>
  <c r="K106" i="10"/>
  <c r="H106" i="10"/>
  <c r="L106" i="10"/>
  <c r="T105" i="10"/>
  <c r="W105" i="10"/>
  <c r="V105" i="10"/>
  <c r="X105" i="10"/>
  <c r="U105" i="10"/>
  <c r="Y105" i="10"/>
  <c r="G105" i="10"/>
  <c r="J105" i="10"/>
  <c r="I105" i="10"/>
  <c r="K105" i="10"/>
  <c r="H105" i="10"/>
  <c r="L105" i="10"/>
  <c r="T104" i="10"/>
  <c r="W104" i="10"/>
  <c r="V104" i="10"/>
  <c r="X104" i="10"/>
  <c r="U104" i="10"/>
  <c r="Y104" i="10"/>
  <c r="G104" i="10"/>
  <c r="J104" i="10"/>
  <c r="I104" i="10"/>
  <c r="K104" i="10"/>
  <c r="H104" i="10"/>
  <c r="L104" i="10"/>
  <c r="M103" i="10"/>
  <c r="T103" i="10"/>
  <c r="W103" i="10"/>
  <c r="V103" i="10"/>
  <c r="X103" i="10"/>
  <c r="U103" i="10"/>
  <c r="Y103" i="10"/>
  <c r="N103" i="10"/>
  <c r="Q103" i="10"/>
  <c r="P103" i="10"/>
  <c r="R103" i="10"/>
  <c r="O103" i="10"/>
  <c r="S103" i="10"/>
  <c r="G103" i="10"/>
  <c r="J103" i="10"/>
  <c r="I103" i="10"/>
  <c r="K103" i="10"/>
  <c r="H103" i="10"/>
  <c r="L103" i="10"/>
  <c r="M102" i="10"/>
  <c r="T102" i="10"/>
  <c r="W102" i="10"/>
  <c r="V102" i="10"/>
  <c r="X102" i="10"/>
  <c r="U102" i="10"/>
  <c r="Y102" i="10"/>
  <c r="N102" i="10"/>
  <c r="Q102" i="10"/>
  <c r="P102" i="10"/>
  <c r="R102" i="10"/>
  <c r="O102" i="10"/>
  <c r="S102" i="10"/>
  <c r="G102" i="10"/>
  <c r="J102" i="10"/>
  <c r="I102" i="10"/>
  <c r="K102" i="10"/>
  <c r="H102" i="10"/>
  <c r="L102" i="10"/>
  <c r="M101" i="10"/>
  <c r="T101" i="10"/>
  <c r="W101" i="10"/>
  <c r="V101" i="10"/>
  <c r="X101" i="10"/>
  <c r="U101" i="10"/>
  <c r="Y101" i="10"/>
  <c r="N101" i="10"/>
  <c r="Q101" i="10"/>
  <c r="P101" i="10"/>
  <c r="R101" i="10"/>
  <c r="O101" i="10"/>
  <c r="S101" i="10"/>
  <c r="G101" i="10"/>
  <c r="J101" i="10"/>
  <c r="I101" i="10"/>
  <c r="K101" i="10"/>
  <c r="H101" i="10"/>
  <c r="L101" i="10"/>
  <c r="M100" i="10"/>
  <c r="T100" i="10"/>
  <c r="W100" i="10"/>
  <c r="V100" i="10"/>
  <c r="X100" i="10"/>
  <c r="U100" i="10"/>
  <c r="Y100" i="10"/>
  <c r="N100" i="10"/>
  <c r="Q100" i="10"/>
  <c r="P100" i="10"/>
  <c r="R100" i="10"/>
  <c r="O100" i="10"/>
  <c r="S100" i="10"/>
  <c r="G100" i="10"/>
  <c r="J100" i="10"/>
  <c r="I100" i="10"/>
  <c r="K100" i="10"/>
  <c r="H100" i="10"/>
  <c r="L100" i="10"/>
  <c r="M99" i="10"/>
  <c r="T99" i="10"/>
  <c r="W99" i="10"/>
  <c r="V99" i="10"/>
  <c r="X99" i="10"/>
  <c r="U99" i="10"/>
  <c r="Y99" i="10"/>
  <c r="N99" i="10"/>
  <c r="Q99" i="10"/>
  <c r="P99" i="10"/>
  <c r="R99" i="10"/>
  <c r="O99" i="10"/>
  <c r="S99" i="10"/>
  <c r="G99" i="10"/>
  <c r="J99" i="10"/>
  <c r="I99" i="10"/>
  <c r="K99" i="10"/>
  <c r="H99" i="10"/>
  <c r="L99" i="10"/>
  <c r="M98" i="10"/>
  <c r="T98" i="10"/>
  <c r="W98" i="10"/>
  <c r="V98" i="10"/>
  <c r="X98" i="10"/>
  <c r="U98" i="10"/>
  <c r="Y98" i="10"/>
  <c r="N98" i="10"/>
  <c r="Q98" i="10"/>
  <c r="P98" i="10"/>
  <c r="R98" i="10"/>
  <c r="O98" i="10"/>
  <c r="S98" i="10"/>
  <c r="G98" i="10"/>
  <c r="J98" i="10"/>
  <c r="I98" i="10"/>
  <c r="K98" i="10"/>
  <c r="H98" i="10"/>
  <c r="L98" i="10"/>
  <c r="M97" i="10"/>
  <c r="T97" i="10"/>
  <c r="W97" i="10"/>
  <c r="V97" i="10"/>
  <c r="X97" i="10"/>
  <c r="U97" i="10"/>
  <c r="Y97" i="10"/>
  <c r="N97" i="10"/>
  <c r="Q97" i="10"/>
  <c r="P97" i="10"/>
  <c r="R97" i="10"/>
  <c r="O97" i="10"/>
  <c r="S97" i="10"/>
  <c r="G97" i="10"/>
  <c r="J97" i="10"/>
  <c r="I97" i="10"/>
  <c r="K97" i="10"/>
  <c r="H97" i="10"/>
  <c r="L97" i="10"/>
  <c r="M96" i="10"/>
  <c r="T96" i="10"/>
  <c r="W96" i="10"/>
  <c r="V96" i="10"/>
  <c r="X96" i="10"/>
  <c r="U96" i="10"/>
  <c r="Y96" i="10"/>
  <c r="N96" i="10"/>
  <c r="Q96" i="10"/>
  <c r="P96" i="10"/>
  <c r="R96" i="10"/>
  <c r="O96" i="10"/>
  <c r="S96" i="10"/>
  <c r="G96" i="10"/>
  <c r="J96" i="10"/>
  <c r="I96" i="10"/>
  <c r="K96" i="10"/>
  <c r="H96" i="10"/>
  <c r="L96" i="10"/>
  <c r="M95" i="10"/>
  <c r="T95" i="10"/>
  <c r="W95" i="10"/>
  <c r="V95" i="10"/>
  <c r="X95" i="10"/>
  <c r="U95" i="10"/>
  <c r="Y95" i="10"/>
  <c r="N95" i="10"/>
  <c r="Q95" i="10"/>
  <c r="P95" i="10"/>
  <c r="R95" i="10"/>
  <c r="O95" i="10"/>
  <c r="S95" i="10"/>
  <c r="G95" i="10"/>
  <c r="J95" i="10"/>
  <c r="I95" i="10"/>
  <c r="K95" i="10"/>
  <c r="H95" i="10"/>
  <c r="L95" i="10"/>
  <c r="M94" i="10"/>
  <c r="T94" i="10"/>
  <c r="W94" i="10"/>
  <c r="V94" i="10"/>
  <c r="X94" i="10"/>
  <c r="U94" i="10"/>
  <c r="Y94" i="10"/>
  <c r="N94" i="10"/>
  <c r="Q94" i="10"/>
  <c r="P94" i="10"/>
  <c r="R94" i="10"/>
  <c r="O94" i="10"/>
  <c r="S94" i="10"/>
  <c r="G94" i="10"/>
  <c r="J94" i="10"/>
  <c r="I94" i="10"/>
  <c r="K94" i="10"/>
  <c r="H94" i="10"/>
  <c r="L94" i="10"/>
  <c r="M93" i="10"/>
  <c r="T93" i="10"/>
  <c r="W93" i="10"/>
  <c r="V93" i="10"/>
  <c r="X93" i="10"/>
  <c r="U93" i="10"/>
  <c r="Y93" i="10"/>
  <c r="N93" i="10"/>
  <c r="Q93" i="10"/>
  <c r="P93" i="10"/>
  <c r="R93" i="10"/>
  <c r="O93" i="10"/>
  <c r="S93" i="10"/>
  <c r="G93" i="10"/>
  <c r="J93" i="10"/>
  <c r="I93" i="10"/>
  <c r="K93" i="10"/>
  <c r="H93" i="10"/>
  <c r="L93" i="10"/>
  <c r="M92" i="10"/>
  <c r="T92" i="10"/>
  <c r="W92" i="10"/>
  <c r="V92" i="10"/>
  <c r="X92" i="10"/>
  <c r="U92" i="10"/>
  <c r="Y92" i="10"/>
  <c r="N92" i="10"/>
  <c r="Q92" i="10"/>
  <c r="P92" i="10"/>
  <c r="R92" i="10"/>
  <c r="O92" i="10"/>
  <c r="S92" i="10"/>
  <c r="G92" i="10"/>
  <c r="J92" i="10"/>
  <c r="I92" i="10"/>
  <c r="K92" i="10"/>
  <c r="H92" i="10"/>
  <c r="L92" i="10"/>
  <c r="M91" i="10"/>
  <c r="T91" i="10"/>
  <c r="W91" i="10"/>
  <c r="V91" i="10"/>
  <c r="X91" i="10"/>
  <c r="U91" i="10"/>
  <c r="Y91" i="10"/>
  <c r="N91" i="10"/>
  <c r="Q91" i="10"/>
  <c r="P91" i="10"/>
  <c r="R91" i="10"/>
  <c r="O91" i="10"/>
  <c r="S91" i="10"/>
  <c r="G91" i="10"/>
  <c r="J91" i="10"/>
  <c r="I91" i="10"/>
  <c r="K91" i="10"/>
  <c r="H91" i="10"/>
  <c r="L91" i="10"/>
  <c r="M90" i="10"/>
  <c r="T90" i="10"/>
  <c r="W90" i="10"/>
  <c r="V90" i="10"/>
  <c r="X90" i="10"/>
  <c r="U90" i="10"/>
  <c r="Y90" i="10"/>
  <c r="N90" i="10"/>
  <c r="Q90" i="10"/>
  <c r="P90" i="10"/>
  <c r="R90" i="10"/>
  <c r="O90" i="10"/>
  <c r="S90" i="10"/>
  <c r="G90" i="10"/>
  <c r="J90" i="10"/>
  <c r="I90" i="10"/>
  <c r="K90" i="10"/>
  <c r="H90" i="10"/>
  <c r="L90" i="10"/>
  <c r="M89" i="10"/>
  <c r="T89" i="10"/>
  <c r="W89" i="10"/>
  <c r="V89" i="10"/>
  <c r="X89" i="10"/>
  <c r="U89" i="10"/>
  <c r="Y89" i="10"/>
  <c r="N89" i="10"/>
  <c r="Q89" i="10"/>
  <c r="P89" i="10"/>
  <c r="R89" i="10"/>
  <c r="O89" i="10"/>
  <c r="S89" i="10"/>
  <c r="G89" i="10"/>
  <c r="J89" i="10"/>
  <c r="I89" i="10"/>
  <c r="K89" i="10"/>
  <c r="H89" i="10"/>
  <c r="L89" i="10"/>
  <c r="M88" i="10"/>
  <c r="T88" i="10"/>
  <c r="W88" i="10"/>
  <c r="V88" i="10"/>
  <c r="X88" i="10"/>
  <c r="U88" i="10"/>
  <c r="Y88" i="10"/>
  <c r="N88" i="10"/>
  <c r="Q88" i="10"/>
  <c r="P88" i="10"/>
  <c r="R88" i="10"/>
  <c r="O88" i="10"/>
  <c r="S88" i="10"/>
  <c r="G88" i="10"/>
  <c r="J88" i="10"/>
  <c r="I88" i="10"/>
  <c r="K88" i="10"/>
  <c r="H88" i="10"/>
  <c r="L88" i="10"/>
  <c r="M87" i="10"/>
  <c r="T87" i="10"/>
  <c r="W87" i="10"/>
  <c r="V87" i="10"/>
  <c r="X87" i="10"/>
  <c r="U87" i="10"/>
  <c r="Y87" i="10"/>
  <c r="N87" i="10"/>
  <c r="Q87" i="10"/>
  <c r="P87" i="10"/>
  <c r="R87" i="10"/>
  <c r="O87" i="10"/>
  <c r="S87" i="10"/>
  <c r="G87" i="10"/>
  <c r="J87" i="10"/>
  <c r="I87" i="10"/>
  <c r="K87" i="10"/>
  <c r="H87" i="10"/>
  <c r="L87" i="10"/>
  <c r="M86" i="10"/>
  <c r="T86" i="10"/>
  <c r="W86" i="10"/>
  <c r="V86" i="10"/>
  <c r="X86" i="10"/>
  <c r="U86" i="10"/>
  <c r="Y86" i="10"/>
  <c r="N86" i="10"/>
  <c r="Q86" i="10"/>
  <c r="P86" i="10"/>
  <c r="R86" i="10"/>
  <c r="O86" i="10"/>
  <c r="S86" i="10"/>
  <c r="G86" i="10"/>
  <c r="J86" i="10"/>
  <c r="I86" i="10"/>
  <c r="K86" i="10"/>
  <c r="H86" i="10"/>
  <c r="L86" i="10"/>
  <c r="M85" i="10"/>
  <c r="T85" i="10"/>
  <c r="W85" i="10"/>
  <c r="V85" i="10"/>
  <c r="X85" i="10"/>
  <c r="U85" i="10"/>
  <c r="Y85" i="10"/>
  <c r="M123" i="10"/>
  <c r="N123" i="10"/>
  <c r="Q123" i="10"/>
  <c r="P123" i="10"/>
  <c r="R123" i="10"/>
  <c r="O123" i="10"/>
  <c r="S123" i="10"/>
  <c r="N85" i="10"/>
  <c r="Q85" i="10"/>
  <c r="P85" i="10"/>
  <c r="R85" i="10"/>
  <c r="O85" i="10"/>
  <c r="S85" i="10"/>
  <c r="G85" i="10"/>
  <c r="J85" i="10"/>
  <c r="I85" i="10"/>
  <c r="K85" i="10"/>
  <c r="H85" i="10"/>
  <c r="L85" i="10"/>
  <c r="M84" i="10"/>
  <c r="T84" i="10"/>
  <c r="W84" i="10"/>
  <c r="V84" i="10"/>
  <c r="X84" i="10"/>
  <c r="U84" i="10"/>
  <c r="Y84" i="10"/>
  <c r="M122" i="10"/>
  <c r="N122" i="10"/>
  <c r="Q122" i="10"/>
  <c r="P122" i="10"/>
  <c r="R122" i="10"/>
  <c r="O122" i="10"/>
  <c r="S122" i="10"/>
  <c r="N84" i="10"/>
  <c r="Q84" i="10"/>
  <c r="P84" i="10"/>
  <c r="R84" i="10"/>
  <c r="O84" i="10"/>
  <c r="S84" i="10"/>
  <c r="G84" i="10"/>
  <c r="J84" i="10"/>
  <c r="I84" i="10"/>
  <c r="K84" i="10"/>
  <c r="H84" i="10"/>
  <c r="L84" i="10"/>
  <c r="M83" i="10"/>
  <c r="T83" i="10"/>
  <c r="W83" i="10"/>
  <c r="V83" i="10"/>
  <c r="X83" i="10"/>
  <c r="U83" i="10"/>
  <c r="Y83" i="10"/>
  <c r="N83" i="10"/>
  <c r="Q83" i="10"/>
  <c r="P83" i="10"/>
  <c r="R83" i="10"/>
  <c r="O83" i="10"/>
  <c r="S83" i="10"/>
  <c r="G83" i="10"/>
  <c r="J83" i="10"/>
  <c r="I83" i="10"/>
  <c r="K83" i="10"/>
  <c r="H83" i="10"/>
  <c r="L83" i="10"/>
  <c r="M82" i="10"/>
  <c r="T82" i="10"/>
  <c r="W82" i="10"/>
  <c r="V82" i="10"/>
  <c r="X82" i="10"/>
  <c r="U82" i="10"/>
  <c r="Y82" i="10"/>
  <c r="M120" i="10"/>
  <c r="N120" i="10"/>
  <c r="Q120" i="10"/>
  <c r="P120" i="10"/>
  <c r="R120" i="10"/>
  <c r="O120" i="10"/>
  <c r="S120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81" i="10"/>
  <c r="T81" i="10"/>
  <c r="W81" i="10"/>
  <c r="V81" i="10"/>
  <c r="X81" i="10"/>
  <c r="U81" i="10"/>
  <c r="Y81" i="10"/>
  <c r="M119" i="10"/>
  <c r="N119" i="10"/>
  <c r="Q119" i="10"/>
  <c r="P119" i="10"/>
  <c r="R119" i="10"/>
  <c r="O119" i="10"/>
  <c r="S119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M118" i="10"/>
  <c r="N118" i="10"/>
  <c r="Q118" i="10"/>
  <c r="P118" i="10"/>
  <c r="R118" i="10"/>
  <c r="O118" i="10"/>
  <c r="S118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M117" i="10"/>
  <c r="N117" i="10"/>
  <c r="Q117" i="10"/>
  <c r="P117" i="10"/>
  <c r="R117" i="10"/>
  <c r="O117" i="10"/>
  <c r="S117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M116" i="10"/>
  <c r="N116" i="10"/>
  <c r="Q116" i="10"/>
  <c r="P116" i="10"/>
  <c r="R116" i="10"/>
  <c r="O116" i="10"/>
  <c r="S116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M113" i="10"/>
  <c r="N113" i="10"/>
  <c r="Q113" i="10"/>
  <c r="P113" i="10"/>
  <c r="R113" i="10"/>
  <c r="O113" i="10"/>
  <c r="S113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M112" i="10"/>
  <c r="N112" i="10"/>
  <c r="Q112" i="10"/>
  <c r="P112" i="10"/>
  <c r="R112" i="10"/>
  <c r="O112" i="10"/>
  <c r="S112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M110" i="10"/>
  <c r="N110" i="10"/>
  <c r="Q110" i="10"/>
  <c r="P110" i="10"/>
  <c r="R110" i="10"/>
  <c r="O110" i="10"/>
  <c r="S110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M109" i="10"/>
  <c r="N109" i="10"/>
  <c r="Q109" i="10"/>
  <c r="P109" i="10"/>
  <c r="R109" i="10"/>
  <c r="O109" i="10"/>
  <c r="S109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M108" i="10"/>
  <c r="N108" i="10"/>
  <c r="Q108" i="10"/>
  <c r="P108" i="10"/>
  <c r="R108" i="10"/>
  <c r="O108" i="10"/>
  <c r="S108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M79" i="10"/>
  <c r="N79" i="10"/>
  <c r="Q79" i="10"/>
  <c r="P79" i="10"/>
  <c r="R79" i="10"/>
  <c r="O79" i="10"/>
  <c r="S79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M75" i="10"/>
  <c r="N75" i="10"/>
  <c r="Q75" i="10"/>
  <c r="P75" i="10"/>
  <c r="R75" i="10"/>
  <c r="O75" i="10"/>
  <c r="S75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M74" i="10"/>
  <c r="N74" i="10"/>
  <c r="Q74" i="10"/>
  <c r="P74" i="10"/>
  <c r="R74" i="10"/>
  <c r="O74" i="10"/>
  <c r="S74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M73" i="10"/>
  <c r="N73" i="10"/>
  <c r="Q73" i="10"/>
  <c r="P73" i="10"/>
  <c r="R73" i="10"/>
  <c r="O73" i="10"/>
  <c r="S73" i="10"/>
  <c r="N9" i="10"/>
  <c r="Q9" i="10"/>
  <c r="P9" i="10"/>
  <c r="R9" i="10"/>
  <c r="O9" i="10"/>
  <c r="S9" i="10"/>
  <c r="G9" i="10"/>
  <c r="J9" i="10"/>
  <c r="I9" i="10"/>
  <c r="K9" i="10"/>
  <c r="H9" i="10"/>
  <c r="L9" i="10"/>
  <c r="G31" i="9"/>
  <c r="H31" i="9"/>
  <c r="I31" i="9"/>
  <c r="J31" i="9"/>
  <c r="K31" i="9"/>
  <c r="L31" i="9"/>
  <c r="M31" i="9"/>
  <c r="N31" i="9"/>
  <c r="G32" i="9"/>
  <c r="H32" i="9"/>
  <c r="I32" i="9"/>
  <c r="J32" i="9"/>
  <c r="K32" i="9"/>
  <c r="L32" i="9"/>
  <c r="M32" i="9"/>
  <c r="N32" i="9"/>
  <c r="G33" i="9"/>
  <c r="H33" i="9"/>
  <c r="I33" i="9"/>
  <c r="J33" i="9"/>
  <c r="K33" i="9"/>
  <c r="L33" i="9"/>
  <c r="M33" i="9"/>
  <c r="N33" i="9"/>
  <c r="G34" i="9"/>
  <c r="H34" i="9"/>
  <c r="I34" i="9"/>
  <c r="J34" i="9"/>
  <c r="K34" i="9"/>
  <c r="L34" i="9"/>
  <c r="M34" i="9"/>
  <c r="N34" i="9"/>
  <c r="G35" i="9"/>
  <c r="H35" i="9"/>
  <c r="I35" i="9"/>
  <c r="J35" i="9"/>
  <c r="K35" i="9"/>
  <c r="L35" i="9"/>
  <c r="M35" i="9"/>
  <c r="N35" i="9"/>
  <c r="G36" i="9"/>
  <c r="H36" i="9"/>
  <c r="I36" i="9"/>
  <c r="J36" i="9"/>
  <c r="K36" i="9"/>
  <c r="L36" i="9"/>
  <c r="M36" i="9"/>
  <c r="N36" i="9"/>
  <c r="G42" i="9"/>
  <c r="H42" i="9"/>
  <c r="I42" i="9"/>
  <c r="J42" i="9"/>
  <c r="K42" i="9"/>
  <c r="L42" i="9"/>
  <c r="M42" i="9"/>
  <c r="N42" i="9"/>
  <c r="G44" i="9"/>
  <c r="H44" i="9"/>
  <c r="I44" i="9"/>
  <c r="J44" i="9"/>
  <c r="K44" i="9"/>
  <c r="L44" i="9"/>
  <c r="M44" i="9"/>
  <c r="N44" i="9"/>
  <c r="G45" i="9"/>
  <c r="H45" i="9"/>
  <c r="I45" i="9"/>
  <c r="J45" i="9"/>
  <c r="K45" i="9"/>
  <c r="L45" i="9"/>
  <c r="M45" i="9"/>
  <c r="N45" i="9"/>
  <c r="G46" i="9"/>
  <c r="H46" i="9"/>
  <c r="I46" i="9"/>
  <c r="J46" i="9"/>
  <c r="K46" i="9"/>
  <c r="L46" i="9"/>
  <c r="M46" i="9"/>
  <c r="N46" i="9"/>
  <c r="G47" i="9"/>
  <c r="H47" i="9"/>
  <c r="I47" i="9"/>
  <c r="J47" i="9"/>
  <c r="K47" i="9"/>
  <c r="L47" i="9"/>
  <c r="M47" i="9"/>
  <c r="N47" i="9"/>
  <c r="G48" i="9"/>
  <c r="H48" i="9"/>
  <c r="I48" i="9"/>
  <c r="J48" i="9"/>
  <c r="K48" i="9"/>
  <c r="L48" i="9"/>
  <c r="M48" i="9"/>
  <c r="N48" i="9"/>
  <c r="G72" i="9"/>
  <c r="H72" i="9"/>
  <c r="I72" i="9"/>
  <c r="J72" i="9"/>
  <c r="K72" i="9"/>
  <c r="L72" i="9"/>
  <c r="M72" i="9"/>
  <c r="N72" i="9"/>
  <c r="G73" i="9"/>
  <c r="H73" i="9"/>
  <c r="I73" i="9"/>
  <c r="J73" i="9"/>
  <c r="K73" i="9"/>
  <c r="L73" i="9"/>
  <c r="M73" i="9"/>
  <c r="N73" i="9"/>
  <c r="G74" i="9"/>
  <c r="H74" i="9"/>
  <c r="I74" i="9"/>
  <c r="J74" i="9"/>
  <c r="K74" i="9"/>
  <c r="L74" i="9"/>
  <c r="M74" i="9"/>
  <c r="N74" i="9"/>
  <c r="G75" i="9"/>
  <c r="H75" i="9"/>
  <c r="I75" i="9"/>
  <c r="J75" i="9"/>
  <c r="K75" i="9"/>
  <c r="L75" i="9"/>
  <c r="M75" i="9"/>
  <c r="N75" i="9"/>
  <c r="G79" i="9"/>
  <c r="H79" i="9"/>
  <c r="I79" i="9"/>
  <c r="J79" i="9"/>
  <c r="K79" i="9"/>
  <c r="L79" i="9"/>
  <c r="M79" i="9"/>
  <c r="N79" i="9"/>
  <c r="G108" i="9"/>
  <c r="H108" i="9"/>
  <c r="I108" i="9"/>
  <c r="J108" i="9"/>
  <c r="K108" i="9"/>
  <c r="L108" i="9"/>
  <c r="M108" i="9"/>
  <c r="N108" i="9"/>
  <c r="G109" i="9"/>
  <c r="H109" i="9"/>
  <c r="I109" i="9"/>
  <c r="J109" i="9"/>
  <c r="K109" i="9"/>
  <c r="L109" i="9"/>
  <c r="M109" i="9"/>
  <c r="N109" i="9"/>
  <c r="G110" i="9"/>
  <c r="H110" i="9"/>
  <c r="I110" i="9"/>
  <c r="J110" i="9"/>
  <c r="K110" i="9"/>
  <c r="L110" i="9"/>
  <c r="M110" i="9"/>
  <c r="N110" i="9"/>
  <c r="G111" i="9"/>
  <c r="H111" i="9"/>
  <c r="I111" i="9"/>
  <c r="J111" i="9"/>
  <c r="K111" i="9"/>
  <c r="L111" i="9"/>
  <c r="M111" i="9"/>
  <c r="N111" i="9"/>
  <c r="G112" i="9"/>
  <c r="H112" i="9"/>
  <c r="I112" i="9"/>
  <c r="J112" i="9"/>
  <c r="K112" i="9"/>
  <c r="L112" i="9"/>
  <c r="M112" i="9"/>
  <c r="N112" i="9"/>
  <c r="G113" i="9"/>
  <c r="H113" i="9"/>
  <c r="I113" i="9"/>
  <c r="J113" i="9"/>
  <c r="K113" i="9"/>
  <c r="L113" i="9"/>
  <c r="M113" i="9"/>
  <c r="N113" i="9"/>
  <c r="G114" i="9"/>
  <c r="H114" i="9"/>
  <c r="I114" i="9"/>
  <c r="J114" i="9"/>
  <c r="K114" i="9"/>
  <c r="L114" i="9"/>
  <c r="M114" i="9"/>
  <c r="N114" i="9"/>
  <c r="G115" i="9"/>
  <c r="H115" i="9"/>
  <c r="I115" i="9"/>
  <c r="J115" i="9"/>
  <c r="K115" i="9"/>
  <c r="L115" i="9"/>
  <c r="M115" i="9"/>
  <c r="N115" i="9"/>
  <c r="G116" i="9"/>
  <c r="H116" i="9"/>
  <c r="I116" i="9"/>
  <c r="J116" i="9"/>
  <c r="K116" i="9"/>
  <c r="L116" i="9"/>
  <c r="M116" i="9"/>
  <c r="N116" i="9"/>
  <c r="G117" i="9"/>
  <c r="H117" i="9"/>
  <c r="I117" i="9"/>
  <c r="J117" i="9"/>
  <c r="K117" i="9"/>
  <c r="L117" i="9"/>
  <c r="M117" i="9"/>
  <c r="N117" i="9"/>
  <c r="G118" i="9"/>
  <c r="H118" i="9"/>
  <c r="I118" i="9"/>
  <c r="J118" i="9"/>
  <c r="K118" i="9"/>
  <c r="L118" i="9"/>
  <c r="M118" i="9"/>
  <c r="N118" i="9"/>
  <c r="G119" i="9"/>
  <c r="H119" i="9"/>
  <c r="I119" i="9"/>
  <c r="J119" i="9"/>
  <c r="K119" i="9"/>
  <c r="L119" i="9"/>
  <c r="M119" i="9"/>
  <c r="N119" i="9"/>
  <c r="G120" i="9"/>
  <c r="H120" i="9"/>
  <c r="I120" i="9"/>
  <c r="J120" i="9"/>
  <c r="K120" i="9"/>
  <c r="L120" i="9"/>
  <c r="M120" i="9"/>
  <c r="N120" i="9"/>
  <c r="G121" i="9"/>
  <c r="H121" i="9"/>
  <c r="I121" i="9"/>
  <c r="J121" i="9"/>
  <c r="K121" i="9"/>
  <c r="L121" i="9"/>
  <c r="M121" i="9"/>
  <c r="N121" i="9"/>
  <c r="G122" i="9"/>
  <c r="H122" i="9"/>
  <c r="I122" i="9"/>
  <c r="J122" i="9"/>
  <c r="K122" i="9"/>
  <c r="L122" i="9"/>
  <c r="M122" i="9"/>
  <c r="N122" i="9"/>
  <c r="G123" i="9"/>
  <c r="H123" i="9"/>
  <c r="I123" i="9"/>
  <c r="J123" i="9"/>
  <c r="K123" i="9"/>
  <c r="L123" i="9"/>
  <c r="M123" i="9"/>
  <c r="N123" i="9"/>
  <c r="O123" i="9"/>
  <c r="E123" i="9"/>
  <c r="D123" i="9"/>
  <c r="A123" i="9"/>
  <c r="O122" i="9"/>
  <c r="E122" i="9"/>
  <c r="D122" i="9"/>
  <c r="A122" i="9"/>
  <c r="O121" i="9"/>
  <c r="E121" i="9"/>
  <c r="D121" i="9"/>
  <c r="A121" i="9"/>
  <c r="J120" i="11"/>
  <c r="O120" i="9"/>
  <c r="E120" i="9"/>
  <c r="D120" i="9"/>
  <c r="A120" i="9"/>
  <c r="O119" i="9"/>
  <c r="E119" i="9"/>
  <c r="D119" i="9"/>
  <c r="A119" i="9"/>
  <c r="O118" i="9"/>
  <c r="E118" i="9"/>
  <c r="D118" i="9"/>
  <c r="A118" i="9"/>
  <c r="O117" i="9"/>
  <c r="E117" i="9"/>
  <c r="D117" i="9"/>
  <c r="A117" i="9"/>
  <c r="O116" i="9"/>
  <c r="E116" i="9"/>
  <c r="D116" i="9"/>
  <c r="A116" i="9"/>
  <c r="O115" i="9"/>
  <c r="E115" i="9"/>
  <c r="D115" i="9"/>
  <c r="A115" i="9"/>
  <c r="O114" i="9"/>
  <c r="E114" i="9"/>
  <c r="D114" i="9"/>
  <c r="A114" i="9"/>
  <c r="J113" i="11"/>
  <c r="O113" i="9"/>
  <c r="E113" i="9"/>
  <c r="D113" i="9"/>
  <c r="A113" i="9"/>
  <c r="O112" i="9"/>
  <c r="E112" i="9"/>
  <c r="D112" i="9"/>
  <c r="A112" i="9"/>
  <c r="O111" i="9"/>
  <c r="E111" i="9"/>
  <c r="D111" i="9"/>
  <c r="A111" i="9"/>
  <c r="J110" i="11"/>
  <c r="O110" i="9"/>
  <c r="E110" i="9"/>
  <c r="D110" i="9"/>
  <c r="A110" i="9"/>
  <c r="J109" i="11"/>
  <c r="O109" i="9"/>
  <c r="E109" i="9"/>
  <c r="D109" i="9"/>
  <c r="A109" i="9"/>
  <c r="O108" i="9"/>
  <c r="E108" i="9"/>
  <c r="D108" i="9"/>
  <c r="A108" i="9"/>
  <c r="O79" i="9"/>
  <c r="E79" i="9"/>
  <c r="D79" i="9"/>
  <c r="A79" i="9"/>
  <c r="O75" i="9"/>
  <c r="E75" i="9"/>
  <c r="D75" i="9"/>
  <c r="A75" i="9"/>
  <c r="J74" i="11"/>
  <c r="O74" i="9"/>
  <c r="E74" i="9"/>
  <c r="D74" i="9"/>
  <c r="A74" i="9"/>
  <c r="J73" i="11"/>
  <c r="O73" i="9"/>
  <c r="E73" i="9"/>
  <c r="D73" i="9"/>
  <c r="A73" i="9"/>
  <c r="J72" i="11"/>
  <c r="O72" i="9"/>
  <c r="E72" i="9"/>
  <c r="D72" i="9"/>
  <c r="A72" i="9"/>
  <c r="O48" i="9"/>
  <c r="E48" i="9"/>
  <c r="D48" i="9"/>
  <c r="A48" i="9"/>
  <c r="J47" i="11"/>
  <c r="O47" i="9"/>
  <c r="E47" i="9"/>
  <c r="D47" i="9"/>
  <c r="A47" i="9"/>
  <c r="O46" i="9"/>
  <c r="E46" i="9"/>
  <c r="D46" i="9"/>
  <c r="A46" i="9"/>
  <c r="O45" i="9"/>
  <c r="E45" i="9"/>
  <c r="D45" i="9"/>
  <c r="A45" i="9"/>
  <c r="J44" i="11"/>
  <c r="O44" i="9"/>
  <c r="E44" i="9"/>
  <c r="D44" i="9"/>
  <c r="A44" i="9"/>
  <c r="O42" i="9"/>
  <c r="E42" i="9"/>
  <c r="D42" i="9"/>
  <c r="A42" i="9"/>
  <c r="O36" i="9"/>
  <c r="E36" i="9"/>
  <c r="D36" i="9"/>
  <c r="A36" i="9"/>
  <c r="O35" i="9"/>
  <c r="E35" i="9"/>
  <c r="D35" i="9"/>
  <c r="A35" i="9"/>
  <c r="J34" i="11"/>
  <c r="O34" i="9"/>
  <c r="E34" i="9"/>
  <c r="D34" i="9"/>
  <c r="A34" i="9"/>
  <c r="O33" i="9"/>
  <c r="E33" i="9"/>
  <c r="D33" i="9"/>
  <c r="A33" i="9"/>
  <c r="O32" i="9"/>
  <c r="E32" i="9"/>
  <c r="D32" i="9"/>
  <c r="A32" i="9"/>
  <c r="O31" i="9"/>
  <c r="E31" i="9"/>
  <c r="D31" i="9"/>
  <c r="A31" i="9"/>
  <c r="M8" i="10"/>
  <c r="T8" i="10"/>
  <c r="W8" i="10"/>
  <c r="V8" i="10"/>
  <c r="X8" i="10"/>
  <c r="U8" i="10"/>
  <c r="Y8" i="10"/>
  <c r="M72" i="10"/>
  <c r="N72" i="10"/>
  <c r="Q72" i="10"/>
  <c r="P72" i="10"/>
  <c r="R72" i="10"/>
  <c r="O72" i="10"/>
  <c r="S72" i="10"/>
  <c r="N8" i="10"/>
  <c r="Q8" i="10"/>
  <c r="P8" i="10"/>
  <c r="R8" i="10"/>
  <c r="O8" i="10"/>
  <c r="S8" i="10"/>
  <c r="G8" i="10"/>
  <c r="J8" i="10"/>
  <c r="I8" i="10"/>
  <c r="K8" i="10"/>
  <c r="H8" i="10"/>
  <c r="L8" i="10"/>
  <c r="T123" i="10"/>
  <c r="W123" i="10"/>
  <c r="V123" i="10"/>
  <c r="X123" i="10"/>
  <c r="U123" i="10"/>
  <c r="Y123" i="10"/>
  <c r="G123" i="10"/>
  <c r="J123" i="10"/>
  <c r="I123" i="10"/>
  <c r="K123" i="10"/>
  <c r="H123" i="10"/>
  <c r="L123" i="10"/>
  <c r="T122" i="10"/>
  <c r="W122" i="10"/>
  <c r="V122" i="10"/>
  <c r="X122" i="10"/>
  <c r="U122" i="10"/>
  <c r="Y122" i="10"/>
  <c r="G122" i="10"/>
  <c r="J122" i="10"/>
  <c r="I122" i="10"/>
  <c r="K122" i="10"/>
  <c r="H122" i="10"/>
  <c r="L122" i="10"/>
  <c r="T121" i="10"/>
  <c r="W121" i="10"/>
  <c r="V121" i="10"/>
  <c r="X121" i="10"/>
  <c r="U121" i="10"/>
  <c r="Y121" i="10"/>
  <c r="G121" i="10"/>
  <c r="J121" i="10"/>
  <c r="I121" i="10"/>
  <c r="K121" i="10"/>
  <c r="H121" i="10"/>
  <c r="L121" i="10"/>
  <c r="T120" i="10"/>
  <c r="W120" i="10"/>
  <c r="V120" i="10"/>
  <c r="X120" i="10"/>
  <c r="U120" i="10"/>
  <c r="Y120" i="10"/>
  <c r="G120" i="10"/>
  <c r="J120" i="10"/>
  <c r="I120" i="10"/>
  <c r="K120" i="10"/>
  <c r="H120" i="10"/>
  <c r="L120" i="10"/>
  <c r="T119" i="10"/>
  <c r="W119" i="10"/>
  <c r="V119" i="10"/>
  <c r="X119" i="10"/>
  <c r="U119" i="10"/>
  <c r="Y119" i="10"/>
  <c r="G119" i="10"/>
  <c r="J119" i="10"/>
  <c r="I119" i="10"/>
  <c r="K119" i="10"/>
  <c r="H119" i="10"/>
  <c r="L119" i="10"/>
  <c r="T118" i="10"/>
  <c r="W118" i="10"/>
  <c r="V118" i="10"/>
  <c r="X118" i="10"/>
  <c r="U118" i="10"/>
  <c r="Y118" i="10"/>
  <c r="G118" i="10"/>
  <c r="J118" i="10"/>
  <c r="I118" i="10"/>
  <c r="K118" i="10"/>
  <c r="H118" i="10"/>
  <c r="L118" i="10"/>
  <c r="T117" i="10"/>
  <c r="W117" i="10"/>
  <c r="V117" i="10"/>
  <c r="X117" i="10"/>
  <c r="U117" i="10"/>
  <c r="Y117" i="10"/>
  <c r="G117" i="10"/>
  <c r="J117" i="10"/>
  <c r="I117" i="10"/>
  <c r="K117" i="10"/>
  <c r="H117" i="10"/>
  <c r="L117" i="10"/>
  <c r="T116" i="10"/>
  <c r="W116" i="10"/>
  <c r="V116" i="10"/>
  <c r="X116" i="10"/>
  <c r="U116" i="10"/>
  <c r="Y116" i="10"/>
  <c r="G116" i="10"/>
  <c r="J116" i="10"/>
  <c r="I116" i="10"/>
  <c r="K116" i="10"/>
  <c r="H116" i="10"/>
  <c r="L116" i="10"/>
  <c r="T48" i="10"/>
  <c r="W48" i="10"/>
  <c r="V48" i="10"/>
  <c r="X48" i="10"/>
  <c r="U48" i="10"/>
  <c r="Y48" i="10"/>
  <c r="G48" i="10"/>
  <c r="J48" i="10"/>
  <c r="I48" i="10"/>
  <c r="K48" i="10"/>
  <c r="H48" i="10"/>
  <c r="L48" i="10"/>
  <c r="T73" i="10"/>
  <c r="W73" i="10"/>
  <c r="V73" i="10"/>
  <c r="X73" i="10"/>
  <c r="U73" i="10"/>
  <c r="Y73" i="10"/>
  <c r="G73" i="10"/>
  <c r="J73" i="10"/>
  <c r="I73" i="10"/>
  <c r="K73" i="10"/>
  <c r="H73" i="10"/>
  <c r="L73" i="10"/>
  <c r="T72" i="10"/>
  <c r="W72" i="10"/>
  <c r="V72" i="10"/>
  <c r="X72" i="10"/>
  <c r="U72" i="10"/>
  <c r="Y72" i="10"/>
  <c r="G72" i="10"/>
  <c r="J72" i="10"/>
  <c r="I72" i="10"/>
  <c r="K72" i="10"/>
  <c r="H72" i="10"/>
  <c r="L72" i="10"/>
  <c r="T115" i="10"/>
  <c r="W115" i="10"/>
  <c r="V115" i="10"/>
  <c r="X115" i="10"/>
  <c r="U115" i="10"/>
  <c r="Y115" i="10"/>
  <c r="G115" i="10"/>
  <c r="J115" i="10"/>
  <c r="I115" i="10"/>
  <c r="K115" i="10"/>
  <c r="H115" i="10"/>
  <c r="L115" i="10"/>
  <c r="T114" i="10"/>
  <c r="W114" i="10"/>
  <c r="V114" i="10"/>
  <c r="X114" i="10"/>
  <c r="U114" i="10"/>
  <c r="Y114" i="10"/>
  <c r="G114" i="10"/>
  <c r="J114" i="10"/>
  <c r="I114" i="10"/>
  <c r="K114" i="10"/>
  <c r="H114" i="10"/>
  <c r="L114" i="10"/>
  <c r="T113" i="10"/>
  <c r="W113" i="10"/>
  <c r="V113" i="10"/>
  <c r="X113" i="10"/>
  <c r="U113" i="10"/>
  <c r="Y113" i="10"/>
  <c r="G113" i="10"/>
  <c r="J113" i="10"/>
  <c r="I113" i="10"/>
  <c r="K113" i="10"/>
  <c r="H113" i="10"/>
  <c r="L113" i="10"/>
  <c r="T112" i="10"/>
  <c r="W112" i="10"/>
  <c r="V112" i="10"/>
  <c r="X112" i="10"/>
  <c r="U112" i="10"/>
  <c r="Y112" i="10"/>
  <c r="G112" i="10"/>
  <c r="J112" i="10"/>
  <c r="I112" i="10"/>
  <c r="K112" i="10"/>
  <c r="H112" i="10"/>
  <c r="L112" i="10"/>
  <c r="T111" i="10"/>
  <c r="W111" i="10"/>
  <c r="V111" i="10"/>
  <c r="X111" i="10"/>
  <c r="U111" i="10"/>
  <c r="Y111" i="10"/>
  <c r="G111" i="10"/>
  <c r="J111" i="10"/>
  <c r="I111" i="10"/>
  <c r="K111" i="10"/>
  <c r="H111" i="10"/>
  <c r="L111" i="10"/>
  <c r="T110" i="10"/>
  <c r="W110" i="10"/>
  <c r="V110" i="10"/>
  <c r="X110" i="10"/>
  <c r="U110" i="10"/>
  <c r="Y110" i="10"/>
  <c r="G110" i="10"/>
  <c r="J110" i="10"/>
  <c r="I110" i="10"/>
  <c r="K110" i="10"/>
  <c r="H110" i="10"/>
  <c r="L110" i="10"/>
  <c r="T109" i="10"/>
  <c r="W109" i="10"/>
  <c r="V109" i="10"/>
  <c r="X109" i="10"/>
  <c r="U109" i="10"/>
  <c r="Y109" i="10"/>
  <c r="G109" i="10"/>
  <c r="J109" i="10"/>
  <c r="I109" i="10"/>
  <c r="K109" i="10"/>
  <c r="H109" i="10"/>
  <c r="L109" i="10"/>
  <c r="T108" i="10"/>
  <c r="W108" i="10"/>
  <c r="V108" i="10"/>
  <c r="X108" i="10"/>
  <c r="U108" i="10"/>
  <c r="Y108" i="10"/>
  <c r="G108" i="10"/>
  <c r="J108" i="10"/>
  <c r="I108" i="10"/>
  <c r="K108" i="10"/>
  <c r="H108" i="10"/>
  <c r="L108" i="10"/>
  <c r="T79" i="10"/>
  <c r="W79" i="10"/>
  <c r="V79" i="10"/>
  <c r="X79" i="10"/>
  <c r="U79" i="10"/>
  <c r="Y79" i="10"/>
  <c r="G79" i="10"/>
  <c r="J79" i="10"/>
  <c r="I79" i="10"/>
  <c r="K79" i="10"/>
  <c r="H79" i="10"/>
  <c r="L79" i="10"/>
  <c r="T75" i="10"/>
  <c r="W75" i="10"/>
  <c r="V75" i="10"/>
  <c r="X75" i="10"/>
  <c r="U75" i="10"/>
  <c r="Y75" i="10"/>
  <c r="G75" i="10"/>
  <c r="J75" i="10"/>
  <c r="I75" i="10"/>
  <c r="K75" i="10"/>
  <c r="H75" i="10"/>
  <c r="L75" i="10"/>
  <c r="T74" i="10"/>
  <c r="W74" i="10"/>
  <c r="V74" i="10"/>
  <c r="X74" i="10"/>
  <c r="U74" i="10"/>
  <c r="Y74" i="10"/>
  <c r="G74" i="10"/>
  <c r="J74" i="10"/>
  <c r="I74" i="10"/>
  <c r="K74" i="10"/>
  <c r="H74" i="10"/>
  <c r="L74" i="10"/>
  <c r="T47" i="10"/>
  <c r="W47" i="10"/>
  <c r="V47" i="10"/>
  <c r="X47" i="10"/>
  <c r="U47" i="10"/>
  <c r="Y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Y9" i="7"/>
  <c r="W9" i="7"/>
  <c r="U9" i="7"/>
  <c r="R9" i="7"/>
  <c r="Q9" i="7"/>
  <c r="P9" i="7"/>
  <c r="O9" i="7"/>
  <c r="N9" i="7"/>
  <c r="H9" i="7"/>
  <c r="G2" i="2"/>
  <c r="A2" i="2"/>
  <c r="G3" i="2"/>
  <c r="A3" i="2"/>
  <c r="G4" i="2"/>
  <c r="A4" i="2"/>
  <c r="G5" i="2"/>
  <c r="A5" i="2"/>
  <c r="G6" i="2"/>
  <c r="A6" i="2"/>
  <c r="G7" i="2"/>
  <c r="A7" i="2"/>
  <c r="J9" i="7"/>
  <c r="I9" i="7"/>
  <c r="D9" i="7"/>
  <c r="F9" i="7"/>
  <c r="E9" i="7"/>
  <c r="A9" i="7"/>
  <c r="Y8" i="7"/>
  <c r="W8" i="7"/>
  <c r="U8" i="7"/>
  <c r="R8" i="7"/>
  <c r="Q8" i="7"/>
  <c r="P8" i="7"/>
  <c r="O8" i="7"/>
  <c r="N8" i="7"/>
  <c r="H8" i="7"/>
  <c r="J8" i="7"/>
  <c r="I8" i="7"/>
  <c r="D8" i="7"/>
  <c r="F8" i="7"/>
  <c r="E8" i="7"/>
  <c r="A8" i="7"/>
  <c r="Y7" i="7"/>
  <c r="W7" i="7"/>
  <c r="U7" i="7"/>
  <c r="R7" i="7"/>
  <c r="Q7" i="7"/>
  <c r="P7" i="7"/>
  <c r="O7" i="7"/>
  <c r="N7" i="7"/>
  <c r="H7" i="7"/>
  <c r="J7" i="7"/>
  <c r="I7" i="7"/>
  <c r="D7" i="7"/>
  <c r="F7" i="7"/>
  <c r="E7" i="7"/>
  <c r="A7" i="7"/>
  <c r="Y6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Y5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E2" i="9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H7" i="2"/>
  <c r="E7" i="2"/>
  <c r="D7" i="2"/>
  <c r="H2" i="1"/>
  <c r="H3" i="1"/>
  <c r="B7" i="2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V3" i="1"/>
  <c r="V2" i="1"/>
  <c r="T3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B2" i="21"/>
  <c r="I2" i="21"/>
  <c r="J2" i="21"/>
  <c r="G2" i="21"/>
  <c r="F2" i="21"/>
  <c r="D2" i="21"/>
  <c r="C2" i="21"/>
  <c r="E12" i="16"/>
  <c r="E11" i="16"/>
  <c r="E10" i="16"/>
  <c r="C2" i="18"/>
  <c r="D2" i="18"/>
  <c r="O2" i="9"/>
  <c r="N2" i="9"/>
  <c r="M2" i="9"/>
  <c r="L2" i="9"/>
  <c r="K2" i="9"/>
  <c r="J2" i="9"/>
  <c r="I2" i="9"/>
  <c r="H2" i="9"/>
  <c r="G2" i="9"/>
  <c r="D2" i="9"/>
  <c r="E9" i="16"/>
  <c r="Y2" i="7"/>
  <c r="X2" i="1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L11" authorId="0">
      <text>
        <r>
          <rPr>
            <b/>
            <sz val="11"/>
            <color indexed="81"/>
            <rFont val="ＭＳ Ｐゴシック"/>
            <family val="3"/>
            <charset val="128"/>
          </rPr>
          <t xml:space="preserve">ユニットごとに勝利時TIPSを出し分ける
KOFコラボ専用(17/05/30)
</t>
        </r>
      </text>
    </comment>
  </commentList>
</comments>
</file>

<file path=xl/comments2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3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7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<sst xmlns="http://schemas.openxmlformats.org/spreadsheetml/2006/main" count="2341" uniqueCount="566">
  <si>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</si>
  <si>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</si>
  <si>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</si>
  <si>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</si>
  <si>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</si>
  <si>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</si>
  <si>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</si>
  <si>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</si>
  <si>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</si>
  <si>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</si>
  <si>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</si>
  <si>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</si>
  <si>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</si>
  <si>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</si>
  <si>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</si>
  <si>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</si>
  <si>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</si>
  <si>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</si>
  <si>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</si>
  <si>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</si>
  <si>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</si>
  <si>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</si>
  <si>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</si>
  <si>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</si>
  <si>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</si>
  <si>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</si>
  <si>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</si>
  <si>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</si>
  <si>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</si>
  <si>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</si>
  <si>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</si>
  <si>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</si>
  <si>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</si>
  <si>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</si>
  <si>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</si>
  <si>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</si>
  <si>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</si>
  <si>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</si>
  <si>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</si>
  <si>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</si>
  <si>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</si>
  <si>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</si>
  <si>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</si>
  <si>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</si>
  <si>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</si>
  <si>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</si>
  <si>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</si>
  <si>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</si>
  <si>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</si>
  <si>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</si>
  <si>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</si>
  <si>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</si>
  <si>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</si>
  <si>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</si>
  <si>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</si>
  <si>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</si>
  <si>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</si>
  <si>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</si>
  <si>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</si>
  <si>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</si>
  <si>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</si>
  <si>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</si>
  <si>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</si>
  <si>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</si>
  <si>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</si>
  <si>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</si>
  <si>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</si>
  <si>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</si>
  <si>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</si>
  <si>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</si>
  <si>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</si>
  <si>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</si>
  <si>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</si>
  <si>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</si>
  <si>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</si>
  <si>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</si>
  <si>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</si>
  <si>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</si>
  <si>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</si>
  <si>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</si>
  <si>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</si>
  <si>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</si>
  <si>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</si>
  <si>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</si>
  <si>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</si>
  <si>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</si>
  <si>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</si>
  <si>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</si>
  <si>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</si>
  <si>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</si>
  <si>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</si>
  <si>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</si>
  <si>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</si>
  <si>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</si>
  <si>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</si>
  <si>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</si>
  <si>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</si>
  <si>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</si>
  <si>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</si>
  <si>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</si>
  <si>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</si>
  <si>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</si>
  <si>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</si>
  <si>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</si>
  <si>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</si>
  <si>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</si>
  <si>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</si>
  <si>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</si>
  <si>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</si>
  <si>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</si>
  <si>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</si>
  <si>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</si>
  <si>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</si>
  <si>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</si>
  <si>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</si>
  <si>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</si>
  <si>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</si>
  <si>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</si>
  <si>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</si>
  <si>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</si>
  <si>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</si>
  <si>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</si>
  <si>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</si>
  <si>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</si>
  <si>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</si>
  <si>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</si>
  <si>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</si>
  <si>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</si>
  <si>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</si>
  <si>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</si>
  <si>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</si>
  <si>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</si>
  <si>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</si>
  <si>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</si>
  <si>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</si>
  <si>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</si>
  <si>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</si>
  <si>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</si>
  <si>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</si>
  <si>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</si>
  <si>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</si>
  <si>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</si>
  <si>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</si>
  <si>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</si>
  <si>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</si>
  <si>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</si>
  <si>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</si>
  <si>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</si>
  <si>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</si>
  <si>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</si>
  <si>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</si>
  <si>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</si>
  <si>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</si>
  <si>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</si>
  <si>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</si>
  <si>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</si>
  <si>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</si>
  <si>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</si>
  <si>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</si>
  <si>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</si>
  <si>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</si>
  <si>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</si>
  <si>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</si>
  <si>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</si>
  <si>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</si>
  <si>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</si>
  <si>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</si>
  <si>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</si>
  <si>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</si>
  <si>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</si>
  <si>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</si>
  <si>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</si>
  <si>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</si>
  <si>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</si>
  <si>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</si>
  <si>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</si>
  <si>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</si>
  <si>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</si>
  <si>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</si>
  <si>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</si>
  <si>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</si>
  <si>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</si>
  <si>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</si>
  <si>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</si>
  <si>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</si>
  <si>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</si>
  <si>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</si>
  <si>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</si>
  <si>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</si>
  <si>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</si>
  <si>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</si>
  <si>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</si>
  <si>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</si>
  <si>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</si>
  <si>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</si>
  <si>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</si>
  <si>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</si>
  <si>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</si>
  <si>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</si>
  <si>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</si>
  <si>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</si>
  <si>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</si>
  <si>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</si>
  <si>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</si>
  <si>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</si>
  <si>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</si>
  <si>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</si>
  <si>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</si>
  <si>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</si>
  <si>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</si>
  <si>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</si>
  <si>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</si>
  <si>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</si>
  <si>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</si>
  <si>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</si>
  <si>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</si>
  <si>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</si>
  <si>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</si>
  <si>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</si>
  <si>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</si>
  <si>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</si>
  <si>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</si>
  <si>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</si>
  <si>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</si>
  <si>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</si>
  <si>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</si>
  <si>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</si>
  <si>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</si>
  <si>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</si>
  <si>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</si>
  <si>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</si>
  <si>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</si>
  <si>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</si>
  <si>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</si>
  <si>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</si>
  <si>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</si>
  <si>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</si>
  <si>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</si>
  <si>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</si>
  <si>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</si>
  <si>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</si>
  <si>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</si>
  <si>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</si>
  <si>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</si>
  <si>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</si>
  <si>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</si>
  <si>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</si>
  <si>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</si>
  <si>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</si>
  <si>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</si>
  <si>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</si>
  <si>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</si>
  <si>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</si>
  <si>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</si>
  <si>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</si>
  <si>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セリフのみ</t>
    <phoneticPr fontId="5"/>
  </si>
  <si>
    <t>2回連続攻撃</t>
    <phoneticPr fontId="5"/>
  </si>
  <si>
    <t>回復タイプのユニットのスキルゲージを4ターン減少</t>
    <rPh sb="0" eb="2">
      <t>カイフク</t>
    </rPh>
    <rPh sb="22" eb="24">
      <t>ゲンショウ</t>
    </rPh>
    <phoneticPr fontId="5"/>
  </si>
  <si>
    <t>4回連続攻撃</t>
    <rPh sb="2" eb="6">
      <t>レンゾクコウゲキ</t>
    </rPh>
    <phoneticPr fontId="5"/>
  </si>
  <si>
    <t>属性パネルプロテクト(最大5個)+単体攻撃</t>
    <rPh sb="0" eb="2">
      <t>ゾクセイパネルヲ</t>
    </rPh>
    <rPh sb="11" eb="13">
      <t>サイダイ</t>
    </rPh>
    <rPh sb="14" eb="15">
      <t>コ</t>
    </rPh>
    <rPh sb="19" eb="21">
      <t>コウゲキ</t>
    </rPh>
    <phoneticPr fontId="5"/>
  </si>
  <si>
    <t>属性パネルプロテクト(最大7個)+単体攻撃</t>
    <phoneticPr fontId="5"/>
  </si>
  <si>
    <t>攻撃頻度UP</t>
    <rPh sb="0" eb="4">
      <t>コウゲキヒンド</t>
    </rPh>
    <phoneticPr fontId="5"/>
  </si>
  <si>
    <t>特定エリアを青パネルに変換+2回連続攻撃</t>
    <rPh sb="0" eb="2">
      <t>トクテイ</t>
    </rPh>
    <rPh sb="6" eb="7">
      <t>アオパネル</t>
    </rPh>
    <rPh sb="18" eb="20">
      <t>コウゲキ</t>
    </rPh>
    <phoneticPr fontId="5"/>
  </si>
  <si>
    <t>セリフのみ</t>
    <phoneticPr fontId="5"/>
  </si>
  <si>
    <t>赤パネルプロテクト+単体攻撃</t>
    <rPh sb="0" eb="1">
      <t>アカパネル</t>
    </rPh>
    <rPh sb="10" eb="14">
      <t>タンタイコウゲキ</t>
    </rPh>
    <phoneticPr fontId="5"/>
  </si>
  <si>
    <t>クリティカル！</t>
    <phoneticPr fontId="5"/>
  </si>
  <si>
    <t>次のターンに強力な赤パネル吸収攻撃</t>
    <rPh sb="0" eb="1">
      <t>ツギノターン</t>
    </rPh>
    <rPh sb="6" eb="8">
      <t>キョウリョクナ</t>
    </rPh>
    <rPh sb="9" eb="10">
      <t>アカパネル</t>
    </rPh>
    <rPh sb="13" eb="17">
      <t>キュウシュウコウゲキ</t>
    </rPh>
    <phoneticPr fontId="5"/>
  </si>
  <si>
    <t>赤パネルを吸収して攻撃</t>
    <rPh sb="0" eb="1">
      <t>アカパネルヲ</t>
    </rPh>
    <rPh sb="5" eb="7">
      <t>キュウシュウシテ</t>
    </rPh>
    <rPh sb="9" eb="11">
      <t>コウゲキ</t>
    </rPh>
    <phoneticPr fontId="5"/>
  </si>
  <si>
    <t>赤パネル吸収攻撃</t>
    <rPh sb="0" eb="1">
      <t>アカパネル</t>
    </rPh>
    <rPh sb="4" eb="8">
      <t>キュウシュウコウゲキ</t>
    </rPh>
    <phoneticPr fontId="5"/>
  </si>
  <si>
    <t>1ターン赤パネルを吸収して攻撃力UP</t>
    <rPh sb="4" eb="5">
      <t>アカパネル</t>
    </rPh>
    <rPh sb="9" eb="11">
      <t>キュウシュウシテ</t>
    </rPh>
    <rPh sb="13" eb="16">
      <t>コウゲキリョク</t>
    </rPh>
    <phoneticPr fontId="5"/>
  </si>
  <si>
    <t>クリティカル！+特定エリアを赤パネルに変換</t>
    <rPh sb="8" eb="10">
      <t>トクテイエリアヲ</t>
    </rPh>
    <rPh sb="14" eb="15">
      <t>アカパネル</t>
    </rPh>
    <rPh sb="19" eb="21">
      <t>ヘンカン</t>
    </rPh>
    <phoneticPr fontId="5"/>
  </si>
  <si>
    <t>解除するまで全ユニットの攻撃をカウンター</t>
    <rPh sb="0" eb="2">
      <t>カイジョスルマデ</t>
    </rPh>
    <rPh sb="6" eb="7">
      <t>ゼンユニットノコウゲキ</t>
    </rPh>
    <phoneticPr fontId="5"/>
  </si>
  <si>
    <t>5回連続攻撃</t>
    <rPh sb="2" eb="6">
      <t>レンゾクコウゲキ</t>
    </rPh>
    <phoneticPr fontId="5"/>
  </si>
  <si>
    <t>青パネルプロテクト+2回連続攻撃</t>
    <rPh sb="0" eb="1">
      <t>アオパネル</t>
    </rPh>
    <phoneticPr fontId="5"/>
  </si>
  <si>
    <t>青パネル吸収攻撃</t>
    <rPh sb="0" eb="1">
      <t>アオパネル</t>
    </rPh>
    <rPh sb="4" eb="8">
      <t>キュウシュウコウゲキ</t>
    </rPh>
    <phoneticPr fontId="5"/>
  </si>
  <si>
    <t>次のターンに強力な連続攻撃</t>
    <rPh sb="0" eb="1">
      <t>ツギノター</t>
    </rPh>
    <rPh sb="6" eb="8">
      <t>キョウリョクナ</t>
    </rPh>
    <rPh sb="9" eb="13">
      <t>レンゾクコウゲキ</t>
    </rPh>
    <phoneticPr fontId="5"/>
  </si>
  <si>
    <t>10回連続攻撃</t>
    <phoneticPr fontId="5"/>
  </si>
  <si>
    <t>赤&amp;青パネルはプロテクトされてドロップ</t>
    <rPh sb="0" eb="1">
      <t>アカ</t>
    </rPh>
    <rPh sb="2" eb="3">
      <t>アオ</t>
    </rPh>
    <phoneticPr fontId="5"/>
  </si>
  <si>
    <t>ダメージ軽減&amp;防御力UP&amp;カウンター状態を解除+
クリティカル！</t>
    <rPh sb="4" eb="6">
      <t>ケイゲン</t>
    </rPh>
    <rPh sb="7" eb="10">
      <t>ボウギョリョク</t>
    </rPh>
    <rPh sb="18" eb="20">
      <t>ジョウタイ</t>
    </rPh>
    <rPh sb="21" eb="23">
      <t>カイジョ</t>
    </rPh>
    <phoneticPr fontId="5"/>
  </si>
  <si>
    <t>緑を赤パネルに5個変換+
黄を青パネルに5個変換+4回連続攻撃</t>
    <rPh sb="22" eb="24">
      <t>ヘンカン</t>
    </rPh>
    <rPh sb="26" eb="27">
      <t>カイ</t>
    </rPh>
    <phoneticPr fontId="5"/>
  </si>
  <si>
    <t>赤&amp;青パネルを吸収して攻撃</t>
    <rPh sb="0" eb="1">
      <t>アカ</t>
    </rPh>
    <rPh sb="2" eb="3">
      <t>アオ</t>
    </rPh>
    <rPh sb="7" eb="9">
      <t>キュウシュウシテコウゲキ</t>
    </rPh>
    <phoneticPr fontId="5"/>
  </si>
  <si>
    <t>全てのプラス効果を解除</t>
    <rPh sb="0" eb="1">
      <t>スベテノ</t>
    </rPh>
    <rPh sb="9" eb="11">
      <t>カイジョ</t>
    </rPh>
    <phoneticPr fontId="5"/>
  </si>
  <si>
    <t>ダメージ軽減&amp;防御力UP&amp;カウンター状態を解除+
2回連続攻撃</t>
    <rPh sb="4" eb="6">
      <t>ケイゲン</t>
    </rPh>
    <rPh sb="7" eb="10">
      <t>ボウギョリョク</t>
    </rPh>
    <rPh sb="18" eb="20">
      <t>ジョウタイ</t>
    </rPh>
    <rPh sb="21" eb="23">
      <t>カイジョ</t>
    </rPh>
    <phoneticPr fontId="5"/>
  </si>
  <si>
    <t>残りHPの70%ダメージ</t>
    <rPh sb="0" eb="1">
      <t>ノコリ</t>
    </rPh>
    <phoneticPr fontId="5"/>
  </si>
  <si>
    <t>次のターンに強力な攻撃</t>
    <rPh sb="0" eb="1">
      <t>ツギノタ</t>
    </rPh>
    <rPh sb="6" eb="8">
      <t>キョウリョクナコウゲキ</t>
    </rPh>
    <phoneticPr fontId="5"/>
  </si>
  <si>
    <t>old</t>
  </si>
  <si>
    <t>クリティカル！+
特定エリアを赤&amp;青パネルに変換+
特定エリアを赤&amp;青のCBPに変換</t>
    <rPh sb="9" eb="11">
      <t>トクテイエリアヲ</t>
    </rPh>
    <rPh sb="15" eb="16">
      <t>アカパネル</t>
    </rPh>
    <rPh sb="17" eb="18">
      <t>アオ</t>
    </rPh>
    <rPh sb="22" eb="24">
      <t>ヘンカン</t>
    </rPh>
    <rPh sb="26" eb="28">
      <t>トクテイエリアヲ</t>
    </rPh>
    <rPh sb="32" eb="33">
      <t>アカ</t>
    </rPh>
    <rPh sb="34" eb="35">
      <t>アオノ</t>
    </rPh>
    <rPh sb="40" eb="42">
      <t>ヘンカン</t>
    </rPh>
    <phoneticPr fontId="5"/>
  </si>
  <si>
    <t>赤&amp;青パネルを吸収して回復+
全ユニットに1ターンスキルバインド</t>
    <rPh sb="0" eb="1">
      <t>アカ</t>
    </rPh>
    <rPh sb="2" eb="3">
      <t>アオ</t>
    </rPh>
    <rPh sb="7" eb="9">
      <t>キュウシュウシテコウゲキ</t>
    </rPh>
    <rPh sb="11" eb="13">
      <t>カイフク</t>
    </rPh>
    <rPh sb="15" eb="16">
      <t>ゼンユニット</t>
    </rPh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</si>
  <si>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</si>
  <si>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</si>
  <si>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</si>
  <si>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</si>
  <si>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</si>
  <si>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</si>
  <si>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</si>
  <si>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</si>
  <si>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old</t>
    <phoneticPr fontId="5"/>
  </si>
  <si>
    <t>ロバート開幕</t>
    <rPh sb="4" eb="6">
      <t>カ</t>
    </rPh>
    <phoneticPr fontId="5"/>
  </si>
  <si>
    <t>ロバート2ターン毎</t>
    <rPh sb="8" eb="9">
      <t>ゴト</t>
    </rPh>
    <phoneticPr fontId="5"/>
  </si>
  <si>
    <t>ロバート3ターン毎</t>
    <phoneticPr fontId="5"/>
  </si>
  <si>
    <t>ロバート変身開幕</t>
    <rPh sb="4" eb="6">
      <t>ヘンシn</t>
    </rPh>
    <rPh sb="6" eb="8">
      <t>カイマk</t>
    </rPh>
    <phoneticPr fontId="5"/>
  </si>
  <si>
    <t>ロバート2ターン毎</t>
    <phoneticPr fontId="5"/>
  </si>
  <si>
    <t>ロバート50%以下1回</t>
    <rPh sb="7" eb="9">
      <t>イカ</t>
    </rPh>
    <phoneticPr fontId="5"/>
  </si>
  <si>
    <t>ロバート40%以下1回</t>
    <rPh sb="7" eb="9">
      <t>イカ</t>
    </rPh>
    <phoneticPr fontId="5"/>
  </si>
  <si>
    <t>草薙京開幕</t>
    <rPh sb="0" eb="3">
      <t>クサナギキョウ</t>
    </rPh>
    <rPh sb="3" eb="5">
      <t>カイマk</t>
    </rPh>
    <phoneticPr fontId="5"/>
  </si>
  <si>
    <t>草薙京1ターン毎</t>
    <rPh sb="0" eb="3">
      <t>クサナギキョウ</t>
    </rPh>
    <phoneticPr fontId="5"/>
  </si>
  <si>
    <t>草薙京2ターン毎</t>
    <rPh sb="0" eb="3">
      <t>クサナギキョウ</t>
    </rPh>
    <phoneticPr fontId="5"/>
  </si>
  <si>
    <t>草薙京40%以下1回予告</t>
    <rPh sb="0" eb="3">
      <t>クサナギキョウ</t>
    </rPh>
    <rPh sb="6" eb="8">
      <t>イカ</t>
    </rPh>
    <rPh sb="10" eb="12">
      <t>ヨk</t>
    </rPh>
    <phoneticPr fontId="5"/>
  </si>
  <si>
    <t>5ターン赤パネルドロップ率UP+
テクニカルタイプのユニットのスキルゲージを4ターン減少</t>
    <rPh sb="4" eb="5">
      <t>アカパネル</t>
    </rPh>
    <rPh sb="12" eb="13">
      <t>リツ</t>
    </rPh>
    <rPh sb="42" eb="44">
      <t>ゲンショウ</t>
    </rPh>
    <phoneticPr fontId="5"/>
  </si>
  <si>
    <t>草薙京変身開幕</t>
    <rPh sb="0" eb="3">
      <t>クサナギキョウ</t>
    </rPh>
    <rPh sb="3" eb="5">
      <t>ヘンシン</t>
    </rPh>
    <rPh sb="5" eb="7">
      <t>カイマk</t>
    </rPh>
    <phoneticPr fontId="5"/>
  </si>
  <si>
    <t>草薙京5ターン目1回</t>
    <rPh sb="0" eb="3">
      <t>クサナギキョウ</t>
    </rPh>
    <phoneticPr fontId="5"/>
  </si>
  <si>
    <t>草薙京6ターン目1回</t>
    <rPh sb="0" eb="3">
      <t>クサナギキョウ</t>
    </rPh>
    <phoneticPr fontId="5"/>
  </si>
  <si>
    <t>クリス開幕</t>
    <rPh sb="3" eb="5">
      <t>カイマk</t>
    </rPh>
    <phoneticPr fontId="5"/>
  </si>
  <si>
    <t>クリス1ターン毎</t>
    <phoneticPr fontId="5"/>
  </si>
  <si>
    <t>クリス2ターン毎</t>
    <phoneticPr fontId="5"/>
  </si>
  <si>
    <t>クリス3ターン毎</t>
    <phoneticPr fontId="5"/>
  </si>
  <si>
    <t>草薙京40%以下1回</t>
    <rPh sb="0" eb="3">
      <t>クサナギキョウ</t>
    </rPh>
    <rPh sb="6" eb="8">
      <t>４</t>
    </rPh>
    <phoneticPr fontId="5"/>
  </si>
  <si>
    <t>クリス50%以下1回予告</t>
    <rPh sb="6" eb="8">
      <t>イk</t>
    </rPh>
    <rPh sb="10" eb="12">
      <t>ヨk</t>
    </rPh>
    <phoneticPr fontId="5"/>
  </si>
  <si>
    <t>クリス50%以下1回</t>
    <rPh sb="6" eb="8">
      <t>イk</t>
    </rPh>
    <phoneticPr fontId="5"/>
  </si>
  <si>
    <t>クリス変身開幕1</t>
    <rPh sb="3" eb="7">
      <t>ヘンシn</t>
    </rPh>
    <phoneticPr fontId="5"/>
  </si>
  <si>
    <t>クリス変身開幕2</t>
    <rPh sb="3" eb="7">
      <t>ヘンシn</t>
    </rPh>
    <phoneticPr fontId="5"/>
  </si>
  <si>
    <t>クリスHP70%以下1回</t>
    <rPh sb="8" eb="10">
      <t>イk</t>
    </rPh>
    <phoneticPr fontId="5"/>
  </si>
  <si>
    <t>クリスHP50%以下1回</t>
    <phoneticPr fontId="5"/>
  </si>
  <si>
    <t>クリスHP50%以下予告1回</t>
    <rPh sb="10" eb="12">
      <t>ヨk</t>
    </rPh>
    <phoneticPr fontId="5"/>
  </si>
  <si>
    <t>クリスHP40%以下1回</t>
    <rPh sb="8" eb="10">
      <t>イk</t>
    </rPh>
    <phoneticPr fontId="5"/>
  </si>
  <si>
    <t>[表示しない]</t>
    <rPh sb="1" eb="3">
      <t>ヒョウジ</t>
    </rPh>
    <phoneticPr fontId="5"/>
  </si>
  <si>
    <t>ロバート撃破時</t>
    <rPh sb="4" eb="7">
      <t>ゲk</t>
    </rPh>
    <phoneticPr fontId="5"/>
  </si>
  <si>
    <t>京撃破時</t>
    <rPh sb="1" eb="4">
      <t>ゲk</t>
    </rPh>
    <phoneticPr fontId="5"/>
  </si>
  <si>
    <t>撃破時</t>
    <rPh sb="0" eb="3">
      <t>ゲk</t>
    </rPh>
    <phoneticPr fontId="5"/>
  </si>
  <si>
    <t>5ターン赤パネルドロップ率UP</t>
    <rPh sb="4" eb="5">
      <t>アカパネル</t>
    </rPh>
    <rPh sb="12" eb="13">
      <t>リツ</t>
    </rPh>
    <phoneticPr fontId="5"/>
  </si>
  <si>
    <t>京撃破時　庵５</t>
    <rPh sb="0" eb="1">
      <t>キョウ</t>
    </rPh>
    <rPh sb="1" eb="4">
      <t>ゲキh</t>
    </rPh>
    <rPh sb="5" eb="6">
      <t>イオr</t>
    </rPh>
    <phoneticPr fontId="5"/>
  </si>
  <si>
    <t>京撃破時　庵６</t>
    <rPh sb="1" eb="4">
      <t>ゲk</t>
    </rPh>
    <rPh sb="5" eb="6">
      <t>イオr</t>
    </rPh>
    <phoneticPr fontId="5"/>
  </si>
  <si>
    <t>ロバート撃破時　リョウ５</t>
    <rPh sb="4" eb="7">
      <t>ゲk</t>
    </rPh>
    <phoneticPr fontId="5"/>
  </si>
  <si>
    <t>ロバート撃破時　リョウ６</t>
    <rPh sb="4" eb="7">
      <t>ゲk</t>
    </rPh>
    <phoneticPr fontId="5"/>
  </si>
  <si>
    <t>ロバート撃破時　ユリ５</t>
    <rPh sb="4" eb="7">
      <t>ゲk</t>
    </rPh>
    <phoneticPr fontId="5"/>
  </si>
  <si>
    <t>ロバート撃破時　ユリ６</t>
    <rPh sb="4" eb="7">
      <t>ゲk</t>
    </rPh>
    <phoneticPr fontId="5"/>
  </si>
  <si>
    <t>京開幕　庵５</t>
    <rPh sb="1" eb="3">
      <t>カイマk</t>
    </rPh>
    <phoneticPr fontId="5"/>
  </si>
  <si>
    <t>京開幕　庵６</t>
    <rPh sb="1" eb="3">
      <t>カイマk</t>
    </rPh>
    <phoneticPr fontId="5"/>
  </si>
  <si>
    <t>ロバート　リョウ５</t>
    <phoneticPr fontId="5"/>
  </si>
  <si>
    <t>ロバート　リョウ６</t>
    <phoneticPr fontId="5"/>
  </si>
  <si>
    <t>ロバート　ユリ５</t>
    <phoneticPr fontId="5"/>
  </si>
  <si>
    <t>ロバート　ユリ６</t>
    <phoneticPr fontId="5"/>
  </si>
  <si>
    <t>クリス　京</t>
    <phoneticPr fontId="5"/>
  </si>
  <si>
    <t>クリス　舞</t>
    <rPh sb="4" eb="5">
      <t>マイ</t>
    </rPh>
    <phoneticPr fontId="5"/>
  </si>
  <si>
    <t>クリス　アンディ</t>
    <phoneticPr fontId="5"/>
  </si>
  <si>
    <t>クリス　ユリ</t>
    <phoneticPr fontId="5"/>
  </si>
  <si>
    <t>クリス　キム</t>
    <phoneticPr fontId="5"/>
  </si>
  <si>
    <t>クリス　95京</t>
    <rPh sb="6" eb="7">
      <t>キョ</t>
    </rPh>
    <phoneticPr fontId="5"/>
  </si>
  <si>
    <t>クリス　96京</t>
    <rPh sb="6" eb="7">
      <t>キョ</t>
    </rPh>
    <phoneticPr fontId="5"/>
  </si>
  <si>
    <t>KOFユニットその他ID</t>
    <phoneticPr fontId="5"/>
  </si>
  <si>
    <t>さなぎを破り、蝶は舞う…</t>
    <rPh sb="4" eb="5">
      <t>ヤブr</t>
    </rPh>
    <rPh sb="7" eb="8">
      <t>チョ</t>
    </rPh>
    <rPh sb="9" eb="10">
      <t>マ</t>
    </rPh>
    <phoneticPr fontId="5"/>
  </si>
  <si>
    <t>まいあがれ、僕の炎</t>
    <rPh sb="6" eb="7">
      <t>b</t>
    </rPh>
    <rPh sb="8" eb="9">
      <t>ホノ</t>
    </rPh>
    <phoneticPr fontId="5"/>
  </si>
  <si>
    <t>でておいで、僕の炎</t>
    <rPh sb="6" eb="7">
      <t>ボk</t>
    </rPh>
    <rPh sb="8" eb="9">
      <t>ホノ</t>
    </rPh>
    <phoneticPr fontId="5"/>
  </si>
  <si>
    <t>もういーい？</t>
    <phoneticPr fontId="5"/>
  </si>
  <si>
    <t>さぁ、楽しもう 僕の炎</t>
    <rPh sb="3" eb="4">
      <t>タノs</t>
    </rPh>
    <rPh sb="8" eb="9">
      <t>ボk</t>
    </rPh>
    <rPh sb="10" eb="11">
      <t>ホノ</t>
    </rPh>
    <phoneticPr fontId="5"/>
  </si>
  <si>
    <t>サマーっ！</t>
    <phoneticPr fontId="5"/>
  </si>
  <si>
    <t>さぁ、みてごらん 僕の炎</t>
    <rPh sb="9" eb="10">
      <t>ボクn</t>
    </rPh>
    <phoneticPr fontId="5"/>
  </si>
  <si>
    <t>ああ、ひかりが…</t>
    <phoneticPr fontId="5"/>
  </si>
  <si>
    <t>素人じゃねーってか、
…試させてもらうぜ！</t>
    <rPh sb="0" eb="2">
      <t>シロ</t>
    </rPh>
    <rPh sb="12" eb="13">
      <t>タメサs</t>
    </rPh>
    <phoneticPr fontId="5"/>
  </si>
  <si>
    <t>[表示しない]</t>
    <phoneticPr fontId="5"/>
  </si>
  <si>
    <t>ロバート開幕リョウ</t>
    <rPh sb="4" eb="6">
      <t>カ</t>
    </rPh>
    <phoneticPr fontId="5"/>
  </si>
  <si>
    <t>ロバート開幕ユリ</t>
    <rPh sb="4" eb="6">
      <t>カ</t>
    </rPh>
    <phoneticPr fontId="5"/>
  </si>
  <si>
    <t>意外とやるねえ…
あんたらなら大丈夫かもな！</t>
    <rPh sb="0" eb="2">
      <t>イガ</t>
    </rPh>
    <rPh sb="15" eb="18">
      <t>ダイジョ</t>
    </rPh>
    <phoneticPr fontId="5"/>
  </si>
  <si>
    <t>…ったく素人さんよ、
燃えちまっても知らねーぞ！</t>
    <rPh sb="4" eb="6">
      <t>シロウトサン</t>
    </rPh>
    <rPh sb="11" eb="12">
      <t>モ</t>
    </rPh>
    <rPh sb="18" eb="19">
      <t>シラn</t>
    </rPh>
    <phoneticPr fontId="5"/>
  </si>
  <si>
    <t>オイあんたら！悪い事言わないから
こっから先はやめときな！</t>
    <rPh sb="7" eb="8">
      <t>ワルイコトハ</t>
    </rPh>
    <rPh sb="10" eb="11">
      <t>ハ</t>
    </rPh>
    <rPh sb="21" eb="22">
      <t>サk</t>
    </rPh>
    <phoneticPr fontId="5"/>
  </si>
  <si>
    <t>ガ…なんやこの感覚…
グ…そこのアンタ、ワイから離れや…！</t>
    <rPh sb="7" eb="9">
      <t>カンカk</t>
    </rPh>
    <rPh sb="24" eb="25">
      <t>ハナr</t>
    </rPh>
    <phoneticPr fontId="5"/>
  </si>
  <si>
    <t>ガ…なんやこの感覚…
まずいでリョウ、構えや…！</t>
    <rPh sb="7" eb="9">
      <t>カンカk</t>
    </rPh>
    <rPh sb="19" eb="20">
      <t>カマ</t>
    </rPh>
    <phoneticPr fontId="5"/>
  </si>
  <si>
    <t>グガ…ほな…いきまっせーー！！</t>
  </si>
  <si>
    <t>ギ…極限流奥義！！</t>
    <rPh sb="2" eb="5">
      <t>キョk</t>
    </rPh>
    <rPh sb="5" eb="7">
      <t>オウg</t>
    </rPh>
    <phoneticPr fontId="5"/>
  </si>
  <si>
    <t>グ…そりゃそりゃそりゃそりゃあ！
どないや！！</t>
    <phoneticPr fontId="5"/>
  </si>
  <si>
    <t>ガ…龍撃拳！</t>
    <phoneticPr fontId="5"/>
  </si>
  <si>
    <t>ギ…飛燕旋風脚！</t>
    <rPh sb="2" eb="7">
      <t>ヒ</t>
    </rPh>
    <phoneticPr fontId="5"/>
  </si>
  <si>
    <t>グッ…なんやこの感覚…
ユリちゃん、ワイから離れや…！</t>
    <rPh sb="8" eb="10">
      <t>カンカk</t>
    </rPh>
    <rPh sb="22" eb="23">
      <t>ハナr</t>
    </rPh>
    <phoneticPr fontId="5"/>
  </si>
  <si>
    <t>ガッ…くそったれえええ！</t>
    <phoneticPr fontId="5"/>
  </si>
  <si>
    <t>ガッ…世話かけさして
すまんな、リョウ…</t>
    <rPh sb="3" eb="5">
      <t>セw</t>
    </rPh>
    <phoneticPr fontId="5"/>
  </si>
  <si>
    <t>グガ…アカン…
止められへんわ…！</t>
    <rPh sb="8" eb="9">
      <t>トm</t>
    </rPh>
    <phoneticPr fontId="5"/>
  </si>
  <si>
    <t>燃えろぉお！</t>
    <rPh sb="0" eb="1">
      <t>モ</t>
    </rPh>
    <phoneticPr fontId="5"/>
  </si>
  <si>
    <t>おおおおお…！</t>
    <phoneticPr fontId="5"/>
  </si>
  <si>
    <t>見せてやる…草薙の拳を！！！</t>
    <rPh sb="0" eb="1">
      <t>ミセt</t>
    </rPh>
    <rPh sb="6" eb="8">
      <t>クサナg</t>
    </rPh>
    <rPh sb="9" eb="10">
      <t>コブs</t>
    </rPh>
    <phoneticPr fontId="5"/>
  </si>
  <si>
    <t>グガッ…ユリちゃん！
大好きやーーーッ！！</t>
    <rPh sb="11" eb="13">
      <t>ダイスk</t>
    </rPh>
    <phoneticPr fontId="5"/>
  </si>
  <si>
    <t>ギ…とりゃとりゃ！</t>
    <phoneticPr fontId="5"/>
  </si>
  <si>
    <t>ガッ…！？わいは何を…
ユリちゃん、すまーーーん！！</t>
    <rPh sb="8" eb="9">
      <t>ナn</t>
    </rPh>
    <phoneticPr fontId="5"/>
  </si>
  <si>
    <t>『なら燃えつきろ…潔くな』</t>
    <rPh sb="3" eb="4">
      <t>モエツk</t>
    </rPh>
    <rPh sb="9" eb="10">
      <t>イサギヨk</t>
    </rPh>
    <phoneticPr fontId="5"/>
  </si>
  <si>
    <t>炎が…お前を呼んでるぜ！</t>
    <rPh sb="0" eb="1">
      <t>ホノ</t>
    </rPh>
    <rPh sb="6" eb="7">
      <t>ヨn</t>
    </rPh>
    <phoneticPr fontId="5"/>
  </si>
  <si>
    <t>ケリをつけようぜ…八神！</t>
    <rPh sb="9" eb="11">
      <t>ヤガm</t>
    </rPh>
    <phoneticPr fontId="5"/>
  </si>
  <si>
    <t>『貴様の死をもってな！』</t>
    <rPh sb="1" eb="3">
      <t>キサm</t>
    </rPh>
    <rPh sb="4" eb="5">
      <t>シヲ</t>
    </rPh>
    <phoneticPr fontId="5"/>
  </si>
  <si>
    <t>うぉああああああ！</t>
    <phoneticPr fontId="5"/>
  </si>
  <si>
    <t>おおおおお…！</t>
    <phoneticPr fontId="5"/>
  </si>
  <si>
    <t>特定エリアを青パネルに変換+6回連続攻撃</t>
    <rPh sb="0" eb="2">
      <t>トクテイ</t>
    </rPh>
    <rPh sb="6" eb="7">
      <t>アオパネル</t>
    </rPh>
    <rPh sb="18" eb="20">
      <t>コウゲキ</t>
    </rPh>
    <phoneticPr fontId="5"/>
  </si>
  <si>
    <t>とりましたぁ！</t>
    <phoneticPr fontId="5"/>
  </si>
  <si>
    <t>赤パネルプロテクト(最大3個)+単体攻撃</t>
    <rPh sb="0" eb="1">
      <t>アカパネル</t>
    </rPh>
    <rPh sb="16" eb="20">
      <t>タンタイコウゲキ</t>
    </rPh>
    <phoneticPr fontId="5"/>
  </si>
  <si>
    <t>青パネルプロテクト(最大2個)+2回連続攻撃</t>
    <rPh sb="0" eb="1">
      <t>アオパネル</t>
    </rPh>
    <phoneticPr fontId="5"/>
  </si>
  <si>
    <t>正義ですか…くすっ
…そんなに怖い顔しないでよ</t>
    <rPh sb="0" eb="2">
      <t>セイg</t>
    </rPh>
    <rPh sb="15" eb="16">
      <t>コワ</t>
    </rPh>
    <rPh sb="17" eb="18">
      <t>カ</t>
    </rPh>
    <phoneticPr fontId="5"/>
  </si>
  <si>
    <t>ギッ…極限流最強は誰か…
そろそろハッキリさそやないか…！！</t>
    <rPh sb="3" eb="6">
      <t>キョk</t>
    </rPh>
    <rPh sb="6" eb="8">
      <t>サイキョ</t>
    </rPh>
    <rPh sb="9" eb="10">
      <t>ダr</t>
    </rPh>
    <phoneticPr fontId="5"/>
  </si>
  <si>
    <t>その炎は…！
この痛み、この記憶は…？</t>
    <rPh sb="2" eb="3">
      <t>ホノ</t>
    </rPh>
    <rPh sb="9" eb="10">
      <t>イタm</t>
    </rPh>
    <rPh sb="14" eb="16">
      <t>キオk</t>
    </rPh>
    <phoneticPr fontId="5"/>
  </si>
  <si>
    <t>わぁ すごい格好ですね
シェルミーならなんていうかなぁ</t>
    <rPh sb="6" eb="8">
      <t>カッコ</t>
    </rPh>
    <phoneticPr fontId="5"/>
  </si>
  <si>
    <t>こんにちは それで…
あなたも格闘家のつもりなの？</t>
    <rPh sb="15" eb="18">
      <t>カk</t>
    </rPh>
    <phoneticPr fontId="5"/>
  </si>
  <si>
    <t>ねぇ あなたたちは…
社とシェルミー、知りませんか？</t>
    <rPh sb="19" eb="20">
      <t>シリマs</t>
    </rPh>
    <phoneticPr fontId="5"/>
  </si>
  <si>
    <t>キャラごとのその他分</t>
    <rPh sb="9" eb="10">
      <t>ブn</t>
    </rPh>
    <phoneticPr fontId="5"/>
  </si>
  <si>
    <t>ああ、ひかりが…</t>
    <phoneticPr fontId="5"/>
  </si>
  <si>
    <t>ああ、また僕は…</t>
    <rPh sb="5" eb="6">
      <t>ボk</t>
    </rPh>
    <phoneticPr fontId="5"/>
  </si>
  <si>
    <t>赤パネルプロテクト(最大4個)+単体攻撃</t>
    <rPh sb="0" eb="1">
      <t>アカパネル</t>
    </rPh>
    <rPh sb="16" eb="20">
      <t>タンタイコウゲキ</t>
    </rPh>
    <phoneticPr fontId="5"/>
  </si>
  <si>
    <t>属性パネルプロテクト(最大4個)+単体攻撃</t>
    <phoneticPr fontId="5"/>
  </si>
  <si>
    <t>属性パネルプロテクト(最大3個)+単体攻撃</t>
    <rPh sb="0" eb="2">
      <t>ゾクセイパネルヲ</t>
    </rPh>
    <rPh sb="11" eb="13">
      <t>サイダイ</t>
    </rPh>
    <rPh sb="14" eb="15">
      <t>コ</t>
    </rPh>
    <rPh sb="19" eb="21">
      <t>コウゲキ</t>
    </rPh>
    <phoneticPr fontId="5"/>
  </si>
  <si>
    <t>そぉーれ！</t>
    <phoneticPr fontId="5"/>
  </si>
  <si>
    <t>old</t>
    <phoneticPr fontId="7"/>
  </si>
  <si>
    <t>過去の残影</t>
    <rPh sb="0" eb="2">
      <t>カk</t>
    </rPh>
    <rPh sb="3" eb="5">
      <t>ザンエ</t>
    </rPh>
    <phoneticPr fontId="5"/>
  </si>
  <si>
    <t>complete</t>
    <phoneticPr fontId="5"/>
  </si>
  <si>
    <t>20*5、64以下</t>
    <rPh sb="7" eb="9">
      <t>イk</t>
    </rPh>
    <phoneticPr fontId="5"/>
  </si>
  <si>
    <t>草薙京は赤パネルのドロップ率UPの後
強力な吸収攻撃を放ちます
ドロップ率を下げるスキルを使うことで
大ダメージを避けられます</t>
    <rPh sb="0" eb="2">
      <t>クサナg</t>
    </rPh>
    <rPh sb="4" eb="5">
      <t>アk</t>
    </rPh>
    <rPh sb="17" eb="18">
      <t>アt</t>
    </rPh>
    <rPh sb="19" eb="26">
      <t>キュウシュ</t>
    </rPh>
    <rPh sb="27" eb="28">
      <t>ハナt</t>
    </rPh>
    <rPh sb="38" eb="39">
      <t>サg</t>
    </rPh>
    <rPh sb="45" eb="46">
      <t>ツカウk</t>
    </rPh>
    <rPh sb="51" eb="52">
      <t>ダイ</t>
    </rPh>
    <rPh sb="57" eb="58">
      <t>サk</t>
    </rPh>
    <phoneticPr fontId="5"/>
  </si>
  <si>
    <t>クリスの2ゲージ目以降は赤と青のパネルが
プロテクトされた状態でドロップします
どう対策しながら戦うかが重要です</t>
    <rPh sb="9" eb="11">
      <t>イコ</t>
    </rPh>
    <rPh sb="12" eb="15">
      <t>アカア</t>
    </rPh>
    <rPh sb="29" eb="31">
      <t>ジョウタ</t>
    </rPh>
    <rPh sb="42" eb="44">
      <t>タイサk</t>
    </rPh>
    <rPh sb="48" eb="49">
      <t>タタカ</t>
    </rPh>
    <rPh sb="52" eb="54">
      <t>ジュ</t>
    </rPh>
    <phoneticPr fontId="5"/>
  </si>
  <si>
    <t>ロバートは属性パネルをプロテクトする
スキルを使用します
対処できるスキルやアビリティを用意して
挑むと有利に戦えます</t>
    <rPh sb="5" eb="7">
      <t>ゾクセ</t>
    </rPh>
    <rPh sb="23" eb="25">
      <t>シヨ</t>
    </rPh>
    <rPh sb="29" eb="31">
      <t>タイsy</t>
    </rPh>
    <rPh sb="44" eb="46">
      <t>ヨウ</t>
    </rPh>
    <rPh sb="49" eb="50">
      <t>イドm</t>
    </rPh>
    <rPh sb="52" eb="54">
      <t>ユウr</t>
    </rPh>
    <rPh sb="55" eb="56">
      <t>タタカ</t>
    </rPh>
    <phoneticPr fontId="5"/>
  </si>
  <si>
    <t>クリスの3ゲージ目はHPを一気に減らす
必殺技を使用します
ピンチに備えて回復手段を確保しながら
戦いましょう</t>
    <rPh sb="8" eb="9">
      <t>メ</t>
    </rPh>
    <rPh sb="13" eb="15">
      <t>イッk</t>
    </rPh>
    <rPh sb="16" eb="17">
      <t>ヘラs</t>
    </rPh>
    <rPh sb="20" eb="23">
      <t>ヒッサt</t>
    </rPh>
    <rPh sb="24" eb="26">
      <t>シヨ</t>
    </rPh>
    <rPh sb="34" eb="35">
      <t>ソナ</t>
    </rPh>
    <rPh sb="37" eb="39">
      <t>カイフk</t>
    </rPh>
    <rPh sb="39" eb="41">
      <t>シュダn</t>
    </rPh>
    <rPh sb="42" eb="44">
      <t>カクh</t>
    </rPh>
    <rPh sb="49" eb="50">
      <t>タタカ</t>
    </rPh>
    <phoneticPr fontId="5"/>
  </si>
  <si>
    <t>狂気の元凶</t>
    <rPh sb="0" eb="2">
      <t>キョ</t>
    </rPh>
    <rPh sb="3" eb="5">
      <t>ゲンキョ</t>
    </rPh>
    <phoneticPr fontId="5"/>
  </si>
  <si>
    <t>クリスの足跡は凶暴化した格闘家を
辿る様に残されていました
進むにつれ狂気とオロチの瘴気は強まり
深奥にある脅威を伝えています</t>
    <rPh sb="35" eb="37">
      <t>キョ</t>
    </rPh>
    <rPh sb="42" eb="44">
      <t>ショウk</t>
    </rPh>
    <phoneticPr fontId="5"/>
  </si>
  <si>
    <t>クリスは各ゲージごとに
HPが一定値まで減るとそれぞれ
強力なスキルを使用します
個々の性質を見極め戦い方を選びましょう</t>
    <rPh sb="15" eb="18">
      <t>イッテイ</t>
    </rPh>
    <rPh sb="20" eb="21">
      <t>ヘr</t>
    </rPh>
    <rPh sb="28" eb="30">
      <t>キョウリョk</t>
    </rPh>
    <rPh sb="35" eb="37">
      <t>シヨ</t>
    </rPh>
    <rPh sb="41" eb="42">
      <t>ココノ</t>
    </rPh>
    <rPh sb="44" eb="46">
      <t>セイシt</t>
    </rPh>
    <rPh sb="47" eb="49">
      <t>ミキワm</t>
    </rPh>
    <rPh sb="50" eb="51">
      <t>タタカ</t>
    </rPh>
    <rPh sb="54" eb="55">
      <t>エラb</t>
    </rPh>
    <phoneticPr fontId="5"/>
  </si>
  <si>
    <t>赤&amp;青&amp;ボムパネルを吸収して攻撃</t>
    <rPh sb="0" eb="1">
      <t>アカ</t>
    </rPh>
    <rPh sb="2" eb="3">
      <t>アオ</t>
    </rPh>
    <rPh sb="10" eb="12">
      <t>キュウシュウシテコウゲキ</t>
    </rPh>
    <phoneticPr fontId="5"/>
  </si>
  <si>
    <t>赤&amp;青&amp;ボムパネルを吸収して回復+
全ユニットに1ターンスキルバインド</t>
    <rPh sb="0" eb="1">
      <t>アカ</t>
    </rPh>
    <rPh sb="2" eb="3">
      <t>アオ</t>
    </rPh>
    <rPh sb="10" eb="12">
      <t>キュウシュウシテコウゲキ</t>
    </rPh>
    <rPh sb="14" eb="16">
      <t>カイフク</t>
    </rPh>
    <rPh sb="18" eb="19">
      <t>ゼンユニット</t>
    </rPh>
    <phoneticPr fontId="5"/>
  </si>
  <si>
    <t>フィーバーゲージ減少+
6ターン赤&amp;青パネルドロップ率UP</t>
    <rPh sb="8" eb="10">
      <t>ゲンショ</t>
    </rPh>
    <rPh sb="16" eb="17">
      <t>アカ</t>
    </rPh>
    <rPh sb="18" eb="19">
      <t>ア</t>
    </rPh>
    <rPh sb="26" eb="27">
      <t>リt</t>
    </rPh>
    <phoneticPr fontId="5"/>
  </si>
  <si>
    <t>超高確率で赤&amp;青パネルがボムパネルとしてドロップ+
赤&amp;青&amp;ボムパネルはプロテクトされてドロップ</t>
    <rPh sb="0" eb="4">
      <t>チョウコ</t>
    </rPh>
    <rPh sb="5" eb="6">
      <t>アk</t>
    </rPh>
    <rPh sb="7" eb="8">
      <t>ア</t>
    </rPh>
    <phoneticPr fontId="5"/>
  </si>
  <si>
    <t>ロバート開幕リョウに変更</t>
    <rPh sb="4" eb="6">
      <t>カ</t>
    </rPh>
    <rPh sb="10" eb="12">
      <t>ヘンコ</t>
    </rPh>
    <phoneticPr fontId="5"/>
  </si>
  <si>
    <t>『全てを終わらせてやる…
俺のいらだちも、貴様の命もだ！！』</t>
    <rPh sb="1" eb="2">
      <t>スベテw</t>
    </rPh>
    <rPh sb="4" eb="5">
      <t>オワラs</t>
    </rPh>
    <rPh sb="13" eb="14">
      <t>オr</t>
    </rPh>
    <rPh sb="21" eb="23">
      <t>キサm</t>
    </rPh>
    <rPh sb="24" eb="25">
      <t>イノt</t>
    </rPh>
    <phoneticPr fontId="5"/>
  </si>
  <si>
    <t>超高確率で赤&amp;青パネルがボムパネルとしてドロップ+
赤&amp;青&amp;ボムパネルは確率でプロテクトされてドロップ</t>
    <rPh sb="0" eb="4">
      <t>チョウコ</t>
    </rPh>
    <rPh sb="5" eb="6">
      <t>アk</t>
    </rPh>
    <rPh sb="7" eb="8">
      <t>ア</t>
    </rPh>
    <rPh sb="36" eb="38">
      <t>カクr</t>
    </rPh>
    <phoneticPr fontId="5"/>
  </si>
  <si>
    <t>回復タイプのユニットの
スキルターンを4ターン短縮</t>
    <rPh sb="0" eb="2">
      <t>カイフク</t>
    </rPh>
    <rPh sb="23" eb="25">
      <t>タンシュk</t>
    </rPh>
    <phoneticPr fontId="5"/>
  </si>
  <si>
    <t>5ターン赤パネルドロップ率UP+
テクニカルタイプのユニットの
スキルターンを4ターン短縮</t>
    <rPh sb="4" eb="5">
      <t>アカパネル</t>
    </rPh>
    <rPh sb="12" eb="13">
      <t>リツ</t>
    </rPh>
    <rPh sb="43" eb="45">
      <t>タンシュk</t>
    </rPh>
    <phoneticPr fontId="5"/>
  </si>
  <si>
    <t>やだなぁ 強そう…
相手なら社にしてもらってよ</t>
    <phoneticPr fontId="5"/>
  </si>
  <si>
    <t>遠慮なく行きます！</t>
    <phoneticPr fontId="5"/>
  </si>
  <si>
    <t>本気出しますね！</t>
    <phoneticPr fontId="5"/>
  </si>
  <si>
    <t>あなたの炎…
なんだか気に入らないな</t>
    <phoneticPr fontId="5"/>
  </si>
  <si>
    <t>さぁ、焼き尽くそうね</t>
    <phoneticPr fontId="5"/>
  </si>
  <si>
    <t>炎ォ！</t>
    <phoneticPr fontId="5"/>
  </si>
  <si>
    <t>はい、死んでください！</t>
    <phoneticPr fontId="5"/>
  </si>
  <si>
    <t>[effect:enemy_message, val1:2.8, val2:0.0],[effect:fix_speed, target:myself, turn:2]</t>
  </si>
  <si>
    <t>[effect:enemy_message, val1:2.3, val2:0.0],[effect:fix_speed, target:myself, turn:2]</t>
  </si>
  <si>
    <t>[effect:enemy_message, val1:2.6, val2:0.0],[effect:fix_speed, target:myself, turn:2]</t>
  </si>
  <si>
    <t>[effect:enemy_message, val1:1.2, val2:1.2],[effect:rush, count:2, val:0.6]</t>
  </si>
  <si>
    <t>[effect:enemy_message, val1:1.2, val2:2.1],[effect:panel_freeze, target:block_all, count:5],[effect:rush, count:1, val:0.8]</t>
  </si>
  <si>
    <t>[effect:enemy_message, val1:1.6, val2:0.0],[effect:fix_speed, target:myself, turn:2]</t>
  </si>
  <si>
    <t>[effect:enemy_message, val1:1.5, val2:2.4],[effect:sp_boost, target:unit_heal, val:4, animation:sp_boost_one02],[effect:fix_speed, target:myself, turn:2]</t>
  </si>
  <si>
    <t>[effect:enemy_message, val1:2.9, val2:2.4],[effect:sp_boost, target:unit_heal, val:4, animation:sp_boost_one02],[effect:fix_speed, target:myself, turn:2]</t>
  </si>
  <si>
    <t>[effect:enemy_message, val1:2.0, val2:2.4],[effect:sp_boost, target:unit_heal, val:4, animation:sp_boost_one02],[effect:fix_speed, target:myself, turn:2]</t>
  </si>
  <si>
    <t>[effect:enemy_message, val1:1.2, val2:1.2],[effect:rush, count:4, val:0.35]</t>
  </si>
  <si>
    <t>[effect:enemy_message, val1:1.2, val2:2.1],[effect:panel_freeze, target:block_all, count:7],[effect:rush, count:1, val:0.8]</t>
  </si>
  <si>
    <t>[effect:enemy_message, val1:1.2, val2:1.2],[effect:freq_turn, target:myself, turn:-1, val:1, animation:enemy_freq_turn]</t>
  </si>
  <si>
    <t>[effect:enemy_message, val1:2.2, val2:2.0],[effect:change_range_block, block_change:1, base_type:0, square_count:5, position01:1, position02:3, value_h01:5, value_h02:5, value_w01:1, value_w02:1, new_block:block_blue, target:block_all, ignore01:block_positive, count:0, val:0, animation:change_range_block],[effect:rush, count:6, val:0.5]</t>
  </si>
  <si>
    <t>[effect:enemy_message, val1:1.2, val2:0.0]</t>
  </si>
  <si>
    <t>[effect:enemy_message, val1:1.9, val2:0.0]</t>
  </si>
  <si>
    <t>[effect:enemy_message, val1:2.5, val2:0.0]</t>
  </si>
  <si>
    <t>[effect:enemy_message, val1:1.2, val2:1.3],[effect:fix_speed, target:myself, turn:2]</t>
  </si>
  <si>
    <t>[effect:enemy_message, val1:1.2, val2:1.4],[effect:panel_freeze, target:block_red, count:-1],[effect:rush, count:1, val:0.8]</t>
  </si>
  <si>
    <t>[effect:enemy_message, val1:1.2, val2:1.2],[effect:critical, val:1.5, animation:enemy_critical]</t>
  </si>
  <si>
    <t>[effect:enemy_message, val1:1.2, val2:1.7]</t>
  </si>
  <si>
    <t>[effect:enemy_message, val1:1.2, val2:1.2],[effect:break_attack_fix, target:unit_one, val:500, lowest_val:2000, count:-1, color:red, block01:block_red]</t>
  </si>
  <si>
    <t>[effect:enemy_message, val1:2.3, val2:1.5],[effect:change_panel_ratio, turn:5, block_type:red, val:0.6, animation:block_incidence04],[effect:fix_speed, target:myself, turn:1]</t>
  </si>
  <si>
    <t>[effect:enemy_message, val1:2.0, val2:4.3],[effect:change_panel_ratio, turn:5, block_type:red, val:0.4, animation:block_incidence04],[effect:sp_boost, target:unit_technical, val:4, animation:sp_boost_one02],[effect:fix_speed, target:myself, turn:1]</t>
  </si>
  <si>
    <t>[effect:enemy_message, val1:1.2, val2:1.2],[effect:change_panel_ratio, turn:5, block_type:red, val:0.4, animation:block_incidence04],[effect:sp_boost, target:unit_technical, val:4, animation:sp_boost_one02],[effect:fix_speed, target:myself, turn:1]</t>
  </si>
  <si>
    <t>[effect:enemy_message, val1:1.2, val2:1.2],[effect:break_attack_fix, target:unit_one, val:300, lowest_val:2000, count:-1, color:red, block01:block_red]</t>
  </si>
  <si>
    <t>[effect:enemy_message, val1:1.2, val2:1.8],[effect:break_enchance_enemy, target:myself, val:0.05, lowest_val:0.01, count:-1, status:attack, turn:1, block01:block_red, calc:mul, animation:enemy_enhance_attack]</t>
  </si>
  <si>
    <t>[effect:enemy_message, val1:1.4, val2:2.1],[effect:critical, val:1.5, animation:enemy_critical],[effect:change_range_block, block_change:1, base_type:0, square_count:5, position01:5, value_h01:3, value_w01:5, new_block:block_red,target:block_all, ignore01:block_positive, count:0, val:0, animation:change_range_block]</t>
  </si>
  <si>
    <t>[effect:enemy_message, val1:2.1, val2:0.0]</t>
  </si>
  <si>
    <t>[effect:enemy_message, val1:1.2, val2:2.9]</t>
  </si>
  <si>
    <t>[effect:enemy_message, val1:1.2, val2:1.2],[effect:rush, count:5, val:0.25]</t>
  </si>
  <si>
    <t>[effect:enemy_message, val1:1.2, val2:1.6],[effect:panel_freeze, target:block_blue, count:-1],[effect:rush, count:2, val:0.4]</t>
  </si>
  <si>
    <t>[effect:enemy_message, val1:1.2, val2:1.2],[effect:break_attack, target:unit_one, val:0.05, lowest_val:4000, count:-1, color:red, block01:block_blue]</t>
  </si>
  <si>
    <t>[effect:enemy_message, val1:1.2, val2:1.3]</t>
  </si>
  <si>
    <t>[effect:enemy_message, val1:1.2, val2:1.2],[effect:rush, count:10, val:0.17]</t>
  </si>
  <si>
    <t>[effect:enemy_message, val1:1.2, val2:3.1],[effect:remove_enhancement, target:unit_all, target_effect:enhance, status:defense, animation:frozen_wave],[effect:remove_enhancement, target:unit_all, target_effect:reduction],[effect:remove_enhancement, target:unit_all, target_effect:counter_new],[effect:critical, val:1.5, animation:enemy_critical]</t>
  </si>
  <si>
    <t>[effect:enemy_message, val1:1.2, val2:3.0],[effect:force_change_block, new_block:block_red, target:block_green, count:5, val:0, animation:change_block],[effect:force_change_block, new_block:block_blue, target:block_yellow, count:5, val:0, animation:change_block],[effect:rush, count:4, val:0.25]</t>
  </si>
  <si>
    <t>[effect:enemy_message, val1:1.2, val2:1.6],[effect:break_attack_fix, target:unit_one, val:200, lowest_val:2000, count:-1, color:red, block01:block_red, block02:block_blue, block03:crack_bomb]</t>
  </si>
  <si>
    <t>[effect:enemy_message, val1:1.2, val2:3.4],[effect:break_heal_ratio, target:myself, val:0.02, lowest_val:0, count:-1, block01:block_blue, block02:block_red, block03:crack_bomb, animation:enemy_heal],[effect:hungup, target:unit_all, turn:1, rate:1, animation:hungup01]</t>
  </si>
  <si>
    <t>[effect:enemy_message, val1:1.2, val2:2.8],[effect:degrade_fever, val:1000, animation:fevergauge_down],[effect:fix_speed, target:myself, turn:1],[effect:change_panel_ratio, turn:6, block_type:red, val:0.4, animation:block_incidence04],[effect:change_panel_ratio, turn:6, block_type:blue, val:0.4]</t>
  </si>
  <si>
    <t>[effect:enemy_message, val1:1.2, val2:3.0],[effect:remove_enhancement, target:unit_all, target_effect:enhance, status:defense, animation:frozen_wave],[effect:remove_enhancement, target:unit_all, target_effect:reduction],[effect:remove_enhancement, target:unit_all, target_effect:counter_new],[effect:rush, count:2, val:0.7]</t>
  </si>
  <si>
    <t>[effect:enemy_message, val1:1.2, val2:1.2],[effect:damage_gravity, val:0.7, animation:fevergauge_down]</t>
  </si>
  <si>
    <t>[effect:enemy_message, val1:1.2, val2:1.2]</t>
  </si>
  <si>
    <t>[effect:enemy_message, val1:1.2, val2:4.0],[effect:critical, val:1.5, animation:enemy_critical],[effect:force_change_block, new_block:block_red, target:block_all, ignore01:block_positive, count:0, val:0, animation:change_block],[effect:change_range_block, block_change:1, base_type:0, square_count:3, position01:3, value_h01:1, value_w01:5, new_block:block_blue,target:block_all, ignore01:block_positive, count:0, val:0, animation:change_range_block],[effect:change_range_block, block_change:1, base_type:1, square_count:7, position01:22, value_rad01:1, value_h01:1, value_w01:1, new_block:color_break, target:block_all, color:block_blue, count:1, val:0,  animation:change_range_block],[effect:change_range_block, block_change:1, base_type:1, square_count:7, position01:26, value_rad01:1, value_h01:1, value_w01:1, new_block:color_break, target:block_all, color:block_red, count:1, val:0, animation:change_range_block]</t>
  </si>
  <si>
    <t>[effect:enemy_message, val1:1.2, val2:2.1],[effect:panel_freeze, target:block_all, count:3],[effect:rush, count:1, val:0.8]</t>
  </si>
  <si>
    <t>[effect:enemy_message, val1:1.2, val2:2.0],[effect:panel_freeze, target:block_red, count:3],[effect:rush, count:1, val:0.8]</t>
  </si>
  <si>
    <t>[effect:enemy_message, val1:1.2, val2:1.2],[effect:break_attack_fix, target:unit_one, val:400, lowest_val:1800, count:-1, color:red, block01:block_red]</t>
  </si>
  <si>
    <t>[effect:enemy_message, val1:1.2, val2:1.2],[effect:break_attack_fix, target:unit_one, val:300, lowest_val:1200, count:-1, color:red, block01:block_red]</t>
  </si>
  <si>
    <t>[effect:enemy_message, val1:1.2, val2:1.2],[effect:break_attack_fix, target:unit_one, val:300, lowest_val:1600, count:-1, color:red, block01:block_blue]</t>
  </si>
  <si>
    <t>[effect:enemy_message, val1:1.2, val2:1.6],[effect:break_attack_fix, target:unit_one, val:150, lowest_val:1000, count:-1, color:red, block01:block_red, block02:block_blue, block03:crack_bomb]</t>
  </si>
  <si>
    <t>[effect:enemy_message, val1:1.7, val2:0.0]</t>
    <phoneticPr fontId="5"/>
  </si>
  <si>
    <t>行動頻度UP</t>
    <rPh sb="0" eb="2">
      <t>コウド</t>
    </rPh>
    <rPh sb="2" eb="4">
      <t>コウゲキヒンド</t>
    </rPh>
    <phoneticPr fontId="5"/>
  </si>
  <si>
    <t>解除するまで全属性の攻撃をカウンター+
攻撃タイプのユニットの
スキルターンを4ターン短縮</t>
    <rPh sb="0" eb="2">
      <t>カイジョスルマデ</t>
    </rPh>
    <rPh sb="6" eb="9">
      <t>ゼn</t>
    </rPh>
    <rPh sb="20" eb="22">
      <t>コウゲk</t>
    </rPh>
    <rPh sb="43" eb="45">
      <t>タンシュk</t>
    </rPh>
    <phoneticPr fontId="5"/>
  </si>
  <si>
    <t>解除するまで全属性の攻撃をカウンター</t>
    <rPh sb="0" eb="2">
      <t>カイジョスルマデ</t>
    </rPh>
    <rPh sb="6" eb="7">
      <t>ゼンユニットノコウゲキ</t>
    </rPh>
    <rPh sb="7" eb="9">
      <t>ゾk</t>
    </rPh>
    <phoneticPr fontId="5"/>
  </si>
  <si>
    <t>[effect:enemy_message, val1:1.8, val2:1.8],[effect:enemy_counter, target:enemy_one, invoke_condition:unit_all, counter_target:attacker, turn:-1, val:0.1, animation:enemy_counter],[effect:fix_speed, target:myself, turn:1]</t>
    <phoneticPr fontId="5"/>
  </si>
  <si>
    <t>[effect:enemy_message, val1:2.5, val2:4.3],[effect:enemy_counter, target:enemy_one, invoke_condition:unit_all, counter_target:attacker, turn:-1, val:0.1, animation:enemy_counter],[effect:sp_boost, target:unit_attack, val:4, animation:sp_boost_one02],[effect:fix_speed, target:myself, turn:1]</t>
    <phoneticPr fontId="5"/>
  </si>
  <si>
    <t>[effect:enemy_message, val1:1.8, val2:4.3],[effect:enemy_counter, target:enemy_one, invoke_condition:unit_all, counter_target:attacker, turn:-1, val:0.1, animation:enemy_counter],[effect:sp_boost, target:unit_attack, val:4, animation:sp_boost_one02],[effect:fix_speed, target:myself, turn:1]</t>
    <phoneticPr fontId="5"/>
  </si>
  <si>
    <t>[effect:enemy_message, val1:2.6, val2:4.3],[effect:enemy_counter, target:enemy_one, invoke_condition:unit_all, counter_target:attacker, turn:-1, val:0.1, animation:enemy_counter],[effect:sp_boost, target:unit_attack, val:4, animation:sp_boost_one02],[effect:fix_speed, target:myself, turn:1]</t>
    <phoneticPr fontId="5"/>
  </si>
  <si>
    <t>[effect:enemy_message, val1:2.2, val2:4.3],[effect:enemy_counter, target:enemy_one, invoke_condition:unit_all, counter_target:attacker, turn:-1, val:0.1, animation:enemy_counter],[effect:sp_boost, target:unit_attack, val:4, animation:sp_boost_one02],[effect:fix_speed, target:myself, turn:1]</t>
    <phoneticPr fontId="5"/>
  </si>
  <si>
    <t>[effect:enemy_message, val1:2.4, val2:4.3],[effect:enemy_counter, target:enemy_one, invoke_condition:unit_all, counter_target:attacker, turn:-1, val:0.1, animation:enemy_counter],[effect:sp_boost, target:unit_attack, val:4, animation:sp_boost_one02],[effect:fix_speed, target:myself, turn:1]</t>
    <phoneticPr fontId="5"/>
  </si>
  <si>
    <t>[effect:enemy_message, val1:1.7, val2:4.3],[effect:enemy_counter, target:enemy_one, invoke_condition:unit_all, counter_target:attacker, turn:-1, val:0.1, animation:enemy_counter],[effect:sp_boost, target:unit_attack, val:4, animation:sp_boost_one02],[effect:fix_speed, target:myself, turn:1]</t>
    <phoneticPr fontId="5"/>
  </si>
  <si>
    <t>ガ…飛燕龍神脚！</t>
    <rPh sb="4" eb="5">
      <t>リュ</t>
    </rPh>
    <rPh sb="5" eb="6">
      <t>ジン</t>
    </rPh>
    <rPh sb="6" eb="7">
      <t>キャk</t>
    </rPh>
    <phoneticPr fontId="5"/>
  </si>
  <si>
    <t>ボディが、お留守だぜっ！</t>
    <phoneticPr fontId="5"/>
  </si>
  <si>
    <t>ボディが、甘ぇぜ！</t>
    <rPh sb="5" eb="6">
      <t>アマ</t>
    </rPh>
    <phoneticPr fontId="5"/>
  </si>
  <si>
    <t>喰らいやがれぇっ！！</t>
    <rPh sb="0" eb="1">
      <t>クウ</t>
    </rPh>
    <phoneticPr fontId="5"/>
  </si>
  <si>
    <t>ボディが、ガラ空きだぜっ！</t>
    <phoneticPr fontId="5"/>
  </si>
  <si>
    <t>僕達の使命…
精神力を、あつめないと</t>
    <rPh sb="0" eb="1">
      <t>ボk</t>
    </rPh>
    <rPh sb="3" eb="5">
      <t>シメ</t>
    </rPh>
    <rPh sb="7" eb="9">
      <t>セイシn</t>
    </rPh>
    <rPh sb="9" eb="10">
      <t>チカr</t>
    </rPh>
    <phoneticPr fontId="5"/>
  </si>
  <si>
    <t>ガ…飛燕龍神脚！</t>
    <rPh sb="2" eb="4">
      <t>ヒエn</t>
    </rPh>
    <rPh sb="4" eb="5">
      <t>リュ</t>
    </rPh>
    <rPh sb="5" eb="6">
      <t>ジン</t>
    </rPh>
    <rPh sb="6" eb="7">
      <t>キャk</t>
    </rPh>
    <phoneticPr fontId="5"/>
  </si>
  <si>
    <t>喰らいやがれぇっ！！</t>
    <rPh sb="0" eb="1">
      <t>ク</t>
    </rPh>
    <phoneticPr fontId="5"/>
  </si>
  <si>
    <t>[effect:enemy_message, val1:1.2, val2:2.1],[effect:panel_freeze, target:block_all, count:4],[effect:rush, count:1, val:0.8]</t>
    <phoneticPr fontId="5"/>
  </si>
  <si>
    <t>[effect:enemy_message, val1:1.3, val2:2.0],[effect:panel_freeze, target:block_red, count:4],[effect:rush, count:1, val:0.8]</t>
    <phoneticPr fontId="5"/>
  </si>
  <si>
    <t>[effect:enemy_message, val1:1.3, val2:1.4],[effect:panel_freeze, target:block_red, count:-1],[effect:rush, count:1, val:0.8]</t>
    <phoneticPr fontId="5"/>
  </si>
  <si>
    <t>クリスは転生を繰り返して
自身の力を高めていますが
その能力は謎に包まれています</t>
    <phoneticPr fontId="5"/>
  </si>
  <si>
    <t>クリスはかつてオロチ復活を目論み
精神力を集めていました
今はたった独りで
何を求めているのでしょうか</t>
    <phoneticPr fontId="5"/>
  </si>
  <si>
    <t>クリスの転生</t>
    <rPh sb="4" eb="6">
      <t>テンセ</t>
    </rPh>
    <phoneticPr fontId="5"/>
  </si>
  <si>
    <t>[effect:enemy_message, val1:1.2, val2:2.2],[effect:panel_freeze, target:block_blue, count:2],[effect:rush, count:2, val:0.4]</t>
    <phoneticPr fontId="5"/>
  </si>
  <si>
    <t>[effect:enemy_message, val1:1.2, val2:2.8],[effect:remove_enhancement, target:unit_all, target_effect:enhance, status:defense, animation:frozen_wave],[effect:remove_enhancement, target:unit_all, target_effect:reduction],[effect:remove_enhancement, target:unit_all, target_effect:counter_new],[effect:rush, count:1, val:0.8]</t>
    <phoneticPr fontId="5"/>
  </si>
  <si>
    <t>そぉーれ！</t>
    <phoneticPr fontId="5"/>
  </si>
  <si>
    <t>ダメージ軽減&amp;防御力UP&amp;カウンター状態を解除+
単体攻撃</t>
    <rPh sb="4" eb="6">
      <t>ケイゲン</t>
    </rPh>
    <rPh sb="7" eb="10">
      <t>ボウギョリョク</t>
    </rPh>
    <rPh sb="18" eb="20">
      <t>ジョウタイ</t>
    </rPh>
    <rPh sb="21" eb="23">
      <t>カイジョ</t>
    </rPh>
    <rPh sb="25" eb="29">
      <t>タンタ</t>
    </rPh>
    <phoneticPr fontId="5"/>
  </si>
  <si>
    <t>緑パネルを赤パネルに5個変換+
黄パネルを青パネルに5個変換+
4回連続攻撃</t>
    <rPh sb="28" eb="30">
      <t>ヘンカン</t>
    </rPh>
    <rPh sb="33" eb="34">
      <t>カイ</t>
    </rPh>
    <phoneticPr fontId="5"/>
  </si>
  <si>
    <t>赤パネルを吸収して攻撃</t>
    <rPh sb="0" eb="1">
      <t>アカパネル</t>
    </rPh>
    <rPh sb="5" eb="11">
      <t>キュウシュウコウゲキ</t>
    </rPh>
    <phoneticPr fontId="5"/>
  </si>
  <si>
    <t>青パネルを吸収して攻撃</t>
    <rPh sb="0" eb="1">
      <t>アオパネル</t>
    </rPh>
    <rPh sb="5" eb="11">
      <t>キュウシュウコウゲキ</t>
    </rPh>
    <phoneticPr fontId="5"/>
  </si>
  <si>
    <t>残りHPの70%ダメージ！</t>
    <rPh sb="0" eb="1">
      <t>ノコリ</t>
    </rPh>
    <phoneticPr fontId="5"/>
  </si>
  <si>
    <t>full_member</t>
    <phoneticPr fontId="5"/>
  </si>
  <si>
    <t>bit</t>
    <phoneticPr fontId="5"/>
  </si>
  <si>
    <t>link</t>
    <phoneticPr fontId="5"/>
  </si>
  <si>
    <t>base_character_id</t>
    <phoneticPr fontId="5"/>
  </si>
  <si>
    <t>base_character_id</t>
    <phoneticPr fontId="5"/>
  </si>
  <si>
    <t>'95 草薙京</t>
  </si>
  <si>
    <t>NULL</t>
  </si>
  <si>
    <t>麻宮アテナ</t>
  </si>
  <si>
    <t>全身全霊をかけた試合、楽しかったです。
ありがとうございました！</t>
  </si>
  <si>
    <t>クリス</t>
  </si>
  <si>
    <t>おしまいですか？ふふっ、つまんないの！</t>
  </si>
  <si>
    <t>キング</t>
  </si>
  <si>
    <t>戦いに性別は関係ない。
最後に立っていた奴が、強者だ！
わかるだろ！</t>
  </si>
  <si>
    <t>神楽ちづる</t>
  </si>
  <si>
    <t>二階堂紅丸</t>
  </si>
  <si>
    <t>いったい何にしびれてる？
電撃か？それとも俺の美貌にかい？</t>
  </si>
  <si>
    <t>不知火舞</t>
  </si>
  <si>
    <t>ナイスバディで最強の格闘家の
私に勝とうなんてやっぱ、無謀って感じぃ！</t>
  </si>
  <si>
    <t>草薙京</t>
  </si>
  <si>
    <t>大門五郎</t>
  </si>
  <si>
    <t>これが答えだ…！</t>
  </si>
  <si>
    <t>リョウ・サカザキ</t>
  </si>
  <si>
    <t>絶対無比の空手！
それが極限流だ！覚えておく事だぜ！</t>
  </si>
  <si>
    <t>ユリ・サカザキ</t>
  </si>
  <si>
    <t>勝負は勝負！
負けたからってスネちゃダメよ！</t>
  </si>
  <si>
    <t>ロバート・ガルシア</t>
  </si>
  <si>
    <t>ワイの力みくびるなんて
まだまだ、ひよっこって事やな！</t>
  </si>
  <si>
    <t>テリー・ボガード</t>
  </si>
  <si>
    <t>甘い夢を見続けるなら、
夢の中だけで十分だぜ！
現実は厳しいって事だ！</t>
  </si>
  <si>
    <t>アンディ・ボガード</t>
  </si>
  <si>
    <t>相手の力量を見誤ると大怪我するよ。
気をつけるんだ！</t>
  </si>
  <si>
    <t>ジョー・東</t>
  </si>
  <si>
    <t>勝利者はいつもこの俺！ジョー東様よ！
そこんとこ勘違いしちゃいけねーぜ！</t>
  </si>
  <si>
    <t>八神庵</t>
  </si>
  <si>
    <t>失せろ！キサマ等にくれてやるのは
痛み、苦しみという名の慈悲だけだ！！！</t>
  </si>
  <si>
    <t>バイス</t>
  </si>
  <si>
    <t>意識が無くなるまでしばらくあるよ。
好きな歌でも口ずさんで待つんだね</t>
  </si>
  <si>
    <t>マチュア</t>
  </si>
  <si>
    <t>おやすみなさい。百万回のごきげんよう…</t>
  </si>
  <si>
    <t>キム・カッファン</t>
  </si>
  <si>
    <t>いい試合でした。
私もつい本気になってしまったようです！
ハッハッハ！！</t>
  </si>
  <si>
    <t>チョイ・ボンゲ</t>
  </si>
  <si>
    <t>ってゆっかー、じぶんらよわすぎぃー、
みたいなぁーでヤンスぅー</t>
  </si>
  <si>
    <t>チャン・コーハン</t>
  </si>
  <si>
    <t>なんでぇ。
もう、オレのオモチャが壊れちまったぜ！！
面白くねえな！</t>
  </si>
  <si>
    <t>山崎竜二</t>
  </si>
  <si>
    <t>いちいちシャクに触る野郎だなぁ！
沈めるぞ！！</t>
  </si>
  <si>
    <t>何が足りねえかわかったろ？
へこんでる暇はないはずだぜ！</t>
    <phoneticPr fontId="5"/>
  </si>
  <si>
    <t>遊びがすぎます。それでは勝つ事はおろか、
私に触れる事も出来ませんね</t>
    <phoneticPr fontId="5"/>
  </si>
  <si>
    <t>俺の炎で燃えつきちまいな！
弱い奴に用はねえぜ！</t>
    <phoneticPr fontId="5"/>
  </si>
  <si>
    <t>[effect:enemy_message, val1:1.2, val2:4.7],[effect:drop_freeze, turn:-1, block_type:normal, block_color:block_blue, rate:1, animation:drop_protect],[effect:drop_freeze, turn:-1, block_type:normal, block_color:block_red, rate:1],[effect:fix_speed, target:myself, turn:1],[effect:drop_freeze, turn:-1, block_type:crack_bomb, rate:1],[effect:drop_block, block_type:crack_bomb, color:block_red, val:12, rate:0.5, turn:-1, animation:bomb_influence04],[effect:drop_block, block_type:crack_bomb, color:block_blue, val:12, rate:0.5, turn:-1],[effect:play_bgm, turn:-1, bgm_path:BGM/BattleBoss9803],[effect:set_background, turn:-1, background_id:999, switching_mode:go_front, duration:2]</t>
    <phoneticPr fontId="5"/>
  </si>
  <si>
    <t>[effect:enemy_message, val1:1.2, val2:5.0],[effect:drop_freeze, turn:-1, block_type:normal, block_color:block_blue, rate:0.3, animation:drop_protect],[effect:drop_freeze, turn:-1, block_type:normal, block_color:block_red, rate:0.3],[effect:fix_speed, target:myself, turn:1],[effect:drop_freeze, turn:-1, block_type:crack_bomb, rate:0.3],[effect:drop_block, block_type:crack_bomb, color:block_red, val:12, rate:0.5, turn:-1, animation:bomb_influence04],[effect:drop_block, block_type:crack_bomb, color:block_blue, val:12, rate:0.5, turn:-1],[effect:play_bgm, turn:-1, bgm_path:BGM/BattleBoss9803],[effect:set_background, turn:-1, background_id:999, switching_mode:go_front, duration:2]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</si>
</sst>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7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b/>
      <sz val="12"/>
      <color theme="1"/>
      <name val="ＭＳ Ｐゴシック"/>
      <family val="2"/>
      <charset val="128"/>
      <scheme val="minor"/>
    </font>
    <font>
      <b/>
      <sz val="12"/>
      <color theme="1"/>
      <name val="ＭＳ ゴシック"/>
      <family val="3"/>
      <charset val="128"/>
    </font>
    <font>
      <sz val="10"/>
      <color rgb="FFFF5379"/>
      <name val="ＭＳ Ｐゴシック"/>
      <family val="3"/>
      <charset val="128"/>
      <scheme val="minor"/>
    </font>
    <font>
      <sz val="14.4"/>
      <color theme="1"/>
      <name val="Arial"/>
    </font>
    <font>
      <b/>
      <sz val="11"/>
      <color indexed="81"/>
      <name val="ＭＳ Ｐゴシック"/>
      <family val="3"/>
      <charset val="128"/>
    </font>
  </fonts>
  <fills count="4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ECF6"/>
        <bgColor indexed="64"/>
      </patternFill>
    </fill>
    <fill>
      <patternFill patternType="solid">
        <fgColor rgb="FFFDFFD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73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7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32" borderId="3" xfId="0" applyFont="1" applyFill="1" applyBorder="1" applyAlignment="1">
      <alignment vertical="center"/>
    </xf>
    <xf numFmtId="0" fontId="6" fillId="13" borderId="3" xfId="0" applyFont="1" applyFill="1" applyBorder="1" applyAlignment="1">
      <alignment vertical="center"/>
    </xf>
    <xf numFmtId="0" fontId="6" fillId="32" borderId="9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/>
    </xf>
    <xf numFmtId="0" fontId="16" fillId="33" borderId="7" xfId="0" applyFont="1" applyFill="1" applyBorder="1" applyAlignment="1">
      <alignment horizontal="left" vertical="center" wrapText="1"/>
    </xf>
    <xf numFmtId="0" fontId="16" fillId="34" borderId="7" xfId="0" applyFont="1" applyFill="1" applyBorder="1" applyAlignment="1">
      <alignment vertical="center"/>
    </xf>
    <xf numFmtId="0" fontId="16" fillId="34" borderId="7" xfId="0" applyFont="1" applyFill="1" applyBorder="1" applyAlignment="1">
      <alignment horizontal="left" vertical="center"/>
    </xf>
    <xf numFmtId="0" fontId="16" fillId="34" borderId="7" xfId="0" applyFont="1" applyFill="1" applyBorder="1" applyAlignment="1">
      <alignment horizontal="left" vertical="center" wrapText="1"/>
    </xf>
    <xf numFmtId="0" fontId="16" fillId="35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horizontal="left" vertical="center"/>
    </xf>
    <xf numFmtId="0" fontId="16" fillId="35" borderId="7" xfId="0" applyFont="1" applyFill="1" applyBorder="1" applyAlignment="1">
      <alignment horizontal="left" vertical="center" wrapText="1"/>
    </xf>
    <xf numFmtId="0" fontId="16" fillId="36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horizontal="left" vertical="center"/>
    </xf>
    <xf numFmtId="0" fontId="16" fillId="36" borderId="7" xfId="0" applyFont="1" applyFill="1" applyBorder="1" applyAlignment="1">
      <alignment horizontal="left" vertical="center" wrapText="1"/>
    </xf>
    <xf numFmtId="0" fontId="16" fillId="37" borderId="7" xfId="0" applyFont="1" applyFill="1" applyBorder="1" applyAlignment="1">
      <alignment vertical="center"/>
    </xf>
    <xf numFmtId="0" fontId="16" fillId="37" borderId="7" xfId="0" applyFont="1" applyFill="1" applyBorder="1" applyAlignment="1">
      <alignment horizontal="left" vertical="center"/>
    </xf>
    <xf numFmtId="0" fontId="16" fillId="37" borderId="7" xfId="0" applyFont="1" applyFill="1" applyBorder="1" applyAlignment="1">
      <alignment horizontal="left" vertical="center" wrapText="1"/>
    </xf>
    <xf numFmtId="0" fontId="16" fillId="38" borderId="7" xfId="0" applyFont="1" applyFill="1" applyBorder="1" applyAlignment="1">
      <alignment vertical="center"/>
    </xf>
    <xf numFmtId="0" fontId="16" fillId="38" borderId="7" xfId="0" applyFont="1" applyFill="1" applyBorder="1" applyAlignment="1">
      <alignment horizontal="left" vertical="center"/>
    </xf>
    <xf numFmtId="0" fontId="16" fillId="38" borderId="7" xfId="0" applyFont="1" applyFill="1" applyBorder="1" applyAlignment="1">
      <alignment horizontal="left" vertical="center" wrapText="1"/>
    </xf>
    <xf numFmtId="0" fontId="16" fillId="39" borderId="7" xfId="0" applyFont="1" applyFill="1" applyBorder="1" applyAlignment="1">
      <alignment vertical="center"/>
    </xf>
    <xf numFmtId="0" fontId="16" fillId="39" borderId="7" xfId="0" applyFont="1" applyFill="1" applyBorder="1" applyAlignment="1">
      <alignment horizontal="left" vertical="center"/>
    </xf>
    <xf numFmtId="0" fontId="16" fillId="39" borderId="7" xfId="0" applyFont="1" applyFill="1" applyBorder="1" applyAlignment="1">
      <alignment horizontal="left" vertical="center" wrapText="1"/>
    </xf>
    <xf numFmtId="0" fontId="16" fillId="40" borderId="7" xfId="0" applyFont="1" applyFill="1" applyBorder="1" applyAlignment="1">
      <alignment vertical="center"/>
    </xf>
    <xf numFmtId="0" fontId="6" fillId="32" borderId="11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23" xfId="0" applyFont="1" applyBorder="1" applyAlignment="1">
      <alignment vertical="center"/>
    </xf>
    <xf numFmtId="177" fontId="8" fillId="0" borderId="23" xfId="0" applyNumberFormat="1" applyFont="1" applyBorder="1" applyAlignment="1">
      <alignment vertical="center"/>
    </xf>
    <xf numFmtId="1" fontId="32" fillId="31" borderId="12" xfId="0" applyNumberFormat="1" applyFont="1" applyFill="1" applyBorder="1" applyAlignment="1">
      <alignment vertical="center"/>
    </xf>
    <xf numFmtId="0" fontId="6" fillId="32" borderId="24" xfId="0" applyFont="1" applyFill="1" applyBorder="1" applyAlignment="1">
      <alignment vertical="center"/>
    </xf>
    <xf numFmtId="0" fontId="12" fillId="7" borderId="25" xfId="0" applyFont="1" applyFill="1" applyBorder="1" applyAlignment="1">
      <alignment vertical="center"/>
    </xf>
    <xf numFmtId="176" fontId="4" fillId="0" borderId="26" xfId="0" applyNumberFormat="1" applyFont="1" applyFill="1" applyBorder="1" applyAlignment="1">
      <alignment horizontal="center" vertical="center"/>
    </xf>
    <xf numFmtId="0" fontId="4" fillId="0" borderId="27" xfId="0" applyFont="1" applyFill="1" applyBorder="1" applyAlignment="1">
      <alignment horizontal="center" vertical="center"/>
    </xf>
    <xf numFmtId="0" fontId="4" fillId="3" borderId="27" xfId="0" applyFont="1" applyFill="1" applyBorder="1" applyAlignment="1">
      <alignment horizontal="center" vertical="center"/>
    </xf>
    <xf numFmtId="0" fontId="6" fillId="5" borderId="26" xfId="0" applyFont="1" applyFill="1" applyBorder="1" applyAlignment="1">
      <alignment vertical="center"/>
    </xf>
    <xf numFmtId="0" fontId="6" fillId="0" borderId="27" xfId="0" applyFont="1" applyFill="1" applyBorder="1" applyAlignment="1">
      <alignment vertical="center"/>
    </xf>
    <xf numFmtId="0" fontId="4" fillId="0" borderId="27" xfId="0" applyFont="1" applyBorder="1" applyAlignment="1">
      <alignment horizontal="center" vertical="center"/>
    </xf>
    <xf numFmtId="0" fontId="6" fillId="5" borderId="28" xfId="0" applyFont="1" applyFill="1" applyBorder="1" applyAlignment="1">
      <alignment vertical="center"/>
    </xf>
    <xf numFmtId="0" fontId="8" fillId="0" borderId="29" xfId="0" applyFont="1" applyBorder="1" applyAlignment="1">
      <alignment vertical="center"/>
    </xf>
    <xf numFmtId="177" fontId="8" fillId="0" borderId="29" xfId="0" applyNumberFormat="1" applyFont="1" applyBorder="1" applyAlignment="1">
      <alignment vertical="center"/>
    </xf>
    <xf numFmtId="1" fontId="32" fillId="31" borderId="27" xfId="0" applyNumberFormat="1" applyFont="1" applyFill="1" applyBorder="1" applyAlignment="1">
      <alignment vertical="center"/>
    </xf>
    <xf numFmtId="0" fontId="6" fillId="32" borderId="26" xfId="0" applyFont="1" applyFill="1" applyBorder="1" applyAlignment="1">
      <alignment vertical="center"/>
    </xf>
    <xf numFmtId="0" fontId="6" fillId="32" borderId="30" xfId="0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6" fillId="32" borderId="28" xfId="0" applyFont="1" applyFill="1" applyBorder="1" applyAlignment="1">
      <alignment vertical="center"/>
    </xf>
    <xf numFmtId="0" fontId="4" fillId="3" borderId="27" xfId="0" applyFont="1" applyFill="1" applyBorder="1" applyAlignment="1">
      <alignment vertical="center"/>
    </xf>
    <xf numFmtId="0" fontId="4" fillId="0" borderId="27" xfId="0" applyFont="1" applyFill="1" applyBorder="1" applyAlignment="1">
      <alignment vertical="center"/>
    </xf>
    <xf numFmtId="0" fontId="4" fillId="0" borderId="33" xfId="0" applyFont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16" fillId="6" borderId="7" xfId="0" applyFont="1" applyFill="1" applyBorder="1" applyAlignment="1">
      <alignment horizontal="center" vertical="center" wrapText="1"/>
    </xf>
    <xf numFmtId="0" fontId="16" fillId="33" borderId="7" xfId="0" applyFont="1" applyFill="1" applyBorder="1" applyAlignment="1">
      <alignment vertical="center" wrapText="1"/>
    </xf>
    <xf numFmtId="0" fontId="16" fillId="34" borderId="7" xfId="0" applyFont="1" applyFill="1" applyBorder="1" applyAlignment="1">
      <alignment vertical="center" wrapText="1"/>
    </xf>
    <xf numFmtId="0" fontId="16" fillId="36" borderId="7" xfId="0" applyFont="1" applyFill="1" applyBorder="1" applyAlignment="1">
      <alignment vertical="center" wrapText="1"/>
    </xf>
    <xf numFmtId="0" fontId="16" fillId="37" borderId="7" xfId="0" applyFont="1" applyFill="1" applyBorder="1" applyAlignment="1">
      <alignment vertical="center" wrapText="1"/>
    </xf>
    <xf numFmtId="0" fontId="16" fillId="35" borderId="7" xfId="0" applyFont="1" applyFill="1" applyBorder="1" applyAlignment="1">
      <alignment vertical="center" wrapText="1"/>
    </xf>
    <xf numFmtId="0" fontId="16" fillId="38" borderId="7" xfId="0" applyFont="1" applyFill="1" applyBorder="1" applyAlignment="1">
      <alignment vertical="center" wrapText="1"/>
    </xf>
    <xf numFmtId="0" fontId="16" fillId="39" borderId="7" xfId="0" applyFont="1" applyFill="1" applyBorder="1" applyAlignment="1">
      <alignment vertical="center" wrapText="1"/>
    </xf>
    <xf numFmtId="0" fontId="16" fillId="0" borderId="0" xfId="0" applyFont="1" applyFill="1" applyAlignment="1">
      <alignment vertical="center" wrapText="1"/>
    </xf>
    <xf numFmtId="0" fontId="16" fillId="41" borderId="7" xfId="0" applyFont="1" applyFill="1" applyBorder="1" applyAlignment="1">
      <alignment horizontal="left" vertical="center" wrapText="1"/>
    </xf>
    <xf numFmtId="0" fontId="16" fillId="42" borderId="7" xfId="0" applyFont="1" applyFill="1" applyBorder="1" applyAlignment="1">
      <alignment vertical="center"/>
    </xf>
    <xf numFmtId="0" fontId="16" fillId="42" borderId="7" xfId="0" applyFont="1" applyFill="1" applyBorder="1" applyAlignment="1">
      <alignment vertical="center" wrapText="1"/>
    </xf>
    <xf numFmtId="0" fontId="16" fillId="42" borderId="7" xfId="0" applyFont="1" applyFill="1" applyBorder="1" applyAlignment="1">
      <alignment horizontal="left" vertical="center"/>
    </xf>
    <xf numFmtId="0" fontId="16" fillId="42" borderId="7" xfId="0" applyFont="1" applyFill="1" applyBorder="1" applyAlignment="1">
      <alignment horizontal="left" vertical="center" wrapText="1"/>
    </xf>
    <xf numFmtId="14" fontId="16" fillId="42" borderId="7" xfId="0" applyNumberFormat="1" applyFont="1" applyFill="1" applyBorder="1" applyAlignment="1">
      <alignment horizontal="left" vertical="center"/>
    </xf>
    <xf numFmtId="0" fontId="16" fillId="43" borderId="7" xfId="0" applyFont="1" applyFill="1" applyBorder="1" applyAlignment="1">
      <alignment vertical="center"/>
    </xf>
    <xf numFmtId="0" fontId="16" fillId="43" borderId="7" xfId="0" applyFont="1" applyFill="1" applyBorder="1" applyAlignment="1">
      <alignment vertical="center" wrapText="1"/>
    </xf>
    <xf numFmtId="0" fontId="16" fillId="43" borderId="7" xfId="0" applyFont="1" applyFill="1" applyBorder="1" applyAlignment="1">
      <alignment horizontal="left" vertical="center"/>
    </xf>
    <xf numFmtId="0" fontId="16" fillId="43" borderId="7" xfId="0" applyFont="1" applyFill="1" applyBorder="1" applyAlignment="1">
      <alignment horizontal="left" vertical="center" wrapText="1"/>
    </xf>
    <xf numFmtId="0" fontId="16" fillId="0" borderId="7" xfId="0" applyFont="1" applyFill="1" applyBorder="1" applyAlignment="1">
      <alignment horizontal="left" vertical="center" wrapText="1"/>
    </xf>
    <xf numFmtId="0" fontId="11" fillId="0" borderId="0" xfId="0" applyFont="1" applyAlignment="1">
      <alignment vertical="center"/>
    </xf>
    <xf numFmtId="0" fontId="14" fillId="7" borderId="25" xfId="0" applyFont="1" applyFill="1" applyBorder="1" applyAlignment="1">
      <alignment vertical="center"/>
    </xf>
    <xf numFmtId="0" fontId="16" fillId="39" borderId="27" xfId="0" applyFont="1" applyFill="1" applyBorder="1" applyAlignment="1">
      <alignment vertical="center"/>
    </xf>
    <xf numFmtId="0" fontId="16" fillId="43" borderId="27" xfId="0" applyFont="1" applyFill="1" applyBorder="1" applyAlignment="1">
      <alignment vertical="center"/>
    </xf>
    <xf numFmtId="0" fontId="16" fillId="3" borderId="27" xfId="0" applyFont="1" applyFill="1" applyBorder="1" applyAlignment="1">
      <alignment horizontal="left" vertical="center"/>
    </xf>
    <xf numFmtId="0" fontId="16" fillId="3" borderId="27" xfId="0" applyFont="1" applyFill="1" applyBorder="1" applyAlignment="1">
      <alignment vertical="center"/>
    </xf>
    <xf numFmtId="0" fontId="16" fillId="0" borderId="27" xfId="0" applyFont="1" applyFill="1" applyBorder="1" applyAlignment="1">
      <alignment vertical="center"/>
    </xf>
    <xf numFmtId="0" fontId="16" fillId="43" borderId="27" xfId="0" applyFont="1" applyFill="1" applyBorder="1" applyAlignment="1">
      <alignment vertical="center" wrapText="1"/>
    </xf>
    <xf numFmtId="0" fontId="16" fillId="43" borderId="27" xfId="0" applyFont="1" applyFill="1" applyBorder="1" applyAlignment="1">
      <alignment horizontal="left" vertical="center"/>
    </xf>
    <xf numFmtId="0" fontId="16" fillId="43" borderId="27" xfId="0" applyFont="1" applyFill="1" applyBorder="1" applyAlignment="1">
      <alignment horizontal="left" vertical="center" wrapText="1"/>
    </xf>
    <xf numFmtId="0" fontId="16" fillId="39" borderId="27" xfId="0" applyFont="1" applyFill="1" applyBorder="1" applyAlignment="1">
      <alignment horizontal="left" vertical="center" wrapText="1"/>
    </xf>
    <xf numFmtId="0" fontId="16" fillId="3" borderId="27" xfId="0" applyFont="1" applyFill="1" applyBorder="1" applyAlignment="1">
      <alignment horizontal="left" vertical="center" wrapText="1"/>
    </xf>
    <xf numFmtId="0" fontId="16" fillId="0" borderId="27" xfId="0" applyFont="1" applyFill="1" applyBorder="1" applyAlignment="1">
      <alignment horizontal="left" vertical="center"/>
    </xf>
    <xf numFmtId="14" fontId="16" fillId="0" borderId="27" xfId="0" applyNumberFormat="1" applyFont="1" applyFill="1" applyBorder="1" applyAlignment="1">
      <alignment horizontal="left" vertical="center"/>
    </xf>
    <xf numFmtId="0" fontId="16" fillId="0" borderId="27" xfId="0" applyFont="1" applyFill="1" applyBorder="1" applyAlignment="1">
      <alignment horizontal="left" vertical="center" wrapText="1"/>
    </xf>
    <xf numFmtId="0" fontId="16" fillId="0" borderId="0" xfId="0" applyFont="1" applyAlignment="1">
      <alignment vertical="center" wrapText="1"/>
    </xf>
    <xf numFmtId="0" fontId="16" fillId="3" borderId="12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vertical="center"/>
    </xf>
    <xf numFmtId="0" fontId="16" fillId="0" borderId="12" xfId="0" applyFont="1" applyFill="1" applyBorder="1" applyAlignment="1">
      <alignment horizontal="left" vertical="center"/>
    </xf>
    <xf numFmtId="14" fontId="16" fillId="0" borderId="12" xfId="0" applyNumberFormat="1" applyFont="1" applyFill="1" applyBorder="1" applyAlignment="1">
      <alignment horizontal="left" vertical="center"/>
    </xf>
    <xf numFmtId="0" fontId="16" fillId="33" borderId="12" xfId="0" applyFont="1" applyFill="1" applyBorder="1" applyAlignment="1">
      <alignment vertical="center"/>
    </xf>
    <xf numFmtId="0" fontId="16" fillId="33" borderId="12" xfId="0" applyFont="1" applyFill="1" applyBorder="1" applyAlignment="1">
      <alignment vertical="center" wrapText="1"/>
    </xf>
    <xf numFmtId="0" fontId="16" fillId="33" borderId="12" xfId="0" applyFont="1" applyFill="1" applyBorder="1" applyAlignment="1">
      <alignment horizontal="left" vertical="center"/>
    </xf>
    <xf numFmtId="0" fontId="16" fillId="33" borderId="12" xfId="0" applyFont="1" applyFill="1" applyBorder="1" applyAlignment="1">
      <alignment horizontal="left" vertical="center" wrapText="1"/>
    </xf>
    <xf numFmtId="0" fontId="16" fillId="40" borderId="12" xfId="0" applyFont="1" applyFill="1" applyBorder="1" applyAlignment="1">
      <alignment vertical="center"/>
    </xf>
    <xf numFmtId="0" fontId="16" fillId="0" borderId="7" xfId="0" applyFont="1" applyBorder="1" applyAlignment="1">
      <alignment vertical="center"/>
    </xf>
    <xf numFmtId="0" fontId="16" fillId="44" borderId="7" xfId="0" applyFont="1" applyFill="1" applyBorder="1" applyAlignment="1">
      <alignment horizontal="left" vertical="center" wrapText="1"/>
    </xf>
    <xf numFmtId="0" fontId="16" fillId="44" borderId="7" xfId="0" applyFont="1" applyFill="1" applyBorder="1" applyAlignment="1">
      <alignment vertical="center" wrapText="1"/>
    </xf>
    <xf numFmtId="0" fontId="16" fillId="45" borderId="7" xfId="0" applyFont="1" applyFill="1" applyBorder="1" applyAlignment="1">
      <alignment vertical="center" wrapText="1"/>
    </xf>
    <xf numFmtId="0" fontId="16" fillId="45" borderId="7" xfId="0" applyFont="1" applyFill="1" applyBorder="1" applyAlignment="1">
      <alignment horizontal="left" vertical="center" wrapText="1"/>
    </xf>
    <xf numFmtId="0" fontId="27" fillId="0" borderId="27" xfId="0" applyFont="1" applyFill="1" applyBorder="1"/>
    <xf numFmtId="0" fontId="28" fillId="0" borderId="27" xfId="0" applyFont="1" applyFill="1" applyBorder="1"/>
    <xf numFmtId="0" fontId="29" fillId="3" borderId="27" xfId="0" applyFont="1" applyFill="1" applyBorder="1" applyAlignment="1">
      <alignment vertical="center"/>
    </xf>
    <xf numFmtId="0" fontId="30" fillId="0" borderId="27" xfId="0" applyFont="1" applyFill="1" applyBorder="1"/>
    <xf numFmtId="0" fontId="29" fillId="0" borderId="27" xfId="0" applyFont="1" applyFill="1" applyBorder="1" applyAlignment="1">
      <alignment vertical="center"/>
    </xf>
    <xf numFmtId="0" fontId="30" fillId="30" borderId="27" xfId="0" applyFont="1" applyFill="1" applyBorder="1"/>
    <xf numFmtId="0" fontId="30" fillId="14" borderId="27" xfId="0" applyFont="1" applyFill="1" applyBorder="1"/>
    <xf numFmtId="0" fontId="0" fillId="0" borderId="27" xfId="0" applyBorder="1"/>
    <xf numFmtId="0" fontId="30" fillId="33" borderId="7" xfId="0" applyFont="1" applyFill="1" applyBorder="1"/>
    <xf numFmtId="0" fontId="31" fillId="33" borderId="7" xfId="0" applyFont="1" applyFill="1" applyBorder="1"/>
    <xf numFmtId="0" fontId="30" fillId="36" borderId="7" xfId="0" applyFont="1" applyFill="1" applyBorder="1"/>
    <xf numFmtId="0" fontId="31" fillId="36" borderId="7" xfId="0" applyFont="1" applyFill="1" applyBorder="1"/>
    <xf numFmtId="0" fontId="30" fillId="6" borderId="7" xfId="0" applyFont="1" applyFill="1" applyBorder="1"/>
    <xf numFmtId="0" fontId="31" fillId="6" borderId="7" xfId="0" applyFont="1" applyFill="1" applyBorder="1"/>
    <xf numFmtId="0" fontId="30" fillId="43" borderId="7" xfId="0" applyFont="1" applyFill="1" applyBorder="1"/>
    <xf numFmtId="0" fontId="31" fillId="43" borderId="7" xfId="0" applyFont="1" applyFill="1" applyBorder="1"/>
    <xf numFmtId="0" fontId="30" fillId="43" borderId="27" xfId="0" applyFont="1" applyFill="1" applyBorder="1"/>
    <xf numFmtId="0" fontId="31" fillId="43" borderId="27" xfId="0" applyFont="1" applyFill="1" applyBorder="1"/>
    <xf numFmtId="0" fontId="53" fillId="3" borderId="7" xfId="0" applyFont="1" applyFill="1" applyBorder="1" applyAlignment="1">
      <alignment vertical="top" wrapText="1"/>
    </xf>
    <xf numFmtId="0" fontId="52" fillId="3" borderId="7" xfId="0" applyFont="1" applyFill="1" applyBorder="1" applyAlignment="1">
      <alignment wrapText="1"/>
    </xf>
    <xf numFmtId="38" fontId="16" fillId="33" borderId="7" xfId="628" applyFont="1" applyFill="1" applyBorder="1" applyAlignment="1">
      <alignment wrapText="1"/>
    </xf>
    <xf numFmtId="38" fontId="16" fillId="36" borderId="7" xfId="628" applyFont="1" applyFill="1" applyBorder="1" applyAlignment="1">
      <alignment wrapText="1"/>
    </xf>
    <xf numFmtId="38" fontId="16" fillId="43" borderId="7" xfId="628" applyFont="1" applyFill="1" applyBorder="1" applyAlignment="1">
      <alignment wrapText="1"/>
    </xf>
    <xf numFmtId="38" fontId="16" fillId="6" borderId="7" xfId="628" applyFont="1" applyFill="1" applyBorder="1" applyAlignment="1">
      <alignment wrapText="1"/>
    </xf>
    <xf numFmtId="38" fontId="16" fillId="43" borderId="27" xfId="628" applyFont="1" applyFill="1" applyBorder="1" applyAlignment="1">
      <alignment wrapText="1"/>
    </xf>
    <xf numFmtId="0" fontId="53" fillId="3" borderId="12" xfId="0" applyFont="1" applyFill="1" applyBorder="1" applyAlignment="1">
      <alignment vertical="top" wrapText="1"/>
    </xf>
    <xf numFmtId="0" fontId="52" fillId="3" borderId="12" xfId="0" applyFont="1" applyFill="1" applyBorder="1" applyAlignment="1">
      <alignment wrapText="1"/>
    </xf>
    <xf numFmtId="0" fontId="53" fillId="3" borderId="27" xfId="0" applyFont="1" applyFill="1" applyBorder="1" applyAlignment="1">
      <alignment vertical="top" wrapText="1"/>
    </xf>
    <xf numFmtId="0" fontId="52" fillId="3" borderId="27" xfId="0" applyFont="1" applyFill="1" applyBorder="1" applyAlignment="1">
      <alignment wrapText="1"/>
    </xf>
    <xf numFmtId="0" fontId="54" fillId="38" borderId="7" xfId="0" applyFont="1" applyFill="1" applyBorder="1" applyAlignment="1">
      <alignment horizontal="left" vertical="center" wrapText="1"/>
    </xf>
    <xf numFmtId="0" fontId="54" fillId="37" borderId="7" xfId="0" applyFont="1" applyFill="1" applyBorder="1" applyAlignment="1">
      <alignment horizontal="left" vertical="center" wrapText="1"/>
    </xf>
    <xf numFmtId="0" fontId="54" fillId="35" borderId="7" xfId="0" applyFont="1" applyFill="1" applyBorder="1" applyAlignment="1">
      <alignment horizontal="left" vertical="center" wrapText="1"/>
    </xf>
    <xf numFmtId="0" fontId="54" fillId="39" borderId="7" xfId="0" applyFont="1" applyFill="1" applyBorder="1" applyAlignment="1">
      <alignment horizontal="left" vertical="center" wrapText="1"/>
    </xf>
    <xf numFmtId="0" fontId="55" fillId="0" borderId="0" xfId="0" applyFont="1"/>
    <xf numFmtId="0" fontId="29" fillId="3" borderId="7" xfId="0" applyFont="1" applyFill="1" applyBorder="1" applyAlignment="1">
      <alignment vertical="center"/>
    </xf>
    <xf numFmtId="0" fontId="29" fillId="0" borderId="7" xfId="0" applyFont="1" applyFill="1" applyBorder="1" applyAlignment="1">
      <alignment vertical="center"/>
    </xf>
    <xf numFmtId="0" fontId="27" fillId="0" borderId="2" xfId="0" applyFont="1" applyFill="1" applyBorder="1"/>
    <xf numFmtId="0" fontId="28" fillId="0" borderId="2" xfId="0" applyFont="1" applyFill="1" applyBorder="1"/>
    <xf numFmtId="0" fontId="29" fillId="3" borderId="2" xfId="0" applyFont="1" applyFill="1" applyBorder="1" applyAlignment="1">
      <alignment vertical="center"/>
    </xf>
    <xf numFmtId="0" fontId="30" fillId="0" borderId="2" xfId="0" applyFont="1" applyFill="1" applyBorder="1"/>
    <xf numFmtId="0" fontId="29" fillId="0" borderId="2" xfId="0" applyFont="1" applyFill="1" applyBorder="1" applyAlignment="1">
      <alignment vertical="center"/>
    </xf>
    <xf numFmtId="0" fontId="30" fillId="30" borderId="2" xfId="0" applyFont="1" applyFill="1" applyBorder="1"/>
    <xf numFmtId="0" fontId="30" fillId="14" borderId="2" xfId="0" applyFont="1" applyFill="1" applyBorder="1"/>
    <xf numFmtId="0" fontId="30" fillId="43" borderId="2" xfId="0" applyFont="1" applyFill="1" applyBorder="1"/>
    <xf numFmtId="0" fontId="31" fillId="43" borderId="2" xfId="0" applyFont="1" applyFill="1" applyBorder="1"/>
    <xf numFmtId="38" fontId="16" fillId="43" borderId="2" xfId="628" applyFont="1" applyFill="1" applyBorder="1" applyAlignment="1">
      <alignment wrapText="1"/>
    </xf>
    <xf numFmtId="0" fontId="0" fillId="0" borderId="2" xfId="0" applyBorder="1"/>
    <xf numFmtId="0" fontId="53" fillId="3" borderId="2" xfId="0" applyFont="1" applyFill="1" applyBorder="1" applyAlignment="1">
      <alignment vertical="top" wrapText="1"/>
    </xf>
    <xf numFmtId="0" fontId="52" fillId="3" borderId="2" xfId="0" applyFont="1" applyFill="1" applyBorder="1" applyAlignment="1">
      <alignment wrapText="1"/>
    </xf>
    <xf numFmtId="0" fontId="0" fillId="0" borderId="35" xfId="0" applyBorder="1"/>
    <xf numFmtId="0" fontId="0" fillId="0" borderId="0" xfId="0" applyBorder="1"/>
    <xf numFmtId="0" fontId="0" fillId="0" borderId="25" xfId="0" applyBorder="1"/>
    <xf numFmtId="0" fontId="0" fillId="46" borderId="7" xfId="615" applyFont="1" applyFill="1" applyBorder="1"/>
    <xf numFmtId="0" fontId="0" fillId="15" borderId="0" xfId="0" applyFill="1" applyBorder="1"/>
    <xf numFmtId="0" fontId="0" fillId="0" borderId="12" xfId="0" applyBorder="1"/>
    <xf numFmtId="0" fontId="27" fillId="0" borderId="12" xfId="0" applyFont="1" applyFill="1" applyBorder="1"/>
    <xf numFmtId="0" fontId="28" fillId="0" borderId="12" xfId="0" applyFont="1" applyFill="1" applyBorder="1"/>
    <xf numFmtId="0" fontId="30" fillId="0" borderId="12" xfId="0" applyFont="1" applyFill="1" applyBorder="1"/>
    <xf numFmtId="0" fontId="30" fillId="30" borderId="12" xfId="0" applyFont="1" applyFill="1" applyBorder="1"/>
    <xf numFmtId="0" fontId="30" fillId="14" borderId="12" xfId="0" applyFont="1" applyFill="1" applyBorder="1"/>
    <xf numFmtId="0" fontId="30" fillId="43" borderId="12" xfId="0" applyFont="1" applyFill="1" applyBorder="1"/>
    <xf numFmtId="0" fontId="31" fillId="43" borderId="12" xfId="0" applyFont="1" applyFill="1" applyBorder="1"/>
    <xf numFmtId="38" fontId="16" fillId="43" borderId="12" xfId="628" applyFont="1" applyFill="1" applyBorder="1" applyAlignment="1">
      <alignment wrapText="1"/>
    </xf>
    <xf numFmtId="0" fontId="16" fillId="0" borderId="34" xfId="0" applyFont="1" applyBorder="1" applyAlignment="1">
      <alignment vertical="center"/>
    </xf>
  </cellXfs>
  <cellStyles count="730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赤字強調" xfId="431"/>
    <cellStyle name="青字強調" xfId="430"/>
  </cellStyles>
  <dxfs count="6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5379"/>
      <color rgb="FFFF5867"/>
      <color rgb="FFFFA6B0"/>
      <color rgb="FFFDFFD0"/>
      <color rgb="FFFFECF6"/>
      <color rgb="FFF5EBB4"/>
      <color rgb="FFFFD9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38101</v>
          </cell>
        </row>
        <row r="184">
          <cell r="A184">
            <v>39001</v>
          </cell>
        </row>
        <row r="185">
          <cell r="A185">
            <v>39002</v>
          </cell>
        </row>
        <row r="186">
          <cell r="A186">
            <v>39003</v>
          </cell>
        </row>
        <row r="187">
          <cell r="A187">
            <v>39004</v>
          </cell>
        </row>
        <row r="188">
          <cell r="A188">
            <v>39005</v>
          </cell>
        </row>
        <row r="189">
          <cell r="A189">
            <v>39006</v>
          </cell>
        </row>
        <row r="190">
          <cell r="A190">
            <v>39007</v>
          </cell>
        </row>
        <row r="191">
          <cell r="A191">
            <v>39008</v>
          </cell>
        </row>
        <row r="192">
          <cell r="A192">
            <v>39009</v>
          </cell>
        </row>
        <row r="193">
          <cell r="A193">
            <v>39010</v>
          </cell>
        </row>
        <row r="194">
          <cell r="A194">
            <v>39011</v>
          </cell>
        </row>
        <row r="195">
          <cell r="A195">
            <v>39012</v>
          </cell>
        </row>
        <row r="196">
          <cell r="A196">
            <v>39013</v>
          </cell>
        </row>
        <row r="197">
          <cell r="A197">
            <v>39014</v>
          </cell>
        </row>
        <row r="198">
          <cell r="A198">
            <v>40001</v>
          </cell>
        </row>
        <row r="199">
          <cell r="A199">
            <v>40002</v>
          </cell>
        </row>
        <row r="200">
          <cell r="A200">
            <v>40003</v>
          </cell>
        </row>
        <row r="201">
          <cell r="A201">
            <v>40004</v>
          </cell>
        </row>
        <row r="202">
          <cell r="A202">
            <v>40005</v>
          </cell>
        </row>
        <row r="203">
          <cell r="A203">
            <v>40006</v>
          </cell>
        </row>
        <row r="204">
          <cell r="A204">
            <v>40007</v>
          </cell>
        </row>
        <row r="205">
          <cell r="A205">
            <v>40008</v>
          </cell>
        </row>
        <row r="206">
          <cell r="A206">
            <v>40009</v>
          </cell>
        </row>
        <row r="207">
          <cell r="A207">
            <v>40010</v>
          </cell>
        </row>
        <row r="208">
          <cell r="A208">
            <v>40011</v>
          </cell>
        </row>
        <row r="209">
          <cell r="A209">
            <v>40012</v>
          </cell>
        </row>
        <row r="210">
          <cell r="A210">
            <v>40013</v>
          </cell>
        </row>
        <row r="211">
          <cell r="A211">
            <v>40014</v>
          </cell>
        </row>
        <row r="212">
          <cell r="A212">
            <v>40015</v>
          </cell>
        </row>
        <row r="213">
          <cell r="A213">
            <v>40016</v>
          </cell>
        </row>
        <row r="214">
          <cell r="A214">
            <v>40017</v>
          </cell>
        </row>
        <row r="215">
          <cell r="A215">
            <v>40018</v>
          </cell>
        </row>
        <row r="216">
          <cell r="A216">
            <v>40019</v>
          </cell>
        </row>
        <row r="217">
          <cell r="A217">
            <v>40021</v>
          </cell>
        </row>
        <row r="218">
          <cell r="A218">
            <v>40022</v>
          </cell>
        </row>
        <row r="219">
          <cell r="A219">
            <v>40023</v>
          </cell>
        </row>
        <row r="220">
          <cell r="A220">
            <v>40024</v>
          </cell>
        </row>
        <row r="221">
          <cell r="A221">
            <v>40025</v>
          </cell>
        </row>
        <row r="222">
          <cell r="A222">
            <v>40026</v>
          </cell>
        </row>
        <row r="223">
          <cell r="A223">
            <v>40027</v>
          </cell>
        </row>
        <row r="224">
          <cell r="A224">
            <v>40028</v>
          </cell>
        </row>
        <row r="225">
          <cell r="A225">
            <v>40029</v>
          </cell>
        </row>
        <row r="226">
          <cell r="A226">
            <v>40030</v>
          </cell>
        </row>
        <row r="227">
          <cell r="A227">
            <v>40031</v>
          </cell>
        </row>
        <row r="228">
          <cell r="A228">
            <v>40032</v>
          </cell>
        </row>
        <row r="229">
          <cell r="A229">
            <v>40033</v>
          </cell>
        </row>
        <row r="230">
          <cell r="A230">
            <v>40034</v>
          </cell>
        </row>
        <row r="231">
          <cell r="A231">
            <v>40035</v>
          </cell>
        </row>
        <row r="232">
          <cell r="A232">
            <v>40036</v>
          </cell>
        </row>
        <row r="233">
          <cell r="A233">
            <v>40037</v>
          </cell>
        </row>
        <row r="234">
          <cell r="A234">
            <v>40038</v>
          </cell>
        </row>
        <row r="235">
          <cell r="A235">
            <v>40039</v>
          </cell>
        </row>
        <row r="236">
          <cell r="A236">
            <v>40040</v>
          </cell>
        </row>
        <row r="237">
          <cell r="A237">
            <v>40041</v>
          </cell>
        </row>
        <row r="238">
          <cell r="A238">
            <v>40042</v>
          </cell>
        </row>
        <row r="239">
          <cell r="A239">
            <v>40043</v>
          </cell>
        </row>
        <row r="240">
          <cell r="A240">
            <v>40044</v>
          </cell>
        </row>
        <row r="241">
          <cell r="A241">
            <v>40045</v>
          </cell>
        </row>
        <row r="242">
          <cell r="A242">
            <v>40046</v>
          </cell>
        </row>
        <row r="243">
          <cell r="A243">
            <v>48001</v>
          </cell>
        </row>
        <row r="244">
          <cell r="A244">
            <v>48002</v>
          </cell>
        </row>
        <row r="245">
          <cell r="A245">
            <v>48003</v>
          </cell>
        </row>
        <row r="246">
          <cell r="A246">
            <v>48004</v>
          </cell>
        </row>
        <row r="247">
          <cell r="A247">
            <v>48005</v>
          </cell>
        </row>
        <row r="248">
          <cell r="A248">
            <v>48006</v>
          </cell>
        </row>
        <row r="249">
          <cell r="A249">
            <v>48007</v>
          </cell>
        </row>
        <row r="250">
          <cell r="A250">
            <v>48008</v>
          </cell>
        </row>
        <row r="251">
          <cell r="A251">
            <v>48009</v>
          </cell>
        </row>
        <row r="252">
          <cell r="A252">
            <v>48010</v>
          </cell>
        </row>
        <row r="253">
          <cell r="A253">
            <v>48011</v>
          </cell>
        </row>
        <row r="254">
          <cell r="A254">
            <v>48012</v>
          </cell>
        </row>
        <row r="255">
          <cell r="A255">
            <v>48013</v>
          </cell>
        </row>
        <row r="256">
          <cell r="A256">
            <v>48014</v>
          </cell>
        </row>
        <row r="257">
          <cell r="A257">
            <v>48015</v>
          </cell>
        </row>
        <row r="258">
          <cell r="A258">
            <v>48101</v>
          </cell>
        </row>
        <row r="259">
          <cell r="A259">
            <v>48501</v>
          </cell>
        </row>
        <row r="260">
          <cell r="A260">
            <v>48502</v>
          </cell>
        </row>
        <row r="261">
          <cell r="A261">
            <v>48503</v>
          </cell>
        </row>
        <row r="262">
          <cell r="A262">
            <v>48504</v>
          </cell>
        </row>
        <row r="263">
          <cell r="A263">
            <v>48701</v>
          </cell>
        </row>
        <row r="264">
          <cell r="A264">
            <v>48702</v>
          </cell>
        </row>
        <row r="265">
          <cell r="A265">
            <v>41001</v>
          </cell>
        </row>
        <row r="266">
          <cell r="A266">
            <v>41002</v>
          </cell>
        </row>
        <row r="267">
          <cell r="A267">
            <v>41003</v>
          </cell>
        </row>
        <row r="268">
          <cell r="A268">
            <v>41004</v>
          </cell>
        </row>
        <row r="269">
          <cell r="A269">
            <v>41005</v>
          </cell>
        </row>
        <row r="270">
          <cell r="A270">
            <v>41006</v>
          </cell>
        </row>
        <row r="271">
          <cell r="A271">
            <v>41007</v>
          </cell>
        </row>
        <row r="272">
          <cell r="A272">
            <v>41008</v>
          </cell>
        </row>
        <row r="273">
          <cell r="A273">
            <v>41009</v>
          </cell>
        </row>
        <row r="274">
          <cell r="A274">
            <v>41010</v>
          </cell>
        </row>
        <row r="275">
          <cell r="A275">
            <v>41011</v>
          </cell>
        </row>
        <row r="276">
          <cell r="A276">
            <v>41012</v>
          </cell>
        </row>
        <row r="277">
          <cell r="A277">
            <v>41013</v>
          </cell>
        </row>
        <row r="278">
          <cell r="A278">
            <v>41014</v>
          </cell>
        </row>
        <row r="279">
          <cell r="A279">
            <v>41015</v>
          </cell>
        </row>
        <row r="280">
          <cell r="A280">
            <v>47001</v>
          </cell>
        </row>
        <row r="281">
          <cell r="A281">
            <v>47002</v>
          </cell>
        </row>
        <row r="282">
          <cell r="A282">
            <v>47003</v>
          </cell>
        </row>
        <row r="283">
          <cell r="A283">
            <v>47004</v>
          </cell>
        </row>
        <row r="284">
          <cell r="A284">
            <v>47005</v>
          </cell>
        </row>
        <row r="285">
          <cell r="A285">
            <v>47006</v>
          </cell>
        </row>
        <row r="286">
          <cell r="A286">
            <v>47007</v>
          </cell>
        </row>
        <row r="287">
          <cell r="A287">
            <v>47008</v>
          </cell>
        </row>
        <row r="288">
          <cell r="A288">
            <v>47009</v>
          </cell>
        </row>
        <row r="289">
          <cell r="A289">
            <v>47010</v>
          </cell>
        </row>
        <row r="290">
          <cell r="A290">
            <v>47011</v>
          </cell>
        </row>
        <row r="291">
          <cell r="A291">
            <v>47012</v>
          </cell>
        </row>
        <row r="292">
          <cell r="A292">
            <v>47013</v>
          </cell>
        </row>
        <row r="293">
          <cell r="A293">
            <v>47014</v>
          </cell>
        </row>
        <row r="294">
          <cell r="A294">
            <v>47015</v>
          </cell>
        </row>
        <row r="295">
          <cell r="A295">
            <v>47016</v>
          </cell>
        </row>
        <row r="296">
          <cell r="A296">
            <v>49001</v>
          </cell>
        </row>
        <row r="297">
          <cell r="A297">
            <v>49002</v>
          </cell>
        </row>
        <row r="298">
          <cell r="A298">
            <v>49003</v>
          </cell>
        </row>
        <row r="299">
          <cell r="A299">
            <v>49004</v>
          </cell>
        </row>
        <row r="300">
          <cell r="A300">
            <v>49005</v>
          </cell>
        </row>
        <row r="301">
          <cell r="A301">
            <v>49006</v>
          </cell>
        </row>
        <row r="302">
          <cell r="A302">
            <v>49007</v>
          </cell>
        </row>
        <row r="303">
          <cell r="A303">
            <v>49008</v>
          </cell>
        </row>
        <row r="304">
          <cell r="A304">
            <v>49009</v>
          </cell>
        </row>
        <row r="305">
          <cell r="A305">
            <v>49010</v>
          </cell>
        </row>
        <row r="306">
          <cell r="A306">
            <v>49011</v>
          </cell>
        </row>
        <row r="307">
          <cell r="A307">
            <v>49012</v>
          </cell>
        </row>
        <row r="308">
          <cell r="A308">
            <v>49013</v>
          </cell>
        </row>
        <row r="309">
          <cell r="A309">
            <v>49014</v>
          </cell>
        </row>
        <row r="310">
          <cell r="A310">
            <v>49015</v>
          </cell>
        </row>
        <row r="311">
          <cell r="A311">
            <v>49016</v>
          </cell>
        </row>
        <row r="312">
          <cell r="A312">
            <v>50001</v>
          </cell>
        </row>
        <row r="313">
          <cell r="A313">
            <v>50002</v>
          </cell>
        </row>
        <row r="314">
          <cell r="A314">
            <v>50003</v>
          </cell>
        </row>
        <row r="315">
          <cell r="A315">
            <v>50004</v>
          </cell>
        </row>
        <row r="316">
          <cell r="A316">
            <v>50005</v>
          </cell>
        </row>
        <row r="317">
          <cell r="A317">
            <v>50006</v>
          </cell>
        </row>
        <row r="318">
          <cell r="A318">
            <v>50007</v>
          </cell>
        </row>
        <row r="319">
          <cell r="A319">
            <v>50008</v>
          </cell>
        </row>
        <row r="320">
          <cell r="A320">
            <v>50009</v>
          </cell>
        </row>
        <row r="321">
          <cell r="A321">
            <v>50010</v>
          </cell>
        </row>
        <row r="322">
          <cell r="A322">
            <v>50011</v>
          </cell>
        </row>
        <row r="323">
          <cell r="A323">
            <v>50012</v>
          </cell>
        </row>
        <row r="324">
          <cell r="A324">
            <v>50013</v>
          </cell>
        </row>
        <row r="325">
          <cell r="A325">
            <v>50014</v>
          </cell>
        </row>
        <row r="326">
          <cell r="A326">
            <v>50015</v>
          </cell>
        </row>
        <row r="327">
          <cell r="A327">
            <v>50016</v>
          </cell>
        </row>
        <row r="328">
          <cell r="A328">
            <v>51001</v>
          </cell>
        </row>
        <row r="329">
          <cell r="A329">
            <v>51002</v>
          </cell>
        </row>
        <row r="330">
          <cell r="A330">
            <v>58001</v>
          </cell>
        </row>
        <row r="331">
          <cell r="A331">
            <v>58002</v>
          </cell>
        </row>
        <row r="332">
          <cell r="A332">
            <v>58003</v>
          </cell>
        </row>
        <row r="333">
          <cell r="A333">
            <v>58101</v>
          </cell>
        </row>
        <row r="334">
          <cell r="A334">
            <v>59001</v>
          </cell>
        </row>
        <row r="335">
          <cell r="A335">
            <v>59002</v>
          </cell>
        </row>
        <row r="336">
          <cell r="A336">
            <v>59003</v>
          </cell>
        </row>
        <row r="337">
          <cell r="A337">
            <v>60001</v>
          </cell>
        </row>
        <row r="338">
          <cell r="A338">
            <v>60002</v>
          </cell>
        </row>
        <row r="339">
          <cell r="A339">
            <v>60003</v>
          </cell>
        </row>
        <row r="340">
          <cell r="A340">
            <v>60004</v>
          </cell>
        </row>
        <row r="341">
          <cell r="A341">
            <v>60005</v>
          </cell>
        </row>
        <row r="342">
          <cell r="A342">
            <v>60006</v>
          </cell>
        </row>
        <row r="343">
          <cell r="A343">
            <v>60007</v>
          </cell>
        </row>
        <row r="344">
          <cell r="A344">
            <v>60010</v>
          </cell>
        </row>
        <row r="345">
          <cell r="A345">
            <v>60011</v>
          </cell>
        </row>
        <row r="346">
          <cell r="A346">
            <v>61011</v>
          </cell>
        </row>
        <row r="347">
          <cell r="A347">
            <v>60012</v>
          </cell>
        </row>
        <row r="348">
          <cell r="A348">
            <v>60013</v>
          </cell>
        </row>
        <row r="349">
          <cell r="A349">
            <v>60014</v>
          </cell>
        </row>
        <row r="350">
          <cell r="A350">
            <v>60015</v>
          </cell>
        </row>
        <row r="351">
          <cell r="A351">
            <v>60016</v>
          </cell>
        </row>
        <row r="352">
          <cell r="A352">
            <v>60017</v>
          </cell>
        </row>
        <row r="353">
          <cell r="A353">
            <v>60018</v>
          </cell>
        </row>
        <row r="354">
          <cell r="A354">
            <v>60019</v>
          </cell>
        </row>
        <row r="355">
          <cell r="A355">
            <v>60020</v>
          </cell>
        </row>
        <row r="356">
          <cell r="A356">
            <v>60025</v>
          </cell>
        </row>
        <row r="357">
          <cell r="A357">
            <v>60026</v>
          </cell>
        </row>
        <row r="358">
          <cell r="A358">
            <v>60027</v>
          </cell>
        </row>
        <row r="359">
          <cell r="A359">
            <v>60028</v>
          </cell>
        </row>
        <row r="360">
          <cell r="A360">
            <v>60029</v>
          </cell>
        </row>
        <row r="361">
          <cell r="A361">
            <v>60030</v>
          </cell>
        </row>
        <row r="362">
          <cell r="A362">
            <v>60031</v>
          </cell>
        </row>
        <row r="363">
          <cell r="A363">
            <v>60032</v>
          </cell>
        </row>
        <row r="364">
          <cell r="A364">
            <v>61001</v>
          </cell>
        </row>
        <row r="365">
          <cell r="A365">
            <v>65523</v>
          </cell>
        </row>
        <row r="366">
          <cell r="A366">
            <v>65524</v>
          </cell>
        </row>
        <row r="367">
          <cell r="A367">
            <v>65525</v>
          </cell>
        </row>
        <row r="368">
          <cell r="A368">
            <v>65526</v>
          </cell>
        </row>
        <row r="369">
          <cell r="A369">
            <v>65527</v>
          </cell>
        </row>
        <row r="370">
          <cell r="A370">
            <v>65528</v>
          </cell>
        </row>
        <row r="371">
          <cell r="A371">
            <v>65529</v>
          </cell>
        </row>
        <row r="372">
          <cell r="A372">
            <v>65530</v>
          </cell>
        </row>
        <row r="373">
          <cell r="A373">
            <v>65531</v>
          </cell>
        </row>
        <row r="374">
          <cell r="A374">
            <v>65532</v>
          </cell>
        </row>
        <row r="375">
          <cell r="A375">
            <v>65533</v>
          </cell>
        </row>
        <row r="376">
          <cell r="A376">
            <v>65534</v>
          </cell>
        </row>
        <row r="377">
          <cell r="A377">
            <v>65535</v>
          </cell>
        </row>
        <row r="378">
          <cell r="A378">
            <v>60021</v>
          </cell>
        </row>
        <row r="379">
          <cell r="A379">
            <v>60022</v>
          </cell>
        </row>
        <row r="380">
          <cell r="A380">
            <v>60023</v>
          </cell>
        </row>
        <row r="381">
          <cell r="A38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38101_1</v>
          </cell>
        </row>
        <row r="668">
          <cell r="A668" t="str">
            <v>38101_2</v>
          </cell>
        </row>
        <row r="669">
          <cell r="A669" t="str">
            <v>38101_3</v>
          </cell>
        </row>
        <row r="670">
          <cell r="A670" t="str">
            <v>39001_1</v>
          </cell>
        </row>
        <row r="671">
          <cell r="A671" t="str">
            <v>39001_2</v>
          </cell>
        </row>
        <row r="672">
          <cell r="A672" t="str">
            <v>39001_3</v>
          </cell>
        </row>
        <row r="673">
          <cell r="A673" t="str">
            <v>39001_4</v>
          </cell>
        </row>
        <row r="674">
          <cell r="A674" t="str">
            <v>39001_5</v>
          </cell>
        </row>
        <row r="675">
          <cell r="A675" t="str">
            <v>39002_1</v>
          </cell>
        </row>
        <row r="676">
          <cell r="A676" t="str">
            <v>39002_2</v>
          </cell>
        </row>
        <row r="677">
          <cell r="A677" t="str">
            <v>39002_3</v>
          </cell>
        </row>
        <row r="678">
          <cell r="A678" t="str">
            <v>39002_4</v>
          </cell>
        </row>
        <row r="679">
          <cell r="A679" t="str">
            <v>39003_1</v>
          </cell>
        </row>
        <row r="680">
          <cell r="A680" t="str">
            <v>39003_2</v>
          </cell>
        </row>
        <row r="681">
          <cell r="A681" t="str">
            <v>39003_3</v>
          </cell>
        </row>
        <row r="682">
          <cell r="A682" t="str">
            <v>39003_4</v>
          </cell>
        </row>
        <row r="683">
          <cell r="A683" t="str">
            <v>39004_1</v>
          </cell>
        </row>
        <row r="684">
          <cell r="A684" t="str">
            <v>39004_2</v>
          </cell>
        </row>
        <row r="685">
          <cell r="A685" t="str">
            <v>39004_3</v>
          </cell>
        </row>
        <row r="686">
          <cell r="A686" t="str">
            <v>39004_4</v>
          </cell>
        </row>
        <row r="687">
          <cell r="A687" t="str">
            <v>39005_1</v>
          </cell>
        </row>
        <row r="688">
          <cell r="A688" t="str">
            <v>39005_2</v>
          </cell>
        </row>
        <row r="689">
          <cell r="A689" t="str">
            <v>39005_3</v>
          </cell>
        </row>
        <row r="690">
          <cell r="A690" t="str">
            <v>39005_4</v>
          </cell>
        </row>
        <row r="691">
          <cell r="A691" t="str">
            <v>39005_5</v>
          </cell>
        </row>
        <row r="692">
          <cell r="A692" t="str">
            <v>39006_1</v>
          </cell>
        </row>
        <row r="693">
          <cell r="A693" t="str">
            <v>39006_2</v>
          </cell>
        </row>
        <row r="694">
          <cell r="A694" t="str">
            <v>39006_3</v>
          </cell>
        </row>
        <row r="695">
          <cell r="A695" t="str">
            <v>39006_4</v>
          </cell>
        </row>
        <row r="696">
          <cell r="A696" t="str">
            <v>39007_1</v>
          </cell>
        </row>
        <row r="697">
          <cell r="A697" t="str">
            <v>39007_2</v>
          </cell>
        </row>
        <row r="698">
          <cell r="A698" t="str">
            <v>39007_3</v>
          </cell>
        </row>
        <row r="699">
          <cell r="A699" t="str">
            <v>39007_4</v>
          </cell>
        </row>
        <row r="700">
          <cell r="A700" t="str">
            <v>39008_1</v>
          </cell>
        </row>
        <row r="701">
          <cell r="A701" t="str">
            <v>39008_2</v>
          </cell>
        </row>
        <row r="702">
          <cell r="A702" t="str">
            <v>39008_3</v>
          </cell>
        </row>
        <row r="703">
          <cell r="A703" t="str">
            <v>39008_4</v>
          </cell>
        </row>
        <row r="704">
          <cell r="A704" t="str">
            <v>39008_5</v>
          </cell>
        </row>
        <row r="705">
          <cell r="A705" t="str">
            <v>39009_1</v>
          </cell>
        </row>
        <row r="706">
          <cell r="A706" t="str">
            <v>39009_2</v>
          </cell>
        </row>
        <row r="707">
          <cell r="A707" t="str">
            <v>39009_3</v>
          </cell>
        </row>
        <row r="708">
          <cell r="A708" t="str">
            <v>39009_4</v>
          </cell>
        </row>
        <row r="709">
          <cell r="A709" t="str">
            <v>39009_5</v>
          </cell>
        </row>
        <row r="710">
          <cell r="A710" t="str">
            <v>39010_1</v>
          </cell>
        </row>
        <row r="711">
          <cell r="A711" t="str">
            <v>39010_2</v>
          </cell>
        </row>
        <row r="712">
          <cell r="A712" t="str">
            <v>39010_3</v>
          </cell>
        </row>
        <row r="713">
          <cell r="A713" t="str">
            <v>39010_4</v>
          </cell>
        </row>
        <row r="714">
          <cell r="A714" t="str">
            <v>39011_1</v>
          </cell>
        </row>
        <row r="715">
          <cell r="A715" t="str">
            <v>39011_2</v>
          </cell>
        </row>
        <row r="716">
          <cell r="A716" t="str">
            <v>39011_3</v>
          </cell>
        </row>
        <row r="717">
          <cell r="A717" t="str">
            <v>39011_4</v>
          </cell>
        </row>
        <row r="718">
          <cell r="A718" t="str">
            <v>39012_1</v>
          </cell>
        </row>
        <row r="719">
          <cell r="A719" t="str">
            <v>39012_2</v>
          </cell>
        </row>
        <row r="720">
          <cell r="A720" t="str">
            <v>39012_3</v>
          </cell>
        </row>
        <row r="721">
          <cell r="A721" t="str">
            <v>39012_4</v>
          </cell>
        </row>
        <row r="722">
          <cell r="A722" t="str">
            <v>39012_5</v>
          </cell>
        </row>
        <row r="723">
          <cell r="A723" t="str">
            <v>39013_1</v>
          </cell>
        </row>
        <row r="724">
          <cell r="A724" t="str">
            <v>39013_2</v>
          </cell>
        </row>
        <row r="725">
          <cell r="A725" t="str">
            <v>39013_3</v>
          </cell>
        </row>
        <row r="726">
          <cell r="A726" t="str">
            <v>39013_4</v>
          </cell>
        </row>
        <row r="727">
          <cell r="A727" t="str">
            <v>39014_1</v>
          </cell>
        </row>
        <row r="728">
          <cell r="A728" t="str">
            <v>39014_2</v>
          </cell>
        </row>
        <row r="729">
          <cell r="A729" t="str">
            <v>40001_1</v>
          </cell>
        </row>
        <row r="730">
          <cell r="A730" t="str">
            <v>40002_1</v>
          </cell>
        </row>
        <row r="731">
          <cell r="A731" t="str">
            <v>40002_2</v>
          </cell>
        </row>
        <row r="732">
          <cell r="A732" t="str">
            <v>40002_3</v>
          </cell>
        </row>
        <row r="733">
          <cell r="A733" t="str">
            <v>40003_1</v>
          </cell>
        </row>
        <row r="734">
          <cell r="A734" t="str">
            <v>40004_1</v>
          </cell>
        </row>
        <row r="735">
          <cell r="A735" t="str">
            <v>40005_1</v>
          </cell>
        </row>
        <row r="736">
          <cell r="A736" t="str">
            <v>40006_1</v>
          </cell>
        </row>
        <row r="737">
          <cell r="A737" t="str">
            <v>40007_1</v>
          </cell>
        </row>
        <row r="738">
          <cell r="A738" t="str">
            <v>40008_1</v>
          </cell>
        </row>
        <row r="739">
          <cell r="A739" t="str">
            <v>40009_1</v>
          </cell>
        </row>
        <row r="740">
          <cell r="A740" t="str">
            <v>40010_1</v>
          </cell>
        </row>
        <row r="741">
          <cell r="A741" t="str">
            <v>40011_1</v>
          </cell>
        </row>
        <row r="742">
          <cell r="A742" t="str">
            <v>40012_1</v>
          </cell>
        </row>
        <row r="743">
          <cell r="A743" t="str">
            <v>40013_1</v>
          </cell>
        </row>
        <row r="744">
          <cell r="A744" t="str">
            <v>40014_1</v>
          </cell>
        </row>
        <row r="745">
          <cell r="A745" t="str">
            <v>40015_1</v>
          </cell>
        </row>
        <row r="746">
          <cell r="A746" t="str">
            <v>40016_1</v>
          </cell>
        </row>
        <row r="747">
          <cell r="A747" t="str">
            <v>40016_2</v>
          </cell>
        </row>
        <row r="748">
          <cell r="A748" t="str">
            <v>40017_1</v>
          </cell>
        </row>
        <row r="749">
          <cell r="A749" t="str">
            <v>40017_2</v>
          </cell>
        </row>
        <row r="750">
          <cell r="A750" t="str">
            <v>40017_3</v>
          </cell>
        </row>
        <row r="751">
          <cell r="A751" t="str">
            <v>40018_1</v>
          </cell>
        </row>
        <row r="752">
          <cell r="A752" t="str">
            <v>40018_2</v>
          </cell>
        </row>
        <row r="753">
          <cell r="A753" t="str">
            <v>40018_3</v>
          </cell>
        </row>
        <row r="754">
          <cell r="A754" t="str">
            <v>40019_1</v>
          </cell>
        </row>
        <row r="755">
          <cell r="A755" t="str">
            <v>40019_2</v>
          </cell>
        </row>
        <row r="756">
          <cell r="A756" t="str">
            <v>40019_3</v>
          </cell>
        </row>
        <row r="757">
          <cell r="A757" t="str">
            <v>40021_1</v>
          </cell>
        </row>
        <row r="758">
          <cell r="A758" t="str">
            <v>40021_2</v>
          </cell>
        </row>
        <row r="759">
          <cell r="A759" t="str">
            <v>40022_1</v>
          </cell>
        </row>
        <row r="760">
          <cell r="A760" t="str">
            <v>40022_2</v>
          </cell>
        </row>
        <row r="761">
          <cell r="A761" t="str">
            <v>40023_1</v>
          </cell>
        </row>
        <row r="762">
          <cell r="A762" t="str">
            <v>40023_2</v>
          </cell>
        </row>
        <row r="763">
          <cell r="A763" t="str">
            <v>40024_1</v>
          </cell>
        </row>
        <row r="764">
          <cell r="A764" t="str">
            <v>40024_2</v>
          </cell>
        </row>
        <row r="765">
          <cell r="A765" t="str">
            <v>40025_1</v>
          </cell>
        </row>
        <row r="766">
          <cell r="A766" t="str">
            <v>40025_2</v>
          </cell>
        </row>
        <row r="767">
          <cell r="A767" t="str">
            <v>40026_1</v>
          </cell>
        </row>
        <row r="768">
          <cell r="A768" t="str">
            <v>40026_2</v>
          </cell>
        </row>
        <row r="769">
          <cell r="A769" t="str">
            <v>40027_1</v>
          </cell>
        </row>
        <row r="770">
          <cell r="A770" t="str">
            <v>40027_2</v>
          </cell>
        </row>
        <row r="771">
          <cell r="A771" t="str">
            <v>40028_1</v>
          </cell>
        </row>
        <row r="772">
          <cell r="A772" t="str">
            <v>40028_2</v>
          </cell>
        </row>
        <row r="773">
          <cell r="A773" t="str">
            <v>40029_1</v>
          </cell>
        </row>
        <row r="774">
          <cell r="A774" t="str">
            <v>40029_2</v>
          </cell>
        </row>
        <row r="775">
          <cell r="A775" t="str">
            <v>40030_1</v>
          </cell>
        </row>
        <row r="776">
          <cell r="A776" t="str">
            <v>40030_2</v>
          </cell>
        </row>
        <row r="777">
          <cell r="A777" t="str">
            <v>40031_1</v>
          </cell>
        </row>
        <row r="778">
          <cell r="A778" t="str">
            <v>40031_2</v>
          </cell>
        </row>
        <row r="779">
          <cell r="A779" t="str">
            <v>40032_1</v>
          </cell>
        </row>
        <row r="780">
          <cell r="A780" t="str">
            <v>40032_2</v>
          </cell>
        </row>
        <row r="781">
          <cell r="A781" t="str">
            <v>40033_1</v>
          </cell>
        </row>
        <row r="782">
          <cell r="A782" t="str">
            <v>40033_2</v>
          </cell>
        </row>
        <row r="783">
          <cell r="A783" t="str">
            <v>40034_1</v>
          </cell>
        </row>
        <row r="784">
          <cell r="A784" t="str">
            <v>40034_2</v>
          </cell>
        </row>
        <row r="785">
          <cell r="A785" t="str">
            <v>40035_1</v>
          </cell>
        </row>
        <row r="786">
          <cell r="A786" t="str">
            <v>40035_2</v>
          </cell>
        </row>
        <row r="787">
          <cell r="A787" t="str">
            <v>40036_1</v>
          </cell>
        </row>
        <row r="788">
          <cell r="A788" t="str">
            <v>40036_2</v>
          </cell>
        </row>
        <row r="789">
          <cell r="A789" t="str">
            <v>40037_1</v>
          </cell>
        </row>
        <row r="790">
          <cell r="A790" t="str">
            <v>40037_2</v>
          </cell>
        </row>
        <row r="791">
          <cell r="A791" t="str">
            <v>40038_1</v>
          </cell>
        </row>
        <row r="792">
          <cell r="A792" t="str">
            <v>40038_2</v>
          </cell>
        </row>
        <row r="793">
          <cell r="A793" t="str">
            <v>40039_1</v>
          </cell>
        </row>
        <row r="794">
          <cell r="A794" t="str">
            <v>40039_2</v>
          </cell>
        </row>
        <row r="795">
          <cell r="A795" t="str">
            <v>40040_1</v>
          </cell>
        </row>
        <row r="796">
          <cell r="A796" t="str">
            <v>40040_2</v>
          </cell>
        </row>
        <row r="797">
          <cell r="A797" t="str">
            <v>40041_1</v>
          </cell>
        </row>
        <row r="798">
          <cell r="A798" t="str">
            <v>40041_2</v>
          </cell>
        </row>
        <row r="799">
          <cell r="A799" t="str">
            <v>40042_1</v>
          </cell>
        </row>
        <row r="800">
          <cell r="A800" t="str">
            <v>40042_2</v>
          </cell>
        </row>
        <row r="801">
          <cell r="A801" t="str">
            <v>40043_1</v>
          </cell>
        </row>
        <row r="802">
          <cell r="A802" t="str">
            <v>40043_2</v>
          </cell>
        </row>
        <row r="803">
          <cell r="A803" t="str">
            <v>40044_1</v>
          </cell>
        </row>
        <row r="804">
          <cell r="A804" t="str">
            <v>40044_2</v>
          </cell>
        </row>
        <row r="805">
          <cell r="A805" t="str">
            <v>40045_1</v>
          </cell>
        </row>
        <row r="806">
          <cell r="A806" t="str">
            <v>40045_2</v>
          </cell>
        </row>
        <row r="807">
          <cell r="A807" t="str">
            <v>40046_1</v>
          </cell>
        </row>
        <row r="808">
          <cell r="A808" t="str">
            <v>40046_2</v>
          </cell>
        </row>
        <row r="809">
          <cell r="A809" t="str">
            <v>41001_1</v>
          </cell>
        </row>
        <row r="810">
          <cell r="A810" t="str">
            <v>41001_2</v>
          </cell>
        </row>
        <row r="811">
          <cell r="A811" t="str">
            <v>41001_3</v>
          </cell>
        </row>
        <row r="812">
          <cell r="A812" t="str">
            <v>41002_1</v>
          </cell>
        </row>
        <row r="813">
          <cell r="A813" t="str">
            <v>41002_2</v>
          </cell>
        </row>
        <row r="814">
          <cell r="A814" t="str">
            <v>41002_3</v>
          </cell>
        </row>
        <row r="815">
          <cell r="A815" t="str">
            <v>41002_4</v>
          </cell>
        </row>
        <row r="816">
          <cell r="A816" t="str">
            <v>41003_1</v>
          </cell>
        </row>
        <row r="817">
          <cell r="A817" t="str">
            <v>41003_2</v>
          </cell>
        </row>
        <row r="818">
          <cell r="A818" t="str">
            <v>41003_3</v>
          </cell>
        </row>
        <row r="819">
          <cell r="A819" t="str">
            <v>41003_4</v>
          </cell>
        </row>
        <row r="820">
          <cell r="A820" t="str">
            <v>41004_1</v>
          </cell>
        </row>
        <row r="821">
          <cell r="A821" t="str">
            <v>41004_2</v>
          </cell>
        </row>
        <row r="822">
          <cell r="A822" t="str">
            <v>41004_3</v>
          </cell>
        </row>
        <row r="823">
          <cell r="A823" t="str">
            <v>41005_1</v>
          </cell>
        </row>
        <row r="824">
          <cell r="A824" t="str">
            <v>41005_2</v>
          </cell>
        </row>
        <row r="825">
          <cell r="A825" t="str">
            <v>41005_3</v>
          </cell>
        </row>
        <row r="826">
          <cell r="A826" t="str">
            <v>41006_1</v>
          </cell>
        </row>
        <row r="827">
          <cell r="A827" t="str">
            <v>41006_2</v>
          </cell>
        </row>
        <row r="828">
          <cell r="A828" t="str">
            <v>41006_3</v>
          </cell>
        </row>
        <row r="829">
          <cell r="A829" t="str">
            <v>41007_1</v>
          </cell>
        </row>
        <row r="830">
          <cell r="A830" t="str">
            <v>41007_2</v>
          </cell>
        </row>
        <row r="831">
          <cell r="A831" t="str">
            <v>41007_3</v>
          </cell>
        </row>
        <row r="832">
          <cell r="A832" t="str">
            <v>41008_1</v>
          </cell>
        </row>
        <row r="833">
          <cell r="A833" t="str">
            <v>41008_2</v>
          </cell>
        </row>
        <row r="834">
          <cell r="A834" t="str">
            <v>41008_3</v>
          </cell>
        </row>
        <row r="835">
          <cell r="A835" t="str">
            <v>41009_1</v>
          </cell>
        </row>
        <row r="836">
          <cell r="A836" t="str">
            <v>41009_2</v>
          </cell>
        </row>
        <row r="837">
          <cell r="A837" t="str">
            <v>41009_3</v>
          </cell>
        </row>
        <row r="838">
          <cell r="A838" t="str">
            <v>41010_1</v>
          </cell>
        </row>
        <row r="839">
          <cell r="A839" t="str">
            <v>41010_2</v>
          </cell>
        </row>
        <row r="840">
          <cell r="A840" t="str">
            <v>41010_3</v>
          </cell>
        </row>
        <row r="841">
          <cell r="A841" t="str">
            <v>41011_1</v>
          </cell>
        </row>
        <row r="842">
          <cell r="A842" t="str">
            <v>41011_2</v>
          </cell>
        </row>
        <row r="843">
          <cell r="A843" t="str">
            <v>41012_1</v>
          </cell>
        </row>
        <row r="844">
          <cell r="A844" t="str">
            <v>41012_2</v>
          </cell>
        </row>
        <row r="845">
          <cell r="A845" t="str">
            <v>41013_1</v>
          </cell>
        </row>
        <row r="846">
          <cell r="A846" t="str">
            <v>41013_2</v>
          </cell>
        </row>
        <row r="847">
          <cell r="A847" t="str">
            <v>41014_1</v>
          </cell>
        </row>
        <row r="848">
          <cell r="A848" t="str">
            <v>41014_2</v>
          </cell>
        </row>
        <row r="849">
          <cell r="A849" t="str">
            <v>41015_1</v>
          </cell>
        </row>
        <row r="850">
          <cell r="A850" t="str">
            <v>41015_2</v>
          </cell>
        </row>
        <row r="851">
          <cell r="A851" t="str">
            <v>47001_1</v>
          </cell>
        </row>
        <row r="852">
          <cell r="A852" t="str">
            <v>47001_2</v>
          </cell>
        </row>
        <row r="853">
          <cell r="A853" t="str">
            <v>47002_1</v>
          </cell>
        </row>
        <row r="854">
          <cell r="A854" t="str">
            <v>47002_2</v>
          </cell>
        </row>
        <row r="855">
          <cell r="A855" t="str">
            <v>47003_1</v>
          </cell>
        </row>
        <row r="856">
          <cell r="A856" t="str">
            <v>47003_2</v>
          </cell>
        </row>
        <row r="857">
          <cell r="A857" t="str">
            <v>47003_3</v>
          </cell>
        </row>
        <row r="858">
          <cell r="A858" t="str">
            <v>47003_4</v>
          </cell>
        </row>
        <row r="859">
          <cell r="A859" t="str">
            <v>47004_1</v>
          </cell>
        </row>
        <row r="860">
          <cell r="A860" t="str">
            <v>47004_2</v>
          </cell>
        </row>
        <row r="861">
          <cell r="A861" t="str">
            <v>47004_3</v>
          </cell>
        </row>
        <row r="862">
          <cell r="A862" t="str">
            <v>47004_4</v>
          </cell>
        </row>
        <row r="863">
          <cell r="A863" t="str">
            <v>47005_1</v>
          </cell>
        </row>
        <row r="864">
          <cell r="A864" t="str">
            <v>47006_1</v>
          </cell>
        </row>
        <row r="865">
          <cell r="A865" t="str">
            <v>47006_2</v>
          </cell>
        </row>
        <row r="866">
          <cell r="A866" t="str">
            <v>47007_1</v>
          </cell>
        </row>
        <row r="867">
          <cell r="A867" t="str">
            <v>47007_2</v>
          </cell>
        </row>
        <row r="868">
          <cell r="A868" t="str">
            <v>47008_1</v>
          </cell>
        </row>
        <row r="869">
          <cell r="A869" t="str">
            <v>47008_2</v>
          </cell>
        </row>
        <row r="870">
          <cell r="A870" t="str">
            <v>47009_1</v>
          </cell>
        </row>
        <row r="871">
          <cell r="A871" t="str">
            <v>47009_2</v>
          </cell>
        </row>
        <row r="872">
          <cell r="A872" t="str">
            <v>47010_1</v>
          </cell>
        </row>
        <row r="873">
          <cell r="A873" t="str">
            <v>47010_2</v>
          </cell>
        </row>
        <row r="874">
          <cell r="A874" t="str">
            <v>47011_1</v>
          </cell>
        </row>
        <row r="875">
          <cell r="A875" t="str">
            <v>47012_1</v>
          </cell>
        </row>
        <row r="876">
          <cell r="A876" t="str">
            <v>47012_2</v>
          </cell>
        </row>
        <row r="877">
          <cell r="A877" t="str">
            <v>47013_1</v>
          </cell>
        </row>
        <row r="878">
          <cell r="A878" t="str">
            <v>47013_2</v>
          </cell>
        </row>
        <row r="879">
          <cell r="A879" t="str">
            <v>47013_3</v>
          </cell>
        </row>
        <row r="880">
          <cell r="A880" t="str">
            <v>47013_4</v>
          </cell>
        </row>
        <row r="881">
          <cell r="A881" t="str">
            <v>47014_1</v>
          </cell>
        </row>
        <row r="882">
          <cell r="A882" t="str">
            <v>47014_2</v>
          </cell>
        </row>
        <row r="883">
          <cell r="A883" t="str">
            <v>47014_3</v>
          </cell>
        </row>
        <row r="884">
          <cell r="A884" t="str">
            <v>47015_1</v>
          </cell>
        </row>
        <row r="885">
          <cell r="A885" t="str">
            <v>47015_2</v>
          </cell>
        </row>
        <row r="886">
          <cell r="A886" t="str">
            <v>47015_3</v>
          </cell>
        </row>
        <row r="887">
          <cell r="A887" t="str">
            <v>47016_1</v>
          </cell>
        </row>
        <row r="888">
          <cell r="A888" t="str">
            <v>47016_2</v>
          </cell>
        </row>
        <row r="889">
          <cell r="A889" t="str">
            <v>47016_3</v>
          </cell>
        </row>
        <row r="890">
          <cell r="A890" t="str">
            <v>48001_1</v>
          </cell>
        </row>
        <row r="891">
          <cell r="A891" t="str">
            <v>48002_1</v>
          </cell>
        </row>
        <row r="892">
          <cell r="A892" t="str">
            <v>48002_2</v>
          </cell>
        </row>
        <row r="893">
          <cell r="A893" t="str">
            <v>48002_3</v>
          </cell>
        </row>
        <row r="894">
          <cell r="A894" t="str">
            <v>48003_1</v>
          </cell>
        </row>
        <row r="895">
          <cell r="A895" t="str">
            <v>48003_2</v>
          </cell>
        </row>
        <row r="896">
          <cell r="A896" t="str">
            <v>48004_1</v>
          </cell>
        </row>
        <row r="897">
          <cell r="A897" t="str">
            <v>48004_2</v>
          </cell>
        </row>
        <row r="898">
          <cell r="A898" t="str">
            <v>48005_1</v>
          </cell>
        </row>
        <row r="899">
          <cell r="A899" t="str">
            <v>48005_2</v>
          </cell>
        </row>
        <row r="900">
          <cell r="A900" t="str">
            <v>48006_1</v>
          </cell>
        </row>
        <row r="901">
          <cell r="A901" t="str">
            <v>48006_2</v>
          </cell>
        </row>
        <row r="902">
          <cell r="A902" t="str">
            <v>48007_1</v>
          </cell>
        </row>
        <row r="903">
          <cell r="A903" t="str">
            <v>48007_2</v>
          </cell>
        </row>
        <row r="904">
          <cell r="A904" t="str">
            <v>48008_1</v>
          </cell>
        </row>
        <row r="905">
          <cell r="A905" t="str">
            <v>48008_2</v>
          </cell>
        </row>
        <row r="906">
          <cell r="A906" t="str">
            <v>48009_1</v>
          </cell>
        </row>
        <row r="907">
          <cell r="A907" t="str">
            <v>48009_2</v>
          </cell>
        </row>
        <row r="908">
          <cell r="A908" t="str">
            <v>48010_1</v>
          </cell>
        </row>
        <row r="909">
          <cell r="A909" t="str">
            <v>48011_1</v>
          </cell>
        </row>
        <row r="910">
          <cell r="A910" t="str">
            <v>48011_2</v>
          </cell>
        </row>
        <row r="911">
          <cell r="A911" t="str">
            <v>48012_1</v>
          </cell>
        </row>
        <row r="912">
          <cell r="A912" t="str">
            <v>48012_2</v>
          </cell>
        </row>
        <row r="913">
          <cell r="A913" t="str">
            <v>48013_1</v>
          </cell>
        </row>
        <row r="914">
          <cell r="A914" t="str">
            <v>48013_2</v>
          </cell>
        </row>
        <row r="915">
          <cell r="A915" t="str">
            <v>48014_1</v>
          </cell>
        </row>
        <row r="916">
          <cell r="A916" t="str">
            <v>48014_2</v>
          </cell>
        </row>
        <row r="917">
          <cell r="A917" t="str">
            <v>48015_1</v>
          </cell>
        </row>
        <row r="918">
          <cell r="A918" t="str">
            <v>48015_2</v>
          </cell>
        </row>
        <row r="919">
          <cell r="A919" t="str">
            <v>48101_1</v>
          </cell>
        </row>
        <row r="920">
          <cell r="A920" t="str">
            <v>48101_2</v>
          </cell>
        </row>
        <row r="921">
          <cell r="A921" t="str">
            <v>48501_1</v>
          </cell>
        </row>
        <row r="922">
          <cell r="A922" t="str">
            <v>48501_2</v>
          </cell>
        </row>
        <row r="923">
          <cell r="A923" t="str">
            <v>48502_1</v>
          </cell>
        </row>
        <row r="924">
          <cell r="A924" t="str">
            <v>48502_2</v>
          </cell>
        </row>
        <row r="925">
          <cell r="A925" t="str">
            <v>48503_1</v>
          </cell>
        </row>
        <row r="926">
          <cell r="A926" t="str">
            <v>48503_2</v>
          </cell>
        </row>
        <row r="927">
          <cell r="A927" t="str">
            <v>48504_1</v>
          </cell>
        </row>
        <row r="928">
          <cell r="A928" t="str">
            <v>48504_2</v>
          </cell>
        </row>
        <row r="929">
          <cell r="A929" t="str">
            <v>48701_1</v>
          </cell>
        </row>
        <row r="930">
          <cell r="A930" t="str">
            <v>48701_2</v>
          </cell>
        </row>
        <row r="931">
          <cell r="A931" t="str">
            <v>48702_1</v>
          </cell>
        </row>
        <row r="932">
          <cell r="A932" t="str">
            <v>48702_2</v>
          </cell>
        </row>
        <row r="933">
          <cell r="A933" t="str">
            <v>49001_1</v>
          </cell>
        </row>
        <row r="934">
          <cell r="A934" t="str">
            <v>49002_1</v>
          </cell>
        </row>
        <row r="935">
          <cell r="A935" t="str">
            <v>49002_2</v>
          </cell>
        </row>
        <row r="936">
          <cell r="A936" t="str">
            <v>49003_1</v>
          </cell>
        </row>
        <row r="937">
          <cell r="A937" t="str">
            <v>49003_2</v>
          </cell>
        </row>
        <row r="938">
          <cell r="A938" t="str">
            <v>49004_1</v>
          </cell>
        </row>
        <row r="939">
          <cell r="A939" t="str">
            <v>49004_2</v>
          </cell>
        </row>
        <row r="940">
          <cell r="A940" t="str">
            <v>49004_3</v>
          </cell>
        </row>
        <row r="941">
          <cell r="A941" t="str">
            <v>49005_1</v>
          </cell>
        </row>
        <row r="942">
          <cell r="A942" t="str">
            <v>49006_1</v>
          </cell>
        </row>
        <row r="943">
          <cell r="A943" t="str">
            <v>49006_2</v>
          </cell>
        </row>
        <row r="944">
          <cell r="A944" t="str">
            <v>49007_1</v>
          </cell>
        </row>
        <row r="945">
          <cell r="A945" t="str">
            <v>49007_2</v>
          </cell>
        </row>
        <row r="946">
          <cell r="A946" t="str">
            <v>49007_3</v>
          </cell>
        </row>
        <row r="947">
          <cell r="A947" t="str">
            <v>49008_1</v>
          </cell>
        </row>
        <row r="948">
          <cell r="A948" t="str">
            <v>49009_1</v>
          </cell>
        </row>
        <row r="949">
          <cell r="A949" t="str">
            <v>49010_1</v>
          </cell>
        </row>
        <row r="950">
          <cell r="A950" t="str">
            <v>49011_1</v>
          </cell>
        </row>
        <row r="951">
          <cell r="A951" t="str">
            <v>49012_1</v>
          </cell>
        </row>
        <row r="952">
          <cell r="A952" t="str">
            <v>49013_1</v>
          </cell>
        </row>
        <row r="953">
          <cell r="A953" t="str">
            <v>49014_1</v>
          </cell>
        </row>
        <row r="954">
          <cell r="A954" t="str">
            <v>49014_2</v>
          </cell>
        </row>
        <row r="955">
          <cell r="A955" t="str">
            <v>49015_1</v>
          </cell>
        </row>
        <row r="956">
          <cell r="A956" t="str">
            <v>49015_2</v>
          </cell>
        </row>
        <row r="957">
          <cell r="A957" t="str">
            <v>49015_3</v>
          </cell>
        </row>
        <row r="958">
          <cell r="A958" t="str">
            <v>49016_1</v>
          </cell>
        </row>
        <row r="959">
          <cell r="A959" t="str">
            <v>49016_2</v>
          </cell>
        </row>
        <row r="960">
          <cell r="A960" t="str">
            <v>50001_1</v>
          </cell>
        </row>
        <row r="961">
          <cell r="A961" t="str">
            <v>50002_1</v>
          </cell>
        </row>
        <row r="962">
          <cell r="A962" t="str">
            <v>50003_1</v>
          </cell>
        </row>
        <row r="963">
          <cell r="A963" t="str">
            <v>50004_1</v>
          </cell>
        </row>
        <row r="964">
          <cell r="A964" t="str">
            <v>50005_1</v>
          </cell>
        </row>
        <row r="965">
          <cell r="A965" t="str">
            <v>50006_1</v>
          </cell>
        </row>
        <row r="966">
          <cell r="A966" t="str">
            <v>50007_1</v>
          </cell>
        </row>
        <row r="967">
          <cell r="A967" t="str">
            <v>50008_1</v>
          </cell>
        </row>
        <row r="968">
          <cell r="A968" t="str">
            <v>50009_1</v>
          </cell>
        </row>
        <row r="969">
          <cell r="A969" t="str">
            <v>50010_1</v>
          </cell>
        </row>
        <row r="970">
          <cell r="A970" t="str">
            <v>50011_1</v>
          </cell>
        </row>
        <row r="971">
          <cell r="A971" t="str">
            <v>50012_1</v>
          </cell>
        </row>
        <row r="972">
          <cell r="A972" t="str">
            <v>50013_1</v>
          </cell>
        </row>
        <row r="973">
          <cell r="A973" t="str">
            <v>50014_1</v>
          </cell>
        </row>
        <row r="974">
          <cell r="A974" t="str">
            <v>50015_1</v>
          </cell>
        </row>
        <row r="975">
          <cell r="A975" t="str">
            <v>50016_1</v>
          </cell>
        </row>
        <row r="976">
          <cell r="A976" t="str">
            <v>51001_1</v>
          </cell>
        </row>
        <row r="977">
          <cell r="A977" t="str">
            <v>51002_1</v>
          </cell>
        </row>
        <row r="978">
          <cell r="A978" t="str">
            <v>58001_1</v>
          </cell>
        </row>
        <row r="979">
          <cell r="A979" t="str">
            <v>58002_1</v>
          </cell>
        </row>
        <row r="980">
          <cell r="A980" t="str">
            <v>58003_1</v>
          </cell>
        </row>
        <row r="981">
          <cell r="A981" t="str">
            <v>58101_1</v>
          </cell>
        </row>
        <row r="982">
          <cell r="A982" t="str">
            <v>59001_1</v>
          </cell>
        </row>
        <row r="983">
          <cell r="A983" t="str">
            <v>59002_1</v>
          </cell>
        </row>
        <row r="984">
          <cell r="A984" t="str">
            <v>59003_1</v>
          </cell>
        </row>
        <row r="985">
          <cell r="A985" t="str">
            <v>59003_2</v>
          </cell>
        </row>
        <row r="986">
          <cell r="A986" t="str">
            <v>60001_1</v>
          </cell>
        </row>
        <row r="987">
          <cell r="A987" t="str">
            <v>60002_1</v>
          </cell>
        </row>
        <row r="988">
          <cell r="A988" t="str">
            <v>60002_2</v>
          </cell>
        </row>
        <row r="989">
          <cell r="A989" t="str">
            <v>60003_1</v>
          </cell>
        </row>
        <row r="990">
          <cell r="A990" t="str">
            <v>60003_2</v>
          </cell>
        </row>
        <row r="991">
          <cell r="A991" t="str">
            <v>60003_3</v>
          </cell>
        </row>
        <row r="992">
          <cell r="A992" t="str">
            <v>60004_1</v>
          </cell>
        </row>
        <row r="993">
          <cell r="A993" t="str">
            <v>60005_1</v>
          </cell>
        </row>
        <row r="994">
          <cell r="A994" t="str">
            <v>60006_1</v>
          </cell>
        </row>
        <row r="995">
          <cell r="A995" t="str">
            <v>60006_2</v>
          </cell>
        </row>
        <row r="996">
          <cell r="A996" t="str">
            <v>60006_3</v>
          </cell>
        </row>
        <row r="997">
          <cell r="A997" t="str">
            <v>60007_1</v>
          </cell>
        </row>
        <row r="998">
          <cell r="A998" t="str">
            <v>60007_2</v>
          </cell>
        </row>
        <row r="999">
          <cell r="A999" t="str">
            <v>60007_3</v>
          </cell>
        </row>
        <row r="1000">
          <cell r="A1000" t="str">
            <v>60010_1</v>
          </cell>
        </row>
        <row r="1001">
          <cell r="A1001" t="str">
            <v>60011_1</v>
          </cell>
        </row>
        <row r="1002">
          <cell r="A1002" t="str">
            <v>60011_2</v>
          </cell>
        </row>
        <row r="1003">
          <cell r="A1003" t="str">
            <v>60012_1</v>
          </cell>
        </row>
        <row r="1004">
          <cell r="A1004" t="str">
            <v>60013_1</v>
          </cell>
        </row>
        <row r="1005">
          <cell r="A1005" t="str">
            <v>60013_2</v>
          </cell>
        </row>
        <row r="1006">
          <cell r="A1006" t="str">
            <v>60013_3</v>
          </cell>
        </row>
        <row r="1007">
          <cell r="A1007" t="str">
            <v>60014_1</v>
          </cell>
        </row>
        <row r="1008">
          <cell r="A1008" t="str">
            <v>60015_1</v>
          </cell>
        </row>
        <row r="1009">
          <cell r="A1009" t="str">
            <v>60016_1</v>
          </cell>
        </row>
        <row r="1010">
          <cell r="A1010" t="str">
            <v>60017_1</v>
          </cell>
        </row>
        <row r="1011">
          <cell r="A1011" t="str">
            <v>60018_1</v>
          </cell>
        </row>
        <row r="1012">
          <cell r="A1012" t="str">
            <v>60019_1</v>
          </cell>
        </row>
        <row r="1013">
          <cell r="A1013" t="str">
            <v>60020_1</v>
          </cell>
        </row>
        <row r="1014">
          <cell r="A1014" t="str">
            <v>60021_3</v>
          </cell>
        </row>
        <row r="1015">
          <cell r="A1015" t="str">
            <v>60022_3</v>
          </cell>
        </row>
        <row r="1016">
          <cell r="A1016" t="str">
            <v>60023_3</v>
          </cell>
        </row>
        <row r="1017">
          <cell r="A1017" t="str">
            <v>60024_3</v>
          </cell>
        </row>
        <row r="1018">
          <cell r="A1018" t="str">
            <v>60025_1</v>
          </cell>
        </row>
        <row r="1019">
          <cell r="A1019" t="str">
            <v>60026_1</v>
          </cell>
        </row>
        <row r="1020">
          <cell r="A1020" t="str">
            <v>61011_1</v>
          </cell>
        </row>
        <row r="1021">
          <cell r="A1021" t="str">
            <v>60027_1</v>
          </cell>
        </row>
        <row r="1022">
          <cell r="A1022" t="str">
            <v>60028_1</v>
          </cell>
        </row>
        <row r="1023">
          <cell r="A1023" t="str">
            <v>60029_1</v>
          </cell>
        </row>
        <row r="1024">
          <cell r="A1024" t="str">
            <v>60030_1</v>
          </cell>
        </row>
        <row r="1025">
          <cell r="A1025" t="str">
            <v>60031_1</v>
          </cell>
        </row>
        <row r="1026">
          <cell r="A1026" t="str">
            <v>60032_1</v>
          </cell>
        </row>
        <row r="1027">
          <cell r="A1027" t="str">
            <v>61001_1</v>
          </cell>
        </row>
        <row r="1028">
          <cell r="A1028" t="str">
            <v>61001_2</v>
          </cell>
        </row>
        <row r="1029">
          <cell r="A1029" t="str">
            <v>61001_3</v>
          </cell>
        </row>
        <row r="1030">
          <cell r="A1030" t="str">
            <v>61001_4</v>
          </cell>
        </row>
        <row r="1031">
          <cell r="A1031" t="str">
            <v>61001_5</v>
          </cell>
        </row>
        <row r="1032">
          <cell r="A1032" t="str">
            <v>61001_6</v>
          </cell>
        </row>
        <row r="1033">
          <cell r="A1033" t="str">
            <v>61001_7</v>
          </cell>
        </row>
        <row r="1034">
          <cell r="A1034" t="str">
            <v>65523_1</v>
          </cell>
        </row>
        <row r="1035">
          <cell r="A1035" t="str">
            <v>65523_2</v>
          </cell>
        </row>
        <row r="1036">
          <cell r="A1036" t="str">
            <v>65523_3</v>
          </cell>
        </row>
        <row r="1037">
          <cell r="A1037" t="str">
            <v>65524_1</v>
          </cell>
        </row>
        <row r="1038">
          <cell r="A1038" t="str">
            <v>65524_2</v>
          </cell>
        </row>
        <row r="1039">
          <cell r="A1039" t="str">
            <v>65525_1</v>
          </cell>
        </row>
        <row r="1040">
          <cell r="A1040" t="str">
            <v>65526_1</v>
          </cell>
        </row>
        <row r="1041">
          <cell r="A1041" t="str">
            <v>65526_2</v>
          </cell>
        </row>
        <row r="1042">
          <cell r="A1042" t="str">
            <v>65527_1</v>
          </cell>
        </row>
        <row r="1043">
          <cell r="A1043" t="str">
            <v>65528_1</v>
          </cell>
        </row>
        <row r="1044">
          <cell r="A1044" t="str">
            <v>65529_1</v>
          </cell>
        </row>
        <row r="1045">
          <cell r="A1045" t="str">
            <v>65530_1</v>
          </cell>
        </row>
        <row r="1046">
          <cell r="A1046" t="str">
            <v>65531_1</v>
          </cell>
        </row>
        <row r="1047">
          <cell r="A1047" t="str">
            <v>65531_2</v>
          </cell>
        </row>
        <row r="1048">
          <cell r="A1048" t="str">
            <v>65532_1</v>
          </cell>
        </row>
        <row r="1049">
          <cell r="A1049" t="str">
            <v>65532_2</v>
          </cell>
        </row>
        <row r="1050">
          <cell r="A1050" t="str">
            <v>65533_1</v>
          </cell>
        </row>
        <row r="1051">
          <cell r="A1051" t="str">
            <v>65533_2</v>
          </cell>
        </row>
        <row r="1052">
          <cell r="A1052" t="str">
            <v>65534_1</v>
          </cell>
        </row>
        <row r="1053">
          <cell r="A1053" t="str">
            <v>65535_1</v>
          </cell>
        </row>
        <row r="1054">
          <cell r="A1054" t="str">
            <v>65535_2</v>
          </cell>
        </row>
        <row r="1055">
          <cell r="A1055" t="str">
            <v>65535_3</v>
          </cell>
        </row>
        <row r="1056">
          <cell r="A1056" t="str">
            <v>65535_4</v>
          </cell>
        </row>
        <row r="1057">
          <cell r="A1057" t="str">
            <v>65535_5</v>
          </cell>
        </row>
        <row r="1058">
          <cell r="A1058" t="str">
            <v>65535_6</v>
          </cell>
        </row>
        <row r="1059">
          <cell r="A1059" t="str">
            <v>65535_7</v>
          </cell>
        </row>
        <row r="1060">
          <cell r="A1060" t="str">
            <v>65535_8</v>
          </cell>
        </row>
        <row r="1061">
          <cell r="A1061" t="str">
            <v>65535_9</v>
          </cell>
        </row>
        <row r="1062">
          <cell r="A106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1697</v>
          </cell>
        </row>
        <row r="1434">
          <cell r="A1434">
            <v>1698</v>
          </cell>
        </row>
        <row r="1435">
          <cell r="A1435">
            <v>1699</v>
          </cell>
        </row>
        <row r="1436">
          <cell r="A1436">
            <v>1700</v>
          </cell>
        </row>
        <row r="1437">
          <cell r="A1437">
            <v>1701</v>
          </cell>
        </row>
        <row r="1438">
          <cell r="A1438">
            <v>1702</v>
          </cell>
        </row>
        <row r="1439">
          <cell r="A1439">
            <v>1703</v>
          </cell>
        </row>
        <row r="1440">
          <cell r="A1440">
            <v>1704</v>
          </cell>
        </row>
        <row r="1441">
          <cell r="A1441">
            <v>1705</v>
          </cell>
        </row>
        <row r="1442">
          <cell r="A1442">
            <v>1706</v>
          </cell>
        </row>
        <row r="1443">
          <cell r="A1443">
            <v>1707</v>
          </cell>
        </row>
        <row r="1444">
          <cell r="A1444">
            <v>1708</v>
          </cell>
        </row>
        <row r="1445">
          <cell r="A1445">
            <v>1709</v>
          </cell>
        </row>
        <row r="1446">
          <cell r="A1446">
            <v>1710</v>
          </cell>
        </row>
        <row r="1447">
          <cell r="A1447">
            <v>1711</v>
          </cell>
        </row>
        <row r="1448">
          <cell r="A1448">
            <v>1712</v>
          </cell>
        </row>
        <row r="1449">
          <cell r="A1449">
            <v>1713</v>
          </cell>
        </row>
        <row r="1450">
          <cell r="A1450">
            <v>1714</v>
          </cell>
        </row>
        <row r="1451">
          <cell r="A1451">
            <v>1715</v>
          </cell>
        </row>
        <row r="1452">
          <cell r="A1452">
            <v>1716</v>
          </cell>
        </row>
        <row r="1453">
          <cell r="A1453">
            <v>1717</v>
          </cell>
        </row>
        <row r="1454">
          <cell r="A1454">
            <v>1718</v>
          </cell>
        </row>
        <row r="1455">
          <cell r="A1455">
            <v>1719</v>
          </cell>
        </row>
        <row r="1456">
          <cell r="A1456">
            <v>5001</v>
          </cell>
        </row>
        <row r="1457">
          <cell r="A1457">
            <v>5002</v>
          </cell>
        </row>
        <row r="1458">
          <cell r="A1458">
            <v>5003</v>
          </cell>
        </row>
        <row r="1459">
          <cell r="A1459">
            <v>5004</v>
          </cell>
        </row>
        <row r="1460">
          <cell r="A1460">
            <v>5005</v>
          </cell>
        </row>
        <row r="1461">
          <cell r="A1461">
            <v>5006</v>
          </cell>
        </row>
        <row r="1462">
          <cell r="A1462">
            <v>5007</v>
          </cell>
        </row>
        <row r="1463">
          <cell r="A1463">
            <v>5008</v>
          </cell>
        </row>
        <row r="1464">
          <cell r="A1464">
            <v>5011</v>
          </cell>
        </row>
        <row r="1465">
          <cell r="A1465">
            <v>5012</v>
          </cell>
        </row>
        <row r="1466">
          <cell r="A1466">
            <v>6001</v>
          </cell>
        </row>
        <row r="1467">
          <cell r="A1467">
            <v>6002</v>
          </cell>
        </row>
        <row r="1468">
          <cell r="A1468">
            <v>6003</v>
          </cell>
        </row>
        <row r="1469">
          <cell r="A1469">
            <v>6004</v>
          </cell>
        </row>
        <row r="1470">
          <cell r="A1470">
            <v>6005</v>
          </cell>
        </row>
        <row r="1471">
          <cell r="A1471">
            <v>6006</v>
          </cell>
        </row>
        <row r="1472">
          <cell r="A1472">
            <v>6007</v>
          </cell>
        </row>
        <row r="1473">
          <cell r="A1473">
            <v>6008</v>
          </cell>
        </row>
        <row r="1474">
          <cell r="A1474">
            <v>6009</v>
          </cell>
        </row>
        <row r="1475">
          <cell r="A1475">
            <v>6010</v>
          </cell>
        </row>
        <row r="1476">
          <cell r="A1476">
            <v>6011</v>
          </cell>
        </row>
        <row r="1477">
          <cell r="A1477">
            <v>6012</v>
          </cell>
        </row>
        <row r="1478">
          <cell r="A1478">
            <v>6013</v>
          </cell>
        </row>
        <row r="1479">
          <cell r="A1479">
            <v>6014</v>
          </cell>
        </row>
        <row r="1480">
          <cell r="A1480">
            <v>6015</v>
          </cell>
        </row>
        <row r="1481">
          <cell r="A1481">
            <v>6016</v>
          </cell>
        </row>
        <row r="1482">
          <cell r="A1482">
            <v>6017</v>
          </cell>
        </row>
        <row r="1483">
          <cell r="A1483">
            <v>6018</v>
          </cell>
        </row>
        <row r="1484">
          <cell r="A1484">
            <v>6019</v>
          </cell>
        </row>
        <row r="1485">
          <cell r="A1485">
            <v>6020</v>
          </cell>
        </row>
        <row r="1486">
          <cell r="A1486">
            <v>8001</v>
          </cell>
        </row>
        <row r="1487">
          <cell r="A1487">
            <v>8002</v>
          </cell>
        </row>
        <row r="1488">
          <cell r="A1488">
            <v>8003</v>
          </cell>
        </row>
        <row r="1489">
          <cell r="A1489">
            <v>8004</v>
          </cell>
        </row>
        <row r="1490">
          <cell r="A1490">
            <v>8005</v>
          </cell>
        </row>
        <row r="1491">
          <cell r="A1491">
            <v>8006</v>
          </cell>
        </row>
        <row r="1492">
          <cell r="A1492">
            <v>8007</v>
          </cell>
        </row>
        <row r="1493">
          <cell r="A1493">
            <v>8008</v>
          </cell>
        </row>
        <row r="1494">
          <cell r="A1494">
            <v>8009</v>
          </cell>
        </row>
        <row r="1495">
          <cell r="A1495">
            <v>8010</v>
          </cell>
        </row>
        <row r="1496">
          <cell r="A1496">
            <v>8011</v>
          </cell>
        </row>
        <row r="1497">
          <cell r="A1497">
            <v>8012</v>
          </cell>
        </row>
        <row r="1498">
          <cell r="A1498">
            <v>8013</v>
          </cell>
        </row>
        <row r="1499">
          <cell r="A1499">
            <v>8014</v>
          </cell>
        </row>
        <row r="1500">
          <cell r="A1500">
            <v>8015</v>
          </cell>
        </row>
        <row r="1501">
          <cell r="A1501">
            <v>8016</v>
          </cell>
        </row>
        <row r="1502">
          <cell r="A1502">
            <v>8017</v>
          </cell>
        </row>
        <row r="1503">
          <cell r="A1503">
            <v>8018</v>
          </cell>
        </row>
        <row r="1504">
          <cell r="A1504">
            <v>8019</v>
          </cell>
        </row>
        <row r="1505">
          <cell r="A1505">
            <v>8020</v>
          </cell>
        </row>
        <row r="1506">
          <cell r="A1506">
            <v>8021</v>
          </cell>
        </row>
        <row r="1507">
          <cell r="A1507">
            <v>8022</v>
          </cell>
        </row>
        <row r="1508">
          <cell r="A1508">
            <v>8023</v>
          </cell>
        </row>
        <row r="1509">
          <cell r="A1509">
            <v>8024</v>
          </cell>
        </row>
        <row r="1510">
          <cell r="A1510">
            <v>8025</v>
          </cell>
        </row>
        <row r="1511">
          <cell r="A1511">
            <v>8026</v>
          </cell>
        </row>
        <row r="1512">
          <cell r="A1512">
            <v>8027</v>
          </cell>
        </row>
        <row r="1513">
          <cell r="A1513">
            <v>8028</v>
          </cell>
        </row>
        <row r="1514">
          <cell r="A1514">
            <v>8029</v>
          </cell>
        </row>
        <row r="1515">
          <cell r="A1515">
            <v>8030</v>
          </cell>
        </row>
        <row r="1516">
          <cell r="A1516">
            <v>8031</v>
          </cell>
        </row>
        <row r="1517">
          <cell r="A1517">
            <v>8032</v>
          </cell>
        </row>
        <row r="1518">
          <cell r="A1518">
            <v>8033</v>
          </cell>
        </row>
        <row r="1519">
          <cell r="A1519">
            <v>8034</v>
          </cell>
        </row>
        <row r="1520">
          <cell r="A1520">
            <v>8035</v>
          </cell>
        </row>
        <row r="1521">
          <cell r="A1521">
            <v>8036</v>
          </cell>
        </row>
        <row r="1522">
          <cell r="A1522">
            <v>8037</v>
          </cell>
        </row>
        <row r="1523">
          <cell r="A1523">
            <v>8038</v>
          </cell>
        </row>
        <row r="1524">
          <cell r="A1524">
            <v>8039</v>
          </cell>
        </row>
        <row r="1525">
          <cell r="A1525">
            <v>8040</v>
          </cell>
        </row>
        <row r="1526">
          <cell r="A1526">
            <v>8041</v>
          </cell>
        </row>
        <row r="1527">
          <cell r="A1527">
            <v>8042</v>
          </cell>
        </row>
        <row r="1528">
          <cell r="A1528">
            <v>8043</v>
          </cell>
        </row>
        <row r="1529">
          <cell r="A1529">
            <v>8044</v>
          </cell>
        </row>
        <row r="1530">
          <cell r="A1530">
            <v>8045</v>
          </cell>
        </row>
        <row r="1531">
          <cell r="A1531">
            <v>8046</v>
          </cell>
        </row>
        <row r="1532">
          <cell r="A1532">
            <v>8047</v>
          </cell>
        </row>
        <row r="1533">
          <cell r="A1533">
            <v>8048</v>
          </cell>
        </row>
        <row r="1534">
          <cell r="A1534">
            <v>8049</v>
          </cell>
        </row>
        <row r="1535">
          <cell r="A1535">
            <v>8050</v>
          </cell>
        </row>
        <row r="1536">
          <cell r="A1536">
            <v>8051</v>
          </cell>
        </row>
        <row r="1537">
          <cell r="A1537">
            <v>8052</v>
          </cell>
        </row>
        <row r="1538">
          <cell r="A1538">
            <v>8053</v>
          </cell>
        </row>
        <row r="1539">
          <cell r="A1539">
            <v>8054</v>
          </cell>
        </row>
        <row r="1540">
          <cell r="A1540">
            <v>8055</v>
          </cell>
        </row>
        <row r="1541">
          <cell r="A1541">
            <v>8056</v>
          </cell>
        </row>
        <row r="1542">
          <cell r="A1542">
            <v>8057</v>
          </cell>
        </row>
        <row r="1543">
          <cell r="A1543">
            <v>8058</v>
          </cell>
        </row>
        <row r="1544">
          <cell r="A1544">
            <v>8059</v>
          </cell>
        </row>
        <row r="1545">
          <cell r="A1545">
            <v>8060</v>
          </cell>
        </row>
        <row r="1546">
          <cell r="A1546">
            <v>8061</v>
          </cell>
        </row>
        <row r="1547">
          <cell r="A1547">
            <v>8062</v>
          </cell>
        </row>
        <row r="1548">
          <cell r="A1548">
            <v>8063</v>
          </cell>
        </row>
        <row r="1549">
          <cell r="A1549">
            <v>8064</v>
          </cell>
        </row>
        <row r="1550">
          <cell r="A1550">
            <v>8065</v>
          </cell>
        </row>
        <row r="1551">
          <cell r="A1551">
            <v>8066</v>
          </cell>
        </row>
        <row r="1552">
          <cell r="A1552">
            <v>8067</v>
          </cell>
        </row>
        <row r="1553">
          <cell r="A1553">
            <v>8068</v>
          </cell>
        </row>
        <row r="1554">
          <cell r="A1554">
            <v>8069</v>
          </cell>
        </row>
        <row r="1555">
          <cell r="A1555">
            <v>8070</v>
          </cell>
        </row>
        <row r="1556">
          <cell r="A1556">
            <v>8071</v>
          </cell>
        </row>
        <row r="1557">
          <cell r="A1557">
            <v>8072</v>
          </cell>
        </row>
        <row r="1558">
          <cell r="A1558">
            <v>8073</v>
          </cell>
        </row>
        <row r="1559">
          <cell r="A1559">
            <v>8074</v>
          </cell>
        </row>
        <row r="1560">
          <cell r="A1560">
            <v>8077</v>
          </cell>
        </row>
        <row r="1561">
          <cell r="A1561">
            <v>8078</v>
          </cell>
        </row>
        <row r="1562">
          <cell r="A1562">
            <v>8079</v>
          </cell>
        </row>
        <row r="1563">
          <cell r="A1563">
            <v>8080</v>
          </cell>
        </row>
        <row r="1564">
          <cell r="A1564">
            <v>8081</v>
          </cell>
        </row>
        <row r="1565">
          <cell r="A1565">
            <v>8082</v>
          </cell>
        </row>
        <row r="1566">
          <cell r="A1566">
            <v>8083</v>
          </cell>
        </row>
        <row r="1567">
          <cell r="A1567">
            <v>8084</v>
          </cell>
        </row>
        <row r="1568">
          <cell r="A1568">
            <v>8085</v>
          </cell>
        </row>
        <row r="1569">
          <cell r="A1569">
            <v>8086</v>
          </cell>
        </row>
        <row r="1570">
          <cell r="A1570">
            <v>8087</v>
          </cell>
        </row>
        <row r="1571">
          <cell r="A1571">
            <v>8088</v>
          </cell>
        </row>
        <row r="1572">
          <cell r="A1572">
            <v>8089</v>
          </cell>
        </row>
        <row r="1573">
          <cell r="A1573">
            <v>8090</v>
          </cell>
        </row>
        <row r="1574">
          <cell r="A1574">
            <v>8095</v>
          </cell>
        </row>
        <row r="1575">
          <cell r="A1575">
            <v>8096</v>
          </cell>
        </row>
        <row r="1576">
          <cell r="A1576">
            <v>8097</v>
          </cell>
        </row>
        <row r="1577">
          <cell r="A1577">
            <v>8098</v>
          </cell>
        </row>
        <row r="1578">
          <cell r="A1578">
            <v>8099</v>
          </cell>
        </row>
        <row r="1579">
          <cell r="A1579">
            <v>8100</v>
          </cell>
        </row>
        <row r="1580">
          <cell r="A1580">
            <v>8101</v>
          </cell>
        </row>
        <row r="1581">
          <cell r="A1581">
            <v>8102</v>
          </cell>
        </row>
        <row r="1582">
          <cell r="A1582">
            <v>8103</v>
          </cell>
        </row>
        <row r="1583">
          <cell r="A1583">
            <v>8104</v>
          </cell>
        </row>
        <row r="1584">
          <cell r="A1584">
            <v>8105</v>
          </cell>
        </row>
        <row r="1585">
          <cell r="A1585">
            <v>8106</v>
          </cell>
        </row>
        <row r="1586">
          <cell r="A1586">
            <v>8111</v>
          </cell>
        </row>
        <row r="1587">
          <cell r="A1587">
            <v>8112</v>
          </cell>
        </row>
        <row r="1588">
          <cell r="A1588">
            <v>8113</v>
          </cell>
        </row>
        <row r="1589">
          <cell r="A1589">
            <v>8114</v>
          </cell>
        </row>
        <row r="1590">
          <cell r="A1590">
            <v>8115</v>
          </cell>
        </row>
        <row r="1591">
          <cell r="A1591">
            <v>8116</v>
          </cell>
        </row>
        <row r="1592">
          <cell r="A1592">
            <v>8117</v>
          </cell>
        </row>
        <row r="1593">
          <cell r="A1593">
            <v>8118</v>
          </cell>
        </row>
        <row r="1594">
          <cell r="A1594">
            <v>8119</v>
          </cell>
        </row>
        <row r="1595">
          <cell r="A1595">
            <v>8120</v>
          </cell>
        </row>
        <row r="1596">
          <cell r="A1596">
            <v>8121</v>
          </cell>
        </row>
        <row r="1597">
          <cell r="A1597">
            <v>8122</v>
          </cell>
        </row>
        <row r="1598">
          <cell r="A1598">
            <v>8127</v>
          </cell>
        </row>
        <row r="1599">
          <cell r="A1599">
            <v>8128</v>
          </cell>
        </row>
        <row r="1600">
          <cell r="A1600">
            <v>8129</v>
          </cell>
        </row>
        <row r="1601">
          <cell r="A1601">
            <v>8130</v>
          </cell>
        </row>
        <row r="1602">
          <cell r="A1602">
            <v>8131</v>
          </cell>
        </row>
        <row r="1603">
          <cell r="A1603">
            <v>8132</v>
          </cell>
        </row>
        <row r="1604">
          <cell r="A1604">
            <v>8133</v>
          </cell>
        </row>
        <row r="1605">
          <cell r="A1605">
            <v>8134</v>
          </cell>
        </row>
        <row r="1606">
          <cell r="A1606">
            <v>8135</v>
          </cell>
        </row>
        <row r="1607">
          <cell r="A1607">
            <v>8136</v>
          </cell>
        </row>
        <row r="1608">
          <cell r="A1608">
            <v>8137</v>
          </cell>
        </row>
        <row r="1609">
          <cell r="A1609">
            <v>8138</v>
          </cell>
        </row>
        <row r="1610">
          <cell r="A1610">
            <v>9001</v>
          </cell>
        </row>
        <row r="1611">
          <cell r="A1611">
            <v>9002</v>
          </cell>
        </row>
        <row r="1612">
          <cell r="A1612">
            <v>9003</v>
          </cell>
        </row>
        <row r="1613">
          <cell r="A1613">
            <v>9004</v>
          </cell>
        </row>
        <row r="1614">
          <cell r="A1614">
            <v>9005</v>
          </cell>
        </row>
        <row r="1615">
          <cell r="A1615">
            <v>9006</v>
          </cell>
        </row>
        <row r="1616">
          <cell r="A1616">
            <v>9007</v>
          </cell>
        </row>
        <row r="1617">
          <cell r="A1617">
            <v>9008</v>
          </cell>
        </row>
        <row r="1618">
          <cell r="A1618">
            <v>10101</v>
          </cell>
        </row>
        <row r="1619">
          <cell r="A1619">
            <v>10102</v>
          </cell>
        </row>
        <row r="1620">
          <cell r="A1620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H10" sqref="H10"/>
    </sheetView>
  </sheetViews>
  <sheetFormatPr baseColWidth="12" defaultRowHeight="15" x14ac:dyDescent="0.15"/>
  <cols>
    <col min="2" max="2" width="20.5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130</v>
      </c>
      <c r="B1" s="54" t="s">
        <v>100</v>
      </c>
      <c r="C1" s="54" t="s">
        <v>101</v>
      </c>
      <c r="D1" s="54" t="s">
        <v>102</v>
      </c>
      <c r="E1" s="54" t="s">
        <v>103</v>
      </c>
      <c r="F1" s="54" t="s">
        <v>104</v>
      </c>
      <c r="G1" s="54" t="s">
        <v>105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285</v>
      </c>
      <c r="B2" s="56" t="s">
        <v>106</v>
      </c>
      <c r="C2" s="61">
        <v>49016</v>
      </c>
      <c r="D2" s="56" t="s">
        <v>107</v>
      </c>
      <c r="E2" s="55" t="str">
        <f>B2&amp;C2&amp;D2</f>
        <v>floors_49016.tmp</v>
      </c>
      <c r="F2" s="56" t="s">
        <v>108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285</v>
      </c>
      <c r="B3" s="56" t="s">
        <v>109</v>
      </c>
      <c r="C3" s="61">
        <v>49016</v>
      </c>
      <c r="D3" s="56" t="s">
        <v>107</v>
      </c>
      <c r="E3" s="55" t="str">
        <f>B3&amp;C3&amp;D3</f>
        <v>enemy_habitats_49016.tmp</v>
      </c>
      <c r="F3" s="56" t="s">
        <v>110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53</v>
      </c>
      <c r="AD3" s="57" t="s">
        <v>178</v>
      </c>
    </row>
    <row r="4" spans="1:30" x14ac:dyDescent="0.15">
      <c r="A4" s="60" t="s">
        <v>285</v>
      </c>
      <c r="B4" s="56" t="s">
        <v>111</v>
      </c>
      <c r="C4" s="61">
        <v>49016</v>
      </c>
      <c r="D4" s="56" t="s">
        <v>107</v>
      </c>
      <c r="E4" s="55" t="str">
        <f>B4&amp;C4&amp;D4</f>
        <v>enemy_habitat_S_49016.tmp</v>
      </c>
      <c r="F4" s="56" t="s">
        <v>112</v>
      </c>
      <c r="G4" s="57" t="s">
        <v>0</v>
      </c>
      <c r="H4" s="57" t="s">
        <v>1</v>
      </c>
      <c r="I4" s="57" t="s">
        <v>13</v>
      </c>
      <c r="J4" s="57" t="s">
        <v>53</v>
      </c>
      <c r="K4" s="57" t="s">
        <v>54</v>
      </c>
      <c r="L4" s="57" t="s">
        <v>55</v>
      </c>
      <c r="M4" s="57" t="s">
        <v>56</v>
      </c>
      <c r="N4" s="57" t="s">
        <v>57</v>
      </c>
      <c r="O4" s="57" t="s">
        <v>58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285</v>
      </c>
      <c r="B5" s="56" t="s">
        <v>113</v>
      </c>
      <c r="C5" s="61">
        <v>49016</v>
      </c>
      <c r="D5" s="56" t="s">
        <v>107</v>
      </c>
      <c r="E5" s="55" t="str">
        <f>B5&amp;C5&amp;D5</f>
        <v>enemy_skill_sets_49016.tmp</v>
      </c>
      <c r="F5" s="56" t="s">
        <v>114</v>
      </c>
      <c r="G5" s="58" t="s">
        <v>22</v>
      </c>
      <c r="H5" s="58" t="s">
        <v>99</v>
      </c>
      <c r="I5" s="58" t="s">
        <v>94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285</v>
      </c>
      <c r="B6" s="56" t="s">
        <v>115</v>
      </c>
      <c r="C6" s="61">
        <v>49016</v>
      </c>
      <c r="D6" s="56" t="s">
        <v>116</v>
      </c>
      <c r="E6" s="55" t="str">
        <f t="shared" ref="E6:E10" si="0">B6&amp;C6&amp;D6</f>
        <v>enemy_skills_tmp_49016.tmp</v>
      </c>
      <c r="F6" s="56" t="s">
        <v>90</v>
      </c>
      <c r="G6" s="57" t="s">
        <v>78</v>
      </c>
      <c r="H6" s="57" t="s">
        <v>79</v>
      </c>
      <c r="I6" s="57" t="s">
        <v>80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296</v>
      </c>
      <c r="B7" s="56" t="s">
        <v>117</v>
      </c>
      <c r="C7" s="61">
        <v>49016</v>
      </c>
      <c r="D7" s="56" t="s">
        <v>107</v>
      </c>
      <c r="E7" s="55" t="str">
        <f>B7&amp;C7&amp;D7</f>
        <v>enemy_skills_i18n_49016.tmp</v>
      </c>
      <c r="F7" s="56" t="s">
        <v>118</v>
      </c>
      <c r="G7" s="57" t="s">
        <v>78</v>
      </c>
      <c r="H7" s="57" t="s">
        <v>91</v>
      </c>
      <c r="I7" s="57" t="s">
        <v>92</v>
      </c>
      <c r="J7" s="57" t="s">
        <v>93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296</v>
      </c>
      <c r="B8" s="56" t="s">
        <v>119</v>
      </c>
      <c r="C8" s="61">
        <v>49016</v>
      </c>
      <c r="D8" s="56" t="s">
        <v>120</v>
      </c>
      <c r="E8" s="55" t="str">
        <f t="shared" si="0"/>
        <v>enemy_skill_triggers_49016.tmp</v>
      </c>
      <c r="F8" s="56" t="s">
        <v>121</v>
      </c>
      <c r="G8" s="57" t="s">
        <v>94</v>
      </c>
      <c r="H8" s="57" t="s">
        <v>95</v>
      </c>
      <c r="I8" s="57" t="s">
        <v>96</v>
      </c>
      <c r="J8" s="57" t="s">
        <v>97</v>
      </c>
      <c r="K8" s="57" t="s">
        <v>122</v>
      </c>
      <c r="L8" s="57" t="s">
        <v>98</v>
      </c>
      <c r="M8" s="57" t="s">
        <v>123</v>
      </c>
      <c r="N8" s="57" t="s">
        <v>124</v>
      </c>
      <c r="O8" s="57" t="s">
        <v>125</v>
      </c>
      <c r="P8" s="57" t="s">
        <v>66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296</v>
      </c>
      <c r="B9" s="66" t="s">
        <v>177</v>
      </c>
      <c r="C9" s="61">
        <v>49016</v>
      </c>
      <c r="D9" s="66" t="s">
        <v>171</v>
      </c>
      <c r="E9" s="67" t="str">
        <f t="shared" si="0"/>
        <v>stage_bug_bonuses_49016.tmp</v>
      </c>
      <c r="F9" s="66" t="s">
        <v>172</v>
      </c>
      <c r="G9" s="63" t="s">
        <v>150</v>
      </c>
      <c r="H9" s="63" t="s">
        <v>173</v>
      </c>
      <c r="I9" s="63" t="s">
        <v>174</v>
      </c>
      <c r="J9" s="65" t="s">
        <v>175</v>
      </c>
      <c r="K9" s="63" t="s">
        <v>176</v>
      </c>
      <c r="L9" s="63" t="s">
        <v>156</v>
      </c>
      <c r="M9" s="63" t="s">
        <v>157</v>
      </c>
      <c r="N9" s="63" t="s">
        <v>158</v>
      </c>
      <c r="O9" s="63" t="s">
        <v>159</v>
      </c>
      <c r="P9" s="63" t="s">
        <v>160</v>
      </c>
      <c r="Q9" s="63" t="s">
        <v>161</v>
      </c>
      <c r="R9" s="63" t="s">
        <v>162</v>
      </c>
      <c r="S9" s="63" t="s">
        <v>163</v>
      </c>
      <c r="T9" s="63" t="s">
        <v>164</v>
      </c>
      <c r="U9" s="63" t="s">
        <v>165</v>
      </c>
      <c r="V9" s="63" t="s">
        <v>166</v>
      </c>
      <c r="W9" s="63" t="s">
        <v>167</v>
      </c>
      <c r="X9" s="56"/>
      <c r="Y9" s="56"/>
      <c r="Z9" s="56"/>
      <c r="AA9" s="56"/>
      <c r="AB9" s="56"/>
      <c r="AC9" s="56"/>
      <c r="AD9" s="56"/>
    </row>
    <row r="10" spans="1:30" s="73" customFormat="1" x14ac:dyDescent="0.15">
      <c r="A10" s="60" t="s">
        <v>187</v>
      </c>
      <c r="B10" s="66" t="s">
        <v>200</v>
      </c>
      <c r="C10" s="61">
        <v>49016</v>
      </c>
      <c r="D10" s="66" t="s">
        <v>180</v>
      </c>
      <c r="E10" s="67" t="str">
        <f t="shared" si="0"/>
        <v>stage_hints_data_c_49016.tmp</v>
      </c>
      <c r="F10" s="66" t="s">
        <v>208</v>
      </c>
      <c r="G10" s="71" t="s">
        <v>181</v>
      </c>
      <c r="H10" s="71" t="s">
        <v>173</v>
      </c>
      <c r="I10" s="72" t="s">
        <v>182</v>
      </c>
      <c r="J10" s="65" t="s">
        <v>183</v>
      </c>
      <c r="K10" s="65" t="s">
        <v>184</v>
      </c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7"/>
      <c r="AB10" s="97"/>
      <c r="AC10" s="97"/>
      <c r="AD10" s="97"/>
    </row>
    <row r="11" spans="1:30" s="73" customFormat="1" x14ac:dyDescent="0.15">
      <c r="A11" s="60" t="s">
        <v>296</v>
      </c>
      <c r="B11" s="66" t="s">
        <v>201</v>
      </c>
      <c r="C11" s="61">
        <v>49016</v>
      </c>
      <c r="D11" s="66" t="s">
        <v>171</v>
      </c>
      <c r="E11" s="67" t="str">
        <f t="shared" ref="E11:E13" si="1">B11&amp;C11&amp;D11</f>
        <v>stage_hints_data_f_49016.tmp</v>
      </c>
      <c r="F11" s="66" t="s">
        <v>209</v>
      </c>
      <c r="G11" s="71" t="s">
        <v>181</v>
      </c>
      <c r="H11" s="71" t="s">
        <v>173</v>
      </c>
      <c r="I11" s="72" t="s">
        <v>182</v>
      </c>
      <c r="J11" s="65" t="s">
        <v>183</v>
      </c>
      <c r="K11" s="65" t="s">
        <v>184</v>
      </c>
      <c r="L11" s="262" t="s">
        <v>517</v>
      </c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7"/>
      <c r="AB11" s="97"/>
      <c r="AC11" s="97"/>
      <c r="AD11" s="97"/>
    </row>
    <row r="12" spans="1:30" s="73" customFormat="1" x14ac:dyDescent="0.15">
      <c r="A12" s="66" t="s">
        <v>405</v>
      </c>
      <c r="B12" s="66" t="s">
        <v>202</v>
      </c>
      <c r="C12" s="61">
        <v>49016</v>
      </c>
      <c r="D12" s="66" t="s">
        <v>171</v>
      </c>
      <c r="E12" s="67" t="str">
        <f t="shared" si="1"/>
        <v>stage_hints_i18n_49016.tmp</v>
      </c>
      <c r="F12" s="66" t="s">
        <v>210</v>
      </c>
      <c r="G12" s="72" t="s">
        <v>203</v>
      </c>
      <c r="H12" s="90" t="s">
        <v>204</v>
      </c>
      <c r="I12" s="71" t="s">
        <v>205</v>
      </c>
      <c r="J12" s="98" t="s">
        <v>206</v>
      </c>
      <c r="K12" s="65" t="s">
        <v>207</v>
      </c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/>
      <c r="Y12" s="97"/>
      <c r="Z12" s="97"/>
      <c r="AA12" s="97"/>
      <c r="AB12" s="97"/>
      <c r="AC12" s="97"/>
      <c r="AD12" s="97"/>
    </row>
    <row r="13" spans="1:30" s="73" customFormat="1" x14ac:dyDescent="0.15">
      <c r="A13" s="66" t="s">
        <v>405</v>
      </c>
      <c r="B13" s="66" t="s">
        <v>250</v>
      </c>
      <c r="C13" s="61">
        <v>49016</v>
      </c>
      <c r="D13" s="66" t="s">
        <v>231</v>
      </c>
      <c r="E13" s="67" t="str">
        <f t="shared" si="1"/>
        <v>stage_bonuses_49016.tmp</v>
      </c>
      <c r="F13" s="66" t="s">
        <v>230</v>
      </c>
      <c r="G13" s="71" t="s">
        <v>232</v>
      </c>
      <c r="H13" s="71" t="s">
        <v>233</v>
      </c>
      <c r="I13" s="71" t="s">
        <v>234</v>
      </c>
      <c r="J13" s="71" t="s">
        <v>235</v>
      </c>
      <c r="K13" s="71" t="s">
        <v>236</v>
      </c>
      <c r="L13" s="71" t="s">
        <v>237</v>
      </c>
      <c r="M13" s="71" t="s">
        <v>238</v>
      </c>
      <c r="N13" s="71" t="s">
        <v>239</v>
      </c>
      <c r="O13" s="71" t="s">
        <v>240</v>
      </c>
      <c r="P13" s="71" t="s">
        <v>241</v>
      </c>
      <c r="Q13" s="71" t="s">
        <v>242</v>
      </c>
      <c r="R13" s="71" t="s">
        <v>243</v>
      </c>
      <c r="S13" s="71" t="s">
        <v>244</v>
      </c>
      <c r="T13" s="71" t="s">
        <v>245</v>
      </c>
      <c r="U13" s="71" t="s">
        <v>246</v>
      </c>
      <c r="V13" s="71" t="s">
        <v>247</v>
      </c>
      <c r="W13" s="71" t="s">
        <v>248</v>
      </c>
      <c r="X13" s="71" t="s">
        <v>249</v>
      </c>
      <c r="Y13" s="97"/>
      <c r="Z13" s="97"/>
      <c r="AA13" s="97"/>
      <c r="AB13" s="97"/>
      <c r="AC13" s="97"/>
      <c r="AD13" s="97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7"/>
  <sheetViews>
    <sheetView showGridLines="0" workbookViewId="0">
      <pane ySplit="1" topLeftCell="A2" activePane="bottomLeft" state="frozen"/>
      <selection activeCell="V2" sqref="V2:X34"/>
      <selection pane="bottomLeft" activeCell="J2" sqref="J2:K7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7" si="0">G2&amp;"-"&amp;I2</f>
        <v>49016_1-1</v>
      </c>
      <c r="B2" s="16" t="str">
        <f>IF(COUNTIF(enemy_habitats!$H:$H,A2),"OK","NG")</f>
        <v>OK</v>
      </c>
      <c r="C2" s="7">
        <v>49016</v>
      </c>
      <c r="D2" s="11" t="str">
        <f ca="1">VLOOKUP($C2,OFFSET([2]quests!$A$1,0,0,COUNTA([2]quests!$A:$A),MATCH(D$1,[2]quests!$1:$1,0)-MATCH($C$1,[2]quests!$1:$1,0)+1),MATCH(D$1,[2]quests!$1:$1,0)-MATCH($C$1,[2]quests!$1:$1,0)+1,FALSE)</f>
        <v>栗転</v>
      </c>
      <c r="E2" s="18" t="str">
        <f ca="1">VLOOKUP($C2,OFFSET([2]quests!$A$1,0,0,COUNTA([2]quests!$A:$A),MATCH(E$1,[2]quests!$1:$1,0)-MATCH($C$1,[2]quests!$1:$1,0)+1),MATCH(E$1,[2]quests!$1:$1,0)-MATCH($C$1,[2]quests!$1:$1,0)+1,FALSE)</f>
        <v>コラボ降臨12</v>
      </c>
      <c r="F2" s="21">
        <v>1</v>
      </c>
      <c r="G2" s="23" t="str">
        <f t="shared" ref="G2:G7" si="1">C2&amp;"_"&amp;F2</f>
        <v>49016_1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【超絶級】栗転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si="0"/>
        <v>49016_1-2</v>
      </c>
      <c r="B3" s="16" t="str">
        <f>IF(COUNTIF(enemy_habitats!$H:$H,A3),"OK","NG")</f>
        <v>OK</v>
      </c>
      <c r="C3" s="7">
        <v>49016</v>
      </c>
      <c r="D3" s="11" t="str">
        <f ca="1">VLOOKUP($C3,OFFSET([2]quests!$A$1,0,0,COUNTA([2]quests!$A:$A),MATCH(D$1,[2]quests!$1:$1,0)-MATCH($C$1,[2]quests!$1:$1,0)+1),MATCH(D$1,[2]quests!$1:$1,0)-MATCH($C$1,[2]quests!$1:$1,0)+1,FALSE)</f>
        <v>栗転</v>
      </c>
      <c r="E3" s="18" t="str">
        <f ca="1">VLOOKUP($C3,OFFSET([2]quests!$A$1,0,0,COUNTA([2]quests!$A:$A),MATCH(E$1,[2]quests!$1:$1,0)-MATCH($C$1,[2]quests!$1:$1,0)+1),MATCH(E$1,[2]quests!$1:$1,0)-MATCH($C$1,[2]quests!$1:$1,0)+1,FALSE)</f>
        <v>コラボ降臨12</v>
      </c>
      <c r="F3" s="21">
        <v>1</v>
      </c>
      <c r="G3" s="23" t="str">
        <f t="shared" si="1"/>
        <v>49016_1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【超絶級】栗転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49016_1-3</v>
      </c>
      <c r="B4" s="16" t="str">
        <f>IF(COUNTIF(enemy_habitats!$H:$H,A4),"OK","NG")</f>
        <v>OK</v>
      </c>
      <c r="C4" s="7">
        <v>49016</v>
      </c>
      <c r="D4" s="11" t="str">
        <f ca="1">VLOOKUP($C4,OFFSET([2]quests!$A$1,0,0,COUNTA([2]quests!$A:$A),MATCH(D$1,[2]quests!$1:$1,0)-MATCH($C$1,[2]quests!$1:$1,0)+1),MATCH(D$1,[2]quests!$1:$1,0)-MATCH($C$1,[2]quests!$1:$1,0)+1,FALSE)</f>
        <v>栗転</v>
      </c>
      <c r="E4" s="18" t="str">
        <f ca="1">VLOOKUP($C4,OFFSET([2]quests!$A$1,0,0,COUNTA([2]quests!$A:$A),MATCH(E$1,[2]quests!$1:$1,0)-MATCH($C$1,[2]quests!$1:$1,0)+1),MATCH(E$1,[2]quests!$1:$1,0)-MATCH($C$1,[2]quests!$1:$1,0)+1,FALSE)</f>
        <v>コラボ降臨12</v>
      </c>
      <c r="F4" s="21">
        <v>1</v>
      </c>
      <c r="G4" s="23" t="str">
        <f t="shared" si="1"/>
        <v>49016_1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【超絶級】栗転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49016_2-1</v>
      </c>
      <c r="B5" s="16" t="str">
        <f>IF(COUNTIF(enemy_habitats!$H:$H,A5),"OK","NG")</f>
        <v>OK</v>
      </c>
      <c r="C5" s="7">
        <v>49016</v>
      </c>
      <c r="D5" s="11" t="str">
        <f ca="1">VLOOKUP($C5,OFFSET([2]quests!$A$1,0,0,COUNTA([2]quests!$A:$A),MATCH(D$1,[2]quests!$1:$1,0)-MATCH($C$1,[2]quests!$1:$1,0)+1),MATCH(D$1,[2]quests!$1:$1,0)-MATCH($C$1,[2]quests!$1:$1,0)+1,FALSE)</f>
        <v>栗転</v>
      </c>
      <c r="E5" s="18" t="str">
        <f ca="1">VLOOKUP($C5,OFFSET([2]quests!$A$1,0,0,COUNTA([2]quests!$A:$A),MATCH(E$1,[2]quests!$1:$1,0)-MATCH($C$1,[2]quests!$1:$1,0)+1),MATCH(E$1,[2]quests!$1:$1,0)-MATCH($C$1,[2]quests!$1:$1,0)+1,FALSE)</f>
        <v>コラボ降臨12</v>
      </c>
      <c r="F5" s="21">
        <v>2</v>
      </c>
      <c r="G5" s="23" t="str">
        <f t="shared" si="1"/>
        <v>49016_2</v>
      </c>
      <c r="H5" s="15" t="str">
        <f ca="1">VLOOKUP($G5,OFFSET([2]stages!$A$1,0,0,COUNTA([2]stages!$A:$A),MATCH(H$1,[2]stages!$2:$2,0)-MATCH($G$1,[2]stages!$2:$2,0)+1),MATCH(H$1,[2]stages!$2:$2,0)-MATCH($G$1,[2]stages!$2:$2,0)+1,FALSE)</f>
        <v>【ウィザード級】栗転</v>
      </c>
      <c r="I5" s="21">
        <v>1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49016_2-2</v>
      </c>
      <c r="B6" s="16" t="str">
        <f>IF(COUNTIF(enemy_habitats!$H:$H,A6),"OK","NG")</f>
        <v>OK</v>
      </c>
      <c r="C6" s="7">
        <v>49016</v>
      </c>
      <c r="D6" s="11" t="str">
        <f ca="1">VLOOKUP($C6,OFFSET([2]quests!$A$1,0,0,COUNTA([2]quests!$A:$A),MATCH(D$1,[2]quests!$1:$1,0)-MATCH($C$1,[2]quests!$1:$1,0)+1),MATCH(D$1,[2]quests!$1:$1,0)-MATCH($C$1,[2]quests!$1:$1,0)+1,FALSE)</f>
        <v>栗転</v>
      </c>
      <c r="E6" s="18" t="str">
        <f ca="1">VLOOKUP($C6,OFFSET([2]quests!$A$1,0,0,COUNTA([2]quests!$A:$A),MATCH(E$1,[2]quests!$1:$1,0)-MATCH($C$1,[2]quests!$1:$1,0)+1),MATCH(E$1,[2]quests!$1:$1,0)-MATCH($C$1,[2]quests!$1:$1,0)+1,FALSE)</f>
        <v>コラボ降臨12</v>
      </c>
      <c r="F6" s="21">
        <v>2</v>
      </c>
      <c r="G6" s="23" t="str">
        <f t="shared" si="1"/>
        <v>49016_2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【ウィザード級】栗転</v>
      </c>
      <c r="I6" s="21">
        <v>2</v>
      </c>
      <c r="J6" s="12">
        <v>60</v>
      </c>
      <c r="K6" s="12">
        <v>60</v>
      </c>
    </row>
    <row r="7" spans="1:11" ht="21" customHeight="1" x14ac:dyDescent="0.15">
      <c r="A7" s="16" t="str">
        <f t="shared" si="0"/>
        <v>49016_2-3</v>
      </c>
      <c r="B7" s="16" t="str">
        <f>IF(COUNTIF(enemy_habitats!$H:$H,A7),"OK","NG")</f>
        <v>OK</v>
      </c>
      <c r="C7" s="7">
        <v>49016</v>
      </c>
      <c r="D7" s="11" t="str">
        <f ca="1">VLOOKUP($C7,OFFSET([2]quests!$A$1,0,0,COUNTA([2]quests!$A:$A),MATCH(D$1,[2]quests!$1:$1,0)-MATCH($C$1,[2]quests!$1:$1,0)+1),MATCH(D$1,[2]quests!$1:$1,0)-MATCH($C$1,[2]quests!$1:$1,0)+1,FALSE)</f>
        <v>栗転</v>
      </c>
      <c r="E7" s="18" t="str">
        <f ca="1">VLOOKUP($C7,OFFSET([2]quests!$A$1,0,0,COUNTA([2]quests!$A:$A),MATCH(E$1,[2]quests!$1:$1,0)-MATCH($C$1,[2]quests!$1:$1,0)+1),MATCH(E$1,[2]quests!$1:$1,0)-MATCH($C$1,[2]quests!$1:$1,0)+1,FALSE)</f>
        <v>コラボ降臨12</v>
      </c>
      <c r="F7" s="21">
        <v>2</v>
      </c>
      <c r="G7" s="23" t="str">
        <f t="shared" si="1"/>
        <v>49016_2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【ウィザード級】栗転</v>
      </c>
      <c r="I7" s="21">
        <v>3</v>
      </c>
      <c r="J7" s="12">
        <v>60</v>
      </c>
      <c r="K7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7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AD7" sqref="AD7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1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18.83203125" style="13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99" t="s">
        <v>251</v>
      </c>
      <c r="U1" s="26" t="s">
        <v>50</v>
      </c>
      <c r="V1" s="99" t="s">
        <v>252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179</v>
      </c>
    </row>
    <row r="2" spans="1:42" ht="21" customHeight="1" x14ac:dyDescent="0.15">
      <c r="A2" s="16" t="str">
        <f t="shared" ref="A2:A7" si="0">B2&amp;"_"&amp;C2&amp;"-"&amp;G2&amp;"/"&amp;L2&amp;"&lt;lv"&amp;R2&amp;"&gt;s"&amp;AC2</f>
        <v>49016_1-1/1560&lt;lv30&gt;s2</v>
      </c>
      <c r="B2" s="22">
        <v>49016</v>
      </c>
      <c r="C2" s="21">
        <v>1</v>
      </c>
      <c r="D2" s="2" t="str">
        <f t="shared" ref="D2:D7" si="1">B2&amp;"_"&amp;C2</f>
        <v>49016_1</v>
      </c>
      <c r="E2" s="4" t="str">
        <f ca="1">VLOOKUP($B2,OFFSET([2]quests!$A$1,0,0,COUNTA([2]quests!$A:$A),MATCH(E$1,[2]quests!$1:$1,0)-MATCH($B$1,[2]quests!$1:$1,0)+1),MATCH(E$1,[2]quests!$1:$1,0)-MATCH($B$1,[2]quests!$1:$1,0)+1,FALSE)</f>
        <v>栗転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【超絶級】栗転</v>
      </c>
      <c r="G2" s="21">
        <v>1</v>
      </c>
      <c r="H2" s="15" t="str">
        <f t="shared" ref="H2:H7" si="2">B2&amp;"_"&amp;C2&amp;"-"&amp;G2</f>
        <v>49016_1-1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20">
        <v>1560</v>
      </c>
      <c r="M2" s="17" t="str">
        <f ca="1">VLOOKUP($L2,OFFSET([3]enemies!$A$1,0,0,COUNTA([3]enemies!$A:$A),MATCH(M$1,[3]enemies!$1:$1,0)-MATCH($L$1,[3]enemies!$1:$1,0)+1),MATCH(M$1,[3]enemies!$1:$1,0)-MATCH($L$1,[3]enemies!$1:$1,0)+1,FALSE)</f>
        <v>Pisces01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30</v>
      </c>
      <c r="S2" s="133">
        <v>2.2000000000000002</v>
      </c>
      <c r="T2" s="100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117810.00000000001</v>
      </c>
      <c r="U2" s="133">
        <v>0.8</v>
      </c>
      <c r="V2" s="100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2696.8</v>
      </c>
      <c r="W2" s="5">
        <v>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102">
        <v>49016020</v>
      </c>
      <c r="Z2" s="6">
        <v>0</v>
      </c>
      <c r="AA2" s="6">
        <v>100</v>
      </c>
      <c r="AB2" s="6">
        <v>0</v>
      </c>
      <c r="AC2" s="104">
        <v>2</v>
      </c>
      <c r="AD2" s="24">
        <f t="shared" ref="AD2:AD7" si="3">L2</f>
        <v>1560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Pisces01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5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2" s="7">
        <v>1</v>
      </c>
      <c r="AI2" s="24">
        <f t="shared" ref="AI2:AI7" ca="1" si="4">AF2</f>
        <v>5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8">
        <v>1</v>
      </c>
    </row>
    <row r="3" spans="1:42" ht="21" customHeight="1" x14ac:dyDescent="0.15">
      <c r="A3" s="16" t="str">
        <f t="shared" si="0"/>
        <v>49016_1-2/1551&lt;lv35&gt;s2</v>
      </c>
      <c r="B3" s="22">
        <v>49016</v>
      </c>
      <c r="C3" s="21">
        <v>1</v>
      </c>
      <c r="D3" s="2" t="str">
        <f t="shared" si="1"/>
        <v>49016_1</v>
      </c>
      <c r="E3" s="4" t="str">
        <f ca="1">VLOOKUP($B3,OFFSET([2]quests!$A$1,0,0,COUNTA([2]quests!$A:$A),MATCH(E$1,[2]quests!$1:$1,0)-MATCH($B$1,[2]quests!$1:$1,0)+1),MATCH(E$1,[2]quests!$1:$1,0)-MATCH($B$1,[2]quests!$1:$1,0)+1,FALSE)</f>
        <v>栗転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【超絶級】栗転</v>
      </c>
      <c r="G3" s="21">
        <v>2</v>
      </c>
      <c r="H3" s="15" t="str">
        <f t="shared" si="2"/>
        <v>49016_1-2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20">
        <v>1551</v>
      </c>
      <c r="M3" s="17" t="str">
        <f ca="1">VLOOKUP($L3,OFFSET([3]enemies!$A$1,0,0,COUNTA([3]enemies!$A:$A),MATCH(M$1,[3]enemies!$1:$1,0)-MATCH($L$1,[3]enemies!$1:$1,0)+1),MATCH(M$1,[3]enemies!$1:$1,0)-MATCH($L$1,[3]enemies!$1:$1,0)+1,FALSE)</f>
        <v>Leo01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PremiumSSS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35</v>
      </c>
      <c r="S3" s="25">
        <v>3</v>
      </c>
      <c r="T3" s="100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131400</v>
      </c>
      <c r="U3" s="25">
        <v>0.6</v>
      </c>
      <c r="V3" s="100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2092.7999999999997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3" s="103">
        <v>49016220</v>
      </c>
      <c r="Z3" s="6">
        <v>0</v>
      </c>
      <c r="AA3" s="6">
        <v>100</v>
      </c>
      <c r="AB3" s="6">
        <v>0</v>
      </c>
      <c r="AC3" s="104">
        <v>2</v>
      </c>
      <c r="AD3" s="24">
        <f t="shared" si="3"/>
        <v>1551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Leo01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5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PremiumSSS</v>
      </c>
      <c r="AH3" s="7">
        <v>1</v>
      </c>
      <c r="AI3" s="24">
        <f t="shared" ca="1" si="4"/>
        <v>5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8">
        <v>1</v>
      </c>
    </row>
    <row r="4" spans="1:42" ht="21" customHeight="1" thickBot="1" x14ac:dyDescent="0.2">
      <c r="A4" s="136" t="str">
        <f t="shared" si="0"/>
        <v>49016_1-3/1581&lt;lv40&gt;s1</v>
      </c>
      <c r="B4" s="137">
        <v>49016</v>
      </c>
      <c r="C4" s="138">
        <v>1</v>
      </c>
      <c r="D4" s="139" t="str">
        <f t="shared" si="1"/>
        <v>49016_1</v>
      </c>
      <c r="E4" s="140" t="str">
        <f ca="1">VLOOKUP($B4,OFFSET([2]quests!$A$1,0,0,COUNTA([2]quests!$A:$A),MATCH(E$1,[2]quests!$1:$1,0)-MATCH($B$1,[2]quests!$1:$1,0)+1),MATCH(E$1,[2]quests!$1:$1,0)-MATCH($B$1,[2]quests!$1:$1,0)+1,FALSE)</f>
        <v>栗転</v>
      </c>
      <c r="F4" s="140" t="str">
        <f ca="1">VLOOKUP($D4,OFFSET([2]stages!$A$1,0,0,COUNTA([2]stages!$A:$A),MATCH(F$1,[2]stages!$2:$2,0)-MATCH($D$1,[2]stages!$2:$2,0)+1),MATCH(F$1,[2]stages!$2:$2,0)-MATCH($D$1,[2]stages!$2:$2,0)+1,FALSE)</f>
        <v>【超絶級】栗転</v>
      </c>
      <c r="G4" s="138">
        <v>3</v>
      </c>
      <c r="H4" s="139" t="str">
        <f t="shared" si="2"/>
        <v>49016_1-3</v>
      </c>
      <c r="I4" s="140">
        <f ca="1">VLOOKUP($H4,OFFSET(floors!$A$1,0,0,COUNTA(floors!$A:$A),MATCH(I$1,floors!$1:$1,0)-MATCH($H$1,floors!$1:$1,0)+1),MATCH(I$1,floors!$1:$1,0)-MATCH($H$1,floors!$1:$1,0)+1,FALSE)</f>
        <v>60</v>
      </c>
      <c r="J4" s="140">
        <f ca="1">VLOOKUP($H4,OFFSET(floors!$A$1,0,0,COUNTA(floors!$A:$A),MATCH(J$1,floors!$1:$1,0)-MATCH($H$1,floors!$1:$1,0)+1),MATCH(J$1,floors!$1:$1,0)-MATCH($H$1,floors!$1:$1,0)+1,FALSE)</f>
        <v>60</v>
      </c>
      <c r="K4" s="141">
        <v>3</v>
      </c>
      <c r="L4" s="142">
        <v>1581</v>
      </c>
      <c r="M4" s="143" t="str">
        <f ca="1">VLOOKUP($L4,OFFSET([3]enemies!$A$1,0,0,COUNTA([3]enemies!$A:$A),MATCH(M$1,[3]enemies!$1:$1,0)-MATCH($L$1,[3]enemies!$1:$1,0)+1),MATCH(M$1,[3]enemies!$1:$1,0)-MATCH($L$1,[3]enemies!$1:$1,0)+1,FALSE)</f>
        <v>Gemini01</v>
      </c>
      <c r="N4" s="143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43" t="str">
        <f ca="1">VLOOKUP($L4,OFFSET([4]characters!$A$1,0,0,COUNTA([4]characters!$A:$A),MATCH(O$1,[4]characters!$1:$1,0)-MATCH($L$1,[4]characters!$1:$1,0)+1),MATCH(O$1,[4]characters!$1:$1,0)-MATCH($L$1,[4]characters!$1:$1,0)+1,FALSE)</f>
        <v>DropWizS</v>
      </c>
      <c r="P4" s="143" t="str">
        <f ca="1">VLOOKUP($L4,OFFSET([3]enemies!$A$1,0,0,COUNTA([3]enemies!$A:$A),MATCH(P$1,[3]enemies!$1:$1,0)-MATCH($L$1,[3]enemies!$1:$1,0)+1),MATCH(P$1,[3]enemies!$1:$1,0)-MATCH($L$1,[3]enemies!$1:$1,0)+1,FALSE)</f>
        <v>orochi</v>
      </c>
      <c r="Q4" s="143">
        <f ca="1">VLOOKUP($L4,OFFSET([3]enemies!$A$1,0,0,COUNTA([3]enemies!$A:$A),MATCH(Q$1,[3]enemies!$1:$1,0)-MATCH($L$1,[3]enemies!$1:$1,0)+1),MATCH(Q$1,[3]enemies!$1:$1,0)-MATCH($L$1,[3]enemies!$1:$1,0)+1,FALSE)</f>
        <v>60</v>
      </c>
      <c r="R4" s="144">
        <v>40</v>
      </c>
      <c r="S4" s="145">
        <v>4</v>
      </c>
      <c r="T4" s="146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243820</v>
      </c>
      <c r="U4" s="145">
        <v>1.2</v>
      </c>
      <c r="V4" s="146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5091.5999999999995</v>
      </c>
      <c r="W4" s="144">
        <v>0</v>
      </c>
      <c r="X4" s="140" t="e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4" s="147">
        <v>49016420</v>
      </c>
      <c r="Z4" s="154">
        <v>0</v>
      </c>
      <c r="AA4" s="154">
        <v>100</v>
      </c>
      <c r="AB4" s="154">
        <v>0</v>
      </c>
      <c r="AC4" s="155">
        <v>1</v>
      </c>
      <c r="AD4" s="156">
        <f t="shared" si="3"/>
        <v>1581</v>
      </c>
      <c r="AE4" s="140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Gemini01</v>
      </c>
      <c r="AF4" s="140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140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4" s="157">
        <v>1</v>
      </c>
      <c r="AI4" s="156">
        <f t="shared" ca="1" si="4"/>
        <v>5</v>
      </c>
      <c r="AJ4" s="158">
        <v>50</v>
      </c>
      <c r="AK4" s="157">
        <v>0</v>
      </c>
      <c r="AL4" s="157">
        <v>0</v>
      </c>
      <c r="AM4" s="157">
        <v>0</v>
      </c>
      <c r="AN4" s="157">
        <v>0</v>
      </c>
      <c r="AO4" s="157">
        <v>1</v>
      </c>
      <c r="AP4" s="159">
        <v>1</v>
      </c>
    </row>
    <row r="5" spans="1:42" ht="21" customHeight="1" x14ac:dyDescent="0.15">
      <c r="A5" s="16" t="str">
        <f t="shared" si="0"/>
        <v>49016_2-1/1560&lt;lv50&gt;s2</v>
      </c>
      <c r="B5" s="22">
        <v>49016</v>
      </c>
      <c r="C5" s="128">
        <v>2</v>
      </c>
      <c r="D5" s="129" t="str">
        <f t="shared" si="1"/>
        <v>49016_2</v>
      </c>
      <c r="E5" s="4" t="str">
        <f ca="1">VLOOKUP($B5,OFFSET([2]quests!$A$1,0,0,COUNTA([2]quests!$A:$A),MATCH(E$1,[2]quests!$1:$1,0)-MATCH($B$1,[2]quests!$1:$1,0)+1),MATCH(E$1,[2]quests!$1:$1,0)-MATCH($B$1,[2]quests!$1:$1,0)+1,FALSE)</f>
        <v>栗転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【ウィザード級】栗転</v>
      </c>
      <c r="G5" s="128">
        <v>1</v>
      </c>
      <c r="H5" s="129" t="str">
        <f t="shared" si="2"/>
        <v>49016_2-1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130">
        <v>1</v>
      </c>
      <c r="L5" s="131">
        <v>1560</v>
      </c>
      <c r="M5" s="17" t="str">
        <f ca="1">VLOOKUP($L5,OFFSET([3]enemies!$A$1,0,0,COUNTA([3]enemies!$A:$A),MATCH(M$1,[3]enemies!$1:$1,0)-MATCH($L$1,[3]enemies!$1:$1,0)+1),MATCH(M$1,[3]enemies!$1:$1,0)-MATCH($L$1,[3]enemies!$1:$1,0)+1,FALSE)</f>
        <v>Pisces01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132">
        <v>50</v>
      </c>
      <c r="S5" s="133">
        <v>2.2000000000000002</v>
      </c>
      <c r="T5" s="134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192610.00000000003</v>
      </c>
      <c r="U5" s="133">
        <v>0.7</v>
      </c>
      <c r="V5" s="134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3857.7</v>
      </c>
      <c r="W5" s="132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[表示しない]</v>
      </c>
      <c r="Y5" s="102">
        <v>49016000</v>
      </c>
      <c r="Z5" s="149">
        <v>0</v>
      </c>
      <c r="AA5" s="149">
        <v>100</v>
      </c>
      <c r="AB5" s="149">
        <v>0</v>
      </c>
      <c r="AC5" s="104">
        <v>2</v>
      </c>
      <c r="AD5" s="150">
        <f t="shared" si="3"/>
        <v>1560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Pisces01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5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5" s="151">
        <v>1</v>
      </c>
      <c r="AI5" s="150">
        <f t="shared" ca="1" si="4"/>
        <v>5</v>
      </c>
      <c r="AJ5" s="152">
        <v>0</v>
      </c>
      <c r="AK5" s="151">
        <v>0</v>
      </c>
      <c r="AL5" s="151">
        <v>0</v>
      </c>
      <c r="AM5" s="151">
        <v>0</v>
      </c>
      <c r="AN5" s="151">
        <v>0</v>
      </c>
      <c r="AO5" s="151">
        <v>1</v>
      </c>
      <c r="AP5" s="153">
        <v>1</v>
      </c>
    </row>
    <row r="6" spans="1:42" ht="21" customHeight="1" x14ac:dyDescent="0.15">
      <c r="A6" s="16" t="str">
        <f t="shared" si="0"/>
        <v>49016_2-2/1551&lt;lv50&gt;s2</v>
      </c>
      <c r="B6" s="22">
        <v>49016</v>
      </c>
      <c r="C6" s="21">
        <v>2</v>
      </c>
      <c r="D6" s="2" t="str">
        <f t="shared" si="1"/>
        <v>49016_2</v>
      </c>
      <c r="E6" s="4" t="str">
        <f ca="1">VLOOKUP($B6,OFFSET([2]quests!$A$1,0,0,COUNTA([2]quests!$A:$A),MATCH(E$1,[2]quests!$1:$1,0)-MATCH($B$1,[2]quests!$1:$1,0)+1),MATCH(E$1,[2]quests!$1:$1,0)-MATCH($B$1,[2]quests!$1:$1,0)+1,FALSE)</f>
        <v>栗転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【ウィザード級】栗転</v>
      </c>
      <c r="G6" s="21">
        <v>2</v>
      </c>
      <c r="H6" s="15" t="str">
        <f t="shared" si="2"/>
        <v>49016_2-2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2</v>
      </c>
      <c r="L6" s="20">
        <v>1551</v>
      </c>
      <c r="M6" s="17" t="str">
        <f ca="1">VLOOKUP($L6,OFFSET([3]enemies!$A$1,0,0,COUNTA([3]enemies!$A:$A),MATCH(M$1,[3]enemies!$1:$1,0)-MATCH($L$1,[3]enemies!$1:$1,0)+1),MATCH(M$1,[3]enemies!$1:$1,0)-MATCH($L$1,[3]enemies!$1:$1,0)+1,FALSE)</f>
        <v>Leo01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PremiumSSS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50</v>
      </c>
      <c r="S6" s="25">
        <v>3</v>
      </c>
      <c r="T6" s="100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185400</v>
      </c>
      <c r="U6" s="25">
        <v>0.5</v>
      </c>
      <c r="V6" s="100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2460.5</v>
      </c>
      <c r="W6" s="5">
        <v>0</v>
      </c>
      <c r="X6" s="4" t="e">
        <f ca="1">VLOOKUP($Y6,OFFSET([5]enemy_skill_sets!$B$1,0,0,COUNTA([5]enemy_skill_sets!$B:$B),MATCH(M$1,[5]enemy_skill_sets!$1:$1,0)-MATCH($Y$1,[5]enemy_skill_sets!$1:$1,0)+2),MATCH(M$1,[5]enemy_skill_sets!$1:$1,0)-MATCH($Y$1,[5]enemy_skill_sets!$1:$1,0)+2,FALSE)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6" s="103">
        <v>49016200</v>
      </c>
      <c r="Z6" s="6">
        <v>0</v>
      </c>
      <c r="AA6" s="6">
        <v>100</v>
      </c>
      <c r="AB6" s="6">
        <v>0</v>
      </c>
      <c r="AC6" s="104">
        <v>2</v>
      </c>
      <c r="AD6" s="24">
        <f t="shared" si="3"/>
        <v>1551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Leo01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PremiumSSS</v>
      </c>
      <c r="AH6" s="7">
        <v>1</v>
      </c>
      <c r="AI6" s="24">
        <f t="shared" ca="1" si="4"/>
        <v>5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8">
        <v>1</v>
      </c>
    </row>
    <row r="7" spans="1:42" ht="21" customHeight="1" thickBot="1" x14ac:dyDescent="0.2">
      <c r="A7" s="136" t="str">
        <f t="shared" si="0"/>
        <v>49016_2-3/1581&lt;lv50&gt;s1</v>
      </c>
      <c r="B7" s="137">
        <v>49016</v>
      </c>
      <c r="C7" s="138">
        <v>2</v>
      </c>
      <c r="D7" s="139" t="str">
        <f t="shared" si="1"/>
        <v>49016_2</v>
      </c>
      <c r="E7" s="140" t="str">
        <f ca="1">VLOOKUP($B7,OFFSET([2]quests!$A$1,0,0,COUNTA([2]quests!$A:$A),MATCH(E$1,[2]quests!$1:$1,0)-MATCH($B$1,[2]quests!$1:$1,0)+1),MATCH(E$1,[2]quests!$1:$1,0)-MATCH($B$1,[2]quests!$1:$1,0)+1,FALSE)</f>
        <v>栗転</v>
      </c>
      <c r="F7" s="140" t="str">
        <f ca="1">VLOOKUP($D7,OFFSET([2]stages!$A$1,0,0,COUNTA([2]stages!$A:$A),MATCH(F$1,[2]stages!$2:$2,0)-MATCH($D$1,[2]stages!$2:$2,0)+1),MATCH(F$1,[2]stages!$2:$2,0)-MATCH($D$1,[2]stages!$2:$2,0)+1,FALSE)</f>
        <v>【ウィザード級】栗転</v>
      </c>
      <c r="G7" s="138">
        <v>3</v>
      </c>
      <c r="H7" s="139" t="str">
        <f t="shared" si="2"/>
        <v>49016_2-3</v>
      </c>
      <c r="I7" s="140">
        <f ca="1">VLOOKUP($H7,OFFSET(floors!$A$1,0,0,COUNTA(floors!$A:$A),MATCH(I$1,floors!$1:$1,0)-MATCH($H$1,floors!$1:$1,0)+1),MATCH(I$1,floors!$1:$1,0)-MATCH($H$1,floors!$1:$1,0)+1,FALSE)</f>
        <v>60</v>
      </c>
      <c r="J7" s="140">
        <f ca="1">VLOOKUP($H7,OFFSET(floors!$A$1,0,0,COUNTA(floors!$A:$A),MATCH(J$1,floors!$1:$1,0)-MATCH($H$1,floors!$1:$1,0)+1),MATCH(J$1,floors!$1:$1,0)-MATCH($H$1,floors!$1:$1,0)+1,FALSE)</f>
        <v>60</v>
      </c>
      <c r="K7" s="141">
        <v>3</v>
      </c>
      <c r="L7" s="142">
        <v>1581</v>
      </c>
      <c r="M7" s="143" t="str">
        <f ca="1">VLOOKUP($L7,OFFSET([3]enemies!$A$1,0,0,COUNTA([3]enemies!$A:$A),MATCH(M$1,[3]enemies!$1:$1,0)-MATCH($L$1,[3]enemies!$1:$1,0)+1),MATCH(M$1,[3]enemies!$1:$1,0)-MATCH($L$1,[3]enemies!$1:$1,0)+1,FALSE)</f>
        <v>Gemini01</v>
      </c>
      <c r="N7" s="143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43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43" t="str">
        <f ca="1">VLOOKUP($L7,OFFSET([3]enemies!$A$1,0,0,COUNTA([3]enemies!$A:$A),MATCH(P$1,[3]enemies!$1:$1,0)-MATCH($L$1,[3]enemies!$1:$1,0)+1),MATCH(P$1,[3]enemies!$1:$1,0)-MATCH($L$1,[3]enemies!$1:$1,0)+1,FALSE)</f>
        <v>orochi</v>
      </c>
      <c r="Q7" s="143">
        <f ca="1">VLOOKUP($L7,OFFSET([3]enemies!$A$1,0,0,COUNTA([3]enemies!$A:$A),MATCH(Q$1,[3]enemies!$1:$1,0)-MATCH($L$1,[3]enemies!$1:$1,0)+1),MATCH(Q$1,[3]enemies!$1:$1,0)-MATCH($L$1,[3]enemies!$1:$1,0)+1,FALSE)</f>
        <v>60</v>
      </c>
      <c r="R7" s="144">
        <v>50</v>
      </c>
      <c r="S7" s="145">
        <v>4</v>
      </c>
      <c r="T7" s="146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302572</v>
      </c>
      <c r="U7" s="145">
        <v>1</v>
      </c>
      <c r="V7" s="146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5266</v>
      </c>
      <c r="W7" s="144">
        <v>0</v>
      </c>
      <c r="X7" s="140" t="str">
        <f ca="1">VLOOKUP($Y7,OFFSET(enemy_skill_sets!$B$1,0,0,COUNTA(enemy_skill_sets!$B:$B),MATCH(M$1,enemy_skill_sets!$1:$1,0)-MATCH($Y$1,enemy_skill_sets!$1:$1,0)+2),MATCH(M$1,enemy_skill_sets!$1:$1,0)-MATCH($Y$1,enemy_skill_sets!$1:$1,0)+2,FALSE)</f>
        <v>解除するまで全属性の攻撃をカウンター</v>
      </c>
      <c r="Y7" s="147">
        <v>49016400</v>
      </c>
      <c r="Z7" s="154">
        <v>0</v>
      </c>
      <c r="AA7" s="154">
        <v>100</v>
      </c>
      <c r="AB7" s="154">
        <v>0</v>
      </c>
      <c r="AC7" s="155">
        <v>1</v>
      </c>
      <c r="AD7" s="156">
        <f t="shared" si="3"/>
        <v>1581</v>
      </c>
      <c r="AE7" s="140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Gemini01</v>
      </c>
      <c r="AF7" s="140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140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157">
        <v>1</v>
      </c>
      <c r="AI7" s="156">
        <f t="shared" ca="1" si="4"/>
        <v>5</v>
      </c>
      <c r="AJ7" s="158">
        <v>100</v>
      </c>
      <c r="AK7" s="157">
        <v>0</v>
      </c>
      <c r="AL7" s="157">
        <v>0</v>
      </c>
      <c r="AM7" s="157">
        <v>0</v>
      </c>
      <c r="AN7" s="157">
        <v>0</v>
      </c>
      <c r="AO7" s="157">
        <v>1</v>
      </c>
      <c r="AP7" s="159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9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V2" sqref="V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99" t="s">
        <v>251</v>
      </c>
      <c r="V1" s="26" t="s">
        <v>50</v>
      </c>
      <c r="W1" s="99" t="s">
        <v>252</v>
      </c>
      <c r="X1" s="26" t="s">
        <v>52</v>
      </c>
      <c r="Y1" s="28" t="s">
        <v>129</v>
      </c>
      <c r="Z1" s="29" t="s">
        <v>128</v>
      </c>
      <c r="AA1" s="28" t="s">
        <v>8</v>
      </c>
    </row>
    <row r="2" spans="1:27" ht="21" customHeight="1" x14ac:dyDescent="0.15">
      <c r="A2" s="16" t="str">
        <f t="shared" ref="A2:A9" si="0">B2&amp;"_"&amp;C2&amp;"-"&amp;G2&amp;"/"&amp;M2&amp;"&lt;lv"&amp;S2&amp;"&gt;sq"&amp;K2&amp;"st"&amp;L2</f>
        <v>49016_1-1/1560&lt;lv30&gt;sq1st2</v>
      </c>
      <c r="B2" s="22">
        <v>49016</v>
      </c>
      <c r="C2" s="21">
        <v>1</v>
      </c>
      <c r="D2" s="2" t="str">
        <f t="shared" ref="D2:D9" si="1">B2&amp;"_"&amp;C2</f>
        <v>49016_1</v>
      </c>
      <c r="E2" s="4" t="str">
        <f ca="1">VLOOKUP($B2,OFFSET([2]quests!$A$1,0,0,COUNTA([2]quests!$A:$A),MATCH(E$1,[2]quests!$1:$1,0)-MATCH($B$1,[2]quests!$1:$1,0)+1),MATCH(E$1,[2]quests!$1:$1,0)-MATCH($B$1,[2]quests!$1:$1,0)+1,FALSE)</f>
        <v>栗転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【超絶級】栗転</v>
      </c>
      <c r="G2" s="21">
        <v>1</v>
      </c>
      <c r="H2" s="15" t="str">
        <f t="shared" ref="H2:H9" si="2">B2&amp;"_"&amp;C2&amp;"-"&amp;G2</f>
        <v>49016_1-1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1560</v>
      </c>
      <c r="N2" s="17" t="str">
        <f ca="1">VLOOKUP($M2,OFFSET([3]enemies!$A$1,0,0,COUNTA([3]enemies!$A:$A),MATCH(N$1,[3]enemies!$1:$1,0)-MATCH($M$1,[3]enemies!$1:$1,0)+1),MATCH(N$1,[3]enemies!$1:$1,0)-MATCH($M$1,[3]enemies!$1:$1,0)+1,FALSE)</f>
        <v>Pisces01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30</v>
      </c>
      <c r="T2" s="133">
        <v>3.5</v>
      </c>
      <c r="U2" s="100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187425</v>
      </c>
      <c r="V2" s="133">
        <v>0.9</v>
      </c>
      <c r="W2" s="100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3033.9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102">
        <v>49016120</v>
      </c>
      <c r="AA2" s="127">
        <v>2</v>
      </c>
    </row>
    <row r="3" spans="1:27" ht="21" customHeight="1" x14ac:dyDescent="0.15">
      <c r="A3" s="16" t="str">
        <f t="shared" si="0"/>
        <v>49016_1-2/1552&lt;lv35&gt;sq2st2</v>
      </c>
      <c r="B3" s="22">
        <v>49016</v>
      </c>
      <c r="C3" s="21">
        <v>1</v>
      </c>
      <c r="D3" s="2" t="str">
        <f t="shared" si="1"/>
        <v>49016_1</v>
      </c>
      <c r="E3" s="4" t="str">
        <f ca="1">VLOOKUP($B3,OFFSET([2]quests!$A$1,0,0,COUNTA([2]quests!$A:$A),MATCH(E$1,[2]quests!$1:$1,0)-MATCH($B$1,[2]quests!$1:$1,0)+1),MATCH(E$1,[2]quests!$1:$1,0)-MATCH($B$1,[2]quests!$1:$1,0)+1,FALSE)</f>
        <v>栗転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【超絶級】栗転</v>
      </c>
      <c r="G3" s="21">
        <v>2</v>
      </c>
      <c r="H3" s="15" t="str">
        <f t="shared" si="2"/>
        <v>49016_1-2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1552</v>
      </c>
      <c r="N3" s="17" t="str">
        <f ca="1">VLOOKUP($M3,OFFSET([3]enemies!$A$1,0,0,COUNTA([3]enemies!$A:$A),MATCH(N$1,[3]enemies!$1:$1,0)-MATCH($M$1,[3]enemies!$1:$1,0)+1),MATCH(N$1,[3]enemies!$1:$1,0)-MATCH($M$1,[3]enemies!$1:$1,0)+1,FALSE)</f>
        <v>Leo02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35</v>
      </c>
      <c r="T3" s="25">
        <v>4.2</v>
      </c>
      <c r="U3" s="100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199290</v>
      </c>
      <c r="V3" s="25">
        <v>0.8</v>
      </c>
      <c r="W3" s="100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2901.6000000000004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102">
        <v>49016320</v>
      </c>
      <c r="AA3" s="127">
        <v>1</v>
      </c>
    </row>
    <row r="4" spans="1:27" ht="21" customHeight="1" x14ac:dyDescent="0.15">
      <c r="A4" s="16" t="str">
        <f t="shared" si="0"/>
        <v>49016_1-3/1583&lt;lv40&gt;sq3st2</v>
      </c>
      <c r="B4" s="22">
        <v>49016</v>
      </c>
      <c r="C4" s="21">
        <v>1</v>
      </c>
      <c r="D4" s="2" t="str">
        <f t="shared" si="1"/>
        <v>49016_1</v>
      </c>
      <c r="E4" s="4" t="str">
        <f ca="1">VLOOKUP($B4,OFFSET([2]quests!$A$1,0,0,COUNTA([2]quests!$A:$A),MATCH(E$1,[2]quests!$1:$1,0)-MATCH($B$1,[2]quests!$1:$1,0)+1),MATCH(E$1,[2]quests!$1:$1,0)-MATCH($B$1,[2]quests!$1:$1,0)+1,FALSE)</f>
        <v>栗転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【超絶級】栗転</v>
      </c>
      <c r="G4" s="21">
        <v>3</v>
      </c>
      <c r="H4" s="15" t="str">
        <f t="shared" si="2"/>
        <v>49016_1-3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38">
        <v>2</v>
      </c>
      <c r="M4" s="20">
        <v>1583</v>
      </c>
      <c r="N4" s="17" t="str">
        <f ca="1">VLOOKUP($M4,OFFSET([3]enemies!$A$1,0,0,COUNTA([3]enemies!$A:$A),MATCH(N$1,[3]enemies!$1:$1,0)-MATCH($M$1,[3]enemies!$1:$1,0)+1),MATCH(N$1,[3]enemies!$1:$1,0)-MATCH($M$1,[3]enemies!$1:$1,0)+1,FALSE)</f>
        <v>Corvus01</v>
      </c>
      <c r="O4" s="17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orochi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40</v>
      </c>
      <c r="T4" s="25">
        <v>4.2</v>
      </c>
      <c r="U4" s="100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420714</v>
      </c>
      <c r="V4" s="25">
        <v>0.9</v>
      </c>
      <c r="W4" s="100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3465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102">
        <v>49016520</v>
      </c>
      <c r="AA4" s="127">
        <v>1</v>
      </c>
    </row>
    <row r="5" spans="1:27" ht="21" customHeight="1" thickBot="1" x14ac:dyDescent="0.2">
      <c r="A5" s="136" t="str">
        <f t="shared" si="0"/>
        <v>49016_1-3/1583&lt;lv40&gt;sq3st3</v>
      </c>
      <c r="B5" s="137">
        <v>49016</v>
      </c>
      <c r="C5" s="138">
        <v>1</v>
      </c>
      <c r="D5" s="139" t="str">
        <f t="shared" si="1"/>
        <v>49016_1</v>
      </c>
      <c r="E5" s="140" t="str">
        <f ca="1">VLOOKUP($B5,OFFSET([2]quests!$A$1,0,0,COUNTA([2]quests!$A:$A),MATCH(E$1,[2]quests!$1:$1,0)-MATCH($B$1,[2]quests!$1:$1,0)+1),MATCH(E$1,[2]quests!$1:$1,0)-MATCH($B$1,[2]quests!$1:$1,0)+1,FALSE)</f>
        <v>栗転</v>
      </c>
      <c r="F5" s="140" t="str">
        <f ca="1">VLOOKUP($D5,OFFSET([2]stages!$A$1,0,0,COUNTA([2]stages!$A:$A),MATCH(F$1,[2]stages!$2:$2,0)-MATCH($D$1,[2]stages!$2:$2,0)+1),MATCH(F$1,[2]stages!$2:$2,0)-MATCH($D$1,[2]stages!$2:$2,0)+1,FALSE)</f>
        <v>【超絶級】栗転</v>
      </c>
      <c r="G5" s="138">
        <v>3</v>
      </c>
      <c r="H5" s="139" t="str">
        <f t="shared" si="2"/>
        <v>49016_1-3</v>
      </c>
      <c r="I5" s="140">
        <f ca="1">VLOOKUP($H5,OFFSET(floors!$A$1,0,0,COUNTA(floors!$A:$A),MATCH(I$1,floors!$1:$1,0)-MATCH($H$1,floors!$1:$1,0)+1),MATCH(I$1,floors!$1:$1,0)-MATCH($H$1,floors!$1:$1,0)+1,FALSE)</f>
        <v>60</v>
      </c>
      <c r="J5" s="140">
        <f ca="1">VLOOKUP($H5,OFFSET(floors!$A$1,0,0,COUNTA(floors!$A:$A),MATCH(J$1,floors!$1:$1,0)-MATCH($H$1,floors!$1:$1,0)+1),MATCH(J$1,floors!$1:$1,0)-MATCH($H$1,floors!$1:$1,0)+1,FALSE)</f>
        <v>60</v>
      </c>
      <c r="K5" s="141">
        <v>3</v>
      </c>
      <c r="L5" s="141">
        <v>3</v>
      </c>
      <c r="M5" s="142">
        <v>1583</v>
      </c>
      <c r="N5" s="143" t="str">
        <f ca="1">VLOOKUP($M5,OFFSET([3]enemies!$A$1,0,0,COUNTA([3]enemies!$A:$A),MATCH(N$1,[3]enemies!$1:$1,0)-MATCH($M$1,[3]enemies!$1:$1,0)+1),MATCH(N$1,[3]enemies!$1:$1,0)-MATCH($M$1,[3]enemies!$1:$1,0)+1,FALSE)</f>
        <v>Corvus01</v>
      </c>
      <c r="O5" s="143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43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43" t="str">
        <f ca="1">VLOOKUP($M5,OFFSET([3]enemies!$A$1,0,0,COUNTA([3]enemies!$A:$A),MATCH(Q$1,[3]enemies!$1:$1,0)-MATCH($M$1,[3]enemies!$1:$1,0)+1),MATCH(Q$1,[3]enemies!$1:$1,0)-MATCH($M$1,[3]enemies!$1:$1,0)+1,FALSE)</f>
        <v>orochi</v>
      </c>
      <c r="R5" s="143">
        <f ca="1">VLOOKUP($M5,OFFSET([3]enemies!$A$1,0,0,COUNTA([3]enemies!$A:$A),MATCH(R$1,[3]enemies!$1:$1,0)-MATCH($M$1,[3]enemies!$1:$1,0)+1),MATCH(R$1,[3]enemies!$1:$1,0)-MATCH($M$1,[3]enemies!$1:$1,0)+1,FALSE)</f>
        <v>60</v>
      </c>
      <c r="S5" s="144">
        <v>40</v>
      </c>
      <c r="T5" s="145">
        <v>7</v>
      </c>
      <c r="U5" s="146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701190</v>
      </c>
      <c r="V5" s="145">
        <v>0.9</v>
      </c>
      <c r="W5" s="146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3465</v>
      </c>
      <c r="X5" s="144">
        <v>0</v>
      </c>
      <c r="Y5" s="140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147">
        <v>49016620</v>
      </c>
      <c r="AA5" s="148">
        <v>1</v>
      </c>
    </row>
    <row r="6" spans="1:27" ht="21" customHeight="1" x14ac:dyDescent="0.15">
      <c r="A6" s="16" t="str">
        <f t="shared" si="0"/>
        <v>49016_2-1/1560&lt;lv50&gt;sq1st2</v>
      </c>
      <c r="B6" s="22">
        <v>49016</v>
      </c>
      <c r="C6" s="128">
        <v>2</v>
      </c>
      <c r="D6" s="129" t="str">
        <f t="shared" si="1"/>
        <v>49016_2</v>
      </c>
      <c r="E6" s="4" t="str">
        <f ca="1">VLOOKUP($B6,OFFSET([2]quests!$A$1,0,0,COUNTA([2]quests!$A:$A),MATCH(E$1,[2]quests!$1:$1,0)-MATCH($B$1,[2]quests!$1:$1,0)+1),MATCH(E$1,[2]quests!$1:$1,0)-MATCH($B$1,[2]quests!$1:$1,0)+1,FALSE)</f>
        <v>栗転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【ウィザード級】栗転</v>
      </c>
      <c r="G6" s="128">
        <v>1</v>
      </c>
      <c r="H6" s="129" t="str">
        <f t="shared" si="2"/>
        <v>49016_2-1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130">
        <v>1</v>
      </c>
      <c r="L6" s="130">
        <v>2</v>
      </c>
      <c r="M6" s="131">
        <v>1560</v>
      </c>
      <c r="N6" s="17" t="str">
        <f ca="1">VLOOKUP($M6,OFFSET([3]enemies!$A$1,0,0,COUNTA([3]enemies!$A:$A),MATCH(N$1,[3]enemies!$1:$1,0)-MATCH($M$1,[3]enemies!$1:$1,0)+1),MATCH(N$1,[3]enemies!$1:$1,0)-MATCH($M$1,[3]enemies!$1:$1,0)+1,FALSE)</f>
        <v>Pisces01</v>
      </c>
      <c r="O6" s="17" t="str">
        <f ca="1">VLOOKUP($M6,OFFSET([3]enemies!$A$1,0,0,COUNTA([3]enemies!$A:$A),MATCH(O$1,[3]enemies!$1:$1,0)-MATCH($M$1,[3]enemies!$1:$1,0)+1),MATCH(O$1,[3]enemies!$1:$1,0)-MATCH($M$1,[3]enemies!$1:$1,0)+1,FALSE)</f>
        <v>red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PremiumS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50</v>
      </c>
      <c r="T6" s="133">
        <v>3.5</v>
      </c>
      <c r="U6" s="134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306425</v>
      </c>
      <c r="V6" s="133">
        <v>0.6</v>
      </c>
      <c r="W6" s="134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3306.6</v>
      </c>
      <c r="X6" s="132">
        <v>0</v>
      </c>
      <c r="Y6" s="4" t="e">
        <f ca="1">VLOOKUP($Z6,OFFSET([5]enemy_skill_sets!$B$1,0,0,COUNTA([5]enemy_skill_sets!$B:$B),MATCH(N$1,[5]enemy_skill_sets!$1:$1,0)-MATCH($Z$1,[5]enemy_skill_sets!$1:$1,0)+2),MATCH(N$1,[5]enemy_skill_sets!$1:$1,0)-MATCH($Z$1,[5]enemy_skill_sets!$1:$1,0)+2,FALSE)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6" s="102">
        <v>49016100</v>
      </c>
      <c r="AA6" s="135">
        <v>2</v>
      </c>
    </row>
    <row r="7" spans="1:27" ht="21" customHeight="1" x14ac:dyDescent="0.15">
      <c r="A7" s="16" t="str">
        <f t="shared" si="0"/>
        <v>49016_2-2/1552&lt;lv50&gt;sq2st2</v>
      </c>
      <c r="B7" s="22">
        <v>49016</v>
      </c>
      <c r="C7" s="21">
        <v>2</v>
      </c>
      <c r="D7" s="2" t="str">
        <f t="shared" si="1"/>
        <v>49016_2</v>
      </c>
      <c r="E7" s="4" t="str">
        <f ca="1">VLOOKUP($B7,OFFSET([2]quests!$A$1,0,0,COUNTA([2]quests!$A:$A),MATCH(E$1,[2]quests!$1:$1,0)-MATCH($B$1,[2]quests!$1:$1,0)+1),MATCH(E$1,[2]quests!$1:$1,0)-MATCH($B$1,[2]quests!$1:$1,0)+1,FALSE)</f>
        <v>栗転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【ウィザード級】栗転</v>
      </c>
      <c r="G7" s="21">
        <v>2</v>
      </c>
      <c r="H7" s="15" t="str">
        <f t="shared" si="2"/>
        <v>49016_2-2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2</v>
      </c>
      <c r="L7" s="38">
        <v>2</v>
      </c>
      <c r="M7" s="20">
        <v>1552</v>
      </c>
      <c r="N7" s="17" t="str">
        <f ca="1">VLOOKUP($M7,OFFSET([3]enemies!$A$1,0,0,COUNTA([3]enemies!$A:$A),MATCH(N$1,[3]enemies!$1:$1,0)-MATCH($M$1,[3]enemies!$1:$1,0)+1),MATCH(N$1,[3]enemies!$1:$1,0)-MATCH($M$1,[3]enemies!$1:$1,0)+1,FALSE)</f>
        <v>Leo02</v>
      </c>
      <c r="O7" s="17" t="str">
        <f ca="1">VLOOKUP($M7,OFFSET([3]enemies!$A$1,0,0,COUNTA([3]enemies!$A:$A),MATCH(O$1,[3]enemies!$1:$1,0)-MATCH($M$1,[3]enemies!$1:$1,0)+1),MATCH(O$1,[3]enemies!$1:$1,0)-MATCH($M$1,[3]enemies!$1:$1,0)+1,FALSE)</f>
        <v>red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PremiumSSS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human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50</v>
      </c>
      <c r="T7" s="25">
        <v>4.2</v>
      </c>
      <c r="U7" s="100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281190</v>
      </c>
      <c r="V7" s="25">
        <v>0.6</v>
      </c>
      <c r="W7" s="100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3070.7999999999997</v>
      </c>
      <c r="X7" s="5">
        <v>0</v>
      </c>
      <c r="Y7" s="4" t="e">
        <f ca="1">VLOOKUP($Z7,OFFSET([5]enemy_skill_sets!$B$1,0,0,COUNTA([5]enemy_skill_sets!$B:$B),MATCH(N$1,[5]enemy_skill_sets!$1:$1,0)-MATCH($Z$1,[5]enemy_skill_sets!$1:$1,0)+2),MATCH(N$1,[5]enemy_skill_sets!$1:$1,0)-MATCH($Z$1,[5]enemy_skill_sets!$1:$1,0)+2,FALSE)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7" s="102">
        <v>49016300</v>
      </c>
      <c r="AA7" s="127">
        <v>1</v>
      </c>
    </row>
    <row r="8" spans="1:27" ht="21" customHeight="1" x14ac:dyDescent="0.15">
      <c r="A8" s="16" t="str">
        <f t="shared" si="0"/>
        <v>49016_2-3/1583&lt;lv50&gt;sq3st2</v>
      </c>
      <c r="B8" s="22">
        <v>49016</v>
      </c>
      <c r="C8" s="21">
        <v>2</v>
      </c>
      <c r="D8" s="2" t="str">
        <f t="shared" si="1"/>
        <v>49016_2</v>
      </c>
      <c r="E8" s="4" t="str">
        <f ca="1">VLOOKUP($B8,OFFSET([2]quests!$A$1,0,0,COUNTA([2]quests!$A:$A),MATCH(E$1,[2]quests!$1:$1,0)-MATCH($B$1,[2]quests!$1:$1,0)+1),MATCH(E$1,[2]quests!$1:$1,0)-MATCH($B$1,[2]quests!$1:$1,0)+1,FALSE)</f>
        <v>栗転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【ウィザード級】栗転</v>
      </c>
      <c r="G8" s="21">
        <v>3</v>
      </c>
      <c r="H8" s="15" t="str">
        <f t="shared" si="2"/>
        <v>49016_2-3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3</v>
      </c>
      <c r="L8" s="38">
        <v>2</v>
      </c>
      <c r="M8" s="20">
        <v>1583</v>
      </c>
      <c r="N8" s="17" t="str">
        <f ca="1">VLOOKUP($M8,OFFSET([3]enemies!$A$1,0,0,COUNTA([3]enemies!$A:$A),MATCH(N$1,[3]enemies!$1:$1,0)-MATCH($M$1,[3]enemies!$1:$1,0)+1),MATCH(N$1,[3]enemies!$1:$1,0)-MATCH($M$1,[3]enemies!$1:$1,0)+1,FALSE)</f>
        <v>Corvus01</v>
      </c>
      <c r="O8" s="17" t="str">
        <f ca="1">VLOOKUP($M8,OFFSET([3]enemies!$A$1,0,0,COUNTA([3]enemies!$A:$A),MATCH(O$1,[3]enemies!$1:$1,0)-MATCH($M$1,[3]enemies!$1:$1,0)+1),MATCH(O$1,[3]enemies!$1:$1,0)-MATCH($M$1,[3]enemies!$1:$1,0)+1,FALSE)</f>
        <v>red</v>
      </c>
      <c r="P8" s="17" t="str">
        <f ca="1">VLOOKUP($M8,OFFSET([4]characters!$A$1,0,0,COUNTA([4]characters!$A:$A),MATCH(P$1,[4]characters!$1:$1,0)-MATCH($M$1,[4]characters!$1:$1,0)+1),MATCH(P$1,[4]characters!$1:$1,0)-MATCH($M$1,[4]characters!$1:$1,0)+1,FALSE)</f>
        <v>DropWizS</v>
      </c>
      <c r="Q8" s="17" t="str">
        <f ca="1">VLOOKUP($M8,OFFSET([3]enemies!$A$1,0,0,COUNTA([3]enemies!$A:$A),MATCH(Q$1,[3]enemies!$1:$1,0)-MATCH($M$1,[3]enemies!$1:$1,0)+1),MATCH(Q$1,[3]enemies!$1:$1,0)-MATCH($M$1,[3]enemies!$1:$1,0)+1,FALSE)</f>
        <v>orochi</v>
      </c>
      <c r="R8" s="17">
        <f ca="1">VLOOKUP($M8,OFFSET([3]enemies!$A$1,0,0,COUNTA([3]enemies!$A:$A),MATCH(R$1,[3]enemies!$1:$1,0)-MATCH($M$1,[3]enemies!$1:$1,0)+1),MATCH(R$1,[3]enemies!$1:$1,0)-MATCH($M$1,[3]enemies!$1:$1,0)+1,FALSE)</f>
        <v>60</v>
      </c>
      <c r="S8" s="5">
        <v>50</v>
      </c>
      <c r="T8" s="25">
        <v>4.2</v>
      </c>
      <c r="U8" s="100">
        <f ca="1">ROUND(VLOOKUP(S8,[3]enemy_base_stats!$A:$F,2,FALSE) *INDIRECT("[EnemyMasterData.xlsm]enemies!Y"&amp;(M8+1))*  INDIRECT("[EnemyMasterData.xlsm]enemies!J"&amp;(M8+1))* INDIRECT("[EnemyMasterData.xlsm]enemies!O"&amp;(M8+1))* INDIRECT("[EnemyMasterData.xlsm]enemies!E"&amp;(M8+1))* INDIRECT("[EnemyMasterData.xlsm]enemies!S"&amp;(M8+1))* INDIRECT("[EnemyMasterData.xlsm]enemies!AD"&amp;(M8+1))*[4]ステータス!$B$2,0)*T8</f>
        <v>522089.4</v>
      </c>
      <c r="V8" s="25">
        <v>0.8</v>
      </c>
      <c r="W8" s="100">
        <f ca="1">ROUND(VLOOKUP(S8,[3]enemy_base_stats!$A:$F,3,FALSE) *INDIRECT("[EnemyMasterData.xlsm]enemies!Z"&amp;(M8+1))*  INDIRECT("[EnemyMasterData.xlsm]enemies!K"&amp;(M8+1))* INDIRECT("[EnemyMasterData.xlsm]enemies!P"&amp;(M8+1))* INDIRECT("[EnemyMasterData.xlsm]enemies!F"&amp;(M8+1))* INDIRECT("[EnemyMasterData.xlsm]enemies!T"&amp;(M8+1))* INDIRECT("[EnemyMasterData.xlsm]enemies!AE"&amp;(M8+1))*[4]ステータス!$C$2,0)*V8</f>
        <v>3822.4</v>
      </c>
      <c r="X8" s="5">
        <v>0</v>
      </c>
      <c r="Y8" s="4" t="e">
        <f ca="1">VLOOKUP($Z8,OFFSET([5]enemy_skill_sets!$B$1,0,0,COUNTA([5]enemy_skill_sets!$B:$B),MATCH(N$1,[5]enemy_skill_sets!$1:$1,0)-MATCH($Z$1,[5]enemy_skill_sets!$1:$1,0)+2),MATCH(N$1,[5]enemy_skill_sets!$1:$1,0)-MATCH($Z$1,[5]enemy_skill_sets!$1:$1,0)+2,FALSE)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8" s="102">
        <v>49016500</v>
      </c>
      <c r="AA8" s="127">
        <v>1</v>
      </c>
    </row>
    <row r="9" spans="1:27" ht="21" customHeight="1" thickBot="1" x14ac:dyDescent="0.2">
      <c r="A9" s="136" t="str">
        <f t="shared" si="0"/>
        <v>49016_2-3/1583&lt;lv50&gt;sq3st3</v>
      </c>
      <c r="B9" s="137">
        <v>49016</v>
      </c>
      <c r="C9" s="138">
        <v>2</v>
      </c>
      <c r="D9" s="139" t="str">
        <f t="shared" si="1"/>
        <v>49016_2</v>
      </c>
      <c r="E9" s="140" t="str">
        <f ca="1">VLOOKUP($B9,OFFSET([2]quests!$A$1,0,0,COUNTA([2]quests!$A:$A),MATCH(E$1,[2]quests!$1:$1,0)-MATCH($B$1,[2]quests!$1:$1,0)+1),MATCH(E$1,[2]quests!$1:$1,0)-MATCH($B$1,[2]quests!$1:$1,0)+1,FALSE)</f>
        <v>栗転</v>
      </c>
      <c r="F9" s="140" t="str">
        <f ca="1">VLOOKUP($D9,OFFSET([2]stages!$A$1,0,0,COUNTA([2]stages!$A:$A),MATCH(F$1,[2]stages!$2:$2,0)-MATCH($D$1,[2]stages!$2:$2,0)+1),MATCH(F$1,[2]stages!$2:$2,0)-MATCH($D$1,[2]stages!$2:$2,0)+1,FALSE)</f>
        <v>【ウィザード級】栗転</v>
      </c>
      <c r="G9" s="138">
        <v>3</v>
      </c>
      <c r="H9" s="139" t="str">
        <f t="shared" si="2"/>
        <v>49016_2-3</v>
      </c>
      <c r="I9" s="140">
        <f ca="1">VLOOKUP($H9,OFFSET(floors!$A$1,0,0,COUNTA(floors!$A:$A),MATCH(I$1,floors!$1:$1,0)-MATCH($H$1,floors!$1:$1,0)+1),MATCH(I$1,floors!$1:$1,0)-MATCH($H$1,floors!$1:$1,0)+1,FALSE)</f>
        <v>60</v>
      </c>
      <c r="J9" s="140">
        <f ca="1">VLOOKUP($H9,OFFSET(floors!$A$1,0,0,COUNTA(floors!$A:$A),MATCH(J$1,floors!$1:$1,0)-MATCH($H$1,floors!$1:$1,0)+1),MATCH(J$1,floors!$1:$1,0)-MATCH($H$1,floors!$1:$1,0)+1,FALSE)</f>
        <v>60</v>
      </c>
      <c r="K9" s="141">
        <v>3</v>
      </c>
      <c r="L9" s="141">
        <v>3</v>
      </c>
      <c r="M9" s="142">
        <v>1583</v>
      </c>
      <c r="N9" s="143" t="str">
        <f ca="1">VLOOKUP($M9,OFFSET([3]enemies!$A$1,0,0,COUNTA([3]enemies!$A:$A),MATCH(N$1,[3]enemies!$1:$1,0)-MATCH($M$1,[3]enemies!$1:$1,0)+1),MATCH(N$1,[3]enemies!$1:$1,0)-MATCH($M$1,[3]enemies!$1:$1,0)+1,FALSE)</f>
        <v>Corvus01</v>
      </c>
      <c r="O9" s="143" t="str">
        <f ca="1">VLOOKUP($M9,OFFSET([3]enemies!$A$1,0,0,COUNTA([3]enemies!$A:$A),MATCH(O$1,[3]enemies!$1:$1,0)-MATCH($M$1,[3]enemies!$1:$1,0)+1),MATCH(O$1,[3]enemies!$1:$1,0)-MATCH($M$1,[3]enemies!$1:$1,0)+1,FALSE)</f>
        <v>red</v>
      </c>
      <c r="P9" s="143" t="str">
        <f ca="1">VLOOKUP($M9,OFFSET([4]characters!$A$1,0,0,COUNTA([4]characters!$A:$A),MATCH(P$1,[4]characters!$1:$1,0)-MATCH($M$1,[4]characters!$1:$1,0)+1),MATCH(P$1,[4]characters!$1:$1,0)-MATCH($M$1,[4]characters!$1:$1,0)+1,FALSE)</f>
        <v>DropWizS</v>
      </c>
      <c r="Q9" s="143" t="str">
        <f ca="1">VLOOKUP($M9,OFFSET([3]enemies!$A$1,0,0,COUNTA([3]enemies!$A:$A),MATCH(Q$1,[3]enemies!$1:$1,0)-MATCH($M$1,[3]enemies!$1:$1,0)+1),MATCH(Q$1,[3]enemies!$1:$1,0)-MATCH($M$1,[3]enemies!$1:$1,0)+1,FALSE)</f>
        <v>orochi</v>
      </c>
      <c r="R9" s="143">
        <f ca="1">VLOOKUP($M9,OFFSET([3]enemies!$A$1,0,0,COUNTA([3]enemies!$A:$A),MATCH(R$1,[3]enemies!$1:$1,0)-MATCH($M$1,[3]enemies!$1:$1,0)+1),MATCH(R$1,[3]enemies!$1:$1,0)-MATCH($M$1,[3]enemies!$1:$1,0)+1,FALSE)</f>
        <v>60</v>
      </c>
      <c r="S9" s="144">
        <v>50</v>
      </c>
      <c r="T9" s="145">
        <v>7</v>
      </c>
      <c r="U9" s="146">
        <f ca="1">ROUND(VLOOKUP(S9,[3]enemy_base_stats!$A:$F,2,FALSE) *INDIRECT("[EnemyMasterData.xlsm]enemies!Y"&amp;(M9+1))*  INDIRECT("[EnemyMasterData.xlsm]enemies!J"&amp;(M9+1))* INDIRECT("[EnemyMasterData.xlsm]enemies!O"&amp;(M9+1))* INDIRECT("[EnemyMasterData.xlsm]enemies!E"&amp;(M9+1))* INDIRECT("[EnemyMasterData.xlsm]enemies!S"&amp;(M9+1))* INDIRECT("[EnemyMasterData.xlsm]enemies!AD"&amp;(M9+1))*[4]ステータス!$B$2,0)*T9</f>
        <v>870149</v>
      </c>
      <c r="V9" s="145">
        <v>0.8</v>
      </c>
      <c r="W9" s="146">
        <f ca="1">ROUND(VLOOKUP(S9,[3]enemy_base_stats!$A:$F,3,FALSE) *INDIRECT("[EnemyMasterData.xlsm]enemies!Z"&amp;(M9+1))*  INDIRECT("[EnemyMasterData.xlsm]enemies!K"&amp;(M9+1))* INDIRECT("[EnemyMasterData.xlsm]enemies!P"&amp;(M9+1))* INDIRECT("[EnemyMasterData.xlsm]enemies!F"&amp;(M9+1))* INDIRECT("[EnemyMasterData.xlsm]enemies!T"&amp;(M9+1))* INDIRECT("[EnemyMasterData.xlsm]enemies!AE"&amp;(M9+1))*[4]ステータス!$C$2,0)*V9</f>
        <v>3822.4</v>
      </c>
      <c r="X9" s="144">
        <v>0</v>
      </c>
      <c r="Y9" s="140" t="e">
        <f ca="1">VLOOKUP($Z9,OFFSET([5]enemy_skill_sets!$B$1,0,0,COUNTA([5]enemy_skill_sets!$B:$B),MATCH(N$1,[5]enemy_skill_sets!$1:$1,0)-MATCH($Z$1,[5]enemy_skill_sets!$1:$1,0)+2),MATCH(N$1,[5]enemy_skill_sets!$1:$1,0)-MATCH($Z$1,[5]enemy_skill_sets!$1:$1,0)+2,FALSE)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9" s="147">
        <v>49016600</v>
      </c>
      <c r="AA9" s="148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323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B2" sqref="B2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8.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" si="0">B2&amp;"_"&amp;C2</f>
        <v>49016000_49016000</v>
      </c>
      <c r="B2" s="105">
        <v>49016000</v>
      </c>
      <c r="C2" s="105">
        <v>49016000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ガ…なんやこの感覚…_x000D_グ…そこのアンタ、ワイから離れや…！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" s="105">
        <v>49016000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5" si="1">B3&amp;"_"&amp;C3</f>
        <v>49016000_49016003</v>
      </c>
      <c r="B3" s="105">
        <v>49016000</v>
      </c>
      <c r="C3" s="175">
        <v>49016003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ガ…なんやこの感覚…_x000D_まずいでリョウ、構えや…！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" s="175">
        <v>49016003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402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8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1556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49016000_49016004</v>
      </c>
      <c r="B4" s="105">
        <v>49016000</v>
      </c>
      <c r="C4" s="175">
        <v>49016004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ガ…なんやこの感覚…_x000D_まずいでリョウ、構えや…！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" s="175">
        <v>49016004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403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48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1557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49016000_49016005</v>
      </c>
      <c r="B5" s="105">
        <v>49016000</v>
      </c>
      <c r="C5" s="175">
        <v>49016005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グッ…なんやこの感覚…_x000D_ユリちゃん、ワイから離れや…！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5" s="175">
        <v>49016005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401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" s="48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1558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14" customHeight="1" x14ac:dyDescent="0.15">
      <c r="A6" s="39" t="str">
        <f t="shared" ref="A6:A30" si="2">B6&amp;"_"&amp;C6</f>
        <v>49016000_49016001</v>
      </c>
      <c r="B6" s="105">
        <v>49016000</v>
      </c>
      <c r="C6" s="105">
        <v>49016001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ギ…とりゃとりゃ！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6" s="105">
        <v>49016001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14" customHeight="1" x14ac:dyDescent="0.15">
      <c r="A7" s="39" t="str">
        <f t="shared" si="2"/>
        <v>49016000_49016002</v>
      </c>
      <c r="B7" s="105">
        <v>49016000</v>
      </c>
      <c r="C7" s="105">
        <v>49016002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ガ…龍撃拳！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属性パネルプロテクト(最大5個)+単体攻撃</v>
      </c>
      <c r="F7" s="105">
        <v>49016002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14" customHeight="1" x14ac:dyDescent="0.15">
      <c r="A8" s="39" t="str">
        <f t="shared" si="2"/>
        <v>49016100_49016100</v>
      </c>
      <c r="B8" s="108">
        <v>49016100</v>
      </c>
      <c r="C8" s="108">
        <v>49016100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グガ…アカン…_x000D_止められへんわ…！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8" s="108">
        <v>49016100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14" customHeight="1" x14ac:dyDescent="0.15">
      <c r="A9" s="39" t="str">
        <f t="shared" si="2"/>
        <v>49016100_49016701</v>
      </c>
      <c r="B9" s="108">
        <v>49016100</v>
      </c>
      <c r="C9" s="170">
        <v>49016701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9" s="170">
        <v>49016701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401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" s="48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1551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14" customHeight="1" x14ac:dyDescent="0.15">
      <c r="A10" s="39" t="str">
        <f t="shared" si="2"/>
        <v>49016100_49016702</v>
      </c>
      <c r="B10" s="108">
        <v>49016100</v>
      </c>
      <c r="C10" s="170">
        <v>49016702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0" s="170">
        <v>49016702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402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8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1553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14" customHeight="1" x14ac:dyDescent="0.15">
      <c r="A11" s="39" t="str">
        <f t="shared" si="2"/>
        <v>49016100_49016703</v>
      </c>
      <c r="B11" s="108">
        <v>49016100</v>
      </c>
      <c r="C11" s="170">
        <v>49016703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1" s="170">
        <v>49016703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403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" s="48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1555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14" customHeight="1" x14ac:dyDescent="0.15">
      <c r="A12" s="39" t="str">
        <f t="shared" si="2"/>
        <v>49016100_49016704</v>
      </c>
      <c r="B12" s="108">
        <v>49016100</v>
      </c>
      <c r="C12" s="170">
        <v>49016704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2" s="170">
        <v>49016704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404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1560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14" customHeight="1" x14ac:dyDescent="0.15">
      <c r="A13" s="39" t="str">
        <f t="shared" si="2"/>
        <v>49016100_49016705</v>
      </c>
      <c r="B13" s="108">
        <v>49016100</v>
      </c>
      <c r="C13" s="170">
        <v>49016705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3" s="170">
        <v>49016705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405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48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1561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14" customHeight="1" x14ac:dyDescent="0.15">
      <c r="A14" s="39" t="str">
        <f t="shared" si="2"/>
        <v>49016100_49016706</v>
      </c>
      <c r="B14" s="108">
        <v>49016100</v>
      </c>
      <c r="C14" s="170">
        <v>49016706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4" s="170">
        <v>49016706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406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" s="48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1563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14" customHeight="1" x14ac:dyDescent="0.15">
      <c r="A15" s="39" t="str">
        <f t="shared" si="2"/>
        <v>49016100_49016707</v>
      </c>
      <c r="B15" s="108">
        <v>49016100</v>
      </c>
      <c r="C15" s="170">
        <v>49016707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5" s="170">
        <v>49016707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407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" s="48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1565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14" customHeight="1" x14ac:dyDescent="0.15">
      <c r="A16" s="39" t="str">
        <f t="shared" si="2"/>
        <v>49016100_49016708</v>
      </c>
      <c r="B16" s="108">
        <v>49016100</v>
      </c>
      <c r="C16" s="170">
        <v>49016708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6" s="170">
        <v>49016708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408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" s="48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1566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14" customHeight="1" x14ac:dyDescent="0.15">
      <c r="A17" s="39" t="str">
        <f t="shared" si="2"/>
        <v>49016100_49016709</v>
      </c>
      <c r="B17" s="108">
        <v>49016100</v>
      </c>
      <c r="C17" s="170">
        <v>49016709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7" s="170">
        <v>49016709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409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8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1568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14" customHeight="1" x14ac:dyDescent="0.15">
      <c r="A18" s="39" t="str">
        <f t="shared" si="2"/>
        <v>49016100_49016710</v>
      </c>
      <c r="B18" s="108">
        <v>49016100</v>
      </c>
      <c r="C18" s="170">
        <v>49016710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8" s="170">
        <v>49016710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410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8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1570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14" customHeight="1" x14ac:dyDescent="0.15">
      <c r="A19" s="39" t="str">
        <f t="shared" si="2"/>
        <v>49016100_49016711</v>
      </c>
      <c r="B19" s="108">
        <v>49016100</v>
      </c>
      <c r="C19" s="170">
        <v>49016711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9" s="170">
        <v>49016711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411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" s="48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1571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14" customHeight="1" x14ac:dyDescent="0.15">
      <c r="A20" s="39" t="str">
        <f t="shared" si="2"/>
        <v>49016100_49016712</v>
      </c>
      <c r="B20" s="108">
        <v>49016100</v>
      </c>
      <c r="C20" s="170">
        <v>49016712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20" s="170">
        <v>49016712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412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" s="48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1573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14" customHeight="1" x14ac:dyDescent="0.15">
      <c r="A21" s="39" t="str">
        <f t="shared" si="2"/>
        <v>49016100_49016713</v>
      </c>
      <c r="B21" s="108">
        <v>49016100</v>
      </c>
      <c r="C21" s="170">
        <v>49016713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21" s="170">
        <v>49016713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413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" s="48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1574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14" customHeight="1" x14ac:dyDescent="0.15">
      <c r="A22" s="39" t="str">
        <f t="shared" si="2"/>
        <v>49016100_49016714</v>
      </c>
      <c r="B22" s="108">
        <v>49016100</v>
      </c>
      <c r="C22" s="170">
        <v>49016714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22" s="170">
        <v>49016714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414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48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1575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14" customHeight="1" x14ac:dyDescent="0.15">
      <c r="A23" s="39" t="str">
        <f t="shared" si="2"/>
        <v>49016100_49016715</v>
      </c>
      <c r="B23" s="108">
        <v>49016100</v>
      </c>
      <c r="C23" s="170">
        <v>49016715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23" s="170">
        <v>49016715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415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8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1577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14" customHeight="1" x14ac:dyDescent="0.15">
      <c r="A24" s="39" t="str">
        <f t="shared" si="2"/>
        <v>49016100_49016716</v>
      </c>
      <c r="B24" s="108">
        <v>49016100</v>
      </c>
      <c r="C24" s="170">
        <v>49016716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24" s="170">
        <v>49016716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416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8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1578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14" customHeight="1" x14ac:dyDescent="0.15">
      <c r="A25" s="39" t="str">
        <f t="shared" si="2"/>
        <v>49016100_49016717</v>
      </c>
      <c r="B25" s="108">
        <v>49016100</v>
      </c>
      <c r="C25" s="170">
        <v>49016717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25" s="170">
        <v>49016717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417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8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1579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14" customHeight="1" x14ac:dyDescent="0.15">
      <c r="A26" s="39" t="str">
        <f t="shared" si="2"/>
        <v>49016100_49016718</v>
      </c>
      <c r="B26" s="108">
        <v>49016100</v>
      </c>
      <c r="C26" s="170">
        <v>49016718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26" s="170">
        <v>49016718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418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8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1581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14" customHeight="1" x14ac:dyDescent="0.15">
      <c r="A27" s="39" t="str">
        <f t="shared" si="2"/>
        <v>49016100_49016719</v>
      </c>
      <c r="B27" s="108">
        <v>49016100</v>
      </c>
      <c r="C27" s="170">
        <v>49016719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27" s="170">
        <v>49016719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419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" s="48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1584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14" customHeight="1" x14ac:dyDescent="0.15">
      <c r="A28" s="39" t="str">
        <f t="shared" si="2"/>
        <v>49016100_49016720</v>
      </c>
      <c r="B28" s="108">
        <v>49016100</v>
      </c>
      <c r="C28" s="170">
        <v>49016720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28" s="170">
        <v>49016720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8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1587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14" customHeight="1" x14ac:dyDescent="0.15">
      <c r="A29" s="39" t="str">
        <f t="shared" si="2"/>
        <v>49016100_49016721</v>
      </c>
      <c r="B29" s="108">
        <v>49016100</v>
      </c>
      <c r="C29" s="170">
        <v>49016721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ギッ…極限流最強は誰か…_x000D_そろそろハッキリさそやないか…！！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29" s="170">
        <v>49016721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423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48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1556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14" customHeight="1" x14ac:dyDescent="0.15">
      <c r="A30" s="39" t="str">
        <f t="shared" si="2"/>
        <v>49016100_49016722</v>
      </c>
      <c r="B30" s="108">
        <v>49016100</v>
      </c>
      <c r="C30" s="170">
        <v>49016722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ギッ…極限流最強は誰か…_x000D_そろそろハッキリさそやないか…！！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30" s="170">
        <v>49016722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424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8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1557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ref="A31:A32" si="3">B31&amp;"_"&amp;C31</f>
        <v>49016100_49016723</v>
      </c>
      <c r="B31" s="108">
        <v>49016100</v>
      </c>
      <c r="C31" s="170">
        <v>49016723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グガッ…ユリちゃん！_x000D_大好きやーーーッ！！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31" s="170">
        <v>49016723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421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48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1558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3"/>
        <v>49016100_49016724</v>
      </c>
      <c r="B32" s="108">
        <v>49016100</v>
      </c>
      <c r="C32" s="170">
        <v>49016724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グガッ…ユリちゃん！_x000D_大好きやーーーッ！！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32" s="170">
        <v>49016724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422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48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1559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ref="A33:A35" si="4">B33&amp;"_"&amp;C33</f>
        <v>49016100_49016101</v>
      </c>
      <c r="B33" s="108">
        <v>49016100</v>
      </c>
      <c r="C33" s="108">
        <v>49016101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ギ…飛燕旋風脚！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33" s="108">
        <v>49016101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4"/>
        <v>49016100_49016102</v>
      </c>
      <c r="B34" s="108">
        <v>49016100</v>
      </c>
      <c r="C34" s="108">
        <v>49016102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ガ…飛燕龍神脚！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属性パネルプロテクト(最大7個)+単体攻撃</v>
      </c>
      <c r="F34" s="108">
        <v>49016102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4"/>
        <v>49016100_49016103</v>
      </c>
      <c r="B35" s="108">
        <v>49016100</v>
      </c>
      <c r="C35" s="108">
        <v>49016103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ギ…極限流奥義！！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行動頻度UP</v>
      </c>
      <c r="F35" s="108">
        <v>49016103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ref="A36:A72" si="5">B36&amp;"_"&amp;C36</f>
        <v>49016100_49016104</v>
      </c>
      <c r="B36" s="108">
        <v>49016100</v>
      </c>
      <c r="C36" s="108">
        <v>49016104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グ…そりゃそりゃそりゃそりゃあ！_x000D_どないや！！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特定エリアを青パネルに変換+6回連続攻撃</v>
      </c>
      <c r="F36" s="108">
        <v>49016104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12" customHeight="1" x14ac:dyDescent="0.15">
      <c r="A37" s="39" t="str">
        <f t="shared" ref="A37:A41" si="6">B37&amp;"_"&amp;C37</f>
        <v>49016100_49016105</v>
      </c>
      <c r="B37" s="108">
        <v>49016100</v>
      </c>
      <c r="C37" s="175">
        <v>49016105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ガッ…くそったれえええ！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7" s="175">
        <v>49016105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800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12" customHeight="1" x14ac:dyDescent="0.15">
      <c r="A38" s="39" t="str">
        <f t="shared" si="6"/>
        <v>49016100_49016106</v>
      </c>
      <c r="B38" s="108">
        <v>49016100</v>
      </c>
      <c r="C38" s="175">
        <v>49016106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ガッ…世話かけさして_x000D_すまんな、リョウ…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8" s="175">
        <v>49016106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803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8" s="48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1556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12" customHeight="1" x14ac:dyDescent="0.15">
      <c r="A39" s="39" t="str">
        <f t="shared" si="6"/>
        <v>49016100_49016107</v>
      </c>
      <c r="B39" s="108">
        <v>49016100</v>
      </c>
      <c r="C39" s="175">
        <v>49016107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ガッ…世話かけさして_x000D_すまんな、リョウ…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9" s="175">
        <v>49016107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804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9" s="48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9" s="48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1557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12" customHeight="1" x14ac:dyDescent="0.15">
      <c r="A40" s="39" t="str">
        <f t="shared" si="6"/>
        <v>49016100_49016108</v>
      </c>
      <c r="B40" s="108">
        <v>49016100</v>
      </c>
      <c r="C40" s="175">
        <v>49016108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ガッ…！？わいは何を…_x000D_ユリちゃん、すまーーーん！！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0" s="175">
        <v>49016108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801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0" s="48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0" s="48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1558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12" customHeight="1" x14ac:dyDescent="0.15">
      <c r="A41" s="39" t="str">
        <f t="shared" si="6"/>
        <v>49016100_49016109</v>
      </c>
      <c r="B41" s="108">
        <v>49016100</v>
      </c>
      <c r="C41" s="175">
        <v>49016109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ガッ…！？わいは何を…_x000D_ユリちゃん、すまーーーん！！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1" s="175">
        <v>49016109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802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1" s="48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1" s="48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1559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5"/>
        <v>49016200_49016200</v>
      </c>
      <c r="B42" s="114">
        <v>49016200</v>
      </c>
      <c r="C42" s="114">
        <v>49016200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オイあんたら！悪い事言わないから_x000D_こっから先はやめときな！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42" s="114">
        <v>49016200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ref="A43" si="7">B43&amp;"_"&amp;C43</f>
        <v>49016200_49016205</v>
      </c>
      <c r="B43" s="114">
        <v>49016200</v>
      </c>
      <c r="C43" s="175">
        <v>49016205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炎が…お前を呼んでるぜ！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『なら燃えつきろ…潔くな』</v>
      </c>
      <c r="F43" s="175">
        <v>49016205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401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" s="48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1571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5"/>
        <v>49016200_49016201</v>
      </c>
      <c r="B44" s="114">
        <v>49016200</v>
      </c>
      <c r="C44" s="114">
        <v>49016201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ボディが、お留守だぜっ！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赤パネルプロテクト+単体攻撃</v>
      </c>
      <c r="F44" s="114">
        <v>49016201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8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5"/>
        <v>49016200_49016202</v>
      </c>
      <c r="B45" s="114">
        <v>49016200</v>
      </c>
      <c r="C45" s="114">
        <v>49016202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ボディが、甘ぇぜ！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5" s="114">
        <v>49016202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5"/>
        <v>49016200_49016203</v>
      </c>
      <c r="B46" s="114">
        <v>49016200</v>
      </c>
      <c r="C46" s="114">
        <v>49016203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おおおおお…！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次のターンに強力な赤パネル吸収攻撃</v>
      </c>
      <c r="F46" s="114">
        <v>49016203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si="5"/>
        <v>49016200_49016204</v>
      </c>
      <c r="B47" s="114">
        <v>49016200</v>
      </c>
      <c r="C47" s="114">
        <v>49016204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喰らいやがれぇっ！！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赤パネルを吸収して攻撃</v>
      </c>
      <c r="F47" s="114">
        <v>49016204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8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48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5"/>
        <v>49016300_49016300</v>
      </c>
      <c r="B48" s="117">
        <v>49016300</v>
      </c>
      <c r="C48" s="117">
        <v>49016300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…ったく素人さんよ、_x000D_燃えちまっても知らねーぞ！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5ターン赤パネルドロップ率UP</v>
      </c>
      <c r="F48" s="117">
        <v>49016300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8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8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8" s="48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13" customHeight="1" x14ac:dyDescent="0.15">
      <c r="A49" s="39" t="str">
        <f t="shared" ref="A49:A71" si="8">B49&amp;"_"&amp;C49</f>
        <v>49016300_49016801</v>
      </c>
      <c r="B49" s="117">
        <v>49016300</v>
      </c>
      <c r="C49" s="170">
        <v>49016801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49" s="170">
        <v>49016801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8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401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8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9" s="48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1551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13" customHeight="1" x14ac:dyDescent="0.15">
      <c r="A50" s="39" t="str">
        <f t="shared" si="8"/>
        <v>49016300_49016802</v>
      </c>
      <c r="B50" s="117">
        <v>49016300</v>
      </c>
      <c r="C50" s="170">
        <v>49016802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50" s="170">
        <v>49016802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8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402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8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0" s="48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1553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  <row r="51" spans="1:18" ht="13" customHeight="1" x14ac:dyDescent="0.15">
      <c r="A51" s="39" t="str">
        <f t="shared" si="8"/>
        <v>49016300_49016803</v>
      </c>
      <c r="B51" s="117">
        <v>49016300</v>
      </c>
      <c r="C51" s="170">
        <v>49016803</v>
      </c>
      <c r="D51" s="46" t="str">
        <f ca="1">VLOOKUP($C51,OFFSET(enemy_skills!$A$1,0,0,COUNTA(enemy_skills!$A:$A),MATCH(D$1,enemy_skills!$1:$1,0)-MATCH("enemy_skill_id",enemy_skills!$1:$1,0)+1),MATCH(D$1,enemy_skills!$1:$1,0)-MATCH("enemy_skill_id",enemy_skills!$1:$1,0)+1,FALSE)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51" s="46" t="str">
        <f ca="1">VLOOKUP($C51,OFFSET(enemy_skills!$A$1,0,0,COUNTA(enemy_skills!$A:$A),MATCH(E$1,enemy_skills!$1:$1,0)-MATCH("enemy_skill_id",enemy_skills!$1:$1,0)+1),MATCH(E$1,enemy_skills!$1:$1,0)-MATCH("enemy_skill_id",enemy_skills!$1:$1,0)+1,FALSE)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51" s="170">
        <v>49016803</v>
      </c>
      <c r="G51" s="48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1" s="48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403</v>
      </c>
      <c r="I51" s="48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8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8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8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48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1" s="48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1555</v>
      </c>
      <c r="O51" s="48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7"/>
      <c r="Q51" s="47"/>
      <c r="R51" s="47"/>
    </row>
    <row r="52" spans="1:18" ht="13" customHeight="1" x14ac:dyDescent="0.15">
      <c r="A52" s="39" t="str">
        <f t="shared" si="8"/>
        <v>49016300_49016804</v>
      </c>
      <c r="B52" s="117">
        <v>49016300</v>
      </c>
      <c r="C52" s="170">
        <v>49016804</v>
      </c>
      <c r="D52" s="46" t="str">
        <f ca="1">VLOOKUP($C52,OFFSET(enemy_skills!$A$1,0,0,COUNTA(enemy_skills!$A:$A),MATCH(D$1,enemy_skills!$1:$1,0)-MATCH("enemy_skill_id",enemy_skills!$1:$1,0)+1),MATCH(D$1,enemy_skills!$1:$1,0)-MATCH("enemy_skill_id",enemy_skills!$1:$1,0)+1,FALSE)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52" s="46" t="str">
        <f ca="1">VLOOKUP($C52,OFFSET(enemy_skills!$A$1,0,0,COUNTA(enemy_skills!$A:$A),MATCH(E$1,enemy_skills!$1:$1,0)-MATCH("enemy_skill_id",enemy_skills!$1:$1,0)+1),MATCH(E$1,enemy_skills!$1:$1,0)-MATCH("enemy_skill_id",enemy_skills!$1:$1,0)+1,FALSE)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52" s="170">
        <v>49016804</v>
      </c>
      <c r="G52" s="48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48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404</v>
      </c>
      <c r="I52" s="48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8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8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8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8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2" s="48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1556</v>
      </c>
      <c r="O52" s="48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7"/>
      <c r="Q52" s="47"/>
      <c r="R52" s="47"/>
    </row>
    <row r="53" spans="1:18" ht="13" customHeight="1" x14ac:dyDescent="0.15">
      <c r="A53" s="39" t="str">
        <f t="shared" si="8"/>
        <v>49016300_49016805</v>
      </c>
      <c r="B53" s="117">
        <v>49016300</v>
      </c>
      <c r="C53" s="170">
        <v>49016805</v>
      </c>
      <c r="D53" s="46" t="str">
        <f ca="1">VLOOKUP($C53,OFFSET(enemy_skills!$A$1,0,0,COUNTA(enemy_skills!$A:$A),MATCH(D$1,enemy_skills!$1:$1,0)-MATCH("enemy_skill_id",enemy_skills!$1:$1,0)+1),MATCH(D$1,enemy_skills!$1:$1,0)-MATCH("enemy_skill_id",enemy_skills!$1:$1,0)+1,FALSE)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53" s="46" t="str">
        <f ca="1">VLOOKUP($C53,OFFSET(enemy_skills!$A$1,0,0,COUNTA(enemy_skills!$A:$A),MATCH(E$1,enemy_skills!$1:$1,0)-MATCH("enemy_skill_id",enemy_skills!$1:$1,0)+1),MATCH(E$1,enemy_skills!$1:$1,0)-MATCH("enemy_skill_id",enemy_skills!$1:$1,0)+1,FALSE)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53" s="170">
        <v>49016805</v>
      </c>
      <c r="G53" s="48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48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405</v>
      </c>
      <c r="I53" s="48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8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8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8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8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3" s="48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1558</v>
      </c>
      <c r="O53" s="48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7"/>
      <c r="Q53" s="47"/>
      <c r="R53" s="47"/>
    </row>
    <row r="54" spans="1:18" ht="13" customHeight="1" x14ac:dyDescent="0.15">
      <c r="A54" s="39" t="str">
        <f t="shared" si="8"/>
        <v>49016300_49016806</v>
      </c>
      <c r="B54" s="117">
        <v>49016300</v>
      </c>
      <c r="C54" s="170">
        <v>49016806</v>
      </c>
      <c r="D54" s="46" t="str">
        <f ca="1">VLOOKUP($C54,OFFSET(enemy_skills!$A$1,0,0,COUNTA(enemy_skills!$A:$A),MATCH(D$1,enemy_skills!$1:$1,0)-MATCH("enemy_skill_id",enemy_skills!$1:$1,0)+1),MATCH(D$1,enemy_skills!$1:$1,0)-MATCH("enemy_skill_id",enemy_skills!$1:$1,0)+1,FALSE)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54" s="46" t="str">
        <f ca="1">VLOOKUP($C54,OFFSET(enemy_skills!$A$1,0,0,COUNTA(enemy_skills!$A:$A),MATCH(E$1,enemy_skills!$1:$1,0)-MATCH("enemy_skill_id",enemy_skills!$1:$1,0)+1),MATCH(E$1,enemy_skills!$1:$1,0)-MATCH("enemy_skill_id",enemy_skills!$1:$1,0)+1,FALSE)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54" s="170">
        <v>49016806</v>
      </c>
      <c r="G54" s="48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4" s="48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406</v>
      </c>
      <c r="I54" s="48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8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8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8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8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4" s="48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1560</v>
      </c>
      <c r="O54" s="48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7"/>
      <c r="Q54" s="47"/>
      <c r="R54" s="47"/>
    </row>
    <row r="55" spans="1:18" ht="13" customHeight="1" x14ac:dyDescent="0.15">
      <c r="A55" s="39" t="str">
        <f t="shared" si="8"/>
        <v>49016300_49016807</v>
      </c>
      <c r="B55" s="117">
        <v>49016300</v>
      </c>
      <c r="C55" s="170">
        <v>49016807</v>
      </c>
      <c r="D55" s="46" t="str">
        <f ca="1">VLOOKUP($C55,OFFSET(enemy_skills!$A$1,0,0,COUNTA(enemy_skills!$A:$A),MATCH(D$1,enemy_skills!$1:$1,0)-MATCH("enemy_skill_id",enemy_skills!$1:$1,0)+1),MATCH(D$1,enemy_skills!$1:$1,0)-MATCH("enemy_skill_id",enemy_skills!$1:$1,0)+1,FALSE)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55" s="46" t="str">
        <f ca="1">VLOOKUP($C55,OFFSET(enemy_skills!$A$1,0,0,COUNTA(enemy_skills!$A:$A),MATCH(E$1,enemy_skills!$1:$1,0)-MATCH("enemy_skill_id",enemy_skills!$1:$1,0)+1),MATCH(E$1,enemy_skills!$1:$1,0)-MATCH("enemy_skill_id",enemy_skills!$1:$1,0)+1,FALSE)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55" s="170">
        <v>49016807</v>
      </c>
      <c r="G55" s="48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5" s="48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407</v>
      </c>
      <c r="I55" s="48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8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8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8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8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5" s="48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1561</v>
      </c>
      <c r="O55" s="48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7"/>
      <c r="Q55" s="47"/>
      <c r="R55" s="47"/>
    </row>
    <row r="56" spans="1:18" ht="13" customHeight="1" x14ac:dyDescent="0.15">
      <c r="A56" s="39" t="str">
        <f t="shared" si="8"/>
        <v>49016300_49016808</v>
      </c>
      <c r="B56" s="117">
        <v>49016300</v>
      </c>
      <c r="C56" s="170">
        <v>49016808</v>
      </c>
      <c r="D56" s="46" t="str">
        <f ca="1">VLOOKUP($C56,OFFSET(enemy_skills!$A$1,0,0,COUNTA(enemy_skills!$A:$A),MATCH(D$1,enemy_skills!$1:$1,0)-MATCH("enemy_skill_id",enemy_skills!$1:$1,0)+1),MATCH(D$1,enemy_skills!$1:$1,0)-MATCH("enemy_skill_id",enemy_skills!$1:$1,0)+1,FALSE)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56" s="46" t="str">
        <f ca="1">VLOOKUP($C56,OFFSET(enemy_skills!$A$1,0,0,COUNTA(enemy_skills!$A:$A),MATCH(E$1,enemy_skills!$1:$1,0)-MATCH("enemy_skill_id",enemy_skills!$1:$1,0)+1),MATCH(E$1,enemy_skills!$1:$1,0)-MATCH("enemy_skill_id",enemy_skills!$1:$1,0)+1,FALSE)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56" s="170">
        <v>49016808</v>
      </c>
      <c r="G56" s="48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48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408</v>
      </c>
      <c r="I56" s="48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8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8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8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48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6" s="48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1563</v>
      </c>
      <c r="O56" s="48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7"/>
      <c r="Q56" s="47"/>
      <c r="R56" s="47"/>
    </row>
    <row r="57" spans="1:18" ht="13" customHeight="1" x14ac:dyDescent="0.15">
      <c r="A57" s="39" t="str">
        <f t="shared" si="8"/>
        <v>49016300_49016809</v>
      </c>
      <c r="B57" s="117">
        <v>49016300</v>
      </c>
      <c r="C57" s="170">
        <v>49016809</v>
      </c>
      <c r="D57" s="4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57" s="4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57" s="170">
        <v>49016809</v>
      </c>
      <c r="G57" s="4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4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409</v>
      </c>
      <c r="I57" s="4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8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7" s="48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1565</v>
      </c>
      <c r="O57" s="4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7"/>
      <c r="Q57" s="47"/>
      <c r="R57" s="47"/>
    </row>
    <row r="58" spans="1:18" ht="13" customHeight="1" x14ac:dyDescent="0.15">
      <c r="A58" s="39" t="str">
        <f t="shared" si="8"/>
        <v>49016300_49016810</v>
      </c>
      <c r="B58" s="117">
        <v>49016300</v>
      </c>
      <c r="C58" s="170">
        <v>49016810</v>
      </c>
      <c r="D58" s="46" t="str">
        <f ca="1">VLOOKUP($C58,OFFSET(enemy_skills!$A$1,0,0,COUNTA(enemy_skills!$A:$A),MATCH(D$1,enemy_skills!$1:$1,0)-MATCH("enemy_skill_id",enemy_skills!$1:$1,0)+1),MATCH(D$1,enemy_skills!$1:$1,0)-MATCH("enemy_skill_id",enemy_skills!$1:$1,0)+1,FALSE)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58" s="46" t="str">
        <f ca="1">VLOOKUP($C58,OFFSET(enemy_skills!$A$1,0,0,COUNTA(enemy_skills!$A:$A),MATCH(E$1,enemy_skills!$1:$1,0)-MATCH("enemy_skill_id",enemy_skills!$1:$1,0)+1),MATCH(E$1,enemy_skills!$1:$1,0)-MATCH("enemy_skill_id",enemy_skills!$1:$1,0)+1,FALSE)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58" s="170">
        <v>49016810</v>
      </c>
      <c r="G58" s="48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8" s="48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410</v>
      </c>
      <c r="I58" s="48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8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8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8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8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8" s="48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1566</v>
      </c>
      <c r="O58" s="48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7"/>
      <c r="Q58" s="47"/>
      <c r="R58" s="47"/>
    </row>
    <row r="59" spans="1:18" ht="13" customHeight="1" x14ac:dyDescent="0.15">
      <c r="A59" s="39" t="str">
        <f t="shared" si="8"/>
        <v>49016300_49016811</v>
      </c>
      <c r="B59" s="117">
        <v>49016300</v>
      </c>
      <c r="C59" s="170">
        <v>49016811</v>
      </c>
      <c r="D59" s="46" t="str">
        <f ca="1">VLOOKUP($C59,OFFSET(enemy_skills!$A$1,0,0,COUNTA(enemy_skills!$A:$A),MATCH(D$1,enemy_skills!$1:$1,0)-MATCH("enemy_skill_id",enemy_skills!$1:$1,0)+1),MATCH(D$1,enemy_skills!$1:$1,0)-MATCH("enemy_skill_id",enemy_skills!$1:$1,0)+1,FALSE)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59" s="46" t="str">
        <f ca="1">VLOOKUP($C59,OFFSET(enemy_skills!$A$1,0,0,COUNTA(enemy_skills!$A:$A),MATCH(E$1,enemy_skills!$1:$1,0)-MATCH("enemy_skill_id",enemy_skills!$1:$1,0)+1),MATCH(E$1,enemy_skills!$1:$1,0)-MATCH("enemy_skill_id",enemy_skills!$1:$1,0)+1,FALSE)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59" s="170">
        <v>49016811</v>
      </c>
      <c r="G59" s="48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48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411</v>
      </c>
      <c r="I59" s="48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8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8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8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8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9" s="48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1568</v>
      </c>
      <c r="O59" s="48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7"/>
      <c r="Q59" s="47"/>
      <c r="R59" s="47"/>
    </row>
    <row r="60" spans="1:18" ht="13" customHeight="1" x14ac:dyDescent="0.15">
      <c r="A60" s="39" t="str">
        <f t="shared" si="8"/>
        <v>49016300_49016812</v>
      </c>
      <c r="B60" s="117">
        <v>49016300</v>
      </c>
      <c r="C60" s="170">
        <v>49016812</v>
      </c>
      <c r="D60" s="46" t="str">
        <f ca="1">VLOOKUP($C60,OFFSET(enemy_skills!$A$1,0,0,COUNTA(enemy_skills!$A:$A),MATCH(D$1,enemy_skills!$1:$1,0)-MATCH("enemy_skill_id",enemy_skills!$1:$1,0)+1),MATCH(D$1,enemy_skills!$1:$1,0)-MATCH("enemy_skill_id",enemy_skills!$1:$1,0)+1,FALSE)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60" s="46" t="str">
        <f ca="1">VLOOKUP($C60,OFFSET(enemy_skills!$A$1,0,0,COUNTA(enemy_skills!$A:$A),MATCH(E$1,enemy_skills!$1:$1,0)-MATCH("enemy_skill_id",enemy_skills!$1:$1,0)+1),MATCH(E$1,enemy_skills!$1:$1,0)-MATCH("enemy_skill_id",enemy_skills!$1:$1,0)+1,FALSE)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60" s="170">
        <v>49016812</v>
      </c>
      <c r="G60" s="48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0" s="48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412</v>
      </c>
      <c r="I60" s="48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8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8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8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8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0" s="48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1570</v>
      </c>
      <c r="O60" s="48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7"/>
      <c r="Q60" s="47"/>
      <c r="R60" s="47"/>
    </row>
    <row r="61" spans="1:18" ht="13" customHeight="1" x14ac:dyDescent="0.15">
      <c r="A61" s="39" t="str">
        <f t="shared" si="8"/>
        <v>49016300_49016813</v>
      </c>
      <c r="B61" s="117">
        <v>49016300</v>
      </c>
      <c r="C61" s="170">
        <v>49016813</v>
      </c>
      <c r="D61" s="46" t="str">
        <f ca="1">VLOOKUP($C61,OFFSET(enemy_skills!$A$1,0,0,COUNTA(enemy_skills!$A:$A),MATCH(D$1,enemy_skills!$1:$1,0)-MATCH("enemy_skill_id",enemy_skills!$1:$1,0)+1),MATCH(D$1,enemy_skills!$1:$1,0)-MATCH("enemy_skill_id",enemy_skills!$1:$1,0)+1,FALSE)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61" s="46" t="str">
        <f ca="1">VLOOKUP($C61,OFFSET(enemy_skills!$A$1,0,0,COUNTA(enemy_skills!$A:$A),MATCH(E$1,enemy_skills!$1:$1,0)-MATCH("enemy_skill_id",enemy_skills!$1:$1,0)+1),MATCH(E$1,enemy_skills!$1:$1,0)-MATCH("enemy_skill_id",enemy_skills!$1:$1,0)+1,FALSE)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61" s="170">
        <v>49016813</v>
      </c>
      <c r="G61" s="48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48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413</v>
      </c>
      <c r="I61" s="48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8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8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8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8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1" s="48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1573</v>
      </c>
      <c r="O61" s="48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7"/>
      <c r="Q61" s="47"/>
      <c r="R61" s="47"/>
    </row>
    <row r="62" spans="1:18" ht="13" customHeight="1" x14ac:dyDescent="0.15">
      <c r="A62" s="39" t="str">
        <f t="shared" si="8"/>
        <v>49016300_49016814</v>
      </c>
      <c r="B62" s="117">
        <v>49016300</v>
      </c>
      <c r="C62" s="170">
        <v>49016814</v>
      </c>
      <c r="D62" s="46" t="str">
        <f ca="1">VLOOKUP($C62,OFFSET(enemy_skills!$A$1,0,0,COUNTA(enemy_skills!$A:$A),MATCH(D$1,enemy_skills!$1:$1,0)-MATCH("enemy_skill_id",enemy_skills!$1:$1,0)+1),MATCH(D$1,enemy_skills!$1:$1,0)-MATCH("enemy_skill_id",enemy_skills!$1:$1,0)+1,FALSE)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62" s="46" t="str">
        <f ca="1">VLOOKUP($C62,OFFSET(enemy_skills!$A$1,0,0,COUNTA(enemy_skills!$A:$A),MATCH(E$1,enemy_skills!$1:$1,0)-MATCH("enemy_skill_id",enemy_skills!$1:$1,0)+1),MATCH(E$1,enemy_skills!$1:$1,0)-MATCH("enemy_skill_id",enemy_skills!$1:$1,0)+1,FALSE)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62" s="170">
        <v>49016814</v>
      </c>
      <c r="G62" s="48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48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414</v>
      </c>
      <c r="I62" s="48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8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8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8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48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2" s="48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1574</v>
      </c>
      <c r="O62" s="48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7"/>
      <c r="Q62" s="47"/>
      <c r="R62" s="47"/>
    </row>
    <row r="63" spans="1:18" ht="13" customHeight="1" x14ac:dyDescent="0.15">
      <c r="A63" s="39" t="str">
        <f t="shared" si="8"/>
        <v>49016300_49016815</v>
      </c>
      <c r="B63" s="117">
        <v>49016300</v>
      </c>
      <c r="C63" s="170">
        <v>49016815</v>
      </c>
      <c r="D63" s="46" t="str">
        <f ca="1">VLOOKUP($C63,OFFSET(enemy_skills!$A$1,0,0,COUNTA(enemy_skills!$A:$A),MATCH(D$1,enemy_skills!$1:$1,0)-MATCH("enemy_skill_id",enemy_skills!$1:$1,0)+1),MATCH(D$1,enemy_skills!$1:$1,0)-MATCH("enemy_skill_id",enemy_skills!$1:$1,0)+1,FALSE)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63" s="46" t="str">
        <f ca="1">VLOOKUP($C63,OFFSET(enemy_skills!$A$1,0,0,COUNTA(enemy_skills!$A:$A),MATCH(E$1,enemy_skills!$1:$1,0)-MATCH("enemy_skill_id",enemy_skills!$1:$1,0)+1),MATCH(E$1,enemy_skills!$1:$1,0)-MATCH("enemy_skill_id",enemy_skills!$1:$1,0)+1,FALSE)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63" s="170">
        <v>49016815</v>
      </c>
      <c r="G63" s="48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48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415</v>
      </c>
      <c r="I63" s="48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8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8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8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48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3" s="48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1575</v>
      </c>
      <c r="O63" s="48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7"/>
      <c r="Q63" s="47"/>
      <c r="R63" s="47"/>
    </row>
    <row r="64" spans="1:18" ht="13" customHeight="1" x14ac:dyDescent="0.15">
      <c r="A64" s="39" t="str">
        <f t="shared" si="8"/>
        <v>49016300_49016816</v>
      </c>
      <c r="B64" s="117">
        <v>49016300</v>
      </c>
      <c r="C64" s="170">
        <v>49016816</v>
      </c>
      <c r="D64" s="46" t="str">
        <f ca="1">VLOOKUP($C64,OFFSET(enemy_skills!$A$1,0,0,COUNTA(enemy_skills!$A:$A),MATCH(D$1,enemy_skills!$1:$1,0)-MATCH("enemy_skill_id",enemy_skills!$1:$1,0)+1),MATCH(D$1,enemy_skills!$1:$1,0)-MATCH("enemy_skill_id",enemy_skills!$1:$1,0)+1,FALSE)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64" s="46" t="str">
        <f ca="1">VLOOKUP($C64,OFFSET(enemy_skills!$A$1,0,0,COUNTA(enemy_skills!$A:$A),MATCH(E$1,enemy_skills!$1:$1,0)-MATCH("enemy_skill_id",enemy_skills!$1:$1,0)+1),MATCH(E$1,enemy_skills!$1:$1,0)-MATCH("enemy_skill_id",enemy_skills!$1:$1,0)+1,FALSE)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64" s="170">
        <v>49016816</v>
      </c>
      <c r="G64" s="48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4" s="48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416</v>
      </c>
      <c r="I64" s="48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8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8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8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8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4" s="48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1577</v>
      </c>
      <c r="O64" s="48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7"/>
      <c r="Q64" s="47"/>
      <c r="R64" s="47"/>
    </row>
    <row r="65" spans="1:18" ht="13" customHeight="1" x14ac:dyDescent="0.15">
      <c r="A65" s="39" t="str">
        <f t="shared" si="8"/>
        <v>49016300_49016817</v>
      </c>
      <c r="B65" s="117">
        <v>49016300</v>
      </c>
      <c r="C65" s="170">
        <v>49016817</v>
      </c>
      <c r="D65" s="46" t="str">
        <f ca="1">VLOOKUP($C65,OFFSET(enemy_skills!$A$1,0,0,COUNTA(enemy_skills!$A:$A),MATCH(D$1,enemy_skills!$1:$1,0)-MATCH("enemy_skill_id",enemy_skills!$1:$1,0)+1),MATCH(D$1,enemy_skills!$1:$1,0)-MATCH("enemy_skill_id",enemy_skills!$1:$1,0)+1,FALSE)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65" s="46" t="str">
        <f ca="1">VLOOKUP($C65,OFFSET(enemy_skills!$A$1,0,0,COUNTA(enemy_skills!$A:$A),MATCH(E$1,enemy_skills!$1:$1,0)-MATCH("enemy_skill_id",enemy_skills!$1:$1,0)+1),MATCH(E$1,enemy_skills!$1:$1,0)-MATCH("enemy_skill_id",enemy_skills!$1:$1,0)+1,FALSE)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65" s="170">
        <v>49016817</v>
      </c>
      <c r="G65" s="48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5" s="48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417</v>
      </c>
      <c r="I65" s="48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8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8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8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48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5" s="48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1578</v>
      </c>
      <c r="O65" s="48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7"/>
      <c r="Q65" s="47"/>
      <c r="R65" s="47"/>
    </row>
    <row r="66" spans="1:18" ht="13" customHeight="1" x14ac:dyDescent="0.15">
      <c r="A66" s="39" t="str">
        <f t="shared" si="8"/>
        <v>49016300_49016818</v>
      </c>
      <c r="B66" s="117">
        <v>49016300</v>
      </c>
      <c r="C66" s="170">
        <v>49016818</v>
      </c>
      <c r="D66" s="46" t="str">
        <f ca="1">VLOOKUP($C66,OFFSET(enemy_skills!$A$1,0,0,COUNTA(enemy_skills!$A:$A),MATCH(D$1,enemy_skills!$1:$1,0)-MATCH("enemy_skill_id",enemy_skills!$1:$1,0)+1),MATCH(D$1,enemy_skills!$1:$1,0)-MATCH("enemy_skill_id",enemy_skills!$1:$1,0)+1,FALSE)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66" s="46" t="str">
        <f ca="1">VLOOKUP($C66,OFFSET(enemy_skills!$A$1,0,0,COUNTA(enemy_skills!$A:$A),MATCH(E$1,enemy_skills!$1:$1,0)-MATCH("enemy_skill_id",enemy_skills!$1:$1,0)+1),MATCH(E$1,enemy_skills!$1:$1,0)-MATCH("enemy_skill_id",enemy_skills!$1:$1,0)+1,FALSE)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66" s="170">
        <v>49016818</v>
      </c>
      <c r="G66" s="48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8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418</v>
      </c>
      <c r="I66" s="48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8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8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8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8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6" s="48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1579</v>
      </c>
      <c r="O66" s="48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7"/>
      <c r="Q66" s="47"/>
      <c r="R66" s="47"/>
    </row>
    <row r="67" spans="1:18" ht="13" customHeight="1" x14ac:dyDescent="0.15">
      <c r="A67" s="39" t="str">
        <f t="shared" si="8"/>
        <v>49016300_49016819</v>
      </c>
      <c r="B67" s="117">
        <v>49016300</v>
      </c>
      <c r="C67" s="170">
        <v>49016819</v>
      </c>
      <c r="D67" s="46" t="str">
        <f ca="1">VLOOKUP($C67,OFFSET(enemy_skills!$A$1,0,0,COUNTA(enemy_skills!$A:$A),MATCH(D$1,enemy_skills!$1:$1,0)-MATCH("enemy_skill_id",enemy_skills!$1:$1,0)+1),MATCH(D$1,enemy_skills!$1:$1,0)-MATCH("enemy_skill_id",enemy_skills!$1:$1,0)+1,FALSE)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67" s="46" t="str">
        <f ca="1">VLOOKUP($C67,OFFSET(enemy_skills!$A$1,0,0,COUNTA(enemy_skills!$A:$A),MATCH(E$1,enemy_skills!$1:$1,0)-MATCH("enemy_skill_id",enemy_skills!$1:$1,0)+1),MATCH(E$1,enemy_skills!$1:$1,0)-MATCH("enemy_skill_id",enemy_skills!$1:$1,0)+1,FALSE)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67" s="170">
        <v>49016819</v>
      </c>
      <c r="G67" s="48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48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419</v>
      </c>
      <c r="I67" s="48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8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8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8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8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7" s="48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1581</v>
      </c>
      <c r="O67" s="48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7"/>
      <c r="Q67" s="47"/>
      <c r="R67" s="47"/>
    </row>
    <row r="68" spans="1:18" ht="13" customHeight="1" x14ac:dyDescent="0.15">
      <c r="A68" s="39" t="str">
        <f t="shared" si="8"/>
        <v>49016300_49016820</v>
      </c>
      <c r="B68" s="117">
        <v>49016300</v>
      </c>
      <c r="C68" s="170">
        <v>49016820</v>
      </c>
      <c r="D68" s="4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68" s="4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68" s="170">
        <v>49016820</v>
      </c>
      <c r="G68" s="4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4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68" s="4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4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8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8" s="4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1584</v>
      </c>
      <c r="O68" s="4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47"/>
      <c r="Q68" s="47"/>
      <c r="R68" s="47"/>
    </row>
    <row r="69" spans="1:18" ht="13" customHeight="1" x14ac:dyDescent="0.15">
      <c r="A69" s="39" t="str">
        <f t="shared" si="8"/>
        <v>49016300_49016821</v>
      </c>
      <c r="B69" s="117">
        <v>49016300</v>
      </c>
      <c r="C69" s="170">
        <v>49016821</v>
      </c>
      <c r="D69" s="46" t="str">
        <f ca="1">VLOOKUP($C69,OFFSET(enemy_skills!$A$1,0,0,COUNTA(enemy_skills!$A:$A),MATCH(D$1,enemy_skills!$1:$1,0)-MATCH("enemy_skill_id",enemy_skills!$1:$1,0)+1),MATCH(D$1,enemy_skills!$1:$1,0)-MATCH("enemy_skill_id",enemy_skills!$1:$1,0)+1,FALSE)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69" s="46" t="str">
        <f ca="1">VLOOKUP($C69,OFFSET(enemy_skills!$A$1,0,0,COUNTA(enemy_skills!$A:$A),MATCH(E$1,enemy_skills!$1:$1,0)-MATCH("enemy_skill_id",enemy_skills!$1:$1,0)+1),MATCH(E$1,enemy_skills!$1:$1,0)-MATCH("enemy_skill_id",enemy_skills!$1:$1,0)+1,FALSE)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69" s="170">
        <v>49016821</v>
      </c>
      <c r="G69" s="48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48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421</v>
      </c>
      <c r="I69" s="48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8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8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8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8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9" s="48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1587</v>
      </c>
      <c r="O69" s="48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7"/>
      <c r="Q69" s="47"/>
      <c r="R69" s="47"/>
    </row>
    <row r="70" spans="1:18" ht="13" customHeight="1" x14ac:dyDescent="0.15">
      <c r="A70" s="39" t="str">
        <f t="shared" si="8"/>
        <v>49016300_49016822</v>
      </c>
      <c r="B70" s="117">
        <v>49016300</v>
      </c>
      <c r="C70" s="170">
        <v>49016822</v>
      </c>
      <c r="D70" s="46" t="str">
        <f ca="1">VLOOKUP($C70,OFFSET(enemy_skills!$A$1,0,0,COUNTA(enemy_skills!$A:$A),MATCH(D$1,enemy_skills!$1:$1,0)-MATCH("enemy_skill_id",enemy_skills!$1:$1,0)+1),MATCH(D$1,enemy_skills!$1:$1,0)-MATCH("enemy_skill_id",enemy_skills!$1:$1,0)+1,FALSE)</f>
        <v>ケリをつけようぜ…八神！</v>
      </c>
      <c r="E70" s="46" t="str">
        <f ca="1">VLOOKUP($C70,OFFSET(enemy_skills!$A$1,0,0,COUNTA(enemy_skills!$A:$A),MATCH(E$1,enemy_skills!$1:$1,0)-MATCH("enemy_skill_id",enemy_skills!$1:$1,0)+1),MATCH(E$1,enemy_skills!$1:$1,0)-MATCH("enemy_skill_id",enemy_skills!$1:$1,0)+1,FALSE)</f>
        <v>『貴様の死をもってな！』</v>
      </c>
      <c r="F70" s="170">
        <v>49016822</v>
      </c>
      <c r="G70" s="48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8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422</v>
      </c>
      <c r="I70" s="48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8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8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8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8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0" s="48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1571</v>
      </c>
      <c r="O70" s="48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7"/>
      <c r="Q70" s="47"/>
      <c r="R70" s="47"/>
    </row>
    <row r="71" spans="1:18" ht="13" customHeight="1" x14ac:dyDescent="0.15">
      <c r="A71" s="39" t="str">
        <f t="shared" si="8"/>
        <v>49016300_49016823</v>
      </c>
      <c r="B71" s="117">
        <v>49016300</v>
      </c>
      <c r="C71" s="170">
        <v>49016823</v>
      </c>
      <c r="D71" s="46" t="str">
        <f ca="1">VLOOKUP($C71,OFFSET(enemy_skills!$A$1,0,0,COUNTA(enemy_skills!$A:$A),MATCH(D$1,enemy_skills!$1:$1,0)-MATCH("enemy_skill_id",enemy_skills!$1:$1,0)+1),MATCH(D$1,enemy_skills!$1:$1,0)-MATCH("enemy_skill_id",enemy_skills!$1:$1,0)+1,FALSE)</f>
        <v>ケリをつけようぜ…八神！</v>
      </c>
      <c r="E71" s="46" t="str">
        <f ca="1">VLOOKUP($C71,OFFSET(enemy_skills!$A$1,0,0,COUNTA(enemy_skills!$A:$A),MATCH(E$1,enemy_skills!$1:$1,0)-MATCH("enemy_skill_id",enemy_skills!$1:$1,0)+1),MATCH(E$1,enemy_skills!$1:$1,0)-MATCH("enemy_skill_id",enemy_skills!$1:$1,0)+1,FALSE)</f>
        <v>『貴様の死をもってな！』</v>
      </c>
      <c r="F71" s="170">
        <v>49016823</v>
      </c>
      <c r="G71" s="48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48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423</v>
      </c>
      <c r="I71" s="48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8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8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8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8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1" s="48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1572</v>
      </c>
      <c r="O71" s="48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7"/>
      <c r="Q71" s="47"/>
      <c r="R71" s="47"/>
    </row>
    <row r="72" spans="1:18" ht="21" customHeight="1" x14ac:dyDescent="0.15">
      <c r="A72" s="39" t="str">
        <f t="shared" si="5"/>
        <v>49016300_49016301</v>
      </c>
      <c r="B72" s="117">
        <v>49016300</v>
      </c>
      <c r="C72" s="117">
        <v>49016301</v>
      </c>
      <c r="D72" s="46" t="str">
        <f ca="1">VLOOKUP($C72,OFFSET(enemy_skills!$A$1,0,0,COUNTA(enemy_skills!$A:$A),MATCH(D$1,enemy_skills!$1:$1,0)-MATCH("enemy_skill_id",enemy_skills!$1:$1,0)+1),MATCH(D$1,enemy_skills!$1:$1,0)-MATCH("enemy_skill_id",enemy_skills!$1:$1,0)+1,FALSE)</f>
        <v>ボディが、ガラ空きだぜっ！</v>
      </c>
      <c r="E72" s="46" t="str">
        <f ca="1">VLOOKUP($C72,OFFSET(enemy_skills!$A$1,0,0,COUNTA(enemy_skills!$A:$A),MATCH(E$1,enemy_skills!$1:$1,0)-MATCH("enemy_skill_id",enemy_skills!$1:$1,0)+1),MATCH(E$1,enemy_skills!$1:$1,0)-MATCH("enemy_skill_id",enemy_skills!$1:$1,0)+1,FALSE)</f>
        <v>赤パネルプロテクト+単体攻撃</v>
      </c>
      <c r="F72" s="117">
        <v>49016301</v>
      </c>
      <c r="G72" s="48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8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2" s="48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8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8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8" t="str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2" s="48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2" s="48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8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7"/>
      <c r="Q72" s="47"/>
      <c r="R72" s="47"/>
    </row>
    <row r="73" spans="1:18" ht="21" customHeight="1" x14ac:dyDescent="0.15">
      <c r="A73" s="39" t="str">
        <f t="shared" ref="A73:A119" si="9">B73&amp;"_"&amp;C73</f>
        <v>49016300_49016302</v>
      </c>
      <c r="B73" s="117">
        <v>49016300</v>
      </c>
      <c r="C73" s="117">
        <v>49016302</v>
      </c>
      <c r="D73" s="46" t="str">
        <f ca="1">VLOOKUP($C73,OFFSET(enemy_skills!$A$1,0,0,COUNTA(enemy_skills!$A:$A),MATCH(D$1,enemy_skills!$1:$1,0)-MATCH("enemy_skill_id",enemy_skills!$1:$1,0)+1),MATCH(D$1,enemy_skills!$1:$1,0)-MATCH("enemy_skill_id",enemy_skills!$1:$1,0)+1,FALSE)</f>
        <v>燃えろぉお！</v>
      </c>
      <c r="E73" s="46" t="str">
        <f ca="1">VLOOKUP($C73,OFFSET(enemy_skills!$A$1,0,0,COUNTA(enemy_skills!$A:$A),MATCH(E$1,enemy_skills!$1:$1,0)-MATCH("enemy_skill_id",enemy_skills!$1:$1,0)+1),MATCH(E$1,enemy_skills!$1:$1,0)-MATCH("enemy_skill_id",enemy_skills!$1:$1,0)+1,FALSE)</f>
        <v>赤パネルを吸収して攻撃</v>
      </c>
      <c r="F73" s="117">
        <v>49016302</v>
      </c>
      <c r="G73" s="48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3" s="48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73" s="48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8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8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8" t="str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3" s="48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3" s="48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8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7"/>
      <c r="Q73" s="47"/>
      <c r="R73" s="47"/>
    </row>
    <row r="74" spans="1:18" ht="21" customHeight="1" x14ac:dyDescent="0.15">
      <c r="A74" s="39" t="str">
        <f t="shared" si="9"/>
        <v>49016300_49016303</v>
      </c>
      <c r="B74" s="117">
        <v>49016300</v>
      </c>
      <c r="C74" s="117">
        <v>49016303</v>
      </c>
      <c r="D74" s="46" t="str">
        <f ca="1">VLOOKUP($C74,OFFSET(enemy_skills!$A$1,0,0,COUNTA(enemy_skills!$A:$A),MATCH(D$1,enemy_skills!$1:$1,0)-MATCH("enemy_skill_id",enemy_skills!$1:$1,0)+1),MATCH(D$1,enemy_skills!$1:$1,0)-MATCH("enemy_skill_id",enemy_skills!$1:$1,0)+1,FALSE)</f>
        <v>おおおおお…！</v>
      </c>
      <c r="E74" s="46" t="str">
        <f ca="1">VLOOKUP($C74,OFFSET(enemy_skills!$A$1,0,0,COUNTA(enemy_skills!$A:$A),MATCH(E$1,enemy_skills!$1:$1,0)-MATCH("enemy_skill_id",enemy_skills!$1:$1,0)+1),MATCH(E$1,enemy_skills!$1:$1,0)-MATCH("enemy_skill_id",enemy_skills!$1:$1,0)+1,FALSE)</f>
        <v>1ターン赤パネルを吸収して攻撃力UP</v>
      </c>
      <c r="F74" s="117">
        <v>49016303</v>
      </c>
      <c r="G74" s="48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4" s="48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74" s="48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8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8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8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8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74" s="48" t="str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4" s="48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7"/>
      <c r="Q74" s="47"/>
      <c r="R74" s="47"/>
    </row>
    <row r="75" spans="1:18" ht="21" customHeight="1" x14ac:dyDescent="0.15">
      <c r="A75" s="39" t="str">
        <f t="shared" si="9"/>
        <v>49016300_49016304</v>
      </c>
      <c r="B75" s="117">
        <v>49016300</v>
      </c>
      <c r="C75" s="117">
        <v>49016304</v>
      </c>
      <c r="D75" s="46" t="str">
        <f ca="1">VLOOKUP($C75,OFFSET(enemy_skills!$A$1,0,0,COUNTA(enemy_skills!$A:$A),MATCH(D$1,enemy_skills!$1:$1,0)-MATCH("enemy_skill_id",enemy_skills!$1:$1,0)+1),MATCH(D$1,enemy_skills!$1:$1,0)-MATCH("enemy_skill_id",enemy_skills!$1:$1,0)+1,FALSE)</f>
        <v>見せてやる…草薙の拳を！！！</v>
      </c>
      <c r="E75" s="46" t="str">
        <f ca="1">VLOOKUP($C75,OFFSET(enemy_skills!$A$1,0,0,COUNTA(enemy_skills!$A:$A),MATCH(E$1,enemy_skills!$1:$1,0)-MATCH("enemy_skill_id",enemy_skills!$1:$1,0)+1),MATCH(E$1,enemy_skills!$1:$1,0)-MATCH("enemy_skill_id",enemy_skills!$1:$1,0)+1,FALSE)</f>
        <v>クリティカル！+特定エリアを赤パネルに変換</v>
      </c>
      <c r="F75" s="117">
        <v>49016304</v>
      </c>
      <c r="G75" s="48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5" s="48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75" s="48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8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8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8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8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75" s="48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8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7"/>
      <c r="Q75" s="47"/>
      <c r="R75" s="47"/>
    </row>
    <row r="76" spans="1:18" ht="14" customHeight="1" x14ac:dyDescent="0.15">
      <c r="A76" s="39" t="str">
        <f t="shared" ref="A76:A78" si="10">B76&amp;"_"&amp;C76</f>
        <v>49016300_49016305</v>
      </c>
      <c r="B76" s="117">
        <v>49016300</v>
      </c>
      <c r="C76" s="175">
        <v>49016305</v>
      </c>
      <c r="D76" s="46" t="str">
        <f ca="1">VLOOKUP($C76,OFFSET(enemy_skills!$A$1,0,0,COUNTA(enemy_skills!$A:$A),MATCH(D$1,enemy_skills!$1:$1,0)-MATCH("enemy_skill_id",enemy_skills!$1:$1,0)+1),MATCH(D$1,enemy_skills!$1:$1,0)-MATCH("enemy_skill_id",enemy_skills!$1:$1,0)+1,FALSE)</f>
        <v>意外とやるねえ…_x000D_あんたらなら大丈夫かもな！</v>
      </c>
      <c r="E76" s="46" t="str">
        <f ca="1">VLOOKUP($C76,OFFSET(enemy_skills!$A$1,0,0,COUNTA(enemy_skills!$A:$A),MATCH(E$1,enemy_skills!$1:$1,0)-MATCH("enemy_skill_id",enemy_skills!$1:$1,0)+1),MATCH(E$1,enemy_skills!$1:$1,0)-MATCH("enemy_skill_id",enemy_skills!$1:$1,0)+1,FALSE)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76" s="175">
        <v>49016305</v>
      </c>
      <c r="G76" s="48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8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801</v>
      </c>
      <c r="I76" s="48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8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8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8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6" s="48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6" s="48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76" s="48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7"/>
      <c r="Q76" s="47"/>
      <c r="R76" s="47"/>
    </row>
    <row r="77" spans="1:18" ht="14" customHeight="1" x14ac:dyDescent="0.15">
      <c r="A77" s="39" t="str">
        <f t="shared" si="10"/>
        <v>49016300_49016306</v>
      </c>
      <c r="B77" s="117">
        <v>49016300</v>
      </c>
      <c r="C77" s="175">
        <v>49016306</v>
      </c>
      <c r="D77" s="46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うぉああああああ！</v>
      </c>
      <c r="E77" s="46" t="str">
        <f ca="1">VLOOKUP($C77,OFFSET(enemy_skills!$A$1,0,0,COUNTA(enemy_skills!$A:$A),MATCH(E$1,enemy_skills!$1:$1,0)-MATCH("enemy_skill_id",enemy_skills!$1:$1,0)+1),MATCH(E$1,enemy_skills!$1:$1,0)-MATCH("enemy_skill_id",enemy_skills!$1:$1,0)+1,FALSE)</f>
        <v>『全てを終わらせてやる…_x000D_俺のいらだちも、貴様の命もだ！！』</v>
      </c>
      <c r="F77" s="175">
        <v>49016306</v>
      </c>
      <c r="G77" s="48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8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802</v>
      </c>
      <c r="I77" s="48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7" s="48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8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8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7" s="48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7" s="48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1571</v>
      </c>
      <c r="O77" s="48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7" s="47"/>
      <c r="Q77" s="47"/>
      <c r="R77" s="47"/>
    </row>
    <row r="78" spans="1:18" ht="14" customHeight="1" x14ac:dyDescent="0.15">
      <c r="A78" s="39" t="str">
        <f t="shared" si="10"/>
        <v>49016300_49016307</v>
      </c>
      <c r="B78" s="117">
        <v>49016300</v>
      </c>
      <c r="C78" s="175">
        <v>49016307</v>
      </c>
      <c r="D78" s="46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うぉああああああ！</v>
      </c>
      <c r="E78" s="46" t="str">
        <f ca="1">VLOOKUP($C78,OFFSET(enemy_skills!$A$1,0,0,COUNTA(enemy_skills!$A:$A),MATCH(E$1,enemy_skills!$1:$1,0)-MATCH("enemy_skill_id",enemy_skills!$1:$1,0)+1),MATCH(E$1,enemy_skills!$1:$1,0)-MATCH("enemy_skill_id",enemy_skills!$1:$1,0)+1,FALSE)</f>
        <v>『全てを終わらせてやる…_x000D_俺のいらだちも、貴様の命もだ！！』</v>
      </c>
      <c r="F78" s="175">
        <v>49016307</v>
      </c>
      <c r="G78" s="48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8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803</v>
      </c>
      <c r="I78" s="48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8" s="48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8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8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78" s="48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8" s="48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1572</v>
      </c>
      <c r="O78" s="48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8" s="47"/>
      <c r="Q78" s="47"/>
      <c r="R78" s="47"/>
    </row>
    <row r="79" spans="1:18" ht="17" customHeight="1" x14ac:dyDescent="0.15">
      <c r="A79" s="39" t="str">
        <f t="shared" si="9"/>
        <v>49016400_49016400</v>
      </c>
      <c r="B79" s="111">
        <v>49016400</v>
      </c>
      <c r="C79" s="111">
        <v>49016400</v>
      </c>
      <c r="D79" s="46" t="str">
        <f ca="1">VLOOKUP($C79,OFFSET(enemy_skills!$A$1,0,0,COUNTA(enemy_skills!$A:$A),MATCH(D$1,enemy_skills!$1:$1,0)-MATCH("enemy_skill_id",enemy_skills!$1:$1,0)+1),MATCH(D$1,enemy_skills!$1:$1,0)-MATCH("enemy_skill_id",enemy_skills!$1:$1,0)+1,FALSE)</f>
        <v>僕達の使命…_x000D_精神力を、あつめないと</v>
      </c>
      <c r="E79" s="46" t="str">
        <f ca="1">VLOOKUP($C79,OFFSET(enemy_skills!$A$1,0,0,COUNTA(enemy_skills!$A:$A),MATCH(E$1,enemy_skills!$1:$1,0)-MATCH("enemy_skill_id",enemy_skills!$1:$1,0)+1),MATCH(E$1,enemy_skills!$1:$1,0)-MATCH("enemy_skill_id",enemy_skills!$1:$1,0)+1,FALSE)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</v>
      </c>
      <c r="F79" s="111">
        <v>49016400</v>
      </c>
      <c r="G79" s="48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9" s="48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79" s="48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9" s="48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8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8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9" s="48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9" s="48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8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9" s="47"/>
      <c r="Q79" s="47"/>
      <c r="R79" s="47"/>
    </row>
    <row r="80" spans="1:18" ht="15" customHeight="1" x14ac:dyDescent="0.15">
      <c r="A80" s="39" t="str">
        <f t="shared" ref="A80:A107" si="11">B80&amp;"_"&amp;C80</f>
        <v>49016400_49016901</v>
      </c>
      <c r="B80" s="111">
        <v>49016400</v>
      </c>
      <c r="C80" s="170">
        <v>49016901</v>
      </c>
      <c r="D80" s="46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80" s="46" t="str">
        <f ca="1">VLOOKUP($C80,OFFSET(enemy_skills!$A$1,0,0,COUNTA(enemy_skills!$A:$A),MATCH(E$1,enemy_skills!$1:$1,0)-MATCH("enemy_skill_id",enemy_skills!$1:$1,0)+1),MATCH(E$1,enemy_skills!$1:$1,0)-MATCH("enemy_skill_id",enemy_skills!$1:$1,0)+1,FALSE)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80" s="170">
        <v>49016901</v>
      </c>
      <c r="G80" s="48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0" s="48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601</v>
      </c>
      <c r="I80" s="48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8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8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8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8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0" s="48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1553</v>
      </c>
      <c r="O80" s="48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7"/>
      <c r="Q80" s="47"/>
      <c r="R80" s="47"/>
    </row>
    <row r="81" spans="1:18" ht="15" customHeight="1" x14ac:dyDescent="0.15">
      <c r="A81" s="39" t="str">
        <f t="shared" si="11"/>
        <v>49016400_49016902</v>
      </c>
      <c r="B81" s="111">
        <v>49016400</v>
      </c>
      <c r="C81" s="170">
        <v>49016902</v>
      </c>
      <c r="D81" s="46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81" s="46" t="str">
        <f ca="1">VLOOKUP($C81,OFFSET(enemy_skills!$A$1,0,0,COUNTA(enemy_skills!$A:$A),MATCH(E$1,enemy_skills!$1:$1,0)-MATCH("enemy_skill_id",enemy_skills!$1:$1,0)+1),MATCH(E$1,enemy_skills!$1:$1,0)-MATCH("enemy_skill_id",enemy_skills!$1:$1,0)+1,FALSE)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81" s="170">
        <v>49016902</v>
      </c>
      <c r="G81" s="48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1" s="48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602</v>
      </c>
      <c r="I81" s="48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8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8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8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8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1" s="48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1555</v>
      </c>
      <c r="O81" s="48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7"/>
      <c r="Q81" s="47"/>
      <c r="R81" s="47"/>
    </row>
    <row r="82" spans="1:18" ht="15" customHeight="1" x14ac:dyDescent="0.15">
      <c r="A82" s="39" t="str">
        <f t="shared" si="11"/>
        <v>49016400_49016903</v>
      </c>
      <c r="B82" s="111">
        <v>49016400</v>
      </c>
      <c r="C82" s="170">
        <v>49016903</v>
      </c>
      <c r="D82" s="4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82" s="4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82" s="170">
        <v>49016903</v>
      </c>
      <c r="G82" s="4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2" s="4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603</v>
      </c>
      <c r="I82" s="4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8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2" s="48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1556</v>
      </c>
      <c r="O82" s="4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7"/>
      <c r="Q82" s="47"/>
      <c r="R82" s="47"/>
    </row>
    <row r="83" spans="1:18" ht="15" customHeight="1" x14ac:dyDescent="0.15">
      <c r="A83" s="39" t="str">
        <f t="shared" si="11"/>
        <v>49016400_49016904</v>
      </c>
      <c r="B83" s="111">
        <v>49016400</v>
      </c>
      <c r="C83" s="170">
        <v>49016904</v>
      </c>
      <c r="D83" s="46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83" s="46" t="str">
        <f ca="1">VLOOKUP($C83,OFFSET(enemy_skills!$A$1,0,0,COUNTA(enemy_skills!$A:$A),MATCH(E$1,enemy_skills!$1:$1,0)-MATCH("enemy_skill_id",enemy_skills!$1:$1,0)+1),MATCH(E$1,enemy_skills!$1:$1,0)-MATCH("enemy_skill_id",enemy_skills!$1:$1,0)+1,FALSE)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83" s="170">
        <v>49016904</v>
      </c>
      <c r="G83" s="48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3" s="48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604</v>
      </c>
      <c r="I83" s="48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8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8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8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8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3" s="48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1560</v>
      </c>
      <c r="O83" s="48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7"/>
      <c r="Q83" s="47"/>
      <c r="R83" s="47"/>
    </row>
    <row r="84" spans="1:18" ht="15" customHeight="1" x14ac:dyDescent="0.15">
      <c r="A84" s="39" t="str">
        <f t="shared" si="11"/>
        <v>49016400_49016905</v>
      </c>
      <c r="B84" s="111">
        <v>49016400</v>
      </c>
      <c r="C84" s="170">
        <v>49016905</v>
      </c>
      <c r="D84" s="46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84" s="46" t="str">
        <f ca="1">VLOOKUP($C84,OFFSET(enemy_skills!$A$1,0,0,COUNTA(enemy_skills!$A:$A),MATCH(E$1,enemy_skills!$1:$1,0)-MATCH("enemy_skill_id",enemy_skills!$1:$1,0)+1),MATCH(E$1,enemy_skills!$1:$1,0)-MATCH("enemy_skill_id",enemy_skills!$1:$1,0)+1,FALSE)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84" s="170">
        <v>49016905</v>
      </c>
      <c r="G84" s="48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4" s="48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605</v>
      </c>
      <c r="I84" s="48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8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8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8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8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4" s="48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1561</v>
      </c>
      <c r="O84" s="48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7"/>
      <c r="Q84" s="47"/>
      <c r="R84" s="47"/>
    </row>
    <row r="85" spans="1:18" ht="15" customHeight="1" x14ac:dyDescent="0.15">
      <c r="A85" s="39" t="str">
        <f t="shared" si="11"/>
        <v>49016400_49016906</v>
      </c>
      <c r="B85" s="111">
        <v>49016400</v>
      </c>
      <c r="C85" s="170">
        <v>49016906</v>
      </c>
      <c r="D85" s="46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85" s="46" t="str">
        <f ca="1">VLOOKUP($C85,OFFSET(enemy_skills!$A$1,0,0,COUNTA(enemy_skills!$A:$A),MATCH(E$1,enemy_skills!$1:$1,0)-MATCH("enemy_skill_id",enemy_skills!$1:$1,0)+1),MATCH(E$1,enemy_skills!$1:$1,0)-MATCH("enemy_skill_id",enemy_skills!$1:$1,0)+1,FALSE)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85" s="170">
        <v>49016906</v>
      </c>
      <c r="G85" s="48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5" s="48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606</v>
      </c>
      <c r="I85" s="48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8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8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8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48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5" s="48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1565</v>
      </c>
      <c r="O85" s="48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7"/>
      <c r="Q85" s="47"/>
      <c r="R85" s="47"/>
    </row>
    <row r="86" spans="1:18" ht="15" customHeight="1" x14ac:dyDescent="0.15">
      <c r="A86" s="39" t="str">
        <f t="shared" si="11"/>
        <v>49016400_49016907</v>
      </c>
      <c r="B86" s="111">
        <v>49016400</v>
      </c>
      <c r="C86" s="170">
        <v>49016907</v>
      </c>
      <c r="D86" s="46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86" s="46" t="str">
        <f ca="1">VLOOKUP($C86,OFFSET(enemy_skills!$A$1,0,0,COUNTA(enemy_skills!$A:$A),MATCH(E$1,enemy_skills!$1:$1,0)-MATCH("enemy_skill_id",enemy_skills!$1:$1,0)+1),MATCH(E$1,enemy_skills!$1:$1,0)-MATCH("enemy_skill_id",enemy_skills!$1:$1,0)+1,FALSE)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86" s="170">
        <v>49016907</v>
      </c>
      <c r="G86" s="48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6" s="48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607</v>
      </c>
      <c r="I86" s="48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8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8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8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48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6" s="48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1568</v>
      </c>
      <c r="O86" s="48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7"/>
      <c r="Q86" s="47"/>
      <c r="R86" s="47"/>
    </row>
    <row r="87" spans="1:18" ht="15" customHeight="1" x14ac:dyDescent="0.15">
      <c r="A87" s="39" t="str">
        <f t="shared" si="11"/>
        <v>49016400_49016908</v>
      </c>
      <c r="B87" s="111">
        <v>49016400</v>
      </c>
      <c r="C87" s="170">
        <v>49016908</v>
      </c>
      <c r="D87" s="46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87" s="46" t="str">
        <f ca="1">VLOOKUP($C87,OFFSET(enemy_skills!$A$1,0,0,COUNTA(enemy_skills!$A:$A),MATCH(E$1,enemy_skills!$1:$1,0)-MATCH("enemy_skill_id",enemy_skills!$1:$1,0)+1),MATCH(E$1,enemy_skills!$1:$1,0)-MATCH("enemy_skill_id",enemy_skills!$1:$1,0)+1,FALSE)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87" s="170">
        <v>49016908</v>
      </c>
      <c r="G87" s="48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7" s="48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608</v>
      </c>
      <c r="I87" s="48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8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8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8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8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7" s="48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1570</v>
      </c>
      <c r="O87" s="48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7"/>
      <c r="Q87" s="47"/>
      <c r="R87" s="47"/>
    </row>
    <row r="88" spans="1:18" ht="15" customHeight="1" x14ac:dyDescent="0.15">
      <c r="A88" s="39" t="str">
        <f t="shared" si="11"/>
        <v>49016400_49016909</v>
      </c>
      <c r="B88" s="111">
        <v>49016400</v>
      </c>
      <c r="C88" s="170">
        <v>49016909</v>
      </c>
      <c r="D88" s="46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88" s="46" t="str">
        <f ca="1">VLOOKUP($C88,OFFSET(enemy_skills!$A$1,0,0,COUNTA(enemy_skills!$A:$A),MATCH(E$1,enemy_skills!$1:$1,0)-MATCH("enemy_skill_id",enemy_skills!$1:$1,0)+1),MATCH(E$1,enemy_skills!$1:$1,0)-MATCH("enemy_skill_id",enemy_skills!$1:$1,0)+1,FALSE)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88" s="170">
        <v>49016909</v>
      </c>
      <c r="G88" s="48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8" s="48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609</v>
      </c>
      <c r="I88" s="48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8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8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8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8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8" s="48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1571</v>
      </c>
      <c r="O88" s="48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7"/>
      <c r="Q88" s="47"/>
      <c r="R88" s="47"/>
    </row>
    <row r="89" spans="1:18" ht="15" customHeight="1" x14ac:dyDescent="0.15">
      <c r="A89" s="39" t="str">
        <f t="shared" si="11"/>
        <v>49016400_49016910</v>
      </c>
      <c r="B89" s="111">
        <v>49016400</v>
      </c>
      <c r="C89" s="170">
        <v>49016910</v>
      </c>
      <c r="D89" s="46" t="str">
        <f ca="1">VLOOKUP($C89,OFFSET(enemy_skills!$A$1,0,0,COUNTA(enemy_skills!$A:$A),MATCH(D$1,enemy_skills!$1:$1,0)-MATCH("enemy_skill_id",enemy_skills!$1:$1,0)+1),MATCH(D$1,enemy_skills!$1:$1,0)-MATCH("enemy_skill_id",enemy_skills!$1:$1,0)+1,FALSE)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89" s="46" t="str">
        <f ca="1">VLOOKUP($C89,OFFSET(enemy_skills!$A$1,0,0,COUNTA(enemy_skills!$A:$A),MATCH(E$1,enemy_skills!$1:$1,0)-MATCH("enemy_skill_id",enemy_skills!$1:$1,0)+1),MATCH(E$1,enemy_skills!$1:$1,0)-MATCH("enemy_skill_id",enemy_skills!$1:$1,0)+1,FALSE)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89" s="170">
        <v>49016910</v>
      </c>
      <c r="G89" s="48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9" s="48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610</v>
      </c>
      <c r="I89" s="48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8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8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8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48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89" s="48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1573</v>
      </c>
      <c r="O89" s="48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7"/>
      <c r="Q89" s="47"/>
      <c r="R89" s="47"/>
    </row>
    <row r="90" spans="1:18" ht="15" customHeight="1" x14ac:dyDescent="0.15">
      <c r="A90" s="39" t="str">
        <f t="shared" si="11"/>
        <v>49016400_49016911</v>
      </c>
      <c r="B90" s="111">
        <v>49016400</v>
      </c>
      <c r="C90" s="170">
        <v>49016911</v>
      </c>
      <c r="D90" s="46" t="str">
        <f ca="1">VLOOKUP($C90,OFFSET(enemy_skills!$A$1,0,0,COUNTA(enemy_skills!$A:$A),MATCH(D$1,enemy_skills!$1:$1,0)-MATCH("enemy_skill_id",enemy_skills!$1:$1,0)+1),MATCH(D$1,enemy_skills!$1:$1,0)-MATCH("enemy_skill_id",enemy_skills!$1:$1,0)+1,FALSE)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90" s="46" t="str">
        <f ca="1">VLOOKUP($C90,OFFSET(enemy_skills!$A$1,0,0,COUNTA(enemy_skills!$A:$A),MATCH(E$1,enemy_skills!$1:$1,0)-MATCH("enemy_skill_id",enemy_skills!$1:$1,0)+1),MATCH(E$1,enemy_skills!$1:$1,0)-MATCH("enemy_skill_id",enemy_skills!$1:$1,0)+1,FALSE)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90" s="170">
        <v>49016911</v>
      </c>
      <c r="G90" s="48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0" s="48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611</v>
      </c>
      <c r="I90" s="48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8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8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8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0" s="48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0" s="48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1574</v>
      </c>
      <c r="O90" s="48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7"/>
      <c r="Q90" s="47"/>
      <c r="R90" s="47"/>
    </row>
    <row r="91" spans="1:18" ht="15" customHeight="1" x14ac:dyDescent="0.15">
      <c r="A91" s="39" t="str">
        <f t="shared" si="11"/>
        <v>49016400_49016912</v>
      </c>
      <c r="B91" s="111">
        <v>49016400</v>
      </c>
      <c r="C91" s="170">
        <v>49016912</v>
      </c>
      <c r="D91" s="46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91" s="46" t="str">
        <f ca="1">VLOOKUP($C91,OFFSET(enemy_skills!$A$1,0,0,COUNTA(enemy_skills!$A:$A),MATCH(E$1,enemy_skills!$1:$1,0)-MATCH("enemy_skill_id",enemy_skills!$1:$1,0)+1),MATCH(E$1,enemy_skills!$1:$1,0)-MATCH("enemy_skill_id",enemy_skills!$1:$1,0)+1,FALSE)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91" s="170">
        <v>49016912</v>
      </c>
      <c r="G91" s="48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1" s="48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612</v>
      </c>
      <c r="I91" s="48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8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8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8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48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1" s="48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1577</v>
      </c>
      <c r="O91" s="48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7"/>
      <c r="Q91" s="47"/>
      <c r="R91" s="47"/>
    </row>
    <row r="92" spans="1:18" ht="15" customHeight="1" x14ac:dyDescent="0.15">
      <c r="A92" s="39" t="str">
        <f t="shared" si="11"/>
        <v>49016400_49016913</v>
      </c>
      <c r="B92" s="111">
        <v>49016400</v>
      </c>
      <c r="C92" s="170">
        <v>49016913</v>
      </c>
      <c r="D92" s="4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92" s="4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92" s="170">
        <v>49016913</v>
      </c>
      <c r="G92" s="4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2" s="4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613</v>
      </c>
      <c r="I92" s="4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48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2" s="48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1578</v>
      </c>
      <c r="O92" s="4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7"/>
      <c r="Q92" s="47"/>
      <c r="R92" s="47"/>
    </row>
    <row r="93" spans="1:18" ht="15" customHeight="1" x14ac:dyDescent="0.15">
      <c r="A93" s="39" t="str">
        <f t="shared" si="11"/>
        <v>49016400_49016914</v>
      </c>
      <c r="B93" s="111">
        <v>49016400</v>
      </c>
      <c r="C93" s="170">
        <v>49016914</v>
      </c>
      <c r="D93" s="46" t="str">
        <f ca="1">VLOOKUP($C93,OFFSET(enemy_skills!$A$1,0,0,COUNTA(enemy_skills!$A:$A),MATCH(D$1,enemy_skills!$1:$1,0)-MATCH("enemy_skill_id",enemy_skills!$1:$1,0)+1),MATCH(D$1,enemy_skills!$1:$1,0)-MATCH("enemy_skill_id",enemy_skills!$1:$1,0)+1,FALSE)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93" s="46" t="str">
        <f ca="1">VLOOKUP($C93,OFFSET(enemy_skills!$A$1,0,0,COUNTA(enemy_skills!$A:$A),MATCH(E$1,enemy_skills!$1:$1,0)-MATCH("enemy_skill_id",enemy_skills!$1:$1,0)+1),MATCH(E$1,enemy_skills!$1:$1,0)-MATCH("enemy_skill_id",enemy_skills!$1:$1,0)+1,FALSE)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93" s="170">
        <v>49016914</v>
      </c>
      <c r="G93" s="48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3" s="48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614</v>
      </c>
      <c r="I93" s="48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8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8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8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48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3" s="48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1581</v>
      </c>
      <c r="O93" s="48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7"/>
      <c r="Q93" s="47"/>
      <c r="R93" s="47"/>
    </row>
    <row r="94" spans="1:18" ht="15" customHeight="1" x14ac:dyDescent="0.15">
      <c r="A94" s="39" t="str">
        <f t="shared" si="11"/>
        <v>49016400_49016915</v>
      </c>
      <c r="B94" s="111">
        <v>49016400</v>
      </c>
      <c r="C94" s="170">
        <v>49016915</v>
      </c>
      <c r="D94" s="46" t="str">
        <f ca="1">VLOOKUP($C94,OFFSET(enemy_skills!$A$1,0,0,COUNTA(enemy_skills!$A:$A),MATCH(D$1,enemy_skills!$1:$1,0)-MATCH("enemy_skill_id",enemy_skills!$1:$1,0)+1),MATCH(D$1,enemy_skills!$1:$1,0)-MATCH("enemy_skill_id",enemy_skills!$1:$1,0)+1,FALSE)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94" s="46" t="str">
        <f ca="1">VLOOKUP($C94,OFFSET(enemy_skills!$A$1,0,0,COUNTA(enemy_skills!$A:$A),MATCH(E$1,enemy_skills!$1:$1,0)-MATCH("enemy_skill_id",enemy_skills!$1:$1,0)+1),MATCH(E$1,enemy_skills!$1:$1,0)-MATCH("enemy_skill_id",enemy_skills!$1:$1,0)+1,FALSE)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94" s="170">
        <v>49016915</v>
      </c>
      <c r="G94" s="48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4" s="48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615</v>
      </c>
      <c r="I94" s="48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8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8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8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4" s="48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4" s="48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1584</v>
      </c>
      <c r="O94" s="48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7"/>
      <c r="Q94" s="47"/>
      <c r="R94" s="47"/>
    </row>
    <row r="95" spans="1:18" ht="15" customHeight="1" x14ac:dyDescent="0.15">
      <c r="A95" s="39" t="str">
        <f t="shared" si="11"/>
        <v>49016400_49016916</v>
      </c>
      <c r="B95" s="111">
        <v>49016400</v>
      </c>
      <c r="C95" s="170">
        <v>49016916</v>
      </c>
      <c r="D95" s="46" t="str">
        <f ca="1">VLOOKUP($C95,OFFSET(enemy_skills!$A$1,0,0,COUNTA(enemy_skills!$A:$A),MATCH(D$1,enemy_skills!$1:$1,0)-MATCH("enemy_skill_id",enemy_skills!$1:$1,0)+1),MATCH(D$1,enemy_skills!$1:$1,0)-MATCH("enemy_skill_id",enemy_skills!$1:$1,0)+1,FALSE)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95" s="46" t="str">
        <f ca="1">VLOOKUP($C95,OFFSET(enemy_skills!$A$1,0,0,COUNTA(enemy_skills!$A:$A),MATCH(E$1,enemy_skills!$1:$1,0)-MATCH("enemy_skill_id",enemy_skills!$1:$1,0)+1),MATCH(E$1,enemy_skills!$1:$1,0)-MATCH("enemy_skill_id",enemy_skills!$1:$1,0)+1,FALSE)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95" s="170">
        <v>49016916</v>
      </c>
      <c r="G95" s="48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5" s="48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616</v>
      </c>
      <c r="I95" s="48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8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8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8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5" s="48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5" s="48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1587</v>
      </c>
      <c r="O95" s="48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7"/>
      <c r="Q95" s="47"/>
      <c r="R95" s="47"/>
    </row>
    <row r="96" spans="1:18" ht="15" customHeight="1" x14ac:dyDescent="0.15">
      <c r="A96" s="39" t="str">
        <f t="shared" si="11"/>
        <v>49016400_49016917</v>
      </c>
      <c r="B96" s="111">
        <v>49016400</v>
      </c>
      <c r="C96" s="170">
        <v>49016917</v>
      </c>
      <c r="D96" s="46" t="str">
        <f ca="1">VLOOKUP($C96,OFFSET(enemy_skills!$A$1,0,0,COUNTA(enemy_skills!$A:$A),MATCH(D$1,enemy_skills!$1:$1,0)-MATCH("enemy_skill_id",enemy_skills!$1:$1,0)+1),MATCH(D$1,enemy_skills!$1:$1,0)-MATCH("enemy_skill_id",enemy_skills!$1:$1,0)+1,FALSE)</f>
        <v>その炎は…！_x000D_この痛み、この記憶は…？</v>
      </c>
      <c r="E96" s="46" t="str">
        <f ca="1">VLOOKUP($C96,OFFSET(enemy_skills!$A$1,0,0,COUNTA(enemy_skills!$A:$A),MATCH(E$1,enemy_skills!$1:$1,0)-MATCH("enemy_skill_id",enemy_skills!$1:$1,0)+1),MATCH(E$1,enemy_skills!$1:$1,0)-MATCH("enemy_skill_id",enemy_skills!$1:$1,0)+1,FALSE)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96" s="170">
        <v>49016917</v>
      </c>
      <c r="G96" s="48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6" s="48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627</v>
      </c>
      <c r="I96" s="48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8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8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8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6" s="48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6" s="48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1551</v>
      </c>
      <c r="O96" s="48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7"/>
      <c r="Q96" s="47"/>
      <c r="R96" s="47"/>
    </row>
    <row r="97" spans="1:18" ht="15" customHeight="1" x14ac:dyDescent="0.15">
      <c r="A97" s="39" t="str">
        <f t="shared" si="11"/>
        <v>49016400_49016918</v>
      </c>
      <c r="B97" s="111">
        <v>49016400</v>
      </c>
      <c r="C97" s="170">
        <v>49016918</v>
      </c>
      <c r="D97" s="46" t="str">
        <f ca="1">VLOOKUP($C97,OFFSET(enemy_skills!$A$1,0,0,COUNTA(enemy_skills!$A:$A),MATCH(D$1,enemy_skills!$1:$1,0)-MATCH("enemy_skill_id",enemy_skills!$1:$1,0)+1),MATCH(D$1,enemy_skills!$1:$1,0)-MATCH("enemy_skill_id",enemy_skills!$1:$1,0)+1,FALSE)</f>
        <v>その炎は…！_x000D_この痛み、この記憶は…？</v>
      </c>
      <c r="E97" s="46" t="str">
        <f ca="1">VLOOKUP($C97,OFFSET(enemy_skills!$A$1,0,0,COUNTA(enemy_skills!$A:$A),MATCH(E$1,enemy_skills!$1:$1,0)-MATCH("enemy_skill_id",enemy_skills!$1:$1,0)+1),MATCH(E$1,enemy_skills!$1:$1,0)-MATCH("enemy_skill_id",enemy_skills!$1:$1,0)+1,FALSE)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97" s="170">
        <v>49016918</v>
      </c>
      <c r="G97" s="48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7" s="48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628</v>
      </c>
      <c r="I97" s="48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8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8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8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48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7" s="48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1552</v>
      </c>
      <c r="O97" s="48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7"/>
      <c r="Q97" s="47"/>
      <c r="R97" s="47"/>
    </row>
    <row r="98" spans="1:18" ht="15" customHeight="1" x14ac:dyDescent="0.15">
      <c r="A98" s="39" t="str">
        <f t="shared" si="11"/>
        <v>49016400_49016919</v>
      </c>
      <c r="B98" s="111">
        <v>49016400</v>
      </c>
      <c r="C98" s="170">
        <v>49016919</v>
      </c>
      <c r="D98" s="46" t="str">
        <f ca="1">VLOOKUP($C98,OFFSET(enemy_skills!$A$1,0,0,COUNTA(enemy_skills!$A:$A),MATCH(D$1,enemy_skills!$1:$1,0)-MATCH("enemy_skill_id",enemy_skills!$1:$1,0)+1),MATCH(D$1,enemy_skills!$1:$1,0)-MATCH("enemy_skill_id",enemy_skills!$1:$1,0)+1,FALSE)</f>
        <v>わぁ すごい格好ですね_x000D_シェルミーならなんていうかなぁ</v>
      </c>
      <c r="E98" s="46" t="str">
        <f ca="1">VLOOKUP($C98,OFFSET(enemy_skills!$A$1,0,0,COUNTA(enemy_skills!$A:$A),MATCH(E$1,enemy_skills!$1:$1,0)-MATCH("enemy_skill_id",enemy_skills!$1:$1,0)+1),MATCH(E$1,enemy_skills!$1:$1,0)-MATCH("enemy_skill_id",enemy_skills!$1:$1,0)+1,FALSE)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98" s="170">
        <v>49016919</v>
      </c>
      <c r="G98" s="48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8" s="48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625</v>
      </c>
      <c r="I98" s="48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8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8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8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48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8" s="48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1566</v>
      </c>
      <c r="O98" s="48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7"/>
      <c r="Q98" s="47"/>
      <c r="R98" s="47"/>
    </row>
    <row r="99" spans="1:18" ht="15" customHeight="1" x14ac:dyDescent="0.15">
      <c r="A99" s="39" t="str">
        <f t="shared" si="11"/>
        <v>49016400_49016920</v>
      </c>
      <c r="B99" s="111">
        <v>49016400</v>
      </c>
      <c r="C99" s="170">
        <v>49016920</v>
      </c>
      <c r="D99" s="46" t="str">
        <f ca="1">VLOOKUP($C99,OFFSET(enemy_skills!$A$1,0,0,COUNTA(enemy_skills!$A:$A),MATCH(D$1,enemy_skills!$1:$1,0)-MATCH("enemy_skill_id",enemy_skills!$1:$1,0)+1),MATCH(D$1,enemy_skills!$1:$1,0)-MATCH("enemy_skill_id",enemy_skills!$1:$1,0)+1,FALSE)</f>
        <v>わぁ すごい格好ですね_x000D_シェルミーならなんていうかなぁ</v>
      </c>
      <c r="E99" s="46" t="str">
        <f ca="1">VLOOKUP($C99,OFFSET(enemy_skills!$A$1,0,0,COUNTA(enemy_skills!$A:$A),MATCH(E$1,enemy_skills!$1:$1,0)-MATCH("enemy_skill_id",enemy_skills!$1:$1,0)+1),MATCH(E$1,enemy_skills!$1:$1,0)-MATCH("enemy_skill_id",enemy_skills!$1:$1,0)+1,FALSE)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99" s="170">
        <v>49016920</v>
      </c>
      <c r="G99" s="48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9" s="48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626</v>
      </c>
      <c r="I99" s="48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8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8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8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9" s="48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9" s="48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1567</v>
      </c>
      <c r="O99" s="48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7"/>
      <c r="Q99" s="47"/>
      <c r="R99" s="47"/>
    </row>
    <row r="100" spans="1:18" ht="15" customHeight="1" x14ac:dyDescent="0.15">
      <c r="A100" s="39" t="str">
        <f t="shared" si="11"/>
        <v>49016400_49016921</v>
      </c>
      <c r="B100" s="111">
        <v>49016400</v>
      </c>
      <c r="C100" s="170">
        <v>49016921</v>
      </c>
      <c r="D100" s="46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やだなぁ 強そう…_x000D_相手なら社にしてもらってよ</v>
      </c>
      <c r="E100" s="46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100" s="170">
        <v>49016921</v>
      </c>
      <c r="G100" s="48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0" s="48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623</v>
      </c>
      <c r="I100" s="48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8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8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8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0" s="48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0" s="48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1563</v>
      </c>
      <c r="O100" s="48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7"/>
      <c r="Q100" s="47"/>
      <c r="R100" s="47"/>
    </row>
    <row r="101" spans="1:18" ht="15" customHeight="1" x14ac:dyDescent="0.15">
      <c r="A101" s="39" t="str">
        <f t="shared" si="11"/>
        <v>49016400_49016922</v>
      </c>
      <c r="B101" s="111">
        <v>49016400</v>
      </c>
      <c r="C101" s="170">
        <v>49016922</v>
      </c>
      <c r="D101" s="46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やだなぁ 強そう…_x000D_相手なら社にしてもらってよ</v>
      </c>
      <c r="E101" s="46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101" s="170">
        <v>49016922</v>
      </c>
      <c r="G101" s="48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1" s="48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624</v>
      </c>
      <c r="I101" s="48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8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8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8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1" s="48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1" s="48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1564</v>
      </c>
      <c r="O101" s="48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7"/>
      <c r="Q101" s="47"/>
      <c r="R101" s="47"/>
    </row>
    <row r="102" spans="1:18" ht="15" customHeight="1" x14ac:dyDescent="0.15">
      <c r="A102" s="39" t="str">
        <f t="shared" si="11"/>
        <v>49016400_49016923</v>
      </c>
      <c r="B102" s="111">
        <v>49016400</v>
      </c>
      <c r="C102" s="170">
        <v>49016923</v>
      </c>
      <c r="D102" s="46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こんにちは それで…_x000D_あなたも格闘家のつもりなの？</v>
      </c>
      <c r="E102" s="46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102" s="170">
        <v>49016923</v>
      </c>
      <c r="G102" s="48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2" s="48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621</v>
      </c>
      <c r="I102" s="48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8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8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8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2" s="48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2" s="48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1558</v>
      </c>
      <c r="O102" s="48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7"/>
      <c r="Q102" s="47"/>
      <c r="R102" s="47"/>
    </row>
    <row r="103" spans="1:18" ht="15" customHeight="1" x14ac:dyDescent="0.15">
      <c r="A103" s="39" t="str">
        <f t="shared" si="11"/>
        <v>49016400_49016924</v>
      </c>
      <c r="B103" s="111">
        <v>49016400</v>
      </c>
      <c r="C103" s="170">
        <v>49016924</v>
      </c>
      <c r="D103" s="46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こんにちは それで…_x000D_あなたも格闘家のつもりなの？</v>
      </c>
      <c r="E103" s="46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103" s="170">
        <v>49016924</v>
      </c>
      <c r="G103" s="48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3" s="48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622</v>
      </c>
      <c r="I103" s="48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3" s="48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8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8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3" s="48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3" s="48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1559</v>
      </c>
      <c r="O103" s="48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3" s="47"/>
      <c r="Q103" s="47"/>
      <c r="R103" s="47"/>
    </row>
    <row r="104" spans="1:18" ht="15" customHeight="1" x14ac:dyDescent="0.15">
      <c r="A104" s="39" t="str">
        <f t="shared" si="11"/>
        <v>49016400_49016925</v>
      </c>
      <c r="B104" s="111">
        <v>49016400</v>
      </c>
      <c r="C104" s="170">
        <v>49016925</v>
      </c>
      <c r="D104" s="46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正義ですか…くすっ_x000D_…そんなに怖い顔しないでよ</v>
      </c>
      <c r="E104" s="46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104" s="170">
        <v>49016925</v>
      </c>
      <c r="G104" s="48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4" s="48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619</v>
      </c>
      <c r="I104" s="48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4" s="48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8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8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4" s="48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4" s="48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1575</v>
      </c>
      <c r="O104" s="48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4" s="47"/>
      <c r="Q104" s="47"/>
      <c r="R104" s="47"/>
    </row>
    <row r="105" spans="1:18" ht="15" customHeight="1" x14ac:dyDescent="0.15">
      <c r="A105" s="39" t="str">
        <f t="shared" si="11"/>
        <v>49016400_49016926</v>
      </c>
      <c r="B105" s="111">
        <v>49016400</v>
      </c>
      <c r="C105" s="170">
        <v>49016926</v>
      </c>
      <c r="D105" s="46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正義ですか…くすっ_x000D_…そんなに怖い顔しないでよ</v>
      </c>
      <c r="E105" s="46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105" s="170">
        <v>49016926</v>
      </c>
      <c r="G105" s="48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5" s="48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620</v>
      </c>
      <c r="I105" s="48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5" s="48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8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8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5" s="48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5" s="48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1576</v>
      </c>
      <c r="O105" s="48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5" s="47"/>
      <c r="Q105" s="47"/>
      <c r="R105" s="47"/>
    </row>
    <row r="106" spans="1:18" ht="15" customHeight="1" x14ac:dyDescent="0.15">
      <c r="A106" s="39" t="str">
        <f t="shared" si="11"/>
        <v>49016400_49016927</v>
      </c>
      <c r="B106" s="111">
        <v>49016400</v>
      </c>
      <c r="C106" s="170">
        <v>49016927</v>
      </c>
      <c r="D106" s="46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あなたの炎…_x000D_なんだか気に入らないな</v>
      </c>
      <c r="E106" s="46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106" s="170">
        <v>49016927</v>
      </c>
      <c r="G106" s="48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6" s="48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617</v>
      </c>
      <c r="I106" s="48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8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8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8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48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6" s="48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1579</v>
      </c>
      <c r="O106" s="48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7"/>
      <c r="Q106" s="47"/>
      <c r="R106" s="47"/>
    </row>
    <row r="107" spans="1:18" ht="15" customHeight="1" x14ac:dyDescent="0.15">
      <c r="A107" s="39" t="str">
        <f t="shared" si="11"/>
        <v>49016400_49016928</v>
      </c>
      <c r="B107" s="111">
        <v>49016400</v>
      </c>
      <c r="C107" s="170">
        <v>49016928</v>
      </c>
      <c r="D107" s="46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あなたの炎…_x000D_なんだか気に入らないな</v>
      </c>
      <c r="E107" s="46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107" s="170">
        <v>49016928</v>
      </c>
      <c r="G107" s="48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7" s="48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618</v>
      </c>
      <c r="I107" s="48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48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48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48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7" s="48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7" s="48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1580</v>
      </c>
      <c r="O107" s="48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47"/>
      <c r="Q107" s="47"/>
      <c r="R107" s="47"/>
    </row>
    <row r="108" spans="1:18" ht="21" customHeight="1" x14ac:dyDescent="0.15">
      <c r="A108" s="39" t="str">
        <f t="shared" si="9"/>
        <v>49016400_49016401</v>
      </c>
      <c r="B108" s="111">
        <v>49016400</v>
      </c>
      <c r="C108" s="111">
        <v>49016401</v>
      </c>
      <c r="D108" s="46" t="str">
        <f ca="1">VLOOKUP($C108,OFFSET(enemy_skills!$A$1,0,0,COUNTA(enemy_skills!$A:$A),MATCH(D$1,enemy_skills!$1:$1,0)-MATCH("enemy_skill_id",enemy_skills!$1:$1,0)+1),MATCH(D$1,enemy_skills!$1:$1,0)-MATCH("enemy_skill_id",enemy_skills!$1:$1,0)+1,FALSE)</f>
        <v>遠慮なく行きます！</v>
      </c>
      <c r="E108" s="46" t="str">
        <f ca="1">VLOOKUP($C108,OFFSET(enemy_skills!$A$1,0,0,COUNTA(enemy_skills!$A:$A),MATCH(E$1,enemy_skills!$1:$1,0)-MATCH("enemy_skill_id",enemy_skills!$1:$1,0)+1),MATCH(E$1,enemy_skills!$1:$1,0)-MATCH("enemy_skill_id",enemy_skills!$1:$1,0)+1,FALSE)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108" s="111">
        <v>49016401</v>
      </c>
      <c r="G108" s="48">
        <f ca="1">VLOOKUP($F108,OFFSET(enemy_skill_triggers!$A$1,0,0,COUNTA(enemy_skill_triggers!$A:$A),MATCH(G$1,enemy_skill_triggers!$1:$1,0)-MATCH($F$1,enemy_skill_triggers!$1:$1,0)+1),MATCH(G$1,enemy_skill_triggers!$1:$1,0)-MATCH($F$1,enemy_skill_triggers!$1:$1,0)+1,FALSE)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8" s="48">
        <f ca="1">VLOOKUP($F108,OFFSET(enemy_skill_triggers!$A$1,0,0,COUNTA(enemy_skill_triggers!$A:$A),MATCH(H$1,enemy_skill_triggers!$1:$1,0)-MATCH($F$1,enemy_skill_triggers!$1:$1,0)+1),MATCH(H$1,enemy_skill_triggers!$1:$1,0)-MATCH($F$1,enemy_skill_triggers!$1:$1,0)+1,FALSE)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8" s="48">
        <f ca="1">VLOOKUP($F108,OFFSET(enemy_skill_triggers!$A$1,0,0,COUNTA(enemy_skill_triggers!$A:$A),MATCH(I$1,enemy_skill_triggers!$1:$1,0)-MATCH($F$1,enemy_skill_triggers!$1:$1,0)+1),MATCH(I$1,enemy_skill_triggers!$1:$1,0)-MATCH($F$1,enemy_skill_triggers!$1:$1,0)+1,FALSE)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8" s="48" t="str">
        <f ca="1">VLOOKUP($F108,OFFSET(enemy_skill_triggers!$A$1,0,0,COUNTA(enemy_skill_triggers!$A:$A),MATCH(J$1,enemy_skill_triggers!$1:$1,0)-MATCH($F$1,enemy_skill_triggers!$1:$1,0)+1),MATCH(J$1,enemy_skill_triggers!$1:$1,0)-MATCH($F$1,enemy_skill_triggers!$1:$1,0)+1,FALSE)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8" s="48" t="str">
        <f ca="1">VLOOKUP($F108,OFFSET(enemy_skill_triggers!$A$1,0,0,COUNTA(enemy_skill_triggers!$A:$A),MATCH(K$1,enemy_skill_triggers!$1:$1,0)-MATCH($F$1,enemy_skill_triggers!$1:$1,0)+1),MATCH(K$1,enemy_skill_triggers!$1:$1,0)-MATCH($F$1,enemy_skill_triggers!$1:$1,0)+1,FALSE)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8" s="48" t="str">
        <f ca="1">VLOOKUP($F108,OFFSET(enemy_skill_triggers!$A$1,0,0,COUNTA(enemy_skill_triggers!$A:$A),MATCH(L$1,enemy_skill_triggers!$1:$1,0)-MATCH($F$1,enemy_skill_triggers!$1:$1,0)+1),MATCH(L$1,enemy_skill_triggers!$1:$1,0)-MATCH($F$1,enemy_skill_triggers!$1:$1,0)+1,FALSE)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8" s="48">
        <f ca="1">VLOOKUP($F108,OFFSET(enemy_skill_triggers!$A$1,0,0,COUNTA(enemy_skill_triggers!$A:$A),MATCH(M$1,enemy_skill_triggers!$1:$1,0)-MATCH($F$1,enemy_skill_triggers!$1:$1,0)+1),MATCH(M$1,enemy_skill_triggers!$1:$1,0)-MATCH($F$1,enemy_skill_triggers!$1:$1,0)+1,FALSE)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8" s="48" t="str">
        <f ca="1">VLOOKUP($F108,OFFSET(enemy_skill_triggers!$A$1,0,0,COUNTA(enemy_skill_triggers!$A:$A),MATCH(N$1,enemy_skill_triggers!$1:$1,0)-MATCH($F$1,enemy_skill_triggers!$1:$1,0)+1),MATCH(N$1,enemy_skill_triggers!$1:$1,0)-MATCH($F$1,enemy_skill_triggers!$1:$1,0)+1,FALSE)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8" s="48">
        <f ca="1">VLOOKUP($F108,OFFSET(enemy_skill_triggers!$A$1,0,0,COUNTA(enemy_skill_triggers!$A:$A),MATCH(O$1,enemy_skill_triggers!$1:$1,0)-MATCH($F$1,enemy_skill_triggers!$1:$1,0)+1),MATCH(O$1,enemy_skill_triggers!$1:$1,0)-MATCH($F$1,enemy_skill_triggers!$1:$1,0)+1,FALSE)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8" s="47"/>
      <c r="Q108" s="47"/>
      <c r="R108" s="47"/>
    </row>
    <row r="109" spans="1:18" ht="21" customHeight="1" x14ac:dyDescent="0.15">
      <c r="A109" s="39" t="str">
        <f t="shared" si="9"/>
        <v>49016400_49016402</v>
      </c>
      <c r="B109" s="111">
        <v>49016400</v>
      </c>
      <c r="C109" s="111">
        <v>49016402</v>
      </c>
      <c r="D109" s="46" t="str">
        <f ca="1">VLOOKUP($C109,OFFSET(enemy_skills!$A$1,0,0,COUNTA(enemy_skills!$A:$A),MATCH(D$1,enemy_skills!$1:$1,0)-MATCH("enemy_skill_id",enemy_skills!$1:$1,0)+1),MATCH(D$1,enemy_skills!$1:$1,0)-MATCH("enemy_skill_id",enemy_skills!$1:$1,0)+1,FALSE)</f>
        <v>サマーっ！</v>
      </c>
      <c r="E109" s="46" t="str">
        <f ca="1">VLOOKUP($C109,OFFSET(enemy_skills!$A$1,0,0,COUNTA(enemy_skills!$A:$A),MATCH(E$1,enemy_skills!$1:$1,0)-MATCH("enemy_skill_id",enemy_skills!$1:$1,0)+1),MATCH(E$1,enemy_skills!$1:$1,0)-MATCH("enemy_skill_id",enemy_skills!$1:$1,0)+1,FALSE)</f>
        <v>青パネルプロテクト+2回連続攻撃</v>
      </c>
      <c r="F109" s="111">
        <v>49016402</v>
      </c>
      <c r="G109" s="48">
        <f ca="1">VLOOKUP($F109,OFFSET(enemy_skill_triggers!$A$1,0,0,COUNTA(enemy_skill_triggers!$A:$A),MATCH(G$1,enemy_skill_triggers!$1:$1,0)-MATCH($F$1,enemy_skill_triggers!$1:$1,0)+1),MATCH(G$1,enemy_skill_triggers!$1:$1,0)-MATCH($F$1,enemy_skill_triggers!$1:$1,0)+1,FALSE)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9" s="48">
        <f ca="1">VLOOKUP($F109,OFFSET(enemy_skill_triggers!$A$1,0,0,COUNTA(enemy_skill_triggers!$A:$A),MATCH(H$1,enemy_skill_triggers!$1:$1,0)-MATCH($F$1,enemy_skill_triggers!$1:$1,0)+1),MATCH(H$1,enemy_skill_triggers!$1:$1,0)-MATCH($F$1,enemy_skill_triggers!$1:$1,0)+1,FALSE)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09" s="48">
        <f ca="1">VLOOKUP($F109,OFFSET(enemy_skill_triggers!$A$1,0,0,COUNTA(enemy_skill_triggers!$A:$A),MATCH(I$1,enemy_skill_triggers!$1:$1,0)-MATCH($F$1,enemy_skill_triggers!$1:$1,0)+1),MATCH(I$1,enemy_skill_triggers!$1:$1,0)-MATCH($F$1,enemy_skill_triggers!$1:$1,0)+1,FALSE)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9" s="48" t="str">
        <f ca="1">VLOOKUP($F109,OFFSET(enemy_skill_triggers!$A$1,0,0,COUNTA(enemy_skill_triggers!$A:$A),MATCH(J$1,enemy_skill_triggers!$1:$1,0)-MATCH($F$1,enemy_skill_triggers!$1:$1,0)+1),MATCH(J$1,enemy_skill_triggers!$1:$1,0)-MATCH($F$1,enemy_skill_triggers!$1:$1,0)+1,FALSE)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9" s="48" t="str">
        <f ca="1">VLOOKUP($F109,OFFSET(enemy_skill_triggers!$A$1,0,0,COUNTA(enemy_skill_triggers!$A:$A),MATCH(K$1,enemy_skill_triggers!$1:$1,0)-MATCH($F$1,enemy_skill_triggers!$1:$1,0)+1),MATCH(K$1,enemy_skill_triggers!$1:$1,0)-MATCH($F$1,enemy_skill_triggers!$1:$1,0)+1,FALSE)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9" s="48" t="str">
        <f ca="1">VLOOKUP($F109,OFFSET(enemy_skill_triggers!$A$1,0,0,COUNTA(enemy_skill_triggers!$A:$A),MATCH(L$1,enemy_skill_triggers!$1:$1,0)-MATCH($F$1,enemy_skill_triggers!$1:$1,0)+1),MATCH(L$1,enemy_skill_triggers!$1:$1,0)-MATCH($F$1,enemy_skill_triggers!$1:$1,0)+1,FALSE)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9" s="48">
        <f ca="1">VLOOKUP($F109,OFFSET(enemy_skill_triggers!$A$1,0,0,COUNTA(enemy_skill_triggers!$A:$A),MATCH(M$1,enemy_skill_triggers!$1:$1,0)-MATCH($F$1,enemy_skill_triggers!$1:$1,0)+1),MATCH(M$1,enemy_skill_triggers!$1:$1,0)-MATCH($F$1,enemy_skill_triggers!$1:$1,0)+1,FALSE)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09" s="48" t="str">
        <f ca="1">VLOOKUP($F109,OFFSET(enemy_skill_triggers!$A$1,0,0,COUNTA(enemy_skill_triggers!$A:$A),MATCH(N$1,enemy_skill_triggers!$1:$1,0)-MATCH($F$1,enemy_skill_triggers!$1:$1,0)+1),MATCH(N$1,enemy_skill_triggers!$1:$1,0)-MATCH($F$1,enemy_skill_triggers!$1:$1,0)+1,FALSE)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9" s="48">
        <f ca="1">VLOOKUP($F109,OFFSET(enemy_skill_triggers!$A$1,0,0,COUNTA(enemy_skill_triggers!$A:$A),MATCH(O$1,enemy_skill_triggers!$1:$1,0)-MATCH($F$1,enemy_skill_triggers!$1:$1,0)+1),MATCH(O$1,enemy_skill_triggers!$1:$1,0)-MATCH($F$1,enemy_skill_triggers!$1:$1,0)+1,FALSE)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9" s="47"/>
      <c r="Q109" s="47"/>
      <c r="R109" s="47"/>
    </row>
    <row r="110" spans="1:18" ht="21" customHeight="1" x14ac:dyDescent="0.15">
      <c r="A110" s="39" t="str">
        <f t="shared" si="9"/>
        <v>49016400_49016403</v>
      </c>
      <c r="B110" s="111">
        <v>49016400</v>
      </c>
      <c r="C110" s="111">
        <v>49016403</v>
      </c>
      <c r="D110" s="46" t="str">
        <f ca="1">VLOOKUP($C110,OFFSET(enemy_skills!$A$1,0,0,COUNTA(enemy_skills!$A:$A),MATCH(D$1,enemy_skills!$1:$1,0)-MATCH("enemy_skill_id",enemy_skills!$1:$1,0)+1),MATCH(D$1,enemy_skills!$1:$1,0)-MATCH("enemy_skill_id",enemy_skills!$1:$1,0)+1,FALSE)</f>
        <v>とりましたぁ！</v>
      </c>
      <c r="E110" s="46" t="str">
        <f ca="1">VLOOKUP($C110,OFFSET(enemy_skills!$A$1,0,0,COUNTA(enemy_skills!$A:$A),MATCH(E$1,enemy_skills!$1:$1,0)-MATCH("enemy_skill_id",enemy_skills!$1:$1,0)+1),MATCH(E$1,enemy_skills!$1:$1,0)-MATCH("enemy_skill_id",enemy_skills!$1:$1,0)+1,FALSE)</f>
        <v>青パネルを吸収して攻撃</v>
      </c>
      <c r="F110" s="111">
        <v>49016403</v>
      </c>
      <c r="G110" s="48">
        <f ca="1">VLOOKUP($F110,OFFSET(enemy_skill_triggers!$A$1,0,0,COUNTA(enemy_skill_triggers!$A:$A),MATCH(G$1,enemy_skill_triggers!$1:$1,0)-MATCH($F$1,enemy_skill_triggers!$1:$1,0)+1),MATCH(G$1,enemy_skill_triggers!$1:$1,0)-MATCH($F$1,enemy_skill_triggers!$1:$1,0)+1,FALSE)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0" s="48">
        <f ca="1">VLOOKUP($F110,OFFSET(enemy_skill_triggers!$A$1,0,0,COUNTA(enemy_skill_triggers!$A:$A),MATCH(H$1,enemy_skill_triggers!$1:$1,0)-MATCH($F$1,enemy_skill_triggers!$1:$1,0)+1),MATCH(H$1,enemy_skill_triggers!$1:$1,0)-MATCH($F$1,enemy_skill_triggers!$1:$1,0)+1,FALSE)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10" s="48">
        <f ca="1">VLOOKUP($F110,OFFSET(enemy_skill_triggers!$A$1,0,0,COUNTA(enemy_skill_triggers!$A:$A),MATCH(I$1,enemy_skill_triggers!$1:$1,0)-MATCH($F$1,enemy_skill_triggers!$1:$1,0)+1),MATCH(I$1,enemy_skill_triggers!$1:$1,0)-MATCH($F$1,enemy_skill_triggers!$1:$1,0)+1,FALSE)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0" s="48" t="str">
        <f ca="1">VLOOKUP($F110,OFFSET(enemy_skill_triggers!$A$1,0,0,COUNTA(enemy_skill_triggers!$A:$A),MATCH(J$1,enemy_skill_triggers!$1:$1,0)-MATCH($F$1,enemy_skill_triggers!$1:$1,0)+1),MATCH(J$1,enemy_skill_triggers!$1:$1,0)-MATCH($F$1,enemy_skill_triggers!$1:$1,0)+1,FALSE)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0" s="48" t="str">
        <f ca="1">VLOOKUP($F110,OFFSET(enemy_skill_triggers!$A$1,0,0,COUNTA(enemy_skill_triggers!$A:$A),MATCH(K$1,enemy_skill_triggers!$1:$1,0)-MATCH($F$1,enemy_skill_triggers!$1:$1,0)+1),MATCH(K$1,enemy_skill_triggers!$1:$1,0)-MATCH($F$1,enemy_skill_triggers!$1:$1,0)+1,FALSE)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0" s="48" t="str">
        <f ca="1">VLOOKUP($F110,OFFSET(enemy_skill_triggers!$A$1,0,0,COUNTA(enemy_skill_triggers!$A:$A),MATCH(L$1,enemy_skill_triggers!$1:$1,0)-MATCH($F$1,enemy_skill_triggers!$1:$1,0)+1),MATCH(L$1,enemy_skill_triggers!$1:$1,0)-MATCH($F$1,enemy_skill_triggers!$1:$1,0)+1,FALSE)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0" s="48">
        <f ca="1">VLOOKUP($F110,OFFSET(enemy_skill_triggers!$A$1,0,0,COUNTA(enemy_skill_triggers!$A:$A),MATCH(M$1,enemy_skill_triggers!$1:$1,0)-MATCH($F$1,enemy_skill_triggers!$1:$1,0)+1),MATCH(M$1,enemy_skill_triggers!$1:$1,0)-MATCH($F$1,enemy_skill_triggers!$1:$1,0)+1,FALSE)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10" s="48" t="str">
        <f ca="1">VLOOKUP($F110,OFFSET(enemy_skill_triggers!$A$1,0,0,COUNTA(enemy_skill_triggers!$A:$A),MATCH(N$1,enemy_skill_triggers!$1:$1,0)-MATCH($F$1,enemy_skill_triggers!$1:$1,0)+1),MATCH(N$1,enemy_skill_triggers!$1:$1,0)-MATCH($F$1,enemy_skill_triggers!$1:$1,0)+1,FALSE)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0" s="48">
        <f ca="1">VLOOKUP($F110,OFFSET(enemy_skill_triggers!$A$1,0,0,COUNTA(enemy_skill_triggers!$A:$A),MATCH(O$1,enemy_skill_triggers!$1:$1,0)-MATCH($F$1,enemy_skill_triggers!$1:$1,0)+1),MATCH(O$1,enemy_skill_triggers!$1:$1,0)-MATCH($F$1,enemy_skill_triggers!$1:$1,0)+1,FALSE)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0" s="47"/>
      <c r="Q110" s="47"/>
      <c r="R110" s="47"/>
    </row>
    <row r="111" spans="1:18" ht="21" customHeight="1" x14ac:dyDescent="0.15">
      <c r="A111" s="39" t="str">
        <f t="shared" si="9"/>
        <v>49016400_49016404</v>
      </c>
      <c r="B111" s="111">
        <v>49016400</v>
      </c>
      <c r="C111" s="111">
        <v>49016404</v>
      </c>
      <c r="D111" s="46" t="str">
        <f ca="1">VLOOKUP($C111,OFFSET(enemy_skills!$A$1,0,0,COUNTA(enemy_skills!$A:$A),MATCH(D$1,enemy_skills!$1:$1,0)-MATCH("enemy_skill_id",enemy_skills!$1:$1,0)+1),MATCH(D$1,enemy_skills!$1:$1,0)-MATCH("enemy_skill_id",enemy_skills!$1:$1,0)+1,FALSE)</f>
        <v>もういーい？</v>
      </c>
      <c r="E111" s="46" t="str">
        <f ca="1">VLOOKUP($C111,OFFSET(enemy_skills!$A$1,0,0,COUNTA(enemy_skills!$A:$A),MATCH(E$1,enemy_skills!$1:$1,0)-MATCH("enemy_skill_id",enemy_skills!$1:$1,0)+1),MATCH(E$1,enemy_skills!$1:$1,0)-MATCH("enemy_skill_id",enemy_skills!$1:$1,0)+1,FALSE)</f>
        <v>次のターンに強力な連続攻撃</v>
      </c>
      <c r="F111" s="111">
        <v>49016404</v>
      </c>
      <c r="G111" s="48">
        <f ca="1">VLOOKUP($F111,OFFSET(enemy_skill_triggers!$A$1,0,0,COUNTA(enemy_skill_triggers!$A:$A),MATCH(G$1,enemy_skill_triggers!$1:$1,0)-MATCH($F$1,enemy_skill_triggers!$1:$1,0)+1),MATCH(G$1,enemy_skill_triggers!$1:$1,0)-MATCH($F$1,enemy_skill_triggers!$1:$1,0)+1,FALSE)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1" s="48">
        <f ca="1">VLOOKUP($F111,OFFSET(enemy_skill_triggers!$A$1,0,0,COUNTA(enemy_skill_triggers!$A:$A),MATCH(H$1,enemy_skill_triggers!$1:$1,0)-MATCH($F$1,enemy_skill_triggers!$1:$1,0)+1),MATCH(H$1,enemy_skill_triggers!$1:$1,0)-MATCH($F$1,enemy_skill_triggers!$1:$1,0)+1,FALSE)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11" s="48">
        <f ca="1">VLOOKUP($F111,OFFSET(enemy_skill_triggers!$A$1,0,0,COUNTA(enemy_skill_triggers!$A:$A),MATCH(I$1,enemy_skill_triggers!$1:$1,0)-MATCH($F$1,enemy_skill_triggers!$1:$1,0)+1),MATCH(I$1,enemy_skill_triggers!$1:$1,0)-MATCH($F$1,enemy_skill_triggers!$1:$1,0)+1,FALSE)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1" s="48">
        <f ca="1">VLOOKUP($F111,OFFSET(enemy_skill_triggers!$A$1,0,0,COUNTA(enemy_skill_triggers!$A:$A),MATCH(J$1,enemy_skill_triggers!$1:$1,0)-MATCH($F$1,enemy_skill_triggers!$1:$1,0)+1),MATCH(J$1,enemy_skill_triggers!$1:$1,0)-MATCH($F$1,enemy_skill_triggers!$1:$1,0)+1,FALSE)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1" s="48" t="str">
        <f ca="1">VLOOKUP($F111,OFFSET(enemy_skill_triggers!$A$1,0,0,COUNTA(enemy_skill_triggers!$A:$A),MATCH(K$1,enemy_skill_triggers!$1:$1,0)-MATCH($F$1,enemy_skill_triggers!$1:$1,0)+1),MATCH(K$1,enemy_skill_triggers!$1:$1,0)-MATCH($F$1,enemy_skill_triggers!$1:$1,0)+1,FALSE)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1" s="48">
        <f ca="1">VLOOKUP($F111,OFFSET(enemy_skill_triggers!$A$1,0,0,COUNTA(enemy_skill_triggers!$A:$A),MATCH(L$1,enemy_skill_triggers!$1:$1,0)-MATCH($F$1,enemy_skill_triggers!$1:$1,0)+1),MATCH(L$1,enemy_skill_triggers!$1:$1,0)-MATCH($F$1,enemy_skill_triggers!$1:$1,0)+1,FALSE)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1" s="48">
        <f ca="1">VLOOKUP($F111,OFFSET(enemy_skill_triggers!$A$1,0,0,COUNTA(enemy_skill_triggers!$A:$A),MATCH(M$1,enemy_skill_triggers!$1:$1,0)-MATCH($F$1,enemy_skill_triggers!$1:$1,0)+1),MATCH(M$1,enemy_skill_triggers!$1:$1,0)-MATCH($F$1,enemy_skill_triggers!$1:$1,0)+1,FALSE)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1" s="48" t="str">
        <f ca="1">VLOOKUP($F111,OFFSET(enemy_skill_triggers!$A$1,0,0,COUNTA(enemy_skill_triggers!$A:$A),MATCH(N$1,enemy_skill_triggers!$1:$1,0)-MATCH($F$1,enemy_skill_triggers!$1:$1,0)+1),MATCH(N$1,enemy_skill_triggers!$1:$1,0)-MATCH($F$1,enemy_skill_triggers!$1:$1,0)+1,FALSE)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1" s="48">
        <f ca="1">VLOOKUP($F111,OFFSET(enemy_skill_triggers!$A$1,0,0,COUNTA(enemy_skill_triggers!$A:$A),MATCH(O$1,enemy_skill_triggers!$1:$1,0)-MATCH($F$1,enemy_skill_triggers!$1:$1,0)+1),MATCH(O$1,enemy_skill_triggers!$1:$1,0)-MATCH($F$1,enemy_skill_triggers!$1:$1,0)+1,FALSE)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1" s="47"/>
      <c r="Q111" s="47"/>
      <c r="R111" s="47"/>
    </row>
    <row r="112" spans="1:18" ht="21" customHeight="1" x14ac:dyDescent="0.15">
      <c r="A112" s="39" t="str">
        <f t="shared" si="9"/>
        <v>49016400_49016405</v>
      </c>
      <c r="B112" s="111">
        <v>49016400</v>
      </c>
      <c r="C112" s="111">
        <v>49016405</v>
      </c>
      <c r="D112" s="46" t="str">
        <f ca="1">VLOOKUP($C112,OFFSET(enemy_skills!$A$1,0,0,COUNTA(enemy_skills!$A:$A),MATCH(D$1,enemy_skills!$1:$1,0)-MATCH("enemy_skill_id",enemy_skills!$1:$1,0)+1),MATCH(D$1,enemy_skills!$1:$1,0)-MATCH("enemy_skill_id",enemy_skills!$1:$1,0)+1,FALSE)</f>
        <v>本気出しますね！</v>
      </c>
      <c r="E112" s="46" t="str">
        <f ca="1">VLOOKUP($C112,OFFSET(enemy_skills!$A$1,0,0,COUNTA(enemy_skills!$A:$A),MATCH(E$1,enemy_skills!$1:$1,0)-MATCH("enemy_skill_id",enemy_skills!$1:$1,0)+1),MATCH(E$1,enemy_skills!$1:$1,0)-MATCH("enemy_skill_id",enemy_skills!$1:$1,0)+1,FALSE)</f>
        <v>10回連続攻撃</v>
      </c>
      <c r="F112" s="111">
        <v>49016405</v>
      </c>
      <c r="G112" s="48">
        <f ca="1">VLOOKUP($F112,OFFSET(enemy_skill_triggers!$A$1,0,0,COUNTA(enemy_skill_triggers!$A:$A),MATCH(G$1,enemy_skill_triggers!$1:$1,0)-MATCH($F$1,enemy_skill_triggers!$1:$1,0)+1),MATCH(G$1,enemy_skill_triggers!$1:$1,0)-MATCH($F$1,enemy_skill_triggers!$1:$1,0)+1,FALSE)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2" s="48">
        <f ca="1">VLOOKUP($F112,OFFSET(enemy_skill_triggers!$A$1,0,0,COUNTA(enemy_skill_triggers!$A:$A),MATCH(H$1,enemy_skill_triggers!$1:$1,0)-MATCH($F$1,enemy_skill_triggers!$1:$1,0)+1),MATCH(H$1,enemy_skill_triggers!$1:$1,0)-MATCH($F$1,enemy_skill_triggers!$1:$1,0)+1,FALSE)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12" s="48">
        <f ca="1">VLOOKUP($F112,OFFSET(enemy_skill_triggers!$A$1,0,0,COUNTA(enemy_skill_triggers!$A:$A),MATCH(I$1,enemy_skill_triggers!$1:$1,0)-MATCH($F$1,enemy_skill_triggers!$1:$1,0)+1),MATCH(I$1,enemy_skill_triggers!$1:$1,0)-MATCH($F$1,enemy_skill_triggers!$1:$1,0)+1,FALSE)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2" s="48">
        <f ca="1">VLOOKUP($F112,OFFSET(enemy_skill_triggers!$A$1,0,0,COUNTA(enemy_skill_triggers!$A:$A),MATCH(J$1,enemy_skill_triggers!$1:$1,0)-MATCH($F$1,enemy_skill_triggers!$1:$1,0)+1),MATCH(J$1,enemy_skill_triggers!$1:$1,0)-MATCH($F$1,enemy_skill_triggers!$1:$1,0)+1,FALSE)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2" s="48" t="str">
        <f ca="1">VLOOKUP($F112,OFFSET(enemy_skill_triggers!$A$1,0,0,COUNTA(enemy_skill_triggers!$A:$A),MATCH(K$1,enemy_skill_triggers!$1:$1,0)-MATCH($F$1,enemy_skill_triggers!$1:$1,0)+1),MATCH(K$1,enemy_skill_triggers!$1:$1,0)-MATCH($F$1,enemy_skill_triggers!$1:$1,0)+1,FALSE)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2" s="48">
        <f ca="1">VLOOKUP($F112,OFFSET(enemy_skill_triggers!$A$1,0,0,COUNTA(enemy_skill_triggers!$A:$A),MATCH(L$1,enemy_skill_triggers!$1:$1,0)-MATCH($F$1,enemy_skill_triggers!$1:$1,0)+1),MATCH(L$1,enemy_skill_triggers!$1:$1,0)-MATCH($F$1,enemy_skill_triggers!$1:$1,0)+1,FALSE)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2" s="48">
        <f ca="1">VLOOKUP($F112,OFFSET(enemy_skill_triggers!$A$1,0,0,COUNTA(enemy_skill_triggers!$A:$A),MATCH(M$1,enemy_skill_triggers!$1:$1,0)-MATCH($F$1,enemy_skill_triggers!$1:$1,0)+1),MATCH(M$1,enemy_skill_triggers!$1:$1,0)-MATCH($F$1,enemy_skill_triggers!$1:$1,0)+1,FALSE)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2" s="48" t="str">
        <f ca="1">VLOOKUP($F112,OFFSET(enemy_skill_triggers!$A$1,0,0,COUNTA(enemy_skill_triggers!$A:$A),MATCH(N$1,enemy_skill_triggers!$1:$1,0)-MATCH($F$1,enemy_skill_triggers!$1:$1,0)+1),MATCH(N$1,enemy_skill_triggers!$1:$1,0)-MATCH($F$1,enemy_skill_triggers!$1:$1,0)+1,FALSE)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2" s="48">
        <f ca="1">VLOOKUP($F112,OFFSET(enemy_skill_triggers!$A$1,0,0,COUNTA(enemy_skill_triggers!$A:$A),MATCH(O$1,enemy_skill_triggers!$1:$1,0)-MATCH($F$1,enemy_skill_triggers!$1:$1,0)+1),MATCH(O$1,enemy_skill_triggers!$1:$1,0)-MATCH($F$1,enemy_skill_triggers!$1:$1,0)+1,FALSE)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2" s="47"/>
      <c r="Q112" s="47"/>
      <c r="R112" s="47"/>
    </row>
    <row r="113" spans="1:18" ht="21" customHeight="1" x14ac:dyDescent="0.15">
      <c r="A113" s="39" t="str">
        <f t="shared" si="9"/>
        <v>49016500_49016500</v>
      </c>
      <c r="B113" s="120">
        <v>49016500</v>
      </c>
      <c r="C113" s="120">
        <v>49016500</v>
      </c>
      <c r="D113" s="46" t="str">
        <f ca="1">VLOOKUP($C113,OFFSET(enemy_skills!$A$1,0,0,COUNTA(enemy_skills!$A:$A),MATCH(D$1,enemy_skills!$1:$1,0)-MATCH("enemy_skill_id",enemy_skills!$1:$1,0)+1),MATCH(D$1,enemy_skills!$1:$1,0)-MATCH("enemy_skill_id",enemy_skills!$1:$1,0)+1,FALSE)</f>
        <v>でておいで、僕の炎</v>
      </c>
      <c r="E113" s="46" t="str">
        <f ca="1">VLOOKUP($C113,OFFSET(enemy_skills!$A$1,0,0,COUNTA(enemy_skills!$A:$A),MATCH(E$1,enemy_skills!$1:$1,0)-MATCH("enemy_skill_id",enemy_skills!$1:$1,0)+1),MATCH(E$1,enemy_skills!$1:$1,0)-MATCH("enemy_skill_id",enemy_skills!$1:$1,0)+1,FALSE)</f>
        <v>超高確率で赤&amp;青パネルがボムパネルとしてドロップ+_x000D_赤&amp;青&amp;ボムパネルはプロテクトされてドロップ</v>
      </c>
      <c r="F113" s="120">
        <v>49016500</v>
      </c>
      <c r="G113" s="48">
        <f ca="1">VLOOKUP($F113,OFFSET(enemy_skill_triggers!$A$1,0,0,COUNTA(enemy_skill_triggers!$A:$A),MATCH(G$1,enemy_skill_triggers!$1:$1,0)-MATCH($F$1,enemy_skill_triggers!$1:$1,0)+1),MATCH(G$1,enemy_skill_triggers!$1:$1,0)-MATCH($F$1,enemy_skill_triggers!$1:$1,0)+1,FALSE)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3" s="48" t="str">
        <f ca="1">VLOOKUP($F113,OFFSET(enemy_skill_triggers!$A$1,0,0,COUNTA(enemy_skill_triggers!$A:$A),MATCH(H$1,enemy_skill_triggers!$1:$1,0)-MATCH($F$1,enemy_skill_triggers!$1:$1,0)+1),MATCH(H$1,enemy_skill_triggers!$1:$1,0)-MATCH($F$1,enemy_skill_triggers!$1:$1,0)+1,FALSE)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3" s="48">
        <f ca="1">VLOOKUP($F113,OFFSET(enemy_skill_triggers!$A$1,0,0,COUNTA(enemy_skill_triggers!$A:$A),MATCH(I$1,enemy_skill_triggers!$1:$1,0)-MATCH($F$1,enemy_skill_triggers!$1:$1,0)+1),MATCH(I$1,enemy_skill_triggers!$1:$1,0)-MATCH($F$1,enemy_skill_triggers!$1:$1,0)+1,FALSE)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3" s="48" t="str">
        <f ca="1">VLOOKUP($F113,OFFSET(enemy_skill_triggers!$A$1,0,0,COUNTA(enemy_skill_triggers!$A:$A),MATCH(J$1,enemy_skill_triggers!$1:$1,0)-MATCH($F$1,enemy_skill_triggers!$1:$1,0)+1),MATCH(J$1,enemy_skill_triggers!$1:$1,0)-MATCH($F$1,enemy_skill_triggers!$1:$1,0)+1,FALSE)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3" s="48" t="str">
        <f ca="1">VLOOKUP($F113,OFFSET(enemy_skill_triggers!$A$1,0,0,COUNTA(enemy_skill_triggers!$A:$A),MATCH(K$1,enemy_skill_triggers!$1:$1,0)-MATCH($F$1,enemy_skill_triggers!$1:$1,0)+1),MATCH(K$1,enemy_skill_triggers!$1:$1,0)-MATCH($F$1,enemy_skill_triggers!$1:$1,0)+1,FALSE)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3" s="48">
        <f ca="1">VLOOKUP($F113,OFFSET(enemy_skill_triggers!$A$1,0,0,COUNTA(enemy_skill_triggers!$A:$A),MATCH(L$1,enemy_skill_triggers!$1:$1,0)-MATCH($F$1,enemy_skill_triggers!$1:$1,0)+1),MATCH(L$1,enemy_skill_triggers!$1:$1,0)-MATCH($F$1,enemy_skill_triggers!$1:$1,0)+1,FALSE)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3" s="48">
        <f ca="1">VLOOKUP($F113,OFFSET(enemy_skill_triggers!$A$1,0,0,COUNTA(enemy_skill_triggers!$A:$A),MATCH(M$1,enemy_skill_triggers!$1:$1,0)-MATCH($F$1,enemy_skill_triggers!$1:$1,0)+1),MATCH(M$1,enemy_skill_triggers!$1:$1,0)-MATCH($F$1,enemy_skill_triggers!$1:$1,0)+1,FALSE)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3" s="48" t="str">
        <f ca="1">VLOOKUP($F113,OFFSET(enemy_skill_triggers!$A$1,0,0,COUNTA(enemy_skill_triggers!$A:$A),MATCH(N$1,enemy_skill_triggers!$1:$1,0)-MATCH($F$1,enemy_skill_triggers!$1:$1,0)+1),MATCH(N$1,enemy_skill_triggers!$1:$1,0)-MATCH($F$1,enemy_skill_triggers!$1:$1,0)+1,FALSE)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3" s="48">
        <f ca="1">VLOOKUP($F113,OFFSET(enemy_skill_triggers!$A$1,0,0,COUNTA(enemy_skill_triggers!$A:$A),MATCH(O$1,enemy_skill_triggers!$1:$1,0)-MATCH($F$1,enemy_skill_triggers!$1:$1,0)+1),MATCH(O$1,enemy_skill_triggers!$1:$1,0)-MATCH($F$1,enemy_skill_triggers!$1:$1,0)+1,FALSE)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3" s="47"/>
      <c r="Q113" s="47"/>
      <c r="R113" s="47"/>
    </row>
    <row r="114" spans="1:18" ht="21" customHeight="1" x14ac:dyDescent="0.15">
      <c r="A114" s="39" t="str">
        <f t="shared" si="9"/>
        <v>49016500_49016501</v>
      </c>
      <c r="B114" s="120">
        <v>49016500</v>
      </c>
      <c r="C114" s="120">
        <v>49016501</v>
      </c>
      <c r="D114" s="46" t="str">
        <f ca="1">VLOOKUP($C114,OFFSET(enemy_skills!$A$1,0,0,COUNTA(enemy_skills!$A:$A),MATCH(D$1,enemy_skills!$1:$1,0)-MATCH("enemy_skill_id",enemy_skills!$1:$1,0)+1),MATCH(D$1,enemy_skills!$1:$1,0)-MATCH("enemy_skill_id",enemy_skills!$1:$1,0)+1,FALSE)</f>
        <v>そぉーれ！</v>
      </c>
      <c r="E114" s="46" t="str">
        <f ca="1">VLOOKUP($C114,OFFSET(enemy_skills!$A$1,0,0,COUNTA(enemy_skills!$A:$A),MATCH(E$1,enemy_skills!$1:$1,0)-MATCH("enemy_skill_id",enemy_skills!$1:$1,0)+1),MATCH(E$1,enemy_skills!$1:$1,0)-MATCH("enemy_skill_id",enemy_skills!$1:$1,0)+1,FALSE)</f>
        <v>ダメージ軽減&amp;防御力UP&amp;カウンター状態を解除+_x000D_クリティカル！</v>
      </c>
      <c r="F114" s="120">
        <v>49016501</v>
      </c>
      <c r="G114" s="48">
        <f ca="1">VLOOKUP($F114,OFFSET(enemy_skill_triggers!$A$1,0,0,COUNTA(enemy_skill_triggers!$A:$A),MATCH(G$1,enemy_skill_triggers!$1:$1,0)-MATCH($F$1,enemy_skill_triggers!$1:$1,0)+1),MATCH(G$1,enemy_skill_triggers!$1:$1,0)-MATCH($F$1,enemy_skill_triggers!$1:$1,0)+1,FALSE)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4" s="48">
        <f ca="1">VLOOKUP($F114,OFFSET(enemy_skill_triggers!$A$1,0,0,COUNTA(enemy_skill_triggers!$A:$A),MATCH(H$1,enemy_skill_triggers!$1:$1,0)-MATCH($F$1,enemy_skill_triggers!$1:$1,0)+1),MATCH(H$1,enemy_skill_triggers!$1:$1,0)-MATCH($F$1,enemy_skill_triggers!$1:$1,0)+1,FALSE)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4" s="48">
        <f ca="1">VLOOKUP($F114,OFFSET(enemy_skill_triggers!$A$1,0,0,COUNTA(enemy_skill_triggers!$A:$A),MATCH(I$1,enemy_skill_triggers!$1:$1,0)-MATCH($F$1,enemy_skill_triggers!$1:$1,0)+1),MATCH(I$1,enemy_skill_triggers!$1:$1,0)-MATCH($F$1,enemy_skill_triggers!$1:$1,0)+1,FALSE)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4" s="48" t="str">
        <f ca="1">VLOOKUP($F114,OFFSET(enemy_skill_triggers!$A$1,0,0,COUNTA(enemy_skill_triggers!$A:$A),MATCH(J$1,enemy_skill_triggers!$1:$1,0)-MATCH($F$1,enemy_skill_triggers!$1:$1,0)+1),MATCH(J$1,enemy_skill_triggers!$1:$1,0)-MATCH($F$1,enemy_skill_triggers!$1:$1,0)+1,FALSE)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4" s="48" t="str">
        <f ca="1">VLOOKUP($F114,OFFSET(enemy_skill_triggers!$A$1,0,0,COUNTA(enemy_skill_triggers!$A:$A),MATCH(K$1,enemy_skill_triggers!$1:$1,0)-MATCH($F$1,enemy_skill_triggers!$1:$1,0)+1),MATCH(K$1,enemy_skill_triggers!$1:$1,0)-MATCH($F$1,enemy_skill_triggers!$1:$1,0)+1,FALSE)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4" s="48" t="str">
        <f ca="1">VLOOKUP($F114,OFFSET(enemy_skill_triggers!$A$1,0,0,COUNTA(enemy_skill_triggers!$A:$A),MATCH(L$1,enemy_skill_triggers!$1:$1,0)-MATCH($F$1,enemy_skill_triggers!$1:$1,0)+1),MATCH(L$1,enemy_skill_triggers!$1:$1,0)-MATCH($F$1,enemy_skill_triggers!$1:$1,0)+1,FALSE)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4" s="48">
        <f ca="1">VLOOKUP($F114,OFFSET(enemy_skill_triggers!$A$1,0,0,COUNTA(enemy_skill_triggers!$A:$A),MATCH(M$1,enemy_skill_triggers!$1:$1,0)-MATCH($F$1,enemy_skill_triggers!$1:$1,0)+1),MATCH(M$1,enemy_skill_triggers!$1:$1,0)-MATCH($F$1,enemy_skill_triggers!$1:$1,0)+1,FALSE)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4" s="48" t="str">
        <f ca="1">VLOOKUP($F114,OFFSET(enemy_skill_triggers!$A$1,0,0,COUNTA(enemy_skill_triggers!$A:$A),MATCH(N$1,enemy_skill_triggers!$1:$1,0)-MATCH($F$1,enemy_skill_triggers!$1:$1,0)+1),MATCH(N$1,enemy_skill_triggers!$1:$1,0)-MATCH($F$1,enemy_skill_triggers!$1:$1,0)+1,FALSE)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4" s="48">
        <f ca="1">VLOOKUP($F114,OFFSET(enemy_skill_triggers!$A$1,0,0,COUNTA(enemy_skill_triggers!$A:$A),MATCH(O$1,enemy_skill_triggers!$1:$1,0)-MATCH($F$1,enemy_skill_triggers!$1:$1,0)+1),MATCH(O$1,enemy_skill_triggers!$1:$1,0)-MATCH($F$1,enemy_skill_triggers!$1:$1,0)+1,FALSE)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4" s="47"/>
      <c r="Q114" s="47"/>
      <c r="R114" s="47"/>
    </row>
    <row r="115" spans="1:18" ht="21" customHeight="1" x14ac:dyDescent="0.15">
      <c r="A115" s="39" t="str">
        <f t="shared" si="9"/>
        <v>49016500_49016502</v>
      </c>
      <c r="B115" s="120">
        <v>49016500</v>
      </c>
      <c r="C115" s="120">
        <v>49016502</v>
      </c>
      <c r="D115" s="46" t="str">
        <f ca="1">VLOOKUP($C115,OFFSET(enemy_skills!$A$1,0,0,COUNTA(enemy_skills!$A:$A),MATCH(D$1,enemy_skills!$1:$1,0)-MATCH("enemy_skill_id",enemy_skills!$1:$1,0)+1),MATCH(D$1,enemy_skills!$1:$1,0)-MATCH("enemy_skill_id",enemy_skills!$1:$1,0)+1,FALSE)</f>
        <v>さぁ、焼き尽くそうね</v>
      </c>
      <c r="E115" s="46" t="str">
        <f ca="1">VLOOKUP($C115,OFFSET(enemy_skills!$A$1,0,0,COUNTA(enemy_skills!$A:$A),MATCH(E$1,enemy_skills!$1:$1,0)-MATCH("enemy_skill_id",enemy_skills!$1:$1,0)+1),MATCH(E$1,enemy_skills!$1:$1,0)-MATCH("enemy_skill_id",enemy_skills!$1:$1,0)+1,FALSE)</f>
        <v>緑パネルを赤パネルに5個変換+_x000D_黄パネルを青パネルに5個変換+_x000D_4回連続攻撃</v>
      </c>
      <c r="F115" s="120">
        <v>49016502</v>
      </c>
      <c r="G115" s="48">
        <f ca="1">VLOOKUP($F115,OFFSET(enemy_skill_triggers!$A$1,0,0,COUNTA(enemy_skill_triggers!$A:$A),MATCH(G$1,enemy_skill_triggers!$1:$1,0)-MATCH($F$1,enemy_skill_triggers!$1:$1,0)+1),MATCH(G$1,enemy_skill_triggers!$1:$1,0)-MATCH($F$1,enemy_skill_triggers!$1:$1,0)+1,FALSE)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5" s="48">
        <f ca="1">VLOOKUP($F115,OFFSET(enemy_skill_triggers!$A$1,0,0,COUNTA(enemy_skill_triggers!$A:$A),MATCH(H$1,enemy_skill_triggers!$1:$1,0)-MATCH($F$1,enemy_skill_triggers!$1:$1,0)+1),MATCH(H$1,enemy_skill_triggers!$1:$1,0)-MATCH($F$1,enemy_skill_triggers!$1:$1,0)+1,FALSE)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15" s="48">
        <f ca="1">VLOOKUP($F115,OFFSET(enemy_skill_triggers!$A$1,0,0,COUNTA(enemy_skill_triggers!$A:$A),MATCH(I$1,enemy_skill_triggers!$1:$1,0)-MATCH($F$1,enemy_skill_triggers!$1:$1,0)+1),MATCH(I$1,enemy_skill_triggers!$1:$1,0)-MATCH($F$1,enemy_skill_triggers!$1:$1,0)+1,FALSE)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5" s="48" t="str">
        <f ca="1">VLOOKUP($F115,OFFSET(enemy_skill_triggers!$A$1,0,0,COUNTA(enemy_skill_triggers!$A:$A),MATCH(J$1,enemy_skill_triggers!$1:$1,0)-MATCH($F$1,enemy_skill_triggers!$1:$1,0)+1),MATCH(J$1,enemy_skill_triggers!$1:$1,0)-MATCH($F$1,enemy_skill_triggers!$1:$1,0)+1,FALSE)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5" s="48" t="str">
        <f ca="1">VLOOKUP($F115,OFFSET(enemy_skill_triggers!$A$1,0,0,COUNTA(enemy_skill_triggers!$A:$A),MATCH(K$1,enemy_skill_triggers!$1:$1,0)-MATCH($F$1,enemy_skill_triggers!$1:$1,0)+1),MATCH(K$1,enemy_skill_triggers!$1:$1,0)-MATCH($F$1,enemy_skill_triggers!$1:$1,0)+1,FALSE)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5" s="48" t="str">
        <f ca="1">VLOOKUP($F115,OFFSET(enemy_skill_triggers!$A$1,0,0,COUNTA(enemy_skill_triggers!$A:$A),MATCH(L$1,enemy_skill_triggers!$1:$1,0)-MATCH($F$1,enemy_skill_triggers!$1:$1,0)+1),MATCH(L$1,enemy_skill_triggers!$1:$1,0)-MATCH($F$1,enemy_skill_triggers!$1:$1,0)+1,FALSE)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5" s="48">
        <f ca="1">VLOOKUP($F115,OFFSET(enemy_skill_triggers!$A$1,0,0,COUNTA(enemy_skill_triggers!$A:$A),MATCH(M$1,enemy_skill_triggers!$1:$1,0)-MATCH($F$1,enemy_skill_triggers!$1:$1,0)+1),MATCH(M$1,enemy_skill_triggers!$1:$1,0)-MATCH($F$1,enemy_skill_triggers!$1:$1,0)+1,FALSE)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5" s="48" t="str">
        <f ca="1">VLOOKUP($F115,OFFSET(enemy_skill_triggers!$A$1,0,0,COUNTA(enemy_skill_triggers!$A:$A),MATCH(N$1,enemy_skill_triggers!$1:$1,0)-MATCH($F$1,enemy_skill_triggers!$1:$1,0)+1),MATCH(N$1,enemy_skill_triggers!$1:$1,0)-MATCH($F$1,enemy_skill_triggers!$1:$1,0)+1,FALSE)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5" s="48">
        <f ca="1">VLOOKUP($F115,OFFSET(enemy_skill_triggers!$A$1,0,0,COUNTA(enemy_skill_triggers!$A:$A),MATCH(O$1,enemy_skill_triggers!$1:$1,0)-MATCH($F$1,enemy_skill_triggers!$1:$1,0)+1),MATCH(O$1,enemy_skill_triggers!$1:$1,0)-MATCH($F$1,enemy_skill_triggers!$1:$1,0)+1,FALSE)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5" s="47"/>
      <c r="Q115" s="47"/>
      <c r="R115" s="47"/>
    </row>
    <row r="116" spans="1:18" ht="21" customHeight="1" x14ac:dyDescent="0.15">
      <c r="A116" s="39" t="str">
        <f t="shared" si="9"/>
        <v>49016500_49016503</v>
      </c>
      <c r="B116" s="120">
        <v>49016500</v>
      </c>
      <c r="C116" s="120">
        <v>49016503</v>
      </c>
      <c r="D116" s="46" t="str">
        <f ca="1">VLOOKUP($C116,OFFSET(enemy_skills!$A$1,0,0,COUNTA(enemy_skills!$A:$A),MATCH(D$1,enemy_skills!$1:$1,0)-MATCH("enemy_skill_id",enemy_skills!$1:$1,0)+1),MATCH(D$1,enemy_skills!$1:$1,0)-MATCH("enemy_skill_id",enemy_skills!$1:$1,0)+1,FALSE)</f>
        <v>炎ォ！</v>
      </c>
      <c r="E116" s="46" t="str">
        <f ca="1">VLOOKUP($C116,OFFSET(enemy_skills!$A$1,0,0,COUNTA(enemy_skills!$A:$A),MATCH(E$1,enemy_skills!$1:$1,0)-MATCH("enemy_skill_id",enemy_skills!$1:$1,0)+1),MATCH(E$1,enemy_skills!$1:$1,0)-MATCH("enemy_skill_id",enemy_skills!$1:$1,0)+1,FALSE)</f>
        <v>赤&amp;青&amp;ボムパネルを吸収して攻撃</v>
      </c>
      <c r="F116" s="120">
        <v>49016503</v>
      </c>
      <c r="G116" s="48">
        <f ca="1">VLOOKUP($F116,OFFSET(enemy_skill_triggers!$A$1,0,0,COUNTA(enemy_skill_triggers!$A:$A),MATCH(G$1,enemy_skill_triggers!$1:$1,0)-MATCH($F$1,enemy_skill_triggers!$1:$1,0)+1),MATCH(G$1,enemy_skill_triggers!$1:$1,0)-MATCH($F$1,enemy_skill_triggers!$1:$1,0)+1,FALSE)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6" s="48">
        <f ca="1">VLOOKUP($F116,OFFSET(enemy_skill_triggers!$A$1,0,0,COUNTA(enemy_skill_triggers!$A:$A),MATCH(H$1,enemy_skill_triggers!$1:$1,0)-MATCH($F$1,enemy_skill_triggers!$1:$1,0)+1),MATCH(H$1,enemy_skill_triggers!$1:$1,0)-MATCH($F$1,enemy_skill_triggers!$1:$1,0)+1,FALSE)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16" s="48">
        <f ca="1">VLOOKUP($F116,OFFSET(enemy_skill_triggers!$A$1,0,0,COUNTA(enemy_skill_triggers!$A:$A),MATCH(I$1,enemy_skill_triggers!$1:$1,0)-MATCH($F$1,enemy_skill_triggers!$1:$1,0)+1),MATCH(I$1,enemy_skill_triggers!$1:$1,0)-MATCH($F$1,enemy_skill_triggers!$1:$1,0)+1,FALSE)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6" s="48" t="str">
        <f ca="1">VLOOKUP($F116,OFFSET(enemy_skill_triggers!$A$1,0,0,COUNTA(enemy_skill_triggers!$A:$A),MATCH(J$1,enemy_skill_triggers!$1:$1,0)-MATCH($F$1,enemy_skill_triggers!$1:$1,0)+1),MATCH(J$1,enemy_skill_triggers!$1:$1,0)-MATCH($F$1,enemy_skill_triggers!$1:$1,0)+1,FALSE)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6" s="48" t="str">
        <f ca="1">VLOOKUP($F116,OFFSET(enemy_skill_triggers!$A$1,0,0,COUNTA(enemy_skill_triggers!$A:$A),MATCH(K$1,enemy_skill_triggers!$1:$1,0)-MATCH($F$1,enemy_skill_triggers!$1:$1,0)+1),MATCH(K$1,enemy_skill_triggers!$1:$1,0)-MATCH($F$1,enemy_skill_triggers!$1:$1,0)+1,FALSE)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6" s="48" t="str">
        <f ca="1">VLOOKUP($F116,OFFSET(enemy_skill_triggers!$A$1,0,0,COUNTA(enemy_skill_triggers!$A:$A),MATCH(L$1,enemy_skill_triggers!$1:$1,0)-MATCH($F$1,enemy_skill_triggers!$1:$1,0)+1),MATCH(L$1,enemy_skill_triggers!$1:$1,0)-MATCH($F$1,enemy_skill_triggers!$1:$1,0)+1,FALSE)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6" s="48">
        <f ca="1">VLOOKUP($F116,OFFSET(enemy_skill_triggers!$A$1,0,0,COUNTA(enemy_skill_triggers!$A:$A),MATCH(M$1,enemy_skill_triggers!$1:$1,0)-MATCH($F$1,enemy_skill_triggers!$1:$1,0)+1),MATCH(M$1,enemy_skill_triggers!$1:$1,0)-MATCH($F$1,enemy_skill_triggers!$1:$1,0)+1,FALSE)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16" s="48" t="str">
        <f ca="1">VLOOKUP($F116,OFFSET(enemy_skill_triggers!$A$1,0,0,COUNTA(enemy_skill_triggers!$A:$A),MATCH(N$1,enemy_skill_triggers!$1:$1,0)-MATCH($F$1,enemy_skill_triggers!$1:$1,0)+1),MATCH(N$1,enemy_skill_triggers!$1:$1,0)-MATCH($F$1,enemy_skill_triggers!$1:$1,0)+1,FALSE)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6" s="48">
        <f ca="1">VLOOKUP($F116,OFFSET(enemy_skill_triggers!$A$1,0,0,COUNTA(enemy_skill_triggers!$A:$A),MATCH(O$1,enemy_skill_triggers!$1:$1,0)-MATCH($F$1,enemy_skill_triggers!$1:$1,0)+1),MATCH(O$1,enemy_skill_triggers!$1:$1,0)-MATCH($F$1,enemy_skill_triggers!$1:$1,0)+1,FALSE)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6" s="47"/>
      <c r="Q116" s="47"/>
      <c r="R116" s="47"/>
    </row>
    <row r="117" spans="1:18" ht="21" customHeight="1" x14ac:dyDescent="0.15">
      <c r="A117" s="39" t="str">
        <f t="shared" si="9"/>
        <v>49016500_49016504</v>
      </c>
      <c r="B117" s="120">
        <v>49016500</v>
      </c>
      <c r="C117" s="120">
        <v>49016504</v>
      </c>
      <c r="D117" s="46" t="str">
        <f ca="1">VLOOKUP($C117,OFFSET(enemy_skills!$A$1,0,0,COUNTA(enemy_skills!$A:$A),MATCH(D$1,enemy_skills!$1:$1,0)-MATCH("enemy_skill_id",enemy_skills!$1:$1,0)+1),MATCH(D$1,enemy_skills!$1:$1,0)-MATCH("enemy_skill_id",enemy_skills!$1:$1,0)+1,FALSE)</f>
        <v>さぁ、楽しもう 僕の炎</v>
      </c>
      <c r="E117" s="46" t="str">
        <f ca="1">VLOOKUP($C117,OFFSET(enemy_skills!$A$1,0,0,COUNTA(enemy_skills!$A:$A),MATCH(E$1,enemy_skills!$1:$1,0)-MATCH("enemy_skill_id",enemy_skills!$1:$1,0)+1),MATCH(E$1,enemy_skills!$1:$1,0)-MATCH("enemy_skill_id",enemy_skills!$1:$1,0)+1,FALSE)</f>
        <v>赤&amp;青&amp;ボムパネルを吸収して回復+_x000D_全ユニットに1ターンスキルバインド</v>
      </c>
      <c r="F117" s="120">
        <v>49016504</v>
      </c>
      <c r="G117" s="48">
        <f ca="1">VLOOKUP($F117,OFFSET(enemy_skill_triggers!$A$1,0,0,COUNTA(enemy_skill_triggers!$A:$A),MATCH(G$1,enemy_skill_triggers!$1:$1,0)-MATCH($F$1,enemy_skill_triggers!$1:$1,0)+1),MATCH(G$1,enemy_skill_triggers!$1:$1,0)-MATCH($F$1,enemy_skill_triggers!$1:$1,0)+1,FALSE)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7" s="48">
        <f ca="1">VLOOKUP($F117,OFFSET(enemy_skill_triggers!$A$1,0,0,COUNTA(enemy_skill_triggers!$A:$A),MATCH(H$1,enemy_skill_triggers!$1:$1,0)-MATCH($F$1,enemy_skill_triggers!$1:$1,0)+1),MATCH(H$1,enemy_skill_triggers!$1:$1,0)-MATCH($F$1,enemy_skill_triggers!$1:$1,0)+1,FALSE)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17" s="48">
        <f ca="1">VLOOKUP($F117,OFFSET(enemy_skill_triggers!$A$1,0,0,COUNTA(enemy_skill_triggers!$A:$A),MATCH(I$1,enemy_skill_triggers!$1:$1,0)-MATCH($F$1,enemy_skill_triggers!$1:$1,0)+1),MATCH(I$1,enemy_skill_triggers!$1:$1,0)-MATCH($F$1,enemy_skill_triggers!$1:$1,0)+1,FALSE)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7" s="48">
        <f ca="1">VLOOKUP($F117,OFFSET(enemy_skill_triggers!$A$1,0,0,COUNTA(enemy_skill_triggers!$A:$A),MATCH(J$1,enemy_skill_triggers!$1:$1,0)-MATCH($F$1,enemy_skill_triggers!$1:$1,0)+1),MATCH(J$1,enemy_skill_triggers!$1:$1,0)-MATCH($F$1,enemy_skill_triggers!$1:$1,0)+1,FALSE)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117" s="48" t="str">
        <f ca="1">VLOOKUP($F117,OFFSET(enemy_skill_triggers!$A$1,0,0,COUNTA(enemy_skill_triggers!$A:$A),MATCH(K$1,enemy_skill_triggers!$1:$1,0)-MATCH($F$1,enemy_skill_triggers!$1:$1,0)+1),MATCH(K$1,enemy_skill_triggers!$1:$1,0)-MATCH($F$1,enemy_skill_triggers!$1:$1,0)+1,FALSE)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7" s="48">
        <f ca="1">VLOOKUP($F117,OFFSET(enemy_skill_triggers!$A$1,0,0,COUNTA(enemy_skill_triggers!$A:$A),MATCH(L$1,enemy_skill_triggers!$1:$1,0)-MATCH($F$1,enemy_skill_triggers!$1:$1,0)+1),MATCH(L$1,enemy_skill_triggers!$1:$1,0)-MATCH($F$1,enemy_skill_triggers!$1:$1,0)+1,FALSE)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7" s="48">
        <f ca="1">VLOOKUP($F117,OFFSET(enemy_skill_triggers!$A$1,0,0,COUNTA(enemy_skill_triggers!$A:$A),MATCH(M$1,enemy_skill_triggers!$1:$1,0)-MATCH($F$1,enemy_skill_triggers!$1:$1,0)+1),MATCH(M$1,enemy_skill_triggers!$1:$1,0)-MATCH($F$1,enemy_skill_triggers!$1:$1,0)+1,FALSE)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7" s="48" t="str">
        <f ca="1">VLOOKUP($F117,OFFSET(enemy_skill_triggers!$A$1,0,0,COUNTA(enemy_skill_triggers!$A:$A),MATCH(N$1,enemy_skill_triggers!$1:$1,0)-MATCH($F$1,enemy_skill_triggers!$1:$1,0)+1),MATCH(N$1,enemy_skill_triggers!$1:$1,0)-MATCH($F$1,enemy_skill_triggers!$1:$1,0)+1,FALSE)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7" s="48">
        <f ca="1">VLOOKUP($F117,OFFSET(enemy_skill_triggers!$A$1,0,0,COUNTA(enemy_skill_triggers!$A:$A),MATCH(O$1,enemy_skill_triggers!$1:$1,0)-MATCH($F$1,enemy_skill_triggers!$1:$1,0)+1),MATCH(O$1,enemy_skill_triggers!$1:$1,0)-MATCH($F$1,enemy_skill_triggers!$1:$1,0)+1,FALSE)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7" s="47"/>
      <c r="Q117" s="47"/>
      <c r="R117" s="47"/>
    </row>
    <row r="118" spans="1:18" ht="21" customHeight="1" x14ac:dyDescent="0.15">
      <c r="A118" s="39" t="str">
        <f t="shared" si="9"/>
        <v>49016600_49016600</v>
      </c>
      <c r="B118" s="123">
        <v>49016600</v>
      </c>
      <c r="C118" s="123">
        <v>49016600</v>
      </c>
      <c r="D118" s="46" t="str">
        <f ca="1">VLOOKUP($C118,OFFSET(enemy_skills!$A$1,0,0,COUNTA(enemy_skills!$A:$A),MATCH(D$1,enemy_skills!$1:$1,0)-MATCH("enemy_skill_id",enemy_skills!$1:$1,0)+1),MATCH(D$1,enemy_skills!$1:$1,0)-MATCH("enemy_skill_id",enemy_skills!$1:$1,0)+1,FALSE)</f>
        <v>まいあがれ、僕の炎</v>
      </c>
      <c r="E118" s="46" t="str">
        <f ca="1">VLOOKUP($C118,OFFSET(enemy_skills!$A$1,0,0,COUNTA(enemy_skills!$A:$A),MATCH(E$1,enemy_skills!$1:$1,0)-MATCH("enemy_skill_id",enemy_skills!$1:$1,0)+1),MATCH(E$1,enemy_skills!$1:$1,0)-MATCH("enemy_skill_id",enemy_skills!$1:$1,0)+1,FALSE)</f>
        <v>フィーバーゲージ減少+_x000D_6ターン赤&amp;青パネルドロップ率UP</v>
      </c>
      <c r="F118" s="123">
        <v>49016600</v>
      </c>
      <c r="G118" s="48">
        <f ca="1">VLOOKUP($F118,OFFSET(enemy_skill_triggers!$A$1,0,0,COUNTA(enemy_skill_triggers!$A:$A),MATCH(G$1,enemy_skill_triggers!$1:$1,0)-MATCH($F$1,enemy_skill_triggers!$1:$1,0)+1),MATCH(G$1,enemy_skill_triggers!$1:$1,0)-MATCH($F$1,enemy_skill_triggers!$1:$1,0)+1,FALSE)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8" s="48" t="str">
        <f ca="1">VLOOKUP($F118,OFFSET(enemy_skill_triggers!$A$1,0,0,COUNTA(enemy_skill_triggers!$A:$A),MATCH(H$1,enemy_skill_triggers!$1:$1,0)-MATCH($F$1,enemy_skill_triggers!$1:$1,0)+1),MATCH(H$1,enemy_skill_triggers!$1:$1,0)-MATCH($F$1,enemy_skill_triggers!$1:$1,0)+1,FALSE)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8" s="48">
        <f ca="1">VLOOKUP($F118,OFFSET(enemy_skill_triggers!$A$1,0,0,COUNTA(enemy_skill_triggers!$A:$A),MATCH(I$1,enemy_skill_triggers!$1:$1,0)-MATCH($F$1,enemy_skill_triggers!$1:$1,0)+1),MATCH(I$1,enemy_skill_triggers!$1:$1,0)-MATCH($F$1,enemy_skill_triggers!$1:$1,0)+1,FALSE)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8" s="48" t="str">
        <f ca="1">VLOOKUP($F118,OFFSET(enemy_skill_triggers!$A$1,0,0,COUNTA(enemy_skill_triggers!$A:$A),MATCH(J$1,enemy_skill_triggers!$1:$1,0)-MATCH($F$1,enemy_skill_triggers!$1:$1,0)+1),MATCH(J$1,enemy_skill_triggers!$1:$1,0)-MATCH($F$1,enemy_skill_triggers!$1:$1,0)+1,FALSE)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8" s="48" t="str">
        <f ca="1">VLOOKUP($F118,OFFSET(enemy_skill_triggers!$A$1,0,0,COUNTA(enemy_skill_triggers!$A:$A),MATCH(K$1,enemy_skill_triggers!$1:$1,0)-MATCH($F$1,enemy_skill_triggers!$1:$1,0)+1),MATCH(K$1,enemy_skill_triggers!$1:$1,0)-MATCH($F$1,enemy_skill_triggers!$1:$1,0)+1,FALSE)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8" s="48">
        <f ca="1">VLOOKUP($F118,OFFSET(enemy_skill_triggers!$A$1,0,0,COUNTA(enemy_skill_triggers!$A:$A),MATCH(L$1,enemy_skill_triggers!$1:$1,0)-MATCH($F$1,enemy_skill_triggers!$1:$1,0)+1),MATCH(L$1,enemy_skill_triggers!$1:$1,0)-MATCH($F$1,enemy_skill_triggers!$1:$1,0)+1,FALSE)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8" s="48">
        <f ca="1">VLOOKUP($F118,OFFSET(enemy_skill_triggers!$A$1,0,0,COUNTA(enemy_skill_triggers!$A:$A),MATCH(M$1,enemy_skill_triggers!$1:$1,0)-MATCH($F$1,enemy_skill_triggers!$1:$1,0)+1),MATCH(M$1,enemy_skill_triggers!$1:$1,0)-MATCH($F$1,enemy_skill_triggers!$1:$1,0)+1,FALSE)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8" s="48" t="str">
        <f ca="1">VLOOKUP($F118,OFFSET(enemy_skill_triggers!$A$1,0,0,COUNTA(enemy_skill_triggers!$A:$A),MATCH(N$1,enemy_skill_triggers!$1:$1,0)-MATCH($F$1,enemy_skill_triggers!$1:$1,0)+1),MATCH(N$1,enemy_skill_triggers!$1:$1,0)-MATCH($F$1,enemy_skill_triggers!$1:$1,0)+1,FALSE)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8" s="48">
        <f ca="1">VLOOKUP($F118,OFFSET(enemy_skill_triggers!$A$1,0,0,COUNTA(enemy_skill_triggers!$A:$A),MATCH(O$1,enemy_skill_triggers!$1:$1,0)-MATCH($F$1,enemy_skill_triggers!$1:$1,0)+1),MATCH(O$1,enemy_skill_triggers!$1:$1,0)-MATCH($F$1,enemy_skill_triggers!$1:$1,0)+1,FALSE)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8" s="47"/>
      <c r="Q118" s="47"/>
      <c r="R118" s="47"/>
    </row>
    <row r="119" spans="1:18" ht="21" customHeight="1" x14ac:dyDescent="0.15">
      <c r="A119" s="39" t="str">
        <f t="shared" si="9"/>
        <v>49016600_49016601</v>
      </c>
      <c r="B119" s="123">
        <v>49016600</v>
      </c>
      <c r="C119" s="123">
        <v>49016601</v>
      </c>
      <c r="D119" s="46" t="str">
        <f ca="1">VLOOKUP($C119,OFFSET(enemy_skills!$A$1,0,0,COUNTA(enemy_skills!$A:$A),MATCH(D$1,enemy_skills!$1:$1,0)-MATCH("enemy_skill_id",enemy_skills!$1:$1,0)+1),MATCH(D$1,enemy_skills!$1:$1,0)-MATCH("enemy_skill_id",enemy_skills!$1:$1,0)+1,FALSE)</f>
        <v>そぉーれ！</v>
      </c>
      <c r="E119" s="46" t="str">
        <f ca="1">VLOOKUP($C119,OFFSET(enemy_skills!$A$1,0,0,COUNTA(enemy_skills!$A:$A),MATCH(E$1,enemy_skills!$1:$1,0)-MATCH("enemy_skill_id",enemy_skills!$1:$1,0)+1),MATCH(E$1,enemy_skills!$1:$1,0)-MATCH("enemy_skill_id",enemy_skills!$1:$1,0)+1,FALSE)</f>
        <v>ダメージ軽減&amp;防御力UP&amp;カウンター状態を解除+_x000D_2回連続攻撃</v>
      </c>
      <c r="F119" s="123">
        <v>49016601</v>
      </c>
      <c r="G119" s="48">
        <f ca="1">VLOOKUP($F119,OFFSET(enemy_skill_triggers!$A$1,0,0,COUNTA(enemy_skill_triggers!$A:$A),MATCH(G$1,enemy_skill_triggers!$1:$1,0)-MATCH($F$1,enemy_skill_triggers!$1:$1,0)+1),MATCH(G$1,enemy_skill_triggers!$1:$1,0)-MATCH($F$1,enemy_skill_triggers!$1:$1,0)+1,FALSE)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9" s="48">
        <f ca="1">VLOOKUP($F119,OFFSET(enemy_skill_triggers!$A$1,0,0,COUNTA(enemy_skill_triggers!$A:$A),MATCH(H$1,enemy_skill_triggers!$1:$1,0)-MATCH($F$1,enemy_skill_triggers!$1:$1,0)+1),MATCH(H$1,enemy_skill_triggers!$1:$1,0)-MATCH($F$1,enemy_skill_triggers!$1:$1,0)+1,FALSE)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9" s="48">
        <f ca="1">VLOOKUP($F119,OFFSET(enemy_skill_triggers!$A$1,0,0,COUNTA(enemy_skill_triggers!$A:$A),MATCH(I$1,enemy_skill_triggers!$1:$1,0)-MATCH($F$1,enemy_skill_triggers!$1:$1,0)+1),MATCH(I$1,enemy_skill_triggers!$1:$1,0)-MATCH($F$1,enemy_skill_triggers!$1:$1,0)+1,FALSE)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9" s="48" t="str">
        <f ca="1">VLOOKUP($F119,OFFSET(enemy_skill_triggers!$A$1,0,0,COUNTA(enemy_skill_triggers!$A:$A),MATCH(J$1,enemy_skill_triggers!$1:$1,0)-MATCH($F$1,enemy_skill_triggers!$1:$1,0)+1),MATCH(J$1,enemy_skill_triggers!$1:$1,0)-MATCH($F$1,enemy_skill_triggers!$1:$1,0)+1,FALSE)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9" s="48" t="str">
        <f ca="1">VLOOKUP($F119,OFFSET(enemy_skill_triggers!$A$1,0,0,COUNTA(enemy_skill_triggers!$A:$A),MATCH(K$1,enemy_skill_triggers!$1:$1,0)-MATCH($F$1,enemy_skill_triggers!$1:$1,0)+1),MATCH(K$1,enemy_skill_triggers!$1:$1,0)-MATCH($F$1,enemy_skill_triggers!$1:$1,0)+1,FALSE)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9" s="48" t="str">
        <f ca="1">VLOOKUP($F119,OFFSET(enemy_skill_triggers!$A$1,0,0,COUNTA(enemy_skill_triggers!$A:$A),MATCH(L$1,enemy_skill_triggers!$1:$1,0)-MATCH($F$1,enemy_skill_triggers!$1:$1,0)+1),MATCH(L$1,enemy_skill_triggers!$1:$1,0)-MATCH($F$1,enemy_skill_triggers!$1:$1,0)+1,FALSE)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9" s="48">
        <f ca="1">VLOOKUP($F119,OFFSET(enemy_skill_triggers!$A$1,0,0,COUNTA(enemy_skill_triggers!$A:$A),MATCH(M$1,enemy_skill_triggers!$1:$1,0)-MATCH($F$1,enemy_skill_triggers!$1:$1,0)+1),MATCH(M$1,enemy_skill_triggers!$1:$1,0)-MATCH($F$1,enemy_skill_triggers!$1:$1,0)+1,FALSE)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19" s="48" t="str">
        <f ca="1">VLOOKUP($F119,OFFSET(enemy_skill_triggers!$A$1,0,0,COUNTA(enemy_skill_triggers!$A:$A),MATCH(N$1,enemy_skill_triggers!$1:$1,0)-MATCH($F$1,enemy_skill_triggers!$1:$1,0)+1),MATCH(N$1,enemy_skill_triggers!$1:$1,0)-MATCH($F$1,enemy_skill_triggers!$1:$1,0)+1,FALSE)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9" s="48">
        <f ca="1">VLOOKUP($F119,OFFSET(enemy_skill_triggers!$A$1,0,0,COUNTA(enemy_skill_triggers!$A:$A),MATCH(O$1,enemy_skill_triggers!$1:$1,0)-MATCH($F$1,enemy_skill_triggers!$1:$1,0)+1),MATCH(O$1,enemy_skill_triggers!$1:$1,0)-MATCH($F$1,enemy_skill_triggers!$1:$1,0)+1,FALSE)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9" s="47"/>
      <c r="Q119" s="47"/>
      <c r="R119" s="47"/>
    </row>
    <row r="120" spans="1:18" ht="21" customHeight="1" x14ac:dyDescent="0.15">
      <c r="A120" s="39" t="str">
        <f t="shared" ref="A120:A122" si="12">B120&amp;"_"&amp;C120</f>
        <v>49016600_49016602</v>
      </c>
      <c r="B120" s="123">
        <v>49016600</v>
      </c>
      <c r="C120" s="123">
        <v>49016602</v>
      </c>
      <c r="D120" s="46" t="str">
        <f ca="1">VLOOKUP($C120,OFFSET(enemy_skills!$A$1,0,0,COUNTA(enemy_skills!$A:$A),MATCH(D$1,enemy_skills!$1:$1,0)-MATCH("enemy_skill_id",enemy_skills!$1:$1,0)+1),MATCH(D$1,enemy_skills!$1:$1,0)-MATCH("enemy_skill_id",enemy_skills!$1:$1,0)+1,FALSE)</f>
        <v>炎ォ！</v>
      </c>
      <c r="E120" s="46" t="str">
        <f ca="1">VLOOKUP($C120,OFFSET(enemy_skills!$A$1,0,0,COUNTA(enemy_skills!$A:$A),MATCH(E$1,enemy_skills!$1:$1,0)-MATCH("enemy_skill_id",enemy_skills!$1:$1,0)+1),MATCH(E$1,enemy_skills!$1:$1,0)-MATCH("enemy_skill_id",enemy_skills!$1:$1,0)+1,FALSE)</f>
        <v>赤&amp;青&amp;ボムパネルを吸収して攻撃</v>
      </c>
      <c r="F120" s="123">
        <v>49016602</v>
      </c>
      <c r="G120" s="48">
        <f ca="1">VLOOKUP($F120,OFFSET(enemy_skill_triggers!$A$1,0,0,COUNTA(enemy_skill_triggers!$A:$A),MATCH(G$1,enemy_skill_triggers!$1:$1,0)-MATCH($F$1,enemy_skill_triggers!$1:$1,0)+1),MATCH(G$1,enemy_skill_triggers!$1:$1,0)-MATCH($F$1,enemy_skill_triggers!$1:$1,0)+1,FALSE)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0" s="48">
        <f ca="1">VLOOKUP($F120,OFFSET(enemy_skill_triggers!$A$1,0,0,COUNTA(enemy_skill_triggers!$A:$A),MATCH(H$1,enemy_skill_triggers!$1:$1,0)-MATCH($F$1,enemy_skill_triggers!$1:$1,0)+1),MATCH(H$1,enemy_skill_triggers!$1:$1,0)-MATCH($F$1,enemy_skill_triggers!$1:$1,0)+1,FALSE)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20" s="48">
        <f ca="1">VLOOKUP($F120,OFFSET(enemy_skill_triggers!$A$1,0,0,COUNTA(enemy_skill_triggers!$A:$A),MATCH(I$1,enemy_skill_triggers!$1:$1,0)-MATCH($F$1,enemy_skill_triggers!$1:$1,0)+1),MATCH(I$1,enemy_skill_triggers!$1:$1,0)-MATCH($F$1,enemy_skill_triggers!$1:$1,0)+1,FALSE)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0" s="48" t="str">
        <f ca="1">VLOOKUP($F120,OFFSET(enemy_skill_triggers!$A$1,0,0,COUNTA(enemy_skill_triggers!$A:$A),MATCH(J$1,enemy_skill_triggers!$1:$1,0)-MATCH($F$1,enemy_skill_triggers!$1:$1,0)+1),MATCH(J$1,enemy_skill_triggers!$1:$1,0)-MATCH($F$1,enemy_skill_triggers!$1:$1,0)+1,FALSE)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0" s="48" t="str">
        <f ca="1">VLOOKUP($F120,OFFSET(enemy_skill_triggers!$A$1,0,0,COUNTA(enemy_skill_triggers!$A:$A),MATCH(K$1,enemy_skill_triggers!$1:$1,0)-MATCH($F$1,enemy_skill_triggers!$1:$1,0)+1),MATCH(K$1,enemy_skill_triggers!$1:$1,0)-MATCH($F$1,enemy_skill_triggers!$1:$1,0)+1,FALSE)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0" s="48" t="str">
        <f ca="1">VLOOKUP($F120,OFFSET(enemy_skill_triggers!$A$1,0,0,COUNTA(enemy_skill_triggers!$A:$A),MATCH(L$1,enemy_skill_triggers!$1:$1,0)-MATCH($F$1,enemy_skill_triggers!$1:$1,0)+1),MATCH(L$1,enemy_skill_triggers!$1:$1,0)-MATCH($F$1,enemy_skill_triggers!$1:$1,0)+1,FALSE)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0" s="48">
        <f ca="1">VLOOKUP($F120,OFFSET(enemy_skill_triggers!$A$1,0,0,COUNTA(enemy_skill_triggers!$A:$A),MATCH(M$1,enemy_skill_triggers!$1:$1,0)-MATCH($F$1,enemy_skill_triggers!$1:$1,0)+1),MATCH(M$1,enemy_skill_triggers!$1:$1,0)-MATCH($F$1,enemy_skill_triggers!$1:$1,0)+1,FALSE)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0" s="48" t="str">
        <f ca="1">VLOOKUP($F120,OFFSET(enemy_skill_triggers!$A$1,0,0,COUNTA(enemy_skill_triggers!$A:$A),MATCH(N$1,enemy_skill_triggers!$1:$1,0)-MATCH($F$1,enemy_skill_triggers!$1:$1,0)+1),MATCH(N$1,enemy_skill_triggers!$1:$1,0)-MATCH($F$1,enemy_skill_triggers!$1:$1,0)+1,FALSE)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0" s="48">
        <f ca="1">VLOOKUP($F120,OFFSET(enemy_skill_triggers!$A$1,0,0,COUNTA(enemy_skill_triggers!$A:$A),MATCH(O$1,enemy_skill_triggers!$1:$1,0)-MATCH($F$1,enemy_skill_triggers!$1:$1,0)+1),MATCH(O$1,enemy_skill_triggers!$1:$1,0)-MATCH($F$1,enemy_skill_triggers!$1:$1,0)+1,FALSE)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0" s="47"/>
      <c r="Q120" s="47"/>
      <c r="R120" s="47"/>
    </row>
    <row r="121" spans="1:18" ht="21" customHeight="1" x14ac:dyDescent="0.15">
      <c r="A121" s="39" t="str">
        <f t="shared" si="12"/>
        <v>49016600_49016603</v>
      </c>
      <c r="B121" s="123">
        <v>49016600</v>
      </c>
      <c r="C121" s="123">
        <v>49016603</v>
      </c>
      <c r="D121" s="46" t="str">
        <f ca="1">VLOOKUP($C121,OFFSET(enemy_skills!$A$1,0,0,COUNTA(enemy_skills!$A:$A),MATCH(D$1,enemy_skills!$1:$1,0)-MATCH("enemy_skill_id",enemy_skills!$1:$1,0)+1),MATCH(D$1,enemy_skills!$1:$1,0)-MATCH("enemy_skill_id",enemy_skills!$1:$1,0)+1,FALSE)</f>
        <v>さなぎを破り、蝶は舞う…</v>
      </c>
      <c r="E121" s="46" t="str">
        <f ca="1">VLOOKUP($C121,OFFSET(enemy_skills!$A$1,0,0,COUNTA(enemy_skills!$A:$A),MATCH(E$1,enemy_skills!$1:$1,0)-MATCH("enemy_skill_id",enemy_skills!$1:$1,0)+1),MATCH(E$1,enemy_skills!$1:$1,0)-MATCH("enemy_skill_id",enemy_skills!$1:$1,0)+1,FALSE)</f>
        <v>残りHPの70%ダメージ！</v>
      </c>
      <c r="F121" s="123">
        <v>49016603</v>
      </c>
      <c r="G121" s="48">
        <f ca="1">VLOOKUP($F121,OFFSET(enemy_skill_triggers!$A$1,0,0,COUNTA(enemy_skill_triggers!$A:$A),MATCH(G$1,enemy_skill_triggers!$1:$1,0)-MATCH($F$1,enemy_skill_triggers!$1:$1,0)+1),MATCH(G$1,enemy_skill_triggers!$1:$1,0)-MATCH($F$1,enemy_skill_triggers!$1:$1,0)+1,FALSE)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1" s="48">
        <f ca="1">VLOOKUP($F121,OFFSET(enemy_skill_triggers!$A$1,0,0,COUNTA(enemy_skill_triggers!$A:$A),MATCH(H$1,enemy_skill_triggers!$1:$1,0)-MATCH($F$1,enemy_skill_triggers!$1:$1,0)+1),MATCH(H$1,enemy_skill_triggers!$1:$1,0)-MATCH($F$1,enemy_skill_triggers!$1:$1,0)+1,FALSE)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21" s="48">
        <f ca="1">VLOOKUP($F121,OFFSET(enemy_skill_triggers!$A$1,0,0,COUNTA(enemy_skill_triggers!$A:$A),MATCH(I$1,enemy_skill_triggers!$1:$1,0)-MATCH($F$1,enemy_skill_triggers!$1:$1,0)+1),MATCH(I$1,enemy_skill_triggers!$1:$1,0)-MATCH($F$1,enemy_skill_triggers!$1:$1,0)+1,FALSE)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1" s="48">
        <f ca="1">VLOOKUP($F121,OFFSET(enemy_skill_triggers!$A$1,0,0,COUNTA(enemy_skill_triggers!$A:$A),MATCH(J$1,enemy_skill_triggers!$1:$1,0)-MATCH($F$1,enemy_skill_triggers!$1:$1,0)+1),MATCH(J$1,enemy_skill_triggers!$1:$1,0)-MATCH($F$1,enemy_skill_triggers!$1:$1,0)+1,FALSE)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121" s="48" t="str">
        <f ca="1">VLOOKUP($F121,OFFSET(enemy_skill_triggers!$A$1,0,0,COUNTA(enemy_skill_triggers!$A:$A),MATCH(K$1,enemy_skill_triggers!$1:$1,0)-MATCH($F$1,enemy_skill_triggers!$1:$1,0)+1),MATCH(K$1,enemy_skill_triggers!$1:$1,0)-MATCH($F$1,enemy_skill_triggers!$1:$1,0)+1,FALSE)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1" s="48">
        <f ca="1">VLOOKUP($F121,OFFSET(enemy_skill_triggers!$A$1,0,0,COUNTA(enemy_skill_triggers!$A:$A),MATCH(L$1,enemy_skill_triggers!$1:$1,0)-MATCH($F$1,enemy_skill_triggers!$1:$1,0)+1),MATCH(L$1,enemy_skill_triggers!$1:$1,0)-MATCH($F$1,enemy_skill_triggers!$1:$1,0)+1,FALSE)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1" s="48">
        <f ca="1">VLOOKUP($F121,OFFSET(enemy_skill_triggers!$A$1,0,0,COUNTA(enemy_skill_triggers!$A:$A),MATCH(M$1,enemy_skill_triggers!$1:$1,0)-MATCH($F$1,enemy_skill_triggers!$1:$1,0)+1),MATCH(M$1,enemy_skill_triggers!$1:$1,0)-MATCH($F$1,enemy_skill_triggers!$1:$1,0)+1,FALSE)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1" s="48" t="str">
        <f ca="1">VLOOKUP($F121,OFFSET(enemy_skill_triggers!$A$1,0,0,COUNTA(enemy_skill_triggers!$A:$A),MATCH(N$1,enemy_skill_triggers!$1:$1,0)-MATCH($F$1,enemy_skill_triggers!$1:$1,0)+1),MATCH(N$1,enemy_skill_triggers!$1:$1,0)-MATCH($F$1,enemy_skill_triggers!$1:$1,0)+1,FALSE)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1" s="48">
        <f ca="1">VLOOKUP($F121,OFFSET(enemy_skill_triggers!$A$1,0,0,COUNTA(enemy_skill_triggers!$A:$A),MATCH(O$1,enemy_skill_triggers!$1:$1,0)-MATCH($F$1,enemy_skill_triggers!$1:$1,0)+1),MATCH(O$1,enemy_skill_triggers!$1:$1,0)-MATCH($F$1,enemy_skill_triggers!$1:$1,0)+1,FALSE)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1" s="47"/>
      <c r="Q121" s="47"/>
      <c r="R121" s="47"/>
    </row>
    <row r="122" spans="1:18" ht="21" customHeight="1" x14ac:dyDescent="0.15">
      <c r="A122" s="39" t="str">
        <f t="shared" si="12"/>
        <v>49016600_49016604</v>
      </c>
      <c r="B122" s="123">
        <v>49016600</v>
      </c>
      <c r="C122" s="123">
        <v>49016604</v>
      </c>
      <c r="D122" s="46" t="str">
        <f ca="1">VLOOKUP($C122,OFFSET(enemy_skills!$A$1,0,0,COUNTA(enemy_skills!$A:$A),MATCH(D$1,enemy_skills!$1:$1,0)-MATCH("enemy_skill_id",enemy_skills!$1:$1,0)+1),MATCH(D$1,enemy_skills!$1:$1,0)-MATCH("enemy_skill_id",enemy_skills!$1:$1,0)+1,FALSE)</f>
        <v>さぁ、みてごらん 僕の炎</v>
      </c>
      <c r="E122" s="46" t="str">
        <f ca="1">VLOOKUP($C122,OFFSET(enemy_skills!$A$1,0,0,COUNTA(enemy_skills!$A:$A),MATCH(E$1,enemy_skills!$1:$1,0)-MATCH("enemy_skill_id",enemy_skills!$1:$1,0)+1),MATCH(E$1,enemy_skills!$1:$1,0)-MATCH("enemy_skill_id",enemy_skills!$1:$1,0)+1,FALSE)</f>
        <v>次のターンに強力な攻撃</v>
      </c>
      <c r="F122" s="123">
        <v>49016604</v>
      </c>
      <c r="G122" s="48">
        <f ca="1">VLOOKUP($F122,OFFSET(enemy_skill_triggers!$A$1,0,0,COUNTA(enemy_skill_triggers!$A:$A),MATCH(G$1,enemy_skill_triggers!$1:$1,0)-MATCH($F$1,enemy_skill_triggers!$1:$1,0)+1),MATCH(G$1,enemy_skill_triggers!$1:$1,0)-MATCH($F$1,enemy_skill_triggers!$1:$1,0)+1,FALSE)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2" s="48">
        <f ca="1">VLOOKUP($F122,OFFSET(enemy_skill_triggers!$A$1,0,0,COUNTA(enemy_skill_triggers!$A:$A),MATCH(H$1,enemy_skill_triggers!$1:$1,0)-MATCH($F$1,enemy_skill_triggers!$1:$1,0)+1),MATCH(H$1,enemy_skill_triggers!$1:$1,0)-MATCH($F$1,enemy_skill_triggers!$1:$1,0)+1,FALSE)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22" s="48">
        <f ca="1">VLOOKUP($F122,OFFSET(enemy_skill_triggers!$A$1,0,0,COUNTA(enemy_skill_triggers!$A:$A),MATCH(I$1,enemy_skill_triggers!$1:$1,0)-MATCH($F$1,enemy_skill_triggers!$1:$1,0)+1),MATCH(I$1,enemy_skill_triggers!$1:$1,0)-MATCH($F$1,enemy_skill_triggers!$1:$1,0)+1,FALSE)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2" s="48">
        <f ca="1">VLOOKUP($F122,OFFSET(enemy_skill_triggers!$A$1,0,0,COUNTA(enemy_skill_triggers!$A:$A),MATCH(J$1,enemy_skill_triggers!$1:$1,0)-MATCH($F$1,enemy_skill_triggers!$1:$1,0)+1),MATCH(J$1,enemy_skill_triggers!$1:$1,0)-MATCH($F$1,enemy_skill_triggers!$1:$1,0)+1,FALSE)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2" s="48" t="str">
        <f ca="1">VLOOKUP($F122,OFFSET(enemy_skill_triggers!$A$1,0,0,COUNTA(enemy_skill_triggers!$A:$A),MATCH(K$1,enemy_skill_triggers!$1:$1,0)-MATCH($F$1,enemy_skill_triggers!$1:$1,0)+1),MATCH(K$1,enemy_skill_triggers!$1:$1,0)-MATCH($F$1,enemy_skill_triggers!$1:$1,0)+1,FALSE)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2" s="48">
        <f ca="1">VLOOKUP($F122,OFFSET(enemy_skill_triggers!$A$1,0,0,COUNTA(enemy_skill_triggers!$A:$A),MATCH(L$1,enemy_skill_triggers!$1:$1,0)-MATCH($F$1,enemy_skill_triggers!$1:$1,0)+1),MATCH(L$1,enemy_skill_triggers!$1:$1,0)-MATCH($F$1,enemy_skill_triggers!$1:$1,0)+1,FALSE)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2" s="48">
        <f ca="1">VLOOKUP($F122,OFFSET(enemy_skill_triggers!$A$1,0,0,COUNTA(enemy_skill_triggers!$A:$A),MATCH(M$1,enemy_skill_triggers!$1:$1,0)-MATCH($F$1,enemy_skill_triggers!$1:$1,0)+1),MATCH(M$1,enemy_skill_triggers!$1:$1,0)-MATCH($F$1,enemy_skill_triggers!$1:$1,0)+1,FALSE)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2" s="48" t="str">
        <f ca="1">VLOOKUP($F122,OFFSET(enemy_skill_triggers!$A$1,0,0,COUNTA(enemy_skill_triggers!$A:$A),MATCH(N$1,enemy_skill_triggers!$1:$1,0)-MATCH($F$1,enemy_skill_triggers!$1:$1,0)+1),MATCH(N$1,enemy_skill_triggers!$1:$1,0)-MATCH($F$1,enemy_skill_triggers!$1:$1,0)+1,FALSE)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2" s="48">
        <f ca="1">VLOOKUP($F122,OFFSET(enemy_skill_triggers!$A$1,0,0,COUNTA(enemy_skill_triggers!$A:$A),MATCH(O$1,enemy_skill_triggers!$1:$1,0)-MATCH($F$1,enemy_skill_triggers!$1:$1,0)+1),MATCH(O$1,enemy_skill_triggers!$1:$1,0)-MATCH($F$1,enemy_skill_triggers!$1:$1,0)+1,FALSE)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2" s="47"/>
      <c r="Q122" s="47"/>
      <c r="R122" s="47"/>
    </row>
    <row r="123" spans="1:18" ht="21" customHeight="1" x14ac:dyDescent="0.15">
      <c r="A123" s="39" t="str">
        <f t="shared" ref="A123" si="13">B123&amp;"_"&amp;C123</f>
        <v>49016600_49016605</v>
      </c>
      <c r="B123" s="123">
        <v>49016600</v>
      </c>
      <c r="C123" s="123">
        <v>49016605</v>
      </c>
      <c r="D123" s="46" t="str">
        <f ca="1">VLOOKUP($C123,OFFSET(enemy_skills!$A$1,0,0,COUNTA(enemy_skills!$A:$A),MATCH(D$1,enemy_skills!$1:$1,0)-MATCH("enemy_skill_id",enemy_skills!$1:$1,0)+1),MATCH(D$1,enemy_skills!$1:$1,0)-MATCH("enemy_skill_id",enemy_skills!$1:$1,0)+1,FALSE)</f>
        <v>はい、死んでください！</v>
      </c>
      <c r="E123" s="46" t="str">
        <f ca="1">VLOOKUP($C123,OFFSET(enemy_skills!$A$1,0,0,COUNTA(enemy_skills!$A:$A),MATCH(E$1,enemy_skills!$1:$1,0)-MATCH("enemy_skill_id",enemy_skills!$1:$1,0)+1),MATCH(E$1,enemy_skills!$1:$1,0)-MATCH("enemy_skill_id",enemy_skills!$1:$1,0)+1,FALSE)</f>
        <v>クリティカル！+_x000D_特定エリアを赤&amp;青パネルに変換+_x000D_特定エリアを赤&amp;青のCBPに変換</v>
      </c>
      <c r="F123" s="123">
        <v>49016605</v>
      </c>
      <c r="G123" s="48">
        <f ca="1">VLOOKUP($F123,OFFSET(enemy_skill_triggers!$A$1,0,0,COUNTA(enemy_skill_triggers!$A:$A),MATCH(G$1,enemy_skill_triggers!$1:$1,0)-MATCH($F$1,enemy_skill_triggers!$1:$1,0)+1),MATCH(G$1,enemy_skill_triggers!$1:$1,0)-MATCH($F$1,enemy_skill_triggers!$1:$1,0)+1,FALSE)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3" s="48">
        <f ca="1">VLOOKUP($F123,OFFSET(enemy_skill_triggers!$A$1,0,0,COUNTA(enemy_skill_triggers!$A:$A),MATCH(H$1,enemy_skill_triggers!$1:$1,0)-MATCH($F$1,enemy_skill_triggers!$1:$1,0)+1),MATCH(H$1,enemy_skill_triggers!$1:$1,0)-MATCH($F$1,enemy_skill_triggers!$1:$1,0)+1,FALSE)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23" s="48">
        <f ca="1">VLOOKUP($F123,OFFSET(enemy_skill_triggers!$A$1,0,0,COUNTA(enemy_skill_triggers!$A:$A),MATCH(I$1,enemy_skill_triggers!$1:$1,0)-MATCH($F$1,enemy_skill_triggers!$1:$1,0)+1),MATCH(I$1,enemy_skill_triggers!$1:$1,0)-MATCH($F$1,enemy_skill_triggers!$1:$1,0)+1,FALSE)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3" s="48">
        <f ca="1">VLOOKUP($F123,OFFSET(enemy_skill_triggers!$A$1,0,0,COUNTA(enemy_skill_triggers!$A:$A),MATCH(J$1,enemy_skill_triggers!$1:$1,0)-MATCH($F$1,enemy_skill_triggers!$1:$1,0)+1),MATCH(J$1,enemy_skill_triggers!$1:$1,0)-MATCH($F$1,enemy_skill_triggers!$1:$1,0)+1,FALSE)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23" s="48" t="str">
        <f ca="1">VLOOKUP($F123,OFFSET(enemy_skill_triggers!$A$1,0,0,COUNTA(enemy_skill_triggers!$A:$A),MATCH(K$1,enemy_skill_triggers!$1:$1,0)-MATCH($F$1,enemy_skill_triggers!$1:$1,0)+1),MATCH(K$1,enemy_skill_triggers!$1:$1,0)-MATCH($F$1,enemy_skill_triggers!$1:$1,0)+1,FALSE)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3" s="48">
        <f ca="1">VLOOKUP($F123,OFFSET(enemy_skill_triggers!$A$1,0,0,COUNTA(enemy_skill_triggers!$A:$A),MATCH(L$1,enemy_skill_triggers!$1:$1,0)-MATCH($F$1,enemy_skill_triggers!$1:$1,0)+1),MATCH(L$1,enemy_skill_triggers!$1:$1,0)-MATCH($F$1,enemy_skill_triggers!$1:$1,0)+1,FALSE)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3" s="48">
        <f ca="1">VLOOKUP($F123,OFFSET(enemy_skill_triggers!$A$1,0,0,COUNTA(enemy_skill_triggers!$A:$A),MATCH(M$1,enemy_skill_triggers!$1:$1,0)-MATCH($F$1,enemy_skill_triggers!$1:$1,0)+1),MATCH(M$1,enemy_skill_triggers!$1:$1,0)-MATCH($F$1,enemy_skill_triggers!$1:$1,0)+1,FALSE)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3" s="48" t="str">
        <f ca="1">VLOOKUP($F123,OFFSET(enemy_skill_triggers!$A$1,0,0,COUNTA(enemy_skill_triggers!$A:$A),MATCH(N$1,enemy_skill_triggers!$1:$1,0)-MATCH($F$1,enemy_skill_triggers!$1:$1,0)+1),MATCH(N$1,enemy_skill_triggers!$1:$1,0)-MATCH($F$1,enemy_skill_triggers!$1:$1,0)+1,FALSE)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3" s="48">
        <f ca="1">VLOOKUP($F123,OFFSET(enemy_skill_triggers!$A$1,0,0,COUNTA(enemy_skill_triggers!$A:$A),MATCH(O$1,enemy_skill_triggers!$1:$1,0)-MATCH($F$1,enemy_skill_triggers!$1:$1,0)+1),MATCH(O$1,enemy_skill_triggers!$1:$1,0)-MATCH($F$1,enemy_skill_triggers!$1:$1,0)+1,FALSE)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3" s="47"/>
      <c r="Q123" s="47"/>
      <c r="R123" s="47"/>
    </row>
    <row r="124" spans="1:18" ht="16" customHeight="1" x14ac:dyDescent="0.15">
      <c r="A124" s="39" t="str">
        <f t="shared" ref="A124:A213" si="14">B124&amp;"_"&amp;C124</f>
        <v>49016600_49016606</v>
      </c>
      <c r="B124" s="123">
        <v>49016600</v>
      </c>
      <c r="C124" s="175">
        <v>49016606</v>
      </c>
      <c r="D124" s="46" t="str">
        <f ca="1">VLOOKUP($C124,OFFSET(enemy_skills!$A$1,0,0,COUNTA(enemy_skills!$A:$A),MATCH(D$1,enemy_skills!$1:$1,0)-MATCH("enemy_skill_id",enemy_skills!$1:$1,0)+1),MATCH(D$1,enemy_skills!$1:$1,0)-MATCH("enemy_skill_id",enemy_skills!$1:$1,0)+1,FALSE)</f>
        <v>ああ、また僕は…</v>
      </c>
      <c r="E124" s="46" t="str">
        <f ca="1">VLOOKUP($C124,OFFSET(enemy_skills!$A$1,0,0,COUNTA(enemy_skills!$A:$A),MATCH(E$1,enemy_skills!$1:$1,0)-MATCH("enemy_skill_id",enemy_skills!$1:$1,0)+1),MATCH(E$1,enemy_skills!$1:$1,0)-MATCH("enemy_skill_id",enemy_skills!$1:$1,0)+1,FALSE)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24" s="175">
        <v>49016606</v>
      </c>
      <c r="G124" s="48">
        <f ca="1">VLOOKUP($F124,OFFSET(enemy_skill_triggers!$A$1,0,0,COUNTA(enemy_skill_triggers!$A:$A),MATCH(G$1,enemy_skill_triggers!$1:$1,0)-MATCH($F$1,enemy_skill_triggers!$1:$1,0)+1),MATCH(G$1,enemy_skill_triggers!$1:$1,0)-MATCH($F$1,enemy_skill_triggers!$1:$1,0)+1,FALSE)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4" s="48">
        <f ca="1">VLOOKUP($F124,OFFSET(enemy_skill_triggers!$A$1,0,0,COUNTA(enemy_skill_triggers!$A:$A),MATCH(H$1,enemy_skill_triggers!$1:$1,0)-MATCH($F$1,enemy_skill_triggers!$1:$1,0)+1),MATCH(H$1,enemy_skill_triggers!$1:$1,0)-MATCH($F$1,enemy_skill_triggers!$1:$1,0)+1,FALSE)</f>
        <v>800</v>
      </c>
      <c r="I124" s="48">
        <f ca="1">VLOOKUP($F124,OFFSET(enemy_skill_triggers!$A$1,0,0,COUNTA(enemy_skill_triggers!$A:$A),MATCH(I$1,enemy_skill_triggers!$1:$1,0)-MATCH($F$1,enemy_skill_triggers!$1:$1,0)+1),MATCH(I$1,enemy_skill_triggers!$1:$1,0)-MATCH($F$1,enemy_skill_triggers!$1:$1,0)+1,FALSE)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4" s="48" t="str">
        <f ca="1">VLOOKUP($F124,OFFSET(enemy_skill_triggers!$A$1,0,0,COUNTA(enemy_skill_triggers!$A:$A),MATCH(J$1,enemy_skill_triggers!$1:$1,0)-MATCH($F$1,enemy_skill_triggers!$1:$1,0)+1),MATCH(J$1,enemy_skill_triggers!$1:$1,0)-MATCH($F$1,enemy_skill_triggers!$1:$1,0)+1,FALSE)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4" s="48" t="str">
        <f ca="1">VLOOKUP($F124,OFFSET(enemy_skill_triggers!$A$1,0,0,COUNTA(enemy_skill_triggers!$A:$A),MATCH(K$1,enemy_skill_triggers!$1:$1,0)-MATCH($F$1,enemy_skill_triggers!$1:$1,0)+1),MATCH(K$1,enemy_skill_triggers!$1:$1,0)-MATCH($F$1,enemy_skill_triggers!$1:$1,0)+1,FALSE)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4" s="48">
        <f ca="1">VLOOKUP($F124,OFFSET(enemy_skill_triggers!$A$1,0,0,COUNTA(enemy_skill_triggers!$A:$A),MATCH(L$1,enemy_skill_triggers!$1:$1,0)-MATCH($F$1,enemy_skill_triggers!$1:$1,0)+1),MATCH(L$1,enemy_skill_triggers!$1:$1,0)-MATCH($F$1,enemy_skill_triggers!$1:$1,0)+1,FALSE)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4" s="48">
        <f ca="1">VLOOKUP($F124,OFFSET(enemy_skill_triggers!$A$1,0,0,COUNTA(enemy_skill_triggers!$A:$A),MATCH(M$1,enemy_skill_triggers!$1:$1,0)-MATCH($F$1,enemy_skill_triggers!$1:$1,0)+1),MATCH(M$1,enemy_skill_triggers!$1:$1,0)-MATCH($F$1,enemy_skill_triggers!$1:$1,0)+1,FALSE)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4" s="48">
        <f ca="1">VLOOKUP($F124,OFFSET(enemy_skill_triggers!$A$1,0,0,COUNTA(enemy_skill_triggers!$A:$A),MATCH(N$1,enemy_skill_triggers!$1:$1,0)-MATCH($F$1,enemy_skill_triggers!$1:$1,0)+1),MATCH(N$1,enemy_skill_triggers!$1:$1,0)-MATCH($F$1,enemy_skill_triggers!$1:$1,0)+1,FALSE)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24" s="48">
        <f ca="1">VLOOKUP($F124,OFFSET(enemy_skill_triggers!$A$1,0,0,COUNTA(enemy_skill_triggers!$A:$A),MATCH(O$1,enemy_skill_triggers!$1:$1,0)-MATCH($F$1,enemy_skill_triggers!$1:$1,0)+1),MATCH(O$1,enemy_skill_triggers!$1:$1,0)-MATCH($F$1,enemy_skill_triggers!$1:$1,0)+1,FALSE)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4" s="47"/>
      <c r="Q124" s="47"/>
      <c r="R124" s="47"/>
    </row>
    <row r="125" spans="1:18" ht="16" customHeight="1" x14ac:dyDescent="0.15">
      <c r="A125" s="39" t="str">
        <f t="shared" si="14"/>
        <v>49016600_49016607</v>
      </c>
      <c r="B125" s="123">
        <v>49016600</v>
      </c>
      <c r="C125" s="175">
        <v>49016607</v>
      </c>
      <c r="D125" s="46" t="str">
        <f ca="1">VLOOKUP($C125,OFFSET(enemy_skills!$A$1,0,0,COUNTA(enemy_skills!$A:$A),MATCH(D$1,enemy_skills!$1:$1,0)-MATCH("enemy_skill_id",enemy_skills!$1:$1,0)+1),MATCH(D$1,enemy_skills!$1:$1,0)-MATCH("enemy_skill_id",enemy_skills!$1:$1,0)+1,FALSE)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25" s="46" t="str">
        <f ca="1">VLOOKUP($C125,OFFSET(enemy_skills!$A$1,0,0,COUNTA(enemy_skills!$A:$A),MATCH(E$1,enemy_skills!$1:$1,0)-MATCH("enemy_skill_id",enemy_skills!$1:$1,0)+1),MATCH(E$1,enemy_skills!$1:$1,0)-MATCH("enemy_skill_id",enemy_skills!$1:$1,0)+1,FALSE)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25" s="175">
        <v>49016611</v>
      </c>
      <c r="G125" s="48">
        <f ca="1">VLOOKUP($F125,OFFSET(enemy_skill_triggers!$A$1,0,0,COUNTA(enemy_skill_triggers!$A:$A),MATCH(G$1,enemy_skill_triggers!$1:$1,0)-MATCH($F$1,enemy_skill_triggers!$1:$1,0)+1),MATCH(G$1,enemy_skill_triggers!$1:$1,0)-MATCH($F$1,enemy_skill_triggers!$1:$1,0)+1,FALSE)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5" s="48">
        <f ca="1">VLOOKUP($F125,OFFSET(enemy_skill_triggers!$A$1,0,0,COUNTA(enemy_skill_triggers!$A:$A),MATCH(H$1,enemy_skill_triggers!$1:$1,0)-MATCH($F$1,enemy_skill_triggers!$1:$1,0)+1),MATCH(H$1,enemy_skill_triggers!$1:$1,0)-MATCH($F$1,enemy_skill_triggers!$1:$1,0)+1,FALSE)</f>
        <v>801</v>
      </c>
      <c r="I125" s="48">
        <f ca="1">VLOOKUP($F125,OFFSET(enemy_skill_triggers!$A$1,0,0,COUNTA(enemy_skill_triggers!$A:$A),MATCH(I$1,enemy_skill_triggers!$1:$1,0)-MATCH($F$1,enemy_skill_triggers!$1:$1,0)+1),MATCH(I$1,enemy_skill_triggers!$1:$1,0)-MATCH($F$1,enemy_skill_triggers!$1:$1,0)+1,FALSE)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5" s="48" t="str">
        <f ca="1">VLOOKUP($F125,OFFSET(enemy_skill_triggers!$A$1,0,0,COUNTA(enemy_skill_triggers!$A:$A),MATCH(J$1,enemy_skill_triggers!$1:$1,0)-MATCH($F$1,enemy_skill_triggers!$1:$1,0)+1),MATCH(J$1,enemy_skill_triggers!$1:$1,0)-MATCH($F$1,enemy_skill_triggers!$1:$1,0)+1,FALSE)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5" s="48" t="str">
        <f ca="1">VLOOKUP($F125,OFFSET(enemy_skill_triggers!$A$1,0,0,COUNTA(enemy_skill_triggers!$A:$A),MATCH(K$1,enemy_skill_triggers!$1:$1,0)-MATCH($F$1,enemy_skill_triggers!$1:$1,0)+1),MATCH(K$1,enemy_skill_triggers!$1:$1,0)-MATCH($F$1,enemy_skill_triggers!$1:$1,0)+1,FALSE)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5" s="48">
        <f ca="1">VLOOKUP($F125,OFFSET(enemy_skill_triggers!$A$1,0,0,COUNTA(enemy_skill_triggers!$A:$A),MATCH(L$1,enemy_skill_triggers!$1:$1,0)-MATCH($F$1,enemy_skill_triggers!$1:$1,0)+1),MATCH(L$1,enemy_skill_triggers!$1:$1,0)-MATCH($F$1,enemy_skill_triggers!$1:$1,0)+1,FALSE)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5" s="48">
        <f ca="1">VLOOKUP($F125,OFFSET(enemy_skill_triggers!$A$1,0,0,COUNTA(enemy_skill_triggers!$A:$A),MATCH(M$1,enemy_skill_triggers!$1:$1,0)-MATCH($F$1,enemy_skill_triggers!$1:$1,0)+1),MATCH(M$1,enemy_skill_triggers!$1:$1,0)-MATCH($F$1,enemy_skill_triggers!$1:$1,0)+1,FALSE)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5" s="48">
        <f ca="1">VLOOKUP($F125,OFFSET(enemy_skill_triggers!$A$1,0,0,COUNTA(enemy_skill_triggers!$A:$A),MATCH(N$1,enemy_skill_triggers!$1:$1,0)-MATCH($F$1,enemy_skill_triggers!$1:$1,0)+1),MATCH(N$1,enemy_skill_triggers!$1:$1,0)-MATCH($F$1,enemy_skill_triggers!$1:$1,0)+1,FALSE)</f>
        <v>1551</v>
      </c>
      <c r="O125" s="48">
        <f ca="1">VLOOKUP($F125,OFFSET(enemy_skill_triggers!$A$1,0,0,COUNTA(enemy_skill_triggers!$A:$A),MATCH(O$1,enemy_skill_triggers!$1:$1,0)-MATCH($F$1,enemy_skill_triggers!$1:$1,0)+1),MATCH(O$1,enemy_skill_triggers!$1:$1,0)-MATCH($F$1,enemy_skill_triggers!$1:$1,0)+1,FALSE)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5" s="47"/>
      <c r="Q125" s="47"/>
      <c r="R125" s="47"/>
    </row>
    <row r="126" spans="1:18" ht="16" customHeight="1" x14ac:dyDescent="0.15">
      <c r="A126" s="39" t="str">
        <f t="shared" ref="A126:A141" si="15">B126&amp;"_"&amp;C126</f>
        <v>49016600_49016607</v>
      </c>
      <c r="B126" s="123">
        <v>49016600</v>
      </c>
      <c r="C126" s="175">
        <v>49016607</v>
      </c>
      <c r="D126" s="46" t="str">
        <f ca="1">VLOOKUP($C126,OFFSET(enemy_skills!$A$1,0,0,COUNTA(enemy_skills!$A:$A),MATCH(D$1,enemy_skills!$1:$1,0)-MATCH("enemy_skill_id",enemy_skills!$1:$1,0)+1),MATCH(D$1,enemy_skills!$1:$1,0)-MATCH("enemy_skill_id",enemy_skills!$1:$1,0)+1,FALSE)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26" s="46" t="str">
        <f ca="1">VLOOKUP($C126,OFFSET(enemy_skills!$A$1,0,0,COUNTA(enemy_skills!$A:$A),MATCH(E$1,enemy_skills!$1:$1,0)-MATCH("enemy_skill_id",enemy_skills!$1:$1,0)+1),MATCH(E$1,enemy_skills!$1:$1,0)-MATCH("enemy_skill_id",enemy_skills!$1:$1,0)+1,FALSE)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26" s="175">
        <v>49016612</v>
      </c>
      <c r="G126" s="48">
        <f ca="1">VLOOKUP($F126,OFFSET(enemy_skill_triggers!$A$1,0,0,COUNTA(enemy_skill_triggers!$A:$A),MATCH(G$1,enemy_skill_triggers!$1:$1,0)-MATCH($F$1,enemy_skill_triggers!$1:$1,0)+1),MATCH(G$1,enemy_skill_triggers!$1:$1,0)-MATCH($F$1,enemy_skill_triggers!$1:$1,0)+1,FALSE)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6" s="48">
        <f ca="1">VLOOKUP($F126,OFFSET(enemy_skill_triggers!$A$1,0,0,COUNTA(enemy_skill_triggers!$A:$A),MATCH(H$1,enemy_skill_triggers!$1:$1,0)-MATCH($F$1,enemy_skill_triggers!$1:$1,0)+1),MATCH(H$1,enemy_skill_triggers!$1:$1,0)-MATCH($F$1,enemy_skill_triggers!$1:$1,0)+1,FALSE)</f>
        <v>802</v>
      </c>
      <c r="I126" s="48">
        <f ca="1">VLOOKUP($F126,OFFSET(enemy_skill_triggers!$A$1,0,0,COUNTA(enemy_skill_triggers!$A:$A),MATCH(I$1,enemy_skill_triggers!$1:$1,0)-MATCH($F$1,enemy_skill_triggers!$1:$1,0)+1),MATCH(I$1,enemy_skill_triggers!$1:$1,0)-MATCH($F$1,enemy_skill_triggers!$1:$1,0)+1,FALSE)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6" s="48" t="str">
        <f ca="1">VLOOKUP($F126,OFFSET(enemy_skill_triggers!$A$1,0,0,COUNTA(enemy_skill_triggers!$A:$A),MATCH(J$1,enemy_skill_triggers!$1:$1,0)-MATCH($F$1,enemy_skill_triggers!$1:$1,0)+1),MATCH(J$1,enemy_skill_triggers!$1:$1,0)-MATCH($F$1,enemy_skill_triggers!$1:$1,0)+1,FALSE)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6" s="48" t="str">
        <f ca="1">VLOOKUP($F126,OFFSET(enemy_skill_triggers!$A$1,0,0,COUNTA(enemy_skill_triggers!$A:$A),MATCH(K$1,enemy_skill_triggers!$1:$1,0)-MATCH($F$1,enemy_skill_triggers!$1:$1,0)+1),MATCH(K$1,enemy_skill_triggers!$1:$1,0)-MATCH($F$1,enemy_skill_triggers!$1:$1,0)+1,FALSE)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6" s="48">
        <f ca="1">VLOOKUP($F126,OFFSET(enemy_skill_triggers!$A$1,0,0,COUNTA(enemy_skill_triggers!$A:$A),MATCH(L$1,enemy_skill_triggers!$1:$1,0)-MATCH($F$1,enemy_skill_triggers!$1:$1,0)+1),MATCH(L$1,enemy_skill_triggers!$1:$1,0)-MATCH($F$1,enemy_skill_triggers!$1:$1,0)+1,FALSE)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6" s="48">
        <f ca="1">VLOOKUP($F126,OFFSET(enemy_skill_triggers!$A$1,0,0,COUNTA(enemy_skill_triggers!$A:$A),MATCH(M$1,enemy_skill_triggers!$1:$1,0)-MATCH($F$1,enemy_skill_triggers!$1:$1,0)+1),MATCH(M$1,enemy_skill_triggers!$1:$1,0)-MATCH($F$1,enemy_skill_triggers!$1:$1,0)+1,FALSE)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6" s="48">
        <f ca="1">VLOOKUP($F126,OFFSET(enemy_skill_triggers!$A$1,0,0,COUNTA(enemy_skill_triggers!$A:$A),MATCH(N$1,enemy_skill_triggers!$1:$1,0)-MATCH($F$1,enemy_skill_triggers!$1:$1,0)+1),MATCH(N$1,enemy_skill_triggers!$1:$1,0)-MATCH($F$1,enemy_skill_triggers!$1:$1,0)+1,FALSE)</f>
        <v>1552</v>
      </c>
      <c r="O126" s="48">
        <f ca="1">VLOOKUP($F126,OFFSET(enemy_skill_triggers!$A$1,0,0,COUNTA(enemy_skill_triggers!$A:$A),MATCH(O$1,enemy_skill_triggers!$1:$1,0)-MATCH($F$1,enemy_skill_triggers!$1:$1,0)+1),MATCH(O$1,enemy_skill_triggers!$1:$1,0)-MATCH($F$1,enemy_skill_triggers!$1:$1,0)+1,FALSE)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6" s="47"/>
      <c r="Q126" s="47"/>
      <c r="R126" s="47"/>
    </row>
    <row r="127" spans="1:18" ht="16" customHeight="1" x14ac:dyDescent="0.15">
      <c r="A127" s="39" t="str">
        <f t="shared" si="15"/>
        <v>49016600_49016607</v>
      </c>
      <c r="B127" s="123">
        <v>49016600</v>
      </c>
      <c r="C127" s="175">
        <v>49016607</v>
      </c>
      <c r="D127" s="46" t="str">
        <f ca="1">VLOOKUP($C127,OFFSET(enemy_skills!$A$1,0,0,COUNTA(enemy_skills!$A:$A),MATCH(D$1,enemy_skills!$1:$1,0)-MATCH("enemy_skill_id",enemy_skills!$1:$1,0)+1),MATCH(D$1,enemy_skills!$1:$1,0)-MATCH("enemy_skill_id",enemy_skills!$1:$1,0)+1,FALSE)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27" s="46" t="str">
        <f ca="1">VLOOKUP($C127,OFFSET(enemy_skills!$A$1,0,0,COUNTA(enemy_skills!$A:$A),MATCH(E$1,enemy_skills!$1:$1,0)-MATCH("enemy_skill_id",enemy_skills!$1:$1,0)+1),MATCH(E$1,enemy_skills!$1:$1,0)-MATCH("enemy_skill_id",enemy_skills!$1:$1,0)+1,FALSE)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27" s="175">
        <v>49016613</v>
      </c>
      <c r="G127" s="48">
        <f ca="1">VLOOKUP($F127,OFFSET(enemy_skill_triggers!$A$1,0,0,COUNTA(enemy_skill_triggers!$A:$A),MATCH(G$1,enemy_skill_triggers!$1:$1,0)-MATCH($F$1,enemy_skill_triggers!$1:$1,0)+1),MATCH(G$1,enemy_skill_triggers!$1:$1,0)-MATCH($F$1,enemy_skill_triggers!$1:$1,0)+1,FALSE)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7" s="48">
        <f ca="1">VLOOKUP($F127,OFFSET(enemy_skill_triggers!$A$1,0,0,COUNTA(enemy_skill_triggers!$A:$A),MATCH(H$1,enemy_skill_triggers!$1:$1,0)-MATCH($F$1,enemy_skill_triggers!$1:$1,0)+1),MATCH(H$1,enemy_skill_triggers!$1:$1,0)-MATCH($F$1,enemy_skill_triggers!$1:$1,0)+1,FALSE)</f>
        <v>803</v>
      </c>
      <c r="I127" s="48">
        <f ca="1">VLOOKUP($F127,OFFSET(enemy_skill_triggers!$A$1,0,0,COUNTA(enemy_skill_triggers!$A:$A),MATCH(I$1,enemy_skill_triggers!$1:$1,0)-MATCH($F$1,enemy_skill_triggers!$1:$1,0)+1),MATCH(I$1,enemy_skill_triggers!$1:$1,0)-MATCH($F$1,enemy_skill_triggers!$1:$1,0)+1,FALSE)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7" s="48" t="str">
        <f ca="1">VLOOKUP($F127,OFFSET(enemy_skill_triggers!$A$1,0,0,COUNTA(enemy_skill_triggers!$A:$A),MATCH(J$1,enemy_skill_triggers!$1:$1,0)-MATCH($F$1,enemy_skill_triggers!$1:$1,0)+1),MATCH(J$1,enemy_skill_triggers!$1:$1,0)-MATCH($F$1,enemy_skill_triggers!$1:$1,0)+1,FALSE)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7" s="48" t="str">
        <f ca="1">VLOOKUP($F127,OFFSET(enemy_skill_triggers!$A$1,0,0,COUNTA(enemy_skill_triggers!$A:$A),MATCH(K$1,enemy_skill_triggers!$1:$1,0)-MATCH($F$1,enemy_skill_triggers!$1:$1,0)+1),MATCH(K$1,enemy_skill_triggers!$1:$1,0)-MATCH($F$1,enemy_skill_triggers!$1:$1,0)+1,FALSE)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7" s="48">
        <f ca="1">VLOOKUP($F127,OFFSET(enemy_skill_triggers!$A$1,0,0,COUNTA(enemy_skill_triggers!$A:$A),MATCH(L$1,enemy_skill_triggers!$1:$1,0)-MATCH($F$1,enemy_skill_triggers!$1:$1,0)+1),MATCH(L$1,enemy_skill_triggers!$1:$1,0)-MATCH($F$1,enemy_skill_triggers!$1:$1,0)+1,FALSE)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7" s="48">
        <f ca="1">VLOOKUP($F127,OFFSET(enemy_skill_triggers!$A$1,0,0,COUNTA(enemy_skill_triggers!$A:$A),MATCH(M$1,enemy_skill_triggers!$1:$1,0)-MATCH($F$1,enemy_skill_triggers!$1:$1,0)+1),MATCH(M$1,enemy_skill_triggers!$1:$1,0)-MATCH($F$1,enemy_skill_triggers!$1:$1,0)+1,FALSE)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7" s="48">
        <f ca="1">VLOOKUP($F127,OFFSET(enemy_skill_triggers!$A$1,0,0,COUNTA(enemy_skill_triggers!$A:$A),MATCH(N$1,enemy_skill_triggers!$1:$1,0)-MATCH($F$1,enemy_skill_triggers!$1:$1,0)+1),MATCH(N$1,enemy_skill_triggers!$1:$1,0)-MATCH($F$1,enemy_skill_triggers!$1:$1,0)+1,FALSE)</f>
        <v>1553</v>
      </c>
      <c r="O127" s="48">
        <f ca="1">VLOOKUP($F127,OFFSET(enemy_skill_triggers!$A$1,0,0,COUNTA(enemy_skill_triggers!$A:$A),MATCH(O$1,enemy_skill_triggers!$1:$1,0)-MATCH($F$1,enemy_skill_triggers!$1:$1,0)+1),MATCH(O$1,enemy_skill_triggers!$1:$1,0)-MATCH($F$1,enemy_skill_triggers!$1:$1,0)+1,FALSE)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7" s="47"/>
      <c r="Q127" s="47"/>
      <c r="R127" s="47"/>
    </row>
    <row r="128" spans="1:18" ht="16" customHeight="1" x14ac:dyDescent="0.15">
      <c r="A128" s="39" t="str">
        <f t="shared" si="15"/>
        <v>49016600_49016607</v>
      </c>
      <c r="B128" s="123">
        <v>49016600</v>
      </c>
      <c r="C128" s="175">
        <v>49016607</v>
      </c>
      <c r="D128" s="46" t="str">
        <f ca="1">VLOOKUP($C128,OFFSET(enemy_skills!$A$1,0,0,COUNTA(enemy_skills!$A:$A),MATCH(D$1,enemy_skills!$1:$1,0)-MATCH("enemy_skill_id",enemy_skills!$1:$1,0)+1),MATCH(D$1,enemy_skills!$1:$1,0)-MATCH("enemy_skill_id",enemy_skills!$1:$1,0)+1,FALSE)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28" s="46" t="str">
        <f ca="1">VLOOKUP($C128,OFFSET(enemy_skills!$A$1,0,0,COUNTA(enemy_skills!$A:$A),MATCH(E$1,enemy_skills!$1:$1,0)-MATCH("enemy_skill_id",enemy_skills!$1:$1,0)+1),MATCH(E$1,enemy_skills!$1:$1,0)-MATCH("enemy_skill_id",enemy_skills!$1:$1,0)+1,FALSE)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28" s="175">
        <v>49016614</v>
      </c>
      <c r="G128" s="48">
        <f ca="1">VLOOKUP($F128,OFFSET(enemy_skill_triggers!$A$1,0,0,COUNTA(enemy_skill_triggers!$A:$A),MATCH(G$1,enemy_skill_triggers!$1:$1,0)-MATCH($F$1,enemy_skill_triggers!$1:$1,0)+1),MATCH(G$1,enemy_skill_triggers!$1:$1,0)-MATCH($F$1,enemy_skill_triggers!$1:$1,0)+1,FALSE)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8" s="48">
        <f ca="1">VLOOKUP($F128,OFFSET(enemy_skill_triggers!$A$1,0,0,COUNTA(enemy_skill_triggers!$A:$A),MATCH(H$1,enemy_skill_triggers!$1:$1,0)-MATCH($F$1,enemy_skill_triggers!$1:$1,0)+1),MATCH(H$1,enemy_skill_triggers!$1:$1,0)-MATCH($F$1,enemy_skill_triggers!$1:$1,0)+1,FALSE)</f>
        <v>804</v>
      </c>
      <c r="I128" s="48">
        <f ca="1">VLOOKUP($F128,OFFSET(enemy_skill_triggers!$A$1,0,0,COUNTA(enemy_skill_triggers!$A:$A),MATCH(I$1,enemy_skill_triggers!$1:$1,0)-MATCH($F$1,enemy_skill_triggers!$1:$1,0)+1),MATCH(I$1,enemy_skill_triggers!$1:$1,0)-MATCH($F$1,enemy_skill_triggers!$1:$1,0)+1,FALSE)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8" s="48" t="str">
        <f ca="1">VLOOKUP($F128,OFFSET(enemy_skill_triggers!$A$1,0,0,COUNTA(enemy_skill_triggers!$A:$A),MATCH(J$1,enemy_skill_triggers!$1:$1,0)-MATCH($F$1,enemy_skill_triggers!$1:$1,0)+1),MATCH(J$1,enemy_skill_triggers!$1:$1,0)-MATCH($F$1,enemy_skill_triggers!$1:$1,0)+1,FALSE)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8" s="48" t="str">
        <f ca="1">VLOOKUP($F128,OFFSET(enemy_skill_triggers!$A$1,0,0,COUNTA(enemy_skill_triggers!$A:$A),MATCH(K$1,enemy_skill_triggers!$1:$1,0)-MATCH($F$1,enemy_skill_triggers!$1:$1,0)+1),MATCH(K$1,enemy_skill_triggers!$1:$1,0)-MATCH($F$1,enemy_skill_triggers!$1:$1,0)+1,FALSE)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8" s="48">
        <f ca="1">VLOOKUP($F128,OFFSET(enemy_skill_triggers!$A$1,0,0,COUNTA(enemy_skill_triggers!$A:$A),MATCH(L$1,enemy_skill_triggers!$1:$1,0)-MATCH($F$1,enemy_skill_triggers!$1:$1,0)+1),MATCH(L$1,enemy_skill_triggers!$1:$1,0)-MATCH($F$1,enemy_skill_triggers!$1:$1,0)+1,FALSE)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8" s="48">
        <f ca="1">VLOOKUP($F128,OFFSET(enemy_skill_triggers!$A$1,0,0,COUNTA(enemy_skill_triggers!$A:$A),MATCH(M$1,enemy_skill_triggers!$1:$1,0)-MATCH($F$1,enemy_skill_triggers!$1:$1,0)+1),MATCH(M$1,enemy_skill_triggers!$1:$1,0)-MATCH($F$1,enemy_skill_triggers!$1:$1,0)+1,FALSE)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8" s="48">
        <f ca="1">VLOOKUP($F128,OFFSET(enemy_skill_triggers!$A$1,0,0,COUNTA(enemy_skill_triggers!$A:$A),MATCH(N$1,enemy_skill_triggers!$1:$1,0)-MATCH($F$1,enemy_skill_triggers!$1:$1,0)+1),MATCH(N$1,enemy_skill_triggers!$1:$1,0)-MATCH($F$1,enemy_skill_triggers!$1:$1,0)+1,FALSE)</f>
        <v>1554</v>
      </c>
      <c r="O128" s="48">
        <f ca="1">VLOOKUP($F128,OFFSET(enemy_skill_triggers!$A$1,0,0,COUNTA(enemy_skill_triggers!$A:$A),MATCH(O$1,enemy_skill_triggers!$1:$1,0)-MATCH($F$1,enemy_skill_triggers!$1:$1,0)+1),MATCH(O$1,enemy_skill_triggers!$1:$1,0)-MATCH($F$1,enemy_skill_triggers!$1:$1,0)+1,FALSE)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8" s="47"/>
      <c r="Q128" s="47"/>
      <c r="R128" s="47"/>
    </row>
    <row r="129" spans="1:18" ht="16" customHeight="1" x14ac:dyDescent="0.15">
      <c r="A129" s="39" t="str">
        <f t="shared" si="15"/>
        <v>49016600_49016607</v>
      </c>
      <c r="B129" s="123">
        <v>49016600</v>
      </c>
      <c r="C129" s="175">
        <v>49016607</v>
      </c>
      <c r="D129" s="46" t="str">
        <f ca="1">VLOOKUP($C129,OFFSET(enemy_skills!$A$1,0,0,COUNTA(enemy_skills!$A:$A),MATCH(D$1,enemy_skills!$1:$1,0)-MATCH("enemy_skill_id",enemy_skills!$1:$1,0)+1),MATCH(D$1,enemy_skills!$1:$1,0)-MATCH("enemy_skill_id",enemy_skills!$1:$1,0)+1,FALSE)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29" s="46" t="str">
        <f ca="1">VLOOKUP($C129,OFFSET(enemy_skills!$A$1,0,0,COUNTA(enemy_skills!$A:$A),MATCH(E$1,enemy_skills!$1:$1,0)-MATCH("enemy_skill_id",enemy_skills!$1:$1,0)+1),MATCH(E$1,enemy_skills!$1:$1,0)-MATCH("enemy_skill_id",enemy_skills!$1:$1,0)+1,FALSE)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29" s="175">
        <v>49016615</v>
      </c>
      <c r="G129" s="48">
        <f ca="1">VLOOKUP($F129,OFFSET(enemy_skill_triggers!$A$1,0,0,COUNTA(enemy_skill_triggers!$A:$A),MATCH(G$1,enemy_skill_triggers!$1:$1,0)-MATCH($F$1,enemy_skill_triggers!$1:$1,0)+1),MATCH(G$1,enemy_skill_triggers!$1:$1,0)-MATCH($F$1,enemy_skill_triggers!$1:$1,0)+1,FALSE)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9" s="48">
        <f ca="1">VLOOKUP($F129,OFFSET(enemy_skill_triggers!$A$1,0,0,COUNTA(enemy_skill_triggers!$A:$A),MATCH(H$1,enemy_skill_triggers!$1:$1,0)-MATCH($F$1,enemy_skill_triggers!$1:$1,0)+1),MATCH(H$1,enemy_skill_triggers!$1:$1,0)-MATCH($F$1,enemy_skill_triggers!$1:$1,0)+1,FALSE)</f>
        <v>805</v>
      </c>
      <c r="I129" s="48">
        <f ca="1">VLOOKUP($F129,OFFSET(enemy_skill_triggers!$A$1,0,0,COUNTA(enemy_skill_triggers!$A:$A),MATCH(I$1,enemy_skill_triggers!$1:$1,0)-MATCH($F$1,enemy_skill_triggers!$1:$1,0)+1),MATCH(I$1,enemy_skill_triggers!$1:$1,0)-MATCH($F$1,enemy_skill_triggers!$1:$1,0)+1,FALSE)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9" s="48" t="str">
        <f ca="1">VLOOKUP($F129,OFFSET(enemy_skill_triggers!$A$1,0,0,COUNTA(enemy_skill_triggers!$A:$A),MATCH(J$1,enemy_skill_triggers!$1:$1,0)-MATCH($F$1,enemy_skill_triggers!$1:$1,0)+1),MATCH(J$1,enemy_skill_triggers!$1:$1,0)-MATCH($F$1,enemy_skill_triggers!$1:$1,0)+1,FALSE)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9" s="48" t="str">
        <f ca="1">VLOOKUP($F129,OFFSET(enemy_skill_triggers!$A$1,0,0,COUNTA(enemy_skill_triggers!$A:$A),MATCH(K$1,enemy_skill_triggers!$1:$1,0)-MATCH($F$1,enemy_skill_triggers!$1:$1,0)+1),MATCH(K$1,enemy_skill_triggers!$1:$1,0)-MATCH($F$1,enemy_skill_triggers!$1:$1,0)+1,FALSE)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9" s="48">
        <f ca="1">VLOOKUP($F129,OFFSET(enemy_skill_triggers!$A$1,0,0,COUNTA(enemy_skill_triggers!$A:$A),MATCH(L$1,enemy_skill_triggers!$1:$1,0)-MATCH($F$1,enemy_skill_triggers!$1:$1,0)+1),MATCH(L$1,enemy_skill_triggers!$1:$1,0)-MATCH($F$1,enemy_skill_triggers!$1:$1,0)+1,FALSE)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29" s="48">
        <f ca="1">VLOOKUP($F129,OFFSET(enemy_skill_triggers!$A$1,0,0,COUNTA(enemy_skill_triggers!$A:$A),MATCH(M$1,enemy_skill_triggers!$1:$1,0)-MATCH($F$1,enemy_skill_triggers!$1:$1,0)+1),MATCH(M$1,enemy_skill_triggers!$1:$1,0)-MATCH($F$1,enemy_skill_triggers!$1:$1,0)+1,FALSE)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9" s="48">
        <f ca="1">VLOOKUP($F129,OFFSET(enemy_skill_triggers!$A$1,0,0,COUNTA(enemy_skill_triggers!$A:$A),MATCH(N$1,enemy_skill_triggers!$1:$1,0)-MATCH($F$1,enemy_skill_triggers!$1:$1,0)+1),MATCH(N$1,enemy_skill_triggers!$1:$1,0)-MATCH($F$1,enemy_skill_triggers!$1:$1,0)+1,FALSE)</f>
        <v>1555</v>
      </c>
      <c r="O129" s="48">
        <f ca="1">VLOOKUP($F129,OFFSET(enemy_skill_triggers!$A$1,0,0,COUNTA(enemy_skill_triggers!$A:$A),MATCH(O$1,enemy_skill_triggers!$1:$1,0)-MATCH($F$1,enemy_skill_triggers!$1:$1,0)+1),MATCH(O$1,enemy_skill_triggers!$1:$1,0)-MATCH($F$1,enemy_skill_triggers!$1:$1,0)+1,FALSE)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9" s="47"/>
      <c r="Q129" s="47"/>
      <c r="R129" s="47"/>
    </row>
    <row r="130" spans="1:18" ht="16" customHeight="1" x14ac:dyDescent="0.15">
      <c r="A130" s="39" t="str">
        <f t="shared" si="15"/>
        <v>49016600_49016607</v>
      </c>
      <c r="B130" s="123">
        <v>49016600</v>
      </c>
      <c r="C130" s="175">
        <v>49016607</v>
      </c>
      <c r="D130" s="46" t="str">
        <f ca="1">VLOOKUP($C130,OFFSET(enemy_skills!$A$1,0,0,COUNTA(enemy_skills!$A:$A),MATCH(D$1,enemy_skills!$1:$1,0)-MATCH("enemy_skill_id",enemy_skills!$1:$1,0)+1),MATCH(D$1,enemy_skills!$1:$1,0)-MATCH("enemy_skill_id",enemy_skills!$1:$1,0)+1,FALSE)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30" s="46" t="str">
        <f ca="1">VLOOKUP($C130,OFFSET(enemy_skills!$A$1,0,0,COUNTA(enemy_skills!$A:$A),MATCH(E$1,enemy_skills!$1:$1,0)-MATCH("enemy_skill_id",enemy_skills!$1:$1,0)+1),MATCH(E$1,enemy_skills!$1:$1,0)-MATCH("enemy_skill_id",enemy_skills!$1:$1,0)+1,FALSE)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0" s="175">
        <v>49016616</v>
      </c>
      <c r="G130" s="48">
        <f ca="1">VLOOKUP($F130,OFFSET(enemy_skill_triggers!$A$1,0,0,COUNTA(enemy_skill_triggers!$A:$A),MATCH(G$1,enemy_skill_triggers!$1:$1,0)-MATCH($F$1,enemy_skill_triggers!$1:$1,0)+1),MATCH(G$1,enemy_skill_triggers!$1:$1,0)-MATCH($F$1,enemy_skill_triggers!$1:$1,0)+1,FALSE)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0" s="48">
        <f ca="1">VLOOKUP($F130,OFFSET(enemy_skill_triggers!$A$1,0,0,COUNTA(enemy_skill_triggers!$A:$A),MATCH(H$1,enemy_skill_triggers!$1:$1,0)-MATCH($F$1,enemy_skill_triggers!$1:$1,0)+1),MATCH(H$1,enemy_skill_triggers!$1:$1,0)-MATCH($F$1,enemy_skill_triggers!$1:$1,0)+1,FALSE)</f>
        <v>806</v>
      </c>
      <c r="I130" s="48">
        <f ca="1">VLOOKUP($F130,OFFSET(enemy_skill_triggers!$A$1,0,0,COUNTA(enemy_skill_triggers!$A:$A),MATCH(I$1,enemy_skill_triggers!$1:$1,0)-MATCH($F$1,enemy_skill_triggers!$1:$1,0)+1),MATCH(I$1,enemy_skill_triggers!$1:$1,0)-MATCH($F$1,enemy_skill_triggers!$1:$1,0)+1,FALSE)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0" s="48" t="str">
        <f ca="1">VLOOKUP($F130,OFFSET(enemy_skill_triggers!$A$1,0,0,COUNTA(enemy_skill_triggers!$A:$A),MATCH(J$1,enemy_skill_triggers!$1:$1,0)-MATCH($F$1,enemy_skill_triggers!$1:$1,0)+1),MATCH(J$1,enemy_skill_triggers!$1:$1,0)-MATCH($F$1,enemy_skill_triggers!$1:$1,0)+1,FALSE)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0" s="48" t="str">
        <f ca="1">VLOOKUP($F130,OFFSET(enemy_skill_triggers!$A$1,0,0,COUNTA(enemy_skill_triggers!$A:$A),MATCH(K$1,enemy_skill_triggers!$1:$1,0)-MATCH($F$1,enemy_skill_triggers!$1:$1,0)+1),MATCH(K$1,enemy_skill_triggers!$1:$1,0)-MATCH($F$1,enemy_skill_triggers!$1:$1,0)+1,FALSE)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0" s="48">
        <f ca="1">VLOOKUP($F130,OFFSET(enemy_skill_triggers!$A$1,0,0,COUNTA(enemy_skill_triggers!$A:$A),MATCH(L$1,enemy_skill_triggers!$1:$1,0)-MATCH($F$1,enemy_skill_triggers!$1:$1,0)+1),MATCH(L$1,enemy_skill_triggers!$1:$1,0)-MATCH($F$1,enemy_skill_triggers!$1:$1,0)+1,FALSE)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0" s="48">
        <f ca="1">VLOOKUP($F130,OFFSET(enemy_skill_triggers!$A$1,0,0,COUNTA(enemy_skill_triggers!$A:$A),MATCH(M$1,enemy_skill_triggers!$1:$1,0)-MATCH($F$1,enemy_skill_triggers!$1:$1,0)+1),MATCH(M$1,enemy_skill_triggers!$1:$1,0)-MATCH($F$1,enemy_skill_triggers!$1:$1,0)+1,FALSE)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0" s="48">
        <f ca="1">VLOOKUP($F130,OFFSET(enemy_skill_triggers!$A$1,0,0,COUNTA(enemy_skill_triggers!$A:$A),MATCH(N$1,enemy_skill_triggers!$1:$1,0)-MATCH($F$1,enemy_skill_triggers!$1:$1,0)+1),MATCH(N$1,enemy_skill_triggers!$1:$1,0)-MATCH($F$1,enemy_skill_triggers!$1:$1,0)+1,FALSE)</f>
        <v>1556</v>
      </c>
      <c r="O130" s="48">
        <f ca="1">VLOOKUP($F130,OFFSET(enemy_skill_triggers!$A$1,0,0,COUNTA(enemy_skill_triggers!$A:$A),MATCH(O$1,enemy_skill_triggers!$1:$1,0)-MATCH($F$1,enemy_skill_triggers!$1:$1,0)+1),MATCH(O$1,enemy_skill_triggers!$1:$1,0)-MATCH($F$1,enemy_skill_triggers!$1:$1,0)+1,FALSE)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0" s="47"/>
      <c r="Q130" s="47"/>
      <c r="R130" s="47"/>
    </row>
    <row r="131" spans="1:18" ht="16" customHeight="1" x14ac:dyDescent="0.15">
      <c r="A131" s="39" t="str">
        <f t="shared" si="15"/>
        <v>49016600_49016607</v>
      </c>
      <c r="B131" s="123">
        <v>49016600</v>
      </c>
      <c r="C131" s="175">
        <v>49016607</v>
      </c>
      <c r="D131" s="46" t="str">
        <f ca="1">VLOOKUP($C131,OFFSET(enemy_skills!$A$1,0,0,COUNTA(enemy_skills!$A:$A),MATCH(D$1,enemy_skills!$1:$1,0)-MATCH("enemy_skill_id",enemy_skills!$1:$1,0)+1),MATCH(D$1,enemy_skills!$1:$1,0)-MATCH("enemy_skill_id",enemy_skills!$1:$1,0)+1,FALSE)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31" s="46" t="str">
        <f ca="1">VLOOKUP($C131,OFFSET(enemy_skills!$A$1,0,0,COUNTA(enemy_skills!$A:$A),MATCH(E$1,enemy_skills!$1:$1,0)-MATCH("enemy_skill_id",enemy_skills!$1:$1,0)+1),MATCH(E$1,enemy_skills!$1:$1,0)-MATCH("enemy_skill_id",enemy_skills!$1:$1,0)+1,FALSE)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1" s="175">
        <v>49016617</v>
      </c>
      <c r="G131" s="48">
        <f ca="1">VLOOKUP($F131,OFFSET(enemy_skill_triggers!$A$1,0,0,COUNTA(enemy_skill_triggers!$A:$A),MATCH(G$1,enemy_skill_triggers!$1:$1,0)-MATCH($F$1,enemy_skill_triggers!$1:$1,0)+1),MATCH(G$1,enemy_skill_triggers!$1:$1,0)-MATCH($F$1,enemy_skill_triggers!$1:$1,0)+1,FALSE)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1" s="48">
        <f ca="1">VLOOKUP($F131,OFFSET(enemy_skill_triggers!$A$1,0,0,COUNTA(enemy_skill_triggers!$A:$A),MATCH(H$1,enemy_skill_triggers!$1:$1,0)-MATCH($F$1,enemy_skill_triggers!$1:$1,0)+1),MATCH(H$1,enemy_skill_triggers!$1:$1,0)-MATCH($F$1,enemy_skill_triggers!$1:$1,0)+1,FALSE)</f>
        <v>807</v>
      </c>
      <c r="I131" s="48">
        <f ca="1">VLOOKUP($F131,OFFSET(enemy_skill_triggers!$A$1,0,0,COUNTA(enemy_skill_triggers!$A:$A),MATCH(I$1,enemy_skill_triggers!$1:$1,0)-MATCH($F$1,enemy_skill_triggers!$1:$1,0)+1),MATCH(I$1,enemy_skill_triggers!$1:$1,0)-MATCH($F$1,enemy_skill_triggers!$1:$1,0)+1,FALSE)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1" s="48" t="str">
        <f ca="1">VLOOKUP($F131,OFFSET(enemy_skill_triggers!$A$1,0,0,COUNTA(enemy_skill_triggers!$A:$A),MATCH(J$1,enemy_skill_triggers!$1:$1,0)-MATCH($F$1,enemy_skill_triggers!$1:$1,0)+1),MATCH(J$1,enemy_skill_triggers!$1:$1,0)-MATCH($F$1,enemy_skill_triggers!$1:$1,0)+1,FALSE)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1" s="48" t="str">
        <f ca="1">VLOOKUP($F131,OFFSET(enemy_skill_triggers!$A$1,0,0,COUNTA(enemy_skill_triggers!$A:$A),MATCH(K$1,enemy_skill_triggers!$1:$1,0)-MATCH($F$1,enemy_skill_triggers!$1:$1,0)+1),MATCH(K$1,enemy_skill_triggers!$1:$1,0)-MATCH($F$1,enemy_skill_triggers!$1:$1,0)+1,FALSE)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1" s="48">
        <f ca="1">VLOOKUP($F131,OFFSET(enemy_skill_triggers!$A$1,0,0,COUNTA(enemy_skill_triggers!$A:$A),MATCH(L$1,enemy_skill_triggers!$1:$1,0)-MATCH($F$1,enemy_skill_triggers!$1:$1,0)+1),MATCH(L$1,enemy_skill_triggers!$1:$1,0)-MATCH($F$1,enemy_skill_triggers!$1:$1,0)+1,FALSE)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1" s="48">
        <f ca="1">VLOOKUP($F131,OFFSET(enemy_skill_triggers!$A$1,0,0,COUNTA(enemy_skill_triggers!$A:$A),MATCH(M$1,enemy_skill_triggers!$1:$1,0)-MATCH($F$1,enemy_skill_triggers!$1:$1,0)+1),MATCH(M$1,enemy_skill_triggers!$1:$1,0)-MATCH($F$1,enemy_skill_triggers!$1:$1,0)+1,FALSE)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1" s="48">
        <f ca="1">VLOOKUP($F131,OFFSET(enemy_skill_triggers!$A$1,0,0,COUNTA(enemy_skill_triggers!$A:$A),MATCH(N$1,enemy_skill_triggers!$1:$1,0)-MATCH($F$1,enemy_skill_triggers!$1:$1,0)+1),MATCH(N$1,enemy_skill_triggers!$1:$1,0)-MATCH($F$1,enemy_skill_triggers!$1:$1,0)+1,FALSE)</f>
        <v>1557</v>
      </c>
      <c r="O131" s="48">
        <f ca="1">VLOOKUP($F131,OFFSET(enemy_skill_triggers!$A$1,0,0,COUNTA(enemy_skill_triggers!$A:$A),MATCH(O$1,enemy_skill_triggers!$1:$1,0)-MATCH($F$1,enemy_skill_triggers!$1:$1,0)+1),MATCH(O$1,enemy_skill_triggers!$1:$1,0)-MATCH($F$1,enemy_skill_triggers!$1:$1,0)+1,FALSE)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1" s="47"/>
      <c r="Q131" s="47"/>
      <c r="R131" s="47"/>
    </row>
    <row r="132" spans="1:18" ht="16" customHeight="1" x14ac:dyDescent="0.15">
      <c r="A132" s="39" t="str">
        <f t="shared" si="15"/>
        <v>49016600_49016607</v>
      </c>
      <c r="B132" s="123">
        <v>49016600</v>
      </c>
      <c r="C132" s="175">
        <v>49016607</v>
      </c>
      <c r="D132" s="46" t="str">
        <f ca="1">VLOOKUP($C132,OFFSET(enemy_skills!$A$1,0,0,COUNTA(enemy_skills!$A:$A),MATCH(D$1,enemy_skills!$1:$1,0)-MATCH("enemy_skill_id",enemy_skills!$1:$1,0)+1),MATCH(D$1,enemy_skills!$1:$1,0)-MATCH("enemy_skill_id",enemy_skills!$1:$1,0)+1,FALSE)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32" s="46" t="str">
        <f ca="1">VLOOKUP($C132,OFFSET(enemy_skills!$A$1,0,0,COUNTA(enemy_skills!$A:$A),MATCH(E$1,enemy_skills!$1:$1,0)-MATCH("enemy_skill_id",enemy_skills!$1:$1,0)+1),MATCH(E$1,enemy_skills!$1:$1,0)-MATCH("enemy_skill_id",enemy_skills!$1:$1,0)+1,FALSE)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2" s="175">
        <v>49016618</v>
      </c>
      <c r="G132" s="48">
        <f ca="1">VLOOKUP($F132,OFFSET(enemy_skill_triggers!$A$1,0,0,COUNTA(enemy_skill_triggers!$A:$A),MATCH(G$1,enemy_skill_triggers!$1:$1,0)-MATCH($F$1,enemy_skill_triggers!$1:$1,0)+1),MATCH(G$1,enemy_skill_triggers!$1:$1,0)-MATCH($F$1,enemy_skill_triggers!$1:$1,0)+1,FALSE)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2" s="48">
        <f ca="1">VLOOKUP($F132,OFFSET(enemy_skill_triggers!$A$1,0,0,COUNTA(enemy_skill_triggers!$A:$A),MATCH(H$1,enemy_skill_triggers!$1:$1,0)-MATCH($F$1,enemy_skill_triggers!$1:$1,0)+1),MATCH(H$1,enemy_skill_triggers!$1:$1,0)-MATCH($F$1,enemy_skill_triggers!$1:$1,0)+1,FALSE)</f>
        <v>808</v>
      </c>
      <c r="I132" s="48">
        <f ca="1">VLOOKUP($F132,OFFSET(enemy_skill_triggers!$A$1,0,0,COUNTA(enemy_skill_triggers!$A:$A),MATCH(I$1,enemy_skill_triggers!$1:$1,0)-MATCH($F$1,enemy_skill_triggers!$1:$1,0)+1),MATCH(I$1,enemy_skill_triggers!$1:$1,0)-MATCH($F$1,enemy_skill_triggers!$1:$1,0)+1,FALSE)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2" s="48" t="str">
        <f ca="1">VLOOKUP($F132,OFFSET(enemy_skill_triggers!$A$1,0,0,COUNTA(enemy_skill_triggers!$A:$A),MATCH(J$1,enemy_skill_triggers!$1:$1,0)-MATCH($F$1,enemy_skill_triggers!$1:$1,0)+1),MATCH(J$1,enemy_skill_triggers!$1:$1,0)-MATCH($F$1,enemy_skill_triggers!$1:$1,0)+1,FALSE)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2" s="48" t="str">
        <f ca="1">VLOOKUP($F132,OFFSET(enemy_skill_triggers!$A$1,0,0,COUNTA(enemy_skill_triggers!$A:$A),MATCH(K$1,enemy_skill_triggers!$1:$1,0)-MATCH($F$1,enemy_skill_triggers!$1:$1,0)+1),MATCH(K$1,enemy_skill_triggers!$1:$1,0)-MATCH($F$1,enemy_skill_triggers!$1:$1,0)+1,FALSE)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2" s="48">
        <f ca="1">VLOOKUP($F132,OFFSET(enemy_skill_triggers!$A$1,0,0,COUNTA(enemy_skill_triggers!$A:$A),MATCH(L$1,enemy_skill_triggers!$1:$1,0)-MATCH($F$1,enemy_skill_triggers!$1:$1,0)+1),MATCH(L$1,enemy_skill_triggers!$1:$1,0)-MATCH($F$1,enemy_skill_triggers!$1:$1,0)+1,FALSE)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2" s="48">
        <f ca="1">VLOOKUP($F132,OFFSET(enemy_skill_triggers!$A$1,0,0,COUNTA(enemy_skill_triggers!$A:$A),MATCH(M$1,enemy_skill_triggers!$1:$1,0)-MATCH($F$1,enemy_skill_triggers!$1:$1,0)+1),MATCH(M$1,enemy_skill_triggers!$1:$1,0)-MATCH($F$1,enemy_skill_triggers!$1:$1,0)+1,FALSE)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2" s="48">
        <f ca="1">VLOOKUP($F132,OFFSET(enemy_skill_triggers!$A$1,0,0,COUNTA(enemy_skill_triggers!$A:$A),MATCH(N$1,enemy_skill_triggers!$1:$1,0)-MATCH($F$1,enemy_skill_triggers!$1:$1,0)+1),MATCH(N$1,enemy_skill_triggers!$1:$1,0)-MATCH($F$1,enemy_skill_triggers!$1:$1,0)+1,FALSE)</f>
        <v>1558</v>
      </c>
      <c r="O132" s="48">
        <f ca="1">VLOOKUP($F132,OFFSET(enemy_skill_triggers!$A$1,0,0,COUNTA(enemy_skill_triggers!$A:$A),MATCH(O$1,enemy_skill_triggers!$1:$1,0)-MATCH($F$1,enemy_skill_triggers!$1:$1,0)+1),MATCH(O$1,enemy_skill_triggers!$1:$1,0)-MATCH($F$1,enemy_skill_triggers!$1:$1,0)+1,FALSE)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2" s="47"/>
      <c r="Q132" s="47"/>
      <c r="R132" s="47"/>
    </row>
    <row r="133" spans="1:18" ht="16" customHeight="1" x14ac:dyDescent="0.15">
      <c r="A133" s="39" t="str">
        <f t="shared" si="15"/>
        <v>49016600_49016607</v>
      </c>
      <c r="B133" s="123">
        <v>49016600</v>
      </c>
      <c r="C133" s="175">
        <v>49016607</v>
      </c>
      <c r="D133" s="46" t="str">
        <f ca="1">VLOOKUP($C133,OFFSET(enemy_skills!$A$1,0,0,COUNTA(enemy_skills!$A:$A),MATCH(D$1,enemy_skills!$1:$1,0)-MATCH("enemy_skill_id",enemy_skills!$1:$1,0)+1),MATCH(D$1,enemy_skills!$1:$1,0)-MATCH("enemy_skill_id",enemy_skills!$1:$1,0)+1,FALSE)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33" s="46" t="str">
        <f ca="1">VLOOKUP($C133,OFFSET(enemy_skills!$A$1,0,0,COUNTA(enemy_skills!$A:$A),MATCH(E$1,enemy_skills!$1:$1,0)-MATCH("enemy_skill_id",enemy_skills!$1:$1,0)+1),MATCH(E$1,enemy_skills!$1:$1,0)-MATCH("enemy_skill_id",enemy_skills!$1:$1,0)+1,FALSE)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3" s="175">
        <v>49016619</v>
      </c>
      <c r="G133" s="48">
        <f ca="1">VLOOKUP($F133,OFFSET(enemy_skill_triggers!$A$1,0,0,COUNTA(enemy_skill_triggers!$A:$A),MATCH(G$1,enemy_skill_triggers!$1:$1,0)-MATCH($F$1,enemy_skill_triggers!$1:$1,0)+1),MATCH(G$1,enemy_skill_triggers!$1:$1,0)-MATCH($F$1,enemy_skill_triggers!$1:$1,0)+1,FALSE)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3" s="48">
        <f ca="1">VLOOKUP($F133,OFFSET(enemy_skill_triggers!$A$1,0,0,COUNTA(enemy_skill_triggers!$A:$A),MATCH(H$1,enemy_skill_triggers!$1:$1,0)-MATCH($F$1,enemy_skill_triggers!$1:$1,0)+1),MATCH(H$1,enemy_skill_triggers!$1:$1,0)-MATCH($F$1,enemy_skill_triggers!$1:$1,0)+1,FALSE)</f>
        <v>809</v>
      </c>
      <c r="I133" s="48">
        <f ca="1">VLOOKUP($F133,OFFSET(enemy_skill_triggers!$A$1,0,0,COUNTA(enemy_skill_triggers!$A:$A),MATCH(I$1,enemy_skill_triggers!$1:$1,0)-MATCH($F$1,enemy_skill_triggers!$1:$1,0)+1),MATCH(I$1,enemy_skill_triggers!$1:$1,0)-MATCH($F$1,enemy_skill_triggers!$1:$1,0)+1,FALSE)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3" s="48" t="str">
        <f ca="1">VLOOKUP($F133,OFFSET(enemy_skill_triggers!$A$1,0,0,COUNTA(enemy_skill_triggers!$A:$A),MATCH(J$1,enemy_skill_triggers!$1:$1,0)-MATCH($F$1,enemy_skill_triggers!$1:$1,0)+1),MATCH(J$1,enemy_skill_triggers!$1:$1,0)-MATCH($F$1,enemy_skill_triggers!$1:$1,0)+1,FALSE)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3" s="48" t="str">
        <f ca="1">VLOOKUP($F133,OFFSET(enemy_skill_triggers!$A$1,0,0,COUNTA(enemy_skill_triggers!$A:$A),MATCH(K$1,enemy_skill_triggers!$1:$1,0)-MATCH($F$1,enemy_skill_triggers!$1:$1,0)+1),MATCH(K$1,enemy_skill_triggers!$1:$1,0)-MATCH($F$1,enemy_skill_triggers!$1:$1,0)+1,FALSE)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3" s="48">
        <f ca="1">VLOOKUP($F133,OFFSET(enemy_skill_triggers!$A$1,0,0,COUNTA(enemy_skill_triggers!$A:$A),MATCH(L$1,enemy_skill_triggers!$1:$1,0)-MATCH($F$1,enemy_skill_triggers!$1:$1,0)+1),MATCH(L$1,enemy_skill_triggers!$1:$1,0)-MATCH($F$1,enemy_skill_triggers!$1:$1,0)+1,FALSE)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3" s="48">
        <f ca="1">VLOOKUP($F133,OFFSET(enemy_skill_triggers!$A$1,0,0,COUNTA(enemy_skill_triggers!$A:$A),MATCH(M$1,enemy_skill_triggers!$1:$1,0)-MATCH($F$1,enemy_skill_triggers!$1:$1,0)+1),MATCH(M$1,enemy_skill_triggers!$1:$1,0)-MATCH($F$1,enemy_skill_triggers!$1:$1,0)+1,FALSE)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3" s="48">
        <f ca="1">VLOOKUP($F133,OFFSET(enemy_skill_triggers!$A$1,0,0,COUNTA(enemy_skill_triggers!$A:$A),MATCH(N$1,enemy_skill_triggers!$1:$1,0)-MATCH($F$1,enemy_skill_triggers!$1:$1,0)+1),MATCH(N$1,enemy_skill_triggers!$1:$1,0)-MATCH($F$1,enemy_skill_triggers!$1:$1,0)+1,FALSE)</f>
        <v>1559</v>
      </c>
      <c r="O133" s="48">
        <f ca="1">VLOOKUP($F133,OFFSET(enemy_skill_triggers!$A$1,0,0,COUNTA(enemy_skill_triggers!$A:$A),MATCH(O$1,enemy_skill_triggers!$1:$1,0)-MATCH($F$1,enemy_skill_triggers!$1:$1,0)+1),MATCH(O$1,enemy_skill_triggers!$1:$1,0)-MATCH($F$1,enemy_skill_triggers!$1:$1,0)+1,FALSE)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3" s="47"/>
      <c r="Q133" s="47"/>
      <c r="R133" s="47"/>
    </row>
    <row r="134" spans="1:18" ht="16" customHeight="1" x14ac:dyDescent="0.15">
      <c r="A134" s="39" t="str">
        <f t="shared" si="15"/>
        <v>49016600_49016607</v>
      </c>
      <c r="B134" s="123">
        <v>49016600</v>
      </c>
      <c r="C134" s="175">
        <v>49016607</v>
      </c>
      <c r="D134" s="46" t="str">
        <f ca="1">VLOOKUP($C134,OFFSET(enemy_skills!$A$1,0,0,COUNTA(enemy_skills!$A:$A),MATCH(D$1,enemy_skills!$1:$1,0)-MATCH("enemy_skill_id",enemy_skills!$1:$1,0)+1),MATCH(D$1,enemy_skills!$1:$1,0)-MATCH("enemy_skill_id",enemy_skills!$1:$1,0)+1,FALSE)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34" s="46" t="str">
        <f ca="1">VLOOKUP($C134,OFFSET(enemy_skills!$A$1,0,0,COUNTA(enemy_skills!$A:$A),MATCH(E$1,enemy_skills!$1:$1,0)-MATCH("enemy_skill_id",enemy_skills!$1:$1,0)+1),MATCH(E$1,enemy_skills!$1:$1,0)-MATCH("enemy_skill_id",enemy_skills!$1:$1,0)+1,FALSE)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4" s="175">
        <v>49016620</v>
      </c>
      <c r="G134" s="48">
        <f ca="1">VLOOKUP($F134,OFFSET(enemy_skill_triggers!$A$1,0,0,COUNTA(enemy_skill_triggers!$A:$A),MATCH(G$1,enemy_skill_triggers!$1:$1,0)-MATCH($F$1,enemy_skill_triggers!$1:$1,0)+1),MATCH(G$1,enemy_skill_triggers!$1:$1,0)-MATCH($F$1,enemy_skill_triggers!$1:$1,0)+1,FALSE)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4" s="48">
        <f ca="1">VLOOKUP($F134,OFFSET(enemy_skill_triggers!$A$1,0,0,COUNTA(enemy_skill_triggers!$A:$A),MATCH(H$1,enemy_skill_triggers!$1:$1,0)-MATCH($F$1,enemy_skill_triggers!$1:$1,0)+1),MATCH(H$1,enemy_skill_triggers!$1:$1,0)-MATCH($F$1,enemy_skill_triggers!$1:$1,0)+1,FALSE)</f>
        <v>810</v>
      </c>
      <c r="I134" s="48">
        <f ca="1">VLOOKUP($F134,OFFSET(enemy_skill_triggers!$A$1,0,0,COUNTA(enemy_skill_triggers!$A:$A),MATCH(I$1,enemy_skill_triggers!$1:$1,0)-MATCH($F$1,enemy_skill_triggers!$1:$1,0)+1),MATCH(I$1,enemy_skill_triggers!$1:$1,0)-MATCH($F$1,enemy_skill_triggers!$1:$1,0)+1,FALSE)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4" s="48" t="str">
        <f ca="1">VLOOKUP($F134,OFFSET(enemy_skill_triggers!$A$1,0,0,COUNTA(enemy_skill_triggers!$A:$A),MATCH(J$1,enemy_skill_triggers!$1:$1,0)-MATCH($F$1,enemy_skill_triggers!$1:$1,0)+1),MATCH(J$1,enemy_skill_triggers!$1:$1,0)-MATCH($F$1,enemy_skill_triggers!$1:$1,0)+1,FALSE)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4" s="48" t="str">
        <f ca="1">VLOOKUP($F134,OFFSET(enemy_skill_triggers!$A$1,0,0,COUNTA(enemy_skill_triggers!$A:$A),MATCH(K$1,enemy_skill_triggers!$1:$1,0)-MATCH($F$1,enemy_skill_triggers!$1:$1,0)+1),MATCH(K$1,enemy_skill_triggers!$1:$1,0)-MATCH($F$1,enemy_skill_triggers!$1:$1,0)+1,FALSE)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4" s="48">
        <f ca="1">VLOOKUP($F134,OFFSET(enemy_skill_triggers!$A$1,0,0,COUNTA(enemy_skill_triggers!$A:$A),MATCH(L$1,enemy_skill_triggers!$1:$1,0)-MATCH($F$1,enemy_skill_triggers!$1:$1,0)+1),MATCH(L$1,enemy_skill_triggers!$1:$1,0)-MATCH($F$1,enemy_skill_triggers!$1:$1,0)+1,FALSE)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4" s="48">
        <f ca="1">VLOOKUP($F134,OFFSET(enemy_skill_triggers!$A$1,0,0,COUNTA(enemy_skill_triggers!$A:$A),MATCH(M$1,enemy_skill_triggers!$1:$1,0)-MATCH($F$1,enemy_skill_triggers!$1:$1,0)+1),MATCH(M$1,enemy_skill_triggers!$1:$1,0)-MATCH($F$1,enemy_skill_triggers!$1:$1,0)+1,FALSE)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4" s="48">
        <f ca="1">VLOOKUP($F134,OFFSET(enemy_skill_triggers!$A$1,0,0,COUNTA(enemy_skill_triggers!$A:$A),MATCH(N$1,enemy_skill_triggers!$1:$1,0)-MATCH($F$1,enemy_skill_triggers!$1:$1,0)+1),MATCH(N$1,enemy_skill_triggers!$1:$1,0)-MATCH($F$1,enemy_skill_triggers!$1:$1,0)+1,FALSE)</f>
        <v>1560</v>
      </c>
      <c r="O134" s="48">
        <f ca="1">VLOOKUP($F134,OFFSET(enemy_skill_triggers!$A$1,0,0,COUNTA(enemy_skill_triggers!$A:$A),MATCH(O$1,enemy_skill_triggers!$1:$1,0)-MATCH($F$1,enemy_skill_triggers!$1:$1,0)+1),MATCH(O$1,enemy_skill_triggers!$1:$1,0)-MATCH($F$1,enemy_skill_triggers!$1:$1,0)+1,FALSE)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4" s="47"/>
      <c r="Q134" s="47"/>
      <c r="R134" s="47"/>
    </row>
    <row r="135" spans="1:18" ht="16" customHeight="1" x14ac:dyDescent="0.15">
      <c r="A135" s="39" t="str">
        <f t="shared" si="15"/>
        <v>49016600_49016607</v>
      </c>
      <c r="B135" s="123">
        <v>49016600</v>
      </c>
      <c r="C135" s="175">
        <v>49016607</v>
      </c>
      <c r="D135" s="46" t="str">
        <f ca="1">VLOOKUP($C135,OFFSET(enemy_skills!$A$1,0,0,COUNTA(enemy_skills!$A:$A),MATCH(D$1,enemy_skills!$1:$1,0)-MATCH("enemy_skill_id",enemy_skills!$1:$1,0)+1),MATCH(D$1,enemy_skills!$1:$1,0)-MATCH("enemy_skill_id",enemy_skills!$1:$1,0)+1,FALSE)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35" s="46" t="str">
        <f ca="1">VLOOKUP($C135,OFFSET(enemy_skills!$A$1,0,0,COUNTA(enemy_skills!$A:$A),MATCH(E$1,enemy_skills!$1:$1,0)-MATCH("enemy_skill_id",enemy_skills!$1:$1,0)+1),MATCH(E$1,enemy_skills!$1:$1,0)-MATCH("enemy_skill_id",enemy_skills!$1:$1,0)+1,FALSE)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5" s="175">
        <v>49016621</v>
      </c>
      <c r="G135" s="48">
        <f ca="1">VLOOKUP($F135,OFFSET(enemy_skill_triggers!$A$1,0,0,COUNTA(enemy_skill_triggers!$A:$A),MATCH(G$1,enemy_skill_triggers!$1:$1,0)-MATCH($F$1,enemy_skill_triggers!$1:$1,0)+1),MATCH(G$1,enemy_skill_triggers!$1:$1,0)-MATCH($F$1,enemy_skill_triggers!$1:$1,0)+1,FALSE)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5" s="48">
        <f ca="1">VLOOKUP($F135,OFFSET(enemy_skill_triggers!$A$1,0,0,COUNTA(enemy_skill_triggers!$A:$A),MATCH(H$1,enemy_skill_triggers!$1:$1,0)-MATCH($F$1,enemy_skill_triggers!$1:$1,0)+1),MATCH(H$1,enemy_skill_triggers!$1:$1,0)-MATCH($F$1,enemy_skill_triggers!$1:$1,0)+1,FALSE)</f>
        <v>811</v>
      </c>
      <c r="I135" s="48">
        <f ca="1">VLOOKUP($F135,OFFSET(enemy_skill_triggers!$A$1,0,0,COUNTA(enemy_skill_triggers!$A:$A),MATCH(I$1,enemy_skill_triggers!$1:$1,0)-MATCH($F$1,enemy_skill_triggers!$1:$1,0)+1),MATCH(I$1,enemy_skill_triggers!$1:$1,0)-MATCH($F$1,enemy_skill_triggers!$1:$1,0)+1,FALSE)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5" s="48" t="str">
        <f ca="1">VLOOKUP($F135,OFFSET(enemy_skill_triggers!$A$1,0,0,COUNTA(enemy_skill_triggers!$A:$A),MATCH(J$1,enemy_skill_triggers!$1:$1,0)-MATCH($F$1,enemy_skill_triggers!$1:$1,0)+1),MATCH(J$1,enemy_skill_triggers!$1:$1,0)-MATCH($F$1,enemy_skill_triggers!$1:$1,0)+1,FALSE)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5" s="48" t="str">
        <f ca="1">VLOOKUP($F135,OFFSET(enemy_skill_triggers!$A$1,0,0,COUNTA(enemy_skill_triggers!$A:$A),MATCH(K$1,enemy_skill_triggers!$1:$1,0)-MATCH($F$1,enemy_skill_triggers!$1:$1,0)+1),MATCH(K$1,enemy_skill_triggers!$1:$1,0)-MATCH($F$1,enemy_skill_triggers!$1:$1,0)+1,FALSE)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5" s="48">
        <f ca="1">VLOOKUP($F135,OFFSET(enemy_skill_triggers!$A$1,0,0,COUNTA(enemy_skill_triggers!$A:$A),MATCH(L$1,enemy_skill_triggers!$1:$1,0)-MATCH($F$1,enemy_skill_triggers!$1:$1,0)+1),MATCH(L$1,enemy_skill_triggers!$1:$1,0)-MATCH($F$1,enemy_skill_triggers!$1:$1,0)+1,FALSE)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5" s="48">
        <f ca="1">VLOOKUP($F135,OFFSET(enemy_skill_triggers!$A$1,0,0,COUNTA(enemy_skill_triggers!$A:$A),MATCH(M$1,enemy_skill_triggers!$1:$1,0)-MATCH($F$1,enemy_skill_triggers!$1:$1,0)+1),MATCH(M$1,enemy_skill_triggers!$1:$1,0)-MATCH($F$1,enemy_skill_triggers!$1:$1,0)+1,FALSE)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5" s="48">
        <f ca="1">VLOOKUP($F135,OFFSET(enemy_skill_triggers!$A$1,0,0,COUNTA(enemy_skill_triggers!$A:$A),MATCH(N$1,enemy_skill_triggers!$1:$1,0)-MATCH($F$1,enemy_skill_triggers!$1:$1,0)+1),MATCH(N$1,enemy_skill_triggers!$1:$1,0)-MATCH($F$1,enemy_skill_triggers!$1:$1,0)+1,FALSE)</f>
        <v>1561</v>
      </c>
      <c r="O135" s="48">
        <f ca="1">VLOOKUP($F135,OFFSET(enemy_skill_triggers!$A$1,0,0,COUNTA(enemy_skill_triggers!$A:$A),MATCH(O$1,enemy_skill_triggers!$1:$1,0)-MATCH($F$1,enemy_skill_triggers!$1:$1,0)+1),MATCH(O$1,enemy_skill_triggers!$1:$1,0)-MATCH($F$1,enemy_skill_triggers!$1:$1,0)+1,FALSE)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5" s="47"/>
      <c r="Q135" s="47"/>
      <c r="R135" s="47"/>
    </row>
    <row r="136" spans="1:18" ht="16" customHeight="1" x14ac:dyDescent="0.15">
      <c r="A136" s="39" t="str">
        <f t="shared" si="15"/>
        <v>49016600_49016607</v>
      </c>
      <c r="B136" s="123">
        <v>49016600</v>
      </c>
      <c r="C136" s="175">
        <v>49016607</v>
      </c>
      <c r="D136" s="46" t="str">
        <f ca="1">VLOOKUP($C136,OFFSET(enemy_skills!$A$1,0,0,COUNTA(enemy_skills!$A:$A),MATCH(D$1,enemy_skills!$1:$1,0)-MATCH("enemy_skill_id",enemy_skills!$1:$1,0)+1),MATCH(D$1,enemy_skills!$1:$1,0)-MATCH("enemy_skill_id",enemy_skills!$1:$1,0)+1,FALSE)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36" s="46" t="str">
        <f ca="1">VLOOKUP($C136,OFFSET(enemy_skills!$A$1,0,0,COUNTA(enemy_skills!$A:$A),MATCH(E$1,enemy_skills!$1:$1,0)-MATCH("enemy_skill_id",enemy_skills!$1:$1,0)+1),MATCH(E$1,enemy_skills!$1:$1,0)-MATCH("enemy_skill_id",enemy_skills!$1:$1,0)+1,FALSE)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6" s="175">
        <v>49016622</v>
      </c>
      <c r="G136" s="48">
        <f ca="1">VLOOKUP($F136,OFFSET(enemy_skill_triggers!$A$1,0,0,COUNTA(enemy_skill_triggers!$A:$A),MATCH(G$1,enemy_skill_triggers!$1:$1,0)-MATCH($F$1,enemy_skill_triggers!$1:$1,0)+1),MATCH(G$1,enemy_skill_triggers!$1:$1,0)-MATCH($F$1,enemy_skill_triggers!$1:$1,0)+1,FALSE)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6" s="48">
        <f ca="1">VLOOKUP($F136,OFFSET(enemy_skill_triggers!$A$1,0,0,COUNTA(enemy_skill_triggers!$A:$A),MATCH(H$1,enemy_skill_triggers!$1:$1,0)-MATCH($F$1,enemy_skill_triggers!$1:$1,0)+1),MATCH(H$1,enemy_skill_triggers!$1:$1,0)-MATCH($F$1,enemy_skill_triggers!$1:$1,0)+1,FALSE)</f>
        <v>812</v>
      </c>
      <c r="I136" s="48">
        <f ca="1">VLOOKUP($F136,OFFSET(enemy_skill_triggers!$A$1,0,0,COUNTA(enemy_skill_triggers!$A:$A),MATCH(I$1,enemy_skill_triggers!$1:$1,0)-MATCH($F$1,enemy_skill_triggers!$1:$1,0)+1),MATCH(I$1,enemy_skill_triggers!$1:$1,0)-MATCH($F$1,enemy_skill_triggers!$1:$1,0)+1,FALSE)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6" s="48" t="str">
        <f ca="1">VLOOKUP($F136,OFFSET(enemy_skill_triggers!$A$1,0,0,COUNTA(enemy_skill_triggers!$A:$A),MATCH(J$1,enemy_skill_triggers!$1:$1,0)-MATCH($F$1,enemy_skill_triggers!$1:$1,0)+1),MATCH(J$1,enemy_skill_triggers!$1:$1,0)-MATCH($F$1,enemy_skill_triggers!$1:$1,0)+1,FALSE)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6" s="48" t="str">
        <f ca="1">VLOOKUP($F136,OFFSET(enemy_skill_triggers!$A$1,0,0,COUNTA(enemy_skill_triggers!$A:$A),MATCH(K$1,enemy_skill_triggers!$1:$1,0)-MATCH($F$1,enemy_skill_triggers!$1:$1,0)+1),MATCH(K$1,enemy_skill_triggers!$1:$1,0)-MATCH($F$1,enemy_skill_triggers!$1:$1,0)+1,FALSE)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6" s="48">
        <f ca="1">VLOOKUP($F136,OFFSET(enemy_skill_triggers!$A$1,0,0,COUNTA(enemy_skill_triggers!$A:$A),MATCH(L$1,enemy_skill_triggers!$1:$1,0)-MATCH($F$1,enemy_skill_triggers!$1:$1,0)+1),MATCH(L$1,enemy_skill_triggers!$1:$1,0)-MATCH($F$1,enemy_skill_triggers!$1:$1,0)+1,FALSE)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6" s="48">
        <f ca="1">VLOOKUP($F136,OFFSET(enemy_skill_triggers!$A$1,0,0,COUNTA(enemy_skill_triggers!$A:$A),MATCH(M$1,enemy_skill_triggers!$1:$1,0)-MATCH($F$1,enemy_skill_triggers!$1:$1,0)+1),MATCH(M$1,enemy_skill_triggers!$1:$1,0)-MATCH($F$1,enemy_skill_triggers!$1:$1,0)+1,FALSE)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6" s="48">
        <f ca="1">VLOOKUP($F136,OFFSET(enemy_skill_triggers!$A$1,0,0,COUNTA(enemy_skill_triggers!$A:$A),MATCH(N$1,enemy_skill_triggers!$1:$1,0)-MATCH($F$1,enemy_skill_triggers!$1:$1,0)+1),MATCH(N$1,enemy_skill_triggers!$1:$1,0)-MATCH($F$1,enemy_skill_triggers!$1:$1,0)+1,FALSE)</f>
        <v>1562</v>
      </c>
      <c r="O136" s="48">
        <f ca="1">VLOOKUP($F136,OFFSET(enemy_skill_triggers!$A$1,0,0,COUNTA(enemy_skill_triggers!$A:$A),MATCH(O$1,enemy_skill_triggers!$1:$1,0)-MATCH($F$1,enemy_skill_triggers!$1:$1,0)+1),MATCH(O$1,enemy_skill_triggers!$1:$1,0)-MATCH($F$1,enemy_skill_triggers!$1:$1,0)+1,FALSE)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6" s="47"/>
      <c r="Q136" s="47"/>
      <c r="R136" s="47"/>
    </row>
    <row r="137" spans="1:18" ht="16" customHeight="1" x14ac:dyDescent="0.15">
      <c r="A137" s="39" t="str">
        <f t="shared" si="15"/>
        <v>49016600_49016607</v>
      </c>
      <c r="B137" s="123">
        <v>49016600</v>
      </c>
      <c r="C137" s="175">
        <v>49016607</v>
      </c>
      <c r="D137" s="46" t="str">
        <f ca="1">VLOOKUP($C137,OFFSET(enemy_skills!$A$1,0,0,COUNTA(enemy_skills!$A:$A),MATCH(D$1,enemy_skills!$1:$1,0)-MATCH("enemy_skill_id",enemy_skills!$1:$1,0)+1),MATCH(D$1,enemy_skills!$1:$1,0)-MATCH("enemy_skill_id",enemy_skills!$1:$1,0)+1,FALSE)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37" s="46" t="str">
        <f ca="1">VLOOKUP($C137,OFFSET(enemy_skills!$A$1,0,0,COUNTA(enemy_skills!$A:$A),MATCH(E$1,enemy_skills!$1:$1,0)-MATCH("enemy_skill_id",enemy_skills!$1:$1,0)+1),MATCH(E$1,enemy_skills!$1:$1,0)-MATCH("enemy_skill_id",enemy_skills!$1:$1,0)+1,FALSE)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7" s="175">
        <v>49016623</v>
      </c>
      <c r="G137" s="48">
        <f ca="1">VLOOKUP($F137,OFFSET(enemy_skill_triggers!$A$1,0,0,COUNTA(enemy_skill_triggers!$A:$A),MATCH(G$1,enemy_skill_triggers!$1:$1,0)-MATCH($F$1,enemy_skill_triggers!$1:$1,0)+1),MATCH(G$1,enemy_skill_triggers!$1:$1,0)-MATCH($F$1,enemy_skill_triggers!$1:$1,0)+1,FALSE)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7" s="48">
        <f ca="1">VLOOKUP($F137,OFFSET(enemy_skill_triggers!$A$1,0,0,COUNTA(enemy_skill_triggers!$A:$A),MATCH(H$1,enemy_skill_triggers!$1:$1,0)-MATCH($F$1,enemy_skill_triggers!$1:$1,0)+1),MATCH(H$1,enemy_skill_triggers!$1:$1,0)-MATCH($F$1,enemy_skill_triggers!$1:$1,0)+1,FALSE)</f>
        <v>813</v>
      </c>
      <c r="I137" s="48">
        <f ca="1">VLOOKUP($F137,OFFSET(enemy_skill_triggers!$A$1,0,0,COUNTA(enemy_skill_triggers!$A:$A),MATCH(I$1,enemy_skill_triggers!$1:$1,0)-MATCH($F$1,enemy_skill_triggers!$1:$1,0)+1),MATCH(I$1,enemy_skill_triggers!$1:$1,0)-MATCH($F$1,enemy_skill_triggers!$1:$1,0)+1,FALSE)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7" s="48" t="str">
        <f ca="1">VLOOKUP($F137,OFFSET(enemy_skill_triggers!$A$1,0,0,COUNTA(enemy_skill_triggers!$A:$A),MATCH(J$1,enemy_skill_triggers!$1:$1,0)-MATCH($F$1,enemy_skill_triggers!$1:$1,0)+1),MATCH(J$1,enemy_skill_triggers!$1:$1,0)-MATCH($F$1,enemy_skill_triggers!$1:$1,0)+1,FALSE)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7" s="48" t="str">
        <f ca="1">VLOOKUP($F137,OFFSET(enemy_skill_triggers!$A$1,0,0,COUNTA(enemy_skill_triggers!$A:$A),MATCH(K$1,enemy_skill_triggers!$1:$1,0)-MATCH($F$1,enemy_skill_triggers!$1:$1,0)+1),MATCH(K$1,enemy_skill_triggers!$1:$1,0)-MATCH($F$1,enemy_skill_triggers!$1:$1,0)+1,FALSE)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7" s="48">
        <f ca="1">VLOOKUP($F137,OFFSET(enemy_skill_triggers!$A$1,0,0,COUNTA(enemy_skill_triggers!$A:$A),MATCH(L$1,enemy_skill_triggers!$1:$1,0)-MATCH($F$1,enemy_skill_triggers!$1:$1,0)+1),MATCH(L$1,enemy_skill_triggers!$1:$1,0)-MATCH($F$1,enemy_skill_triggers!$1:$1,0)+1,FALSE)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7" s="48">
        <f ca="1">VLOOKUP($F137,OFFSET(enemy_skill_triggers!$A$1,0,0,COUNTA(enemy_skill_triggers!$A:$A),MATCH(M$1,enemy_skill_triggers!$1:$1,0)-MATCH($F$1,enemy_skill_triggers!$1:$1,0)+1),MATCH(M$1,enemy_skill_triggers!$1:$1,0)-MATCH($F$1,enemy_skill_triggers!$1:$1,0)+1,FALSE)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7" s="48">
        <f ca="1">VLOOKUP($F137,OFFSET(enemy_skill_triggers!$A$1,0,0,COUNTA(enemy_skill_triggers!$A:$A),MATCH(N$1,enemy_skill_triggers!$1:$1,0)-MATCH($F$1,enemy_skill_triggers!$1:$1,0)+1),MATCH(N$1,enemy_skill_triggers!$1:$1,0)-MATCH($F$1,enemy_skill_triggers!$1:$1,0)+1,FALSE)</f>
        <v>1563</v>
      </c>
      <c r="O137" s="48">
        <f ca="1">VLOOKUP($F137,OFFSET(enemy_skill_triggers!$A$1,0,0,COUNTA(enemy_skill_triggers!$A:$A),MATCH(O$1,enemy_skill_triggers!$1:$1,0)-MATCH($F$1,enemy_skill_triggers!$1:$1,0)+1),MATCH(O$1,enemy_skill_triggers!$1:$1,0)-MATCH($F$1,enemy_skill_triggers!$1:$1,0)+1,FALSE)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7" s="47"/>
      <c r="Q137" s="47"/>
      <c r="R137" s="47"/>
    </row>
    <row r="138" spans="1:18" ht="16" customHeight="1" x14ac:dyDescent="0.15">
      <c r="A138" s="39" t="str">
        <f t="shared" si="15"/>
        <v>49016600_49016607</v>
      </c>
      <c r="B138" s="123">
        <v>49016600</v>
      </c>
      <c r="C138" s="175">
        <v>49016607</v>
      </c>
      <c r="D138" s="46" t="str">
        <f ca="1">VLOOKUP($C138,OFFSET(enemy_skills!$A$1,0,0,COUNTA(enemy_skills!$A:$A),MATCH(D$1,enemy_skills!$1:$1,0)-MATCH("enemy_skill_id",enemy_skills!$1:$1,0)+1),MATCH(D$1,enemy_skills!$1:$1,0)-MATCH("enemy_skill_id",enemy_skills!$1:$1,0)+1,FALSE)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38" s="46" t="str">
        <f ca="1">VLOOKUP($C138,OFFSET(enemy_skills!$A$1,0,0,COUNTA(enemy_skills!$A:$A),MATCH(E$1,enemy_skills!$1:$1,0)-MATCH("enemy_skill_id",enemy_skills!$1:$1,0)+1),MATCH(E$1,enemy_skills!$1:$1,0)-MATCH("enemy_skill_id",enemy_skills!$1:$1,0)+1,FALSE)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8" s="175">
        <v>49016624</v>
      </c>
      <c r="G138" s="48">
        <f ca="1">VLOOKUP($F138,OFFSET(enemy_skill_triggers!$A$1,0,0,COUNTA(enemy_skill_triggers!$A:$A),MATCH(G$1,enemy_skill_triggers!$1:$1,0)-MATCH($F$1,enemy_skill_triggers!$1:$1,0)+1),MATCH(G$1,enemy_skill_triggers!$1:$1,0)-MATCH($F$1,enemy_skill_triggers!$1:$1,0)+1,FALSE)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8" s="48">
        <f ca="1">VLOOKUP($F138,OFFSET(enemy_skill_triggers!$A$1,0,0,COUNTA(enemy_skill_triggers!$A:$A),MATCH(H$1,enemy_skill_triggers!$1:$1,0)-MATCH($F$1,enemy_skill_triggers!$1:$1,0)+1),MATCH(H$1,enemy_skill_triggers!$1:$1,0)-MATCH($F$1,enemy_skill_triggers!$1:$1,0)+1,FALSE)</f>
        <v>814</v>
      </c>
      <c r="I138" s="48">
        <f ca="1">VLOOKUP($F138,OFFSET(enemy_skill_triggers!$A$1,0,0,COUNTA(enemy_skill_triggers!$A:$A),MATCH(I$1,enemy_skill_triggers!$1:$1,0)-MATCH($F$1,enemy_skill_triggers!$1:$1,0)+1),MATCH(I$1,enemy_skill_triggers!$1:$1,0)-MATCH($F$1,enemy_skill_triggers!$1:$1,0)+1,FALSE)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8" s="48" t="str">
        <f ca="1">VLOOKUP($F138,OFFSET(enemy_skill_triggers!$A$1,0,0,COUNTA(enemy_skill_triggers!$A:$A),MATCH(J$1,enemy_skill_triggers!$1:$1,0)-MATCH($F$1,enemy_skill_triggers!$1:$1,0)+1),MATCH(J$1,enemy_skill_triggers!$1:$1,0)-MATCH($F$1,enemy_skill_triggers!$1:$1,0)+1,FALSE)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8" s="48" t="str">
        <f ca="1">VLOOKUP($F138,OFFSET(enemy_skill_triggers!$A$1,0,0,COUNTA(enemy_skill_triggers!$A:$A),MATCH(K$1,enemy_skill_triggers!$1:$1,0)-MATCH($F$1,enemy_skill_triggers!$1:$1,0)+1),MATCH(K$1,enemy_skill_triggers!$1:$1,0)-MATCH($F$1,enemy_skill_triggers!$1:$1,0)+1,FALSE)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8" s="48">
        <f ca="1">VLOOKUP($F138,OFFSET(enemy_skill_triggers!$A$1,0,0,COUNTA(enemy_skill_triggers!$A:$A),MATCH(L$1,enemy_skill_triggers!$1:$1,0)-MATCH($F$1,enemy_skill_triggers!$1:$1,0)+1),MATCH(L$1,enemy_skill_triggers!$1:$1,0)-MATCH($F$1,enemy_skill_triggers!$1:$1,0)+1,FALSE)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8" s="48">
        <f ca="1">VLOOKUP($F138,OFFSET(enemy_skill_triggers!$A$1,0,0,COUNTA(enemy_skill_triggers!$A:$A),MATCH(M$1,enemy_skill_triggers!$1:$1,0)-MATCH($F$1,enemy_skill_triggers!$1:$1,0)+1),MATCH(M$1,enemy_skill_triggers!$1:$1,0)-MATCH($F$1,enemy_skill_triggers!$1:$1,0)+1,FALSE)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8" s="48">
        <f ca="1">VLOOKUP($F138,OFFSET(enemy_skill_triggers!$A$1,0,0,COUNTA(enemy_skill_triggers!$A:$A),MATCH(N$1,enemy_skill_triggers!$1:$1,0)-MATCH($F$1,enemy_skill_triggers!$1:$1,0)+1),MATCH(N$1,enemy_skill_triggers!$1:$1,0)-MATCH($F$1,enemy_skill_triggers!$1:$1,0)+1,FALSE)</f>
        <v>1564</v>
      </c>
      <c r="O138" s="48">
        <f ca="1">VLOOKUP($F138,OFFSET(enemy_skill_triggers!$A$1,0,0,COUNTA(enemy_skill_triggers!$A:$A),MATCH(O$1,enemy_skill_triggers!$1:$1,0)-MATCH($F$1,enemy_skill_triggers!$1:$1,0)+1),MATCH(O$1,enemy_skill_triggers!$1:$1,0)-MATCH($F$1,enemy_skill_triggers!$1:$1,0)+1,FALSE)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8" s="47"/>
      <c r="Q138" s="47"/>
      <c r="R138" s="47"/>
    </row>
    <row r="139" spans="1:18" ht="16" customHeight="1" x14ac:dyDescent="0.15">
      <c r="A139" s="39" t="str">
        <f t="shared" si="15"/>
        <v>49016600_49016607</v>
      </c>
      <c r="B139" s="123">
        <v>49016600</v>
      </c>
      <c r="C139" s="175">
        <v>49016607</v>
      </c>
      <c r="D139" s="46" t="str">
        <f ca="1">VLOOKUP($C139,OFFSET(enemy_skills!$A$1,0,0,COUNTA(enemy_skills!$A:$A),MATCH(D$1,enemy_skills!$1:$1,0)-MATCH("enemy_skill_id",enemy_skills!$1:$1,0)+1),MATCH(D$1,enemy_skills!$1:$1,0)-MATCH("enemy_skill_id",enemy_skills!$1:$1,0)+1,FALSE)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39" s="46" t="str">
        <f ca="1">VLOOKUP($C139,OFFSET(enemy_skills!$A$1,0,0,COUNTA(enemy_skills!$A:$A),MATCH(E$1,enemy_skills!$1:$1,0)-MATCH("enemy_skill_id",enemy_skills!$1:$1,0)+1),MATCH(E$1,enemy_skills!$1:$1,0)-MATCH("enemy_skill_id",enemy_skills!$1:$1,0)+1,FALSE)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39" s="175">
        <v>49016625</v>
      </c>
      <c r="G139" s="48">
        <f ca="1">VLOOKUP($F139,OFFSET(enemy_skill_triggers!$A$1,0,0,COUNTA(enemy_skill_triggers!$A:$A),MATCH(G$1,enemy_skill_triggers!$1:$1,0)-MATCH($F$1,enemy_skill_triggers!$1:$1,0)+1),MATCH(G$1,enemy_skill_triggers!$1:$1,0)-MATCH($F$1,enemy_skill_triggers!$1:$1,0)+1,FALSE)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9" s="48">
        <f ca="1">VLOOKUP($F139,OFFSET(enemy_skill_triggers!$A$1,0,0,COUNTA(enemy_skill_triggers!$A:$A),MATCH(H$1,enemy_skill_triggers!$1:$1,0)-MATCH($F$1,enemy_skill_triggers!$1:$1,0)+1),MATCH(H$1,enemy_skill_triggers!$1:$1,0)-MATCH($F$1,enemy_skill_triggers!$1:$1,0)+1,FALSE)</f>
        <v>815</v>
      </c>
      <c r="I139" s="48">
        <f ca="1">VLOOKUP($F139,OFFSET(enemy_skill_triggers!$A$1,0,0,COUNTA(enemy_skill_triggers!$A:$A),MATCH(I$1,enemy_skill_triggers!$1:$1,0)-MATCH($F$1,enemy_skill_triggers!$1:$1,0)+1),MATCH(I$1,enemy_skill_triggers!$1:$1,0)-MATCH($F$1,enemy_skill_triggers!$1:$1,0)+1,FALSE)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9" s="48" t="str">
        <f ca="1">VLOOKUP($F139,OFFSET(enemy_skill_triggers!$A$1,0,0,COUNTA(enemy_skill_triggers!$A:$A),MATCH(J$1,enemy_skill_triggers!$1:$1,0)-MATCH($F$1,enemy_skill_triggers!$1:$1,0)+1),MATCH(J$1,enemy_skill_triggers!$1:$1,0)-MATCH($F$1,enemy_skill_triggers!$1:$1,0)+1,FALSE)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9" s="48" t="str">
        <f ca="1">VLOOKUP($F139,OFFSET(enemy_skill_triggers!$A$1,0,0,COUNTA(enemy_skill_triggers!$A:$A),MATCH(K$1,enemy_skill_triggers!$1:$1,0)-MATCH($F$1,enemy_skill_triggers!$1:$1,0)+1),MATCH(K$1,enemy_skill_triggers!$1:$1,0)-MATCH($F$1,enemy_skill_triggers!$1:$1,0)+1,FALSE)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9" s="48">
        <f ca="1">VLOOKUP($F139,OFFSET(enemy_skill_triggers!$A$1,0,0,COUNTA(enemy_skill_triggers!$A:$A),MATCH(L$1,enemy_skill_triggers!$1:$1,0)-MATCH($F$1,enemy_skill_triggers!$1:$1,0)+1),MATCH(L$1,enemy_skill_triggers!$1:$1,0)-MATCH($F$1,enemy_skill_triggers!$1:$1,0)+1,FALSE)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39" s="48">
        <f ca="1">VLOOKUP($F139,OFFSET(enemy_skill_triggers!$A$1,0,0,COUNTA(enemy_skill_triggers!$A:$A),MATCH(M$1,enemy_skill_triggers!$1:$1,0)-MATCH($F$1,enemy_skill_triggers!$1:$1,0)+1),MATCH(M$1,enemy_skill_triggers!$1:$1,0)-MATCH($F$1,enemy_skill_triggers!$1:$1,0)+1,FALSE)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9" s="48">
        <f ca="1">VLOOKUP($F139,OFFSET(enemy_skill_triggers!$A$1,0,0,COUNTA(enemy_skill_triggers!$A:$A),MATCH(N$1,enemy_skill_triggers!$1:$1,0)-MATCH($F$1,enemy_skill_triggers!$1:$1,0)+1),MATCH(N$1,enemy_skill_triggers!$1:$1,0)-MATCH($F$1,enemy_skill_triggers!$1:$1,0)+1,FALSE)</f>
        <v>1565</v>
      </c>
      <c r="O139" s="48">
        <f ca="1">VLOOKUP($F139,OFFSET(enemy_skill_triggers!$A$1,0,0,COUNTA(enemy_skill_triggers!$A:$A),MATCH(O$1,enemy_skill_triggers!$1:$1,0)-MATCH($F$1,enemy_skill_triggers!$1:$1,0)+1),MATCH(O$1,enemy_skill_triggers!$1:$1,0)-MATCH($F$1,enemy_skill_triggers!$1:$1,0)+1,FALSE)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9" s="47"/>
      <c r="Q139" s="47"/>
      <c r="R139" s="47"/>
    </row>
    <row r="140" spans="1:18" ht="16" customHeight="1" x14ac:dyDescent="0.15">
      <c r="A140" s="39" t="str">
        <f t="shared" si="15"/>
        <v>49016600_49016607</v>
      </c>
      <c r="B140" s="123">
        <v>49016600</v>
      </c>
      <c r="C140" s="175">
        <v>49016607</v>
      </c>
      <c r="D140" s="46" t="str">
        <f ca="1">VLOOKUP($C140,OFFSET(enemy_skills!$A$1,0,0,COUNTA(enemy_skills!$A:$A),MATCH(D$1,enemy_skills!$1:$1,0)-MATCH("enemy_skill_id",enemy_skills!$1:$1,0)+1),MATCH(D$1,enemy_skills!$1:$1,0)-MATCH("enemy_skill_id",enemy_skills!$1:$1,0)+1,FALSE)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40" s="46" t="str">
        <f ca="1">VLOOKUP($C140,OFFSET(enemy_skills!$A$1,0,0,COUNTA(enemy_skills!$A:$A),MATCH(E$1,enemy_skills!$1:$1,0)-MATCH("enemy_skill_id",enemy_skills!$1:$1,0)+1),MATCH(E$1,enemy_skills!$1:$1,0)-MATCH("enemy_skill_id",enemy_skills!$1:$1,0)+1,FALSE)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0" s="175">
        <v>49016626</v>
      </c>
      <c r="G140" s="48">
        <f ca="1">VLOOKUP($F140,OFFSET(enemy_skill_triggers!$A$1,0,0,COUNTA(enemy_skill_triggers!$A:$A),MATCH(G$1,enemy_skill_triggers!$1:$1,0)-MATCH($F$1,enemy_skill_triggers!$1:$1,0)+1),MATCH(G$1,enemy_skill_triggers!$1:$1,0)-MATCH($F$1,enemy_skill_triggers!$1:$1,0)+1,FALSE)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0" s="48">
        <f ca="1">VLOOKUP($F140,OFFSET(enemy_skill_triggers!$A$1,0,0,COUNTA(enemy_skill_triggers!$A:$A),MATCH(H$1,enemy_skill_triggers!$1:$1,0)-MATCH($F$1,enemy_skill_triggers!$1:$1,0)+1),MATCH(H$1,enemy_skill_triggers!$1:$1,0)-MATCH($F$1,enemy_skill_triggers!$1:$1,0)+1,FALSE)</f>
        <v>816</v>
      </c>
      <c r="I140" s="48">
        <f ca="1">VLOOKUP($F140,OFFSET(enemy_skill_triggers!$A$1,0,0,COUNTA(enemy_skill_triggers!$A:$A),MATCH(I$1,enemy_skill_triggers!$1:$1,0)-MATCH($F$1,enemy_skill_triggers!$1:$1,0)+1),MATCH(I$1,enemy_skill_triggers!$1:$1,0)-MATCH($F$1,enemy_skill_triggers!$1:$1,0)+1,FALSE)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0" s="48" t="str">
        <f ca="1">VLOOKUP($F140,OFFSET(enemy_skill_triggers!$A$1,0,0,COUNTA(enemy_skill_triggers!$A:$A),MATCH(J$1,enemy_skill_triggers!$1:$1,0)-MATCH($F$1,enemy_skill_triggers!$1:$1,0)+1),MATCH(J$1,enemy_skill_triggers!$1:$1,0)-MATCH($F$1,enemy_skill_triggers!$1:$1,0)+1,FALSE)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0" s="48" t="str">
        <f ca="1">VLOOKUP($F140,OFFSET(enemy_skill_triggers!$A$1,0,0,COUNTA(enemy_skill_triggers!$A:$A),MATCH(K$1,enemy_skill_triggers!$1:$1,0)-MATCH($F$1,enemy_skill_triggers!$1:$1,0)+1),MATCH(K$1,enemy_skill_triggers!$1:$1,0)-MATCH($F$1,enemy_skill_triggers!$1:$1,0)+1,FALSE)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0" s="48">
        <f ca="1">VLOOKUP($F140,OFFSET(enemy_skill_triggers!$A$1,0,0,COUNTA(enemy_skill_triggers!$A:$A),MATCH(L$1,enemy_skill_triggers!$1:$1,0)-MATCH($F$1,enemy_skill_triggers!$1:$1,0)+1),MATCH(L$1,enemy_skill_triggers!$1:$1,0)-MATCH($F$1,enemy_skill_triggers!$1:$1,0)+1,FALSE)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0" s="48">
        <f ca="1">VLOOKUP($F140,OFFSET(enemy_skill_triggers!$A$1,0,0,COUNTA(enemy_skill_triggers!$A:$A),MATCH(M$1,enemy_skill_triggers!$1:$1,0)-MATCH($F$1,enemy_skill_triggers!$1:$1,0)+1),MATCH(M$1,enemy_skill_triggers!$1:$1,0)-MATCH($F$1,enemy_skill_triggers!$1:$1,0)+1,FALSE)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0" s="48">
        <f ca="1">VLOOKUP($F140,OFFSET(enemy_skill_triggers!$A$1,0,0,COUNTA(enemy_skill_triggers!$A:$A),MATCH(N$1,enemy_skill_triggers!$1:$1,0)-MATCH($F$1,enemy_skill_triggers!$1:$1,0)+1),MATCH(N$1,enemy_skill_triggers!$1:$1,0)-MATCH($F$1,enemy_skill_triggers!$1:$1,0)+1,FALSE)</f>
        <v>1566</v>
      </c>
      <c r="O140" s="48">
        <f ca="1">VLOOKUP($F140,OFFSET(enemy_skill_triggers!$A$1,0,0,COUNTA(enemy_skill_triggers!$A:$A),MATCH(O$1,enemy_skill_triggers!$1:$1,0)-MATCH($F$1,enemy_skill_triggers!$1:$1,0)+1),MATCH(O$1,enemy_skill_triggers!$1:$1,0)-MATCH($F$1,enemy_skill_triggers!$1:$1,0)+1,FALSE)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0" s="47"/>
      <c r="Q140" s="47"/>
      <c r="R140" s="47"/>
    </row>
    <row r="141" spans="1:18" ht="16" customHeight="1" x14ac:dyDescent="0.15">
      <c r="A141" s="39" t="str">
        <f t="shared" si="15"/>
        <v>49016600_49016607</v>
      </c>
      <c r="B141" s="123">
        <v>49016600</v>
      </c>
      <c r="C141" s="175">
        <v>49016607</v>
      </c>
      <c r="D141" s="46" t="str">
        <f ca="1">VLOOKUP($C141,OFFSET(enemy_skills!$A$1,0,0,COUNTA(enemy_skills!$A:$A),MATCH(D$1,enemy_skills!$1:$1,0)-MATCH("enemy_skill_id",enemy_skills!$1:$1,0)+1),MATCH(D$1,enemy_skills!$1:$1,0)-MATCH("enemy_skill_id",enemy_skills!$1:$1,0)+1,FALSE)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41" s="46" t="str">
        <f ca="1">VLOOKUP($C141,OFFSET(enemy_skills!$A$1,0,0,COUNTA(enemy_skills!$A:$A),MATCH(E$1,enemy_skills!$1:$1,0)-MATCH("enemy_skill_id",enemy_skills!$1:$1,0)+1),MATCH(E$1,enemy_skills!$1:$1,0)-MATCH("enemy_skill_id",enemy_skills!$1:$1,0)+1,FALSE)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1" s="175">
        <v>49016627</v>
      </c>
      <c r="G141" s="48">
        <f ca="1">VLOOKUP($F141,OFFSET(enemy_skill_triggers!$A$1,0,0,COUNTA(enemy_skill_triggers!$A:$A),MATCH(G$1,enemy_skill_triggers!$1:$1,0)-MATCH($F$1,enemy_skill_triggers!$1:$1,0)+1),MATCH(G$1,enemy_skill_triggers!$1:$1,0)-MATCH($F$1,enemy_skill_triggers!$1:$1,0)+1,FALSE)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1" s="48">
        <f ca="1">VLOOKUP($F141,OFFSET(enemy_skill_triggers!$A$1,0,0,COUNTA(enemy_skill_triggers!$A:$A),MATCH(H$1,enemy_skill_triggers!$1:$1,0)-MATCH($F$1,enemy_skill_triggers!$1:$1,0)+1),MATCH(H$1,enemy_skill_triggers!$1:$1,0)-MATCH($F$1,enemy_skill_triggers!$1:$1,0)+1,FALSE)</f>
        <v>817</v>
      </c>
      <c r="I141" s="48">
        <f ca="1">VLOOKUP($F141,OFFSET(enemy_skill_triggers!$A$1,0,0,COUNTA(enemy_skill_triggers!$A:$A),MATCH(I$1,enemy_skill_triggers!$1:$1,0)-MATCH($F$1,enemy_skill_triggers!$1:$1,0)+1),MATCH(I$1,enemy_skill_triggers!$1:$1,0)-MATCH($F$1,enemy_skill_triggers!$1:$1,0)+1,FALSE)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1" s="48" t="str">
        <f ca="1">VLOOKUP($F141,OFFSET(enemy_skill_triggers!$A$1,0,0,COUNTA(enemy_skill_triggers!$A:$A),MATCH(J$1,enemy_skill_triggers!$1:$1,0)-MATCH($F$1,enemy_skill_triggers!$1:$1,0)+1),MATCH(J$1,enemy_skill_triggers!$1:$1,0)-MATCH($F$1,enemy_skill_triggers!$1:$1,0)+1,FALSE)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1" s="48" t="str">
        <f ca="1">VLOOKUP($F141,OFFSET(enemy_skill_triggers!$A$1,0,0,COUNTA(enemy_skill_triggers!$A:$A),MATCH(K$1,enemy_skill_triggers!$1:$1,0)-MATCH($F$1,enemy_skill_triggers!$1:$1,0)+1),MATCH(K$1,enemy_skill_triggers!$1:$1,0)-MATCH($F$1,enemy_skill_triggers!$1:$1,0)+1,FALSE)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1" s="48">
        <f ca="1">VLOOKUP($F141,OFFSET(enemy_skill_triggers!$A$1,0,0,COUNTA(enemy_skill_triggers!$A:$A),MATCH(L$1,enemy_skill_triggers!$1:$1,0)-MATCH($F$1,enemy_skill_triggers!$1:$1,0)+1),MATCH(L$1,enemy_skill_triggers!$1:$1,0)-MATCH($F$1,enemy_skill_triggers!$1:$1,0)+1,FALSE)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1" s="48">
        <f ca="1">VLOOKUP($F141,OFFSET(enemy_skill_triggers!$A$1,0,0,COUNTA(enemy_skill_triggers!$A:$A),MATCH(M$1,enemy_skill_triggers!$1:$1,0)-MATCH($F$1,enemy_skill_triggers!$1:$1,0)+1),MATCH(M$1,enemy_skill_triggers!$1:$1,0)-MATCH($F$1,enemy_skill_triggers!$1:$1,0)+1,FALSE)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1" s="48">
        <f ca="1">VLOOKUP($F141,OFFSET(enemy_skill_triggers!$A$1,0,0,COUNTA(enemy_skill_triggers!$A:$A),MATCH(N$1,enemy_skill_triggers!$1:$1,0)-MATCH($F$1,enemy_skill_triggers!$1:$1,0)+1),MATCH(N$1,enemy_skill_triggers!$1:$1,0)-MATCH($F$1,enemy_skill_triggers!$1:$1,0)+1,FALSE)</f>
        <v>1567</v>
      </c>
      <c r="O141" s="48">
        <f ca="1">VLOOKUP($F141,OFFSET(enemy_skill_triggers!$A$1,0,0,COUNTA(enemy_skill_triggers!$A:$A),MATCH(O$1,enemy_skill_triggers!$1:$1,0)-MATCH($F$1,enemy_skill_triggers!$1:$1,0)+1),MATCH(O$1,enemy_skill_triggers!$1:$1,0)-MATCH($F$1,enemy_skill_triggers!$1:$1,0)+1,FALSE)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1" s="47"/>
      <c r="Q141" s="47"/>
      <c r="R141" s="47"/>
    </row>
    <row r="142" spans="1:18" ht="16" customHeight="1" x14ac:dyDescent="0.15">
      <c r="A142" s="39" t="str">
        <f t="shared" ref="A142:A162" si="16">B142&amp;"_"&amp;C142</f>
        <v>49016600_49016607</v>
      </c>
      <c r="B142" s="123">
        <v>49016600</v>
      </c>
      <c r="C142" s="175">
        <v>49016607</v>
      </c>
      <c r="D142" s="46" t="str">
        <f ca="1">VLOOKUP($C142,OFFSET(enemy_skills!$A$1,0,0,COUNTA(enemy_skills!$A:$A),MATCH(D$1,enemy_skills!$1:$1,0)-MATCH("enemy_skill_id",enemy_skills!$1:$1,0)+1),MATCH(D$1,enemy_skills!$1:$1,0)-MATCH("enemy_skill_id",enemy_skills!$1:$1,0)+1,FALSE)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42" s="46" t="str">
        <f ca="1">VLOOKUP($C142,OFFSET(enemy_skills!$A$1,0,0,COUNTA(enemy_skills!$A:$A),MATCH(E$1,enemy_skills!$1:$1,0)-MATCH("enemy_skill_id",enemy_skills!$1:$1,0)+1),MATCH(E$1,enemy_skills!$1:$1,0)-MATCH("enemy_skill_id",enemy_skills!$1:$1,0)+1,FALSE)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2" s="175">
        <v>49016628</v>
      </c>
      <c r="G142" s="48">
        <f ca="1">VLOOKUP($F142,OFFSET(enemy_skill_triggers!$A$1,0,0,COUNTA(enemy_skill_triggers!$A:$A),MATCH(G$1,enemy_skill_triggers!$1:$1,0)-MATCH($F$1,enemy_skill_triggers!$1:$1,0)+1),MATCH(G$1,enemy_skill_triggers!$1:$1,0)-MATCH($F$1,enemy_skill_triggers!$1:$1,0)+1,FALSE)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2" s="48">
        <f ca="1">VLOOKUP($F142,OFFSET(enemy_skill_triggers!$A$1,0,0,COUNTA(enemy_skill_triggers!$A:$A),MATCH(H$1,enemy_skill_triggers!$1:$1,0)-MATCH($F$1,enemy_skill_triggers!$1:$1,0)+1),MATCH(H$1,enemy_skill_triggers!$1:$1,0)-MATCH($F$1,enemy_skill_triggers!$1:$1,0)+1,FALSE)</f>
        <v>818</v>
      </c>
      <c r="I142" s="48">
        <f ca="1">VLOOKUP($F142,OFFSET(enemy_skill_triggers!$A$1,0,0,COUNTA(enemy_skill_triggers!$A:$A),MATCH(I$1,enemy_skill_triggers!$1:$1,0)-MATCH($F$1,enemy_skill_triggers!$1:$1,0)+1),MATCH(I$1,enemy_skill_triggers!$1:$1,0)-MATCH($F$1,enemy_skill_triggers!$1:$1,0)+1,FALSE)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2" s="48" t="str">
        <f ca="1">VLOOKUP($F142,OFFSET(enemy_skill_triggers!$A$1,0,0,COUNTA(enemy_skill_triggers!$A:$A),MATCH(J$1,enemy_skill_triggers!$1:$1,0)-MATCH($F$1,enemy_skill_triggers!$1:$1,0)+1),MATCH(J$1,enemy_skill_triggers!$1:$1,0)-MATCH($F$1,enemy_skill_triggers!$1:$1,0)+1,FALSE)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2" s="48" t="str">
        <f ca="1">VLOOKUP($F142,OFFSET(enemy_skill_triggers!$A$1,0,0,COUNTA(enemy_skill_triggers!$A:$A),MATCH(K$1,enemy_skill_triggers!$1:$1,0)-MATCH($F$1,enemy_skill_triggers!$1:$1,0)+1),MATCH(K$1,enemy_skill_triggers!$1:$1,0)-MATCH($F$1,enemy_skill_triggers!$1:$1,0)+1,FALSE)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2" s="48">
        <f ca="1">VLOOKUP($F142,OFFSET(enemy_skill_triggers!$A$1,0,0,COUNTA(enemy_skill_triggers!$A:$A),MATCH(L$1,enemy_skill_triggers!$1:$1,0)-MATCH($F$1,enemy_skill_triggers!$1:$1,0)+1),MATCH(L$1,enemy_skill_triggers!$1:$1,0)-MATCH($F$1,enemy_skill_triggers!$1:$1,0)+1,FALSE)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2" s="48">
        <f ca="1">VLOOKUP($F142,OFFSET(enemy_skill_triggers!$A$1,0,0,COUNTA(enemy_skill_triggers!$A:$A),MATCH(M$1,enemy_skill_triggers!$1:$1,0)-MATCH($F$1,enemy_skill_triggers!$1:$1,0)+1),MATCH(M$1,enemy_skill_triggers!$1:$1,0)-MATCH($F$1,enemy_skill_triggers!$1:$1,0)+1,FALSE)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2" s="48">
        <f ca="1">VLOOKUP($F142,OFFSET(enemy_skill_triggers!$A$1,0,0,COUNTA(enemy_skill_triggers!$A:$A),MATCH(N$1,enemy_skill_triggers!$1:$1,0)-MATCH($F$1,enemy_skill_triggers!$1:$1,0)+1),MATCH(N$1,enemy_skill_triggers!$1:$1,0)-MATCH($F$1,enemy_skill_triggers!$1:$1,0)+1,FALSE)</f>
        <v>1568</v>
      </c>
      <c r="O142" s="48">
        <f ca="1">VLOOKUP($F142,OFFSET(enemy_skill_triggers!$A$1,0,0,COUNTA(enemy_skill_triggers!$A:$A),MATCH(O$1,enemy_skill_triggers!$1:$1,0)-MATCH($F$1,enemy_skill_triggers!$1:$1,0)+1),MATCH(O$1,enemy_skill_triggers!$1:$1,0)-MATCH($F$1,enemy_skill_triggers!$1:$1,0)+1,FALSE)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2" s="47"/>
      <c r="Q142" s="47"/>
      <c r="R142" s="47"/>
    </row>
    <row r="143" spans="1:18" ht="16" customHeight="1" x14ac:dyDescent="0.15">
      <c r="A143" s="39" t="str">
        <f t="shared" si="16"/>
        <v>49016600_49016607</v>
      </c>
      <c r="B143" s="123">
        <v>49016600</v>
      </c>
      <c r="C143" s="175">
        <v>49016607</v>
      </c>
      <c r="D143" s="46" t="str">
        <f ca="1">VLOOKUP($C143,OFFSET(enemy_skills!$A$1,0,0,COUNTA(enemy_skills!$A:$A),MATCH(D$1,enemy_skills!$1:$1,0)-MATCH("enemy_skill_id",enemy_skills!$1:$1,0)+1),MATCH(D$1,enemy_skills!$1:$1,0)-MATCH("enemy_skill_id",enemy_skills!$1:$1,0)+1,FALSE)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43" s="46" t="str">
        <f ca="1">VLOOKUP($C143,OFFSET(enemy_skills!$A$1,0,0,COUNTA(enemy_skills!$A:$A),MATCH(E$1,enemy_skills!$1:$1,0)-MATCH("enemy_skill_id",enemy_skills!$1:$1,0)+1),MATCH(E$1,enemy_skills!$1:$1,0)-MATCH("enemy_skill_id",enemy_skills!$1:$1,0)+1,FALSE)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3" s="175">
        <v>49016629</v>
      </c>
      <c r="G143" s="48">
        <f ca="1">VLOOKUP($F143,OFFSET(enemy_skill_triggers!$A$1,0,0,COUNTA(enemy_skill_triggers!$A:$A),MATCH(G$1,enemy_skill_triggers!$1:$1,0)-MATCH($F$1,enemy_skill_triggers!$1:$1,0)+1),MATCH(G$1,enemy_skill_triggers!$1:$1,0)-MATCH($F$1,enemy_skill_triggers!$1:$1,0)+1,FALSE)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3" s="48">
        <f ca="1">VLOOKUP($F143,OFFSET(enemy_skill_triggers!$A$1,0,0,COUNTA(enemy_skill_triggers!$A:$A),MATCH(H$1,enemy_skill_triggers!$1:$1,0)-MATCH($F$1,enemy_skill_triggers!$1:$1,0)+1),MATCH(H$1,enemy_skill_triggers!$1:$1,0)-MATCH($F$1,enemy_skill_triggers!$1:$1,0)+1,FALSE)</f>
        <v>819</v>
      </c>
      <c r="I143" s="48">
        <f ca="1">VLOOKUP($F143,OFFSET(enemy_skill_triggers!$A$1,0,0,COUNTA(enemy_skill_triggers!$A:$A),MATCH(I$1,enemy_skill_triggers!$1:$1,0)-MATCH($F$1,enemy_skill_triggers!$1:$1,0)+1),MATCH(I$1,enemy_skill_triggers!$1:$1,0)-MATCH($F$1,enemy_skill_triggers!$1:$1,0)+1,FALSE)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3" s="48" t="str">
        <f ca="1">VLOOKUP($F143,OFFSET(enemy_skill_triggers!$A$1,0,0,COUNTA(enemy_skill_triggers!$A:$A),MATCH(J$1,enemy_skill_triggers!$1:$1,0)-MATCH($F$1,enemy_skill_triggers!$1:$1,0)+1),MATCH(J$1,enemy_skill_triggers!$1:$1,0)-MATCH($F$1,enemy_skill_triggers!$1:$1,0)+1,FALSE)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3" s="48" t="str">
        <f ca="1">VLOOKUP($F143,OFFSET(enemy_skill_triggers!$A$1,0,0,COUNTA(enemy_skill_triggers!$A:$A),MATCH(K$1,enemy_skill_triggers!$1:$1,0)-MATCH($F$1,enemy_skill_triggers!$1:$1,0)+1),MATCH(K$1,enemy_skill_triggers!$1:$1,0)-MATCH($F$1,enemy_skill_triggers!$1:$1,0)+1,FALSE)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3" s="48">
        <f ca="1">VLOOKUP($F143,OFFSET(enemy_skill_triggers!$A$1,0,0,COUNTA(enemy_skill_triggers!$A:$A),MATCH(L$1,enemy_skill_triggers!$1:$1,0)-MATCH($F$1,enemy_skill_triggers!$1:$1,0)+1),MATCH(L$1,enemy_skill_triggers!$1:$1,0)-MATCH($F$1,enemy_skill_triggers!$1:$1,0)+1,FALSE)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3" s="48">
        <f ca="1">VLOOKUP($F143,OFFSET(enemy_skill_triggers!$A$1,0,0,COUNTA(enemy_skill_triggers!$A:$A),MATCH(M$1,enemy_skill_triggers!$1:$1,0)-MATCH($F$1,enemy_skill_triggers!$1:$1,0)+1),MATCH(M$1,enemy_skill_triggers!$1:$1,0)-MATCH($F$1,enemy_skill_triggers!$1:$1,0)+1,FALSE)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3" s="48">
        <f ca="1">VLOOKUP($F143,OFFSET(enemy_skill_triggers!$A$1,0,0,COUNTA(enemy_skill_triggers!$A:$A),MATCH(N$1,enemy_skill_triggers!$1:$1,0)-MATCH($F$1,enemy_skill_triggers!$1:$1,0)+1),MATCH(N$1,enemy_skill_triggers!$1:$1,0)-MATCH($F$1,enemy_skill_triggers!$1:$1,0)+1,FALSE)</f>
        <v>1569</v>
      </c>
      <c r="O143" s="48">
        <f ca="1">VLOOKUP($F143,OFFSET(enemy_skill_triggers!$A$1,0,0,COUNTA(enemy_skill_triggers!$A:$A),MATCH(O$1,enemy_skill_triggers!$1:$1,0)-MATCH($F$1,enemy_skill_triggers!$1:$1,0)+1),MATCH(O$1,enemy_skill_triggers!$1:$1,0)-MATCH($F$1,enemy_skill_triggers!$1:$1,0)+1,FALSE)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3" s="47"/>
      <c r="Q143" s="47"/>
      <c r="R143" s="47"/>
    </row>
    <row r="144" spans="1:18" ht="16" customHeight="1" x14ac:dyDescent="0.15">
      <c r="A144" s="39" t="str">
        <f t="shared" si="16"/>
        <v>49016600_49016607</v>
      </c>
      <c r="B144" s="123">
        <v>49016600</v>
      </c>
      <c r="C144" s="175">
        <v>49016607</v>
      </c>
      <c r="D144" s="46" t="str">
        <f ca="1">VLOOKUP($C144,OFFSET(enemy_skills!$A$1,0,0,COUNTA(enemy_skills!$A:$A),MATCH(D$1,enemy_skills!$1:$1,0)-MATCH("enemy_skill_id",enemy_skills!$1:$1,0)+1),MATCH(D$1,enemy_skills!$1:$1,0)-MATCH("enemy_skill_id",enemy_skills!$1:$1,0)+1,FALSE)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44" s="46" t="str">
        <f ca="1">VLOOKUP($C144,OFFSET(enemy_skills!$A$1,0,0,COUNTA(enemy_skills!$A:$A),MATCH(E$1,enemy_skills!$1:$1,0)-MATCH("enemy_skill_id",enemy_skills!$1:$1,0)+1),MATCH(E$1,enemy_skills!$1:$1,0)-MATCH("enemy_skill_id",enemy_skills!$1:$1,0)+1,FALSE)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4" s="175">
        <v>49016630</v>
      </c>
      <c r="G144" s="48">
        <f ca="1">VLOOKUP($F144,OFFSET(enemy_skill_triggers!$A$1,0,0,COUNTA(enemy_skill_triggers!$A:$A),MATCH(G$1,enemy_skill_triggers!$1:$1,0)-MATCH($F$1,enemy_skill_triggers!$1:$1,0)+1),MATCH(G$1,enemy_skill_triggers!$1:$1,0)-MATCH($F$1,enemy_skill_triggers!$1:$1,0)+1,FALSE)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4" s="48">
        <f ca="1">VLOOKUP($F144,OFFSET(enemy_skill_triggers!$A$1,0,0,COUNTA(enemy_skill_triggers!$A:$A),MATCH(H$1,enemy_skill_triggers!$1:$1,0)-MATCH($F$1,enemy_skill_triggers!$1:$1,0)+1),MATCH(H$1,enemy_skill_triggers!$1:$1,0)-MATCH($F$1,enemy_skill_triggers!$1:$1,0)+1,FALSE)</f>
        <v>820</v>
      </c>
      <c r="I144" s="48">
        <f ca="1">VLOOKUP($F144,OFFSET(enemy_skill_triggers!$A$1,0,0,COUNTA(enemy_skill_triggers!$A:$A),MATCH(I$1,enemy_skill_triggers!$1:$1,0)-MATCH($F$1,enemy_skill_triggers!$1:$1,0)+1),MATCH(I$1,enemy_skill_triggers!$1:$1,0)-MATCH($F$1,enemy_skill_triggers!$1:$1,0)+1,FALSE)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4" s="48" t="str">
        <f ca="1">VLOOKUP($F144,OFFSET(enemy_skill_triggers!$A$1,0,0,COUNTA(enemy_skill_triggers!$A:$A),MATCH(J$1,enemy_skill_triggers!$1:$1,0)-MATCH($F$1,enemy_skill_triggers!$1:$1,0)+1),MATCH(J$1,enemy_skill_triggers!$1:$1,0)-MATCH($F$1,enemy_skill_triggers!$1:$1,0)+1,FALSE)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4" s="48" t="str">
        <f ca="1">VLOOKUP($F144,OFFSET(enemy_skill_triggers!$A$1,0,0,COUNTA(enemy_skill_triggers!$A:$A),MATCH(K$1,enemy_skill_triggers!$1:$1,0)-MATCH($F$1,enemy_skill_triggers!$1:$1,0)+1),MATCH(K$1,enemy_skill_triggers!$1:$1,0)-MATCH($F$1,enemy_skill_triggers!$1:$1,0)+1,FALSE)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4" s="48">
        <f ca="1">VLOOKUP($F144,OFFSET(enemy_skill_triggers!$A$1,0,0,COUNTA(enemy_skill_triggers!$A:$A),MATCH(L$1,enemy_skill_triggers!$1:$1,0)-MATCH($F$1,enemy_skill_triggers!$1:$1,0)+1),MATCH(L$1,enemy_skill_triggers!$1:$1,0)-MATCH($F$1,enemy_skill_triggers!$1:$1,0)+1,FALSE)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4" s="48">
        <f ca="1">VLOOKUP($F144,OFFSET(enemy_skill_triggers!$A$1,0,0,COUNTA(enemy_skill_triggers!$A:$A),MATCH(M$1,enemy_skill_triggers!$1:$1,0)-MATCH($F$1,enemy_skill_triggers!$1:$1,0)+1),MATCH(M$1,enemy_skill_triggers!$1:$1,0)-MATCH($F$1,enemy_skill_triggers!$1:$1,0)+1,FALSE)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4" s="48">
        <f ca="1">VLOOKUP($F144,OFFSET(enemy_skill_triggers!$A$1,0,0,COUNTA(enemy_skill_triggers!$A:$A),MATCH(N$1,enemy_skill_triggers!$1:$1,0)-MATCH($F$1,enemy_skill_triggers!$1:$1,0)+1),MATCH(N$1,enemy_skill_triggers!$1:$1,0)-MATCH($F$1,enemy_skill_triggers!$1:$1,0)+1,FALSE)</f>
        <v>1570</v>
      </c>
      <c r="O144" s="48">
        <f ca="1">VLOOKUP($F144,OFFSET(enemy_skill_triggers!$A$1,0,0,COUNTA(enemy_skill_triggers!$A:$A),MATCH(O$1,enemy_skill_triggers!$1:$1,0)-MATCH($F$1,enemy_skill_triggers!$1:$1,0)+1),MATCH(O$1,enemy_skill_triggers!$1:$1,0)-MATCH($F$1,enemy_skill_triggers!$1:$1,0)+1,FALSE)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4" s="47"/>
      <c r="Q144" s="47"/>
      <c r="R144" s="47"/>
    </row>
    <row r="145" spans="1:18" ht="16" customHeight="1" x14ac:dyDescent="0.15">
      <c r="A145" s="39" t="str">
        <f t="shared" si="16"/>
        <v>49016600_49016607</v>
      </c>
      <c r="B145" s="123">
        <v>49016600</v>
      </c>
      <c r="C145" s="175">
        <v>49016607</v>
      </c>
      <c r="D145" s="46" t="str">
        <f ca="1">VLOOKUP($C145,OFFSET(enemy_skills!$A$1,0,0,COUNTA(enemy_skills!$A:$A),MATCH(D$1,enemy_skills!$1:$1,0)-MATCH("enemy_skill_id",enemy_skills!$1:$1,0)+1),MATCH(D$1,enemy_skills!$1:$1,0)-MATCH("enemy_skill_id",enemy_skills!$1:$1,0)+1,FALSE)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45" s="46" t="str">
        <f ca="1">VLOOKUP($C145,OFFSET(enemy_skills!$A$1,0,0,COUNTA(enemy_skills!$A:$A),MATCH(E$1,enemy_skills!$1:$1,0)-MATCH("enemy_skill_id",enemy_skills!$1:$1,0)+1),MATCH(E$1,enemy_skills!$1:$1,0)-MATCH("enemy_skill_id",enemy_skills!$1:$1,0)+1,FALSE)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5" s="175">
        <v>49016631</v>
      </c>
      <c r="G145" s="48">
        <f ca="1">VLOOKUP($F145,OFFSET(enemy_skill_triggers!$A$1,0,0,COUNTA(enemy_skill_triggers!$A:$A),MATCH(G$1,enemy_skill_triggers!$1:$1,0)-MATCH($F$1,enemy_skill_triggers!$1:$1,0)+1),MATCH(G$1,enemy_skill_triggers!$1:$1,0)-MATCH($F$1,enemy_skill_triggers!$1:$1,0)+1,FALSE)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5" s="48">
        <f ca="1">VLOOKUP($F145,OFFSET(enemy_skill_triggers!$A$1,0,0,COUNTA(enemy_skill_triggers!$A:$A),MATCH(H$1,enemy_skill_triggers!$1:$1,0)-MATCH($F$1,enemy_skill_triggers!$1:$1,0)+1),MATCH(H$1,enemy_skill_triggers!$1:$1,0)-MATCH($F$1,enemy_skill_triggers!$1:$1,0)+1,FALSE)</f>
        <v>821</v>
      </c>
      <c r="I145" s="48">
        <f ca="1">VLOOKUP($F145,OFFSET(enemy_skill_triggers!$A$1,0,0,COUNTA(enemy_skill_triggers!$A:$A),MATCH(I$1,enemy_skill_triggers!$1:$1,0)-MATCH($F$1,enemy_skill_triggers!$1:$1,0)+1),MATCH(I$1,enemy_skill_triggers!$1:$1,0)-MATCH($F$1,enemy_skill_triggers!$1:$1,0)+1,FALSE)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5" s="48" t="str">
        <f ca="1">VLOOKUP($F145,OFFSET(enemy_skill_triggers!$A$1,0,0,COUNTA(enemy_skill_triggers!$A:$A),MATCH(J$1,enemy_skill_triggers!$1:$1,0)-MATCH($F$1,enemy_skill_triggers!$1:$1,0)+1),MATCH(J$1,enemy_skill_triggers!$1:$1,0)-MATCH($F$1,enemy_skill_triggers!$1:$1,0)+1,FALSE)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5" s="48" t="str">
        <f ca="1">VLOOKUP($F145,OFFSET(enemy_skill_triggers!$A$1,0,0,COUNTA(enemy_skill_triggers!$A:$A),MATCH(K$1,enemy_skill_triggers!$1:$1,0)-MATCH($F$1,enemy_skill_triggers!$1:$1,0)+1),MATCH(K$1,enemy_skill_triggers!$1:$1,0)-MATCH($F$1,enemy_skill_triggers!$1:$1,0)+1,FALSE)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5" s="48">
        <f ca="1">VLOOKUP($F145,OFFSET(enemy_skill_triggers!$A$1,0,0,COUNTA(enemy_skill_triggers!$A:$A),MATCH(L$1,enemy_skill_triggers!$1:$1,0)-MATCH($F$1,enemy_skill_triggers!$1:$1,0)+1),MATCH(L$1,enemy_skill_triggers!$1:$1,0)-MATCH($F$1,enemy_skill_triggers!$1:$1,0)+1,FALSE)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5" s="48">
        <f ca="1">VLOOKUP($F145,OFFSET(enemy_skill_triggers!$A$1,0,0,COUNTA(enemy_skill_triggers!$A:$A),MATCH(M$1,enemy_skill_triggers!$1:$1,0)-MATCH($F$1,enemy_skill_triggers!$1:$1,0)+1),MATCH(M$1,enemy_skill_triggers!$1:$1,0)-MATCH($F$1,enemy_skill_triggers!$1:$1,0)+1,FALSE)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5" s="48">
        <f ca="1">VLOOKUP($F145,OFFSET(enemy_skill_triggers!$A$1,0,0,COUNTA(enemy_skill_triggers!$A:$A),MATCH(N$1,enemy_skill_triggers!$1:$1,0)-MATCH($F$1,enemy_skill_triggers!$1:$1,0)+1),MATCH(N$1,enemy_skill_triggers!$1:$1,0)-MATCH($F$1,enemy_skill_triggers!$1:$1,0)+1,FALSE)</f>
        <v>1571</v>
      </c>
      <c r="O145" s="48">
        <f ca="1">VLOOKUP($F145,OFFSET(enemy_skill_triggers!$A$1,0,0,COUNTA(enemy_skill_triggers!$A:$A),MATCH(O$1,enemy_skill_triggers!$1:$1,0)-MATCH($F$1,enemy_skill_triggers!$1:$1,0)+1),MATCH(O$1,enemy_skill_triggers!$1:$1,0)-MATCH($F$1,enemy_skill_triggers!$1:$1,0)+1,FALSE)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5" s="47"/>
      <c r="Q145" s="47"/>
      <c r="R145" s="47"/>
    </row>
    <row r="146" spans="1:18" ht="16" customHeight="1" x14ac:dyDescent="0.15">
      <c r="A146" s="39" t="str">
        <f t="shared" si="16"/>
        <v>49016600_49016607</v>
      </c>
      <c r="B146" s="123">
        <v>49016600</v>
      </c>
      <c r="C146" s="175">
        <v>49016607</v>
      </c>
      <c r="D146" s="46" t="str">
        <f ca="1">VLOOKUP($C146,OFFSET(enemy_skills!$A$1,0,0,COUNTA(enemy_skills!$A:$A),MATCH(D$1,enemy_skills!$1:$1,0)-MATCH("enemy_skill_id",enemy_skills!$1:$1,0)+1),MATCH(D$1,enemy_skills!$1:$1,0)-MATCH("enemy_skill_id",enemy_skills!$1:$1,0)+1,FALSE)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46" s="46" t="str">
        <f ca="1">VLOOKUP($C146,OFFSET(enemy_skills!$A$1,0,0,COUNTA(enemy_skills!$A:$A),MATCH(E$1,enemy_skills!$1:$1,0)-MATCH("enemy_skill_id",enemy_skills!$1:$1,0)+1),MATCH(E$1,enemy_skills!$1:$1,0)-MATCH("enemy_skill_id",enemy_skills!$1:$1,0)+1,FALSE)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6" s="175">
        <v>49016632</v>
      </c>
      <c r="G146" s="48">
        <f ca="1">VLOOKUP($F146,OFFSET(enemy_skill_triggers!$A$1,0,0,COUNTA(enemy_skill_triggers!$A:$A),MATCH(G$1,enemy_skill_triggers!$1:$1,0)-MATCH($F$1,enemy_skill_triggers!$1:$1,0)+1),MATCH(G$1,enemy_skill_triggers!$1:$1,0)-MATCH($F$1,enemy_skill_triggers!$1:$1,0)+1,FALSE)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6" s="48">
        <f ca="1">VLOOKUP($F146,OFFSET(enemy_skill_triggers!$A$1,0,0,COUNTA(enemy_skill_triggers!$A:$A),MATCH(H$1,enemy_skill_triggers!$1:$1,0)-MATCH($F$1,enemy_skill_triggers!$1:$1,0)+1),MATCH(H$1,enemy_skill_triggers!$1:$1,0)-MATCH($F$1,enemy_skill_triggers!$1:$1,0)+1,FALSE)</f>
        <v>822</v>
      </c>
      <c r="I146" s="48">
        <f ca="1">VLOOKUP($F146,OFFSET(enemy_skill_triggers!$A$1,0,0,COUNTA(enemy_skill_triggers!$A:$A),MATCH(I$1,enemy_skill_triggers!$1:$1,0)-MATCH($F$1,enemy_skill_triggers!$1:$1,0)+1),MATCH(I$1,enemy_skill_triggers!$1:$1,0)-MATCH($F$1,enemy_skill_triggers!$1:$1,0)+1,FALSE)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6" s="48" t="str">
        <f ca="1">VLOOKUP($F146,OFFSET(enemy_skill_triggers!$A$1,0,0,COUNTA(enemy_skill_triggers!$A:$A),MATCH(J$1,enemy_skill_triggers!$1:$1,0)-MATCH($F$1,enemy_skill_triggers!$1:$1,0)+1),MATCH(J$1,enemy_skill_triggers!$1:$1,0)-MATCH($F$1,enemy_skill_triggers!$1:$1,0)+1,FALSE)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6" s="48" t="str">
        <f ca="1">VLOOKUP($F146,OFFSET(enemy_skill_triggers!$A$1,0,0,COUNTA(enemy_skill_triggers!$A:$A),MATCH(K$1,enemy_skill_triggers!$1:$1,0)-MATCH($F$1,enemy_skill_triggers!$1:$1,0)+1),MATCH(K$1,enemy_skill_triggers!$1:$1,0)-MATCH($F$1,enemy_skill_triggers!$1:$1,0)+1,FALSE)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6" s="48">
        <f ca="1">VLOOKUP($F146,OFFSET(enemy_skill_triggers!$A$1,0,0,COUNTA(enemy_skill_triggers!$A:$A),MATCH(L$1,enemy_skill_triggers!$1:$1,0)-MATCH($F$1,enemy_skill_triggers!$1:$1,0)+1),MATCH(L$1,enemy_skill_triggers!$1:$1,0)-MATCH($F$1,enemy_skill_triggers!$1:$1,0)+1,FALSE)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6" s="48">
        <f ca="1">VLOOKUP($F146,OFFSET(enemy_skill_triggers!$A$1,0,0,COUNTA(enemy_skill_triggers!$A:$A),MATCH(M$1,enemy_skill_triggers!$1:$1,0)-MATCH($F$1,enemy_skill_triggers!$1:$1,0)+1),MATCH(M$1,enemy_skill_triggers!$1:$1,0)-MATCH($F$1,enemy_skill_triggers!$1:$1,0)+1,FALSE)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6" s="48">
        <f ca="1">VLOOKUP($F146,OFFSET(enemy_skill_triggers!$A$1,0,0,COUNTA(enemy_skill_triggers!$A:$A),MATCH(N$1,enemy_skill_triggers!$1:$1,0)-MATCH($F$1,enemy_skill_triggers!$1:$1,0)+1),MATCH(N$1,enemy_skill_triggers!$1:$1,0)-MATCH($F$1,enemy_skill_triggers!$1:$1,0)+1,FALSE)</f>
        <v>1572</v>
      </c>
      <c r="O146" s="48">
        <f ca="1">VLOOKUP($F146,OFFSET(enemy_skill_triggers!$A$1,0,0,COUNTA(enemy_skill_triggers!$A:$A),MATCH(O$1,enemy_skill_triggers!$1:$1,0)-MATCH($F$1,enemy_skill_triggers!$1:$1,0)+1),MATCH(O$1,enemy_skill_triggers!$1:$1,0)-MATCH($F$1,enemy_skill_triggers!$1:$1,0)+1,FALSE)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6" s="47"/>
      <c r="Q146" s="47"/>
      <c r="R146" s="47"/>
    </row>
    <row r="147" spans="1:18" ht="16" customHeight="1" x14ac:dyDescent="0.15">
      <c r="A147" s="39" t="str">
        <f t="shared" si="16"/>
        <v>49016600_49016607</v>
      </c>
      <c r="B147" s="123">
        <v>49016600</v>
      </c>
      <c r="C147" s="175">
        <v>49016607</v>
      </c>
      <c r="D147" s="46" t="str">
        <f ca="1">VLOOKUP($C147,OFFSET(enemy_skills!$A$1,0,0,COUNTA(enemy_skills!$A:$A),MATCH(D$1,enemy_skills!$1:$1,0)-MATCH("enemy_skill_id",enemy_skills!$1:$1,0)+1),MATCH(D$1,enemy_skills!$1:$1,0)-MATCH("enemy_skill_id",enemy_skills!$1:$1,0)+1,FALSE)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47" s="46" t="str">
        <f ca="1">VLOOKUP($C147,OFFSET(enemy_skills!$A$1,0,0,COUNTA(enemy_skills!$A:$A),MATCH(E$1,enemy_skills!$1:$1,0)-MATCH("enemy_skill_id",enemy_skills!$1:$1,0)+1),MATCH(E$1,enemy_skills!$1:$1,0)-MATCH("enemy_skill_id",enemy_skills!$1:$1,0)+1,FALSE)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7" s="175">
        <v>49016633</v>
      </c>
      <c r="G147" s="48">
        <f ca="1">VLOOKUP($F147,OFFSET(enemy_skill_triggers!$A$1,0,0,COUNTA(enemy_skill_triggers!$A:$A),MATCH(G$1,enemy_skill_triggers!$1:$1,0)-MATCH($F$1,enemy_skill_triggers!$1:$1,0)+1),MATCH(G$1,enemy_skill_triggers!$1:$1,0)-MATCH($F$1,enemy_skill_triggers!$1:$1,0)+1,FALSE)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7" s="48">
        <f ca="1">VLOOKUP($F147,OFFSET(enemy_skill_triggers!$A$1,0,0,COUNTA(enemy_skill_triggers!$A:$A),MATCH(H$1,enemy_skill_triggers!$1:$1,0)-MATCH($F$1,enemy_skill_triggers!$1:$1,0)+1),MATCH(H$1,enemy_skill_triggers!$1:$1,0)-MATCH($F$1,enemy_skill_triggers!$1:$1,0)+1,FALSE)</f>
        <v>823</v>
      </c>
      <c r="I147" s="48">
        <f ca="1">VLOOKUP($F147,OFFSET(enemy_skill_triggers!$A$1,0,0,COUNTA(enemy_skill_triggers!$A:$A),MATCH(I$1,enemy_skill_triggers!$1:$1,0)-MATCH($F$1,enemy_skill_triggers!$1:$1,0)+1),MATCH(I$1,enemy_skill_triggers!$1:$1,0)-MATCH($F$1,enemy_skill_triggers!$1:$1,0)+1,FALSE)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7" s="48" t="str">
        <f ca="1">VLOOKUP($F147,OFFSET(enemy_skill_triggers!$A$1,0,0,COUNTA(enemy_skill_triggers!$A:$A),MATCH(J$1,enemy_skill_triggers!$1:$1,0)-MATCH($F$1,enemy_skill_triggers!$1:$1,0)+1),MATCH(J$1,enemy_skill_triggers!$1:$1,0)-MATCH($F$1,enemy_skill_triggers!$1:$1,0)+1,FALSE)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7" s="48" t="str">
        <f ca="1">VLOOKUP($F147,OFFSET(enemy_skill_triggers!$A$1,0,0,COUNTA(enemy_skill_triggers!$A:$A),MATCH(K$1,enemy_skill_triggers!$1:$1,0)-MATCH($F$1,enemy_skill_triggers!$1:$1,0)+1),MATCH(K$1,enemy_skill_triggers!$1:$1,0)-MATCH($F$1,enemy_skill_triggers!$1:$1,0)+1,FALSE)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7" s="48">
        <f ca="1">VLOOKUP($F147,OFFSET(enemy_skill_triggers!$A$1,0,0,COUNTA(enemy_skill_triggers!$A:$A),MATCH(L$1,enemy_skill_triggers!$1:$1,0)-MATCH($F$1,enemy_skill_triggers!$1:$1,0)+1),MATCH(L$1,enemy_skill_triggers!$1:$1,0)-MATCH($F$1,enemy_skill_triggers!$1:$1,0)+1,FALSE)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7" s="48">
        <f ca="1">VLOOKUP($F147,OFFSET(enemy_skill_triggers!$A$1,0,0,COUNTA(enemy_skill_triggers!$A:$A),MATCH(M$1,enemy_skill_triggers!$1:$1,0)-MATCH($F$1,enemy_skill_triggers!$1:$1,0)+1),MATCH(M$1,enemy_skill_triggers!$1:$1,0)-MATCH($F$1,enemy_skill_triggers!$1:$1,0)+1,FALSE)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7" s="48">
        <f ca="1">VLOOKUP($F147,OFFSET(enemy_skill_triggers!$A$1,0,0,COUNTA(enemy_skill_triggers!$A:$A),MATCH(N$1,enemy_skill_triggers!$1:$1,0)-MATCH($F$1,enemy_skill_triggers!$1:$1,0)+1),MATCH(N$1,enemy_skill_triggers!$1:$1,0)-MATCH($F$1,enemy_skill_triggers!$1:$1,0)+1,FALSE)</f>
        <v>1573</v>
      </c>
      <c r="O147" s="48">
        <f ca="1">VLOOKUP($F147,OFFSET(enemy_skill_triggers!$A$1,0,0,COUNTA(enemy_skill_triggers!$A:$A),MATCH(O$1,enemy_skill_triggers!$1:$1,0)-MATCH($F$1,enemy_skill_triggers!$1:$1,0)+1),MATCH(O$1,enemy_skill_triggers!$1:$1,0)-MATCH($F$1,enemy_skill_triggers!$1:$1,0)+1,FALSE)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7" s="47"/>
      <c r="Q147" s="47"/>
      <c r="R147" s="47"/>
    </row>
    <row r="148" spans="1:18" ht="16" customHeight="1" x14ac:dyDescent="0.15">
      <c r="A148" s="39" t="str">
        <f t="shared" si="16"/>
        <v>49016600_49016607</v>
      </c>
      <c r="B148" s="123">
        <v>49016600</v>
      </c>
      <c r="C148" s="175">
        <v>49016607</v>
      </c>
      <c r="D148" s="46" t="str">
        <f ca="1">VLOOKUP($C148,OFFSET(enemy_skills!$A$1,0,0,COUNTA(enemy_skills!$A:$A),MATCH(D$1,enemy_skills!$1:$1,0)-MATCH("enemy_skill_id",enemy_skills!$1:$1,0)+1),MATCH(D$1,enemy_skills!$1:$1,0)-MATCH("enemy_skill_id",enemy_skills!$1:$1,0)+1,FALSE)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48" s="46" t="str">
        <f ca="1">VLOOKUP($C148,OFFSET(enemy_skills!$A$1,0,0,COUNTA(enemy_skills!$A:$A),MATCH(E$1,enemy_skills!$1:$1,0)-MATCH("enemy_skill_id",enemy_skills!$1:$1,0)+1),MATCH(E$1,enemy_skills!$1:$1,0)-MATCH("enemy_skill_id",enemy_skills!$1:$1,0)+1,FALSE)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8" s="175">
        <v>49016634</v>
      </c>
      <c r="G148" s="48">
        <f ca="1">VLOOKUP($F148,OFFSET(enemy_skill_triggers!$A$1,0,0,COUNTA(enemy_skill_triggers!$A:$A),MATCH(G$1,enemy_skill_triggers!$1:$1,0)-MATCH($F$1,enemy_skill_triggers!$1:$1,0)+1),MATCH(G$1,enemy_skill_triggers!$1:$1,0)-MATCH($F$1,enemy_skill_triggers!$1:$1,0)+1,FALSE)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8" s="48">
        <f ca="1">VLOOKUP($F148,OFFSET(enemy_skill_triggers!$A$1,0,0,COUNTA(enemy_skill_triggers!$A:$A),MATCH(H$1,enemy_skill_triggers!$1:$1,0)-MATCH($F$1,enemy_skill_triggers!$1:$1,0)+1),MATCH(H$1,enemy_skill_triggers!$1:$1,0)-MATCH($F$1,enemy_skill_triggers!$1:$1,0)+1,FALSE)</f>
        <v>824</v>
      </c>
      <c r="I148" s="48">
        <f ca="1">VLOOKUP($F148,OFFSET(enemy_skill_triggers!$A$1,0,0,COUNTA(enemy_skill_triggers!$A:$A),MATCH(I$1,enemy_skill_triggers!$1:$1,0)-MATCH($F$1,enemy_skill_triggers!$1:$1,0)+1),MATCH(I$1,enemy_skill_triggers!$1:$1,0)-MATCH($F$1,enemy_skill_triggers!$1:$1,0)+1,FALSE)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8" s="48" t="str">
        <f ca="1">VLOOKUP($F148,OFFSET(enemy_skill_triggers!$A$1,0,0,COUNTA(enemy_skill_triggers!$A:$A),MATCH(J$1,enemy_skill_triggers!$1:$1,0)-MATCH($F$1,enemy_skill_triggers!$1:$1,0)+1),MATCH(J$1,enemy_skill_triggers!$1:$1,0)-MATCH($F$1,enemy_skill_triggers!$1:$1,0)+1,FALSE)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8" s="48" t="str">
        <f ca="1">VLOOKUP($F148,OFFSET(enemy_skill_triggers!$A$1,0,0,COUNTA(enemy_skill_triggers!$A:$A),MATCH(K$1,enemy_skill_triggers!$1:$1,0)-MATCH($F$1,enemy_skill_triggers!$1:$1,0)+1),MATCH(K$1,enemy_skill_triggers!$1:$1,0)-MATCH($F$1,enemy_skill_triggers!$1:$1,0)+1,FALSE)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8" s="48">
        <f ca="1">VLOOKUP($F148,OFFSET(enemy_skill_triggers!$A$1,0,0,COUNTA(enemy_skill_triggers!$A:$A),MATCH(L$1,enemy_skill_triggers!$1:$1,0)-MATCH($F$1,enemy_skill_triggers!$1:$1,0)+1),MATCH(L$1,enemy_skill_triggers!$1:$1,0)-MATCH($F$1,enemy_skill_triggers!$1:$1,0)+1,FALSE)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8" s="48">
        <f ca="1">VLOOKUP($F148,OFFSET(enemy_skill_triggers!$A$1,0,0,COUNTA(enemy_skill_triggers!$A:$A),MATCH(M$1,enemy_skill_triggers!$1:$1,0)-MATCH($F$1,enemy_skill_triggers!$1:$1,0)+1),MATCH(M$1,enemy_skill_triggers!$1:$1,0)-MATCH($F$1,enemy_skill_triggers!$1:$1,0)+1,FALSE)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8" s="48">
        <f ca="1">VLOOKUP($F148,OFFSET(enemy_skill_triggers!$A$1,0,0,COUNTA(enemy_skill_triggers!$A:$A),MATCH(N$1,enemy_skill_triggers!$1:$1,0)-MATCH($F$1,enemy_skill_triggers!$1:$1,0)+1),MATCH(N$1,enemy_skill_triggers!$1:$1,0)-MATCH($F$1,enemy_skill_triggers!$1:$1,0)+1,FALSE)</f>
        <v>1574</v>
      </c>
      <c r="O148" s="48">
        <f ca="1">VLOOKUP($F148,OFFSET(enemy_skill_triggers!$A$1,0,0,COUNTA(enemy_skill_triggers!$A:$A),MATCH(O$1,enemy_skill_triggers!$1:$1,0)-MATCH($F$1,enemy_skill_triggers!$1:$1,0)+1),MATCH(O$1,enemy_skill_triggers!$1:$1,0)-MATCH($F$1,enemy_skill_triggers!$1:$1,0)+1,FALSE)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8" s="47"/>
      <c r="Q148" s="47"/>
      <c r="R148" s="47"/>
    </row>
    <row r="149" spans="1:18" ht="16" customHeight="1" x14ac:dyDescent="0.15">
      <c r="A149" s="39" t="str">
        <f t="shared" si="16"/>
        <v>49016600_49016607</v>
      </c>
      <c r="B149" s="123">
        <v>49016600</v>
      </c>
      <c r="C149" s="175">
        <v>49016607</v>
      </c>
      <c r="D149" s="46" t="str">
        <f ca="1">VLOOKUP($C149,OFFSET(enemy_skills!$A$1,0,0,COUNTA(enemy_skills!$A:$A),MATCH(D$1,enemy_skills!$1:$1,0)-MATCH("enemy_skill_id",enemy_skills!$1:$1,0)+1),MATCH(D$1,enemy_skills!$1:$1,0)-MATCH("enemy_skill_id",enemy_skills!$1:$1,0)+1,FALSE)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49" s="46" t="str">
        <f ca="1">VLOOKUP($C149,OFFSET(enemy_skills!$A$1,0,0,COUNTA(enemy_skills!$A:$A),MATCH(E$1,enemy_skills!$1:$1,0)-MATCH("enemy_skill_id",enemy_skills!$1:$1,0)+1),MATCH(E$1,enemy_skills!$1:$1,0)-MATCH("enemy_skill_id",enemy_skills!$1:$1,0)+1,FALSE)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49" s="175">
        <v>49016635</v>
      </c>
      <c r="G149" s="48">
        <f ca="1">VLOOKUP($F149,OFFSET(enemy_skill_triggers!$A$1,0,0,COUNTA(enemy_skill_triggers!$A:$A),MATCH(G$1,enemy_skill_triggers!$1:$1,0)-MATCH($F$1,enemy_skill_triggers!$1:$1,0)+1),MATCH(G$1,enemy_skill_triggers!$1:$1,0)-MATCH($F$1,enemy_skill_triggers!$1:$1,0)+1,FALSE)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9" s="48">
        <f ca="1">VLOOKUP($F149,OFFSET(enemy_skill_triggers!$A$1,0,0,COUNTA(enemy_skill_triggers!$A:$A),MATCH(H$1,enemy_skill_triggers!$1:$1,0)-MATCH($F$1,enemy_skill_triggers!$1:$1,0)+1),MATCH(H$1,enemy_skill_triggers!$1:$1,0)-MATCH($F$1,enemy_skill_triggers!$1:$1,0)+1,FALSE)</f>
        <v>825</v>
      </c>
      <c r="I149" s="48">
        <f ca="1">VLOOKUP($F149,OFFSET(enemy_skill_triggers!$A$1,0,0,COUNTA(enemy_skill_triggers!$A:$A),MATCH(I$1,enemy_skill_triggers!$1:$1,0)-MATCH($F$1,enemy_skill_triggers!$1:$1,0)+1),MATCH(I$1,enemy_skill_triggers!$1:$1,0)-MATCH($F$1,enemy_skill_triggers!$1:$1,0)+1,FALSE)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9" s="48" t="str">
        <f ca="1">VLOOKUP($F149,OFFSET(enemy_skill_triggers!$A$1,0,0,COUNTA(enemy_skill_triggers!$A:$A),MATCH(J$1,enemy_skill_triggers!$1:$1,0)-MATCH($F$1,enemy_skill_triggers!$1:$1,0)+1),MATCH(J$1,enemy_skill_triggers!$1:$1,0)-MATCH($F$1,enemy_skill_triggers!$1:$1,0)+1,FALSE)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9" s="48" t="str">
        <f ca="1">VLOOKUP($F149,OFFSET(enemy_skill_triggers!$A$1,0,0,COUNTA(enemy_skill_triggers!$A:$A),MATCH(K$1,enemy_skill_triggers!$1:$1,0)-MATCH($F$1,enemy_skill_triggers!$1:$1,0)+1),MATCH(K$1,enemy_skill_triggers!$1:$1,0)-MATCH($F$1,enemy_skill_triggers!$1:$1,0)+1,FALSE)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9" s="48">
        <f ca="1">VLOOKUP($F149,OFFSET(enemy_skill_triggers!$A$1,0,0,COUNTA(enemy_skill_triggers!$A:$A),MATCH(L$1,enemy_skill_triggers!$1:$1,0)-MATCH($F$1,enemy_skill_triggers!$1:$1,0)+1),MATCH(L$1,enemy_skill_triggers!$1:$1,0)-MATCH($F$1,enemy_skill_triggers!$1:$1,0)+1,FALSE)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49" s="48">
        <f ca="1">VLOOKUP($F149,OFFSET(enemy_skill_triggers!$A$1,0,0,COUNTA(enemy_skill_triggers!$A:$A),MATCH(M$1,enemy_skill_triggers!$1:$1,0)-MATCH($F$1,enemy_skill_triggers!$1:$1,0)+1),MATCH(M$1,enemy_skill_triggers!$1:$1,0)-MATCH($F$1,enemy_skill_triggers!$1:$1,0)+1,FALSE)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49" s="48">
        <f ca="1">VLOOKUP($F149,OFFSET(enemy_skill_triggers!$A$1,0,0,COUNTA(enemy_skill_triggers!$A:$A),MATCH(N$1,enemy_skill_triggers!$1:$1,0)-MATCH($F$1,enemy_skill_triggers!$1:$1,0)+1),MATCH(N$1,enemy_skill_triggers!$1:$1,0)-MATCH($F$1,enemy_skill_triggers!$1:$1,0)+1,FALSE)</f>
        <v>1575</v>
      </c>
      <c r="O149" s="48">
        <f ca="1">VLOOKUP($F149,OFFSET(enemy_skill_triggers!$A$1,0,0,COUNTA(enemy_skill_triggers!$A:$A),MATCH(O$1,enemy_skill_triggers!$1:$1,0)-MATCH($F$1,enemy_skill_triggers!$1:$1,0)+1),MATCH(O$1,enemy_skill_triggers!$1:$1,0)-MATCH($F$1,enemy_skill_triggers!$1:$1,0)+1,FALSE)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9" s="47"/>
      <c r="Q149" s="47"/>
      <c r="R149" s="47"/>
    </row>
    <row r="150" spans="1:18" ht="16" customHeight="1" x14ac:dyDescent="0.15">
      <c r="A150" s="39" t="str">
        <f t="shared" si="16"/>
        <v>49016600_49016607</v>
      </c>
      <c r="B150" s="123">
        <v>49016600</v>
      </c>
      <c r="C150" s="175">
        <v>49016607</v>
      </c>
      <c r="D150" s="46" t="str">
        <f ca="1">VLOOKUP($C150,OFFSET(enemy_skills!$A$1,0,0,COUNTA(enemy_skills!$A:$A),MATCH(D$1,enemy_skills!$1:$1,0)-MATCH("enemy_skill_id",enemy_skills!$1:$1,0)+1),MATCH(D$1,enemy_skills!$1:$1,0)-MATCH("enemy_skill_id",enemy_skills!$1:$1,0)+1,FALSE)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50" s="46" t="str">
        <f ca="1">VLOOKUP($C150,OFFSET(enemy_skills!$A$1,0,0,COUNTA(enemy_skills!$A:$A),MATCH(E$1,enemy_skills!$1:$1,0)-MATCH("enemy_skill_id",enemy_skills!$1:$1,0)+1),MATCH(E$1,enemy_skills!$1:$1,0)-MATCH("enemy_skill_id",enemy_skills!$1:$1,0)+1,FALSE)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0" s="175">
        <v>49016636</v>
      </c>
      <c r="G150" s="48">
        <f ca="1">VLOOKUP($F150,OFFSET(enemy_skill_triggers!$A$1,0,0,COUNTA(enemy_skill_triggers!$A:$A),MATCH(G$1,enemy_skill_triggers!$1:$1,0)-MATCH($F$1,enemy_skill_triggers!$1:$1,0)+1),MATCH(G$1,enemy_skill_triggers!$1:$1,0)-MATCH($F$1,enemy_skill_triggers!$1:$1,0)+1,FALSE)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0" s="48">
        <f ca="1">VLOOKUP($F150,OFFSET(enemy_skill_triggers!$A$1,0,0,COUNTA(enemy_skill_triggers!$A:$A),MATCH(H$1,enemy_skill_triggers!$1:$1,0)-MATCH($F$1,enemy_skill_triggers!$1:$1,0)+1),MATCH(H$1,enemy_skill_triggers!$1:$1,0)-MATCH($F$1,enemy_skill_triggers!$1:$1,0)+1,FALSE)</f>
        <v>826</v>
      </c>
      <c r="I150" s="48">
        <f ca="1">VLOOKUP($F150,OFFSET(enemy_skill_triggers!$A$1,0,0,COUNTA(enemy_skill_triggers!$A:$A),MATCH(I$1,enemy_skill_triggers!$1:$1,0)-MATCH($F$1,enemy_skill_triggers!$1:$1,0)+1),MATCH(I$1,enemy_skill_triggers!$1:$1,0)-MATCH($F$1,enemy_skill_triggers!$1:$1,0)+1,FALSE)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0" s="48" t="str">
        <f ca="1">VLOOKUP($F150,OFFSET(enemy_skill_triggers!$A$1,0,0,COUNTA(enemy_skill_triggers!$A:$A),MATCH(J$1,enemy_skill_triggers!$1:$1,0)-MATCH($F$1,enemy_skill_triggers!$1:$1,0)+1),MATCH(J$1,enemy_skill_triggers!$1:$1,0)-MATCH($F$1,enemy_skill_triggers!$1:$1,0)+1,FALSE)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0" s="48" t="str">
        <f ca="1">VLOOKUP($F150,OFFSET(enemy_skill_triggers!$A$1,0,0,COUNTA(enemy_skill_triggers!$A:$A),MATCH(K$1,enemy_skill_triggers!$1:$1,0)-MATCH($F$1,enemy_skill_triggers!$1:$1,0)+1),MATCH(K$1,enemy_skill_triggers!$1:$1,0)-MATCH($F$1,enemy_skill_triggers!$1:$1,0)+1,FALSE)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0" s="48">
        <f ca="1">VLOOKUP($F150,OFFSET(enemy_skill_triggers!$A$1,0,0,COUNTA(enemy_skill_triggers!$A:$A),MATCH(L$1,enemy_skill_triggers!$1:$1,0)-MATCH($F$1,enemy_skill_triggers!$1:$1,0)+1),MATCH(L$1,enemy_skill_triggers!$1:$1,0)-MATCH($F$1,enemy_skill_triggers!$1:$1,0)+1,FALSE)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0" s="48">
        <f ca="1">VLOOKUP($F150,OFFSET(enemy_skill_triggers!$A$1,0,0,COUNTA(enemy_skill_triggers!$A:$A),MATCH(M$1,enemy_skill_triggers!$1:$1,0)-MATCH($F$1,enemy_skill_triggers!$1:$1,0)+1),MATCH(M$1,enemy_skill_triggers!$1:$1,0)-MATCH($F$1,enemy_skill_triggers!$1:$1,0)+1,FALSE)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0" s="48">
        <f ca="1">VLOOKUP($F150,OFFSET(enemy_skill_triggers!$A$1,0,0,COUNTA(enemy_skill_triggers!$A:$A),MATCH(N$1,enemy_skill_triggers!$1:$1,0)-MATCH($F$1,enemy_skill_triggers!$1:$1,0)+1),MATCH(N$1,enemy_skill_triggers!$1:$1,0)-MATCH($F$1,enemy_skill_triggers!$1:$1,0)+1,FALSE)</f>
        <v>1576</v>
      </c>
      <c r="O150" s="48">
        <f ca="1">VLOOKUP($F150,OFFSET(enemy_skill_triggers!$A$1,0,0,COUNTA(enemy_skill_triggers!$A:$A),MATCH(O$1,enemy_skill_triggers!$1:$1,0)-MATCH($F$1,enemy_skill_triggers!$1:$1,0)+1),MATCH(O$1,enemy_skill_triggers!$1:$1,0)-MATCH($F$1,enemy_skill_triggers!$1:$1,0)+1,FALSE)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0" s="47"/>
      <c r="Q150" s="47"/>
      <c r="R150" s="47"/>
    </row>
    <row r="151" spans="1:18" ht="16" customHeight="1" x14ac:dyDescent="0.15">
      <c r="A151" s="39" t="str">
        <f t="shared" si="16"/>
        <v>49016600_49016607</v>
      </c>
      <c r="B151" s="123">
        <v>49016600</v>
      </c>
      <c r="C151" s="175">
        <v>49016607</v>
      </c>
      <c r="D151" s="46" t="str">
        <f ca="1">VLOOKUP($C151,OFFSET(enemy_skills!$A$1,0,0,COUNTA(enemy_skills!$A:$A),MATCH(D$1,enemy_skills!$1:$1,0)-MATCH("enemy_skill_id",enemy_skills!$1:$1,0)+1),MATCH(D$1,enemy_skills!$1:$1,0)-MATCH("enemy_skill_id",enemy_skills!$1:$1,0)+1,FALSE)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51" s="46" t="str">
        <f ca="1">VLOOKUP($C151,OFFSET(enemy_skills!$A$1,0,0,COUNTA(enemy_skills!$A:$A),MATCH(E$1,enemy_skills!$1:$1,0)-MATCH("enemy_skill_id",enemy_skills!$1:$1,0)+1),MATCH(E$1,enemy_skills!$1:$1,0)-MATCH("enemy_skill_id",enemy_skills!$1:$1,0)+1,FALSE)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1" s="175">
        <v>49016637</v>
      </c>
      <c r="G151" s="48">
        <f ca="1">VLOOKUP($F151,OFFSET(enemy_skill_triggers!$A$1,0,0,COUNTA(enemy_skill_triggers!$A:$A),MATCH(G$1,enemy_skill_triggers!$1:$1,0)-MATCH($F$1,enemy_skill_triggers!$1:$1,0)+1),MATCH(G$1,enemy_skill_triggers!$1:$1,0)-MATCH($F$1,enemy_skill_triggers!$1:$1,0)+1,FALSE)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1" s="48">
        <f ca="1">VLOOKUP($F151,OFFSET(enemy_skill_triggers!$A$1,0,0,COUNTA(enemy_skill_triggers!$A:$A),MATCH(H$1,enemy_skill_triggers!$1:$1,0)-MATCH($F$1,enemy_skill_triggers!$1:$1,0)+1),MATCH(H$1,enemy_skill_triggers!$1:$1,0)-MATCH($F$1,enemy_skill_triggers!$1:$1,0)+1,FALSE)</f>
        <v>827</v>
      </c>
      <c r="I151" s="48">
        <f ca="1">VLOOKUP($F151,OFFSET(enemy_skill_triggers!$A$1,0,0,COUNTA(enemy_skill_triggers!$A:$A),MATCH(I$1,enemy_skill_triggers!$1:$1,0)-MATCH($F$1,enemy_skill_triggers!$1:$1,0)+1),MATCH(I$1,enemy_skill_triggers!$1:$1,0)-MATCH($F$1,enemy_skill_triggers!$1:$1,0)+1,FALSE)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1" s="48" t="str">
        <f ca="1">VLOOKUP($F151,OFFSET(enemy_skill_triggers!$A$1,0,0,COUNTA(enemy_skill_triggers!$A:$A),MATCH(J$1,enemy_skill_triggers!$1:$1,0)-MATCH($F$1,enemy_skill_triggers!$1:$1,0)+1),MATCH(J$1,enemy_skill_triggers!$1:$1,0)-MATCH($F$1,enemy_skill_triggers!$1:$1,0)+1,FALSE)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1" s="48" t="str">
        <f ca="1">VLOOKUP($F151,OFFSET(enemy_skill_triggers!$A$1,0,0,COUNTA(enemy_skill_triggers!$A:$A),MATCH(K$1,enemy_skill_triggers!$1:$1,0)-MATCH($F$1,enemy_skill_triggers!$1:$1,0)+1),MATCH(K$1,enemy_skill_triggers!$1:$1,0)-MATCH($F$1,enemy_skill_triggers!$1:$1,0)+1,FALSE)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1" s="48">
        <f ca="1">VLOOKUP($F151,OFFSET(enemy_skill_triggers!$A$1,0,0,COUNTA(enemy_skill_triggers!$A:$A),MATCH(L$1,enemy_skill_triggers!$1:$1,0)-MATCH($F$1,enemy_skill_triggers!$1:$1,0)+1),MATCH(L$1,enemy_skill_triggers!$1:$1,0)-MATCH($F$1,enemy_skill_triggers!$1:$1,0)+1,FALSE)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1" s="48">
        <f ca="1">VLOOKUP($F151,OFFSET(enemy_skill_triggers!$A$1,0,0,COUNTA(enemy_skill_triggers!$A:$A),MATCH(M$1,enemy_skill_triggers!$1:$1,0)-MATCH($F$1,enemy_skill_triggers!$1:$1,0)+1),MATCH(M$1,enemy_skill_triggers!$1:$1,0)-MATCH($F$1,enemy_skill_triggers!$1:$1,0)+1,FALSE)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1" s="48">
        <f ca="1">VLOOKUP($F151,OFFSET(enemy_skill_triggers!$A$1,0,0,COUNTA(enemy_skill_triggers!$A:$A),MATCH(N$1,enemy_skill_triggers!$1:$1,0)-MATCH($F$1,enemy_skill_triggers!$1:$1,0)+1),MATCH(N$1,enemy_skill_triggers!$1:$1,0)-MATCH($F$1,enemy_skill_triggers!$1:$1,0)+1,FALSE)</f>
        <v>1577</v>
      </c>
      <c r="O151" s="48">
        <f ca="1">VLOOKUP($F151,OFFSET(enemy_skill_triggers!$A$1,0,0,COUNTA(enemy_skill_triggers!$A:$A),MATCH(O$1,enemy_skill_triggers!$1:$1,0)-MATCH($F$1,enemy_skill_triggers!$1:$1,0)+1),MATCH(O$1,enemy_skill_triggers!$1:$1,0)-MATCH($F$1,enemy_skill_triggers!$1:$1,0)+1,FALSE)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1" s="47"/>
      <c r="Q151" s="47"/>
      <c r="R151" s="47"/>
    </row>
    <row r="152" spans="1:18" ht="16" customHeight="1" x14ac:dyDescent="0.15">
      <c r="A152" s="39" t="str">
        <f t="shared" si="16"/>
        <v>49016600_49016607</v>
      </c>
      <c r="B152" s="123">
        <v>49016600</v>
      </c>
      <c r="C152" s="175">
        <v>49016607</v>
      </c>
      <c r="D152" s="46" t="str">
        <f ca="1">VLOOKUP($C152,OFFSET(enemy_skills!$A$1,0,0,COUNTA(enemy_skills!$A:$A),MATCH(D$1,enemy_skills!$1:$1,0)-MATCH("enemy_skill_id",enemy_skills!$1:$1,0)+1),MATCH(D$1,enemy_skills!$1:$1,0)-MATCH("enemy_skill_id",enemy_skills!$1:$1,0)+1,FALSE)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52" s="46" t="str">
        <f ca="1">VLOOKUP($C152,OFFSET(enemy_skills!$A$1,0,0,COUNTA(enemy_skills!$A:$A),MATCH(E$1,enemy_skills!$1:$1,0)-MATCH("enemy_skill_id",enemy_skills!$1:$1,0)+1),MATCH(E$1,enemy_skills!$1:$1,0)-MATCH("enemy_skill_id",enemy_skills!$1:$1,0)+1,FALSE)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2" s="175">
        <v>49016638</v>
      </c>
      <c r="G152" s="48">
        <f ca="1">VLOOKUP($F152,OFFSET(enemy_skill_triggers!$A$1,0,0,COUNTA(enemy_skill_triggers!$A:$A),MATCH(G$1,enemy_skill_triggers!$1:$1,0)-MATCH($F$1,enemy_skill_triggers!$1:$1,0)+1),MATCH(G$1,enemy_skill_triggers!$1:$1,0)-MATCH($F$1,enemy_skill_triggers!$1:$1,0)+1,FALSE)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2" s="48">
        <f ca="1">VLOOKUP($F152,OFFSET(enemy_skill_triggers!$A$1,0,0,COUNTA(enemy_skill_triggers!$A:$A),MATCH(H$1,enemy_skill_triggers!$1:$1,0)-MATCH($F$1,enemy_skill_triggers!$1:$1,0)+1),MATCH(H$1,enemy_skill_triggers!$1:$1,0)-MATCH($F$1,enemy_skill_triggers!$1:$1,0)+1,FALSE)</f>
        <v>828</v>
      </c>
      <c r="I152" s="48">
        <f ca="1">VLOOKUP($F152,OFFSET(enemy_skill_triggers!$A$1,0,0,COUNTA(enemy_skill_triggers!$A:$A),MATCH(I$1,enemy_skill_triggers!$1:$1,0)-MATCH($F$1,enemy_skill_triggers!$1:$1,0)+1),MATCH(I$1,enemy_skill_triggers!$1:$1,0)-MATCH($F$1,enemy_skill_triggers!$1:$1,0)+1,FALSE)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2" s="48" t="str">
        <f ca="1">VLOOKUP($F152,OFFSET(enemy_skill_triggers!$A$1,0,0,COUNTA(enemy_skill_triggers!$A:$A),MATCH(J$1,enemy_skill_triggers!$1:$1,0)-MATCH($F$1,enemy_skill_triggers!$1:$1,0)+1),MATCH(J$1,enemy_skill_triggers!$1:$1,0)-MATCH($F$1,enemy_skill_triggers!$1:$1,0)+1,FALSE)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2" s="48" t="str">
        <f ca="1">VLOOKUP($F152,OFFSET(enemy_skill_triggers!$A$1,0,0,COUNTA(enemy_skill_triggers!$A:$A),MATCH(K$1,enemy_skill_triggers!$1:$1,0)-MATCH($F$1,enemy_skill_triggers!$1:$1,0)+1),MATCH(K$1,enemy_skill_triggers!$1:$1,0)-MATCH($F$1,enemy_skill_triggers!$1:$1,0)+1,FALSE)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2" s="48">
        <f ca="1">VLOOKUP($F152,OFFSET(enemy_skill_triggers!$A$1,0,0,COUNTA(enemy_skill_triggers!$A:$A),MATCH(L$1,enemy_skill_triggers!$1:$1,0)-MATCH($F$1,enemy_skill_triggers!$1:$1,0)+1),MATCH(L$1,enemy_skill_triggers!$1:$1,0)-MATCH($F$1,enemy_skill_triggers!$1:$1,0)+1,FALSE)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2" s="48">
        <f ca="1">VLOOKUP($F152,OFFSET(enemy_skill_triggers!$A$1,0,0,COUNTA(enemy_skill_triggers!$A:$A),MATCH(M$1,enemy_skill_triggers!$1:$1,0)-MATCH($F$1,enemy_skill_triggers!$1:$1,0)+1),MATCH(M$1,enemy_skill_triggers!$1:$1,0)-MATCH($F$1,enemy_skill_triggers!$1:$1,0)+1,FALSE)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2" s="48">
        <f ca="1">VLOOKUP($F152,OFFSET(enemy_skill_triggers!$A$1,0,0,COUNTA(enemy_skill_triggers!$A:$A),MATCH(N$1,enemy_skill_triggers!$1:$1,0)-MATCH($F$1,enemy_skill_triggers!$1:$1,0)+1),MATCH(N$1,enemy_skill_triggers!$1:$1,0)-MATCH($F$1,enemy_skill_triggers!$1:$1,0)+1,FALSE)</f>
        <v>1578</v>
      </c>
      <c r="O152" s="48">
        <f ca="1">VLOOKUP($F152,OFFSET(enemy_skill_triggers!$A$1,0,0,COUNTA(enemy_skill_triggers!$A:$A),MATCH(O$1,enemy_skill_triggers!$1:$1,0)-MATCH($F$1,enemy_skill_triggers!$1:$1,0)+1),MATCH(O$1,enemy_skill_triggers!$1:$1,0)-MATCH($F$1,enemy_skill_triggers!$1:$1,0)+1,FALSE)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2" s="47"/>
      <c r="Q152" s="47"/>
      <c r="R152" s="47"/>
    </row>
    <row r="153" spans="1:18" ht="16" customHeight="1" x14ac:dyDescent="0.15">
      <c r="A153" s="39" t="str">
        <f t="shared" si="16"/>
        <v>49016600_49016607</v>
      </c>
      <c r="B153" s="123">
        <v>49016600</v>
      </c>
      <c r="C153" s="175">
        <v>49016607</v>
      </c>
      <c r="D153" s="46" t="str">
        <f ca="1">VLOOKUP($C153,OFFSET(enemy_skills!$A$1,0,0,COUNTA(enemy_skills!$A:$A),MATCH(D$1,enemy_skills!$1:$1,0)-MATCH("enemy_skill_id",enemy_skills!$1:$1,0)+1),MATCH(D$1,enemy_skills!$1:$1,0)-MATCH("enemy_skill_id",enemy_skills!$1:$1,0)+1,FALSE)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53" s="46" t="str">
        <f ca="1">VLOOKUP($C153,OFFSET(enemy_skills!$A$1,0,0,COUNTA(enemy_skills!$A:$A),MATCH(E$1,enemy_skills!$1:$1,0)-MATCH("enemy_skill_id",enemy_skills!$1:$1,0)+1),MATCH(E$1,enemy_skills!$1:$1,0)-MATCH("enemy_skill_id",enemy_skills!$1:$1,0)+1,FALSE)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3" s="175">
        <v>49016639</v>
      </c>
      <c r="G153" s="48">
        <f ca="1">VLOOKUP($F153,OFFSET(enemy_skill_triggers!$A$1,0,0,COUNTA(enemy_skill_triggers!$A:$A),MATCH(G$1,enemy_skill_triggers!$1:$1,0)-MATCH($F$1,enemy_skill_triggers!$1:$1,0)+1),MATCH(G$1,enemy_skill_triggers!$1:$1,0)-MATCH($F$1,enemy_skill_triggers!$1:$1,0)+1,FALSE)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3" s="48">
        <f ca="1">VLOOKUP($F153,OFFSET(enemy_skill_triggers!$A$1,0,0,COUNTA(enemy_skill_triggers!$A:$A),MATCH(H$1,enemy_skill_triggers!$1:$1,0)-MATCH($F$1,enemy_skill_triggers!$1:$1,0)+1),MATCH(H$1,enemy_skill_triggers!$1:$1,0)-MATCH($F$1,enemy_skill_triggers!$1:$1,0)+1,FALSE)</f>
        <v>829</v>
      </c>
      <c r="I153" s="48">
        <f ca="1">VLOOKUP($F153,OFFSET(enemy_skill_triggers!$A$1,0,0,COUNTA(enemy_skill_triggers!$A:$A),MATCH(I$1,enemy_skill_triggers!$1:$1,0)-MATCH($F$1,enemy_skill_triggers!$1:$1,0)+1),MATCH(I$1,enemy_skill_triggers!$1:$1,0)-MATCH($F$1,enemy_skill_triggers!$1:$1,0)+1,FALSE)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3" s="48" t="str">
        <f ca="1">VLOOKUP($F153,OFFSET(enemy_skill_triggers!$A$1,0,0,COUNTA(enemy_skill_triggers!$A:$A),MATCH(J$1,enemy_skill_triggers!$1:$1,0)-MATCH($F$1,enemy_skill_triggers!$1:$1,0)+1),MATCH(J$1,enemy_skill_triggers!$1:$1,0)-MATCH($F$1,enemy_skill_triggers!$1:$1,0)+1,FALSE)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3" s="48" t="str">
        <f ca="1">VLOOKUP($F153,OFFSET(enemy_skill_triggers!$A$1,0,0,COUNTA(enemy_skill_triggers!$A:$A),MATCH(K$1,enemy_skill_triggers!$1:$1,0)-MATCH($F$1,enemy_skill_triggers!$1:$1,0)+1),MATCH(K$1,enemy_skill_triggers!$1:$1,0)-MATCH($F$1,enemy_skill_triggers!$1:$1,0)+1,FALSE)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3" s="48">
        <f ca="1">VLOOKUP($F153,OFFSET(enemy_skill_triggers!$A$1,0,0,COUNTA(enemy_skill_triggers!$A:$A),MATCH(L$1,enemy_skill_triggers!$1:$1,0)-MATCH($F$1,enemy_skill_triggers!$1:$1,0)+1),MATCH(L$1,enemy_skill_triggers!$1:$1,0)-MATCH($F$1,enemy_skill_triggers!$1:$1,0)+1,FALSE)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3" s="48">
        <f ca="1">VLOOKUP($F153,OFFSET(enemy_skill_triggers!$A$1,0,0,COUNTA(enemy_skill_triggers!$A:$A),MATCH(M$1,enemy_skill_triggers!$1:$1,0)-MATCH($F$1,enemy_skill_triggers!$1:$1,0)+1),MATCH(M$1,enemy_skill_triggers!$1:$1,0)-MATCH($F$1,enemy_skill_triggers!$1:$1,0)+1,FALSE)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3" s="48">
        <f ca="1">VLOOKUP($F153,OFFSET(enemy_skill_triggers!$A$1,0,0,COUNTA(enemy_skill_triggers!$A:$A),MATCH(N$1,enemy_skill_triggers!$1:$1,0)-MATCH($F$1,enemy_skill_triggers!$1:$1,0)+1),MATCH(N$1,enemy_skill_triggers!$1:$1,0)-MATCH($F$1,enemy_skill_triggers!$1:$1,0)+1,FALSE)</f>
        <v>1579</v>
      </c>
      <c r="O153" s="48">
        <f ca="1">VLOOKUP($F153,OFFSET(enemy_skill_triggers!$A$1,0,0,COUNTA(enemy_skill_triggers!$A:$A),MATCH(O$1,enemy_skill_triggers!$1:$1,0)-MATCH($F$1,enemy_skill_triggers!$1:$1,0)+1),MATCH(O$1,enemy_skill_triggers!$1:$1,0)-MATCH($F$1,enemy_skill_triggers!$1:$1,0)+1,FALSE)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3" s="47"/>
      <c r="Q153" s="47"/>
      <c r="R153" s="47"/>
    </row>
    <row r="154" spans="1:18" ht="16" customHeight="1" x14ac:dyDescent="0.15">
      <c r="A154" s="39" t="str">
        <f t="shared" si="16"/>
        <v>49016600_49016607</v>
      </c>
      <c r="B154" s="123">
        <v>49016600</v>
      </c>
      <c r="C154" s="175">
        <v>49016607</v>
      </c>
      <c r="D154" s="46" t="str">
        <f ca="1">VLOOKUP($C154,OFFSET(enemy_skills!$A$1,0,0,COUNTA(enemy_skills!$A:$A),MATCH(D$1,enemy_skills!$1:$1,0)-MATCH("enemy_skill_id",enemy_skills!$1:$1,0)+1),MATCH(D$1,enemy_skills!$1:$1,0)-MATCH("enemy_skill_id",enemy_skills!$1:$1,0)+1,FALSE)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54" s="46" t="str">
        <f ca="1">VLOOKUP($C154,OFFSET(enemy_skills!$A$1,0,0,COUNTA(enemy_skills!$A:$A),MATCH(E$1,enemy_skills!$1:$1,0)-MATCH("enemy_skill_id",enemy_skills!$1:$1,0)+1),MATCH(E$1,enemy_skills!$1:$1,0)-MATCH("enemy_skill_id",enemy_skills!$1:$1,0)+1,FALSE)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4" s="175">
        <v>49016640</v>
      </c>
      <c r="G154" s="48">
        <f ca="1">VLOOKUP($F154,OFFSET(enemy_skill_triggers!$A$1,0,0,COUNTA(enemy_skill_triggers!$A:$A),MATCH(G$1,enemy_skill_triggers!$1:$1,0)-MATCH($F$1,enemy_skill_triggers!$1:$1,0)+1),MATCH(G$1,enemy_skill_triggers!$1:$1,0)-MATCH($F$1,enemy_skill_triggers!$1:$1,0)+1,FALSE)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4" s="48">
        <f ca="1">VLOOKUP($F154,OFFSET(enemy_skill_triggers!$A$1,0,0,COUNTA(enemy_skill_triggers!$A:$A),MATCH(H$1,enemy_skill_triggers!$1:$1,0)-MATCH($F$1,enemy_skill_triggers!$1:$1,0)+1),MATCH(H$1,enemy_skill_triggers!$1:$1,0)-MATCH($F$1,enemy_skill_triggers!$1:$1,0)+1,FALSE)</f>
        <v>830</v>
      </c>
      <c r="I154" s="48">
        <f ca="1">VLOOKUP($F154,OFFSET(enemy_skill_triggers!$A$1,0,0,COUNTA(enemy_skill_triggers!$A:$A),MATCH(I$1,enemy_skill_triggers!$1:$1,0)-MATCH($F$1,enemy_skill_triggers!$1:$1,0)+1),MATCH(I$1,enemy_skill_triggers!$1:$1,0)-MATCH($F$1,enemy_skill_triggers!$1:$1,0)+1,FALSE)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4" s="48" t="str">
        <f ca="1">VLOOKUP($F154,OFFSET(enemy_skill_triggers!$A$1,0,0,COUNTA(enemy_skill_triggers!$A:$A),MATCH(J$1,enemy_skill_triggers!$1:$1,0)-MATCH($F$1,enemy_skill_triggers!$1:$1,0)+1),MATCH(J$1,enemy_skill_triggers!$1:$1,0)-MATCH($F$1,enemy_skill_triggers!$1:$1,0)+1,FALSE)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4" s="48" t="str">
        <f ca="1">VLOOKUP($F154,OFFSET(enemy_skill_triggers!$A$1,0,0,COUNTA(enemy_skill_triggers!$A:$A),MATCH(K$1,enemy_skill_triggers!$1:$1,0)-MATCH($F$1,enemy_skill_triggers!$1:$1,0)+1),MATCH(K$1,enemy_skill_triggers!$1:$1,0)-MATCH($F$1,enemy_skill_triggers!$1:$1,0)+1,FALSE)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4" s="48">
        <f ca="1">VLOOKUP($F154,OFFSET(enemy_skill_triggers!$A$1,0,0,COUNTA(enemy_skill_triggers!$A:$A),MATCH(L$1,enemy_skill_triggers!$1:$1,0)-MATCH($F$1,enemy_skill_triggers!$1:$1,0)+1),MATCH(L$1,enemy_skill_triggers!$1:$1,0)-MATCH($F$1,enemy_skill_triggers!$1:$1,0)+1,FALSE)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4" s="48">
        <f ca="1">VLOOKUP($F154,OFFSET(enemy_skill_triggers!$A$1,0,0,COUNTA(enemy_skill_triggers!$A:$A),MATCH(M$1,enemy_skill_triggers!$1:$1,0)-MATCH($F$1,enemy_skill_triggers!$1:$1,0)+1),MATCH(M$1,enemy_skill_triggers!$1:$1,0)-MATCH($F$1,enemy_skill_triggers!$1:$1,0)+1,FALSE)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4" s="48">
        <f ca="1">VLOOKUP($F154,OFFSET(enemy_skill_triggers!$A$1,0,0,COUNTA(enemy_skill_triggers!$A:$A),MATCH(N$1,enemy_skill_triggers!$1:$1,0)-MATCH($F$1,enemy_skill_triggers!$1:$1,0)+1),MATCH(N$1,enemy_skill_triggers!$1:$1,0)-MATCH($F$1,enemy_skill_triggers!$1:$1,0)+1,FALSE)</f>
        <v>1580</v>
      </c>
      <c r="O154" s="48">
        <f ca="1">VLOOKUP($F154,OFFSET(enemy_skill_triggers!$A$1,0,0,COUNTA(enemy_skill_triggers!$A:$A),MATCH(O$1,enemy_skill_triggers!$1:$1,0)-MATCH($F$1,enemy_skill_triggers!$1:$1,0)+1),MATCH(O$1,enemy_skill_triggers!$1:$1,0)-MATCH($F$1,enemy_skill_triggers!$1:$1,0)+1,FALSE)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4" s="47"/>
      <c r="Q154" s="47"/>
      <c r="R154" s="47"/>
    </row>
    <row r="155" spans="1:18" ht="16" customHeight="1" x14ac:dyDescent="0.15">
      <c r="A155" s="39" t="str">
        <f t="shared" si="16"/>
        <v>49016600_49016607</v>
      </c>
      <c r="B155" s="123">
        <v>49016600</v>
      </c>
      <c r="C155" s="175">
        <v>49016607</v>
      </c>
      <c r="D155" s="46" t="str">
        <f ca="1">VLOOKUP($C155,OFFSET(enemy_skills!$A$1,0,0,COUNTA(enemy_skills!$A:$A),MATCH(D$1,enemy_skills!$1:$1,0)-MATCH("enemy_skill_id",enemy_skills!$1:$1,0)+1),MATCH(D$1,enemy_skills!$1:$1,0)-MATCH("enemy_skill_id",enemy_skills!$1:$1,0)+1,FALSE)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55" s="46" t="str">
        <f ca="1">VLOOKUP($C155,OFFSET(enemy_skills!$A$1,0,0,COUNTA(enemy_skills!$A:$A),MATCH(E$1,enemy_skills!$1:$1,0)-MATCH("enemy_skill_id",enemy_skills!$1:$1,0)+1),MATCH(E$1,enemy_skills!$1:$1,0)-MATCH("enemy_skill_id",enemy_skills!$1:$1,0)+1,FALSE)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5" s="175">
        <v>49016641</v>
      </c>
      <c r="G155" s="48">
        <f ca="1">VLOOKUP($F155,OFFSET(enemy_skill_triggers!$A$1,0,0,COUNTA(enemy_skill_triggers!$A:$A),MATCH(G$1,enemy_skill_triggers!$1:$1,0)-MATCH($F$1,enemy_skill_triggers!$1:$1,0)+1),MATCH(G$1,enemy_skill_triggers!$1:$1,0)-MATCH($F$1,enemy_skill_triggers!$1:$1,0)+1,FALSE)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5" s="48">
        <f ca="1">VLOOKUP($F155,OFFSET(enemy_skill_triggers!$A$1,0,0,COUNTA(enemy_skill_triggers!$A:$A),MATCH(H$1,enemy_skill_triggers!$1:$1,0)-MATCH($F$1,enemy_skill_triggers!$1:$1,0)+1),MATCH(H$1,enemy_skill_triggers!$1:$1,0)-MATCH($F$1,enemy_skill_triggers!$1:$1,0)+1,FALSE)</f>
        <v>831</v>
      </c>
      <c r="I155" s="48">
        <f ca="1">VLOOKUP($F155,OFFSET(enemy_skill_triggers!$A$1,0,0,COUNTA(enemy_skill_triggers!$A:$A),MATCH(I$1,enemy_skill_triggers!$1:$1,0)-MATCH($F$1,enemy_skill_triggers!$1:$1,0)+1),MATCH(I$1,enemy_skill_triggers!$1:$1,0)-MATCH($F$1,enemy_skill_triggers!$1:$1,0)+1,FALSE)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5" s="48" t="str">
        <f ca="1">VLOOKUP($F155,OFFSET(enemy_skill_triggers!$A$1,0,0,COUNTA(enemy_skill_triggers!$A:$A),MATCH(J$1,enemy_skill_triggers!$1:$1,0)-MATCH($F$1,enemy_skill_triggers!$1:$1,0)+1),MATCH(J$1,enemy_skill_triggers!$1:$1,0)-MATCH($F$1,enemy_skill_triggers!$1:$1,0)+1,FALSE)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5" s="48" t="str">
        <f ca="1">VLOOKUP($F155,OFFSET(enemy_skill_triggers!$A$1,0,0,COUNTA(enemy_skill_triggers!$A:$A),MATCH(K$1,enemy_skill_triggers!$1:$1,0)-MATCH($F$1,enemy_skill_triggers!$1:$1,0)+1),MATCH(K$1,enemy_skill_triggers!$1:$1,0)-MATCH($F$1,enemy_skill_triggers!$1:$1,0)+1,FALSE)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5" s="48">
        <f ca="1">VLOOKUP($F155,OFFSET(enemy_skill_triggers!$A$1,0,0,COUNTA(enemy_skill_triggers!$A:$A),MATCH(L$1,enemy_skill_triggers!$1:$1,0)-MATCH($F$1,enemy_skill_triggers!$1:$1,0)+1),MATCH(L$1,enemy_skill_triggers!$1:$1,0)-MATCH($F$1,enemy_skill_triggers!$1:$1,0)+1,FALSE)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5" s="48">
        <f ca="1">VLOOKUP($F155,OFFSET(enemy_skill_triggers!$A$1,0,0,COUNTA(enemy_skill_triggers!$A:$A),MATCH(M$1,enemy_skill_triggers!$1:$1,0)-MATCH($F$1,enemy_skill_triggers!$1:$1,0)+1),MATCH(M$1,enemy_skill_triggers!$1:$1,0)-MATCH($F$1,enemy_skill_triggers!$1:$1,0)+1,FALSE)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5" s="48">
        <f ca="1">VLOOKUP($F155,OFFSET(enemy_skill_triggers!$A$1,0,0,COUNTA(enemy_skill_triggers!$A:$A),MATCH(N$1,enemy_skill_triggers!$1:$1,0)-MATCH($F$1,enemy_skill_triggers!$1:$1,0)+1),MATCH(N$1,enemy_skill_triggers!$1:$1,0)-MATCH($F$1,enemy_skill_triggers!$1:$1,0)+1,FALSE)</f>
        <v>1581</v>
      </c>
      <c r="O155" s="48">
        <f ca="1">VLOOKUP($F155,OFFSET(enemy_skill_triggers!$A$1,0,0,COUNTA(enemy_skill_triggers!$A:$A),MATCH(O$1,enemy_skill_triggers!$1:$1,0)-MATCH($F$1,enemy_skill_triggers!$1:$1,0)+1),MATCH(O$1,enemy_skill_triggers!$1:$1,0)-MATCH($F$1,enemy_skill_triggers!$1:$1,0)+1,FALSE)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5" s="47"/>
      <c r="Q155" s="47"/>
      <c r="R155" s="47"/>
    </row>
    <row r="156" spans="1:18" ht="16" customHeight="1" x14ac:dyDescent="0.15">
      <c r="A156" s="39" t="str">
        <f t="shared" si="16"/>
        <v>49016600_49016607</v>
      </c>
      <c r="B156" s="123">
        <v>49016600</v>
      </c>
      <c r="C156" s="175">
        <v>49016607</v>
      </c>
      <c r="D156" s="46" t="str">
        <f ca="1">VLOOKUP($C156,OFFSET(enemy_skills!$A$1,0,0,COUNTA(enemy_skills!$A:$A),MATCH(D$1,enemy_skills!$1:$1,0)-MATCH("enemy_skill_id",enemy_skills!$1:$1,0)+1),MATCH(D$1,enemy_skills!$1:$1,0)-MATCH("enemy_skill_id",enemy_skills!$1:$1,0)+1,FALSE)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56" s="46" t="str">
        <f ca="1">VLOOKUP($C156,OFFSET(enemy_skills!$A$1,0,0,COUNTA(enemy_skills!$A:$A),MATCH(E$1,enemy_skills!$1:$1,0)-MATCH("enemy_skill_id",enemy_skills!$1:$1,0)+1),MATCH(E$1,enemy_skills!$1:$1,0)-MATCH("enemy_skill_id",enemy_skills!$1:$1,0)+1,FALSE)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6" s="175">
        <v>49016642</v>
      </c>
      <c r="G156" s="48">
        <f ca="1">VLOOKUP($F156,OFFSET(enemy_skill_triggers!$A$1,0,0,COUNTA(enemy_skill_triggers!$A:$A),MATCH(G$1,enemy_skill_triggers!$1:$1,0)-MATCH($F$1,enemy_skill_triggers!$1:$1,0)+1),MATCH(G$1,enemy_skill_triggers!$1:$1,0)-MATCH($F$1,enemy_skill_triggers!$1:$1,0)+1,FALSE)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6" s="48">
        <f ca="1">VLOOKUP($F156,OFFSET(enemy_skill_triggers!$A$1,0,0,COUNTA(enemy_skill_triggers!$A:$A),MATCH(H$1,enemy_skill_triggers!$1:$1,0)-MATCH($F$1,enemy_skill_triggers!$1:$1,0)+1),MATCH(H$1,enemy_skill_triggers!$1:$1,0)-MATCH($F$1,enemy_skill_triggers!$1:$1,0)+1,FALSE)</f>
        <v>832</v>
      </c>
      <c r="I156" s="48">
        <f ca="1">VLOOKUP($F156,OFFSET(enemy_skill_triggers!$A$1,0,0,COUNTA(enemy_skill_triggers!$A:$A),MATCH(I$1,enemy_skill_triggers!$1:$1,0)-MATCH($F$1,enemy_skill_triggers!$1:$1,0)+1),MATCH(I$1,enemy_skill_triggers!$1:$1,0)-MATCH($F$1,enemy_skill_triggers!$1:$1,0)+1,FALSE)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6" s="48" t="str">
        <f ca="1">VLOOKUP($F156,OFFSET(enemy_skill_triggers!$A$1,0,0,COUNTA(enemy_skill_triggers!$A:$A),MATCH(J$1,enemy_skill_triggers!$1:$1,0)-MATCH($F$1,enemy_skill_triggers!$1:$1,0)+1),MATCH(J$1,enemy_skill_triggers!$1:$1,0)-MATCH($F$1,enemy_skill_triggers!$1:$1,0)+1,FALSE)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6" s="48" t="str">
        <f ca="1">VLOOKUP($F156,OFFSET(enemy_skill_triggers!$A$1,0,0,COUNTA(enemy_skill_triggers!$A:$A),MATCH(K$1,enemy_skill_triggers!$1:$1,0)-MATCH($F$1,enemy_skill_triggers!$1:$1,0)+1),MATCH(K$1,enemy_skill_triggers!$1:$1,0)-MATCH($F$1,enemy_skill_triggers!$1:$1,0)+1,FALSE)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6" s="48">
        <f ca="1">VLOOKUP($F156,OFFSET(enemy_skill_triggers!$A$1,0,0,COUNTA(enemy_skill_triggers!$A:$A),MATCH(L$1,enemy_skill_triggers!$1:$1,0)-MATCH($F$1,enemy_skill_triggers!$1:$1,0)+1),MATCH(L$1,enemy_skill_triggers!$1:$1,0)-MATCH($F$1,enemy_skill_triggers!$1:$1,0)+1,FALSE)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6" s="48">
        <f ca="1">VLOOKUP($F156,OFFSET(enemy_skill_triggers!$A$1,0,0,COUNTA(enemy_skill_triggers!$A:$A),MATCH(M$1,enemy_skill_triggers!$1:$1,0)-MATCH($F$1,enemy_skill_triggers!$1:$1,0)+1),MATCH(M$1,enemy_skill_triggers!$1:$1,0)-MATCH($F$1,enemy_skill_triggers!$1:$1,0)+1,FALSE)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6" s="48">
        <f ca="1">VLOOKUP($F156,OFFSET(enemy_skill_triggers!$A$1,0,0,COUNTA(enemy_skill_triggers!$A:$A),MATCH(N$1,enemy_skill_triggers!$1:$1,0)-MATCH($F$1,enemy_skill_triggers!$1:$1,0)+1),MATCH(N$1,enemy_skill_triggers!$1:$1,0)-MATCH($F$1,enemy_skill_triggers!$1:$1,0)+1,FALSE)</f>
        <v>1582</v>
      </c>
      <c r="O156" s="48">
        <f ca="1">VLOOKUP($F156,OFFSET(enemy_skill_triggers!$A$1,0,0,COUNTA(enemy_skill_triggers!$A:$A),MATCH(O$1,enemy_skill_triggers!$1:$1,0)-MATCH($F$1,enemy_skill_triggers!$1:$1,0)+1),MATCH(O$1,enemy_skill_triggers!$1:$1,0)-MATCH($F$1,enemy_skill_triggers!$1:$1,0)+1,FALSE)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6" s="47"/>
      <c r="Q156" s="47"/>
      <c r="R156" s="47"/>
    </row>
    <row r="157" spans="1:18" ht="16" customHeight="1" x14ac:dyDescent="0.15">
      <c r="A157" s="39" t="str">
        <f t="shared" si="16"/>
        <v>49016600_49016607</v>
      </c>
      <c r="B157" s="123">
        <v>49016600</v>
      </c>
      <c r="C157" s="175">
        <v>49016607</v>
      </c>
      <c r="D157" s="46" t="str">
        <f ca="1">VLOOKUP($C157,OFFSET(enemy_skills!$A$1,0,0,COUNTA(enemy_skills!$A:$A),MATCH(D$1,enemy_skills!$1:$1,0)-MATCH("enemy_skill_id",enemy_skills!$1:$1,0)+1),MATCH(D$1,enemy_skills!$1:$1,0)-MATCH("enemy_skill_id",enemy_skills!$1:$1,0)+1,FALSE)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57" s="46" t="str">
        <f ca="1">VLOOKUP($C157,OFFSET(enemy_skills!$A$1,0,0,COUNTA(enemy_skills!$A:$A),MATCH(E$1,enemy_skills!$1:$1,0)-MATCH("enemy_skill_id",enemy_skills!$1:$1,0)+1),MATCH(E$1,enemy_skills!$1:$1,0)-MATCH("enemy_skill_id",enemy_skills!$1:$1,0)+1,FALSE)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7" s="175">
        <v>49016643</v>
      </c>
      <c r="G157" s="48">
        <f ca="1">VLOOKUP($F157,OFFSET(enemy_skill_triggers!$A$1,0,0,COUNTA(enemy_skill_triggers!$A:$A),MATCH(G$1,enemy_skill_triggers!$1:$1,0)-MATCH($F$1,enemy_skill_triggers!$1:$1,0)+1),MATCH(G$1,enemy_skill_triggers!$1:$1,0)-MATCH($F$1,enemy_skill_triggers!$1:$1,0)+1,FALSE)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7" s="48">
        <f ca="1">VLOOKUP($F157,OFFSET(enemy_skill_triggers!$A$1,0,0,COUNTA(enemy_skill_triggers!$A:$A),MATCH(H$1,enemy_skill_triggers!$1:$1,0)-MATCH($F$1,enemy_skill_triggers!$1:$1,0)+1),MATCH(H$1,enemy_skill_triggers!$1:$1,0)-MATCH($F$1,enemy_skill_triggers!$1:$1,0)+1,FALSE)</f>
        <v>833</v>
      </c>
      <c r="I157" s="48">
        <f ca="1">VLOOKUP($F157,OFFSET(enemy_skill_triggers!$A$1,0,0,COUNTA(enemy_skill_triggers!$A:$A),MATCH(I$1,enemy_skill_triggers!$1:$1,0)-MATCH($F$1,enemy_skill_triggers!$1:$1,0)+1),MATCH(I$1,enemy_skill_triggers!$1:$1,0)-MATCH($F$1,enemy_skill_triggers!$1:$1,0)+1,FALSE)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7" s="48" t="str">
        <f ca="1">VLOOKUP($F157,OFFSET(enemy_skill_triggers!$A$1,0,0,COUNTA(enemy_skill_triggers!$A:$A),MATCH(J$1,enemy_skill_triggers!$1:$1,0)-MATCH($F$1,enemy_skill_triggers!$1:$1,0)+1),MATCH(J$1,enemy_skill_triggers!$1:$1,0)-MATCH($F$1,enemy_skill_triggers!$1:$1,0)+1,FALSE)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7" s="48" t="str">
        <f ca="1">VLOOKUP($F157,OFFSET(enemy_skill_triggers!$A$1,0,0,COUNTA(enemy_skill_triggers!$A:$A),MATCH(K$1,enemy_skill_triggers!$1:$1,0)-MATCH($F$1,enemy_skill_triggers!$1:$1,0)+1),MATCH(K$1,enemy_skill_triggers!$1:$1,0)-MATCH($F$1,enemy_skill_triggers!$1:$1,0)+1,FALSE)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7" s="48">
        <f ca="1">VLOOKUP($F157,OFFSET(enemy_skill_triggers!$A$1,0,0,COUNTA(enemy_skill_triggers!$A:$A),MATCH(L$1,enemy_skill_triggers!$1:$1,0)-MATCH($F$1,enemy_skill_triggers!$1:$1,0)+1),MATCH(L$1,enemy_skill_triggers!$1:$1,0)-MATCH($F$1,enemy_skill_triggers!$1:$1,0)+1,FALSE)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7" s="48">
        <f ca="1">VLOOKUP($F157,OFFSET(enemy_skill_triggers!$A$1,0,0,COUNTA(enemy_skill_triggers!$A:$A),MATCH(M$1,enemy_skill_triggers!$1:$1,0)-MATCH($F$1,enemy_skill_triggers!$1:$1,0)+1),MATCH(M$1,enemy_skill_triggers!$1:$1,0)-MATCH($F$1,enemy_skill_triggers!$1:$1,0)+1,FALSE)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7" s="48">
        <f ca="1">VLOOKUP($F157,OFFSET(enemy_skill_triggers!$A$1,0,0,COUNTA(enemy_skill_triggers!$A:$A),MATCH(N$1,enemy_skill_triggers!$1:$1,0)-MATCH($F$1,enemy_skill_triggers!$1:$1,0)+1),MATCH(N$1,enemy_skill_triggers!$1:$1,0)-MATCH($F$1,enemy_skill_triggers!$1:$1,0)+1,FALSE)</f>
        <v>1583</v>
      </c>
      <c r="O157" s="48">
        <f ca="1">VLOOKUP($F157,OFFSET(enemy_skill_triggers!$A$1,0,0,COUNTA(enemy_skill_triggers!$A:$A),MATCH(O$1,enemy_skill_triggers!$1:$1,0)-MATCH($F$1,enemy_skill_triggers!$1:$1,0)+1),MATCH(O$1,enemy_skill_triggers!$1:$1,0)-MATCH($F$1,enemy_skill_triggers!$1:$1,0)+1,FALSE)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7" s="47"/>
      <c r="Q157" s="47"/>
      <c r="R157" s="47"/>
    </row>
    <row r="158" spans="1:18" ht="16" customHeight="1" x14ac:dyDescent="0.15">
      <c r="A158" s="39" t="str">
        <f t="shared" si="16"/>
        <v>49016600_49016607</v>
      </c>
      <c r="B158" s="123">
        <v>49016600</v>
      </c>
      <c r="C158" s="175">
        <v>49016607</v>
      </c>
      <c r="D158" s="46" t="str">
        <f ca="1">VLOOKUP($C158,OFFSET(enemy_skills!$A$1,0,0,COUNTA(enemy_skills!$A:$A),MATCH(D$1,enemy_skills!$1:$1,0)-MATCH("enemy_skill_id",enemy_skills!$1:$1,0)+1),MATCH(D$1,enemy_skills!$1:$1,0)-MATCH("enemy_skill_id",enemy_skills!$1:$1,0)+1,FALSE)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58" s="46" t="str">
        <f ca="1">VLOOKUP($C158,OFFSET(enemy_skills!$A$1,0,0,COUNTA(enemy_skills!$A:$A),MATCH(E$1,enemy_skills!$1:$1,0)-MATCH("enemy_skill_id",enemy_skills!$1:$1,0)+1),MATCH(E$1,enemy_skills!$1:$1,0)-MATCH("enemy_skill_id",enemy_skills!$1:$1,0)+1,FALSE)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8" s="175">
        <v>49016644</v>
      </c>
      <c r="G158" s="48">
        <f ca="1">VLOOKUP($F158,OFFSET(enemy_skill_triggers!$A$1,0,0,COUNTA(enemy_skill_triggers!$A:$A),MATCH(G$1,enemy_skill_triggers!$1:$1,0)-MATCH($F$1,enemy_skill_triggers!$1:$1,0)+1),MATCH(G$1,enemy_skill_triggers!$1:$1,0)-MATCH($F$1,enemy_skill_triggers!$1:$1,0)+1,FALSE)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8" s="48">
        <f ca="1">VLOOKUP($F158,OFFSET(enemy_skill_triggers!$A$1,0,0,COUNTA(enemy_skill_triggers!$A:$A),MATCH(H$1,enemy_skill_triggers!$1:$1,0)-MATCH($F$1,enemy_skill_triggers!$1:$1,0)+1),MATCH(H$1,enemy_skill_triggers!$1:$1,0)-MATCH($F$1,enemy_skill_triggers!$1:$1,0)+1,FALSE)</f>
        <v>834</v>
      </c>
      <c r="I158" s="48">
        <f ca="1">VLOOKUP($F158,OFFSET(enemy_skill_triggers!$A$1,0,0,COUNTA(enemy_skill_triggers!$A:$A),MATCH(I$1,enemy_skill_triggers!$1:$1,0)-MATCH($F$1,enemy_skill_triggers!$1:$1,0)+1),MATCH(I$1,enemy_skill_triggers!$1:$1,0)-MATCH($F$1,enemy_skill_triggers!$1:$1,0)+1,FALSE)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8" s="48" t="str">
        <f ca="1">VLOOKUP($F158,OFFSET(enemy_skill_triggers!$A$1,0,0,COUNTA(enemy_skill_triggers!$A:$A),MATCH(J$1,enemy_skill_triggers!$1:$1,0)-MATCH($F$1,enemy_skill_triggers!$1:$1,0)+1),MATCH(J$1,enemy_skill_triggers!$1:$1,0)-MATCH($F$1,enemy_skill_triggers!$1:$1,0)+1,FALSE)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8" s="48" t="str">
        <f ca="1">VLOOKUP($F158,OFFSET(enemy_skill_triggers!$A$1,0,0,COUNTA(enemy_skill_triggers!$A:$A),MATCH(K$1,enemy_skill_triggers!$1:$1,0)-MATCH($F$1,enemy_skill_triggers!$1:$1,0)+1),MATCH(K$1,enemy_skill_triggers!$1:$1,0)-MATCH($F$1,enemy_skill_triggers!$1:$1,0)+1,FALSE)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8" s="48">
        <f ca="1">VLOOKUP($F158,OFFSET(enemy_skill_triggers!$A$1,0,0,COUNTA(enemy_skill_triggers!$A:$A),MATCH(L$1,enemy_skill_triggers!$1:$1,0)-MATCH($F$1,enemy_skill_triggers!$1:$1,0)+1),MATCH(L$1,enemy_skill_triggers!$1:$1,0)-MATCH($F$1,enemy_skill_triggers!$1:$1,0)+1,FALSE)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8" s="48">
        <f ca="1">VLOOKUP($F158,OFFSET(enemy_skill_triggers!$A$1,0,0,COUNTA(enemy_skill_triggers!$A:$A),MATCH(M$1,enemy_skill_triggers!$1:$1,0)-MATCH($F$1,enemy_skill_triggers!$1:$1,0)+1),MATCH(M$1,enemy_skill_triggers!$1:$1,0)-MATCH($F$1,enemy_skill_triggers!$1:$1,0)+1,FALSE)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8" s="48">
        <f ca="1">VLOOKUP($F158,OFFSET(enemy_skill_triggers!$A$1,0,0,COUNTA(enemy_skill_triggers!$A:$A),MATCH(N$1,enemy_skill_triggers!$1:$1,0)-MATCH($F$1,enemy_skill_triggers!$1:$1,0)+1),MATCH(N$1,enemy_skill_triggers!$1:$1,0)-MATCH($F$1,enemy_skill_triggers!$1:$1,0)+1,FALSE)</f>
        <v>1584</v>
      </c>
      <c r="O158" s="48">
        <f ca="1">VLOOKUP($F158,OFFSET(enemy_skill_triggers!$A$1,0,0,COUNTA(enemy_skill_triggers!$A:$A),MATCH(O$1,enemy_skill_triggers!$1:$1,0)-MATCH($F$1,enemy_skill_triggers!$1:$1,0)+1),MATCH(O$1,enemy_skill_triggers!$1:$1,0)-MATCH($F$1,enemy_skill_triggers!$1:$1,0)+1,FALSE)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8" s="47"/>
      <c r="Q158" s="47"/>
      <c r="R158" s="47"/>
    </row>
    <row r="159" spans="1:18" ht="16" customHeight="1" x14ac:dyDescent="0.15">
      <c r="A159" s="39" t="str">
        <f t="shared" si="16"/>
        <v>49016600_49016607</v>
      </c>
      <c r="B159" s="123">
        <v>49016600</v>
      </c>
      <c r="C159" s="175">
        <v>49016607</v>
      </c>
      <c r="D159" s="46" t="str">
        <f ca="1">VLOOKUP($C159,OFFSET(enemy_skills!$A$1,0,0,COUNTA(enemy_skills!$A:$A),MATCH(D$1,enemy_skills!$1:$1,0)-MATCH("enemy_skill_id",enemy_skills!$1:$1,0)+1),MATCH(D$1,enemy_skills!$1:$1,0)-MATCH("enemy_skill_id",enemy_skills!$1:$1,0)+1,FALSE)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59" s="46" t="str">
        <f ca="1">VLOOKUP($C159,OFFSET(enemy_skills!$A$1,0,0,COUNTA(enemy_skills!$A:$A),MATCH(E$1,enemy_skills!$1:$1,0)-MATCH("enemy_skill_id",enemy_skills!$1:$1,0)+1),MATCH(E$1,enemy_skills!$1:$1,0)-MATCH("enemy_skill_id",enemy_skills!$1:$1,0)+1,FALSE)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59" s="175">
        <v>49016645</v>
      </c>
      <c r="G159" s="48">
        <f ca="1">VLOOKUP($F159,OFFSET(enemy_skill_triggers!$A$1,0,0,COUNTA(enemy_skill_triggers!$A:$A),MATCH(G$1,enemy_skill_triggers!$1:$1,0)-MATCH($F$1,enemy_skill_triggers!$1:$1,0)+1),MATCH(G$1,enemy_skill_triggers!$1:$1,0)-MATCH($F$1,enemy_skill_triggers!$1:$1,0)+1,FALSE)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9" s="48">
        <f ca="1">VLOOKUP($F159,OFFSET(enemy_skill_triggers!$A$1,0,0,COUNTA(enemy_skill_triggers!$A:$A),MATCH(H$1,enemy_skill_triggers!$1:$1,0)-MATCH($F$1,enemy_skill_triggers!$1:$1,0)+1),MATCH(H$1,enemy_skill_triggers!$1:$1,0)-MATCH($F$1,enemy_skill_triggers!$1:$1,0)+1,FALSE)</f>
        <v>835</v>
      </c>
      <c r="I159" s="48">
        <f ca="1">VLOOKUP($F159,OFFSET(enemy_skill_triggers!$A$1,0,0,COUNTA(enemy_skill_triggers!$A:$A),MATCH(I$1,enemy_skill_triggers!$1:$1,0)-MATCH($F$1,enemy_skill_triggers!$1:$1,0)+1),MATCH(I$1,enemy_skill_triggers!$1:$1,0)-MATCH($F$1,enemy_skill_triggers!$1:$1,0)+1,FALSE)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9" s="48" t="str">
        <f ca="1">VLOOKUP($F159,OFFSET(enemy_skill_triggers!$A$1,0,0,COUNTA(enemy_skill_triggers!$A:$A),MATCH(J$1,enemy_skill_triggers!$1:$1,0)-MATCH($F$1,enemy_skill_triggers!$1:$1,0)+1),MATCH(J$1,enemy_skill_triggers!$1:$1,0)-MATCH($F$1,enemy_skill_triggers!$1:$1,0)+1,FALSE)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9" s="48" t="str">
        <f ca="1">VLOOKUP($F159,OFFSET(enemy_skill_triggers!$A$1,0,0,COUNTA(enemy_skill_triggers!$A:$A),MATCH(K$1,enemy_skill_triggers!$1:$1,0)-MATCH($F$1,enemy_skill_triggers!$1:$1,0)+1),MATCH(K$1,enemy_skill_triggers!$1:$1,0)-MATCH($F$1,enemy_skill_triggers!$1:$1,0)+1,FALSE)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9" s="48">
        <f ca="1">VLOOKUP($F159,OFFSET(enemy_skill_triggers!$A$1,0,0,COUNTA(enemy_skill_triggers!$A:$A),MATCH(L$1,enemy_skill_triggers!$1:$1,0)-MATCH($F$1,enemy_skill_triggers!$1:$1,0)+1),MATCH(L$1,enemy_skill_triggers!$1:$1,0)-MATCH($F$1,enemy_skill_triggers!$1:$1,0)+1,FALSE)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59" s="48">
        <f ca="1">VLOOKUP($F159,OFFSET(enemy_skill_triggers!$A$1,0,0,COUNTA(enemy_skill_triggers!$A:$A),MATCH(M$1,enemy_skill_triggers!$1:$1,0)-MATCH($F$1,enemy_skill_triggers!$1:$1,0)+1),MATCH(M$1,enemy_skill_triggers!$1:$1,0)-MATCH($F$1,enemy_skill_triggers!$1:$1,0)+1,FALSE)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59" s="48">
        <f ca="1">VLOOKUP($F159,OFFSET(enemy_skill_triggers!$A$1,0,0,COUNTA(enemy_skill_triggers!$A:$A),MATCH(N$1,enemy_skill_triggers!$1:$1,0)-MATCH($F$1,enemy_skill_triggers!$1:$1,0)+1),MATCH(N$1,enemy_skill_triggers!$1:$1,0)-MATCH($F$1,enemy_skill_triggers!$1:$1,0)+1,FALSE)</f>
        <v>1585</v>
      </c>
      <c r="O159" s="48">
        <f ca="1">VLOOKUP($F159,OFFSET(enemy_skill_triggers!$A$1,0,0,COUNTA(enemy_skill_triggers!$A:$A),MATCH(O$1,enemy_skill_triggers!$1:$1,0)-MATCH($F$1,enemy_skill_triggers!$1:$1,0)+1),MATCH(O$1,enemy_skill_triggers!$1:$1,0)-MATCH($F$1,enemy_skill_triggers!$1:$1,0)+1,FALSE)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9" s="47"/>
      <c r="Q159" s="47"/>
      <c r="R159" s="47"/>
    </row>
    <row r="160" spans="1:18" ht="16" customHeight="1" x14ac:dyDescent="0.15">
      <c r="A160" s="39" t="str">
        <f t="shared" si="16"/>
        <v>49016600_49016607</v>
      </c>
      <c r="B160" s="123">
        <v>49016600</v>
      </c>
      <c r="C160" s="175">
        <v>49016607</v>
      </c>
      <c r="D160" s="46" t="str">
        <f ca="1">VLOOKUP($C160,OFFSET(enemy_skills!$A$1,0,0,COUNTA(enemy_skills!$A:$A),MATCH(D$1,enemy_skills!$1:$1,0)-MATCH("enemy_skill_id",enemy_skills!$1:$1,0)+1),MATCH(D$1,enemy_skills!$1:$1,0)-MATCH("enemy_skill_id",enemy_skills!$1:$1,0)+1,FALSE)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60" s="46" t="str">
        <f ca="1">VLOOKUP($C160,OFFSET(enemy_skills!$A$1,0,0,COUNTA(enemy_skills!$A:$A),MATCH(E$1,enemy_skills!$1:$1,0)-MATCH("enemy_skill_id",enemy_skills!$1:$1,0)+1),MATCH(E$1,enemy_skills!$1:$1,0)-MATCH("enemy_skill_id",enemy_skills!$1:$1,0)+1,FALSE)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60" s="175">
        <v>49016646</v>
      </c>
      <c r="G160" s="48">
        <f ca="1">VLOOKUP($F160,OFFSET(enemy_skill_triggers!$A$1,0,0,COUNTA(enemy_skill_triggers!$A:$A),MATCH(G$1,enemy_skill_triggers!$1:$1,0)-MATCH($F$1,enemy_skill_triggers!$1:$1,0)+1),MATCH(G$1,enemy_skill_triggers!$1:$1,0)-MATCH($F$1,enemy_skill_triggers!$1:$1,0)+1,FALSE)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0" s="48">
        <f ca="1">VLOOKUP($F160,OFFSET(enemy_skill_triggers!$A$1,0,0,COUNTA(enemy_skill_triggers!$A:$A),MATCH(H$1,enemy_skill_triggers!$1:$1,0)-MATCH($F$1,enemy_skill_triggers!$1:$1,0)+1),MATCH(H$1,enemy_skill_triggers!$1:$1,0)-MATCH($F$1,enemy_skill_triggers!$1:$1,0)+1,FALSE)</f>
        <v>836</v>
      </c>
      <c r="I160" s="48">
        <f ca="1">VLOOKUP($F160,OFFSET(enemy_skill_triggers!$A$1,0,0,COUNTA(enemy_skill_triggers!$A:$A),MATCH(I$1,enemy_skill_triggers!$1:$1,0)-MATCH($F$1,enemy_skill_triggers!$1:$1,0)+1),MATCH(I$1,enemy_skill_triggers!$1:$1,0)-MATCH($F$1,enemy_skill_triggers!$1:$1,0)+1,FALSE)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0" s="48" t="str">
        <f ca="1">VLOOKUP($F160,OFFSET(enemy_skill_triggers!$A$1,0,0,COUNTA(enemy_skill_triggers!$A:$A),MATCH(J$1,enemy_skill_triggers!$1:$1,0)-MATCH($F$1,enemy_skill_triggers!$1:$1,0)+1),MATCH(J$1,enemy_skill_triggers!$1:$1,0)-MATCH($F$1,enemy_skill_triggers!$1:$1,0)+1,FALSE)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0" s="48" t="str">
        <f ca="1">VLOOKUP($F160,OFFSET(enemy_skill_triggers!$A$1,0,0,COUNTA(enemy_skill_triggers!$A:$A),MATCH(K$1,enemy_skill_triggers!$1:$1,0)-MATCH($F$1,enemy_skill_triggers!$1:$1,0)+1),MATCH(K$1,enemy_skill_triggers!$1:$1,0)-MATCH($F$1,enemy_skill_triggers!$1:$1,0)+1,FALSE)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0" s="48">
        <f ca="1">VLOOKUP($F160,OFFSET(enemy_skill_triggers!$A$1,0,0,COUNTA(enemy_skill_triggers!$A:$A),MATCH(L$1,enemy_skill_triggers!$1:$1,0)-MATCH($F$1,enemy_skill_triggers!$1:$1,0)+1),MATCH(L$1,enemy_skill_triggers!$1:$1,0)-MATCH($F$1,enemy_skill_triggers!$1:$1,0)+1,FALSE)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0" s="48">
        <f ca="1">VLOOKUP($F160,OFFSET(enemy_skill_triggers!$A$1,0,0,COUNTA(enemy_skill_triggers!$A:$A),MATCH(M$1,enemy_skill_triggers!$1:$1,0)-MATCH($F$1,enemy_skill_triggers!$1:$1,0)+1),MATCH(M$1,enemy_skill_triggers!$1:$1,0)-MATCH($F$1,enemy_skill_triggers!$1:$1,0)+1,FALSE)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0" s="48">
        <f ca="1">VLOOKUP($F160,OFFSET(enemy_skill_triggers!$A$1,0,0,COUNTA(enemy_skill_triggers!$A:$A),MATCH(N$1,enemy_skill_triggers!$1:$1,0)-MATCH($F$1,enemy_skill_triggers!$1:$1,0)+1),MATCH(N$1,enemy_skill_triggers!$1:$1,0)-MATCH($F$1,enemy_skill_triggers!$1:$1,0)+1,FALSE)</f>
        <v>1586</v>
      </c>
      <c r="O160" s="48">
        <f ca="1">VLOOKUP($F160,OFFSET(enemy_skill_triggers!$A$1,0,0,COUNTA(enemy_skill_triggers!$A:$A),MATCH(O$1,enemy_skill_triggers!$1:$1,0)-MATCH($F$1,enemy_skill_triggers!$1:$1,0)+1),MATCH(O$1,enemy_skill_triggers!$1:$1,0)-MATCH($F$1,enemy_skill_triggers!$1:$1,0)+1,FALSE)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0" s="47"/>
      <c r="Q160" s="47"/>
      <c r="R160" s="47"/>
    </row>
    <row r="161" spans="1:18" ht="16" customHeight="1" x14ac:dyDescent="0.15">
      <c r="A161" s="39" t="str">
        <f t="shared" si="16"/>
        <v>49016600_49016607</v>
      </c>
      <c r="B161" s="123">
        <v>49016600</v>
      </c>
      <c r="C161" s="175">
        <v>49016607</v>
      </c>
      <c r="D161" s="46" t="str">
        <f ca="1">VLOOKUP($C161,OFFSET(enemy_skills!$A$1,0,0,COUNTA(enemy_skills!$A:$A),MATCH(D$1,enemy_skills!$1:$1,0)-MATCH("enemy_skill_id",enemy_skills!$1:$1,0)+1),MATCH(D$1,enemy_skills!$1:$1,0)-MATCH("enemy_skill_id",enemy_skills!$1:$1,0)+1,FALSE)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61" s="46" t="str">
        <f ca="1">VLOOKUP($C161,OFFSET(enemy_skills!$A$1,0,0,COUNTA(enemy_skills!$A:$A),MATCH(E$1,enemy_skills!$1:$1,0)-MATCH("enemy_skill_id",enemy_skills!$1:$1,0)+1),MATCH(E$1,enemy_skills!$1:$1,0)-MATCH("enemy_skill_id",enemy_skills!$1:$1,0)+1,FALSE)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61" s="175">
        <v>49016647</v>
      </c>
      <c r="G161" s="48">
        <f ca="1">VLOOKUP($F161,OFFSET(enemy_skill_triggers!$A$1,0,0,COUNTA(enemy_skill_triggers!$A:$A),MATCH(G$1,enemy_skill_triggers!$1:$1,0)-MATCH($F$1,enemy_skill_triggers!$1:$1,0)+1),MATCH(G$1,enemy_skill_triggers!$1:$1,0)-MATCH($F$1,enemy_skill_triggers!$1:$1,0)+1,FALSE)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1" s="48">
        <f ca="1">VLOOKUP($F161,OFFSET(enemy_skill_triggers!$A$1,0,0,COUNTA(enemy_skill_triggers!$A:$A),MATCH(H$1,enemy_skill_triggers!$1:$1,0)-MATCH($F$1,enemy_skill_triggers!$1:$1,0)+1),MATCH(H$1,enemy_skill_triggers!$1:$1,0)-MATCH($F$1,enemy_skill_triggers!$1:$1,0)+1,FALSE)</f>
        <v>837</v>
      </c>
      <c r="I161" s="48">
        <f ca="1">VLOOKUP($F161,OFFSET(enemy_skill_triggers!$A$1,0,0,COUNTA(enemy_skill_triggers!$A:$A),MATCH(I$1,enemy_skill_triggers!$1:$1,0)-MATCH($F$1,enemy_skill_triggers!$1:$1,0)+1),MATCH(I$1,enemy_skill_triggers!$1:$1,0)-MATCH($F$1,enemy_skill_triggers!$1:$1,0)+1,FALSE)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1" s="48" t="str">
        <f ca="1">VLOOKUP($F161,OFFSET(enemy_skill_triggers!$A$1,0,0,COUNTA(enemy_skill_triggers!$A:$A),MATCH(J$1,enemy_skill_triggers!$1:$1,0)-MATCH($F$1,enemy_skill_triggers!$1:$1,0)+1),MATCH(J$1,enemy_skill_triggers!$1:$1,0)-MATCH($F$1,enemy_skill_triggers!$1:$1,0)+1,FALSE)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1" s="48" t="str">
        <f ca="1">VLOOKUP($F161,OFFSET(enemy_skill_triggers!$A$1,0,0,COUNTA(enemy_skill_triggers!$A:$A),MATCH(K$1,enemy_skill_triggers!$1:$1,0)-MATCH($F$1,enemy_skill_triggers!$1:$1,0)+1),MATCH(K$1,enemy_skill_triggers!$1:$1,0)-MATCH($F$1,enemy_skill_triggers!$1:$1,0)+1,FALSE)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1" s="48">
        <f ca="1">VLOOKUP($F161,OFFSET(enemy_skill_triggers!$A$1,0,0,COUNTA(enemy_skill_triggers!$A:$A),MATCH(L$1,enemy_skill_triggers!$1:$1,0)-MATCH($F$1,enemy_skill_triggers!$1:$1,0)+1),MATCH(L$1,enemy_skill_triggers!$1:$1,0)-MATCH($F$1,enemy_skill_triggers!$1:$1,0)+1,FALSE)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1" s="48">
        <f ca="1">VLOOKUP($F161,OFFSET(enemy_skill_triggers!$A$1,0,0,COUNTA(enemy_skill_triggers!$A:$A),MATCH(M$1,enemy_skill_triggers!$1:$1,0)-MATCH($F$1,enemy_skill_triggers!$1:$1,0)+1),MATCH(M$1,enemy_skill_triggers!$1:$1,0)-MATCH($F$1,enemy_skill_triggers!$1:$1,0)+1,FALSE)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1" s="48">
        <f ca="1">VLOOKUP($F161,OFFSET(enemy_skill_triggers!$A$1,0,0,COUNTA(enemy_skill_triggers!$A:$A),MATCH(N$1,enemy_skill_triggers!$1:$1,0)-MATCH($F$1,enemy_skill_triggers!$1:$1,0)+1),MATCH(N$1,enemy_skill_triggers!$1:$1,0)-MATCH($F$1,enemy_skill_triggers!$1:$1,0)+1,FALSE)</f>
        <v>1587</v>
      </c>
      <c r="O161" s="48">
        <f ca="1">VLOOKUP($F161,OFFSET(enemy_skill_triggers!$A$1,0,0,COUNTA(enemy_skill_triggers!$A:$A),MATCH(O$1,enemy_skill_triggers!$1:$1,0)-MATCH($F$1,enemy_skill_triggers!$1:$1,0)+1),MATCH(O$1,enemy_skill_triggers!$1:$1,0)-MATCH($F$1,enemy_skill_triggers!$1:$1,0)+1,FALSE)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1" s="47"/>
      <c r="Q161" s="47"/>
      <c r="R161" s="47"/>
    </row>
    <row r="162" spans="1:18" ht="16" customHeight="1" x14ac:dyDescent="0.15">
      <c r="A162" s="39" t="str">
        <f t="shared" si="16"/>
        <v>49016600_49016607</v>
      </c>
      <c r="B162" s="123">
        <v>49016600</v>
      </c>
      <c r="C162" s="175">
        <v>49016607</v>
      </c>
      <c r="D162" s="46" t="str">
        <f ca="1">VLOOKUP($C162,OFFSET(enemy_skills!$A$1,0,0,COUNTA(enemy_skills!$A:$A),MATCH(D$1,enemy_skills!$1:$1,0)-MATCH("enemy_skill_id",enemy_skills!$1:$1,0)+1),MATCH(D$1,enemy_skills!$1:$1,0)-MATCH("enemy_skill_id",enemy_skills!$1:$1,0)+1,FALSE)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162" s="46" t="str">
        <f ca="1">VLOOKUP($C162,OFFSET(enemy_skills!$A$1,0,0,COUNTA(enemy_skills!$A:$A),MATCH(E$1,enemy_skills!$1:$1,0)-MATCH("enemy_skill_id",enemy_skills!$1:$1,0)+1),MATCH(E$1,enemy_skills!$1:$1,0)-MATCH("enemy_skill_id",enemy_skills!$1:$1,0)+1,FALSE)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62" s="175">
        <v>49016648</v>
      </c>
      <c r="G162" s="48">
        <f ca="1">VLOOKUP($F162,OFFSET(enemy_skill_triggers!$A$1,0,0,COUNTA(enemy_skill_triggers!$A:$A),MATCH(G$1,enemy_skill_triggers!$1:$1,0)-MATCH($F$1,enemy_skill_triggers!$1:$1,0)+1),MATCH(G$1,enemy_skill_triggers!$1:$1,0)-MATCH($F$1,enemy_skill_triggers!$1:$1,0)+1,FALSE)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2" s="48">
        <f ca="1">VLOOKUP($F162,OFFSET(enemy_skill_triggers!$A$1,0,0,COUNTA(enemy_skill_triggers!$A:$A),MATCH(H$1,enemy_skill_triggers!$1:$1,0)-MATCH($F$1,enemy_skill_triggers!$1:$1,0)+1),MATCH(H$1,enemy_skill_triggers!$1:$1,0)-MATCH($F$1,enemy_skill_triggers!$1:$1,0)+1,FALSE)</f>
        <v>838</v>
      </c>
      <c r="I162" s="48">
        <f ca="1">VLOOKUP($F162,OFFSET(enemy_skill_triggers!$A$1,0,0,COUNTA(enemy_skill_triggers!$A:$A),MATCH(I$1,enemy_skill_triggers!$1:$1,0)-MATCH($F$1,enemy_skill_triggers!$1:$1,0)+1),MATCH(I$1,enemy_skill_triggers!$1:$1,0)-MATCH($F$1,enemy_skill_triggers!$1:$1,0)+1,FALSE)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2" s="48" t="str">
        <f ca="1">VLOOKUP($F162,OFFSET(enemy_skill_triggers!$A$1,0,0,COUNTA(enemy_skill_triggers!$A:$A),MATCH(J$1,enemy_skill_triggers!$1:$1,0)-MATCH($F$1,enemy_skill_triggers!$1:$1,0)+1),MATCH(J$1,enemy_skill_triggers!$1:$1,0)-MATCH($F$1,enemy_skill_triggers!$1:$1,0)+1,FALSE)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2" s="48" t="str">
        <f ca="1">VLOOKUP($F162,OFFSET(enemy_skill_triggers!$A$1,0,0,COUNTA(enemy_skill_triggers!$A:$A),MATCH(K$1,enemy_skill_triggers!$1:$1,0)-MATCH($F$1,enemy_skill_triggers!$1:$1,0)+1),MATCH(K$1,enemy_skill_triggers!$1:$1,0)-MATCH($F$1,enemy_skill_triggers!$1:$1,0)+1,FALSE)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2" s="48">
        <f ca="1">VLOOKUP($F162,OFFSET(enemy_skill_triggers!$A$1,0,0,COUNTA(enemy_skill_triggers!$A:$A),MATCH(L$1,enemy_skill_triggers!$1:$1,0)-MATCH($F$1,enemy_skill_triggers!$1:$1,0)+1),MATCH(L$1,enemy_skill_triggers!$1:$1,0)-MATCH($F$1,enemy_skill_triggers!$1:$1,0)+1,FALSE)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62" s="48">
        <f ca="1">VLOOKUP($F162,OFFSET(enemy_skill_triggers!$A$1,0,0,COUNTA(enemy_skill_triggers!$A:$A),MATCH(M$1,enemy_skill_triggers!$1:$1,0)-MATCH($F$1,enemy_skill_triggers!$1:$1,0)+1),MATCH(M$1,enemy_skill_triggers!$1:$1,0)-MATCH($F$1,enemy_skill_triggers!$1:$1,0)+1,FALSE)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2" s="48">
        <f ca="1">VLOOKUP($F162,OFFSET(enemy_skill_triggers!$A$1,0,0,COUNTA(enemy_skill_triggers!$A:$A),MATCH(N$1,enemy_skill_triggers!$1:$1,0)-MATCH($F$1,enemy_skill_triggers!$1:$1,0)+1),MATCH(N$1,enemy_skill_triggers!$1:$1,0)-MATCH($F$1,enemy_skill_triggers!$1:$1,0)+1,FALSE)</f>
        <v>1588</v>
      </c>
      <c r="O162" s="48">
        <f ca="1">VLOOKUP($F162,OFFSET(enemy_skill_triggers!$A$1,0,0,COUNTA(enemy_skill_triggers!$A:$A),MATCH(O$1,enemy_skill_triggers!$1:$1,0)-MATCH($F$1,enemy_skill_triggers!$1:$1,0)+1),MATCH(O$1,enemy_skill_triggers!$1:$1,0)-MATCH($F$1,enemy_skill_triggers!$1:$1,0)+1,FALSE)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2" s="47"/>
      <c r="Q162" s="47"/>
      <c r="R162" s="47"/>
    </row>
    <row r="163" spans="1:18" ht="21" customHeight="1" x14ac:dyDescent="0.15">
      <c r="A163" s="39" t="str">
        <f t="shared" si="14"/>
        <v>49016020_49016000</v>
      </c>
      <c r="B163" s="105">
        <v>49016020</v>
      </c>
      <c r="C163" s="105">
        <v>49016000</v>
      </c>
      <c r="D163" s="46" t="str">
        <f ca="1">VLOOKUP($C163,OFFSET(enemy_skills!$A$1,0,0,COUNTA(enemy_skills!$A:$A),MATCH(D$1,enemy_skills!$1:$1,0)-MATCH("enemy_skill_id",enemy_skills!$1:$1,0)+1),MATCH(D$1,enemy_skills!$1:$1,0)-MATCH("enemy_skill_id",enemy_skills!$1:$1,0)+1,FALSE)</f>
        <v>ガ…なんやこの感覚…_x000D_グ…そこのアンタ、ワイから離れや…！</v>
      </c>
      <c r="E163" s="46" t="str">
        <f ca="1">VLOOKUP($C163,OFFSET(enemy_skills!$A$1,0,0,COUNTA(enemy_skills!$A:$A),MATCH(E$1,enemy_skills!$1:$1,0)-MATCH("enemy_skill_id",enemy_skills!$1:$1,0)+1),MATCH(E$1,enemy_skills!$1:$1,0)-MATCH("enemy_skill_id",enemy_skills!$1:$1,0)+1,FALSE)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63" s="105">
        <v>49016000</v>
      </c>
      <c r="G163" s="48">
        <f ca="1">VLOOKUP($F163,OFFSET(enemy_skill_triggers!$A$1,0,0,COUNTA(enemy_skill_triggers!$A:$A),MATCH(G$1,enemy_skill_triggers!$1:$1,0)-MATCH($F$1,enemy_skill_triggers!$1:$1,0)+1),MATCH(G$1,enemy_skill_triggers!$1:$1,0)-MATCH($F$1,enemy_skill_triggers!$1:$1,0)+1,FALSE)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3" s="48">
        <f ca="1">VLOOKUP($F163,OFFSET(enemy_skill_triggers!$A$1,0,0,COUNTA(enemy_skill_triggers!$A:$A),MATCH(H$1,enemy_skill_triggers!$1:$1,0)-MATCH($F$1,enemy_skill_triggers!$1:$1,0)+1),MATCH(H$1,enemy_skill_triggers!$1:$1,0)-MATCH($F$1,enemy_skill_triggers!$1:$1,0)+1,FALSE)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63" s="48">
        <f ca="1">VLOOKUP($F163,OFFSET(enemy_skill_triggers!$A$1,0,0,COUNTA(enemy_skill_triggers!$A:$A),MATCH(I$1,enemy_skill_triggers!$1:$1,0)-MATCH($F$1,enemy_skill_triggers!$1:$1,0)+1),MATCH(I$1,enemy_skill_triggers!$1:$1,0)-MATCH($F$1,enemy_skill_triggers!$1:$1,0)+1,FALSE)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3" s="48" t="str">
        <f ca="1">VLOOKUP($F163,OFFSET(enemy_skill_triggers!$A$1,0,0,COUNTA(enemy_skill_triggers!$A:$A),MATCH(J$1,enemy_skill_triggers!$1:$1,0)-MATCH($F$1,enemy_skill_triggers!$1:$1,0)+1),MATCH(J$1,enemy_skill_triggers!$1:$1,0)-MATCH($F$1,enemy_skill_triggers!$1:$1,0)+1,FALSE)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3" s="48" t="str">
        <f ca="1">VLOOKUP($F163,OFFSET(enemy_skill_triggers!$A$1,0,0,COUNTA(enemy_skill_triggers!$A:$A),MATCH(K$1,enemy_skill_triggers!$1:$1,0)-MATCH($F$1,enemy_skill_triggers!$1:$1,0)+1),MATCH(K$1,enemy_skill_triggers!$1:$1,0)-MATCH($F$1,enemy_skill_triggers!$1:$1,0)+1,FALSE)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3" s="48">
        <f ca="1">VLOOKUP($F163,OFFSET(enemy_skill_triggers!$A$1,0,0,COUNTA(enemy_skill_triggers!$A:$A),MATCH(L$1,enemy_skill_triggers!$1:$1,0)-MATCH($F$1,enemy_skill_triggers!$1:$1,0)+1),MATCH(L$1,enemy_skill_triggers!$1:$1,0)-MATCH($F$1,enemy_skill_triggers!$1:$1,0)+1,FALSE)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3" s="48">
        <f ca="1">VLOOKUP($F163,OFFSET(enemy_skill_triggers!$A$1,0,0,COUNTA(enemy_skill_triggers!$A:$A),MATCH(M$1,enemy_skill_triggers!$1:$1,0)-MATCH($F$1,enemy_skill_triggers!$1:$1,0)+1),MATCH(M$1,enemy_skill_triggers!$1:$1,0)-MATCH($F$1,enemy_skill_triggers!$1:$1,0)+1,FALSE)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3" s="48" t="str">
        <f ca="1">VLOOKUP($F163,OFFSET(enemy_skill_triggers!$A$1,0,0,COUNTA(enemy_skill_triggers!$A:$A),MATCH(N$1,enemy_skill_triggers!$1:$1,0)-MATCH($F$1,enemy_skill_triggers!$1:$1,0)+1),MATCH(N$1,enemy_skill_triggers!$1:$1,0)-MATCH($F$1,enemy_skill_triggers!$1:$1,0)+1,FALSE)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3" s="48">
        <f ca="1">VLOOKUP($F163,OFFSET(enemy_skill_triggers!$A$1,0,0,COUNTA(enemy_skill_triggers!$A:$A),MATCH(O$1,enemy_skill_triggers!$1:$1,0)-MATCH($F$1,enemy_skill_triggers!$1:$1,0)+1),MATCH(O$1,enemy_skill_triggers!$1:$1,0)-MATCH($F$1,enemy_skill_triggers!$1:$1,0)+1,FALSE)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3" s="47"/>
      <c r="Q163" s="47"/>
      <c r="R163" s="47"/>
    </row>
    <row r="164" spans="1:18" ht="21" customHeight="1" x14ac:dyDescent="0.15">
      <c r="A164" s="39" t="str">
        <f t="shared" si="14"/>
        <v>49016020_49016003</v>
      </c>
      <c r="B164" s="105">
        <v>49016020</v>
      </c>
      <c r="C164" s="175">
        <v>49016003</v>
      </c>
      <c r="D164" s="46" t="str">
        <f ca="1">VLOOKUP($C164,OFFSET(enemy_skills!$A$1,0,0,COUNTA(enemy_skills!$A:$A),MATCH(D$1,enemy_skills!$1:$1,0)-MATCH("enemy_skill_id",enemy_skills!$1:$1,0)+1),MATCH(D$1,enemy_skills!$1:$1,0)-MATCH("enemy_skill_id",enemy_skills!$1:$1,0)+1,FALSE)</f>
        <v>ガ…なんやこの感覚…_x000D_まずいでリョウ、構えや…！</v>
      </c>
      <c r="E164" s="46" t="str">
        <f ca="1">VLOOKUP($C164,OFFSET(enemy_skills!$A$1,0,0,COUNTA(enemy_skills!$A:$A),MATCH(E$1,enemy_skills!$1:$1,0)-MATCH("enemy_skill_id",enemy_skills!$1:$1,0)+1),MATCH(E$1,enemy_skills!$1:$1,0)-MATCH("enemy_skill_id",enemy_skills!$1:$1,0)+1,FALSE)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64" s="175">
        <v>49016003</v>
      </c>
      <c r="G164" s="48">
        <f ca="1">VLOOKUP($F164,OFFSET(enemy_skill_triggers!$A$1,0,0,COUNTA(enemy_skill_triggers!$A:$A),MATCH(G$1,enemy_skill_triggers!$1:$1,0)-MATCH($F$1,enemy_skill_triggers!$1:$1,0)+1),MATCH(G$1,enemy_skill_triggers!$1:$1,0)-MATCH($F$1,enemy_skill_triggers!$1:$1,0)+1,FALSE)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4" s="48">
        <f ca="1">VLOOKUP($F164,OFFSET(enemy_skill_triggers!$A$1,0,0,COUNTA(enemy_skill_triggers!$A:$A),MATCH(H$1,enemy_skill_triggers!$1:$1,0)-MATCH($F$1,enemy_skill_triggers!$1:$1,0)+1),MATCH(H$1,enemy_skill_triggers!$1:$1,0)-MATCH($F$1,enemy_skill_triggers!$1:$1,0)+1,FALSE)</f>
        <v>402</v>
      </c>
      <c r="I164" s="48">
        <f ca="1">VLOOKUP($F164,OFFSET(enemy_skill_triggers!$A$1,0,0,COUNTA(enemy_skill_triggers!$A:$A),MATCH(I$1,enemy_skill_triggers!$1:$1,0)-MATCH($F$1,enemy_skill_triggers!$1:$1,0)+1),MATCH(I$1,enemy_skill_triggers!$1:$1,0)-MATCH($F$1,enemy_skill_triggers!$1:$1,0)+1,FALSE)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4" s="48" t="str">
        <f ca="1">VLOOKUP($F164,OFFSET(enemy_skill_triggers!$A$1,0,0,COUNTA(enemy_skill_triggers!$A:$A),MATCH(J$1,enemy_skill_triggers!$1:$1,0)-MATCH($F$1,enemy_skill_triggers!$1:$1,0)+1),MATCH(J$1,enemy_skill_triggers!$1:$1,0)-MATCH($F$1,enemy_skill_triggers!$1:$1,0)+1,FALSE)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4" s="48" t="str">
        <f ca="1">VLOOKUP($F164,OFFSET(enemy_skill_triggers!$A$1,0,0,COUNTA(enemy_skill_triggers!$A:$A),MATCH(K$1,enemy_skill_triggers!$1:$1,0)-MATCH($F$1,enemy_skill_triggers!$1:$1,0)+1),MATCH(K$1,enemy_skill_triggers!$1:$1,0)-MATCH($F$1,enemy_skill_triggers!$1:$1,0)+1,FALSE)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4" s="48">
        <f ca="1">VLOOKUP($F164,OFFSET(enemy_skill_triggers!$A$1,0,0,COUNTA(enemy_skill_triggers!$A:$A),MATCH(L$1,enemy_skill_triggers!$1:$1,0)-MATCH($F$1,enemy_skill_triggers!$1:$1,0)+1),MATCH(L$1,enemy_skill_triggers!$1:$1,0)-MATCH($F$1,enemy_skill_triggers!$1:$1,0)+1,FALSE)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4" s="48">
        <f ca="1">VLOOKUP($F164,OFFSET(enemy_skill_triggers!$A$1,0,0,COUNTA(enemy_skill_triggers!$A:$A),MATCH(M$1,enemy_skill_triggers!$1:$1,0)-MATCH($F$1,enemy_skill_triggers!$1:$1,0)+1),MATCH(M$1,enemy_skill_triggers!$1:$1,0)-MATCH($F$1,enemy_skill_triggers!$1:$1,0)+1,FALSE)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4" s="48">
        <f ca="1">VLOOKUP($F164,OFFSET(enemy_skill_triggers!$A$1,0,0,COUNTA(enemy_skill_triggers!$A:$A),MATCH(N$1,enemy_skill_triggers!$1:$1,0)-MATCH($F$1,enemy_skill_triggers!$1:$1,0)+1),MATCH(N$1,enemy_skill_triggers!$1:$1,0)-MATCH($F$1,enemy_skill_triggers!$1:$1,0)+1,FALSE)</f>
        <v>1556</v>
      </c>
      <c r="O164" s="48">
        <f ca="1">VLOOKUP($F164,OFFSET(enemy_skill_triggers!$A$1,0,0,COUNTA(enemy_skill_triggers!$A:$A),MATCH(O$1,enemy_skill_triggers!$1:$1,0)-MATCH($F$1,enemy_skill_triggers!$1:$1,0)+1),MATCH(O$1,enemy_skill_triggers!$1:$1,0)-MATCH($F$1,enemy_skill_triggers!$1:$1,0)+1,FALSE)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4" s="47"/>
      <c r="Q164" s="47"/>
      <c r="R164" s="47"/>
    </row>
    <row r="165" spans="1:18" ht="21" customHeight="1" x14ac:dyDescent="0.15">
      <c r="A165" s="39" t="str">
        <f t="shared" si="14"/>
        <v>49016020_49016004</v>
      </c>
      <c r="B165" s="105">
        <v>49016020</v>
      </c>
      <c r="C165" s="175">
        <v>49016004</v>
      </c>
      <c r="D165" s="46" t="str">
        <f ca="1">VLOOKUP($C165,OFFSET(enemy_skills!$A$1,0,0,COUNTA(enemy_skills!$A:$A),MATCH(D$1,enemy_skills!$1:$1,0)-MATCH("enemy_skill_id",enemy_skills!$1:$1,0)+1),MATCH(D$1,enemy_skills!$1:$1,0)-MATCH("enemy_skill_id",enemy_skills!$1:$1,0)+1,FALSE)</f>
        <v>ガ…なんやこの感覚…_x000D_まずいでリョウ、構えや…！</v>
      </c>
      <c r="E165" s="46" t="str">
        <f ca="1">VLOOKUP($C165,OFFSET(enemy_skills!$A$1,0,0,COUNTA(enemy_skills!$A:$A),MATCH(E$1,enemy_skills!$1:$1,0)-MATCH("enemy_skill_id",enemy_skills!$1:$1,0)+1),MATCH(E$1,enemy_skills!$1:$1,0)-MATCH("enemy_skill_id",enemy_skills!$1:$1,0)+1,FALSE)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65" s="175">
        <v>49016004</v>
      </c>
      <c r="G165" s="48">
        <f ca="1">VLOOKUP($F165,OFFSET(enemy_skill_triggers!$A$1,0,0,COUNTA(enemy_skill_triggers!$A:$A),MATCH(G$1,enemy_skill_triggers!$1:$1,0)-MATCH($F$1,enemy_skill_triggers!$1:$1,0)+1),MATCH(G$1,enemy_skill_triggers!$1:$1,0)-MATCH($F$1,enemy_skill_triggers!$1:$1,0)+1,FALSE)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5" s="48">
        <f ca="1">VLOOKUP($F165,OFFSET(enemy_skill_triggers!$A$1,0,0,COUNTA(enemy_skill_triggers!$A:$A),MATCH(H$1,enemy_skill_triggers!$1:$1,0)-MATCH($F$1,enemy_skill_triggers!$1:$1,0)+1),MATCH(H$1,enemy_skill_triggers!$1:$1,0)-MATCH($F$1,enemy_skill_triggers!$1:$1,0)+1,FALSE)</f>
        <v>403</v>
      </c>
      <c r="I165" s="48">
        <f ca="1">VLOOKUP($F165,OFFSET(enemy_skill_triggers!$A$1,0,0,COUNTA(enemy_skill_triggers!$A:$A),MATCH(I$1,enemy_skill_triggers!$1:$1,0)-MATCH($F$1,enemy_skill_triggers!$1:$1,0)+1),MATCH(I$1,enemy_skill_triggers!$1:$1,0)-MATCH($F$1,enemy_skill_triggers!$1:$1,0)+1,FALSE)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5" s="48" t="str">
        <f ca="1">VLOOKUP($F165,OFFSET(enemy_skill_triggers!$A$1,0,0,COUNTA(enemy_skill_triggers!$A:$A),MATCH(J$1,enemy_skill_triggers!$1:$1,0)-MATCH($F$1,enemy_skill_triggers!$1:$1,0)+1),MATCH(J$1,enemy_skill_triggers!$1:$1,0)-MATCH($F$1,enemy_skill_triggers!$1:$1,0)+1,FALSE)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5" s="48" t="str">
        <f ca="1">VLOOKUP($F165,OFFSET(enemy_skill_triggers!$A$1,0,0,COUNTA(enemy_skill_triggers!$A:$A),MATCH(K$1,enemy_skill_triggers!$1:$1,0)-MATCH($F$1,enemy_skill_triggers!$1:$1,0)+1),MATCH(K$1,enemy_skill_triggers!$1:$1,0)-MATCH($F$1,enemy_skill_triggers!$1:$1,0)+1,FALSE)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5" s="48">
        <f ca="1">VLOOKUP($F165,OFFSET(enemy_skill_triggers!$A$1,0,0,COUNTA(enemy_skill_triggers!$A:$A),MATCH(L$1,enemy_skill_triggers!$1:$1,0)-MATCH($F$1,enemy_skill_triggers!$1:$1,0)+1),MATCH(L$1,enemy_skill_triggers!$1:$1,0)-MATCH($F$1,enemy_skill_triggers!$1:$1,0)+1,FALSE)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5" s="48">
        <f ca="1">VLOOKUP($F165,OFFSET(enemy_skill_triggers!$A$1,0,0,COUNTA(enemy_skill_triggers!$A:$A),MATCH(M$1,enemy_skill_triggers!$1:$1,0)-MATCH($F$1,enemy_skill_triggers!$1:$1,0)+1),MATCH(M$1,enemy_skill_triggers!$1:$1,0)-MATCH($F$1,enemy_skill_triggers!$1:$1,0)+1,FALSE)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5" s="48">
        <f ca="1">VLOOKUP($F165,OFFSET(enemy_skill_triggers!$A$1,0,0,COUNTA(enemy_skill_triggers!$A:$A),MATCH(N$1,enemy_skill_triggers!$1:$1,0)-MATCH($F$1,enemy_skill_triggers!$1:$1,0)+1),MATCH(N$1,enemy_skill_triggers!$1:$1,0)-MATCH($F$1,enemy_skill_triggers!$1:$1,0)+1,FALSE)</f>
        <v>1557</v>
      </c>
      <c r="O165" s="48">
        <f ca="1">VLOOKUP($F165,OFFSET(enemy_skill_triggers!$A$1,0,0,COUNTA(enemy_skill_triggers!$A:$A),MATCH(O$1,enemy_skill_triggers!$1:$1,0)-MATCH($F$1,enemy_skill_triggers!$1:$1,0)+1),MATCH(O$1,enemy_skill_triggers!$1:$1,0)-MATCH($F$1,enemy_skill_triggers!$1:$1,0)+1,FALSE)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5" s="47"/>
      <c r="Q165" s="47"/>
      <c r="R165" s="47"/>
    </row>
    <row r="166" spans="1:18" ht="21" customHeight="1" x14ac:dyDescent="0.15">
      <c r="A166" s="39" t="str">
        <f t="shared" si="14"/>
        <v>49016020_49016005</v>
      </c>
      <c r="B166" s="105">
        <v>49016020</v>
      </c>
      <c r="C166" s="175">
        <v>49016005</v>
      </c>
      <c r="D166" s="46" t="str">
        <f ca="1">VLOOKUP($C166,OFFSET(enemy_skills!$A$1,0,0,COUNTA(enemy_skills!$A:$A),MATCH(D$1,enemy_skills!$1:$1,0)-MATCH("enemy_skill_id",enemy_skills!$1:$1,0)+1),MATCH(D$1,enemy_skills!$1:$1,0)-MATCH("enemy_skill_id",enemy_skills!$1:$1,0)+1,FALSE)</f>
        <v>グッ…なんやこの感覚…_x000D_ユリちゃん、ワイから離れや…！</v>
      </c>
      <c r="E166" s="46" t="str">
        <f ca="1">VLOOKUP($C166,OFFSET(enemy_skills!$A$1,0,0,COUNTA(enemy_skills!$A:$A),MATCH(E$1,enemy_skills!$1:$1,0)-MATCH("enemy_skill_id",enemy_skills!$1:$1,0)+1),MATCH(E$1,enemy_skills!$1:$1,0)-MATCH("enemy_skill_id",enemy_skills!$1:$1,0)+1,FALSE)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66" s="175">
        <v>49016005</v>
      </c>
      <c r="G166" s="48">
        <f ca="1">VLOOKUP($F166,OFFSET(enemy_skill_triggers!$A$1,0,0,COUNTA(enemy_skill_triggers!$A:$A),MATCH(G$1,enemy_skill_triggers!$1:$1,0)-MATCH($F$1,enemy_skill_triggers!$1:$1,0)+1),MATCH(G$1,enemy_skill_triggers!$1:$1,0)-MATCH($F$1,enemy_skill_triggers!$1:$1,0)+1,FALSE)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6" s="48">
        <f ca="1">VLOOKUP($F166,OFFSET(enemy_skill_triggers!$A$1,0,0,COUNTA(enemy_skill_triggers!$A:$A),MATCH(H$1,enemy_skill_triggers!$1:$1,0)-MATCH($F$1,enemy_skill_triggers!$1:$1,0)+1),MATCH(H$1,enemy_skill_triggers!$1:$1,0)-MATCH($F$1,enemy_skill_triggers!$1:$1,0)+1,FALSE)</f>
        <v>401</v>
      </c>
      <c r="I166" s="48">
        <f ca="1">VLOOKUP($F166,OFFSET(enemy_skill_triggers!$A$1,0,0,COUNTA(enemy_skill_triggers!$A:$A),MATCH(I$1,enemy_skill_triggers!$1:$1,0)-MATCH($F$1,enemy_skill_triggers!$1:$1,0)+1),MATCH(I$1,enemy_skill_triggers!$1:$1,0)-MATCH($F$1,enemy_skill_triggers!$1:$1,0)+1,FALSE)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6" s="48" t="str">
        <f ca="1">VLOOKUP($F166,OFFSET(enemy_skill_triggers!$A$1,0,0,COUNTA(enemy_skill_triggers!$A:$A),MATCH(J$1,enemy_skill_triggers!$1:$1,0)-MATCH($F$1,enemy_skill_triggers!$1:$1,0)+1),MATCH(J$1,enemy_skill_triggers!$1:$1,0)-MATCH($F$1,enemy_skill_triggers!$1:$1,0)+1,FALSE)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6" s="48" t="str">
        <f ca="1">VLOOKUP($F166,OFFSET(enemy_skill_triggers!$A$1,0,0,COUNTA(enemy_skill_triggers!$A:$A),MATCH(K$1,enemy_skill_triggers!$1:$1,0)-MATCH($F$1,enemy_skill_triggers!$1:$1,0)+1),MATCH(K$1,enemy_skill_triggers!$1:$1,0)-MATCH($F$1,enemy_skill_triggers!$1:$1,0)+1,FALSE)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6" s="48">
        <f ca="1">VLOOKUP($F166,OFFSET(enemy_skill_triggers!$A$1,0,0,COUNTA(enemy_skill_triggers!$A:$A),MATCH(L$1,enemy_skill_triggers!$1:$1,0)-MATCH($F$1,enemy_skill_triggers!$1:$1,0)+1),MATCH(L$1,enemy_skill_triggers!$1:$1,0)-MATCH($F$1,enemy_skill_triggers!$1:$1,0)+1,FALSE)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6" s="48">
        <f ca="1">VLOOKUP($F166,OFFSET(enemy_skill_triggers!$A$1,0,0,COUNTA(enemy_skill_triggers!$A:$A),MATCH(M$1,enemy_skill_triggers!$1:$1,0)-MATCH($F$1,enemy_skill_triggers!$1:$1,0)+1),MATCH(M$1,enemy_skill_triggers!$1:$1,0)-MATCH($F$1,enemy_skill_triggers!$1:$1,0)+1,FALSE)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6" s="48">
        <f ca="1">VLOOKUP($F166,OFFSET(enemy_skill_triggers!$A$1,0,0,COUNTA(enemy_skill_triggers!$A:$A),MATCH(N$1,enemy_skill_triggers!$1:$1,0)-MATCH($F$1,enemy_skill_triggers!$1:$1,0)+1),MATCH(N$1,enemy_skill_triggers!$1:$1,0)-MATCH($F$1,enemy_skill_triggers!$1:$1,0)+1,FALSE)</f>
        <v>1558</v>
      </c>
      <c r="O166" s="48">
        <f ca="1">VLOOKUP($F166,OFFSET(enemy_skill_triggers!$A$1,0,0,COUNTA(enemy_skill_triggers!$A:$A),MATCH(O$1,enemy_skill_triggers!$1:$1,0)-MATCH($F$1,enemy_skill_triggers!$1:$1,0)+1),MATCH(O$1,enemy_skill_triggers!$1:$1,0)-MATCH($F$1,enemy_skill_triggers!$1:$1,0)+1,FALSE)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6" s="47"/>
      <c r="Q166" s="47"/>
      <c r="R166" s="47"/>
    </row>
    <row r="167" spans="1:18" ht="14" customHeight="1" x14ac:dyDescent="0.15">
      <c r="A167" s="39" t="str">
        <f t="shared" si="14"/>
        <v>49016020_49016001</v>
      </c>
      <c r="B167" s="105">
        <v>49016020</v>
      </c>
      <c r="C167" s="105">
        <v>49016001</v>
      </c>
      <c r="D167" s="46" t="str">
        <f ca="1">VLOOKUP($C167,OFFSET(enemy_skills!$A$1,0,0,COUNTA(enemy_skills!$A:$A),MATCH(D$1,enemy_skills!$1:$1,0)-MATCH("enemy_skill_id",enemy_skills!$1:$1,0)+1),MATCH(D$1,enemy_skills!$1:$1,0)-MATCH("enemy_skill_id",enemy_skills!$1:$1,0)+1,FALSE)</f>
        <v>ギ…とりゃとりゃ！</v>
      </c>
      <c r="E167" s="46" t="str">
        <f ca="1">VLOOKUP($C167,OFFSET(enemy_skills!$A$1,0,0,COUNTA(enemy_skills!$A:$A),MATCH(E$1,enemy_skills!$1:$1,0)-MATCH("enemy_skill_id",enemy_skills!$1:$1,0)+1),MATCH(E$1,enemy_skills!$1:$1,0)-MATCH("enemy_skill_id",enemy_skills!$1:$1,0)+1,FALSE)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67" s="105">
        <v>49016001</v>
      </c>
      <c r="G167" s="48">
        <f ca="1">VLOOKUP($F167,OFFSET(enemy_skill_triggers!$A$1,0,0,COUNTA(enemy_skill_triggers!$A:$A),MATCH(G$1,enemy_skill_triggers!$1:$1,0)-MATCH($F$1,enemy_skill_triggers!$1:$1,0)+1),MATCH(G$1,enemy_skill_triggers!$1:$1,0)-MATCH($F$1,enemy_skill_triggers!$1:$1,0)+1,FALSE)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7" s="48">
        <f ca="1">VLOOKUP($F167,OFFSET(enemy_skill_triggers!$A$1,0,0,COUNTA(enemy_skill_triggers!$A:$A),MATCH(H$1,enemy_skill_triggers!$1:$1,0)-MATCH($F$1,enemy_skill_triggers!$1:$1,0)+1),MATCH(H$1,enemy_skill_triggers!$1:$1,0)-MATCH($F$1,enemy_skill_triggers!$1:$1,0)+1,FALSE)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67" s="48">
        <f ca="1">VLOOKUP($F167,OFFSET(enemy_skill_triggers!$A$1,0,0,COUNTA(enemy_skill_triggers!$A:$A),MATCH(I$1,enemy_skill_triggers!$1:$1,0)-MATCH($F$1,enemy_skill_triggers!$1:$1,0)+1),MATCH(I$1,enemy_skill_triggers!$1:$1,0)-MATCH($F$1,enemy_skill_triggers!$1:$1,0)+1,FALSE)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7" s="48" t="str">
        <f ca="1">VLOOKUP($F167,OFFSET(enemy_skill_triggers!$A$1,0,0,COUNTA(enemy_skill_triggers!$A:$A),MATCH(J$1,enemy_skill_triggers!$1:$1,0)-MATCH($F$1,enemy_skill_triggers!$1:$1,0)+1),MATCH(J$1,enemy_skill_triggers!$1:$1,0)-MATCH($F$1,enemy_skill_triggers!$1:$1,0)+1,FALSE)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7" s="48" t="str">
        <f ca="1">VLOOKUP($F167,OFFSET(enemy_skill_triggers!$A$1,0,0,COUNTA(enemy_skill_triggers!$A:$A),MATCH(K$1,enemy_skill_triggers!$1:$1,0)-MATCH($F$1,enemy_skill_triggers!$1:$1,0)+1),MATCH(K$1,enemy_skill_triggers!$1:$1,0)-MATCH($F$1,enemy_skill_triggers!$1:$1,0)+1,FALSE)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7" s="48" t="str">
        <f ca="1">VLOOKUP($F167,OFFSET(enemy_skill_triggers!$A$1,0,0,COUNTA(enemy_skill_triggers!$A:$A),MATCH(L$1,enemy_skill_triggers!$1:$1,0)-MATCH($F$1,enemy_skill_triggers!$1:$1,0)+1),MATCH(L$1,enemy_skill_triggers!$1:$1,0)-MATCH($F$1,enemy_skill_triggers!$1:$1,0)+1,FALSE)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7" s="48">
        <f ca="1">VLOOKUP($F167,OFFSET(enemy_skill_triggers!$A$1,0,0,COUNTA(enemy_skill_triggers!$A:$A),MATCH(M$1,enemy_skill_triggers!$1:$1,0)-MATCH($F$1,enemy_skill_triggers!$1:$1,0)+1),MATCH(M$1,enemy_skill_triggers!$1:$1,0)-MATCH($F$1,enemy_skill_triggers!$1:$1,0)+1,FALSE)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67" s="48" t="str">
        <f ca="1">VLOOKUP($F167,OFFSET(enemy_skill_triggers!$A$1,0,0,COUNTA(enemy_skill_triggers!$A:$A),MATCH(N$1,enemy_skill_triggers!$1:$1,0)-MATCH($F$1,enemy_skill_triggers!$1:$1,0)+1),MATCH(N$1,enemy_skill_triggers!$1:$1,0)-MATCH($F$1,enemy_skill_triggers!$1:$1,0)+1,FALSE)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7" s="48">
        <f ca="1">VLOOKUP($F167,OFFSET(enemy_skill_triggers!$A$1,0,0,COUNTA(enemy_skill_triggers!$A:$A),MATCH(O$1,enemy_skill_triggers!$1:$1,0)-MATCH($F$1,enemy_skill_triggers!$1:$1,0)+1),MATCH(O$1,enemy_skill_triggers!$1:$1,0)-MATCH($F$1,enemy_skill_triggers!$1:$1,0)+1,FALSE)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7" s="47"/>
      <c r="Q167" s="47"/>
      <c r="R167" s="47"/>
    </row>
    <row r="168" spans="1:18" ht="14" customHeight="1" x14ac:dyDescent="0.15">
      <c r="A168" s="39" t="str">
        <f t="shared" si="14"/>
        <v>49016020_49016971</v>
      </c>
      <c r="B168" s="105">
        <v>49016020</v>
      </c>
      <c r="C168" s="105">
        <v>49016971</v>
      </c>
      <c r="D168" s="46" t="str">
        <f ca="1">VLOOKUP($C168,OFFSET(enemy_skills!$A$1,0,0,COUNTA(enemy_skills!$A:$A),MATCH(D$1,enemy_skills!$1:$1,0)-MATCH("enemy_skill_id",enemy_skills!$1:$1,0)+1),MATCH(D$1,enemy_skills!$1:$1,0)-MATCH("enemy_skill_id",enemy_skills!$1:$1,0)+1,FALSE)</f>
        <v>ガ…龍撃拳！</v>
      </c>
      <c r="E168" s="46" t="str">
        <f ca="1">VLOOKUP($C168,OFFSET(enemy_skills!$A$1,0,0,COUNTA(enemy_skills!$A:$A),MATCH(E$1,enemy_skills!$1:$1,0)-MATCH("enemy_skill_id",enemy_skills!$1:$1,0)+1),MATCH(E$1,enemy_skills!$1:$1,0)-MATCH("enemy_skill_id",enemy_skills!$1:$1,0)+1,FALSE)</f>
        <v>属性パネルプロテクト(最大3個)+単体攻撃</v>
      </c>
      <c r="F168" s="105">
        <v>49016971</v>
      </c>
      <c r="G168" s="48">
        <f ca="1">VLOOKUP($F168,OFFSET(enemy_skill_triggers!$A$1,0,0,COUNTA(enemy_skill_triggers!$A:$A),MATCH(G$1,enemy_skill_triggers!$1:$1,0)-MATCH($F$1,enemy_skill_triggers!$1:$1,0)+1),MATCH(G$1,enemy_skill_triggers!$1:$1,0)-MATCH($F$1,enemy_skill_triggers!$1:$1,0)+1,FALSE)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8" s="48">
        <f ca="1">VLOOKUP($F168,OFFSET(enemy_skill_triggers!$A$1,0,0,COUNTA(enemy_skill_triggers!$A:$A),MATCH(H$1,enemy_skill_triggers!$1:$1,0)-MATCH($F$1,enemy_skill_triggers!$1:$1,0)+1),MATCH(H$1,enemy_skill_triggers!$1:$1,0)-MATCH($F$1,enemy_skill_triggers!$1:$1,0)+1,FALSE)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68" s="48">
        <f ca="1">VLOOKUP($F168,OFFSET(enemy_skill_triggers!$A$1,0,0,COUNTA(enemy_skill_triggers!$A:$A),MATCH(I$1,enemy_skill_triggers!$1:$1,0)-MATCH($F$1,enemy_skill_triggers!$1:$1,0)+1),MATCH(I$1,enemy_skill_triggers!$1:$1,0)-MATCH($F$1,enemy_skill_triggers!$1:$1,0)+1,FALSE)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8" s="48" t="str">
        <f ca="1">VLOOKUP($F168,OFFSET(enemy_skill_triggers!$A$1,0,0,COUNTA(enemy_skill_triggers!$A:$A),MATCH(J$1,enemy_skill_triggers!$1:$1,0)-MATCH($F$1,enemy_skill_triggers!$1:$1,0)+1),MATCH(J$1,enemy_skill_triggers!$1:$1,0)-MATCH($F$1,enemy_skill_triggers!$1:$1,0)+1,FALSE)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8" s="48" t="str">
        <f ca="1">VLOOKUP($F168,OFFSET(enemy_skill_triggers!$A$1,0,0,COUNTA(enemy_skill_triggers!$A:$A),MATCH(K$1,enemy_skill_triggers!$1:$1,0)-MATCH($F$1,enemy_skill_triggers!$1:$1,0)+1),MATCH(K$1,enemy_skill_triggers!$1:$1,0)-MATCH($F$1,enemy_skill_triggers!$1:$1,0)+1,FALSE)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8" s="48" t="str">
        <f ca="1">VLOOKUP($F168,OFFSET(enemy_skill_triggers!$A$1,0,0,COUNTA(enemy_skill_triggers!$A:$A),MATCH(L$1,enemy_skill_triggers!$1:$1,0)-MATCH($F$1,enemy_skill_triggers!$1:$1,0)+1),MATCH(L$1,enemy_skill_triggers!$1:$1,0)-MATCH($F$1,enemy_skill_triggers!$1:$1,0)+1,FALSE)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8" s="48">
        <f ca="1">VLOOKUP($F168,OFFSET(enemy_skill_triggers!$A$1,0,0,COUNTA(enemy_skill_triggers!$A:$A),MATCH(M$1,enemy_skill_triggers!$1:$1,0)-MATCH($F$1,enemy_skill_triggers!$1:$1,0)+1),MATCH(M$1,enemy_skill_triggers!$1:$1,0)-MATCH($F$1,enemy_skill_triggers!$1:$1,0)+1,FALSE)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68" s="48" t="str">
        <f ca="1">VLOOKUP($F168,OFFSET(enemy_skill_triggers!$A$1,0,0,COUNTA(enemy_skill_triggers!$A:$A),MATCH(N$1,enemy_skill_triggers!$1:$1,0)-MATCH($F$1,enemy_skill_triggers!$1:$1,0)+1),MATCH(N$1,enemy_skill_triggers!$1:$1,0)-MATCH($F$1,enemy_skill_triggers!$1:$1,0)+1,FALSE)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8" s="48">
        <f ca="1">VLOOKUP($F168,OFFSET(enemy_skill_triggers!$A$1,0,0,COUNTA(enemy_skill_triggers!$A:$A),MATCH(O$1,enemy_skill_triggers!$1:$1,0)-MATCH($F$1,enemy_skill_triggers!$1:$1,0)+1),MATCH(O$1,enemy_skill_triggers!$1:$1,0)-MATCH($F$1,enemy_skill_triggers!$1:$1,0)+1,FALSE)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8" s="47"/>
      <c r="Q168" s="47"/>
      <c r="R168" s="47"/>
    </row>
    <row r="169" spans="1:18" ht="14" customHeight="1" x14ac:dyDescent="0.15">
      <c r="A169" s="39" t="str">
        <f t="shared" si="14"/>
        <v>49016120_49016100</v>
      </c>
      <c r="B169" s="108">
        <v>49016120</v>
      </c>
      <c r="C169" s="108">
        <v>49016100</v>
      </c>
      <c r="D169" s="46" t="str">
        <f ca="1">VLOOKUP($C169,OFFSET(enemy_skills!$A$1,0,0,COUNTA(enemy_skills!$A:$A),MATCH(D$1,enemy_skills!$1:$1,0)-MATCH("enemy_skill_id",enemy_skills!$1:$1,0)+1),MATCH(D$1,enemy_skills!$1:$1,0)-MATCH("enemy_skill_id",enemy_skills!$1:$1,0)+1,FALSE)</f>
        <v>グガ…アカン…_x000D_止められへんわ…！</v>
      </c>
      <c r="E169" s="46" t="str">
        <f ca="1">VLOOKUP($C169,OFFSET(enemy_skills!$A$1,0,0,COUNTA(enemy_skills!$A:$A),MATCH(E$1,enemy_skills!$1:$1,0)-MATCH("enemy_skill_id",enemy_skills!$1:$1,0)+1),MATCH(E$1,enemy_skills!$1:$1,0)-MATCH("enemy_skill_id",enemy_skills!$1:$1,0)+1,FALSE)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69" s="108">
        <v>49016100</v>
      </c>
      <c r="G169" s="48">
        <f ca="1">VLOOKUP($F169,OFFSET(enemy_skill_triggers!$A$1,0,0,COUNTA(enemy_skill_triggers!$A:$A),MATCH(G$1,enemy_skill_triggers!$1:$1,0)-MATCH($F$1,enemy_skill_triggers!$1:$1,0)+1),MATCH(G$1,enemy_skill_triggers!$1:$1,0)-MATCH($F$1,enemy_skill_triggers!$1:$1,0)+1,FALSE)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9" s="48">
        <f ca="1">VLOOKUP($F169,OFFSET(enemy_skill_triggers!$A$1,0,0,COUNTA(enemy_skill_triggers!$A:$A),MATCH(H$1,enemy_skill_triggers!$1:$1,0)-MATCH($F$1,enemy_skill_triggers!$1:$1,0)+1),MATCH(H$1,enemy_skill_triggers!$1:$1,0)-MATCH($F$1,enemy_skill_triggers!$1:$1,0)+1,FALSE)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169" s="48">
        <f ca="1">VLOOKUP($F169,OFFSET(enemy_skill_triggers!$A$1,0,0,COUNTA(enemy_skill_triggers!$A:$A),MATCH(I$1,enemy_skill_triggers!$1:$1,0)-MATCH($F$1,enemy_skill_triggers!$1:$1,0)+1),MATCH(I$1,enemy_skill_triggers!$1:$1,0)-MATCH($F$1,enemy_skill_triggers!$1:$1,0)+1,FALSE)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9" s="48" t="str">
        <f ca="1">VLOOKUP($F169,OFFSET(enemy_skill_triggers!$A$1,0,0,COUNTA(enemy_skill_triggers!$A:$A),MATCH(J$1,enemy_skill_triggers!$1:$1,0)-MATCH($F$1,enemy_skill_triggers!$1:$1,0)+1),MATCH(J$1,enemy_skill_triggers!$1:$1,0)-MATCH($F$1,enemy_skill_triggers!$1:$1,0)+1,FALSE)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9" s="48" t="str">
        <f ca="1">VLOOKUP($F169,OFFSET(enemy_skill_triggers!$A$1,0,0,COUNTA(enemy_skill_triggers!$A:$A),MATCH(K$1,enemy_skill_triggers!$1:$1,0)-MATCH($F$1,enemy_skill_triggers!$1:$1,0)+1),MATCH(K$1,enemy_skill_triggers!$1:$1,0)-MATCH($F$1,enemy_skill_triggers!$1:$1,0)+1,FALSE)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9" s="48">
        <f ca="1">VLOOKUP($F169,OFFSET(enemy_skill_triggers!$A$1,0,0,COUNTA(enemy_skill_triggers!$A:$A),MATCH(L$1,enemy_skill_triggers!$1:$1,0)-MATCH($F$1,enemy_skill_triggers!$1:$1,0)+1),MATCH(L$1,enemy_skill_triggers!$1:$1,0)-MATCH($F$1,enemy_skill_triggers!$1:$1,0)+1,FALSE)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9" s="48">
        <f ca="1">VLOOKUP($F169,OFFSET(enemy_skill_triggers!$A$1,0,0,COUNTA(enemy_skill_triggers!$A:$A),MATCH(M$1,enemy_skill_triggers!$1:$1,0)-MATCH($F$1,enemy_skill_triggers!$1:$1,0)+1),MATCH(M$1,enemy_skill_triggers!$1:$1,0)-MATCH($F$1,enemy_skill_triggers!$1:$1,0)+1,FALSE)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69" s="48" t="str">
        <f ca="1">VLOOKUP($F169,OFFSET(enemy_skill_triggers!$A$1,0,0,COUNTA(enemy_skill_triggers!$A:$A),MATCH(N$1,enemy_skill_triggers!$1:$1,0)-MATCH($F$1,enemy_skill_triggers!$1:$1,0)+1),MATCH(N$1,enemy_skill_triggers!$1:$1,0)-MATCH($F$1,enemy_skill_triggers!$1:$1,0)+1,FALSE)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9" s="48">
        <f ca="1">VLOOKUP($F169,OFFSET(enemy_skill_triggers!$A$1,0,0,COUNTA(enemy_skill_triggers!$A:$A),MATCH(O$1,enemy_skill_triggers!$1:$1,0)-MATCH($F$1,enemy_skill_triggers!$1:$1,0)+1),MATCH(O$1,enemy_skill_triggers!$1:$1,0)-MATCH($F$1,enemy_skill_triggers!$1:$1,0)+1,FALSE)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9" s="47"/>
      <c r="Q169" s="47"/>
      <c r="R169" s="47"/>
    </row>
    <row r="170" spans="1:18" ht="14" customHeight="1" x14ac:dyDescent="0.15">
      <c r="A170" s="39" t="str">
        <f t="shared" si="14"/>
        <v>49016120_49016701</v>
      </c>
      <c r="B170" s="108">
        <v>49016120</v>
      </c>
      <c r="C170" s="170">
        <v>49016701</v>
      </c>
      <c r="D170" s="46" t="str">
        <f ca="1">VLOOKUP($C170,OFFSET(enemy_skills!$A$1,0,0,COUNTA(enemy_skills!$A:$A),MATCH(D$1,enemy_skills!$1:$1,0)-MATCH("enemy_skill_id",enemy_skills!$1:$1,0)+1),MATCH(D$1,enemy_skills!$1:$1,0)-MATCH("enemy_skill_id",enemy_skills!$1:$1,0)+1,FALSE)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170" s="46" t="str">
        <f ca="1">VLOOKUP($C170,OFFSET(enemy_skills!$A$1,0,0,COUNTA(enemy_skills!$A:$A),MATCH(E$1,enemy_skills!$1:$1,0)-MATCH("enemy_skill_id",enemy_skills!$1:$1,0)+1),MATCH(E$1,enemy_skills!$1:$1,0)-MATCH("enemy_skill_id",enemy_skills!$1:$1,0)+1,FALSE)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70" s="170">
        <v>49016701</v>
      </c>
      <c r="G170" s="48">
        <f ca="1">VLOOKUP($F170,OFFSET(enemy_skill_triggers!$A$1,0,0,COUNTA(enemy_skill_triggers!$A:$A),MATCH(G$1,enemy_skill_triggers!$1:$1,0)-MATCH($F$1,enemy_skill_triggers!$1:$1,0)+1),MATCH(G$1,enemy_skill_triggers!$1:$1,0)-MATCH($F$1,enemy_skill_triggers!$1:$1,0)+1,FALSE)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0" s="48">
        <f ca="1">VLOOKUP($F170,OFFSET(enemy_skill_triggers!$A$1,0,0,COUNTA(enemy_skill_triggers!$A:$A),MATCH(H$1,enemy_skill_triggers!$1:$1,0)-MATCH($F$1,enemy_skill_triggers!$1:$1,0)+1),MATCH(H$1,enemy_skill_triggers!$1:$1,0)-MATCH($F$1,enemy_skill_triggers!$1:$1,0)+1,FALSE)</f>
        <v>401</v>
      </c>
      <c r="I170" s="48">
        <f ca="1">VLOOKUP($F170,OFFSET(enemy_skill_triggers!$A$1,0,0,COUNTA(enemy_skill_triggers!$A:$A),MATCH(I$1,enemy_skill_triggers!$1:$1,0)-MATCH($F$1,enemy_skill_triggers!$1:$1,0)+1),MATCH(I$1,enemy_skill_triggers!$1:$1,0)-MATCH($F$1,enemy_skill_triggers!$1:$1,0)+1,FALSE)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0" s="48" t="str">
        <f ca="1">VLOOKUP($F170,OFFSET(enemy_skill_triggers!$A$1,0,0,COUNTA(enemy_skill_triggers!$A:$A),MATCH(J$1,enemy_skill_triggers!$1:$1,0)-MATCH($F$1,enemy_skill_triggers!$1:$1,0)+1),MATCH(J$1,enemy_skill_triggers!$1:$1,0)-MATCH($F$1,enemy_skill_triggers!$1:$1,0)+1,FALSE)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0" s="48" t="str">
        <f ca="1">VLOOKUP($F170,OFFSET(enemy_skill_triggers!$A$1,0,0,COUNTA(enemy_skill_triggers!$A:$A),MATCH(K$1,enemy_skill_triggers!$1:$1,0)-MATCH($F$1,enemy_skill_triggers!$1:$1,0)+1),MATCH(K$1,enemy_skill_triggers!$1:$1,0)-MATCH($F$1,enemy_skill_triggers!$1:$1,0)+1,FALSE)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0" s="48">
        <f ca="1">VLOOKUP($F170,OFFSET(enemy_skill_triggers!$A$1,0,0,COUNTA(enemy_skill_triggers!$A:$A),MATCH(L$1,enemy_skill_triggers!$1:$1,0)-MATCH($F$1,enemy_skill_triggers!$1:$1,0)+1),MATCH(L$1,enemy_skill_triggers!$1:$1,0)-MATCH($F$1,enemy_skill_triggers!$1:$1,0)+1,FALSE)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0" s="48">
        <f ca="1">VLOOKUP($F170,OFFSET(enemy_skill_triggers!$A$1,0,0,COUNTA(enemy_skill_triggers!$A:$A),MATCH(M$1,enemy_skill_triggers!$1:$1,0)-MATCH($F$1,enemy_skill_triggers!$1:$1,0)+1),MATCH(M$1,enemy_skill_triggers!$1:$1,0)-MATCH($F$1,enemy_skill_triggers!$1:$1,0)+1,FALSE)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0" s="48">
        <f ca="1">VLOOKUP($F170,OFFSET(enemy_skill_triggers!$A$1,0,0,COUNTA(enemy_skill_triggers!$A:$A),MATCH(N$1,enemy_skill_triggers!$1:$1,0)-MATCH($F$1,enemy_skill_triggers!$1:$1,0)+1),MATCH(N$1,enemy_skill_triggers!$1:$1,0)-MATCH($F$1,enemy_skill_triggers!$1:$1,0)+1,FALSE)</f>
        <v>1551</v>
      </c>
      <c r="O170" s="48">
        <f ca="1">VLOOKUP($F170,OFFSET(enemy_skill_triggers!$A$1,0,0,COUNTA(enemy_skill_triggers!$A:$A),MATCH(O$1,enemy_skill_triggers!$1:$1,0)-MATCH($F$1,enemy_skill_triggers!$1:$1,0)+1),MATCH(O$1,enemy_skill_triggers!$1:$1,0)-MATCH($F$1,enemy_skill_triggers!$1:$1,0)+1,FALSE)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0" s="47"/>
      <c r="Q170" s="47"/>
      <c r="R170" s="47"/>
    </row>
    <row r="171" spans="1:18" ht="14" customHeight="1" x14ac:dyDescent="0.15">
      <c r="A171" s="39" t="str">
        <f t="shared" si="14"/>
        <v>49016120_49016702</v>
      </c>
      <c r="B171" s="108">
        <v>49016120</v>
      </c>
      <c r="C171" s="170">
        <v>49016702</v>
      </c>
      <c r="D171" s="46" t="str">
        <f ca="1">VLOOKUP($C171,OFFSET(enemy_skills!$A$1,0,0,COUNTA(enemy_skills!$A:$A),MATCH(D$1,enemy_skills!$1:$1,0)-MATCH("enemy_skill_id",enemy_skills!$1:$1,0)+1),MATCH(D$1,enemy_skills!$1:$1,0)-MATCH("enemy_skill_id",enemy_skills!$1:$1,0)+1,FALSE)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171" s="46" t="str">
        <f ca="1">VLOOKUP($C171,OFFSET(enemy_skills!$A$1,0,0,COUNTA(enemy_skills!$A:$A),MATCH(E$1,enemy_skills!$1:$1,0)-MATCH("enemy_skill_id",enemy_skills!$1:$1,0)+1),MATCH(E$1,enemy_skills!$1:$1,0)-MATCH("enemy_skill_id",enemy_skills!$1:$1,0)+1,FALSE)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71" s="170">
        <v>49016702</v>
      </c>
      <c r="G171" s="48">
        <f ca="1">VLOOKUP($F171,OFFSET(enemy_skill_triggers!$A$1,0,0,COUNTA(enemy_skill_triggers!$A:$A),MATCH(G$1,enemy_skill_triggers!$1:$1,0)-MATCH($F$1,enemy_skill_triggers!$1:$1,0)+1),MATCH(G$1,enemy_skill_triggers!$1:$1,0)-MATCH($F$1,enemy_skill_triggers!$1:$1,0)+1,FALSE)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1" s="48">
        <f ca="1">VLOOKUP($F171,OFFSET(enemy_skill_triggers!$A$1,0,0,COUNTA(enemy_skill_triggers!$A:$A),MATCH(H$1,enemy_skill_triggers!$1:$1,0)-MATCH($F$1,enemy_skill_triggers!$1:$1,0)+1),MATCH(H$1,enemy_skill_triggers!$1:$1,0)-MATCH($F$1,enemy_skill_triggers!$1:$1,0)+1,FALSE)</f>
        <v>402</v>
      </c>
      <c r="I171" s="48">
        <f ca="1">VLOOKUP($F171,OFFSET(enemy_skill_triggers!$A$1,0,0,COUNTA(enemy_skill_triggers!$A:$A),MATCH(I$1,enemy_skill_triggers!$1:$1,0)-MATCH($F$1,enemy_skill_triggers!$1:$1,0)+1),MATCH(I$1,enemy_skill_triggers!$1:$1,0)-MATCH($F$1,enemy_skill_triggers!$1:$1,0)+1,FALSE)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1" s="48" t="str">
        <f ca="1">VLOOKUP($F171,OFFSET(enemy_skill_triggers!$A$1,0,0,COUNTA(enemy_skill_triggers!$A:$A),MATCH(J$1,enemy_skill_triggers!$1:$1,0)-MATCH($F$1,enemy_skill_triggers!$1:$1,0)+1),MATCH(J$1,enemy_skill_triggers!$1:$1,0)-MATCH($F$1,enemy_skill_triggers!$1:$1,0)+1,FALSE)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1" s="48" t="str">
        <f ca="1">VLOOKUP($F171,OFFSET(enemy_skill_triggers!$A$1,0,0,COUNTA(enemy_skill_triggers!$A:$A),MATCH(K$1,enemy_skill_triggers!$1:$1,0)-MATCH($F$1,enemy_skill_triggers!$1:$1,0)+1),MATCH(K$1,enemy_skill_triggers!$1:$1,0)-MATCH($F$1,enemy_skill_triggers!$1:$1,0)+1,FALSE)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1" s="48">
        <f ca="1">VLOOKUP($F171,OFFSET(enemy_skill_triggers!$A$1,0,0,COUNTA(enemy_skill_triggers!$A:$A),MATCH(L$1,enemy_skill_triggers!$1:$1,0)-MATCH($F$1,enemy_skill_triggers!$1:$1,0)+1),MATCH(L$1,enemy_skill_triggers!$1:$1,0)-MATCH($F$1,enemy_skill_triggers!$1:$1,0)+1,FALSE)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1" s="48">
        <f ca="1">VLOOKUP($F171,OFFSET(enemy_skill_triggers!$A$1,0,0,COUNTA(enemy_skill_triggers!$A:$A),MATCH(M$1,enemy_skill_triggers!$1:$1,0)-MATCH($F$1,enemy_skill_triggers!$1:$1,0)+1),MATCH(M$1,enemy_skill_triggers!$1:$1,0)-MATCH($F$1,enemy_skill_triggers!$1:$1,0)+1,FALSE)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1" s="48">
        <f ca="1">VLOOKUP($F171,OFFSET(enemy_skill_triggers!$A$1,0,0,COUNTA(enemy_skill_triggers!$A:$A),MATCH(N$1,enemy_skill_triggers!$1:$1,0)-MATCH($F$1,enemy_skill_triggers!$1:$1,0)+1),MATCH(N$1,enemy_skill_triggers!$1:$1,0)-MATCH($F$1,enemy_skill_triggers!$1:$1,0)+1,FALSE)</f>
        <v>1553</v>
      </c>
      <c r="O171" s="48">
        <f ca="1">VLOOKUP($F171,OFFSET(enemy_skill_triggers!$A$1,0,0,COUNTA(enemy_skill_triggers!$A:$A),MATCH(O$1,enemy_skill_triggers!$1:$1,0)-MATCH($F$1,enemy_skill_triggers!$1:$1,0)+1),MATCH(O$1,enemy_skill_triggers!$1:$1,0)-MATCH($F$1,enemy_skill_triggers!$1:$1,0)+1,FALSE)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1" s="47"/>
      <c r="Q171" s="47"/>
      <c r="R171" s="47"/>
    </row>
    <row r="172" spans="1:18" ht="14" customHeight="1" x14ac:dyDescent="0.15">
      <c r="A172" s="39" t="str">
        <f t="shared" si="14"/>
        <v>49016120_49016703</v>
      </c>
      <c r="B172" s="108">
        <v>49016120</v>
      </c>
      <c r="C172" s="170">
        <v>49016703</v>
      </c>
      <c r="D172" s="46" t="str">
        <f ca="1">VLOOKUP($C172,OFFSET(enemy_skills!$A$1,0,0,COUNTA(enemy_skills!$A:$A),MATCH(D$1,enemy_skills!$1:$1,0)-MATCH("enemy_skill_id",enemy_skills!$1:$1,0)+1),MATCH(D$1,enemy_skills!$1:$1,0)-MATCH("enemy_skill_id",enemy_skills!$1:$1,0)+1,FALSE)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172" s="46" t="str">
        <f ca="1">VLOOKUP($C172,OFFSET(enemy_skills!$A$1,0,0,COUNTA(enemy_skills!$A:$A),MATCH(E$1,enemy_skills!$1:$1,0)-MATCH("enemy_skill_id",enemy_skills!$1:$1,0)+1),MATCH(E$1,enemy_skills!$1:$1,0)-MATCH("enemy_skill_id",enemy_skills!$1:$1,0)+1,FALSE)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72" s="170">
        <v>49016703</v>
      </c>
      <c r="G172" s="48">
        <f ca="1">VLOOKUP($F172,OFFSET(enemy_skill_triggers!$A$1,0,0,COUNTA(enemy_skill_triggers!$A:$A),MATCH(G$1,enemy_skill_triggers!$1:$1,0)-MATCH($F$1,enemy_skill_triggers!$1:$1,0)+1),MATCH(G$1,enemy_skill_triggers!$1:$1,0)-MATCH($F$1,enemy_skill_triggers!$1:$1,0)+1,FALSE)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2" s="48">
        <f ca="1">VLOOKUP($F172,OFFSET(enemy_skill_triggers!$A$1,0,0,COUNTA(enemy_skill_triggers!$A:$A),MATCH(H$1,enemy_skill_triggers!$1:$1,0)-MATCH($F$1,enemy_skill_triggers!$1:$1,0)+1),MATCH(H$1,enemy_skill_triggers!$1:$1,0)-MATCH($F$1,enemy_skill_triggers!$1:$1,0)+1,FALSE)</f>
        <v>403</v>
      </c>
      <c r="I172" s="48">
        <f ca="1">VLOOKUP($F172,OFFSET(enemy_skill_triggers!$A$1,0,0,COUNTA(enemy_skill_triggers!$A:$A),MATCH(I$1,enemy_skill_triggers!$1:$1,0)-MATCH($F$1,enemy_skill_triggers!$1:$1,0)+1),MATCH(I$1,enemy_skill_triggers!$1:$1,0)-MATCH($F$1,enemy_skill_triggers!$1:$1,0)+1,FALSE)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2" s="48" t="str">
        <f ca="1">VLOOKUP($F172,OFFSET(enemy_skill_triggers!$A$1,0,0,COUNTA(enemy_skill_triggers!$A:$A),MATCH(J$1,enemy_skill_triggers!$1:$1,0)-MATCH($F$1,enemy_skill_triggers!$1:$1,0)+1),MATCH(J$1,enemy_skill_triggers!$1:$1,0)-MATCH($F$1,enemy_skill_triggers!$1:$1,0)+1,FALSE)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2" s="48" t="str">
        <f ca="1">VLOOKUP($F172,OFFSET(enemy_skill_triggers!$A$1,0,0,COUNTA(enemy_skill_triggers!$A:$A),MATCH(K$1,enemy_skill_triggers!$1:$1,0)-MATCH($F$1,enemy_skill_triggers!$1:$1,0)+1),MATCH(K$1,enemy_skill_triggers!$1:$1,0)-MATCH($F$1,enemy_skill_triggers!$1:$1,0)+1,FALSE)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2" s="48">
        <f ca="1">VLOOKUP($F172,OFFSET(enemy_skill_triggers!$A$1,0,0,COUNTA(enemy_skill_triggers!$A:$A),MATCH(L$1,enemy_skill_triggers!$1:$1,0)-MATCH($F$1,enemy_skill_triggers!$1:$1,0)+1),MATCH(L$1,enemy_skill_triggers!$1:$1,0)-MATCH($F$1,enemy_skill_triggers!$1:$1,0)+1,FALSE)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2" s="48">
        <f ca="1">VLOOKUP($F172,OFFSET(enemy_skill_triggers!$A$1,0,0,COUNTA(enemy_skill_triggers!$A:$A),MATCH(M$1,enemy_skill_triggers!$1:$1,0)-MATCH($F$1,enemy_skill_triggers!$1:$1,0)+1),MATCH(M$1,enemy_skill_triggers!$1:$1,0)-MATCH($F$1,enemy_skill_triggers!$1:$1,0)+1,FALSE)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2" s="48">
        <f ca="1">VLOOKUP($F172,OFFSET(enemy_skill_triggers!$A$1,0,0,COUNTA(enemy_skill_triggers!$A:$A),MATCH(N$1,enemy_skill_triggers!$1:$1,0)-MATCH($F$1,enemy_skill_triggers!$1:$1,0)+1),MATCH(N$1,enemy_skill_triggers!$1:$1,0)-MATCH($F$1,enemy_skill_triggers!$1:$1,0)+1,FALSE)</f>
        <v>1555</v>
      </c>
      <c r="O172" s="48">
        <f ca="1">VLOOKUP($F172,OFFSET(enemy_skill_triggers!$A$1,0,0,COUNTA(enemy_skill_triggers!$A:$A),MATCH(O$1,enemy_skill_triggers!$1:$1,0)-MATCH($F$1,enemy_skill_triggers!$1:$1,0)+1),MATCH(O$1,enemy_skill_triggers!$1:$1,0)-MATCH($F$1,enemy_skill_triggers!$1:$1,0)+1,FALSE)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2" s="47"/>
      <c r="Q172" s="47"/>
      <c r="R172" s="47"/>
    </row>
    <row r="173" spans="1:18" ht="14" customHeight="1" x14ac:dyDescent="0.15">
      <c r="A173" s="39" t="str">
        <f t="shared" si="14"/>
        <v>49016120_49016704</v>
      </c>
      <c r="B173" s="108">
        <v>49016120</v>
      </c>
      <c r="C173" s="170">
        <v>49016704</v>
      </c>
      <c r="D173" s="46" t="str">
        <f ca="1">VLOOKUP($C173,OFFSET(enemy_skills!$A$1,0,0,COUNTA(enemy_skills!$A:$A),MATCH(D$1,enemy_skills!$1:$1,0)-MATCH("enemy_skill_id",enemy_skills!$1:$1,0)+1),MATCH(D$1,enemy_skills!$1:$1,0)-MATCH("enemy_skill_id",enemy_skills!$1:$1,0)+1,FALSE)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173" s="46" t="str">
        <f ca="1">VLOOKUP($C173,OFFSET(enemy_skills!$A$1,0,0,COUNTA(enemy_skills!$A:$A),MATCH(E$1,enemy_skills!$1:$1,0)-MATCH("enemy_skill_id",enemy_skills!$1:$1,0)+1),MATCH(E$1,enemy_skills!$1:$1,0)-MATCH("enemy_skill_id",enemy_skills!$1:$1,0)+1,FALSE)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73" s="170">
        <v>49016704</v>
      </c>
      <c r="G173" s="48">
        <f ca="1">VLOOKUP($F173,OFFSET(enemy_skill_triggers!$A$1,0,0,COUNTA(enemy_skill_triggers!$A:$A),MATCH(G$1,enemy_skill_triggers!$1:$1,0)-MATCH($F$1,enemy_skill_triggers!$1:$1,0)+1),MATCH(G$1,enemy_skill_triggers!$1:$1,0)-MATCH($F$1,enemy_skill_triggers!$1:$1,0)+1,FALSE)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3" s="48">
        <f ca="1">VLOOKUP($F173,OFFSET(enemy_skill_triggers!$A$1,0,0,COUNTA(enemy_skill_triggers!$A:$A),MATCH(H$1,enemy_skill_triggers!$1:$1,0)-MATCH($F$1,enemy_skill_triggers!$1:$1,0)+1),MATCH(H$1,enemy_skill_triggers!$1:$1,0)-MATCH($F$1,enemy_skill_triggers!$1:$1,0)+1,FALSE)</f>
        <v>404</v>
      </c>
      <c r="I173" s="48">
        <f ca="1">VLOOKUP($F173,OFFSET(enemy_skill_triggers!$A$1,0,0,COUNTA(enemy_skill_triggers!$A:$A),MATCH(I$1,enemy_skill_triggers!$1:$1,0)-MATCH($F$1,enemy_skill_triggers!$1:$1,0)+1),MATCH(I$1,enemy_skill_triggers!$1:$1,0)-MATCH($F$1,enemy_skill_triggers!$1:$1,0)+1,FALSE)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3" s="48" t="str">
        <f ca="1">VLOOKUP($F173,OFFSET(enemy_skill_triggers!$A$1,0,0,COUNTA(enemy_skill_triggers!$A:$A),MATCH(J$1,enemy_skill_triggers!$1:$1,0)-MATCH($F$1,enemy_skill_triggers!$1:$1,0)+1),MATCH(J$1,enemy_skill_triggers!$1:$1,0)-MATCH($F$1,enemy_skill_triggers!$1:$1,0)+1,FALSE)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3" s="48" t="str">
        <f ca="1">VLOOKUP($F173,OFFSET(enemy_skill_triggers!$A$1,0,0,COUNTA(enemy_skill_triggers!$A:$A),MATCH(K$1,enemy_skill_triggers!$1:$1,0)-MATCH($F$1,enemy_skill_triggers!$1:$1,0)+1),MATCH(K$1,enemy_skill_triggers!$1:$1,0)-MATCH($F$1,enemy_skill_triggers!$1:$1,0)+1,FALSE)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3" s="48">
        <f ca="1">VLOOKUP($F173,OFFSET(enemy_skill_triggers!$A$1,0,0,COUNTA(enemy_skill_triggers!$A:$A),MATCH(L$1,enemy_skill_triggers!$1:$1,0)-MATCH($F$1,enemy_skill_triggers!$1:$1,0)+1),MATCH(L$1,enemy_skill_triggers!$1:$1,0)-MATCH($F$1,enemy_skill_triggers!$1:$1,0)+1,FALSE)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3" s="48">
        <f ca="1">VLOOKUP($F173,OFFSET(enemy_skill_triggers!$A$1,0,0,COUNTA(enemy_skill_triggers!$A:$A),MATCH(M$1,enemy_skill_triggers!$1:$1,0)-MATCH($F$1,enemy_skill_triggers!$1:$1,0)+1),MATCH(M$1,enemy_skill_triggers!$1:$1,0)-MATCH($F$1,enemy_skill_triggers!$1:$1,0)+1,FALSE)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3" s="48">
        <f ca="1">VLOOKUP($F173,OFFSET(enemy_skill_triggers!$A$1,0,0,COUNTA(enemy_skill_triggers!$A:$A),MATCH(N$1,enemy_skill_triggers!$1:$1,0)-MATCH($F$1,enemy_skill_triggers!$1:$1,0)+1),MATCH(N$1,enemy_skill_triggers!$1:$1,0)-MATCH($F$1,enemy_skill_triggers!$1:$1,0)+1,FALSE)</f>
        <v>1560</v>
      </c>
      <c r="O173" s="48">
        <f ca="1">VLOOKUP($F173,OFFSET(enemy_skill_triggers!$A$1,0,0,COUNTA(enemy_skill_triggers!$A:$A),MATCH(O$1,enemy_skill_triggers!$1:$1,0)-MATCH($F$1,enemy_skill_triggers!$1:$1,0)+1),MATCH(O$1,enemy_skill_triggers!$1:$1,0)-MATCH($F$1,enemy_skill_triggers!$1:$1,0)+1,FALSE)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3" s="47"/>
      <c r="Q173" s="47"/>
      <c r="R173" s="47"/>
    </row>
    <row r="174" spans="1:18" ht="14" customHeight="1" x14ac:dyDescent="0.15">
      <c r="A174" s="39" t="str">
        <f t="shared" si="14"/>
        <v>49016120_49016705</v>
      </c>
      <c r="B174" s="108">
        <v>49016120</v>
      </c>
      <c r="C174" s="170">
        <v>49016705</v>
      </c>
      <c r="D174" s="46" t="str">
        <f ca="1">VLOOKUP($C174,OFFSET(enemy_skills!$A$1,0,0,COUNTA(enemy_skills!$A:$A),MATCH(D$1,enemy_skills!$1:$1,0)-MATCH("enemy_skill_id",enemy_skills!$1:$1,0)+1),MATCH(D$1,enemy_skills!$1:$1,0)-MATCH("enemy_skill_id",enemy_skills!$1:$1,0)+1,FALSE)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174" s="46" t="str">
        <f ca="1">VLOOKUP($C174,OFFSET(enemy_skills!$A$1,0,0,COUNTA(enemy_skills!$A:$A),MATCH(E$1,enemy_skills!$1:$1,0)-MATCH("enemy_skill_id",enemy_skills!$1:$1,0)+1),MATCH(E$1,enemy_skills!$1:$1,0)-MATCH("enemy_skill_id",enemy_skills!$1:$1,0)+1,FALSE)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74" s="170">
        <v>49016705</v>
      </c>
      <c r="G174" s="48">
        <f ca="1">VLOOKUP($F174,OFFSET(enemy_skill_triggers!$A$1,0,0,COUNTA(enemy_skill_triggers!$A:$A),MATCH(G$1,enemy_skill_triggers!$1:$1,0)-MATCH($F$1,enemy_skill_triggers!$1:$1,0)+1),MATCH(G$1,enemy_skill_triggers!$1:$1,0)-MATCH($F$1,enemy_skill_triggers!$1:$1,0)+1,FALSE)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4" s="48">
        <f ca="1">VLOOKUP($F174,OFFSET(enemy_skill_triggers!$A$1,0,0,COUNTA(enemy_skill_triggers!$A:$A),MATCH(H$1,enemy_skill_triggers!$1:$1,0)-MATCH($F$1,enemy_skill_triggers!$1:$1,0)+1),MATCH(H$1,enemy_skill_triggers!$1:$1,0)-MATCH($F$1,enemy_skill_triggers!$1:$1,0)+1,FALSE)</f>
        <v>405</v>
      </c>
      <c r="I174" s="48">
        <f ca="1">VLOOKUP($F174,OFFSET(enemy_skill_triggers!$A$1,0,0,COUNTA(enemy_skill_triggers!$A:$A),MATCH(I$1,enemy_skill_triggers!$1:$1,0)-MATCH($F$1,enemy_skill_triggers!$1:$1,0)+1),MATCH(I$1,enemy_skill_triggers!$1:$1,0)-MATCH($F$1,enemy_skill_triggers!$1:$1,0)+1,FALSE)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4" s="48" t="str">
        <f ca="1">VLOOKUP($F174,OFFSET(enemy_skill_triggers!$A$1,0,0,COUNTA(enemy_skill_triggers!$A:$A),MATCH(J$1,enemy_skill_triggers!$1:$1,0)-MATCH($F$1,enemy_skill_triggers!$1:$1,0)+1),MATCH(J$1,enemy_skill_triggers!$1:$1,0)-MATCH($F$1,enemy_skill_triggers!$1:$1,0)+1,FALSE)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4" s="48" t="str">
        <f ca="1">VLOOKUP($F174,OFFSET(enemy_skill_triggers!$A$1,0,0,COUNTA(enemy_skill_triggers!$A:$A),MATCH(K$1,enemy_skill_triggers!$1:$1,0)-MATCH($F$1,enemy_skill_triggers!$1:$1,0)+1),MATCH(K$1,enemy_skill_triggers!$1:$1,0)-MATCH($F$1,enemy_skill_triggers!$1:$1,0)+1,FALSE)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4" s="48">
        <f ca="1">VLOOKUP($F174,OFFSET(enemy_skill_triggers!$A$1,0,0,COUNTA(enemy_skill_triggers!$A:$A),MATCH(L$1,enemy_skill_triggers!$1:$1,0)-MATCH($F$1,enemy_skill_triggers!$1:$1,0)+1),MATCH(L$1,enemy_skill_triggers!$1:$1,0)-MATCH($F$1,enemy_skill_triggers!$1:$1,0)+1,FALSE)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4" s="48">
        <f ca="1">VLOOKUP($F174,OFFSET(enemy_skill_triggers!$A$1,0,0,COUNTA(enemy_skill_triggers!$A:$A),MATCH(M$1,enemy_skill_triggers!$1:$1,0)-MATCH($F$1,enemy_skill_triggers!$1:$1,0)+1),MATCH(M$1,enemy_skill_triggers!$1:$1,0)-MATCH($F$1,enemy_skill_triggers!$1:$1,0)+1,FALSE)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4" s="48">
        <f ca="1">VLOOKUP($F174,OFFSET(enemy_skill_triggers!$A$1,0,0,COUNTA(enemy_skill_triggers!$A:$A),MATCH(N$1,enemy_skill_triggers!$1:$1,0)-MATCH($F$1,enemy_skill_triggers!$1:$1,0)+1),MATCH(N$1,enemy_skill_triggers!$1:$1,0)-MATCH($F$1,enemy_skill_triggers!$1:$1,0)+1,FALSE)</f>
        <v>1561</v>
      </c>
      <c r="O174" s="48">
        <f ca="1">VLOOKUP($F174,OFFSET(enemy_skill_triggers!$A$1,0,0,COUNTA(enemy_skill_triggers!$A:$A),MATCH(O$1,enemy_skill_triggers!$1:$1,0)-MATCH($F$1,enemy_skill_triggers!$1:$1,0)+1),MATCH(O$1,enemy_skill_triggers!$1:$1,0)-MATCH($F$1,enemy_skill_triggers!$1:$1,0)+1,FALSE)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4" s="47"/>
      <c r="Q174" s="47"/>
      <c r="R174" s="47"/>
    </row>
    <row r="175" spans="1:18" ht="14" customHeight="1" x14ac:dyDescent="0.15">
      <c r="A175" s="39" t="str">
        <f t="shared" si="14"/>
        <v>49016120_49016706</v>
      </c>
      <c r="B175" s="108">
        <v>49016120</v>
      </c>
      <c r="C175" s="170">
        <v>49016706</v>
      </c>
      <c r="D175" s="46" t="str">
        <f ca="1">VLOOKUP($C175,OFFSET(enemy_skills!$A$1,0,0,COUNTA(enemy_skills!$A:$A),MATCH(D$1,enemy_skills!$1:$1,0)-MATCH("enemy_skill_id",enemy_skills!$1:$1,0)+1),MATCH(D$1,enemy_skills!$1:$1,0)-MATCH("enemy_skill_id",enemy_skills!$1:$1,0)+1,FALSE)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175" s="46" t="str">
        <f ca="1">VLOOKUP($C175,OFFSET(enemy_skills!$A$1,0,0,COUNTA(enemy_skills!$A:$A),MATCH(E$1,enemy_skills!$1:$1,0)-MATCH("enemy_skill_id",enemy_skills!$1:$1,0)+1),MATCH(E$1,enemy_skills!$1:$1,0)-MATCH("enemy_skill_id",enemy_skills!$1:$1,0)+1,FALSE)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75" s="170">
        <v>49016706</v>
      </c>
      <c r="G175" s="48">
        <f ca="1">VLOOKUP($F175,OFFSET(enemy_skill_triggers!$A$1,0,0,COUNTA(enemy_skill_triggers!$A:$A),MATCH(G$1,enemy_skill_triggers!$1:$1,0)-MATCH($F$1,enemy_skill_triggers!$1:$1,0)+1),MATCH(G$1,enemy_skill_triggers!$1:$1,0)-MATCH($F$1,enemy_skill_triggers!$1:$1,0)+1,FALSE)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5" s="48">
        <f ca="1">VLOOKUP($F175,OFFSET(enemy_skill_triggers!$A$1,0,0,COUNTA(enemy_skill_triggers!$A:$A),MATCH(H$1,enemy_skill_triggers!$1:$1,0)-MATCH($F$1,enemy_skill_triggers!$1:$1,0)+1),MATCH(H$1,enemy_skill_triggers!$1:$1,0)-MATCH($F$1,enemy_skill_triggers!$1:$1,0)+1,FALSE)</f>
        <v>406</v>
      </c>
      <c r="I175" s="48">
        <f ca="1">VLOOKUP($F175,OFFSET(enemy_skill_triggers!$A$1,0,0,COUNTA(enemy_skill_triggers!$A:$A),MATCH(I$1,enemy_skill_triggers!$1:$1,0)-MATCH($F$1,enemy_skill_triggers!$1:$1,0)+1),MATCH(I$1,enemy_skill_triggers!$1:$1,0)-MATCH($F$1,enemy_skill_triggers!$1:$1,0)+1,FALSE)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5" s="48" t="str">
        <f ca="1">VLOOKUP($F175,OFFSET(enemy_skill_triggers!$A$1,0,0,COUNTA(enemy_skill_triggers!$A:$A),MATCH(J$1,enemy_skill_triggers!$1:$1,0)-MATCH($F$1,enemy_skill_triggers!$1:$1,0)+1),MATCH(J$1,enemy_skill_triggers!$1:$1,0)-MATCH($F$1,enemy_skill_triggers!$1:$1,0)+1,FALSE)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5" s="48" t="str">
        <f ca="1">VLOOKUP($F175,OFFSET(enemy_skill_triggers!$A$1,0,0,COUNTA(enemy_skill_triggers!$A:$A),MATCH(K$1,enemy_skill_triggers!$1:$1,0)-MATCH($F$1,enemy_skill_triggers!$1:$1,0)+1),MATCH(K$1,enemy_skill_triggers!$1:$1,0)-MATCH($F$1,enemy_skill_triggers!$1:$1,0)+1,FALSE)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5" s="48">
        <f ca="1">VLOOKUP($F175,OFFSET(enemy_skill_triggers!$A$1,0,0,COUNTA(enemy_skill_triggers!$A:$A),MATCH(L$1,enemy_skill_triggers!$1:$1,0)-MATCH($F$1,enemy_skill_triggers!$1:$1,0)+1),MATCH(L$1,enemy_skill_triggers!$1:$1,0)-MATCH($F$1,enemy_skill_triggers!$1:$1,0)+1,FALSE)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5" s="48">
        <f ca="1">VLOOKUP($F175,OFFSET(enemy_skill_triggers!$A$1,0,0,COUNTA(enemy_skill_triggers!$A:$A),MATCH(M$1,enemy_skill_triggers!$1:$1,0)-MATCH($F$1,enemy_skill_triggers!$1:$1,0)+1),MATCH(M$1,enemy_skill_triggers!$1:$1,0)-MATCH($F$1,enemy_skill_triggers!$1:$1,0)+1,FALSE)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5" s="48">
        <f ca="1">VLOOKUP($F175,OFFSET(enemy_skill_triggers!$A$1,0,0,COUNTA(enemy_skill_triggers!$A:$A),MATCH(N$1,enemy_skill_triggers!$1:$1,0)-MATCH($F$1,enemy_skill_triggers!$1:$1,0)+1),MATCH(N$1,enemy_skill_triggers!$1:$1,0)-MATCH($F$1,enemy_skill_triggers!$1:$1,0)+1,FALSE)</f>
        <v>1563</v>
      </c>
      <c r="O175" s="48">
        <f ca="1">VLOOKUP($F175,OFFSET(enemy_skill_triggers!$A$1,0,0,COUNTA(enemy_skill_triggers!$A:$A),MATCH(O$1,enemy_skill_triggers!$1:$1,0)-MATCH($F$1,enemy_skill_triggers!$1:$1,0)+1),MATCH(O$1,enemy_skill_triggers!$1:$1,0)-MATCH($F$1,enemy_skill_triggers!$1:$1,0)+1,FALSE)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5" s="47"/>
      <c r="Q175" s="47"/>
      <c r="R175" s="47"/>
    </row>
    <row r="176" spans="1:18" ht="14" customHeight="1" x14ac:dyDescent="0.15">
      <c r="A176" s="39" t="str">
        <f t="shared" si="14"/>
        <v>49016120_49016707</v>
      </c>
      <c r="B176" s="108">
        <v>49016120</v>
      </c>
      <c r="C176" s="170">
        <v>49016707</v>
      </c>
      <c r="D176" s="46" t="str">
        <f ca="1">VLOOKUP($C176,OFFSET(enemy_skills!$A$1,0,0,COUNTA(enemy_skills!$A:$A),MATCH(D$1,enemy_skills!$1:$1,0)-MATCH("enemy_skill_id",enemy_skills!$1:$1,0)+1),MATCH(D$1,enemy_skills!$1:$1,0)-MATCH("enemy_skill_id",enemy_skills!$1:$1,0)+1,FALSE)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176" s="46" t="str">
        <f ca="1">VLOOKUP($C176,OFFSET(enemy_skills!$A$1,0,0,COUNTA(enemy_skills!$A:$A),MATCH(E$1,enemy_skills!$1:$1,0)-MATCH("enemy_skill_id",enemy_skills!$1:$1,0)+1),MATCH(E$1,enemy_skills!$1:$1,0)-MATCH("enemy_skill_id",enemy_skills!$1:$1,0)+1,FALSE)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76" s="170">
        <v>49016707</v>
      </c>
      <c r="G176" s="48">
        <f ca="1">VLOOKUP($F176,OFFSET(enemy_skill_triggers!$A$1,0,0,COUNTA(enemy_skill_triggers!$A:$A),MATCH(G$1,enemy_skill_triggers!$1:$1,0)-MATCH($F$1,enemy_skill_triggers!$1:$1,0)+1),MATCH(G$1,enemy_skill_triggers!$1:$1,0)-MATCH($F$1,enemy_skill_triggers!$1:$1,0)+1,FALSE)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6" s="48">
        <f ca="1">VLOOKUP($F176,OFFSET(enemy_skill_triggers!$A$1,0,0,COUNTA(enemy_skill_triggers!$A:$A),MATCH(H$1,enemy_skill_triggers!$1:$1,0)-MATCH($F$1,enemy_skill_triggers!$1:$1,0)+1),MATCH(H$1,enemy_skill_triggers!$1:$1,0)-MATCH($F$1,enemy_skill_triggers!$1:$1,0)+1,FALSE)</f>
        <v>407</v>
      </c>
      <c r="I176" s="48">
        <f ca="1">VLOOKUP($F176,OFFSET(enemy_skill_triggers!$A$1,0,0,COUNTA(enemy_skill_triggers!$A:$A),MATCH(I$1,enemy_skill_triggers!$1:$1,0)-MATCH($F$1,enemy_skill_triggers!$1:$1,0)+1),MATCH(I$1,enemy_skill_triggers!$1:$1,0)-MATCH($F$1,enemy_skill_triggers!$1:$1,0)+1,FALSE)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6" s="48" t="str">
        <f ca="1">VLOOKUP($F176,OFFSET(enemy_skill_triggers!$A$1,0,0,COUNTA(enemy_skill_triggers!$A:$A),MATCH(J$1,enemy_skill_triggers!$1:$1,0)-MATCH($F$1,enemy_skill_triggers!$1:$1,0)+1),MATCH(J$1,enemy_skill_triggers!$1:$1,0)-MATCH($F$1,enemy_skill_triggers!$1:$1,0)+1,FALSE)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6" s="48" t="str">
        <f ca="1">VLOOKUP($F176,OFFSET(enemy_skill_triggers!$A$1,0,0,COUNTA(enemy_skill_triggers!$A:$A),MATCH(K$1,enemy_skill_triggers!$1:$1,0)-MATCH($F$1,enemy_skill_triggers!$1:$1,0)+1),MATCH(K$1,enemy_skill_triggers!$1:$1,0)-MATCH($F$1,enemy_skill_triggers!$1:$1,0)+1,FALSE)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6" s="48">
        <f ca="1">VLOOKUP($F176,OFFSET(enemy_skill_triggers!$A$1,0,0,COUNTA(enemy_skill_triggers!$A:$A),MATCH(L$1,enemy_skill_triggers!$1:$1,0)-MATCH($F$1,enemy_skill_triggers!$1:$1,0)+1),MATCH(L$1,enemy_skill_triggers!$1:$1,0)-MATCH($F$1,enemy_skill_triggers!$1:$1,0)+1,FALSE)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6" s="48">
        <f ca="1">VLOOKUP($F176,OFFSET(enemy_skill_triggers!$A$1,0,0,COUNTA(enemy_skill_triggers!$A:$A),MATCH(M$1,enemy_skill_triggers!$1:$1,0)-MATCH($F$1,enemy_skill_triggers!$1:$1,0)+1),MATCH(M$1,enemy_skill_triggers!$1:$1,0)-MATCH($F$1,enemy_skill_triggers!$1:$1,0)+1,FALSE)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6" s="48">
        <f ca="1">VLOOKUP($F176,OFFSET(enemy_skill_triggers!$A$1,0,0,COUNTA(enemy_skill_triggers!$A:$A),MATCH(N$1,enemy_skill_triggers!$1:$1,0)-MATCH($F$1,enemy_skill_triggers!$1:$1,0)+1),MATCH(N$1,enemy_skill_triggers!$1:$1,0)-MATCH($F$1,enemy_skill_triggers!$1:$1,0)+1,FALSE)</f>
        <v>1565</v>
      </c>
      <c r="O176" s="48">
        <f ca="1">VLOOKUP($F176,OFFSET(enemy_skill_triggers!$A$1,0,0,COUNTA(enemy_skill_triggers!$A:$A),MATCH(O$1,enemy_skill_triggers!$1:$1,0)-MATCH($F$1,enemy_skill_triggers!$1:$1,0)+1),MATCH(O$1,enemy_skill_triggers!$1:$1,0)-MATCH($F$1,enemy_skill_triggers!$1:$1,0)+1,FALSE)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6" s="47"/>
      <c r="Q176" s="47"/>
      <c r="R176" s="47"/>
    </row>
    <row r="177" spans="1:18" ht="14" customHeight="1" x14ac:dyDescent="0.15">
      <c r="A177" s="39" t="str">
        <f t="shared" si="14"/>
        <v>49016120_49016708</v>
      </c>
      <c r="B177" s="108">
        <v>49016120</v>
      </c>
      <c r="C177" s="170">
        <v>49016708</v>
      </c>
      <c r="D177" s="46" t="str">
        <f ca="1">VLOOKUP($C177,OFFSET(enemy_skills!$A$1,0,0,COUNTA(enemy_skills!$A:$A),MATCH(D$1,enemy_skills!$1:$1,0)-MATCH("enemy_skill_id",enemy_skills!$1:$1,0)+1),MATCH(D$1,enemy_skills!$1:$1,0)-MATCH("enemy_skill_id",enemy_skills!$1:$1,0)+1,FALSE)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177" s="46" t="str">
        <f ca="1">VLOOKUP($C177,OFFSET(enemy_skills!$A$1,0,0,COUNTA(enemy_skills!$A:$A),MATCH(E$1,enemy_skills!$1:$1,0)-MATCH("enemy_skill_id",enemy_skills!$1:$1,0)+1),MATCH(E$1,enemy_skills!$1:$1,0)-MATCH("enemy_skill_id",enemy_skills!$1:$1,0)+1,FALSE)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77" s="170">
        <v>49016708</v>
      </c>
      <c r="G177" s="48">
        <f ca="1">VLOOKUP($F177,OFFSET(enemy_skill_triggers!$A$1,0,0,COUNTA(enemy_skill_triggers!$A:$A),MATCH(G$1,enemy_skill_triggers!$1:$1,0)-MATCH($F$1,enemy_skill_triggers!$1:$1,0)+1),MATCH(G$1,enemy_skill_triggers!$1:$1,0)-MATCH($F$1,enemy_skill_triggers!$1:$1,0)+1,FALSE)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7" s="48">
        <f ca="1">VLOOKUP($F177,OFFSET(enemy_skill_triggers!$A$1,0,0,COUNTA(enemy_skill_triggers!$A:$A),MATCH(H$1,enemy_skill_triggers!$1:$1,0)-MATCH($F$1,enemy_skill_triggers!$1:$1,0)+1),MATCH(H$1,enemy_skill_triggers!$1:$1,0)-MATCH($F$1,enemy_skill_triggers!$1:$1,0)+1,FALSE)</f>
        <v>408</v>
      </c>
      <c r="I177" s="48">
        <f ca="1">VLOOKUP($F177,OFFSET(enemy_skill_triggers!$A$1,0,0,COUNTA(enemy_skill_triggers!$A:$A),MATCH(I$1,enemy_skill_triggers!$1:$1,0)-MATCH($F$1,enemy_skill_triggers!$1:$1,0)+1),MATCH(I$1,enemy_skill_triggers!$1:$1,0)-MATCH($F$1,enemy_skill_triggers!$1:$1,0)+1,FALSE)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7" s="48" t="str">
        <f ca="1">VLOOKUP($F177,OFFSET(enemy_skill_triggers!$A$1,0,0,COUNTA(enemy_skill_triggers!$A:$A),MATCH(J$1,enemy_skill_triggers!$1:$1,0)-MATCH($F$1,enemy_skill_triggers!$1:$1,0)+1),MATCH(J$1,enemy_skill_triggers!$1:$1,0)-MATCH($F$1,enemy_skill_triggers!$1:$1,0)+1,FALSE)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7" s="48" t="str">
        <f ca="1">VLOOKUP($F177,OFFSET(enemy_skill_triggers!$A$1,0,0,COUNTA(enemy_skill_triggers!$A:$A),MATCH(K$1,enemy_skill_triggers!$1:$1,0)-MATCH($F$1,enemy_skill_triggers!$1:$1,0)+1),MATCH(K$1,enemy_skill_triggers!$1:$1,0)-MATCH($F$1,enemy_skill_triggers!$1:$1,0)+1,FALSE)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7" s="48">
        <f ca="1">VLOOKUP($F177,OFFSET(enemy_skill_triggers!$A$1,0,0,COUNTA(enemy_skill_triggers!$A:$A),MATCH(L$1,enemy_skill_triggers!$1:$1,0)-MATCH($F$1,enemy_skill_triggers!$1:$1,0)+1),MATCH(L$1,enemy_skill_triggers!$1:$1,0)-MATCH($F$1,enemy_skill_triggers!$1:$1,0)+1,FALSE)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7" s="48">
        <f ca="1">VLOOKUP($F177,OFFSET(enemy_skill_triggers!$A$1,0,0,COUNTA(enemy_skill_triggers!$A:$A),MATCH(M$1,enemy_skill_triggers!$1:$1,0)-MATCH($F$1,enemy_skill_triggers!$1:$1,0)+1),MATCH(M$1,enemy_skill_triggers!$1:$1,0)-MATCH($F$1,enemy_skill_triggers!$1:$1,0)+1,FALSE)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7" s="48">
        <f ca="1">VLOOKUP($F177,OFFSET(enemy_skill_triggers!$A$1,0,0,COUNTA(enemy_skill_triggers!$A:$A),MATCH(N$1,enemy_skill_triggers!$1:$1,0)-MATCH($F$1,enemy_skill_triggers!$1:$1,0)+1),MATCH(N$1,enemy_skill_triggers!$1:$1,0)-MATCH($F$1,enemy_skill_triggers!$1:$1,0)+1,FALSE)</f>
        <v>1566</v>
      </c>
      <c r="O177" s="48">
        <f ca="1">VLOOKUP($F177,OFFSET(enemy_skill_triggers!$A$1,0,0,COUNTA(enemy_skill_triggers!$A:$A),MATCH(O$1,enemy_skill_triggers!$1:$1,0)-MATCH($F$1,enemy_skill_triggers!$1:$1,0)+1),MATCH(O$1,enemy_skill_triggers!$1:$1,0)-MATCH($F$1,enemy_skill_triggers!$1:$1,0)+1,FALSE)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7" s="47"/>
      <c r="Q177" s="47"/>
      <c r="R177" s="47"/>
    </row>
    <row r="178" spans="1:18" ht="14" customHeight="1" x14ac:dyDescent="0.15">
      <c r="A178" s="39" t="str">
        <f t="shared" si="14"/>
        <v>49016120_49016709</v>
      </c>
      <c r="B178" s="108">
        <v>49016120</v>
      </c>
      <c r="C178" s="170">
        <v>49016709</v>
      </c>
      <c r="D178" s="46" t="str">
        <f ca="1">VLOOKUP($C178,OFFSET(enemy_skills!$A$1,0,0,COUNTA(enemy_skills!$A:$A),MATCH(D$1,enemy_skills!$1:$1,0)-MATCH("enemy_skill_id",enemy_skills!$1:$1,0)+1),MATCH(D$1,enemy_skills!$1:$1,0)-MATCH("enemy_skill_id",enemy_skills!$1:$1,0)+1,FALSE)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178" s="46" t="str">
        <f ca="1">VLOOKUP($C178,OFFSET(enemy_skills!$A$1,0,0,COUNTA(enemy_skills!$A:$A),MATCH(E$1,enemy_skills!$1:$1,0)-MATCH("enemy_skill_id",enemy_skills!$1:$1,0)+1),MATCH(E$1,enemy_skills!$1:$1,0)-MATCH("enemy_skill_id",enemy_skills!$1:$1,0)+1,FALSE)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78" s="170">
        <v>49016709</v>
      </c>
      <c r="G178" s="48">
        <f ca="1">VLOOKUP($F178,OFFSET(enemy_skill_triggers!$A$1,0,0,COUNTA(enemy_skill_triggers!$A:$A),MATCH(G$1,enemy_skill_triggers!$1:$1,0)-MATCH($F$1,enemy_skill_triggers!$1:$1,0)+1),MATCH(G$1,enemy_skill_triggers!$1:$1,0)-MATCH($F$1,enemy_skill_triggers!$1:$1,0)+1,FALSE)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8" s="48">
        <f ca="1">VLOOKUP($F178,OFFSET(enemy_skill_triggers!$A$1,0,0,COUNTA(enemy_skill_triggers!$A:$A),MATCH(H$1,enemy_skill_triggers!$1:$1,0)-MATCH($F$1,enemy_skill_triggers!$1:$1,0)+1),MATCH(H$1,enemy_skill_triggers!$1:$1,0)-MATCH($F$1,enemy_skill_triggers!$1:$1,0)+1,FALSE)</f>
        <v>409</v>
      </c>
      <c r="I178" s="48">
        <f ca="1">VLOOKUP($F178,OFFSET(enemy_skill_triggers!$A$1,0,0,COUNTA(enemy_skill_triggers!$A:$A),MATCH(I$1,enemy_skill_triggers!$1:$1,0)-MATCH($F$1,enemy_skill_triggers!$1:$1,0)+1),MATCH(I$1,enemy_skill_triggers!$1:$1,0)-MATCH($F$1,enemy_skill_triggers!$1:$1,0)+1,FALSE)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8" s="48" t="str">
        <f ca="1">VLOOKUP($F178,OFFSET(enemy_skill_triggers!$A$1,0,0,COUNTA(enemy_skill_triggers!$A:$A),MATCH(J$1,enemy_skill_triggers!$1:$1,0)-MATCH($F$1,enemy_skill_triggers!$1:$1,0)+1),MATCH(J$1,enemy_skill_triggers!$1:$1,0)-MATCH($F$1,enemy_skill_triggers!$1:$1,0)+1,FALSE)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8" s="48" t="str">
        <f ca="1">VLOOKUP($F178,OFFSET(enemy_skill_triggers!$A$1,0,0,COUNTA(enemy_skill_triggers!$A:$A),MATCH(K$1,enemy_skill_triggers!$1:$1,0)-MATCH($F$1,enemy_skill_triggers!$1:$1,0)+1),MATCH(K$1,enemy_skill_triggers!$1:$1,0)-MATCH($F$1,enemy_skill_triggers!$1:$1,0)+1,FALSE)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8" s="48">
        <f ca="1">VLOOKUP($F178,OFFSET(enemy_skill_triggers!$A$1,0,0,COUNTA(enemy_skill_triggers!$A:$A),MATCH(L$1,enemy_skill_triggers!$1:$1,0)-MATCH($F$1,enemy_skill_triggers!$1:$1,0)+1),MATCH(L$1,enemy_skill_triggers!$1:$1,0)-MATCH($F$1,enemy_skill_triggers!$1:$1,0)+1,FALSE)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8" s="48">
        <f ca="1">VLOOKUP($F178,OFFSET(enemy_skill_triggers!$A$1,0,0,COUNTA(enemy_skill_triggers!$A:$A),MATCH(M$1,enemy_skill_triggers!$1:$1,0)-MATCH($F$1,enemy_skill_triggers!$1:$1,0)+1),MATCH(M$1,enemy_skill_triggers!$1:$1,0)-MATCH($F$1,enemy_skill_triggers!$1:$1,0)+1,FALSE)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8" s="48">
        <f ca="1">VLOOKUP($F178,OFFSET(enemy_skill_triggers!$A$1,0,0,COUNTA(enemy_skill_triggers!$A:$A),MATCH(N$1,enemy_skill_triggers!$1:$1,0)-MATCH($F$1,enemy_skill_triggers!$1:$1,0)+1),MATCH(N$1,enemy_skill_triggers!$1:$1,0)-MATCH($F$1,enemy_skill_triggers!$1:$1,0)+1,FALSE)</f>
        <v>1568</v>
      </c>
      <c r="O178" s="48">
        <f ca="1">VLOOKUP($F178,OFFSET(enemy_skill_triggers!$A$1,0,0,COUNTA(enemy_skill_triggers!$A:$A),MATCH(O$1,enemy_skill_triggers!$1:$1,0)-MATCH($F$1,enemy_skill_triggers!$1:$1,0)+1),MATCH(O$1,enemy_skill_triggers!$1:$1,0)-MATCH($F$1,enemy_skill_triggers!$1:$1,0)+1,FALSE)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8" s="47"/>
      <c r="Q178" s="47"/>
      <c r="R178" s="47"/>
    </row>
    <row r="179" spans="1:18" ht="14" customHeight="1" x14ac:dyDescent="0.15">
      <c r="A179" s="39" t="str">
        <f t="shared" si="14"/>
        <v>49016120_49016710</v>
      </c>
      <c r="B179" s="108">
        <v>49016120</v>
      </c>
      <c r="C179" s="170">
        <v>49016710</v>
      </c>
      <c r="D179" s="46" t="str">
        <f ca="1">VLOOKUP($C179,OFFSET(enemy_skills!$A$1,0,0,COUNTA(enemy_skills!$A:$A),MATCH(D$1,enemy_skills!$1:$1,0)-MATCH("enemy_skill_id",enemy_skills!$1:$1,0)+1),MATCH(D$1,enemy_skills!$1:$1,0)-MATCH("enemy_skill_id",enemy_skills!$1:$1,0)+1,FALSE)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179" s="46" t="str">
        <f ca="1">VLOOKUP($C179,OFFSET(enemy_skills!$A$1,0,0,COUNTA(enemy_skills!$A:$A),MATCH(E$1,enemy_skills!$1:$1,0)-MATCH("enemy_skill_id",enemy_skills!$1:$1,0)+1),MATCH(E$1,enemy_skills!$1:$1,0)-MATCH("enemy_skill_id",enemy_skills!$1:$1,0)+1,FALSE)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79" s="170">
        <v>49016710</v>
      </c>
      <c r="G179" s="48">
        <f ca="1">VLOOKUP($F179,OFFSET(enemy_skill_triggers!$A$1,0,0,COUNTA(enemy_skill_triggers!$A:$A),MATCH(G$1,enemy_skill_triggers!$1:$1,0)-MATCH($F$1,enemy_skill_triggers!$1:$1,0)+1),MATCH(G$1,enemy_skill_triggers!$1:$1,0)-MATCH($F$1,enemy_skill_triggers!$1:$1,0)+1,FALSE)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9" s="48">
        <f ca="1">VLOOKUP($F179,OFFSET(enemy_skill_triggers!$A$1,0,0,COUNTA(enemy_skill_triggers!$A:$A),MATCH(H$1,enemy_skill_triggers!$1:$1,0)-MATCH($F$1,enemy_skill_triggers!$1:$1,0)+1),MATCH(H$1,enemy_skill_triggers!$1:$1,0)-MATCH($F$1,enemy_skill_triggers!$1:$1,0)+1,FALSE)</f>
        <v>410</v>
      </c>
      <c r="I179" s="48">
        <f ca="1">VLOOKUP($F179,OFFSET(enemy_skill_triggers!$A$1,0,0,COUNTA(enemy_skill_triggers!$A:$A),MATCH(I$1,enemy_skill_triggers!$1:$1,0)-MATCH($F$1,enemy_skill_triggers!$1:$1,0)+1),MATCH(I$1,enemy_skill_triggers!$1:$1,0)-MATCH($F$1,enemy_skill_triggers!$1:$1,0)+1,FALSE)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9" s="48" t="str">
        <f ca="1">VLOOKUP($F179,OFFSET(enemy_skill_triggers!$A$1,0,0,COUNTA(enemy_skill_triggers!$A:$A),MATCH(J$1,enemy_skill_triggers!$1:$1,0)-MATCH($F$1,enemy_skill_triggers!$1:$1,0)+1),MATCH(J$1,enemy_skill_triggers!$1:$1,0)-MATCH($F$1,enemy_skill_triggers!$1:$1,0)+1,FALSE)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9" s="48" t="str">
        <f ca="1">VLOOKUP($F179,OFFSET(enemy_skill_triggers!$A$1,0,0,COUNTA(enemy_skill_triggers!$A:$A),MATCH(K$1,enemy_skill_triggers!$1:$1,0)-MATCH($F$1,enemy_skill_triggers!$1:$1,0)+1),MATCH(K$1,enemy_skill_triggers!$1:$1,0)-MATCH($F$1,enemy_skill_triggers!$1:$1,0)+1,FALSE)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9" s="48">
        <f ca="1">VLOOKUP($F179,OFFSET(enemy_skill_triggers!$A$1,0,0,COUNTA(enemy_skill_triggers!$A:$A),MATCH(L$1,enemy_skill_triggers!$1:$1,0)-MATCH($F$1,enemy_skill_triggers!$1:$1,0)+1),MATCH(L$1,enemy_skill_triggers!$1:$1,0)-MATCH($F$1,enemy_skill_triggers!$1:$1,0)+1,FALSE)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9" s="48">
        <f ca="1">VLOOKUP($F179,OFFSET(enemy_skill_triggers!$A$1,0,0,COUNTA(enemy_skill_triggers!$A:$A),MATCH(M$1,enemy_skill_triggers!$1:$1,0)-MATCH($F$1,enemy_skill_triggers!$1:$1,0)+1),MATCH(M$1,enemy_skill_triggers!$1:$1,0)-MATCH($F$1,enemy_skill_triggers!$1:$1,0)+1,FALSE)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9" s="48">
        <f ca="1">VLOOKUP($F179,OFFSET(enemy_skill_triggers!$A$1,0,0,COUNTA(enemy_skill_triggers!$A:$A),MATCH(N$1,enemy_skill_triggers!$1:$1,0)-MATCH($F$1,enemy_skill_triggers!$1:$1,0)+1),MATCH(N$1,enemy_skill_triggers!$1:$1,0)-MATCH($F$1,enemy_skill_triggers!$1:$1,0)+1,FALSE)</f>
        <v>1570</v>
      </c>
      <c r="O179" s="48">
        <f ca="1">VLOOKUP($F179,OFFSET(enemy_skill_triggers!$A$1,0,0,COUNTA(enemy_skill_triggers!$A:$A),MATCH(O$1,enemy_skill_triggers!$1:$1,0)-MATCH($F$1,enemy_skill_triggers!$1:$1,0)+1),MATCH(O$1,enemy_skill_triggers!$1:$1,0)-MATCH($F$1,enemy_skill_triggers!$1:$1,0)+1,FALSE)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9" s="47"/>
      <c r="Q179" s="47"/>
      <c r="R179" s="47"/>
    </row>
    <row r="180" spans="1:18" ht="14" customHeight="1" x14ac:dyDescent="0.15">
      <c r="A180" s="39" t="str">
        <f t="shared" si="14"/>
        <v>49016120_49016711</v>
      </c>
      <c r="B180" s="108">
        <v>49016120</v>
      </c>
      <c r="C180" s="170">
        <v>49016711</v>
      </c>
      <c r="D180" s="46" t="str">
        <f ca="1">VLOOKUP($C180,OFFSET(enemy_skills!$A$1,0,0,COUNTA(enemy_skills!$A:$A),MATCH(D$1,enemy_skills!$1:$1,0)-MATCH("enemy_skill_id",enemy_skills!$1:$1,0)+1),MATCH(D$1,enemy_skills!$1:$1,0)-MATCH("enemy_skill_id",enemy_skills!$1:$1,0)+1,FALSE)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180" s="46" t="str">
        <f ca="1">VLOOKUP($C180,OFFSET(enemy_skills!$A$1,0,0,COUNTA(enemy_skills!$A:$A),MATCH(E$1,enemy_skills!$1:$1,0)-MATCH("enemy_skill_id",enemy_skills!$1:$1,0)+1),MATCH(E$1,enemy_skills!$1:$1,0)-MATCH("enemy_skill_id",enemy_skills!$1:$1,0)+1,FALSE)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80" s="170">
        <v>49016711</v>
      </c>
      <c r="G180" s="48">
        <f ca="1">VLOOKUP($F180,OFFSET(enemy_skill_triggers!$A$1,0,0,COUNTA(enemy_skill_triggers!$A:$A),MATCH(G$1,enemy_skill_triggers!$1:$1,0)-MATCH($F$1,enemy_skill_triggers!$1:$1,0)+1),MATCH(G$1,enemy_skill_triggers!$1:$1,0)-MATCH($F$1,enemy_skill_triggers!$1:$1,0)+1,FALSE)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0" s="48">
        <f ca="1">VLOOKUP($F180,OFFSET(enemy_skill_triggers!$A$1,0,0,COUNTA(enemy_skill_triggers!$A:$A),MATCH(H$1,enemy_skill_triggers!$1:$1,0)-MATCH($F$1,enemy_skill_triggers!$1:$1,0)+1),MATCH(H$1,enemy_skill_triggers!$1:$1,0)-MATCH($F$1,enemy_skill_triggers!$1:$1,0)+1,FALSE)</f>
        <v>411</v>
      </c>
      <c r="I180" s="48">
        <f ca="1">VLOOKUP($F180,OFFSET(enemy_skill_triggers!$A$1,0,0,COUNTA(enemy_skill_triggers!$A:$A),MATCH(I$1,enemy_skill_triggers!$1:$1,0)-MATCH($F$1,enemy_skill_triggers!$1:$1,0)+1),MATCH(I$1,enemy_skill_triggers!$1:$1,0)-MATCH($F$1,enemy_skill_triggers!$1:$1,0)+1,FALSE)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0" s="48" t="str">
        <f ca="1">VLOOKUP($F180,OFFSET(enemy_skill_triggers!$A$1,0,0,COUNTA(enemy_skill_triggers!$A:$A),MATCH(J$1,enemy_skill_triggers!$1:$1,0)-MATCH($F$1,enemy_skill_triggers!$1:$1,0)+1),MATCH(J$1,enemy_skill_triggers!$1:$1,0)-MATCH($F$1,enemy_skill_triggers!$1:$1,0)+1,FALSE)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0" s="48" t="str">
        <f ca="1">VLOOKUP($F180,OFFSET(enemy_skill_triggers!$A$1,0,0,COUNTA(enemy_skill_triggers!$A:$A),MATCH(K$1,enemy_skill_triggers!$1:$1,0)-MATCH($F$1,enemy_skill_triggers!$1:$1,0)+1),MATCH(K$1,enemy_skill_triggers!$1:$1,0)-MATCH($F$1,enemy_skill_triggers!$1:$1,0)+1,FALSE)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0" s="48">
        <f ca="1">VLOOKUP($F180,OFFSET(enemy_skill_triggers!$A$1,0,0,COUNTA(enemy_skill_triggers!$A:$A),MATCH(L$1,enemy_skill_triggers!$1:$1,0)-MATCH($F$1,enemy_skill_triggers!$1:$1,0)+1),MATCH(L$1,enemy_skill_triggers!$1:$1,0)-MATCH($F$1,enemy_skill_triggers!$1:$1,0)+1,FALSE)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0" s="48">
        <f ca="1">VLOOKUP($F180,OFFSET(enemy_skill_triggers!$A$1,0,0,COUNTA(enemy_skill_triggers!$A:$A),MATCH(M$1,enemy_skill_triggers!$1:$1,0)-MATCH($F$1,enemy_skill_triggers!$1:$1,0)+1),MATCH(M$1,enemy_skill_triggers!$1:$1,0)-MATCH($F$1,enemy_skill_triggers!$1:$1,0)+1,FALSE)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0" s="48">
        <f ca="1">VLOOKUP($F180,OFFSET(enemy_skill_triggers!$A$1,0,0,COUNTA(enemy_skill_triggers!$A:$A),MATCH(N$1,enemy_skill_triggers!$1:$1,0)-MATCH($F$1,enemy_skill_triggers!$1:$1,0)+1),MATCH(N$1,enemy_skill_triggers!$1:$1,0)-MATCH($F$1,enemy_skill_triggers!$1:$1,0)+1,FALSE)</f>
        <v>1571</v>
      </c>
      <c r="O180" s="48">
        <f ca="1">VLOOKUP($F180,OFFSET(enemy_skill_triggers!$A$1,0,0,COUNTA(enemy_skill_triggers!$A:$A),MATCH(O$1,enemy_skill_triggers!$1:$1,0)-MATCH($F$1,enemy_skill_triggers!$1:$1,0)+1),MATCH(O$1,enemy_skill_triggers!$1:$1,0)-MATCH($F$1,enemy_skill_triggers!$1:$1,0)+1,FALSE)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0" s="47"/>
      <c r="Q180" s="47"/>
      <c r="R180" s="47"/>
    </row>
    <row r="181" spans="1:18" ht="14" customHeight="1" x14ac:dyDescent="0.15">
      <c r="A181" s="39" t="str">
        <f t="shared" si="14"/>
        <v>49016120_49016712</v>
      </c>
      <c r="B181" s="108">
        <v>49016120</v>
      </c>
      <c r="C181" s="170">
        <v>49016712</v>
      </c>
      <c r="D181" s="46" t="str">
        <f ca="1">VLOOKUP($C181,OFFSET(enemy_skills!$A$1,0,0,COUNTA(enemy_skills!$A:$A),MATCH(D$1,enemy_skills!$1:$1,0)-MATCH("enemy_skill_id",enemy_skills!$1:$1,0)+1),MATCH(D$1,enemy_skills!$1:$1,0)-MATCH("enemy_skill_id",enemy_skills!$1:$1,0)+1,FALSE)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181" s="46" t="str">
        <f ca="1">VLOOKUP($C181,OFFSET(enemy_skills!$A$1,0,0,COUNTA(enemy_skills!$A:$A),MATCH(E$1,enemy_skills!$1:$1,0)-MATCH("enemy_skill_id",enemy_skills!$1:$1,0)+1),MATCH(E$1,enemy_skills!$1:$1,0)-MATCH("enemy_skill_id",enemy_skills!$1:$1,0)+1,FALSE)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81" s="170">
        <v>49016712</v>
      </c>
      <c r="G181" s="48">
        <f ca="1">VLOOKUP($F181,OFFSET(enemy_skill_triggers!$A$1,0,0,COUNTA(enemy_skill_triggers!$A:$A),MATCH(G$1,enemy_skill_triggers!$1:$1,0)-MATCH($F$1,enemy_skill_triggers!$1:$1,0)+1),MATCH(G$1,enemy_skill_triggers!$1:$1,0)-MATCH($F$1,enemy_skill_triggers!$1:$1,0)+1,FALSE)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1" s="48">
        <f ca="1">VLOOKUP($F181,OFFSET(enemy_skill_triggers!$A$1,0,0,COUNTA(enemy_skill_triggers!$A:$A),MATCH(H$1,enemy_skill_triggers!$1:$1,0)-MATCH($F$1,enemy_skill_triggers!$1:$1,0)+1),MATCH(H$1,enemy_skill_triggers!$1:$1,0)-MATCH($F$1,enemy_skill_triggers!$1:$1,0)+1,FALSE)</f>
        <v>412</v>
      </c>
      <c r="I181" s="48">
        <f ca="1">VLOOKUP($F181,OFFSET(enemy_skill_triggers!$A$1,0,0,COUNTA(enemy_skill_triggers!$A:$A),MATCH(I$1,enemy_skill_triggers!$1:$1,0)-MATCH($F$1,enemy_skill_triggers!$1:$1,0)+1),MATCH(I$1,enemy_skill_triggers!$1:$1,0)-MATCH($F$1,enemy_skill_triggers!$1:$1,0)+1,FALSE)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1" s="48" t="str">
        <f ca="1">VLOOKUP($F181,OFFSET(enemy_skill_triggers!$A$1,0,0,COUNTA(enemy_skill_triggers!$A:$A),MATCH(J$1,enemy_skill_triggers!$1:$1,0)-MATCH($F$1,enemy_skill_triggers!$1:$1,0)+1),MATCH(J$1,enemy_skill_triggers!$1:$1,0)-MATCH($F$1,enemy_skill_triggers!$1:$1,0)+1,FALSE)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1" s="48" t="str">
        <f ca="1">VLOOKUP($F181,OFFSET(enemy_skill_triggers!$A$1,0,0,COUNTA(enemy_skill_triggers!$A:$A),MATCH(K$1,enemy_skill_triggers!$1:$1,0)-MATCH($F$1,enemy_skill_triggers!$1:$1,0)+1),MATCH(K$1,enemy_skill_triggers!$1:$1,0)-MATCH($F$1,enemy_skill_triggers!$1:$1,0)+1,FALSE)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1" s="48">
        <f ca="1">VLOOKUP($F181,OFFSET(enemy_skill_triggers!$A$1,0,0,COUNTA(enemy_skill_triggers!$A:$A),MATCH(L$1,enemy_skill_triggers!$1:$1,0)-MATCH($F$1,enemy_skill_triggers!$1:$1,0)+1),MATCH(L$1,enemy_skill_triggers!$1:$1,0)-MATCH($F$1,enemy_skill_triggers!$1:$1,0)+1,FALSE)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1" s="48">
        <f ca="1">VLOOKUP($F181,OFFSET(enemy_skill_triggers!$A$1,0,0,COUNTA(enemy_skill_triggers!$A:$A),MATCH(M$1,enemy_skill_triggers!$1:$1,0)-MATCH($F$1,enemy_skill_triggers!$1:$1,0)+1),MATCH(M$1,enemy_skill_triggers!$1:$1,0)-MATCH($F$1,enemy_skill_triggers!$1:$1,0)+1,FALSE)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1" s="48">
        <f ca="1">VLOOKUP($F181,OFFSET(enemy_skill_triggers!$A$1,0,0,COUNTA(enemy_skill_triggers!$A:$A),MATCH(N$1,enemy_skill_triggers!$1:$1,0)-MATCH($F$1,enemy_skill_triggers!$1:$1,0)+1),MATCH(N$1,enemy_skill_triggers!$1:$1,0)-MATCH($F$1,enemy_skill_triggers!$1:$1,0)+1,FALSE)</f>
        <v>1573</v>
      </c>
      <c r="O181" s="48">
        <f ca="1">VLOOKUP($F181,OFFSET(enemy_skill_triggers!$A$1,0,0,COUNTA(enemy_skill_triggers!$A:$A),MATCH(O$1,enemy_skill_triggers!$1:$1,0)-MATCH($F$1,enemy_skill_triggers!$1:$1,0)+1),MATCH(O$1,enemy_skill_triggers!$1:$1,0)-MATCH($F$1,enemy_skill_triggers!$1:$1,0)+1,FALSE)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1" s="47"/>
      <c r="Q181" s="47"/>
      <c r="R181" s="47"/>
    </row>
    <row r="182" spans="1:18" ht="14" customHeight="1" x14ac:dyDescent="0.15">
      <c r="A182" s="39" t="str">
        <f t="shared" si="14"/>
        <v>49016120_49016713</v>
      </c>
      <c r="B182" s="108">
        <v>49016120</v>
      </c>
      <c r="C182" s="170">
        <v>49016713</v>
      </c>
      <c r="D182" s="46" t="str">
        <f ca="1">VLOOKUP($C182,OFFSET(enemy_skills!$A$1,0,0,COUNTA(enemy_skills!$A:$A),MATCH(D$1,enemy_skills!$1:$1,0)-MATCH("enemy_skill_id",enemy_skills!$1:$1,0)+1),MATCH(D$1,enemy_skills!$1:$1,0)-MATCH("enemy_skill_id",enemy_skills!$1:$1,0)+1,FALSE)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182" s="46" t="str">
        <f ca="1">VLOOKUP($C182,OFFSET(enemy_skills!$A$1,0,0,COUNTA(enemy_skills!$A:$A),MATCH(E$1,enemy_skills!$1:$1,0)-MATCH("enemy_skill_id",enemy_skills!$1:$1,0)+1),MATCH(E$1,enemy_skills!$1:$1,0)-MATCH("enemy_skill_id",enemy_skills!$1:$1,0)+1,FALSE)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82" s="170">
        <v>49016713</v>
      </c>
      <c r="G182" s="48">
        <f ca="1">VLOOKUP($F182,OFFSET(enemy_skill_triggers!$A$1,0,0,COUNTA(enemy_skill_triggers!$A:$A),MATCH(G$1,enemy_skill_triggers!$1:$1,0)-MATCH($F$1,enemy_skill_triggers!$1:$1,0)+1),MATCH(G$1,enemy_skill_triggers!$1:$1,0)-MATCH($F$1,enemy_skill_triggers!$1:$1,0)+1,FALSE)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2" s="48">
        <f ca="1">VLOOKUP($F182,OFFSET(enemy_skill_triggers!$A$1,0,0,COUNTA(enemy_skill_triggers!$A:$A),MATCH(H$1,enemy_skill_triggers!$1:$1,0)-MATCH($F$1,enemy_skill_triggers!$1:$1,0)+1),MATCH(H$1,enemy_skill_triggers!$1:$1,0)-MATCH($F$1,enemy_skill_triggers!$1:$1,0)+1,FALSE)</f>
        <v>413</v>
      </c>
      <c r="I182" s="48">
        <f ca="1">VLOOKUP($F182,OFFSET(enemy_skill_triggers!$A$1,0,0,COUNTA(enemy_skill_triggers!$A:$A),MATCH(I$1,enemy_skill_triggers!$1:$1,0)-MATCH($F$1,enemy_skill_triggers!$1:$1,0)+1),MATCH(I$1,enemy_skill_triggers!$1:$1,0)-MATCH($F$1,enemy_skill_triggers!$1:$1,0)+1,FALSE)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2" s="48" t="str">
        <f ca="1">VLOOKUP($F182,OFFSET(enemy_skill_triggers!$A$1,0,0,COUNTA(enemy_skill_triggers!$A:$A),MATCH(J$1,enemy_skill_triggers!$1:$1,0)-MATCH($F$1,enemy_skill_triggers!$1:$1,0)+1),MATCH(J$1,enemy_skill_triggers!$1:$1,0)-MATCH($F$1,enemy_skill_triggers!$1:$1,0)+1,FALSE)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2" s="48" t="str">
        <f ca="1">VLOOKUP($F182,OFFSET(enemy_skill_triggers!$A$1,0,0,COUNTA(enemy_skill_triggers!$A:$A),MATCH(K$1,enemy_skill_triggers!$1:$1,0)-MATCH($F$1,enemy_skill_triggers!$1:$1,0)+1),MATCH(K$1,enemy_skill_triggers!$1:$1,0)-MATCH($F$1,enemy_skill_triggers!$1:$1,0)+1,FALSE)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2" s="48">
        <f ca="1">VLOOKUP($F182,OFFSET(enemy_skill_triggers!$A$1,0,0,COUNTA(enemy_skill_triggers!$A:$A),MATCH(L$1,enemy_skill_triggers!$1:$1,0)-MATCH($F$1,enemy_skill_triggers!$1:$1,0)+1),MATCH(L$1,enemy_skill_triggers!$1:$1,0)-MATCH($F$1,enemy_skill_triggers!$1:$1,0)+1,FALSE)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2" s="48">
        <f ca="1">VLOOKUP($F182,OFFSET(enemy_skill_triggers!$A$1,0,0,COUNTA(enemy_skill_triggers!$A:$A),MATCH(M$1,enemy_skill_triggers!$1:$1,0)-MATCH($F$1,enemy_skill_triggers!$1:$1,0)+1),MATCH(M$1,enemy_skill_triggers!$1:$1,0)-MATCH($F$1,enemy_skill_triggers!$1:$1,0)+1,FALSE)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2" s="48">
        <f ca="1">VLOOKUP($F182,OFFSET(enemy_skill_triggers!$A$1,0,0,COUNTA(enemy_skill_triggers!$A:$A),MATCH(N$1,enemy_skill_triggers!$1:$1,0)-MATCH($F$1,enemy_skill_triggers!$1:$1,0)+1),MATCH(N$1,enemy_skill_triggers!$1:$1,0)-MATCH($F$1,enemy_skill_triggers!$1:$1,0)+1,FALSE)</f>
        <v>1574</v>
      </c>
      <c r="O182" s="48">
        <f ca="1">VLOOKUP($F182,OFFSET(enemy_skill_triggers!$A$1,0,0,COUNTA(enemy_skill_triggers!$A:$A),MATCH(O$1,enemy_skill_triggers!$1:$1,0)-MATCH($F$1,enemy_skill_triggers!$1:$1,0)+1),MATCH(O$1,enemy_skill_triggers!$1:$1,0)-MATCH($F$1,enemy_skill_triggers!$1:$1,0)+1,FALSE)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2" s="47"/>
      <c r="Q182" s="47"/>
      <c r="R182" s="47"/>
    </row>
    <row r="183" spans="1:18" ht="14" customHeight="1" x14ac:dyDescent="0.15">
      <c r="A183" s="39" t="str">
        <f t="shared" si="14"/>
        <v>49016120_49016714</v>
      </c>
      <c r="B183" s="108">
        <v>49016120</v>
      </c>
      <c r="C183" s="170">
        <v>49016714</v>
      </c>
      <c r="D183" s="46" t="str">
        <f ca="1">VLOOKUP($C183,OFFSET(enemy_skills!$A$1,0,0,COUNTA(enemy_skills!$A:$A),MATCH(D$1,enemy_skills!$1:$1,0)-MATCH("enemy_skill_id",enemy_skills!$1:$1,0)+1),MATCH(D$1,enemy_skills!$1:$1,0)-MATCH("enemy_skill_id",enemy_skills!$1:$1,0)+1,FALSE)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183" s="46" t="str">
        <f ca="1">VLOOKUP($C183,OFFSET(enemy_skills!$A$1,0,0,COUNTA(enemy_skills!$A:$A),MATCH(E$1,enemy_skills!$1:$1,0)-MATCH("enemy_skill_id",enemy_skills!$1:$1,0)+1),MATCH(E$1,enemy_skills!$1:$1,0)-MATCH("enemy_skill_id",enemy_skills!$1:$1,0)+1,FALSE)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83" s="170">
        <v>49016714</v>
      </c>
      <c r="G183" s="48">
        <f ca="1">VLOOKUP($F183,OFFSET(enemy_skill_triggers!$A$1,0,0,COUNTA(enemy_skill_triggers!$A:$A),MATCH(G$1,enemy_skill_triggers!$1:$1,0)-MATCH($F$1,enemy_skill_triggers!$1:$1,0)+1),MATCH(G$1,enemy_skill_triggers!$1:$1,0)-MATCH($F$1,enemy_skill_triggers!$1:$1,0)+1,FALSE)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3" s="48">
        <f ca="1">VLOOKUP($F183,OFFSET(enemy_skill_triggers!$A$1,0,0,COUNTA(enemy_skill_triggers!$A:$A),MATCH(H$1,enemy_skill_triggers!$1:$1,0)-MATCH($F$1,enemy_skill_triggers!$1:$1,0)+1),MATCH(H$1,enemy_skill_triggers!$1:$1,0)-MATCH($F$1,enemy_skill_triggers!$1:$1,0)+1,FALSE)</f>
        <v>414</v>
      </c>
      <c r="I183" s="48">
        <f ca="1">VLOOKUP($F183,OFFSET(enemy_skill_triggers!$A$1,0,0,COUNTA(enemy_skill_triggers!$A:$A),MATCH(I$1,enemy_skill_triggers!$1:$1,0)-MATCH($F$1,enemy_skill_triggers!$1:$1,0)+1),MATCH(I$1,enemy_skill_triggers!$1:$1,0)-MATCH($F$1,enemy_skill_triggers!$1:$1,0)+1,FALSE)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3" s="48" t="str">
        <f ca="1">VLOOKUP($F183,OFFSET(enemy_skill_triggers!$A$1,0,0,COUNTA(enemy_skill_triggers!$A:$A),MATCH(J$1,enemy_skill_triggers!$1:$1,0)-MATCH($F$1,enemy_skill_triggers!$1:$1,0)+1),MATCH(J$1,enemy_skill_triggers!$1:$1,0)-MATCH($F$1,enemy_skill_triggers!$1:$1,0)+1,FALSE)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3" s="48" t="str">
        <f ca="1">VLOOKUP($F183,OFFSET(enemy_skill_triggers!$A$1,0,0,COUNTA(enemy_skill_triggers!$A:$A),MATCH(K$1,enemy_skill_triggers!$1:$1,0)-MATCH($F$1,enemy_skill_triggers!$1:$1,0)+1),MATCH(K$1,enemy_skill_triggers!$1:$1,0)-MATCH($F$1,enemy_skill_triggers!$1:$1,0)+1,FALSE)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3" s="48">
        <f ca="1">VLOOKUP($F183,OFFSET(enemy_skill_triggers!$A$1,0,0,COUNTA(enemy_skill_triggers!$A:$A),MATCH(L$1,enemy_skill_triggers!$1:$1,0)-MATCH($F$1,enemy_skill_triggers!$1:$1,0)+1),MATCH(L$1,enemy_skill_triggers!$1:$1,0)-MATCH($F$1,enemy_skill_triggers!$1:$1,0)+1,FALSE)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3" s="48">
        <f ca="1">VLOOKUP($F183,OFFSET(enemy_skill_triggers!$A$1,0,0,COUNTA(enemy_skill_triggers!$A:$A),MATCH(M$1,enemy_skill_triggers!$1:$1,0)-MATCH($F$1,enemy_skill_triggers!$1:$1,0)+1),MATCH(M$1,enemy_skill_triggers!$1:$1,0)-MATCH($F$1,enemy_skill_triggers!$1:$1,0)+1,FALSE)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3" s="48">
        <f ca="1">VLOOKUP($F183,OFFSET(enemy_skill_triggers!$A$1,0,0,COUNTA(enemy_skill_triggers!$A:$A),MATCH(N$1,enemy_skill_triggers!$1:$1,0)-MATCH($F$1,enemy_skill_triggers!$1:$1,0)+1),MATCH(N$1,enemy_skill_triggers!$1:$1,0)-MATCH($F$1,enemy_skill_triggers!$1:$1,0)+1,FALSE)</f>
        <v>1575</v>
      </c>
      <c r="O183" s="48">
        <f ca="1">VLOOKUP($F183,OFFSET(enemy_skill_triggers!$A$1,0,0,COUNTA(enemy_skill_triggers!$A:$A),MATCH(O$1,enemy_skill_triggers!$1:$1,0)-MATCH($F$1,enemy_skill_triggers!$1:$1,0)+1),MATCH(O$1,enemy_skill_triggers!$1:$1,0)-MATCH($F$1,enemy_skill_triggers!$1:$1,0)+1,FALSE)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3" s="47"/>
      <c r="Q183" s="47"/>
      <c r="R183" s="47"/>
    </row>
    <row r="184" spans="1:18" ht="14" customHeight="1" x14ac:dyDescent="0.15">
      <c r="A184" s="39" t="str">
        <f t="shared" si="14"/>
        <v>49016120_49016715</v>
      </c>
      <c r="B184" s="108">
        <v>49016120</v>
      </c>
      <c r="C184" s="170">
        <v>49016715</v>
      </c>
      <c r="D184" s="46" t="str">
        <f ca="1">VLOOKUP($C184,OFFSET(enemy_skills!$A$1,0,0,COUNTA(enemy_skills!$A:$A),MATCH(D$1,enemy_skills!$1:$1,0)-MATCH("enemy_skill_id",enemy_skills!$1:$1,0)+1),MATCH(D$1,enemy_skills!$1:$1,0)-MATCH("enemy_skill_id",enemy_skills!$1:$1,0)+1,FALSE)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184" s="46" t="str">
        <f ca="1">VLOOKUP($C184,OFFSET(enemy_skills!$A$1,0,0,COUNTA(enemy_skills!$A:$A),MATCH(E$1,enemy_skills!$1:$1,0)-MATCH("enemy_skill_id",enemy_skills!$1:$1,0)+1),MATCH(E$1,enemy_skills!$1:$1,0)-MATCH("enemy_skill_id",enemy_skills!$1:$1,0)+1,FALSE)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84" s="170">
        <v>49016715</v>
      </c>
      <c r="G184" s="48">
        <f ca="1">VLOOKUP($F184,OFFSET(enemy_skill_triggers!$A$1,0,0,COUNTA(enemy_skill_triggers!$A:$A),MATCH(G$1,enemy_skill_triggers!$1:$1,0)-MATCH($F$1,enemy_skill_triggers!$1:$1,0)+1),MATCH(G$1,enemy_skill_triggers!$1:$1,0)-MATCH($F$1,enemy_skill_triggers!$1:$1,0)+1,FALSE)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4" s="48">
        <f ca="1">VLOOKUP($F184,OFFSET(enemy_skill_triggers!$A$1,0,0,COUNTA(enemy_skill_triggers!$A:$A),MATCH(H$1,enemy_skill_triggers!$1:$1,0)-MATCH($F$1,enemy_skill_triggers!$1:$1,0)+1),MATCH(H$1,enemy_skill_triggers!$1:$1,0)-MATCH($F$1,enemy_skill_triggers!$1:$1,0)+1,FALSE)</f>
        <v>415</v>
      </c>
      <c r="I184" s="48">
        <f ca="1">VLOOKUP($F184,OFFSET(enemy_skill_triggers!$A$1,0,0,COUNTA(enemy_skill_triggers!$A:$A),MATCH(I$1,enemy_skill_triggers!$1:$1,0)-MATCH($F$1,enemy_skill_triggers!$1:$1,0)+1),MATCH(I$1,enemy_skill_triggers!$1:$1,0)-MATCH($F$1,enemy_skill_triggers!$1:$1,0)+1,FALSE)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4" s="48" t="str">
        <f ca="1">VLOOKUP($F184,OFFSET(enemy_skill_triggers!$A$1,0,0,COUNTA(enemy_skill_triggers!$A:$A),MATCH(J$1,enemy_skill_triggers!$1:$1,0)-MATCH($F$1,enemy_skill_triggers!$1:$1,0)+1),MATCH(J$1,enemy_skill_triggers!$1:$1,0)-MATCH($F$1,enemy_skill_triggers!$1:$1,0)+1,FALSE)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4" s="48" t="str">
        <f ca="1">VLOOKUP($F184,OFFSET(enemy_skill_triggers!$A$1,0,0,COUNTA(enemy_skill_triggers!$A:$A),MATCH(K$1,enemy_skill_triggers!$1:$1,0)-MATCH($F$1,enemy_skill_triggers!$1:$1,0)+1),MATCH(K$1,enemy_skill_triggers!$1:$1,0)-MATCH($F$1,enemy_skill_triggers!$1:$1,0)+1,FALSE)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4" s="48">
        <f ca="1">VLOOKUP($F184,OFFSET(enemy_skill_triggers!$A$1,0,0,COUNTA(enemy_skill_triggers!$A:$A),MATCH(L$1,enemy_skill_triggers!$1:$1,0)-MATCH($F$1,enemy_skill_triggers!$1:$1,0)+1),MATCH(L$1,enemy_skill_triggers!$1:$1,0)-MATCH($F$1,enemy_skill_triggers!$1:$1,0)+1,FALSE)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4" s="48">
        <f ca="1">VLOOKUP($F184,OFFSET(enemy_skill_triggers!$A$1,0,0,COUNTA(enemy_skill_triggers!$A:$A),MATCH(M$1,enemy_skill_triggers!$1:$1,0)-MATCH($F$1,enemy_skill_triggers!$1:$1,0)+1),MATCH(M$1,enemy_skill_triggers!$1:$1,0)-MATCH($F$1,enemy_skill_triggers!$1:$1,0)+1,FALSE)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4" s="48">
        <f ca="1">VLOOKUP($F184,OFFSET(enemy_skill_triggers!$A$1,0,0,COUNTA(enemy_skill_triggers!$A:$A),MATCH(N$1,enemy_skill_triggers!$1:$1,0)-MATCH($F$1,enemy_skill_triggers!$1:$1,0)+1),MATCH(N$1,enemy_skill_triggers!$1:$1,0)-MATCH($F$1,enemy_skill_triggers!$1:$1,0)+1,FALSE)</f>
        <v>1577</v>
      </c>
      <c r="O184" s="48">
        <f ca="1">VLOOKUP($F184,OFFSET(enemy_skill_triggers!$A$1,0,0,COUNTA(enemy_skill_triggers!$A:$A),MATCH(O$1,enemy_skill_triggers!$1:$1,0)-MATCH($F$1,enemy_skill_triggers!$1:$1,0)+1),MATCH(O$1,enemy_skill_triggers!$1:$1,0)-MATCH($F$1,enemy_skill_triggers!$1:$1,0)+1,FALSE)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4" s="47"/>
      <c r="Q184" s="47"/>
      <c r="R184" s="47"/>
    </row>
    <row r="185" spans="1:18" ht="14" customHeight="1" x14ac:dyDescent="0.15">
      <c r="A185" s="39" t="str">
        <f t="shared" si="14"/>
        <v>49016120_49016716</v>
      </c>
      <c r="B185" s="108">
        <v>49016120</v>
      </c>
      <c r="C185" s="170">
        <v>49016716</v>
      </c>
      <c r="D185" s="46" t="str">
        <f ca="1">VLOOKUP($C185,OFFSET(enemy_skills!$A$1,0,0,COUNTA(enemy_skills!$A:$A),MATCH(D$1,enemy_skills!$1:$1,0)-MATCH("enemy_skill_id",enemy_skills!$1:$1,0)+1),MATCH(D$1,enemy_skills!$1:$1,0)-MATCH("enemy_skill_id",enemy_skills!$1:$1,0)+1,FALSE)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185" s="46" t="str">
        <f ca="1">VLOOKUP($C185,OFFSET(enemy_skills!$A$1,0,0,COUNTA(enemy_skills!$A:$A),MATCH(E$1,enemy_skills!$1:$1,0)-MATCH("enemy_skill_id",enemy_skills!$1:$1,0)+1),MATCH(E$1,enemy_skills!$1:$1,0)-MATCH("enemy_skill_id",enemy_skills!$1:$1,0)+1,FALSE)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85" s="170">
        <v>49016716</v>
      </c>
      <c r="G185" s="48">
        <f ca="1">VLOOKUP($F185,OFFSET(enemy_skill_triggers!$A$1,0,0,COUNTA(enemy_skill_triggers!$A:$A),MATCH(G$1,enemy_skill_triggers!$1:$1,0)-MATCH($F$1,enemy_skill_triggers!$1:$1,0)+1),MATCH(G$1,enemy_skill_triggers!$1:$1,0)-MATCH($F$1,enemy_skill_triggers!$1:$1,0)+1,FALSE)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5" s="48">
        <f ca="1">VLOOKUP($F185,OFFSET(enemy_skill_triggers!$A$1,0,0,COUNTA(enemy_skill_triggers!$A:$A),MATCH(H$1,enemy_skill_triggers!$1:$1,0)-MATCH($F$1,enemy_skill_triggers!$1:$1,0)+1),MATCH(H$1,enemy_skill_triggers!$1:$1,0)-MATCH($F$1,enemy_skill_triggers!$1:$1,0)+1,FALSE)</f>
        <v>416</v>
      </c>
      <c r="I185" s="48">
        <f ca="1">VLOOKUP($F185,OFFSET(enemy_skill_triggers!$A$1,0,0,COUNTA(enemy_skill_triggers!$A:$A),MATCH(I$1,enemy_skill_triggers!$1:$1,0)-MATCH($F$1,enemy_skill_triggers!$1:$1,0)+1),MATCH(I$1,enemy_skill_triggers!$1:$1,0)-MATCH($F$1,enemy_skill_triggers!$1:$1,0)+1,FALSE)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5" s="48" t="str">
        <f ca="1">VLOOKUP($F185,OFFSET(enemy_skill_triggers!$A$1,0,0,COUNTA(enemy_skill_triggers!$A:$A),MATCH(J$1,enemy_skill_triggers!$1:$1,0)-MATCH($F$1,enemy_skill_triggers!$1:$1,0)+1),MATCH(J$1,enemy_skill_triggers!$1:$1,0)-MATCH($F$1,enemy_skill_triggers!$1:$1,0)+1,FALSE)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5" s="48" t="str">
        <f ca="1">VLOOKUP($F185,OFFSET(enemy_skill_triggers!$A$1,0,0,COUNTA(enemy_skill_triggers!$A:$A),MATCH(K$1,enemy_skill_triggers!$1:$1,0)-MATCH($F$1,enemy_skill_triggers!$1:$1,0)+1),MATCH(K$1,enemy_skill_triggers!$1:$1,0)-MATCH($F$1,enemy_skill_triggers!$1:$1,0)+1,FALSE)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5" s="48">
        <f ca="1">VLOOKUP($F185,OFFSET(enemy_skill_triggers!$A$1,0,0,COUNTA(enemy_skill_triggers!$A:$A),MATCH(L$1,enemy_skill_triggers!$1:$1,0)-MATCH($F$1,enemy_skill_triggers!$1:$1,0)+1),MATCH(L$1,enemy_skill_triggers!$1:$1,0)-MATCH($F$1,enemy_skill_triggers!$1:$1,0)+1,FALSE)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5" s="48">
        <f ca="1">VLOOKUP($F185,OFFSET(enemy_skill_triggers!$A$1,0,0,COUNTA(enemy_skill_triggers!$A:$A),MATCH(M$1,enemy_skill_triggers!$1:$1,0)-MATCH($F$1,enemy_skill_triggers!$1:$1,0)+1),MATCH(M$1,enemy_skill_triggers!$1:$1,0)-MATCH($F$1,enemy_skill_triggers!$1:$1,0)+1,FALSE)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5" s="48">
        <f ca="1">VLOOKUP($F185,OFFSET(enemy_skill_triggers!$A$1,0,0,COUNTA(enemy_skill_triggers!$A:$A),MATCH(N$1,enemy_skill_triggers!$1:$1,0)-MATCH($F$1,enemy_skill_triggers!$1:$1,0)+1),MATCH(N$1,enemy_skill_triggers!$1:$1,0)-MATCH($F$1,enemy_skill_triggers!$1:$1,0)+1,FALSE)</f>
        <v>1578</v>
      </c>
      <c r="O185" s="48">
        <f ca="1">VLOOKUP($F185,OFFSET(enemy_skill_triggers!$A$1,0,0,COUNTA(enemy_skill_triggers!$A:$A),MATCH(O$1,enemy_skill_triggers!$1:$1,0)-MATCH($F$1,enemy_skill_triggers!$1:$1,0)+1),MATCH(O$1,enemy_skill_triggers!$1:$1,0)-MATCH($F$1,enemy_skill_triggers!$1:$1,0)+1,FALSE)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5" s="47"/>
      <c r="Q185" s="47"/>
      <c r="R185" s="47"/>
    </row>
    <row r="186" spans="1:18" ht="14" customHeight="1" x14ac:dyDescent="0.15">
      <c r="A186" s="39" t="str">
        <f t="shared" si="14"/>
        <v>49016120_49016717</v>
      </c>
      <c r="B186" s="108">
        <v>49016120</v>
      </c>
      <c r="C186" s="170">
        <v>49016717</v>
      </c>
      <c r="D186" s="46" t="str">
        <f ca="1">VLOOKUP($C186,OFFSET(enemy_skills!$A$1,0,0,COUNTA(enemy_skills!$A:$A),MATCH(D$1,enemy_skills!$1:$1,0)-MATCH("enemy_skill_id",enemy_skills!$1:$1,0)+1),MATCH(D$1,enemy_skills!$1:$1,0)-MATCH("enemy_skill_id",enemy_skills!$1:$1,0)+1,FALSE)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186" s="46" t="str">
        <f ca="1">VLOOKUP($C186,OFFSET(enemy_skills!$A$1,0,0,COUNTA(enemy_skills!$A:$A),MATCH(E$1,enemy_skills!$1:$1,0)-MATCH("enemy_skill_id",enemy_skills!$1:$1,0)+1),MATCH(E$1,enemy_skills!$1:$1,0)-MATCH("enemy_skill_id",enemy_skills!$1:$1,0)+1,FALSE)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86" s="170">
        <v>49016717</v>
      </c>
      <c r="G186" s="48">
        <f ca="1">VLOOKUP($F186,OFFSET(enemy_skill_triggers!$A$1,0,0,COUNTA(enemy_skill_triggers!$A:$A),MATCH(G$1,enemy_skill_triggers!$1:$1,0)-MATCH($F$1,enemy_skill_triggers!$1:$1,0)+1),MATCH(G$1,enemy_skill_triggers!$1:$1,0)-MATCH($F$1,enemy_skill_triggers!$1:$1,0)+1,FALSE)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6" s="48">
        <f ca="1">VLOOKUP($F186,OFFSET(enemy_skill_triggers!$A$1,0,0,COUNTA(enemy_skill_triggers!$A:$A),MATCH(H$1,enemy_skill_triggers!$1:$1,0)-MATCH($F$1,enemy_skill_triggers!$1:$1,0)+1),MATCH(H$1,enemy_skill_triggers!$1:$1,0)-MATCH($F$1,enemy_skill_triggers!$1:$1,0)+1,FALSE)</f>
        <v>417</v>
      </c>
      <c r="I186" s="48">
        <f ca="1">VLOOKUP($F186,OFFSET(enemy_skill_triggers!$A$1,0,0,COUNTA(enemy_skill_triggers!$A:$A),MATCH(I$1,enemy_skill_triggers!$1:$1,0)-MATCH($F$1,enemy_skill_triggers!$1:$1,0)+1),MATCH(I$1,enemy_skill_triggers!$1:$1,0)-MATCH($F$1,enemy_skill_triggers!$1:$1,0)+1,FALSE)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6" s="48" t="str">
        <f ca="1">VLOOKUP($F186,OFFSET(enemy_skill_triggers!$A$1,0,0,COUNTA(enemy_skill_triggers!$A:$A),MATCH(J$1,enemy_skill_triggers!$1:$1,0)-MATCH($F$1,enemy_skill_triggers!$1:$1,0)+1),MATCH(J$1,enemy_skill_triggers!$1:$1,0)-MATCH($F$1,enemy_skill_triggers!$1:$1,0)+1,FALSE)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6" s="48" t="str">
        <f ca="1">VLOOKUP($F186,OFFSET(enemy_skill_triggers!$A$1,0,0,COUNTA(enemy_skill_triggers!$A:$A),MATCH(K$1,enemy_skill_triggers!$1:$1,0)-MATCH($F$1,enemy_skill_triggers!$1:$1,0)+1),MATCH(K$1,enemy_skill_triggers!$1:$1,0)-MATCH($F$1,enemy_skill_triggers!$1:$1,0)+1,FALSE)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6" s="48">
        <f ca="1">VLOOKUP($F186,OFFSET(enemy_skill_triggers!$A$1,0,0,COUNTA(enemy_skill_triggers!$A:$A),MATCH(L$1,enemy_skill_triggers!$1:$1,0)-MATCH($F$1,enemy_skill_triggers!$1:$1,0)+1),MATCH(L$1,enemy_skill_triggers!$1:$1,0)-MATCH($F$1,enemy_skill_triggers!$1:$1,0)+1,FALSE)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6" s="48">
        <f ca="1">VLOOKUP($F186,OFFSET(enemy_skill_triggers!$A$1,0,0,COUNTA(enemy_skill_triggers!$A:$A),MATCH(M$1,enemy_skill_triggers!$1:$1,0)-MATCH($F$1,enemy_skill_triggers!$1:$1,0)+1),MATCH(M$1,enemy_skill_triggers!$1:$1,0)-MATCH($F$1,enemy_skill_triggers!$1:$1,0)+1,FALSE)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6" s="48">
        <f ca="1">VLOOKUP($F186,OFFSET(enemy_skill_triggers!$A$1,0,0,COUNTA(enemy_skill_triggers!$A:$A),MATCH(N$1,enemy_skill_triggers!$1:$1,0)-MATCH($F$1,enemy_skill_triggers!$1:$1,0)+1),MATCH(N$1,enemy_skill_triggers!$1:$1,0)-MATCH($F$1,enemy_skill_triggers!$1:$1,0)+1,FALSE)</f>
        <v>1579</v>
      </c>
      <c r="O186" s="48">
        <f ca="1">VLOOKUP($F186,OFFSET(enemy_skill_triggers!$A$1,0,0,COUNTA(enemy_skill_triggers!$A:$A),MATCH(O$1,enemy_skill_triggers!$1:$1,0)-MATCH($F$1,enemy_skill_triggers!$1:$1,0)+1),MATCH(O$1,enemy_skill_triggers!$1:$1,0)-MATCH($F$1,enemy_skill_triggers!$1:$1,0)+1,FALSE)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6" s="47"/>
      <c r="Q186" s="47"/>
      <c r="R186" s="47"/>
    </row>
    <row r="187" spans="1:18" ht="14" customHeight="1" x14ac:dyDescent="0.15">
      <c r="A187" s="39" t="str">
        <f t="shared" si="14"/>
        <v>49016120_49016718</v>
      </c>
      <c r="B187" s="108">
        <v>49016120</v>
      </c>
      <c r="C187" s="170">
        <v>49016718</v>
      </c>
      <c r="D187" s="46" t="str">
        <f ca="1">VLOOKUP($C187,OFFSET(enemy_skills!$A$1,0,0,COUNTA(enemy_skills!$A:$A),MATCH(D$1,enemy_skills!$1:$1,0)-MATCH("enemy_skill_id",enemy_skills!$1:$1,0)+1),MATCH(D$1,enemy_skills!$1:$1,0)-MATCH("enemy_skill_id",enemy_skills!$1:$1,0)+1,FALSE)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187" s="46" t="str">
        <f ca="1">VLOOKUP($C187,OFFSET(enemy_skills!$A$1,0,0,COUNTA(enemy_skills!$A:$A),MATCH(E$1,enemy_skills!$1:$1,0)-MATCH("enemy_skill_id",enemy_skills!$1:$1,0)+1),MATCH(E$1,enemy_skills!$1:$1,0)-MATCH("enemy_skill_id",enemy_skills!$1:$1,0)+1,FALSE)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87" s="170">
        <v>49016718</v>
      </c>
      <c r="G187" s="48">
        <f ca="1">VLOOKUP($F187,OFFSET(enemy_skill_triggers!$A$1,0,0,COUNTA(enemy_skill_triggers!$A:$A),MATCH(G$1,enemy_skill_triggers!$1:$1,0)-MATCH($F$1,enemy_skill_triggers!$1:$1,0)+1),MATCH(G$1,enemy_skill_triggers!$1:$1,0)-MATCH($F$1,enemy_skill_triggers!$1:$1,0)+1,FALSE)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7" s="48">
        <f ca="1">VLOOKUP($F187,OFFSET(enemy_skill_triggers!$A$1,0,0,COUNTA(enemy_skill_triggers!$A:$A),MATCH(H$1,enemy_skill_triggers!$1:$1,0)-MATCH($F$1,enemy_skill_triggers!$1:$1,0)+1),MATCH(H$1,enemy_skill_triggers!$1:$1,0)-MATCH($F$1,enemy_skill_triggers!$1:$1,0)+1,FALSE)</f>
        <v>418</v>
      </c>
      <c r="I187" s="48">
        <f ca="1">VLOOKUP($F187,OFFSET(enemy_skill_triggers!$A$1,0,0,COUNTA(enemy_skill_triggers!$A:$A),MATCH(I$1,enemy_skill_triggers!$1:$1,0)-MATCH($F$1,enemy_skill_triggers!$1:$1,0)+1),MATCH(I$1,enemy_skill_triggers!$1:$1,0)-MATCH($F$1,enemy_skill_triggers!$1:$1,0)+1,FALSE)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7" s="48" t="str">
        <f ca="1">VLOOKUP($F187,OFFSET(enemy_skill_triggers!$A$1,0,0,COUNTA(enemy_skill_triggers!$A:$A),MATCH(J$1,enemy_skill_triggers!$1:$1,0)-MATCH($F$1,enemy_skill_triggers!$1:$1,0)+1),MATCH(J$1,enemy_skill_triggers!$1:$1,0)-MATCH($F$1,enemy_skill_triggers!$1:$1,0)+1,FALSE)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7" s="48" t="str">
        <f ca="1">VLOOKUP($F187,OFFSET(enemy_skill_triggers!$A$1,0,0,COUNTA(enemy_skill_triggers!$A:$A),MATCH(K$1,enemy_skill_triggers!$1:$1,0)-MATCH($F$1,enemy_skill_triggers!$1:$1,0)+1),MATCH(K$1,enemy_skill_triggers!$1:$1,0)-MATCH($F$1,enemy_skill_triggers!$1:$1,0)+1,FALSE)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7" s="48">
        <f ca="1">VLOOKUP($F187,OFFSET(enemy_skill_triggers!$A$1,0,0,COUNTA(enemy_skill_triggers!$A:$A),MATCH(L$1,enemy_skill_triggers!$1:$1,0)-MATCH($F$1,enemy_skill_triggers!$1:$1,0)+1),MATCH(L$1,enemy_skill_triggers!$1:$1,0)-MATCH($F$1,enemy_skill_triggers!$1:$1,0)+1,FALSE)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7" s="48">
        <f ca="1">VLOOKUP($F187,OFFSET(enemy_skill_triggers!$A$1,0,0,COUNTA(enemy_skill_triggers!$A:$A),MATCH(M$1,enemy_skill_triggers!$1:$1,0)-MATCH($F$1,enemy_skill_triggers!$1:$1,0)+1),MATCH(M$1,enemy_skill_triggers!$1:$1,0)-MATCH($F$1,enemy_skill_triggers!$1:$1,0)+1,FALSE)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7" s="48">
        <f ca="1">VLOOKUP($F187,OFFSET(enemy_skill_triggers!$A$1,0,0,COUNTA(enemy_skill_triggers!$A:$A),MATCH(N$1,enemy_skill_triggers!$1:$1,0)-MATCH($F$1,enemy_skill_triggers!$1:$1,0)+1),MATCH(N$1,enemy_skill_triggers!$1:$1,0)-MATCH($F$1,enemy_skill_triggers!$1:$1,0)+1,FALSE)</f>
        <v>1581</v>
      </c>
      <c r="O187" s="48">
        <f ca="1">VLOOKUP($F187,OFFSET(enemy_skill_triggers!$A$1,0,0,COUNTA(enemy_skill_triggers!$A:$A),MATCH(O$1,enemy_skill_triggers!$1:$1,0)-MATCH($F$1,enemy_skill_triggers!$1:$1,0)+1),MATCH(O$1,enemy_skill_triggers!$1:$1,0)-MATCH($F$1,enemy_skill_triggers!$1:$1,0)+1,FALSE)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7" s="47"/>
      <c r="Q187" s="47"/>
      <c r="R187" s="47"/>
    </row>
    <row r="188" spans="1:18" ht="14" customHeight="1" x14ac:dyDescent="0.15">
      <c r="A188" s="39" t="str">
        <f t="shared" si="14"/>
        <v>49016120_49016719</v>
      </c>
      <c r="B188" s="108">
        <v>49016120</v>
      </c>
      <c r="C188" s="170">
        <v>49016719</v>
      </c>
      <c r="D188" s="46" t="str">
        <f ca="1">VLOOKUP($C188,OFFSET(enemy_skills!$A$1,0,0,COUNTA(enemy_skills!$A:$A),MATCH(D$1,enemy_skills!$1:$1,0)-MATCH("enemy_skill_id",enemy_skills!$1:$1,0)+1),MATCH(D$1,enemy_skills!$1:$1,0)-MATCH("enemy_skill_id",enemy_skills!$1:$1,0)+1,FALSE)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188" s="46" t="str">
        <f ca="1">VLOOKUP($C188,OFFSET(enemy_skills!$A$1,0,0,COUNTA(enemy_skills!$A:$A),MATCH(E$1,enemy_skills!$1:$1,0)-MATCH("enemy_skill_id",enemy_skills!$1:$1,0)+1),MATCH(E$1,enemy_skills!$1:$1,0)-MATCH("enemy_skill_id",enemy_skills!$1:$1,0)+1,FALSE)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88" s="170">
        <v>49016719</v>
      </c>
      <c r="G188" s="48">
        <f ca="1">VLOOKUP($F188,OFFSET(enemy_skill_triggers!$A$1,0,0,COUNTA(enemy_skill_triggers!$A:$A),MATCH(G$1,enemy_skill_triggers!$1:$1,0)-MATCH($F$1,enemy_skill_triggers!$1:$1,0)+1),MATCH(G$1,enemy_skill_triggers!$1:$1,0)-MATCH($F$1,enemy_skill_triggers!$1:$1,0)+1,FALSE)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8" s="48">
        <f ca="1">VLOOKUP($F188,OFFSET(enemy_skill_triggers!$A$1,0,0,COUNTA(enemy_skill_triggers!$A:$A),MATCH(H$1,enemy_skill_triggers!$1:$1,0)-MATCH($F$1,enemy_skill_triggers!$1:$1,0)+1),MATCH(H$1,enemy_skill_triggers!$1:$1,0)-MATCH($F$1,enemy_skill_triggers!$1:$1,0)+1,FALSE)</f>
        <v>419</v>
      </c>
      <c r="I188" s="48">
        <f ca="1">VLOOKUP($F188,OFFSET(enemy_skill_triggers!$A$1,0,0,COUNTA(enemy_skill_triggers!$A:$A),MATCH(I$1,enemy_skill_triggers!$1:$1,0)-MATCH($F$1,enemy_skill_triggers!$1:$1,0)+1),MATCH(I$1,enemy_skill_triggers!$1:$1,0)-MATCH($F$1,enemy_skill_triggers!$1:$1,0)+1,FALSE)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8" s="48" t="str">
        <f ca="1">VLOOKUP($F188,OFFSET(enemy_skill_triggers!$A$1,0,0,COUNTA(enemy_skill_triggers!$A:$A),MATCH(J$1,enemy_skill_triggers!$1:$1,0)-MATCH($F$1,enemy_skill_triggers!$1:$1,0)+1),MATCH(J$1,enemy_skill_triggers!$1:$1,0)-MATCH($F$1,enemy_skill_triggers!$1:$1,0)+1,FALSE)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8" s="48" t="str">
        <f ca="1">VLOOKUP($F188,OFFSET(enemy_skill_triggers!$A$1,0,0,COUNTA(enemy_skill_triggers!$A:$A),MATCH(K$1,enemy_skill_triggers!$1:$1,0)-MATCH($F$1,enemy_skill_triggers!$1:$1,0)+1),MATCH(K$1,enemy_skill_triggers!$1:$1,0)-MATCH($F$1,enemy_skill_triggers!$1:$1,0)+1,FALSE)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8" s="48">
        <f ca="1">VLOOKUP($F188,OFFSET(enemy_skill_triggers!$A$1,0,0,COUNTA(enemy_skill_triggers!$A:$A),MATCH(L$1,enemy_skill_triggers!$1:$1,0)-MATCH($F$1,enemy_skill_triggers!$1:$1,0)+1),MATCH(L$1,enemy_skill_triggers!$1:$1,0)-MATCH($F$1,enemy_skill_triggers!$1:$1,0)+1,FALSE)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8" s="48">
        <f ca="1">VLOOKUP($F188,OFFSET(enemy_skill_triggers!$A$1,0,0,COUNTA(enemy_skill_triggers!$A:$A),MATCH(M$1,enemy_skill_triggers!$1:$1,0)-MATCH($F$1,enemy_skill_triggers!$1:$1,0)+1),MATCH(M$1,enemy_skill_triggers!$1:$1,0)-MATCH($F$1,enemy_skill_triggers!$1:$1,0)+1,FALSE)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8" s="48">
        <f ca="1">VLOOKUP($F188,OFFSET(enemy_skill_triggers!$A$1,0,0,COUNTA(enemy_skill_triggers!$A:$A),MATCH(N$1,enemy_skill_triggers!$1:$1,0)-MATCH($F$1,enemy_skill_triggers!$1:$1,0)+1),MATCH(N$1,enemy_skill_triggers!$1:$1,0)-MATCH($F$1,enemy_skill_triggers!$1:$1,0)+1,FALSE)</f>
        <v>1584</v>
      </c>
      <c r="O188" s="48">
        <f ca="1">VLOOKUP($F188,OFFSET(enemy_skill_triggers!$A$1,0,0,COUNTA(enemy_skill_triggers!$A:$A),MATCH(O$1,enemy_skill_triggers!$1:$1,0)-MATCH($F$1,enemy_skill_triggers!$1:$1,0)+1),MATCH(O$1,enemy_skill_triggers!$1:$1,0)-MATCH($F$1,enemy_skill_triggers!$1:$1,0)+1,FALSE)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8" s="47"/>
      <c r="Q188" s="47"/>
      <c r="R188" s="47"/>
    </row>
    <row r="189" spans="1:18" ht="14" customHeight="1" x14ac:dyDescent="0.15">
      <c r="A189" s="39" t="str">
        <f t="shared" si="14"/>
        <v>49016120_49016720</v>
      </c>
      <c r="B189" s="108">
        <v>49016120</v>
      </c>
      <c r="C189" s="170">
        <v>49016720</v>
      </c>
      <c r="D189" s="46" t="str">
        <f ca="1">VLOOKUP($C189,OFFSET(enemy_skills!$A$1,0,0,COUNTA(enemy_skills!$A:$A),MATCH(D$1,enemy_skills!$1:$1,0)-MATCH("enemy_skill_id",enemy_skills!$1:$1,0)+1),MATCH(D$1,enemy_skills!$1:$1,0)-MATCH("enemy_skill_id",enemy_skills!$1:$1,0)+1,FALSE)</f>
        <v>グガ…ほな…いきまっせーー！！</v>
      </c>
      <c r="E189" s="46" t="str">
        <f ca="1">VLOOKUP($C189,OFFSET(enemy_skills!$A$1,0,0,COUNTA(enemy_skills!$A:$A),MATCH(E$1,enemy_skills!$1:$1,0)-MATCH("enemy_skill_id",enemy_skills!$1:$1,0)+1),MATCH(E$1,enemy_skills!$1:$1,0)-MATCH("enemy_skill_id",enemy_skills!$1:$1,0)+1,FALSE)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89" s="170">
        <v>49016720</v>
      </c>
      <c r="G189" s="48">
        <f ca="1">VLOOKUP($F189,OFFSET(enemy_skill_triggers!$A$1,0,0,COUNTA(enemy_skill_triggers!$A:$A),MATCH(G$1,enemy_skill_triggers!$1:$1,0)-MATCH($F$1,enemy_skill_triggers!$1:$1,0)+1),MATCH(G$1,enemy_skill_triggers!$1:$1,0)-MATCH($F$1,enemy_skill_triggers!$1:$1,0)+1,FALSE)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9" s="48">
        <f ca="1">VLOOKUP($F189,OFFSET(enemy_skill_triggers!$A$1,0,0,COUNTA(enemy_skill_triggers!$A:$A),MATCH(H$1,enemy_skill_triggers!$1:$1,0)-MATCH($F$1,enemy_skill_triggers!$1:$1,0)+1),MATCH(H$1,enemy_skill_triggers!$1:$1,0)-MATCH($F$1,enemy_skill_triggers!$1:$1,0)+1,FALSE)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189" s="48">
        <f ca="1">VLOOKUP($F189,OFFSET(enemy_skill_triggers!$A$1,0,0,COUNTA(enemy_skill_triggers!$A:$A),MATCH(I$1,enemy_skill_triggers!$1:$1,0)-MATCH($F$1,enemy_skill_triggers!$1:$1,0)+1),MATCH(I$1,enemy_skill_triggers!$1:$1,0)-MATCH($F$1,enemy_skill_triggers!$1:$1,0)+1,FALSE)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9" s="48" t="str">
        <f ca="1">VLOOKUP($F189,OFFSET(enemy_skill_triggers!$A$1,0,0,COUNTA(enemy_skill_triggers!$A:$A),MATCH(J$1,enemy_skill_triggers!$1:$1,0)-MATCH($F$1,enemy_skill_triggers!$1:$1,0)+1),MATCH(J$1,enemy_skill_triggers!$1:$1,0)-MATCH($F$1,enemy_skill_triggers!$1:$1,0)+1,FALSE)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9" s="48" t="str">
        <f ca="1">VLOOKUP($F189,OFFSET(enemy_skill_triggers!$A$1,0,0,COUNTA(enemy_skill_triggers!$A:$A),MATCH(K$1,enemy_skill_triggers!$1:$1,0)-MATCH($F$1,enemy_skill_triggers!$1:$1,0)+1),MATCH(K$1,enemy_skill_triggers!$1:$1,0)-MATCH($F$1,enemy_skill_triggers!$1:$1,0)+1,FALSE)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9" s="48">
        <f ca="1">VLOOKUP($F189,OFFSET(enemy_skill_triggers!$A$1,0,0,COUNTA(enemy_skill_triggers!$A:$A),MATCH(L$1,enemy_skill_triggers!$1:$1,0)-MATCH($F$1,enemy_skill_triggers!$1:$1,0)+1),MATCH(L$1,enemy_skill_triggers!$1:$1,0)-MATCH($F$1,enemy_skill_triggers!$1:$1,0)+1,FALSE)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9" s="48">
        <f ca="1">VLOOKUP($F189,OFFSET(enemy_skill_triggers!$A$1,0,0,COUNTA(enemy_skill_triggers!$A:$A),MATCH(M$1,enemy_skill_triggers!$1:$1,0)-MATCH($F$1,enemy_skill_triggers!$1:$1,0)+1),MATCH(M$1,enemy_skill_triggers!$1:$1,0)-MATCH($F$1,enemy_skill_triggers!$1:$1,0)+1,FALSE)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9" s="48">
        <f ca="1">VLOOKUP($F189,OFFSET(enemy_skill_triggers!$A$1,0,0,COUNTA(enemy_skill_triggers!$A:$A),MATCH(N$1,enemy_skill_triggers!$1:$1,0)-MATCH($F$1,enemy_skill_triggers!$1:$1,0)+1),MATCH(N$1,enemy_skill_triggers!$1:$1,0)-MATCH($F$1,enemy_skill_triggers!$1:$1,0)+1,FALSE)</f>
        <v>1587</v>
      </c>
      <c r="O189" s="48">
        <f ca="1">VLOOKUP($F189,OFFSET(enemy_skill_triggers!$A$1,0,0,COUNTA(enemy_skill_triggers!$A:$A),MATCH(O$1,enemy_skill_triggers!$1:$1,0)-MATCH($F$1,enemy_skill_triggers!$1:$1,0)+1),MATCH(O$1,enemy_skill_triggers!$1:$1,0)-MATCH($F$1,enemy_skill_triggers!$1:$1,0)+1,FALSE)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9" s="47"/>
      <c r="Q189" s="47"/>
      <c r="R189" s="47"/>
    </row>
    <row r="190" spans="1:18" ht="14" customHeight="1" x14ac:dyDescent="0.15">
      <c r="A190" s="39" t="str">
        <f t="shared" si="14"/>
        <v>49016120_49016721</v>
      </c>
      <c r="B190" s="108">
        <v>49016120</v>
      </c>
      <c r="C190" s="170">
        <v>49016721</v>
      </c>
      <c r="D190" s="46" t="str">
        <f ca="1">VLOOKUP($C190,OFFSET(enemy_skills!$A$1,0,0,COUNTA(enemy_skills!$A:$A),MATCH(D$1,enemy_skills!$1:$1,0)-MATCH("enemy_skill_id",enemy_skills!$1:$1,0)+1),MATCH(D$1,enemy_skills!$1:$1,0)-MATCH("enemy_skill_id",enemy_skills!$1:$1,0)+1,FALSE)</f>
        <v>ギッ…極限流最強は誰か…_x000D_そろそろハッキリさそやないか…！！</v>
      </c>
      <c r="E190" s="46" t="str">
        <f ca="1">VLOOKUP($C190,OFFSET(enemy_skills!$A$1,0,0,COUNTA(enemy_skills!$A:$A),MATCH(E$1,enemy_skills!$1:$1,0)-MATCH("enemy_skill_id",enemy_skills!$1:$1,0)+1),MATCH(E$1,enemy_skills!$1:$1,0)-MATCH("enemy_skill_id",enemy_skills!$1:$1,0)+1,FALSE)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90" s="170">
        <v>49016721</v>
      </c>
      <c r="G190" s="48">
        <f ca="1">VLOOKUP($F190,OFFSET(enemy_skill_triggers!$A$1,0,0,COUNTA(enemy_skill_triggers!$A:$A),MATCH(G$1,enemy_skill_triggers!$1:$1,0)-MATCH($F$1,enemy_skill_triggers!$1:$1,0)+1),MATCH(G$1,enemy_skill_triggers!$1:$1,0)-MATCH($F$1,enemy_skill_triggers!$1:$1,0)+1,FALSE)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0" s="48">
        <f ca="1">VLOOKUP($F190,OFFSET(enemy_skill_triggers!$A$1,0,0,COUNTA(enemy_skill_triggers!$A:$A),MATCH(H$1,enemy_skill_triggers!$1:$1,0)-MATCH($F$1,enemy_skill_triggers!$1:$1,0)+1),MATCH(H$1,enemy_skill_triggers!$1:$1,0)-MATCH($F$1,enemy_skill_triggers!$1:$1,0)+1,FALSE)</f>
        <v>423</v>
      </c>
      <c r="I190" s="48">
        <f ca="1">VLOOKUP($F190,OFFSET(enemy_skill_triggers!$A$1,0,0,COUNTA(enemy_skill_triggers!$A:$A),MATCH(I$1,enemy_skill_triggers!$1:$1,0)-MATCH($F$1,enemy_skill_triggers!$1:$1,0)+1),MATCH(I$1,enemy_skill_triggers!$1:$1,0)-MATCH($F$1,enemy_skill_triggers!$1:$1,0)+1,FALSE)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0" s="48" t="str">
        <f ca="1">VLOOKUP($F190,OFFSET(enemy_skill_triggers!$A$1,0,0,COUNTA(enemy_skill_triggers!$A:$A),MATCH(J$1,enemy_skill_triggers!$1:$1,0)-MATCH($F$1,enemy_skill_triggers!$1:$1,0)+1),MATCH(J$1,enemy_skill_triggers!$1:$1,0)-MATCH($F$1,enemy_skill_triggers!$1:$1,0)+1,FALSE)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0" s="48" t="str">
        <f ca="1">VLOOKUP($F190,OFFSET(enemy_skill_triggers!$A$1,0,0,COUNTA(enemy_skill_triggers!$A:$A),MATCH(K$1,enemy_skill_triggers!$1:$1,0)-MATCH($F$1,enemy_skill_triggers!$1:$1,0)+1),MATCH(K$1,enemy_skill_triggers!$1:$1,0)-MATCH($F$1,enemy_skill_triggers!$1:$1,0)+1,FALSE)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0" s="48">
        <f ca="1">VLOOKUP($F190,OFFSET(enemy_skill_triggers!$A$1,0,0,COUNTA(enemy_skill_triggers!$A:$A),MATCH(L$1,enemy_skill_triggers!$1:$1,0)-MATCH($F$1,enemy_skill_triggers!$1:$1,0)+1),MATCH(L$1,enemy_skill_triggers!$1:$1,0)-MATCH($F$1,enemy_skill_triggers!$1:$1,0)+1,FALSE)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0" s="48">
        <f ca="1">VLOOKUP($F190,OFFSET(enemy_skill_triggers!$A$1,0,0,COUNTA(enemy_skill_triggers!$A:$A),MATCH(M$1,enemy_skill_triggers!$1:$1,0)-MATCH($F$1,enemy_skill_triggers!$1:$1,0)+1),MATCH(M$1,enemy_skill_triggers!$1:$1,0)-MATCH($F$1,enemy_skill_triggers!$1:$1,0)+1,FALSE)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0" s="48">
        <f ca="1">VLOOKUP($F190,OFFSET(enemy_skill_triggers!$A$1,0,0,COUNTA(enemy_skill_triggers!$A:$A),MATCH(N$1,enemy_skill_triggers!$1:$1,0)-MATCH($F$1,enemy_skill_triggers!$1:$1,0)+1),MATCH(N$1,enemy_skill_triggers!$1:$1,0)-MATCH($F$1,enemy_skill_triggers!$1:$1,0)+1,FALSE)</f>
        <v>1556</v>
      </c>
      <c r="O190" s="48">
        <f ca="1">VLOOKUP($F190,OFFSET(enemy_skill_triggers!$A$1,0,0,COUNTA(enemy_skill_triggers!$A:$A),MATCH(O$1,enemy_skill_triggers!$1:$1,0)-MATCH($F$1,enemy_skill_triggers!$1:$1,0)+1),MATCH(O$1,enemy_skill_triggers!$1:$1,0)-MATCH($F$1,enemy_skill_triggers!$1:$1,0)+1,FALSE)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0" s="47"/>
      <c r="Q190" s="47"/>
      <c r="R190" s="47"/>
    </row>
    <row r="191" spans="1:18" ht="14" customHeight="1" x14ac:dyDescent="0.15">
      <c r="A191" s="39" t="str">
        <f t="shared" si="14"/>
        <v>49016120_49016722</v>
      </c>
      <c r="B191" s="108">
        <v>49016120</v>
      </c>
      <c r="C191" s="170">
        <v>49016722</v>
      </c>
      <c r="D191" s="46" t="str">
        <f ca="1">VLOOKUP($C191,OFFSET(enemy_skills!$A$1,0,0,COUNTA(enemy_skills!$A:$A),MATCH(D$1,enemy_skills!$1:$1,0)-MATCH("enemy_skill_id",enemy_skills!$1:$1,0)+1),MATCH(D$1,enemy_skills!$1:$1,0)-MATCH("enemy_skill_id",enemy_skills!$1:$1,0)+1,FALSE)</f>
        <v>ギッ…極限流最強は誰か…_x000D_そろそろハッキリさそやないか…！！</v>
      </c>
      <c r="E191" s="46" t="str">
        <f ca="1">VLOOKUP($C191,OFFSET(enemy_skills!$A$1,0,0,COUNTA(enemy_skills!$A:$A),MATCH(E$1,enemy_skills!$1:$1,0)-MATCH("enemy_skill_id",enemy_skills!$1:$1,0)+1),MATCH(E$1,enemy_skills!$1:$1,0)-MATCH("enemy_skill_id",enemy_skills!$1:$1,0)+1,FALSE)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91" s="170">
        <v>49016722</v>
      </c>
      <c r="G191" s="48">
        <f ca="1">VLOOKUP($F191,OFFSET(enemy_skill_triggers!$A$1,0,0,COUNTA(enemy_skill_triggers!$A:$A),MATCH(G$1,enemy_skill_triggers!$1:$1,0)-MATCH($F$1,enemy_skill_triggers!$1:$1,0)+1),MATCH(G$1,enemy_skill_triggers!$1:$1,0)-MATCH($F$1,enemy_skill_triggers!$1:$1,0)+1,FALSE)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1" s="48">
        <f ca="1">VLOOKUP($F191,OFFSET(enemy_skill_triggers!$A$1,0,0,COUNTA(enemy_skill_triggers!$A:$A),MATCH(H$1,enemy_skill_triggers!$1:$1,0)-MATCH($F$1,enemy_skill_triggers!$1:$1,0)+1),MATCH(H$1,enemy_skill_triggers!$1:$1,0)-MATCH($F$1,enemy_skill_triggers!$1:$1,0)+1,FALSE)</f>
        <v>424</v>
      </c>
      <c r="I191" s="48">
        <f ca="1">VLOOKUP($F191,OFFSET(enemy_skill_triggers!$A$1,0,0,COUNTA(enemy_skill_triggers!$A:$A),MATCH(I$1,enemy_skill_triggers!$1:$1,0)-MATCH($F$1,enemy_skill_triggers!$1:$1,0)+1),MATCH(I$1,enemy_skill_triggers!$1:$1,0)-MATCH($F$1,enemy_skill_triggers!$1:$1,0)+1,FALSE)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1" s="48" t="str">
        <f ca="1">VLOOKUP($F191,OFFSET(enemy_skill_triggers!$A$1,0,0,COUNTA(enemy_skill_triggers!$A:$A),MATCH(J$1,enemy_skill_triggers!$1:$1,0)-MATCH($F$1,enemy_skill_triggers!$1:$1,0)+1),MATCH(J$1,enemy_skill_triggers!$1:$1,0)-MATCH($F$1,enemy_skill_triggers!$1:$1,0)+1,FALSE)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1" s="48" t="str">
        <f ca="1">VLOOKUP($F191,OFFSET(enemy_skill_triggers!$A$1,0,0,COUNTA(enemy_skill_triggers!$A:$A),MATCH(K$1,enemy_skill_triggers!$1:$1,0)-MATCH($F$1,enemy_skill_triggers!$1:$1,0)+1),MATCH(K$1,enemy_skill_triggers!$1:$1,0)-MATCH($F$1,enemy_skill_triggers!$1:$1,0)+1,FALSE)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1" s="48">
        <f ca="1">VLOOKUP($F191,OFFSET(enemy_skill_triggers!$A$1,0,0,COUNTA(enemy_skill_triggers!$A:$A),MATCH(L$1,enemy_skill_triggers!$1:$1,0)-MATCH($F$1,enemy_skill_triggers!$1:$1,0)+1),MATCH(L$1,enemy_skill_triggers!$1:$1,0)-MATCH($F$1,enemy_skill_triggers!$1:$1,0)+1,FALSE)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1" s="48">
        <f ca="1">VLOOKUP($F191,OFFSET(enemy_skill_triggers!$A$1,0,0,COUNTA(enemy_skill_triggers!$A:$A),MATCH(M$1,enemy_skill_triggers!$1:$1,0)-MATCH($F$1,enemy_skill_triggers!$1:$1,0)+1),MATCH(M$1,enemy_skill_triggers!$1:$1,0)-MATCH($F$1,enemy_skill_triggers!$1:$1,0)+1,FALSE)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1" s="48">
        <f ca="1">VLOOKUP($F191,OFFSET(enemy_skill_triggers!$A$1,0,0,COUNTA(enemy_skill_triggers!$A:$A),MATCH(N$1,enemy_skill_triggers!$1:$1,0)-MATCH($F$1,enemy_skill_triggers!$1:$1,0)+1),MATCH(N$1,enemy_skill_triggers!$1:$1,0)-MATCH($F$1,enemy_skill_triggers!$1:$1,0)+1,FALSE)</f>
        <v>1557</v>
      </c>
      <c r="O191" s="48">
        <f ca="1">VLOOKUP($F191,OFFSET(enemy_skill_triggers!$A$1,0,0,COUNTA(enemy_skill_triggers!$A:$A),MATCH(O$1,enemy_skill_triggers!$1:$1,0)-MATCH($F$1,enemy_skill_triggers!$1:$1,0)+1),MATCH(O$1,enemy_skill_triggers!$1:$1,0)-MATCH($F$1,enemy_skill_triggers!$1:$1,0)+1,FALSE)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1" s="47"/>
      <c r="Q191" s="47"/>
      <c r="R191" s="47"/>
    </row>
    <row r="192" spans="1:18" ht="21" customHeight="1" x14ac:dyDescent="0.15">
      <c r="A192" s="39" t="str">
        <f t="shared" si="14"/>
        <v>49016120_49016723</v>
      </c>
      <c r="B192" s="108">
        <v>49016120</v>
      </c>
      <c r="C192" s="170">
        <v>49016723</v>
      </c>
      <c r="D192" s="46" t="str">
        <f ca="1">VLOOKUP($C192,OFFSET(enemy_skills!$A$1,0,0,COUNTA(enemy_skills!$A:$A),MATCH(D$1,enemy_skills!$1:$1,0)-MATCH("enemy_skill_id",enemy_skills!$1:$1,0)+1),MATCH(D$1,enemy_skills!$1:$1,0)-MATCH("enemy_skill_id",enemy_skills!$1:$1,0)+1,FALSE)</f>
        <v>グガッ…ユリちゃん！_x000D_大好きやーーーッ！！</v>
      </c>
      <c r="E192" s="46" t="str">
        <f ca="1">VLOOKUP($C192,OFFSET(enemy_skills!$A$1,0,0,COUNTA(enemy_skills!$A:$A),MATCH(E$1,enemy_skills!$1:$1,0)-MATCH("enemy_skill_id",enemy_skills!$1:$1,0)+1),MATCH(E$1,enemy_skills!$1:$1,0)-MATCH("enemy_skill_id",enemy_skills!$1:$1,0)+1,FALSE)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92" s="170">
        <v>49016723</v>
      </c>
      <c r="G192" s="48">
        <f ca="1">VLOOKUP($F192,OFFSET(enemy_skill_triggers!$A$1,0,0,COUNTA(enemy_skill_triggers!$A:$A),MATCH(G$1,enemy_skill_triggers!$1:$1,0)-MATCH($F$1,enemy_skill_triggers!$1:$1,0)+1),MATCH(G$1,enemy_skill_triggers!$1:$1,0)-MATCH($F$1,enemy_skill_triggers!$1:$1,0)+1,FALSE)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2" s="48">
        <f ca="1">VLOOKUP($F192,OFFSET(enemy_skill_triggers!$A$1,0,0,COUNTA(enemy_skill_triggers!$A:$A),MATCH(H$1,enemy_skill_triggers!$1:$1,0)-MATCH($F$1,enemy_skill_triggers!$1:$1,0)+1),MATCH(H$1,enemy_skill_triggers!$1:$1,0)-MATCH($F$1,enemy_skill_triggers!$1:$1,0)+1,FALSE)</f>
        <v>421</v>
      </c>
      <c r="I192" s="48">
        <f ca="1">VLOOKUP($F192,OFFSET(enemy_skill_triggers!$A$1,0,0,COUNTA(enemy_skill_triggers!$A:$A),MATCH(I$1,enemy_skill_triggers!$1:$1,0)-MATCH($F$1,enemy_skill_triggers!$1:$1,0)+1),MATCH(I$1,enemy_skill_triggers!$1:$1,0)-MATCH($F$1,enemy_skill_triggers!$1:$1,0)+1,FALSE)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2" s="48" t="str">
        <f ca="1">VLOOKUP($F192,OFFSET(enemy_skill_triggers!$A$1,0,0,COUNTA(enemy_skill_triggers!$A:$A),MATCH(J$1,enemy_skill_triggers!$1:$1,0)-MATCH($F$1,enemy_skill_triggers!$1:$1,0)+1),MATCH(J$1,enemy_skill_triggers!$1:$1,0)-MATCH($F$1,enemy_skill_triggers!$1:$1,0)+1,FALSE)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2" s="48" t="str">
        <f ca="1">VLOOKUP($F192,OFFSET(enemy_skill_triggers!$A$1,0,0,COUNTA(enemy_skill_triggers!$A:$A),MATCH(K$1,enemy_skill_triggers!$1:$1,0)-MATCH($F$1,enemy_skill_triggers!$1:$1,0)+1),MATCH(K$1,enemy_skill_triggers!$1:$1,0)-MATCH($F$1,enemy_skill_triggers!$1:$1,0)+1,FALSE)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2" s="48">
        <f ca="1">VLOOKUP($F192,OFFSET(enemy_skill_triggers!$A$1,0,0,COUNTA(enemy_skill_triggers!$A:$A),MATCH(L$1,enemy_skill_triggers!$1:$1,0)-MATCH($F$1,enemy_skill_triggers!$1:$1,0)+1),MATCH(L$1,enemy_skill_triggers!$1:$1,0)-MATCH($F$1,enemy_skill_triggers!$1:$1,0)+1,FALSE)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2" s="48">
        <f ca="1">VLOOKUP($F192,OFFSET(enemy_skill_triggers!$A$1,0,0,COUNTA(enemy_skill_triggers!$A:$A),MATCH(M$1,enemy_skill_triggers!$1:$1,0)-MATCH($F$1,enemy_skill_triggers!$1:$1,0)+1),MATCH(M$1,enemy_skill_triggers!$1:$1,0)-MATCH($F$1,enemy_skill_triggers!$1:$1,0)+1,FALSE)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2" s="48">
        <f ca="1">VLOOKUP($F192,OFFSET(enemy_skill_triggers!$A$1,0,0,COUNTA(enemy_skill_triggers!$A:$A),MATCH(N$1,enemy_skill_triggers!$1:$1,0)-MATCH($F$1,enemy_skill_triggers!$1:$1,0)+1),MATCH(N$1,enemy_skill_triggers!$1:$1,0)-MATCH($F$1,enemy_skill_triggers!$1:$1,0)+1,FALSE)</f>
        <v>1558</v>
      </c>
      <c r="O192" s="48">
        <f ca="1">VLOOKUP($F192,OFFSET(enemy_skill_triggers!$A$1,0,0,COUNTA(enemy_skill_triggers!$A:$A),MATCH(O$1,enemy_skill_triggers!$1:$1,0)-MATCH($F$1,enemy_skill_triggers!$1:$1,0)+1),MATCH(O$1,enemy_skill_triggers!$1:$1,0)-MATCH($F$1,enemy_skill_triggers!$1:$1,0)+1,FALSE)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2" s="47"/>
      <c r="Q192" s="47"/>
      <c r="R192" s="47"/>
    </row>
    <row r="193" spans="1:18" ht="21" customHeight="1" x14ac:dyDescent="0.15">
      <c r="A193" s="39" t="str">
        <f t="shared" si="14"/>
        <v>49016120_49016724</v>
      </c>
      <c r="B193" s="108">
        <v>49016120</v>
      </c>
      <c r="C193" s="170">
        <v>49016724</v>
      </c>
      <c r="D193" s="46" t="str">
        <f ca="1">VLOOKUP($C193,OFFSET(enemy_skills!$A$1,0,0,COUNTA(enemy_skills!$A:$A),MATCH(D$1,enemy_skills!$1:$1,0)-MATCH("enemy_skill_id",enemy_skills!$1:$1,0)+1),MATCH(D$1,enemy_skills!$1:$1,0)-MATCH("enemy_skill_id",enemy_skills!$1:$1,0)+1,FALSE)</f>
        <v>グガッ…ユリちゃん！_x000D_大好きやーーーッ！！</v>
      </c>
      <c r="E193" s="46" t="str">
        <f ca="1">VLOOKUP($C193,OFFSET(enemy_skills!$A$1,0,0,COUNTA(enemy_skills!$A:$A),MATCH(E$1,enemy_skills!$1:$1,0)-MATCH("enemy_skill_id",enemy_skills!$1:$1,0)+1),MATCH(E$1,enemy_skills!$1:$1,0)-MATCH("enemy_skill_id",enemy_skills!$1:$1,0)+1,FALSE)</f>
        <v>回復タイプのユニットの_x000D_スキルターンを4ターン短縮</v>
      </c>
      <c r="F193" s="170">
        <v>49016724</v>
      </c>
      <c r="G193" s="48">
        <f ca="1">VLOOKUP($F193,OFFSET(enemy_skill_triggers!$A$1,0,0,COUNTA(enemy_skill_triggers!$A:$A),MATCH(G$1,enemy_skill_triggers!$1:$1,0)-MATCH($F$1,enemy_skill_triggers!$1:$1,0)+1),MATCH(G$1,enemy_skill_triggers!$1:$1,0)-MATCH($F$1,enemy_skill_triggers!$1:$1,0)+1,FALSE)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3" s="48">
        <f ca="1">VLOOKUP($F193,OFFSET(enemy_skill_triggers!$A$1,0,0,COUNTA(enemy_skill_triggers!$A:$A),MATCH(H$1,enemy_skill_triggers!$1:$1,0)-MATCH($F$1,enemy_skill_triggers!$1:$1,0)+1),MATCH(H$1,enemy_skill_triggers!$1:$1,0)-MATCH($F$1,enemy_skill_triggers!$1:$1,0)+1,FALSE)</f>
        <v>422</v>
      </c>
      <c r="I193" s="48">
        <f ca="1">VLOOKUP($F193,OFFSET(enemy_skill_triggers!$A$1,0,0,COUNTA(enemy_skill_triggers!$A:$A),MATCH(I$1,enemy_skill_triggers!$1:$1,0)-MATCH($F$1,enemy_skill_triggers!$1:$1,0)+1),MATCH(I$1,enemy_skill_triggers!$1:$1,0)-MATCH($F$1,enemy_skill_triggers!$1:$1,0)+1,FALSE)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3" s="48" t="str">
        <f ca="1">VLOOKUP($F193,OFFSET(enemy_skill_triggers!$A$1,0,0,COUNTA(enemy_skill_triggers!$A:$A),MATCH(J$1,enemy_skill_triggers!$1:$1,0)-MATCH($F$1,enemy_skill_triggers!$1:$1,0)+1),MATCH(J$1,enemy_skill_triggers!$1:$1,0)-MATCH($F$1,enemy_skill_triggers!$1:$1,0)+1,FALSE)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3" s="48" t="str">
        <f ca="1">VLOOKUP($F193,OFFSET(enemy_skill_triggers!$A$1,0,0,COUNTA(enemy_skill_triggers!$A:$A),MATCH(K$1,enemy_skill_triggers!$1:$1,0)-MATCH($F$1,enemy_skill_triggers!$1:$1,0)+1),MATCH(K$1,enemy_skill_triggers!$1:$1,0)-MATCH($F$1,enemy_skill_triggers!$1:$1,0)+1,FALSE)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3" s="48">
        <f ca="1">VLOOKUP($F193,OFFSET(enemy_skill_triggers!$A$1,0,0,COUNTA(enemy_skill_triggers!$A:$A),MATCH(L$1,enemy_skill_triggers!$1:$1,0)-MATCH($F$1,enemy_skill_triggers!$1:$1,0)+1),MATCH(L$1,enemy_skill_triggers!$1:$1,0)-MATCH($F$1,enemy_skill_triggers!$1:$1,0)+1,FALSE)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3" s="48">
        <f ca="1">VLOOKUP($F193,OFFSET(enemy_skill_triggers!$A$1,0,0,COUNTA(enemy_skill_triggers!$A:$A),MATCH(M$1,enemy_skill_triggers!$1:$1,0)-MATCH($F$1,enemy_skill_triggers!$1:$1,0)+1),MATCH(M$1,enemy_skill_triggers!$1:$1,0)-MATCH($F$1,enemy_skill_triggers!$1:$1,0)+1,FALSE)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3" s="48">
        <f ca="1">VLOOKUP($F193,OFFSET(enemy_skill_triggers!$A$1,0,0,COUNTA(enemy_skill_triggers!$A:$A),MATCH(N$1,enemy_skill_triggers!$1:$1,0)-MATCH($F$1,enemy_skill_triggers!$1:$1,0)+1),MATCH(N$1,enemy_skill_triggers!$1:$1,0)-MATCH($F$1,enemy_skill_triggers!$1:$1,0)+1,FALSE)</f>
        <v>1559</v>
      </c>
      <c r="O193" s="48">
        <f ca="1">VLOOKUP($F193,OFFSET(enemy_skill_triggers!$A$1,0,0,COUNTA(enemy_skill_triggers!$A:$A),MATCH(O$1,enemy_skill_triggers!$1:$1,0)-MATCH($F$1,enemy_skill_triggers!$1:$1,0)+1),MATCH(O$1,enemy_skill_triggers!$1:$1,0)-MATCH($F$1,enemy_skill_triggers!$1:$1,0)+1,FALSE)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3" s="47"/>
      <c r="Q193" s="47"/>
      <c r="R193" s="47"/>
    </row>
    <row r="194" spans="1:18" ht="21" customHeight="1" x14ac:dyDescent="0.15">
      <c r="A194" s="39" t="str">
        <f t="shared" si="14"/>
        <v>49016120_49016101</v>
      </c>
      <c r="B194" s="108">
        <v>49016120</v>
      </c>
      <c r="C194" s="108">
        <v>49016101</v>
      </c>
      <c r="D194" s="46" t="str">
        <f ca="1">VLOOKUP($C194,OFFSET(enemy_skills!$A$1,0,0,COUNTA(enemy_skills!$A:$A),MATCH(D$1,enemy_skills!$1:$1,0)-MATCH("enemy_skill_id",enemy_skills!$1:$1,0)+1),MATCH(D$1,enemy_skills!$1:$1,0)-MATCH("enemy_skill_id",enemy_skills!$1:$1,0)+1,FALSE)</f>
        <v>ギ…飛燕旋風脚！</v>
      </c>
      <c r="E194" s="46" t="str">
        <f ca="1">VLOOKUP($C194,OFFSET(enemy_skills!$A$1,0,0,COUNTA(enemy_skills!$A:$A),MATCH(E$1,enemy_skills!$1:$1,0)-MATCH("enemy_skill_id",enemy_skills!$1:$1,0)+1),MATCH(E$1,enemy_skills!$1:$1,0)-MATCH("enemy_skill_id",enemy_skills!$1:$1,0)+1,FALSE)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194" s="108">
        <v>49016101</v>
      </c>
      <c r="G194" s="48">
        <f ca="1">VLOOKUP($F194,OFFSET(enemy_skill_triggers!$A$1,0,0,COUNTA(enemy_skill_triggers!$A:$A),MATCH(G$1,enemy_skill_triggers!$1:$1,0)-MATCH($F$1,enemy_skill_triggers!$1:$1,0)+1),MATCH(G$1,enemy_skill_triggers!$1:$1,0)-MATCH($F$1,enemy_skill_triggers!$1:$1,0)+1,FALSE)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4" s="48">
        <f ca="1">VLOOKUP($F194,OFFSET(enemy_skill_triggers!$A$1,0,0,COUNTA(enemy_skill_triggers!$A:$A),MATCH(H$1,enemy_skill_triggers!$1:$1,0)-MATCH($F$1,enemy_skill_triggers!$1:$1,0)+1),MATCH(H$1,enemy_skill_triggers!$1:$1,0)-MATCH($F$1,enemy_skill_triggers!$1:$1,0)+1,FALSE)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4" s="48">
        <f ca="1">VLOOKUP($F194,OFFSET(enemy_skill_triggers!$A$1,0,0,COUNTA(enemy_skill_triggers!$A:$A),MATCH(I$1,enemy_skill_triggers!$1:$1,0)-MATCH($F$1,enemy_skill_triggers!$1:$1,0)+1),MATCH(I$1,enemy_skill_triggers!$1:$1,0)-MATCH($F$1,enemy_skill_triggers!$1:$1,0)+1,FALSE)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4" s="48" t="str">
        <f ca="1">VLOOKUP($F194,OFFSET(enemy_skill_triggers!$A$1,0,0,COUNTA(enemy_skill_triggers!$A:$A),MATCH(J$1,enemy_skill_triggers!$1:$1,0)-MATCH($F$1,enemy_skill_triggers!$1:$1,0)+1),MATCH(J$1,enemy_skill_triggers!$1:$1,0)-MATCH($F$1,enemy_skill_triggers!$1:$1,0)+1,FALSE)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4" s="48" t="str">
        <f ca="1">VLOOKUP($F194,OFFSET(enemy_skill_triggers!$A$1,0,0,COUNTA(enemy_skill_triggers!$A:$A),MATCH(K$1,enemy_skill_triggers!$1:$1,0)-MATCH($F$1,enemy_skill_triggers!$1:$1,0)+1),MATCH(K$1,enemy_skill_triggers!$1:$1,0)-MATCH($F$1,enemy_skill_triggers!$1:$1,0)+1,FALSE)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4" s="48" t="str">
        <f ca="1">VLOOKUP($F194,OFFSET(enemy_skill_triggers!$A$1,0,0,COUNTA(enemy_skill_triggers!$A:$A),MATCH(L$1,enemy_skill_triggers!$1:$1,0)-MATCH($F$1,enemy_skill_triggers!$1:$1,0)+1),MATCH(L$1,enemy_skill_triggers!$1:$1,0)-MATCH($F$1,enemy_skill_triggers!$1:$1,0)+1,FALSE)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4" s="48">
        <f ca="1">VLOOKUP($F194,OFFSET(enemy_skill_triggers!$A$1,0,0,COUNTA(enemy_skill_triggers!$A:$A),MATCH(M$1,enemy_skill_triggers!$1:$1,0)-MATCH($F$1,enemy_skill_triggers!$1:$1,0)+1),MATCH(M$1,enemy_skill_triggers!$1:$1,0)-MATCH($F$1,enemy_skill_triggers!$1:$1,0)+1,FALSE)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94" s="48" t="str">
        <f ca="1">VLOOKUP($F194,OFFSET(enemy_skill_triggers!$A$1,0,0,COUNTA(enemy_skill_triggers!$A:$A),MATCH(N$1,enemy_skill_triggers!$1:$1,0)-MATCH($F$1,enemy_skill_triggers!$1:$1,0)+1),MATCH(N$1,enemy_skill_triggers!$1:$1,0)-MATCH($F$1,enemy_skill_triggers!$1:$1,0)+1,FALSE)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4" s="48">
        <f ca="1">VLOOKUP($F194,OFFSET(enemy_skill_triggers!$A$1,0,0,COUNTA(enemy_skill_triggers!$A:$A),MATCH(O$1,enemy_skill_triggers!$1:$1,0)-MATCH($F$1,enemy_skill_triggers!$1:$1,0)+1),MATCH(O$1,enemy_skill_triggers!$1:$1,0)-MATCH($F$1,enemy_skill_triggers!$1:$1,0)+1,FALSE)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4" s="47"/>
      <c r="Q194" s="47"/>
      <c r="R194" s="47"/>
    </row>
    <row r="195" spans="1:18" ht="21" customHeight="1" x14ac:dyDescent="0.15">
      <c r="A195" s="39" t="str">
        <f t="shared" si="14"/>
        <v>49016120_49016972</v>
      </c>
      <c r="B195" s="108">
        <v>49016120</v>
      </c>
      <c r="C195" s="108">
        <v>49016972</v>
      </c>
      <c r="D195" s="46" t="str">
        <f ca="1">VLOOKUP($C195,OFFSET(enemy_skills!$A$1,0,0,COUNTA(enemy_skills!$A:$A),MATCH(D$1,enemy_skills!$1:$1,0)-MATCH("enemy_skill_id",enemy_skills!$1:$1,0)+1),MATCH(D$1,enemy_skills!$1:$1,0)-MATCH("enemy_skill_id",enemy_skills!$1:$1,0)+1,FALSE)</f>
        <v>ガ…飛燕龍神脚！</v>
      </c>
      <c r="E195" s="46" t="str">
        <f ca="1">VLOOKUP($C195,OFFSET(enemy_skills!$A$1,0,0,COUNTA(enemy_skills!$A:$A),MATCH(E$1,enemy_skills!$1:$1,0)-MATCH("enemy_skill_id",enemy_skills!$1:$1,0)+1),MATCH(E$1,enemy_skills!$1:$1,0)-MATCH("enemy_skill_id",enemy_skills!$1:$1,0)+1,FALSE)</f>
        <v>属性パネルプロテクト(最大4個)+単体攻撃</v>
      </c>
      <c r="F195" s="108">
        <v>49016972</v>
      </c>
      <c r="G195" s="48">
        <f ca="1">VLOOKUP($F195,OFFSET(enemy_skill_triggers!$A$1,0,0,COUNTA(enemy_skill_triggers!$A:$A),MATCH(G$1,enemy_skill_triggers!$1:$1,0)-MATCH($F$1,enemy_skill_triggers!$1:$1,0)+1),MATCH(G$1,enemy_skill_triggers!$1:$1,0)-MATCH($F$1,enemy_skill_triggers!$1:$1,0)+1,FALSE)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5" s="48">
        <f ca="1">VLOOKUP($F195,OFFSET(enemy_skill_triggers!$A$1,0,0,COUNTA(enemy_skill_triggers!$A:$A),MATCH(H$1,enemy_skill_triggers!$1:$1,0)-MATCH($F$1,enemy_skill_triggers!$1:$1,0)+1),MATCH(H$1,enemy_skill_triggers!$1:$1,0)-MATCH($F$1,enemy_skill_triggers!$1:$1,0)+1,FALSE)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95" s="48">
        <f ca="1">VLOOKUP($F195,OFFSET(enemy_skill_triggers!$A$1,0,0,COUNTA(enemy_skill_triggers!$A:$A),MATCH(I$1,enemy_skill_triggers!$1:$1,0)-MATCH($F$1,enemy_skill_triggers!$1:$1,0)+1),MATCH(I$1,enemy_skill_triggers!$1:$1,0)-MATCH($F$1,enemy_skill_triggers!$1:$1,0)+1,FALSE)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5" s="48" t="str">
        <f ca="1">VLOOKUP($F195,OFFSET(enemy_skill_triggers!$A$1,0,0,COUNTA(enemy_skill_triggers!$A:$A),MATCH(J$1,enemy_skill_triggers!$1:$1,0)-MATCH($F$1,enemy_skill_triggers!$1:$1,0)+1),MATCH(J$1,enemy_skill_triggers!$1:$1,0)-MATCH($F$1,enemy_skill_triggers!$1:$1,0)+1,FALSE)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5" s="48" t="str">
        <f ca="1">VLOOKUP($F195,OFFSET(enemy_skill_triggers!$A$1,0,0,COUNTA(enemy_skill_triggers!$A:$A),MATCH(K$1,enemy_skill_triggers!$1:$1,0)-MATCH($F$1,enemy_skill_triggers!$1:$1,0)+1),MATCH(K$1,enemy_skill_triggers!$1:$1,0)-MATCH($F$1,enemy_skill_triggers!$1:$1,0)+1,FALSE)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5" s="48" t="str">
        <f ca="1">VLOOKUP($F195,OFFSET(enemy_skill_triggers!$A$1,0,0,COUNTA(enemy_skill_triggers!$A:$A),MATCH(L$1,enemy_skill_triggers!$1:$1,0)-MATCH($F$1,enemy_skill_triggers!$1:$1,0)+1),MATCH(L$1,enemy_skill_triggers!$1:$1,0)-MATCH($F$1,enemy_skill_triggers!$1:$1,0)+1,FALSE)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5" s="48">
        <f ca="1">VLOOKUP($F195,OFFSET(enemy_skill_triggers!$A$1,0,0,COUNTA(enemy_skill_triggers!$A:$A),MATCH(M$1,enemy_skill_triggers!$1:$1,0)-MATCH($F$1,enemy_skill_triggers!$1:$1,0)+1),MATCH(M$1,enemy_skill_triggers!$1:$1,0)-MATCH($F$1,enemy_skill_triggers!$1:$1,0)+1,FALSE)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95" s="48" t="str">
        <f ca="1">VLOOKUP($F195,OFFSET(enemy_skill_triggers!$A$1,0,0,COUNTA(enemy_skill_triggers!$A:$A),MATCH(N$1,enemy_skill_triggers!$1:$1,0)-MATCH($F$1,enemy_skill_triggers!$1:$1,0)+1),MATCH(N$1,enemy_skill_triggers!$1:$1,0)-MATCH($F$1,enemy_skill_triggers!$1:$1,0)+1,FALSE)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5" s="48">
        <f ca="1">VLOOKUP($F195,OFFSET(enemy_skill_triggers!$A$1,0,0,COUNTA(enemy_skill_triggers!$A:$A),MATCH(O$1,enemy_skill_triggers!$1:$1,0)-MATCH($F$1,enemy_skill_triggers!$1:$1,0)+1),MATCH(O$1,enemy_skill_triggers!$1:$1,0)-MATCH($F$1,enemy_skill_triggers!$1:$1,0)+1,FALSE)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5" s="47"/>
      <c r="Q195" s="47"/>
      <c r="R195" s="47"/>
    </row>
    <row r="196" spans="1:18" ht="21" customHeight="1" x14ac:dyDescent="0.15">
      <c r="A196" s="39" t="str">
        <f t="shared" si="14"/>
        <v>49016120_49016103</v>
      </c>
      <c r="B196" s="108">
        <v>49016120</v>
      </c>
      <c r="C196" s="108">
        <v>49016103</v>
      </c>
      <c r="D196" s="46" t="str">
        <f ca="1">VLOOKUP($C196,OFFSET(enemy_skills!$A$1,0,0,COUNTA(enemy_skills!$A:$A),MATCH(D$1,enemy_skills!$1:$1,0)-MATCH("enemy_skill_id",enemy_skills!$1:$1,0)+1),MATCH(D$1,enemy_skills!$1:$1,0)-MATCH("enemy_skill_id",enemy_skills!$1:$1,0)+1,FALSE)</f>
        <v>ギ…極限流奥義！！</v>
      </c>
      <c r="E196" s="46" t="str">
        <f ca="1">VLOOKUP($C196,OFFSET(enemy_skills!$A$1,0,0,COUNTA(enemy_skills!$A:$A),MATCH(E$1,enemy_skills!$1:$1,0)-MATCH("enemy_skill_id",enemy_skills!$1:$1,0)+1),MATCH(E$1,enemy_skills!$1:$1,0)-MATCH("enemy_skill_id",enemy_skills!$1:$1,0)+1,FALSE)</f>
        <v>行動頻度UP</v>
      </c>
      <c r="F196" s="108">
        <v>49016103</v>
      </c>
      <c r="G196" s="48">
        <f ca="1">VLOOKUP($F196,OFFSET(enemy_skill_triggers!$A$1,0,0,COUNTA(enemy_skill_triggers!$A:$A),MATCH(G$1,enemy_skill_triggers!$1:$1,0)-MATCH($F$1,enemy_skill_triggers!$1:$1,0)+1),MATCH(G$1,enemy_skill_triggers!$1:$1,0)-MATCH($F$1,enemy_skill_triggers!$1:$1,0)+1,FALSE)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6" s="48">
        <f ca="1">VLOOKUP($F196,OFFSET(enemy_skill_triggers!$A$1,0,0,COUNTA(enemy_skill_triggers!$A:$A),MATCH(H$1,enemy_skill_triggers!$1:$1,0)-MATCH($F$1,enemy_skill_triggers!$1:$1,0)+1),MATCH(H$1,enemy_skill_triggers!$1:$1,0)-MATCH($F$1,enemy_skill_triggers!$1:$1,0)+1,FALSE)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96" s="48">
        <f ca="1">VLOOKUP($F196,OFFSET(enemy_skill_triggers!$A$1,0,0,COUNTA(enemy_skill_triggers!$A:$A),MATCH(I$1,enemy_skill_triggers!$1:$1,0)-MATCH($F$1,enemy_skill_triggers!$1:$1,0)+1),MATCH(I$1,enemy_skill_triggers!$1:$1,0)-MATCH($F$1,enemy_skill_triggers!$1:$1,0)+1,FALSE)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6" s="48">
        <f ca="1">VLOOKUP($F196,OFFSET(enemy_skill_triggers!$A$1,0,0,COUNTA(enemy_skill_triggers!$A:$A),MATCH(J$1,enemy_skill_triggers!$1:$1,0)-MATCH($F$1,enemy_skill_triggers!$1:$1,0)+1),MATCH(J$1,enemy_skill_triggers!$1:$1,0)-MATCH($F$1,enemy_skill_triggers!$1:$1,0)+1,FALSE)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96" s="48" t="str">
        <f ca="1">VLOOKUP($F196,OFFSET(enemy_skill_triggers!$A$1,0,0,COUNTA(enemy_skill_triggers!$A:$A),MATCH(K$1,enemy_skill_triggers!$1:$1,0)-MATCH($F$1,enemy_skill_triggers!$1:$1,0)+1),MATCH(K$1,enemy_skill_triggers!$1:$1,0)-MATCH($F$1,enemy_skill_triggers!$1:$1,0)+1,FALSE)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6" s="48">
        <f ca="1">VLOOKUP($F196,OFFSET(enemy_skill_triggers!$A$1,0,0,COUNTA(enemy_skill_triggers!$A:$A),MATCH(L$1,enemy_skill_triggers!$1:$1,0)-MATCH($F$1,enemy_skill_triggers!$1:$1,0)+1),MATCH(L$1,enemy_skill_triggers!$1:$1,0)-MATCH($F$1,enemy_skill_triggers!$1:$1,0)+1,FALSE)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6" s="48">
        <f ca="1">VLOOKUP($F196,OFFSET(enemy_skill_triggers!$A$1,0,0,COUNTA(enemy_skill_triggers!$A:$A),MATCH(M$1,enemy_skill_triggers!$1:$1,0)-MATCH($F$1,enemy_skill_triggers!$1:$1,0)+1),MATCH(M$1,enemy_skill_triggers!$1:$1,0)-MATCH($F$1,enemy_skill_triggers!$1:$1,0)+1,FALSE)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6" s="48" t="str">
        <f ca="1">VLOOKUP($F196,OFFSET(enemy_skill_triggers!$A$1,0,0,COUNTA(enemy_skill_triggers!$A:$A),MATCH(N$1,enemy_skill_triggers!$1:$1,0)-MATCH($F$1,enemy_skill_triggers!$1:$1,0)+1),MATCH(N$1,enemy_skill_triggers!$1:$1,0)-MATCH($F$1,enemy_skill_triggers!$1:$1,0)+1,FALSE)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6" s="48">
        <f ca="1">VLOOKUP($F196,OFFSET(enemy_skill_triggers!$A$1,0,0,COUNTA(enemy_skill_triggers!$A:$A),MATCH(O$1,enemy_skill_triggers!$1:$1,0)-MATCH($F$1,enemy_skill_triggers!$1:$1,0)+1),MATCH(O$1,enemy_skill_triggers!$1:$1,0)-MATCH($F$1,enemy_skill_triggers!$1:$1,0)+1,FALSE)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6" s="47"/>
      <c r="Q196" s="47"/>
      <c r="R196" s="47"/>
    </row>
    <row r="197" spans="1:18" ht="21" customHeight="1" x14ac:dyDescent="0.15">
      <c r="A197" s="39" t="str">
        <f t="shared" si="14"/>
        <v>49016120_49016104</v>
      </c>
      <c r="B197" s="108">
        <v>49016120</v>
      </c>
      <c r="C197" s="108">
        <v>49016104</v>
      </c>
      <c r="D197" s="46" t="str">
        <f ca="1">VLOOKUP($C197,OFFSET(enemy_skills!$A$1,0,0,COUNTA(enemy_skills!$A:$A),MATCH(D$1,enemy_skills!$1:$1,0)-MATCH("enemy_skill_id",enemy_skills!$1:$1,0)+1),MATCH(D$1,enemy_skills!$1:$1,0)-MATCH("enemy_skill_id",enemy_skills!$1:$1,0)+1,FALSE)</f>
        <v>グ…そりゃそりゃそりゃそりゃあ！_x000D_どないや！！</v>
      </c>
      <c r="E197" s="46" t="str">
        <f ca="1">VLOOKUP($C197,OFFSET(enemy_skills!$A$1,0,0,COUNTA(enemy_skills!$A:$A),MATCH(E$1,enemy_skills!$1:$1,0)-MATCH("enemy_skill_id",enemy_skills!$1:$1,0)+1),MATCH(E$1,enemy_skills!$1:$1,0)-MATCH("enemy_skill_id",enemy_skills!$1:$1,0)+1,FALSE)</f>
        <v>特定エリアを青パネルに変換+6回連続攻撃</v>
      </c>
      <c r="F197" s="108">
        <v>49016104</v>
      </c>
      <c r="G197" s="48">
        <f ca="1">VLOOKUP($F197,OFFSET(enemy_skill_triggers!$A$1,0,0,COUNTA(enemy_skill_triggers!$A:$A),MATCH(G$1,enemy_skill_triggers!$1:$1,0)-MATCH($F$1,enemy_skill_triggers!$1:$1,0)+1),MATCH(G$1,enemy_skill_triggers!$1:$1,0)-MATCH($F$1,enemy_skill_triggers!$1:$1,0)+1,FALSE)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7" s="48">
        <f ca="1">VLOOKUP($F197,OFFSET(enemy_skill_triggers!$A$1,0,0,COUNTA(enemy_skill_triggers!$A:$A),MATCH(H$1,enemy_skill_triggers!$1:$1,0)-MATCH($F$1,enemy_skill_triggers!$1:$1,0)+1),MATCH(H$1,enemy_skill_triggers!$1:$1,0)-MATCH($F$1,enemy_skill_triggers!$1:$1,0)+1,FALSE)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197" s="48">
        <f ca="1">VLOOKUP($F197,OFFSET(enemy_skill_triggers!$A$1,0,0,COUNTA(enemy_skill_triggers!$A:$A),MATCH(I$1,enemy_skill_triggers!$1:$1,0)-MATCH($F$1,enemy_skill_triggers!$1:$1,0)+1),MATCH(I$1,enemy_skill_triggers!$1:$1,0)-MATCH($F$1,enemy_skill_triggers!$1:$1,0)+1,FALSE)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7" s="48">
        <f ca="1">VLOOKUP($F197,OFFSET(enemy_skill_triggers!$A$1,0,0,COUNTA(enemy_skill_triggers!$A:$A),MATCH(J$1,enemy_skill_triggers!$1:$1,0)-MATCH($F$1,enemy_skill_triggers!$1:$1,0)+1),MATCH(J$1,enemy_skill_triggers!$1:$1,0)-MATCH($F$1,enemy_skill_triggers!$1:$1,0)+1,FALSE)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197" s="48" t="str">
        <f ca="1">VLOOKUP($F197,OFFSET(enemy_skill_triggers!$A$1,0,0,COUNTA(enemy_skill_triggers!$A:$A),MATCH(K$1,enemy_skill_triggers!$1:$1,0)-MATCH($F$1,enemy_skill_triggers!$1:$1,0)+1),MATCH(K$1,enemy_skill_triggers!$1:$1,0)-MATCH($F$1,enemy_skill_triggers!$1:$1,0)+1,FALSE)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7" s="48">
        <f ca="1">VLOOKUP($F197,OFFSET(enemy_skill_triggers!$A$1,0,0,COUNTA(enemy_skill_triggers!$A:$A),MATCH(L$1,enemy_skill_triggers!$1:$1,0)-MATCH($F$1,enemy_skill_triggers!$1:$1,0)+1),MATCH(L$1,enemy_skill_triggers!$1:$1,0)-MATCH($F$1,enemy_skill_triggers!$1:$1,0)+1,FALSE)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7" s="48">
        <f ca="1">VLOOKUP($F197,OFFSET(enemy_skill_triggers!$A$1,0,0,COUNTA(enemy_skill_triggers!$A:$A),MATCH(M$1,enemy_skill_triggers!$1:$1,0)-MATCH($F$1,enemy_skill_triggers!$1:$1,0)+1),MATCH(M$1,enemy_skill_triggers!$1:$1,0)-MATCH($F$1,enemy_skill_triggers!$1:$1,0)+1,FALSE)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7" s="48" t="str">
        <f ca="1">VLOOKUP($F197,OFFSET(enemy_skill_triggers!$A$1,0,0,COUNTA(enemy_skill_triggers!$A:$A),MATCH(N$1,enemy_skill_triggers!$1:$1,0)-MATCH($F$1,enemy_skill_triggers!$1:$1,0)+1),MATCH(N$1,enemy_skill_triggers!$1:$1,0)-MATCH($F$1,enemy_skill_triggers!$1:$1,0)+1,FALSE)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7" s="48">
        <f ca="1">VLOOKUP($F197,OFFSET(enemy_skill_triggers!$A$1,0,0,COUNTA(enemy_skill_triggers!$A:$A),MATCH(O$1,enemy_skill_triggers!$1:$1,0)-MATCH($F$1,enemy_skill_triggers!$1:$1,0)+1),MATCH(O$1,enemy_skill_triggers!$1:$1,0)-MATCH($F$1,enemy_skill_triggers!$1:$1,0)+1,FALSE)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7" s="47"/>
      <c r="Q197" s="47"/>
      <c r="R197" s="47"/>
    </row>
    <row r="198" spans="1:18" ht="12" customHeight="1" x14ac:dyDescent="0.15">
      <c r="A198" s="39" t="str">
        <f t="shared" si="14"/>
        <v>49016120_49016105</v>
      </c>
      <c r="B198" s="108">
        <v>49016120</v>
      </c>
      <c r="C198" s="175">
        <v>49016105</v>
      </c>
      <c r="D198" s="46" t="str">
        <f ca="1">VLOOKUP($C198,OFFSET(enemy_skills!$A$1,0,0,COUNTA(enemy_skills!$A:$A),MATCH(D$1,enemy_skills!$1:$1,0)-MATCH("enemy_skill_id",enemy_skills!$1:$1,0)+1),MATCH(D$1,enemy_skills!$1:$1,0)-MATCH("enemy_skill_id",enemy_skills!$1:$1,0)+1,FALSE)</f>
        <v>ガッ…くそったれえええ！</v>
      </c>
      <c r="E198" s="46" t="str">
        <f ca="1">VLOOKUP($C198,OFFSET(enemy_skills!$A$1,0,0,COUNTA(enemy_skills!$A:$A),MATCH(E$1,enemy_skills!$1:$1,0)-MATCH("enemy_skill_id",enemy_skills!$1:$1,0)+1),MATCH(E$1,enemy_skills!$1:$1,0)-MATCH("enemy_skill_id",enemy_skills!$1:$1,0)+1,FALSE)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8" s="175">
        <v>49016105</v>
      </c>
      <c r="G198" s="48">
        <f ca="1">VLOOKUP($F198,OFFSET(enemy_skill_triggers!$A$1,0,0,COUNTA(enemy_skill_triggers!$A:$A),MATCH(G$1,enemy_skill_triggers!$1:$1,0)-MATCH($F$1,enemy_skill_triggers!$1:$1,0)+1),MATCH(G$1,enemy_skill_triggers!$1:$1,0)-MATCH($F$1,enemy_skill_triggers!$1:$1,0)+1,FALSE)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8" s="48">
        <f ca="1">VLOOKUP($F198,OFFSET(enemy_skill_triggers!$A$1,0,0,COUNTA(enemy_skill_triggers!$A:$A),MATCH(H$1,enemy_skill_triggers!$1:$1,0)-MATCH($F$1,enemy_skill_triggers!$1:$1,0)+1),MATCH(H$1,enemy_skill_triggers!$1:$1,0)-MATCH($F$1,enemy_skill_triggers!$1:$1,0)+1,FALSE)</f>
        <v>800</v>
      </c>
      <c r="I198" s="48">
        <f ca="1">VLOOKUP($F198,OFFSET(enemy_skill_triggers!$A$1,0,0,COUNTA(enemy_skill_triggers!$A:$A),MATCH(I$1,enemy_skill_triggers!$1:$1,0)-MATCH($F$1,enemy_skill_triggers!$1:$1,0)+1),MATCH(I$1,enemy_skill_triggers!$1:$1,0)-MATCH($F$1,enemy_skill_triggers!$1:$1,0)+1,FALSE)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8" s="48" t="str">
        <f ca="1">VLOOKUP($F198,OFFSET(enemy_skill_triggers!$A$1,0,0,COUNTA(enemy_skill_triggers!$A:$A),MATCH(J$1,enemy_skill_triggers!$1:$1,0)-MATCH($F$1,enemy_skill_triggers!$1:$1,0)+1),MATCH(J$1,enemy_skill_triggers!$1:$1,0)-MATCH($F$1,enemy_skill_triggers!$1:$1,0)+1,FALSE)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8" s="48" t="str">
        <f ca="1">VLOOKUP($F198,OFFSET(enemy_skill_triggers!$A$1,0,0,COUNTA(enemy_skill_triggers!$A:$A),MATCH(K$1,enemy_skill_triggers!$1:$1,0)-MATCH($F$1,enemy_skill_triggers!$1:$1,0)+1),MATCH(K$1,enemy_skill_triggers!$1:$1,0)-MATCH($F$1,enemy_skill_triggers!$1:$1,0)+1,FALSE)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8" s="48">
        <f ca="1">VLOOKUP($F198,OFFSET(enemy_skill_triggers!$A$1,0,0,COUNTA(enemy_skill_triggers!$A:$A),MATCH(L$1,enemy_skill_triggers!$1:$1,0)-MATCH($F$1,enemy_skill_triggers!$1:$1,0)+1),MATCH(L$1,enemy_skill_triggers!$1:$1,0)-MATCH($F$1,enemy_skill_triggers!$1:$1,0)+1,FALSE)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8" s="48">
        <f ca="1">VLOOKUP($F198,OFFSET(enemy_skill_triggers!$A$1,0,0,COUNTA(enemy_skill_triggers!$A:$A),MATCH(M$1,enemy_skill_triggers!$1:$1,0)-MATCH($F$1,enemy_skill_triggers!$1:$1,0)+1),MATCH(M$1,enemy_skill_triggers!$1:$1,0)-MATCH($F$1,enemy_skill_triggers!$1:$1,0)+1,FALSE)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8" s="48">
        <f ca="1">VLOOKUP($F198,OFFSET(enemy_skill_triggers!$A$1,0,0,COUNTA(enemy_skill_triggers!$A:$A),MATCH(N$1,enemy_skill_triggers!$1:$1,0)-MATCH($F$1,enemy_skill_triggers!$1:$1,0)+1),MATCH(N$1,enemy_skill_triggers!$1:$1,0)-MATCH($F$1,enemy_skill_triggers!$1:$1,0)+1,FALSE)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98" s="48">
        <f ca="1">VLOOKUP($F198,OFFSET(enemy_skill_triggers!$A$1,0,0,COUNTA(enemy_skill_triggers!$A:$A),MATCH(O$1,enemy_skill_triggers!$1:$1,0)-MATCH($F$1,enemy_skill_triggers!$1:$1,0)+1),MATCH(O$1,enemy_skill_triggers!$1:$1,0)-MATCH($F$1,enemy_skill_triggers!$1:$1,0)+1,FALSE)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8" s="47"/>
      <c r="Q198" s="47"/>
      <c r="R198" s="47"/>
    </row>
    <row r="199" spans="1:18" ht="12" customHeight="1" x14ac:dyDescent="0.15">
      <c r="A199" s="39" t="str">
        <f t="shared" si="14"/>
        <v>49016120_49016106</v>
      </c>
      <c r="B199" s="108">
        <v>49016120</v>
      </c>
      <c r="C199" s="175">
        <v>49016106</v>
      </c>
      <c r="D199" s="46" t="str">
        <f ca="1">VLOOKUP($C199,OFFSET(enemy_skills!$A$1,0,0,COUNTA(enemy_skills!$A:$A),MATCH(D$1,enemy_skills!$1:$1,0)-MATCH("enemy_skill_id",enemy_skills!$1:$1,0)+1),MATCH(D$1,enemy_skills!$1:$1,0)-MATCH("enemy_skill_id",enemy_skills!$1:$1,0)+1,FALSE)</f>
        <v>ガッ…世話かけさして_x000D_すまんな、リョウ…</v>
      </c>
      <c r="E199" s="46" t="str">
        <f ca="1">VLOOKUP($C199,OFFSET(enemy_skills!$A$1,0,0,COUNTA(enemy_skills!$A:$A),MATCH(E$1,enemy_skills!$1:$1,0)-MATCH("enemy_skill_id",enemy_skills!$1:$1,0)+1),MATCH(E$1,enemy_skills!$1:$1,0)-MATCH("enemy_skill_id",enemy_skills!$1:$1,0)+1,FALSE)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199" s="175">
        <v>49016106</v>
      </c>
      <c r="G199" s="48">
        <f ca="1">VLOOKUP($F199,OFFSET(enemy_skill_triggers!$A$1,0,0,COUNTA(enemy_skill_triggers!$A:$A),MATCH(G$1,enemy_skill_triggers!$1:$1,0)-MATCH($F$1,enemy_skill_triggers!$1:$1,0)+1),MATCH(G$1,enemy_skill_triggers!$1:$1,0)-MATCH($F$1,enemy_skill_triggers!$1:$1,0)+1,FALSE)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9" s="48">
        <f ca="1">VLOOKUP($F199,OFFSET(enemy_skill_triggers!$A$1,0,0,COUNTA(enemy_skill_triggers!$A:$A),MATCH(H$1,enemy_skill_triggers!$1:$1,0)-MATCH($F$1,enemy_skill_triggers!$1:$1,0)+1),MATCH(H$1,enemy_skill_triggers!$1:$1,0)-MATCH($F$1,enemy_skill_triggers!$1:$1,0)+1,FALSE)</f>
        <v>803</v>
      </c>
      <c r="I199" s="48">
        <f ca="1">VLOOKUP($F199,OFFSET(enemy_skill_triggers!$A$1,0,0,COUNTA(enemy_skill_triggers!$A:$A),MATCH(I$1,enemy_skill_triggers!$1:$1,0)-MATCH($F$1,enemy_skill_triggers!$1:$1,0)+1),MATCH(I$1,enemy_skill_triggers!$1:$1,0)-MATCH($F$1,enemy_skill_triggers!$1:$1,0)+1,FALSE)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9" s="48" t="str">
        <f ca="1">VLOOKUP($F199,OFFSET(enemy_skill_triggers!$A$1,0,0,COUNTA(enemy_skill_triggers!$A:$A),MATCH(J$1,enemy_skill_triggers!$1:$1,0)-MATCH($F$1,enemy_skill_triggers!$1:$1,0)+1),MATCH(J$1,enemy_skill_triggers!$1:$1,0)-MATCH($F$1,enemy_skill_triggers!$1:$1,0)+1,FALSE)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9" s="48" t="str">
        <f ca="1">VLOOKUP($F199,OFFSET(enemy_skill_triggers!$A$1,0,0,COUNTA(enemy_skill_triggers!$A:$A),MATCH(K$1,enemy_skill_triggers!$1:$1,0)-MATCH($F$1,enemy_skill_triggers!$1:$1,0)+1),MATCH(K$1,enemy_skill_triggers!$1:$1,0)-MATCH($F$1,enemy_skill_triggers!$1:$1,0)+1,FALSE)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9" s="48">
        <f ca="1">VLOOKUP($F199,OFFSET(enemy_skill_triggers!$A$1,0,0,COUNTA(enemy_skill_triggers!$A:$A),MATCH(L$1,enemy_skill_triggers!$1:$1,0)-MATCH($F$1,enemy_skill_triggers!$1:$1,0)+1),MATCH(L$1,enemy_skill_triggers!$1:$1,0)-MATCH($F$1,enemy_skill_triggers!$1:$1,0)+1,FALSE)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99" s="48">
        <f ca="1">VLOOKUP($F199,OFFSET(enemy_skill_triggers!$A$1,0,0,COUNTA(enemy_skill_triggers!$A:$A),MATCH(M$1,enemy_skill_triggers!$1:$1,0)-MATCH($F$1,enemy_skill_triggers!$1:$1,0)+1),MATCH(M$1,enemy_skill_triggers!$1:$1,0)-MATCH($F$1,enemy_skill_triggers!$1:$1,0)+1,FALSE)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99" s="48">
        <f ca="1">VLOOKUP($F199,OFFSET(enemy_skill_triggers!$A$1,0,0,COUNTA(enemy_skill_triggers!$A:$A),MATCH(N$1,enemy_skill_triggers!$1:$1,0)-MATCH($F$1,enemy_skill_triggers!$1:$1,0)+1),MATCH(N$1,enemy_skill_triggers!$1:$1,0)-MATCH($F$1,enemy_skill_triggers!$1:$1,0)+1,FALSE)</f>
        <v>1556</v>
      </c>
      <c r="O199" s="48">
        <f ca="1">VLOOKUP($F199,OFFSET(enemy_skill_triggers!$A$1,0,0,COUNTA(enemy_skill_triggers!$A:$A),MATCH(O$1,enemy_skill_triggers!$1:$1,0)-MATCH($F$1,enemy_skill_triggers!$1:$1,0)+1),MATCH(O$1,enemy_skill_triggers!$1:$1,0)-MATCH($F$1,enemy_skill_triggers!$1:$1,0)+1,FALSE)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9" s="47"/>
      <c r="Q199" s="47"/>
      <c r="R199" s="47"/>
    </row>
    <row r="200" spans="1:18" ht="12" customHeight="1" x14ac:dyDescent="0.15">
      <c r="A200" s="39" t="str">
        <f t="shared" si="14"/>
        <v>49016120_49016107</v>
      </c>
      <c r="B200" s="108">
        <v>49016120</v>
      </c>
      <c r="C200" s="175">
        <v>49016107</v>
      </c>
      <c r="D200" s="46" t="str">
        <f ca="1">VLOOKUP($C200,OFFSET(enemy_skills!$A$1,0,0,COUNTA(enemy_skills!$A:$A),MATCH(D$1,enemy_skills!$1:$1,0)-MATCH("enemy_skill_id",enemy_skills!$1:$1,0)+1),MATCH(D$1,enemy_skills!$1:$1,0)-MATCH("enemy_skill_id",enemy_skills!$1:$1,0)+1,FALSE)</f>
        <v>ガッ…世話かけさして_x000D_すまんな、リョウ…</v>
      </c>
      <c r="E200" s="46" t="str">
        <f ca="1">VLOOKUP($C200,OFFSET(enemy_skills!$A$1,0,0,COUNTA(enemy_skills!$A:$A),MATCH(E$1,enemy_skills!$1:$1,0)-MATCH("enemy_skill_id",enemy_skills!$1:$1,0)+1),MATCH(E$1,enemy_skills!$1:$1,0)-MATCH("enemy_skill_id",enemy_skills!$1:$1,0)+1,FALSE)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0" s="175">
        <v>49016107</v>
      </c>
      <c r="G200" s="48">
        <f ca="1">VLOOKUP($F200,OFFSET(enemy_skill_triggers!$A$1,0,0,COUNTA(enemy_skill_triggers!$A:$A),MATCH(G$1,enemy_skill_triggers!$1:$1,0)-MATCH($F$1,enemy_skill_triggers!$1:$1,0)+1),MATCH(G$1,enemy_skill_triggers!$1:$1,0)-MATCH($F$1,enemy_skill_triggers!$1:$1,0)+1,FALSE)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0" s="48">
        <f ca="1">VLOOKUP($F200,OFFSET(enemy_skill_triggers!$A$1,0,0,COUNTA(enemy_skill_triggers!$A:$A),MATCH(H$1,enemy_skill_triggers!$1:$1,0)-MATCH($F$1,enemy_skill_triggers!$1:$1,0)+1),MATCH(H$1,enemy_skill_triggers!$1:$1,0)-MATCH($F$1,enemy_skill_triggers!$1:$1,0)+1,FALSE)</f>
        <v>804</v>
      </c>
      <c r="I200" s="48">
        <f ca="1">VLOOKUP($F200,OFFSET(enemy_skill_triggers!$A$1,0,0,COUNTA(enemy_skill_triggers!$A:$A),MATCH(I$1,enemy_skill_triggers!$1:$1,0)-MATCH($F$1,enemy_skill_triggers!$1:$1,0)+1),MATCH(I$1,enemy_skill_triggers!$1:$1,0)-MATCH($F$1,enemy_skill_triggers!$1:$1,0)+1,FALSE)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0" s="48" t="str">
        <f ca="1">VLOOKUP($F200,OFFSET(enemy_skill_triggers!$A$1,0,0,COUNTA(enemy_skill_triggers!$A:$A),MATCH(J$1,enemy_skill_triggers!$1:$1,0)-MATCH($F$1,enemy_skill_triggers!$1:$1,0)+1),MATCH(J$1,enemy_skill_triggers!$1:$1,0)-MATCH($F$1,enemy_skill_triggers!$1:$1,0)+1,FALSE)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0" s="48" t="str">
        <f ca="1">VLOOKUP($F200,OFFSET(enemy_skill_triggers!$A$1,0,0,COUNTA(enemy_skill_triggers!$A:$A),MATCH(K$1,enemy_skill_triggers!$1:$1,0)-MATCH($F$1,enemy_skill_triggers!$1:$1,0)+1),MATCH(K$1,enemy_skill_triggers!$1:$1,0)-MATCH($F$1,enemy_skill_triggers!$1:$1,0)+1,FALSE)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0" s="48">
        <f ca="1">VLOOKUP($F200,OFFSET(enemy_skill_triggers!$A$1,0,0,COUNTA(enemy_skill_triggers!$A:$A),MATCH(L$1,enemy_skill_triggers!$1:$1,0)-MATCH($F$1,enemy_skill_triggers!$1:$1,0)+1),MATCH(L$1,enemy_skill_triggers!$1:$1,0)-MATCH($F$1,enemy_skill_triggers!$1:$1,0)+1,FALSE)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0" s="48">
        <f ca="1">VLOOKUP($F200,OFFSET(enemy_skill_triggers!$A$1,0,0,COUNTA(enemy_skill_triggers!$A:$A),MATCH(M$1,enemy_skill_triggers!$1:$1,0)-MATCH($F$1,enemy_skill_triggers!$1:$1,0)+1),MATCH(M$1,enemy_skill_triggers!$1:$1,0)-MATCH($F$1,enemy_skill_triggers!$1:$1,0)+1,FALSE)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0" s="48">
        <f ca="1">VLOOKUP($F200,OFFSET(enemy_skill_triggers!$A$1,0,0,COUNTA(enemy_skill_triggers!$A:$A),MATCH(N$1,enemy_skill_triggers!$1:$1,0)-MATCH($F$1,enemy_skill_triggers!$1:$1,0)+1),MATCH(N$1,enemy_skill_triggers!$1:$1,0)-MATCH($F$1,enemy_skill_triggers!$1:$1,0)+1,FALSE)</f>
        <v>1557</v>
      </c>
      <c r="O200" s="48">
        <f ca="1">VLOOKUP($F200,OFFSET(enemy_skill_triggers!$A$1,0,0,COUNTA(enemy_skill_triggers!$A:$A),MATCH(O$1,enemy_skill_triggers!$1:$1,0)-MATCH($F$1,enemy_skill_triggers!$1:$1,0)+1),MATCH(O$1,enemy_skill_triggers!$1:$1,0)-MATCH($F$1,enemy_skill_triggers!$1:$1,0)+1,FALSE)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0" s="47"/>
      <c r="Q200" s="47"/>
      <c r="R200" s="47"/>
    </row>
    <row r="201" spans="1:18" ht="12" customHeight="1" x14ac:dyDescent="0.15">
      <c r="A201" s="39" t="str">
        <f t="shared" si="14"/>
        <v>49016120_49016108</v>
      </c>
      <c r="B201" s="108">
        <v>49016120</v>
      </c>
      <c r="C201" s="175">
        <v>49016108</v>
      </c>
      <c r="D201" s="46" t="str">
        <f ca="1">VLOOKUP($C201,OFFSET(enemy_skills!$A$1,0,0,COUNTA(enemy_skills!$A:$A),MATCH(D$1,enemy_skills!$1:$1,0)-MATCH("enemy_skill_id",enemy_skills!$1:$1,0)+1),MATCH(D$1,enemy_skills!$1:$1,0)-MATCH("enemy_skill_id",enemy_skills!$1:$1,0)+1,FALSE)</f>
        <v>ガッ…！？わいは何を…_x000D_ユリちゃん、すまーーーん！！</v>
      </c>
      <c r="E201" s="46" t="str">
        <f ca="1">VLOOKUP($C201,OFFSET(enemy_skills!$A$1,0,0,COUNTA(enemy_skills!$A:$A),MATCH(E$1,enemy_skills!$1:$1,0)-MATCH("enemy_skill_id",enemy_skills!$1:$1,0)+1),MATCH(E$1,enemy_skills!$1:$1,0)-MATCH("enemy_skill_id",enemy_skills!$1:$1,0)+1,FALSE)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1" s="175">
        <v>49016108</v>
      </c>
      <c r="G201" s="48">
        <f ca="1">VLOOKUP($F201,OFFSET(enemy_skill_triggers!$A$1,0,0,COUNTA(enemy_skill_triggers!$A:$A),MATCH(G$1,enemy_skill_triggers!$1:$1,0)-MATCH($F$1,enemy_skill_triggers!$1:$1,0)+1),MATCH(G$1,enemy_skill_triggers!$1:$1,0)-MATCH($F$1,enemy_skill_triggers!$1:$1,0)+1,FALSE)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1" s="48">
        <f ca="1">VLOOKUP($F201,OFFSET(enemy_skill_triggers!$A$1,0,0,COUNTA(enemy_skill_triggers!$A:$A),MATCH(H$1,enemy_skill_triggers!$1:$1,0)-MATCH($F$1,enemy_skill_triggers!$1:$1,0)+1),MATCH(H$1,enemy_skill_triggers!$1:$1,0)-MATCH($F$1,enemy_skill_triggers!$1:$1,0)+1,FALSE)</f>
        <v>801</v>
      </c>
      <c r="I201" s="48">
        <f ca="1">VLOOKUP($F201,OFFSET(enemy_skill_triggers!$A$1,0,0,COUNTA(enemy_skill_triggers!$A:$A),MATCH(I$1,enemy_skill_triggers!$1:$1,0)-MATCH($F$1,enemy_skill_triggers!$1:$1,0)+1),MATCH(I$1,enemy_skill_triggers!$1:$1,0)-MATCH($F$1,enemy_skill_triggers!$1:$1,0)+1,FALSE)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1" s="48" t="str">
        <f ca="1">VLOOKUP($F201,OFFSET(enemy_skill_triggers!$A$1,0,0,COUNTA(enemy_skill_triggers!$A:$A),MATCH(J$1,enemy_skill_triggers!$1:$1,0)-MATCH($F$1,enemy_skill_triggers!$1:$1,0)+1),MATCH(J$1,enemy_skill_triggers!$1:$1,0)-MATCH($F$1,enemy_skill_triggers!$1:$1,0)+1,FALSE)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1" s="48" t="str">
        <f ca="1">VLOOKUP($F201,OFFSET(enemy_skill_triggers!$A$1,0,0,COUNTA(enemy_skill_triggers!$A:$A),MATCH(K$1,enemy_skill_triggers!$1:$1,0)-MATCH($F$1,enemy_skill_triggers!$1:$1,0)+1),MATCH(K$1,enemy_skill_triggers!$1:$1,0)-MATCH($F$1,enemy_skill_triggers!$1:$1,0)+1,FALSE)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1" s="48">
        <f ca="1">VLOOKUP($F201,OFFSET(enemy_skill_triggers!$A$1,0,0,COUNTA(enemy_skill_triggers!$A:$A),MATCH(L$1,enemy_skill_triggers!$1:$1,0)-MATCH($F$1,enemy_skill_triggers!$1:$1,0)+1),MATCH(L$1,enemy_skill_triggers!$1:$1,0)-MATCH($F$1,enemy_skill_triggers!$1:$1,0)+1,FALSE)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1" s="48">
        <f ca="1">VLOOKUP($F201,OFFSET(enemy_skill_triggers!$A$1,0,0,COUNTA(enemy_skill_triggers!$A:$A),MATCH(M$1,enemy_skill_triggers!$1:$1,0)-MATCH($F$1,enemy_skill_triggers!$1:$1,0)+1),MATCH(M$1,enemy_skill_triggers!$1:$1,0)-MATCH($F$1,enemy_skill_triggers!$1:$1,0)+1,FALSE)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1" s="48">
        <f ca="1">VLOOKUP($F201,OFFSET(enemy_skill_triggers!$A$1,0,0,COUNTA(enemy_skill_triggers!$A:$A),MATCH(N$1,enemy_skill_triggers!$1:$1,0)-MATCH($F$1,enemy_skill_triggers!$1:$1,0)+1),MATCH(N$1,enemy_skill_triggers!$1:$1,0)-MATCH($F$1,enemy_skill_triggers!$1:$1,0)+1,FALSE)</f>
        <v>1558</v>
      </c>
      <c r="O201" s="48">
        <f ca="1">VLOOKUP($F201,OFFSET(enemy_skill_triggers!$A$1,0,0,COUNTA(enemy_skill_triggers!$A:$A),MATCH(O$1,enemy_skill_triggers!$1:$1,0)-MATCH($F$1,enemy_skill_triggers!$1:$1,0)+1),MATCH(O$1,enemy_skill_triggers!$1:$1,0)-MATCH($F$1,enemy_skill_triggers!$1:$1,0)+1,FALSE)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1" s="47"/>
      <c r="Q201" s="47"/>
      <c r="R201" s="47"/>
    </row>
    <row r="202" spans="1:18" ht="12" customHeight="1" x14ac:dyDescent="0.15">
      <c r="A202" s="39" t="str">
        <f t="shared" si="14"/>
        <v>49016120_49016109</v>
      </c>
      <c r="B202" s="108">
        <v>49016120</v>
      </c>
      <c r="C202" s="175">
        <v>49016109</v>
      </c>
      <c r="D202" s="46" t="str">
        <f ca="1">VLOOKUP($C202,OFFSET(enemy_skills!$A$1,0,0,COUNTA(enemy_skills!$A:$A),MATCH(D$1,enemy_skills!$1:$1,0)-MATCH("enemy_skill_id",enemy_skills!$1:$1,0)+1),MATCH(D$1,enemy_skills!$1:$1,0)-MATCH("enemy_skill_id",enemy_skills!$1:$1,0)+1,FALSE)</f>
        <v>ガッ…！？わいは何を…_x000D_ユリちゃん、すまーーーん！！</v>
      </c>
      <c r="E202" s="46" t="str">
        <f ca="1">VLOOKUP($C202,OFFSET(enemy_skills!$A$1,0,0,COUNTA(enemy_skills!$A:$A),MATCH(E$1,enemy_skills!$1:$1,0)-MATCH("enemy_skill_id",enemy_skills!$1:$1,0)+1),MATCH(E$1,enemy_skills!$1:$1,0)-MATCH("enemy_skill_id",enemy_skills!$1:$1,0)+1,FALSE)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2" s="175">
        <v>49016109</v>
      </c>
      <c r="G202" s="48">
        <f ca="1">VLOOKUP($F202,OFFSET(enemy_skill_triggers!$A$1,0,0,COUNTA(enemy_skill_triggers!$A:$A),MATCH(G$1,enemy_skill_triggers!$1:$1,0)-MATCH($F$1,enemy_skill_triggers!$1:$1,0)+1),MATCH(G$1,enemy_skill_triggers!$1:$1,0)-MATCH($F$1,enemy_skill_triggers!$1:$1,0)+1,FALSE)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2" s="48">
        <f ca="1">VLOOKUP($F202,OFFSET(enemy_skill_triggers!$A$1,0,0,COUNTA(enemy_skill_triggers!$A:$A),MATCH(H$1,enemy_skill_triggers!$1:$1,0)-MATCH($F$1,enemy_skill_triggers!$1:$1,0)+1),MATCH(H$1,enemy_skill_triggers!$1:$1,0)-MATCH($F$1,enemy_skill_triggers!$1:$1,0)+1,FALSE)</f>
        <v>802</v>
      </c>
      <c r="I202" s="48">
        <f ca="1">VLOOKUP($F202,OFFSET(enemy_skill_triggers!$A$1,0,0,COUNTA(enemy_skill_triggers!$A:$A),MATCH(I$1,enemy_skill_triggers!$1:$1,0)-MATCH($F$1,enemy_skill_triggers!$1:$1,0)+1),MATCH(I$1,enemy_skill_triggers!$1:$1,0)-MATCH($F$1,enemy_skill_triggers!$1:$1,0)+1,FALSE)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2" s="48" t="str">
        <f ca="1">VLOOKUP($F202,OFFSET(enemy_skill_triggers!$A$1,0,0,COUNTA(enemy_skill_triggers!$A:$A),MATCH(J$1,enemy_skill_triggers!$1:$1,0)-MATCH($F$1,enemy_skill_triggers!$1:$1,0)+1),MATCH(J$1,enemy_skill_triggers!$1:$1,0)-MATCH($F$1,enemy_skill_triggers!$1:$1,0)+1,FALSE)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2" s="48" t="str">
        <f ca="1">VLOOKUP($F202,OFFSET(enemy_skill_triggers!$A$1,0,0,COUNTA(enemy_skill_triggers!$A:$A),MATCH(K$1,enemy_skill_triggers!$1:$1,0)-MATCH($F$1,enemy_skill_triggers!$1:$1,0)+1),MATCH(K$1,enemy_skill_triggers!$1:$1,0)-MATCH($F$1,enemy_skill_triggers!$1:$1,0)+1,FALSE)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2" s="48">
        <f ca="1">VLOOKUP($F202,OFFSET(enemy_skill_triggers!$A$1,0,0,COUNTA(enemy_skill_triggers!$A:$A),MATCH(L$1,enemy_skill_triggers!$1:$1,0)-MATCH($F$1,enemy_skill_triggers!$1:$1,0)+1),MATCH(L$1,enemy_skill_triggers!$1:$1,0)-MATCH($F$1,enemy_skill_triggers!$1:$1,0)+1,FALSE)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02" s="48">
        <f ca="1">VLOOKUP($F202,OFFSET(enemy_skill_triggers!$A$1,0,0,COUNTA(enemy_skill_triggers!$A:$A),MATCH(M$1,enemy_skill_triggers!$1:$1,0)-MATCH($F$1,enemy_skill_triggers!$1:$1,0)+1),MATCH(M$1,enemy_skill_triggers!$1:$1,0)-MATCH($F$1,enemy_skill_triggers!$1:$1,0)+1,FALSE)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2" s="48">
        <f ca="1">VLOOKUP($F202,OFFSET(enemy_skill_triggers!$A$1,0,0,COUNTA(enemy_skill_triggers!$A:$A),MATCH(N$1,enemy_skill_triggers!$1:$1,0)-MATCH($F$1,enemy_skill_triggers!$1:$1,0)+1),MATCH(N$1,enemy_skill_triggers!$1:$1,0)-MATCH($F$1,enemy_skill_triggers!$1:$1,0)+1,FALSE)</f>
        <v>1559</v>
      </c>
      <c r="O202" s="48">
        <f ca="1">VLOOKUP($F202,OFFSET(enemy_skill_triggers!$A$1,0,0,COUNTA(enemy_skill_triggers!$A:$A),MATCH(O$1,enemy_skill_triggers!$1:$1,0)-MATCH($F$1,enemy_skill_triggers!$1:$1,0)+1),MATCH(O$1,enemy_skill_triggers!$1:$1,0)-MATCH($F$1,enemy_skill_triggers!$1:$1,0)+1,FALSE)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2" s="47"/>
      <c r="Q202" s="47"/>
      <c r="R202" s="47"/>
    </row>
    <row r="203" spans="1:18" ht="21" customHeight="1" x14ac:dyDescent="0.15">
      <c r="A203" s="39" t="str">
        <f t="shared" si="14"/>
        <v>49016220_49016200</v>
      </c>
      <c r="B203" s="114">
        <v>49016220</v>
      </c>
      <c r="C203" s="114">
        <v>49016200</v>
      </c>
      <c r="D203" s="46" t="str">
        <f ca="1">VLOOKUP($C203,OFFSET(enemy_skills!$A$1,0,0,COUNTA(enemy_skills!$A:$A),MATCH(D$1,enemy_skills!$1:$1,0)-MATCH("enemy_skill_id",enemy_skills!$1:$1,0)+1),MATCH(D$1,enemy_skills!$1:$1,0)-MATCH("enemy_skill_id",enemy_skills!$1:$1,0)+1,FALSE)</f>
        <v>オイあんたら！悪い事言わないから_x000D_こっから先はやめときな！</v>
      </c>
      <c r="E203" s="46" t="str">
        <f ca="1">VLOOKUP($C203,OFFSET(enemy_skills!$A$1,0,0,COUNTA(enemy_skills!$A:$A),MATCH(E$1,enemy_skills!$1:$1,0)-MATCH("enemy_skill_id",enemy_skills!$1:$1,0)+1),MATCH(E$1,enemy_skills!$1:$1,0)-MATCH("enemy_skill_id",enemy_skills!$1:$1,0)+1,FALSE)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03" s="114">
        <v>49016200</v>
      </c>
      <c r="G203" s="48">
        <f ca="1">VLOOKUP($F203,OFFSET(enemy_skill_triggers!$A$1,0,0,COUNTA(enemy_skill_triggers!$A:$A),MATCH(G$1,enemy_skill_triggers!$1:$1,0)-MATCH($F$1,enemy_skill_triggers!$1:$1,0)+1),MATCH(G$1,enemy_skill_triggers!$1:$1,0)-MATCH($F$1,enemy_skill_triggers!$1:$1,0)+1,FALSE)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3" s="48">
        <f ca="1">VLOOKUP($F203,OFFSET(enemy_skill_triggers!$A$1,0,0,COUNTA(enemy_skill_triggers!$A:$A),MATCH(H$1,enemy_skill_triggers!$1:$1,0)-MATCH($F$1,enemy_skill_triggers!$1:$1,0)+1),MATCH(H$1,enemy_skill_triggers!$1:$1,0)-MATCH($F$1,enemy_skill_triggers!$1:$1,0)+1,FALSE)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203" s="48">
        <f ca="1">VLOOKUP($F203,OFFSET(enemy_skill_triggers!$A$1,0,0,COUNTA(enemy_skill_triggers!$A:$A),MATCH(I$1,enemy_skill_triggers!$1:$1,0)-MATCH($F$1,enemy_skill_triggers!$1:$1,0)+1),MATCH(I$1,enemy_skill_triggers!$1:$1,0)-MATCH($F$1,enemy_skill_triggers!$1:$1,0)+1,FALSE)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3" s="48" t="str">
        <f ca="1">VLOOKUP($F203,OFFSET(enemy_skill_triggers!$A$1,0,0,COUNTA(enemy_skill_triggers!$A:$A),MATCH(J$1,enemy_skill_triggers!$1:$1,0)-MATCH($F$1,enemy_skill_triggers!$1:$1,0)+1),MATCH(J$1,enemy_skill_triggers!$1:$1,0)-MATCH($F$1,enemy_skill_triggers!$1:$1,0)+1,FALSE)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3" s="48" t="str">
        <f ca="1">VLOOKUP($F203,OFFSET(enemy_skill_triggers!$A$1,0,0,COUNTA(enemy_skill_triggers!$A:$A),MATCH(K$1,enemy_skill_triggers!$1:$1,0)-MATCH($F$1,enemy_skill_triggers!$1:$1,0)+1),MATCH(K$1,enemy_skill_triggers!$1:$1,0)-MATCH($F$1,enemy_skill_triggers!$1:$1,0)+1,FALSE)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3" s="48">
        <f ca="1">VLOOKUP($F203,OFFSET(enemy_skill_triggers!$A$1,0,0,COUNTA(enemy_skill_triggers!$A:$A),MATCH(L$1,enemy_skill_triggers!$1:$1,0)-MATCH($F$1,enemy_skill_triggers!$1:$1,0)+1),MATCH(L$1,enemy_skill_triggers!$1:$1,0)-MATCH($F$1,enemy_skill_triggers!$1:$1,0)+1,FALSE)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3" s="48">
        <f ca="1">VLOOKUP($F203,OFFSET(enemy_skill_triggers!$A$1,0,0,COUNTA(enemy_skill_triggers!$A:$A),MATCH(M$1,enemy_skill_triggers!$1:$1,0)-MATCH($F$1,enemy_skill_triggers!$1:$1,0)+1),MATCH(M$1,enemy_skill_triggers!$1:$1,0)-MATCH($F$1,enemy_skill_triggers!$1:$1,0)+1,FALSE)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3" s="48" t="str">
        <f ca="1">VLOOKUP($F203,OFFSET(enemy_skill_triggers!$A$1,0,0,COUNTA(enemy_skill_triggers!$A:$A),MATCH(N$1,enemy_skill_triggers!$1:$1,0)-MATCH($F$1,enemy_skill_triggers!$1:$1,0)+1),MATCH(N$1,enemy_skill_triggers!$1:$1,0)-MATCH($F$1,enemy_skill_triggers!$1:$1,0)+1,FALSE)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3" s="48">
        <f ca="1">VLOOKUP($F203,OFFSET(enemy_skill_triggers!$A$1,0,0,COUNTA(enemy_skill_triggers!$A:$A),MATCH(O$1,enemy_skill_triggers!$1:$1,0)-MATCH($F$1,enemy_skill_triggers!$1:$1,0)+1),MATCH(O$1,enemy_skill_triggers!$1:$1,0)-MATCH($F$1,enemy_skill_triggers!$1:$1,0)+1,FALSE)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3" s="47"/>
      <c r="Q203" s="47"/>
      <c r="R203" s="47"/>
    </row>
    <row r="204" spans="1:18" ht="21" customHeight="1" x14ac:dyDescent="0.15">
      <c r="A204" s="39" t="str">
        <f t="shared" si="14"/>
        <v>49016220_49016205</v>
      </c>
      <c r="B204" s="114">
        <v>49016220</v>
      </c>
      <c r="C204" s="175">
        <v>49016205</v>
      </c>
      <c r="D204" s="46" t="str">
        <f ca="1">VLOOKUP($C204,OFFSET(enemy_skills!$A$1,0,0,COUNTA(enemy_skills!$A:$A),MATCH(D$1,enemy_skills!$1:$1,0)-MATCH("enemy_skill_id",enemy_skills!$1:$1,0)+1),MATCH(D$1,enemy_skills!$1:$1,0)-MATCH("enemy_skill_id",enemy_skills!$1:$1,0)+1,FALSE)</f>
        <v>炎が…お前を呼んでるぜ！</v>
      </c>
      <c r="E204" s="46" t="str">
        <f ca="1">VLOOKUP($C204,OFFSET(enemy_skills!$A$1,0,0,COUNTA(enemy_skills!$A:$A),MATCH(E$1,enemy_skills!$1:$1,0)-MATCH("enemy_skill_id",enemy_skills!$1:$1,0)+1),MATCH(E$1,enemy_skills!$1:$1,0)-MATCH("enemy_skill_id",enemy_skills!$1:$1,0)+1,FALSE)</f>
        <v>『なら燃えつきろ…潔くな』</v>
      </c>
      <c r="F204" s="175">
        <v>49016205</v>
      </c>
      <c r="G204" s="48">
        <f ca="1">VLOOKUP($F204,OFFSET(enemy_skill_triggers!$A$1,0,0,COUNTA(enemy_skill_triggers!$A:$A),MATCH(G$1,enemy_skill_triggers!$1:$1,0)-MATCH($F$1,enemy_skill_triggers!$1:$1,0)+1),MATCH(G$1,enemy_skill_triggers!$1:$1,0)-MATCH($F$1,enemy_skill_triggers!$1:$1,0)+1,FALSE)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4" s="48">
        <f ca="1">VLOOKUP($F204,OFFSET(enemy_skill_triggers!$A$1,0,0,COUNTA(enemy_skill_triggers!$A:$A),MATCH(H$1,enemy_skill_triggers!$1:$1,0)-MATCH($F$1,enemy_skill_triggers!$1:$1,0)+1),MATCH(H$1,enemy_skill_triggers!$1:$1,0)-MATCH($F$1,enemy_skill_triggers!$1:$1,0)+1,FALSE)</f>
        <v>401</v>
      </c>
      <c r="I204" s="48">
        <f ca="1">VLOOKUP($F204,OFFSET(enemy_skill_triggers!$A$1,0,0,COUNTA(enemy_skill_triggers!$A:$A),MATCH(I$1,enemy_skill_triggers!$1:$1,0)-MATCH($F$1,enemy_skill_triggers!$1:$1,0)+1),MATCH(I$1,enemy_skill_triggers!$1:$1,0)-MATCH($F$1,enemy_skill_triggers!$1:$1,0)+1,FALSE)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4" s="48" t="str">
        <f ca="1">VLOOKUP($F204,OFFSET(enemy_skill_triggers!$A$1,0,0,COUNTA(enemy_skill_triggers!$A:$A),MATCH(J$1,enemy_skill_triggers!$1:$1,0)-MATCH($F$1,enemy_skill_triggers!$1:$1,0)+1),MATCH(J$1,enemy_skill_triggers!$1:$1,0)-MATCH($F$1,enemy_skill_triggers!$1:$1,0)+1,FALSE)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4" s="48" t="str">
        <f ca="1">VLOOKUP($F204,OFFSET(enemy_skill_triggers!$A$1,0,0,COUNTA(enemy_skill_triggers!$A:$A),MATCH(K$1,enemy_skill_triggers!$1:$1,0)-MATCH($F$1,enemy_skill_triggers!$1:$1,0)+1),MATCH(K$1,enemy_skill_triggers!$1:$1,0)-MATCH($F$1,enemy_skill_triggers!$1:$1,0)+1,FALSE)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4" s="48">
        <f ca="1">VLOOKUP($F204,OFFSET(enemy_skill_triggers!$A$1,0,0,COUNTA(enemy_skill_triggers!$A:$A),MATCH(L$1,enemy_skill_triggers!$1:$1,0)-MATCH($F$1,enemy_skill_triggers!$1:$1,0)+1),MATCH(L$1,enemy_skill_triggers!$1:$1,0)-MATCH($F$1,enemy_skill_triggers!$1:$1,0)+1,FALSE)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4" s="48">
        <f ca="1">VLOOKUP($F204,OFFSET(enemy_skill_triggers!$A$1,0,0,COUNTA(enemy_skill_triggers!$A:$A),MATCH(M$1,enemy_skill_triggers!$1:$1,0)-MATCH($F$1,enemy_skill_triggers!$1:$1,0)+1),MATCH(M$1,enemy_skill_triggers!$1:$1,0)-MATCH($F$1,enemy_skill_triggers!$1:$1,0)+1,FALSE)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4" s="48">
        <f ca="1">VLOOKUP($F204,OFFSET(enemy_skill_triggers!$A$1,0,0,COUNTA(enemy_skill_triggers!$A:$A),MATCH(N$1,enemy_skill_triggers!$1:$1,0)-MATCH($F$1,enemy_skill_triggers!$1:$1,0)+1),MATCH(N$1,enemy_skill_triggers!$1:$1,0)-MATCH($F$1,enemy_skill_triggers!$1:$1,0)+1,FALSE)</f>
        <v>1571</v>
      </c>
      <c r="O204" s="48">
        <f ca="1">VLOOKUP($F204,OFFSET(enemy_skill_triggers!$A$1,0,0,COUNTA(enemy_skill_triggers!$A:$A),MATCH(O$1,enemy_skill_triggers!$1:$1,0)-MATCH($F$1,enemy_skill_triggers!$1:$1,0)+1),MATCH(O$1,enemy_skill_triggers!$1:$1,0)-MATCH($F$1,enemy_skill_triggers!$1:$1,0)+1,FALSE)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4" s="47"/>
      <c r="Q204" s="47"/>
      <c r="R204" s="47"/>
    </row>
    <row r="205" spans="1:18" ht="21" customHeight="1" x14ac:dyDescent="0.15">
      <c r="A205" s="39" t="str">
        <f t="shared" si="14"/>
        <v>49016220_49016973</v>
      </c>
      <c r="B205" s="114">
        <v>49016220</v>
      </c>
      <c r="C205" s="114">
        <v>49016973</v>
      </c>
      <c r="D205" s="46" t="str">
        <f ca="1">VLOOKUP($C205,OFFSET(enemy_skills!$A$1,0,0,COUNTA(enemy_skills!$A:$A),MATCH(D$1,enemy_skills!$1:$1,0)-MATCH("enemy_skill_id",enemy_skills!$1:$1,0)+1),MATCH(D$1,enemy_skills!$1:$1,0)-MATCH("enemy_skill_id",enemy_skills!$1:$1,0)+1,FALSE)</f>
        <v>ボディが、お留守だぜっ！</v>
      </c>
      <c r="E205" s="46" t="str">
        <f ca="1">VLOOKUP($C205,OFFSET(enemy_skills!$A$1,0,0,COUNTA(enemy_skills!$A:$A),MATCH(E$1,enemy_skills!$1:$1,0)-MATCH("enemy_skill_id",enemy_skills!$1:$1,0)+1),MATCH(E$1,enemy_skills!$1:$1,0)-MATCH("enemy_skill_id",enemy_skills!$1:$1,0)+1,FALSE)</f>
        <v>赤パネルプロテクト(最大3個)+単体攻撃</v>
      </c>
      <c r="F205" s="114">
        <v>49016973</v>
      </c>
      <c r="G205" s="48">
        <f ca="1">VLOOKUP($F205,OFFSET(enemy_skill_triggers!$A$1,0,0,COUNTA(enemy_skill_triggers!$A:$A),MATCH(G$1,enemy_skill_triggers!$1:$1,0)-MATCH($F$1,enemy_skill_triggers!$1:$1,0)+1),MATCH(G$1,enemy_skill_triggers!$1:$1,0)-MATCH($F$1,enemy_skill_triggers!$1:$1,0)+1,FALSE)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5" s="48">
        <f ca="1">VLOOKUP($F205,OFFSET(enemy_skill_triggers!$A$1,0,0,COUNTA(enemy_skill_triggers!$A:$A),MATCH(H$1,enemy_skill_triggers!$1:$1,0)-MATCH($F$1,enemy_skill_triggers!$1:$1,0)+1),MATCH(H$1,enemy_skill_triggers!$1:$1,0)-MATCH($F$1,enemy_skill_triggers!$1:$1,0)+1,FALSE)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5" s="48">
        <f ca="1">VLOOKUP($F205,OFFSET(enemy_skill_triggers!$A$1,0,0,COUNTA(enemy_skill_triggers!$A:$A),MATCH(I$1,enemy_skill_triggers!$1:$1,0)-MATCH($F$1,enemy_skill_triggers!$1:$1,0)+1),MATCH(I$1,enemy_skill_triggers!$1:$1,0)-MATCH($F$1,enemy_skill_triggers!$1:$1,0)+1,FALSE)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5" s="48" t="str">
        <f ca="1">VLOOKUP($F205,OFFSET(enemy_skill_triggers!$A$1,0,0,COUNTA(enemy_skill_triggers!$A:$A),MATCH(J$1,enemy_skill_triggers!$1:$1,0)-MATCH($F$1,enemy_skill_triggers!$1:$1,0)+1),MATCH(J$1,enemy_skill_triggers!$1:$1,0)-MATCH($F$1,enemy_skill_triggers!$1:$1,0)+1,FALSE)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5" s="48" t="str">
        <f ca="1">VLOOKUP($F205,OFFSET(enemy_skill_triggers!$A$1,0,0,COUNTA(enemy_skill_triggers!$A:$A),MATCH(K$1,enemy_skill_triggers!$1:$1,0)-MATCH($F$1,enemy_skill_triggers!$1:$1,0)+1),MATCH(K$1,enemy_skill_triggers!$1:$1,0)-MATCH($F$1,enemy_skill_triggers!$1:$1,0)+1,FALSE)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5" s="48" t="str">
        <f ca="1">VLOOKUP($F205,OFFSET(enemy_skill_triggers!$A$1,0,0,COUNTA(enemy_skill_triggers!$A:$A),MATCH(L$1,enemy_skill_triggers!$1:$1,0)-MATCH($F$1,enemy_skill_triggers!$1:$1,0)+1),MATCH(L$1,enemy_skill_triggers!$1:$1,0)-MATCH($F$1,enemy_skill_triggers!$1:$1,0)+1,FALSE)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5" s="48">
        <f ca="1">VLOOKUP($F205,OFFSET(enemy_skill_triggers!$A$1,0,0,COUNTA(enemy_skill_triggers!$A:$A),MATCH(M$1,enemy_skill_triggers!$1:$1,0)-MATCH($F$1,enemy_skill_triggers!$1:$1,0)+1),MATCH(M$1,enemy_skill_triggers!$1:$1,0)-MATCH($F$1,enemy_skill_triggers!$1:$1,0)+1,FALSE)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5" s="48" t="str">
        <f ca="1">VLOOKUP($F205,OFFSET(enemy_skill_triggers!$A$1,0,0,COUNTA(enemy_skill_triggers!$A:$A),MATCH(N$1,enemy_skill_triggers!$1:$1,0)-MATCH($F$1,enemy_skill_triggers!$1:$1,0)+1),MATCH(N$1,enemy_skill_triggers!$1:$1,0)-MATCH($F$1,enemy_skill_triggers!$1:$1,0)+1,FALSE)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5" s="48">
        <f ca="1">VLOOKUP($F205,OFFSET(enemy_skill_triggers!$A$1,0,0,COUNTA(enemy_skill_triggers!$A:$A),MATCH(O$1,enemy_skill_triggers!$1:$1,0)-MATCH($F$1,enemy_skill_triggers!$1:$1,0)+1),MATCH(O$1,enemy_skill_triggers!$1:$1,0)-MATCH($F$1,enemy_skill_triggers!$1:$1,0)+1,FALSE)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5" s="47"/>
      <c r="Q205" s="47"/>
      <c r="R205" s="47"/>
    </row>
    <row r="206" spans="1:18" ht="21" customHeight="1" x14ac:dyDescent="0.15">
      <c r="A206" s="39" t="str">
        <f t="shared" si="14"/>
        <v>49016220_49016202</v>
      </c>
      <c r="B206" s="114">
        <v>49016220</v>
      </c>
      <c r="C206" s="114">
        <v>49016202</v>
      </c>
      <c r="D206" s="46" t="str">
        <f ca="1">VLOOKUP($C206,OFFSET(enemy_skills!$A$1,0,0,COUNTA(enemy_skills!$A:$A),MATCH(D$1,enemy_skills!$1:$1,0)-MATCH("enemy_skill_id",enemy_skills!$1:$1,0)+1),MATCH(D$1,enemy_skills!$1:$1,0)-MATCH("enemy_skill_id",enemy_skills!$1:$1,0)+1,FALSE)</f>
        <v>ボディが、甘ぇぜ！</v>
      </c>
      <c r="E206" s="46" t="str">
        <f ca="1">VLOOKUP($C206,OFFSET(enemy_skills!$A$1,0,0,COUNTA(enemy_skills!$A:$A),MATCH(E$1,enemy_skills!$1:$1,0)-MATCH("enemy_skill_id",enemy_skills!$1:$1,0)+1),MATCH(E$1,enemy_skills!$1:$1,0)-MATCH("enemy_skill_id",enemy_skills!$1:$1,0)+1,FALSE)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06" s="114">
        <v>49016202</v>
      </c>
      <c r="G206" s="48">
        <f ca="1">VLOOKUP($F206,OFFSET(enemy_skill_triggers!$A$1,0,0,COUNTA(enemy_skill_triggers!$A:$A),MATCH(G$1,enemy_skill_triggers!$1:$1,0)-MATCH($F$1,enemy_skill_triggers!$1:$1,0)+1),MATCH(G$1,enemy_skill_triggers!$1:$1,0)-MATCH($F$1,enemy_skill_triggers!$1:$1,0)+1,FALSE)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6" s="48">
        <f ca="1">VLOOKUP($F206,OFFSET(enemy_skill_triggers!$A$1,0,0,COUNTA(enemy_skill_triggers!$A:$A),MATCH(H$1,enemy_skill_triggers!$1:$1,0)-MATCH($F$1,enemy_skill_triggers!$1:$1,0)+1),MATCH(H$1,enemy_skill_triggers!$1:$1,0)-MATCH($F$1,enemy_skill_triggers!$1:$1,0)+1,FALSE)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206" s="48">
        <f ca="1">VLOOKUP($F206,OFFSET(enemy_skill_triggers!$A$1,0,0,COUNTA(enemy_skill_triggers!$A:$A),MATCH(I$1,enemy_skill_triggers!$1:$1,0)-MATCH($F$1,enemy_skill_triggers!$1:$1,0)+1),MATCH(I$1,enemy_skill_triggers!$1:$1,0)-MATCH($F$1,enemy_skill_triggers!$1:$1,0)+1,FALSE)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6" s="48" t="str">
        <f ca="1">VLOOKUP($F206,OFFSET(enemy_skill_triggers!$A$1,0,0,COUNTA(enemy_skill_triggers!$A:$A),MATCH(J$1,enemy_skill_triggers!$1:$1,0)-MATCH($F$1,enemy_skill_triggers!$1:$1,0)+1),MATCH(J$1,enemy_skill_triggers!$1:$1,0)-MATCH($F$1,enemy_skill_triggers!$1:$1,0)+1,FALSE)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6" s="48" t="str">
        <f ca="1">VLOOKUP($F206,OFFSET(enemy_skill_triggers!$A$1,0,0,COUNTA(enemy_skill_triggers!$A:$A),MATCH(K$1,enemy_skill_triggers!$1:$1,0)-MATCH($F$1,enemy_skill_triggers!$1:$1,0)+1),MATCH(K$1,enemy_skill_triggers!$1:$1,0)-MATCH($F$1,enemy_skill_triggers!$1:$1,0)+1,FALSE)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6" s="48" t="str">
        <f ca="1">VLOOKUP($F206,OFFSET(enemy_skill_triggers!$A$1,0,0,COUNTA(enemy_skill_triggers!$A:$A),MATCH(L$1,enemy_skill_triggers!$1:$1,0)-MATCH($F$1,enemy_skill_triggers!$1:$1,0)+1),MATCH(L$1,enemy_skill_triggers!$1:$1,0)-MATCH($F$1,enemy_skill_triggers!$1:$1,0)+1,FALSE)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6" s="48">
        <f ca="1">VLOOKUP($F206,OFFSET(enemy_skill_triggers!$A$1,0,0,COUNTA(enemy_skill_triggers!$A:$A),MATCH(M$1,enemy_skill_triggers!$1:$1,0)-MATCH($F$1,enemy_skill_triggers!$1:$1,0)+1),MATCH(M$1,enemy_skill_triggers!$1:$1,0)-MATCH($F$1,enemy_skill_triggers!$1:$1,0)+1,FALSE)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06" s="48" t="str">
        <f ca="1">VLOOKUP($F206,OFFSET(enemy_skill_triggers!$A$1,0,0,COUNTA(enemy_skill_triggers!$A:$A),MATCH(N$1,enemy_skill_triggers!$1:$1,0)-MATCH($F$1,enemy_skill_triggers!$1:$1,0)+1),MATCH(N$1,enemy_skill_triggers!$1:$1,0)-MATCH($F$1,enemy_skill_triggers!$1:$1,0)+1,FALSE)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6" s="48">
        <f ca="1">VLOOKUP($F206,OFFSET(enemy_skill_triggers!$A$1,0,0,COUNTA(enemy_skill_triggers!$A:$A),MATCH(O$1,enemy_skill_triggers!$1:$1,0)-MATCH($F$1,enemy_skill_triggers!$1:$1,0)+1),MATCH(O$1,enemy_skill_triggers!$1:$1,0)-MATCH($F$1,enemy_skill_triggers!$1:$1,0)+1,FALSE)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6" s="47"/>
      <c r="Q206" s="47"/>
      <c r="R206" s="47"/>
    </row>
    <row r="207" spans="1:18" ht="21" customHeight="1" x14ac:dyDescent="0.15">
      <c r="A207" s="39" t="str">
        <f t="shared" si="14"/>
        <v>49016220_49016203</v>
      </c>
      <c r="B207" s="114">
        <v>49016220</v>
      </c>
      <c r="C207" s="114">
        <v>49016203</v>
      </c>
      <c r="D207" s="46" t="str">
        <f ca="1">VLOOKUP($C207,OFFSET(enemy_skills!$A$1,0,0,COUNTA(enemy_skills!$A:$A),MATCH(D$1,enemy_skills!$1:$1,0)-MATCH("enemy_skill_id",enemy_skills!$1:$1,0)+1),MATCH(D$1,enemy_skills!$1:$1,0)-MATCH("enemy_skill_id",enemy_skills!$1:$1,0)+1,FALSE)</f>
        <v>おおおおお…！</v>
      </c>
      <c r="E207" s="46" t="str">
        <f ca="1">VLOOKUP($C207,OFFSET(enemy_skills!$A$1,0,0,COUNTA(enemy_skills!$A:$A),MATCH(E$1,enemy_skills!$1:$1,0)-MATCH("enemy_skill_id",enemy_skills!$1:$1,0)+1),MATCH(E$1,enemy_skills!$1:$1,0)-MATCH("enemy_skill_id",enemy_skills!$1:$1,0)+1,FALSE)</f>
        <v>次のターンに強力な赤パネル吸収攻撃</v>
      </c>
      <c r="F207" s="114">
        <v>49016203</v>
      </c>
      <c r="G207" s="48">
        <f ca="1">VLOOKUP($F207,OFFSET(enemy_skill_triggers!$A$1,0,0,COUNTA(enemy_skill_triggers!$A:$A),MATCH(G$1,enemy_skill_triggers!$1:$1,0)-MATCH($F$1,enemy_skill_triggers!$1:$1,0)+1),MATCH(G$1,enemy_skill_triggers!$1:$1,0)-MATCH($F$1,enemy_skill_triggers!$1:$1,0)+1,FALSE)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7" s="48">
        <f ca="1">VLOOKUP($F207,OFFSET(enemy_skill_triggers!$A$1,0,0,COUNTA(enemy_skill_triggers!$A:$A),MATCH(H$1,enemy_skill_triggers!$1:$1,0)-MATCH($F$1,enemy_skill_triggers!$1:$1,0)+1),MATCH(H$1,enemy_skill_triggers!$1:$1,0)-MATCH($F$1,enemy_skill_triggers!$1:$1,0)+1,FALSE)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207" s="48">
        <f ca="1">VLOOKUP($F207,OFFSET(enemy_skill_triggers!$A$1,0,0,COUNTA(enemy_skill_triggers!$A:$A),MATCH(I$1,enemy_skill_triggers!$1:$1,0)-MATCH($F$1,enemy_skill_triggers!$1:$1,0)+1),MATCH(I$1,enemy_skill_triggers!$1:$1,0)-MATCH($F$1,enemy_skill_triggers!$1:$1,0)+1,FALSE)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7" s="48">
        <f ca="1">VLOOKUP($F207,OFFSET(enemy_skill_triggers!$A$1,0,0,COUNTA(enemy_skill_triggers!$A:$A),MATCH(J$1,enemy_skill_triggers!$1:$1,0)-MATCH($F$1,enemy_skill_triggers!$1:$1,0)+1),MATCH(J$1,enemy_skill_triggers!$1:$1,0)-MATCH($F$1,enemy_skill_triggers!$1:$1,0)+1,FALSE)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07" s="48" t="str">
        <f ca="1">VLOOKUP($F207,OFFSET(enemy_skill_triggers!$A$1,0,0,COUNTA(enemy_skill_triggers!$A:$A),MATCH(K$1,enemy_skill_triggers!$1:$1,0)-MATCH($F$1,enemy_skill_triggers!$1:$1,0)+1),MATCH(K$1,enemy_skill_triggers!$1:$1,0)-MATCH($F$1,enemy_skill_triggers!$1:$1,0)+1,FALSE)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7" s="48">
        <f ca="1">VLOOKUP($F207,OFFSET(enemy_skill_triggers!$A$1,0,0,COUNTA(enemy_skill_triggers!$A:$A),MATCH(L$1,enemy_skill_triggers!$1:$1,0)-MATCH($F$1,enemy_skill_triggers!$1:$1,0)+1),MATCH(L$1,enemy_skill_triggers!$1:$1,0)-MATCH($F$1,enemy_skill_triggers!$1:$1,0)+1,FALSE)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7" s="48">
        <f ca="1">VLOOKUP($F207,OFFSET(enemy_skill_triggers!$A$1,0,0,COUNTA(enemy_skill_triggers!$A:$A),MATCH(M$1,enemy_skill_triggers!$1:$1,0)-MATCH($F$1,enemy_skill_triggers!$1:$1,0)+1),MATCH(M$1,enemy_skill_triggers!$1:$1,0)-MATCH($F$1,enemy_skill_triggers!$1:$1,0)+1,FALSE)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7" s="48" t="str">
        <f ca="1">VLOOKUP($F207,OFFSET(enemy_skill_triggers!$A$1,0,0,COUNTA(enemy_skill_triggers!$A:$A),MATCH(N$1,enemy_skill_triggers!$1:$1,0)-MATCH($F$1,enemy_skill_triggers!$1:$1,0)+1),MATCH(N$1,enemy_skill_triggers!$1:$1,0)-MATCH($F$1,enemy_skill_triggers!$1:$1,0)+1,FALSE)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7" s="48">
        <f ca="1">VLOOKUP($F207,OFFSET(enemy_skill_triggers!$A$1,0,0,COUNTA(enemy_skill_triggers!$A:$A),MATCH(O$1,enemy_skill_triggers!$1:$1,0)-MATCH($F$1,enemy_skill_triggers!$1:$1,0)+1),MATCH(O$1,enemy_skill_triggers!$1:$1,0)-MATCH($F$1,enemy_skill_triggers!$1:$1,0)+1,FALSE)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7" s="47"/>
      <c r="Q207" s="47"/>
      <c r="R207" s="47"/>
    </row>
    <row r="208" spans="1:18" ht="21" customHeight="1" x14ac:dyDescent="0.15">
      <c r="A208" s="39" t="str">
        <f t="shared" si="14"/>
        <v>49016220_49016974</v>
      </c>
      <c r="B208" s="114">
        <v>49016220</v>
      </c>
      <c r="C208" s="114">
        <v>49016974</v>
      </c>
      <c r="D208" s="46" t="str">
        <f ca="1">VLOOKUP($C208,OFFSET(enemy_skills!$A$1,0,0,COUNTA(enemy_skills!$A:$A),MATCH(D$1,enemy_skills!$1:$1,0)-MATCH("enemy_skill_id",enemy_skills!$1:$1,0)+1),MATCH(D$1,enemy_skills!$1:$1,0)-MATCH("enemy_skill_id",enemy_skills!$1:$1,0)+1,FALSE)</f>
        <v>喰らいやがれぇっ！！</v>
      </c>
      <c r="E208" s="46" t="str">
        <f ca="1">VLOOKUP($C208,OFFSET(enemy_skills!$A$1,0,0,COUNTA(enemy_skills!$A:$A),MATCH(E$1,enemy_skills!$1:$1,0)-MATCH("enemy_skill_id",enemy_skills!$1:$1,0)+1),MATCH(E$1,enemy_skills!$1:$1,0)-MATCH("enemy_skill_id",enemy_skills!$1:$1,0)+1,FALSE)</f>
        <v>赤パネルを吸収して攻撃</v>
      </c>
      <c r="F208" s="114">
        <v>49016974</v>
      </c>
      <c r="G208" s="48">
        <f ca="1">VLOOKUP($F208,OFFSET(enemy_skill_triggers!$A$1,0,0,COUNTA(enemy_skill_triggers!$A:$A),MATCH(G$1,enemy_skill_triggers!$1:$1,0)-MATCH($F$1,enemy_skill_triggers!$1:$1,0)+1),MATCH(G$1,enemy_skill_triggers!$1:$1,0)-MATCH($F$1,enemy_skill_triggers!$1:$1,0)+1,FALSE)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8" s="48">
        <f ca="1">VLOOKUP($F208,OFFSET(enemy_skill_triggers!$A$1,0,0,COUNTA(enemy_skill_triggers!$A:$A),MATCH(H$1,enemy_skill_triggers!$1:$1,0)-MATCH($F$1,enemy_skill_triggers!$1:$1,0)+1),MATCH(H$1,enemy_skill_triggers!$1:$1,0)-MATCH($F$1,enemy_skill_triggers!$1:$1,0)+1,FALSE)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208" s="48">
        <f ca="1">VLOOKUP($F208,OFFSET(enemy_skill_triggers!$A$1,0,0,COUNTA(enemy_skill_triggers!$A:$A),MATCH(I$1,enemy_skill_triggers!$1:$1,0)-MATCH($F$1,enemy_skill_triggers!$1:$1,0)+1),MATCH(I$1,enemy_skill_triggers!$1:$1,0)-MATCH($F$1,enemy_skill_triggers!$1:$1,0)+1,FALSE)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8" s="48">
        <f ca="1">VLOOKUP($F208,OFFSET(enemy_skill_triggers!$A$1,0,0,COUNTA(enemy_skill_triggers!$A:$A),MATCH(J$1,enemy_skill_triggers!$1:$1,0)-MATCH($F$1,enemy_skill_triggers!$1:$1,0)+1),MATCH(J$1,enemy_skill_triggers!$1:$1,0)-MATCH($F$1,enemy_skill_triggers!$1:$1,0)+1,FALSE)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08" s="48" t="str">
        <f ca="1">VLOOKUP($F208,OFFSET(enemy_skill_triggers!$A$1,0,0,COUNTA(enemy_skill_triggers!$A:$A),MATCH(K$1,enemy_skill_triggers!$1:$1,0)-MATCH($F$1,enemy_skill_triggers!$1:$1,0)+1),MATCH(K$1,enemy_skill_triggers!$1:$1,0)-MATCH($F$1,enemy_skill_triggers!$1:$1,0)+1,FALSE)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8" s="48">
        <f ca="1">VLOOKUP($F208,OFFSET(enemy_skill_triggers!$A$1,0,0,COUNTA(enemy_skill_triggers!$A:$A),MATCH(L$1,enemy_skill_triggers!$1:$1,0)-MATCH($F$1,enemy_skill_triggers!$1:$1,0)+1),MATCH(L$1,enemy_skill_triggers!$1:$1,0)-MATCH($F$1,enemy_skill_triggers!$1:$1,0)+1,FALSE)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8" s="48">
        <f ca="1">VLOOKUP($F208,OFFSET(enemy_skill_triggers!$A$1,0,0,COUNTA(enemy_skill_triggers!$A:$A),MATCH(M$1,enemy_skill_triggers!$1:$1,0)-MATCH($F$1,enemy_skill_triggers!$1:$1,0)+1),MATCH(M$1,enemy_skill_triggers!$1:$1,0)-MATCH($F$1,enemy_skill_triggers!$1:$1,0)+1,FALSE)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8" s="48" t="str">
        <f ca="1">VLOOKUP($F208,OFFSET(enemy_skill_triggers!$A$1,0,0,COUNTA(enemy_skill_triggers!$A:$A),MATCH(N$1,enemy_skill_triggers!$1:$1,0)-MATCH($F$1,enemy_skill_triggers!$1:$1,0)+1),MATCH(N$1,enemy_skill_triggers!$1:$1,0)-MATCH($F$1,enemy_skill_triggers!$1:$1,0)+1,FALSE)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8" s="48">
        <f ca="1">VLOOKUP($F208,OFFSET(enemy_skill_triggers!$A$1,0,0,COUNTA(enemy_skill_triggers!$A:$A),MATCH(O$1,enemy_skill_triggers!$1:$1,0)-MATCH($F$1,enemy_skill_triggers!$1:$1,0)+1),MATCH(O$1,enemy_skill_triggers!$1:$1,0)-MATCH($F$1,enemy_skill_triggers!$1:$1,0)+1,FALSE)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8" s="47"/>
      <c r="Q208" s="47"/>
      <c r="R208" s="47"/>
    </row>
    <row r="209" spans="1:18" ht="21" customHeight="1" x14ac:dyDescent="0.15">
      <c r="A209" s="39" t="str">
        <f t="shared" si="14"/>
        <v>49016320_49016300</v>
      </c>
      <c r="B209" s="117">
        <v>49016320</v>
      </c>
      <c r="C209" s="117">
        <v>49016300</v>
      </c>
      <c r="D209" s="46" t="str">
        <f ca="1">VLOOKUP($C209,OFFSET(enemy_skills!$A$1,0,0,COUNTA(enemy_skills!$A:$A),MATCH(D$1,enemy_skills!$1:$1,0)-MATCH("enemy_skill_id",enemy_skills!$1:$1,0)+1),MATCH(D$1,enemy_skills!$1:$1,0)-MATCH("enemy_skill_id",enemy_skills!$1:$1,0)+1,FALSE)</f>
        <v>…ったく素人さんよ、_x000D_燃えちまっても知らねーぞ！</v>
      </c>
      <c r="E209" s="46" t="str">
        <f ca="1">VLOOKUP($C209,OFFSET(enemy_skills!$A$1,0,0,COUNTA(enemy_skills!$A:$A),MATCH(E$1,enemy_skills!$1:$1,0)-MATCH("enemy_skill_id",enemy_skills!$1:$1,0)+1),MATCH(E$1,enemy_skills!$1:$1,0)-MATCH("enemy_skill_id",enemy_skills!$1:$1,0)+1,FALSE)</f>
        <v>5ターン赤パネルドロップ率UP</v>
      </c>
      <c r="F209" s="117">
        <v>49016300</v>
      </c>
      <c r="G209" s="48">
        <f ca="1">VLOOKUP($F209,OFFSET(enemy_skill_triggers!$A$1,0,0,COUNTA(enemy_skill_triggers!$A:$A),MATCH(G$1,enemy_skill_triggers!$1:$1,0)-MATCH($F$1,enemy_skill_triggers!$1:$1,0)+1),MATCH(G$1,enemy_skill_triggers!$1:$1,0)-MATCH($F$1,enemy_skill_triggers!$1:$1,0)+1,FALSE)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9" s="48">
        <f ca="1">VLOOKUP($F209,OFFSET(enemy_skill_triggers!$A$1,0,0,COUNTA(enemy_skill_triggers!$A:$A),MATCH(H$1,enemy_skill_triggers!$1:$1,0)-MATCH($F$1,enemy_skill_triggers!$1:$1,0)+1),MATCH(H$1,enemy_skill_triggers!$1:$1,0)-MATCH($F$1,enemy_skill_triggers!$1:$1,0)+1,FALSE)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209" s="48">
        <f ca="1">VLOOKUP($F209,OFFSET(enemy_skill_triggers!$A$1,0,0,COUNTA(enemy_skill_triggers!$A:$A),MATCH(I$1,enemy_skill_triggers!$1:$1,0)-MATCH($F$1,enemy_skill_triggers!$1:$1,0)+1),MATCH(I$1,enemy_skill_triggers!$1:$1,0)-MATCH($F$1,enemy_skill_triggers!$1:$1,0)+1,FALSE)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9" s="48" t="str">
        <f ca="1">VLOOKUP($F209,OFFSET(enemy_skill_triggers!$A$1,0,0,COUNTA(enemy_skill_triggers!$A:$A),MATCH(J$1,enemy_skill_triggers!$1:$1,0)-MATCH($F$1,enemy_skill_triggers!$1:$1,0)+1),MATCH(J$1,enemy_skill_triggers!$1:$1,0)-MATCH($F$1,enemy_skill_triggers!$1:$1,0)+1,FALSE)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9" s="48" t="str">
        <f ca="1">VLOOKUP($F209,OFFSET(enemy_skill_triggers!$A$1,0,0,COUNTA(enemy_skill_triggers!$A:$A),MATCH(K$1,enemy_skill_triggers!$1:$1,0)-MATCH($F$1,enemy_skill_triggers!$1:$1,0)+1),MATCH(K$1,enemy_skill_triggers!$1:$1,0)-MATCH($F$1,enemy_skill_triggers!$1:$1,0)+1,FALSE)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9" s="48">
        <f ca="1">VLOOKUP($F209,OFFSET(enemy_skill_triggers!$A$1,0,0,COUNTA(enemy_skill_triggers!$A:$A),MATCH(L$1,enemy_skill_triggers!$1:$1,0)-MATCH($F$1,enemy_skill_triggers!$1:$1,0)+1),MATCH(L$1,enemy_skill_triggers!$1:$1,0)-MATCH($F$1,enemy_skill_triggers!$1:$1,0)+1,FALSE)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9" s="48">
        <f ca="1">VLOOKUP($F209,OFFSET(enemy_skill_triggers!$A$1,0,0,COUNTA(enemy_skill_triggers!$A:$A),MATCH(M$1,enemy_skill_triggers!$1:$1,0)-MATCH($F$1,enemy_skill_triggers!$1:$1,0)+1),MATCH(M$1,enemy_skill_triggers!$1:$1,0)-MATCH($F$1,enemy_skill_triggers!$1:$1,0)+1,FALSE)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09" s="48" t="str">
        <f ca="1">VLOOKUP($F209,OFFSET(enemy_skill_triggers!$A$1,0,0,COUNTA(enemy_skill_triggers!$A:$A),MATCH(N$1,enemy_skill_triggers!$1:$1,0)-MATCH($F$1,enemy_skill_triggers!$1:$1,0)+1),MATCH(N$1,enemy_skill_triggers!$1:$1,0)-MATCH($F$1,enemy_skill_triggers!$1:$1,0)+1,FALSE)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9" s="48">
        <f ca="1">VLOOKUP($F209,OFFSET(enemy_skill_triggers!$A$1,0,0,COUNTA(enemy_skill_triggers!$A:$A),MATCH(O$1,enemy_skill_triggers!$1:$1,0)-MATCH($F$1,enemy_skill_triggers!$1:$1,0)+1),MATCH(O$1,enemy_skill_triggers!$1:$1,0)-MATCH($F$1,enemy_skill_triggers!$1:$1,0)+1,FALSE)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9" s="47"/>
      <c r="Q209" s="47"/>
      <c r="R209" s="47"/>
    </row>
    <row r="210" spans="1:18" ht="13" customHeight="1" x14ac:dyDescent="0.15">
      <c r="A210" s="39" t="str">
        <f t="shared" si="14"/>
        <v>49016320_49016801</v>
      </c>
      <c r="B210" s="117">
        <v>49016320</v>
      </c>
      <c r="C210" s="170">
        <v>49016801</v>
      </c>
      <c r="D210" s="46" t="str">
        <f ca="1">VLOOKUP($C210,OFFSET(enemy_skills!$A$1,0,0,COUNTA(enemy_skills!$A:$A),MATCH(D$1,enemy_skills!$1:$1,0)-MATCH("enemy_skill_id",enemy_skills!$1:$1,0)+1),MATCH(D$1,enemy_skills!$1:$1,0)-MATCH("enemy_skill_id",enemy_skills!$1:$1,0)+1,FALSE)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210" s="46" t="str">
        <f ca="1">VLOOKUP($C210,OFFSET(enemy_skills!$A$1,0,0,COUNTA(enemy_skills!$A:$A),MATCH(E$1,enemy_skills!$1:$1,0)-MATCH("enemy_skill_id",enemy_skills!$1:$1,0)+1),MATCH(E$1,enemy_skills!$1:$1,0)-MATCH("enemy_skill_id",enemy_skills!$1:$1,0)+1,FALSE)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210" s="170">
        <v>49016801</v>
      </c>
      <c r="G210" s="48">
        <f ca="1">VLOOKUP($F210,OFFSET(enemy_skill_triggers!$A$1,0,0,COUNTA(enemy_skill_triggers!$A:$A),MATCH(G$1,enemy_skill_triggers!$1:$1,0)-MATCH($F$1,enemy_skill_triggers!$1:$1,0)+1),MATCH(G$1,enemy_skill_triggers!$1:$1,0)-MATCH($F$1,enemy_skill_triggers!$1:$1,0)+1,FALSE)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0" s="48">
        <f ca="1">VLOOKUP($F210,OFFSET(enemy_skill_triggers!$A$1,0,0,COUNTA(enemy_skill_triggers!$A:$A),MATCH(H$1,enemy_skill_triggers!$1:$1,0)-MATCH($F$1,enemy_skill_triggers!$1:$1,0)+1),MATCH(H$1,enemy_skill_triggers!$1:$1,0)-MATCH($F$1,enemy_skill_triggers!$1:$1,0)+1,FALSE)</f>
        <v>401</v>
      </c>
      <c r="I210" s="48">
        <f ca="1">VLOOKUP($F210,OFFSET(enemy_skill_triggers!$A$1,0,0,COUNTA(enemy_skill_triggers!$A:$A),MATCH(I$1,enemy_skill_triggers!$1:$1,0)-MATCH($F$1,enemy_skill_triggers!$1:$1,0)+1),MATCH(I$1,enemy_skill_triggers!$1:$1,0)-MATCH($F$1,enemy_skill_triggers!$1:$1,0)+1,FALSE)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0" s="48" t="str">
        <f ca="1">VLOOKUP($F210,OFFSET(enemy_skill_triggers!$A$1,0,0,COUNTA(enemy_skill_triggers!$A:$A),MATCH(J$1,enemy_skill_triggers!$1:$1,0)-MATCH($F$1,enemy_skill_triggers!$1:$1,0)+1),MATCH(J$1,enemy_skill_triggers!$1:$1,0)-MATCH($F$1,enemy_skill_triggers!$1:$1,0)+1,FALSE)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0" s="48" t="str">
        <f ca="1">VLOOKUP($F210,OFFSET(enemy_skill_triggers!$A$1,0,0,COUNTA(enemy_skill_triggers!$A:$A),MATCH(K$1,enemy_skill_triggers!$1:$1,0)-MATCH($F$1,enemy_skill_triggers!$1:$1,0)+1),MATCH(K$1,enemy_skill_triggers!$1:$1,0)-MATCH($F$1,enemy_skill_triggers!$1:$1,0)+1,FALSE)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0" s="48">
        <f ca="1">VLOOKUP($F210,OFFSET(enemy_skill_triggers!$A$1,0,0,COUNTA(enemy_skill_triggers!$A:$A),MATCH(L$1,enemy_skill_triggers!$1:$1,0)-MATCH($F$1,enemy_skill_triggers!$1:$1,0)+1),MATCH(L$1,enemy_skill_triggers!$1:$1,0)-MATCH($F$1,enemy_skill_triggers!$1:$1,0)+1,FALSE)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0" s="48">
        <f ca="1">VLOOKUP($F210,OFFSET(enemy_skill_triggers!$A$1,0,0,COUNTA(enemy_skill_triggers!$A:$A),MATCH(M$1,enemy_skill_triggers!$1:$1,0)-MATCH($F$1,enemy_skill_triggers!$1:$1,0)+1),MATCH(M$1,enemy_skill_triggers!$1:$1,0)-MATCH($F$1,enemy_skill_triggers!$1:$1,0)+1,FALSE)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0" s="48">
        <f ca="1">VLOOKUP($F210,OFFSET(enemy_skill_triggers!$A$1,0,0,COUNTA(enemy_skill_triggers!$A:$A),MATCH(N$1,enemy_skill_triggers!$1:$1,0)-MATCH($F$1,enemy_skill_triggers!$1:$1,0)+1),MATCH(N$1,enemy_skill_triggers!$1:$1,0)-MATCH($F$1,enemy_skill_triggers!$1:$1,0)+1,FALSE)</f>
        <v>1551</v>
      </c>
      <c r="O210" s="48">
        <f ca="1">VLOOKUP($F210,OFFSET(enemy_skill_triggers!$A$1,0,0,COUNTA(enemy_skill_triggers!$A:$A),MATCH(O$1,enemy_skill_triggers!$1:$1,0)-MATCH($F$1,enemy_skill_triggers!$1:$1,0)+1),MATCH(O$1,enemy_skill_triggers!$1:$1,0)-MATCH($F$1,enemy_skill_triggers!$1:$1,0)+1,FALSE)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0" s="47"/>
      <c r="Q210" s="47"/>
      <c r="R210" s="47"/>
    </row>
    <row r="211" spans="1:18" ht="13" customHeight="1" x14ac:dyDescent="0.15">
      <c r="A211" s="39" t="str">
        <f t="shared" si="14"/>
        <v>49016320_49016802</v>
      </c>
      <c r="B211" s="117">
        <v>49016320</v>
      </c>
      <c r="C211" s="170">
        <v>49016802</v>
      </c>
      <c r="D211" s="46" t="str">
        <f ca="1">VLOOKUP($C211,OFFSET(enemy_skills!$A$1,0,0,COUNTA(enemy_skills!$A:$A),MATCH(D$1,enemy_skills!$1:$1,0)-MATCH("enemy_skill_id",enemy_skills!$1:$1,0)+1),MATCH(D$1,enemy_skills!$1:$1,0)-MATCH("enemy_skill_id",enemy_skills!$1:$1,0)+1,FALSE)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211" s="46" t="str">
        <f ca="1">VLOOKUP($C211,OFFSET(enemy_skills!$A$1,0,0,COUNTA(enemy_skills!$A:$A),MATCH(E$1,enemy_skills!$1:$1,0)-MATCH("enemy_skill_id",enemy_skills!$1:$1,0)+1),MATCH(E$1,enemy_skills!$1:$1,0)-MATCH("enemy_skill_id",enemy_skills!$1:$1,0)+1,FALSE)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211" s="170">
        <v>49016802</v>
      </c>
      <c r="G211" s="48">
        <f ca="1">VLOOKUP($F211,OFFSET(enemy_skill_triggers!$A$1,0,0,COUNTA(enemy_skill_triggers!$A:$A),MATCH(G$1,enemy_skill_triggers!$1:$1,0)-MATCH($F$1,enemy_skill_triggers!$1:$1,0)+1),MATCH(G$1,enemy_skill_triggers!$1:$1,0)-MATCH($F$1,enemy_skill_triggers!$1:$1,0)+1,FALSE)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1" s="48">
        <f ca="1">VLOOKUP($F211,OFFSET(enemy_skill_triggers!$A$1,0,0,COUNTA(enemy_skill_triggers!$A:$A),MATCH(H$1,enemy_skill_triggers!$1:$1,0)-MATCH($F$1,enemy_skill_triggers!$1:$1,0)+1),MATCH(H$1,enemy_skill_triggers!$1:$1,0)-MATCH($F$1,enemy_skill_triggers!$1:$1,0)+1,FALSE)</f>
        <v>402</v>
      </c>
      <c r="I211" s="48">
        <f ca="1">VLOOKUP($F211,OFFSET(enemy_skill_triggers!$A$1,0,0,COUNTA(enemy_skill_triggers!$A:$A),MATCH(I$1,enemy_skill_triggers!$1:$1,0)-MATCH($F$1,enemy_skill_triggers!$1:$1,0)+1),MATCH(I$1,enemy_skill_triggers!$1:$1,0)-MATCH($F$1,enemy_skill_triggers!$1:$1,0)+1,FALSE)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1" s="48" t="str">
        <f ca="1">VLOOKUP($F211,OFFSET(enemy_skill_triggers!$A$1,0,0,COUNTA(enemy_skill_triggers!$A:$A),MATCH(J$1,enemy_skill_triggers!$1:$1,0)-MATCH($F$1,enemy_skill_triggers!$1:$1,0)+1),MATCH(J$1,enemy_skill_triggers!$1:$1,0)-MATCH($F$1,enemy_skill_triggers!$1:$1,0)+1,FALSE)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1" s="48" t="str">
        <f ca="1">VLOOKUP($F211,OFFSET(enemy_skill_triggers!$A$1,0,0,COUNTA(enemy_skill_triggers!$A:$A),MATCH(K$1,enemy_skill_triggers!$1:$1,0)-MATCH($F$1,enemy_skill_triggers!$1:$1,0)+1),MATCH(K$1,enemy_skill_triggers!$1:$1,0)-MATCH($F$1,enemy_skill_triggers!$1:$1,0)+1,FALSE)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1" s="48">
        <f ca="1">VLOOKUP($F211,OFFSET(enemy_skill_triggers!$A$1,0,0,COUNTA(enemy_skill_triggers!$A:$A),MATCH(L$1,enemy_skill_triggers!$1:$1,0)-MATCH($F$1,enemy_skill_triggers!$1:$1,0)+1),MATCH(L$1,enemy_skill_triggers!$1:$1,0)-MATCH($F$1,enemy_skill_triggers!$1:$1,0)+1,FALSE)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1" s="48">
        <f ca="1">VLOOKUP($F211,OFFSET(enemy_skill_triggers!$A$1,0,0,COUNTA(enemy_skill_triggers!$A:$A),MATCH(M$1,enemy_skill_triggers!$1:$1,0)-MATCH($F$1,enemy_skill_triggers!$1:$1,0)+1),MATCH(M$1,enemy_skill_triggers!$1:$1,0)-MATCH($F$1,enemy_skill_triggers!$1:$1,0)+1,FALSE)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1" s="48">
        <f ca="1">VLOOKUP($F211,OFFSET(enemy_skill_triggers!$A$1,0,0,COUNTA(enemy_skill_triggers!$A:$A),MATCH(N$1,enemy_skill_triggers!$1:$1,0)-MATCH($F$1,enemy_skill_triggers!$1:$1,0)+1),MATCH(N$1,enemy_skill_triggers!$1:$1,0)-MATCH($F$1,enemy_skill_triggers!$1:$1,0)+1,FALSE)</f>
        <v>1553</v>
      </c>
      <c r="O211" s="48">
        <f ca="1">VLOOKUP($F211,OFFSET(enemy_skill_triggers!$A$1,0,0,COUNTA(enemy_skill_triggers!$A:$A),MATCH(O$1,enemy_skill_triggers!$1:$1,0)-MATCH($F$1,enemy_skill_triggers!$1:$1,0)+1),MATCH(O$1,enemy_skill_triggers!$1:$1,0)-MATCH($F$1,enemy_skill_triggers!$1:$1,0)+1,FALSE)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1" s="47"/>
      <c r="Q211" s="47"/>
      <c r="R211" s="47"/>
    </row>
    <row r="212" spans="1:18" ht="13" customHeight="1" x14ac:dyDescent="0.15">
      <c r="A212" s="39" t="str">
        <f t="shared" si="14"/>
        <v>49016320_49016803</v>
      </c>
      <c r="B212" s="117">
        <v>49016320</v>
      </c>
      <c r="C212" s="170">
        <v>49016803</v>
      </c>
      <c r="D212" s="46" t="str">
        <f ca="1">VLOOKUP($C212,OFFSET(enemy_skills!$A$1,0,0,COUNTA(enemy_skills!$A:$A),MATCH(D$1,enemy_skills!$1:$1,0)-MATCH("enemy_skill_id",enemy_skills!$1:$1,0)+1),MATCH(D$1,enemy_skills!$1:$1,0)-MATCH("enemy_skill_id",enemy_skills!$1:$1,0)+1,FALSE)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212" s="46" t="str">
        <f ca="1">VLOOKUP($C212,OFFSET(enemy_skills!$A$1,0,0,COUNTA(enemy_skills!$A:$A),MATCH(E$1,enemy_skills!$1:$1,0)-MATCH("enemy_skill_id",enemy_skills!$1:$1,0)+1),MATCH(E$1,enemy_skills!$1:$1,0)-MATCH("enemy_skill_id",enemy_skills!$1:$1,0)+1,FALSE)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212" s="170">
        <v>49016803</v>
      </c>
      <c r="G212" s="48">
        <f ca="1">VLOOKUP($F212,OFFSET(enemy_skill_triggers!$A$1,0,0,COUNTA(enemy_skill_triggers!$A:$A),MATCH(G$1,enemy_skill_triggers!$1:$1,0)-MATCH($F$1,enemy_skill_triggers!$1:$1,0)+1),MATCH(G$1,enemy_skill_triggers!$1:$1,0)-MATCH($F$1,enemy_skill_triggers!$1:$1,0)+1,FALSE)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2" s="48">
        <f ca="1">VLOOKUP($F212,OFFSET(enemy_skill_triggers!$A$1,0,0,COUNTA(enemy_skill_triggers!$A:$A),MATCH(H$1,enemy_skill_triggers!$1:$1,0)-MATCH($F$1,enemy_skill_triggers!$1:$1,0)+1),MATCH(H$1,enemy_skill_triggers!$1:$1,0)-MATCH($F$1,enemy_skill_triggers!$1:$1,0)+1,FALSE)</f>
        <v>403</v>
      </c>
      <c r="I212" s="48">
        <f ca="1">VLOOKUP($F212,OFFSET(enemy_skill_triggers!$A$1,0,0,COUNTA(enemy_skill_triggers!$A:$A),MATCH(I$1,enemy_skill_triggers!$1:$1,0)-MATCH($F$1,enemy_skill_triggers!$1:$1,0)+1),MATCH(I$1,enemy_skill_triggers!$1:$1,0)-MATCH($F$1,enemy_skill_triggers!$1:$1,0)+1,FALSE)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2" s="48" t="str">
        <f ca="1">VLOOKUP($F212,OFFSET(enemy_skill_triggers!$A$1,0,0,COUNTA(enemy_skill_triggers!$A:$A),MATCH(J$1,enemy_skill_triggers!$1:$1,0)-MATCH($F$1,enemy_skill_triggers!$1:$1,0)+1),MATCH(J$1,enemy_skill_triggers!$1:$1,0)-MATCH($F$1,enemy_skill_triggers!$1:$1,0)+1,FALSE)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2" s="48" t="str">
        <f ca="1">VLOOKUP($F212,OFFSET(enemy_skill_triggers!$A$1,0,0,COUNTA(enemy_skill_triggers!$A:$A),MATCH(K$1,enemy_skill_triggers!$1:$1,0)-MATCH($F$1,enemy_skill_triggers!$1:$1,0)+1),MATCH(K$1,enemy_skill_triggers!$1:$1,0)-MATCH($F$1,enemy_skill_triggers!$1:$1,0)+1,FALSE)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2" s="48">
        <f ca="1">VLOOKUP($F212,OFFSET(enemy_skill_triggers!$A$1,0,0,COUNTA(enemy_skill_triggers!$A:$A),MATCH(L$1,enemy_skill_triggers!$1:$1,0)-MATCH($F$1,enemy_skill_triggers!$1:$1,0)+1),MATCH(L$1,enemy_skill_triggers!$1:$1,0)-MATCH($F$1,enemy_skill_triggers!$1:$1,0)+1,FALSE)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2" s="48">
        <f ca="1">VLOOKUP($F212,OFFSET(enemy_skill_triggers!$A$1,0,0,COUNTA(enemy_skill_triggers!$A:$A),MATCH(M$1,enemy_skill_triggers!$1:$1,0)-MATCH($F$1,enemy_skill_triggers!$1:$1,0)+1),MATCH(M$1,enemy_skill_triggers!$1:$1,0)-MATCH($F$1,enemy_skill_triggers!$1:$1,0)+1,FALSE)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2" s="48">
        <f ca="1">VLOOKUP($F212,OFFSET(enemy_skill_triggers!$A$1,0,0,COUNTA(enemy_skill_triggers!$A:$A),MATCH(N$1,enemy_skill_triggers!$1:$1,0)-MATCH($F$1,enemy_skill_triggers!$1:$1,0)+1),MATCH(N$1,enemy_skill_triggers!$1:$1,0)-MATCH($F$1,enemy_skill_triggers!$1:$1,0)+1,FALSE)</f>
        <v>1555</v>
      </c>
      <c r="O212" s="48">
        <f ca="1">VLOOKUP($F212,OFFSET(enemy_skill_triggers!$A$1,0,0,COUNTA(enemy_skill_triggers!$A:$A),MATCH(O$1,enemy_skill_triggers!$1:$1,0)-MATCH($F$1,enemy_skill_triggers!$1:$1,0)+1),MATCH(O$1,enemy_skill_triggers!$1:$1,0)-MATCH($F$1,enemy_skill_triggers!$1:$1,0)+1,FALSE)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2" s="47"/>
      <c r="Q212" s="47"/>
      <c r="R212" s="47"/>
    </row>
    <row r="213" spans="1:18" ht="13" customHeight="1" x14ac:dyDescent="0.15">
      <c r="A213" s="39" t="str">
        <f t="shared" si="14"/>
        <v>49016320_49016804</v>
      </c>
      <c r="B213" s="117">
        <v>49016320</v>
      </c>
      <c r="C213" s="170">
        <v>49016804</v>
      </c>
      <c r="D213" s="46" t="str">
        <f ca="1">VLOOKUP($C213,OFFSET(enemy_skills!$A$1,0,0,COUNTA(enemy_skills!$A:$A),MATCH(D$1,enemy_skills!$1:$1,0)-MATCH("enemy_skill_id",enemy_skills!$1:$1,0)+1),MATCH(D$1,enemy_skills!$1:$1,0)-MATCH("enemy_skill_id",enemy_skills!$1:$1,0)+1,FALSE)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213" s="46" t="str">
        <f ca="1">VLOOKUP($C213,OFFSET(enemy_skills!$A$1,0,0,COUNTA(enemy_skills!$A:$A),MATCH(E$1,enemy_skills!$1:$1,0)-MATCH("enemy_skill_id",enemy_skills!$1:$1,0)+1),MATCH(E$1,enemy_skills!$1:$1,0)-MATCH("enemy_skill_id",enemy_skills!$1:$1,0)+1,FALSE)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213" s="170">
        <v>49016804</v>
      </c>
      <c r="G213" s="48">
        <f ca="1">VLOOKUP($F213,OFFSET(enemy_skill_triggers!$A$1,0,0,COUNTA(enemy_skill_triggers!$A:$A),MATCH(G$1,enemy_skill_triggers!$1:$1,0)-MATCH($F$1,enemy_skill_triggers!$1:$1,0)+1),MATCH(G$1,enemy_skill_triggers!$1:$1,0)-MATCH($F$1,enemy_skill_triggers!$1:$1,0)+1,FALSE)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3" s="48">
        <f ca="1">VLOOKUP($F213,OFFSET(enemy_skill_triggers!$A$1,0,0,COUNTA(enemy_skill_triggers!$A:$A),MATCH(H$1,enemy_skill_triggers!$1:$1,0)-MATCH($F$1,enemy_skill_triggers!$1:$1,0)+1),MATCH(H$1,enemy_skill_triggers!$1:$1,0)-MATCH($F$1,enemy_skill_triggers!$1:$1,0)+1,FALSE)</f>
        <v>404</v>
      </c>
      <c r="I213" s="48">
        <f ca="1">VLOOKUP($F213,OFFSET(enemy_skill_triggers!$A$1,0,0,COUNTA(enemy_skill_triggers!$A:$A),MATCH(I$1,enemy_skill_triggers!$1:$1,0)-MATCH($F$1,enemy_skill_triggers!$1:$1,0)+1),MATCH(I$1,enemy_skill_triggers!$1:$1,0)-MATCH($F$1,enemy_skill_triggers!$1:$1,0)+1,FALSE)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3" s="48" t="str">
        <f ca="1">VLOOKUP($F213,OFFSET(enemy_skill_triggers!$A$1,0,0,COUNTA(enemy_skill_triggers!$A:$A),MATCH(J$1,enemy_skill_triggers!$1:$1,0)-MATCH($F$1,enemy_skill_triggers!$1:$1,0)+1),MATCH(J$1,enemy_skill_triggers!$1:$1,0)-MATCH($F$1,enemy_skill_triggers!$1:$1,0)+1,FALSE)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3" s="48" t="str">
        <f ca="1">VLOOKUP($F213,OFFSET(enemy_skill_triggers!$A$1,0,0,COUNTA(enemy_skill_triggers!$A:$A),MATCH(K$1,enemy_skill_triggers!$1:$1,0)-MATCH($F$1,enemy_skill_triggers!$1:$1,0)+1),MATCH(K$1,enemy_skill_triggers!$1:$1,0)-MATCH($F$1,enemy_skill_triggers!$1:$1,0)+1,FALSE)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3" s="48">
        <f ca="1">VLOOKUP($F213,OFFSET(enemy_skill_triggers!$A$1,0,0,COUNTA(enemy_skill_triggers!$A:$A),MATCH(L$1,enemy_skill_triggers!$1:$1,0)-MATCH($F$1,enemy_skill_triggers!$1:$1,0)+1),MATCH(L$1,enemy_skill_triggers!$1:$1,0)-MATCH($F$1,enemy_skill_triggers!$1:$1,0)+1,FALSE)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3" s="48">
        <f ca="1">VLOOKUP($F213,OFFSET(enemy_skill_triggers!$A$1,0,0,COUNTA(enemy_skill_triggers!$A:$A),MATCH(M$1,enemy_skill_triggers!$1:$1,0)-MATCH($F$1,enemy_skill_triggers!$1:$1,0)+1),MATCH(M$1,enemy_skill_triggers!$1:$1,0)-MATCH($F$1,enemy_skill_triggers!$1:$1,0)+1,FALSE)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3" s="48">
        <f ca="1">VLOOKUP($F213,OFFSET(enemy_skill_triggers!$A$1,0,0,COUNTA(enemy_skill_triggers!$A:$A),MATCH(N$1,enemy_skill_triggers!$1:$1,0)-MATCH($F$1,enemy_skill_triggers!$1:$1,0)+1),MATCH(N$1,enemy_skill_triggers!$1:$1,0)-MATCH($F$1,enemy_skill_triggers!$1:$1,0)+1,FALSE)</f>
        <v>1556</v>
      </c>
      <c r="O213" s="48">
        <f ca="1">VLOOKUP($F213,OFFSET(enemy_skill_triggers!$A$1,0,0,COUNTA(enemy_skill_triggers!$A:$A),MATCH(O$1,enemy_skill_triggers!$1:$1,0)-MATCH($F$1,enemy_skill_triggers!$1:$1,0)+1),MATCH(O$1,enemy_skill_triggers!$1:$1,0)-MATCH($F$1,enemy_skill_triggers!$1:$1,0)+1,FALSE)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3" s="47"/>
      <c r="Q213" s="47"/>
      <c r="R213" s="47"/>
    </row>
    <row r="214" spans="1:18" ht="13" customHeight="1" x14ac:dyDescent="0.15">
      <c r="A214" s="39" t="str">
        <f t="shared" ref="A214:A277" si="17">B214&amp;"_"&amp;C214</f>
        <v>49016320_49016805</v>
      </c>
      <c r="B214" s="117">
        <v>49016320</v>
      </c>
      <c r="C214" s="170">
        <v>49016805</v>
      </c>
      <c r="D214" s="46" t="str">
        <f ca="1">VLOOKUP($C214,OFFSET(enemy_skills!$A$1,0,0,COUNTA(enemy_skills!$A:$A),MATCH(D$1,enemy_skills!$1:$1,0)-MATCH("enemy_skill_id",enemy_skills!$1:$1,0)+1),MATCH(D$1,enemy_skills!$1:$1,0)-MATCH("enemy_skill_id",enemy_skills!$1:$1,0)+1,FALSE)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214" s="46" t="str">
        <f ca="1">VLOOKUP($C214,OFFSET(enemy_skills!$A$1,0,0,COUNTA(enemy_skills!$A:$A),MATCH(E$1,enemy_skills!$1:$1,0)-MATCH("enemy_skill_id",enemy_skills!$1:$1,0)+1),MATCH(E$1,enemy_skills!$1:$1,0)-MATCH("enemy_skill_id",enemy_skills!$1:$1,0)+1,FALSE)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214" s="170">
        <v>49016805</v>
      </c>
      <c r="G214" s="48">
        <f ca="1">VLOOKUP($F214,OFFSET(enemy_skill_triggers!$A$1,0,0,COUNTA(enemy_skill_triggers!$A:$A),MATCH(G$1,enemy_skill_triggers!$1:$1,0)-MATCH($F$1,enemy_skill_triggers!$1:$1,0)+1),MATCH(G$1,enemy_skill_triggers!$1:$1,0)-MATCH($F$1,enemy_skill_triggers!$1:$1,0)+1,FALSE)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4" s="48">
        <f ca="1">VLOOKUP($F214,OFFSET(enemy_skill_triggers!$A$1,0,0,COUNTA(enemy_skill_triggers!$A:$A),MATCH(H$1,enemy_skill_triggers!$1:$1,0)-MATCH($F$1,enemy_skill_triggers!$1:$1,0)+1),MATCH(H$1,enemy_skill_triggers!$1:$1,0)-MATCH($F$1,enemy_skill_triggers!$1:$1,0)+1,FALSE)</f>
        <v>405</v>
      </c>
      <c r="I214" s="48">
        <f ca="1">VLOOKUP($F214,OFFSET(enemy_skill_triggers!$A$1,0,0,COUNTA(enemy_skill_triggers!$A:$A),MATCH(I$1,enemy_skill_triggers!$1:$1,0)-MATCH($F$1,enemy_skill_triggers!$1:$1,0)+1),MATCH(I$1,enemy_skill_triggers!$1:$1,0)-MATCH($F$1,enemy_skill_triggers!$1:$1,0)+1,FALSE)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4" s="48" t="str">
        <f ca="1">VLOOKUP($F214,OFFSET(enemy_skill_triggers!$A$1,0,0,COUNTA(enemy_skill_triggers!$A:$A),MATCH(J$1,enemy_skill_triggers!$1:$1,0)-MATCH($F$1,enemy_skill_triggers!$1:$1,0)+1),MATCH(J$1,enemy_skill_triggers!$1:$1,0)-MATCH($F$1,enemy_skill_triggers!$1:$1,0)+1,FALSE)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4" s="48" t="str">
        <f ca="1">VLOOKUP($F214,OFFSET(enemy_skill_triggers!$A$1,0,0,COUNTA(enemy_skill_triggers!$A:$A),MATCH(K$1,enemy_skill_triggers!$1:$1,0)-MATCH($F$1,enemy_skill_triggers!$1:$1,0)+1),MATCH(K$1,enemy_skill_triggers!$1:$1,0)-MATCH($F$1,enemy_skill_triggers!$1:$1,0)+1,FALSE)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4" s="48">
        <f ca="1">VLOOKUP($F214,OFFSET(enemy_skill_triggers!$A$1,0,0,COUNTA(enemy_skill_triggers!$A:$A),MATCH(L$1,enemy_skill_triggers!$1:$1,0)-MATCH($F$1,enemy_skill_triggers!$1:$1,0)+1),MATCH(L$1,enemy_skill_triggers!$1:$1,0)-MATCH($F$1,enemy_skill_triggers!$1:$1,0)+1,FALSE)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4" s="48">
        <f ca="1">VLOOKUP($F214,OFFSET(enemy_skill_triggers!$A$1,0,0,COUNTA(enemy_skill_triggers!$A:$A),MATCH(M$1,enemy_skill_triggers!$1:$1,0)-MATCH($F$1,enemy_skill_triggers!$1:$1,0)+1),MATCH(M$1,enemy_skill_triggers!$1:$1,0)-MATCH($F$1,enemy_skill_triggers!$1:$1,0)+1,FALSE)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4" s="48">
        <f ca="1">VLOOKUP($F214,OFFSET(enemy_skill_triggers!$A$1,0,0,COUNTA(enemy_skill_triggers!$A:$A),MATCH(N$1,enemy_skill_triggers!$1:$1,0)-MATCH($F$1,enemy_skill_triggers!$1:$1,0)+1),MATCH(N$1,enemy_skill_triggers!$1:$1,0)-MATCH($F$1,enemy_skill_triggers!$1:$1,0)+1,FALSE)</f>
        <v>1558</v>
      </c>
      <c r="O214" s="48">
        <f ca="1">VLOOKUP($F214,OFFSET(enemy_skill_triggers!$A$1,0,0,COUNTA(enemy_skill_triggers!$A:$A),MATCH(O$1,enemy_skill_triggers!$1:$1,0)-MATCH($F$1,enemy_skill_triggers!$1:$1,0)+1),MATCH(O$1,enemy_skill_triggers!$1:$1,0)-MATCH($F$1,enemy_skill_triggers!$1:$1,0)+1,FALSE)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4" s="47"/>
      <c r="Q214" s="47"/>
      <c r="R214" s="47"/>
    </row>
    <row r="215" spans="1:18" ht="13" customHeight="1" x14ac:dyDescent="0.15">
      <c r="A215" s="39" t="str">
        <f t="shared" si="17"/>
        <v>49016320_49016806</v>
      </c>
      <c r="B215" s="117">
        <v>49016320</v>
      </c>
      <c r="C215" s="170">
        <v>49016806</v>
      </c>
      <c r="D215" s="46" t="str">
        <f ca="1">VLOOKUP($C215,OFFSET(enemy_skills!$A$1,0,0,COUNTA(enemy_skills!$A:$A),MATCH(D$1,enemy_skills!$1:$1,0)-MATCH("enemy_skill_id",enemy_skills!$1:$1,0)+1),MATCH(D$1,enemy_skills!$1:$1,0)-MATCH("enemy_skill_id",enemy_skills!$1:$1,0)+1,FALSE)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215" s="46" t="str">
        <f ca="1">VLOOKUP($C215,OFFSET(enemy_skills!$A$1,0,0,COUNTA(enemy_skills!$A:$A),MATCH(E$1,enemy_skills!$1:$1,0)-MATCH("enemy_skill_id",enemy_skills!$1:$1,0)+1),MATCH(E$1,enemy_skills!$1:$1,0)-MATCH("enemy_skill_id",enemy_skills!$1:$1,0)+1,FALSE)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215" s="170">
        <v>49016806</v>
      </c>
      <c r="G215" s="48">
        <f ca="1">VLOOKUP($F215,OFFSET(enemy_skill_triggers!$A$1,0,0,COUNTA(enemy_skill_triggers!$A:$A),MATCH(G$1,enemy_skill_triggers!$1:$1,0)-MATCH($F$1,enemy_skill_triggers!$1:$1,0)+1),MATCH(G$1,enemy_skill_triggers!$1:$1,0)-MATCH($F$1,enemy_skill_triggers!$1:$1,0)+1,FALSE)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5" s="48">
        <f ca="1">VLOOKUP($F215,OFFSET(enemy_skill_triggers!$A$1,0,0,COUNTA(enemy_skill_triggers!$A:$A),MATCH(H$1,enemy_skill_triggers!$1:$1,0)-MATCH($F$1,enemy_skill_triggers!$1:$1,0)+1),MATCH(H$1,enemy_skill_triggers!$1:$1,0)-MATCH($F$1,enemy_skill_triggers!$1:$1,0)+1,FALSE)</f>
        <v>406</v>
      </c>
      <c r="I215" s="48">
        <f ca="1">VLOOKUP($F215,OFFSET(enemy_skill_triggers!$A$1,0,0,COUNTA(enemy_skill_triggers!$A:$A),MATCH(I$1,enemy_skill_triggers!$1:$1,0)-MATCH($F$1,enemy_skill_triggers!$1:$1,0)+1),MATCH(I$1,enemy_skill_triggers!$1:$1,0)-MATCH($F$1,enemy_skill_triggers!$1:$1,0)+1,FALSE)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5" s="48" t="str">
        <f ca="1">VLOOKUP($F215,OFFSET(enemy_skill_triggers!$A$1,0,0,COUNTA(enemy_skill_triggers!$A:$A),MATCH(J$1,enemy_skill_triggers!$1:$1,0)-MATCH($F$1,enemy_skill_triggers!$1:$1,0)+1),MATCH(J$1,enemy_skill_triggers!$1:$1,0)-MATCH($F$1,enemy_skill_triggers!$1:$1,0)+1,FALSE)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5" s="48" t="str">
        <f ca="1">VLOOKUP($F215,OFFSET(enemy_skill_triggers!$A$1,0,0,COUNTA(enemy_skill_triggers!$A:$A),MATCH(K$1,enemy_skill_triggers!$1:$1,0)-MATCH($F$1,enemy_skill_triggers!$1:$1,0)+1),MATCH(K$1,enemy_skill_triggers!$1:$1,0)-MATCH($F$1,enemy_skill_triggers!$1:$1,0)+1,FALSE)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5" s="48">
        <f ca="1">VLOOKUP($F215,OFFSET(enemy_skill_triggers!$A$1,0,0,COUNTA(enemy_skill_triggers!$A:$A),MATCH(L$1,enemy_skill_triggers!$1:$1,0)-MATCH($F$1,enemy_skill_triggers!$1:$1,0)+1),MATCH(L$1,enemy_skill_triggers!$1:$1,0)-MATCH($F$1,enemy_skill_triggers!$1:$1,0)+1,FALSE)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5" s="48">
        <f ca="1">VLOOKUP($F215,OFFSET(enemy_skill_triggers!$A$1,0,0,COUNTA(enemy_skill_triggers!$A:$A),MATCH(M$1,enemy_skill_triggers!$1:$1,0)-MATCH($F$1,enemy_skill_triggers!$1:$1,0)+1),MATCH(M$1,enemy_skill_triggers!$1:$1,0)-MATCH($F$1,enemy_skill_triggers!$1:$1,0)+1,FALSE)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5" s="48">
        <f ca="1">VLOOKUP($F215,OFFSET(enemy_skill_triggers!$A$1,0,0,COUNTA(enemy_skill_triggers!$A:$A),MATCH(N$1,enemy_skill_triggers!$1:$1,0)-MATCH($F$1,enemy_skill_triggers!$1:$1,0)+1),MATCH(N$1,enemy_skill_triggers!$1:$1,0)-MATCH($F$1,enemy_skill_triggers!$1:$1,0)+1,FALSE)</f>
        <v>1560</v>
      </c>
      <c r="O215" s="48">
        <f ca="1">VLOOKUP($F215,OFFSET(enemy_skill_triggers!$A$1,0,0,COUNTA(enemy_skill_triggers!$A:$A),MATCH(O$1,enemy_skill_triggers!$1:$1,0)-MATCH($F$1,enemy_skill_triggers!$1:$1,0)+1),MATCH(O$1,enemy_skill_triggers!$1:$1,0)-MATCH($F$1,enemy_skill_triggers!$1:$1,0)+1,FALSE)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5" s="47"/>
      <c r="Q215" s="47"/>
      <c r="R215" s="47"/>
    </row>
    <row r="216" spans="1:18" ht="13" customHeight="1" x14ac:dyDescent="0.15">
      <c r="A216" s="39" t="str">
        <f t="shared" si="17"/>
        <v>49016320_49016807</v>
      </c>
      <c r="B216" s="117">
        <v>49016320</v>
      </c>
      <c r="C216" s="170">
        <v>49016807</v>
      </c>
      <c r="D216" s="46" t="str">
        <f ca="1">VLOOKUP($C216,OFFSET(enemy_skills!$A$1,0,0,COUNTA(enemy_skills!$A:$A),MATCH(D$1,enemy_skills!$1:$1,0)-MATCH("enemy_skill_id",enemy_skills!$1:$1,0)+1),MATCH(D$1,enemy_skills!$1:$1,0)-MATCH("enemy_skill_id",enemy_skills!$1:$1,0)+1,FALSE)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216" s="46" t="str">
        <f ca="1">VLOOKUP($C216,OFFSET(enemy_skills!$A$1,0,0,COUNTA(enemy_skills!$A:$A),MATCH(E$1,enemy_skills!$1:$1,0)-MATCH("enemy_skill_id",enemy_skills!$1:$1,0)+1),MATCH(E$1,enemy_skills!$1:$1,0)-MATCH("enemy_skill_id",enemy_skills!$1:$1,0)+1,FALSE)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216" s="170">
        <v>49016807</v>
      </c>
      <c r="G216" s="48">
        <f ca="1">VLOOKUP($F216,OFFSET(enemy_skill_triggers!$A$1,0,0,COUNTA(enemy_skill_triggers!$A:$A),MATCH(G$1,enemy_skill_triggers!$1:$1,0)-MATCH($F$1,enemy_skill_triggers!$1:$1,0)+1),MATCH(G$1,enemy_skill_triggers!$1:$1,0)-MATCH($F$1,enemy_skill_triggers!$1:$1,0)+1,FALSE)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6" s="48">
        <f ca="1">VLOOKUP($F216,OFFSET(enemy_skill_triggers!$A$1,0,0,COUNTA(enemy_skill_triggers!$A:$A),MATCH(H$1,enemy_skill_triggers!$1:$1,0)-MATCH($F$1,enemy_skill_triggers!$1:$1,0)+1),MATCH(H$1,enemy_skill_triggers!$1:$1,0)-MATCH($F$1,enemy_skill_triggers!$1:$1,0)+1,FALSE)</f>
        <v>407</v>
      </c>
      <c r="I216" s="48">
        <f ca="1">VLOOKUP($F216,OFFSET(enemy_skill_triggers!$A$1,0,0,COUNTA(enemy_skill_triggers!$A:$A),MATCH(I$1,enemy_skill_triggers!$1:$1,0)-MATCH($F$1,enemy_skill_triggers!$1:$1,0)+1),MATCH(I$1,enemy_skill_triggers!$1:$1,0)-MATCH($F$1,enemy_skill_triggers!$1:$1,0)+1,FALSE)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6" s="48" t="str">
        <f ca="1">VLOOKUP($F216,OFFSET(enemy_skill_triggers!$A$1,0,0,COUNTA(enemy_skill_triggers!$A:$A),MATCH(J$1,enemy_skill_triggers!$1:$1,0)-MATCH($F$1,enemy_skill_triggers!$1:$1,0)+1),MATCH(J$1,enemy_skill_triggers!$1:$1,0)-MATCH($F$1,enemy_skill_triggers!$1:$1,0)+1,FALSE)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6" s="48" t="str">
        <f ca="1">VLOOKUP($F216,OFFSET(enemy_skill_triggers!$A$1,0,0,COUNTA(enemy_skill_triggers!$A:$A),MATCH(K$1,enemy_skill_triggers!$1:$1,0)-MATCH($F$1,enemy_skill_triggers!$1:$1,0)+1),MATCH(K$1,enemy_skill_triggers!$1:$1,0)-MATCH($F$1,enemy_skill_triggers!$1:$1,0)+1,FALSE)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6" s="48">
        <f ca="1">VLOOKUP($F216,OFFSET(enemy_skill_triggers!$A$1,0,0,COUNTA(enemy_skill_triggers!$A:$A),MATCH(L$1,enemy_skill_triggers!$1:$1,0)-MATCH($F$1,enemy_skill_triggers!$1:$1,0)+1),MATCH(L$1,enemy_skill_triggers!$1:$1,0)-MATCH($F$1,enemy_skill_triggers!$1:$1,0)+1,FALSE)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6" s="48">
        <f ca="1">VLOOKUP($F216,OFFSET(enemy_skill_triggers!$A$1,0,0,COUNTA(enemy_skill_triggers!$A:$A),MATCH(M$1,enemy_skill_triggers!$1:$1,0)-MATCH($F$1,enemy_skill_triggers!$1:$1,0)+1),MATCH(M$1,enemy_skill_triggers!$1:$1,0)-MATCH($F$1,enemy_skill_triggers!$1:$1,0)+1,FALSE)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6" s="48">
        <f ca="1">VLOOKUP($F216,OFFSET(enemy_skill_triggers!$A$1,0,0,COUNTA(enemy_skill_triggers!$A:$A),MATCH(N$1,enemy_skill_triggers!$1:$1,0)-MATCH($F$1,enemy_skill_triggers!$1:$1,0)+1),MATCH(N$1,enemy_skill_triggers!$1:$1,0)-MATCH($F$1,enemy_skill_triggers!$1:$1,0)+1,FALSE)</f>
        <v>1561</v>
      </c>
      <c r="O216" s="48">
        <f ca="1">VLOOKUP($F216,OFFSET(enemy_skill_triggers!$A$1,0,0,COUNTA(enemy_skill_triggers!$A:$A),MATCH(O$1,enemy_skill_triggers!$1:$1,0)-MATCH($F$1,enemy_skill_triggers!$1:$1,0)+1),MATCH(O$1,enemy_skill_triggers!$1:$1,0)-MATCH($F$1,enemy_skill_triggers!$1:$1,0)+1,FALSE)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6" s="47"/>
      <c r="Q216" s="47"/>
      <c r="R216" s="47"/>
    </row>
    <row r="217" spans="1:18" ht="13" customHeight="1" x14ac:dyDescent="0.15">
      <c r="A217" s="39" t="str">
        <f t="shared" si="17"/>
        <v>49016320_49016808</v>
      </c>
      <c r="B217" s="117">
        <v>49016320</v>
      </c>
      <c r="C217" s="170">
        <v>49016808</v>
      </c>
      <c r="D217" s="46" t="str">
        <f ca="1">VLOOKUP($C217,OFFSET(enemy_skills!$A$1,0,0,COUNTA(enemy_skills!$A:$A),MATCH(D$1,enemy_skills!$1:$1,0)-MATCH("enemy_skill_id",enemy_skills!$1:$1,0)+1),MATCH(D$1,enemy_skills!$1:$1,0)-MATCH("enemy_skill_id",enemy_skills!$1:$1,0)+1,FALSE)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217" s="46" t="str">
        <f ca="1">VLOOKUP($C217,OFFSET(enemy_skills!$A$1,0,0,COUNTA(enemy_skills!$A:$A),MATCH(E$1,enemy_skills!$1:$1,0)-MATCH("enemy_skill_id",enemy_skills!$1:$1,0)+1),MATCH(E$1,enemy_skills!$1:$1,0)-MATCH("enemy_skill_id",enemy_skills!$1:$1,0)+1,FALSE)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217" s="170">
        <v>49016808</v>
      </c>
      <c r="G217" s="48">
        <f ca="1">VLOOKUP($F217,OFFSET(enemy_skill_triggers!$A$1,0,0,COUNTA(enemy_skill_triggers!$A:$A),MATCH(G$1,enemy_skill_triggers!$1:$1,0)-MATCH($F$1,enemy_skill_triggers!$1:$1,0)+1),MATCH(G$1,enemy_skill_triggers!$1:$1,0)-MATCH($F$1,enemy_skill_triggers!$1:$1,0)+1,FALSE)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7" s="48">
        <f ca="1">VLOOKUP($F217,OFFSET(enemy_skill_triggers!$A$1,0,0,COUNTA(enemy_skill_triggers!$A:$A),MATCH(H$1,enemy_skill_triggers!$1:$1,0)-MATCH($F$1,enemy_skill_triggers!$1:$1,0)+1),MATCH(H$1,enemy_skill_triggers!$1:$1,0)-MATCH($F$1,enemy_skill_triggers!$1:$1,0)+1,FALSE)</f>
        <v>408</v>
      </c>
      <c r="I217" s="48">
        <f ca="1">VLOOKUP($F217,OFFSET(enemy_skill_triggers!$A$1,0,0,COUNTA(enemy_skill_triggers!$A:$A),MATCH(I$1,enemy_skill_triggers!$1:$1,0)-MATCH($F$1,enemy_skill_triggers!$1:$1,0)+1),MATCH(I$1,enemy_skill_triggers!$1:$1,0)-MATCH($F$1,enemy_skill_triggers!$1:$1,0)+1,FALSE)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7" s="48" t="str">
        <f ca="1">VLOOKUP($F217,OFFSET(enemy_skill_triggers!$A$1,0,0,COUNTA(enemy_skill_triggers!$A:$A),MATCH(J$1,enemy_skill_triggers!$1:$1,0)-MATCH($F$1,enemy_skill_triggers!$1:$1,0)+1),MATCH(J$1,enemy_skill_triggers!$1:$1,0)-MATCH($F$1,enemy_skill_triggers!$1:$1,0)+1,FALSE)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7" s="48" t="str">
        <f ca="1">VLOOKUP($F217,OFFSET(enemy_skill_triggers!$A$1,0,0,COUNTA(enemy_skill_triggers!$A:$A),MATCH(K$1,enemy_skill_triggers!$1:$1,0)-MATCH($F$1,enemy_skill_triggers!$1:$1,0)+1),MATCH(K$1,enemy_skill_triggers!$1:$1,0)-MATCH($F$1,enemy_skill_triggers!$1:$1,0)+1,FALSE)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7" s="48">
        <f ca="1">VLOOKUP($F217,OFFSET(enemy_skill_triggers!$A$1,0,0,COUNTA(enemy_skill_triggers!$A:$A),MATCH(L$1,enemy_skill_triggers!$1:$1,0)-MATCH($F$1,enemy_skill_triggers!$1:$1,0)+1),MATCH(L$1,enemy_skill_triggers!$1:$1,0)-MATCH($F$1,enemy_skill_triggers!$1:$1,0)+1,FALSE)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7" s="48">
        <f ca="1">VLOOKUP($F217,OFFSET(enemy_skill_triggers!$A$1,0,0,COUNTA(enemy_skill_triggers!$A:$A),MATCH(M$1,enemy_skill_triggers!$1:$1,0)-MATCH($F$1,enemy_skill_triggers!$1:$1,0)+1),MATCH(M$1,enemy_skill_triggers!$1:$1,0)-MATCH($F$1,enemy_skill_triggers!$1:$1,0)+1,FALSE)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7" s="48">
        <f ca="1">VLOOKUP($F217,OFFSET(enemy_skill_triggers!$A$1,0,0,COUNTA(enemy_skill_triggers!$A:$A),MATCH(N$1,enemy_skill_triggers!$1:$1,0)-MATCH($F$1,enemy_skill_triggers!$1:$1,0)+1),MATCH(N$1,enemy_skill_triggers!$1:$1,0)-MATCH($F$1,enemy_skill_triggers!$1:$1,0)+1,FALSE)</f>
        <v>1563</v>
      </c>
      <c r="O217" s="48">
        <f ca="1">VLOOKUP($F217,OFFSET(enemy_skill_triggers!$A$1,0,0,COUNTA(enemy_skill_triggers!$A:$A),MATCH(O$1,enemy_skill_triggers!$1:$1,0)-MATCH($F$1,enemy_skill_triggers!$1:$1,0)+1),MATCH(O$1,enemy_skill_triggers!$1:$1,0)-MATCH($F$1,enemy_skill_triggers!$1:$1,0)+1,FALSE)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7" s="47"/>
      <c r="Q217" s="47"/>
      <c r="R217" s="47"/>
    </row>
    <row r="218" spans="1:18" ht="13" customHeight="1" x14ac:dyDescent="0.15">
      <c r="A218" s="39" t="str">
        <f t="shared" si="17"/>
        <v>49016320_49016809</v>
      </c>
      <c r="B218" s="117">
        <v>49016320</v>
      </c>
      <c r="C218" s="170">
        <v>49016809</v>
      </c>
      <c r="D218" s="46" t="str">
        <f ca="1">VLOOKUP($C218,OFFSET(enemy_skills!$A$1,0,0,COUNTA(enemy_skills!$A:$A),MATCH(D$1,enemy_skills!$1:$1,0)-MATCH("enemy_skill_id",enemy_skills!$1:$1,0)+1),MATCH(D$1,enemy_skills!$1:$1,0)-MATCH("enemy_skill_id",enemy_skills!$1:$1,0)+1,FALSE)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218" s="46" t="str">
        <f ca="1">VLOOKUP($C218,OFFSET(enemy_skills!$A$1,0,0,COUNTA(enemy_skills!$A:$A),MATCH(E$1,enemy_skills!$1:$1,0)-MATCH("enemy_skill_id",enemy_skills!$1:$1,0)+1),MATCH(E$1,enemy_skills!$1:$1,0)-MATCH("enemy_skill_id",enemy_skills!$1:$1,0)+1,FALSE)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218" s="170">
        <v>49016809</v>
      </c>
      <c r="G218" s="48">
        <f ca="1">VLOOKUP($F218,OFFSET(enemy_skill_triggers!$A$1,0,0,COUNTA(enemy_skill_triggers!$A:$A),MATCH(G$1,enemy_skill_triggers!$1:$1,0)-MATCH($F$1,enemy_skill_triggers!$1:$1,0)+1),MATCH(G$1,enemy_skill_triggers!$1:$1,0)-MATCH($F$1,enemy_skill_triggers!$1:$1,0)+1,FALSE)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8" s="48">
        <f ca="1">VLOOKUP($F218,OFFSET(enemy_skill_triggers!$A$1,0,0,COUNTA(enemy_skill_triggers!$A:$A),MATCH(H$1,enemy_skill_triggers!$1:$1,0)-MATCH($F$1,enemy_skill_triggers!$1:$1,0)+1),MATCH(H$1,enemy_skill_triggers!$1:$1,0)-MATCH($F$1,enemy_skill_triggers!$1:$1,0)+1,FALSE)</f>
        <v>409</v>
      </c>
      <c r="I218" s="48">
        <f ca="1">VLOOKUP($F218,OFFSET(enemy_skill_triggers!$A$1,0,0,COUNTA(enemy_skill_triggers!$A:$A),MATCH(I$1,enemy_skill_triggers!$1:$1,0)-MATCH($F$1,enemy_skill_triggers!$1:$1,0)+1),MATCH(I$1,enemy_skill_triggers!$1:$1,0)-MATCH($F$1,enemy_skill_triggers!$1:$1,0)+1,FALSE)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8" s="48" t="str">
        <f ca="1">VLOOKUP($F218,OFFSET(enemy_skill_triggers!$A$1,0,0,COUNTA(enemy_skill_triggers!$A:$A),MATCH(J$1,enemy_skill_triggers!$1:$1,0)-MATCH($F$1,enemy_skill_triggers!$1:$1,0)+1),MATCH(J$1,enemy_skill_triggers!$1:$1,0)-MATCH($F$1,enemy_skill_triggers!$1:$1,0)+1,FALSE)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8" s="48" t="str">
        <f ca="1">VLOOKUP($F218,OFFSET(enemy_skill_triggers!$A$1,0,0,COUNTA(enemy_skill_triggers!$A:$A),MATCH(K$1,enemy_skill_triggers!$1:$1,0)-MATCH($F$1,enemy_skill_triggers!$1:$1,0)+1),MATCH(K$1,enemy_skill_triggers!$1:$1,0)-MATCH($F$1,enemy_skill_triggers!$1:$1,0)+1,FALSE)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8" s="48">
        <f ca="1">VLOOKUP($F218,OFFSET(enemy_skill_triggers!$A$1,0,0,COUNTA(enemy_skill_triggers!$A:$A),MATCH(L$1,enemy_skill_triggers!$1:$1,0)-MATCH($F$1,enemy_skill_triggers!$1:$1,0)+1),MATCH(L$1,enemy_skill_triggers!$1:$1,0)-MATCH($F$1,enemy_skill_triggers!$1:$1,0)+1,FALSE)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8" s="48">
        <f ca="1">VLOOKUP($F218,OFFSET(enemy_skill_triggers!$A$1,0,0,COUNTA(enemy_skill_triggers!$A:$A),MATCH(M$1,enemy_skill_triggers!$1:$1,0)-MATCH($F$1,enemy_skill_triggers!$1:$1,0)+1),MATCH(M$1,enemy_skill_triggers!$1:$1,0)-MATCH($F$1,enemy_skill_triggers!$1:$1,0)+1,FALSE)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8" s="48">
        <f ca="1">VLOOKUP($F218,OFFSET(enemy_skill_triggers!$A$1,0,0,COUNTA(enemy_skill_triggers!$A:$A),MATCH(N$1,enemy_skill_triggers!$1:$1,0)-MATCH($F$1,enemy_skill_triggers!$1:$1,0)+1),MATCH(N$1,enemy_skill_triggers!$1:$1,0)-MATCH($F$1,enemy_skill_triggers!$1:$1,0)+1,FALSE)</f>
        <v>1565</v>
      </c>
      <c r="O218" s="48">
        <f ca="1">VLOOKUP($F218,OFFSET(enemy_skill_triggers!$A$1,0,0,COUNTA(enemy_skill_triggers!$A:$A),MATCH(O$1,enemy_skill_triggers!$1:$1,0)-MATCH($F$1,enemy_skill_triggers!$1:$1,0)+1),MATCH(O$1,enemy_skill_triggers!$1:$1,0)-MATCH($F$1,enemy_skill_triggers!$1:$1,0)+1,FALSE)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8" s="47"/>
      <c r="Q218" s="47"/>
      <c r="R218" s="47"/>
    </row>
    <row r="219" spans="1:18" ht="13" customHeight="1" x14ac:dyDescent="0.15">
      <c r="A219" s="39" t="str">
        <f t="shared" si="17"/>
        <v>49016320_49016810</v>
      </c>
      <c r="B219" s="117">
        <v>49016320</v>
      </c>
      <c r="C219" s="170">
        <v>49016810</v>
      </c>
      <c r="D219" s="46" t="str">
        <f ca="1">VLOOKUP($C219,OFFSET(enemy_skills!$A$1,0,0,COUNTA(enemy_skills!$A:$A),MATCH(D$1,enemy_skills!$1:$1,0)-MATCH("enemy_skill_id",enemy_skills!$1:$1,0)+1),MATCH(D$1,enemy_skills!$1:$1,0)-MATCH("enemy_skill_id",enemy_skills!$1:$1,0)+1,FALSE)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219" s="46" t="str">
        <f ca="1">VLOOKUP($C219,OFFSET(enemy_skills!$A$1,0,0,COUNTA(enemy_skills!$A:$A),MATCH(E$1,enemy_skills!$1:$1,0)-MATCH("enemy_skill_id",enemy_skills!$1:$1,0)+1),MATCH(E$1,enemy_skills!$1:$1,0)-MATCH("enemy_skill_id",enemy_skills!$1:$1,0)+1,FALSE)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219" s="170">
        <v>49016810</v>
      </c>
      <c r="G219" s="48">
        <f ca="1">VLOOKUP($F219,OFFSET(enemy_skill_triggers!$A$1,0,0,COUNTA(enemy_skill_triggers!$A:$A),MATCH(G$1,enemy_skill_triggers!$1:$1,0)-MATCH($F$1,enemy_skill_triggers!$1:$1,0)+1),MATCH(G$1,enemy_skill_triggers!$1:$1,0)-MATCH($F$1,enemy_skill_triggers!$1:$1,0)+1,FALSE)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9" s="48">
        <f ca="1">VLOOKUP($F219,OFFSET(enemy_skill_triggers!$A$1,0,0,COUNTA(enemy_skill_triggers!$A:$A),MATCH(H$1,enemy_skill_triggers!$1:$1,0)-MATCH($F$1,enemy_skill_triggers!$1:$1,0)+1),MATCH(H$1,enemy_skill_triggers!$1:$1,0)-MATCH($F$1,enemy_skill_triggers!$1:$1,0)+1,FALSE)</f>
        <v>410</v>
      </c>
      <c r="I219" s="48">
        <f ca="1">VLOOKUP($F219,OFFSET(enemy_skill_triggers!$A$1,0,0,COUNTA(enemy_skill_triggers!$A:$A),MATCH(I$1,enemy_skill_triggers!$1:$1,0)-MATCH($F$1,enemy_skill_triggers!$1:$1,0)+1),MATCH(I$1,enemy_skill_triggers!$1:$1,0)-MATCH($F$1,enemy_skill_triggers!$1:$1,0)+1,FALSE)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9" s="48" t="str">
        <f ca="1">VLOOKUP($F219,OFFSET(enemy_skill_triggers!$A$1,0,0,COUNTA(enemy_skill_triggers!$A:$A),MATCH(J$1,enemy_skill_triggers!$1:$1,0)-MATCH($F$1,enemy_skill_triggers!$1:$1,0)+1),MATCH(J$1,enemy_skill_triggers!$1:$1,0)-MATCH($F$1,enemy_skill_triggers!$1:$1,0)+1,FALSE)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9" s="48" t="str">
        <f ca="1">VLOOKUP($F219,OFFSET(enemy_skill_triggers!$A$1,0,0,COUNTA(enemy_skill_triggers!$A:$A),MATCH(K$1,enemy_skill_triggers!$1:$1,0)-MATCH($F$1,enemy_skill_triggers!$1:$1,0)+1),MATCH(K$1,enemy_skill_triggers!$1:$1,0)-MATCH($F$1,enemy_skill_triggers!$1:$1,0)+1,FALSE)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9" s="48">
        <f ca="1">VLOOKUP($F219,OFFSET(enemy_skill_triggers!$A$1,0,0,COUNTA(enemy_skill_triggers!$A:$A),MATCH(L$1,enemy_skill_triggers!$1:$1,0)-MATCH($F$1,enemy_skill_triggers!$1:$1,0)+1),MATCH(L$1,enemy_skill_triggers!$1:$1,0)-MATCH($F$1,enemy_skill_triggers!$1:$1,0)+1,FALSE)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9" s="48">
        <f ca="1">VLOOKUP($F219,OFFSET(enemy_skill_triggers!$A$1,0,0,COUNTA(enemy_skill_triggers!$A:$A),MATCH(M$1,enemy_skill_triggers!$1:$1,0)-MATCH($F$1,enemy_skill_triggers!$1:$1,0)+1),MATCH(M$1,enemy_skill_triggers!$1:$1,0)-MATCH($F$1,enemy_skill_triggers!$1:$1,0)+1,FALSE)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19" s="48">
        <f ca="1">VLOOKUP($F219,OFFSET(enemy_skill_triggers!$A$1,0,0,COUNTA(enemy_skill_triggers!$A:$A),MATCH(N$1,enemy_skill_triggers!$1:$1,0)-MATCH($F$1,enemy_skill_triggers!$1:$1,0)+1),MATCH(N$1,enemy_skill_triggers!$1:$1,0)-MATCH($F$1,enemy_skill_triggers!$1:$1,0)+1,FALSE)</f>
        <v>1566</v>
      </c>
      <c r="O219" s="48">
        <f ca="1">VLOOKUP($F219,OFFSET(enemy_skill_triggers!$A$1,0,0,COUNTA(enemy_skill_triggers!$A:$A),MATCH(O$1,enemy_skill_triggers!$1:$1,0)-MATCH($F$1,enemy_skill_triggers!$1:$1,0)+1),MATCH(O$1,enemy_skill_triggers!$1:$1,0)-MATCH($F$1,enemy_skill_triggers!$1:$1,0)+1,FALSE)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9" s="47"/>
      <c r="Q219" s="47"/>
      <c r="R219" s="47"/>
    </row>
    <row r="220" spans="1:18" ht="13" customHeight="1" x14ac:dyDescent="0.15">
      <c r="A220" s="39" t="str">
        <f t="shared" si="17"/>
        <v>49016320_49016811</v>
      </c>
      <c r="B220" s="117">
        <v>49016320</v>
      </c>
      <c r="C220" s="170">
        <v>49016811</v>
      </c>
      <c r="D220" s="46" t="str">
        <f ca="1">VLOOKUP($C220,OFFSET(enemy_skills!$A$1,0,0,COUNTA(enemy_skills!$A:$A),MATCH(D$1,enemy_skills!$1:$1,0)-MATCH("enemy_skill_id",enemy_skills!$1:$1,0)+1),MATCH(D$1,enemy_skills!$1:$1,0)-MATCH("enemy_skill_id",enemy_skills!$1:$1,0)+1,FALSE)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220" s="46" t="str">
        <f ca="1">VLOOKUP($C220,OFFSET(enemy_skills!$A$1,0,0,COUNTA(enemy_skills!$A:$A),MATCH(E$1,enemy_skills!$1:$1,0)-MATCH("enemy_skill_id",enemy_skills!$1:$1,0)+1),MATCH(E$1,enemy_skills!$1:$1,0)-MATCH("enemy_skill_id",enemy_skills!$1:$1,0)+1,FALSE)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220" s="170">
        <v>49016811</v>
      </c>
      <c r="G220" s="48">
        <f ca="1">VLOOKUP($F220,OFFSET(enemy_skill_triggers!$A$1,0,0,COUNTA(enemy_skill_triggers!$A:$A),MATCH(G$1,enemy_skill_triggers!$1:$1,0)-MATCH($F$1,enemy_skill_triggers!$1:$1,0)+1),MATCH(G$1,enemy_skill_triggers!$1:$1,0)-MATCH($F$1,enemy_skill_triggers!$1:$1,0)+1,FALSE)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0" s="48">
        <f ca="1">VLOOKUP($F220,OFFSET(enemy_skill_triggers!$A$1,0,0,COUNTA(enemy_skill_triggers!$A:$A),MATCH(H$1,enemy_skill_triggers!$1:$1,0)-MATCH($F$1,enemy_skill_triggers!$1:$1,0)+1),MATCH(H$1,enemy_skill_triggers!$1:$1,0)-MATCH($F$1,enemy_skill_triggers!$1:$1,0)+1,FALSE)</f>
        <v>411</v>
      </c>
      <c r="I220" s="48">
        <f ca="1">VLOOKUP($F220,OFFSET(enemy_skill_triggers!$A$1,0,0,COUNTA(enemy_skill_triggers!$A:$A),MATCH(I$1,enemy_skill_triggers!$1:$1,0)-MATCH($F$1,enemy_skill_triggers!$1:$1,0)+1),MATCH(I$1,enemy_skill_triggers!$1:$1,0)-MATCH($F$1,enemy_skill_triggers!$1:$1,0)+1,FALSE)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0" s="48" t="str">
        <f ca="1">VLOOKUP($F220,OFFSET(enemy_skill_triggers!$A$1,0,0,COUNTA(enemy_skill_triggers!$A:$A),MATCH(J$1,enemy_skill_triggers!$1:$1,0)-MATCH($F$1,enemy_skill_triggers!$1:$1,0)+1),MATCH(J$1,enemy_skill_triggers!$1:$1,0)-MATCH($F$1,enemy_skill_triggers!$1:$1,0)+1,FALSE)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0" s="48" t="str">
        <f ca="1">VLOOKUP($F220,OFFSET(enemy_skill_triggers!$A$1,0,0,COUNTA(enemy_skill_triggers!$A:$A),MATCH(K$1,enemy_skill_triggers!$1:$1,0)-MATCH($F$1,enemy_skill_triggers!$1:$1,0)+1),MATCH(K$1,enemy_skill_triggers!$1:$1,0)-MATCH($F$1,enemy_skill_triggers!$1:$1,0)+1,FALSE)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0" s="48">
        <f ca="1">VLOOKUP($F220,OFFSET(enemy_skill_triggers!$A$1,0,0,COUNTA(enemy_skill_triggers!$A:$A),MATCH(L$1,enemy_skill_triggers!$1:$1,0)-MATCH($F$1,enemy_skill_triggers!$1:$1,0)+1),MATCH(L$1,enemy_skill_triggers!$1:$1,0)-MATCH($F$1,enemy_skill_triggers!$1:$1,0)+1,FALSE)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0" s="48">
        <f ca="1">VLOOKUP($F220,OFFSET(enemy_skill_triggers!$A$1,0,0,COUNTA(enemy_skill_triggers!$A:$A),MATCH(M$1,enemy_skill_triggers!$1:$1,0)-MATCH($F$1,enemy_skill_triggers!$1:$1,0)+1),MATCH(M$1,enemy_skill_triggers!$1:$1,0)-MATCH($F$1,enemy_skill_triggers!$1:$1,0)+1,FALSE)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0" s="48">
        <f ca="1">VLOOKUP($F220,OFFSET(enemy_skill_triggers!$A$1,0,0,COUNTA(enemy_skill_triggers!$A:$A),MATCH(N$1,enemy_skill_triggers!$1:$1,0)-MATCH($F$1,enemy_skill_triggers!$1:$1,0)+1),MATCH(N$1,enemy_skill_triggers!$1:$1,0)-MATCH($F$1,enemy_skill_triggers!$1:$1,0)+1,FALSE)</f>
        <v>1568</v>
      </c>
      <c r="O220" s="48">
        <f ca="1">VLOOKUP($F220,OFFSET(enemy_skill_triggers!$A$1,0,0,COUNTA(enemy_skill_triggers!$A:$A),MATCH(O$1,enemy_skill_triggers!$1:$1,0)-MATCH($F$1,enemy_skill_triggers!$1:$1,0)+1),MATCH(O$1,enemy_skill_triggers!$1:$1,0)-MATCH($F$1,enemy_skill_triggers!$1:$1,0)+1,FALSE)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0" s="47"/>
      <c r="Q220" s="47"/>
      <c r="R220" s="47"/>
    </row>
    <row r="221" spans="1:18" ht="13" customHeight="1" x14ac:dyDescent="0.15">
      <c r="A221" s="39" t="str">
        <f t="shared" si="17"/>
        <v>49016320_49016812</v>
      </c>
      <c r="B221" s="117">
        <v>49016320</v>
      </c>
      <c r="C221" s="170">
        <v>49016812</v>
      </c>
      <c r="D221" s="46" t="str">
        <f ca="1">VLOOKUP($C221,OFFSET(enemy_skills!$A$1,0,0,COUNTA(enemy_skills!$A:$A),MATCH(D$1,enemy_skills!$1:$1,0)-MATCH("enemy_skill_id",enemy_skills!$1:$1,0)+1),MATCH(D$1,enemy_skills!$1:$1,0)-MATCH("enemy_skill_id",enemy_skills!$1:$1,0)+1,FALSE)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221" s="46" t="str">
        <f ca="1">VLOOKUP($C221,OFFSET(enemy_skills!$A$1,0,0,COUNTA(enemy_skills!$A:$A),MATCH(E$1,enemy_skills!$1:$1,0)-MATCH("enemy_skill_id",enemy_skills!$1:$1,0)+1),MATCH(E$1,enemy_skills!$1:$1,0)-MATCH("enemy_skill_id",enemy_skills!$1:$1,0)+1,FALSE)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221" s="170">
        <v>49016812</v>
      </c>
      <c r="G221" s="48">
        <f ca="1">VLOOKUP($F221,OFFSET(enemy_skill_triggers!$A$1,0,0,COUNTA(enemy_skill_triggers!$A:$A),MATCH(G$1,enemy_skill_triggers!$1:$1,0)-MATCH($F$1,enemy_skill_triggers!$1:$1,0)+1),MATCH(G$1,enemy_skill_triggers!$1:$1,0)-MATCH($F$1,enemy_skill_triggers!$1:$1,0)+1,FALSE)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1" s="48">
        <f ca="1">VLOOKUP($F221,OFFSET(enemy_skill_triggers!$A$1,0,0,COUNTA(enemy_skill_triggers!$A:$A),MATCH(H$1,enemy_skill_triggers!$1:$1,0)-MATCH($F$1,enemy_skill_triggers!$1:$1,0)+1),MATCH(H$1,enemy_skill_triggers!$1:$1,0)-MATCH($F$1,enemy_skill_triggers!$1:$1,0)+1,FALSE)</f>
        <v>412</v>
      </c>
      <c r="I221" s="48">
        <f ca="1">VLOOKUP($F221,OFFSET(enemy_skill_triggers!$A$1,0,0,COUNTA(enemy_skill_triggers!$A:$A),MATCH(I$1,enemy_skill_triggers!$1:$1,0)-MATCH($F$1,enemy_skill_triggers!$1:$1,0)+1),MATCH(I$1,enemy_skill_triggers!$1:$1,0)-MATCH($F$1,enemy_skill_triggers!$1:$1,0)+1,FALSE)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1" s="48" t="str">
        <f ca="1">VLOOKUP($F221,OFFSET(enemy_skill_triggers!$A$1,0,0,COUNTA(enemy_skill_triggers!$A:$A),MATCH(J$1,enemy_skill_triggers!$1:$1,0)-MATCH($F$1,enemy_skill_triggers!$1:$1,0)+1),MATCH(J$1,enemy_skill_triggers!$1:$1,0)-MATCH($F$1,enemy_skill_triggers!$1:$1,0)+1,FALSE)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1" s="48" t="str">
        <f ca="1">VLOOKUP($F221,OFFSET(enemy_skill_triggers!$A$1,0,0,COUNTA(enemy_skill_triggers!$A:$A),MATCH(K$1,enemy_skill_triggers!$1:$1,0)-MATCH($F$1,enemy_skill_triggers!$1:$1,0)+1),MATCH(K$1,enemy_skill_triggers!$1:$1,0)-MATCH($F$1,enemy_skill_triggers!$1:$1,0)+1,FALSE)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1" s="48">
        <f ca="1">VLOOKUP($F221,OFFSET(enemy_skill_triggers!$A$1,0,0,COUNTA(enemy_skill_triggers!$A:$A),MATCH(L$1,enemy_skill_triggers!$1:$1,0)-MATCH($F$1,enemy_skill_triggers!$1:$1,0)+1),MATCH(L$1,enemy_skill_triggers!$1:$1,0)-MATCH($F$1,enemy_skill_triggers!$1:$1,0)+1,FALSE)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1" s="48">
        <f ca="1">VLOOKUP($F221,OFFSET(enemy_skill_triggers!$A$1,0,0,COUNTA(enemy_skill_triggers!$A:$A),MATCH(M$1,enemy_skill_triggers!$1:$1,0)-MATCH($F$1,enemy_skill_triggers!$1:$1,0)+1),MATCH(M$1,enemy_skill_triggers!$1:$1,0)-MATCH($F$1,enemy_skill_triggers!$1:$1,0)+1,FALSE)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1" s="48">
        <f ca="1">VLOOKUP($F221,OFFSET(enemy_skill_triggers!$A$1,0,0,COUNTA(enemy_skill_triggers!$A:$A),MATCH(N$1,enemy_skill_triggers!$1:$1,0)-MATCH($F$1,enemy_skill_triggers!$1:$1,0)+1),MATCH(N$1,enemy_skill_triggers!$1:$1,0)-MATCH($F$1,enemy_skill_triggers!$1:$1,0)+1,FALSE)</f>
        <v>1570</v>
      </c>
      <c r="O221" s="48">
        <f ca="1">VLOOKUP($F221,OFFSET(enemy_skill_triggers!$A$1,0,0,COUNTA(enemy_skill_triggers!$A:$A),MATCH(O$1,enemy_skill_triggers!$1:$1,0)-MATCH($F$1,enemy_skill_triggers!$1:$1,0)+1),MATCH(O$1,enemy_skill_triggers!$1:$1,0)-MATCH($F$1,enemy_skill_triggers!$1:$1,0)+1,FALSE)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1" s="47"/>
      <c r="Q221" s="47"/>
      <c r="R221" s="47"/>
    </row>
    <row r="222" spans="1:18" ht="13" customHeight="1" x14ac:dyDescent="0.15">
      <c r="A222" s="39" t="str">
        <f t="shared" si="17"/>
        <v>49016320_49016813</v>
      </c>
      <c r="B222" s="117">
        <v>49016320</v>
      </c>
      <c r="C222" s="170">
        <v>49016813</v>
      </c>
      <c r="D222" s="46" t="str">
        <f ca="1">VLOOKUP($C222,OFFSET(enemy_skills!$A$1,0,0,COUNTA(enemy_skills!$A:$A),MATCH(D$1,enemy_skills!$1:$1,0)-MATCH("enemy_skill_id",enemy_skills!$1:$1,0)+1),MATCH(D$1,enemy_skills!$1:$1,0)-MATCH("enemy_skill_id",enemy_skills!$1:$1,0)+1,FALSE)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222" s="46" t="str">
        <f ca="1">VLOOKUP($C222,OFFSET(enemy_skills!$A$1,0,0,COUNTA(enemy_skills!$A:$A),MATCH(E$1,enemy_skills!$1:$1,0)-MATCH("enemy_skill_id",enemy_skills!$1:$1,0)+1),MATCH(E$1,enemy_skills!$1:$1,0)-MATCH("enemy_skill_id",enemy_skills!$1:$1,0)+1,FALSE)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222" s="170">
        <v>49016813</v>
      </c>
      <c r="G222" s="48">
        <f ca="1">VLOOKUP($F222,OFFSET(enemy_skill_triggers!$A$1,0,0,COUNTA(enemy_skill_triggers!$A:$A),MATCH(G$1,enemy_skill_triggers!$1:$1,0)-MATCH($F$1,enemy_skill_triggers!$1:$1,0)+1),MATCH(G$1,enemy_skill_triggers!$1:$1,0)-MATCH($F$1,enemy_skill_triggers!$1:$1,0)+1,FALSE)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2" s="48">
        <f ca="1">VLOOKUP($F222,OFFSET(enemy_skill_triggers!$A$1,0,0,COUNTA(enemy_skill_triggers!$A:$A),MATCH(H$1,enemy_skill_triggers!$1:$1,0)-MATCH($F$1,enemy_skill_triggers!$1:$1,0)+1),MATCH(H$1,enemy_skill_triggers!$1:$1,0)-MATCH($F$1,enemy_skill_triggers!$1:$1,0)+1,FALSE)</f>
        <v>413</v>
      </c>
      <c r="I222" s="48">
        <f ca="1">VLOOKUP($F222,OFFSET(enemy_skill_triggers!$A$1,0,0,COUNTA(enemy_skill_triggers!$A:$A),MATCH(I$1,enemy_skill_triggers!$1:$1,0)-MATCH($F$1,enemy_skill_triggers!$1:$1,0)+1),MATCH(I$1,enemy_skill_triggers!$1:$1,0)-MATCH($F$1,enemy_skill_triggers!$1:$1,0)+1,FALSE)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2" s="48" t="str">
        <f ca="1">VLOOKUP($F222,OFFSET(enemy_skill_triggers!$A$1,0,0,COUNTA(enemy_skill_triggers!$A:$A),MATCH(J$1,enemy_skill_triggers!$1:$1,0)-MATCH($F$1,enemy_skill_triggers!$1:$1,0)+1),MATCH(J$1,enemy_skill_triggers!$1:$1,0)-MATCH($F$1,enemy_skill_triggers!$1:$1,0)+1,FALSE)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2" s="48" t="str">
        <f ca="1">VLOOKUP($F222,OFFSET(enemy_skill_triggers!$A$1,0,0,COUNTA(enemy_skill_triggers!$A:$A),MATCH(K$1,enemy_skill_triggers!$1:$1,0)-MATCH($F$1,enemy_skill_triggers!$1:$1,0)+1),MATCH(K$1,enemy_skill_triggers!$1:$1,0)-MATCH($F$1,enemy_skill_triggers!$1:$1,0)+1,FALSE)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2" s="48">
        <f ca="1">VLOOKUP($F222,OFFSET(enemy_skill_triggers!$A$1,0,0,COUNTA(enemy_skill_triggers!$A:$A),MATCH(L$1,enemy_skill_triggers!$1:$1,0)-MATCH($F$1,enemy_skill_triggers!$1:$1,0)+1),MATCH(L$1,enemy_skill_triggers!$1:$1,0)-MATCH($F$1,enemy_skill_triggers!$1:$1,0)+1,FALSE)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2" s="48">
        <f ca="1">VLOOKUP($F222,OFFSET(enemy_skill_triggers!$A$1,0,0,COUNTA(enemy_skill_triggers!$A:$A),MATCH(M$1,enemy_skill_triggers!$1:$1,0)-MATCH($F$1,enemy_skill_triggers!$1:$1,0)+1),MATCH(M$1,enemy_skill_triggers!$1:$1,0)-MATCH($F$1,enemy_skill_triggers!$1:$1,0)+1,FALSE)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2" s="48">
        <f ca="1">VLOOKUP($F222,OFFSET(enemy_skill_triggers!$A$1,0,0,COUNTA(enemy_skill_triggers!$A:$A),MATCH(N$1,enemy_skill_triggers!$1:$1,0)-MATCH($F$1,enemy_skill_triggers!$1:$1,0)+1),MATCH(N$1,enemy_skill_triggers!$1:$1,0)-MATCH($F$1,enemy_skill_triggers!$1:$1,0)+1,FALSE)</f>
        <v>1573</v>
      </c>
      <c r="O222" s="48">
        <f ca="1">VLOOKUP($F222,OFFSET(enemy_skill_triggers!$A$1,0,0,COUNTA(enemy_skill_triggers!$A:$A),MATCH(O$1,enemy_skill_triggers!$1:$1,0)-MATCH($F$1,enemy_skill_triggers!$1:$1,0)+1),MATCH(O$1,enemy_skill_triggers!$1:$1,0)-MATCH($F$1,enemy_skill_triggers!$1:$1,0)+1,FALSE)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2" s="47"/>
      <c r="Q222" s="47"/>
      <c r="R222" s="47"/>
    </row>
    <row r="223" spans="1:18" ht="13" customHeight="1" x14ac:dyDescent="0.15">
      <c r="A223" s="39" t="str">
        <f t="shared" si="17"/>
        <v>49016320_49016814</v>
      </c>
      <c r="B223" s="117">
        <v>49016320</v>
      </c>
      <c r="C223" s="170">
        <v>49016814</v>
      </c>
      <c r="D223" s="46" t="str">
        <f ca="1">VLOOKUP($C223,OFFSET(enemy_skills!$A$1,0,0,COUNTA(enemy_skills!$A:$A),MATCH(D$1,enemy_skills!$1:$1,0)-MATCH("enemy_skill_id",enemy_skills!$1:$1,0)+1),MATCH(D$1,enemy_skills!$1:$1,0)-MATCH("enemy_skill_id",enemy_skills!$1:$1,0)+1,FALSE)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223" s="46" t="str">
        <f ca="1">VLOOKUP($C223,OFFSET(enemy_skills!$A$1,0,0,COUNTA(enemy_skills!$A:$A),MATCH(E$1,enemy_skills!$1:$1,0)-MATCH("enemy_skill_id",enemy_skills!$1:$1,0)+1),MATCH(E$1,enemy_skills!$1:$1,0)-MATCH("enemy_skill_id",enemy_skills!$1:$1,0)+1,FALSE)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223" s="170">
        <v>49016814</v>
      </c>
      <c r="G223" s="48">
        <f ca="1">VLOOKUP($F223,OFFSET(enemy_skill_triggers!$A$1,0,0,COUNTA(enemy_skill_triggers!$A:$A),MATCH(G$1,enemy_skill_triggers!$1:$1,0)-MATCH($F$1,enemy_skill_triggers!$1:$1,0)+1),MATCH(G$1,enemy_skill_triggers!$1:$1,0)-MATCH($F$1,enemy_skill_triggers!$1:$1,0)+1,FALSE)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3" s="48">
        <f ca="1">VLOOKUP($F223,OFFSET(enemy_skill_triggers!$A$1,0,0,COUNTA(enemy_skill_triggers!$A:$A),MATCH(H$1,enemy_skill_triggers!$1:$1,0)-MATCH($F$1,enemy_skill_triggers!$1:$1,0)+1),MATCH(H$1,enemy_skill_triggers!$1:$1,0)-MATCH($F$1,enemy_skill_triggers!$1:$1,0)+1,FALSE)</f>
        <v>414</v>
      </c>
      <c r="I223" s="48">
        <f ca="1">VLOOKUP($F223,OFFSET(enemy_skill_triggers!$A$1,0,0,COUNTA(enemy_skill_triggers!$A:$A),MATCH(I$1,enemy_skill_triggers!$1:$1,0)-MATCH($F$1,enemy_skill_triggers!$1:$1,0)+1),MATCH(I$1,enemy_skill_triggers!$1:$1,0)-MATCH($F$1,enemy_skill_triggers!$1:$1,0)+1,FALSE)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3" s="48" t="str">
        <f ca="1">VLOOKUP($F223,OFFSET(enemy_skill_triggers!$A$1,0,0,COUNTA(enemy_skill_triggers!$A:$A),MATCH(J$1,enemy_skill_triggers!$1:$1,0)-MATCH($F$1,enemy_skill_triggers!$1:$1,0)+1),MATCH(J$1,enemy_skill_triggers!$1:$1,0)-MATCH($F$1,enemy_skill_triggers!$1:$1,0)+1,FALSE)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3" s="48" t="str">
        <f ca="1">VLOOKUP($F223,OFFSET(enemy_skill_triggers!$A$1,0,0,COUNTA(enemy_skill_triggers!$A:$A),MATCH(K$1,enemy_skill_triggers!$1:$1,0)-MATCH($F$1,enemy_skill_triggers!$1:$1,0)+1),MATCH(K$1,enemy_skill_triggers!$1:$1,0)-MATCH($F$1,enemy_skill_triggers!$1:$1,0)+1,FALSE)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3" s="48">
        <f ca="1">VLOOKUP($F223,OFFSET(enemy_skill_triggers!$A$1,0,0,COUNTA(enemy_skill_triggers!$A:$A),MATCH(L$1,enemy_skill_triggers!$1:$1,0)-MATCH($F$1,enemy_skill_triggers!$1:$1,0)+1),MATCH(L$1,enemy_skill_triggers!$1:$1,0)-MATCH($F$1,enemy_skill_triggers!$1:$1,0)+1,FALSE)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3" s="48">
        <f ca="1">VLOOKUP($F223,OFFSET(enemy_skill_triggers!$A$1,0,0,COUNTA(enemy_skill_triggers!$A:$A),MATCH(M$1,enemy_skill_triggers!$1:$1,0)-MATCH($F$1,enemy_skill_triggers!$1:$1,0)+1),MATCH(M$1,enemy_skill_triggers!$1:$1,0)-MATCH($F$1,enemy_skill_triggers!$1:$1,0)+1,FALSE)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3" s="48">
        <f ca="1">VLOOKUP($F223,OFFSET(enemy_skill_triggers!$A$1,0,0,COUNTA(enemy_skill_triggers!$A:$A),MATCH(N$1,enemy_skill_triggers!$1:$1,0)-MATCH($F$1,enemy_skill_triggers!$1:$1,0)+1),MATCH(N$1,enemy_skill_triggers!$1:$1,0)-MATCH($F$1,enemy_skill_triggers!$1:$1,0)+1,FALSE)</f>
        <v>1574</v>
      </c>
      <c r="O223" s="48">
        <f ca="1">VLOOKUP($F223,OFFSET(enemy_skill_triggers!$A$1,0,0,COUNTA(enemy_skill_triggers!$A:$A),MATCH(O$1,enemy_skill_triggers!$1:$1,0)-MATCH($F$1,enemy_skill_triggers!$1:$1,0)+1),MATCH(O$1,enemy_skill_triggers!$1:$1,0)-MATCH($F$1,enemy_skill_triggers!$1:$1,0)+1,FALSE)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3" s="47"/>
      <c r="Q223" s="47"/>
      <c r="R223" s="47"/>
    </row>
    <row r="224" spans="1:18" ht="13" customHeight="1" x14ac:dyDescent="0.15">
      <c r="A224" s="39" t="str">
        <f t="shared" si="17"/>
        <v>49016320_49016815</v>
      </c>
      <c r="B224" s="117">
        <v>49016320</v>
      </c>
      <c r="C224" s="170">
        <v>49016815</v>
      </c>
      <c r="D224" s="46" t="str">
        <f ca="1">VLOOKUP($C224,OFFSET(enemy_skills!$A$1,0,0,COUNTA(enemy_skills!$A:$A),MATCH(D$1,enemy_skills!$1:$1,0)-MATCH("enemy_skill_id",enemy_skills!$1:$1,0)+1),MATCH(D$1,enemy_skills!$1:$1,0)-MATCH("enemy_skill_id",enemy_skills!$1:$1,0)+1,FALSE)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224" s="46" t="str">
        <f ca="1">VLOOKUP($C224,OFFSET(enemy_skills!$A$1,0,0,COUNTA(enemy_skills!$A:$A),MATCH(E$1,enemy_skills!$1:$1,0)-MATCH("enemy_skill_id",enemy_skills!$1:$1,0)+1),MATCH(E$1,enemy_skills!$1:$1,0)-MATCH("enemy_skill_id",enemy_skills!$1:$1,0)+1,FALSE)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224" s="170">
        <v>49016815</v>
      </c>
      <c r="G224" s="48">
        <f ca="1">VLOOKUP($F224,OFFSET(enemy_skill_triggers!$A$1,0,0,COUNTA(enemy_skill_triggers!$A:$A),MATCH(G$1,enemy_skill_triggers!$1:$1,0)-MATCH($F$1,enemy_skill_triggers!$1:$1,0)+1),MATCH(G$1,enemy_skill_triggers!$1:$1,0)-MATCH($F$1,enemy_skill_triggers!$1:$1,0)+1,FALSE)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4" s="48">
        <f ca="1">VLOOKUP($F224,OFFSET(enemy_skill_triggers!$A$1,0,0,COUNTA(enemy_skill_triggers!$A:$A),MATCH(H$1,enemy_skill_triggers!$1:$1,0)-MATCH($F$1,enemy_skill_triggers!$1:$1,0)+1),MATCH(H$1,enemy_skill_triggers!$1:$1,0)-MATCH($F$1,enemy_skill_triggers!$1:$1,0)+1,FALSE)</f>
        <v>415</v>
      </c>
      <c r="I224" s="48">
        <f ca="1">VLOOKUP($F224,OFFSET(enemy_skill_triggers!$A$1,0,0,COUNTA(enemy_skill_triggers!$A:$A),MATCH(I$1,enemy_skill_triggers!$1:$1,0)-MATCH($F$1,enemy_skill_triggers!$1:$1,0)+1),MATCH(I$1,enemy_skill_triggers!$1:$1,0)-MATCH($F$1,enemy_skill_triggers!$1:$1,0)+1,FALSE)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4" s="48" t="str">
        <f ca="1">VLOOKUP($F224,OFFSET(enemy_skill_triggers!$A$1,0,0,COUNTA(enemy_skill_triggers!$A:$A),MATCH(J$1,enemy_skill_triggers!$1:$1,0)-MATCH($F$1,enemy_skill_triggers!$1:$1,0)+1),MATCH(J$1,enemy_skill_triggers!$1:$1,0)-MATCH($F$1,enemy_skill_triggers!$1:$1,0)+1,FALSE)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4" s="48" t="str">
        <f ca="1">VLOOKUP($F224,OFFSET(enemy_skill_triggers!$A$1,0,0,COUNTA(enemy_skill_triggers!$A:$A),MATCH(K$1,enemy_skill_triggers!$1:$1,0)-MATCH($F$1,enemy_skill_triggers!$1:$1,0)+1),MATCH(K$1,enemy_skill_triggers!$1:$1,0)-MATCH($F$1,enemy_skill_triggers!$1:$1,0)+1,FALSE)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4" s="48">
        <f ca="1">VLOOKUP($F224,OFFSET(enemy_skill_triggers!$A$1,0,0,COUNTA(enemy_skill_triggers!$A:$A),MATCH(L$1,enemy_skill_triggers!$1:$1,0)-MATCH($F$1,enemy_skill_triggers!$1:$1,0)+1),MATCH(L$1,enemy_skill_triggers!$1:$1,0)-MATCH($F$1,enemy_skill_triggers!$1:$1,0)+1,FALSE)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4" s="48">
        <f ca="1">VLOOKUP($F224,OFFSET(enemy_skill_triggers!$A$1,0,0,COUNTA(enemy_skill_triggers!$A:$A),MATCH(M$1,enemy_skill_triggers!$1:$1,0)-MATCH($F$1,enemy_skill_triggers!$1:$1,0)+1),MATCH(M$1,enemy_skill_triggers!$1:$1,0)-MATCH($F$1,enemy_skill_triggers!$1:$1,0)+1,FALSE)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4" s="48">
        <f ca="1">VLOOKUP($F224,OFFSET(enemy_skill_triggers!$A$1,0,0,COUNTA(enemy_skill_triggers!$A:$A),MATCH(N$1,enemy_skill_triggers!$1:$1,0)-MATCH($F$1,enemy_skill_triggers!$1:$1,0)+1),MATCH(N$1,enemy_skill_triggers!$1:$1,0)-MATCH($F$1,enemy_skill_triggers!$1:$1,0)+1,FALSE)</f>
        <v>1575</v>
      </c>
      <c r="O224" s="48">
        <f ca="1">VLOOKUP($F224,OFFSET(enemy_skill_triggers!$A$1,0,0,COUNTA(enemy_skill_triggers!$A:$A),MATCH(O$1,enemy_skill_triggers!$1:$1,0)-MATCH($F$1,enemy_skill_triggers!$1:$1,0)+1),MATCH(O$1,enemy_skill_triggers!$1:$1,0)-MATCH($F$1,enemy_skill_triggers!$1:$1,0)+1,FALSE)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4" s="47"/>
      <c r="Q224" s="47"/>
      <c r="R224" s="47"/>
    </row>
    <row r="225" spans="1:18" ht="13" customHeight="1" x14ac:dyDescent="0.15">
      <c r="A225" s="39" t="str">
        <f t="shared" si="17"/>
        <v>49016320_49016816</v>
      </c>
      <c r="B225" s="117">
        <v>49016320</v>
      </c>
      <c r="C225" s="170">
        <v>49016816</v>
      </c>
      <c r="D225" s="46" t="str">
        <f ca="1">VLOOKUP($C225,OFFSET(enemy_skills!$A$1,0,0,COUNTA(enemy_skills!$A:$A),MATCH(D$1,enemy_skills!$1:$1,0)-MATCH("enemy_skill_id",enemy_skills!$1:$1,0)+1),MATCH(D$1,enemy_skills!$1:$1,0)-MATCH("enemy_skill_id",enemy_skills!$1:$1,0)+1,FALSE)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225" s="46" t="str">
        <f ca="1">VLOOKUP($C225,OFFSET(enemy_skills!$A$1,0,0,COUNTA(enemy_skills!$A:$A),MATCH(E$1,enemy_skills!$1:$1,0)-MATCH("enemy_skill_id",enemy_skills!$1:$1,0)+1),MATCH(E$1,enemy_skills!$1:$1,0)-MATCH("enemy_skill_id",enemy_skills!$1:$1,0)+1,FALSE)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225" s="170">
        <v>49016816</v>
      </c>
      <c r="G225" s="48">
        <f ca="1">VLOOKUP($F225,OFFSET(enemy_skill_triggers!$A$1,0,0,COUNTA(enemy_skill_triggers!$A:$A),MATCH(G$1,enemy_skill_triggers!$1:$1,0)-MATCH($F$1,enemy_skill_triggers!$1:$1,0)+1),MATCH(G$1,enemy_skill_triggers!$1:$1,0)-MATCH($F$1,enemy_skill_triggers!$1:$1,0)+1,FALSE)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5" s="48">
        <f ca="1">VLOOKUP($F225,OFFSET(enemy_skill_triggers!$A$1,0,0,COUNTA(enemy_skill_triggers!$A:$A),MATCH(H$1,enemy_skill_triggers!$1:$1,0)-MATCH($F$1,enemy_skill_triggers!$1:$1,0)+1),MATCH(H$1,enemy_skill_triggers!$1:$1,0)-MATCH($F$1,enemy_skill_triggers!$1:$1,0)+1,FALSE)</f>
        <v>416</v>
      </c>
      <c r="I225" s="48">
        <f ca="1">VLOOKUP($F225,OFFSET(enemy_skill_triggers!$A$1,0,0,COUNTA(enemy_skill_triggers!$A:$A),MATCH(I$1,enemy_skill_triggers!$1:$1,0)-MATCH($F$1,enemy_skill_triggers!$1:$1,0)+1),MATCH(I$1,enemy_skill_triggers!$1:$1,0)-MATCH($F$1,enemy_skill_triggers!$1:$1,0)+1,FALSE)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5" s="48" t="str">
        <f ca="1">VLOOKUP($F225,OFFSET(enemy_skill_triggers!$A$1,0,0,COUNTA(enemy_skill_triggers!$A:$A),MATCH(J$1,enemy_skill_triggers!$1:$1,0)-MATCH($F$1,enemy_skill_triggers!$1:$1,0)+1),MATCH(J$1,enemy_skill_triggers!$1:$1,0)-MATCH($F$1,enemy_skill_triggers!$1:$1,0)+1,FALSE)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5" s="48" t="str">
        <f ca="1">VLOOKUP($F225,OFFSET(enemy_skill_triggers!$A$1,0,0,COUNTA(enemy_skill_triggers!$A:$A),MATCH(K$1,enemy_skill_triggers!$1:$1,0)-MATCH($F$1,enemy_skill_triggers!$1:$1,0)+1),MATCH(K$1,enemy_skill_triggers!$1:$1,0)-MATCH($F$1,enemy_skill_triggers!$1:$1,0)+1,FALSE)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5" s="48">
        <f ca="1">VLOOKUP($F225,OFFSET(enemy_skill_triggers!$A$1,0,0,COUNTA(enemy_skill_triggers!$A:$A),MATCH(L$1,enemy_skill_triggers!$1:$1,0)-MATCH($F$1,enemy_skill_triggers!$1:$1,0)+1),MATCH(L$1,enemy_skill_triggers!$1:$1,0)-MATCH($F$1,enemy_skill_triggers!$1:$1,0)+1,FALSE)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5" s="48">
        <f ca="1">VLOOKUP($F225,OFFSET(enemy_skill_triggers!$A$1,0,0,COUNTA(enemy_skill_triggers!$A:$A),MATCH(M$1,enemy_skill_triggers!$1:$1,0)-MATCH($F$1,enemy_skill_triggers!$1:$1,0)+1),MATCH(M$1,enemy_skill_triggers!$1:$1,0)-MATCH($F$1,enemy_skill_triggers!$1:$1,0)+1,FALSE)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5" s="48">
        <f ca="1">VLOOKUP($F225,OFFSET(enemy_skill_triggers!$A$1,0,0,COUNTA(enemy_skill_triggers!$A:$A),MATCH(N$1,enemy_skill_triggers!$1:$1,0)-MATCH($F$1,enemy_skill_triggers!$1:$1,0)+1),MATCH(N$1,enemy_skill_triggers!$1:$1,0)-MATCH($F$1,enemy_skill_triggers!$1:$1,0)+1,FALSE)</f>
        <v>1577</v>
      </c>
      <c r="O225" s="48">
        <f ca="1">VLOOKUP($F225,OFFSET(enemy_skill_triggers!$A$1,0,0,COUNTA(enemy_skill_triggers!$A:$A),MATCH(O$1,enemy_skill_triggers!$1:$1,0)-MATCH($F$1,enemy_skill_triggers!$1:$1,0)+1),MATCH(O$1,enemy_skill_triggers!$1:$1,0)-MATCH($F$1,enemy_skill_triggers!$1:$1,0)+1,FALSE)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5" s="47"/>
      <c r="Q225" s="47"/>
      <c r="R225" s="47"/>
    </row>
    <row r="226" spans="1:18" ht="13" customHeight="1" x14ac:dyDescent="0.15">
      <c r="A226" s="39" t="str">
        <f t="shared" si="17"/>
        <v>49016320_49016817</v>
      </c>
      <c r="B226" s="117">
        <v>49016320</v>
      </c>
      <c r="C226" s="170">
        <v>49016817</v>
      </c>
      <c r="D226" s="46" t="str">
        <f ca="1">VLOOKUP($C226,OFFSET(enemy_skills!$A$1,0,0,COUNTA(enemy_skills!$A:$A),MATCH(D$1,enemy_skills!$1:$1,0)-MATCH("enemy_skill_id",enemy_skills!$1:$1,0)+1),MATCH(D$1,enemy_skills!$1:$1,0)-MATCH("enemy_skill_id",enemy_skills!$1:$1,0)+1,FALSE)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226" s="46" t="str">
        <f ca="1">VLOOKUP($C226,OFFSET(enemy_skills!$A$1,0,0,COUNTA(enemy_skills!$A:$A),MATCH(E$1,enemy_skills!$1:$1,0)-MATCH("enemy_skill_id",enemy_skills!$1:$1,0)+1),MATCH(E$1,enemy_skills!$1:$1,0)-MATCH("enemy_skill_id",enemy_skills!$1:$1,0)+1,FALSE)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226" s="170">
        <v>49016817</v>
      </c>
      <c r="G226" s="48">
        <f ca="1">VLOOKUP($F226,OFFSET(enemy_skill_triggers!$A$1,0,0,COUNTA(enemy_skill_triggers!$A:$A),MATCH(G$1,enemy_skill_triggers!$1:$1,0)-MATCH($F$1,enemy_skill_triggers!$1:$1,0)+1),MATCH(G$1,enemy_skill_triggers!$1:$1,0)-MATCH($F$1,enemy_skill_triggers!$1:$1,0)+1,FALSE)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6" s="48">
        <f ca="1">VLOOKUP($F226,OFFSET(enemy_skill_triggers!$A$1,0,0,COUNTA(enemy_skill_triggers!$A:$A),MATCH(H$1,enemy_skill_triggers!$1:$1,0)-MATCH($F$1,enemy_skill_triggers!$1:$1,0)+1),MATCH(H$1,enemy_skill_triggers!$1:$1,0)-MATCH($F$1,enemy_skill_triggers!$1:$1,0)+1,FALSE)</f>
        <v>417</v>
      </c>
      <c r="I226" s="48">
        <f ca="1">VLOOKUP($F226,OFFSET(enemy_skill_triggers!$A$1,0,0,COUNTA(enemy_skill_triggers!$A:$A),MATCH(I$1,enemy_skill_triggers!$1:$1,0)-MATCH($F$1,enemy_skill_triggers!$1:$1,0)+1),MATCH(I$1,enemy_skill_triggers!$1:$1,0)-MATCH($F$1,enemy_skill_triggers!$1:$1,0)+1,FALSE)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6" s="48" t="str">
        <f ca="1">VLOOKUP($F226,OFFSET(enemy_skill_triggers!$A$1,0,0,COUNTA(enemy_skill_triggers!$A:$A),MATCH(J$1,enemy_skill_triggers!$1:$1,0)-MATCH($F$1,enemy_skill_triggers!$1:$1,0)+1),MATCH(J$1,enemy_skill_triggers!$1:$1,0)-MATCH($F$1,enemy_skill_triggers!$1:$1,0)+1,FALSE)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6" s="48" t="str">
        <f ca="1">VLOOKUP($F226,OFFSET(enemy_skill_triggers!$A$1,0,0,COUNTA(enemy_skill_triggers!$A:$A),MATCH(K$1,enemy_skill_triggers!$1:$1,0)-MATCH($F$1,enemy_skill_triggers!$1:$1,0)+1),MATCH(K$1,enemy_skill_triggers!$1:$1,0)-MATCH($F$1,enemy_skill_triggers!$1:$1,0)+1,FALSE)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6" s="48">
        <f ca="1">VLOOKUP($F226,OFFSET(enemy_skill_triggers!$A$1,0,0,COUNTA(enemy_skill_triggers!$A:$A),MATCH(L$1,enemy_skill_triggers!$1:$1,0)-MATCH($F$1,enemy_skill_triggers!$1:$1,0)+1),MATCH(L$1,enemy_skill_triggers!$1:$1,0)-MATCH($F$1,enemy_skill_triggers!$1:$1,0)+1,FALSE)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6" s="48">
        <f ca="1">VLOOKUP($F226,OFFSET(enemy_skill_triggers!$A$1,0,0,COUNTA(enemy_skill_triggers!$A:$A),MATCH(M$1,enemy_skill_triggers!$1:$1,0)-MATCH($F$1,enemy_skill_triggers!$1:$1,0)+1),MATCH(M$1,enemy_skill_triggers!$1:$1,0)-MATCH($F$1,enemy_skill_triggers!$1:$1,0)+1,FALSE)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6" s="48">
        <f ca="1">VLOOKUP($F226,OFFSET(enemy_skill_triggers!$A$1,0,0,COUNTA(enemy_skill_triggers!$A:$A),MATCH(N$1,enemy_skill_triggers!$1:$1,0)-MATCH($F$1,enemy_skill_triggers!$1:$1,0)+1),MATCH(N$1,enemy_skill_triggers!$1:$1,0)-MATCH($F$1,enemy_skill_triggers!$1:$1,0)+1,FALSE)</f>
        <v>1578</v>
      </c>
      <c r="O226" s="48">
        <f ca="1">VLOOKUP($F226,OFFSET(enemy_skill_triggers!$A$1,0,0,COUNTA(enemy_skill_triggers!$A:$A),MATCH(O$1,enemy_skill_triggers!$1:$1,0)-MATCH($F$1,enemy_skill_triggers!$1:$1,0)+1),MATCH(O$1,enemy_skill_triggers!$1:$1,0)-MATCH($F$1,enemy_skill_triggers!$1:$1,0)+1,FALSE)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6" s="47"/>
      <c r="Q226" s="47"/>
      <c r="R226" s="47"/>
    </row>
    <row r="227" spans="1:18" ht="13" customHeight="1" x14ac:dyDescent="0.15">
      <c r="A227" s="39" t="str">
        <f t="shared" si="17"/>
        <v>49016320_49016818</v>
      </c>
      <c r="B227" s="117">
        <v>49016320</v>
      </c>
      <c r="C227" s="170">
        <v>49016818</v>
      </c>
      <c r="D227" s="46" t="str">
        <f ca="1">VLOOKUP($C227,OFFSET(enemy_skills!$A$1,0,0,COUNTA(enemy_skills!$A:$A),MATCH(D$1,enemy_skills!$1:$1,0)-MATCH("enemy_skill_id",enemy_skills!$1:$1,0)+1),MATCH(D$1,enemy_skills!$1:$1,0)-MATCH("enemy_skill_id",enemy_skills!$1:$1,0)+1,FALSE)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227" s="46" t="str">
        <f ca="1">VLOOKUP($C227,OFFSET(enemy_skills!$A$1,0,0,COUNTA(enemy_skills!$A:$A),MATCH(E$1,enemy_skills!$1:$1,0)-MATCH("enemy_skill_id",enemy_skills!$1:$1,0)+1),MATCH(E$1,enemy_skills!$1:$1,0)-MATCH("enemy_skill_id",enemy_skills!$1:$1,0)+1,FALSE)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227" s="170">
        <v>49016818</v>
      </c>
      <c r="G227" s="48">
        <f ca="1">VLOOKUP($F227,OFFSET(enemy_skill_triggers!$A$1,0,0,COUNTA(enemy_skill_triggers!$A:$A),MATCH(G$1,enemy_skill_triggers!$1:$1,0)-MATCH($F$1,enemy_skill_triggers!$1:$1,0)+1),MATCH(G$1,enemy_skill_triggers!$1:$1,0)-MATCH($F$1,enemy_skill_triggers!$1:$1,0)+1,FALSE)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7" s="48">
        <f ca="1">VLOOKUP($F227,OFFSET(enemy_skill_triggers!$A$1,0,0,COUNTA(enemy_skill_triggers!$A:$A),MATCH(H$1,enemy_skill_triggers!$1:$1,0)-MATCH($F$1,enemy_skill_triggers!$1:$1,0)+1),MATCH(H$1,enemy_skill_triggers!$1:$1,0)-MATCH($F$1,enemy_skill_triggers!$1:$1,0)+1,FALSE)</f>
        <v>418</v>
      </c>
      <c r="I227" s="48">
        <f ca="1">VLOOKUP($F227,OFFSET(enemy_skill_triggers!$A$1,0,0,COUNTA(enemy_skill_triggers!$A:$A),MATCH(I$1,enemy_skill_triggers!$1:$1,0)-MATCH($F$1,enemy_skill_triggers!$1:$1,0)+1),MATCH(I$1,enemy_skill_triggers!$1:$1,0)-MATCH($F$1,enemy_skill_triggers!$1:$1,0)+1,FALSE)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7" s="48" t="str">
        <f ca="1">VLOOKUP($F227,OFFSET(enemy_skill_triggers!$A$1,0,0,COUNTA(enemy_skill_triggers!$A:$A),MATCH(J$1,enemy_skill_triggers!$1:$1,0)-MATCH($F$1,enemy_skill_triggers!$1:$1,0)+1),MATCH(J$1,enemy_skill_triggers!$1:$1,0)-MATCH($F$1,enemy_skill_triggers!$1:$1,0)+1,FALSE)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7" s="48" t="str">
        <f ca="1">VLOOKUP($F227,OFFSET(enemy_skill_triggers!$A$1,0,0,COUNTA(enemy_skill_triggers!$A:$A),MATCH(K$1,enemy_skill_triggers!$1:$1,0)-MATCH($F$1,enemy_skill_triggers!$1:$1,0)+1),MATCH(K$1,enemy_skill_triggers!$1:$1,0)-MATCH($F$1,enemy_skill_triggers!$1:$1,0)+1,FALSE)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7" s="48">
        <f ca="1">VLOOKUP($F227,OFFSET(enemy_skill_triggers!$A$1,0,0,COUNTA(enemy_skill_triggers!$A:$A),MATCH(L$1,enemy_skill_triggers!$1:$1,0)-MATCH($F$1,enemy_skill_triggers!$1:$1,0)+1),MATCH(L$1,enemy_skill_triggers!$1:$1,0)-MATCH($F$1,enemy_skill_triggers!$1:$1,0)+1,FALSE)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7" s="48">
        <f ca="1">VLOOKUP($F227,OFFSET(enemy_skill_triggers!$A$1,0,0,COUNTA(enemy_skill_triggers!$A:$A),MATCH(M$1,enemy_skill_triggers!$1:$1,0)-MATCH($F$1,enemy_skill_triggers!$1:$1,0)+1),MATCH(M$1,enemy_skill_triggers!$1:$1,0)-MATCH($F$1,enemy_skill_triggers!$1:$1,0)+1,FALSE)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7" s="48">
        <f ca="1">VLOOKUP($F227,OFFSET(enemy_skill_triggers!$A$1,0,0,COUNTA(enemy_skill_triggers!$A:$A),MATCH(N$1,enemy_skill_triggers!$1:$1,0)-MATCH($F$1,enemy_skill_triggers!$1:$1,0)+1),MATCH(N$1,enemy_skill_triggers!$1:$1,0)-MATCH($F$1,enemy_skill_triggers!$1:$1,0)+1,FALSE)</f>
        <v>1579</v>
      </c>
      <c r="O227" s="48">
        <f ca="1">VLOOKUP($F227,OFFSET(enemy_skill_triggers!$A$1,0,0,COUNTA(enemy_skill_triggers!$A:$A),MATCH(O$1,enemy_skill_triggers!$1:$1,0)-MATCH($F$1,enemy_skill_triggers!$1:$1,0)+1),MATCH(O$1,enemy_skill_triggers!$1:$1,0)-MATCH($F$1,enemy_skill_triggers!$1:$1,0)+1,FALSE)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7" s="47"/>
      <c r="Q227" s="47"/>
      <c r="R227" s="47"/>
    </row>
    <row r="228" spans="1:18" ht="13" customHeight="1" x14ac:dyDescent="0.15">
      <c r="A228" s="39" t="str">
        <f t="shared" si="17"/>
        <v>49016320_49016819</v>
      </c>
      <c r="B228" s="117">
        <v>49016320</v>
      </c>
      <c r="C228" s="170">
        <v>49016819</v>
      </c>
      <c r="D228" s="46" t="str">
        <f ca="1">VLOOKUP($C228,OFFSET(enemy_skills!$A$1,0,0,COUNTA(enemy_skills!$A:$A),MATCH(D$1,enemy_skills!$1:$1,0)-MATCH("enemy_skill_id",enemy_skills!$1:$1,0)+1),MATCH(D$1,enemy_skills!$1:$1,0)-MATCH("enemy_skill_id",enemy_skills!$1:$1,0)+1,FALSE)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228" s="46" t="str">
        <f ca="1">VLOOKUP($C228,OFFSET(enemy_skills!$A$1,0,0,COUNTA(enemy_skills!$A:$A),MATCH(E$1,enemy_skills!$1:$1,0)-MATCH("enemy_skill_id",enemy_skills!$1:$1,0)+1),MATCH(E$1,enemy_skills!$1:$1,0)-MATCH("enemy_skill_id",enemy_skills!$1:$1,0)+1,FALSE)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228" s="170">
        <v>49016819</v>
      </c>
      <c r="G228" s="48">
        <f ca="1">VLOOKUP($F228,OFFSET(enemy_skill_triggers!$A$1,0,0,COUNTA(enemy_skill_triggers!$A:$A),MATCH(G$1,enemy_skill_triggers!$1:$1,0)-MATCH($F$1,enemy_skill_triggers!$1:$1,0)+1),MATCH(G$1,enemy_skill_triggers!$1:$1,0)-MATCH($F$1,enemy_skill_triggers!$1:$1,0)+1,FALSE)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8" s="48">
        <f ca="1">VLOOKUP($F228,OFFSET(enemy_skill_triggers!$A$1,0,0,COUNTA(enemy_skill_triggers!$A:$A),MATCH(H$1,enemy_skill_triggers!$1:$1,0)-MATCH($F$1,enemy_skill_triggers!$1:$1,0)+1),MATCH(H$1,enemy_skill_triggers!$1:$1,0)-MATCH($F$1,enemy_skill_triggers!$1:$1,0)+1,FALSE)</f>
        <v>419</v>
      </c>
      <c r="I228" s="48">
        <f ca="1">VLOOKUP($F228,OFFSET(enemy_skill_triggers!$A$1,0,0,COUNTA(enemy_skill_triggers!$A:$A),MATCH(I$1,enemy_skill_triggers!$1:$1,0)-MATCH($F$1,enemy_skill_triggers!$1:$1,0)+1),MATCH(I$1,enemy_skill_triggers!$1:$1,0)-MATCH($F$1,enemy_skill_triggers!$1:$1,0)+1,FALSE)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8" s="48" t="str">
        <f ca="1">VLOOKUP($F228,OFFSET(enemy_skill_triggers!$A$1,0,0,COUNTA(enemy_skill_triggers!$A:$A),MATCH(J$1,enemy_skill_triggers!$1:$1,0)-MATCH($F$1,enemy_skill_triggers!$1:$1,0)+1),MATCH(J$1,enemy_skill_triggers!$1:$1,0)-MATCH($F$1,enemy_skill_triggers!$1:$1,0)+1,FALSE)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8" s="48" t="str">
        <f ca="1">VLOOKUP($F228,OFFSET(enemy_skill_triggers!$A$1,0,0,COUNTA(enemy_skill_triggers!$A:$A),MATCH(K$1,enemy_skill_triggers!$1:$1,0)-MATCH($F$1,enemy_skill_triggers!$1:$1,0)+1),MATCH(K$1,enemy_skill_triggers!$1:$1,0)-MATCH($F$1,enemy_skill_triggers!$1:$1,0)+1,FALSE)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8" s="48">
        <f ca="1">VLOOKUP($F228,OFFSET(enemy_skill_triggers!$A$1,0,0,COUNTA(enemy_skill_triggers!$A:$A),MATCH(L$1,enemy_skill_triggers!$1:$1,0)-MATCH($F$1,enemy_skill_triggers!$1:$1,0)+1),MATCH(L$1,enemy_skill_triggers!$1:$1,0)-MATCH($F$1,enemy_skill_triggers!$1:$1,0)+1,FALSE)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8" s="48">
        <f ca="1">VLOOKUP($F228,OFFSET(enemy_skill_triggers!$A$1,0,0,COUNTA(enemy_skill_triggers!$A:$A),MATCH(M$1,enemy_skill_triggers!$1:$1,0)-MATCH($F$1,enemy_skill_triggers!$1:$1,0)+1),MATCH(M$1,enemy_skill_triggers!$1:$1,0)-MATCH($F$1,enemy_skill_triggers!$1:$1,0)+1,FALSE)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8" s="48">
        <f ca="1">VLOOKUP($F228,OFFSET(enemy_skill_triggers!$A$1,0,0,COUNTA(enemy_skill_triggers!$A:$A),MATCH(N$1,enemy_skill_triggers!$1:$1,0)-MATCH($F$1,enemy_skill_triggers!$1:$1,0)+1),MATCH(N$1,enemy_skill_triggers!$1:$1,0)-MATCH($F$1,enemy_skill_triggers!$1:$1,0)+1,FALSE)</f>
        <v>1581</v>
      </c>
      <c r="O228" s="48">
        <f ca="1">VLOOKUP($F228,OFFSET(enemy_skill_triggers!$A$1,0,0,COUNTA(enemy_skill_triggers!$A:$A),MATCH(O$1,enemy_skill_triggers!$1:$1,0)-MATCH($F$1,enemy_skill_triggers!$1:$1,0)+1),MATCH(O$1,enemy_skill_triggers!$1:$1,0)-MATCH($F$1,enemy_skill_triggers!$1:$1,0)+1,FALSE)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8" s="47"/>
      <c r="Q228" s="47"/>
      <c r="R228" s="47"/>
    </row>
    <row r="229" spans="1:18" ht="13" customHeight="1" x14ac:dyDescent="0.15">
      <c r="A229" s="39" t="str">
        <f t="shared" si="17"/>
        <v>49016320_49016820</v>
      </c>
      <c r="B229" s="117">
        <v>49016320</v>
      </c>
      <c r="C229" s="170">
        <v>49016820</v>
      </c>
      <c r="D229" s="46" t="str">
        <f ca="1">VLOOKUP($C229,OFFSET(enemy_skills!$A$1,0,0,COUNTA(enemy_skills!$A:$A),MATCH(D$1,enemy_skills!$1:$1,0)-MATCH("enemy_skill_id",enemy_skills!$1:$1,0)+1),MATCH(D$1,enemy_skills!$1:$1,0)-MATCH("enemy_skill_id",enemy_skills!$1:$1,0)+1,FALSE)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229" s="46" t="str">
        <f ca="1">VLOOKUP($C229,OFFSET(enemy_skills!$A$1,0,0,COUNTA(enemy_skills!$A:$A),MATCH(E$1,enemy_skills!$1:$1,0)-MATCH("enemy_skill_id",enemy_skills!$1:$1,0)+1),MATCH(E$1,enemy_skills!$1:$1,0)-MATCH("enemy_skill_id",enemy_skills!$1:$1,0)+1,FALSE)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229" s="170">
        <v>49016820</v>
      </c>
      <c r="G229" s="48">
        <f ca="1">VLOOKUP($F229,OFFSET(enemy_skill_triggers!$A$1,0,0,COUNTA(enemy_skill_triggers!$A:$A),MATCH(G$1,enemy_skill_triggers!$1:$1,0)-MATCH($F$1,enemy_skill_triggers!$1:$1,0)+1),MATCH(G$1,enemy_skill_triggers!$1:$1,0)-MATCH($F$1,enemy_skill_triggers!$1:$1,0)+1,FALSE)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9" s="48">
        <f ca="1">VLOOKUP($F229,OFFSET(enemy_skill_triggers!$A$1,0,0,COUNTA(enemy_skill_triggers!$A:$A),MATCH(H$1,enemy_skill_triggers!$1:$1,0)-MATCH($F$1,enemy_skill_triggers!$1:$1,0)+1),MATCH(H$1,enemy_skill_triggers!$1:$1,0)-MATCH($F$1,enemy_skill_triggers!$1:$1,0)+1,FALSE)</f>
        <v>420</v>
      </c>
      <c r="I229" s="48">
        <f ca="1">VLOOKUP($F229,OFFSET(enemy_skill_triggers!$A$1,0,0,COUNTA(enemy_skill_triggers!$A:$A),MATCH(I$1,enemy_skill_triggers!$1:$1,0)-MATCH($F$1,enemy_skill_triggers!$1:$1,0)+1),MATCH(I$1,enemy_skill_triggers!$1:$1,0)-MATCH($F$1,enemy_skill_triggers!$1:$1,0)+1,FALSE)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9" s="48" t="str">
        <f ca="1">VLOOKUP($F229,OFFSET(enemy_skill_triggers!$A$1,0,0,COUNTA(enemy_skill_triggers!$A:$A),MATCH(J$1,enemy_skill_triggers!$1:$1,0)-MATCH($F$1,enemy_skill_triggers!$1:$1,0)+1),MATCH(J$1,enemy_skill_triggers!$1:$1,0)-MATCH($F$1,enemy_skill_triggers!$1:$1,0)+1,FALSE)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9" s="48" t="str">
        <f ca="1">VLOOKUP($F229,OFFSET(enemy_skill_triggers!$A$1,0,0,COUNTA(enemy_skill_triggers!$A:$A),MATCH(K$1,enemy_skill_triggers!$1:$1,0)-MATCH($F$1,enemy_skill_triggers!$1:$1,0)+1),MATCH(K$1,enemy_skill_triggers!$1:$1,0)-MATCH($F$1,enemy_skill_triggers!$1:$1,0)+1,FALSE)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9" s="48">
        <f ca="1">VLOOKUP($F229,OFFSET(enemy_skill_triggers!$A$1,0,0,COUNTA(enemy_skill_triggers!$A:$A),MATCH(L$1,enemy_skill_triggers!$1:$1,0)-MATCH($F$1,enemy_skill_triggers!$1:$1,0)+1),MATCH(L$1,enemy_skill_triggers!$1:$1,0)-MATCH($F$1,enemy_skill_triggers!$1:$1,0)+1,FALSE)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9" s="48">
        <f ca="1">VLOOKUP($F229,OFFSET(enemy_skill_triggers!$A$1,0,0,COUNTA(enemy_skill_triggers!$A:$A),MATCH(M$1,enemy_skill_triggers!$1:$1,0)-MATCH($F$1,enemy_skill_triggers!$1:$1,0)+1),MATCH(M$1,enemy_skill_triggers!$1:$1,0)-MATCH($F$1,enemy_skill_triggers!$1:$1,0)+1,FALSE)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9" s="48">
        <f ca="1">VLOOKUP($F229,OFFSET(enemy_skill_triggers!$A$1,0,0,COUNTA(enemy_skill_triggers!$A:$A),MATCH(N$1,enemy_skill_triggers!$1:$1,0)-MATCH($F$1,enemy_skill_triggers!$1:$1,0)+1),MATCH(N$1,enemy_skill_triggers!$1:$1,0)-MATCH($F$1,enemy_skill_triggers!$1:$1,0)+1,FALSE)</f>
        <v>1584</v>
      </c>
      <c r="O229" s="48">
        <f ca="1">VLOOKUP($F229,OFFSET(enemy_skill_triggers!$A$1,0,0,COUNTA(enemy_skill_triggers!$A:$A),MATCH(O$1,enemy_skill_triggers!$1:$1,0)-MATCH($F$1,enemy_skill_triggers!$1:$1,0)+1),MATCH(O$1,enemy_skill_triggers!$1:$1,0)-MATCH($F$1,enemy_skill_triggers!$1:$1,0)+1,FALSE)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9" s="47"/>
      <c r="Q229" s="47"/>
      <c r="R229" s="47"/>
    </row>
    <row r="230" spans="1:18" ht="13" customHeight="1" x14ac:dyDescent="0.15">
      <c r="A230" s="39" t="str">
        <f t="shared" si="17"/>
        <v>49016320_49016821</v>
      </c>
      <c r="B230" s="117">
        <v>49016320</v>
      </c>
      <c r="C230" s="170">
        <v>49016821</v>
      </c>
      <c r="D230" s="46" t="str">
        <f ca="1">VLOOKUP($C230,OFFSET(enemy_skills!$A$1,0,0,COUNTA(enemy_skills!$A:$A),MATCH(D$1,enemy_skills!$1:$1,0)-MATCH("enemy_skill_id",enemy_skills!$1:$1,0)+1),MATCH(D$1,enemy_skills!$1:$1,0)-MATCH("enemy_skill_id",enemy_skills!$1:$1,0)+1,FALSE)</f>
        <v>素人じゃねーってか、_x000D_…試させてもらうぜ！</v>
      </c>
      <c r="E230" s="46" t="str">
        <f ca="1">VLOOKUP($C230,OFFSET(enemy_skills!$A$1,0,0,COUNTA(enemy_skills!$A:$A),MATCH(E$1,enemy_skills!$1:$1,0)-MATCH("enemy_skill_id",enemy_skills!$1:$1,0)+1),MATCH(E$1,enemy_skills!$1:$1,0)-MATCH("enemy_skill_id",enemy_skills!$1:$1,0)+1,FALSE)</f>
        <v>5ターン赤パネルドロップ率UP+_x000D_テクニカルタイプのユニットの_x000D_スキルターンを4ターン短縮</v>
      </c>
      <c r="F230" s="170">
        <v>49016821</v>
      </c>
      <c r="G230" s="48">
        <f ca="1">VLOOKUP($F230,OFFSET(enemy_skill_triggers!$A$1,0,0,COUNTA(enemy_skill_triggers!$A:$A),MATCH(G$1,enemy_skill_triggers!$1:$1,0)-MATCH($F$1,enemy_skill_triggers!$1:$1,0)+1),MATCH(G$1,enemy_skill_triggers!$1:$1,0)-MATCH($F$1,enemy_skill_triggers!$1:$1,0)+1,FALSE)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0" s="48">
        <f ca="1">VLOOKUP($F230,OFFSET(enemy_skill_triggers!$A$1,0,0,COUNTA(enemy_skill_triggers!$A:$A),MATCH(H$1,enemy_skill_triggers!$1:$1,0)-MATCH($F$1,enemy_skill_triggers!$1:$1,0)+1),MATCH(H$1,enemy_skill_triggers!$1:$1,0)-MATCH($F$1,enemy_skill_triggers!$1:$1,0)+1,FALSE)</f>
        <v>421</v>
      </c>
      <c r="I230" s="48">
        <f ca="1">VLOOKUP($F230,OFFSET(enemy_skill_triggers!$A$1,0,0,COUNTA(enemy_skill_triggers!$A:$A),MATCH(I$1,enemy_skill_triggers!$1:$1,0)-MATCH($F$1,enemy_skill_triggers!$1:$1,0)+1),MATCH(I$1,enemy_skill_triggers!$1:$1,0)-MATCH($F$1,enemy_skill_triggers!$1:$1,0)+1,FALSE)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0" s="48" t="str">
        <f ca="1">VLOOKUP($F230,OFFSET(enemy_skill_triggers!$A$1,0,0,COUNTA(enemy_skill_triggers!$A:$A),MATCH(J$1,enemy_skill_triggers!$1:$1,0)-MATCH($F$1,enemy_skill_triggers!$1:$1,0)+1),MATCH(J$1,enemy_skill_triggers!$1:$1,0)-MATCH($F$1,enemy_skill_triggers!$1:$1,0)+1,FALSE)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0" s="48" t="str">
        <f ca="1">VLOOKUP($F230,OFFSET(enemy_skill_triggers!$A$1,0,0,COUNTA(enemy_skill_triggers!$A:$A),MATCH(K$1,enemy_skill_triggers!$1:$1,0)-MATCH($F$1,enemy_skill_triggers!$1:$1,0)+1),MATCH(K$1,enemy_skill_triggers!$1:$1,0)-MATCH($F$1,enemy_skill_triggers!$1:$1,0)+1,FALSE)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0" s="48">
        <f ca="1">VLOOKUP($F230,OFFSET(enemy_skill_triggers!$A$1,0,0,COUNTA(enemy_skill_triggers!$A:$A),MATCH(L$1,enemy_skill_triggers!$1:$1,0)-MATCH($F$1,enemy_skill_triggers!$1:$1,0)+1),MATCH(L$1,enemy_skill_triggers!$1:$1,0)-MATCH($F$1,enemy_skill_triggers!$1:$1,0)+1,FALSE)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0" s="48">
        <f ca="1">VLOOKUP($F230,OFFSET(enemy_skill_triggers!$A$1,0,0,COUNTA(enemy_skill_triggers!$A:$A),MATCH(M$1,enemy_skill_triggers!$1:$1,0)-MATCH($F$1,enemy_skill_triggers!$1:$1,0)+1),MATCH(M$1,enemy_skill_triggers!$1:$1,0)-MATCH($F$1,enemy_skill_triggers!$1:$1,0)+1,FALSE)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0" s="48">
        <f ca="1">VLOOKUP($F230,OFFSET(enemy_skill_triggers!$A$1,0,0,COUNTA(enemy_skill_triggers!$A:$A),MATCH(N$1,enemy_skill_triggers!$1:$1,0)-MATCH($F$1,enemy_skill_triggers!$1:$1,0)+1),MATCH(N$1,enemy_skill_triggers!$1:$1,0)-MATCH($F$1,enemy_skill_triggers!$1:$1,0)+1,FALSE)</f>
        <v>1587</v>
      </c>
      <c r="O230" s="48">
        <f ca="1">VLOOKUP($F230,OFFSET(enemy_skill_triggers!$A$1,0,0,COUNTA(enemy_skill_triggers!$A:$A),MATCH(O$1,enemy_skill_triggers!$1:$1,0)-MATCH($F$1,enemy_skill_triggers!$1:$1,0)+1),MATCH(O$1,enemy_skill_triggers!$1:$1,0)-MATCH($F$1,enemy_skill_triggers!$1:$1,0)+1,FALSE)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0" s="47"/>
      <c r="Q230" s="47"/>
      <c r="R230" s="47"/>
    </row>
    <row r="231" spans="1:18" ht="13" customHeight="1" x14ac:dyDescent="0.15">
      <c r="A231" s="39" t="str">
        <f t="shared" si="17"/>
        <v>49016320_49016822</v>
      </c>
      <c r="B231" s="117">
        <v>49016320</v>
      </c>
      <c r="C231" s="170">
        <v>49016822</v>
      </c>
      <c r="D231" s="46" t="str">
        <f ca="1">VLOOKUP($C231,OFFSET(enemy_skills!$A$1,0,0,COUNTA(enemy_skills!$A:$A),MATCH(D$1,enemy_skills!$1:$1,0)-MATCH("enemy_skill_id",enemy_skills!$1:$1,0)+1),MATCH(D$1,enemy_skills!$1:$1,0)-MATCH("enemy_skill_id",enemy_skills!$1:$1,0)+1,FALSE)</f>
        <v>ケリをつけようぜ…八神！</v>
      </c>
      <c r="E231" s="46" t="str">
        <f ca="1">VLOOKUP($C231,OFFSET(enemy_skills!$A$1,0,0,COUNTA(enemy_skills!$A:$A),MATCH(E$1,enemy_skills!$1:$1,0)-MATCH("enemy_skill_id",enemy_skills!$1:$1,0)+1),MATCH(E$1,enemy_skills!$1:$1,0)-MATCH("enemy_skill_id",enemy_skills!$1:$1,0)+1,FALSE)</f>
        <v>『貴様の死をもってな！』</v>
      </c>
      <c r="F231" s="170">
        <v>49016822</v>
      </c>
      <c r="G231" s="48">
        <f ca="1">VLOOKUP($F231,OFFSET(enemy_skill_triggers!$A$1,0,0,COUNTA(enemy_skill_triggers!$A:$A),MATCH(G$1,enemy_skill_triggers!$1:$1,0)-MATCH($F$1,enemy_skill_triggers!$1:$1,0)+1),MATCH(G$1,enemy_skill_triggers!$1:$1,0)-MATCH($F$1,enemy_skill_triggers!$1:$1,0)+1,FALSE)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1" s="48">
        <f ca="1">VLOOKUP($F231,OFFSET(enemy_skill_triggers!$A$1,0,0,COUNTA(enemy_skill_triggers!$A:$A),MATCH(H$1,enemy_skill_triggers!$1:$1,0)-MATCH($F$1,enemy_skill_triggers!$1:$1,0)+1),MATCH(H$1,enemy_skill_triggers!$1:$1,0)-MATCH($F$1,enemy_skill_triggers!$1:$1,0)+1,FALSE)</f>
        <v>422</v>
      </c>
      <c r="I231" s="48">
        <f ca="1">VLOOKUP($F231,OFFSET(enemy_skill_triggers!$A$1,0,0,COUNTA(enemy_skill_triggers!$A:$A),MATCH(I$1,enemy_skill_triggers!$1:$1,0)-MATCH($F$1,enemy_skill_triggers!$1:$1,0)+1),MATCH(I$1,enemy_skill_triggers!$1:$1,0)-MATCH($F$1,enemy_skill_triggers!$1:$1,0)+1,FALSE)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1" s="48" t="str">
        <f ca="1">VLOOKUP($F231,OFFSET(enemy_skill_triggers!$A$1,0,0,COUNTA(enemy_skill_triggers!$A:$A),MATCH(J$1,enemy_skill_triggers!$1:$1,0)-MATCH($F$1,enemy_skill_triggers!$1:$1,0)+1),MATCH(J$1,enemy_skill_triggers!$1:$1,0)-MATCH($F$1,enemy_skill_triggers!$1:$1,0)+1,FALSE)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1" s="48" t="str">
        <f ca="1">VLOOKUP($F231,OFFSET(enemy_skill_triggers!$A$1,0,0,COUNTA(enemy_skill_triggers!$A:$A),MATCH(K$1,enemy_skill_triggers!$1:$1,0)-MATCH($F$1,enemy_skill_triggers!$1:$1,0)+1),MATCH(K$1,enemy_skill_triggers!$1:$1,0)-MATCH($F$1,enemy_skill_triggers!$1:$1,0)+1,FALSE)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1" s="48">
        <f ca="1">VLOOKUP($F231,OFFSET(enemy_skill_triggers!$A$1,0,0,COUNTA(enemy_skill_triggers!$A:$A),MATCH(L$1,enemy_skill_triggers!$1:$1,0)-MATCH($F$1,enemy_skill_triggers!$1:$1,0)+1),MATCH(L$1,enemy_skill_triggers!$1:$1,0)-MATCH($F$1,enemy_skill_triggers!$1:$1,0)+1,FALSE)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1" s="48">
        <f ca="1">VLOOKUP($F231,OFFSET(enemy_skill_triggers!$A$1,0,0,COUNTA(enemy_skill_triggers!$A:$A),MATCH(M$1,enemy_skill_triggers!$1:$1,0)-MATCH($F$1,enemy_skill_triggers!$1:$1,0)+1),MATCH(M$1,enemy_skill_triggers!$1:$1,0)-MATCH($F$1,enemy_skill_triggers!$1:$1,0)+1,FALSE)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1" s="48">
        <f ca="1">VLOOKUP($F231,OFFSET(enemy_skill_triggers!$A$1,0,0,COUNTA(enemy_skill_triggers!$A:$A),MATCH(N$1,enemy_skill_triggers!$1:$1,0)-MATCH($F$1,enemy_skill_triggers!$1:$1,0)+1),MATCH(N$1,enemy_skill_triggers!$1:$1,0)-MATCH($F$1,enemy_skill_triggers!$1:$1,0)+1,FALSE)</f>
        <v>1571</v>
      </c>
      <c r="O231" s="48">
        <f ca="1">VLOOKUP($F231,OFFSET(enemy_skill_triggers!$A$1,0,0,COUNTA(enemy_skill_triggers!$A:$A),MATCH(O$1,enemy_skill_triggers!$1:$1,0)-MATCH($F$1,enemy_skill_triggers!$1:$1,0)+1),MATCH(O$1,enemy_skill_triggers!$1:$1,0)-MATCH($F$1,enemy_skill_triggers!$1:$1,0)+1,FALSE)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1" s="47"/>
      <c r="Q231" s="47"/>
      <c r="R231" s="47"/>
    </row>
    <row r="232" spans="1:18" ht="13" customHeight="1" x14ac:dyDescent="0.15">
      <c r="A232" s="39" t="str">
        <f t="shared" si="17"/>
        <v>49016320_49016823</v>
      </c>
      <c r="B232" s="117">
        <v>49016320</v>
      </c>
      <c r="C232" s="170">
        <v>49016823</v>
      </c>
      <c r="D232" s="46" t="str">
        <f ca="1">VLOOKUP($C232,OFFSET(enemy_skills!$A$1,0,0,COUNTA(enemy_skills!$A:$A),MATCH(D$1,enemy_skills!$1:$1,0)-MATCH("enemy_skill_id",enemy_skills!$1:$1,0)+1),MATCH(D$1,enemy_skills!$1:$1,0)-MATCH("enemy_skill_id",enemy_skills!$1:$1,0)+1,FALSE)</f>
        <v>ケリをつけようぜ…八神！</v>
      </c>
      <c r="E232" s="46" t="str">
        <f ca="1">VLOOKUP($C232,OFFSET(enemy_skills!$A$1,0,0,COUNTA(enemy_skills!$A:$A),MATCH(E$1,enemy_skills!$1:$1,0)-MATCH("enemy_skill_id",enemy_skills!$1:$1,0)+1),MATCH(E$1,enemy_skills!$1:$1,0)-MATCH("enemy_skill_id",enemy_skills!$1:$1,0)+1,FALSE)</f>
        <v>『貴様の死をもってな！』</v>
      </c>
      <c r="F232" s="170">
        <v>49016823</v>
      </c>
      <c r="G232" s="48">
        <f ca="1">VLOOKUP($F232,OFFSET(enemy_skill_triggers!$A$1,0,0,COUNTA(enemy_skill_triggers!$A:$A),MATCH(G$1,enemy_skill_triggers!$1:$1,0)-MATCH($F$1,enemy_skill_triggers!$1:$1,0)+1),MATCH(G$1,enemy_skill_triggers!$1:$1,0)-MATCH($F$1,enemy_skill_triggers!$1:$1,0)+1,FALSE)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2" s="48">
        <f ca="1">VLOOKUP($F232,OFFSET(enemy_skill_triggers!$A$1,0,0,COUNTA(enemy_skill_triggers!$A:$A),MATCH(H$1,enemy_skill_triggers!$1:$1,0)-MATCH($F$1,enemy_skill_triggers!$1:$1,0)+1),MATCH(H$1,enemy_skill_triggers!$1:$1,0)-MATCH($F$1,enemy_skill_triggers!$1:$1,0)+1,FALSE)</f>
        <v>423</v>
      </c>
      <c r="I232" s="48">
        <f ca="1">VLOOKUP($F232,OFFSET(enemy_skill_triggers!$A$1,0,0,COUNTA(enemy_skill_triggers!$A:$A),MATCH(I$1,enemy_skill_triggers!$1:$1,0)-MATCH($F$1,enemy_skill_triggers!$1:$1,0)+1),MATCH(I$1,enemy_skill_triggers!$1:$1,0)-MATCH($F$1,enemy_skill_triggers!$1:$1,0)+1,FALSE)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2" s="48" t="str">
        <f ca="1">VLOOKUP($F232,OFFSET(enemy_skill_triggers!$A$1,0,0,COUNTA(enemy_skill_triggers!$A:$A),MATCH(J$1,enemy_skill_triggers!$1:$1,0)-MATCH($F$1,enemy_skill_triggers!$1:$1,0)+1),MATCH(J$1,enemy_skill_triggers!$1:$1,0)-MATCH($F$1,enemy_skill_triggers!$1:$1,0)+1,FALSE)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2" s="48" t="str">
        <f ca="1">VLOOKUP($F232,OFFSET(enemy_skill_triggers!$A$1,0,0,COUNTA(enemy_skill_triggers!$A:$A),MATCH(K$1,enemy_skill_triggers!$1:$1,0)-MATCH($F$1,enemy_skill_triggers!$1:$1,0)+1),MATCH(K$1,enemy_skill_triggers!$1:$1,0)-MATCH($F$1,enemy_skill_triggers!$1:$1,0)+1,FALSE)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2" s="48">
        <f ca="1">VLOOKUP($F232,OFFSET(enemy_skill_triggers!$A$1,0,0,COUNTA(enemy_skill_triggers!$A:$A),MATCH(L$1,enemy_skill_triggers!$1:$1,0)-MATCH($F$1,enemy_skill_triggers!$1:$1,0)+1),MATCH(L$1,enemy_skill_triggers!$1:$1,0)-MATCH($F$1,enemy_skill_triggers!$1:$1,0)+1,FALSE)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2" s="48">
        <f ca="1">VLOOKUP($F232,OFFSET(enemy_skill_triggers!$A$1,0,0,COUNTA(enemy_skill_triggers!$A:$A),MATCH(M$1,enemy_skill_triggers!$1:$1,0)-MATCH($F$1,enemy_skill_triggers!$1:$1,0)+1),MATCH(M$1,enemy_skill_triggers!$1:$1,0)-MATCH($F$1,enemy_skill_triggers!$1:$1,0)+1,FALSE)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2" s="48">
        <f ca="1">VLOOKUP($F232,OFFSET(enemy_skill_triggers!$A$1,0,0,COUNTA(enemy_skill_triggers!$A:$A),MATCH(N$1,enemy_skill_triggers!$1:$1,0)-MATCH($F$1,enemy_skill_triggers!$1:$1,0)+1),MATCH(N$1,enemy_skill_triggers!$1:$1,0)-MATCH($F$1,enemy_skill_triggers!$1:$1,0)+1,FALSE)</f>
        <v>1572</v>
      </c>
      <c r="O232" s="48">
        <f ca="1">VLOOKUP($F232,OFFSET(enemy_skill_triggers!$A$1,0,0,COUNTA(enemy_skill_triggers!$A:$A),MATCH(O$1,enemy_skill_triggers!$1:$1,0)-MATCH($F$1,enemy_skill_triggers!$1:$1,0)+1),MATCH(O$1,enemy_skill_triggers!$1:$1,0)-MATCH($F$1,enemy_skill_triggers!$1:$1,0)+1,FALSE)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2" s="47"/>
      <c r="Q232" s="47"/>
      <c r="R232" s="47"/>
    </row>
    <row r="233" spans="1:18" ht="21" customHeight="1" x14ac:dyDescent="0.15">
      <c r="A233" s="39" t="str">
        <f t="shared" si="17"/>
        <v>49016320_49016975</v>
      </c>
      <c r="B233" s="117">
        <v>49016320</v>
      </c>
      <c r="C233" s="117">
        <v>49016975</v>
      </c>
      <c r="D233" s="46" t="str">
        <f ca="1">VLOOKUP($C233,OFFSET(enemy_skills!$A$1,0,0,COUNTA(enemy_skills!$A:$A),MATCH(D$1,enemy_skills!$1:$1,0)-MATCH("enemy_skill_id",enemy_skills!$1:$1,0)+1),MATCH(D$1,enemy_skills!$1:$1,0)-MATCH("enemy_skill_id",enemy_skills!$1:$1,0)+1,FALSE)</f>
        <v>ボディが、ガラ空きだぜっ！</v>
      </c>
      <c r="E233" s="46" t="str">
        <f ca="1">VLOOKUP($C233,OFFSET(enemy_skills!$A$1,0,0,COUNTA(enemy_skills!$A:$A),MATCH(E$1,enemy_skills!$1:$1,0)-MATCH("enemy_skill_id",enemy_skills!$1:$1,0)+1),MATCH(E$1,enemy_skills!$1:$1,0)-MATCH("enemy_skill_id",enemy_skills!$1:$1,0)+1,FALSE)</f>
        <v>赤パネルプロテクト(最大4個)+単体攻撃</v>
      </c>
      <c r="F233" s="117">
        <v>49016975</v>
      </c>
      <c r="G233" s="48">
        <f ca="1">VLOOKUP($F233,OFFSET(enemy_skill_triggers!$A$1,0,0,COUNTA(enemy_skill_triggers!$A:$A),MATCH(G$1,enemy_skill_triggers!$1:$1,0)-MATCH($F$1,enemy_skill_triggers!$1:$1,0)+1),MATCH(G$1,enemy_skill_triggers!$1:$1,0)-MATCH($F$1,enemy_skill_triggers!$1:$1,0)+1,FALSE)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3" s="48">
        <f ca="1">VLOOKUP($F233,OFFSET(enemy_skill_triggers!$A$1,0,0,COUNTA(enemy_skill_triggers!$A:$A),MATCH(H$1,enemy_skill_triggers!$1:$1,0)-MATCH($F$1,enemy_skill_triggers!$1:$1,0)+1),MATCH(H$1,enemy_skill_triggers!$1:$1,0)-MATCH($F$1,enemy_skill_triggers!$1:$1,0)+1,FALSE)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33" s="48">
        <f ca="1">VLOOKUP($F233,OFFSET(enemy_skill_triggers!$A$1,0,0,COUNTA(enemy_skill_triggers!$A:$A),MATCH(I$1,enemy_skill_triggers!$1:$1,0)-MATCH($F$1,enemy_skill_triggers!$1:$1,0)+1),MATCH(I$1,enemy_skill_triggers!$1:$1,0)-MATCH($F$1,enemy_skill_triggers!$1:$1,0)+1,FALSE)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3" s="48" t="str">
        <f ca="1">VLOOKUP($F233,OFFSET(enemy_skill_triggers!$A$1,0,0,COUNTA(enemy_skill_triggers!$A:$A),MATCH(J$1,enemy_skill_triggers!$1:$1,0)-MATCH($F$1,enemy_skill_triggers!$1:$1,0)+1),MATCH(J$1,enemy_skill_triggers!$1:$1,0)-MATCH($F$1,enemy_skill_triggers!$1:$1,0)+1,FALSE)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3" s="48" t="str">
        <f ca="1">VLOOKUP($F233,OFFSET(enemy_skill_triggers!$A$1,0,0,COUNTA(enemy_skill_triggers!$A:$A),MATCH(K$1,enemy_skill_triggers!$1:$1,0)-MATCH($F$1,enemy_skill_triggers!$1:$1,0)+1),MATCH(K$1,enemy_skill_triggers!$1:$1,0)-MATCH($F$1,enemy_skill_triggers!$1:$1,0)+1,FALSE)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3" s="48" t="str">
        <f ca="1">VLOOKUP($F233,OFFSET(enemy_skill_triggers!$A$1,0,0,COUNTA(enemy_skill_triggers!$A:$A),MATCH(L$1,enemy_skill_triggers!$1:$1,0)-MATCH($F$1,enemy_skill_triggers!$1:$1,0)+1),MATCH(L$1,enemy_skill_triggers!$1:$1,0)-MATCH($F$1,enemy_skill_triggers!$1:$1,0)+1,FALSE)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3" s="48">
        <f ca="1">VLOOKUP($F233,OFFSET(enemy_skill_triggers!$A$1,0,0,COUNTA(enemy_skill_triggers!$A:$A),MATCH(M$1,enemy_skill_triggers!$1:$1,0)-MATCH($F$1,enemy_skill_triggers!$1:$1,0)+1),MATCH(M$1,enemy_skill_triggers!$1:$1,0)-MATCH($F$1,enemy_skill_triggers!$1:$1,0)+1,FALSE)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3" s="48" t="str">
        <f ca="1">VLOOKUP($F233,OFFSET(enemy_skill_triggers!$A$1,0,0,COUNTA(enemy_skill_triggers!$A:$A),MATCH(N$1,enemy_skill_triggers!$1:$1,0)-MATCH($F$1,enemy_skill_triggers!$1:$1,0)+1),MATCH(N$1,enemy_skill_triggers!$1:$1,0)-MATCH($F$1,enemy_skill_triggers!$1:$1,0)+1,FALSE)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3" s="48">
        <f ca="1">VLOOKUP($F233,OFFSET(enemy_skill_triggers!$A$1,0,0,COUNTA(enemy_skill_triggers!$A:$A),MATCH(O$1,enemy_skill_triggers!$1:$1,0)-MATCH($F$1,enemy_skill_triggers!$1:$1,0)+1),MATCH(O$1,enemy_skill_triggers!$1:$1,0)-MATCH($F$1,enemy_skill_triggers!$1:$1,0)+1,FALSE)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3" s="47"/>
      <c r="Q233" s="47"/>
      <c r="R233" s="47"/>
    </row>
    <row r="234" spans="1:18" ht="21" customHeight="1" x14ac:dyDescent="0.15">
      <c r="A234" s="39" t="str">
        <f t="shared" si="17"/>
        <v>49016320_49016976</v>
      </c>
      <c r="B234" s="117">
        <v>49016320</v>
      </c>
      <c r="C234" s="117">
        <v>49016976</v>
      </c>
      <c r="D234" s="46" t="str">
        <f ca="1">VLOOKUP($C234,OFFSET(enemy_skills!$A$1,0,0,COUNTA(enemy_skills!$A:$A),MATCH(D$1,enemy_skills!$1:$1,0)-MATCH("enemy_skill_id",enemy_skills!$1:$1,0)+1),MATCH(D$1,enemy_skills!$1:$1,0)-MATCH("enemy_skill_id",enemy_skills!$1:$1,0)+1,FALSE)</f>
        <v>燃えろぉお！</v>
      </c>
      <c r="E234" s="46" t="str">
        <f ca="1">VLOOKUP($C234,OFFSET(enemy_skills!$A$1,0,0,COUNTA(enemy_skills!$A:$A),MATCH(E$1,enemy_skills!$1:$1,0)-MATCH("enemy_skill_id",enemy_skills!$1:$1,0)+1),MATCH(E$1,enemy_skills!$1:$1,0)-MATCH("enemy_skill_id",enemy_skills!$1:$1,0)+1,FALSE)</f>
        <v>赤パネルを吸収して攻撃</v>
      </c>
      <c r="F234" s="117">
        <v>49016976</v>
      </c>
      <c r="G234" s="48">
        <f ca="1">VLOOKUP($F234,OFFSET(enemy_skill_triggers!$A$1,0,0,COUNTA(enemy_skill_triggers!$A:$A),MATCH(G$1,enemy_skill_triggers!$1:$1,0)-MATCH($F$1,enemy_skill_triggers!$1:$1,0)+1),MATCH(G$1,enemy_skill_triggers!$1:$1,0)-MATCH($F$1,enemy_skill_triggers!$1:$1,0)+1,FALSE)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4" s="48">
        <f ca="1">VLOOKUP($F234,OFFSET(enemy_skill_triggers!$A$1,0,0,COUNTA(enemy_skill_triggers!$A:$A),MATCH(H$1,enemy_skill_triggers!$1:$1,0)-MATCH($F$1,enemy_skill_triggers!$1:$1,0)+1),MATCH(H$1,enemy_skill_triggers!$1:$1,0)-MATCH($F$1,enemy_skill_triggers!$1:$1,0)+1,FALSE)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234" s="48">
        <f ca="1">VLOOKUP($F234,OFFSET(enemy_skill_triggers!$A$1,0,0,COUNTA(enemy_skill_triggers!$A:$A),MATCH(I$1,enemy_skill_triggers!$1:$1,0)-MATCH($F$1,enemy_skill_triggers!$1:$1,0)+1),MATCH(I$1,enemy_skill_triggers!$1:$1,0)-MATCH($F$1,enemy_skill_triggers!$1:$1,0)+1,FALSE)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4" s="48" t="str">
        <f ca="1">VLOOKUP($F234,OFFSET(enemy_skill_triggers!$A$1,0,0,COUNTA(enemy_skill_triggers!$A:$A),MATCH(J$1,enemy_skill_triggers!$1:$1,0)-MATCH($F$1,enemy_skill_triggers!$1:$1,0)+1),MATCH(J$1,enemy_skill_triggers!$1:$1,0)-MATCH($F$1,enemy_skill_triggers!$1:$1,0)+1,FALSE)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4" s="48" t="str">
        <f ca="1">VLOOKUP($F234,OFFSET(enemy_skill_triggers!$A$1,0,0,COUNTA(enemy_skill_triggers!$A:$A),MATCH(K$1,enemy_skill_triggers!$1:$1,0)-MATCH($F$1,enemy_skill_triggers!$1:$1,0)+1),MATCH(K$1,enemy_skill_triggers!$1:$1,0)-MATCH($F$1,enemy_skill_triggers!$1:$1,0)+1,FALSE)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4" s="48" t="str">
        <f ca="1">VLOOKUP($F234,OFFSET(enemy_skill_triggers!$A$1,0,0,COUNTA(enemy_skill_triggers!$A:$A),MATCH(L$1,enemy_skill_triggers!$1:$1,0)-MATCH($F$1,enemy_skill_triggers!$1:$1,0)+1),MATCH(L$1,enemy_skill_triggers!$1:$1,0)-MATCH($F$1,enemy_skill_triggers!$1:$1,0)+1,FALSE)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4" s="48">
        <f ca="1">VLOOKUP($F234,OFFSET(enemy_skill_triggers!$A$1,0,0,COUNTA(enemy_skill_triggers!$A:$A),MATCH(M$1,enemy_skill_triggers!$1:$1,0)-MATCH($F$1,enemy_skill_triggers!$1:$1,0)+1),MATCH(M$1,enemy_skill_triggers!$1:$1,0)-MATCH($F$1,enemy_skill_triggers!$1:$1,0)+1,FALSE)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34" s="48" t="str">
        <f ca="1">VLOOKUP($F234,OFFSET(enemy_skill_triggers!$A$1,0,0,COUNTA(enemy_skill_triggers!$A:$A),MATCH(N$1,enemy_skill_triggers!$1:$1,0)-MATCH($F$1,enemy_skill_triggers!$1:$1,0)+1),MATCH(N$1,enemy_skill_triggers!$1:$1,0)-MATCH($F$1,enemy_skill_triggers!$1:$1,0)+1,FALSE)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4" s="48">
        <f ca="1">VLOOKUP($F234,OFFSET(enemy_skill_triggers!$A$1,0,0,COUNTA(enemy_skill_triggers!$A:$A),MATCH(O$1,enemy_skill_triggers!$1:$1,0)-MATCH($F$1,enemy_skill_triggers!$1:$1,0)+1),MATCH(O$1,enemy_skill_triggers!$1:$1,0)-MATCH($F$1,enemy_skill_triggers!$1:$1,0)+1,FALSE)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4" s="47"/>
      <c r="Q234" s="47"/>
      <c r="R234" s="47"/>
    </row>
    <row r="235" spans="1:18" ht="21" customHeight="1" x14ac:dyDescent="0.15">
      <c r="A235" s="39" t="str">
        <f t="shared" si="17"/>
        <v>49016320_49016977</v>
      </c>
      <c r="B235" s="117">
        <v>49016320</v>
      </c>
      <c r="C235" s="117">
        <v>49016977</v>
      </c>
      <c r="D235" s="46" t="str">
        <f ca="1">VLOOKUP($C235,OFFSET(enemy_skills!$A$1,0,0,COUNTA(enemy_skills!$A:$A),MATCH(D$1,enemy_skills!$1:$1,0)-MATCH("enemy_skill_id",enemy_skills!$1:$1,0)+1),MATCH(D$1,enemy_skills!$1:$1,0)-MATCH("enemy_skill_id",enemy_skills!$1:$1,0)+1,FALSE)</f>
        <v>おおおおお…！</v>
      </c>
      <c r="E235" s="46" t="str">
        <f ca="1">VLOOKUP($C235,OFFSET(enemy_skills!$A$1,0,0,COUNTA(enemy_skills!$A:$A),MATCH(E$1,enemy_skills!$1:$1,0)-MATCH("enemy_skill_id",enemy_skills!$1:$1,0)+1),MATCH(E$1,enemy_skills!$1:$1,0)-MATCH("enemy_skill_id",enemy_skills!$1:$1,0)+1,FALSE)</f>
        <v>1ターン赤パネルを吸収して攻撃力UP</v>
      </c>
      <c r="F235" s="117">
        <v>49016977</v>
      </c>
      <c r="G235" s="48">
        <f ca="1">VLOOKUP($F235,OFFSET(enemy_skill_triggers!$A$1,0,0,COUNTA(enemy_skill_triggers!$A:$A),MATCH(G$1,enemy_skill_triggers!$1:$1,0)-MATCH($F$1,enemy_skill_triggers!$1:$1,0)+1),MATCH(G$1,enemy_skill_triggers!$1:$1,0)-MATCH($F$1,enemy_skill_triggers!$1:$1,0)+1,FALSE)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5" s="48">
        <f ca="1">VLOOKUP($F235,OFFSET(enemy_skill_triggers!$A$1,0,0,COUNTA(enemy_skill_triggers!$A:$A),MATCH(H$1,enemy_skill_triggers!$1:$1,0)-MATCH($F$1,enemy_skill_triggers!$1:$1,0)+1),MATCH(H$1,enemy_skill_triggers!$1:$1,0)-MATCH($F$1,enemy_skill_triggers!$1:$1,0)+1,FALSE)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235" s="48">
        <f ca="1">VLOOKUP($F235,OFFSET(enemy_skill_triggers!$A$1,0,0,COUNTA(enemy_skill_triggers!$A:$A),MATCH(I$1,enemy_skill_triggers!$1:$1,0)-MATCH($F$1,enemy_skill_triggers!$1:$1,0)+1),MATCH(I$1,enemy_skill_triggers!$1:$1,0)-MATCH($F$1,enemy_skill_triggers!$1:$1,0)+1,FALSE)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5" s="48" t="str">
        <f ca="1">VLOOKUP($F235,OFFSET(enemy_skill_triggers!$A$1,0,0,COUNTA(enemy_skill_triggers!$A:$A),MATCH(J$1,enemy_skill_triggers!$1:$1,0)-MATCH($F$1,enemy_skill_triggers!$1:$1,0)+1),MATCH(J$1,enemy_skill_triggers!$1:$1,0)-MATCH($F$1,enemy_skill_triggers!$1:$1,0)+1,FALSE)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5" s="48" t="str">
        <f ca="1">VLOOKUP($F235,OFFSET(enemy_skill_triggers!$A$1,0,0,COUNTA(enemy_skill_triggers!$A:$A),MATCH(K$1,enemy_skill_triggers!$1:$1,0)-MATCH($F$1,enemy_skill_triggers!$1:$1,0)+1),MATCH(K$1,enemy_skill_triggers!$1:$1,0)-MATCH($F$1,enemy_skill_triggers!$1:$1,0)+1,FALSE)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5" s="48">
        <f ca="1">VLOOKUP($F235,OFFSET(enemy_skill_triggers!$A$1,0,0,COUNTA(enemy_skill_triggers!$A:$A),MATCH(L$1,enemy_skill_triggers!$1:$1,0)-MATCH($F$1,enemy_skill_triggers!$1:$1,0)+1),MATCH(L$1,enemy_skill_triggers!$1:$1,0)-MATCH($F$1,enemy_skill_triggers!$1:$1,0)+1,FALSE)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5" s="48">
        <f ca="1">VLOOKUP($F235,OFFSET(enemy_skill_triggers!$A$1,0,0,COUNTA(enemy_skill_triggers!$A:$A),MATCH(M$1,enemy_skill_triggers!$1:$1,0)-MATCH($F$1,enemy_skill_triggers!$1:$1,0)+1),MATCH(M$1,enemy_skill_triggers!$1:$1,0)-MATCH($F$1,enemy_skill_triggers!$1:$1,0)+1,FALSE)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35" s="48" t="str">
        <f ca="1">VLOOKUP($F235,OFFSET(enemy_skill_triggers!$A$1,0,0,COUNTA(enemy_skill_triggers!$A:$A),MATCH(N$1,enemy_skill_triggers!$1:$1,0)-MATCH($F$1,enemy_skill_triggers!$1:$1,0)+1),MATCH(N$1,enemy_skill_triggers!$1:$1,0)-MATCH($F$1,enemy_skill_triggers!$1:$1,0)+1,FALSE)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5" s="48">
        <f ca="1">VLOOKUP($F235,OFFSET(enemy_skill_triggers!$A$1,0,0,COUNTA(enemy_skill_triggers!$A:$A),MATCH(O$1,enemy_skill_triggers!$1:$1,0)-MATCH($F$1,enemy_skill_triggers!$1:$1,0)+1),MATCH(O$1,enemy_skill_triggers!$1:$1,0)-MATCH($F$1,enemy_skill_triggers!$1:$1,0)+1,FALSE)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5" s="47"/>
      <c r="Q235" s="47"/>
      <c r="R235" s="47"/>
    </row>
    <row r="236" spans="1:18" ht="21" customHeight="1" x14ac:dyDescent="0.15">
      <c r="A236" s="39" t="str">
        <f t="shared" si="17"/>
        <v>49016320_49016304</v>
      </c>
      <c r="B236" s="117">
        <v>49016320</v>
      </c>
      <c r="C236" s="117">
        <v>49016304</v>
      </c>
      <c r="D236" s="46" t="str">
        <f ca="1">VLOOKUP($C236,OFFSET(enemy_skills!$A$1,0,0,COUNTA(enemy_skills!$A:$A),MATCH(D$1,enemy_skills!$1:$1,0)-MATCH("enemy_skill_id",enemy_skills!$1:$1,0)+1),MATCH(D$1,enemy_skills!$1:$1,0)-MATCH("enemy_skill_id",enemy_skills!$1:$1,0)+1,FALSE)</f>
        <v>見せてやる…草薙の拳を！！！</v>
      </c>
      <c r="E236" s="46" t="str">
        <f ca="1">VLOOKUP($C236,OFFSET(enemy_skills!$A$1,0,0,COUNTA(enemy_skills!$A:$A),MATCH(E$1,enemy_skills!$1:$1,0)-MATCH("enemy_skill_id",enemy_skills!$1:$1,0)+1),MATCH(E$1,enemy_skills!$1:$1,0)-MATCH("enemy_skill_id",enemy_skills!$1:$1,0)+1,FALSE)</f>
        <v>クリティカル！+特定エリアを赤パネルに変換</v>
      </c>
      <c r="F236" s="117">
        <v>49016304</v>
      </c>
      <c r="G236" s="48">
        <f ca="1">VLOOKUP($F236,OFFSET(enemy_skill_triggers!$A$1,0,0,COUNTA(enemy_skill_triggers!$A:$A),MATCH(G$1,enemy_skill_triggers!$1:$1,0)-MATCH($F$1,enemy_skill_triggers!$1:$1,0)+1),MATCH(G$1,enemy_skill_triggers!$1:$1,0)-MATCH($F$1,enemy_skill_triggers!$1:$1,0)+1,FALSE)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6" s="48">
        <f ca="1">VLOOKUP($F236,OFFSET(enemy_skill_triggers!$A$1,0,0,COUNTA(enemy_skill_triggers!$A:$A),MATCH(H$1,enemy_skill_triggers!$1:$1,0)-MATCH($F$1,enemy_skill_triggers!$1:$1,0)+1),MATCH(H$1,enemy_skill_triggers!$1:$1,0)-MATCH($F$1,enemy_skill_triggers!$1:$1,0)+1,FALSE)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236" s="48">
        <f ca="1">VLOOKUP($F236,OFFSET(enemy_skill_triggers!$A$1,0,0,COUNTA(enemy_skill_triggers!$A:$A),MATCH(I$1,enemy_skill_triggers!$1:$1,0)-MATCH($F$1,enemy_skill_triggers!$1:$1,0)+1),MATCH(I$1,enemy_skill_triggers!$1:$1,0)-MATCH($F$1,enemy_skill_triggers!$1:$1,0)+1,FALSE)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6" s="48" t="str">
        <f ca="1">VLOOKUP($F236,OFFSET(enemy_skill_triggers!$A$1,0,0,COUNTA(enemy_skill_triggers!$A:$A),MATCH(J$1,enemy_skill_triggers!$1:$1,0)-MATCH($F$1,enemy_skill_triggers!$1:$1,0)+1),MATCH(J$1,enemy_skill_triggers!$1:$1,0)-MATCH($F$1,enemy_skill_triggers!$1:$1,0)+1,FALSE)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6" s="48" t="str">
        <f ca="1">VLOOKUP($F236,OFFSET(enemy_skill_triggers!$A$1,0,0,COUNTA(enemy_skill_triggers!$A:$A),MATCH(K$1,enemy_skill_triggers!$1:$1,0)-MATCH($F$1,enemy_skill_triggers!$1:$1,0)+1),MATCH(K$1,enemy_skill_triggers!$1:$1,0)-MATCH($F$1,enemy_skill_triggers!$1:$1,0)+1,FALSE)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6" s="48">
        <f ca="1">VLOOKUP($F236,OFFSET(enemy_skill_triggers!$A$1,0,0,COUNTA(enemy_skill_triggers!$A:$A),MATCH(L$1,enemy_skill_triggers!$1:$1,0)-MATCH($F$1,enemy_skill_triggers!$1:$1,0)+1),MATCH(L$1,enemy_skill_triggers!$1:$1,0)-MATCH($F$1,enemy_skill_triggers!$1:$1,0)+1,FALSE)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6" s="48">
        <f ca="1">VLOOKUP($F236,OFFSET(enemy_skill_triggers!$A$1,0,0,COUNTA(enemy_skill_triggers!$A:$A),MATCH(M$1,enemy_skill_triggers!$1:$1,0)-MATCH($F$1,enemy_skill_triggers!$1:$1,0)+1),MATCH(M$1,enemy_skill_triggers!$1:$1,0)-MATCH($F$1,enemy_skill_triggers!$1:$1,0)+1,FALSE)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36" s="48" t="str">
        <f ca="1">VLOOKUP($F236,OFFSET(enemy_skill_triggers!$A$1,0,0,COUNTA(enemy_skill_triggers!$A:$A),MATCH(N$1,enemy_skill_triggers!$1:$1,0)-MATCH($F$1,enemy_skill_triggers!$1:$1,0)+1),MATCH(N$1,enemy_skill_triggers!$1:$1,0)-MATCH($F$1,enemy_skill_triggers!$1:$1,0)+1,FALSE)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6" s="48">
        <f ca="1">VLOOKUP($F236,OFFSET(enemy_skill_triggers!$A$1,0,0,COUNTA(enemy_skill_triggers!$A:$A),MATCH(O$1,enemy_skill_triggers!$1:$1,0)-MATCH($F$1,enemy_skill_triggers!$1:$1,0)+1),MATCH(O$1,enemy_skill_triggers!$1:$1,0)-MATCH($F$1,enemy_skill_triggers!$1:$1,0)+1,FALSE)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6" s="47"/>
      <c r="Q236" s="47"/>
      <c r="R236" s="47"/>
    </row>
    <row r="237" spans="1:18" ht="14" customHeight="1" x14ac:dyDescent="0.15">
      <c r="A237" s="39" t="str">
        <f t="shared" si="17"/>
        <v>49016320_49016305</v>
      </c>
      <c r="B237" s="117">
        <v>49016320</v>
      </c>
      <c r="C237" s="175">
        <v>49016305</v>
      </c>
      <c r="D237" s="46" t="str">
        <f ca="1">VLOOKUP($C237,OFFSET(enemy_skills!$A$1,0,0,COUNTA(enemy_skills!$A:$A),MATCH(D$1,enemy_skills!$1:$1,0)-MATCH("enemy_skill_id",enemy_skills!$1:$1,0)+1),MATCH(D$1,enemy_skills!$1:$1,0)-MATCH("enemy_skill_id",enemy_skills!$1:$1,0)+1,FALSE)</f>
        <v>意外とやるねえ…_x000D_あんたらなら大丈夫かもな！</v>
      </c>
      <c r="E237" s="46" t="str">
        <f ca="1">VLOOKUP($C237,OFFSET(enemy_skills!$A$1,0,0,COUNTA(enemy_skills!$A:$A),MATCH(E$1,enemy_skills!$1:$1,0)-MATCH("enemy_skill_id",enemy_skills!$1:$1,0)+1),MATCH(E$1,enemy_skills!$1:$1,0)-MATCH("enemy_skill_id",enemy_skills!$1:$1,0)+1,FALSE)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37" s="175">
        <v>49016305</v>
      </c>
      <c r="G237" s="48">
        <f ca="1">VLOOKUP($F237,OFFSET(enemy_skill_triggers!$A$1,0,0,COUNTA(enemy_skill_triggers!$A:$A),MATCH(G$1,enemy_skill_triggers!$1:$1,0)-MATCH($F$1,enemy_skill_triggers!$1:$1,0)+1),MATCH(G$1,enemy_skill_triggers!$1:$1,0)-MATCH($F$1,enemy_skill_triggers!$1:$1,0)+1,FALSE)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7" s="48">
        <f ca="1">VLOOKUP($F237,OFFSET(enemy_skill_triggers!$A$1,0,0,COUNTA(enemy_skill_triggers!$A:$A),MATCH(H$1,enemy_skill_triggers!$1:$1,0)-MATCH($F$1,enemy_skill_triggers!$1:$1,0)+1),MATCH(H$1,enemy_skill_triggers!$1:$1,0)-MATCH($F$1,enemy_skill_triggers!$1:$1,0)+1,FALSE)</f>
        <v>801</v>
      </c>
      <c r="I237" s="48">
        <f ca="1">VLOOKUP($F237,OFFSET(enemy_skill_triggers!$A$1,0,0,COUNTA(enemy_skill_triggers!$A:$A),MATCH(I$1,enemy_skill_triggers!$1:$1,0)-MATCH($F$1,enemy_skill_triggers!$1:$1,0)+1),MATCH(I$1,enemy_skill_triggers!$1:$1,0)-MATCH($F$1,enemy_skill_triggers!$1:$1,0)+1,FALSE)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7" s="48" t="str">
        <f ca="1">VLOOKUP($F237,OFFSET(enemy_skill_triggers!$A$1,0,0,COUNTA(enemy_skill_triggers!$A:$A),MATCH(J$1,enemy_skill_triggers!$1:$1,0)-MATCH($F$1,enemy_skill_triggers!$1:$1,0)+1),MATCH(J$1,enemy_skill_triggers!$1:$1,0)-MATCH($F$1,enemy_skill_triggers!$1:$1,0)+1,FALSE)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7" s="48" t="str">
        <f ca="1">VLOOKUP($F237,OFFSET(enemy_skill_triggers!$A$1,0,0,COUNTA(enemy_skill_triggers!$A:$A),MATCH(K$1,enemy_skill_triggers!$1:$1,0)-MATCH($F$1,enemy_skill_triggers!$1:$1,0)+1),MATCH(K$1,enemy_skill_triggers!$1:$1,0)-MATCH($F$1,enemy_skill_triggers!$1:$1,0)+1,FALSE)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7" s="48">
        <f ca="1">VLOOKUP($F237,OFFSET(enemy_skill_triggers!$A$1,0,0,COUNTA(enemy_skill_triggers!$A:$A),MATCH(L$1,enemy_skill_triggers!$1:$1,0)-MATCH($F$1,enemy_skill_triggers!$1:$1,0)+1),MATCH(L$1,enemy_skill_triggers!$1:$1,0)-MATCH($F$1,enemy_skill_triggers!$1:$1,0)+1,FALSE)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7" s="48">
        <f ca="1">VLOOKUP($F237,OFFSET(enemy_skill_triggers!$A$1,0,0,COUNTA(enemy_skill_triggers!$A:$A),MATCH(M$1,enemy_skill_triggers!$1:$1,0)-MATCH($F$1,enemy_skill_triggers!$1:$1,0)+1),MATCH(M$1,enemy_skill_triggers!$1:$1,0)-MATCH($F$1,enemy_skill_triggers!$1:$1,0)+1,FALSE)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7" s="48">
        <f ca="1">VLOOKUP($F237,OFFSET(enemy_skill_triggers!$A$1,0,0,COUNTA(enemy_skill_triggers!$A:$A),MATCH(N$1,enemy_skill_triggers!$1:$1,0)-MATCH($F$1,enemy_skill_triggers!$1:$1,0)+1),MATCH(N$1,enemy_skill_triggers!$1:$1,0)-MATCH($F$1,enemy_skill_triggers!$1:$1,0)+1,FALSE)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37" s="48">
        <f ca="1">VLOOKUP($F237,OFFSET(enemy_skill_triggers!$A$1,0,0,COUNTA(enemy_skill_triggers!$A:$A),MATCH(O$1,enemy_skill_triggers!$1:$1,0)-MATCH($F$1,enemy_skill_triggers!$1:$1,0)+1),MATCH(O$1,enemy_skill_triggers!$1:$1,0)-MATCH($F$1,enemy_skill_triggers!$1:$1,0)+1,FALSE)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7" s="47"/>
      <c r="Q237" s="47"/>
      <c r="R237" s="47"/>
    </row>
    <row r="238" spans="1:18" ht="14" customHeight="1" x14ac:dyDescent="0.15">
      <c r="A238" s="39" t="str">
        <f t="shared" si="17"/>
        <v>49016320_49016306</v>
      </c>
      <c r="B238" s="117">
        <v>49016320</v>
      </c>
      <c r="C238" s="175">
        <v>49016306</v>
      </c>
      <c r="D238" s="46" t="str">
        <f ca="1">VLOOKUP($C238,OFFSET(enemy_skills!$A$1,0,0,COUNTA(enemy_skills!$A:$A),MATCH(D$1,enemy_skills!$1:$1,0)-MATCH("enemy_skill_id",enemy_skills!$1:$1,0)+1),MATCH(D$1,enemy_skills!$1:$1,0)-MATCH("enemy_skill_id",enemy_skills!$1:$1,0)+1,FALSE)</f>
        <v>うぉああああああ！</v>
      </c>
      <c r="E238" s="46" t="str">
        <f ca="1">VLOOKUP($C238,OFFSET(enemy_skills!$A$1,0,0,COUNTA(enemy_skills!$A:$A),MATCH(E$1,enemy_skills!$1:$1,0)-MATCH("enemy_skill_id",enemy_skills!$1:$1,0)+1),MATCH(E$1,enemy_skills!$1:$1,0)-MATCH("enemy_skill_id",enemy_skills!$1:$1,0)+1,FALSE)</f>
        <v>『全てを終わらせてやる…_x000D_俺のいらだちも、貴様の命もだ！！』</v>
      </c>
      <c r="F238" s="175">
        <v>49016306</v>
      </c>
      <c r="G238" s="48">
        <f ca="1">VLOOKUP($F238,OFFSET(enemy_skill_triggers!$A$1,0,0,COUNTA(enemy_skill_triggers!$A:$A),MATCH(G$1,enemy_skill_triggers!$1:$1,0)-MATCH($F$1,enemy_skill_triggers!$1:$1,0)+1),MATCH(G$1,enemy_skill_triggers!$1:$1,0)-MATCH($F$1,enemy_skill_triggers!$1:$1,0)+1,FALSE)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8" s="48">
        <f ca="1">VLOOKUP($F238,OFFSET(enemy_skill_triggers!$A$1,0,0,COUNTA(enemy_skill_triggers!$A:$A),MATCH(H$1,enemy_skill_triggers!$1:$1,0)-MATCH($F$1,enemy_skill_triggers!$1:$1,0)+1),MATCH(H$1,enemy_skill_triggers!$1:$1,0)-MATCH($F$1,enemy_skill_triggers!$1:$1,0)+1,FALSE)</f>
        <v>802</v>
      </c>
      <c r="I238" s="48">
        <f ca="1">VLOOKUP($F238,OFFSET(enemy_skill_triggers!$A$1,0,0,COUNTA(enemy_skill_triggers!$A:$A),MATCH(I$1,enemy_skill_triggers!$1:$1,0)-MATCH($F$1,enemy_skill_triggers!$1:$1,0)+1),MATCH(I$1,enemy_skill_triggers!$1:$1,0)-MATCH($F$1,enemy_skill_triggers!$1:$1,0)+1,FALSE)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8" s="48" t="str">
        <f ca="1">VLOOKUP($F238,OFFSET(enemy_skill_triggers!$A$1,0,0,COUNTA(enemy_skill_triggers!$A:$A),MATCH(J$1,enemy_skill_triggers!$1:$1,0)-MATCH($F$1,enemy_skill_triggers!$1:$1,0)+1),MATCH(J$1,enemy_skill_triggers!$1:$1,0)-MATCH($F$1,enemy_skill_triggers!$1:$1,0)+1,FALSE)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8" s="48" t="str">
        <f ca="1">VLOOKUP($F238,OFFSET(enemy_skill_triggers!$A$1,0,0,COUNTA(enemy_skill_triggers!$A:$A),MATCH(K$1,enemy_skill_triggers!$1:$1,0)-MATCH($F$1,enemy_skill_triggers!$1:$1,0)+1),MATCH(K$1,enemy_skill_triggers!$1:$1,0)-MATCH($F$1,enemy_skill_triggers!$1:$1,0)+1,FALSE)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8" s="48">
        <f ca="1">VLOOKUP($F238,OFFSET(enemy_skill_triggers!$A$1,0,0,COUNTA(enemy_skill_triggers!$A:$A),MATCH(L$1,enemy_skill_triggers!$1:$1,0)-MATCH($F$1,enemy_skill_triggers!$1:$1,0)+1),MATCH(L$1,enemy_skill_triggers!$1:$1,0)-MATCH($F$1,enemy_skill_triggers!$1:$1,0)+1,FALSE)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8" s="48">
        <f ca="1">VLOOKUP($F238,OFFSET(enemy_skill_triggers!$A$1,0,0,COUNTA(enemy_skill_triggers!$A:$A),MATCH(M$1,enemy_skill_triggers!$1:$1,0)-MATCH($F$1,enemy_skill_triggers!$1:$1,0)+1),MATCH(M$1,enemy_skill_triggers!$1:$1,0)-MATCH($F$1,enemy_skill_triggers!$1:$1,0)+1,FALSE)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8" s="48">
        <f ca="1">VLOOKUP($F238,OFFSET(enemy_skill_triggers!$A$1,0,0,COUNTA(enemy_skill_triggers!$A:$A),MATCH(N$1,enemy_skill_triggers!$1:$1,0)-MATCH($F$1,enemy_skill_triggers!$1:$1,0)+1),MATCH(N$1,enemy_skill_triggers!$1:$1,0)-MATCH($F$1,enemy_skill_triggers!$1:$1,0)+1,FALSE)</f>
        <v>1571</v>
      </c>
      <c r="O238" s="48">
        <f ca="1">VLOOKUP($F238,OFFSET(enemy_skill_triggers!$A$1,0,0,COUNTA(enemy_skill_triggers!$A:$A),MATCH(O$1,enemy_skill_triggers!$1:$1,0)-MATCH($F$1,enemy_skill_triggers!$1:$1,0)+1),MATCH(O$1,enemy_skill_triggers!$1:$1,0)-MATCH($F$1,enemy_skill_triggers!$1:$1,0)+1,FALSE)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8" s="47"/>
      <c r="Q238" s="47"/>
      <c r="R238" s="47"/>
    </row>
    <row r="239" spans="1:18" ht="14" customHeight="1" x14ac:dyDescent="0.15">
      <c r="A239" s="39" t="str">
        <f t="shared" si="17"/>
        <v>49016320_49016307</v>
      </c>
      <c r="B239" s="117">
        <v>49016320</v>
      </c>
      <c r="C239" s="175">
        <v>49016307</v>
      </c>
      <c r="D239" s="46" t="str">
        <f ca="1">VLOOKUP($C239,OFFSET(enemy_skills!$A$1,0,0,COUNTA(enemy_skills!$A:$A),MATCH(D$1,enemy_skills!$1:$1,0)-MATCH("enemy_skill_id",enemy_skills!$1:$1,0)+1),MATCH(D$1,enemy_skills!$1:$1,0)-MATCH("enemy_skill_id",enemy_skills!$1:$1,0)+1,FALSE)</f>
        <v>うぉああああああ！</v>
      </c>
      <c r="E239" s="46" t="str">
        <f ca="1">VLOOKUP($C239,OFFSET(enemy_skills!$A$1,0,0,COUNTA(enemy_skills!$A:$A),MATCH(E$1,enemy_skills!$1:$1,0)-MATCH("enemy_skill_id",enemy_skills!$1:$1,0)+1),MATCH(E$1,enemy_skills!$1:$1,0)-MATCH("enemy_skill_id",enemy_skills!$1:$1,0)+1,FALSE)</f>
        <v>『全てを終わらせてやる…_x000D_俺のいらだちも、貴様の命もだ！！』</v>
      </c>
      <c r="F239" s="175">
        <v>49016307</v>
      </c>
      <c r="G239" s="48">
        <f ca="1">VLOOKUP($F239,OFFSET(enemy_skill_triggers!$A$1,0,0,COUNTA(enemy_skill_triggers!$A:$A),MATCH(G$1,enemy_skill_triggers!$1:$1,0)-MATCH($F$1,enemy_skill_triggers!$1:$1,0)+1),MATCH(G$1,enemy_skill_triggers!$1:$1,0)-MATCH($F$1,enemy_skill_triggers!$1:$1,0)+1,FALSE)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9" s="48">
        <f ca="1">VLOOKUP($F239,OFFSET(enemy_skill_triggers!$A$1,0,0,COUNTA(enemy_skill_triggers!$A:$A),MATCH(H$1,enemy_skill_triggers!$1:$1,0)-MATCH($F$1,enemy_skill_triggers!$1:$1,0)+1),MATCH(H$1,enemy_skill_triggers!$1:$1,0)-MATCH($F$1,enemy_skill_triggers!$1:$1,0)+1,FALSE)</f>
        <v>803</v>
      </c>
      <c r="I239" s="48">
        <f ca="1">VLOOKUP($F239,OFFSET(enemy_skill_triggers!$A$1,0,0,COUNTA(enemy_skill_triggers!$A:$A),MATCH(I$1,enemy_skill_triggers!$1:$1,0)-MATCH($F$1,enemy_skill_triggers!$1:$1,0)+1),MATCH(I$1,enemy_skill_triggers!$1:$1,0)-MATCH($F$1,enemy_skill_triggers!$1:$1,0)+1,FALSE)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9" s="48" t="str">
        <f ca="1">VLOOKUP($F239,OFFSET(enemy_skill_triggers!$A$1,0,0,COUNTA(enemy_skill_triggers!$A:$A),MATCH(J$1,enemy_skill_triggers!$1:$1,0)-MATCH($F$1,enemy_skill_triggers!$1:$1,0)+1),MATCH(J$1,enemy_skill_triggers!$1:$1,0)-MATCH($F$1,enemy_skill_triggers!$1:$1,0)+1,FALSE)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9" s="48" t="str">
        <f ca="1">VLOOKUP($F239,OFFSET(enemy_skill_triggers!$A$1,0,0,COUNTA(enemy_skill_triggers!$A:$A),MATCH(K$1,enemy_skill_triggers!$1:$1,0)-MATCH($F$1,enemy_skill_triggers!$1:$1,0)+1),MATCH(K$1,enemy_skill_triggers!$1:$1,0)-MATCH($F$1,enemy_skill_triggers!$1:$1,0)+1,FALSE)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9" s="48">
        <f ca="1">VLOOKUP($F239,OFFSET(enemy_skill_triggers!$A$1,0,0,COUNTA(enemy_skill_triggers!$A:$A),MATCH(L$1,enemy_skill_triggers!$1:$1,0)-MATCH($F$1,enemy_skill_triggers!$1:$1,0)+1),MATCH(L$1,enemy_skill_triggers!$1:$1,0)-MATCH($F$1,enemy_skill_triggers!$1:$1,0)+1,FALSE)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39" s="48">
        <f ca="1">VLOOKUP($F239,OFFSET(enemy_skill_triggers!$A$1,0,0,COUNTA(enemy_skill_triggers!$A:$A),MATCH(M$1,enemy_skill_triggers!$1:$1,0)-MATCH($F$1,enemy_skill_triggers!$1:$1,0)+1),MATCH(M$1,enemy_skill_triggers!$1:$1,0)-MATCH($F$1,enemy_skill_triggers!$1:$1,0)+1,FALSE)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9" s="48">
        <f ca="1">VLOOKUP($F239,OFFSET(enemy_skill_triggers!$A$1,0,0,COUNTA(enemy_skill_triggers!$A:$A),MATCH(N$1,enemy_skill_triggers!$1:$1,0)-MATCH($F$1,enemy_skill_triggers!$1:$1,0)+1),MATCH(N$1,enemy_skill_triggers!$1:$1,0)-MATCH($F$1,enemy_skill_triggers!$1:$1,0)+1,FALSE)</f>
        <v>1572</v>
      </c>
      <c r="O239" s="48">
        <f ca="1">VLOOKUP($F239,OFFSET(enemy_skill_triggers!$A$1,0,0,COUNTA(enemy_skill_triggers!$A:$A),MATCH(O$1,enemy_skill_triggers!$1:$1,0)-MATCH($F$1,enemy_skill_triggers!$1:$1,0)+1),MATCH(O$1,enemy_skill_triggers!$1:$1,0)-MATCH($F$1,enemy_skill_triggers!$1:$1,0)+1,FALSE)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9" s="47"/>
      <c r="Q239" s="47"/>
      <c r="R239" s="47"/>
    </row>
    <row r="240" spans="1:18" ht="17" customHeight="1" x14ac:dyDescent="0.15">
      <c r="A240" s="39" t="str">
        <f t="shared" si="17"/>
        <v>49016420_49016400</v>
      </c>
      <c r="B240" s="111">
        <v>49016420</v>
      </c>
      <c r="C240" s="111">
        <v>49016400</v>
      </c>
      <c r="D240" s="46" t="str">
        <f ca="1">VLOOKUP($C240,OFFSET(enemy_skills!$A$1,0,0,COUNTA(enemy_skills!$A:$A),MATCH(D$1,enemy_skills!$1:$1,0)-MATCH("enemy_skill_id",enemy_skills!$1:$1,0)+1),MATCH(D$1,enemy_skills!$1:$1,0)-MATCH("enemy_skill_id",enemy_skills!$1:$1,0)+1,FALSE)</f>
        <v>僕達の使命…_x000D_精神力を、あつめないと</v>
      </c>
      <c r="E240" s="46" t="str">
        <f ca="1">VLOOKUP($C240,OFFSET(enemy_skills!$A$1,0,0,COUNTA(enemy_skills!$A:$A),MATCH(E$1,enemy_skills!$1:$1,0)-MATCH("enemy_skill_id",enemy_skills!$1:$1,0)+1),MATCH(E$1,enemy_skills!$1:$1,0)-MATCH("enemy_skill_id",enemy_skills!$1:$1,0)+1,FALSE)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</v>
      </c>
      <c r="F240" s="111">
        <v>49016400</v>
      </c>
      <c r="G240" s="48">
        <f ca="1">VLOOKUP($F240,OFFSET(enemy_skill_triggers!$A$1,0,0,COUNTA(enemy_skill_triggers!$A:$A),MATCH(G$1,enemy_skill_triggers!$1:$1,0)-MATCH($F$1,enemy_skill_triggers!$1:$1,0)+1),MATCH(G$1,enemy_skill_triggers!$1:$1,0)-MATCH($F$1,enemy_skill_triggers!$1:$1,0)+1,FALSE)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0" s="48">
        <f ca="1">VLOOKUP($F240,OFFSET(enemy_skill_triggers!$A$1,0,0,COUNTA(enemy_skill_triggers!$A:$A),MATCH(H$1,enemy_skill_triggers!$1:$1,0)-MATCH($F$1,enemy_skill_triggers!$1:$1,0)+1),MATCH(H$1,enemy_skill_triggers!$1:$1,0)-MATCH($F$1,enemy_skill_triggers!$1:$1,0)+1,FALSE)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240" s="48">
        <f ca="1">VLOOKUP($F240,OFFSET(enemy_skill_triggers!$A$1,0,0,COUNTA(enemy_skill_triggers!$A:$A),MATCH(I$1,enemy_skill_triggers!$1:$1,0)-MATCH($F$1,enemy_skill_triggers!$1:$1,0)+1),MATCH(I$1,enemy_skill_triggers!$1:$1,0)-MATCH($F$1,enemy_skill_triggers!$1:$1,0)+1,FALSE)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0" s="48" t="str">
        <f ca="1">VLOOKUP($F240,OFFSET(enemy_skill_triggers!$A$1,0,0,COUNTA(enemy_skill_triggers!$A:$A),MATCH(J$1,enemy_skill_triggers!$1:$1,0)-MATCH($F$1,enemy_skill_triggers!$1:$1,0)+1),MATCH(J$1,enemy_skill_triggers!$1:$1,0)-MATCH($F$1,enemy_skill_triggers!$1:$1,0)+1,FALSE)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0" s="48" t="str">
        <f ca="1">VLOOKUP($F240,OFFSET(enemy_skill_triggers!$A$1,0,0,COUNTA(enemy_skill_triggers!$A:$A),MATCH(K$1,enemy_skill_triggers!$1:$1,0)-MATCH($F$1,enemy_skill_triggers!$1:$1,0)+1),MATCH(K$1,enemy_skill_triggers!$1:$1,0)-MATCH($F$1,enemy_skill_triggers!$1:$1,0)+1,FALSE)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0" s="48">
        <f ca="1">VLOOKUP($F240,OFFSET(enemy_skill_triggers!$A$1,0,0,COUNTA(enemy_skill_triggers!$A:$A),MATCH(L$1,enemy_skill_triggers!$1:$1,0)-MATCH($F$1,enemy_skill_triggers!$1:$1,0)+1),MATCH(L$1,enemy_skill_triggers!$1:$1,0)-MATCH($F$1,enemy_skill_triggers!$1:$1,0)+1,FALSE)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0" s="48">
        <f ca="1">VLOOKUP($F240,OFFSET(enemy_skill_triggers!$A$1,0,0,COUNTA(enemy_skill_triggers!$A:$A),MATCH(M$1,enemy_skill_triggers!$1:$1,0)-MATCH($F$1,enemy_skill_triggers!$1:$1,0)+1),MATCH(M$1,enemy_skill_triggers!$1:$1,0)-MATCH($F$1,enemy_skill_triggers!$1:$1,0)+1,FALSE)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0" s="48" t="str">
        <f ca="1">VLOOKUP($F240,OFFSET(enemy_skill_triggers!$A$1,0,0,COUNTA(enemy_skill_triggers!$A:$A),MATCH(N$1,enemy_skill_triggers!$1:$1,0)-MATCH($F$1,enemy_skill_triggers!$1:$1,0)+1),MATCH(N$1,enemy_skill_triggers!$1:$1,0)-MATCH($F$1,enemy_skill_triggers!$1:$1,0)+1,FALSE)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0" s="48">
        <f ca="1">VLOOKUP($F240,OFFSET(enemy_skill_triggers!$A$1,0,0,COUNTA(enemy_skill_triggers!$A:$A),MATCH(O$1,enemy_skill_triggers!$1:$1,0)-MATCH($F$1,enemy_skill_triggers!$1:$1,0)+1),MATCH(O$1,enemy_skill_triggers!$1:$1,0)-MATCH($F$1,enemy_skill_triggers!$1:$1,0)+1,FALSE)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0" s="47"/>
      <c r="Q240" s="47"/>
      <c r="R240" s="47"/>
    </row>
    <row r="241" spans="1:18" ht="15" customHeight="1" x14ac:dyDescent="0.15">
      <c r="A241" s="39" t="str">
        <f t="shared" si="17"/>
        <v>49016420_49016901</v>
      </c>
      <c r="B241" s="111">
        <v>49016420</v>
      </c>
      <c r="C241" s="170">
        <v>49016901</v>
      </c>
      <c r="D241" s="46" t="str">
        <f ca="1">VLOOKUP($C241,OFFSET(enemy_skills!$A$1,0,0,COUNTA(enemy_skills!$A:$A),MATCH(D$1,enemy_skills!$1:$1,0)-MATCH("enemy_skill_id",enemy_skills!$1:$1,0)+1),MATCH(D$1,enemy_skills!$1:$1,0)-MATCH("enemy_skill_id",enemy_skills!$1:$1,0)+1,FALSE)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241" s="46" t="str">
        <f ca="1">VLOOKUP($C241,OFFSET(enemy_skills!$A$1,0,0,COUNTA(enemy_skills!$A:$A),MATCH(E$1,enemy_skills!$1:$1,0)-MATCH("enemy_skill_id",enemy_skills!$1:$1,0)+1),MATCH(E$1,enemy_skills!$1:$1,0)-MATCH("enemy_skill_id",enemy_skills!$1:$1,0)+1,FALSE)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241" s="170">
        <v>49016901</v>
      </c>
      <c r="G241" s="48">
        <f ca="1">VLOOKUP($F241,OFFSET(enemy_skill_triggers!$A$1,0,0,COUNTA(enemy_skill_triggers!$A:$A),MATCH(G$1,enemy_skill_triggers!$1:$1,0)-MATCH($F$1,enemy_skill_triggers!$1:$1,0)+1),MATCH(G$1,enemy_skill_triggers!$1:$1,0)-MATCH($F$1,enemy_skill_triggers!$1:$1,0)+1,FALSE)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1" s="48">
        <f ca="1">VLOOKUP($F241,OFFSET(enemy_skill_triggers!$A$1,0,0,COUNTA(enemy_skill_triggers!$A:$A),MATCH(H$1,enemy_skill_triggers!$1:$1,0)-MATCH($F$1,enemy_skill_triggers!$1:$1,0)+1),MATCH(H$1,enemy_skill_triggers!$1:$1,0)-MATCH($F$1,enemy_skill_triggers!$1:$1,0)+1,FALSE)</f>
        <v>601</v>
      </c>
      <c r="I241" s="48">
        <f ca="1">VLOOKUP($F241,OFFSET(enemy_skill_triggers!$A$1,0,0,COUNTA(enemy_skill_triggers!$A:$A),MATCH(I$1,enemy_skill_triggers!$1:$1,0)-MATCH($F$1,enemy_skill_triggers!$1:$1,0)+1),MATCH(I$1,enemy_skill_triggers!$1:$1,0)-MATCH($F$1,enemy_skill_triggers!$1:$1,0)+1,FALSE)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1" s="48" t="str">
        <f ca="1">VLOOKUP($F241,OFFSET(enemy_skill_triggers!$A$1,0,0,COUNTA(enemy_skill_triggers!$A:$A),MATCH(J$1,enemy_skill_triggers!$1:$1,0)-MATCH($F$1,enemy_skill_triggers!$1:$1,0)+1),MATCH(J$1,enemy_skill_triggers!$1:$1,0)-MATCH($F$1,enemy_skill_triggers!$1:$1,0)+1,FALSE)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1" s="48" t="str">
        <f ca="1">VLOOKUP($F241,OFFSET(enemy_skill_triggers!$A$1,0,0,COUNTA(enemy_skill_triggers!$A:$A),MATCH(K$1,enemy_skill_triggers!$1:$1,0)-MATCH($F$1,enemy_skill_triggers!$1:$1,0)+1),MATCH(K$1,enemy_skill_triggers!$1:$1,0)-MATCH($F$1,enemy_skill_triggers!$1:$1,0)+1,FALSE)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1" s="48">
        <f ca="1">VLOOKUP($F241,OFFSET(enemy_skill_triggers!$A$1,0,0,COUNTA(enemy_skill_triggers!$A:$A),MATCH(L$1,enemy_skill_triggers!$1:$1,0)-MATCH($F$1,enemy_skill_triggers!$1:$1,0)+1),MATCH(L$1,enemy_skill_triggers!$1:$1,0)-MATCH($F$1,enemy_skill_triggers!$1:$1,0)+1,FALSE)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1" s="48">
        <f ca="1">VLOOKUP($F241,OFFSET(enemy_skill_triggers!$A$1,0,0,COUNTA(enemy_skill_triggers!$A:$A),MATCH(M$1,enemy_skill_triggers!$1:$1,0)-MATCH($F$1,enemy_skill_triggers!$1:$1,0)+1),MATCH(M$1,enemy_skill_triggers!$1:$1,0)-MATCH($F$1,enemy_skill_triggers!$1:$1,0)+1,FALSE)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1" s="48">
        <f ca="1">VLOOKUP($F241,OFFSET(enemy_skill_triggers!$A$1,0,0,COUNTA(enemy_skill_triggers!$A:$A),MATCH(N$1,enemy_skill_triggers!$1:$1,0)-MATCH($F$1,enemy_skill_triggers!$1:$1,0)+1),MATCH(N$1,enemy_skill_triggers!$1:$1,0)-MATCH($F$1,enemy_skill_triggers!$1:$1,0)+1,FALSE)</f>
        <v>1553</v>
      </c>
      <c r="O241" s="48">
        <f ca="1">VLOOKUP($F241,OFFSET(enemy_skill_triggers!$A$1,0,0,COUNTA(enemy_skill_triggers!$A:$A),MATCH(O$1,enemy_skill_triggers!$1:$1,0)-MATCH($F$1,enemy_skill_triggers!$1:$1,0)+1),MATCH(O$1,enemy_skill_triggers!$1:$1,0)-MATCH($F$1,enemy_skill_triggers!$1:$1,0)+1,FALSE)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1" s="47"/>
      <c r="Q241" s="47"/>
      <c r="R241" s="47"/>
    </row>
    <row r="242" spans="1:18" ht="15" customHeight="1" x14ac:dyDescent="0.15">
      <c r="A242" s="39" t="str">
        <f t="shared" si="17"/>
        <v>49016420_49016902</v>
      </c>
      <c r="B242" s="111">
        <v>49016420</v>
      </c>
      <c r="C242" s="170">
        <v>49016902</v>
      </c>
      <c r="D242" s="46" t="str">
        <f ca="1">VLOOKUP($C242,OFFSET(enemy_skills!$A$1,0,0,COUNTA(enemy_skills!$A:$A),MATCH(D$1,enemy_skills!$1:$1,0)-MATCH("enemy_skill_id",enemy_skills!$1:$1,0)+1),MATCH(D$1,enemy_skills!$1:$1,0)-MATCH("enemy_skill_id",enemy_skills!$1:$1,0)+1,FALSE)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242" s="46" t="str">
        <f ca="1">VLOOKUP($C242,OFFSET(enemy_skills!$A$1,0,0,COUNTA(enemy_skills!$A:$A),MATCH(E$1,enemy_skills!$1:$1,0)-MATCH("enemy_skill_id",enemy_skills!$1:$1,0)+1),MATCH(E$1,enemy_skills!$1:$1,0)-MATCH("enemy_skill_id",enemy_skills!$1:$1,0)+1,FALSE)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242" s="170">
        <v>49016902</v>
      </c>
      <c r="G242" s="48">
        <f ca="1">VLOOKUP($F242,OFFSET(enemy_skill_triggers!$A$1,0,0,COUNTA(enemy_skill_triggers!$A:$A),MATCH(G$1,enemy_skill_triggers!$1:$1,0)-MATCH($F$1,enemy_skill_triggers!$1:$1,0)+1),MATCH(G$1,enemy_skill_triggers!$1:$1,0)-MATCH($F$1,enemy_skill_triggers!$1:$1,0)+1,FALSE)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2" s="48">
        <f ca="1">VLOOKUP($F242,OFFSET(enemy_skill_triggers!$A$1,0,0,COUNTA(enemy_skill_triggers!$A:$A),MATCH(H$1,enemy_skill_triggers!$1:$1,0)-MATCH($F$1,enemy_skill_triggers!$1:$1,0)+1),MATCH(H$1,enemy_skill_triggers!$1:$1,0)-MATCH($F$1,enemy_skill_triggers!$1:$1,0)+1,FALSE)</f>
        <v>602</v>
      </c>
      <c r="I242" s="48">
        <f ca="1">VLOOKUP($F242,OFFSET(enemy_skill_triggers!$A$1,0,0,COUNTA(enemy_skill_triggers!$A:$A),MATCH(I$1,enemy_skill_triggers!$1:$1,0)-MATCH($F$1,enemy_skill_triggers!$1:$1,0)+1),MATCH(I$1,enemy_skill_triggers!$1:$1,0)-MATCH($F$1,enemy_skill_triggers!$1:$1,0)+1,FALSE)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2" s="48" t="str">
        <f ca="1">VLOOKUP($F242,OFFSET(enemy_skill_triggers!$A$1,0,0,COUNTA(enemy_skill_triggers!$A:$A),MATCH(J$1,enemy_skill_triggers!$1:$1,0)-MATCH($F$1,enemy_skill_triggers!$1:$1,0)+1),MATCH(J$1,enemy_skill_triggers!$1:$1,0)-MATCH($F$1,enemy_skill_triggers!$1:$1,0)+1,FALSE)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2" s="48" t="str">
        <f ca="1">VLOOKUP($F242,OFFSET(enemy_skill_triggers!$A$1,0,0,COUNTA(enemy_skill_triggers!$A:$A),MATCH(K$1,enemy_skill_triggers!$1:$1,0)-MATCH($F$1,enemy_skill_triggers!$1:$1,0)+1),MATCH(K$1,enemy_skill_triggers!$1:$1,0)-MATCH($F$1,enemy_skill_triggers!$1:$1,0)+1,FALSE)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2" s="48">
        <f ca="1">VLOOKUP($F242,OFFSET(enemy_skill_triggers!$A$1,0,0,COUNTA(enemy_skill_triggers!$A:$A),MATCH(L$1,enemy_skill_triggers!$1:$1,0)-MATCH($F$1,enemy_skill_triggers!$1:$1,0)+1),MATCH(L$1,enemy_skill_triggers!$1:$1,0)-MATCH($F$1,enemy_skill_triggers!$1:$1,0)+1,FALSE)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2" s="48">
        <f ca="1">VLOOKUP($F242,OFFSET(enemy_skill_triggers!$A$1,0,0,COUNTA(enemy_skill_triggers!$A:$A),MATCH(M$1,enemy_skill_triggers!$1:$1,0)-MATCH($F$1,enemy_skill_triggers!$1:$1,0)+1),MATCH(M$1,enemy_skill_triggers!$1:$1,0)-MATCH($F$1,enemy_skill_triggers!$1:$1,0)+1,FALSE)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2" s="48">
        <f ca="1">VLOOKUP($F242,OFFSET(enemy_skill_triggers!$A$1,0,0,COUNTA(enemy_skill_triggers!$A:$A),MATCH(N$1,enemy_skill_triggers!$1:$1,0)-MATCH($F$1,enemy_skill_triggers!$1:$1,0)+1),MATCH(N$1,enemy_skill_triggers!$1:$1,0)-MATCH($F$1,enemy_skill_triggers!$1:$1,0)+1,FALSE)</f>
        <v>1555</v>
      </c>
      <c r="O242" s="48">
        <f ca="1">VLOOKUP($F242,OFFSET(enemy_skill_triggers!$A$1,0,0,COUNTA(enemy_skill_triggers!$A:$A),MATCH(O$1,enemy_skill_triggers!$1:$1,0)-MATCH($F$1,enemy_skill_triggers!$1:$1,0)+1),MATCH(O$1,enemy_skill_triggers!$1:$1,0)-MATCH($F$1,enemy_skill_triggers!$1:$1,0)+1,FALSE)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2" s="47"/>
      <c r="Q242" s="47"/>
      <c r="R242" s="47"/>
    </row>
    <row r="243" spans="1:18" ht="15" customHeight="1" x14ac:dyDescent="0.15">
      <c r="A243" s="39" t="str">
        <f t="shared" si="17"/>
        <v>49016420_49016903</v>
      </c>
      <c r="B243" s="111">
        <v>49016420</v>
      </c>
      <c r="C243" s="170">
        <v>49016903</v>
      </c>
      <c r="D243" s="46" t="str">
        <f ca="1">VLOOKUP($C243,OFFSET(enemy_skills!$A$1,0,0,COUNTA(enemy_skills!$A:$A),MATCH(D$1,enemy_skills!$1:$1,0)-MATCH("enemy_skill_id",enemy_skills!$1:$1,0)+1),MATCH(D$1,enemy_skills!$1:$1,0)-MATCH("enemy_skill_id",enemy_skills!$1:$1,0)+1,FALSE)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243" s="46" t="str">
        <f ca="1">VLOOKUP($C243,OFFSET(enemy_skills!$A$1,0,0,COUNTA(enemy_skills!$A:$A),MATCH(E$1,enemy_skills!$1:$1,0)-MATCH("enemy_skill_id",enemy_skills!$1:$1,0)+1),MATCH(E$1,enemy_skills!$1:$1,0)-MATCH("enemy_skill_id",enemy_skills!$1:$1,0)+1,FALSE)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243" s="170">
        <v>49016903</v>
      </c>
      <c r="G243" s="48">
        <f ca="1">VLOOKUP($F243,OFFSET(enemy_skill_triggers!$A$1,0,0,COUNTA(enemy_skill_triggers!$A:$A),MATCH(G$1,enemy_skill_triggers!$1:$1,0)-MATCH($F$1,enemy_skill_triggers!$1:$1,0)+1),MATCH(G$1,enemy_skill_triggers!$1:$1,0)-MATCH($F$1,enemy_skill_triggers!$1:$1,0)+1,FALSE)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3" s="48">
        <f ca="1">VLOOKUP($F243,OFFSET(enemy_skill_triggers!$A$1,0,0,COUNTA(enemy_skill_triggers!$A:$A),MATCH(H$1,enemy_skill_triggers!$1:$1,0)-MATCH($F$1,enemy_skill_triggers!$1:$1,0)+1),MATCH(H$1,enemy_skill_triggers!$1:$1,0)-MATCH($F$1,enemy_skill_triggers!$1:$1,0)+1,FALSE)</f>
        <v>603</v>
      </c>
      <c r="I243" s="48">
        <f ca="1">VLOOKUP($F243,OFFSET(enemy_skill_triggers!$A$1,0,0,COUNTA(enemy_skill_triggers!$A:$A),MATCH(I$1,enemy_skill_triggers!$1:$1,0)-MATCH($F$1,enemy_skill_triggers!$1:$1,0)+1),MATCH(I$1,enemy_skill_triggers!$1:$1,0)-MATCH($F$1,enemy_skill_triggers!$1:$1,0)+1,FALSE)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3" s="48" t="str">
        <f ca="1">VLOOKUP($F243,OFFSET(enemy_skill_triggers!$A$1,0,0,COUNTA(enemy_skill_triggers!$A:$A),MATCH(J$1,enemy_skill_triggers!$1:$1,0)-MATCH($F$1,enemy_skill_triggers!$1:$1,0)+1),MATCH(J$1,enemy_skill_triggers!$1:$1,0)-MATCH($F$1,enemy_skill_triggers!$1:$1,0)+1,FALSE)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3" s="48" t="str">
        <f ca="1">VLOOKUP($F243,OFFSET(enemy_skill_triggers!$A$1,0,0,COUNTA(enemy_skill_triggers!$A:$A),MATCH(K$1,enemy_skill_triggers!$1:$1,0)-MATCH($F$1,enemy_skill_triggers!$1:$1,0)+1),MATCH(K$1,enemy_skill_triggers!$1:$1,0)-MATCH($F$1,enemy_skill_triggers!$1:$1,0)+1,FALSE)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3" s="48">
        <f ca="1">VLOOKUP($F243,OFFSET(enemy_skill_triggers!$A$1,0,0,COUNTA(enemy_skill_triggers!$A:$A),MATCH(L$1,enemy_skill_triggers!$1:$1,0)-MATCH($F$1,enemy_skill_triggers!$1:$1,0)+1),MATCH(L$1,enemy_skill_triggers!$1:$1,0)-MATCH($F$1,enemy_skill_triggers!$1:$1,0)+1,FALSE)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3" s="48">
        <f ca="1">VLOOKUP($F243,OFFSET(enemy_skill_triggers!$A$1,0,0,COUNTA(enemy_skill_triggers!$A:$A),MATCH(M$1,enemy_skill_triggers!$1:$1,0)-MATCH($F$1,enemy_skill_triggers!$1:$1,0)+1),MATCH(M$1,enemy_skill_triggers!$1:$1,0)-MATCH($F$1,enemy_skill_triggers!$1:$1,0)+1,FALSE)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3" s="48">
        <f ca="1">VLOOKUP($F243,OFFSET(enemy_skill_triggers!$A$1,0,0,COUNTA(enemy_skill_triggers!$A:$A),MATCH(N$1,enemy_skill_triggers!$1:$1,0)-MATCH($F$1,enemy_skill_triggers!$1:$1,0)+1),MATCH(N$1,enemy_skill_triggers!$1:$1,0)-MATCH($F$1,enemy_skill_triggers!$1:$1,0)+1,FALSE)</f>
        <v>1556</v>
      </c>
      <c r="O243" s="48">
        <f ca="1">VLOOKUP($F243,OFFSET(enemy_skill_triggers!$A$1,0,0,COUNTA(enemy_skill_triggers!$A:$A),MATCH(O$1,enemy_skill_triggers!$1:$1,0)-MATCH($F$1,enemy_skill_triggers!$1:$1,0)+1),MATCH(O$1,enemy_skill_triggers!$1:$1,0)-MATCH($F$1,enemy_skill_triggers!$1:$1,0)+1,FALSE)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3" s="47"/>
      <c r="Q243" s="47"/>
      <c r="R243" s="47"/>
    </row>
    <row r="244" spans="1:18" ht="15" customHeight="1" x14ac:dyDescent="0.15">
      <c r="A244" s="39" t="str">
        <f t="shared" si="17"/>
        <v>49016420_49016904</v>
      </c>
      <c r="B244" s="111">
        <v>49016420</v>
      </c>
      <c r="C244" s="170">
        <v>49016904</v>
      </c>
      <c r="D244" s="46" t="str">
        <f ca="1">VLOOKUP($C244,OFFSET(enemy_skills!$A$1,0,0,COUNTA(enemy_skills!$A:$A),MATCH(D$1,enemy_skills!$1:$1,0)-MATCH("enemy_skill_id",enemy_skills!$1:$1,0)+1),MATCH(D$1,enemy_skills!$1:$1,0)-MATCH("enemy_skill_id",enemy_skills!$1:$1,0)+1,FALSE)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244" s="46" t="str">
        <f ca="1">VLOOKUP($C244,OFFSET(enemy_skills!$A$1,0,0,COUNTA(enemy_skills!$A:$A),MATCH(E$1,enemy_skills!$1:$1,0)-MATCH("enemy_skill_id",enemy_skills!$1:$1,0)+1),MATCH(E$1,enemy_skills!$1:$1,0)-MATCH("enemy_skill_id",enemy_skills!$1:$1,0)+1,FALSE)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244" s="170">
        <v>49016904</v>
      </c>
      <c r="G244" s="48">
        <f ca="1">VLOOKUP($F244,OFFSET(enemy_skill_triggers!$A$1,0,0,COUNTA(enemy_skill_triggers!$A:$A),MATCH(G$1,enemy_skill_triggers!$1:$1,0)-MATCH($F$1,enemy_skill_triggers!$1:$1,0)+1),MATCH(G$1,enemy_skill_triggers!$1:$1,0)-MATCH($F$1,enemy_skill_triggers!$1:$1,0)+1,FALSE)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4" s="48">
        <f ca="1">VLOOKUP($F244,OFFSET(enemy_skill_triggers!$A$1,0,0,COUNTA(enemy_skill_triggers!$A:$A),MATCH(H$1,enemy_skill_triggers!$1:$1,0)-MATCH($F$1,enemy_skill_triggers!$1:$1,0)+1),MATCH(H$1,enemy_skill_triggers!$1:$1,0)-MATCH($F$1,enemy_skill_triggers!$1:$1,0)+1,FALSE)</f>
        <v>604</v>
      </c>
      <c r="I244" s="48">
        <f ca="1">VLOOKUP($F244,OFFSET(enemy_skill_triggers!$A$1,0,0,COUNTA(enemy_skill_triggers!$A:$A),MATCH(I$1,enemy_skill_triggers!$1:$1,0)-MATCH($F$1,enemy_skill_triggers!$1:$1,0)+1),MATCH(I$1,enemy_skill_triggers!$1:$1,0)-MATCH($F$1,enemy_skill_triggers!$1:$1,0)+1,FALSE)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4" s="48" t="str">
        <f ca="1">VLOOKUP($F244,OFFSET(enemy_skill_triggers!$A$1,0,0,COUNTA(enemy_skill_triggers!$A:$A),MATCH(J$1,enemy_skill_triggers!$1:$1,0)-MATCH($F$1,enemy_skill_triggers!$1:$1,0)+1),MATCH(J$1,enemy_skill_triggers!$1:$1,0)-MATCH($F$1,enemy_skill_triggers!$1:$1,0)+1,FALSE)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4" s="48" t="str">
        <f ca="1">VLOOKUP($F244,OFFSET(enemy_skill_triggers!$A$1,0,0,COUNTA(enemy_skill_triggers!$A:$A),MATCH(K$1,enemy_skill_triggers!$1:$1,0)-MATCH($F$1,enemy_skill_triggers!$1:$1,0)+1),MATCH(K$1,enemy_skill_triggers!$1:$1,0)-MATCH($F$1,enemy_skill_triggers!$1:$1,0)+1,FALSE)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4" s="48">
        <f ca="1">VLOOKUP($F244,OFFSET(enemy_skill_triggers!$A$1,0,0,COUNTA(enemy_skill_triggers!$A:$A),MATCH(L$1,enemy_skill_triggers!$1:$1,0)-MATCH($F$1,enemy_skill_triggers!$1:$1,0)+1),MATCH(L$1,enemy_skill_triggers!$1:$1,0)-MATCH($F$1,enemy_skill_triggers!$1:$1,0)+1,FALSE)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4" s="48">
        <f ca="1">VLOOKUP($F244,OFFSET(enemy_skill_triggers!$A$1,0,0,COUNTA(enemy_skill_triggers!$A:$A),MATCH(M$1,enemy_skill_triggers!$1:$1,0)-MATCH($F$1,enemy_skill_triggers!$1:$1,0)+1),MATCH(M$1,enemy_skill_triggers!$1:$1,0)-MATCH($F$1,enemy_skill_triggers!$1:$1,0)+1,FALSE)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4" s="48">
        <f ca="1">VLOOKUP($F244,OFFSET(enemy_skill_triggers!$A$1,0,0,COUNTA(enemy_skill_triggers!$A:$A),MATCH(N$1,enemy_skill_triggers!$1:$1,0)-MATCH($F$1,enemy_skill_triggers!$1:$1,0)+1),MATCH(N$1,enemy_skill_triggers!$1:$1,0)-MATCH($F$1,enemy_skill_triggers!$1:$1,0)+1,FALSE)</f>
        <v>1560</v>
      </c>
      <c r="O244" s="48">
        <f ca="1">VLOOKUP($F244,OFFSET(enemy_skill_triggers!$A$1,0,0,COUNTA(enemy_skill_triggers!$A:$A),MATCH(O$1,enemy_skill_triggers!$1:$1,0)-MATCH($F$1,enemy_skill_triggers!$1:$1,0)+1),MATCH(O$1,enemy_skill_triggers!$1:$1,0)-MATCH($F$1,enemy_skill_triggers!$1:$1,0)+1,FALSE)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4" s="47"/>
      <c r="Q244" s="47"/>
      <c r="R244" s="47"/>
    </row>
    <row r="245" spans="1:18" ht="15" customHeight="1" x14ac:dyDescent="0.15">
      <c r="A245" s="39" t="str">
        <f t="shared" si="17"/>
        <v>49016420_49016905</v>
      </c>
      <c r="B245" s="111">
        <v>49016420</v>
      </c>
      <c r="C245" s="170">
        <v>49016905</v>
      </c>
      <c r="D245" s="46" t="str">
        <f ca="1">VLOOKUP($C245,OFFSET(enemy_skills!$A$1,0,0,COUNTA(enemy_skills!$A:$A),MATCH(D$1,enemy_skills!$1:$1,0)-MATCH("enemy_skill_id",enemy_skills!$1:$1,0)+1),MATCH(D$1,enemy_skills!$1:$1,0)-MATCH("enemy_skill_id",enemy_skills!$1:$1,0)+1,FALSE)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245" s="46" t="str">
        <f ca="1">VLOOKUP($C245,OFFSET(enemy_skills!$A$1,0,0,COUNTA(enemy_skills!$A:$A),MATCH(E$1,enemy_skills!$1:$1,0)-MATCH("enemy_skill_id",enemy_skills!$1:$1,0)+1),MATCH(E$1,enemy_skills!$1:$1,0)-MATCH("enemy_skill_id",enemy_skills!$1:$1,0)+1,FALSE)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245" s="170">
        <v>49016905</v>
      </c>
      <c r="G245" s="48">
        <f ca="1">VLOOKUP($F245,OFFSET(enemy_skill_triggers!$A$1,0,0,COUNTA(enemy_skill_triggers!$A:$A),MATCH(G$1,enemy_skill_triggers!$1:$1,0)-MATCH($F$1,enemy_skill_triggers!$1:$1,0)+1),MATCH(G$1,enemy_skill_triggers!$1:$1,0)-MATCH($F$1,enemy_skill_triggers!$1:$1,0)+1,FALSE)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5" s="48">
        <f ca="1">VLOOKUP($F245,OFFSET(enemy_skill_triggers!$A$1,0,0,COUNTA(enemy_skill_triggers!$A:$A),MATCH(H$1,enemy_skill_triggers!$1:$1,0)-MATCH($F$1,enemy_skill_triggers!$1:$1,0)+1),MATCH(H$1,enemy_skill_triggers!$1:$1,0)-MATCH($F$1,enemy_skill_triggers!$1:$1,0)+1,FALSE)</f>
        <v>605</v>
      </c>
      <c r="I245" s="48">
        <f ca="1">VLOOKUP($F245,OFFSET(enemy_skill_triggers!$A$1,0,0,COUNTA(enemy_skill_triggers!$A:$A),MATCH(I$1,enemy_skill_triggers!$1:$1,0)-MATCH($F$1,enemy_skill_triggers!$1:$1,0)+1),MATCH(I$1,enemy_skill_triggers!$1:$1,0)-MATCH($F$1,enemy_skill_triggers!$1:$1,0)+1,FALSE)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5" s="48" t="str">
        <f ca="1">VLOOKUP($F245,OFFSET(enemy_skill_triggers!$A$1,0,0,COUNTA(enemy_skill_triggers!$A:$A),MATCH(J$1,enemy_skill_triggers!$1:$1,0)-MATCH($F$1,enemy_skill_triggers!$1:$1,0)+1),MATCH(J$1,enemy_skill_triggers!$1:$1,0)-MATCH($F$1,enemy_skill_triggers!$1:$1,0)+1,FALSE)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5" s="48" t="str">
        <f ca="1">VLOOKUP($F245,OFFSET(enemy_skill_triggers!$A$1,0,0,COUNTA(enemy_skill_triggers!$A:$A),MATCH(K$1,enemy_skill_triggers!$1:$1,0)-MATCH($F$1,enemy_skill_triggers!$1:$1,0)+1),MATCH(K$1,enemy_skill_triggers!$1:$1,0)-MATCH($F$1,enemy_skill_triggers!$1:$1,0)+1,FALSE)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5" s="48">
        <f ca="1">VLOOKUP($F245,OFFSET(enemy_skill_triggers!$A$1,0,0,COUNTA(enemy_skill_triggers!$A:$A),MATCH(L$1,enemy_skill_triggers!$1:$1,0)-MATCH($F$1,enemy_skill_triggers!$1:$1,0)+1),MATCH(L$1,enemy_skill_triggers!$1:$1,0)-MATCH($F$1,enemy_skill_triggers!$1:$1,0)+1,FALSE)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5" s="48">
        <f ca="1">VLOOKUP($F245,OFFSET(enemy_skill_triggers!$A$1,0,0,COUNTA(enemy_skill_triggers!$A:$A),MATCH(M$1,enemy_skill_triggers!$1:$1,0)-MATCH($F$1,enemy_skill_triggers!$1:$1,0)+1),MATCH(M$1,enemy_skill_triggers!$1:$1,0)-MATCH($F$1,enemy_skill_triggers!$1:$1,0)+1,FALSE)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5" s="48">
        <f ca="1">VLOOKUP($F245,OFFSET(enemy_skill_triggers!$A$1,0,0,COUNTA(enemy_skill_triggers!$A:$A),MATCH(N$1,enemy_skill_triggers!$1:$1,0)-MATCH($F$1,enemy_skill_triggers!$1:$1,0)+1),MATCH(N$1,enemy_skill_triggers!$1:$1,0)-MATCH($F$1,enemy_skill_triggers!$1:$1,0)+1,FALSE)</f>
        <v>1561</v>
      </c>
      <c r="O245" s="48">
        <f ca="1">VLOOKUP($F245,OFFSET(enemy_skill_triggers!$A$1,0,0,COUNTA(enemy_skill_triggers!$A:$A),MATCH(O$1,enemy_skill_triggers!$1:$1,0)-MATCH($F$1,enemy_skill_triggers!$1:$1,0)+1),MATCH(O$1,enemy_skill_triggers!$1:$1,0)-MATCH($F$1,enemy_skill_triggers!$1:$1,0)+1,FALSE)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5" s="47"/>
      <c r="Q245" s="47"/>
      <c r="R245" s="47"/>
    </row>
    <row r="246" spans="1:18" ht="15" customHeight="1" x14ac:dyDescent="0.15">
      <c r="A246" s="39" t="str">
        <f t="shared" si="17"/>
        <v>49016420_49016906</v>
      </c>
      <c r="B246" s="111">
        <v>49016420</v>
      </c>
      <c r="C246" s="170">
        <v>49016906</v>
      </c>
      <c r="D246" s="46" t="str">
        <f ca="1">VLOOKUP($C246,OFFSET(enemy_skills!$A$1,0,0,COUNTA(enemy_skills!$A:$A),MATCH(D$1,enemy_skills!$1:$1,0)-MATCH("enemy_skill_id",enemy_skills!$1:$1,0)+1),MATCH(D$1,enemy_skills!$1:$1,0)-MATCH("enemy_skill_id",enemy_skills!$1:$1,0)+1,FALSE)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246" s="46" t="str">
        <f ca="1">VLOOKUP($C246,OFFSET(enemy_skills!$A$1,0,0,COUNTA(enemy_skills!$A:$A),MATCH(E$1,enemy_skills!$1:$1,0)-MATCH("enemy_skill_id",enemy_skills!$1:$1,0)+1),MATCH(E$1,enemy_skills!$1:$1,0)-MATCH("enemy_skill_id",enemy_skills!$1:$1,0)+1,FALSE)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246" s="170">
        <v>49016906</v>
      </c>
      <c r="G246" s="48">
        <f ca="1">VLOOKUP($F246,OFFSET(enemy_skill_triggers!$A$1,0,0,COUNTA(enemy_skill_triggers!$A:$A),MATCH(G$1,enemy_skill_triggers!$1:$1,0)-MATCH($F$1,enemy_skill_triggers!$1:$1,0)+1),MATCH(G$1,enemy_skill_triggers!$1:$1,0)-MATCH($F$1,enemy_skill_triggers!$1:$1,0)+1,FALSE)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6" s="48">
        <f ca="1">VLOOKUP($F246,OFFSET(enemy_skill_triggers!$A$1,0,0,COUNTA(enemy_skill_triggers!$A:$A),MATCH(H$1,enemy_skill_triggers!$1:$1,0)-MATCH($F$1,enemy_skill_triggers!$1:$1,0)+1),MATCH(H$1,enemy_skill_triggers!$1:$1,0)-MATCH($F$1,enemy_skill_triggers!$1:$1,0)+1,FALSE)</f>
        <v>606</v>
      </c>
      <c r="I246" s="48">
        <f ca="1">VLOOKUP($F246,OFFSET(enemy_skill_triggers!$A$1,0,0,COUNTA(enemy_skill_triggers!$A:$A),MATCH(I$1,enemy_skill_triggers!$1:$1,0)-MATCH($F$1,enemy_skill_triggers!$1:$1,0)+1),MATCH(I$1,enemy_skill_triggers!$1:$1,0)-MATCH($F$1,enemy_skill_triggers!$1:$1,0)+1,FALSE)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6" s="48" t="str">
        <f ca="1">VLOOKUP($F246,OFFSET(enemy_skill_triggers!$A$1,0,0,COUNTA(enemy_skill_triggers!$A:$A),MATCH(J$1,enemy_skill_triggers!$1:$1,0)-MATCH($F$1,enemy_skill_triggers!$1:$1,0)+1),MATCH(J$1,enemy_skill_triggers!$1:$1,0)-MATCH($F$1,enemy_skill_triggers!$1:$1,0)+1,FALSE)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6" s="48" t="str">
        <f ca="1">VLOOKUP($F246,OFFSET(enemy_skill_triggers!$A$1,0,0,COUNTA(enemy_skill_triggers!$A:$A),MATCH(K$1,enemy_skill_triggers!$1:$1,0)-MATCH($F$1,enemy_skill_triggers!$1:$1,0)+1),MATCH(K$1,enemy_skill_triggers!$1:$1,0)-MATCH($F$1,enemy_skill_triggers!$1:$1,0)+1,FALSE)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6" s="48">
        <f ca="1">VLOOKUP($F246,OFFSET(enemy_skill_triggers!$A$1,0,0,COUNTA(enemy_skill_triggers!$A:$A),MATCH(L$1,enemy_skill_triggers!$1:$1,0)-MATCH($F$1,enemy_skill_triggers!$1:$1,0)+1),MATCH(L$1,enemy_skill_triggers!$1:$1,0)-MATCH($F$1,enemy_skill_triggers!$1:$1,0)+1,FALSE)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6" s="48">
        <f ca="1">VLOOKUP($F246,OFFSET(enemy_skill_triggers!$A$1,0,0,COUNTA(enemy_skill_triggers!$A:$A),MATCH(M$1,enemy_skill_triggers!$1:$1,0)-MATCH($F$1,enemy_skill_triggers!$1:$1,0)+1),MATCH(M$1,enemy_skill_triggers!$1:$1,0)-MATCH($F$1,enemy_skill_triggers!$1:$1,0)+1,FALSE)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6" s="48">
        <f ca="1">VLOOKUP($F246,OFFSET(enemy_skill_triggers!$A$1,0,0,COUNTA(enemy_skill_triggers!$A:$A),MATCH(N$1,enemy_skill_triggers!$1:$1,0)-MATCH($F$1,enemy_skill_triggers!$1:$1,0)+1),MATCH(N$1,enemy_skill_triggers!$1:$1,0)-MATCH($F$1,enemy_skill_triggers!$1:$1,0)+1,FALSE)</f>
        <v>1565</v>
      </c>
      <c r="O246" s="48">
        <f ca="1">VLOOKUP($F246,OFFSET(enemy_skill_triggers!$A$1,0,0,COUNTA(enemy_skill_triggers!$A:$A),MATCH(O$1,enemy_skill_triggers!$1:$1,0)-MATCH($F$1,enemy_skill_triggers!$1:$1,0)+1),MATCH(O$1,enemy_skill_triggers!$1:$1,0)-MATCH($F$1,enemy_skill_triggers!$1:$1,0)+1,FALSE)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6" s="47"/>
      <c r="Q246" s="47"/>
      <c r="R246" s="47"/>
    </row>
    <row r="247" spans="1:18" ht="15" customHeight="1" x14ac:dyDescent="0.15">
      <c r="A247" s="39" t="str">
        <f t="shared" si="17"/>
        <v>49016420_49016907</v>
      </c>
      <c r="B247" s="111">
        <v>49016420</v>
      </c>
      <c r="C247" s="170">
        <v>49016907</v>
      </c>
      <c r="D247" s="46" t="str">
        <f ca="1">VLOOKUP($C247,OFFSET(enemy_skills!$A$1,0,0,COUNTA(enemy_skills!$A:$A),MATCH(D$1,enemy_skills!$1:$1,0)-MATCH("enemy_skill_id",enemy_skills!$1:$1,0)+1),MATCH(D$1,enemy_skills!$1:$1,0)-MATCH("enemy_skill_id",enemy_skills!$1:$1,0)+1,FALSE)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247" s="46" t="str">
        <f ca="1">VLOOKUP($C247,OFFSET(enemy_skills!$A$1,0,0,COUNTA(enemy_skills!$A:$A),MATCH(E$1,enemy_skills!$1:$1,0)-MATCH("enemy_skill_id",enemy_skills!$1:$1,0)+1),MATCH(E$1,enemy_skills!$1:$1,0)-MATCH("enemy_skill_id",enemy_skills!$1:$1,0)+1,FALSE)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247" s="170">
        <v>49016907</v>
      </c>
      <c r="G247" s="48">
        <f ca="1">VLOOKUP($F247,OFFSET(enemy_skill_triggers!$A$1,0,0,COUNTA(enemy_skill_triggers!$A:$A),MATCH(G$1,enemy_skill_triggers!$1:$1,0)-MATCH($F$1,enemy_skill_triggers!$1:$1,0)+1),MATCH(G$1,enemy_skill_triggers!$1:$1,0)-MATCH($F$1,enemy_skill_triggers!$1:$1,0)+1,FALSE)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7" s="48">
        <f ca="1">VLOOKUP($F247,OFFSET(enemy_skill_triggers!$A$1,0,0,COUNTA(enemy_skill_triggers!$A:$A),MATCH(H$1,enemy_skill_triggers!$1:$1,0)-MATCH($F$1,enemy_skill_triggers!$1:$1,0)+1),MATCH(H$1,enemy_skill_triggers!$1:$1,0)-MATCH($F$1,enemy_skill_triggers!$1:$1,0)+1,FALSE)</f>
        <v>607</v>
      </c>
      <c r="I247" s="48">
        <f ca="1">VLOOKUP($F247,OFFSET(enemy_skill_triggers!$A$1,0,0,COUNTA(enemy_skill_triggers!$A:$A),MATCH(I$1,enemy_skill_triggers!$1:$1,0)-MATCH($F$1,enemy_skill_triggers!$1:$1,0)+1),MATCH(I$1,enemy_skill_triggers!$1:$1,0)-MATCH($F$1,enemy_skill_triggers!$1:$1,0)+1,FALSE)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7" s="48" t="str">
        <f ca="1">VLOOKUP($F247,OFFSET(enemy_skill_triggers!$A$1,0,0,COUNTA(enemy_skill_triggers!$A:$A),MATCH(J$1,enemy_skill_triggers!$1:$1,0)-MATCH($F$1,enemy_skill_triggers!$1:$1,0)+1),MATCH(J$1,enemy_skill_triggers!$1:$1,0)-MATCH($F$1,enemy_skill_triggers!$1:$1,0)+1,FALSE)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7" s="48" t="str">
        <f ca="1">VLOOKUP($F247,OFFSET(enemy_skill_triggers!$A$1,0,0,COUNTA(enemy_skill_triggers!$A:$A),MATCH(K$1,enemy_skill_triggers!$1:$1,0)-MATCH($F$1,enemy_skill_triggers!$1:$1,0)+1),MATCH(K$1,enemy_skill_triggers!$1:$1,0)-MATCH($F$1,enemy_skill_triggers!$1:$1,0)+1,FALSE)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7" s="48">
        <f ca="1">VLOOKUP($F247,OFFSET(enemy_skill_triggers!$A$1,0,0,COUNTA(enemy_skill_triggers!$A:$A),MATCH(L$1,enemy_skill_triggers!$1:$1,0)-MATCH($F$1,enemy_skill_triggers!$1:$1,0)+1),MATCH(L$1,enemy_skill_triggers!$1:$1,0)-MATCH($F$1,enemy_skill_triggers!$1:$1,0)+1,FALSE)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7" s="48">
        <f ca="1">VLOOKUP($F247,OFFSET(enemy_skill_triggers!$A$1,0,0,COUNTA(enemy_skill_triggers!$A:$A),MATCH(M$1,enemy_skill_triggers!$1:$1,0)-MATCH($F$1,enemy_skill_triggers!$1:$1,0)+1),MATCH(M$1,enemy_skill_triggers!$1:$1,0)-MATCH($F$1,enemy_skill_triggers!$1:$1,0)+1,FALSE)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7" s="48">
        <f ca="1">VLOOKUP($F247,OFFSET(enemy_skill_triggers!$A$1,0,0,COUNTA(enemy_skill_triggers!$A:$A),MATCH(N$1,enemy_skill_triggers!$1:$1,0)-MATCH($F$1,enemy_skill_triggers!$1:$1,0)+1),MATCH(N$1,enemy_skill_triggers!$1:$1,0)-MATCH($F$1,enemy_skill_triggers!$1:$1,0)+1,FALSE)</f>
        <v>1568</v>
      </c>
      <c r="O247" s="48">
        <f ca="1">VLOOKUP($F247,OFFSET(enemy_skill_triggers!$A$1,0,0,COUNTA(enemy_skill_triggers!$A:$A),MATCH(O$1,enemy_skill_triggers!$1:$1,0)-MATCH($F$1,enemy_skill_triggers!$1:$1,0)+1),MATCH(O$1,enemy_skill_triggers!$1:$1,0)-MATCH($F$1,enemy_skill_triggers!$1:$1,0)+1,FALSE)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7" s="47"/>
      <c r="Q247" s="47"/>
      <c r="R247" s="47"/>
    </row>
    <row r="248" spans="1:18" ht="15" customHeight="1" x14ac:dyDescent="0.15">
      <c r="A248" s="39" t="str">
        <f t="shared" si="17"/>
        <v>49016420_49016908</v>
      </c>
      <c r="B248" s="111">
        <v>49016420</v>
      </c>
      <c r="C248" s="170">
        <v>49016908</v>
      </c>
      <c r="D248" s="46" t="str">
        <f ca="1">VLOOKUP($C248,OFFSET(enemy_skills!$A$1,0,0,COUNTA(enemy_skills!$A:$A),MATCH(D$1,enemy_skills!$1:$1,0)-MATCH("enemy_skill_id",enemy_skills!$1:$1,0)+1),MATCH(D$1,enemy_skills!$1:$1,0)-MATCH("enemy_skill_id",enemy_skills!$1:$1,0)+1,FALSE)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248" s="46" t="str">
        <f ca="1">VLOOKUP($C248,OFFSET(enemy_skills!$A$1,0,0,COUNTA(enemy_skills!$A:$A),MATCH(E$1,enemy_skills!$1:$1,0)-MATCH("enemy_skill_id",enemy_skills!$1:$1,0)+1),MATCH(E$1,enemy_skills!$1:$1,0)-MATCH("enemy_skill_id",enemy_skills!$1:$1,0)+1,FALSE)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248" s="170">
        <v>49016908</v>
      </c>
      <c r="G248" s="48">
        <f ca="1">VLOOKUP($F248,OFFSET(enemy_skill_triggers!$A$1,0,0,COUNTA(enemy_skill_triggers!$A:$A),MATCH(G$1,enemy_skill_triggers!$1:$1,0)-MATCH($F$1,enemy_skill_triggers!$1:$1,0)+1),MATCH(G$1,enemy_skill_triggers!$1:$1,0)-MATCH($F$1,enemy_skill_triggers!$1:$1,0)+1,FALSE)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8" s="48">
        <f ca="1">VLOOKUP($F248,OFFSET(enemy_skill_triggers!$A$1,0,0,COUNTA(enemy_skill_triggers!$A:$A),MATCH(H$1,enemy_skill_triggers!$1:$1,0)-MATCH($F$1,enemy_skill_triggers!$1:$1,0)+1),MATCH(H$1,enemy_skill_triggers!$1:$1,0)-MATCH($F$1,enemy_skill_triggers!$1:$1,0)+1,FALSE)</f>
        <v>608</v>
      </c>
      <c r="I248" s="48">
        <f ca="1">VLOOKUP($F248,OFFSET(enemy_skill_triggers!$A$1,0,0,COUNTA(enemy_skill_triggers!$A:$A),MATCH(I$1,enemy_skill_triggers!$1:$1,0)-MATCH($F$1,enemy_skill_triggers!$1:$1,0)+1),MATCH(I$1,enemy_skill_triggers!$1:$1,0)-MATCH($F$1,enemy_skill_triggers!$1:$1,0)+1,FALSE)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8" s="48" t="str">
        <f ca="1">VLOOKUP($F248,OFFSET(enemy_skill_triggers!$A$1,0,0,COUNTA(enemy_skill_triggers!$A:$A),MATCH(J$1,enemy_skill_triggers!$1:$1,0)-MATCH($F$1,enemy_skill_triggers!$1:$1,0)+1),MATCH(J$1,enemy_skill_triggers!$1:$1,0)-MATCH($F$1,enemy_skill_triggers!$1:$1,0)+1,FALSE)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8" s="48" t="str">
        <f ca="1">VLOOKUP($F248,OFFSET(enemy_skill_triggers!$A$1,0,0,COUNTA(enemy_skill_triggers!$A:$A),MATCH(K$1,enemy_skill_triggers!$1:$1,0)-MATCH($F$1,enemy_skill_triggers!$1:$1,0)+1),MATCH(K$1,enemy_skill_triggers!$1:$1,0)-MATCH($F$1,enemy_skill_triggers!$1:$1,0)+1,FALSE)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8" s="48">
        <f ca="1">VLOOKUP($F248,OFFSET(enemy_skill_triggers!$A$1,0,0,COUNTA(enemy_skill_triggers!$A:$A),MATCH(L$1,enemy_skill_triggers!$1:$1,0)-MATCH($F$1,enemy_skill_triggers!$1:$1,0)+1),MATCH(L$1,enemy_skill_triggers!$1:$1,0)-MATCH($F$1,enemy_skill_triggers!$1:$1,0)+1,FALSE)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8" s="48">
        <f ca="1">VLOOKUP($F248,OFFSET(enemy_skill_triggers!$A$1,0,0,COUNTA(enemy_skill_triggers!$A:$A),MATCH(M$1,enemy_skill_triggers!$1:$1,0)-MATCH($F$1,enemy_skill_triggers!$1:$1,0)+1),MATCH(M$1,enemy_skill_triggers!$1:$1,0)-MATCH($F$1,enemy_skill_triggers!$1:$1,0)+1,FALSE)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8" s="48">
        <f ca="1">VLOOKUP($F248,OFFSET(enemy_skill_triggers!$A$1,0,0,COUNTA(enemy_skill_triggers!$A:$A),MATCH(N$1,enemy_skill_triggers!$1:$1,0)-MATCH($F$1,enemy_skill_triggers!$1:$1,0)+1),MATCH(N$1,enemy_skill_triggers!$1:$1,0)-MATCH($F$1,enemy_skill_triggers!$1:$1,0)+1,FALSE)</f>
        <v>1570</v>
      </c>
      <c r="O248" s="48">
        <f ca="1">VLOOKUP($F248,OFFSET(enemy_skill_triggers!$A$1,0,0,COUNTA(enemy_skill_triggers!$A:$A),MATCH(O$1,enemy_skill_triggers!$1:$1,0)-MATCH($F$1,enemy_skill_triggers!$1:$1,0)+1),MATCH(O$1,enemy_skill_triggers!$1:$1,0)-MATCH($F$1,enemy_skill_triggers!$1:$1,0)+1,FALSE)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8" s="47"/>
      <c r="Q248" s="47"/>
      <c r="R248" s="47"/>
    </row>
    <row r="249" spans="1:18" ht="15" customHeight="1" x14ac:dyDescent="0.15">
      <c r="A249" s="39" t="str">
        <f t="shared" si="17"/>
        <v>49016420_49016909</v>
      </c>
      <c r="B249" s="111">
        <v>49016420</v>
      </c>
      <c r="C249" s="170">
        <v>49016909</v>
      </c>
      <c r="D249" s="46" t="str">
        <f ca="1">VLOOKUP($C249,OFFSET(enemy_skills!$A$1,0,0,COUNTA(enemy_skills!$A:$A),MATCH(D$1,enemy_skills!$1:$1,0)-MATCH("enemy_skill_id",enemy_skills!$1:$1,0)+1),MATCH(D$1,enemy_skills!$1:$1,0)-MATCH("enemy_skill_id",enemy_skills!$1:$1,0)+1,FALSE)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249" s="46" t="str">
        <f ca="1">VLOOKUP($C249,OFFSET(enemy_skills!$A$1,0,0,COUNTA(enemy_skills!$A:$A),MATCH(E$1,enemy_skills!$1:$1,0)-MATCH("enemy_skill_id",enemy_skills!$1:$1,0)+1),MATCH(E$1,enemy_skills!$1:$1,0)-MATCH("enemy_skill_id",enemy_skills!$1:$1,0)+1,FALSE)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249" s="170">
        <v>49016909</v>
      </c>
      <c r="G249" s="48">
        <f ca="1">VLOOKUP($F249,OFFSET(enemy_skill_triggers!$A$1,0,0,COUNTA(enemy_skill_triggers!$A:$A),MATCH(G$1,enemy_skill_triggers!$1:$1,0)-MATCH($F$1,enemy_skill_triggers!$1:$1,0)+1),MATCH(G$1,enemy_skill_triggers!$1:$1,0)-MATCH($F$1,enemy_skill_triggers!$1:$1,0)+1,FALSE)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9" s="48">
        <f ca="1">VLOOKUP($F249,OFFSET(enemy_skill_triggers!$A$1,0,0,COUNTA(enemy_skill_triggers!$A:$A),MATCH(H$1,enemy_skill_triggers!$1:$1,0)-MATCH($F$1,enemy_skill_triggers!$1:$1,0)+1),MATCH(H$1,enemy_skill_triggers!$1:$1,0)-MATCH($F$1,enemy_skill_triggers!$1:$1,0)+1,FALSE)</f>
        <v>609</v>
      </c>
      <c r="I249" s="48">
        <f ca="1">VLOOKUP($F249,OFFSET(enemy_skill_triggers!$A$1,0,0,COUNTA(enemy_skill_triggers!$A:$A),MATCH(I$1,enemy_skill_triggers!$1:$1,0)-MATCH($F$1,enemy_skill_triggers!$1:$1,0)+1),MATCH(I$1,enemy_skill_triggers!$1:$1,0)-MATCH($F$1,enemy_skill_triggers!$1:$1,0)+1,FALSE)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9" s="48" t="str">
        <f ca="1">VLOOKUP($F249,OFFSET(enemy_skill_triggers!$A$1,0,0,COUNTA(enemy_skill_triggers!$A:$A),MATCH(J$1,enemy_skill_triggers!$1:$1,0)-MATCH($F$1,enemy_skill_triggers!$1:$1,0)+1),MATCH(J$1,enemy_skill_triggers!$1:$1,0)-MATCH($F$1,enemy_skill_triggers!$1:$1,0)+1,FALSE)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9" s="48" t="str">
        <f ca="1">VLOOKUP($F249,OFFSET(enemy_skill_triggers!$A$1,0,0,COUNTA(enemy_skill_triggers!$A:$A),MATCH(K$1,enemy_skill_triggers!$1:$1,0)-MATCH($F$1,enemy_skill_triggers!$1:$1,0)+1),MATCH(K$1,enemy_skill_triggers!$1:$1,0)-MATCH($F$1,enemy_skill_triggers!$1:$1,0)+1,FALSE)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9" s="48">
        <f ca="1">VLOOKUP($F249,OFFSET(enemy_skill_triggers!$A$1,0,0,COUNTA(enemy_skill_triggers!$A:$A),MATCH(L$1,enemy_skill_triggers!$1:$1,0)-MATCH($F$1,enemy_skill_triggers!$1:$1,0)+1),MATCH(L$1,enemy_skill_triggers!$1:$1,0)-MATCH($F$1,enemy_skill_triggers!$1:$1,0)+1,FALSE)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9" s="48">
        <f ca="1">VLOOKUP($F249,OFFSET(enemy_skill_triggers!$A$1,0,0,COUNTA(enemy_skill_triggers!$A:$A),MATCH(M$1,enemy_skill_triggers!$1:$1,0)-MATCH($F$1,enemy_skill_triggers!$1:$1,0)+1),MATCH(M$1,enemy_skill_triggers!$1:$1,0)-MATCH($F$1,enemy_skill_triggers!$1:$1,0)+1,FALSE)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9" s="48">
        <f ca="1">VLOOKUP($F249,OFFSET(enemy_skill_triggers!$A$1,0,0,COUNTA(enemy_skill_triggers!$A:$A),MATCH(N$1,enemy_skill_triggers!$1:$1,0)-MATCH($F$1,enemy_skill_triggers!$1:$1,0)+1),MATCH(N$1,enemy_skill_triggers!$1:$1,0)-MATCH($F$1,enemy_skill_triggers!$1:$1,0)+1,FALSE)</f>
        <v>1571</v>
      </c>
      <c r="O249" s="48">
        <f ca="1">VLOOKUP($F249,OFFSET(enemy_skill_triggers!$A$1,0,0,COUNTA(enemy_skill_triggers!$A:$A),MATCH(O$1,enemy_skill_triggers!$1:$1,0)-MATCH($F$1,enemy_skill_triggers!$1:$1,0)+1),MATCH(O$1,enemy_skill_triggers!$1:$1,0)-MATCH($F$1,enemy_skill_triggers!$1:$1,0)+1,FALSE)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9" s="47"/>
      <c r="Q249" s="47"/>
      <c r="R249" s="47"/>
    </row>
    <row r="250" spans="1:18" ht="15" customHeight="1" x14ac:dyDescent="0.15">
      <c r="A250" s="39" t="str">
        <f t="shared" si="17"/>
        <v>49016420_49016910</v>
      </c>
      <c r="B250" s="111">
        <v>49016420</v>
      </c>
      <c r="C250" s="170">
        <v>49016910</v>
      </c>
      <c r="D250" s="46" t="str">
        <f ca="1">VLOOKUP($C250,OFFSET(enemy_skills!$A$1,0,0,COUNTA(enemy_skills!$A:$A),MATCH(D$1,enemy_skills!$1:$1,0)-MATCH("enemy_skill_id",enemy_skills!$1:$1,0)+1),MATCH(D$1,enemy_skills!$1:$1,0)-MATCH("enemy_skill_id",enemy_skills!$1:$1,0)+1,FALSE)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250" s="46" t="str">
        <f ca="1">VLOOKUP($C250,OFFSET(enemy_skills!$A$1,0,0,COUNTA(enemy_skills!$A:$A),MATCH(E$1,enemy_skills!$1:$1,0)-MATCH("enemy_skill_id",enemy_skills!$1:$1,0)+1),MATCH(E$1,enemy_skills!$1:$1,0)-MATCH("enemy_skill_id",enemy_skills!$1:$1,0)+1,FALSE)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250" s="170">
        <v>49016910</v>
      </c>
      <c r="G250" s="48">
        <f ca="1">VLOOKUP($F250,OFFSET(enemy_skill_triggers!$A$1,0,0,COUNTA(enemy_skill_triggers!$A:$A),MATCH(G$1,enemy_skill_triggers!$1:$1,0)-MATCH($F$1,enemy_skill_triggers!$1:$1,0)+1),MATCH(G$1,enemy_skill_triggers!$1:$1,0)-MATCH($F$1,enemy_skill_triggers!$1:$1,0)+1,FALSE)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0" s="48">
        <f ca="1">VLOOKUP($F250,OFFSET(enemy_skill_triggers!$A$1,0,0,COUNTA(enemy_skill_triggers!$A:$A),MATCH(H$1,enemy_skill_triggers!$1:$1,0)-MATCH($F$1,enemy_skill_triggers!$1:$1,0)+1),MATCH(H$1,enemy_skill_triggers!$1:$1,0)-MATCH($F$1,enemy_skill_triggers!$1:$1,0)+1,FALSE)</f>
        <v>610</v>
      </c>
      <c r="I250" s="48">
        <f ca="1">VLOOKUP($F250,OFFSET(enemy_skill_triggers!$A$1,0,0,COUNTA(enemy_skill_triggers!$A:$A),MATCH(I$1,enemy_skill_triggers!$1:$1,0)-MATCH($F$1,enemy_skill_triggers!$1:$1,0)+1),MATCH(I$1,enemy_skill_triggers!$1:$1,0)-MATCH($F$1,enemy_skill_triggers!$1:$1,0)+1,FALSE)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0" s="48" t="str">
        <f ca="1">VLOOKUP($F250,OFFSET(enemy_skill_triggers!$A$1,0,0,COUNTA(enemy_skill_triggers!$A:$A),MATCH(J$1,enemy_skill_triggers!$1:$1,0)-MATCH($F$1,enemy_skill_triggers!$1:$1,0)+1),MATCH(J$1,enemy_skill_triggers!$1:$1,0)-MATCH($F$1,enemy_skill_triggers!$1:$1,0)+1,FALSE)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0" s="48" t="str">
        <f ca="1">VLOOKUP($F250,OFFSET(enemy_skill_triggers!$A$1,0,0,COUNTA(enemy_skill_triggers!$A:$A),MATCH(K$1,enemy_skill_triggers!$1:$1,0)-MATCH($F$1,enemy_skill_triggers!$1:$1,0)+1),MATCH(K$1,enemy_skill_triggers!$1:$1,0)-MATCH($F$1,enemy_skill_triggers!$1:$1,0)+1,FALSE)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0" s="48">
        <f ca="1">VLOOKUP($F250,OFFSET(enemy_skill_triggers!$A$1,0,0,COUNTA(enemy_skill_triggers!$A:$A),MATCH(L$1,enemy_skill_triggers!$1:$1,0)-MATCH($F$1,enemy_skill_triggers!$1:$1,0)+1),MATCH(L$1,enemy_skill_triggers!$1:$1,0)-MATCH($F$1,enemy_skill_triggers!$1:$1,0)+1,FALSE)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0" s="48">
        <f ca="1">VLOOKUP($F250,OFFSET(enemy_skill_triggers!$A$1,0,0,COUNTA(enemy_skill_triggers!$A:$A),MATCH(M$1,enemy_skill_triggers!$1:$1,0)-MATCH($F$1,enemy_skill_triggers!$1:$1,0)+1),MATCH(M$1,enemy_skill_triggers!$1:$1,0)-MATCH($F$1,enemy_skill_triggers!$1:$1,0)+1,FALSE)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0" s="48">
        <f ca="1">VLOOKUP($F250,OFFSET(enemy_skill_triggers!$A$1,0,0,COUNTA(enemy_skill_triggers!$A:$A),MATCH(N$1,enemy_skill_triggers!$1:$1,0)-MATCH($F$1,enemy_skill_triggers!$1:$1,0)+1),MATCH(N$1,enemy_skill_triggers!$1:$1,0)-MATCH($F$1,enemy_skill_triggers!$1:$1,0)+1,FALSE)</f>
        <v>1573</v>
      </c>
      <c r="O250" s="48">
        <f ca="1">VLOOKUP($F250,OFFSET(enemy_skill_triggers!$A$1,0,0,COUNTA(enemy_skill_triggers!$A:$A),MATCH(O$1,enemy_skill_triggers!$1:$1,0)-MATCH($F$1,enemy_skill_triggers!$1:$1,0)+1),MATCH(O$1,enemy_skill_triggers!$1:$1,0)-MATCH($F$1,enemy_skill_triggers!$1:$1,0)+1,FALSE)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0" s="47"/>
      <c r="Q250" s="47"/>
      <c r="R250" s="47"/>
    </row>
    <row r="251" spans="1:18" ht="15" customHeight="1" x14ac:dyDescent="0.15">
      <c r="A251" s="39" t="str">
        <f t="shared" si="17"/>
        <v>49016420_49016911</v>
      </c>
      <c r="B251" s="111">
        <v>49016420</v>
      </c>
      <c r="C251" s="170">
        <v>49016911</v>
      </c>
      <c r="D251" s="46" t="str">
        <f ca="1">VLOOKUP($C251,OFFSET(enemy_skills!$A$1,0,0,COUNTA(enemy_skills!$A:$A),MATCH(D$1,enemy_skills!$1:$1,0)-MATCH("enemy_skill_id",enemy_skills!$1:$1,0)+1),MATCH(D$1,enemy_skills!$1:$1,0)-MATCH("enemy_skill_id",enemy_skills!$1:$1,0)+1,FALSE)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251" s="46" t="str">
        <f ca="1">VLOOKUP($C251,OFFSET(enemy_skills!$A$1,0,0,COUNTA(enemy_skills!$A:$A),MATCH(E$1,enemy_skills!$1:$1,0)-MATCH("enemy_skill_id",enemy_skills!$1:$1,0)+1),MATCH(E$1,enemy_skills!$1:$1,0)-MATCH("enemy_skill_id",enemy_skills!$1:$1,0)+1,FALSE)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251" s="170">
        <v>49016911</v>
      </c>
      <c r="G251" s="48">
        <f ca="1">VLOOKUP($F251,OFFSET(enemy_skill_triggers!$A$1,0,0,COUNTA(enemy_skill_triggers!$A:$A),MATCH(G$1,enemy_skill_triggers!$1:$1,0)-MATCH($F$1,enemy_skill_triggers!$1:$1,0)+1),MATCH(G$1,enemy_skill_triggers!$1:$1,0)-MATCH($F$1,enemy_skill_triggers!$1:$1,0)+1,FALSE)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1" s="48">
        <f ca="1">VLOOKUP($F251,OFFSET(enemy_skill_triggers!$A$1,0,0,COUNTA(enemy_skill_triggers!$A:$A),MATCH(H$1,enemy_skill_triggers!$1:$1,0)-MATCH($F$1,enemy_skill_triggers!$1:$1,0)+1),MATCH(H$1,enemy_skill_triggers!$1:$1,0)-MATCH($F$1,enemy_skill_triggers!$1:$1,0)+1,FALSE)</f>
        <v>611</v>
      </c>
      <c r="I251" s="48">
        <f ca="1">VLOOKUP($F251,OFFSET(enemy_skill_triggers!$A$1,0,0,COUNTA(enemy_skill_triggers!$A:$A),MATCH(I$1,enemy_skill_triggers!$1:$1,0)-MATCH($F$1,enemy_skill_triggers!$1:$1,0)+1),MATCH(I$1,enemy_skill_triggers!$1:$1,0)-MATCH($F$1,enemy_skill_triggers!$1:$1,0)+1,FALSE)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1" s="48" t="str">
        <f ca="1">VLOOKUP($F251,OFFSET(enemy_skill_triggers!$A$1,0,0,COUNTA(enemy_skill_triggers!$A:$A),MATCH(J$1,enemy_skill_triggers!$1:$1,0)-MATCH($F$1,enemy_skill_triggers!$1:$1,0)+1),MATCH(J$1,enemy_skill_triggers!$1:$1,0)-MATCH($F$1,enemy_skill_triggers!$1:$1,0)+1,FALSE)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1" s="48" t="str">
        <f ca="1">VLOOKUP($F251,OFFSET(enemy_skill_triggers!$A$1,0,0,COUNTA(enemy_skill_triggers!$A:$A),MATCH(K$1,enemy_skill_triggers!$1:$1,0)-MATCH($F$1,enemy_skill_triggers!$1:$1,0)+1),MATCH(K$1,enemy_skill_triggers!$1:$1,0)-MATCH($F$1,enemy_skill_triggers!$1:$1,0)+1,FALSE)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1" s="48">
        <f ca="1">VLOOKUP($F251,OFFSET(enemy_skill_triggers!$A$1,0,0,COUNTA(enemy_skill_triggers!$A:$A),MATCH(L$1,enemy_skill_triggers!$1:$1,0)-MATCH($F$1,enemy_skill_triggers!$1:$1,0)+1),MATCH(L$1,enemy_skill_triggers!$1:$1,0)-MATCH($F$1,enemy_skill_triggers!$1:$1,0)+1,FALSE)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1" s="48">
        <f ca="1">VLOOKUP($F251,OFFSET(enemy_skill_triggers!$A$1,0,0,COUNTA(enemy_skill_triggers!$A:$A),MATCH(M$1,enemy_skill_triggers!$1:$1,0)-MATCH($F$1,enemy_skill_triggers!$1:$1,0)+1),MATCH(M$1,enemy_skill_triggers!$1:$1,0)-MATCH($F$1,enemy_skill_triggers!$1:$1,0)+1,FALSE)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1" s="48">
        <f ca="1">VLOOKUP($F251,OFFSET(enemy_skill_triggers!$A$1,0,0,COUNTA(enemy_skill_triggers!$A:$A),MATCH(N$1,enemy_skill_triggers!$1:$1,0)-MATCH($F$1,enemy_skill_triggers!$1:$1,0)+1),MATCH(N$1,enemy_skill_triggers!$1:$1,0)-MATCH($F$1,enemy_skill_triggers!$1:$1,0)+1,FALSE)</f>
        <v>1574</v>
      </c>
      <c r="O251" s="48">
        <f ca="1">VLOOKUP($F251,OFFSET(enemy_skill_triggers!$A$1,0,0,COUNTA(enemy_skill_triggers!$A:$A),MATCH(O$1,enemy_skill_triggers!$1:$1,0)-MATCH($F$1,enemy_skill_triggers!$1:$1,0)+1),MATCH(O$1,enemy_skill_triggers!$1:$1,0)-MATCH($F$1,enemy_skill_triggers!$1:$1,0)+1,FALSE)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1" s="47"/>
      <c r="Q251" s="47"/>
      <c r="R251" s="47"/>
    </row>
    <row r="252" spans="1:18" ht="15" customHeight="1" x14ac:dyDescent="0.15">
      <c r="A252" s="39" t="str">
        <f t="shared" si="17"/>
        <v>49016420_49016912</v>
      </c>
      <c r="B252" s="111">
        <v>49016420</v>
      </c>
      <c r="C252" s="170">
        <v>49016912</v>
      </c>
      <c r="D252" s="46" t="str">
        <f ca="1">VLOOKUP($C252,OFFSET(enemy_skills!$A$1,0,0,COUNTA(enemy_skills!$A:$A),MATCH(D$1,enemy_skills!$1:$1,0)-MATCH("enemy_skill_id",enemy_skills!$1:$1,0)+1),MATCH(D$1,enemy_skills!$1:$1,0)-MATCH("enemy_skill_id",enemy_skills!$1:$1,0)+1,FALSE)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252" s="46" t="str">
        <f ca="1">VLOOKUP($C252,OFFSET(enemy_skills!$A$1,0,0,COUNTA(enemy_skills!$A:$A),MATCH(E$1,enemy_skills!$1:$1,0)-MATCH("enemy_skill_id",enemy_skills!$1:$1,0)+1),MATCH(E$1,enemy_skills!$1:$1,0)-MATCH("enemy_skill_id",enemy_skills!$1:$1,0)+1,FALSE)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252" s="170">
        <v>49016912</v>
      </c>
      <c r="G252" s="48">
        <f ca="1">VLOOKUP($F252,OFFSET(enemy_skill_triggers!$A$1,0,0,COUNTA(enemy_skill_triggers!$A:$A),MATCH(G$1,enemy_skill_triggers!$1:$1,0)-MATCH($F$1,enemy_skill_triggers!$1:$1,0)+1),MATCH(G$1,enemy_skill_triggers!$1:$1,0)-MATCH($F$1,enemy_skill_triggers!$1:$1,0)+1,FALSE)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2" s="48">
        <f ca="1">VLOOKUP($F252,OFFSET(enemy_skill_triggers!$A$1,0,0,COUNTA(enemy_skill_triggers!$A:$A),MATCH(H$1,enemy_skill_triggers!$1:$1,0)-MATCH($F$1,enemy_skill_triggers!$1:$1,0)+1),MATCH(H$1,enemy_skill_triggers!$1:$1,0)-MATCH($F$1,enemy_skill_triggers!$1:$1,0)+1,FALSE)</f>
        <v>612</v>
      </c>
      <c r="I252" s="48">
        <f ca="1">VLOOKUP($F252,OFFSET(enemy_skill_triggers!$A$1,0,0,COUNTA(enemy_skill_triggers!$A:$A),MATCH(I$1,enemy_skill_triggers!$1:$1,0)-MATCH($F$1,enemy_skill_triggers!$1:$1,0)+1),MATCH(I$1,enemy_skill_triggers!$1:$1,0)-MATCH($F$1,enemy_skill_triggers!$1:$1,0)+1,FALSE)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2" s="48" t="str">
        <f ca="1">VLOOKUP($F252,OFFSET(enemy_skill_triggers!$A$1,0,0,COUNTA(enemy_skill_triggers!$A:$A),MATCH(J$1,enemy_skill_triggers!$1:$1,0)-MATCH($F$1,enemy_skill_triggers!$1:$1,0)+1),MATCH(J$1,enemy_skill_triggers!$1:$1,0)-MATCH($F$1,enemy_skill_triggers!$1:$1,0)+1,FALSE)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2" s="48" t="str">
        <f ca="1">VLOOKUP($F252,OFFSET(enemy_skill_triggers!$A$1,0,0,COUNTA(enemy_skill_triggers!$A:$A),MATCH(K$1,enemy_skill_triggers!$1:$1,0)-MATCH($F$1,enemy_skill_triggers!$1:$1,0)+1),MATCH(K$1,enemy_skill_triggers!$1:$1,0)-MATCH($F$1,enemy_skill_triggers!$1:$1,0)+1,FALSE)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2" s="48">
        <f ca="1">VLOOKUP($F252,OFFSET(enemy_skill_triggers!$A$1,0,0,COUNTA(enemy_skill_triggers!$A:$A),MATCH(L$1,enemy_skill_triggers!$1:$1,0)-MATCH($F$1,enemy_skill_triggers!$1:$1,0)+1),MATCH(L$1,enemy_skill_triggers!$1:$1,0)-MATCH($F$1,enemy_skill_triggers!$1:$1,0)+1,FALSE)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2" s="48">
        <f ca="1">VLOOKUP($F252,OFFSET(enemy_skill_triggers!$A$1,0,0,COUNTA(enemy_skill_triggers!$A:$A),MATCH(M$1,enemy_skill_triggers!$1:$1,0)-MATCH($F$1,enemy_skill_triggers!$1:$1,0)+1),MATCH(M$1,enemy_skill_triggers!$1:$1,0)-MATCH($F$1,enemy_skill_triggers!$1:$1,0)+1,FALSE)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2" s="48">
        <f ca="1">VLOOKUP($F252,OFFSET(enemy_skill_triggers!$A$1,0,0,COUNTA(enemy_skill_triggers!$A:$A),MATCH(N$1,enemy_skill_triggers!$1:$1,0)-MATCH($F$1,enemy_skill_triggers!$1:$1,0)+1),MATCH(N$1,enemy_skill_triggers!$1:$1,0)-MATCH($F$1,enemy_skill_triggers!$1:$1,0)+1,FALSE)</f>
        <v>1577</v>
      </c>
      <c r="O252" s="48">
        <f ca="1">VLOOKUP($F252,OFFSET(enemy_skill_triggers!$A$1,0,0,COUNTA(enemy_skill_triggers!$A:$A),MATCH(O$1,enemy_skill_triggers!$1:$1,0)-MATCH($F$1,enemy_skill_triggers!$1:$1,0)+1),MATCH(O$1,enemy_skill_triggers!$1:$1,0)-MATCH($F$1,enemy_skill_triggers!$1:$1,0)+1,FALSE)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2" s="47"/>
      <c r="Q252" s="47"/>
      <c r="R252" s="47"/>
    </row>
    <row r="253" spans="1:18" ht="15" customHeight="1" x14ac:dyDescent="0.15">
      <c r="A253" s="39" t="str">
        <f t="shared" si="17"/>
        <v>49016420_49016913</v>
      </c>
      <c r="B253" s="111">
        <v>49016420</v>
      </c>
      <c r="C253" s="170">
        <v>49016913</v>
      </c>
      <c r="D253" s="46" t="str">
        <f ca="1">VLOOKUP($C253,OFFSET(enemy_skills!$A$1,0,0,COUNTA(enemy_skills!$A:$A),MATCH(D$1,enemy_skills!$1:$1,0)-MATCH("enemy_skill_id",enemy_skills!$1:$1,0)+1),MATCH(D$1,enemy_skills!$1:$1,0)-MATCH("enemy_skill_id",enemy_skills!$1:$1,0)+1,FALSE)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253" s="46" t="str">
        <f ca="1">VLOOKUP($C253,OFFSET(enemy_skills!$A$1,0,0,COUNTA(enemy_skills!$A:$A),MATCH(E$1,enemy_skills!$1:$1,0)-MATCH("enemy_skill_id",enemy_skills!$1:$1,0)+1),MATCH(E$1,enemy_skills!$1:$1,0)-MATCH("enemy_skill_id",enemy_skills!$1:$1,0)+1,FALSE)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253" s="170">
        <v>49016913</v>
      </c>
      <c r="G253" s="48">
        <f ca="1">VLOOKUP($F253,OFFSET(enemy_skill_triggers!$A$1,0,0,COUNTA(enemy_skill_triggers!$A:$A),MATCH(G$1,enemy_skill_triggers!$1:$1,0)-MATCH($F$1,enemy_skill_triggers!$1:$1,0)+1),MATCH(G$1,enemy_skill_triggers!$1:$1,0)-MATCH($F$1,enemy_skill_triggers!$1:$1,0)+1,FALSE)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3" s="48">
        <f ca="1">VLOOKUP($F253,OFFSET(enemy_skill_triggers!$A$1,0,0,COUNTA(enemy_skill_triggers!$A:$A),MATCH(H$1,enemy_skill_triggers!$1:$1,0)-MATCH($F$1,enemy_skill_triggers!$1:$1,0)+1),MATCH(H$1,enemy_skill_triggers!$1:$1,0)-MATCH($F$1,enemy_skill_triggers!$1:$1,0)+1,FALSE)</f>
        <v>613</v>
      </c>
      <c r="I253" s="48">
        <f ca="1">VLOOKUP($F253,OFFSET(enemy_skill_triggers!$A$1,0,0,COUNTA(enemy_skill_triggers!$A:$A),MATCH(I$1,enemy_skill_triggers!$1:$1,0)-MATCH($F$1,enemy_skill_triggers!$1:$1,0)+1),MATCH(I$1,enemy_skill_triggers!$1:$1,0)-MATCH($F$1,enemy_skill_triggers!$1:$1,0)+1,FALSE)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3" s="48" t="str">
        <f ca="1">VLOOKUP($F253,OFFSET(enemy_skill_triggers!$A$1,0,0,COUNTA(enemy_skill_triggers!$A:$A),MATCH(J$1,enemy_skill_triggers!$1:$1,0)-MATCH($F$1,enemy_skill_triggers!$1:$1,0)+1),MATCH(J$1,enemy_skill_triggers!$1:$1,0)-MATCH($F$1,enemy_skill_triggers!$1:$1,0)+1,FALSE)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3" s="48" t="str">
        <f ca="1">VLOOKUP($F253,OFFSET(enemy_skill_triggers!$A$1,0,0,COUNTA(enemy_skill_triggers!$A:$A),MATCH(K$1,enemy_skill_triggers!$1:$1,0)-MATCH($F$1,enemy_skill_triggers!$1:$1,0)+1),MATCH(K$1,enemy_skill_triggers!$1:$1,0)-MATCH($F$1,enemy_skill_triggers!$1:$1,0)+1,FALSE)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3" s="48">
        <f ca="1">VLOOKUP($F253,OFFSET(enemy_skill_triggers!$A$1,0,0,COUNTA(enemy_skill_triggers!$A:$A),MATCH(L$1,enemy_skill_triggers!$1:$1,0)-MATCH($F$1,enemy_skill_triggers!$1:$1,0)+1),MATCH(L$1,enemy_skill_triggers!$1:$1,0)-MATCH($F$1,enemy_skill_triggers!$1:$1,0)+1,FALSE)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3" s="48">
        <f ca="1">VLOOKUP($F253,OFFSET(enemy_skill_triggers!$A$1,0,0,COUNTA(enemy_skill_triggers!$A:$A),MATCH(M$1,enemy_skill_triggers!$1:$1,0)-MATCH($F$1,enemy_skill_triggers!$1:$1,0)+1),MATCH(M$1,enemy_skill_triggers!$1:$1,0)-MATCH($F$1,enemy_skill_triggers!$1:$1,0)+1,FALSE)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3" s="48">
        <f ca="1">VLOOKUP($F253,OFFSET(enemy_skill_triggers!$A$1,0,0,COUNTA(enemy_skill_triggers!$A:$A),MATCH(N$1,enemy_skill_triggers!$1:$1,0)-MATCH($F$1,enemy_skill_triggers!$1:$1,0)+1),MATCH(N$1,enemy_skill_triggers!$1:$1,0)-MATCH($F$1,enemy_skill_triggers!$1:$1,0)+1,FALSE)</f>
        <v>1578</v>
      </c>
      <c r="O253" s="48">
        <f ca="1">VLOOKUP($F253,OFFSET(enemy_skill_triggers!$A$1,0,0,COUNTA(enemy_skill_triggers!$A:$A),MATCH(O$1,enemy_skill_triggers!$1:$1,0)-MATCH($F$1,enemy_skill_triggers!$1:$1,0)+1),MATCH(O$1,enemy_skill_triggers!$1:$1,0)-MATCH($F$1,enemy_skill_triggers!$1:$1,0)+1,FALSE)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3" s="47"/>
      <c r="Q253" s="47"/>
      <c r="R253" s="47"/>
    </row>
    <row r="254" spans="1:18" ht="15" customHeight="1" x14ac:dyDescent="0.15">
      <c r="A254" s="39" t="str">
        <f t="shared" si="17"/>
        <v>49016420_49016914</v>
      </c>
      <c r="B254" s="111">
        <v>49016420</v>
      </c>
      <c r="C254" s="170">
        <v>49016914</v>
      </c>
      <c r="D254" s="46" t="str">
        <f ca="1">VLOOKUP($C254,OFFSET(enemy_skills!$A$1,0,0,COUNTA(enemy_skills!$A:$A),MATCH(D$1,enemy_skills!$1:$1,0)-MATCH("enemy_skill_id",enemy_skills!$1:$1,0)+1),MATCH(D$1,enemy_skills!$1:$1,0)-MATCH("enemy_skill_id",enemy_skills!$1:$1,0)+1,FALSE)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254" s="46" t="str">
        <f ca="1">VLOOKUP($C254,OFFSET(enemy_skills!$A$1,0,0,COUNTA(enemy_skills!$A:$A),MATCH(E$1,enemy_skills!$1:$1,0)-MATCH("enemy_skill_id",enemy_skills!$1:$1,0)+1),MATCH(E$1,enemy_skills!$1:$1,0)-MATCH("enemy_skill_id",enemy_skills!$1:$1,0)+1,FALSE)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254" s="170">
        <v>49016914</v>
      </c>
      <c r="G254" s="48">
        <f ca="1">VLOOKUP($F254,OFFSET(enemy_skill_triggers!$A$1,0,0,COUNTA(enemy_skill_triggers!$A:$A),MATCH(G$1,enemy_skill_triggers!$1:$1,0)-MATCH($F$1,enemy_skill_triggers!$1:$1,0)+1),MATCH(G$1,enemy_skill_triggers!$1:$1,0)-MATCH($F$1,enemy_skill_triggers!$1:$1,0)+1,FALSE)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4" s="48">
        <f ca="1">VLOOKUP($F254,OFFSET(enemy_skill_triggers!$A$1,0,0,COUNTA(enemy_skill_triggers!$A:$A),MATCH(H$1,enemy_skill_triggers!$1:$1,0)-MATCH($F$1,enemy_skill_triggers!$1:$1,0)+1),MATCH(H$1,enemy_skill_triggers!$1:$1,0)-MATCH($F$1,enemy_skill_triggers!$1:$1,0)+1,FALSE)</f>
        <v>614</v>
      </c>
      <c r="I254" s="48">
        <f ca="1">VLOOKUP($F254,OFFSET(enemy_skill_triggers!$A$1,0,0,COUNTA(enemy_skill_triggers!$A:$A),MATCH(I$1,enemy_skill_triggers!$1:$1,0)-MATCH($F$1,enemy_skill_triggers!$1:$1,0)+1),MATCH(I$1,enemy_skill_triggers!$1:$1,0)-MATCH($F$1,enemy_skill_triggers!$1:$1,0)+1,FALSE)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4" s="48" t="str">
        <f ca="1">VLOOKUP($F254,OFFSET(enemy_skill_triggers!$A$1,0,0,COUNTA(enemy_skill_triggers!$A:$A),MATCH(J$1,enemy_skill_triggers!$1:$1,0)-MATCH($F$1,enemy_skill_triggers!$1:$1,0)+1),MATCH(J$1,enemy_skill_triggers!$1:$1,0)-MATCH($F$1,enemy_skill_triggers!$1:$1,0)+1,FALSE)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4" s="48" t="str">
        <f ca="1">VLOOKUP($F254,OFFSET(enemy_skill_triggers!$A$1,0,0,COUNTA(enemy_skill_triggers!$A:$A),MATCH(K$1,enemy_skill_triggers!$1:$1,0)-MATCH($F$1,enemy_skill_triggers!$1:$1,0)+1),MATCH(K$1,enemy_skill_triggers!$1:$1,0)-MATCH($F$1,enemy_skill_triggers!$1:$1,0)+1,FALSE)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4" s="48">
        <f ca="1">VLOOKUP($F254,OFFSET(enemy_skill_triggers!$A$1,0,0,COUNTA(enemy_skill_triggers!$A:$A),MATCH(L$1,enemy_skill_triggers!$1:$1,0)-MATCH($F$1,enemy_skill_triggers!$1:$1,0)+1),MATCH(L$1,enemy_skill_triggers!$1:$1,0)-MATCH($F$1,enemy_skill_triggers!$1:$1,0)+1,FALSE)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4" s="48">
        <f ca="1">VLOOKUP($F254,OFFSET(enemy_skill_triggers!$A$1,0,0,COUNTA(enemy_skill_triggers!$A:$A),MATCH(M$1,enemy_skill_triggers!$1:$1,0)-MATCH($F$1,enemy_skill_triggers!$1:$1,0)+1),MATCH(M$1,enemy_skill_triggers!$1:$1,0)-MATCH($F$1,enemy_skill_triggers!$1:$1,0)+1,FALSE)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4" s="48">
        <f ca="1">VLOOKUP($F254,OFFSET(enemy_skill_triggers!$A$1,0,0,COUNTA(enemy_skill_triggers!$A:$A),MATCH(N$1,enemy_skill_triggers!$1:$1,0)-MATCH($F$1,enemy_skill_triggers!$1:$1,0)+1),MATCH(N$1,enemy_skill_triggers!$1:$1,0)-MATCH($F$1,enemy_skill_triggers!$1:$1,0)+1,FALSE)</f>
        <v>1581</v>
      </c>
      <c r="O254" s="48">
        <f ca="1">VLOOKUP($F254,OFFSET(enemy_skill_triggers!$A$1,0,0,COUNTA(enemy_skill_triggers!$A:$A),MATCH(O$1,enemy_skill_triggers!$1:$1,0)-MATCH($F$1,enemy_skill_triggers!$1:$1,0)+1),MATCH(O$1,enemy_skill_triggers!$1:$1,0)-MATCH($F$1,enemy_skill_triggers!$1:$1,0)+1,FALSE)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4" s="47"/>
      <c r="Q254" s="47"/>
      <c r="R254" s="47"/>
    </row>
    <row r="255" spans="1:18" ht="15" customHeight="1" x14ac:dyDescent="0.15">
      <c r="A255" s="39" t="str">
        <f t="shared" si="17"/>
        <v>49016420_49016915</v>
      </c>
      <c r="B255" s="111">
        <v>49016420</v>
      </c>
      <c r="C255" s="170">
        <v>49016915</v>
      </c>
      <c r="D255" s="46" t="str">
        <f ca="1">VLOOKUP($C255,OFFSET(enemy_skills!$A$1,0,0,COUNTA(enemy_skills!$A:$A),MATCH(D$1,enemy_skills!$1:$1,0)-MATCH("enemy_skill_id",enemy_skills!$1:$1,0)+1),MATCH(D$1,enemy_skills!$1:$1,0)-MATCH("enemy_skill_id",enemy_skills!$1:$1,0)+1,FALSE)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255" s="46" t="str">
        <f ca="1">VLOOKUP($C255,OFFSET(enemy_skills!$A$1,0,0,COUNTA(enemy_skills!$A:$A),MATCH(E$1,enemy_skills!$1:$1,0)-MATCH("enemy_skill_id",enemy_skills!$1:$1,0)+1),MATCH(E$1,enemy_skills!$1:$1,0)-MATCH("enemy_skill_id",enemy_skills!$1:$1,0)+1,FALSE)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255" s="170">
        <v>49016915</v>
      </c>
      <c r="G255" s="48">
        <f ca="1">VLOOKUP($F255,OFFSET(enemy_skill_triggers!$A$1,0,0,COUNTA(enemy_skill_triggers!$A:$A),MATCH(G$1,enemy_skill_triggers!$1:$1,0)-MATCH($F$1,enemy_skill_triggers!$1:$1,0)+1),MATCH(G$1,enemy_skill_triggers!$1:$1,0)-MATCH($F$1,enemy_skill_triggers!$1:$1,0)+1,FALSE)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5" s="48">
        <f ca="1">VLOOKUP($F255,OFFSET(enemy_skill_triggers!$A$1,0,0,COUNTA(enemy_skill_triggers!$A:$A),MATCH(H$1,enemy_skill_triggers!$1:$1,0)-MATCH($F$1,enemy_skill_triggers!$1:$1,0)+1),MATCH(H$1,enemy_skill_triggers!$1:$1,0)-MATCH($F$1,enemy_skill_triggers!$1:$1,0)+1,FALSE)</f>
        <v>615</v>
      </c>
      <c r="I255" s="48">
        <f ca="1">VLOOKUP($F255,OFFSET(enemy_skill_triggers!$A$1,0,0,COUNTA(enemy_skill_triggers!$A:$A),MATCH(I$1,enemy_skill_triggers!$1:$1,0)-MATCH($F$1,enemy_skill_triggers!$1:$1,0)+1),MATCH(I$1,enemy_skill_triggers!$1:$1,0)-MATCH($F$1,enemy_skill_triggers!$1:$1,0)+1,FALSE)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5" s="48" t="str">
        <f ca="1">VLOOKUP($F255,OFFSET(enemy_skill_triggers!$A$1,0,0,COUNTA(enemy_skill_triggers!$A:$A),MATCH(J$1,enemy_skill_triggers!$1:$1,0)-MATCH($F$1,enemy_skill_triggers!$1:$1,0)+1),MATCH(J$1,enemy_skill_triggers!$1:$1,0)-MATCH($F$1,enemy_skill_triggers!$1:$1,0)+1,FALSE)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5" s="48" t="str">
        <f ca="1">VLOOKUP($F255,OFFSET(enemy_skill_triggers!$A$1,0,0,COUNTA(enemy_skill_triggers!$A:$A),MATCH(K$1,enemy_skill_triggers!$1:$1,0)-MATCH($F$1,enemy_skill_triggers!$1:$1,0)+1),MATCH(K$1,enemy_skill_triggers!$1:$1,0)-MATCH($F$1,enemy_skill_triggers!$1:$1,0)+1,FALSE)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5" s="48">
        <f ca="1">VLOOKUP($F255,OFFSET(enemy_skill_triggers!$A$1,0,0,COUNTA(enemy_skill_triggers!$A:$A),MATCH(L$1,enemy_skill_triggers!$1:$1,0)-MATCH($F$1,enemy_skill_triggers!$1:$1,0)+1),MATCH(L$1,enemy_skill_triggers!$1:$1,0)-MATCH($F$1,enemy_skill_triggers!$1:$1,0)+1,FALSE)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5" s="48">
        <f ca="1">VLOOKUP($F255,OFFSET(enemy_skill_triggers!$A$1,0,0,COUNTA(enemy_skill_triggers!$A:$A),MATCH(M$1,enemy_skill_triggers!$1:$1,0)-MATCH($F$1,enemy_skill_triggers!$1:$1,0)+1),MATCH(M$1,enemy_skill_triggers!$1:$1,0)-MATCH($F$1,enemy_skill_triggers!$1:$1,0)+1,FALSE)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5" s="48">
        <f ca="1">VLOOKUP($F255,OFFSET(enemy_skill_triggers!$A$1,0,0,COUNTA(enemy_skill_triggers!$A:$A),MATCH(N$1,enemy_skill_triggers!$1:$1,0)-MATCH($F$1,enemy_skill_triggers!$1:$1,0)+1),MATCH(N$1,enemy_skill_triggers!$1:$1,0)-MATCH($F$1,enemy_skill_triggers!$1:$1,0)+1,FALSE)</f>
        <v>1584</v>
      </c>
      <c r="O255" s="48">
        <f ca="1">VLOOKUP($F255,OFFSET(enemy_skill_triggers!$A$1,0,0,COUNTA(enemy_skill_triggers!$A:$A),MATCH(O$1,enemy_skill_triggers!$1:$1,0)-MATCH($F$1,enemy_skill_triggers!$1:$1,0)+1),MATCH(O$1,enemy_skill_triggers!$1:$1,0)-MATCH($F$1,enemy_skill_triggers!$1:$1,0)+1,FALSE)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5" s="47"/>
      <c r="Q255" s="47"/>
      <c r="R255" s="47"/>
    </row>
    <row r="256" spans="1:18" ht="15" customHeight="1" x14ac:dyDescent="0.15">
      <c r="A256" s="39" t="str">
        <f t="shared" si="17"/>
        <v>49016420_49016916</v>
      </c>
      <c r="B256" s="111">
        <v>49016420</v>
      </c>
      <c r="C256" s="170">
        <v>49016916</v>
      </c>
      <c r="D256" s="46" t="str">
        <f ca="1">VLOOKUP($C256,OFFSET(enemy_skills!$A$1,0,0,COUNTA(enemy_skills!$A:$A),MATCH(D$1,enemy_skills!$1:$1,0)-MATCH("enemy_skill_id",enemy_skills!$1:$1,0)+1),MATCH(D$1,enemy_skills!$1:$1,0)-MATCH("enemy_skill_id",enemy_skills!$1:$1,0)+1,FALSE)</f>
        <v>ねぇ あなたたちは…_x000D_社とシェルミー、知りませんか？</v>
      </c>
      <c r="E256" s="46" t="str">
        <f ca="1">VLOOKUP($C256,OFFSET(enemy_skills!$A$1,0,0,COUNTA(enemy_skills!$A:$A),MATCH(E$1,enemy_skills!$1:$1,0)-MATCH("enemy_skill_id",enemy_skills!$1:$1,0)+1),MATCH(E$1,enemy_skills!$1:$1,0)-MATCH("enemy_skill_id",enemy_skills!$1:$1,0)+1,FALSE)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256" s="170">
        <v>49016916</v>
      </c>
      <c r="G256" s="48">
        <f ca="1">VLOOKUP($F256,OFFSET(enemy_skill_triggers!$A$1,0,0,COUNTA(enemy_skill_triggers!$A:$A),MATCH(G$1,enemy_skill_triggers!$1:$1,0)-MATCH($F$1,enemy_skill_triggers!$1:$1,0)+1),MATCH(G$1,enemy_skill_triggers!$1:$1,0)-MATCH($F$1,enemy_skill_triggers!$1:$1,0)+1,FALSE)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6" s="48">
        <f ca="1">VLOOKUP($F256,OFFSET(enemy_skill_triggers!$A$1,0,0,COUNTA(enemy_skill_triggers!$A:$A),MATCH(H$1,enemy_skill_triggers!$1:$1,0)-MATCH($F$1,enemy_skill_triggers!$1:$1,0)+1),MATCH(H$1,enemy_skill_triggers!$1:$1,0)-MATCH($F$1,enemy_skill_triggers!$1:$1,0)+1,FALSE)</f>
        <v>616</v>
      </c>
      <c r="I256" s="48">
        <f ca="1">VLOOKUP($F256,OFFSET(enemy_skill_triggers!$A$1,0,0,COUNTA(enemy_skill_triggers!$A:$A),MATCH(I$1,enemy_skill_triggers!$1:$1,0)-MATCH($F$1,enemy_skill_triggers!$1:$1,0)+1),MATCH(I$1,enemy_skill_triggers!$1:$1,0)-MATCH($F$1,enemy_skill_triggers!$1:$1,0)+1,FALSE)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6" s="48" t="str">
        <f ca="1">VLOOKUP($F256,OFFSET(enemy_skill_triggers!$A$1,0,0,COUNTA(enemy_skill_triggers!$A:$A),MATCH(J$1,enemy_skill_triggers!$1:$1,0)-MATCH($F$1,enemy_skill_triggers!$1:$1,0)+1),MATCH(J$1,enemy_skill_triggers!$1:$1,0)-MATCH($F$1,enemy_skill_triggers!$1:$1,0)+1,FALSE)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6" s="48" t="str">
        <f ca="1">VLOOKUP($F256,OFFSET(enemy_skill_triggers!$A$1,0,0,COUNTA(enemy_skill_triggers!$A:$A),MATCH(K$1,enemy_skill_triggers!$1:$1,0)-MATCH($F$1,enemy_skill_triggers!$1:$1,0)+1),MATCH(K$1,enemy_skill_triggers!$1:$1,0)-MATCH($F$1,enemy_skill_triggers!$1:$1,0)+1,FALSE)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6" s="48">
        <f ca="1">VLOOKUP($F256,OFFSET(enemy_skill_triggers!$A$1,0,0,COUNTA(enemy_skill_triggers!$A:$A),MATCH(L$1,enemy_skill_triggers!$1:$1,0)-MATCH($F$1,enemy_skill_triggers!$1:$1,0)+1),MATCH(L$1,enemy_skill_triggers!$1:$1,0)-MATCH($F$1,enemy_skill_triggers!$1:$1,0)+1,FALSE)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6" s="48">
        <f ca="1">VLOOKUP($F256,OFFSET(enemy_skill_triggers!$A$1,0,0,COUNTA(enemy_skill_triggers!$A:$A),MATCH(M$1,enemy_skill_triggers!$1:$1,0)-MATCH($F$1,enemy_skill_triggers!$1:$1,0)+1),MATCH(M$1,enemy_skill_triggers!$1:$1,0)-MATCH($F$1,enemy_skill_triggers!$1:$1,0)+1,FALSE)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6" s="48">
        <f ca="1">VLOOKUP($F256,OFFSET(enemy_skill_triggers!$A$1,0,0,COUNTA(enemy_skill_triggers!$A:$A),MATCH(N$1,enemy_skill_triggers!$1:$1,0)-MATCH($F$1,enemy_skill_triggers!$1:$1,0)+1),MATCH(N$1,enemy_skill_triggers!$1:$1,0)-MATCH($F$1,enemy_skill_triggers!$1:$1,0)+1,FALSE)</f>
        <v>1587</v>
      </c>
      <c r="O256" s="48">
        <f ca="1">VLOOKUP($F256,OFFSET(enemy_skill_triggers!$A$1,0,0,COUNTA(enemy_skill_triggers!$A:$A),MATCH(O$1,enemy_skill_triggers!$1:$1,0)-MATCH($F$1,enemy_skill_triggers!$1:$1,0)+1),MATCH(O$1,enemy_skill_triggers!$1:$1,0)-MATCH($F$1,enemy_skill_triggers!$1:$1,0)+1,FALSE)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6" s="47"/>
      <c r="Q256" s="47"/>
      <c r="R256" s="47"/>
    </row>
    <row r="257" spans="1:18" ht="15" customHeight="1" x14ac:dyDescent="0.15">
      <c r="A257" s="39" t="str">
        <f t="shared" si="17"/>
        <v>49016420_49016917</v>
      </c>
      <c r="B257" s="111">
        <v>49016420</v>
      </c>
      <c r="C257" s="170">
        <v>49016917</v>
      </c>
      <c r="D257" s="46" t="str">
        <f ca="1">VLOOKUP($C257,OFFSET(enemy_skills!$A$1,0,0,COUNTA(enemy_skills!$A:$A),MATCH(D$1,enemy_skills!$1:$1,0)-MATCH("enemy_skill_id",enemy_skills!$1:$1,0)+1),MATCH(D$1,enemy_skills!$1:$1,0)-MATCH("enemy_skill_id",enemy_skills!$1:$1,0)+1,FALSE)</f>
        <v>その炎は…！_x000D_この痛み、この記憶は…？</v>
      </c>
      <c r="E257" s="46" t="str">
        <f ca="1">VLOOKUP($C257,OFFSET(enemy_skills!$A$1,0,0,COUNTA(enemy_skills!$A:$A),MATCH(E$1,enemy_skills!$1:$1,0)-MATCH("enemy_skill_id",enemy_skills!$1:$1,0)+1),MATCH(E$1,enemy_skills!$1:$1,0)-MATCH("enemy_skill_id",enemy_skills!$1:$1,0)+1,FALSE)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257" s="170">
        <v>49016917</v>
      </c>
      <c r="G257" s="48">
        <f ca="1">VLOOKUP($F257,OFFSET(enemy_skill_triggers!$A$1,0,0,COUNTA(enemy_skill_triggers!$A:$A),MATCH(G$1,enemy_skill_triggers!$1:$1,0)-MATCH($F$1,enemy_skill_triggers!$1:$1,0)+1),MATCH(G$1,enemy_skill_triggers!$1:$1,0)-MATCH($F$1,enemy_skill_triggers!$1:$1,0)+1,FALSE)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7" s="48">
        <f ca="1">VLOOKUP($F257,OFFSET(enemy_skill_triggers!$A$1,0,0,COUNTA(enemy_skill_triggers!$A:$A),MATCH(H$1,enemy_skill_triggers!$1:$1,0)-MATCH($F$1,enemy_skill_triggers!$1:$1,0)+1),MATCH(H$1,enemy_skill_triggers!$1:$1,0)-MATCH($F$1,enemy_skill_triggers!$1:$1,0)+1,FALSE)</f>
        <v>627</v>
      </c>
      <c r="I257" s="48">
        <f ca="1">VLOOKUP($F257,OFFSET(enemy_skill_triggers!$A$1,0,0,COUNTA(enemy_skill_triggers!$A:$A),MATCH(I$1,enemy_skill_triggers!$1:$1,0)-MATCH($F$1,enemy_skill_triggers!$1:$1,0)+1),MATCH(I$1,enemy_skill_triggers!$1:$1,0)-MATCH($F$1,enemy_skill_triggers!$1:$1,0)+1,FALSE)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7" s="48" t="str">
        <f ca="1">VLOOKUP($F257,OFFSET(enemy_skill_triggers!$A$1,0,0,COUNTA(enemy_skill_triggers!$A:$A),MATCH(J$1,enemy_skill_triggers!$1:$1,0)-MATCH($F$1,enemy_skill_triggers!$1:$1,0)+1),MATCH(J$1,enemy_skill_triggers!$1:$1,0)-MATCH($F$1,enemy_skill_triggers!$1:$1,0)+1,FALSE)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7" s="48" t="str">
        <f ca="1">VLOOKUP($F257,OFFSET(enemy_skill_triggers!$A$1,0,0,COUNTA(enemy_skill_triggers!$A:$A),MATCH(K$1,enemy_skill_triggers!$1:$1,0)-MATCH($F$1,enemy_skill_triggers!$1:$1,0)+1),MATCH(K$1,enemy_skill_triggers!$1:$1,0)-MATCH($F$1,enemy_skill_triggers!$1:$1,0)+1,FALSE)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7" s="48">
        <f ca="1">VLOOKUP($F257,OFFSET(enemy_skill_triggers!$A$1,0,0,COUNTA(enemy_skill_triggers!$A:$A),MATCH(L$1,enemy_skill_triggers!$1:$1,0)-MATCH($F$1,enemy_skill_triggers!$1:$1,0)+1),MATCH(L$1,enemy_skill_triggers!$1:$1,0)-MATCH($F$1,enemy_skill_triggers!$1:$1,0)+1,FALSE)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7" s="48">
        <f ca="1">VLOOKUP($F257,OFFSET(enemy_skill_triggers!$A$1,0,0,COUNTA(enemy_skill_triggers!$A:$A),MATCH(M$1,enemy_skill_triggers!$1:$1,0)-MATCH($F$1,enemy_skill_triggers!$1:$1,0)+1),MATCH(M$1,enemy_skill_triggers!$1:$1,0)-MATCH($F$1,enemy_skill_triggers!$1:$1,0)+1,FALSE)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7" s="48">
        <f ca="1">VLOOKUP($F257,OFFSET(enemy_skill_triggers!$A$1,0,0,COUNTA(enemy_skill_triggers!$A:$A),MATCH(N$1,enemy_skill_triggers!$1:$1,0)-MATCH($F$1,enemy_skill_triggers!$1:$1,0)+1),MATCH(N$1,enemy_skill_triggers!$1:$1,0)-MATCH($F$1,enemy_skill_triggers!$1:$1,0)+1,FALSE)</f>
        <v>1551</v>
      </c>
      <c r="O257" s="48">
        <f ca="1">VLOOKUP($F257,OFFSET(enemy_skill_triggers!$A$1,0,0,COUNTA(enemy_skill_triggers!$A:$A),MATCH(O$1,enemy_skill_triggers!$1:$1,0)-MATCH($F$1,enemy_skill_triggers!$1:$1,0)+1),MATCH(O$1,enemy_skill_triggers!$1:$1,0)-MATCH($F$1,enemy_skill_triggers!$1:$1,0)+1,FALSE)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7" s="47"/>
      <c r="Q257" s="47"/>
      <c r="R257" s="47"/>
    </row>
    <row r="258" spans="1:18" ht="15" customHeight="1" x14ac:dyDescent="0.15">
      <c r="A258" s="39" t="str">
        <f t="shared" si="17"/>
        <v>49016420_49016918</v>
      </c>
      <c r="B258" s="111">
        <v>49016420</v>
      </c>
      <c r="C258" s="170">
        <v>49016918</v>
      </c>
      <c r="D258" s="46" t="str">
        <f ca="1">VLOOKUP($C258,OFFSET(enemy_skills!$A$1,0,0,COUNTA(enemy_skills!$A:$A),MATCH(D$1,enemy_skills!$1:$1,0)-MATCH("enemy_skill_id",enemy_skills!$1:$1,0)+1),MATCH(D$1,enemy_skills!$1:$1,0)-MATCH("enemy_skill_id",enemy_skills!$1:$1,0)+1,FALSE)</f>
        <v>その炎は…！_x000D_この痛み、この記憶は…？</v>
      </c>
      <c r="E258" s="46" t="str">
        <f ca="1">VLOOKUP($C258,OFFSET(enemy_skills!$A$1,0,0,COUNTA(enemy_skills!$A:$A),MATCH(E$1,enemy_skills!$1:$1,0)-MATCH("enemy_skill_id",enemy_skills!$1:$1,0)+1),MATCH(E$1,enemy_skills!$1:$1,0)-MATCH("enemy_skill_id",enemy_skills!$1:$1,0)+1,FALSE)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258" s="170">
        <v>49016918</v>
      </c>
      <c r="G258" s="48">
        <f ca="1">VLOOKUP($F258,OFFSET(enemy_skill_triggers!$A$1,0,0,COUNTA(enemy_skill_triggers!$A:$A),MATCH(G$1,enemy_skill_triggers!$1:$1,0)-MATCH($F$1,enemy_skill_triggers!$1:$1,0)+1),MATCH(G$1,enemy_skill_triggers!$1:$1,0)-MATCH($F$1,enemy_skill_triggers!$1:$1,0)+1,FALSE)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8" s="48">
        <f ca="1">VLOOKUP($F258,OFFSET(enemy_skill_triggers!$A$1,0,0,COUNTA(enemy_skill_triggers!$A:$A),MATCH(H$1,enemy_skill_triggers!$1:$1,0)-MATCH($F$1,enemy_skill_triggers!$1:$1,0)+1),MATCH(H$1,enemy_skill_triggers!$1:$1,0)-MATCH($F$1,enemy_skill_triggers!$1:$1,0)+1,FALSE)</f>
        <v>628</v>
      </c>
      <c r="I258" s="48">
        <f ca="1">VLOOKUP($F258,OFFSET(enemy_skill_triggers!$A$1,0,0,COUNTA(enemy_skill_triggers!$A:$A),MATCH(I$1,enemy_skill_triggers!$1:$1,0)-MATCH($F$1,enemy_skill_triggers!$1:$1,0)+1),MATCH(I$1,enemy_skill_triggers!$1:$1,0)-MATCH($F$1,enemy_skill_triggers!$1:$1,0)+1,FALSE)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8" s="48" t="str">
        <f ca="1">VLOOKUP($F258,OFFSET(enemy_skill_triggers!$A$1,0,0,COUNTA(enemy_skill_triggers!$A:$A),MATCH(J$1,enemy_skill_triggers!$1:$1,0)-MATCH($F$1,enemy_skill_triggers!$1:$1,0)+1),MATCH(J$1,enemy_skill_triggers!$1:$1,0)-MATCH($F$1,enemy_skill_triggers!$1:$1,0)+1,FALSE)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8" s="48" t="str">
        <f ca="1">VLOOKUP($F258,OFFSET(enemy_skill_triggers!$A$1,0,0,COUNTA(enemy_skill_triggers!$A:$A),MATCH(K$1,enemy_skill_triggers!$1:$1,0)-MATCH($F$1,enemy_skill_triggers!$1:$1,0)+1),MATCH(K$1,enemy_skill_triggers!$1:$1,0)-MATCH($F$1,enemy_skill_triggers!$1:$1,0)+1,FALSE)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8" s="48">
        <f ca="1">VLOOKUP($F258,OFFSET(enemy_skill_triggers!$A$1,0,0,COUNTA(enemy_skill_triggers!$A:$A),MATCH(L$1,enemy_skill_triggers!$1:$1,0)-MATCH($F$1,enemy_skill_triggers!$1:$1,0)+1),MATCH(L$1,enemy_skill_triggers!$1:$1,0)-MATCH($F$1,enemy_skill_triggers!$1:$1,0)+1,FALSE)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8" s="48">
        <f ca="1">VLOOKUP($F258,OFFSET(enemy_skill_triggers!$A$1,0,0,COUNTA(enemy_skill_triggers!$A:$A),MATCH(M$1,enemy_skill_triggers!$1:$1,0)-MATCH($F$1,enemy_skill_triggers!$1:$1,0)+1),MATCH(M$1,enemy_skill_triggers!$1:$1,0)-MATCH($F$1,enemy_skill_triggers!$1:$1,0)+1,FALSE)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8" s="48">
        <f ca="1">VLOOKUP($F258,OFFSET(enemy_skill_triggers!$A$1,0,0,COUNTA(enemy_skill_triggers!$A:$A),MATCH(N$1,enemy_skill_triggers!$1:$1,0)-MATCH($F$1,enemy_skill_triggers!$1:$1,0)+1),MATCH(N$1,enemy_skill_triggers!$1:$1,0)-MATCH($F$1,enemy_skill_triggers!$1:$1,0)+1,FALSE)</f>
        <v>1552</v>
      </c>
      <c r="O258" s="48">
        <f ca="1">VLOOKUP($F258,OFFSET(enemy_skill_triggers!$A$1,0,0,COUNTA(enemy_skill_triggers!$A:$A),MATCH(O$1,enemy_skill_triggers!$1:$1,0)-MATCH($F$1,enemy_skill_triggers!$1:$1,0)+1),MATCH(O$1,enemy_skill_triggers!$1:$1,0)-MATCH($F$1,enemy_skill_triggers!$1:$1,0)+1,FALSE)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8" s="47"/>
      <c r="Q258" s="47"/>
      <c r="R258" s="47"/>
    </row>
    <row r="259" spans="1:18" ht="15" customHeight="1" x14ac:dyDescent="0.15">
      <c r="A259" s="39" t="str">
        <f t="shared" si="17"/>
        <v>49016420_49016919</v>
      </c>
      <c r="B259" s="111">
        <v>49016420</v>
      </c>
      <c r="C259" s="170">
        <v>49016919</v>
      </c>
      <c r="D259" s="46" t="str">
        <f ca="1">VLOOKUP($C259,OFFSET(enemy_skills!$A$1,0,0,COUNTA(enemy_skills!$A:$A),MATCH(D$1,enemy_skills!$1:$1,0)-MATCH("enemy_skill_id",enemy_skills!$1:$1,0)+1),MATCH(D$1,enemy_skills!$1:$1,0)-MATCH("enemy_skill_id",enemy_skills!$1:$1,0)+1,FALSE)</f>
        <v>わぁ すごい格好ですね_x000D_シェルミーならなんていうかなぁ</v>
      </c>
      <c r="E259" s="46" t="str">
        <f ca="1">VLOOKUP($C259,OFFSET(enemy_skills!$A$1,0,0,COUNTA(enemy_skills!$A:$A),MATCH(E$1,enemy_skills!$1:$1,0)-MATCH("enemy_skill_id",enemy_skills!$1:$1,0)+1),MATCH(E$1,enemy_skills!$1:$1,0)-MATCH("enemy_skill_id",enemy_skills!$1:$1,0)+1,FALSE)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259" s="170">
        <v>49016919</v>
      </c>
      <c r="G259" s="48">
        <f ca="1">VLOOKUP($F259,OFFSET(enemy_skill_triggers!$A$1,0,0,COUNTA(enemy_skill_triggers!$A:$A),MATCH(G$1,enemy_skill_triggers!$1:$1,0)-MATCH($F$1,enemy_skill_triggers!$1:$1,0)+1),MATCH(G$1,enemy_skill_triggers!$1:$1,0)-MATCH($F$1,enemy_skill_triggers!$1:$1,0)+1,FALSE)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9" s="48">
        <f ca="1">VLOOKUP($F259,OFFSET(enemy_skill_triggers!$A$1,0,0,COUNTA(enemy_skill_triggers!$A:$A),MATCH(H$1,enemy_skill_triggers!$1:$1,0)-MATCH($F$1,enemy_skill_triggers!$1:$1,0)+1),MATCH(H$1,enemy_skill_triggers!$1:$1,0)-MATCH($F$1,enemy_skill_triggers!$1:$1,0)+1,FALSE)</f>
        <v>625</v>
      </c>
      <c r="I259" s="48">
        <f ca="1">VLOOKUP($F259,OFFSET(enemy_skill_triggers!$A$1,0,0,COUNTA(enemy_skill_triggers!$A:$A),MATCH(I$1,enemy_skill_triggers!$1:$1,0)-MATCH($F$1,enemy_skill_triggers!$1:$1,0)+1),MATCH(I$1,enemy_skill_triggers!$1:$1,0)-MATCH($F$1,enemy_skill_triggers!$1:$1,0)+1,FALSE)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9" s="48" t="str">
        <f ca="1">VLOOKUP($F259,OFFSET(enemy_skill_triggers!$A$1,0,0,COUNTA(enemy_skill_triggers!$A:$A),MATCH(J$1,enemy_skill_triggers!$1:$1,0)-MATCH($F$1,enemy_skill_triggers!$1:$1,0)+1),MATCH(J$1,enemy_skill_triggers!$1:$1,0)-MATCH($F$1,enemy_skill_triggers!$1:$1,0)+1,FALSE)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9" s="48" t="str">
        <f ca="1">VLOOKUP($F259,OFFSET(enemy_skill_triggers!$A$1,0,0,COUNTA(enemy_skill_triggers!$A:$A),MATCH(K$1,enemy_skill_triggers!$1:$1,0)-MATCH($F$1,enemy_skill_triggers!$1:$1,0)+1),MATCH(K$1,enemy_skill_triggers!$1:$1,0)-MATCH($F$1,enemy_skill_triggers!$1:$1,0)+1,FALSE)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9" s="48">
        <f ca="1">VLOOKUP($F259,OFFSET(enemy_skill_triggers!$A$1,0,0,COUNTA(enemy_skill_triggers!$A:$A),MATCH(L$1,enemy_skill_triggers!$1:$1,0)-MATCH($F$1,enemy_skill_triggers!$1:$1,0)+1),MATCH(L$1,enemy_skill_triggers!$1:$1,0)-MATCH($F$1,enemy_skill_triggers!$1:$1,0)+1,FALSE)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9" s="48">
        <f ca="1">VLOOKUP($F259,OFFSET(enemy_skill_triggers!$A$1,0,0,COUNTA(enemy_skill_triggers!$A:$A),MATCH(M$1,enemy_skill_triggers!$1:$1,0)-MATCH($F$1,enemy_skill_triggers!$1:$1,0)+1),MATCH(M$1,enemy_skill_triggers!$1:$1,0)-MATCH($F$1,enemy_skill_triggers!$1:$1,0)+1,FALSE)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9" s="48">
        <f ca="1">VLOOKUP($F259,OFFSET(enemy_skill_triggers!$A$1,0,0,COUNTA(enemy_skill_triggers!$A:$A),MATCH(N$1,enemy_skill_triggers!$1:$1,0)-MATCH($F$1,enemy_skill_triggers!$1:$1,0)+1),MATCH(N$1,enemy_skill_triggers!$1:$1,0)-MATCH($F$1,enemy_skill_triggers!$1:$1,0)+1,FALSE)</f>
        <v>1566</v>
      </c>
      <c r="O259" s="48">
        <f ca="1">VLOOKUP($F259,OFFSET(enemy_skill_triggers!$A$1,0,0,COUNTA(enemy_skill_triggers!$A:$A),MATCH(O$1,enemy_skill_triggers!$1:$1,0)-MATCH($F$1,enemy_skill_triggers!$1:$1,0)+1),MATCH(O$1,enemy_skill_triggers!$1:$1,0)-MATCH($F$1,enemy_skill_triggers!$1:$1,0)+1,FALSE)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9" s="47"/>
      <c r="Q259" s="47"/>
      <c r="R259" s="47"/>
    </row>
    <row r="260" spans="1:18" ht="15" customHeight="1" x14ac:dyDescent="0.15">
      <c r="A260" s="39" t="str">
        <f t="shared" si="17"/>
        <v>49016420_49016920</v>
      </c>
      <c r="B260" s="111">
        <v>49016420</v>
      </c>
      <c r="C260" s="170">
        <v>49016920</v>
      </c>
      <c r="D260" s="46" t="str">
        <f ca="1">VLOOKUP($C260,OFFSET(enemy_skills!$A$1,0,0,COUNTA(enemy_skills!$A:$A),MATCH(D$1,enemy_skills!$1:$1,0)-MATCH("enemy_skill_id",enemy_skills!$1:$1,0)+1),MATCH(D$1,enemy_skills!$1:$1,0)-MATCH("enemy_skill_id",enemy_skills!$1:$1,0)+1,FALSE)</f>
        <v>わぁ すごい格好ですね_x000D_シェルミーならなんていうかなぁ</v>
      </c>
      <c r="E260" s="46" t="str">
        <f ca="1">VLOOKUP($C260,OFFSET(enemy_skills!$A$1,0,0,COUNTA(enemy_skills!$A:$A),MATCH(E$1,enemy_skills!$1:$1,0)-MATCH("enemy_skill_id",enemy_skills!$1:$1,0)+1),MATCH(E$1,enemy_skills!$1:$1,0)-MATCH("enemy_skill_id",enemy_skills!$1:$1,0)+1,FALSE)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260" s="170">
        <v>49016920</v>
      </c>
      <c r="G260" s="48">
        <f ca="1">VLOOKUP($F260,OFFSET(enemy_skill_triggers!$A$1,0,0,COUNTA(enemy_skill_triggers!$A:$A),MATCH(G$1,enemy_skill_triggers!$1:$1,0)-MATCH($F$1,enemy_skill_triggers!$1:$1,0)+1),MATCH(G$1,enemy_skill_triggers!$1:$1,0)-MATCH($F$1,enemy_skill_triggers!$1:$1,0)+1,FALSE)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0" s="48">
        <f ca="1">VLOOKUP($F260,OFFSET(enemy_skill_triggers!$A$1,0,0,COUNTA(enemy_skill_triggers!$A:$A),MATCH(H$1,enemy_skill_triggers!$1:$1,0)-MATCH($F$1,enemy_skill_triggers!$1:$1,0)+1),MATCH(H$1,enemy_skill_triggers!$1:$1,0)-MATCH($F$1,enemy_skill_triggers!$1:$1,0)+1,FALSE)</f>
        <v>626</v>
      </c>
      <c r="I260" s="48">
        <f ca="1">VLOOKUP($F260,OFFSET(enemy_skill_triggers!$A$1,0,0,COUNTA(enemy_skill_triggers!$A:$A),MATCH(I$1,enemy_skill_triggers!$1:$1,0)-MATCH($F$1,enemy_skill_triggers!$1:$1,0)+1),MATCH(I$1,enemy_skill_triggers!$1:$1,0)-MATCH($F$1,enemy_skill_triggers!$1:$1,0)+1,FALSE)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0" s="48" t="str">
        <f ca="1">VLOOKUP($F260,OFFSET(enemy_skill_triggers!$A$1,0,0,COUNTA(enemy_skill_triggers!$A:$A),MATCH(J$1,enemy_skill_triggers!$1:$1,0)-MATCH($F$1,enemy_skill_triggers!$1:$1,0)+1),MATCH(J$1,enemy_skill_triggers!$1:$1,0)-MATCH($F$1,enemy_skill_triggers!$1:$1,0)+1,FALSE)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0" s="48" t="str">
        <f ca="1">VLOOKUP($F260,OFFSET(enemy_skill_triggers!$A$1,0,0,COUNTA(enemy_skill_triggers!$A:$A),MATCH(K$1,enemy_skill_triggers!$1:$1,0)-MATCH($F$1,enemy_skill_triggers!$1:$1,0)+1),MATCH(K$1,enemy_skill_triggers!$1:$1,0)-MATCH($F$1,enemy_skill_triggers!$1:$1,0)+1,FALSE)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0" s="48">
        <f ca="1">VLOOKUP($F260,OFFSET(enemy_skill_triggers!$A$1,0,0,COUNTA(enemy_skill_triggers!$A:$A),MATCH(L$1,enemy_skill_triggers!$1:$1,0)-MATCH($F$1,enemy_skill_triggers!$1:$1,0)+1),MATCH(L$1,enemy_skill_triggers!$1:$1,0)-MATCH($F$1,enemy_skill_triggers!$1:$1,0)+1,FALSE)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0" s="48">
        <f ca="1">VLOOKUP($F260,OFFSET(enemy_skill_triggers!$A$1,0,0,COUNTA(enemy_skill_triggers!$A:$A),MATCH(M$1,enemy_skill_triggers!$1:$1,0)-MATCH($F$1,enemy_skill_triggers!$1:$1,0)+1),MATCH(M$1,enemy_skill_triggers!$1:$1,0)-MATCH($F$1,enemy_skill_triggers!$1:$1,0)+1,FALSE)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0" s="48">
        <f ca="1">VLOOKUP($F260,OFFSET(enemy_skill_triggers!$A$1,0,0,COUNTA(enemy_skill_triggers!$A:$A),MATCH(N$1,enemy_skill_triggers!$1:$1,0)-MATCH($F$1,enemy_skill_triggers!$1:$1,0)+1),MATCH(N$1,enemy_skill_triggers!$1:$1,0)-MATCH($F$1,enemy_skill_triggers!$1:$1,0)+1,FALSE)</f>
        <v>1567</v>
      </c>
      <c r="O260" s="48">
        <f ca="1">VLOOKUP($F260,OFFSET(enemy_skill_triggers!$A$1,0,0,COUNTA(enemy_skill_triggers!$A:$A),MATCH(O$1,enemy_skill_triggers!$1:$1,0)-MATCH($F$1,enemy_skill_triggers!$1:$1,0)+1),MATCH(O$1,enemy_skill_triggers!$1:$1,0)-MATCH($F$1,enemy_skill_triggers!$1:$1,0)+1,FALSE)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0" s="47"/>
      <c r="Q260" s="47"/>
      <c r="R260" s="47"/>
    </row>
    <row r="261" spans="1:18" ht="15" customHeight="1" x14ac:dyDescent="0.15">
      <c r="A261" s="39" t="str">
        <f t="shared" si="17"/>
        <v>49016420_49016921</v>
      </c>
      <c r="B261" s="111">
        <v>49016420</v>
      </c>
      <c r="C261" s="170">
        <v>49016921</v>
      </c>
      <c r="D261" s="46" t="str">
        <f ca="1">VLOOKUP($C261,OFFSET(enemy_skills!$A$1,0,0,COUNTA(enemy_skills!$A:$A),MATCH(D$1,enemy_skills!$1:$1,0)-MATCH("enemy_skill_id",enemy_skills!$1:$1,0)+1),MATCH(D$1,enemy_skills!$1:$1,0)-MATCH("enemy_skill_id",enemy_skills!$1:$1,0)+1,FALSE)</f>
        <v>やだなぁ 強そう…_x000D_相手なら社にしてもらってよ</v>
      </c>
      <c r="E261" s="46" t="str">
        <f ca="1">VLOOKUP($C261,OFFSET(enemy_skills!$A$1,0,0,COUNTA(enemy_skills!$A:$A),MATCH(E$1,enemy_skills!$1:$1,0)-MATCH("enemy_skill_id",enemy_skills!$1:$1,0)+1),MATCH(E$1,enemy_skills!$1:$1,0)-MATCH("enemy_skill_id",enemy_skills!$1:$1,0)+1,FALSE)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261" s="170">
        <v>49016921</v>
      </c>
      <c r="G261" s="48">
        <f ca="1">VLOOKUP($F261,OFFSET(enemy_skill_triggers!$A$1,0,0,COUNTA(enemy_skill_triggers!$A:$A),MATCH(G$1,enemy_skill_triggers!$1:$1,0)-MATCH($F$1,enemy_skill_triggers!$1:$1,0)+1),MATCH(G$1,enemy_skill_triggers!$1:$1,0)-MATCH($F$1,enemy_skill_triggers!$1:$1,0)+1,FALSE)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1" s="48">
        <f ca="1">VLOOKUP($F261,OFFSET(enemy_skill_triggers!$A$1,0,0,COUNTA(enemy_skill_triggers!$A:$A),MATCH(H$1,enemy_skill_triggers!$1:$1,0)-MATCH($F$1,enemy_skill_triggers!$1:$1,0)+1),MATCH(H$1,enemy_skill_triggers!$1:$1,0)-MATCH($F$1,enemy_skill_triggers!$1:$1,0)+1,FALSE)</f>
        <v>623</v>
      </c>
      <c r="I261" s="48">
        <f ca="1">VLOOKUP($F261,OFFSET(enemy_skill_triggers!$A$1,0,0,COUNTA(enemy_skill_triggers!$A:$A),MATCH(I$1,enemy_skill_triggers!$1:$1,0)-MATCH($F$1,enemy_skill_triggers!$1:$1,0)+1),MATCH(I$1,enemy_skill_triggers!$1:$1,0)-MATCH($F$1,enemy_skill_triggers!$1:$1,0)+1,FALSE)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1" s="48" t="str">
        <f ca="1">VLOOKUP($F261,OFFSET(enemy_skill_triggers!$A$1,0,0,COUNTA(enemy_skill_triggers!$A:$A),MATCH(J$1,enemy_skill_triggers!$1:$1,0)-MATCH($F$1,enemy_skill_triggers!$1:$1,0)+1),MATCH(J$1,enemy_skill_triggers!$1:$1,0)-MATCH($F$1,enemy_skill_triggers!$1:$1,0)+1,FALSE)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1" s="48" t="str">
        <f ca="1">VLOOKUP($F261,OFFSET(enemy_skill_triggers!$A$1,0,0,COUNTA(enemy_skill_triggers!$A:$A),MATCH(K$1,enemy_skill_triggers!$1:$1,0)-MATCH($F$1,enemy_skill_triggers!$1:$1,0)+1),MATCH(K$1,enemy_skill_triggers!$1:$1,0)-MATCH($F$1,enemy_skill_triggers!$1:$1,0)+1,FALSE)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1" s="48">
        <f ca="1">VLOOKUP($F261,OFFSET(enemy_skill_triggers!$A$1,0,0,COUNTA(enemy_skill_triggers!$A:$A),MATCH(L$1,enemy_skill_triggers!$1:$1,0)-MATCH($F$1,enemy_skill_triggers!$1:$1,0)+1),MATCH(L$1,enemy_skill_triggers!$1:$1,0)-MATCH($F$1,enemy_skill_triggers!$1:$1,0)+1,FALSE)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1" s="48">
        <f ca="1">VLOOKUP($F261,OFFSET(enemy_skill_triggers!$A$1,0,0,COUNTA(enemy_skill_triggers!$A:$A),MATCH(M$1,enemy_skill_triggers!$1:$1,0)-MATCH($F$1,enemy_skill_triggers!$1:$1,0)+1),MATCH(M$1,enemy_skill_triggers!$1:$1,0)-MATCH($F$1,enemy_skill_triggers!$1:$1,0)+1,FALSE)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1" s="48">
        <f ca="1">VLOOKUP($F261,OFFSET(enemy_skill_triggers!$A$1,0,0,COUNTA(enemy_skill_triggers!$A:$A),MATCH(N$1,enemy_skill_triggers!$1:$1,0)-MATCH($F$1,enemy_skill_triggers!$1:$1,0)+1),MATCH(N$1,enemy_skill_triggers!$1:$1,0)-MATCH($F$1,enemy_skill_triggers!$1:$1,0)+1,FALSE)</f>
        <v>1563</v>
      </c>
      <c r="O261" s="48">
        <f ca="1">VLOOKUP($F261,OFFSET(enemy_skill_triggers!$A$1,0,0,COUNTA(enemy_skill_triggers!$A:$A),MATCH(O$1,enemy_skill_triggers!$1:$1,0)-MATCH($F$1,enemy_skill_triggers!$1:$1,0)+1),MATCH(O$1,enemy_skill_triggers!$1:$1,0)-MATCH($F$1,enemy_skill_triggers!$1:$1,0)+1,FALSE)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1" s="47"/>
      <c r="Q261" s="47"/>
      <c r="R261" s="47"/>
    </row>
    <row r="262" spans="1:18" ht="15" customHeight="1" x14ac:dyDescent="0.15">
      <c r="A262" s="39" t="str">
        <f t="shared" si="17"/>
        <v>49016420_49016922</v>
      </c>
      <c r="B262" s="111">
        <v>49016420</v>
      </c>
      <c r="C262" s="170">
        <v>49016922</v>
      </c>
      <c r="D262" s="46" t="str">
        <f ca="1">VLOOKUP($C262,OFFSET(enemy_skills!$A$1,0,0,COUNTA(enemy_skills!$A:$A),MATCH(D$1,enemy_skills!$1:$1,0)-MATCH("enemy_skill_id",enemy_skills!$1:$1,0)+1),MATCH(D$1,enemy_skills!$1:$1,0)-MATCH("enemy_skill_id",enemy_skills!$1:$1,0)+1,FALSE)</f>
        <v>やだなぁ 強そう…_x000D_相手なら社にしてもらってよ</v>
      </c>
      <c r="E262" s="46" t="str">
        <f ca="1">VLOOKUP($C262,OFFSET(enemy_skills!$A$1,0,0,COUNTA(enemy_skills!$A:$A),MATCH(E$1,enemy_skills!$1:$1,0)-MATCH("enemy_skill_id",enemy_skills!$1:$1,0)+1),MATCH(E$1,enemy_skills!$1:$1,0)-MATCH("enemy_skill_id",enemy_skills!$1:$1,0)+1,FALSE)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262" s="170">
        <v>49016922</v>
      </c>
      <c r="G262" s="48">
        <f ca="1">VLOOKUP($F262,OFFSET(enemy_skill_triggers!$A$1,0,0,COUNTA(enemy_skill_triggers!$A:$A),MATCH(G$1,enemy_skill_triggers!$1:$1,0)-MATCH($F$1,enemy_skill_triggers!$1:$1,0)+1),MATCH(G$1,enemy_skill_triggers!$1:$1,0)-MATCH($F$1,enemy_skill_triggers!$1:$1,0)+1,FALSE)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2" s="48">
        <f ca="1">VLOOKUP($F262,OFFSET(enemy_skill_triggers!$A$1,0,0,COUNTA(enemy_skill_triggers!$A:$A),MATCH(H$1,enemy_skill_triggers!$1:$1,0)-MATCH($F$1,enemy_skill_triggers!$1:$1,0)+1),MATCH(H$1,enemy_skill_triggers!$1:$1,0)-MATCH($F$1,enemy_skill_triggers!$1:$1,0)+1,FALSE)</f>
        <v>624</v>
      </c>
      <c r="I262" s="48">
        <f ca="1">VLOOKUP($F262,OFFSET(enemy_skill_triggers!$A$1,0,0,COUNTA(enemy_skill_triggers!$A:$A),MATCH(I$1,enemy_skill_triggers!$1:$1,0)-MATCH($F$1,enemy_skill_triggers!$1:$1,0)+1),MATCH(I$1,enemy_skill_triggers!$1:$1,0)-MATCH($F$1,enemy_skill_triggers!$1:$1,0)+1,FALSE)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2" s="48" t="str">
        <f ca="1">VLOOKUP($F262,OFFSET(enemy_skill_triggers!$A$1,0,0,COUNTA(enemy_skill_triggers!$A:$A),MATCH(J$1,enemy_skill_triggers!$1:$1,0)-MATCH($F$1,enemy_skill_triggers!$1:$1,0)+1),MATCH(J$1,enemy_skill_triggers!$1:$1,0)-MATCH($F$1,enemy_skill_triggers!$1:$1,0)+1,FALSE)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2" s="48" t="str">
        <f ca="1">VLOOKUP($F262,OFFSET(enemy_skill_triggers!$A$1,0,0,COUNTA(enemy_skill_triggers!$A:$A),MATCH(K$1,enemy_skill_triggers!$1:$1,0)-MATCH($F$1,enemy_skill_triggers!$1:$1,0)+1),MATCH(K$1,enemy_skill_triggers!$1:$1,0)-MATCH($F$1,enemy_skill_triggers!$1:$1,0)+1,FALSE)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2" s="48">
        <f ca="1">VLOOKUP($F262,OFFSET(enemy_skill_triggers!$A$1,0,0,COUNTA(enemy_skill_triggers!$A:$A),MATCH(L$1,enemy_skill_triggers!$1:$1,0)-MATCH($F$1,enemy_skill_triggers!$1:$1,0)+1),MATCH(L$1,enemy_skill_triggers!$1:$1,0)-MATCH($F$1,enemy_skill_triggers!$1:$1,0)+1,FALSE)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2" s="48">
        <f ca="1">VLOOKUP($F262,OFFSET(enemy_skill_triggers!$A$1,0,0,COUNTA(enemy_skill_triggers!$A:$A),MATCH(M$1,enemy_skill_triggers!$1:$1,0)-MATCH($F$1,enemy_skill_triggers!$1:$1,0)+1),MATCH(M$1,enemy_skill_triggers!$1:$1,0)-MATCH($F$1,enemy_skill_triggers!$1:$1,0)+1,FALSE)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2" s="48">
        <f ca="1">VLOOKUP($F262,OFFSET(enemy_skill_triggers!$A$1,0,0,COUNTA(enemy_skill_triggers!$A:$A),MATCH(N$1,enemy_skill_triggers!$1:$1,0)-MATCH($F$1,enemy_skill_triggers!$1:$1,0)+1),MATCH(N$1,enemy_skill_triggers!$1:$1,0)-MATCH($F$1,enemy_skill_triggers!$1:$1,0)+1,FALSE)</f>
        <v>1564</v>
      </c>
      <c r="O262" s="48">
        <f ca="1">VLOOKUP($F262,OFFSET(enemy_skill_triggers!$A$1,0,0,COUNTA(enemy_skill_triggers!$A:$A),MATCH(O$1,enemy_skill_triggers!$1:$1,0)-MATCH($F$1,enemy_skill_triggers!$1:$1,0)+1),MATCH(O$1,enemy_skill_triggers!$1:$1,0)-MATCH($F$1,enemy_skill_triggers!$1:$1,0)+1,FALSE)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2" s="47"/>
      <c r="Q262" s="47"/>
      <c r="R262" s="47"/>
    </row>
    <row r="263" spans="1:18" ht="15" customHeight="1" x14ac:dyDescent="0.15">
      <c r="A263" s="39" t="str">
        <f t="shared" si="17"/>
        <v>49016420_49016923</v>
      </c>
      <c r="B263" s="111">
        <v>49016420</v>
      </c>
      <c r="C263" s="170">
        <v>49016923</v>
      </c>
      <c r="D263" s="46" t="str">
        <f ca="1">VLOOKUP($C263,OFFSET(enemy_skills!$A$1,0,0,COUNTA(enemy_skills!$A:$A),MATCH(D$1,enemy_skills!$1:$1,0)-MATCH("enemy_skill_id",enemy_skills!$1:$1,0)+1),MATCH(D$1,enemy_skills!$1:$1,0)-MATCH("enemy_skill_id",enemy_skills!$1:$1,0)+1,FALSE)</f>
        <v>こんにちは それで…_x000D_あなたも格闘家のつもりなの？</v>
      </c>
      <c r="E263" s="46" t="str">
        <f ca="1">VLOOKUP($C263,OFFSET(enemy_skills!$A$1,0,0,COUNTA(enemy_skills!$A:$A),MATCH(E$1,enemy_skills!$1:$1,0)-MATCH("enemy_skill_id",enemy_skills!$1:$1,0)+1),MATCH(E$1,enemy_skills!$1:$1,0)-MATCH("enemy_skill_id",enemy_skills!$1:$1,0)+1,FALSE)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263" s="170">
        <v>49016923</v>
      </c>
      <c r="G263" s="48">
        <f ca="1">VLOOKUP($F263,OFFSET(enemy_skill_triggers!$A$1,0,0,COUNTA(enemy_skill_triggers!$A:$A),MATCH(G$1,enemy_skill_triggers!$1:$1,0)-MATCH($F$1,enemy_skill_triggers!$1:$1,0)+1),MATCH(G$1,enemy_skill_triggers!$1:$1,0)-MATCH($F$1,enemy_skill_triggers!$1:$1,0)+1,FALSE)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3" s="48">
        <f ca="1">VLOOKUP($F263,OFFSET(enemy_skill_triggers!$A$1,0,0,COUNTA(enemy_skill_triggers!$A:$A),MATCH(H$1,enemy_skill_triggers!$1:$1,0)-MATCH($F$1,enemy_skill_triggers!$1:$1,0)+1),MATCH(H$1,enemy_skill_triggers!$1:$1,0)-MATCH($F$1,enemy_skill_triggers!$1:$1,0)+1,FALSE)</f>
        <v>621</v>
      </c>
      <c r="I263" s="48">
        <f ca="1">VLOOKUP($F263,OFFSET(enemy_skill_triggers!$A$1,0,0,COUNTA(enemy_skill_triggers!$A:$A),MATCH(I$1,enemy_skill_triggers!$1:$1,0)-MATCH($F$1,enemy_skill_triggers!$1:$1,0)+1),MATCH(I$1,enemy_skill_triggers!$1:$1,0)-MATCH($F$1,enemy_skill_triggers!$1:$1,0)+1,FALSE)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3" s="48" t="str">
        <f ca="1">VLOOKUP($F263,OFFSET(enemy_skill_triggers!$A$1,0,0,COUNTA(enemy_skill_triggers!$A:$A),MATCH(J$1,enemy_skill_triggers!$1:$1,0)-MATCH($F$1,enemy_skill_triggers!$1:$1,0)+1),MATCH(J$1,enemy_skill_triggers!$1:$1,0)-MATCH($F$1,enemy_skill_triggers!$1:$1,0)+1,FALSE)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3" s="48" t="str">
        <f ca="1">VLOOKUP($F263,OFFSET(enemy_skill_triggers!$A$1,0,0,COUNTA(enemy_skill_triggers!$A:$A),MATCH(K$1,enemy_skill_triggers!$1:$1,0)-MATCH($F$1,enemy_skill_triggers!$1:$1,0)+1),MATCH(K$1,enemy_skill_triggers!$1:$1,0)-MATCH($F$1,enemy_skill_triggers!$1:$1,0)+1,FALSE)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3" s="48">
        <f ca="1">VLOOKUP($F263,OFFSET(enemy_skill_triggers!$A$1,0,0,COUNTA(enemy_skill_triggers!$A:$A),MATCH(L$1,enemy_skill_triggers!$1:$1,0)-MATCH($F$1,enemy_skill_triggers!$1:$1,0)+1),MATCH(L$1,enemy_skill_triggers!$1:$1,0)-MATCH($F$1,enemy_skill_triggers!$1:$1,0)+1,FALSE)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3" s="48">
        <f ca="1">VLOOKUP($F263,OFFSET(enemy_skill_triggers!$A$1,0,0,COUNTA(enemy_skill_triggers!$A:$A),MATCH(M$1,enemy_skill_triggers!$1:$1,0)-MATCH($F$1,enemy_skill_triggers!$1:$1,0)+1),MATCH(M$1,enemy_skill_triggers!$1:$1,0)-MATCH($F$1,enemy_skill_triggers!$1:$1,0)+1,FALSE)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3" s="48">
        <f ca="1">VLOOKUP($F263,OFFSET(enemy_skill_triggers!$A$1,0,0,COUNTA(enemy_skill_triggers!$A:$A),MATCH(N$1,enemy_skill_triggers!$1:$1,0)-MATCH($F$1,enemy_skill_triggers!$1:$1,0)+1),MATCH(N$1,enemy_skill_triggers!$1:$1,0)-MATCH($F$1,enemy_skill_triggers!$1:$1,0)+1,FALSE)</f>
        <v>1558</v>
      </c>
      <c r="O263" s="48">
        <f ca="1">VLOOKUP($F263,OFFSET(enemy_skill_triggers!$A$1,0,0,COUNTA(enemy_skill_triggers!$A:$A),MATCH(O$1,enemy_skill_triggers!$1:$1,0)-MATCH($F$1,enemy_skill_triggers!$1:$1,0)+1),MATCH(O$1,enemy_skill_triggers!$1:$1,0)-MATCH($F$1,enemy_skill_triggers!$1:$1,0)+1,FALSE)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3" s="47"/>
      <c r="Q263" s="47"/>
      <c r="R263" s="47"/>
    </row>
    <row r="264" spans="1:18" ht="15" customHeight="1" x14ac:dyDescent="0.15">
      <c r="A264" s="39" t="str">
        <f t="shared" si="17"/>
        <v>49016420_49016924</v>
      </c>
      <c r="B264" s="111">
        <v>49016420</v>
      </c>
      <c r="C264" s="170">
        <v>49016924</v>
      </c>
      <c r="D264" s="46" t="str">
        <f ca="1">VLOOKUP($C264,OFFSET(enemy_skills!$A$1,0,0,COUNTA(enemy_skills!$A:$A),MATCH(D$1,enemy_skills!$1:$1,0)-MATCH("enemy_skill_id",enemy_skills!$1:$1,0)+1),MATCH(D$1,enemy_skills!$1:$1,0)-MATCH("enemy_skill_id",enemy_skills!$1:$1,0)+1,FALSE)</f>
        <v>こんにちは それで…_x000D_あなたも格闘家のつもりなの？</v>
      </c>
      <c r="E264" s="46" t="str">
        <f ca="1">VLOOKUP($C264,OFFSET(enemy_skills!$A$1,0,0,COUNTA(enemy_skills!$A:$A),MATCH(E$1,enemy_skills!$1:$1,0)-MATCH("enemy_skill_id",enemy_skills!$1:$1,0)+1),MATCH(E$1,enemy_skills!$1:$1,0)-MATCH("enemy_skill_id",enemy_skills!$1:$1,0)+1,FALSE)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264" s="170">
        <v>49016924</v>
      </c>
      <c r="G264" s="48">
        <f ca="1">VLOOKUP($F264,OFFSET(enemy_skill_triggers!$A$1,0,0,COUNTA(enemy_skill_triggers!$A:$A),MATCH(G$1,enemy_skill_triggers!$1:$1,0)-MATCH($F$1,enemy_skill_triggers!$1:$1,0)+1),MATCH(G$1,enemy_skill_triggers!$1:$1,0)-MATCH($F$1,enemy_skill_triggers!$1:$1,0)+1,FALSE)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4" s="48">
        <f ca="1">VLOOKUP($F264,OFFSET(enemy_skill_triggers!$A$1,0,0,COUNTA(enemy_skill_triggers!$A:$A),MATCH(H$1,enemy_skill_triggers!$1:$1,0)-MATCH($F$1,enemy_skill_triggers!$1:$1,0)+1),MATCH(H$1,enemy_skill_triggers!$1:$1,0)-MATCH($F$1,enemy_skill_triggers!$1:$1,0)+1,FALSE)</f>
        <v>622</v>
      </c>
      <c r="I264" s="48">
        <f ca="1">VLOOKUP($F264,OFFSET(enemy_skill_triggers!$A$1,0,0,COUNTA(enemy_skill_triggers!$A:$A),MATCH(I$1,enemy_skill_triggers!$1:$1,0)-MATCH($F$1,enemy_skill_triggers!$1:$1,0)+1),MATCH(I$1,enemy_skill_triggers!$1:$1,0)-MATCH($F$1,enemy_skill_triggers!$1:$1,0)+1,FALSE)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4" s="48" t="str">
        <f ca="1">VLOOKUP($F264,OFFSET(enemy_skill_triggers!$A$1,0,0,COUNTA(enemy_skill_triggers!$A:$A),MATCH(J$1,enemy_skill_triggers!$1:$1,0)-MATCH($F$1,enemy_skill_triggers!$1:$1,0)+1),MATCH(J$1,enemy_skill_triggers!$1:$1,0)-MATCH($F$1,enemy_skill_triggers!$1:$1,0)+1,FALSE)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4" s="48" t="str">
        <f ca="1">VLOOKUP($F264,OFFSET(enemy_skill_triggers!$A$1,0,0,COUNTA(enemy_skill_triggers!$A:$A),MATCH(K$1,enemy_skill_triggers!$1:$1,0)-MATCH($F$1,enemy_skill_triggers!$1:$1,0)+1),MATCH(K$1,enemy_skill_triggers!$1:$1,0)-MATCH($F$1,enemy_skill_triggers!$1:$1,0)+1,FALSE)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4" s="48">
        <f ca="1">VLOOKUP($F264,OFFSET(enemy_skill_triggers!$A$1,0,0,COUNTA(enemy_skill_triggers!$A:$A),MATCH(L$1,enemy_skill_triggers!$1:$1,0)-MATCH($F$1,enemy_skill_triggers!$1:$1,0)+1),MATCH(L$1,enemy_skill_triggers!$1:$1,0)-MATCH($F$1,enemy_skill_triggers!$1:$1,0)+1,FALSE)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4" s="48">
        <f ca="1">VLOOKUP($F264,OFFSET(enemy_skill_triggers!$A$1,0,0,COUNTA(enemy_skill_triggers!$A:$A),MATCH(M$1,enemy_skill_triggers!$1:$1,0)-MATCH($F$1,enemy_skill_triggers!$1:$1,0)+1),MATCH(M$1,enemy_skill_triggers!$1:$1,0)-MATCH($F$1,enemy_skill_triggers!$1:$1,0)+1,FALSE)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4" s="48">
        <f ca="1">VLOOKUP($F264,OFFSET(enemy_skill_triggers!$A$1,0,0,COUNTA(enemy_skill_triggers!$A:$A),MATCH(N$1,enemy_skill_triggers!$1:$1,0)-MATCH($F$1,enemy_skill_triggers!$1:$1,0)+1),MATCH(N$1,enemy_skill_triggers!$1:$1,0)-MATCH($F$1,enemy_skill_triggers!$1:$1,0)+1,FALSE)</f>
        <v>1559</v>
      </c>
      <c r="O264" s="48">
        <f ca="1">VLOOKUP($F264,OFFSET(enemy_skill_triggers!$A$1,0,0,COUNTA(enemy_skill_triggers!$A:$A),MATCH(O$1,enemy_skill_triggers!$1:$1,0)-MATCH($F$1,enemy_skill_triggers!$1:$1,0)+1),MATCH(O$1,enemy_skill_triggers!$1:$1,0)-MATCH($F$1,enemy_skill_triggers!$1:$1,0)+1,FALSE)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4" s="47"/>
      <c r="Q264" s="47"/>
      <c r="R264" s="47"/>
    </row>
    <row r="265" spans="1:18" ht="15" customHeight="1" x14ac:dyDescent="0.15">
      <c r="A265" s="39" t="str">
        <f t="shared" si="17"/>
        <v>49016420_49016925</v>
      </c>
      <c r="B265" s="111">
        <v>49016420</v>
      </c>
      <c r="C265" s="170">
        <v>49016925</v>
      </c>
      <c r="D265" s="46" t="str">
        <f ca="1">VLOOKUP($C265,OFFSET(enemy_skills!$A$1,0,0,COUNTA(enemy_skills!$A:$A),MATCH(D$1,enemy_skills!$1:$1,0)-MATCH("enemy_skill_id",enemy_skills!$1:$1,0)+1),MATCH(D$1,enemy_skills!$1:$1,0)-MATCH("enemy_skill_id",enemy_skills!$1:$1,0)+1,FALSE)</f>
        <v>正義ですか…くすっ_x000D_…そんなに怖い顔しないでよ</v>
      </c>
      <c r="E265" s="46" t="str">
        <f ca="1">VLOOKUP($C265,OFFSET(enemy_skills!$A$1,0,0,COUNTA(enemy_skills!$A:$A),MATCH(E$1,enemy_skills!$1:$1,0)-MATCH("enemy_skill_id",enemy_skills!$1:$1,0)+1),MATCH(E$1,enemy_skills!$1:$1,0)-MATCH("enemy_skill_id",enemy_skills!$1:$1,0)+1,FALSE)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265" s="170">
        <v>49016925</v>
      </c>
      <c r="G265" s="48">
        <f ca="1">VLOOKUP($F265,OFFSET(enemy_skill_triggers!$A$1,0,0,COUNTA(enemy_skill_triggers!$A:$A),MATCH(G$1,enemy_skill_triggers!$1:$1,0)-MATCH($F$1,enemy_skill_triggers!$1:$1,0)+1),MATCH(G$1,enemy_skill_triggers!$1:$1,0)-MATCH($F$1,enemy_skill_triggers!$1:$1,0)+1,FALSE)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5" s="48">
        <f ca="1">VLOOKUP($F265,OFFSET(enemy_skill_triggers!$A$1,0,0,COUNTA(enemy_skill_triggers!$A:$A),MATCH(H$1,enemy_skill_triggers!$1:$1,0)-MATCH($F$1,enemy_skill_triggers!$1:$1,0)+1),MATCH(H$1,enemy_skill_triggers!$1:$1,0)-MATCH($F$1,enemy_skill_triggers!$1:$1,0)+1,FALSE)</f>
        <v>619</v>
      </c>
      <c r="I265" s="48">
        <f ca="1">VLOOKUP($F265,OFFSET(enemy_skill_triggers!$A$1,0,0,COUNTA(enemy_skill_triggers!$A:$A),MATCH(I$1,enemy_skill_triggers!$1:$1,0)-MATCH($F$1,enemy_skill_triggers!$1:$1,0)+1),MATCH(I$1,enemy_skill_triggers!$1:$1,0)-MATCH($F$1,enemy_skill_triggers!$1:$1,0)+1,FALSE)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5" s="48" t="str">
        <f ca="1">VLOOKUP($F265,OFFSET(enemy_skill_triggers!$A$1,0,0,COUNTA(enemy_skill_triggers!$A:$A),MATCH(J$1,enemy_skill_triggers!$1:$1,0)-MATCH($F$1,enemy_skill_triggers!$1:$1,0)+1),MATCH(J$1,enemy_skill_triggers!$1:$1,0)-MATCH($F$1,enemy_skill_triggers!$1:$1,0)+1,FALSE)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5" s="48" t="str">
        <f ca="1">VLOOKUP($F265,OFFSET(enemy_skill_triggers!$A$1,0,0,COUNTA(enemy_skill_triggers!$A:$A),MATCH(K$1,enemy_skill_triggers!$1:$1,0)-MATCH($F$1,enemy_skill_triggers!$1:$1,0)+1),MATCH(K$1,enemy_skill_triggers!$1:$1,0)-MATCH($F$1,enemy_skill_triggers!$1:$1,0)+1,FALSE)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5" s="48">
        <f ca="1">VLOOKUP($F265,OFFSET(enemy_skill_triggers!$A$1,0,0,COUNTA(enemy_skill_triggers!$A:$A),MATCH(L$1,enemy_skill_triggers!$1:$1,0)-MATCH($F$1,enemy_skill_triggers!$1:$1,0)+1),MATCH(L$1,enemy_skill_triggers!$1:$1,0)-MATCH($F$1,enemy_skill_triggers!$1:$1,0)+1,FALSE)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5" s="48">
        <f ca="1">VLOOKUP($F265,OFFSET(enemy_skill_triggers!$A$1,0,0,COUNTA(enemy_skill_triggers!$A:$A),MATCH(M$1,enemy_skill_triggers!$1:$1,0)-MATCH($F$1,enemy_skill_triggers!$1:$1,0)+1),MATCH(M$1,enemy_skill_triggers!$1:$1,0)-MATCH($F$1,enemy_skill_triggers!$1:$1,0)+1,FALSE)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5" s="48">
        <f ca="1">VLOOKUP($F265,OFFSET(enemy_skill_triggers!$A$1,0,0,COUNTA(enemy_skill_triggers!$A:$A),MATCH(N$1,enemy_skill_triggers!$1:$1,0)-MATCH($F$1,enemy_skill_triggers!$1:$1,0)+1),MATCH(N$1,enemy_skill_triggers!$1:$1,0)-MATCH($F$1,enemy_skill_triggers!$1:$1,0)+1,FALSE)</f>
        <v>1575</v>
      </c>
      <c r="O265" s="48">
        <f ca="1">VLOOKUP($F265,OFFSET(enemy_skill_triggers!$A$1,0,0,COUNTA(enemy_skill_triggers!$A:$A),MATCH(O$1,enemy_skill_triggers!$1:$1,0)-MATCH($F$1,enemy_skill_triggers!$1:$1,0)+1),MATCH(O$1,enemy_skill_triggers!$1:$1,0)-MATCH($F$1,enemy_skill_triggers!$1:$1,0)+1,FALSE)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5" s="47"/>
      <c r="Q265" s="47"/>
      <c r="R265" s="47"/>
    </row>
    <row r="266" spans="1:18" ht="15" customHeight="1" x14ac:dyDescent="0.15">
      <c r="A266" s="39" t="str">
        <f t="shared" si="17"/>
        <v>49016420_49016926</v>
      </c>
      <c r="B266" s="111">
        <v>49016420</v>
      </c>
      <c r="C266" s="170">
        <v>49016926</v>
      </c>
      <c r="D266" s="46" t="str">
        <f ca="1">VLOOKUP($C266,OFFSET(enemy_skills!$A$1,0,0,COUNTA(enemy_skills!$A:$A),MATCH(D$1,enemy_skills!$1:$1,0)-MATCH("enemy_skill_id",enemy_skills!$1:$1,0)+1),MATCH(D$1,enemy_skills!$1:$1,0)-MATCH("enemy_skill_id",enemy_skills!$1:$1,0)+1,FALSE)</f>
        <v>正義ですか…くすっ_x000D_…そんなに怖い顔しないでよ</v>
      </c>
      <c r="E266" s="46" t="str">
        <f ca="1">VLOOKUP($C266,OFFSET(enemy_skills!$A$1,0,0,COUNTA(enemy_skills!$A:$A),MATCH(E$1,enemy_skills!$1:$1,0)-MATCH("enemy_skill_id",enemy_skills!$1:$1,0)+1),MATCH(E$1,enemy_skills!$1:$1,0)-MATCH("enemy_skill_id",enemy_skills!$1:$1,0)+1,FALSE)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266" s="170">
        <v>49016926</v>
      </c>
      <c r="G266" s="48">
        <f ca="1">VLOOKUP($F266,OFFSET(enemy_skill_triggers!$A$1,0,0,COUNTA(enemy_skill_triggers!$A:$A),MATCH(G$1,enemy_skill_triggers!$1:$1,0)-MATCH($F$1,enemy_skill_triggers!$1:$1,0)+1),MATCH(G$1,enemy_skill_triggers!$1:$1,0)-MATCH($F$1,enemy_skill_triggers!$1:$1,0)+1,FALSE)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6" s="48">
        <f ca="1">VLOOKUP($F266,OFFSET(enemy_skill_triggers!$A$1,0,0,COUNTA(enemy_skill_triggers!$A:$A),MATCH(H$1,enemy_skill_triggers!$1:$1,0)-MATCH($F$1,enemy_skill_triggers!$1:$1,0)+1),MATCH(H$1,enemy_skill_triggers!$1:$1,0)-MATCH($F$1,enemy_skill_triggers!$1:$1,0)+1,FALSE)</f>
        <v>620</v>
      </c>
      <c r="I266" s="48">
        <f ca="1">VLOOKUP($F266,OFFSET(enemy_skill_triggers!$A$1,0,0,COUNTA(enemy_skill_triggers!$A:$A),MATCH(I$1,enemy_skill_triggers!$1:$1,0)-MATCH($F$1,enemy_skill_triggers!$1:$1,0)+1),MATCH(I$1,enemy_skill_triggers!$1:$1,0)-MATCH($F$1,enemy_skill_triggers!$1:$1,0)+1,FALSE)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6" s="48" t="str">
        <f ca="1">VLOOKUP($F266,OFFSET(enemy_skill_triggers!$A$1,0,0,COUNTA(enemy_skill_triggers!$A:$A),MATCH(J$1,enemy_skill_triggers!$1:$1,0)-MATCH($F$1,enemy_skill_triggers!$1:$1,0)+1),MATCH(J$1,enemy_skill_triggers!$1:$1,0)-MATCH($F$1,enemy_skill_triggers!$1:$1,0)+1,FALSE)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6" s="48" t="str">
        <f ca="1">VLOOKUP($F266,OFFSET(enemy_skill_triggers!$A$1,0,0,COUNTA(enemy_skill_triggers!$A:$A),MATCH(K$1,enemy_skill_triggers!$1:$1,0)-MATCH($F$1,enemy_skill_triggers!$1:$1,0)+1),MATCH(K$1,enemy_skill_triggers!$1:$1,0)-MATCH($F$1,enemy_skill_triggers!$1:$1,0)+1,FALSE)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6" s="48">
        <f ca="1">VLOOKUP($F266,OFFSET(enemy_skill_triggers!$A$1,0,0,COUNTA(enemy_skill_triggers!$A:$A),MATCH(L$1,enemy_skill_triggers!$1:$1,0)-MATCH($F$1,enemy_skill_triggers!$1:$1,0)+1),MATCH(L$1,enemy_skill_triggers!$1:$1,0)-MATCH($F$1,enemy_skill_triggers!$1:$1,0)+1,FALSE)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6" s="48">
        <f ca="1">VLOOKUP($F266,OFFSET(enemy_skill_triggers!$A$1,0,0,COUNTA(enemy_skill_triggers!$A:$A),MATCH(M$1,enemy_skill_triggers!$1:$1,0)-MATCH($F$1,enemy_skill_triggers!$1:$1,0)+1),MATCH(M$1,enemy_skill_triggers!$1:$1,0)-MATCH($F$1,enemy_skill_triggers!$1:$1,0)+1,FALSE)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6" s="48">
        <f ca="1">VLOOKUP($F266,OFFSET(enemy_skill_triggers!$A$1,0,0,COUNTA(enemy_skill_triggers!$A:$A),MATCH(N$1,enemy_skill_triggers!$1:$1,0)-MATCH($F$1,enemy_skill_triggers!$1:$1,0)+1),MATCH(N$1,enemy_skill_triggers!$1:$1,0)-MATCH($F$1,enemy_skill_triggers!$1:$1,0)+1,FALSE)</f>
        <v>1576</v>
      </c>
      <c r="O266" s="48">
        <f ca="1">VLOOKUP($F266,OFFSET(enemy_skill_triggers!$A$1,0,0,COUNTA(enemy_skill_triggers!$A:$A),MATCH(O$1,enemy_skill_triggers!$1:$1,0)-MATCH($F$1,enemy_skill_triggers!$1:$1,0)+1),MATCH(O$1,enemy_skill_triggers!$1:$1,0)-MATCH($F$1,enemy_skill_triggers!$1:$1,0)+1,FALSE)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6" s="47"/>
      <c r="Q266" s="47"/>
      <c r="R266" s="47"/>
    </row>
    <row r="267" spans="1:18" ht="15" customHeight="1" x14ac:dyDescent="0.15">
      <c r="A267" s="39" t="str">
        <f t="shared" si="17"/>
        <v>49016420_49016927</v>
      </c>
      <c r="B267" s="111">
        <v>49016420</v>
      </c>
      <c r="C267" s="170">
        <v>49016927</v>
      </c>
      <c r="D267" s="46" t="str">
        <f ca="1">VLOOKUP($C267,OFFSET(enemy_skills!$A$1,0,0,COUNTA(enemy_skills!$A:$A),MATCH(D$1,enemy_skills!$1:$1,0)-MATCH("enemy_skill_id",enemy_skills!$1:$1,0)+1),MATCH(D$1,enemy_skills!$1:$1,0)-MATCH("enemy_skill_id",enemy_skills!$1:$1,0)+1,FALSE)</f>
        <v>あなたの炎…_x000D_なんだか気に入らないな</v>
      </c>
      <c r="E267" s="46" t="str">
        <f ca="1">VLOOKUP($C267,OFFSET(enemy_skills!$A$1,0,0,COUNTA(enemy_skills!$A:$A),MATCH(E$1,enemy_skills!$1:$1,0)-MATCH("enemy_skill_id",enemy_skills!$1:$1,0)+1),MATCH(E$1,enemy_skills!$1:$1,0)-MATCH("enemy_skill_id",enemy_skills!$1:$1,0)+1,FALSE)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267" s="170">
        <v>49016927</v>
      </c>
      <c r="G267" s="48">
        <f ca="1">VLOOKUP($F267,OFFSET(enemy_skill_triggers!$A$1,0,0,COUNTA(enemy_skill_triggers!$A:$A),MATCH(G$1,enemy_skill_triggers!$1:$1,0)-MATCH($F$1,enemy_skill_triggers!$1:$1,0)+1),MATCH(G$1,enemy_skill_triggers!$1:$1,0)-MATCH($F$1,enemy_skill_triggers!$1:$1,0)+1,FALSE)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7" s="48">
        <f ca="1">VLOOKUP($F267,OFFSET(enemy_skill_triggers!$A$1,0,0,COUNTA(enemy_skill_triggers!$A:$A),MATCH(H$1,enemy_skill_triggers!$1:$1,0)-MATCH($F$1,enemy_skill_triggers!$1:$1,0)+1),MATCH(H$1,enemy_skill_triggers!$1:$1,0)-MATCH($F$1,enemy_skill_triggers!$1:$1,0)+1,FALSE)</f>
        <v>617</v>
      </c>
      <c r="I267" s="48">
        <f ca="1">VLOOKUP($F267,OFFSET(enemy_skill_triggers!$A$1,0,0,COUNTA(enemy_skill_triggers!$A:$A),MATCH(I$1,enemy_skill_triggers!$1:$1,0)-MATCH($F$1,enemy_skill_triggers!$1:$1,0)+1),MATCH(I$1,enemy_skill_triggers!$1:$1,0)-MATCH($F$1,enemy_skill_triggers!$1:$1,0)+1,FALSE)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7" s="48" t="str">
        <f ca="1">VLOOKUP($F267,OFFSET(enemy_skill_triggers!$A$1,0,0,COUNTA(enemy_skill_triggers!$A:$A),MATCH(J$1,enemy_skill_triggers!$1:$1,0)-MATCH($F$1,enemy_skill_triggers!$1:$1,0)+1),MATCH(J$1,enemy_skill_triggers!$1:$1,0)-MATCH($F$1,enemy_skill_triggers!$1:$1,0)+1,FALSE)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7" s="48" t="str">
        <f ca="1">VLOOKUP($F267,OFFSET(enemy_skill_triggers!$A$1,0,0,COUNTA(enemy_skill_triggers!$A:$A),MATCH(K$1,enemy_skill_triggers!$1:$1,0)-MATCH($F$1,enemy_skill_triggers!$1:$1,0)+1),MATCH(K$1,enemy_skill_triggers!$1:$1,0)-MATCH($F$1,enemy_skill_triggers!$1:$1,0)+1,FALSE)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7" s="48">
        <f ca="1">VLOOKUP($F267,OFFSET(enemy_skill_triggers!$A$1,0,0,COUNTA(enemy_skill_triggers!$A:$A),MATCH(L$1,enemy_skill_triggers!$1:$1,0)-MATCH($F$1,enemy_skill_triggers!$1:$1,0)+1),MATCH(L$1,enemy_skill_triggers!$1:$1,0)-MATCH($F$1,enemy_skill_triggers!$1:$1,0)+1,FALSE)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7" s="48">
        <f ca="1">VLOOKUP($F267,OFFSET(enemy_skill_triggers!$A$1,0,0,COUNTA(enemy_skill_triggers!$A:$A),MATCH(M$1,enemy_skill_triggers!$1:$1,0)-MATCH($F$1,enemy_skill_triggers!$1:$1,0)+1),MATCH(M$1,enemy_skill_triggers!$1:$1,0)-MATCH($F$1,enemy_skill_triggers!$1:$1,0)+1,FALSE)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7" s="48">
        <f ca="1">VLOOKUP($F267,OFFSET(enemy_skill_triggers!$A$1,0,0,COUNTA(enemy_skill_triggers!$A:$A),MATCH(N$1,enemy_skill_triggers!$1:$1,0)-MATCH($F$1,enemy_skill_triggers!$1:$1,0)+1),MATCH(N$1,enemy_skill_triggers!$1:$1,0)-MATCH($F$1,enemy_skill_triggers!$1:$1,0)+1,FALSE)</f>
        <v>1579</v>
      </c>
      <c r="O267" s="48">
        <f ca="1">VLOOKUP($F267,OFFSET(enemy_skill_triggers!$A$1,0,0,COUNTA(enemy_skill_triggers!$A:$A),MATCH(O$1,enemy_skill_triggers!$1:$1,0)-MATCH($F$1,enemy_skill_triggers!$1:$1,0)+1),MATCH(O$1,enemy_skill_triggers!$1:$1,0)-MATCH($F$1,enemy_skill_triggers!$1:$1,0)+1,FALSE)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7" s="47"/>
      <c r="Q267" s="47"/>
      <c r="R267" s="47"/>
    </row>
    <row r="268" spans="1:18" ht="15" customHeight="1" x14ac:dyDescent="0.15">
      <c r="A268" s="39" t="str">
        <f t="shared" si="17"/>
        <v>49016420_49016928</v>
      </c>
      <c r="B268" s="111">
        <v>49016420</v>
      </c>
      <c r="C268" s="170">
        <v>49016928</v>
      </c>
      <c r="D268" s="46" t="str">
        <f ca="1">VLOOKUP($C268,OFFSET(enemy_skills!$A$1,0,0,COUNTA(enemy_skills!$A:$A),MATCH(D$1,enemy_skills!$1:$1,0)-MATCH("enemy_skill_id",enemy_skills!$1:$1,0)+1),MATCH(D$1,enemy_skills!$1:$1,0)-MATCH("enemy_skill_id",enemy_skills!$1:$1,0)+1,FALSE)</f>
        <v>あなたの炎…_x000D_なんだか気に入らないな</v>
      </c>
      <c r="E268" s="46" t="str">
        <f ca="1">VLOOKUP($C268,OFFSET(enemy_skills!$A$1,0,0,COUNTA(enemy_skills!$A:$A),MATCH(E$1,enemy_skills!$1:$1,0)-MATCH("enemy_skill_id",enemy_skills!$1:$1,0)+1),MATCH(E$1,enemy_skills!$1:$1,0)-MATCH("enemy_skill_id",enemy_skills!$1:$1,0)+1,FALSE)</f>
        <v>解除するまで全属性の攻撃をカウンター+_x000D_攻撃タイプのユニットの_x000D_スキルターンを4ターン短縮</v>
      </c>
      <c r="F268" s="170">
        <v>49016928</v>
      </c>
      <c r="G268" s="48">
        <f ca="1">VLOOKUP($F268,OFFSET(enemy_skill_triggers!$A$1,0,0,COUNTA(enemy_skill_triggers!$A:$A),MATCH(G$1,enemy_skill_triggers!$1:$1,0)-MATCH($F$1,enemy_skill_triggers!$1:$1,0)+1),MATCH(G$1,enemy_skill_triggers!$1:$1,0)-MATCH($F$1,enemy_skill_triggers!$1:$1,0)+1,FALSE)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8" s="48">
        <f ca="1">VLOOKUP($F268,OFFSET(enemy_skill_triggers!$A$1,0,0,COUNTA(enemy_skill_triggers!$A:$A),MATCH(H$1,enemy_skill_triggers!$1:$1,0)-MATCH($F$1,enemy_skill_triggers!$1:$1,0)+1),MATCH(H$1,enemy_skill_triggers!$1:$1,0)-MATCH($F$1,enemy_skill_triggers!$1:$1,0)+1,FALSE)</f>
        <v>618</v>
      </c>
      <c r="I268" s="48">
        <f ca="1">VLOOKUP($F268,OFFSET(enemy_skill_triggers!$A$1,0,0,COUNTA(enemy_skill_triggers!$A:$A),MATCH(I$1,enemy_skill_triggers!$1:$1,0)-MATCH($F$1,enemy_skill_triggers!$1:$1,0)+1),MATCH(I$1,enemy_skill_triggers!$1:$1,0)-MATCH($F$1,enemy_skill_triggers!$1:$1,0)+1,FALSE)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8" s="48" t="str">
        <f ca="1">VLOOKUP($F268,OFFSET(enemy_skill_triggers!$A$1,0,0,COUNTA(enemy_skill_triggers!$A:$A),MATCH(J$1,enemy_skill_triggers!$1:$1,0)-MATCH($F$1,enemy_skill_triggers!$1:$1,0)+1),MATCH(J$1,enemy_skill_triggers!$1:$1,0)-MATCH($F$1,enemy_skill_triggers!$1:$1,0)+1,FALSE)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8" s="48" t="str">
        <f ca="1">VLOOKUP($F268,OFFSET(enemy_skill_triggers!$A$1,0,0,COUNTA(enemy_skill_triggers!$A:$A),MATCH(K$1,enemy_skill_triggers!$1:$1,0)-MATCH($F$1,enemy_skill_triggers!$1:$1,0)+1),MATCH(K$1,enemy_skill_triggers!$1:$1,0)-MATCH($F$1,enemy_skill_triggers!$1:$1,0)+1,FALSE)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8" s="48">
        <f ca="1">VLOOKUP($F268,OFFSET(enemy_skill_triggers!$A$1,0,0,COUNTA(enemy_skill_triggers!$A:$A),MATCH(L$1,enemy_skill_triggers!$1:$1,0)-MATCH($F$1,enemy_skill_triggers!$1:$1,0)+1),MATCH(L$1,enemy_skill_triggers!$1:$1,0)-MATCH($F$1,enemy_skill_triggers!$1:$1,0)+1,FALSE)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8" s="48">
        <f ca="1">VLOOKUP($F268,OFFSET(enemy_skill_triggers!$A$1,0,0,COUNTA(enemy_skill_triggers!$A:$A),MATCH(M$1,enemy_skill_triggers!$1:$1,0)-MATCH($F$1,enemy_skill_triggers!$1:$1,0)+1),MATCH(M$1,enemy_skill_triggers!$1:$1,0)-MATCH($F$1,enemy_skill_triggers!$1:$1,0)+1,FALSE)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8" s="48">
        <f ca="1">VLOOKUP($F268,OFFSET(enemy_skill_triggers!$A$1,0,0,COUNTA(enemy_skill_triggers!$A:$A),MATCH(N$1,enemy_skill_triggers!$1:$1,0)-MATCH($F$1,enemy_skill_triggers!$1:$1,0)+1),MATCH(N$1,enemy_skill_triggers!$1:$1,0)-MATCH($F$1,enemy_skill_triggers!$1:$1,0)+1,FALSE)</f>
        <v>1580</v>
      </c>
      <c r="O268" s="48">
        <f ca="1">VLOOKUP($F268,OFFSET(enemy_skill_triggers!$A$1,0,0,COUNTA(enemy_skill_triggers!$A:$A),MATCH(O$1,enemy_skill_triggers!$1:$1,0)-MATCH($F$1,enemy_skill_triggers!$1:$1,0)+1),MATCH(O$1,enemy_skill_triggers!$1:$1,0)-MATCH($F$1,enemy_skill_triggers!$1:$1,0)+1,FALSE)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8" s="47"/>
      <c r="Q268" s="47"/>
      <c r="R268" s="47"/>
    </row>
    <row r="269" spans="1:18" ht="21" customHeight="1" x14ac:dyDescent="0.15">
      <c r="A269" s="39" t="str">
        <f t="shared" si="17"/>
        <v>49016420_49016401</v>
      </c>
      <c r="B269" s="111">
        <v>49016420</v>
      </c>
      <c r="C269" s="111">
        <v>49016401</v>
      </c>
      <c r="D269" s="46" t="str">
        <f ca="1">VLOOKUP($C269,OFFSET(enemy_skills!$A$1,0,0,COUNTA(enemy_skills!$A:$A),MATCH(D$1,enemy_skills!$1:$1,0)-MATCH("enemy_skill_id",enemy_skills!$1:$1,0)+1),MATCH(D$1,enemy_skills!$1:$1,0)-MATCH("enemy_skill_id",enemy_skills!$1:$1,0)+1,FALSE)</f>
        <v>遠慮なく行きます！</v>
      </c>
      <c r="E269" s="46" t="str">
        <f ca="1">VLOOKUP($C269,OFFSET(enemy_skills!$A$1,0,0,COUNTA(enemy_skills!$A:$A),MATCH(E$1,enemy_skills!$1:$1,0)-MATCH("enemy_skill_id",enemy_skills!$1:$1,0)+1),MATCH(E$1,enemy_skills!$1:$1,0)-MATCH("enemy_skill_id",enemy_skills!$1:$1,0)+1,FALSE)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269" s="111">
        <v>49016401</v>
      </c>
      <c r="G269" s="48">
        <f ca="1">VLOOKUP($F269,OFFSET(enemy_skill_triggers!$A$1,0,0,COUNTA(enemy_skill_triggers!$A:$A),MATCH(G$1,enemy_skill_triggers!$1:$1,0)-MATCH($F$1,enemy_skill_triggers!$1:$1,0)+1),MATCH(G$1,enemy_skill_triggers!$1:$1,0)-MATCH($F$1,enemy_skill_triggers!$1:$1,0)+1,FALSE)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9" s="48">
        <f ca="1">VLOOKUP($F269,OFFSET(enemy_skill_triggers!$A$1,0,0,COUNTA(enemy_skill_triggers!$A:$A),MATCH(H$1,enemy_skill_triggers!$1:$1,0)-MATCH($F$1,enemy_skill_triggers!$1:$1,0)+1),MATCH(H$1,enemy_skill_triggers!$1:$1,0)-MATCH($F$1,enemy_skill_triggers!$1:$1,0)+1,FALSE)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69" s="48">
        <f ca="1">VLOOKUP($F269,OFFSET(enemy_skill_triggers!$A$1,0,0,COUNTA(enemy_skill_triggers!$A:$A),MATCH(I$1,enemy_skill_triggers!$1:$1,0)-MATCH($F$1,enemy_skill_triggers!$1:$1,0)+1),MATCH(I$1,enemy_skill_triggers!$1:$1,0)-MATCH($F$1,enemy_skill_triggers!$1:$1,0)+1,FALSE)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9" s="48" t="str">
        <f ca="1">VLOOKUP($F269,OFFSET(enemy_skill_triggers!$A$1,0,0,COUNTA(enemy_skill_triggers!$A:$A),MATCH(J$1,enemy_skill_triggers!$1:$1,0)-MATCH($F$1,enemy_skill_triggers!$1:$1,0)+1),MATCH(J$1,enemy_skill_triggers!$1:$1,0)-MATCH($F$1,enemy_skill_triggers!$1:$1,0)+1,FALSE)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9" s="48" t="str">
        <f ca="1">VLOOKUP($F269,OFFSET(enemy_skill_triggers!$A$1,0,0,COUNTA(enemy_skill_triggers!$A:$A),MATCH(K$1,enemy_skill_triggers!$1:$1,0)-MATCH($F$1,enemy_skill_triggers!$1:$1,0)+1),MATCH(K$1,enemy_skill_triggers!$1:$1,0)-MATCH($F$1,enemy_skill_triggers!$1:$1,0)+1,FALSE)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9" s="48" t="str">
        <f ca="1">VLOOKUP($F269,OFFSET(enemy_skill_triggers!$A$1,0,0,COUNTA(enemy_skill_triggers!$A:$A),MATCH(L$1,enemy_skill_triggers!$1:$1,0)-MATCH($F$1,enemy_skill_triggers!$1:$1,0)+1),MATCH(L$1,enemy_skill_triggers!$1:$1,0)-MATCH($F$1,enemy_skill_triggers!$1:$1,0)+1,FALSE)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9" s="48">
        <f ca="1">VLOOKUP($F269,OFFSET(enemy_skill_triggers!$A$1,0,0,COUNTA(enemy_skill_triggers!$A:$A),MATCH(M$1,enemy_skill_triggers!$1:$1,0)-MATCH($F$1,enemy_skill_triggers!$1:$1,0)+1),MATCH(M$1,enemy_skill_triggers!$1:$1,0)-MATCH($F$1,enemy_skill_triggers!$1:$1,0)+1,FALSE)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9" s="48" t="str">
        <f ca="1">VLOOKUP($F269,OFFSET(enemy_skill_triggers!$A$1,0,0,COUNTA(enemy_skill_triggers!$A:$A),MATCH(N$1,enemy_skill_triggers!$1:$1,0)-MATCH($F$1,enemy_skill_triggers!$1:$1,0)+1),MATCH(N$1,enemy_skill_triggers!$1:$1,0)-MATCH($F$1,enemy_skill_triggers!$1:$1,0)+1,FALSE)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9" s="48">
        <f ca="1">VLOOKUP($F269,OFFSET(enemy_skill_triggers!$A$1,0,0,COUNTA(enemy_skill_triggers!$A:$A),MATCH(O$1,enemy_skill_triggers!$1:$1,0)-MATCH($F$1,enemy_skill_triggers!$1:$1,0)+1),MATCH(O$1,enemy_skill_triggers!$1:$1,0)-MATCH($F$1,enemy_skill_triggers!$1:$1,0)+1,FALSE)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9" s="47"/>
      <c r="Q269" s="47"/>
      <c r="R269" s="47"/>
    </row>
    <row r="270" spans="1:18" ht="21" customHeight="1" x14ac:dyDescent="0.15">
      <c r="A270" s="39" t="str">
        <f t="shared" si="17"/>
        <v>49016420_49016978</v>
      </c>
      <c r="B270" s="111">
        <v>49016420</v>
      </c>
      <c r="C270" s="111">
        <v>49016978</v>
      </c>
      <c r="D270" s="46" t="str">
        <f ca="1">VLOOKUP($C270,OFFSET(enemy_skills!$A$1,0,0,COUNTA(enemy_skills!$A:$A),MATCH(D$1,enemy_skills!$1:$1,0)-MATCH("enemy_skill_id",enemy_skills!$1:$1,0)+1),MATCH(D$1,enemy_skills!$1:$1,0)-MATCH("enemy_skill_id",enemy_skills!$1:$1,0)+1,FALSE)</f>
        <v>サマーっ！</v>
      </c>
      <c r="E270" s="46" t="str">
        <f ca="1">VLOOKUP($C270,OFFSET(enemy_skills!$A$1,0,0,COUNTA(enemy_skills!$A:$A),MATCH(E$1,enemy_skills!$1:$1,0)-MATCH("enemy_skill_id",enemy_skills!$1:$1,0)+1),MATCH(E$1,enemy_skills!$1:$1,0)-MATCH("enemy_skill_id",enemy_skills!$1:$1,0)+1,FALSE)</f>
        <v>青パネルプロテクト(最大2個)+2回連続攻撃</v>
      </c>
      <c r="F270" s="111">
        <v>49016978</v>
      </c>
      <c r="G270" s="48">
        <f ca="1">VLOOKUP($F270,OFFSET(enemy_skill_triggers!$A$1,0,0,COUNTA(enemy_skill_triggers!$A:$A),MATCH(G$1,enemy_skill_triggers!$1:$1,0)-MATCH($F$1,enemy_skill_triggers!$1:$1,0)+1),MATCH(G$1,enemy_skill_triggers!$1:$1,0)-MATCH($F$1,enemy_skill_triggers!$1:$1,0)+1,FALSE)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0" s="48">
        <f ca="1">VLOOKUP($F270,OFFSET(enemy_skill_triggers!$A$1,0,0,COUNTA(enemy_skill_triggers!$A:$A),MATCH(H$1,enemy_skill_triggers!$1:$1,0)-MATCH($F$1,enemy_skill_triggers!$1:$1,0)+1),MATCH(H$1,enemy_skill_triggers!$1:$1,0)-MATCH($F$1,enemy_skill_triggers!$1:$1,0)+1,FALSE)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270" s="48">
        <f ca="1">VLOOKUP($F270,OFFSET(enemy_skill_triggers!$A$1,0,0,COUNTA(enemy_skill_triggers!$A:$A),MATCH(I$1,enemy_skill_triggers!$1:$1,0)-MATCH($F$1,enemy_skill_triggers!$1:$1,0)+1),MATCH(I$1,enemy_skill_triggers!$1:$1,0)-MATCH($F$1,enemy_skill_triggers!$1:$1,0)+1,FALSE)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0" s="48" t="str">
        <f ca="1">VLOOKUP($F270,OFFSET(enemy_skill_triggers!$A$1,0,0,COUNTA(enemy_skill_triggers!$A:$A),MATCH(J$1,enemy_skill_triggers!$1:$1,0)-MATCH($F$1,enemy_skill_triggers!$1:$1,0)+1),MATCH(J$1,enemy_skill_triggers!$1:$1,0)-MATCH($F$1,enemy_skill_triggers!$1:$1,0)+1,FALSE)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0" s="48" t="str">
        <f ca="1">VLOOKUP($F270,OFFSET(enemy_skill_triggers!$A$1,0,0,COUNTA(enemy_skill_triggers!$A:$A),MATCH(K$1,enemy_skill_triggers!$1:$1,0)-MATCH($F$1,enemy_skill_triggers!$1:$1,0)+1),MATCH(K$1,enemy_skill_triggers!$1:$1,0)-MATCH($F$1,enemy_skill_triggers!$1:$1,0)+1,FALSE)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0" s="48" t="str">
        <f ca="1">VLOOKUP($F270,OFFSET(enemy_skill_triggers!$A$1,0,0,COUNTA(enemy_skill_triggers!$A:$A),MATCH(L$1,enemy_skill_triggers!$1:$1,0)-MATCH($F$1,enemy_skill_triggers!$1:$1,0)+1),MATCH(L$1,enemy_skill_triggers!$1:$1,0)-MATCH($F$1,enemy_skill_triggers!$1:$1,0)+1,FALSE)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0" s="48">
        <f ca="1">VLOOKUP($F270,OFFSET(enemy_skill_triggers!$A$1,0,0,COUNTA(enemy_skill_triggers!$A:$A),MATCH(M$1,enemy_skill_triggers!$1:$1,0)-MATCH($F$1,enemy_skill_triggers!$1:$1,0)+1),MATCH(M$1,enemy_skill_triggers!$1:$1,0)-MATCH($F$1,enemy_skill_triggers!$1:$1,0)+1,FALSE)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70" s="48" t="str">
        <f ca="1">VLOOKUP($F270,OFFSET(enemy_skill_triggers!$A$1,0,0,COUNTA(enemy_skill_triggers!$A:$A),MATCH(N$1,enemy_skill_triggers!$1:$1,0)-MATCH($F$1,enemy_skill_triggers!$1:$1,0)+1),MATCH(N$1,enemy_skill_triggers!$1:$1,0)-MATCH($F$1,enemy_skill_triggers!$1:$1,0)+1,FALSE)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0" s="48">
        <f ca="1">VLOOKUP($F270,OFFSET(enemy_skill_triggers!$A$1,0,0,COUNTA(enemy_skill_triggers!$A:$A),MATCH(O$1,enemy_skill_triggers!$1:$1,0)-MATCH($F$1,enemy_skill_triggers!$1:$1,0)+1),MATCH(O$1,enemy_skill_triggers!$1:$1,0)-MATCH($F$1,enemy_skill_triggers!$1:$1,0)+1,FALSE)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0" s="47"/>
      <c r="Q270" s="47"/>
      <c r="R270" s="47"/>
    </row>
    <row r="271" spans="1:18" ht="21" customHeight="1" x14ac:dyDescent="0.15">
      <c r="A271" s="39" t="str">
        <f t="shared" si="17"/>
        <v>49016420_49016979</v>
      </c>
      <c r="B271" s="111">
        <v>49016420</v>
      </c>
      <c r="C271" s="111">
        <v>49016979</v>
      </c>
      <c r="D271" s="46" t="str">
        <f ca="1">VLOOKUP($C271,OFFSET(enemy_skills!$A$1,0,0,COUNTA(enemy_skills!$A:$A),MATCH(D$1,enemy_skills!$1:$1,0)-MATCH("enemy_skill_id",enemy_skills!$1:$1,0)+1),MATCH(D$1,enemy_skills!$1:$1,0)-MATCH("enemy_skill_id",enemy_skills!$1:$1,0)+1,FALSE)</f>
        <v>とりましたぁ！</v>
      </c>
      <c r="E271" s="46" t="str">
        <f ca="1">VLOOKUP($C271,OFFSET(enemy_skills!$A$1,0,0,COUNTA(enemy_skills!$A:$A),MATCH(E$1,enemy_skills!$1:$1,0)-MATCH("enemy_skill_id",enemy_skills!$1:$1,0)+1),MATCH(E$1,enemy_skills!$1:$1,0)-MATCH("enemy_skill_id",enemy_skills!$1:$1,0)+1,FALSE)</f>
        <v>青パネルを吸収して攻撃</v>
      </c>
      <c r="F271" s="111">
        <v>49016979</v>
      </c>
      <c r="G271" s="48">
        <f ca="1">VLOOKUP($F271,OFFSET(enemy_skill_triggers!$A$1,0,0,COUNTA(enemy_skill_triggers!$A:$A),MATCH(G$1,enemy_skill_triggers!$1:$1,0)-MATCH($F$1,enemy_skill_triggers!$1:$1,0)+1),MATCH(G$1,enemy_skill_triggers!$1:$1,0)-MATCH($F$1,enemy_skill_triggers!$1:$1,0)+1,FALSE)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1" s="48">
        <f ca="1">VLOOKUP($F271,OFFSET(enemy_skill_triggers!$A$1,0,0,COUNTA(enemy_skill_triggers!$A:$A),MATCH(H$1,enemy_skill_triggers!$1:$1,0)-MATCH($F$1,enemy_skill_triggers!$1:$1,0)+1),MATCH(H$1,enemy_skill_triggers!$1:$1,0)-MATCH($F$1,enemy_skill_triggers!$1:$1,0)+1,FALSE)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271" s="48">
        <f ca="1">VLOOKUP($F271,OFFSET(enemy_skill_triggers!$A$1,0,0,COUNTA(enemy_skill_triggers!$A:$A),MATCH(I$1,enemy_skill_triggers!$1:$1,0)-MATCH($F$1,enemy_skill_triggers!$1:$1,0)+1),MATCH(I$1,enemy_skill_triggers!$1:$1,0)-MATCH($F$1,enemy_skill_triggers!$1:$1,0)+1,FALSE)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1" s="48" t="str">
        <f ca="1">VLOOKUP($F271,OFFSET(enemy_skill_triggers!$A$1,0,0,COUNTA(enemy_skill_triggers!$A:$A),MATCH(J$1,enemy_skill_triggers!$1:$1,0)-MATCH($F$1,enemy_skill_triggers!$1:$1,0)+1),MATCH(J$1,enemy_skill_triggers!$1:$1,0)-MATCH($F$1,enemy_skill_triggers!$1:$1,0)+1,FALSE)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1" s="48" t="str">
        <f ca="1">VLOOKUP($F271,OFFSET(enemy_skill_triggers!$A$1,0,0,COUNTA(enemy_skill_triggers!$A:$A),MATCH(K$1,enemy_skill_triggers!$1:$1,0)-MATCH($F$1,enemy_skill_triggers!$1:$1,0)+1),MATCH(K$1,enemy_skill_triggers!$1:$1,0)-MATCH($F$1,enemy_skill_triggers!$1:$1,0)+1,FALSE)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1" s="48" t="str">
        <f ca="1">VLOOKUP($F271,OFFSET(enemy_skill_triggers!$A$1,0,0,COUNTA(enemy_skill_triggers!$A:$A),MATCH(L$1,enemy_skill_triggers!$1:$1,0)-MATCH($F$1,enemy_skill_triggers!$1:$1,0)+1),MATCH(L$1,enemy_skill_triggers!$1:$1,0)-MATCH($F$1,enemy_skill_triggers!$1:$1,0)+1,FALSE)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1" s="48">
        <f ca="1">VLOOKUP($F271,OFFSET(enemy_skill_triggers!$A$1,0,0,COUNTA(enemy_skill_triggers!$A:$A),MATCH(M$1,enemy_skill_triggers!$1:$1,0)-MATCH($F$1,enemy_skill_triggers!$1:$1,0)+1),MATCH(M$1,enemy_skill_triggers!$1:$1,0)-MATCH($F$1,enemy_skill_triggers!$1:$1,0)+1,FALSE)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71" s="48" t="str">
        <f ca="1">VLOOKUP($F271,OFFSET(enemy_skill_triggers!$A$1,0,0,COUNTA(enemy_skill_triggers!$A:$A),MATCH(N$1,enemy_skill_triggers!$1:$1,0)-MATCH($F$1,enemy_skill_triggers!$1:$1,0)+1),MATCH(N$1,enemy_skill_triggers!$1:$1,0)-MATCH($F$1,enemy_skill_triggers!$1:$1,0)+1,FALSE)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1" s="48">
        <f ca="1">VLOOKUP($F271,OFFSET(enemy_skill_triggers!$A$1,0,0,COUNTA(enemy_skill_triggers!$A:$A),MATCH(O$1,enemy_skill_triggers!$1:$1,0)-MATCH($F$1,enemy_skill_triggers!$1:$1,0)+1),MATCH(O$1,enemy_skill_triggers!$1:$1,0)-MATCH($F$1,enemy_skill_triggers!$1:$1,0)+1,FALSE)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1" s="47"/>
      <c r="Q271" s="47"/>
      <c r="R271" s="47"/>
    </row>
    <row r="272" spans="1:18" ht="21" customHeight="1" x14ac:dyDescent="0.15">
      <c r="A272" s="39" t="str">
        <f t="shared" si="17"/>
        <v>49016420_49016404</v>
      </c>
      <c r="B272" s="111">
        <v>49016420</v>
      </c>
      <c r="C272" s="111">
        <v>49016404</v>
      </c>
      <c r="D272" s="46" t="str">
        <f ca="1">VLOOKUP($C272,OFFSET(enemy_skills!$A$1,0,0,COUNTA(enemy_skills!$A:$A),MATCH(D$1,enemy_skills!$1:$1,0)-MATCH("enemy_skill_id",enemy_skills!$1:$1,0)+1),MATCH(D$1,enemy_skills!$1:$1,0)-MATCH("enemy_skill_id",enemy_skills!$1:$1,0)+1,FALSE)</f>
        <v>もういーい？</v>
      </c>
      <c r="E272" s="46" t="str">
        <f ca="1">VLOOKUP($C272,OFFSET(enemy_skills!$A$1,0,0,COUNTA(enemy_skills!$A:$A),MATCH(E$1,enemy_skills!$1:$1,0)-MATCH("enemy_skill_id",enemy_skills!$1:$1,0)+1),MATCH(E$1,enemy_skills!$1:$1,0)-MATCH("enemy_skill_id",enemy_skills!$1:$1,0)+1,FALSE)</f>
        <v>次のターンに強力な連続攻撃</v>
      </c>
      <c r="F272" s="111">
        <v>49016404</v>
      </c>
      <c r="G272" s="48">
        <f ca="1">VLOOKUP($F272,OFFSET(enemy_skill_triggers!$A$1,0,0,COUNTA(enemy_skill_triggers!$A:$A),MATCH(G$1,enemy_skill_triggers!$1:$1,0)-MATCH($F$1,enemy_skill_triggers!$1:$1,0)+1),MATCH(G$1,enemy_skill_triggers!$1:$1,0)-MATCH($F$1,enemy_skill_triggers!$1:$1,0)+1,FALSE)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2" s="48">
        <f ca="1">VLOOKUP($F272,OFFSET(enemy_skill_triggers!$A$1,0,0,COUNTA(enemy_skill_triggers!$A:$A),MATCH(H$1,enemy_skill_triggers!$1:$1,0)-MATCH($F$1,enemy_skill_triggers!$1:$1,0)+1),MATCH(H$1,enemy_skill_triggers!$1:$1,0)-MATCH($F$1,enemy_skill_triggers!$1:$1,0)+1,FALSE)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72" s="48">
        <f ca="1">VLOOKUP($F272,OFFSET(enemy_skill_triggers!$A$1,0,0,COUNTA(enemy_skill_triggers!$A:$A),MATCH(I$1,enemy_skill_triggers!$1:$1,0)-MATCH($F$1,enemy_skill_triggers!$1:$1,0)+1),MATCH(I$1,enemy_skill_triggers!$1:$1,0)-MATCH($F$1,enemy_skill_triggers!$1:$1,0)+1,FALSE)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2" s="48">
        <f ca="1">VLOOKUP($F272,OFFSET(enemy_skill_triggers!$A$1,0,0,COUNTA(enemy_skill_triggers!$A:$A),MATCH(J$1,enemy_skill_triggers!$1:$1,0)-MATCH($F$1,enemy_skill_triggers!$1:$1,0)+1),MATCH(J$1,enemy_skill_triggers!$1:$1,0)-MATCH($F$1,enemy_skill_triggers!$1:$1,0)+1,FALSE)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72" s="48" t="str">
        <f ca="1">VLOOKUP($F272,OFFSET(enemy_skill_triggers!$A$1,0,0,COUNTA(enemy_skill_triggers!$A:$A),MATCH(K$1,enemy_skill_triggers!$1:$1,0)-MATCH($F$1,enemy_skill_triggers!$1:$1,0)+1),MATCH(K$1,enemy_skill_triggers!$1:$1,0)-MATCH($F$1,enemy_skill_triggers!$1:$1,0)+1,FALSE)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2" s="48">
        <f ca="1">VLOOKUP($F272,OFFSET(enemy_skill_triggers!$A$1,0,0,COUNTA(enemy_skill_triggers!$A:$A),MATCH(L$1,enemy_skill_triggers!$1:$1,0)-MATCH($F$1,enemy_skill_triggers!$1:$1,0)+1),MATCH(L$1,enemy_skill_triggers!$1:$1,0)-MATCH($F$1,enemy_skill_triggers!$1:$1,0)+1,FALSE)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2" s="48">
        <f ca="1">VLOOKUP($F272,OFFSET(enemy_skill_triggers!$A$1,0,0,COUNTA(enemy_skill_triggers!$A:$A),MATCH(M$1,enemy_skill_triggers!$1:$1,0)-MATCH($F$1,enemy_skill_triggers!$1:$1,0)+1),MATCH(M$1,enemy_skill_triggers!$1:$1,0)-MATCH($F$1,enemy_skill_triggers!$1:$1,0)+1,FALSE)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2" s="48" t="str">
        <f ca="1">VLOOKUP($F272,OFFSET(enemy_skill_triggers!$A$1,0,0,COUNTA(enemy_skill_triggers!$A:$A),MATCH(N$1,enemy_skill_triggers!$1:$1,0)-MATCH($F$1,enemy_skill_triggers!$1:$1,0)+1),MATCH(N$1,enemy_skill_triggers!$1:$1,0)-MATCH($F$1,enemy_skill_triggers!$1:$1,0)+1,FALSE)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2" s="48">
        <f ca="1">VLOOKUP($F272,OFFSET(enemy_skill_triggers!$A$1,0,0,COUNTA(enemy_skill_triggers!$A:$A),MATCH(O$1,enemy_skill_triggers!$1:$1,0)-MATCH($F$1,enemy_skill_triggers!$1:$1,0)+1),MATCH(O$1,enemy_skill_triggers!$1:$1,0)-MATCH($F$1,enemy_skill_triggers!$1:$1,0)+1,FALSE)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2" s="47"/>
      <c r="Q272" s="47"/>
      <c r="R272" s="47"/>
    </row>
    <row r="273" spans="1:18" ht="21" customHeight="1" x14ac:dyDescent="0.15">
      <c r="A273" s="39" t="str">
        <f t="shared" si="17"/>
        <v>49016420_49016405</v>
      </c>
      <c r="B273" s="111">
        <v>49016420</v>
      </c>
      <c r="C273" s="111">
        <v>49016405</v>
      </c>
      <c r="D273" s="46" t="str">
        <f ca="1">VLOOKUP($C273,OFFSET(enemy_skills!$A$1,0,0,COUNTA(enemy_skills!$A:$A),MATCH(D$1,enemy_skills!$1:$1,0)-MATCH("enemy_skill_id",enemy_skills!$1:$1,0)+1),MATCH(D$1,enemy_skills!$1:$1,0)-MATCH("enemy_skill_id",enemy_skills!$1:$1,0)+1,FALSE)</f>
        <v>本気出しますね！</v>
      </c>
      <c r="E273" s="46" t="str">
        <f ca="1">VLOOKUP($C273,OFFSET(enemy_skills!$A$1,0,0,COUNTA(enemy_skills!$A:$A),MATCH(E$1,enemy_skills!$1:$1,0)-MATCH("enemy_skill_id",enemy_skills!$1:$1,0)+1),MATCH(E$1,enemy_skills!$1:$1,0)-MATCH("enemy_skill_id",enemy_skills!$1:$1,0)+1,FALSE)</f>
        <v>10回連続攻撃</v>
      </c>
      <c r="F273" s="111">
        <v>49016405</v>
      </c>
      <c r="G273" s="48">
        <f ca="1">VLOOKUP($F273,OFFSET(enemy_skill_triggers!$A$1,0,0,COUNTA(enemy_skill_triggers!$A:$A),MATCH(G$1,enemy_skill_triggers!$1:$1,0)-MATCH($F$1,enemy_skill_triggers!$1:$1,0)+1),MATCH(G$1,enemy_skill_triggers!$1:$1,0)-MATCH($F$1,enemy_skill_triggers!$1:$1,0)+1,FALSE)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3" s="48">
        <f ca="1">VLOOKUP($F273,OFFSET(enemy_skill_triggers!$A$1,0,0,COUNTA(enemy_skill_triggers!$A:$A),MATCH(H$1,enemy_skill_triggers!$1:$1,0)-MATCH($F$1,enemy_skill_triggers!$1:$1,0)+1),MATCH(H$1,enemy_skill_triggers!$1:$1,0)-MATCH($F$1,enemy_skill_triggers!$1:$1,0)+1,FALSE)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273" s="48">
        <f ca="1">VLOOKUP($F273,OFFSET(enemy_skill_triggers!$A$1,0,0,COUNTA(enemy_skill_triggers!$A:$A),MATCH(I$1,enemy_skill_triggers!$1:$1,0)-MATCH($F$1,enemy_skill_triggers!$1:$1,0)+1),MATCH(I$1,enemy_skill_triggers!$1:$1,0)-MATCH($F$1,enemy_skill_triggers!$1:$1,0)+1,FALSE)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3" s="48">
        <f ca="1">VLOOKUP($F273,OFFSET(enemy_skill_triggers!$A$1,0,0,COUNTA(enemy_skill_triggers!$A:$A),MATCH(J$1,enemy_skill_triggers!$1:$1,0)-MATCH($F$1,enemy_skill_triggers!$1:$1,0)+1),MATCH(J$1,enemy_skill_triggers!$1:$1,0)-MATCH($F$1,enemy_skill_triggers!$1:$1,0)+1,FALSE)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73" s="48" t="str">
        <f ca="1">VLOOKUP($F273,OFFSET(enemy_skill_triggers!$A$1,0,0,COUNTA(enemy_skill_triggers!$A:$A),MATCH(K$1,enemy_skill_triggers!$1:$1,0)-MATCH($F$1,enemy_skill_triggers!$1:$1,0)+1),MATCH(K$1,enemy_skill_triggers!$1:$1,0)-MATCH($F$1,enemy_skill_triggers!$1:$1,0)+1,FALSE)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3" s="48">
        <f ca="1">VLOOKUP($F273,OFFSET(enemy_skill_triggers!$A$1,0,0,COUNTA(enemy_skill_triggers!$A:$A),MATCH(L$1,enemy_skill_triggers!$1:$1,0)-MATCH($F$1,enemy_skill_triggers!$1:$1,0)+1),MATCH(L$1,enemy_skill_triggers!$1:$1,0)-MATCH($F$1,enemy_skill_triggers!$1:$1,0)+1,FALSE)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3" s="48">
        <f ca="1">VLOOKUP($F273,OFFSET(enemy_skill_triggers!$A$1,0,0,COUNTA(enemy_skill_triggers!$A:$A),MATCH(M$1,enemy_skill_triggers!$1:$1,0)-MATCH($F$1,enemy_skill_triggers!$1:$1,0)+1),MATCH(M$1,enemy_skill_triggers!$1:$1,0)-MATCH($F$1,enemy_skill_triggers!$1:$1,0)+1,FALSE)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3" s="48" t="str">
        <f ca="1">VLOOKUP($F273,OFFSET(enemy_skill_triggers!$A$1,0,0,COUNTA(enemy_skill_triggers!$A:$A),MATCH(N$1,enemy_skill_triggers!$1:$1,0)-MATCH($F$1,enemy_skill_triggers!$1:$1,0)+1),MATCH(N$1,enemy_skill_triggers!$1:$1,0)-MATCH($F$1,enemy_skill_triggers!$1:$1,0)+1,FALSE)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3" s="48">
        <f ca="1">VLOOKUP($F273,OFFSET(enemy_skill_triggers!$A$1,0,0,COUNTA(enemy_skill_triggers!$A:$A),MATCH(O$1,enemy_skill_triggers!$1:$1,0)-MATCH($F$1,enemy_skill_triggers!$1:$1,0)+1),MATCH(O$1,enemy_skill_triggers!$1:$1,0)-MATCH($F$1,enemy_skill_triggers!$1:$1,0)+1,FALSE)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3" s="47"/>
      <c r="Q273" s="47"/>
      <c r="R273" s="47"/>
    </row>
    <row r="274" spans="1:18" ht="21" customHeight="1" x14ac:dyDescent="0.15">
      <c r="A274" s="39" t="str">
        <f t="shared" si="17"/>
        <v>49016520_49016980</v>
      </c>
      <c r="B274" s="120">
        <v>49016520</v>
      </c>
      <c r="C274" s="120">
        <v>49016980</v>
      </c>
      <c r="D274" s="46" t="str">
        <f ca="1">VLOOKUP($C274,OFFSET(enemy_skills!$A$1,0,0,COUNTA(enemy_skills!$A:$A),MATCH(D$1,enemy_skills!$1:$1,0)-MATCH("enemy_skill_id",enemy_skills!$1:$1,0)+1),MATCH(D$1,enemy_skills!$1:$1,0)-MATCH("enemy_skill_id",enemy_skills!$1:$1,0)+1,FALSE)</f>
        <v>でておいで、僕の炎</v>
      </c>
      <c r="E274" s="46" t="str">
        <f ca="1">VLOOKUP($C274,OFFSET(enemy_skills!$A$1,0,0,COUNTA(enemy_skills!$A:$A),MATCH(E$1,enemy_skills!$1:$1,0)-MATCH("enemy_skill_id",enemy_skills!$1:$1,0)+1),MATCH(E$1,enemy_skills!$1:$1,0)-MATCH("enemy_skill_id",enemy_skills!$1:$1,0)+1,FALSE)</f>
        <v>超高確率で赤&amp;青パネルがボムパネルとしてドロップ+_x000D_赤&amp;青&amp;ボムパネルは確率でプロテクトされてドロップ</v>
      </c>
      <c r="F274" s="120">
        <v>49016980</v>
      </c>
      <c r="G274" s="48">
        <f ca="1">VLOOKUP($F274,OFFSET(enemy_skill_triggers!$A$1,0,0,COUNTA(enemy_skill_triggers!$A:$A),MATCH(G$1,enemy_skill_triggers!$1:$1,0)-MATCH($F$1,enemy_skill_triggers!$1:$1,0)+1),MATCH(G$1,enemy_skill_triggers!$1:$1,0)-MATCH($F$1,enemy_skill_triggers!$1:$1,0)+1,FALSE)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4" s="48" t="str">
        <f ca="1">VLOOKUP($F274,OFFSET(enemy_skill_triggers!$A$1,0,0,COUNTA(enemy_skill_triggers!$A:$A),MATCH(H$1,enemy_skill_triggers!$1:$1,0)-MATCH($F$1,enemy_skill_triggers!$1:$1,0)+1),MATCH(H$1,enemy_skill_triggers!$1:$1,0)-MATCH($F$1,enemy_skill_triggers!$1:$1,0)+1,FALSE)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4" s="48">
        <f ca="1">VLOOKUP($F274,OFFSET(enemy_skill_triggers!$A$1,0,0,COUNTA(enemy_skill_triggers!$A:$A),MATCH(I$1,enemy_skill_triggers!$1:$1,0)-MATCH($F$1,enemy_skill_triggers!$1:$1,0)+1),MATCH(I$1,enemy_skill_triggers!$1:$1,0)-MATCH($F$1,enemy_skill_triggers!$1:$1,0)+1,FALSE)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4" s="48" t="str">
        <f ca="1">VLOOKUP($F274,OFFSET(enemy_skill_triggers!$A$1,0,0,COUNTA(enemy_skill_triggers!$A:$A),MATCH(J$1,enemy_skill_triggers!$1:$1,0)-MATCH($F$1,enemy_skill_triggers!$1:$1,0)+1),MATCH(J$1,enemy_skill_triggers!$1:$1,0)-MATCH($F$1,enemy_skill_triggers!$1:$1,0)+1,FALSE)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4" s="48" t="str">
        <f ca="1">VLOOKUP($F274,OFFSET(enemy_skill_triggers!$A$1,0,0,COUNTA(enemy_skill_triggers!$A:$A),MATCH(K$1,enemy_skill_triggers!$1:$1,0)-MATCH($F$1,enemy_skill_triggers!$1:$1,0)+1),MATCH(K$1,enemy_skill_triggers!$1:$1,0)-MATCH($F$1,enemy_skill_triggers!$1:$1,0)+1,FALSE)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4" s="48">
        <f ca="1">VLOOKUP($F274,OFFSET(enemy_skill_triggers!$A$1,0,0,COUNTA(enemy_skill_triggers!$A:$A),MATCH(L$1,enemy_skill_triggers!$1:$1,0)-MATCH($F$1,enemy_skill_triggers!$1:$1,0)+1),MATCH(L$1,enemy_skill_triggers!$1:$1,0)-MATCH($F$1,enemy_skill_triggers!$1:$1,0)+1,FALSE)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4" s="48">
        <f ca="1">VLOOKUP($F274,OFFSET(enemy_skill_triggers!$A$1,0,0,COUNTA(enemy_skill_triggers!$A:$A),MATCH(M$1,enemy_skill_triggers!$1:$1,0)-MATCH($F$1,enemy_skill_triggers!$1:$1,0)+1),MATCH(M$1,enemy_skill_triggers!$1:$1,0)-MATCH($F$1,enemy_skill_triggers!$1:$1,0)+1,FALSE)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4" s="48" t="str">
        <f ca="1">VLOOKUP($F274,OFFSET(enemy_skill_triggers!$A$1,0,0,COUNTA(enemy_skill_triggers!$A:$A),MATCH(N$1,enemy_skill_triggers!$1:$1,0)-MATCH($F$1,enemy_skill_triggers!$1:$1,0)+1),MATCH(N$1,enemy_skill_triggers!$1:$1,0)-MATCH($F$1,enemy_skill_triggers!$1:$1,0)+1,FALSE)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4" s="48">
        <f ca="1">VLOOKUP($F274,OFFSET(enemy_skill_triggers!$A$1,0,0,COUNTA(enemy_skill_triggers!$A:$A),MATCH(O$1,enemy_skill_triggers!$1:$1,0)-MATCH($F$1,enemy_skill_triggers!$1:$1,0)+1),MATCH(O$1,enemy_skill_triggers!$1:$1,0)-MATCH($F$1,enemy_skill_triggers!$1:$1,0)+1,FALSE)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4" s="47"/>
      <c r="Q274" s="47"/>
      <c r="R274" s="47"/>
    </row>
    <row r="275" spans="1:18" ht="21" customHeight="1" x14ac:dyDescent="0.15">
      <c r="A275" s="39" t="str">
        <f t="shared" si="17"/>
        <v>49016520_49016984</v>
      </c>
      <c r="B275" s="120">
        <v>49016520</v>
      </c>
      <c r="C275" s="120">
        <v>49016984</v>
      </c>
      <c r="D275" s="46" t="str">
        <f ca="1">VLOOKUP($C275,OFFSET(enemy_skills!$A$1,0,0,COUNTA(enemy_skills!$A:$A),MATCH(D$1,enemy_skills!$1:$1,0)-MATCH("enemy_skill_id",enemy_skills!$1:$1,0)+1),MATCH(D$1,enemy_skills!$1:$1,0)-MATCH("enemy_skill_id",enemy_skills!$1:$1,0)+1,FALSE)</f>
        <v>そぉーれ！</v>
      </c>
      <c r="E275" s="46" t="str">
        <f ca="1">VLOOKUP($C275,OFFSET(enemy_skills!$A$1,0,0,COUNTA(enemy_skills!$A:$A),MATCH(E$1,enemy_skills!$1:$1,0)-MATCH("enemy_skill_id",enemy_skills!$1:$1,0)+1),MATCH(E$1,enemy_skills!$1:$1,0)-MATCH("enemy_skill_id",enemy_skills!$1:$1,0)+1,FALSE)</f>
        <v>ダメージ軽減&amp;防御力UP&amp;カウンター状態を解除+_x000D_単体攻撃</v>
      </c>
      <c r="F275" s="120">
        <v>49016501</v>
      </c>
      <c r="G275" s="48">
        <f ca="1">VLOOKUP($F275,OFFSET(enemy_skill_triggers!$A$1,0,0,COUNTA(enemy_skill_triggers!$A:$A),MATCH(G$1,enemy_skill_triggers!$1:$1,0)-MATCH($F$1,enemy_skill_triggers!$1:$1,0)+1),MATCH(G$1,enemy_skill_triggers!$1:$1,0)-MATCH($F$1,enemy_skill_triggers!$1:$1,0)+1,FALSE)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5" s="48">
        <f ca="1">VLOOKUP($F275,OFFSET(enemy_skill_triggers!$A$1,0,0,COUNTA(enemy_skill_triggers!$A:$A),MATCH(H$1,enemy_skill_triggers!$1:$1,0)-MATCH($F$1,enemy_skill_triggers!$1:$1,0)+1),MATCH(H$1,enemy_skill_triggers!$1:$1,0)-MATCH($F$1,enemy_skill_triggers!$1:$1,0)+1,FALSE)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75" s="48">
        <f ca="1">VLOOKUP($F275,OFFSET(enemy_skill_triggers!$A$1,0,0,COUNTA(enemy_skill_triggers!$A:$A),MATCH(I$1,enemy_skill_triggers!$1:$1,0)-MATCH($F$1,enemy_skill_triggers!$1:$1,0)+1),MATCH(I$1,enemy_skill_triggers!$1:$1,0)-MATCH($F$1,enemy_skill_triggers!$1:$1,0)+1,FALSE)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5" s="48" t="str">
        <f ca="1">VLOOKUP($F275,OFFSET(enemy_skill_triggers!$A$1,0,0,COUNTA(enemy_skill_triggers!$A:$A),MATCH(J$1,enemy_skill_triggers!$1:$1,0)-MATCH($F$1,enemy_skill_triggers!$1:$1,0)+1),MATCH(J$1,enemy_skill_triggers!$1:$1,0)-MATCH($F$1,enemy_skill_triggers!$1:$1,0)+1,FALSE)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5" s="48" t="str">
        <f ca="1">VLOOKUP($F275,OFFSET(enemy_skill_triggers!$A$1,0,0,COUNTA(enemy_skill_triggers!$A:$A),MATCH(K$1,enemy_skill_triggers!$1:$1,0)-MATCH($F$1,enemy_skill_triggers!$1:$1,0)+1),MATCH(K$1,enemy_skill_triggers!$1:$1,0)-MATCH($F$1,enemy_skill_triggers!$1:$1,0)+1,FALSE)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5" s="48" t="str">
        <f ca="1">VLOOKUP($F275,OFFSET(enemy_skill_triggers!$A$1,0,0,COUNTA(enemy_skill_triggers!$A:$A),MATCH(L$1,enemy_skill_triggers!$1:$1,0)-MATCH($F$1,enemy_skill_triggers!$1:$1,0)+1),MATCH(L$1,enemy_skill_triggers!$1:$1,0)-MATCH($F$1,enemy_skill_triggers!$1:$1,0)+1,FALSE)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5" s="48">
        <f ca="1">VLOOKUP($F275,OFFSET(enemy_skill_triggers!$A$1,0,0,COUNTA(enemy_skill_triggers!$A:$A),MATCH(M$1,enemy_skill_triggers!$1:$1,0)-MATCH($F$1,enemy_skill_triggers!$1:$1,0)+1),MATCH(M$1,enemy_skill_triggers!$1:$1,0)-MATCH($F$1,enemy_skill_triggers!$1:$1,0)+1,FALSE)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5" s="48" t="str">
        <f ca="1">VLOOKUP($F275,OFFSET(enemy_skill_triggers!$A$1,0,0,COUNTA(enemy_skill_triggers!$A:$A),MATCH(N$1,enemy_skill_triggers!$1:$1,0)-MATCH($F$1,enemy_skill_triggers!$1:$1,0)+1),MATCH(N$1,enemy_skill_triggers!$1:$1,0)-MATCH($F$1,enemy_skill_triggers!$1:$1,0)+1,FALSE)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5" s="48">
        <f ca="1">VLOOKUP($F275,OFFSET(enemy_skill_triggers!$A$1,0,0,COUNTA(enemy_skill_triggers!$A:$A),MATCH(O$1,enemy_skill_triggers!$1:$1,0)-MATCH($F$1,enemy_skill_triggers!$1:$1,0)+1),MATCH(O$1,enemy_skill_triggers!$1:$1,0)-MATCH($F$1,enemy_skill_triggers!$1:$1,0)+1,FALSE)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5" s="47"/>
      <c r="Q275" s="47"/>
      <c r="R275" s="47"/>
    </row>
    <row r="276" spans="1:18" ht="21" customHeight="1" x14ac:dyDescent="0.15">
      <c r="A276" s="39" t="str">
        <f t="shared" si="17"/>
        <v>49016520_49016502</v>
      </c>
      <c r="B276" s="120">
        <v>49016520</v>
      </c>
      <c r="C276" s="120">
        <v>49016502</v>
      </c>
      <c r="D276" s="46" t="str">
        <f ca="1">VLOOKUP($C276,OFFSET(enemy_skills!$A$1,0,0,COUNTA(enemy_skills!$A:$A),MATCH(D$1,enemy_skills!$1:$1,0)-MATCH("enemy_skill_id",enemy_skills!$1:$1,0)+1),MATCH(D$1,enemy_skills!$1:$1,0)-MATCH("enemy_skill_id",enemy_skills!$1:$1,0)+1,FALSE)</f>
        <v>さぁ、焼き尽くそうね</v>
      </c>
      <c r="E276" s="46" t="str">
        <f ca="1">VLOOKUP($C276,OFFSET(enemy_skills!$A$1,0,0,COUNTA(enemy_skills!$A:$A),MATCH(E$1,enemy_skills!$1:$1,0)-MATCH("enemy_skill_id",enemy_skills!$1:$1,0)+1),MATCH(E$1,enemy_skills!$1:$1,0)-MATCH("enemy_skill_id",enemy_skills!$1:$1,0)+1,FALSE)</f>
        <v>緑パネルを赤パネルに5個変換+_x000D_黄パネルを青パネルに5個変換+_x000D_4回連続攻撃</v>
      </c>
      <c r="F276" s="120">
        <v>49016502</v>
      </c>
      <c r="G276" s="48">
        <f ca="1">VLOOKUP($F276,OFFSET(enemy_skill_triggers!$A$1,0,0,COUNTA(enemy_skill_triggers!$A:$A),MATCH(G$1,enemy_skill_triggers!$1:$1,0)-MATCH($F$1,enemy_skill_triggers!$1:$1,0)+1),MATCH(G$1,enemy_skill_triggers!$1:$1,0)-MATCH($F$1,enemy_skill_triggers!$1:$1,0)+1,FALSE)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6" s="48">
        <f ca="1">VLOOKUP($F276,OFFSET(enemy_skill_triggers!$A$1,0,0,COUNTA(enemy_skill_triggers!$A:$A),MATCH(H$1,enemy_skill_triggers!$1:$1,0)-MATCH($F$1,enemy_skill_triggers!$1:$1,0)+1),MATCH(H$1,enemy_skill_triggers!$1:$1,0)-MATCH($F$1,enemy_skill_triggers!$1:$1,0)+1,FALSE)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276" s="48">
        <f ca="1">VLOOKUP($F276,OFFSET(enemy_skill_triggers!$A$1,0,0,COUNTA(enemy_skill_triggers!$A:$A),MATCH(I$1,enemy_skill_triggers!$1:$1,0)-MATCH($F$1,enemy_skill_triggers!$1:$1,0)+1),MATCH(I$1,enemy_skill_triggers!$1:$1,0)-MATCH($F$1,enemy_skill_triggers!$1:$1,0)+1,FALSE)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6" s="48" t="str">
        <f ca="1">VLOOKUP($F276,OFFSET(enemy_skill_triggers!$A$1,0,0,COUNTA(enemy_skill_triggers!$A:$A),MATCH(J$1,enemy_skill_triggers!$1:$1,0)-MATCH($F$1,enemy_skill_triggers!$1:$1,0)+1),MATCH(J$1,enemy_skill_triggers!$1:$1,0)-MATCH($F$1,enemy_skill_triggers!$1:$1,0)+1,FALSE)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6" s="48" t="str">
        <f ca="1">VLOOKUP($F276,OFFSET(enemy_skill_triggers!$A$1,0,0,COUNTA(enemy_skill_triggers!$A:$A),MATCH(K$1,enemy_skill_triggers!$1:$1,0)-MATCH($F$1,enemy_skill_triggers!$1:$1,0)+1),MATCH(K$1,enemy_skill_triggers!$1:$1,0)-MATCH($F$1,enemy_skill_triggers!$1:$1,0)+1,FALSE)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6" s="48" t="str">
        <f ca="1">VLOOKUP($F276,OFFSET(enemy_skill_triggers!$A$1,0,0,COUNTA(enemy_skill_triggers!$A:$A),MATCH(L$1,enemy_skill_triggers!$1:$1,0)-MATCH($F$1,enemy_skill_triggers!$1:$1,0)+1),MATCH(L$1,enemy_skill_triggers!$1:$1,0)-MATCH($F$1,enemy_skill_triggers!$1:$1,0)+1,FALSE)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6" s="48">
        <f ca="1">VLOOKUP($F276,OFFSET(enemy_skill_triggers!$A$1,0,0,COUNTA(enemy_skill_triggers!$A:$A),MATCH(M$1,enemy_skill_triggers!$1:$1,0)-MATCH($F$1,enemy_skill_triggers!$1:$1,0)+1),MATCH(M$1,enemy_skill_triggers!$1:$1,0)-MATCH($F$1,enemy_skill_triggers!$1:$1,0)+1,FALSE)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76" s="48" t="str">
        <f ca="1">VLOOKUP($F276,OFFSET(enemy_skill_triggers!$A$1,0,0,COUNTA(enemy_skill_triggers!$A:$A),MATCH(N$1,enemy_skill_triggers!$1:$1,0)-MATCH($F$1,enemy_skill_triggers!$1:$1,0)+1),MATCH(N$1,enemy_skill_triggers!$1:$1,0)-MATCH($F$1,enemy_skill_triggers!$1:$1,0)+1,FALSE)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6" s="48">
        <f ca="1">VLOOKUP($F276,OFFSET(enemy_skill_triggers!$A$1,0,0,COUNTA(enemy_skill_triggers!$A:$A),MATCH(O$1,enemy_skill_triggers!$1:$1,0)-MATCH($F$1,enemy_skill_triggers!$1:$1,0)+1),MATCH(O$1,enemy_skill_triggers!$1:$1,0)-MATCH($F$1,enemy_skill_triggers!$1:$1,0)+1,FALSE)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6" s="47"/>
      <c r="Q276" s="47"/>
      <c r="R276" s="47"/>
    </row>
    <row r="277" spans="1:18" ht="21" customHeight="1" x14ac:dyDescent="0.15">
      <c r="A277" s="39" t="str">
        <f t="shared" si="17"/>
        <v>49016520_49016503</v>
      </c>
      <c r="B277" s="120">
        <v>49016520</v>
      </c>
      <c r="C277" s="120">
        <v>49016503</v>
      </c>
      <c r="D277" s="46" t="str">
        <f ca="1">VLOOKUP($C277,OFFSET(enemy_skills!$A$1,0,0,COUNTA(enemy_skills!$A:$A),MATCH(D$1,enemy_skills!$1:$1,0)-MATCH("enemy_skill_id",enemy_skills!$1:$1,0)+1),MATCH(D$1,enemy_skills!$1:$1,0)-MATCH("enemy_skill_id",enemy_skills!$1:$1,0)+1,FALSE)</f>
        <v>炎ォ！</v>
      </c>
      <c r="E277" s="46" t="str">
        <f ca="1">VLOOKUP($C277,OFFSET(enemy_skills!$A$1,0,0,COUNTA(enemy_skills!$A:$A),MATCH(E$1,enemy_skills!$1:$1,0)-MATCH("enemy_skill_id",enemy_skills!$1:$1,0)+1),MATCH(E$1,enemy_skills!$1:$1,0)-MATCH("enemy_skill_id",enemy_skills!$1:$1,0)+1,FALSE)</f>
        <v>赤&amp;青&amp;ボムパネルを吸収して攻撃</v>
      </c>
      <c r="F277" s="120">
        <v>49016503</v>
      </c>
      <c r="G277" s="48">
        <f ca="1">VLOOKUP($F277,OFFSET(enemy_skill_triggers!$A$1,0,0,COUNTA(enemy_skill_triggers!$A:$A),MATCH(G$1,enemy_skill_triggers!$1:$1,0)-MATCH($F$1,enemy_skill_triggers!$1:$1,0)+1),MATCH(G$1,enemy_skill_triggers!$1:$1,0)-MATCH($F$1,enemy_skill_triggers!$1:$1,0)+1,FALSE)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7" s="48">
        <f ca="1">VLOOKUP($F277,OFFSET(enemy_skill_triggers!$A$1,0,0,COUNTA(enemy_skill_triggers!$A:$A),MATCH(H$1,enemy_skill_triggers!$1:$1,0)-MATCH($F$1,enemy_skill_triggers!$1:$1,0)+1),MATCH(H$1,enemy_skill_triggers!$1:$1,0)-MATCH($F$1,enemy_skill_triggers!$1:$1,0)+1,FALSE)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277" s="48">
        <f ca="1">VLOOKUP($F277,OFFSET(enemy_skill_triggers!$A$1,0,0,COUNTA(enemy_skill_triggers!$A:$A),MATCH(I$1,enemy_skill_triggers!$1:$1,0)-MATCH($F$1,enemy_skill_triggers!$1:$1,0)+1),MATCH(I$1,enemy_skill_triggers!$1:$1,0)-MATCH($F$1,enemy_skill_triggers!$1:$1,0)+1,FALSE)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7" s="48" t="str">
        <f ca="1">VLOOKUP($F277,OFFSET(enemy_skill_triggers!$A$1,0,0,COUNTA(enemy_skill_triggers!$A:$A),MATCH(J$1,enemy_skill_triggers!$1:$1,0)-MATCH($F$1,enemy_skill_triggers!$1:$1,0)+1),MATCH(J$1,enemy_skill_triggers!$1:$1,0)-MATCH($F$1,enemy_skill_triggers!$1:$1,0)+1,FALSE)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7" s="48" t="str">
        <f ca="1">VLOOKUP($F277,OFFSET(enemy_skill_triggers!$A$1,0,0,COUNTA(enemy_skill_triggers!$A:$A),MATCH(K$1,enemy_skill_triggers!$1:$1,0)-MATCH($F$1,enemy_skill_triggers!$1:$1,0)+1),MATCH(K$1,enemy_skill_triggers!$1:$1,0)-MATCH($F$1,enemy_skill_triggers!$1:$1,0)+1,FALSE)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7" s="48" t="str">
        <f ca="1">VLOOKUP($F277,OFFSET(enemy_skill_triggers!$A$1,0,0,COUNTA(enemy_skill_triggers!$A:$A),MATCH(L$1,enemy_skill_triggers!$1:$1,0)-MATCH($F$1,enemy_skill_triggers!$1:$1,0)+1),MATCH(L$1,enemy_skill_triggers!$1:$1,0)-MATCH($F$1,enemy_skill_triggers!$1:$1,0)+1,FALSE)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7" s="48">
        <f ca="1">VLOOKUP($F277,OFFSET(enemy_skill_triggers!$A$1,0,0,COUNTA(enemy_skill_triggers!$A:$A),MATCH(M$1,enemy_skill_triggers!$1:$1,0)-MATCH($F$1,enemy_skill_triggers!$1:$1,0)+1),MATCH(M$1,enemy_skill_triggers!$1:$1,0)-MATCH($F$1,enemy_skill_triggers!$1:$1,0)+1,FALSE)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77" s="48" t="str">
        <f ca="1">VLOOKUP($F277,OFFSET(enemy_skill_triggers!$A$1,0,0,COUNTA(enemy_skill_triggers!$A:$A),MATCH(N$1,enemy_skill_triggers!$1:$1,0)-MATCH($F$1,enemy_skill_triggers!$1:$1,0)+1),MATCH(N$1,enemy_skill_triggers!$1:$1,0)-MATCH($F$1,enemy_skill_triggers!$1:$1,0)+1,FALSE)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7" s="48">
        <f ca="1">VLOOKUP($F277,OFFSET(enemy_skill_triggers!$A$1,0,0,COUNTA(enemy_skill_triggers!$A:$A),MATCH(O$1,enemy_skill_triggers!$1:$1,0)-MATCH($F$1,enemy_skill_triggers!$1:$1,0)+1),MATCH(O$1,enemy_skill_triggers!$1:$1,0)-MATCH($F$1,enemy_skill_triggers!$1:$1,0)+1,FALSE)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7" s="47"/>
      <c r="Q277" s="47"/>
      <c r="R277" s="47"/>
    </row>
    <row r="278" spans="1:18" ht="21" customHeight="1" x14ac:dyDescent="0.15">
      <c r="A278" s="39" t="str">
        <f t="shared" ref="A278:A286" si="18">B278&amp;"_"&amp;C278</f>
        <v>49016520_49016504</v>
      </c>
      <c r="B278" s="120">
        <v>49016520</v>
      </c>
      <c r="C278" s="120">
        <v>49016504</v>
      </c>
      <c r="D278" s="46" t="str">
        <f ca="1">VLOOKUP($C278,OFFSET(enemy_skills!$A$1,0,0,COUNTA(enemy_skills!$A:$A),MATCH(D$1,enemy_skills!$1:$1,0)-MATCH("enemy_skill_id",enemy_skills!$1:$1,0)+1),MATCH(D$1,enemy_skills!$1:$1,0)-MATCH("enemy_skill_id",enemy_skills!$1:$1,0)+1,FALSE)</f>
        <v>さぁ、楽しもう 僕の炎</v>
      </c>
      <c r="E278" s="46" t="str">
        <f ca="1">VLOOKUP($C278,OFFSET(enemy_skills!$A$1,0,0,COUNTA(enemy_skills!$A:$A),MATCH(E$1,enemy_skills!$1:$1,0)-MATCH("enemy_skill_id",enemy_skills!$1:$1,0)+1),MATCH(E$1,enemy_skills!$1:$1,0)-MATCH("enemy_skill_id",enemy_skills!$1:$1,0)+1,FALSE)</f>
        <v>赤&amp;青&amp;ボムパネルを吸収して回復+_x000D_全ユニットに1ターンスキルバインド</v>
      </c>
      <c r="F278" s="120">
        <v>49016504</v>
      </c>
      <c r="G278" s="48">
        <f ca="1">VLOOKUP($F278,OFFSET(enemy_skill_triggers!$A$1,0,0,COUNTA(enemy_skill_triggers!$A:$A),MATCH(G$1,enemy_skill_triggers!$1:$1,0)-MATCH($F$1,enemy_skill_triggers!$1:$1,0)+1),MATCH(G$1,enemy_skill_triggers!$1:$1,0)-MATCH($F$1,enemy_skill_triggers!$1:$1,0)+1,FALSE)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8" s="48">
        <f ca="1">VLOOKUP($F278,OFFSET(enemy_skill_triggers!$A$1,0,0,COUNTA(enemy_skill_triggers!$A:$A),MATCH(H$1,enemy_skill_triggers!$1:$1,0)-MATCH($F$1,enemy_skill_triggers!$1:$1,0)+1),MATCH(H$1,enemy_skill_triggers!$1:$1,0)-MATCH($F$1,enemy_skill_triggers!$1:$1,0)+1,FALSE)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278" s="48">
        <f ca="1">VLOOKUP($F278,OFFSET(enemy_skill_triggers!$A$1,0,0,COUNTA(enemy_skill_triggers!$A:$A),MATCH(I$1,enemy_skill_triggers!$1:$1,0)-MATCH($F$1,enemy_skill_triggers!$1:$1,0)+1),MATCH(I$1,enemy_skill_triggers!$1:$1,0)-MATCH($F$1,enemy_skill_triggers!$1:$1,0)+1,FALSE)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8" s="48">
        <f ca="1">VLOOKUP($F278,OFFSET(enemy_skill_triggers!$A$1,0,0,COUNTA(enemy_skill_triggers!$A:$A),MATCH(J$1,enemy_skill_triggers!$1:$1,0)-MATCH($F$1,enemy_skill_triggers!$1:$1,0)+1),MATCH(J$1,enemy_skill_triggers!$1:$1,0)-MATCH($F$1,enemy_skill_triggers!$1:$1,0)+1,FALSE)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78" s="48" t="str">
        <f ca="1">VLOOKUP($F278,OFFSET(enemy_skill_triggers!$A$1,0,0,COUNTA(enemy_skill_triggers!$A:$A),MATCH(K$1,enemy_skill_triggers!$1:$1,0)-MATCH($F$1,enemy_skill_triggers!$1:$1,0)+1),MATCH(K$1,enemy_skill_triggers!$1:$1,0)-MATCH($F$1,enemy_skill_triggers!$1:$1,0)+1,FALSE)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8" s="48">
        <f ca="1">VLOOKUP($F278,OFFSET(enemy_skill_triggers!$A$1,0,0,COUNTA(enemy_skill_triggers!$A:$A),MATCH(L$1,enemy_skill_triggers!$1:$1,0)-MATCH($F$1,enemy_skill_triggers!$1:$1,0)+1),MATCH(L$1,enemy_skill_triggers!$1:$1,0)-MATCH($F$1,enemy_skill_triggers!$1:$1,0)+1,FALSE)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8" s="48">
        <f ca="1">VLOOKUP($F278,OFFSET(enemy_skill_triggers!$A$1,0,0,COUNTA(enemy_skill_triggers!$A:$A),MATCH(M$1,enemy_skill_triggers!$1:$1,0)-MATCH($F$1,enemy_skill_triggers!$1:$1,0)+1),MATCH(M$1,enemy_skill_triggers!$1:$1,0)-MATCH($F$1,enemy_skill_triggers!$1:$1,0)+1,FALSE)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8" s="48" t="str">
        <f ca="1">VLOOKUP($F278,OFFSET(enemy_skill_triggers!$A$1,0,0,COUNTA(enemy_skill_triggers!$A:$A),MATCH(N$1,enemy_skill_triggers!$1:$1,0)-MATCH($F$1,enemy_skill_triggers!$1:$1,0)+1),MATCH(N$1,enemy_skill_triggers!$1:$1,0)-MATCH($F$1,enemy_skill_triggers!$1:$1,0)+1,FALSE)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8" s="48">
        <f ca="1">VLOOKUP($F278,OFFSET(enemy_skill_triggers!$A$1,0,0,COUNTA(enemy_skill_triggers!$A:$A),MATCH(O$1,enemy_skill_triggers!$1:$1,0)-MATCH($F$1,enemy_skill_triggers!$1:$1,0)+1),MATCH(O$1,enemy_skill_triggers!$1:$1,0)-MATCH($F$1,enemy_skill_triggers!$1:$1,0)+1,FALSE)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8" s="47"/>
      <c r="Q278" s="47"/>
      <c r="R278" s="47"/>
    </row>
    <row r="279" spans="1:18" ht="21" customHeight="1" x14ac:dyDescent="0.15">
      <c r="A279" s="39" t="str">
        <f t="shared" si="18"/>
        <v>49016620_49016600</v>
      </c>
      <c r="B279" s="123">
        <v>49016620</v>
      </c>
      <c r="C279" s="123">
        <v>49016600</v>
      </c>
      <c r="D279" s="46" t="str">
        <f ca="1">VLOOKUP($C279,OFFSET(enemy_skills!$A$1,0,0,COUNTA(enemy_skills!$A:$A),MATCH(D$1,enemy_skills!$1:$1,0)-MATCH("enemy_skill_id",enemy_skills!$1:$1,0)+1),MATCH(D$1,enemy_skills!$1:$1,0)-MATCH("enemy_skill_id",enemy_skills!$1:$1,0)+1,FALSE)</f>
        <v>まいあがれ、僕の炎</v>
      </c>
      <c r="E279" s="46" t="str">
        <f ca="1">VLOOKUP($C279,OFFSET(enemy_skills!$A$1,0,0,COUNTA(enemy_skills!$A:$A),MATCH(E$1,enemy_skills!$1:$1,0)-MATCH("enemy_skill_id",enemy_skills!$1:$1,0)+1),MATCH(E$1,enemy_skills!$1:$1,0)-MATCH("enemy_skill_id",enemy_skills!$1:$1,0)+1,FALSE)</f>
        <v>フィーバーゲージ減少+_x000D_6ターン赤&amp;青パネルドロップ率UP</v>
      </c>
      <c r="F279" s="123">
        <v>49016600</v>
      </c>
      <c r="G279" s="48">
        <f ca="1">VLOOKUP($F279,OFFSET(enemy_skill_triggers!$A$1,0,0,COUNTA(enemy_skill_triggers!$A:$A),MATCH(G$1,enemy_skill_triggers!$1:$1,0)-MATCH($F$1,enemy_skill_triggers!$1:$1,0)+1),MATCH(G$1,enemy_skill_triggers!$1:$1,0)-MATCH($F$1,enemy_skill_triggers!$1:$1,0)+1,FALSE)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9" s="48" t="str">
        <f ca="1">VLOOKUP($F279,OFFSET(enemy_skill_triggers!$A$1,0,0,COUNTA(enemy_skill_triggers!$A:$A),MATCH(H$1,enemy_skill_triggers!$1:$1,0)-MATCH($F$1,enemy_skill_triggers!$1:$1,0)+1),MATCH(H$1,enemy_skill_triggers!$1:$1,0)-MATCH($F$1,enemy_skill_triggers!$1:$1,0)+1,FALSE)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9" s="48">
        <f ca="1">VLOOKUP($F279,OFFSET(enemy_skill_triggers!$A$1,0,0,COUNTA(enemy_skill_triggers!$A:$A),MATCH(I$1,enemy_skill_triggers!$1:$1,0)-MATCH($F$1,enemy_skill_triggers!$1:$1,0)+1),MATCH(I$1,enemy_skill_triggers!$1:$1,0)-MATCH($F$1,enemy_skill_triggers!$1:$1,0)+1,FALSE)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9" s="48" t="str">
        <f ca="1">VLOOKUP($F279,OFFSET(enemy_skill_triggers!$A$1,0,0,COUNTA(enemy_skill_triggers!$A:$A),MATCH(J$1,enemy_skill_triggers!$1:$1,0)-MATCH($F$1,enemy_skill_triggers!$1:$1,0)+1),MATCH(J$1,enemy_skill_triggers!$1:$1,0)-MATCH($F$1,enemy_skill_triggers!$1:$1,0)+1,FALSE)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9" s="48" t="str">
        <f ca="1">VLOOKUP($F279,OFFSET(enemy_skill_triggers!$A$1,0,0,COUNTA(enemy_skill_triggers!$A:$A),MATCH(K$1,enemy_skill_triggers!$1:$1,0)-MATCH($F$1,enemy_skill_triggers!$1:$1,0)+1),MATCH(K$1,enemy_skill_triggers!$1:$1,0)-MATCH($F$1,enemy_skill_triggers!$1:$1,0)+1,FALSE)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9" s="48">
        <f ca="1">VLOOKUP($F279,OFFSET(enemy_skill_triggers!$A$1,0,0,COUNTA(enemy_skill_triggers!$A:$A),MATCH(L$1,enemy_skill_triggers!$1:$1,0)-MATCH($F$1,enemy_skill_triggers!$1:$1,0)+1),MATCH(L$1,enemy_skill_triggers!$1:$1,0)-MATCH($F$1,enemy_skill_triggers!$1:$1,0)+1,FALSE)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9" s="48">
        <f ca="1">VLOOKUP($F279,OFFSET(enemy_skill_triggers!$A$1,0,0,COUNTA(enemy_skill_triggers!$A:$A),MATCH(M$1,enemy_skill_triggers!$1:$1,0)-MATCH($F$1,enemy_skill_triggers!$1:$1,0)+1),MATCH(M$1,enemy_skill_triggers!$1:$1,0)-MATCH($F$1,enemy_skill_triggers!$1:$1,0)+1,FALSE)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79" s="48" t="str">
        <f ca="1">VLOOKUP($F279,OFFSET(enemy_skill_triggers!$A$1,0,0,COUNTA(enemy_skill_triggers!$A:$A),MATCH(N$1,enemy_skill_triggers!$1:$1,0)-MATCH($F$1,enemy_skill_triggers!$1:$1,0)+1),MATCH(N$1,enemy_skill_triggers!$1:$1,0)-MATCH($F$1,enemy_skill_triggers!$1:$1,0)+1,FALSE)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9" s="48">
        <f ca="1">VLOOKUP($F279,OFFSET(enemy_skill_triggers!$A$1,0,0,COUNTA(enemy_skill_triggers!$A:$A),MATCH(O$1,enemy_skill_triggers!$1:$1,0)-MATCH($F$1,enemy_skill_triggers!$1:$1,0)+1),MATCH(O$1,enemy_skill_triggers!$1:$1,0)-MATCH($F$1,enemy_skill_triggers!$1:$1,0)+1,FALSE)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9" s="47"/>
      <c r="Q279" s="47"/>
      <c r="R279" s="47"/>
    </row>
    <row r="280" spans="1:18" ht="21" customHeight="1" x14ac:dyDescent="0.15">
      <c r="A280" s="39" t="str">
        <f t="shared" si="18"/>
        <v>49016620_49016601</v>
      </c>
      <c r="B280" s="123">
        <v>49016620</v>
      </c>
      <c r="C280" s="123">
        <v>49016601</v>
      </c>
      <c r="D280" s="46" t="str">
        <f ca="1">VLOOKUP($C280,OFFSET(enemy_skills!$A$1,0,0,COUNTA(enemy_skills!$A:$A),MATCH(D$1,enemy_skills!$1:$1,0)-MATCH("enemy_skill_id",enemy_skills!$1:$1,0)+1),MATCH(D$1,enemy_skills!$1:$1,0)-MATCH("enemy_skill_id",enemy_skills!$1:$1,0)+1,FALSE)</f>
        <v>そぉーれ！</v>
      </c>
      <c r="E280" s="46" t="str">
        <f ca="1">VLOOKUP($C280,OFFSET(enemy_skills!$A$1,0,0,COUNTA(enemy_skills!$A:$A),MATCH(E$1,enemy_skills!$1:$1,0)-MATCH("enemy_skill_id",enemy_skills!$1:$1,0)+1),MATCH(E$1,enemy_skills!$1:$1,0)-MATCH("enemy_skill_id",enemy_skills!$1:$1,0)+1,FALSE)</f>
        <v>ダメージ軽減&amp;防御力UP&amp;カウンター状態を解除+_x000D_2回連続攻撃</v>
      </c>
      <c r="F280" s="123">
        <v>49016601</v>
      </c>
      <c r="G280" s="48">
        <f ca="1">VLOOKUP($F280,OFFSET(enemy_skill_triggers!$A$1,0,0,COUNTA(enemy_skill_triggers!$A:$A),MATCH(G$1,enemy_skill_triggers!$1:$1,0)-MATCH($F$1,enemy_skill_triggers!$1:$1,0)+1),MATCH(G$1,enemy_skill_triggers!$1:$1,0)-MATCH($F$1,enemy_skill_triggers!$1:$1,0)+1,FALSE)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0" s="48">
        <f ca="1">VLOOKUP($F280,OFFSET(enemy_skill_triggers!$A$1,0,0,COUNTA(enemy_skill_triggers!$A:$A),MATCH(H$1,enemy_skill_triggers!$1:$1,0)-MATCH($F$1,enemy_skill_triggers!$1:$1,0)+1),MATCH(H$1,enemy_skill_triggers!$1:$1,0)-MATCH($F$1,enemy_skill_triggers!$1:$1,0)+1,FALSE)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80" s="48">
        <f ca="1">VLOOKUP($F280,OFFSET(enemy_skill_triggers!$A$1,0,0,COUNTA(enemy_skill_triggers!$A:$A),MATCH(I$1,enemy_skill_triggers!$1:$1,0)-MATCH($F$1,enemy_skill_triggers!$1:$1,0)+1),MATCH(I$1,enemy_skill_triggers!$1:$1,0)-MATCH($F$1,enemy_skill_triggers!$1:$1,0)+1,FALSE)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0" s="48" t="str">
        <f ca="1">VLOOKUP($F280,OFFSET(enemy_skill_triggers!$A$1,0,0,COUNTA(enemy_skill_triggers!$A:$A),MATCH(J$1,enemy_skill_triggers!$1:$1,0)-MATCH($F$1,enemy_skill_triggers!$1:$1,0)+1),MATCH(J$1,enemy_skill_triggers!$1:$1,0)-MATCH($F$1,enemy_skill_triggers!$1:$1,0)+1,FALSE)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0" s="48" t="str">
        <f ca="1">VLOOKUP($F280,OFFSET(enemy_skill_triggers!$A$1,0,0,COUNTA(enemy_skill_triggers!$A:$A),MATCH(K$1,enemy_skill_triggers!$1:$1,0)-MATCH($F$1,enemy_skill_triggers!$1:$1,0)+1),MATCH(K$1,enemy_skill_triggers!$1:$1,0)-MATCH($F$1,enemy_skill_triggers!$1:$1,0)+1,FALSE)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0" s="48" t="str">
        <f ca="1">VLOOKUP($F280,OFFSET(enemy_skill_triggers!$A$1,0,0,COUNTA(enemy_skill_triggers!$A:$A),MATCH(L$1,enemy_skill_triggers!$1:$1,0)-MATCH($F$1,enemy_skill_triggers!$1:$1,0)+1),MATCH(L$1,enemy_skill_triggers!$1:$1,0)-MATCH($F$1,enemy_skill_triggers!$1:$1,0)+1,FALSE)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0" s="48">
        <f ca="1">VLOOKUP($F280,OFFSET(enemy_skill_triggers!$A$1,0,0,COUNTA(enemy_skill_triggers!$A:$A),MATCH(M$1,enemy_skill_triggers!$1:$1,0)-MATCH($F$1,enemy_skill_triggers!$1:$1,0)+1),MATCH(M$1,enemy_skill_triggers!$1:$1,0)-MATCH($F$1,enemy_skill_triggers!$1:$1,0)+1,FALSE)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0" s="48" t="str">
        <f ca="1">VLOOKUP($F280,OFFSET(enemy_skill_triggers!$A$1,0,0,COUNTA(enemy_skill_triggers!$A:$A),MATCH(N$1,enemy_skill_triggers!$1:$1,0)-MATCH($F$1,enemy_skill_triggers!$1:$1,0)+1),MATCH(N$1,enemy_skill_triggers!$1:$1,0)-MATCH($F$1,enemy_skill_triggers!$1:$1,0)+1,FALSE)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0" s="48">
        <f ca="1">VLOOKUP($F280,OFFSET(enemy_skill_triggers!$A$1,0,0,COUNTA(enemy_skill_triggers!$A:$A),MATCH(O$1,enemy_skill_triggers!$1:$1,0)-MATCH($F$1,enemy_skill_triggers!$1:$1,0)+1),MATCH(O$1,enemy_skill_triggers!$1:$1,0)-MATCH($F$1,enemy_skill_triggers!$1:$1,0)+1,FALSE)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0" s="47"/>
      <c r="Q280" s="47"/>
      <c r="R280" s="47"/>
    </row>
    <row r="281" spans="1:18" ht="21" customHeight="1" x14ac:dyDescent="0.15">
      <c r="A281" s="39" t="str">
        <f t="shared" si="18"/>
        <v>49016620_49016982</v>
      </c>
      <c r="B281" s="123">
        <v>49016620</v>
      </c>
      <c r="C281" s="123">
        <v>49016982</v>
      </c>
      <c r="D281" s="46" t="str">
        <f ca="1">VLOOKUP($C281,OFFSET(enemy_skills!$A$1,0,0,COUNTA(enemy_skills!$A:$A),MATCH(D$1,enemy_skills!$1:$1,0)-MATCH("enemy_skill_id",enemy_skills!$1:$1,0)+1),MATCH(D$1,enemy_skills!$1:$1,0)-MATCH("enemy_skill_id",enemy_skills!$1:$1,0)+1,FALSE)</f>
        <v>炎ォ！</v>
      </c>
      <c r="E281" s="46" t="str">
        <f ca="1">VLOOKUP($C281,OFFSET(enemy_skills!$A$1,0,0,COUNTA(enemy_skills!$A:$A),MATCH(E$1,enemy_skills!$1:$1,0)-MATCH("enemy_skill_id",enemy_skills!$1:$1,0)+1),MATCH(E$1,enemy_skills!$1:$1,0)-MATCH("enemy_skill_id",enemy_skills!$1:$1,0)+1,FALSE)</f>
        <v>赤&amp;青&amp;ボムパネルを吸収して攻撃</v>
      </c>
      <c r="F281" s="123">
        <v>49016982</v>
      </c>
      <c r="G281" s="48">
        <f ca="1">VLOOKUP($F281,OFFSET(enemy_skill_triggers!$A$1,0,0,COUNTA(enemy_skill_triggers!$A:$A),MATCH(G$1,enemy_skill_triggers!$1:$1,0)-MATCH($F$1,enemy_skill_triggers!$1:$1,0)+1),MATCH(G$1,enemy_skill_triggers!$1:$1,0)-MATCH($F$1,enemy_skill_triggers!$1:$1,0)+1,FALSE)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1" s="48">
        <f ca="1">VLOOKUP($F281,OFFSET(enemy_skill_triggers!$A$1,0,0,COUNTA(enemy_skill_triggers!$A:$A),MATCH(H$1,enemy_skill_triggers!$1:$1,0)-MATCH($F$1,enemy_skill_triggers!$1:$1,0)+1),MATCH(H$1,enemy_skill_triggers!$1:$1,0)-MATCH($F$1,enemy_skill_triggers!$1:$1,0)+1,FALSE)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281" s="48">
        <f ca="1">VLOOKUP($F281,OFFSET(enemy_skill_triggers!$A$1,0,0,COUNTA(enemy_skill_triggers!$A:$A),MATCH(I$1,enemy_skill_triggers!$1:$1,0)-MATCH($F$1,enemy_skill_triggers!$1:$1,0)+1),MATCH(I$1,enemy_skill_triggers!$1:$1,0)-MATCH($F$1,enemy_skill_triggers!$1:$1,0)+1,FALSE)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1" s="48" t="str">
        <f ca="1">VLOOKUP($F281,OFFSET(enemy_skill_triggers!$A$1,0,0,COUNTA(enemy_skill_triggers!$A:$A),MATCH(J$1,enemy_skill_triggers!$1:$1,0)-MATCH($F$1,enemy_skill_triggers!$1:$1,0)+1),MATCH(J$1,enemy_skill_triggers!$1:$1,0)-MATCH($F$1,enemy_skill_triggers!$1:$1,0)+1,FALSE)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1" s="48" t="str">
        <f ca="1">VLOOKUP($F281,OFFSET(enemy_skill_triggers!$A$1,0,0,COUNTA(enemy_skill_triggers!$A:$A),MATCH(K$1,enemy_skill_triggers!$1:$1,0)-MATCH($F$1,enemy_skill_triggers!$1:$1,0)+1),MATCH(K$1,enemy_skill_triggers!$1:$1,0)-MATCH($F$1,enemy_skill_triggers!$1:$1,0)+1,FALSE)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1" s="48" t="str">
        <f ca="1">VLOOKUP($F281,OFFSET(enemy_skill_triggers!$A$1,0,0,COUNTA(enemy_skill_triggers!$A:$A),MATCH(L$1,enemy_skill_triggers!$1:$1,0)-MATCH($F$1,enemy_skill_triggers!$1:$1,0)+1),MATCH(L$1,enemy_skill_triggers!$1:$1,0)-MATCH($F$1,enemy_skill_triggers!$1:$1,0)+1,FALSE)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1" s="48">
        <f ca="1">VLOOKUP($F281,OFFSET(enemy_skill_triggers!$A$1,0,0,COUNTA(enemy_skill_triggers!$A:$A),MATCH(M$1,enemy_skill_triggers!$1:$1,0)-MATCH($F$1,enemy_skill_triggers!$1:$1,0)+1),MATCH(M$1,enemy_skill_triggers!$1:$1,0)-MATCH($F$1,enemy_skill_triggers!$1:$1,0)+1,FALSE)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81" s="48" t="str">
        <f ca="1">VLOOKUP($F281,OFFSET(enemy_skill_triggers!$A$1,0,0,COUNTA(enemy_skill_triggers!$A:$A),MATCH(N$1,enemy_skill_triggers!$1:$1,0)-MATCH($F$1,enemy_skill_triggers!$1:$1,0)+1),MATCH(N$1,enemy_skill_triggers!$1:$1,0)-MATCH($F$1,enemy_skill_triggers!$1:$1,0)+1,FALSE)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1" s="48">
        <f ca="1">VLOOKUP($F281,OFFSET(enemy_skill_triggers!$A$1,0,0,COUNTA(enemy_skill_triggers!$A:$A),MATCH(O$1,enemy_skill_triggers!$1:$1,0)-MATCH($F$1,enemy_skill_triggers!$1:$1,0)+1),MATCH(O$1,enemy_skill_triggers!$1:$1,0)-MATCH($F$1,enemy_skill_triggers!$1:$1,0)+1,FALSE)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1" s="47"/>
      <c r="Q281" s="47"/>
      <c r="R281" s="47"/>
    </row>
    <row r="282" spans="1:18" ht="21" customHeight="1" x14ac:dyDescent="0.15">
      <c r="A282" s="39" t="str">
        <f t="shared" si="18"/>
        <v>49016620_49016983</v>
      </c>
      <c r="B282" s="123">
        <v>49016620</v>
      </c>
      <c r="C282" s="123">
        <v>49016983</v>
      </c>
      <c r="D282" s="46" t="str">
        <f ca="1">VLOOKUP($C282,OFFSET(enemy_skills!$A$1,0,0,COUNTA(enemy_skills!$A:$A),MATCH(D$1,enemy_skills!$1:$1,0)-MATCH("enemy_skill_id",enemy_skills!$1:$1,0)+1),MATCH(D$1,enemy_skills!$1:$1,0)-MATCH("enemy_skill_id",enemy_skills!$1:$1,0)+1,FALSE)</f>
        <v>さなぎを破り、蝶は舞う…</v>
      </c>
      <c r="E282" s="46" t="str">
        <f ca="1">VLOOKUP($C282,OFFSET(enemy_skills!$A$1,0,0,COUNTA(enemy_skills!$A:$A),MATCH(E$1,enemy_skills!$1:$1,0)-MATCH("enemy_skill_id",enemy_skills!$1:$1,0)+1),MATCH(E$1,enemy_skills!$1:$1,0)-MATCH("enemy_skill_id",enemy_skills!$1:$1,0)+1,FALSE)</f>
        <v>残りHPの70%ダメージ！</v>
      </c>
      <c r="F282" s="123">
        <v>49016603</v>
      </c>
      <c r="G282" s="48">
        <f ca="1">VLOOKUP($F282,OFFSET(enemy_skill_triggers!$A$1,0,0,COUNTA(enemy_skill_triggers!$A:$A),MATCH(G$1,enemy_skill_triggers!$1:$1,0)-MATCH($F$1,enemy_skill_triggers!$1:$1,0)+1),MATCH(G$1,enemy_skill_triggers!$1:$1,0)-MATCH($F$1,enemy_skill_triggers!$1:$1,0)+1,FALSE)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2" s="48">
        <f ca="1">VLOOKUP($F282,OFFSET(enemy_skill_triggers!$A$1,0,0,COUNTA(enemy_skill_triggers!$A:$A),MATCH(H$1,enemy_skill_triggers!$1:$1,0)-MATCH($F$1,enemy_skill_triggers!$1:$1,0)+1),MATCH(H$1,enemy_skill_triggers!$1:$1,0)-MATCH($F$1,enemy_skill_triggers!$1:$1,0)+1,FALSE)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282" s="48">
        <f ca="1">VLOOKUP($F282,OFFSET(enemy_skill_triggers!$A$1,0,0,COUNTA(enemy_skill_triggers!$A:$A),MATCH(I$1,enemy_skill_triggers!$1:$1,0)-MATCH($F$1,enemy_skill_triggers!$1:$1,0)+1),MATCH(I$1,enemy_skill_triggers!$1:$1,0)-MATCH($F$1,enemy_skill_triggers!$1:$1,0)+1,FALSE)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2" s="48">
        <f ca="1">VLOOKUP($F282,OFFSET(enemy_skill_triggers!$A$1,0,0,COUNTA(enemy_skill_triggers!$A:$A),MATCH(J$1,enemy_skill_triggers!$1:$1,0)-MATCH($F$1,enemy_skill_triggers!$1:$1,0)+1),MATCH(J$1,enemy_skill_triggers!$1:$1,0)-MATCH($F$1,enemy_skill_triggers!$1:$1,0)+1,FALSE)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282" s="48" t="str">
        <f ca="1">VLOOKUP($F282,OFFSET(enemy_skill_triggers!$A$1,0,0,COUNTA(enemy_skill_triggers!$A:$A),MATCH(K$1,enemy_skill_triggers!$1:$1,0)-MATCH($F$1,enemy_skill_triggers!$1:$1,0)+1),MATCH(K$1,enemy_skill_triggers!$1:$1,0)-MATCH($F$1,enemy_skill_triggers!$1:$1,0)+1,FALSE)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2" s="48">
        <f ca="1">VLOOKUP($F282,OFFSET(enemy_skill_triggers!$A$1,0,0,COUNTA(enemy_skill_triggers!$A:$A),MATCH(L$1,enemy_skill_triggers!$1:$1,0)-MATCH($F$1,enemy_skill_triggers!$1:$1,0)+1),MATCH(L$1,enemy_skill_triggers!$1:$1,0)-MATCH($F$1,enemy_skill_triggers!$1:$1,0)+1,FALSE)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2" s="48">
        <f ca="1">VLOOKUP($F282,OFFSET(enemy_skill_triggers!$A$1,0,0,COUNTA(enemy_skill_triggers!$A:$A),MATCH(M$1,enemy_skill_triggers!$1:$1,0)-MATCH($F$1,enemy_skill_triggers!$1:$1,0)+1),MATCH(M$1,enemy_skill_triggers!$1:$1,0)-MATCH($F$1,enemy_skill_triggers!$1:$1,0)+1,FALSE)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2" s="48" t="str">
        <f ca="1">VLOOKUP($F282,OFFSET(enemy_skill_triggers!$A$1,0,0,COUNTA(enemy_skill_triggers!$A:$A),MATCH(N$1,enemy_skill_triggers!$1:$1,0)-MATCH($F$1,enemy_skill_triggers!$1:$1,0)+1),MATCH(N$1,enemy_skill_triggers!$1:$1,0)-MATCH($F$1,enemy_skill_triggers!$1:$1,0)+1,FALSE)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2" s="48">
        <f ca="1">VLOOKUP($F282,OFFSET(enemy_skill_triggers!$A$1,0,0,COUNTA(enemy_skill_triggers!$A:$A),MATCH(O$1,enemy_skill_triggers!$1:$1,0)-MATCH($F$1,enemy_skill_triggers!$1:$1,0)+1),MATCH(O$1,enemy_skill_triggers!$1:$1,0)-MATCH($F$1,enemy_skill_triggers!$1:$1,0)+1,FALSE)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2" s="47"/>
      <c r="Q282" s="47"/>
      <c r="R282" s="47"/>
    </row>
    <row r="283" spans="1:18" ht="21" customHeight="1" x14ac:dyDescent="0.15">
      <c r="A283" s="39" t="str">
        <f t="shared" si="18"/>
        <v>49016620_49016604</v>
      </c>
      <c r="B283" s="123">
        <v>49016620</v>
      </c>
      <c r="C283" s="123">
        <v>49016604</v>
      </c>
      <c r="D283" s="46" t="str">
        <f ca="1">VLOOKUP($C283,OFFSET(enemy_skills!$A$1,0,0,COUNTA(enemy_skills!$A:$A),MATCH(D$1,enemy_skills!$1:$1,0)-MATCH("enemy_skill_id",enemy_skills!$1:$1,0)+1),MATCH(D$1,enemy_skills!$1:$1,0)-MATCH("enemy_skill_id",enemy_skills!$1:$1,0)+1,FALSE)</f>
        <v>さぁ、みてごらん 僕の炎</v>
      </c>
      <c r="E283" s="46" t="str">
        <f ca="1">VLOOKUP($C283,OFFSET(enemy_skills!$A$1,0,0,COUNTA(enemy_skills!$A:$A),MATCH(E$1,enemy_skills!$1:$1,0)-MATCH("enemy_skill_id",enemy_skills!$1:$1,0)+1),MATCH(E$1,enemy_skills!$1:$1,0)-MATCH("enemy_skill_id",enemy_skills!$1:$1,0)+1,FALSE)</f>
        <v>次のターンに強力な攻撃</v>
      </c>
      <c r="F283" s="123">
        <v>49016604</v>
      </c>
      <c r="G283" s="48">
        <f ca="1">VLOOKUP($F283,OFFSET(enemy_skill_triggers!$A$1,0,0,COUNTA(enemy_skill_triggers!$A:$A),MATCH(G$1,enemy_skill_triggers!$1:$1,0)-MATCH($F$1,enemy_skill_triggers!$1:$1,0)+1),MATCH(G$1,enemy_skill_triggers!$1:$1,0)-MATCH($F$1,enemy_skill_triggers!$1:$1,0)+1,FALSE)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3" s="48">
        <f ca="1">VLOOKUP($F283,OFFSET(enemy_skill_triggers!$A$1,0,0,COUNTA(enemy_skill_triggers!$A:$A),MATCH(H$1,enemy_skill_triggers!$1:$1,0)-MATCH($F$1,enemy_skill_triggers!$1:$1,0)+1),MATCH(H$1,enemy_skill_triggers!$1:$1,0)-MATCH($F$1,enemy_skill_triggers!$1:$1,0)+1,FALSE)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83" s="48">
        <f ca="1">VLOOKUP($F283,OFFSET(enemy_skill_triggers!$A$1,0,0,COUNTA(enemy_skill_triggers!$A:$A),MATCH(I$1,enemy_skill_triggers!$1:$1,0)-MATCH($F$1,enemy_skill_triggers!$1:$1,0)+1),MATCH(I$1,enemy_skill_triggers!$1:$1,0)-MATCH($F$1,enemy_skill_triggers!$1:$1,0)+1,FALSE)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3" s="48">
        <f ca="1">VLOOKUP($F283,OFFSET(enemy_skill_triggers!$A$1,0,0,COUNTA(enemy_skill_triggers!$A:$A),MATCH(J$1,enemy_skill_triggers!$1:$1,0)-MATCH($F$1,enemy_skill_triggers!$1:$1,0)+1),MATCH(J$1,enemy_skill_triggers!$1:$1,0)-MATCH($F$1,enemy_skill_triggers!$1:$1,0)+1,FALSE)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83" s="48" t="str">
        <f ca="1">VLOOKUP($F283,OFFSET(enemy_skill_triggers!$A$1,0,0,COUNTA(enemy_skill_triggers!$A:$A),MATCH(K$1,enemy_skill_triggers!$1:$1,0)-MATCH($F$1,enemy_skill_triggers!$1:$1,0)+1),MATCH(K$1,enemy_skill_triggers!$1:$1,0)-MATCH($F$1,enemy_skill_triggers!$1:$1,0)+1,FALSE)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3" s="48">
        <f ca="1">VLOOKUP($F283,OFFSET(enemy_skill_triggers!$A$1,0,0,COUNTA(enemy_skill_triggers!$A:$A),MATCH(L$1,enemy_skill_triggers!$1:$1,0)-MATCH($F$1,enemy_skill_triggers!$1:$1,0)+1),MATCH(L$1,enemy_skill_triggers!$1:$1,0)-MATCH($F$1,enemy_skill_triggers!$1:$1,0)+1,FALSE)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3" s="48">
        <f ca="1">VLOOKUP($F283,OFFSET(enemy_skill_triggers!$A$1,0,0,COUNTA(enemy_skill_triggers!$A:$A),MATCH(M$1,enemy_skill_triggers!$1:$1,0)-MATCH($F$1,enemy_skill_triggers!$1:$1,0)+1),MATCH(M$1,enemy_skill_triggers!$1:$1,0)-MATCH($F$1,enemy_skill_triggers!$1:$1,0)+1,FALSE)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3" s="48" t="str">
        <f ca="1">VLOOKUP($F283,OFFSET(enemy_skill_triggers!$A$1,0,0,COUNTA(enemy_skill_triggers!$A:$A),MATCH(N$1,enemy_skill_triggers!$1:$1,0)-MATCH($F$1,enemy_skill_triggers!$1:$1,0)+1),MATCH(N$1,enemy_skill_triggers!$1:$1,0)-MATCH($F$1,enemy_skill_triggers!$1:$1,0)+1,FALSE)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3" s="48">
        <f ca="1">VLOOKUP($F283,OFFSET(enemy_skill_triggers!$A$1,0,0,COUNTA(enemy_skill_triggers!$A:$A),MATCH(O$1,enemy_skill_triggers!$1:$1,0)-MATCH($F$1,enemy_skill_triggers!$1:$1,0)+1),MATCH(O$1,enemy_skill_triggers!$1:$1,0)-MATCH($F$1,enemy_skill_triggers!$1:$1,0)+1,FALSE)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3" s="47"/>
      <c r="Q283" s="47"/>
      <c r="R283" s="47"/>
    </row>
    <row r="284" spans="1:18" ht="21" customHeight="1" x14ac:dyDescent="0.15">
      <c r="A284" s="39" t="str">
        <f t="shared" si="18"/>
        <v>49016620_49016605</v>
      </c>
      <c r="B284" s="123">
        <v>49016620</v>
      </c>
      <c r="C284" s="123">
        <v>49016605</v>
      </c>
      <c r="D284" s="46" t="str">
        <f ca="1">VLOOKUP($C284,OFFSET(enemy_skills!$A$1,0,0,COUNTA(enemy_skills!$A:$A),MATCH(D$1,enemy_skills!$1:$1,0)-MATCH("enemy_skill_id",enemy_skills!$1:$1,0)+1),MATCH(D$1,enemy_skills!$1:$1,0)-MATCH("enemy_skill_id",enemy_skills!$1:$1,0)+1,FALSE)</f>
        <v>はい、死んでください！</v>
      </c>
      <c r="E284" s="46" t="str">
        <f ca="1">VLOOKUP($C284,OFFSET(enemy_skills!$A$1,0,0,COUNTA(enemy_skills!$A:$A),MATCH(E$1,enemy_skills!$1:$1,0)-MATCH("enemy_skill_id",enemy_skills!$1:$1,0)+1),MATCH(E$1,enemy_skills!$1:$1,0)-MATCH("enemy_skill_id",enemy_skills!$1:$1,0)+1,FALSE)</f>
        <v>クリティカル！+_x000D_特定エリアを赤&amp;青パネルに変換+_x000D_特定エリアを赤&amp;青のCBPに変換</v>
      </c>
      <c r="F284" s="123">
        <v>49016605</v>
      </c>
      <c r="G284" s="48">
        <f ca="1">VLOOKUP($F284,OFFSET(enemy_skill_triggers!$A$1,0,0,COUNTA(enemy_skill_triggers!$A:$A),MATCH(G$1,enemy_skill_triggers!$1:$1,0)-MATCH($F$1,enemy_skill_triggers!$1:$1,0)+1),MATCH(G$1,enemy_skill_triggers!$1:$1,0)-MATCH($F$1,enemy_skill_triggers!$1:$1,0)+1,FALSE)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4" s="48">
        <f ca="1">VLOOKUP($F284,OFFSET(enemy_skill_triggers!$A$1,0,0,COUNTA(enemy_skill_triggers!$A:$A),MATCH(H$1,enemy_skill_triggers!$1:$1,0)-MATCH($F$1,enemy_skill_triggers!$1:$1,0)+1),MATCH(H$1,enemy_skill_triggers!$1:$1,0)-MATCH($F$1,enemy_skill_triggers!$1:$1,0)+1,FALSE)</f>
        <v>400</v>
      </c>
      <c r="I284" s="48">
        <f ca="1">VLOOKUP($F284,OFFSET(enemy_skill_triggers!$A$1,0,0,COUNTA(enemy_skill_triggers!$A:$A),MATCH(I$1,enemy_skill_triggers!$1:$1,0)-MATCH($F$1,enemy_skill_triggers!$1:$1,0)+1),MATCH(I$1,enemy_skill_triggers!$1:$1,0)-MATCH($F$1,enemy_skill_triggers!$1:$1,0)+1,FALSE)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4" s="48">
        <f ca="1">VLOOKUP($F284,OFFSET(enemy_skill_triggers!$A$1,0,0,COUNTA(enemy_skill_triggers!$A:$A),MATCH(J$1,enemy_skill_triggers!$1:$1,0)-MATCH($F$1,enemy_skill_triggers!$1:$1,0)+1),MATCH(J$1,enemy_skill_triggers!$1:$1,0)-MATCH($F$1,enemy_skill_triggers!$1:$1,0)+1,FALSE)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84" s="48" t="str">
        <f ca="1">VLOOKUP($F284,OFFSET(enemy_skill_triggers!$A$1,0,0,COUNTA(enemy_skill_triggers!$A:$A),MATCH(K$1,enemy_skill_triggers!$1:$1,0)-MATCH($F$1,enemy_skill_triggers!$1:$1,0)+1),MATCH(K$1,enemy_skill_triggers!$1:$1,0)-MATCH($F$1,enemy_skill_triggers!$1:$1,0)+1,FALSE)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4" s="48">
        <f ca="1">VLOOKUP($F284,OFFSET(enemy_skill_triggers!$A$1,0,0,COUNTA(enemy_skill_triggers!$A:$A),MATCH(L$1,enemy_skill_triggers!$1:$1,0)-MATCH($F$1,enemy_skill_triggers!$1:$1,0)+1),MATCH(L$1,enemy_skill_triggers!$1:$1,0)-MATCH($F$1,enemy_skill_triggers!$1:$1,0)+1,FALSE)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4" s="48">
        <f ca="1">VLOOKUP($F284,OFFSET(enemy_skill_triggers!$A$1,0,0,COUNTA(enemy_skill_triggers!$A:$A),MATCH(M$1,enemy_skill_triggers!$1:$1,0)-MATCH($F$1,enemy_skill_triggers!$1:$1,0)+1),MATCH(M$1,enemy_skill_triggers!$1:$1,0)-MATCH($F$1,enemy_skill_triggers!$1:$1,0)+1,FALSE)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4" s="48" t="str">
        <f ca="1">VLOOKUP($F284,OFFSET(enemy_skill_triggers!$A$1,0,0,COUNTA(enemy_skill_triggers!$A:$A),MATCH(N$1,enemy_skill_triggers!$1:$1,0)-MATCH($F$1,enemy_skill_triggers!$1:$1,0)+1),MATCH(N$1,enemy_skill_triggers!$1:$1,0)-MATCH($F$1,enemy_skill_triggers!$1:$1,0)+1,FALSE)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4" s="48">
        <f ca="1">VLOOKUP($F284,OFFSET(enemy_skill_triggers!$A$1,0,0,COUNTA(enemy_skill_triggers!$A:$A),MATCH(O$1,enemy_skill_triggers!$1:$1,0)-MATCH($F$1,enemy_skill_triggers!$1:$1,0)+1),MATCH(O$1,enemy_skill_triggers!$1:$1,0)-MATCH($F$1,enemy_skill_triggers!$1:$1,0)+1,FALSE)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4" s="47"/>
      <c r="Q284" s="47"/>
      <c r="R284" s="47"/>
    </row>
    <row r="285" spans="1:18" ht="16" customHeight="1" x14ac:dyDescent="0.15">
      <c r="A285" s="39" t="str">
        <f t="shared" si="18"/>
        <v>49016620_49016606</v>
      </c>
      <c r="B285" s="123">
        <v>49016620</v>
      </c>
      <c r="C285" s="123">
        <v>49016606</v>
      </c>
      <c r="D285" s="46" t="str">
        <f ca="1">VLOOKUP($C285,OFFSET(enemy_skills!$A$1,0,0,COUNTA(enemy_skills!$A:$A),MATCH(D$1,enemy_skills!$1:$1,0)-MATCH("enemy_skill_id",enemy_skills!$1:$1,0)+1),MATCH(D$1,enemy_skills!$1:$1,0)-MATCH("enemy_skill_id",enemy_skills!$1:$1,0)+1,FALSE)</f>
        <v>ああ、また僕は…</v>
      </c>
      <c r="E285" s="46" t="str">
        <f ca="1">VLOOKUP($C285,OFFSET(enemy_skills!$A$1,0,0,COUNTA(enemy_skills!$A:$A),MATCH(E$1,enemy_skills!$1:$1,0)-MATCH("enemy_skill_id",enemy_skills!$1:$1,0)+1),MATCH(E$1,enemy_skills!$1:$1,0)-MATCH("enemy_skill_id",enemy_skills!$1:$1,0)+1,FALSE)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85" s="123">
        <v>49016606</v>
      </c>
      <c r="G285" s="48">
        <f ca="1">VLOOKUP($F285,OFFSET(enemy_skill_triggers!$A$1,0,0,COUNTA(enemy_skill_triggers!$A:$A),MATCH(G$1,enemy_skill_triggers!$1:$1,0)-MATCH($F$1,enemy_skill_triggers!$1:$1,0)+1),MATCH(G$1,enemy_skill_triggers!$1:$1,0)-MATCH($F$1,enemy_skill_triggers!$1:$1,0)+1,FALSE)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5" s="48">
        <f ca="1">VLOOKUP($F285,OFFSET(enemy_skill_triggers!$A$1,0,0,COUNTA(enemy_skill_triggers!$A:$A),MATCH(H$1,enemy_skill_triggers!$1:$1,0)-MATCH($F$1,enemy_skill_triggers!$1:$1,0)+1),MATCH(H$1,enemy_skill_triggers!$1:$1,0)-MATCH($F$1,enemy_skill_triggers!$1:$1,0)+1,FALSE)</f>
        <v>800</v>
      </c>
      <c r="I285" s="48">
        <f ca="1">VLOOKUP($F285,OFFSET(enemy_skill_triggers!$A$1,0,0,COUNTA(enemy_skill_triggers!$A:$A),MATCH(I$1,enemy_skill_triggers!$1:$1,0)-MATCH($F$1,enemy_skill_triggers!$1:$1,0)+1),MATCH(I$1,enemy_skill_triggers!$1:$1,0)-MATCH($F$1,enemy_skill_triggers!$1:$1,0)+1,FALSE)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5" s="48" t="str">
        <f ca="1">VLOOKUP($F285,OFFSET(enemy_skill_triggers!$A$1,0,0,COUNTA(enemy_skill_triggers!$A:$A),MATCH(J$1,enemy_skill_triggers!$1:$1,0)-MATCH($F$1,enemy_skill_triggers!$1:$1,0)+1),MATCH(J$1,enemy_skill_triggers!$1:$1,0)-MATCH($F$1,enemy_skill_triggers!$1:$1,0)+1,FALSE)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5" s="48" t="str">
        <f ca="1">VLOOKUP($F285,OFFSET(enemy_skill_triggers!$A$1,0,0,COUNTA(enemy_skill_triggers!$A:$A),MATCH(K$1,enemy_skill_triggers!$1:$1,0)-MATCH($F$1,enemy_skill_triggers!$1:$1,0)+1),MATCH(K$1,enemy_skill_triggers!$1:$1,0)-MATCH($F$1,enemy_skill_triggers!$1:$1,0)+1,FALSE)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5" s="48">
        <f ca="1">VLOOKUP($F285,OFFSET(enemy_skill_triggers!$A$1,0,0,COUNTA(enemy_skill_triggers!$A:$A),MATCH(L$1,enemy_skill_triggers!$1:$1,0)-MATCH($F$1,enemy_skill_triggers!$1:$1,0)+1),MATCH(L$1,enemy_skill_triggers!$1:$1,0)-MATCH($F$1,enemy_skill_triggers!$1:$1,0)+1,FALSE)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5" s="48">
        <f ca="1">VLOOKUP($F285,OFFSET(enemy_skill_triggers!$A$1,0,0,COUNTA(enemy_skill_triggers!$A:$A),MATCH(M$1,enemy_skill_triggers!$1:$1,0)-MATCH($F$1,enemy_skill_triggers!$1:$1,0)+1),MATCH(M$1,enemy_skill_triggers!$1:$1,0)-MATCH($F$1,enemy_skill_triggers!$1:$1,0)+1,FALSE)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5" s="48">
        <f ca="1">VLOOKUP($F285,OFFSET(enemy_skill_triggers!$A$1,0,0,COUNTA(enemy_skill_triggers!$A:$A),MATCH(N$1,enemy_skill_triggers!$1:$1,0)-MATCH($F$1,enemy_skill_triggers!$1:$1,0)+1),MATCH(N$1,enemy_skill_triggers!$1:$1,0)-MATCH($F$1,enemy_skill_triggers!$1:$1,0)+1,FALSE)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85" s="48">
        <f ca="1">VLOOKUP($F285,OFFSET(enemy_skill_triggers!$A$1,0,0,COUNTA(enemy_skill_triggers!$A:$A),MATCH(O$1,enemy_skill_triggers!$1:$1,0)-MATCH($F$1,enemy_skill_triggers!$1:$1,0)+1),MATCH(O$1,enemy_skill_triggers!$1:$1,0)-MATCH($F$1,enemy_skill_triggers!$1:$1,0)+1,FALSE)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5" s="47"/>
      <c r="Q285" s="47"/>
      <c r="R285" s="47"/>
    </row>
    <row r="286" spans="1:18" ht="16" customHeight="1" x14ac:dyDescent="0.15">
      <c r="A286" s="39" t="str">
        <f t="shared" si="18"/>
        <v>49016620_49016607</v>
      </c>
      <c r="B286" s="123">
        <v>49016620</v>
      </c>
      <c r="C286" s="175">
        <v>49016607</v>
      </c>
      <c r="D286" s="46" t="str">
        <f ca="1">VLOOKUP($C286,OFFSET(enemy_skills!$A$1,0,0,COUNTA(enemy_skills!$A:$A),MATCH(D$1,enemy_skills!$1:$1,0)-MATCH("enemy_skill_id",enemy_skills!$1:$1,0)+1),MATCH(D$1,enemy_skills!$1:$1,0)-MATCH("enemy_skill_id",enemy_skills!$1:$1,0)+1,FALSE)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286" s="46" t="str">
        <f ca="1">VLOOKUP($C286,OFFSET(enemy_skills!$A$1,0,0,COUNTA(enemy_skills!$A:$A),MATCH(E$1,enemy_skills!$1:$1,0)-MATCH("enemy_skill_id",enemy_skills!$1:$1,0)+1),MATCH(E$1,enemy_skills!$1:$1,0)-MATCH("enemy_skill_id",enemy_skills!$1:$1,0)+1,FALSE)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86" s="175">
        <v>49016611</v>
      </c>
      <c r="G286" s="48">
        <f ca="1">VLOOKUP($F286,OFFSET(enemy_skill_triggers!$A$1,0,0,COUNTA(enemy_skill_triggers!$A:$A),MATCH(G$1,enemy_skill_triggers!$1:$1,0)-MATCH($F$1,enemy_skill_triggers!$1:$1,0)+1),MATCH(G$1,enemy_skill_triggers!$1:$1,0)-MATCH($F$1,enemy_skill_triggers!$1:$1,0)+1,FALSE)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6" s="48">
        <f ca="1">VLOOKUP($F286,OFFSET(enemy_skill_triggers!$A$1,0,0,COUNTA(enemy_skill_triggers!$A:$A),MATCH(H$1,enemy_skill_triggers!$1:$1,0)-MATCH($F$1,enemy_skill_triggers!$1:$1,0)+1),MATCH(H$1,enemy_skill_triggers!$1:$1,0)-MATCH($F$1,enemy_skill_triggers!$1:$1,0)+1,FALSE)</f>
        <v>801</v>
      </c>
      <c r="I286" s="48">
        <f ca="1">VLOOKUP($F286,OFFSET(enemy_skill_triggers!$A$1,0,0,COUNTA(enemy_skill_triggers!$A:$A),MATCH(I$1,enemy_skill_triggers!$1:$1,0)-MATCH($F$1,enemy_skill_triggers!$1:$1,0)+1),MATCH(I$1,enemy_skill_triggers!$1:$1,0)-MATCH($F$1,enemy_skill_triggers!$1:$1,0)+1,FALSE)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6" s="48" t="str">
        <f ca="1">VLOOKUP($F286,OFFSET(enemy_skill_triggers!$A$1,0,0,COUNTA(enemy_skill_triggers!$A:$A),MATCH(J$1,enemy_skill_triggers!$1:$1,0)-MATCH($F$1,enemy_skill_triggers!$1:$1,0)+1),MATCH(J$1,enemy_skill_triggers!$1:$1,0)-MATCH($F$1,enemy_skill_triggers!$1:$1,0)+1,FALSE)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6" s="48" t="str">
        <f ca="1">VLOOKUP($F286,OFFSET(enemy_skill_triggers!$A$1,0,0,COUNTA(enemy_skill_triggers!$A:$A),MATCH(K$1,enemy_skill_triggers!$1:$1,0)-MATCH($F$1,enemy_skill_triggers!$1:$1,0)+1),MATCH(K$1,enemy_skill_triggers!$1:$1,0)-MATCH($F$1,enemy_skill_triggers!$1:$1,0)+1,FALSE)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6" s="48">
        <f ca="1">VLOOKUP($F286,OFFSET(enemy_skill_triggers!$A$1,0,0,COUNTA(enemy_skill_triggers!$A:$A),MATCH(L$1,enemy_skill_triggers!$1:$1,0)-MATCH($F$1,enemy_skill_triggers!$1:$1,0)+1),MATCH(L$1,enemy_skill_triggers!$1:$1,0)-MATCH($F$1,enemy_skill_triggers!$1:$1,0)+1,FALSE)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6" s="48">
        <f ca="1">VLOOKUP($F286,OFFSET(enemy_skill_triggers!$A$1,0,0,COUNTA(enemy_skill_triggers!$A:$A),MATCH(M$1,enemy_skill_triggers!$1:$1,0)-MATCH($F$1,enemy_skill_triggers!$1:$1,0)+1),MATCH(M$1,enemy_skill_triggers!$1:$1,0)-MATCH($F$1,enemy_skill_triggers!$1:$1,0)+1,FALSE)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6" s="48">
        <f ca="1">VLOOKUP($F286,OFFSET(enemy_skill_triggers!$A$1,0,0,COUNTA(enemy_skill_triggers!$A:$A),MATCH(N$1,enemy_skill_triggers!$1:$1,0)-MATCH($F$1,enemy_skill_triggers!$1:$1,0)+1),MATCH(N$1,enemy_skill_triggers!$1:$1,0)-MATCH($F$1,enemy_skill_triggers!$1:$1,0)+1,FALSE)</f>
        <v>1551</v>
      </c>
      <c r="O286" s="48">
        <f ca="1">VLOOKUP($F286,OFFSET(enemy_skill_triggers!$A$1,0,0,COUNTA(enemy_skill_triggers!$A:$A),MATCH(O$1,enemy_skill_triggers!$1:$1,0)-MATCH($F$1,enemy_skill_triggers!$1:$1,0)+1),MATCH(O$1,enemy_skill_triggers!$1:$1,0)-MATCH($F$1,enemy_skill_triggers!$1:$1,0)+1,FALSE)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6" s="47"/>
      <c r="Q286" s="47"/>
      <c r="R286" s="47"/>
    </row>
    <row r="287" spans="1:18" ht="16" customHeight="1" x14ac:dyDescent="0.15">
      <c r="A287" s="39" t="str">
        <f t="shared" ref="A287:A302" si="19">B287&amp;"_"&amp;C287</f>
        <v>49016620_49016607</v>
      </c>
      <c r="B287" s="123">
        <v>49016620</v>
      </c>
      <c r="C287" s="175">
        <v>49016607</v>
      </c>
      <c r="D287" s="46" t="str">
        <f ca="1">VLOOKUP($C287,OFFSET(enemy_skills!$A$1,0,0,COUNTA(enemy_skills!$A:$A),MATCH(D$1,enemy_skills!$1:$1,0)-MATCH("enemy_skill_id",enemy_skills!$1:$1,0)+1),MATCH(D$1,enemy_skills!$1:$1,0)-MATCH("enemy_skill_id",enemy_skills!$1:$1,0)+1,FALSE)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287" s="46" t="str">
        <f ca="1">VLOOKUP($C287,OFFSET(enemy_skills!$A$1,0,0,COUNTA(enemy_skills!$A:$A),MATCH(E$1,enemy_skills!$1:$1,0)-MATCH("enemy_skill_id",enemy_skills!$1:$1,0)+1),MATCH(E$1,enemy_skills!$1:$1,0)-MATCH("enemy_skill_id",enemy_skills!$1:$1,0)+1,FALSE)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87" s="175">
        <v>49016612</v>
      </c>
      <c r="G287" s="48">
        <f ca="1">VLOOKUP($F287,OFFSET(enemy_skill_triggers!$A$1,0,0,COUNTA(enemy_skill_triggers!$A:$A),MATCH(G$1,enemy_skill_triggers!$1:$1,0)-MATCH($F$1,enemy_skill_triggers!$1:$1,0)+1),MATCH(G$1,enemy_skill_triggers!$1:$1,0)-MATCH($F$1,enemy_skill_triggers!$1:$1,0)+1,FALSE)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7" s="48">
        <f ca="1">VLOOKUP($F287,OFFSET(enemy_skill_triggers!$A$1,0,0,COUNTA(enemy_skill_triggers!$A:$A),MATCH(H$1,enemy_skill_triggers!$1:$1,0)-MATCH($F$1,enemy_skill_triggers!$1:$1,0)+1),MATCH(H$1,enemy_skill_triggers!$1:$1,0)-MATCH($F$1,enemy_skill_triggers!$1:$1,0)+1,FALSE)</f>
        <v>802</v>
      </c>
      <c r="I287" s="48">
        <f ca="1">VLOOKUP($F287,OFFSET(enemy_skill_triggers!$A$1,0,0,COUNTA(enemy_skill_triggers!$A:$A),MATCH(I$1,enemy_skill_triggers!$1:$1,0)-MATCH($F$1,enemy_skill_triggers!$1:$1,0)+1),MATCH(I$1,enemy_skill_triggers!$1:$1,0)-MATCH($F$1,enemy_skill_triggers!$1:$1,0)+1,FALSE)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7" s="48" t="str">
        <f ca="1">VLOOKUP($F287,OFFSET(enemy_skill_triggers!$A$1,0,0,COUNTA(enemy_skill_triggers!$A:$A),MATCH(J$1,enemy_skill_triggers!$1:$1,0)-MATCH($F$1,enemy_skill_triggers!$1:$1,0)+1),MATCH(J$1,enemy_skill_triggers!$1:$1,0)-MATCH($F$1,enemy_skill_triggers!$1:$1,0)+1,FALSE)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7" s="48" t="str">
        <f ca="1">VLOOKUP($F287,OFFSET(enemy_skill_triggers!$A$1,0,0,COUNTA(enemy_skill_triggers!$A:$A),MATCH(K$1,enemy_skill_triggers!$1:$1,0)-MATCH($F$1,enemy_skill_triggers!$1:$1,0)+1),MATCH(K$1,enemy_skill_triggers!$1:$1,0)-MATCH($F$1,enemy_skill_triggers!$1:$1,0)+1,FALSE)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7" s="48">
        <f ca="1">VLOOKUP($F287,OFFSET(enemy_skill_triggers!$A$1,0,0,COUNTA(enemy_skill_triggers!$A:$A),MATCH(L$1,enemy_skill_triggers!$1:$1,0)-MATCH($F$1,enemy_skill_triggers!$1:$1,0)+1),MATCH(L$1,enemy_skill_triggers!$1:$1,0)-MATCH($F$1,enemy_skill_triggers!$1:$1,0)+1,FALSE)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7" s="48">
        <f ca="1">VLOOKUP($F287,OFFSET(enemy_skill_triggers!$A$1,0,0,COUNTA(enemy_skill_triggers!$A:$A),MATCH(M$1,enemy_skill_triggers!$1:$1,0)-MATCH($F$1,enemy_skill_triggers!$1:$1,0)+1),MATCH(M$1,enemy_skill_triggers!$1:$1,0)-MATCH($F$1,enemy_skill_triggers!$1:$1,0)+1,FALSE)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7" s="48">
        <f ca="1">VLOOKUP($F287,OFFSET(enemy_skill_triggers!$A$1,0,0,COUNTA(enemy_skill_triggers!$A:$A),MATCH(N$1,enemy_skill_triggers!$1:$1,0)-MATCH($F$1,enemy_skill_triggers!$1:$1,0)+1),MATCH(N$1,enemy_skill_triggers!$1:$1,0)-MATCH($F$1,enemy_skill_triggers!$1:$1,0)+1,FALSE)</f>
        <v>1552</v>
      </c>
      <c r="O287" s="48">
        <f ca="1">VLOOKUP($F287,OFFSET(enemy_skill_triggers!$A$1,0,0,COUNTA(enemy_skill_triggers!$A:$A),MATCH(O$1,enemy_skill_triggers!$1:$1,0)-MATCH($F$1,enemy_skill_triggers!$1:$1,0)+1),MATCH(O$1,enemy_skill_triggers!$1:$1,0)-MATCH($F$1,enemy_skill_triggers!$1:$1,0)+1,FALSE)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7" s="47"/>
      <c r="Q287" s="47"/>
      <c r="R287" s="47"/>
    </row>
    <row r="288" spans="1:18" ht="16" customHeight="1" x14ac:dyDescent="0.15">
      <c r="A288" s="39" t="str">
        <f t="shared" si="19"/>
        <v>49016620_49016607</v>
      </c>
      <c r="B288" s="123">
        <v>49016620</v>
      </c>
      <c r="C288" s="175">
        <v>49016607</v>
      </c>
      <c r="D288" s="46" t="str">
        <f ca="1">VLOOKUP($C288,OFFSET(enemy_skills!$A$1,0,0,COUNTA(enemy_skills!$A:$A),MATCH(D$1,enemy_skills!$1:$1,0)-MATCH("enemy_skill_id",enemy_skills!$1:$1,0)+1),MATCH(D$1,enemy_skills!$1:$1,0)-MATCH("enemy_skill_id",enemy_skills!$1:$1,0)+1,FALSE)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288" s="46" t="str">
        <f ca="1">VLOOKUP($C288,OFFSET(enemy_skills!$A$1,0,0,COUNTA(enemy_skills!$A:$A),MATCH(E$1,enemy_skills!$1:$1,0)-MATCH("enemy_skill_id",enemy_skills!$1:$1,0)+1),MATCH(E$1,enemy_skills!$1:$1,0)-MATCH("enemy_skill_id",enemy_skills!$1:$1,0)+1,FALSE)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88" s="175">
        <v>49016613</v>
      </c>
      <c r="G288" s="48">
        <f ca="1">VLOOKUP($F288,OFFSET(enemy_skill_triggers!$A$1,0,0,COUNTA(enemy_skill_triggers!$A:$A),MATCH(G$1,enemy_skill_triggers!$1:$1,0)-MATCH($F$1,enemy_skill_triggers!$1:$1,0)+1),MATCH(G$1,enemy_skill_triggers!$1:$1,0)-MATCH($F$1,enemy_skill_triggers!$1:$1,0)+1,FALSE)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8" s="48">
        <f ca="1">VLOOKUP($F288,OFFSET(enemy_skill_triggers!$A$1,0,0,COUNTA(enemy_skill_triggers!$A:$A),MATCH(H$1,enemy_skill_triggers!$1:$1,0)-MATCH($F$1,enemy_skill_triggers!$1:$1,0)+1),MATCH(H$1,enemy_skill_triggers!$1:$1,0)-MATCH($F$1,enemy_skill_triggers!$1:$1,0)+1,FALSE)</f>
        <v>803</v>
      </c>
      <c r="I288" s="48">
        <f ca="1">VLOOKUP($F288,OFFSET(enemy_skill_triggers!$A$1,0,0,COUNTA(enemy_skill_triggers!$A:$A),MATCH(I$1,enemy_skill_triggers!$1:$1,0)-MATCH($F$1,enemy_skill_triggers!$1:$1,0)+1),MATCH(I$1,enemy_skill_triggers!$1:$1,0)-MATCH($F$1,enemy_skill_triggers!$1:$1,0)+1,FALSE)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8" s="48" t="str">
        <f ca="1">VLOOKUP($F288,OFFSET(enemy_skill_triggers!$A$1,0,0,COUNTA(enemy_skill_triggers!$A:$A),MATCH(J$1,enemy_skill_triggers!$1:$1,0)-MATCH($F$1,enemy_skill_triggers!$1:$1,0)+1),MATCH(J$1,enemy_skill_triggers!$1:$1,0)-MATCH($F$1,enemy_skill_triggers!$1:$1,0)+1,FALSE)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8" s="48" t="str">
        <f ca="1">VLOOKUP($F288,OFFSET(enemy_skill_triggers!$A$1,0,0,COUNTA(enemy_skill_triggers!$A:$A),MATCH(K$1,enemy_skill_triggers!$1:$1,0)-MATCH($F$1,enemy_skill_triggers!$1:$1,0)+1),MATCH(K$1,enemy_skill_triggers!$1:$1,0)-MATCH($F$1,enemy_skill_triggers!$1:$1,0)+1,FALSE)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8" s="48">
        <f ca="1">VLOOKUP($F288,OFFSET(enemy_skill_triggers!$A$1,0,0,COUNTA(enemy_skill_triggers!$A:$A),MATCH(L$1,enemy_skill_triggers!$1:$1,0)-MATCH($F$1,enemy_skill_triggers!$1:$1,0)+1),MATCH(L$1,enemy_skill_triggers!$1:$1,0)-MATCH($F$1,enemy_skill_triggers!$1:$1,0)+1,FALSE)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8" s="48">
        <f ca="1">VLOOKUP($F288,OFFSET(enemy_skill_triggers!$A$1,0,0,COUNTA(enemy_skill_triggers!$A:$A),MATCH(M$1,enemy_skill_triggers!$1:$1,0)-MATCH($F$1,enemy_skill_triggers!$1:$1,0)+1),MATCH(M$1,enemy_skill_triggers!$1:$1,0)-MATCH($F$1,enemy_skill_triggers!$1:$1,0)+1,FALSE)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8" s="48">
        <f ca="1">VLOOKUP($F288,OFFSET(enemy_skill_triggers!$A$1,0,0,COUNTA(enemy_skill_triggers!$A:$A),MATCH(N$1,enemy_skill_triggers!$1:$1,0)-MATCH($F$1,enemy_skill_triggers!$1:$1,0)+1),MATCH(N$1,enemy_skill_triggers!$1:$1,0)-MATCH($F$1,enemy_skill_triggers!$1:$1,0)+1,FALSE)</f>
        <v>1553</v>
      </c>
      <c r="O288" s="48">
        <f ca="1">VLOOKUP($F288,OFFSET(enemy_skill_triggers!$A$1,0,0,COUNTA(enemy_skill_triggers!$A:$A),MATCH(O$1,enemy_skill_triggers!$1:$1,0)-MATCH($F$1,enemy_skill_triggers!$1:$1,0)+1),MATCH(O$1,enemy_skill_triggers!$1:$1,0)-MATCH($F$1,enemy_skill_triggers!$1:$1,0)+1,FALSE)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8" s="47"/>
      <c r="Q288" s="47"/>
      <c r="R288" s="47"/>
    </row>
    <row r="289" spans="1:18" ht="16" customHeight="1" x14ac:dyDescent="0.15">
      <c r="A289" s="39" t="str">
        <f t="shared" si="19"/>
        <v>49016620_49016607</v>
      </c>
      <c r="B289" s="123">
        <v>49016620</v>
      </c>
      <c r="C289" s="175">
        <v>49016607</v>
      </c>
      <c r="D289" s="46" t="str">
        <f ca="1">VLOOKUP($C289,OFFSET(enemy_skills!$A$1,0,0,COUNTA(enemy_skills!$A:$A),MATCH(D$1,enemy_skills!$1:$1,0)-MATCH("enemy_skill_id",enemy_skills!$1:$1,0)+1),MATCH(D$1,enemy_skills!$1:$1,0)-MATCH("enemy_skill_id",enemy_skills!$1:$1,0)+1,FALSE)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289" s="46" t="str">
        <f ca="1">VLOOKUP($C289,OFFSET(enemy_skills!$A$1,0,0,COUNTA(enemy_skills!$A:$A),MATCH(E$1,enemy_skills!$1:$1,0)-MATCH("enemy_skill_id",enemy_skills!$1:$1,0)+1),MATCH(E$1,enemy_skills!$1:$1,0)-MATCH("enemy_skill_id",enemy_skills!$1:$1,0)+1,FALSE)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89" s="175">
        <v>49016614</v>
      </c>
      <c r="G289" s="48">
        <f ca="1">VLOOKUP($F289,OFFSET(enemy_skill_triggers!$A$1,0,0,COUNTA(enemy_skill_triggers!$A:$A),MATCH(G$1,enemy_skill_triggers!$1:$1,0)-MATCH($F$1,enemy_skill_triggers!$1:$1,0)+1),MATCH(G$1,enemy_skill_triggers!$1:$1,0)-MATCH($F$1,enemy_skill_triggers!$1:$1,0)+1,FALSE)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9" s="48">
        <f ca="1">VLOOKUP($F289,OFFSET(enemy_skill_triggers!$A$1,0,0,COUNTA(enemy_skill_triggers!$A:$A),MATCH(H$1,enemy_skill_triggers!$1:$1,0)-MATCH($F$1,enemy_skill_triggers!$1:$1,0)+1),MATCH(H$1,enemy_skill_triggers!$1:$1,0)-MATCH($F$1,enemy_skill_triggers!$1:$1,0)+1,FALSE)</f>
        <v>804</v>
      </c>
      <c r="I289" s="48">
        <f ca="1">VLOOKUP($F289,OFFSET(enemy_skill_triggers!$A$1,0,0,COUNTA(enemy_skill_triggers!$A:$A),MATCH(I$1,enemy_skill_triggers!$1:$1,0)-MATCH($F$1,enemy_skill_triggers!$1:$1,0)+1),MATCH(I$1,enemy_skill_triggers!$1:$1,0)-MATCH($F$1,enemy_skill_triggers!$1:$1,0)+1,FALSE)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9" s="48" t="str">
        <f ca="1">VLOOKUP($F289,OFFSET(enemy_skill_triggers!$A$1,0,0,COUNTA(enemy_skill_triggers!$A:$A),MATCH(J$1,enemy_skill_triggers!$1:$1,0)-MATCH($F$1,enemy_skill_triggers!$1:$1,0)+1),MATCH(J$1,enemy_skill_triggers!$1:$1,0)-MATCH($F$1,enemy_skill_triggers!$1:$1,0)+1,FALSE)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9" s="48" t="str">
        <f ca="1">VLOOKUP($F289,OFFSET(enemy_skill_triggers!$A$1,0,0,COUNTA(enemy_skill_triggers!$A:$A),MATCH(K$1,enemy_skill_triggers!$1:$1,0)-MATCH($F$1,enemy_skill_triggers!$1:$1,0)+1),MATCH(K$1,enemy_skill_triggers!$1:$1,0)-MATCH($F$1,enemy_skill_triggers!$1:$1,0)+1,FALSE)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9" s="48">
        <f ca="1">VLOOKUP($F289,OFFSET(enemy_skill_triggers!$A$1,0,0,COUNTA(enemy_skill_triggers!$A:$A),MATCH(L$1,enemy_skill_triggers!$1:$1,0)-MATCH($F$1,enemy_skill_triggers!$1:$1,0)+1),MATCH(L$1,enemy_skill_triggers!$1:$1,0)-MATCH($F$1,enemy_skill_triggers!$1:$1,0)+1,FALSE)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89" s="48">
        <f ca="1">VLOOKUP($F289,OFFSET(enemy_skill_triggers!$A$1,0,0,COUNTA(enemy_skill_triggers!$A:$A),MATCH(M$1,enemy_skill_triggers!$1:$1,0)-MATCH($F$1,enemy_skill_triggers!$1:$1,0)+1),MATCH(M$1,enemy_skill_triggers!$1:$1,0)-MATCH($F$1,enemy_skill_triggers!$1:$1,0)+1,FALSE)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9" s="48">
        <f ca="1">VLOOKUP($F289,OFFSET(enemy_skill_triggers!$A$1,0,0,COUNTA(enemy_skill_triggers!$A:$A),MATCH(N$1,enemy_skill_triggers!$1:$1,0)-MATCH($F$1,enemy_skill_triggers!$1:$1,0)+1),MATCH(N$1,enemy_skill_triggers!$1:$1,0)-MATCH($F$1,enemy_skill_triggers!$1:$1,0)+1,FALSE)</f>
        <v>1554</v>
      </c>
      <c r="O289" s="48">
        <f ca="1">VLOOKUP($F289,OFFSET(enemy_skill_triggers!$A$1,0,0,COUNTA(enemy_skill_triggers!$A:$A),MATCH(O$1,enemy_skill_triggers!$1:$1,0)-MATCH($F$1,enemy_skill_triggers!$1:$1,0)+1),MATCH(O$1,enemy_skill_triggers!$1:$1,0)-MATCH($F$1,enemy_skill_triggers!$1:$1,0)+1,FALSE)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9" s="47"/>
      <c r="Q289" s="47"/>
      <c r="R289" s="47"/>
    </row>
    <row r="290" spans="1:18" ht="16" customHeight="1" x14ac:dyDescent="0.15">
      <c r="A290" s="39" t="str">
        <f t="shared" si="19"/>
        <v>49016620_49016607</v>
      </c>
      <c r="B290" s="123">
        <v>49016620</v>
      </c>
      <c r="C290" s="175">
        <v>49016607</v>
      </c>
      <c r="D290" s="46" t="str">
        <f ca="1">VLOOKUP($C290,OFFSET(enemy_skills!$A$1,0,0,COUNTA(enemy_skills!$A:$A),MATCH(D$1,enemy_skills!$1:$1,0)-MATCH("enemy_skill_id",enemy_skills!$1:$1,0)+1),MATCH(D$1,enemy_skills!$1:$1,0)-MATCH("enemy_skill_id",enemy_skills!$1:$1,0)+1,FALSE)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290" s="46" t="str">
        <f ca="1">VLOOKUP($C290,OFFSET(enemy_skills!$A$1,0,0,COUNTA(enemy_skills!$A:$A),MATCH(E$1,enemy_skills!$1:$1,0)-MATCH("enemy_skill_id",enemy_skills!$1:$1,0)+1),MATCH(E$1,enemy_skills!$1:$1,0)-MATCH("enemy_skill_id",enemy_skills!$1:$1,0)+1,FALSE)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90" s="175">
        <v>49016615</v>
      </c>
      <c r="G290" s="48">
        <f ca="1">VLOOKUP($F290,OFFSET(enemy_skill_triggers!$A$1,0,0,COUNTA(enemy_skill_triggers!$A:$A),MATCH(G$1,enemy_skill_triggers!$1:$1,0)-MATCH($F$1,enemy_skill_triggers!$1:$1,0)+1),MATCH(G$1,enemy_skill_triggers!$1:$1,0)-MATCH($F$1,enemy_skill_triggers!$1:$1,0)+1,FALSE)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0" s="48">
        <f ca="1">VLOOKUP($F290,OFFSET(enemy_skill_triggers!$A$1,0,0,COUNTA(enemy_skill_triggers!$A:$A),MATCH(H$1,enemy_skill_triggers!$1:$1,0)-MATCH($F$1,enemy_skill_triggers!$1:$1,0)+1),MATCH(H$1,enemy_skill_triggers!$1:$1,0)-MATCH($F$1,enemy_skill_triggers!$1:$1,0)+1,FALSE)</f>
        <v>805</v>
      </c>
      <c r="I290" s="48">
        <f ca="1">VLOOKUP($F290,OFFSET(enemy_skill_triggers!$A$1,0,0,COUNTA(enemy_skill_triggers!$A:$A),MATCH(I$1,enemy_skill_triggers!$1:$1,0)-MATCH($F$1,enemy_skill_triggers!$1:$1,0)+1),MATCH(I$1,enemy_skill_triggers!$1:$1,0)-MATCH($F$1,enemy_skill_triggers!$1:$1,0)+1,FALSE)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0" s="48" t="str">
        <f ca="1">VLOOKUP($F290,OFFSET(enemy_skill_triggers!$A$1,0,0,COUNTA(enemy_skill_triggers!$A:$A),MATCH(J$1,enemy_skill_triggers!$1:$1,0)-MATCH($F$1,enemy_skill_triggers!$1:$1,0)+1),MATCH(J$1,enemy_skill_triggers!$1:$1,0)-MATCH($F$1,enemy_skill_triggers!$1:$1,0)+1,FALSE)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0" s="48" t="str">
        <f ca="1">VLOOKUP($F290,OFFSET(enemy_skill_triggers!$A$1,0,0,COUNTA(enemy_skill_triggers!$A:$A),MATCH(K$1,enemy_skill_triggers!$1:$1,0)-MATCH($F$1,enemy_skill_triggers!$1:$1,0)+1),MATCH(K$1,enemy_skill_triggers!$1:$1,0)-MATCH($F$1,enemy_skill_triggers!$1:$1,0)+1,FALSE)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0" s="48">
        <f ca="1">VLOOKUP($F290,OFFSET(enemy_skill_triggers!$A$1,0,0,COUNTA(enemy_skill_triggers!$A:$A),MATCH(L$1,enemy_skill_triggers!$1:$1,0)-MATCH($F$1,enemy_skill_triggers!$1:$1,0)+1),MATCH(L$1,enemy_skill_triggers!$1:$1,0)-MATCH($F$1,enemy_skill_triggers!$1:$1,0)+1,FALSE)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0" s="48">
        <f ca="1">VLOOKUP($F290,OFFSET(enemy_skill_triggers!$A$1,0,0,COUNTA(enemy_skill_triggers!$A:$A),MATCH(M$1,enemy_skill_triggers!$1:$1,0)-MATCH($F$1,enemy_skill_triggers!$1:$1,0)+1),MATCH(M$1,enemy_skill_triggers!$1:$1,0)-MATCH($F$1,enemy_skill_triggers!$1:$1,0)+1,FALSE)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0" s="48">
        <f ca="1">VLOOKUP($F290,OFFSET(enemy_skill_triggers!$A$1,0,0,COUNTA(enemy_skill_triggers!$A:$A),MATCH(N$1,enemy_skill_triggers!$1:$1,0)-MATCH($F$1,enemy_skill_triggers!$1:$1,0)+1),MATCH(N$1,enemy_skill_triggers!$1:$1,0)-MATCH($F$1,enemy_skill_triggers!$1:$1,0)+1,FALSE)</f>
        <v>1555</v>
      </c>
      <c r="O290" s="48">
        <f ca="1">VLOOKUP($F290,OFFSET(enemy_skill_triggers!$A$1,0,0,COUNTA(enemy_skill_triggers!$A:$A),MATCH(O$1,enemy_skill_triggers!$1:$1,0)-MATCH($F$1,enemy_skill_triggers!$1:$1,0)+1),MATCH(O$1,enemy_skill_triggers!$1:$1,0)-MATCH($F$1,enemy_skill_triggers!$1:$1,0)+1,FALSE)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0" s="47"/>
      <c r="Q290" s="47"/>
      <c r="R290" s="47"/>
    </row>
    <row r="291" spans="1:18" ht="16" customHeight="1" x14ac:dyDescent="0.15">
      <c r="A291" s="39" t="str">
        <f t="shared" si="19"/>
        <v>49016620_49016607</v>
      </c>
      <c r="B291" s="123">
        <v>49016620</v>
      </c>
      <c r="C291" s="175">
        <v>49016607</v>
      </c>
      <c r="D291" s="46" t="str">
        <f ca="1">VLOOKUP($C291,OFFSET(enemy_skills!$A$1,0,0,COUNTA(enemy_skills!$A:$A),MATCH(D$1,enemy_skills!$1:$1,0)-MATCH("enemy_skill_id",enemy_skills!$1:$1,0)+1),MATCH(D$1,enemy_skills!$1:$1,0)-MATCH("enemy_skill_id",enemy_skills!$1:$1,0)+1,FALSE)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291" s="46" t="str">
        <f ca="1">VLOOKUP($C291,OFFSET(enemy_skills!$A$1,0,0,COUNTA(enemy_skills!$A:$A),MATCH(E$1,enemy_skills!$1:$1,0)-MATCH("enemy_skill_id",enemy_skills!$1:$1,0)+1),MATCH(E$1,enemy_skills!$1:$1,0)-MATCH("enemy_skill_id",enemy_skills!$1:$1,0)+1,FALSE)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91" s="175">
        <v>49016616</v>
      </c>
      <c r="G291" s="48">
        <f ca="1">VLOOKUP($F291,OFFSET(enemy_skill_triggers!$A$1,0,0,COUNTA(enemy_skill_triggers!$A:$A),MATCH(G$1,enemy_skill_triggers!$1:$1,0)-MATCH($F$1,enemy_skill_triggers!$1:$1,0)+1),MATCH(G$1,enemy_skill_triggers!$1:$1,0)-MATCH($F$1,enemy_skill_triggers!$1:$1,0)+1,FALSE)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1" s="48">
        <f ca="1">VLOOKUP($F291,OFFSET(enemy_skill_triggers!$A$1,0,0,COUNTA(enemy_skill_triggers!$A:$A),MATCH(H$1,enemy_skill_triggers!$1:$1,0)-MATCH($F$1,enemy_skill_triggers!$1:$1,0)+1),MATCH(H$1,enemy_skill_triggers!$1:$1,0)-MATCH($F$1,enemy_skill_triggers!$1:$1,0)+1,FALSE)</f>
        <v>806</v>
      </c>
      <c r="I291" s="48">
        <f ca="1">VLOOKUP($F291,OFFSET(enemy_skill_triggers!$A$1,0,0,COUNTA(enemy_skill_triggers!$A:$A),MATCH(I$1,enemy_skill_triggers!$1:$1,0)-MATCH($F$1,enemy_skill_triggers!$1:$1,0)+1),MATCH(I$1,enemy_skill_triggers!$1:$1,0)-MATCH($F$1,enemy_skill_triggers!$1:$1,0)+1,FALSE)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1" s="48" t="str">
        <f ca="1">VLOOKUP($F291,OFFSET(enemy_skill_triggers!$A$1,0,0,COUNTA(enemy_skill_triggers!$A:$A),MATCH(J$1,enemy_skill_triggers!$1:$1,0)-MATCH($F$1,enemy_skill_triggers!$1:$1,0)+1),MATCH(J$1,enemy_skill_triggers!$1:$1,0)-MATCH($F$1,enemy_skill_triggers!$1:$1,0)+1,FALSE)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1" s="48" t="str">
        <f ca="1">VLOOKUP($F291,OFFSET(enemy_skill_triggers!$A$1,0,0,COUNTA(enemy_skill_triggers!$A:$A),MATCH(K$1,enemy_skill_triggers!$1:$1,0)-MATCH($F$1,enemy_skill_triggers!$1:$1,0)+1),MATCH(K$1,enemy_skill_triggers!$1:$1,0)-MATCH($F$1,enemy_skill_triggers!$1:$1,0)+1,FALSE)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1" s="48">
        <f ca="1">VLOOKUP($F291,OFFSET(enemy_skill_triggers!$A$1,0,0,COUNTA(enemy_skill_triggers!$A:$A),MATCH(L$1,enemy_skill_triggers!$1:$1,0)-MATCH($F$1,enemy_skill_triggers!$1:$1,0)+1),MATCH(L$1,enemy_skill_triggers!$1:$1,0)-MATCH($F$1,enemy_skill_triggers!$1:$1,0)+1,FALSE)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1" s="48">
        <f ca="1">VLOOKUP($F291,OFFSET(enemy_skill_triggers!$A$1,0,0,COUNTA(enemy_skill_triggers!$A:$A),MATCH(M$1,enemy_skill_triggers!$1:$1,0)-MATCH($F$1,enemy_skill_triggers!$1:$1,0)+1),MATCH(M$1,enemy_skill_triggers!$1:$1,0)-MATCH($F$1,enemy_skill_triggers!$1:$1,0)+1,FALSE)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1" s="48">
        <f ca="1">VLOOKUP($F291,OFFSET(enemy_skill_triggers!$A$1,0,0,COUNTA(enemy_skill_triggers!$A:$A),MATCH(N$1,enemy_skill_triggers!$1:$1,0)-MATCH($F$1,enemy_skill_triggers!$1:$1,0)+1),MATCH(N$1,enemy_skill_triggers!$1:$1,0)-MATCH($F$1,enemy_skill_triggers!$1:$1,0)+1,FALSE)</f>
        <v>1556</v>
      </c>
      <c r="O291" s="48">
        <f ca="1">VLOOKUP($F291,OFFSET(enemy_skill_triggers!$A$1,0,0,COUNTA(enemy_skill_triggers!$A:$A),MATCH(O$1,enemy_skill_triggers!$1:$1,0)-MATCH($F$1,enemy_skill_triggers!$1:$1,0)+1),MATCH(O$1,enemy_skill_triggers!$1:$1,0)-MATCH($F$1,enemy_skill_triggers!$1:$1,0)+1,FALSE)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1" s="47"/>
      <c r="Q291" s="47"/>
      <c r="R291" s="47"/>
    </row>
    <row r="292" spans="1:18" ht="16" customHeight="1" x14ac:dyDescent="0.15">
      <c r="A292" s="39" t="str">
        <f t="shared" si="19"/>
        <v>49016620_49016607</v>
      </c>
      <c r="B292" s="123">
        <v>49016620</v>
      </c>
      <c r="C292" s="175">
        <v>49016607</v>
      </c>
      <c r="D292" s="46" t="str">
        <f ca="1">VLOOKUP($C292,OFFSET(enemy_skills!$A$1,0,0,COUNTA(enemy_skills!$A:$A),MATCH(D$1,enemy_skills!$1:$1,0)-MATCH("enemy_skill_id",enemy_skills!$1:$1,0)+1),MATCH(D$1,enemy_skills!$1:$1,0)-MATCH("enemy_skill_id",enemy_skills!$1:$1,0)+1,FALSE)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292" s="46" t="str">
        <f ca="1">VLOOKUP($C292,OFFSET(enemy_skills!$A$1,0,0,COUNTA(enemy_skills!$A:$A),MATCH(E$1,enemy_skills!$1:$1,0)-MATCH("enemy_skill_id",enemy_skills!$1:$1,0)+1),MATCH(E$1,enemy_skills!$1:$1,0)-MATCH("enemy_skill_id",enemy_skills!$1:$1,0)+1,FALSE)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92" s="175">
        <v>49016617</v>
      </c>
      <c r="G292" s="48">
        <f ca="1">VLOOKUP($F292,OFFSET(enemy_skill_triggers!$A$1,0,0,COUNTA(enemy_skill_triggers!$A:$A),MATCH(G$1,enemy_skill_triggers!$1:$1,0)-MATCH($F$1,enemy_skill_triggers!$1:$1,0)+1),MATCH(G$1,enemy_skill_triggers!$1:$1,0)-MATCH($F$1,enemy_skill_triggers!$1:$1,0)+1,FALSE)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2" s="48">
        <f ca="1">VLOOKUP($F292,OFFSET(enemy_skill_triggers!$A$1,0,0,COUNTA(enemy_skill_triggers!$A:$A),MATCH(H$1,enemy_skill_triggers!$1:$1,0)-MATCH($F$1,enemy_skill_triggers!$1:$1,0)+1),MATCH(H$1,enemy_skill_triggers!$1:$1,0)-MATCH($F$1,enemy_skill_triggers!$1:$1,0)+1,FALSE)</f>
        <v>807</v>
      </c>
      <c r="I292" s="48">
        <f ca="1">VLOOKUP($F292,OFFSET(enemy_skill_triggers!$A$1,0,0,COUNTA(enemy_skill_triggers!$A:$A),MATCH(I$1,enemy_skill_triggers!$1:$1,0)-MATCH($F$1,enemy_skill_triggers!$1:$1,0)+1),MATCH(I$1,enemy_skill_triggers!$1:$1,0)-MATCH($F$1,enemy_skill_triggers!$1:$1,0)+1,FALSE)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2" s="48" t="str">
        <f ca="1">VLOOKUP($F292,OFFSET(enemy_skill_triggers!$A$1,0,0,COUNTA(enemy_skill_triggers!$A:$A),MATCH(J$1,enemy_skill_triggers!$1:$1,0)-MATCH($F$1,enemy_skill_triggers!$1:$1,0)+1),MATCH(J$1,enemy_skill_triggers!$1:$1,0)-MATCH($F$1,enemy_skill_triggers!$1:$1,0)+1,FALSE)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2" s="48" t="str">
        <f ca="1">VLOOKUP($F292,OFFSET(enemy_skill_triggers!$A$1,0,0,COUNTA(enemy_skill_triggers!$A:$A),MATCH(K$1,enemy_skill_triggers!$1:$1,0)-MATCH($F$1,enemy_skill_triggers!$1:$1,0)+1),MATCH(K$1,enemy_skill_triggers!$1:$1,0)-MATCH($F$1,enemy_skill_triggers!$1:$1,0)+1,FALSE)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2" s="48">
        <f ca="1">VLOOKUP($F292,OFFSET(enemy_skill_triggers!$A$1,0,0,COUNTA(enemy_skill_triggers!$A:$A),MATCH(L$1,enemy_skill_triggers!$1:$1,0)-MATCH($F$1,enemy_skill_triggers!$1:$1,0)+1),MATCH(L$1,enemy_skill_triggers!$1:$1,0)-MATCH($F$1,enemy_skill_triggers!$1:$1,0)+1,FALSE)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2" s="48">
        <f ca="1">VLOOKUP($F292,OFFSET(enemy_skill_triggers!$A$1,0,0,COUNTA(enemy_skill_triggers!$A:$A),MATCH(M$1,enemy_skill_triggers!$1:$1,0)-MATCH($F$1,enemy_skill_triggers!$1:$1,0)+1),MATCH(M$1,enemy_skill_triggers!$1:$1,0)-MATCH($F$1,enemy_skill_triggers!$1:$1,0)+1,FALSE)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2" s="48">
        <f ca="1">VLOOKUP($F292,OFFSET(enemy_skill_triggers!$A$1,0,0,COUNTA(enemy_skill_triggers!$A:$A),MATCH(N$1,enemy_skill_triggers!$1:$1,0)-MATCH($F$1,enemy_skill_triggers!$1:$1,0)+1),MATCH(N$1,enemy_skill_triggers!$1:$1,0)-MATCH($F$1,enemy_skill_triggers!$1:$1,0)+1,FALSE)</f>
        <v>1557</v>
      </c>
      <c r="O292" s="48">
        <f ca="1">VLOOKUP($F292,OFFSET(enemy_skill_triggers!$A$1,0,0,COUNTA(enemy_skill_triggers!$A:$A),MATCH(O$1,enemy_skill_triggers!$1:$1,0)-MATCH($F$1,enemy_skill_triggers!$1:$1,0)+1),MATCH(O$1,enemy_skill_triggers!$1:$1,0)-MATCH($F$1,enemy_skill_triggers!$1:$1,0)+1,FALSE)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2" s="47"/>
      <c r="Q292" s="47"/>
      <c r="R292" s="47"/>
    </row>
    <row r="293" spans="1:18" ht="16" customHeight="1" x14ac:dyDescent="0.15">
      <c r="A293" s="39" t="str">
        <f t="shared" si="19"/>
        <v>49016620_49016607</v>
      </c>
      <c r="B293" s="123">
        <v>49016620</v>
      </c>
      <c r="C293" s="175">
        <v>49016607</v>
      </c>
      <c r="D293" s="46" t="str">
        <f ca="1">VLOOKUP($C293,OFFSET(enemy_skills!$A$1,0,0,COUNTA(enemy_skills!$A:$A),MATCH(D$1,enemy_skills!$1:$1,0)-MATCH("enemy_skill_id",enemy_skills!$1:$1,0)+1),MATCH(D$1,enemy_skills!$1:$1,0)-MATCH("enemy_skill_id",enemy_skills!$1:$1,0)+1,FALSE)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293" s="46" t="str">
        <f ca="1">VLOOKUP($C293,OFFSET(enemy_skills!$A$1,0,0,COUNTA(enemy_skills!$A:$A),MATCH(E$1,enemy_skills!$1:$1,0)-MATCH("enemy_skill_id",enemy_skills!$1:$1,0)+1),MATCH(E$1,enemy_skills!$1:$1,0)-MATCH("enemy_skill_id",enemy_skills!$1:$1,0)+1,FALSE)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93" s="175">
        <v>49016618</v>
      </c>
      <c r="G293" s="48">
        <f ca="1">VLOOKUP($F293,OFFSET(enemy_skill_triggers!$A$1,0,0,COUNTA(enemy_skill_triggers!$A:$A),MATCH(G$1,enemy_skill_triggers!$1:$1,0)-MATCH($F$1,enemy_skill_triggers!$1:$1,0)+1),MATCH(G$1,enemy_skill_triggers!$1:$1,0)-MATCH($F$1,enemy_skill_triggers!$1:$1,0)+1,FALSE)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3" s="48">
        <f ca="1">VLOOKUP($F293,OFFSET(enemy_skill_triggers!$A$1,0,0,COUNTA(enemy_skill_triggers!$A:$A),MATCH(H$1,enemy_skill_triggers!$1:$1,0)-MATCH($F$1,enemy_skill_triggers!$1:$1,0)+1),MATCH(H$1,enemy_skill_triggers!$1:$1,0)-MATCH($F$1,enemy_skill_triggers!$1:$1,0)+1,FALSE)</f>
        <v>808</v>
      </c>
      <c r="I293" s="48">
        <f ca="1">VLOOKUP($F293,OFFSET(enemy_skill_triggers!$A$1,0,0,COUNTA(enemy_skill_triggers!$A:$A),MATCH(I$1,enemy_skill_triggers!$1:$1,0)-MATCH($F$1,enemy_skill_triggers!$1:$1,0)+1),MATCH(I$1,enemy_skill_triggers!$1:$1,0)-MATCH($F$1,enemy_skill_triggers!$1:$1,0)+1,FALSE)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3" s="48" t="str">
        <f ca="1">VLOOKUP($F293,OFFSET(enemy_skill_triggers!$A$1,0,0,COUNTA(enemy_skill_triggers!$A:$A),MATCH(J$1,enemy_skill_triggers!$1:$1,0)-MATCH($F$1,enemy_skill_triggers!$1:$1,0)+1),MATCH(J$1,enemy_skill_triggers!$1:$1,0)-MATCH($F$1,enemy_skill_triggers!$1:$1,0)+1,FALSE)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3" s="48" t="str">
        <f ca="1">VLOOKUP($F293,OFFSET(enemy_skill_triggers!$A$1,0,0,COUNTA(enemy_skill_triggers!$A:$A),MATCH(K$1,enemy_skill_triggers!$1:$1,0)-MATCH($F$1,enemy_skill_triggers!$1:$1,0)+1),MATCH(K$1,enemy_skill_triggers!$1:$1,0)-MATCH($F$1,enemy_skill_triggers!$1:$1,0)+1,FALSE)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3" s="48">
        <f ca="1">VLOOKUP($F293,OFFSET(enemy_skill_triggers!$A$1,0,0,COUNTA(enemy_skill_triggers!$A:$A),MATCH(L$1,enemy_skill_triggers!$1:$1,0)-MATCH($F$1,enemy_skill_triggers!$1:$1,0)+1),MATCH(L$1,enemy_skill_triggers!$1:$1,0)-MATCH($F$1,enemy_skill_triggers!$1:$1,0)+1,FALSE)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3" s="48">
        <f ca="1">VLOOKUP($F293,OFFSET(enemy_skill_triggers!$A$1,0,0,COUNTA(enemy_skill_triggers!$A:$A),MATCH(M$1,enemy_skill_triggers!$1:$1,0)-MATCH($F$1,enemy_skill_triggers!$1:$1,0)+1),MATCH(M$1,enemy_skill_triggers!$1:$1,0)-MATCH($F$1,enemy_skill_triggers!$1:$1,0)+1,FALSE)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3" s="48">
        <f ca="1">VLOOKUP($F293,OFFSET(enemy_skill_triggers!$A$1,0,0,COUNTA(enemy_skill_triggers!$A:$A),MATCH(N$1,enemy_skill_triggers!$1:$1,0)-MATCH($F$1,enemy_skill_triggers!$1:$1,0)+1),MATCH(N$1,enemy_skill_triggers!$1:$1,0)-MATCH($F$1,enemy_skill_triggers!$1:$1,0)+1,FALSE)</f>
        <v>1558</v>
      </c>
      <c r="O293" s="48">
        <f ca="1">VLOOKUP($F293,OFFSET(enemy_skill_triggers!$A$1,0,0,COUNTA(enemy_skill_triggers!$A:$A),MATCH(O$1,enemy_skill_triggers!$1:$1,0)-MATCH($F$1,enemy_skill_triggers!$1:$1,0)+1),MATCH(O$1,enemy_skill_triggers!$1:$1,0)-MATCH($F$1,enemy_skill_triggers!$1:$1,0)+1,FALSE)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3" s="47"/>
      <c r="Q293" s="47"/>
      <c r="R293" s="47"/>
    </row>
    <row r="294" spans="1:18" ht="16" customHeight="1" x14ac:dyDescent="0.15">
      <c r="A294" s="39" t="str">
        <f t="shared" si="19"/>
        <v>49016620_49016607</v>
      </c>
      <c r="B294" s="123">
        <v>49016620</v>
      </c>
      <c r="C294" s="175">
        <v>49016607</v>
      </c>
      <c r="D294" s="46" t="str">
        <f ca="1">VLOOKUP($C294,OFFSET(enemy_skills!$A$1,0,0,COUNTA(enemy_skills!$A:$A),MATCH(D$1,enemy_skills!$1:$1,0)-MATCH("enemy_skill_id",enemy_skills!$1:$1,0)+1),MATCH(D$1,enemy_skills!$1:$1,0)-MATCH("enemy_skill_id",enemy_skills!$1:$1,0)+1,FALSE)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294" s="46" t="str">
        <f ca="1">VLOOKUP($C294,OFFSET(enemy_skills!$A$1,0,0,COUNTA(enemy_skills!$A:$A),MATCH(E$1,enemy_skills!$1:$1,0)-MATCH("enemy_skill_id",enemy_skills!$1:$1,0)+1),MATCH(E$1,enemy_skills!$1:$1,0)-MATCH("enemy_skill_id",enemy_skills!$1:$1,0)+1,FALSE)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94" s="175">
        <v>49016619</v>
      </c>
      <c r="G294" s="48">
        <f ca="1">VLOOKUP($F294,OFFSET(enemy_skill_triggers!$A$1,0,0,COUNTA(enemy_skill_triggers!$A:$A),MATCH(G$1,enemy_skill_triggers!$1:$1,0)-MATCH($F$1,enemy_skill_triggers!$1:$1,0)+1),MATCH(G$1,enemy_skill_triggers!$1:$1,0)-MATCH($F$1,enemy_skill_triggers!$1:$1,0)+1,FALSE)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4" s="48">
        <f ca="1">VLOOKUP($F294,OFFSET(enemy_skill_triggers!$A$1,0,0,COUNTA(enemy_skill_triggers!$A:$A),MATCH(H$1,enemy_skill_triggers!$1:$1,0)-MATCH($F$1,enemy_skill_triggers!$1:$1,0)+1),MATCH(H$1,enemy_skill_triggers!$1:$1,0)-MATCH($F$1,enemy_skill_triggers!$1:$1,0)+1,FALSE)</f>
        <v>809</v>
      </c>
      <c r="I294" s="48">
        <f ca="1">VLOOKUP($F294,OFFSET(enemy_skill_triggers!$A$1,0,0,COUNTA(enemy_skill_triggers!$A:$A),MATCH(I$1,enemy_skill_triggers!$1:$1,0)-MATCH($F$1,enemy_skill_triggers!$1:$1,0)+1),MATCH(I$1,enemy_skill_triggers!$1:$1,0)-MATCH($F$1,enemy_skill_triggers!$1:$1,0)+1,FALSE)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4" s="48" t="str">
        <f ca="1">VLOOKUP($F294,OFFSET(enemy_skill_triggers!$A$1,0,0,COUNTA(enemy_skill_triggers!$A:$A),MATCH(J$1,enemy_skill_triggers!$1:$1,0)-MATCH($F$1,enemy_skill_triggers!$1:$1,0)+1),MATCH(J$1,enemy_skill_triggers!$1:$1,0)-MATCH($F$1,enemy_skill_triggers!$1:$1,0)+1,FALSE)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4" s="48" t="str">
        <f ca="1">VLOOKUP($F294,OFFSET(enemy_skill_triggers!$A$1,0,0,COUNTA(enemy_skill_triggers!$A:$A),MATCH(K$1,enemy_skill_triggers!$1:$1,0)-MATCH($F$1,enemy_skill_triggers!$1:$1,0)+1),MATCH(K$1,enemy_skill_triggers!$1:$1,0)-MATCH($F$1,enemy_skill_triggers!$1:$1,0)+1,FALSE)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4" s="48">
        <f ca="1">VLOOKUP($F294,OFFSET(enemy_skill_triggers!$A$1,0,0,COUNTA(enemy_skill_triggers!$A:$A),MATCH(L$1,enemy_skill_triggers!$1:$1,0)-MATCH($F$1,enemy_skill_triggers!$1:$1,0)+1),MATCH(L$1,enemy_skill_triggers!$1:$1,0)-MATCH($F$1,enemy_skill_triggers!$1:$1,0)+1,FALSE)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4" s="48">
        <f ca="1">VLOOKUP($F294,OFFSET(enemy_skill_triggers!$A$1,0,0,COUNTA(enemy_skill_triggers!$A:$A),MATCH(M$1,enemy_skill_triggers!$1:$1,0)-MATCH($F$1,enemy_skill_triggers!$1:$1,0)+1),MATCH(M$1,enemy_skill_triggers!$1:$1,0)-MATCH($F$1,enemy_skill_triggers!$1:$1,0)+1,FALSE)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4" s="48">
        <f ca="1">VLOOKUP($F294,OFFSET(enemy_skill_triggers!$A$1,0,0,COUNTA(enemy_skill_triggers!$A:$A),MATCH(N$1,enemy_skill_triggers!$1:$1,0)-MATCH($F$1,enemy_skill_triggers!$1:$1,0)+1),MATCH(N$1,enemy_skill_triggers!$1:$1,0)-MATCH($F$1,enemy_skill_triggers!$1:$1,0)+1,FALSE)</f>
        <v>1559</v>
      </c>
      <c r="O294" s="48">
        <f ca="1">VLOOKUP($F294,OFFSET(enemy_skill_triggers!$A$1,0,0,COUNTA(enemy_skill_triggers!$A:$A),MATCH(O$1,enemy_skill_triggers!$1:$1,0)-MATCH($F$1,enemy_skill_triggers!$1:$1,0)+1),MATCH(O$1,enemy_skill_triggers!$1:$1,0)-MATCH($F$1,enemy_skill_triggers!$1:$1,0)+1,FALSE)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4" s="47"/>
      <c r="Q294" s="47"/>
      <c r="R294" s="47"/>
    </row>
    <row r="295" spans="1:18" ht="16" customHeight="1" x14ac:dyDescent="0.15">
      <c r="A295" s="39" t="str">
        <f t="shared" si="19"/>
        <v>49016620_49016607</v>
      </c>
      <c r="B295" s="123">
        <v>49016620</v>
      </c>
      <c r="C295" s="175">
        <v>49016607</v>
      </c>
      <c r="D295" s="46" t="str">
        <f ca="1">VLOOKUP($C295,OFFSET(enemy_skills!$A$1,0,0,COUNTA(enemy_skills!$A:$A),MATCH(D$1,enemy_skills!$1:$1,0)-MATCH("enemy_skill_id",enemy_skills!$1:$1,0)+1),MATCH(D$1,enemy_skills!$1:$1,0)-MATCH("enemy_skill_id",enemy_skills!$1:$1,0)+1,FALSE)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295" s="46" t="str">
        <f ca="1">VLOOKUP($C295,OFFSET(enemy_skills!$A$1,0,0,COUNTA(enemy_skills!$A:$A),MATCH(E$1,enemy_skills!$1:$1,0)-MATCH("enemy_skill_id",enemy_skills!$1:$1,0)+1),MATCH(E$1,enemy_skills!$1:$1,0)-MATCH("enemy_skill_id",enemy_skills!$1:$1,0)+1,FALSE)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95" s="175">
        <v>49016620</v>
      </c>
      <c r="G295" s="48">
        <f ca="1">VLOOKUP($F295,OFFSET(enemy_skill_triggers!$A$1,0,0,COUNTA(enemy_skill_triggers!$A:$A),MATCH(G$1,enemy_skill_triggers!$1:$1,0)-MATCH($F$1,enemy_skill_triggers!$1:$1,0)+1),MATCH(G$1,enemy_skill_triggers!$1:$1,0)-MATCH($F$1,enemy_skill_triggers!$1:$1,0)+1,FALSE)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5" s="48">
        <f ca="1">VLOOKUP($F295,OFFSET(enemy_skill_triggers!$A$1,0,0,COUNTA(enemy_skill_triggers!$A:$A),MATCH(H$1,enemy_skill_triggers!$1:$1,0)-MATCH($F$1,enemy_skill_triggers!$1:$1,0)+1),MATCH(H$1,enemy_skill_triggers!$1:$1,0)-MATCH($F$1,enemy_skill_triggers!$1:$1,0)+1,FALSE)</f>
        <v>810</v>
      </c>
      <c r="I295" s="48">
        <f ca="1">VLOOKUP($F295,OFFSET(enemy_skill_triggers!$A$1,0,0,COUNTA(enemy_skill_triggers!$A:$A),MATCH(I$1,enemy_skill_triggers!$1:$1,0)-MATCH($F$1,enemy_skill_triggers!$1:$1,0)+1),MATCH(I$1,enemy_skill_triggers!$1:$1,0)-MATCH($F$1,enemy_skill_triggers!$1:$1,0)+1,FALSE)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5" s="48" t="str">
        <f ca="1">VLOOKUP($F295,OFFSET(enemy_skill_triggers!$A$1,0,0,COUNTA(enemy_skill_triggers!$A:$A),MATCH(J$1,enemy_skill_triggers!$1:$1,0)-MATCH($F$1,enemy_skill_triggers!$1:$1,0)+1),MATCH(J$1,enemy_skill_triggers!$1:$1,0)-MATCH($F$1,enemy_skill_triggers!$1:$1,0)+1,FALSE)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5" s="48" t="str">
        <f ca="1">VLOOKUP($F295,OFFSET(enemy_skill_triggers!$A$1,0,0,COUNTA(enemy_skill_triggers!$A:$A),MATCH(K$1,enemy_skill_triggers!$1:$1,0)-MATCH($F$1,enemy_skill_triggers!$1:$1,0)+1),MATCH(K$1,enemy_skill_triggers!$1:$1,0)-MATCH($F$1,enemy_skill_triggers!$1:$1,0)+1,FALSE)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5" s="48">
        <f ca="1">VLOOKUP($F295,OFFSET(enemy_skill_triggers!$A$1,0,0,COUNTA(enemy_skill_triggers!$A:$A),MATCH(L$1,enemy_skill_triggers!$1:$1,0)-MATCH($F$1,enemy_skill_triggers!$1:$1,0)+1),MATCH(L$1,enemy_skill_triggers!$1:$1,0)-MATCH($F$1,enemy_skill_triggers!$1:$1,0)+1,FALSE)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5" s="48">
        <f ca="1">VLOOKUP($F295,OFFSET(enemy_skill_triggers!$A$1,0,0,COUNTA(enemy_skill_triggers!$A:$A),MATCH(M$1,enemy_skill_triggers!$1:$1,0)-MATCH($F$1,enemy_skill_triggers!$1:$1,0)+1),MATCH(M$1,enemy_skill_triggers!$1:$1,0)-MATCH($F$1,enemy_skill_triggers!$1:$1,0)+1,FALSE)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5" s="48">
        <f ca="1">VLOOKUP($F295,OFFSET(enemy_skill_triggers!$A$1,0,0,COUNTA(enemy_skill_triggers!$A:$A),MATCH(N$1,enemy_skill_triggers!$1:$1,0)-MATCH($F$1,enemy_skill_triggers!$1:$1,0)+1),MATCH(N$1,enemy_skill_triggers!$1:$1,0)-MATCH($F$1,enemy_skill_triggers!$1:$1,0)+1,FALSE)</f>
        <v>1560</v>
      </c>
      <c r="O295" s="48">
        <f ca="1">VLOOKUP($F295,OFFSET(enemy_skill_triggers!$A$1,0,0,COUNTA(enemy_skill_triggers!$A:$A),MATCH(O$1,enemy_skill_triggers!$1:$1,0)-MATCH($F$1,enemy_skill_triggers!$1:$1,0)+1),MATCH(O$1,enemy_skill_triggers!$1:$1,0)-MATCH($F$1,enemy_skill_triggers!$1:$1,0)+1,FALSE)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5" s="47"/>
      <c r="Q295" s="47"/>
      <c r="R295" s="47"/>
    </row>
    <row r="296" spans="1:18" ht="16" customHeight="1" x14ac:dyDescent="0.15">
      <c r="A296" s="39" t="str">
        <f t="shared" si="19"/>
        <v>49016620_49016607</v>
      </c>
      <c r="B296" s="123">
        <v>49016620</v>
      </c>
      <c r="C296" s="175">
        <v>49016607</v>
      </c>
      <c r="D296" s="46" t="str">
        <f ca="1">VLOOKUP($C296,OFFSET(enemy_skills!$A$1,0,0,COUNTA(enemy_skills!$A:$A),MATCH(D$1,enemy_skills!$1:$1,0)-MATCH("enemy_skill_id",enemy_skills!$1:$1,0)+1),MATCH(D$1,enemy_skills!$1:$1,0)-MATCH("enemy_skill_id",enemy_skills!$1:$1,0)+1,FALSE)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296" s="46" t="str">
        <f ca="1">VLOOKUP($C296,OFFSET(enemy_skills!$A$1,0,0,COUNTA(enemy_skills!$A:$A),MATCH(E$1,enemy_skills!$1:$1,0)-MATCH("enemy_skill_id",enemy_skills!$1:$1,0)+1),MATCH(E$1,enemy_skills!$1:$1,0)-MATCH("enemy_skill_id",enemy_skills!$1:$1,0)+1,FALSE)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96" s="175">
        <v>49016621</v>
      </c>
      <c r="G296" s="48">
        <f ca="1">VLOOKUP($F296,OFFSET(enemy_skill_triggers!$A$1,0,0,COUNTA(enemy_skill_triggers!$A:$A),MATCH(G$1,enemy_skill_triggers!$1:$1,0)-MATCH($F$1,enemy_skill_triggers!$1:$1,0)+1),MATCH(G$1,enemy_skill_triggers!$1:$1,0)-MATCH($F$1,enemy_skill_triggers!$1:$1,0)+1,FALSE)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6" s="48">
        <f ca="1">VLOOKUP($F296,OFFSET(enemy_skill_triggers!$A$1,0,0,COUNTA(enemy_skill_triggers!$A:$A),MATCH(H$1,enemy_skill_triggers!$1:$1,0)-MATCH($F$1,enemy_skill_triggers!$1:$1,0)+1),MATCH(H$1,enemy_skill_triggers!$1:$1,0)-MATCH($F$1,enemy_skill_triggers!$1:$1,0)+1,FALSE)</f>
        <v>811</v>
      </c>
      <c r="I296" s="48">
        <f ca="1">VLOOKUP($F296,OFFSET(enemy_skill_triggers!$A$1,0,0,COUNTA(enemy_skill_triggers!$A:$A),MATCH(I$1,enemy_skill_triggers!$1:$1,0)-MATCH($F$1,enemy_skill_triggers!$1:$1,0)+1),MATCH(I$1,enemy_skill_triggers!$1:$1,0)-MATCH($F$1,enemy_skill_triggers!$1:$1,0)+1,FALSE)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6" s="48" t="str">
        <f ca="1">VLOOKUP($F296,OFFSET(enemy_skill_triggers!$A$1,0,0,COUNTA(enemy_skill_triggers!$A:$A),MATCH(J$1,enemy_skill_triggers!$1:$1,0)-MATCH($F$1,enemy_skill_triggers!$1:$1,0)+1),MATCH(J$1,enemy_skill_triggers!$1:$1,0)-MATCH($F$1,enemy_skill_triggers!$1:$1,0)+1,FALSE)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6" s="48" t="str">
        <f ca="1">VLOOKUP($F296,OFFSET(enemy_skill_triggers!$A$1,0,0,COUNTA(enemy_skill_triggers!$A:$A),MATCH(K$1,enemy_skill_triggers!$1:$1,0)-MATCH($F$1,enemy_skill_triggers!$1:$1,0)+1),MATCH(K$1,enemy_skill_triggers!$1:$1,0)-MATCH($F$1,enemy_skill_triggers!$1:$1,0)+1,FALSE)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6" s="48">
        <f ca="1">VLOOKUP($F296,OFFSET(enemy_skill_triggers!$A$1,0,0,COUNTA(enemy_skill_triggers!$A:$A),MATCH(L$1,enemy_skill_triggers!$1:$1,0)-MATCH($F$1,enemy_skill_triggers!$1:$1,0)+1),MATCH(L$1,enemy_skill_triggers!$1:$1,0)-MATCH($F$1,enemy_skill_triggers!$1:$1,0)+1,FALSE)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6" s="48">
        <f ca="1">VLOOKUP($F296,OFFSET(enemy_skill_triggers!$A$1,0,0,COUNTA(enemy_skill_triggers!$A:$A),MATCH(M$1,enemy_skill_triggers!$1:$1,0)-MATCH($F$1,enemy_skill_triggers!$1:$1,0)+1),MATCH(M$1,enemy_skill_triggers!$1:$1,0)-MATCH($F$1,enemy_skill_triggers!$1:$1,0)+1,FALSE)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6" s="48">
        <f ca="1">VLOOKUP($F296,OFFSET(enemy_skill_triggers!$A$1,0,0,COUNTA(enemy_skill_triggers!$A:$A),MATCH(N$1,enemy_skill_triggers!$1:$1,0)-MATCH($F$1,enemy_skill_triggers!$1:$1,0)+1),MATCH(N$1,enemy_skill_triggers!$1:$1,0)-MATCH($F$1,enemy_skill_triggers!$1:$1,0)+1,FALSE)</f>
        <v>1561</v>
      </c>
      <c r="O296" s="48">
        <f ca="1">VLOOKUP($F296,OFFSET(enemy_skill_triggers!$A$1,0,0,COUNTA(enemy_skill_triggers!$A:$A),MATCH(O$1,enemy_skill_triggers!$1:$1,0)-MATCH($F$1,enemy_skill_triggers!$1:$1,0)+1),MATCH(O$1,enemy_skill_triggers!$1:$1,0)-MATCH($F$1,enemy_skill_triggers!$1:$1,0)+1,FALSE)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6" s="47"/>
      <c r="Q296" s="47"/>
      <c r="R296" s="47"/>
    </row>
    <row r="297" spans="1:18" ht="16" customHeight="1" x14ac:dyDescent="0.15">
      <c r="A297" s="39" t="str">
        <f t="shared" si="19"/>
        <v>49016620_49016607</v>
      </c>
      <c r="B297" s="123">
        <v>49016620</v>
      </c>
      <c r="C297" s="175">
        <v>49016607</v>
      </c>
      <c r="D297" s="46" t="str">
        <f ca="1">VLOOKUP($C297,OFFSET(enemy_skills!$A$1,0,0,COUNTA(enemy_skills!$A:$A),MATCH(D$1,enemy_skills!$1:$1,0)-MATCH("enemy_skill_id",enemy_skills!$1:$1,0)+1),MATCH(D$1,enemy_skills!$1:$1,0)-MATCH("enemy_skill_id",enemy_skills!$1:$1,0)+1,FALSE)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297" s="46" t="str">
        <f ca="1">VLOOKUP($C297,OFFSET(enemy_skills!$A$1,0,0,COUNTA(enemy_skills!$A:$A),MATCH(E$1,enemy_skills!$1:$1,0)-MATCH("enemy_skill_id",enemy_skills!$1:$1,0)+1),MATCH(E$1,enemy_skills!$1:$1,0)-MATCH("enemy_skill_id",enemy_skills!$1:$1,0)+1,FALSE)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97" s="175">
        <v>49016622</v>
      </c>
      <c r="G297" s="48">
        <f ca="1">VLOOKUP($F297,OFFSET(enemy_skill_triggers!$A$1,0,0,COUNTA(enemy_skill_triggers!$A:$A),MATCH(G$1,enemy_skill_triggers!$1:$1,0)-MATCH($F$1,enemy_skill_triggers!$1:$1,0)+1),MATCH(G$1,enemy_skill_triggers!$1:$1,0)-MATCH($F$1,enemy_skill_triggers!$1:$1,0)+1,FALSE)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7" s="48">
        <f ca="1">VLOOKUP($F297,OFFSET(enemy_skill_triggers!$A$1,0,0,COUNTA(enemy_skill_triggers!$A:$A),MATCH(H$1,enemy_skill_triggers!$1:$1,0)-MATCH($F$1,enemy_skill_triggers!$1:$1,0)+1),MATCH(H$1,enemy_skill_triggers!$1:$1,0)-MATCH($F$1,enemy_skill_triggers!$1:$1,0)+1,FALSE)</f>
        <v>812</v>
      </c>
      <c r="I297" s="48">
        <f ca="1">VLOOKUP($F297,OFFSET(enemy_skill_triggers!$A$1,0,0,COUNTA(enemy_skill_triggers!$A:$A),MATCH(I$1,enemy_skill_triggers!$1:$1,0)-MATCH($F$1,enemy_skill_triggers!$1:$1,0)+1),MATCH(I$1,enemy_skill_triggers!$1:$1,0)-MATCH($F$1,enemy_skill_triggers!$1:$1,0)+1,FALSE)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7" s="48" t="str">
        <f ca="1">VLOOKUP($F297,OFFSET(enemy_skill_triggers!$A$1,0,0,COUNTA(enemy_skill_triggers!$A:$A),MATCH(J$1,enemy_skill_triggers!$1:$1,0)-MATCH($F$1,enemy_skill_triggers!$1:$1,0)+1),MATCH(J$1,enemy_skill_triggers!$1:$1,0)-MATCH($F$1,enemy_skill_triggers!$1:$1,0)+1,FALSE)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7" s="48" t="str">
        <f ca="1">VLOOKUP($F297,OFFSET(enemy_skill_triggers!$A$1,0,0,COUNTA(enemy_skill_triggers!$A:$A),MATCH(K$1,enemy_skill_triggers!$1:$1,0)-MATCH($F$1,enemy_skill_triggers!$1:$1,0)+1),MATCH(K$1,enemy_skill_triggers!$1:$1,0)-MATCH($F$1,enemy_skill_triggers!$1:$1,0)+1,FALSE)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7" s="48">
        <f ca="1">VLOOKUP($F297,OFFSET(enemy_skill_triggers!$A$1,0,0,COUNTA(enemy_skill_triggers!$A:$A),MATCH(L$1,enemy_skill_triggers!$1:$1,0)-MATCH($F$1,enemy_skill_triggers!$1:$1,0)+1),MATCH(L$1,enemy_skill_triggers!$1:$1,0)-MATCH($F$1,enemy_skill_triggers!$1:$1,0)+1,FALSE)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7" s="48">
        <f ca="1">VLOOKUP($F297,OFFSET(enemy_skill_triggers!$A$1,0,0,COUNTA(enemy_skill_triggers!$A:$A),MATCH(M$1,enemy_skill_triggers!$1:$1,0)-MATCH($F$1,enemy_skill_triggers!$1:$1,0)+1),MATCH(M$1,enemy_skill_triggers!$1:$1,0)-MATCH($F$1,enemy_skill_triggers!$1:$1,0)+1,FALSE)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7" s="48">
        <f ca="1">VLOOKUP($F297,OFFSET(enemy_skill_triggers!$A$1,0,0,COUNTA(enemy_skill_triggers!$A:$A),MATCH(N$1,enemy_skill_triggers!$1:$1,0)-MATCH($F$1,enemy_skill_triggers!$1:$1,0)+1),MATCH(N$1,enemy_skill_triggers!$1:$1,0)-MATCH($F$1,enemy_skill_triggers!$1:$1,0)+1,FALSE)</f>
        <v>1562</v>
      </c>
      <c r="O297" s="48">
        <f ca="1">VLOOKUP($F297,OFFSET(enemy_skill_triggers!$A$1,0,0,COUNTA(enemy_skill_triggers!$A:$A),MATCH(O$1,enemy_skill_triggers!$1:$1,0)-MATCH($F$1,enemy_skill_triggers!$1:$1,0)+1),MATCH(O$1,enemy_skill_triggers!$1:$1,0)-MATCH($F$1,enemy_skill_triggers!$1:$1,0)+1,FALSE)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7" s="47"/>
      <c r="Q297" s="47"/>
      <c r="R297" s="47"/>
    </row>
    <row r="298" spans="1:18" ht="16" customHeight="1" x14ac:dyDescent="0.15">
      <c r="A298" s="39" t="str">
        <f t="shared" si="19"/>
        <v>49016620_49016607</v>
      </c>
      <c r="B298" s="123">
        <v>49016620</v>
      </c>
      <c r="C298" s="175">
        <v>49016607</v>
      </c>
      <c r="D298" s="46" t="str">
        <f ca="1">VLOOKUP($C298,OFFSET(enemy_skills!$A$1,0,0,COUNTA(enemy_skills!$A:$A),MATCH(D$1,enemy_skills!$1:$1,0)-MATCH("enemy_skill_id",enemy_skills!$1:$1,0)+1),MATCH(D$1,enemy_skills!$1:$1,0)-MATCH("enemy_skill_id",enemy_skills!$1:$1,0)+1,FALSE)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298" s="46" t="str">
        <f ca="1">VLOOKUP($C298,OFFSET(enemy_skills!$A$1,0,0,COUNTA(enemy_skills!$A:$A),MATCH(E$1,enemy_skills!$1:$1,0)-MATCH("enemy_skill_id",enemy_skills!$1:$1,0)+1),MATCH(E$1,enemy_skills!$1:$1,0)-MATCH("enemy_skill_id",enemy_skills!$1:$1,0)+1,FALSE)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98" s="175">
        <v>49016623</v>
      </c>
      <c r="G298" s="48">
        <f ca="1">VLOOKUP($F298,OFFSET(enemy_skill_triggers!$A$1,0,0,COUNTA(enemy_skill_triggers!$A:$A),MATCH(G$1,enemy_skill_triggers!$1:$1,0)-MATCH($F$1,enemy_skill_triggers!$1:$1,0)+1),MATCH(G$1,enemy_skill_triggers!$1:$1,0)-MATCH($F$1,enemy_skill_triggers!$1:$1,0)+1,FALSE)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8" s="48">
        <f ca="1">VLOOKUP($F298,OFFSET(enemy_skill_triggers!$A$1,0,0,COUNTA(enemy_skill_triggers!$A:$A),MATCH(H$1,enemy_skill_triggers!$1:$1,0)-MATCH($F$1,enemy_skill_triggers!$1:$1,0)+1),MATCH(H$1,enemy_skill_triggers!$1:$1,0)-MATCH($F$1,enemy_skill_triggers!$1:$1,0)+1,FALSE)</f>
        <v>813</v>
      </c>
      <c r="I298" s="48">
        <f ca="1">VLOOKUP($F298,OFFSET(enemy_skill_triggers!$A$1,0,0,COUNTA(enemy_skill_triggers!$A:$A),MATCH(I$1,enemy_skill_triggers!$1:$1,0)-MATCH($F$1,enemy_skill_triggers!$1:$1,0)+1),MATCH(I$1,enemy_skill_triggers!$1:$1,0)-MATCH($F$1,enemy_skill_triggers!$1:$1,0)+1,FALSE)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8" s="48" t="str">
        <f ca="1">VLOOKUP($F298,OFFSET(enemy_skill_triggers!$A$1,0,0,COUNTA(enemy_skill_triggers!$A:$A),MATCH(J$1,enemy_skill_triggers!$1:$1,0)-MATCH($F$1,enemy_skill_triggers!$1:$1,0)+1),MATCH(J$1,enemy_skill_triggers!$1:$1,0)-MATCH($F$1,enemy_skill_triggers!$1:$1,0)+1,FALSE)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8" s="48" t="str">
        <f ca="1">VLOOKUP($F298,OFFSET(enemy_skill_triggers!$A$1,0,0,COUNTA(enemy_skill_triggers!$A:$A),MATCH(K$1,enemy_skill_triggers!$1:$1,0)-MATCH($F$1,enemy_skill_triggers!$1:$1,0)+1),MATCH(K$1,enemy_skill_triggers!$1:$1,0)-MATCH($F$1,enemy_skill_triggers!$1:$1,0)+1,FALSE)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8" s="48">
        <f ca="1">VLOOKUP($F298,OFFSET(enemy_skill_triggers!$A$1,0,0,COUNTA(enemy_skill_triggers!$A:$A),MATCH(L$1,enemy_skill_triggers!$1:$1,0)-MATCH($F$1,enemy_skill_triggers!$1:$1,0)+1),MATCH(L$1,enemy_skill_triggers!$1:$1,0)-MATCH($F$1,enemy_skill_triggers!$1:$1,0)+1,FALSE)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8" s="48">
        <f ca="1">VLOOKUP($F298,OFFSET(enemy_skill_triggers!$A$1,0,0,COUNTA(enemy_skill_triggers!$A:$A),MATCH(M$1,enemy_skill_triggers!$1:$1,0)-MATCH($F$1,enemy_skill_triggers!$1:$1,0)+1),MATCH(M$1,enemy_skill_triggers!$1:$1,0)-MATCH($F$1,enemy_skill_triggers!$1:$1,0)+1,FALSE)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8" s="48">
        <f ca="1">VLOOKUP($F298,OFFSET(enemy_skill_triggers!$A$1,0,0,COUNTA(enemy_skill_triggers!$A:$A),MATCH(N$1,enemy_skill_triggers!$1:$1,0)-MATCH($F$1,enemy_skill_triggers!$1:$1,0)+1),MATCH(N$1,enemy_skill_triggers!$1:$1,0)-MATCH($F$1,enemy_skill_triggers!$1:$1,0)+1,FALSE)</f>
        <v>1563</v>
      </c>
      <c r="O298" s="48">
        <f ca="1">VLOOKUP($F298,OFFSET(enemy_skill_triggers!$A$1,0,0,COUNTA(enemy_skill_triggers!$A:$A),MATCH(O$1,enemy_skill_triggers!$1:$1,0)-MATCH($F$1,enemy_skill_triggers!$1:$1,0)+1),MATCH(O$1,enemy_skill_triggers!$1:$1,0)-MATCH($F$1,enemy_skill_triggers!$1:$1,0)+1,FALSE)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8" s="47"/>
      <c r="Q298" s="47"/>
      <c r="R298" s="47"/>
    </row>
    <row r="299" spans="1:18" ht="16" customHeight="1" x14ac:dyDescent="0.15">
      <c r="A299" s="39" t="str">
        <f t="shared" si="19"/>
        <v>49016620_49016607</v>
      </c>
      <c r="B299" s="123">
        <v>49016620</v>
      </c>
      <c r="C299" s="175">
        <v>49016607</v>
      </c>
      <c r="D299" s="46" t="str">
        <f ca="1">VLOOKUP($C299,OFFSET(enemy_skills!$A$1,0,0,COUNTA(enemy_skills!$A:$A),MATCH(D$1,enemy_skills!$1:$1,0)-MATCH("enemy_skill_id",enemy_skills!$1:$1,0)+1),MATCH(D$1,enemy_skills!$1:$1,0)-MATCH("enemy_skill_id",enemy_skills!$1:$1,0)+1,FALSE)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299" s="46" t="str">
        <f ca="1">VLOOKUP($C299,OFFSET(enemy_skills!$A$1,0,0,COUNTA(enemy_skills!$A:$A),MATCH(E$1,enemy_skills!$1:$1,0)-MATCH("enemy_skill_id",enemy_skills!$1:$1,0)+1),MATCH(E$1,enemy_skills!$1:$1,0)-MATCH("enemy_skill_id",enemy_skills!$1:$1,0)+1,FALSE)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299" s="175">
        <v>49016624</v>
      </c>
      <c r="G299" s="48">
        <f ca="1">VLOOKUP($F299,OFFSET(enemy_skill_triggers!$A$1,0,0,COUNTA(enemy_skill_triggers!$A:$A),MATCH(G$1,enemy_skill_triggers!$1:$1,0)-MATCH($F$1,enemy_skill_triggers!$1:$1,0)+1),MATCH(G$1,enemy_skill_triggers!$1:$1,0)-MATCH($F$1,enemy_skill_triggers!$1:$1,0)+1,FALSE)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9" s="48">
        <f ca="1">VLOOKUP($F299,OFFSET(enemy_skill_triggers!$A$1,0,0,COUNTA(enemy_skill_triggers!$A:$A),MATCH(H$1,enemy_skill_triggers!$1:$1,0)-MATCH($F$1,enemy_skill_triggers!$1:$1,0)+1),MATCH(H$1,enemy_skill_triggers!$1:$1,0)-MATCH($F$1,enemy_skill_triggers!$1:$1,0)+1,FALSE)</f>
        <v>814</v>
      </c>
      <c r="I299" s="48">
        <f ca="1">VLOOKUP($F299,OFFSET(enemy_skill_triggers!$A$1,0,0,COUNTA(enemy_skill_triggers!$A:$A),MATCH(I$1,enemy_skill_triggers!$1:$1,0)-MATCH($F$1,enemy_skill_triggers!$1:$1,0)+1),MATCH(I$1,enemy_skill_triggers!$1:$1,0)-MATCH($F$1,enemy_skill_triggers!$1:$1,0)+1,FALSE)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9" s="48" t="str">
        <f ca="1">VLOOKUP($F299,OFFSET(enemy_skill_triggers!$A$1,0,0,COUNTA(enemy_skill_triggers!$A:$A),MATCH(J$1,enemy_skill_triggers!$1:$1,0)-MATCH($F$1,enemy_skill_triggers!$1:$1,0)+1),MATCH(J$1,enemy_skill_triggers!$1:$1,0)-MATCH($F$1,enemy_skill_triggers!$1:$1,0)+1,FALSE)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9" s="48" t="str">
        <f ca="1">VLOOKUP($F299,OFFSET(enemy_skill_triggers!$A$1,0,0,COUNTA(enemy_skill_triggers!$A:$A),MATCH(K$1,enemy_skill_triggers!$1:$1,0)-MATCH($F$1,enemy_skill_triggers!$1:$1,0)+1),MATCH(K$1,enemy_skill_triggers!$1:$1,0)-MATCH($F$1,enemy_skill_triggers!$1:$1,0)+1,FALSE)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9" s="48">
        <f ca="1">VLOOKUP($F299,OFFSET(enemy_skill_triggers!$A$1,0,0,COUNTA(enemy_skill_triggers!$A:$A),MATCH(L$1,enemy_skill_triggers!$1:$1,0)-MATCH($F$1,enemy_skill_triggers!$1:$1,0)+1),MATCH(L$1,enemy_skill_triggers!$1:$1,0)-MATCH($F$1,enemy_skill_triggers!$1:$1,0)+1,FALSE)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99" s="48">
        <f ca="1">VLOOKUP($F299,OFFSET(enemy_skill_triggers!$A$1,0,0,COUNTA(enemy_skill_triggers!$A:$A),MATCH(M$1,enemy_skill_triggers!$1:$1,0)-MATCH($F$1,enemy_skill_triggers!$1:$1,0)+1),MATCH(M$1,enemy_skill_triggers!$1:$1,0)-MATCH($F$1,enemy_skill_triggers!$1:$1,0)+1,FALSE)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9" s="48">
        <f ca="1">VLOOKUP($F299,OFFSET(enemy_skill_triggers!$A$1,0,0,COUNTA(enemy_skill_triggers!$A:$A),MATCH(N$1,enemy_skill_triggers!$1:$1,0)-MATCH($F$1,enemy_skill_triggers!$1:$1,0)+1),MATCH(N$1,enemy_skill_triggers!$1:$1,0)-MATCH($F$1,enemy_skill_triggers!$1:$1,0)+1,FALSE)</f>
        <v>1564</v>
      </c>
      <c r="O299" s="48">
        <f ca="1">VLOOKUP($F299,OFFSET(enemy_skill_triggers!$A$1,0,0,COUNTA(enemy_skill_triggers!$A:$A),MATCH(O$1,enemy_skill_triggers!$1:$1,0)-MATCH($F$1,enemy_skill_triggers!$1:$1,0)+1),MATCH(O$1,enemy_skill_triggers!$1:$1,0)-MATCH($F$1,enemy_skill_triggers!$1:$1,0)+1,FALSE)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9" s="47"/>
      <c r="Q299" s="47"/>
      <c r="R299" s="47"/>
    </row>
    <row r="300" spans="1:18" ht="16" customHeight="1" x14ac:dyDescent="0.15">
      <c r="A300" s="39" t="str">
        <f t="shared" si="19"/>
        <v>49016620_49016607</v>
      </c>
      <c r="B300" s="123">
        <v>49016620</v>
      </c>
      <c r="C300" s="175">
        <v>49016607</v>
      </c>
      <c r="D300" s="46" t="str">
        <f ca="1">VLOOKUP($C300,OFFSET(enemy_skills!$A$1,0,0,COUNTA(enemy_skills!$A:$A),MATCH(D$1,enemy_skills!$1:$1,0)-MATCH("enemy_skill_id",enemy_skills!$1:$1,0)+1),MATCH(D$1,enemy_skills!$1:$1,0)-MATCH("enemy_skill_id",enemy_skills!$1:$1,0)+1,FALSE)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300" s="46" t="str">
        <f ca="1">VLOOKUP($C300,OFFSET(enemy_skills!$A$1,0,0,COUNTA(enemy_skills!$A:$A),MATCH(E$1,enemy_skills!$1:$1,0)-MATCH("enemy_skill_id",enemy_skills!$1:$1,0)+1),MATCH(E$1,enemy_skills!$1:$1,0)-MATCH("enemy_skill_id",enemy_skills!$1:$1,0)+1,FALSE)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00" s="175">
        <v>49016625</v>
      </c>
      <c r="G300" s="48">
        <f ca="1">VLOOKUP($F300,OFFSET(enemy_skill_triggers!$A$1,0,0,COUNTA(enemy_skill_triggers!$A:$A),MATCH(G$1,enemy_skill_triggers!$1:$1,0)-MATCH($F$1,enemy_skill_triggers!$1:$1,0)+1),MATCH(G$1,enemy_skill_triggers!$1:$1,0)-MATCH($F$1,enemy_skill_triggers!$1:$1,0)+1,FALSE)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0" s="48">
        <f ca="1">VLOOKUP($F300,OFFSET(enemy_skill_triggers!$A$1,0,0,COUNTA(enemy_skill_triggers!$A:$A),MATCH(H$1,enemy_skill_triggers!$1:$1,0)-MATCH($F$1,enemy_skill_triggers!$1:$1,0)+1),MATCH(H$1,enemy_skill_triggers!$1:$1,0)-MATCH($F$1,enemy_skill_triggers!$1:$1,0)+1,FALSE)</f>
        <v>815</v>
      </c>
      <c r="I300" s="48">
        <f ca="1">VLOOKUP($F300,OFFSET(enemy_skill_triggers!$A$1,0,0,COUNTA(enemy_skill_triggers!$A:$A),MATCH(I$1,enemy_skill_triggers!$1:$1,0)-MATCH($F$1,enemy_skill_triggers!$1:$1,0)+1),MATCH(I$1,enemy_skill_triggers!$1:$1,0)-MATCH($F$1,enemy_skill_triggers!$1:$1,0)+1,FALSE)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0" s="48" t="str">
        <f ca="1">VLOOKUP($F300,OFFSET(enemy_skill_triggers!$A$1,0,0,COUNTA(enemy_skill_triggers!$A:$A),MATCH(J$1,enemy_skill_triggers!$1:$1,0)-MATCH($F$1,enemy_skill_triggers!$1:$1,0)+1),MATCH(J$1,enemy_skill_triggers!$1:$1,0)-MATCH($F$1,enemy_skill_triggers!$1:$1,0)+1,FALSE)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0" s="48" t="str">
        <f ca="1">VLOOKUP($F300,OFFSET(enemy_skill_triggers!$A$1,0,0,COUNTA(enemy_skill_triggers!$A:$A),MATCH(K$1,enemy_skill_triggers!$1:$1,0)-MATCH($F$1,enemy_skill_triggers!$1:$1,0)+1),MATCH(K$1,enemy_skill_triggers!$1:$1,0)-MATCH($F$1,enemy_skill_triggers!$1:$1,0)+1,FALSE)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0" s="48">
        <f ca="1">VLOOKUP($F300,OFFSET(enemy_skill_triggers!$A$1,0,0,COUNTA(enemy_skill_triggers!$A:$A),MATCH(L$1,enemy_skill_triggers!$1:$1,0)-MATCH($F$1,enemy_skill_triggers!$1:$1,0)+1),MATCH(L$1,enemy_skill_triggers!$1:$1,0)-MATCH($F$1,enemy_skill_triggers!$1:$1,0)+1,FALSE)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0" s="48">
        <f ca="1">VLOOKUP($F300,OFFSET(enemy_skill_triggers!$A$1,0,0,COUNTA(enemy_skill_triggers!$A:$A),MATCH(M$1,enemy_skill_triggers!$1:$1,0)-MATCH($F$1,enemy_skill_triggers!$1:$1,0)+1),MATCH(M$1,enemy_skill_triggers!$1:$1,0)-MATCH($F$1,enemy_skill_triggers!$1:$1,0)+1,FALSE)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0" s="48">
        <f ca="1">VLOOKUP($F300,OFFSET(enemy_skill_triggers!$A$1,0,0,COUNTA(enemy_skill_triggers!$A:$A),MATCH(N$1,enemy_skill_triggers!$1:$1,0)-MATCH($F$1,enemy_skill_triggers!$1:$1,0)+1),MATCH(N$1,enemy_skill_triggers!$1:$1,0)-MATCH($F$1,enemy_skill_triggers!$1:$1,0)+1,FALSE)</f>
        <v>1565</v>
      </c>
      <c r="O300" s="48">
        <f ca="1">VLOOKUP($F300,OFFSET(enemy_skill_triggers!$A$1,0,0,COUNTA(enemy_skill_triggers!$A:$A),MATCH(O$1,enemy_skill_triggers!$1:$1,0)-MATCH($F$1,enemy_skill_triggers!$1:$1,0)+1),MATCH(O$1,enemy_skill_triggers!$1:$1,0)-MATCH($F$1,enemy_skill_triggers!$1:$1,0)+1,FALSE)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0" s="47"/>
      <c r="Q300" s="47"/>
      <c r="R300" s="47"/>
    </row>
    <row r="301" spans="1:18" ht="16" customHeight="1" x14ac:dyDescent="0.15">
      <c r="A301" s="39" t="str">
        <f t="shared" si="19"/>
        <v>49016620_49016607</v>
      </c>
      <c r="B301" s="123">
        <v>49016620</v>
      </c>
      <c r="C301" s="175">
        <v>49016607</v>
      </c>
      <c r="D301" s="46" t="str">
        <f ca="1">VLOOKUP($C301,OFFSET(enemy_skills!$A$1,0,0,COUNTA(enemy_skills!$A:$A),MATCH(D$1,enemy_skills!$1:$1,0)-MATCH("enemy_skill_id",enemy_skills!$1:$1,0)+1),MATCH(D$1,enemy_skills!$1:$1,0)-MATCH("enemy_skill_id",enemy_skills!$1:$1,0)+1,FALSE)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301" s="46" t="str">
        <f ca="1">VLOOKUP($C301,OFFSET(enemy_skills!$A$1,0,0,COUNTA(enemy_skills!$A:$A),MATCH(E$1,enemy_skills!$1:$1,0)-MATCH("enemy_skill_id",enemy_skills!$1:$1,0)+1),MATCH(E$1,enemy_skills!$1:$1,0)-MATCH("enemy_skill_id",enemy_skills!$1:$1,0)+1,FALSE)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01" s="175">
        <v>49016626</v>
      </c>
      <c r="G301" s="48">
        <f ca="1">VLOOKUP($F301,OFFSET(enemy_skill_triggers!$A$1,0,0,COUNTA(enemy_skill_triggers!$A:$A),MATCH(G$1,enemy_skill_triggers!$1:$1,0)-MATCH($F$1,enemy_skill_triggers!$1:$1,0)+1),MATCH(G$1,enemy_skill_triggers!$1:$1,0)-MATCH($F$1,enemy_skill_triggers!$1:$1,0)+1,FALSE)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1" s="48">
        <f ca="1">VLOOKUP($F301,OFFSET(enemy_skill_triggers!$A$1,0,0,COUNTA(enemy_skill_triggers!$A:$A),MATCH(H$1,enemy_skill_triggers!$1:$1,0)-MATCH($F$1,enemy_skill_triggers!$1:$1,0)+1),MATCH(H$1,enemy_skill_triggers!$1:$1,0)-MATCH($F$1,enemy_skill_triggers!$1:$1,0)+1,FALSE)</f>
        <v>816</v>
      </c>
      <c r="I301" s="48">
        <f ca="1">VLOOKUP($F301,OFFSET(enemy_skill_triggers!$A$1,0,0,COUNTA(enemy_skill_triggers!$A:$A),MATCH(I$1,enemy_skill_triggers!$1:$1,0)-MATCH($F$1,enemy_skill_triggers!$1:$1,0)+1),MATCH(I$1,enemy_skill_triggers!$1:$1,0)-MATCH($F$1,enemy_skill_triggers!$1:$1,0)+1,FALSE)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1" s="48" t="str">
        <f ca="1">VLOOKUP($F301,OFFSET(enemy_skill_triggers!$A$1,0,0,COUNTA(enemy_skill_triggers!$A:$A),MATCH(J$1,enemy_skill_triggers!$1:$1,0)-MATCH($F$1,enemy_skill_triggers!$1:$1,0)+1),MATCH(J$1,enemy_skill_triggers!$1:$1,0)-MATCH($F$1,enemy_skill_triggers!$1:$1,0)+1,FALSE)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1" s="48" t="str">
        <f ca="1">VLOOKUP($F301,OFFSET(enemy_skill_triggers!$A$1,0,0,COUNTA(enemy_skill_triggers!$A:$A),MATCH(K$1,enemy_skill_triggers!$1:$1,0)-MATCH($F$1,enemy_skill_triggers!$1:$1,0)+1),MATCH(K$1,enemy_skill_triggers!$1:$1,0)-MATCH($F$1,enemy_skill_triggers!$1:$1,0)+1,FALSE)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1" s="48">
        <f ca="1">VLOOKUP($F301,OFFSET(enemy_skill_triggers!$A$1,0,0,COUNTA(enemy_skill_triggers!$A:$A),MATCH(L$1,enemy_skill_triggers!$1:$1,0)-MATCH($F$1,enemy_skill_triggers!$1:$1,0)+1),MATCH(L$1,enemy_skill_triggers!$1:$1,0)-MATCH($F$1,enemy_skill_triggers!$1:$1,0)+1,FALSE)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1" s="48">
        <f ca="1">VLOOKUP($F301,OFFSET(enemy_skill_triggers!$A$1,0,0,COUNTA(enemy_skill_triggers!$A:$A),MATCH(M$1,enemy_skill_triggers!$1:$1,0)-MATCH($F$1,enemy_skill_triggers!$1:$1,0)+1),MATCH(M$1,enemy_skill_triggers!$1:$1,0)-MATCH($F$1,enemy_skill_triggers!$1:$1,0)+1,FALSE)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1" s="48">
        <f ca="1">VLOOKUP($F301,OFFSET(enemy_skill_triggers!$A$1,0,0,COUNTA(enemy_skill_triggers!$A:$A),MATCH(N$1,enemy_skill_triggers!$1:$1,0)-MATCH($F$1,enemy_skill_triggers!$1:$1,0)+1),MATCH(N$1,enemy_skill_triggers!$1:$1,0)-MATCH($F$1,enemy_skill_triggers!$1:$1,0)+1,FALSE)</f>
        <v>1566</v>
      </c>
      <c r="O301" s="48">
        <f ca="1">VLOOKUP($F301,OFFSET(enemy_skill_triggers!$A$1,0,0,COUNTA(enemy_skill_triggers!$A:$A),MATCH(O$1,enemy_skill_triggers!$1:$1,0)-MATCH($F$1,enemy_skill_triggers!$1:$1,0)+1),MATCH(O$1,enemy_skill_triggers!$1:$1,0)-MATCH($F$1,enemy_skill_triggers!$1:$1,0)+1,FALSE)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1" s="47"/>
      <c r="Q301" s="47"/>
      <c r="R301" s="47"/>
    </row>
    <row r="302" spans="1:18" ht="16" customHeight="1" x14ac:dyDescent="0.15">
      <c r="A302" s="39" t="str">
        <f t="shared" si="19"/>
        <v>49016620_49016607</v>
      </c>
      <c r="B302" s="123">
        <v>49016620</v>
      </c>
      <c r="C302" s="175">
        <v>49016607</v>
      </c>
      <c r="D302" s="46" t="str">
        <f ca="1">VLOOKUP($C302,OFFSET(enemy_skills!$A$1,0,0,COUNTA(enemy_skills!$A:$A),MATCH(D$1,enemy_skills!$1:$1,0)-MATCH("enemy_skill_id",enemy_skills!$1:$1,0)+1),MATCH(D$1,enemy_skills!$1:$1,0)-MATCH("enemy_skill_id",enemy_skills!$1:$1,0)+1,FALSE)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302" s="46" t="str">
        <f ca="1">VLOOKUP($C302,OFFSET(enemy_skills!$A$1,0,0,COUNTA(enemy_skills!$A:$A),MATCH(E$1,enemy_skills!$1:$1,0)-MATCH("enemy_skill_id",enemy_skills!$1:$1,0)+1),MATCH(E$1,enemy_skills!$1:$1,0)-MATCH("enemy_skill_id",enemy_skills!$1:$1,0)+1,FALSE)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02" s="175">
        <v>49016627</v>
      </c>
      <c r="G302" s="48">
        <f ca="1">VLOOKUP($F302,OFFSET(enemy_skill_triggers!$A$1,0,0,COUNTA(enemy_skill_triggers!$A:$A),MATCH(G$1,enemy_skill_triggers!$1:$1,0)-MATCH($F$1,enemy_skill_triggers!$1:$1,0)+1),MATCH(G$1,enemy_skill_triggers!$1:$1,0)-MATCH($F$1,enemy_skill_triggers!$1:$1,0)+1,FALSE)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2" s="48">
        <f ca="1">VLOOKUP($F302,OFFSET(enemy_skill_triggers!$A$1,0,0,COUNTA(enemy_skill_triggers!$A:$A),MATCH(H$1,enemy_skill_triggers!$1:$1,0)-MATCH($F$1,enemy_skill_triggers!$1:$1,0)+1),MATCH(H$1,enemy_skill_triggers!$1:$1,0)-MATCH($F$1,enemy_skill_triggers!$1:$1,0)+1,FALSE)</f>
        <v>817</v>
      </c>
      <c r="I302" s="48">
        <f ca="1">VLOOKUP($F302,OFFSET(enemy_skill_triggers!$A$1,0,0,COUNTA(enemy_skill_triggers!$A:$A),MATCH(I$1,enemy_skill_triggers!$1:$1,0)-MATCH($F$1,enemy_skill_triggers!$1:$1,0)+1),MATCH(I$1,enemy_skill_triggers!$1:$1,0)-MATCH($F$1,enemy_skill_triggers!$1:$1,0)+1,FALSE)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2" s="48" t="str">
        <f ca="1">VLOOKUP($F302,OFFSET(enemy_skill_triggers!$A$1,0,0,COUNTA(enemy_skill_triggers!$A:$A),MATCH(J$1,enemy_skill_triggers!$1:$1,0)-MATCH($F$1,enemy_skill_triggers!$1:$1,0)+1),MATCH(J$1,enemy_skill_triggers!$1:$1,0)-MATCH($F$1,enemy_skill_triggers!$1:$1,0)+1,FALSE)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2" s="48" t="str">
        <f ca="1">VLOOKUP($F302,OFFSET(enemy_skill_triggers!$A$1,0,0,COUNTA(enemy_skill_triggers!$A:$A),MATCH(K$1,enemy_skill_triggers!$1:$1,0)-MATCH($F$1,enemy_skill_triggers!$1:$1,0)+1),MATCH(K$1,enemy_skill_triggers!$1:$1,0)-MATCH($F$1,enemy_skill_triggers!$1:$1,0)+1,FALSE)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2" s="48">
        <f ca="1">VLOOKUP($F302,OFFSET(enemy_skill_triggers!$A$1,0,0,COUNTA(enemy_skill_triggers!$A:$A),MATCH(L$1,enemy_skill_triggers!$1:$1,0)-MATCH($F$1,enemy_skill_triggers!$1:$1,0)+1),MATCH(L$1,enemy_skill_triggers!$1:$1,0)-MATCH($F$1,enemy_skill_triggers!$1:$1,0)+1,FALSE)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2" s="48">
        <f ca="1">VLOOKUP($F302,OFFSET(enemy_skill_triggers!$A$1,0,0,COUNTA(enemy_skill_triggers!$A:$A),MATCH(M$1,enemy_skill_triggers!$1:$1,0)-MATCH($F$1,enemy_skill_triggers!$1:$1,0)+1),MATCH(M$1,enemy_skill_triggers!$1:$1,0)-MATCH($F$1,enemy_skill_triggers!$1:$1,0)+1,FALSE)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2" s="48">
        <f ca="1">VLOOKUP($F302,OFFSET(enemy_skill_triggers!$A$1,0,0,COUNTA(enemy_skill_triggers!$A:$A),MATCH(N$1,enemy_skill_triggers!$1:$1,0)-MATCH($F$1,enemy_skill_triggers!$1:$1,0)+1),MATCH(N$1,enemy_skill_triggers!$1:$1,0)-MATCH($F$1,enemy_skill_triggers!$1:$1,0)+1,FALSE)</f>
        <v>1567</v>
      </c>
      <c r="O302" s="48">
        <f ca="1">VLOOKUP($F302,OFFSET(enemy_skill_triggers!$A$1,0,0,COUNTA(enemy_skill_triggers!$A:$A),MATCH(O$1,enemy_skill_triggers!$1:$1,0)-MATCH($F$1,enemy_skill_triggers!$1:$1,0)+1),MATCH(O$1,enemy_skill_triggers!$1:$1,0)-MATCH($F$1,enemy_skill_triggers!$1:$1,0)+1,FALSE)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2" s="47"/>
      <c r="Q302" s="47"/>
      <c r="R302" s="47"/>
    </row>
    <row r="303" spans="1:18" ht="16" customHeight="1" x14ac:dyDescent="0.15">
      <c r="A303" s="39" t="str">
        <f t="shared" ref="A303:A323" si="20">B303&amp;"_"&amp;C303</f>
        <v>49016620_49016607</v>
      </c>
      <c r="B303" s="123">
        <v>49016620</v>
      </c>
      <c r="C303" s="175">
        <v>49016607</v>
      </c>
      <c r="D303" s="46" t="str">
        <f ca="1">VLOOKUP($C303,OFFSET(enemy_skills!$A$1,0,0,COUNTA(enemy_skills!$A:$A),MATCH(D$1,enemy_skills!$1:$1,0)-MATCH("enemy_skill_id",enemy_skills!$1:$1,0)+1),MATCH(D$1,enemy_skills!$1:$1,0)-MATCH("enemy_skill_id",enemy_skills!$1:$1,0)+1,FALSE)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303" s="46" t="str">
        <f ca="1">VLOOKUP($C303,OFFSET(enemy_skills!$A$1,0,0,COUNTA(enemy_skills!$A:$A),MATCH(E$1,enemy_skills!$1:$1,0)-MATCH("enemy_skill_id",enemy_skills!$1:$1,0)+1),MATCH(E$1,enemy_skills!$1:$1,0)-MATCH("enemy_skill_id",enemy_skills!$1:$1,0)+1,FALSE)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03" s="175">
        <v>49016628</v>
      </c>
      <c r="G303" s="48">
        <f ca="1">VLOOKUP($F303,OFFSET(enemy_skill_triggers!$A$1,0,0,COUNTA(enemy_skill_triggers!$A:$A),MATCH(G$1,enemy_skill_triggers!$1:$1,0)-MATCH($F$1,enemy_skill_triggers!$1:$1,0)+1),MATCH(G$1,enemy_skill_triggers!$1:$1,0)-MATCH($F$1,enemy_skill_triggers!$1:$1,0)+1,FALSE)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3" s="48">
        <f ca="1">VLOOKUP($F303,OFFSET(enemy_skill_triggers!$A$1,0,0,COUNTA(enemy_skill_triggers!$A:$A),MATCH(H$1,enemy_skill_triggers!$1:$1,0)-MATCH($F$1,enemy_skill_triggers!$1:$1,0)+1),MATCH(H$1,enemy_skill_triggers!$1:$1,0)-MATCH($F$1,enemy_skill_triggers!$1:$1,0)+1,FALSE)</f>
        <v>818</v>
      </c>
      <c r="I303" s="48">
        <f ca="1">VLOOKUP($F303,OFFSET(enemy_skill_triggers!$A$1,0,0,COUNTA(enemy_skill_triggers!$A:$A),MATCH(I$1,enemy_skill_triggers!$1:$1,0)-MATCH($F$1,enemy_skill_triggers!$1:$1,0)+1),MATCH(I$1,enemy_skill_triggers!$1:$1,0)-MATCH($F$1,enemy_skill_triggers!$1:$1,0)+1,FALSE)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3" s="48" t="str">
        <f ca="1">VLOOKUP($F303,OFFSET(enemy_skill_triggers!$A$1,0,0,COUNTA(enemy_skill_triggers!$A:$A),MATCH(J$1,enemy_skill_triggers!$1:$1,0)-MATCH($F$1,enemy_skill_triggers!$1:$1,0)+1),MATCH(J$1,enemy_skill_triggers!$1:$1,0)-MATCH($F$1,enemy_skill_triggers!$1:$1,0)+1,FALSE)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3" s="48" t="str">
        <f ca="1">VLOOKUP($F303,OFFSET(enemy_skill_triggers!$A$1,0,0,COUNTA(enemy_skill_triggers!$A:$A),MATCH(K$1,enemy_skill_triggers!$1:$1,0)-MATCH($F$1,enemy_skill_triggers!$1:$1,0)+1),MATCH(K$1,enemy_skill_triggers!$1:$1,0)-MATCH($F$1,enemy_skill_triggers!$1:$1,0)+1,FALSE)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3" s="48">
        <f ca="1">VLOOKUP($F303,OFFSET(enemy_skill_triggers!$A$1,0,0,COUNTA(enemy_skill_triggers!$A:$A),MATCH(L$1,enemy_skill_triggers!$1:$1,0)-MATCH($F$1,enemy_skill_triggers!$1:$1,0)+1),MATCH(L$1,enemy_skill_triggers!$1:$1,0)-MATCH($F$1,enemy_skill_triggers!$1:$1,0)+1,FALSE)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3" s="48">
        <f ca="1">VLOOKUP($F303,OFFSET(enemy_skill_triggers!$A$1,0,0,COUNTA(enemy_skill_triggers!$A:$A),MATCH(M$1,enemy_skill_triggers!$1:$1,0)-MATCH($F$1,enemy_skill_triggers!$1:$1,0)+1),MATCH(M$1,enemy_skill_triggers!$1:$1,0)-MATCH($F$1,enemy_skill_triggers!$1:$1,0)+1,FALSE)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3" s="48">
        <f ca="1">VLOOKUP($F303,OFFSET(enemy_skill_triggers!$A$1,0,0,COUNTA(enemy_skill_triggers!$A:$A),MATCH(N$1,enemy_skill_triggers!$1:$1,0)-MATCH($F$1,enemy_skill_triggers!$1:$1,0)+1),MATCH(N$1,enemy_skill_triggers!$1:$1,0)-MATCH($F$1,enemy_skill_triggers!$1:$1,0)+1,FALSE)</f>
        <v>1568</v>
      </c>
      <c r="O303" s="48">
        <f ca="1">VLOOKUP($F303,OFFSET(enemy_skill_triggers!$A$1,0,0,COUNTA(enemy_skill_triggers!$A:$A),MATCH(O$1,enemy_skill_triggers!$1:$1,0)-MATCH($F$1,enemy_skill_triggers!$1:$1,0)+1),MATCH(O$1,enemy_skill_triggers!$1:$1,0)-MATCH($F$1,enemy_skill_triggers!$1:$1,0)+1,FALSE)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3" s="47"/>
      <c r="Q303" s="47"/>
      <c r="R303" s="47"/>
    </row>
    <row r="304" spans="1:18" ht="16" customHeight="1" x14ac:dyDescent="0.15">
      <c r="A304" s="39" t="str">
        <f t="shared" si="20"/>
        <v>49016620_49016607</v>
      </c>
      <c r="B304" s="123">
        <v>49016620</v>
      </c>
      <c r="C304" s="175">
        <v>49016607</v>
      </c>
      <c r="D304" s="46" t="str">
        <f ca="1">VLOOKUP($C304,OFFSET(enemy_skills!$A$1,0,0,COUNTA(enemy_skills!$A:$A),MATCH(D$1,enemy_skills!$1:$1,0)-MATCH("enemy_skill_id",enemy_skills!$1:$1,0)+1),MATCH(D$1,enemy_skills!$1:$1,0)-MATCH("enemy_skill_id",enemy_skills!$1:$1,0)+1,FALSE)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304" s="46" t="str">
        <f ca="1">VLOOKUP($C304,OFFSET(enemy_skills!$A$1,0,0,COUNTA(enemy_skills!$A:$A),MATCH(E$1,enemy_skills!$1:$1,0)-MATCH("enemy_skill_id",enemy_skills!$1:$1,0)+1),MATCH(E$1,enemy_skills!$1:$1,0)-MATCH("enemy_skill_id",enemy_skills!$1:$1,0)+1,FALSE)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04" s="175">
        <v>49016629</v>
      </c>
      <c r="G304" s="48">
        <f ca="1">VLOOKUP($F304,OFFSET(enemy_skill_triggers!$A$1,0,0,COUNTA(enemy_skill_triggers!$A:$A),MATCH(G$1,enemy_skill_triggers!$1:$1,0)-MATCH($F$1,enemy_skill_triggers!$1:$1,0)+1),MATCH(G$1,enemy_skill_triggers!$1:$1,0)-MATCH($F$1,enemy_skill_triggers!$1:$1,0)+1,FALSE)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4" s="48">
        <f ca="1">VLOOKUP($F304,OFFSET(enemy_skill_triggers!$A$1,0,0,COUNTA(enemy_skill_triggers!$A:$A),MATCH(H$1,enemy_skill_triggers!$1:$1,0)-MATCH($F$1,enemy_skill_triggers!$1:$1,0)+1),MATCH(H$1,enemy_skill_triggers!$1:$1,0)-MATCH($F$1,enemy_skill_triggers!$1:$1,0)+1,FALSE)</f>
        <v>819</v>
      </c>
      <c r="I304" s="48">
        <f ca="1">VLOOKUP($F304,OFFSET(enemy_skill_triggers!$A$1,0,0,COUNTA(enemy_skill_triggers!$A:$A),MATCH(I$1,enemy_skill_triggers!$1:$1,0)-MATCH($F$1,enemy_skill_triggers!$1:$1,0)+1),MATCH(I$1,enemy_skill_triggers!$1:$1,0)-MATCH($F$1,enemy_skill_triggers!$1:$1,0)+1,FALSE)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4" s="48" t="str">
        <f ca="1">VLOOKUP($F304,OFFSET(enemy_skill_triggers!$A$1,0,0,COUNTA(enemy_skill_triggers!$A:$A),MATCH(J$1,enemy_skill_triggers!$1:$1,0)-MATCH($F$1,enemy_skill_triggers!$1:$1,0)+1),MATCH(J$1,enemy_skill_triggers!$1:$1,0)-MATCH($F$1,enemy_skill_triggers!$1:$1,0)+1,FALSE)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4" s="48" t="str">
        <f ca="1">VLOOKUP($F304,OFFSET(enemy_skill_triggers!$A$1,0,0,COUNTA(enemy_skill_triggers!$A:$A),MATCH(K$1,enemy_skill_triggers!$1:$1,0)-MATCH($F$1,enemy_skill_triggers!$1:$1,0)+1),MATCH(K$1,enemy_skill_triggers!$1:$1,0)-MATCH($F$1,enemy_skill_triggers!$1:$1,0)+1,FALSE)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4" s="48">
        <f ca="1">VLOOKUP($F304,OFFSET(enemy_skill_triggers!$A$1,0,0,COUNTA(enemy_skill_triggers!$A:$A),MATCH(L$1,enemy_skill_triggers!$1:$1,0)-MATCH($F$1,enemy_skill_triggers!$1:$1,0)+1),MATCH(L$1,enemy_skill_triggers!$1:$1,0)-MATCH($F$1,enemy_skill_triggers!$1:$1,0)+1,FALSE)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4" s="48">
        <f ca="1">VLOOKUP($F304,OFFSET(enemy_skill_triggers!$A$1,0,0,COUNTA(enemy_skill_triggers!$A:$A),MATCH(M$1,enemy_skill_triggers!$1:$1,0)-MATCH($F$1,enemy_skill_triggers!$1:$1,0)+1),MATCH(M$1,enemy_skill_triggers!$1:$1,0)-MATCH($F$1,enemy_skill_triggers!$1:$1,0)+1,FALSE)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4" s="48">
        <f ca="1">VLOOKUP($F304,OFFSET(enemy_skill_triggers!$A$1,0,0,COUNTA(enemy_skill_triggers!$A:$A),MATCH(N$1,enemy_skill_triggers!$1:$1,0)-MATCH($F$1,enemy_skill_triggers!$1:$1,0)+1),MATCH(N$1,enemy_skill_triggers!$1:$1,0)-MATCH($F$1,enemy_skill_triggers!$1:$1,0)+1,FALSE)</f>
        <v>1569</v>
      </c>
      <c r="O304" s="48">
        <f ca="1">VLOOKUP($F304,OFFSET(enemy_skill_triggers!$A$1,0,0,COUNTA(enemy_skill_triggers!$A:$A),MATCH(O$1,enemy_skill_triggers!$1:$1,0)-MATCH($F$1,enemy_skill_triggers!$1:$1,0)+1),MATCH(O$1,enemy_skill_triggers!$1:$1,0)-MATCH($F$1,enemy_skill_triggers!$1:$1,0)+1,FALSE)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4" s="47"/>
      <c r="Q304" s="47"/>
      <c r="R304" s="47"/>
    </row>
    <row r="305" spans="1:18" ht="16" customHeight="1" x14ac:dyDescent="0.15">
      <c r="A305" s="39" t="str">
        <f t="shared" si="20"/>
        <v>49016620_49016607</v>
      </c>
      <c r="B305" s="123">
        <v>49016620</v>
      </c>
      <c r="C305" s="175">
        <v>49016607</v>
      </c>
      <c r="D305" s="46" t="str">
        <f ca="1">VLOOKUP($C305,OFFSET(enemy_skills!$A$1,0,0,COUNTA(enemy_skills!$A:$A),MATCH(D$1,enemy_skills!$1:$1,0)-MATCH("enemy_skill_id",enemy_skills!$1:$1,0)+1),MATCH(D$1,enemy_skills!$1:$1,0)-MATCH("enemy_skill_id",enemy_skills!$1:$1,0)+1,FALSE)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305" s="46" t="str">
        <f ca="1">VLOOKUP($C305,OFFSET(enemy_skills!$A$1,0,0,COUNTA(enemy_skills!$A:$A),MATCH(E$1,enemy_skills!$1:$1,0)-MATCH("enemy_skill_id",enemy_skills!$1:$1,0)+1),MATCH(E$1,enemy_skills!$1:$1,0)-MATCH("enemy_skill_id",enemy_skills!$1:$1,0)+1,FALSE)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05" s="175">
        <v>49016630</v>
      </c>
      <c r="G305" s="48">
        <f ca="1">VLOOKUP($F305,OFFSET(enemy_skill_triggers!$A$1,0,0,COUNTA(enemy_skill_triggers!$A:$A),MATCH(G$1,enemy_skill_triggers!$1:$1,0)-MATCH($F$1,enemy_skill_triggers!$1:$1,0)+1),MATCH(G$1,enemy_skill_triggers!$1:$1,0)-MATCH($F$1,enemy_skill_triggers!$1:$1,0)+1,FALSE)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5" s="48">
        <f ca="1">VLOOKUP($F305,OFFSET(enemy_skill_triggers!$A$1,0,0,COUNTA(enemy_skill_triggers!$A:$A),MATCH(H$1,enemy_skill_triggers!$1:$1,0)-MATCH($F$1,enemy_skill_triggers!$1:$1,0)+1),MATCH(H$1,enemy_skill_triggers!$1:$1,0)-MATCH($F$1,enemy_skill_triggers!$1:$1,0)+1,FALSE)</f>
        <v>820</v>
      </c>
      <c r="I305" s="48">
        <f ca="1">VLOOKUP($F305,OFFSET(enemy_skill_triggers!$A$1,0,0,COUNTA(enemy_skill_triggers!$A:$A),MATCH(I$1,enemy_skill_triggers!$1:$1,0)-MATCH($F$1,enemy_skill_triggers!$1:$1,0)+1),MATCH(I$1,enemy_skill_triggers!$1:$1,0)-MATCH($F$1,enemy_skill_triggers!$1:$1,0)+1,FALSE)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5" s="48" t="str">
        <f ca="1">VLOOKUP($F305,OFFSET(enemy_skill_triggers!$A$1,0,0,COUNTA(enemy_skill_triggers!$A:$A),MATCH(J$1,enemy_skill_triggers!$1:$1,0)-MATCH($F$1,enemy_skill_triggers!$1:$1,0)+1),MATCH(J$1,enemy_skill_triggers!$1:$1,0)-MATCH($F$1,enemy_skill_triggers!$1:$1,0)+1,FALSE)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5" s="48" t="str">
        <f ca="1">VLOOKUP($F305,OFFSET(enemy_skill_triggers!$A$1,0,0,COUNTA(enemy_skill_triggers!$A:$A),MATCH(K$1,enemy_skill_triggers!$1:$1,0)-MATCH($F$1,enemy_skill_triggers!$1:$1,0)+1),MATCH(K$1,enemy_skill_triggers!$1:$1,0)-MATCH($F$1,enemy_skill_triggers!$1:$1,0)+1,FALSE)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5" s="48">
        <f ca="1">VLOOKUP($F305,OFFSET(enemy_skill_triggers!$A$1,0,0,COUNTA(enemy_skill_triggers!$A:$A),MATCH(L$1,enemy_skill_triggers!$1:$1,0)-MATCH($F$1,enemy_skill_triggers!$1:$1,0)+1),MATCH(L$1,enemy_skill_triggers!$1:$1,0)-MATCH($F$1,enemy_skill_triggers!$1:$1,0)+1,FALSE)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5" s="48">
        <f ca="1">VLOOKUP($F305,OFFSET(enemy_skill_triggers!$A$1,0,0,COUNTA(enemy_skill_triggers!$A:$A),MATCH(M$1,enemy_skill_triggers!$1:$1,0)-MATCH($F$1,enemy_skill_triggers!$1:$1,0)+1),MATCH(M$1,enemy_skill_triggers!$1:$1,0)-MATCH($F$1,enemy_skill_triggers!$1:$1,0)+1,FALSE)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5" s="48">
        <f ca="1">VLOOKUP($F305,OFFSET(enemy_skill_triggers!$A$1,0,0,COUNTA(enemy_skill_triggers!$A:$A),MATCH(N$1,enemy_skill_triggers!$1:$1,0)-MATCH($F$1,enemy_skill_triggers!$1:$1,0)+1),MATCH(N$1,enemy_skill_triggers!$1:$1,0)-MATCH($F$1,enemy_skill_triggers!$1:$1,0)+1,FALSE)</f>
        <v>1570</v>
      </c>
      <c r="O305" s="48">
        <f ca="1">VLOOKUP($F305,OFFSET(enemy_skill_triggers!$A$1,0,0,COUNTA(enemy_skill_triggers!$A:$A),MATCH(O$1,enemy_skill_triggers!$1:$1,0)-MATCH($F$1,enemy_skill_triggers!$1:$1,0)+1),MATCH(O$1,enemy_skill_triggers!$1:$1,0)-MATCH($F$1,enemy_skill_triggers!$1:$1,0)+1,FALSE)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5" s="47"/>
      <c r="Q305" s="47"/>
      <c r="R305" s="47"/>
    </row>
    <row r="306" spans="1:18" ht="16" customHeight="1" x14ac:dyDescent="0.15">
      <c r="A306" s="39" t="str">
        <f t="shared" si="20"/>
        <v>49016620_49016607</v>
      </c>
      <c r="B306" s="123">
        <v>49016620</v>
      </c>
      <c r="C306" s="175">
        <v>49016607</v>
      </c>
      <c r="D306" s="46" t="str">
        <f ca="1">VLOOKUP($C306,OFFSET(enemy_skills!$A$1,0,0,COUNTA(enemy_skills!$A:$A),MATCH(D$1,enemy_skills!$1:$1,0)-MATCH("enemy_skill_id",enemy_skills!$1:$1,0)+1),MATCH(D$1,enemy_skills!$1:$1,0)-MATCH("enemy_skill_id",enemy_skills!$1:$1,0)+1,FALSE)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306" s="46" t="str">
        <f ca="1">VLOOKUP($C306,OFFSET(enemy_skills!$A$1,0,0,COUNTA(enemy_skills!$A:$A),MATCH(E$1,enemy_skills!$1:$1,0)-MATCH("enemy_skill_id",enemy_skills!$1:$1,0)+1),MATCH(E$1,enemy_skills!$1:$1,0)-MATCH("enemy_skill_id",enemy_skills!$1:$1,0)+1,FALSE)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06" s="175">
        <v>49016631</v>
      </c>
      <c r="G306" s="48">
        <f ca="1">VLOOKUP($F306,OFFSET(enemy_skill_triggers!$A$1,0,0,COUNTA(enemy_skill_triggers!$A:$A),MATCH(G$1,enemy_skill_triggers!$1:$1,0)-MATCH($F$1,enemy_skill_triggers!$1:$1,0)+1),MATCH(G$1,enemy_skill_triggers!$1:$1,0)-MATCH($F$1,enemy_skill_triggers!$1:$1,0)+1,FALSE)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6" s="48">
        <f ca="1">VLOOKUP($F306,OFFSET(enemy_skill_triggers!$A$1,0,0,COUNTA(enemy_skill_triggers!$A:$A),MATCH(H$1,enemy_skill_triggers!$1:$1,0)-MATCH($F$1,enemy_skill_triggers!$1:$1,0)+1),MATCH(H$1,enemy_skill_triggers!$1:$1,0)-MATCH($F$1,enemy_skill_triggers!$1:$1,0)+1,FALSE)</f>
        <v>821</v>
      </c>
      <c r="I306" s="48">
        <f ca="1">VLOOKUP($F306,OFFSET(enemy_skill_triggers!$A$1,0,0,COUNTA(enemy_skill_triggers!$A:$A),MATCH(I$1,enemy_skill_triggers!$1:$1,0)-MATCH($F$1,enemy_skill_triggers!$1:$1,0)+1),MATCH(I$1,enemy_skill_triggers!$1:$1,0)-MATCH($F$1,enemy_skill_triggers!$1:$1,0)+1,FALSE)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6" s="48" t="str">
        <f ca="1">VLOOKUP($F306,OFFSET(enemy_skill_triggers!$A$1,0,0,COUNTA(enemy_skill_triggers!$A:$A),MATCH(J$1,enemy_skill_triggers!$1:$1,0)-MATCH($F$1,enemy_skill_triggers!$1:$1,0)+1),MATCH(J$1,enemy_skill_triggers!$1:$1,0)-MATCH($F$1,enemy_skill_triggers!$1:$1,0)+1,FALSE)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6" s="48" t="str">
        <f ca="1">VLOOKUP($F306,OFFSET(enemy_skill_triggers!$A$1,0,0,COUNTA(enemy_skill_triggers!$A:$A),MATCH(K$1,enemy_skill_triggers!$1:$1,0)-MATCH($F$1,enemy_skill_triggers!$1:$1,0)+1),MATCH(K$1,enemy_skill_triggers!$1:$1,0)-MATCH($F$1,enemy_skill_triggers!$1:$1,0)+1,FALSE)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6" s="48">
        <f ca="1">VLOOKUP($F306,OFFSET(enemy_skill_triggers!$A$1,0,0,COUNTA(enemy_skill_triggers!$A:$A),MATCH(L$1,enemy_skill_triggers!$1:$1,0)-MATCH($F$1,enemy_skill_triggers!$1:$1,0)+1),MATCH(L$1,enemy_skill_triggers!$1:$1,0)-MATCH($F$1,enemy_skill_triggers!$1:$1,0)+1,FALSE)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6" s="48">
        <f ca="1">VLOOKUP($F306,OFFSET(enemy_skill_triggers!$A$1,0,0,COUNTA(enemy_skill_triggers!$A:$A),MATCH(M$1,enemy_skill_triggers!$1:$1,0)-MATCH($F$1,enemy_skill_triggers!$1:$1,0)+1),MATCH(M$1,enemy_skill_triggers!$1:$1,0)-MATCH($F$1,enemy_skill_triggers!$1:$1,0)+1,FALSE)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6" s="48">
        <f ca="1">VLOOKUP($F306,OFFSET(enemy_skill_triggers!$A$1,0,0,COUNTA(enemy_skill_triggers!$A:$A),MATCH(N$1,enemy_skill_triggers!$1:$1,0)-MATCH($F$1,enemy_skill_triggers!$1:$1,0)+1),MATCH(N$1,enemy_skill_triggers!$1:$1,0)-MATCH($F$1,enemy_skill_triggers!$1:$1,0)+1,FALSE)</f>
        <v>1571</v>
      </c>
      <c r="O306" s="48">
        <f ca="1">VLOOKUP($F306,OFFSET(enemy_skill_triggers!$A$1,0,0,COUNTA(enemy_skill_triggers!$A:$A),MATCH(O$1,enemy_skill_triggers!$1:$1,0)-MATCH($F$1,enemy_skill_triggers!$1:$1,0)+1),MATCH(O$1,enemy_skill_triggers!$1:$1,0)-MATCH($F$1,enemy_skill_triggers!$1:$1,0)+1,FALSE)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6" s="47"/>
      <c r="Q306" s="47"/>
      <c r="R306" s="47"/>
    </row>
    <row r="307" spans="1:18" ht="16" customHeight="1" x14ac:dyDescent="0.15">
      <c r="A307" s="39" t="str">
        <f t="shared" si="20"/>
        <v>49016620_49016607</v>
      </c>
      <c r="B307" s="123">
        <v>49016620</v>
      </c>
      <c r="C307" s="175">
        <v>49016607</v>
      </c>
      <c r="D307" s="46" t="str">
        <f ca="1">VLOOKUP($C307,OFFSET(enemy_skills!$A$1,0,0,COUNTA(enemy_skills!$A:$A),MATCH(D$1,enemy_skills!$1:$1,0)-MATCH("enemy_skill_id",enemy_skills!$1:$1,0)+1),MATCH(D$1,enemy_skills!$1:$1,0)-MATCH("enemy_skill_id",enemy_skills!$1:$1,0)+1,FALSE)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307" s="46" t="str">
        <f ca="1">VLOOKUP($C307,OFFSET(enemy_skills!$A$1,0,0,COUNTA(enemy_skills!$A:$A),MATCH(E$1,enemy_skills!$1:$1,0)-MATCH("enemy_skill_id",enemy_skills!$1:$1,0)+1),MATCH(E$1,enemy_skills!$1:$1,0)-MATCH("enemy_skill_id",enemy_skills!$1:$1,0)+1,FALSE)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07" s="175">
        <v>49016632</v>
      </c>
      <c r="G307" s="48">
        <f ca="1">VLOOKUP($F307,OFFSET(enemy_skill_triggers!$A$1,0,0,COUNTA(enemy_skill_triggers!$A:$A),MATCH(G$1,enemy_skill_triggers!$1:$1,0)-MATCH($F$1,enemy_skill_triggers!$1:$1,0)+1),MATCH(G$1,enemy_skill_triggers!$1:$1,0)-MATCH($F$1,enemy_skill_triggers!$1:$1,0)+1,FALSE)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7" s="48">
        <f ca="1">VLOOKUP($F307,OFFSET(enemy_skill_triggers!$A$1,0,0,COUNTA(enemy_skill_triggers!$A:$A),MATCH(H$1,enemy_skill_triggers!$1:$1,0)-MATCH($F$1,enemy_skill_triggers!$1:$1,0)+1),MATCH(H$1,enemy_skill_triggers!$1:$1,0)-MATCH($F$1,enemy_skill_triggers!$1:$1,0)+1,FALSE)</f>
        <v>822</v>
      </c>
      <c r="I307" s="48">
        <f ca="1">VLOOKUP($F307,OFFSET(enemy_skill_triggers!$A$1,0,0,COUNTA(enemy_skill_triggers!$A:$A),MATCH(I$1,enemy_skill_triggers!$1:$1,0)-MATCH($F$1,enemy_skill_triggers!$1:$1,0)+1),MATCH(I$1,enemy_skill_triggers!$1:$1,0)-MATCH($F$1,enemy_skill_triggers!$1:$1,0)+1,FALSE)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7" s="48" t="str">
        <f ca="1">VLOOKUP($F307,OFFSET(enemy_skill_triggers!$A$1,0,0,COUNTA(enemy_skill_triggers!$A:$A),MATCH(J$1,enemy_skill_triggers!$1:$1,0)-MATCH($F$1,enemy_skill_triggers!$1:$1,0)+1),MATCH(J$1,enemy_skill_triggers!$1:$1,0)-MATCH($F$1,enemy_skill_triggers!$1:$1,0)+1,FALSE)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7" s="48" t="str">
        <f ca="1">VLOOKUP($F307,OFFSET(enemy_skill_triggers!$A$1,0,0,COUNTA(enemy_skill_triggers!$A:$A),MATCH(K$1,enemy_skill_triggers!$1:$1,0)-MATCH($F$1,enemy_skill_triggers!$1:$1,0)+1),MATCH(K$1,enemy_skill_triggers!$1:$1,0)-MATCH($F$1,enemy_skill_triggers!$1:$1,0)+1,FALSE)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7" s="48">
        <f ca="1">VLOOKUP($F307,OFFSET(enemy_skill_triggers!$A$1,0,0,COUNTA(enemy_skill_triggers!$A:$A),MATCH(L$1,enemy_skill_triggers!$1:$1,0)-MATCH($F$1,enemy_skill_triggers!$1:$1,0)+1),MATCH(L$1,enemy_skill_triggers!$1:$1,0)-MATCH($F$1,enemy_skill_triggers!$1:$1,0)+1,FALSE)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7" s="48">
        <f ca="1">VLOOKUP($F307,OFFSET(enemy_skill_triggers!$A$1,0,0,COUNTA(enemy_skill_triggers!$A:$A),MATCH(M$1,enemy_skill_triggers!$1:$1,0)-MATCH($F$1,enemy_skill_triggers!$1:$1,0)+1),MATCH(M$1,enemy_skill_triggers!$1:$1,0)-MATCH($F$1,enemy_skill_triggers!$1:$1,0)+1,FALSE)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7" s="48">
        <f ca="1">VLOOKUP($F307,OFFSET(enemy_skill_triggers!$A$1,0,0,COUNTA(enemy_skill_triggers!$A:$A),MATCH(N$1,enemy_skill_triggers!$1:$1,0)-MATCH($F$1,enemy_skill_triggers!$1:$1,0)+1),MATCH(N$1,enemy_skill_triggers!$1:$1,0)-MATCH($F$1,enemy_skill_triggers!$1:$1,0)+1,FALSE)</f>
        <v>1572</v>
      </c>
      <c r="O307" s="48">
        <f ca="1">VLOOKUP($F307,OFFSET(enemy_skill_triggers!$A$1,0,0,COUNTA(enemy_skill_triggers!$A:$A),MATCH(O$1,enemy_skill_triggers!$1:$1,0)-MATCH($F$1,enemy_skill_triggers!$1:$1,0)+1),MATCH(O$1,enemy_skill_triggers!$1:$1,0)-MATCH($F$1,enemy_skill_triggers!$1:$1,0)+1,FALSE)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7" s="47"/>
      <c r="Q307" s="47"/>
      <c r="R307" s="47"/>
    </row>
    <row r="308" spans="1:18" ht="16" customHeight="1" x14ac:dyDescent="0.15">
      <c r="A308" s="39" t="str">
        <f t="shared" si="20"/>
        <v>49016620_49016607</v>
      </c>
      <c r="B308" s="123">
        <v>49016620</v>
      </c>
      <c r="C308" s="175">
        <v>49016607</v>
      </c>
      <c r="D308" s="46" t="str">
        <f ca="1">VLOOKUP($C308,OFFSET(enemy_skills!$A$1,0,0,COUNTA(enemy_skills!$A:$A),MATCH(D$1,enemy_skills!$1:$1,0)-MATCH("enemy_skill_id",enemy_skills!$1:$1,0)+1),MATCH(D$1,enemy_skills!$1:$1,0)-MATCH("enemy_skill_id",enemy_skills!$1:$1,0)+1,FALSE)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308" s="46" t="str">
        <f ca="1">VLOOKUP($C308,OFFSET(enemy_skills!$A$1,0,0,COUNTA(enemy_skills!$A:$A),MATCH(E$1,enemy_skills!$1:$1,0)-MATCH("enemy_skill_id",enemy_skills!$1:$1,0)+1),MATCH(E$1,enemy_skills!$1:$1,0)-MATCH("enemy_skill_id",enemy_skills!$1:$1,0)+1,FALSE)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08" s="175">
        <v>49016633</v>
      </c>
      <c r="G308" s="48">
        <f ca="1">VLOOKUP($F308,OFFSET(enemy_skill_triggers!$A$1,0,0,COUNTA(enemy_skill_triggers!$A:$A),MATCH(G$1,enemy_skill_triggers!$1:$1,0)-MATCH($F$1,enemy_skill_triggers!$1:$1,0)+1),MATCH(G$1,enemy_skill_triggers!$1:$1,0)-MATCH($F$1,enemy_skill_triggers!$1:$1,0)+1,FALSE)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8" s="48">
        <f ca="1">VLOOKUP($F308,OFFSET(enemy_skill_triggers!$A$1,0,0,COUNTA(enemy_skill_triggers!$A:$A),MATCH(H$1,enemy_skill_triggers!$1:$1,0)-MATCH($F$1,enemy_skill_triggers!$1:$1,0)+1),MATCH(H$1,enemy_skill_triggers!$1:$1,0)-MATCH($F$1,enemy_skill_triggers!$1:$1,0)+1,FALSE)</f>
        <v>823</v>
      </c>
      <c r="I308" s="48">
        <f ca="1">VLOOKUP($F308,OFFSET(enemy_skill_triggers!$A$1,0,0,COUNTA(enemy_skill_triggers!$A:$A),MATCH(I$1,enemy_skill_triggers!$1:$1,0)-MATCH($F$1,enemy_skill_triggers!$1:$1,0)+1),MATCH(I$1,enemy_skill_triggers!$1:$1,0)-MATCH($F$1,enemy_skill_triggers!$1:$1,0)+1,FALSE)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8" s="48" t="str">
        <f ca="1">VLOOKUP($F308,OFFSET(enemy_skill_triggers!$A$1,0,0,COUNTA(enemy_skill_triggers!$A:$A),MATCH(J$1,enemy_skill_triggers!$1:$1,0)-MATCH($F$1,enemy_skill_triggers!$1:$1,0)+1),MATCH(J$1,enemy_skill_triggers!$1:$1,0)-MATCH($F$1,enemy_skill_triggers!$1:$1,0)+1,FALSE)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8" s="48" t="str">
        <f ca="1">VLOOKUP($F308,OFFSET(enemy_skill_triggers!$A$1,0,0,COUNTA(enemy_skill_triggers!$A:$A),MATCH(K$1,enemy_skill_triggers!$1:$1,0)-MATCH($F$1,enemy_skill_triggers!$1:$1,0)+1),MATCH(K$1,enemy_skill_triggers!$1:$1,0)-MATCH($F$1,enemy_skill_triggers!$1:$1,0)+1,FALSE)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8" s="48">
        <f ca="1">VLOOKUP($F308,OFFSET(enemy_skill_triggers!$A$1,0,0,COUNTA(enemy_skill_triggers!$A:$A),MATCH(L$1,enemy_skill_triggers!$1:$1,0)-MATCH($F$1,enemy_skill_triggers!$1:$1,0)+1),MATCH(L$1,enemy_skill_triggers!$1:$1,0)-MATCH($F$1,enemy_skill_triggers!$1:$1,0)+1,FALSE)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8" s="48">
        <f ca="1">VLOOKUP($F308,OFFSET(enemy_skill_triggers!$A$1,0,0,COUNTA(enemy_skill_triggers!$A:$A),MATCH(M$1,enemy_skill_triggers!$1:$1,0)-MATCH($F$1,enemy_skill_triggers!$1:$1,0)+1),MATCH(M$1,enemy_skill_triggers!$1:$1,0)-MATCH($F$1,enemy_skill_triggers!$1:$1,0)+1,FALSE)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8" s="48">
        <f ca="1">VLOOKUP($F308,OFFSET(enemy_skill_triggers!$A$1,0,0,COUNTA(enemy_skill_triggers!$A:$A),MATCH(N$1,enemy_skill_triggers!$1:$1,0)-MATCH($F$1,enemy_skill_triggers!$1:$1,0)+1),MATCH(N$1,enemy_skill_triggers!$1:$1,0)-MATCH($F$1,enemy_skill_triggers!$1:$1,0)+1,FALSE)</f>
        <v>1573</v>
      </c>
      <c r="O308" s="48">
        <f ca="1">VLOOKUP($F308,OFFSET(enemy_skill_triggers!$A$1,0,0,COUNTA(enemy_skill_triggers!$A:$A),MATCH(O$1,enemy_skill_triggers!$1:$1,0)-MATCH($F$1,enemy_skill_triggers!$1:$1,0)+1),MATCH(O$1,enemy_skill_triggers!$1:$1,0)-MATCH($F$1,enemy_skill_triggers!$1:$1,0)+1,FALSE)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8" s="47"/>
      <c r="Q308" s="47"/>
      <c r="R308" s="47"/>
    </row>
    <row r="309" spans="1:18" ht="16" customHeight="1" x14ac:dyDescent="0.15">
      <c r="A309" s="39" t="str">
        <f t="shared" si="20"/>
        <v>49016620_49016607</v>
      </c>
      <c r="B309" s="123">
        <v>49016620</v>
      </c>
      <c r="C309" s="175">
        <v>49016607</v>
      </c>
      <c r="D309" s="46" t="str">
        <f ca="1">VLOOKUP($C309,OFFSET(enemy_skills!$A$1,0,0,COUNTA(enemy_skills!$A:$A),MATCH(D$1,enemy_skills!$1:$1,0)-MATCH("enemy_skill_id",enemy_skills!$1:$1,0)+1),MATCH(D$1,enemy_skills!$1:$1,0)-MATCH("enemy_skill_id",enemy_skills!$1:$1,0)+1,FALSE)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309" s="46" t="str">
        <f ca="1">VLOOKUP($C309,OFFSET(enemy_skills!$A$1,0,0,COUNTA(enemy_skills!$A:$A),MATCH(E$1,enemy_skills!$1:$1,0)-MATCH("enemy_skill_id",enemy_skills!$1:$1,0)+1),MATCH(E$1,enemy_skills!$1:$1,0)-MATCH("enemy_skill_id",enemy_skills!$1:$1,0)+1,FALSE)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09" s="175">
        <v>49016634</v>
      </c>
      <c r="G309" s="48">
        <f ca="1">VLOOKUP($F309,OFFSET(enemy_skill_triggers!$A$1,0,0,COUNTA(enemy_skill_triggers!$A:$A),MATCH(G$1,enemy_skill_triggers!$1:$1,0)-MATCH($F$1,enemy_skill_triggers!$1:$1,0)+1),MATCH(G$1,enemy_skill_triggers!$1:$1,0)-MATCH($F$1,enemy_skill_triggers!$1:$1,0)+1,FALSE)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9" s="48">
        <f ca="1">VLOOKUP($F309,OFFSET(enemy_skill_triggers!$A$1,0,0,COUNTA(enemy_skill_triggers!$A:$A),MATCH(H$1,enemy_skill_triggers!$1:$1,0)-MATCH($F$1,enemy_skill_triggers!$1:$1,0)+1),MATCH(H$1,enemy_skill_triggers!$1:$1,0)-MATCH($F$1,enemy_skill_triggers!$1:$1,0)+1,FALSE)</f>
        <v>824</v>
      </c>
      <c r="I309" s="48">
        <f ca="1">VLOOKUP($F309,OFFSET(enemy_skill_triggers!$A$1,0,0,COUNTA(enemy_skill_triggers!$A:$A),MATCH(I$1,enemy_skill_triggers!$1:$1,0)-MATCH($F$1,enemy_skill_triggers!$1:$1,0)+1),MATCH(I$1,enemy_skill_triggers!$1:$1,0)-MATCH($F$1,enemy_skill_triggers!$1:$1,0)+1,FALSE)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9" s="48" t="str">
        <f ca="1">VLOOKUP($F309,OFFSET(enemy_skill_triggers!$A$1,0,0,COUNTA(enemy_skill_triggers!$A:$A),MATCH(J$1,enemy_skill_triggers!$1:$1,0)-MATCH($F$1,enemy_skill_triggers!$1:$1,0)+1),MATCH(J$1,enemy_skill_triggers!$1:$1,0)-MATCH($F$1,enemy_skill_triggers!$1:$1,0)+1,FALSE)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9" s="48" t="str">
        <f ca="1">VLOOKUP($F309,OFFSET(enemy_skill_triggers!$A$1,0,0,COUNTA(enemy_skill_triggers!$A:$A),MATCH(K$1,enemy_skill_triggers!$1:$1,0)-MATCH($F$1,enemy_skill_triggers!$1:$1,0)+1),MATCH(K$1,enemy_skill_triggers!$1:$1,0)-MATCH($F$1,enemy_skill_triggers!$1:$1,0)+1,FALSE)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9" s="48">
        <f ca="1">VLOOKUP($F309,OFFSET(enemy_skill_triggers!$A$1,0,0,COUNTA(enemy_skill_triggers!$A:$A),MATCH(L$1,enemy_skill_triggers!$1:$1,0)-MATCH($F$1,enemy_skill_triggers!$1:$1,0)+1),MATCH(L$1,enemy_skill_triggers!$1:$1,0)-MATCH($F$1,enemy_skill_triggers!$1:$1,0)+1,FALSE)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09" s="48">
        <f ca="1">VLOOKUP($F309,OFFSET(enemy_skill_triggers!$A$1,0,0,COUNTA(enemy_skill_triggers!$A:$A),MATCH(M$1,enemy_skill_triggers!$1:$1,0)-MATCH($F$1,enemy_skill_triggers!$1:$1,0)+1),MATCH(M$1,enemy_skill_triggers!$1:$1,0)-MATCH($F$1,enemy_skill_triggers!$1:$1,0)+1,FALSE)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9" s="48">
        <f ca="1">VLOOKUP($F309,OFFSET(enemy_skill_triggers!$A$1,0,0,COUNTA(enemy_skill_triggers!$A:$A),MATCH(N$1,enemy_skill_triggers!$1:$1,0)-MATCH($F$1,enemy_skill_triggers!$1:$1,0)+1),MATCH(N$1,enemy_skill_triggers!$1:$1,0)-MATCH($F$1,enemy_skill_triggers!$1:$1,0)+1,FALSE)</f>
        <v>1574</v>
      </c>
      <c r="O309" s="48">
        <f ca="1">VLOOKUP($F309,OFFSET(enemy_skill_triggers!$A$1,0,0,COUNTA(enemy_skill_triggers!$A:$A),MATCH(O$1,enemy_skill_triggers!$1:$1,0)-MATCH($F$1,enemy_skill_triggers!$1:$1,0)+1),MATCH(O$1,enemy_skill_triggers!$1:$1,0)-MATCH($F$1,enemy_skill_triggers!$1:$1,0)+1,FALSE)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9" s="47"/>
      <c r="Q309" s="47"/>
      <c r="R309" s="47"/>
    </row>
    <row r="310" spans="1:18" ht="16" customHeight="1" x14ac:dyDescent="0.15">
      <c r="A310" s="39" t="str">
        <f t="shared" si="20"/>
        <v>49016620_49016607</v>
      </c>
      <c r="B310" s="123">
        <v>49016620</v>
      </c>
      <c r="C310" s="175">
        <v>49016607</v>
      </c>
      <c r="D310" s="46" t="str">
        <f ca="1">VLOOKUP($C310,OFFSET(enemy_skills!$A$1,0,0,COUNTA(enemy_skills!$A:$A),MATCH(D$1,enemy_skills!$1:$1,0)-MATCH("enemy_skill_id",enemy_skills!$1:$1,0)+1),MATCH(D$1,enemy_skills!$1:$1,0)-MATCH("enemy_skill_id",enemy_skills!$1:$1,0)+1,FALSE)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310" s="46" t="str">
        <f ca="1">VLOOKUP($C310,OFFSET(enemy_skills!$A$1,0,0,COUNTA(enemy_skills!$A:$A),MATCH(E$1,enemy_skills!$1:$1,0)-MATCH("enemy_skill_id",enemy_skills!$1:$1,0)+1),MATCH(E$1,enemy_skills!$1:$1,0)-MATCH("enemy_skill_id",enemy_skills!$1:$1,0)+1,FALSE)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10" s="175">
        <v>49016635</v>
      </c>
      <c r="G310" s="48">
        <f ca="1">VLOOKUP($F310,OFFSET(enemy_skill_triggers!$A$1,0,0,COUNTA(enemy_skill_triggers!$A:$A),MATCH(G$1,enemy_skill_triggers!$1:$1,0)-MATCH($F$1,enemy_skill_triggers!$1:$1,0)+1),MATCH(G$1,enemy_skill_triggers!$1:$1,0)-MATCH($F$1,enemy_skill_triggers!$1:$1,0)+1,FALSE)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0" s="48">
        <f ca="1">VLOOKUP($F310,OFFSET(enemy_skill_triggers!$A$1,0,0,COUNTA(enemy_skill_triggers!$A:$A),MATCH(H$1,enemy_skill_triggers!$1:$1,0)-MATCH($F$1,enemy_skill_triggers!$1:$1,0)+1),MATCH(H$1,enemy_skill_triggers!$1:$1,0)-MATCH($F$1,enemy_skill_triggers!$1:$1,0)+1,FALSE)</f>
        <v>825</v>
      </c>
      <c r="I310" s="48">
        <f ca="1">VLOOKUP($F310,OFFSET(enemy_skill_triggers!$A$1,0,0,COUNTA(enemy_skill_triggers!$A:$A),MATCH(I$1,enemy_skill_triggers!$1:$1,0)-MATCH($F$1,enemy_skill_triggers!$1:$1,0)+1),MATCH(I$1,enemy_skill_triggers!$1:$1,0)-MATCH($F$1,enemy_skill_triggers!$1:$1,0)+1,FALSE)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0" s="48" t="str">
        <f ca="1">VLOOKUP($F310,OFFSET(enemy_skill_triggers!$A$1,0,0,COUNTA(enemy_skill_triggers!$A:$A),MATCH(J$1,enemy_skill_triggers!$1:$1,0)-MATCH($F$1,enemy_skill_triggers!$1:$1,0)+1),MATCH(J$1,enemy_skill_triggers!$1:$1,0)-MATCH($F$1,enemy_skill_triggers!$1:$1,0)+1,FALSE)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0" s="48" t="str">
        <f ca="1">VLOOKUP($F310,OFFSET(enemy_skill_triggers!$A$1,0,0,COUNTA(enemy_skill_triggers!$A:$A),MATCH(K$1,enemy_skill_triggers!$1:$1,0)-MATCH($F$1,enemy_skill_triggers!$1:$1,0)+1),MATCH(K$1,enemy_skill_triggers!$1:$1,0)-MATCH($F$1,enemy_skill_triggers!$1:$1,0)+1,FALSE)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0" s="48">
        <f ca="1">VLOOKUP($F310,OFFSET(enemy_skill_triggers!$A$1,0,0,COUNTA(enemy_skill_triggers!$A:$A),MATCH(L$1,enemy_skill_triggers!$1:$1,0)-MATCH($F$1,enemy_skill_triggers!$1:$1,0)+1),MATCH(L$1,enemy_skill_triggers!$1:$1,0)-MATCH($F$1,enemy_skill_triggers!$1:$1,0)+1,FALSE)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0" s="48">
        <f ca="1">VLOOKUP($F310,OFFSET(enemy_skill_triggers!$A$1,0,0,COUNTA(enemy_skill_triggers!$A:$A),MATCH(M$1,enemy_skill_triggers!$1:$1,0)-MATCH($F$1,enemy_skill_triggers!$1:$1,0)+1),MATCH(M$1,enemy_skill_triggers!$1:$1,0)-MATCH($F$1,enemy_skill_triggers!$1:$1,0)+1,FALSE)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0" s="48">
        <f ca="1">VLOOKUP($F310,OFFSET(enemy_skill_triggers!$A$1,0,0,COUNTA(enemy_skill_triggers!$A:$A),MATCH(N$1,enemy_skill_triggers!$1:$1,0)-MATCH($F$1,enemy_skill_triggers!$1:$1,0)+1),MATCH(N$1,enemy_skill_triggers!$1:$1,0)-MATCH($F$1,enemy_skill_triggers!$1:$1,0)+1,FALSE)</f>
        <v>1575</v>
      </c>
      <c r="O310" s="48">
        <f ca="1">VLOOKUP($F310,OFFSET(enemy_skill_triggers!$A$1,0,0,COUNTA(enemy_skill_triggers!$A:$A),MATCH(O$1,enemy_skill_triggers!$1:$1,0)-MATCH($F$1,enemy_skill_triggers!$1:$1,0)+1),MATCH(O$1,enemy_skill_triggers!$1:$1,0)-MATCH($F$1,enemy_skill_triggers!$1:$1,0)+1,FALSE)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0" s="47"/>
      <c r="Q310" s="47"/>
      <c r="R310" s="47"/>
    </row>
    <row r="311" spans="1:18" ht="16" customHeight="1" x14ac:dyDescent="0.15">
      <c r="A311" s="39" t="str">
        <f t="shared" si="20"/>
        <v>49016620_49016607</v>
      </c>
      <c r="B311" s="123">
        <v>49016620</v>
      </c>
      <c r="C311" s="175">
        <v>49016607</v>
      </c>
      <c r="D311" s="46" t="str">
        <f ca="1">VLOOKUP($C311,OFFSET(enemy_skills!$A$1,0,0,COUNTA(enemy_skills!$A:$A),MATCH(D$1,enemy_skills!$1:$1,0)-MATCH("enemy_skill_id",enemy_skills!$1:$1,0)+1),MATCH(D$1,enemy_skills!$1:$1,0)-MATCH("enemy_skill_id",enemy_skills!$1:$1,0)+1,FALSE)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311" s="46" t="str">
        <f ca="1">VLOOKUP($C311,OFFSET(enemy_skills!$A$1,0,0,COUNTA(enemy_skills!$A:$A),MATCH(E$1,enemy_skills!$1:$1,0)-MATCH("enemy_skill_id",enemy_skills!$1:$1,0)+1),MATCH(E$1,enemy_skills!$1:$1,0)-MATCH("enemy_skill_id",enemy_skills!$1:$1,0)+1,FALSE)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11" s="175">
        <v>49016636</v>
      </c>
      <c r="G311" s="48">
        <f ca="1">VLOOKUP($F311,OFFSET(enemy_skill_triggers!$A$1,0,0,COUNTA(enemy_skill_triggers!$A:$A),MATCH(G$1,enemy_skill_triggers!$1:$1,0)-MATCH($F$1,enemy_skill_triggers!$1:$1,0)+1),MATCH(G$1,enemy_skill_triggers!$1:$1,0)-MATCH($F$1,enemy_skill_triggers!$1:$1,0)+1,FALSE)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1" s="48">
        <f ca="1">VLOOKUP($F311,OFFSET(enemy_skill_triggers!$A$1,0,0,COUNTA(enemy_skill_triggers!$A:$A),MATCH(H$1,enemy_skill_triggers!$1:$1,0)-MATCH($F$1,enemy_skill_triggers!$1:$1,0)+1),MATCH(H$1,enemy_skill_triggers!$1:$1,0)-MATCH($F$1,enemy_skill_triggers!$1:$1,0)+1,FALSE)</f>
        <v>826</v>
      </c>
      <c r="I311" s="48">
        <f ca="1">VLOOKUP($F311,OFFSET(enemy_skill_triggers!$A$1,0,0,COUNTA(enemy_skill_triggers!$A:$A),MATCH(I$1,enemy_skill_triggers!$1:$1,0)-MATCH($F$1,enemy_skill_triggers!$1:$1,0)+1),MATCH(I$1,enemy_skill_triggers!$1:$1,0)-MATCH($F$1,enemy_skill_triggers!$1:$1,0)+1,FALSE)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1" s="48" t="str">
        <f ca="1">VLOOKUP($F311,OFFSET(enemy_skill_triggers!$A$1,0,0,COUNTA(enemy_skill_triggers!$A:$A),MATCH(J$1,enemy_skill_triggers!$1:$1,0)-MATCH($F$1,enemy_skill_triggers!$1:$1,0)+1),MATCH(J$1,enemy_skill_triggers!$1:$1,0)-MATCH($F$1,enemy_skill_triggers!$1:$1,0)+1,FALSE)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1" s="48" t="str">
        <f ca="1">VLOOKUP($F311,OFFSET(enemy_skill_triggers!$A$1,0,0,COUNTA(enemy_skill_triggers!$A:$A),MATCH(K$1,enemy_skill_triggers!$1:$1,0)-MATCH($F$1,enemy_skill_triggers!$1:$1,0)+1),MATCH(K$1,enemy_skill_triggers!$1:$1,0)-MATCH($F$1,enemy_skill_triggers!$1:$1,0)+1,FALSE)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1" s="48">
        <f ca="1">VLOOKUP($F311,OFFSET(enemy_skill_triggers!$A$1,0,0,COUNTA(enemy_skill_triggers!$A:$A),MATCH(L$1,enemy_skill_triggers!$1:$1,0)-MATCH($F$1,enemy_skill_triggers!$1:$1,0)+1),MATCH(L$1,enemy_skill_triggers!$1:$1,0)-MATCH($F$1,enemy_skill_triggers!$1:$1,0)+1,FALSE)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1" s="48">
        <f ca="1">VLOOKUP($F311,OFFSET(enemy_skill_triggers!$A$1,0,0,COUNTA(enemy_skill_triggers!$A:$A),MATCH(M$1,enemy_skill_triggers!$1:$1,0)-MATCH($F$1,enemy_skill_triggers!$1:$1,0)+1),MATCH(M$1,enemy_skill_triggers!$1:$1,0)-MATCH($F$1,enemy_skill_triggers!$1:$1,0)+1,FALSE)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1" s="48">
        <f ca="1">VLOOKUP($F311,OFFSET(enemy_skill_triggers!$A$1,0,0,COUNTA(enemy_skill_triggers!$A:$A),MATCH(N$1,enemy_skill_triggers!$1:$1,0)-MATCH($F$1,enemy_skill_triggers!$1:$1,0)+1),MATCH(N$1,enemy_skill_triggers!$1:$1,0)-MATCH($F$1,enemy_skill_triggers!$1:$1,0)+1,FALSE)</f>
        <v>1576</v>
      </c>
      <c r="O311" s="48">
        <f ca="1">VLOOKUP($F311,OFFSET(enemy_skill_triggers!$A$1,0,0,COUNTA(enemy_skill_triggers!$A:$A),MATCH(O$1,enemy_skill_triggers!$1:$1,0)-MATCH($F$1,enemy_skill_triggers!$1:$1,0)+1),MATCH(O$1,enemy_skill_triggers!$1:$1,0)-MATCH($F$1,enemy_skill_triggers!$1:$1,0)+1,FALSE)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1" s="47"/>
      <c r="Q311" s="47"/>
      <c r="R311" s="47"/>
    </row>
    <row r="312" spans="1:18" ht="16" customHeight="1" x14ac:dyDescent="0.15">
      <c r="A312" s="39" t="str">
        <f t="shared" si="20"/>
        <v>49016620_49016607</v>
      </c>
      <c r="B312" s="123">
        <v>49016620</v>
      </c>
      <c r="C312" s="175">
        <v>49016607</v>
      </c>
      <c r="D312" s="46" t="str">
        <f ca="1">VLOOKUP($C312,OFFSET(enemy_skills!$A$1,0,0,COUNTA(enemy_skills!$A:$A),MATCH(D$1,enemy_skills!$1:$1,0)-MATCH("enemy_skill_id",enemy_skills!$1:$1,0)+1),MATCH(D$1,enemy_skills!$1:$1,0)-MATCH("enemy_skill_id",enemy_skills!$1:$1,0)+1,FALSE)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312" s="46" t="str">
        <f ca="1">VLOOKUP($C312,OFFSET(enemy_skills!$A$1,0,0,COUNTA(enemy_skills!$A:$A),MATCH(E$1,enemy_skills!$1:$1,0)-MATCH("enemy_skill_id",enemy_skills!$1:$1,0)+1),MATCH(E$1,enemy_skills!$1:$1,0)-MATCH("enemy_skill_id",enemy_skills!$1:$1,0)+1,FALSE)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12" s="175">
        <v>49016637</v>
      </c>
      <c r="G312" s="48">
        <f ca="1">VLOOKUP($F312,OFFSET(enemy_skill_triggers!$A$1,0,0,COUNTA(enemy_skill_triggers!$A:$A),MATCH(G$1,enemy_skill_triggers!$1:$1,0)-MATCH($F$1,enemy_skill_triggers!$1:$1,0)+1),MATCH(G$1,enemy_skill_triggers!$1:$1,0)-MATCH($F$1,enemy_skill_triggers!$1:$1,0)+1,FALSE)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2" s="48">
        <f ca="1">VLOOKUP($F312,OFFSET(enemy_skill_triggers!$A$1,0,0,COUNTA(enemy_skill_triggers!$A:$A),MATCH(H$1,enemy_skill_triggers!$1:$1,0)-MATCH($F$1,enemy_skill_triggers!$1:$1,0)+1),MATCH(H$1,enemy_skill_triggers!$1:$1,0)-MATCH($F$1,enemy_skill_triggers!$1:$1,0)+1,FALSE)</f>
        <v>827</v>
      </c>
      <c r="I312" s="48">
        <f ca="1">VLOOKUP($F312,OFFSET(enemy_skill_triggers!$A$1,0,0,COUNTA(enemy_skill_triggers!$A:$A),MATCH(I$1,enemy_skill_triggers!$1:$1,0)-MATCH($F$1,enemy_skill_triggers!$1:$1,0)+1),MATCH(I$1,enemy_skill_triggers!$1:$1,0)-MATCH($F$1,enemy_skill_triggers!$1:$1,0)+1,FALSE)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2" s="48" t="str">
        <f ca="1">VLOOKUP($F312,OFFSET(enemy_skill_triggers!$A$1,0,0,COUNTA(enemy_skill_triggers!$A:$A),MATCH(J$1,enemy_skill_triggers!$1:$1,0)-MATCH($F$1,enemy_skill_triggers!$1:$1,0)+1),MATCH(J$1,enemy_skill_triggers!$1:$1,0)-MATCH($F$1,enemy_skill_triggers!$1:$1,0)+1,FALSE)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2" s="48" t="str">
        <f ca="1">VLOOKUP($F312,OFFSET(enemy_skill_triggers!$A$1,0,0,COUNTA(enemy_skill_triggers!$A:$A),MATCH(K$1,enemy_skill_triggers!$1:$1,0)-MATCH($F$1,enemy_skill_triggers!$1:$1,0)+1),MATCH(K$1,enemy_skill_triggers!$1:$1,0)-MATCH($F$1,enemy_skill_triggers!$1:$1,0)+1,FALSE)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2" s="48">
        <f ca="1">VLOOKUP($F312,OFFSET(enemy_skill_triggers!$A$1,0,0,COUNTA(enemy_skill_triggers!$A:$A),MATCH(L$1,enemy_skill_triggers!$1:$1,0)-MATCH($F$1,enemy_skill_triggers!$1:$1,0)+1),MATCH(L$1,enemy_skill_triggers!$1:$1,0)-MATCH($F$1,enemy_skill_triggers!$1:$1,0)+1,FALSE)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2" s="48">
        <f ca="1">VLOOKUP($F312,OFFSET(enemy_skill_triggers!$A$1,0,0,COUNTA(enemy_skill_triggers!$A:$A),MATCH(M$1,enemy_skill_triggers!$1:$1,0)-MATCH($F$1,enemy_skill_triggers!$1:$1,0)+1),MATCH(M$1,enemy_skill_triggers!$1:$1,0)-MATCH($F$1,enemy_skill_triggers!$1:$1,0)+1,FALSE)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2" s="48">
        <f ca="1">VLOOKUP($F312,OFFSET(enemy_skill_triggers!$A$1,0,0,COUNTA(enemy_skill_triggers!$A:$A),MATCH(N$1,enemy_skill_triggers!$1:$1,0)-MATCH($F$1,enemy_skill_triggers!$1:$1,0)+1),MATCH(N$1,enemy_skill_triggers!$1:$1,0)-MATCH($F$1,enemy_skill_triggers!$1:$1,0)+1,FALSE)</f>
        <v>1577</v>
      </c>
      <c r="O312" s="48">
        <f ca="1">VLOOKUP($F312,OFFSET(enemy_skill_triggers!$A$1,0,0,COUNTA(enemy_skill_triggers!$A:$A),MATCH(O$1,enemy_skill_triggers!$1:$1,0)-MATCH($F$1,enemy_skill_triggers!$1:$1,0)+1),MATCH(O$1,enemy_skill_triggers!$1:$1,0)-MATCH($F$1,enemy_skill_triggers!$1:$1,0)+1,FALSE)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2" s="47"/>
      <c r="Q312" s="47"/>
      <c r="R312" s="47"/>
    </row>
    <row r="313" spans="1:18" ht="16" customHeight="1" x14ac:dyDescent="0.15">
      <c r="A313" s="39" t="str">
        <f t="shared" si="20"/>
        <v>49016620_49016607</v>
      </c>
      <c r="B313" s="123">
        <v>49016620</v>
      </c>
      <c r="C313" s="175">
        <v>49016607</v>
      </c>
      <c r="D313" s="46" t="str">
        <f ca="1">VLOOKUP($C313,OFFSET(enemy_skills!$A$1,0,0,COUNTA(enemy_skills!$A:$A),MATCH(D$1,enemy_skills!$1:$1,0)-MATCH("enemy_skill_id",enemy_skills!$1:$1,0)+1),MATCH(D$1,enemy_skills!$1:$1,0)-MATCH("enemy_skill_id",enemy_skills!$1:$1,0)+1,FALSE)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313" s="46" t="str">
        <f ca="1">VLOOKUP($C313,OFFSET(enemy_skills!$A$1,0,0,COUNTA(enemy_skills!$A:$A),MATCH(E$1,enemy_skills!$1:$1,0)-MATCH("enemy_skill_id",enemy_skills!$1:$1,0)+1),MATCH(E$1,enemy_skills!$1:$1,0)-MATCH("enemy_skill_id",enemy_skills!$1:$1,0)+1,FALSE)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13" s="175">
        <v>49016638</v>
      </c>
      <c r="G313" s="48">
        <f ca="1">VLOOKUP($F313,OFFSET(enemy_skill_triggers!$A$1,0,0,COUNTA(enemy_skill_triggers!$A:$A),MATCH(G$1,enemy_skill_triggers!$1:$1,0)-MATCH($F$1,enemy_skill_triggers!$1:$1,0)+1),MATCH(G$1,enemy_skill_triggers!$1:$1,0)-MATCH($F$1,enemy_skill_triggers!$1:$1,0)+1,FALSE)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3" s="48">
        <f ca="1">VLOOKUP($F313,OFFSET(enemy_skill_triggers!$A$1,0,0,COUNTA(enemy_skill_triggers!$A:$A),MATCH(H$1,enemy_skill_triggers!$1:$1,0)-MATCH($F$1,enemy_skill_triggers!$1:$1,0)+1),MATCH(H$1,enemy_skill_triggers!$1:$1,0)-MATCH($F$1,enemy_skill_triggers!$1:$1,0)+1,FALSE)</f>
        <v>828</v>
      </c>
      <c r="I313" s="48">
        <f ca="1">VLOOKUP($F313,OFFSET(enemy_skill_triggers!$A$1,0,0,COUNTA(enemy_skill_triggers!$A:$A),MATCH(I$1,enemy_skill_triggers!$1:$1,0)-MATCH($F$1,enemy_skill_triggers!$1:$1,0)+1),MATCH(I$1,enemy_skill_triggers!$1:$1,0)-MATCH($F$1,enemy_skill_triggers!$1:$1,0)+1,FALSE)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3" s="48" t="str">
        <f ca="1">VLOOKUP($F313,OFFSET(enemy_skill_triggers!$A$1,0,0,COUNTA(enemy_skill_triggers!$A:$A),MATCH(J$1,enemy_skill_triggers!$1:$1,0)-MATCH($F$1,enemy_skill_triggers!$1:$1,0)+1),MATCH(J$1,enemy_skill_triggers!$1:$1,0)-MATCH($F$1,enemy_skill_triggers!$1:$1,0)+1,FALSE)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3" s="48" t="str">
        <f ca="1">VLOOKUP($F313,OFFSET(enemy_skill_triggers!$A$1,0,0,COUNTA(enemy_skill_triggers!$A:$A),MATCH(K$1,enemy_skill_triggers!$1:$1,0)-MATCH($F$1,enemy_skill_triggers!$1:$1,0)+1),MATCH(K$1,enemy_skill_triggers!$1:$1,0)-MATCH($F$1,enemy_skill_triggers!$1:$1,0)+1,FALSE)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3" s="48">
        <f ca="1">VLOOKUP($F313,OFFSET(enemy_skill_triggers!$A$1,0,0,COUNTA(enemy_skill_triggers!$A:$A),MATCH(L$1,enemy_skill_triggers!$1:$1,0)-MATCH($F$1,enemy_skill_triggers!$1:$1,0)+1),MATCH(L$1,enemy_skill_triggers!$1:$1,0)-MATCH($F$1,enemy_skill_triggers!$1:$1,0)+1,FALSE)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3" s="48">
        <f ca="1">VLOOKUP($F313,OFFSET(enemy_skill_triggers!$A$1,0,0,COUNTA(enemy_skill_triggers!$A:$A),MATCH(M$1,enemy_skill_triggers!$1:$1,0)-MATCH($F$1,enemy_skill_triggers!$1:$1,0)+1),MATCH(M$1,enemy_skill_triggers!$1:$1,0)-MATCH($F$1,enemy_skill_triggers!$1:$1,0)+1,FALSE)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3" s="48">
        <f ca="1">VLOOKUP($F313,OFFSET(enemy_skill_triggers!$A$1,0,0,COUNTA(enemy_skill_triggers!$A:$A),MATCH(N$1,enemy_skill_triggers!$1:$1,0)-MATCH($F$1,enemy_skill_triggers!$1:$1,0)+1),MATCH(N$1,enemy_skill_triggers!$1:$1,0)-MATCH($F$1,enemy_skill_triggers!$1:$1,0)+1,FALSE)</f>
        <v>1578</v>
      </c>
      <c r="O313" s="48">
        <f ca="1">VLOOKUP($F313,OFFSET(enemy_skill_triggers!$A$1,0,0,COUNTA(enemy_skill_triggers!$A:$A),MATCH(O$1,enemy_skill_triggers!$1:$1,0)-MATCH($F$1,enemy_skill_triggers!$1:$1,0)+1),MATCH(O$1,enemy_skill_triggers!$1:$1,0)-MATCH($F$1,enemy_skill_triggers!$1:$1,0)+1,FALSE)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3" s="47"/>
      <c r="Q313" s="47"/>
      <c r="R313" s="47"/>
    </row>
    <row r="314" spans="1:18" ht="16" customHeight="1" x14ac:dyDescent="0.15">
      <c r="A314" s="39" t="str">
        <f t="shared" si="20"/>
        <v>49016620_49016607</v>
      </c>
      <c r="B314" s="123">
        <v>49016620</v>
      </c>
      <c r="C314" s="175">
        <v>49016607</v>
      </c>
      <c r="D314" s="46" t="str">
        <f ca="1">VLOOKUP($C314,OFFSET(enemy_skills!$A$1,0,0,COUNTA(enemy_skills!$A:$A),MATCH(D$1,enemy_skills!$1:$1,0)-MATCH("enemy_skill_id",enemy_skills!$1:$1,0)+1),MATCH(D$1,enemy_skills!$1:$1,0)-MATCH("enemy_skill_id",enemy_skills!$1:$1,0)+1,FALSE)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314" s="46" t="str">
        <f ca="1">VLOOKUP($C314,OFFSET(enemy_skills!$A$1,0,0,COUNTA(enemy_skills!$A:$A),MATCH(E$1,enemy_skills!$1:$1,0)-MATCH("enemy_skill_id",enemy_skills!$1:$1,0)+1),MATCH(E$1,enemy_skills!$1:$1,0)-MATCH("enemy_skill_id",enemy_skills!$1:$1,0)+1,FALSE)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14" s="175">
        <v>49016639</v>
      </c>
      <c r="G314" s="48">
        <f ca="1">VLOOKUP($F314,OFFSET(enemy_skill_triggers!$A$1,0,0,COUNTA(enemy_skill_triggers!$A:$A),MATCH(G$1,enemy_skill_triggers!$1:$1,0)-MATCH($F$1,enemy_skill_triggers!$1:$1,0)+1),MATCH(G$1,enemy_skill_triggers!$1:$1,0)-MATCH($F$1,enemy_skill_triggers!$1:$1,0)+1,FALSE)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4" s="48">
        <f ca="1">VLOOKUP($F314,OFFSET(enemy_skill_triggers!$A$1,0,0,COUNTA(enemy_skill_triggers!$A:$A),MATCH(H$1,enemy_skill_triggers!$1:$1,0)-MATCH($F$1,enemy_skill_triggers!$1:$1,0)+1),MATCH(H$1,enemy_skill_triggers!$1:$1,0)-MATCH($F$1,enemy_skill_triggers!$1:$1,0)+1,FALSE)</f>
        <v>829</v>
      </c>
      <c r="I314" s="48">
        <f ca="1">VLOOKUP($F314,OFFSET(enemy_skill_triggers!$A$1,0,0,COUNTA(enemy_skill_triggers!$A:$A),MATCH(I$1,enemy_skill_triggers!$1:$1,0)-MATCH($F$1,enemy_skill_triggers!$1:$1,0)+1),MATCH(I$1,enemy_skill_triggers!$1:$1,0)-MATCH($F$1,enemy_skill_triggers!$1:$1,0)+1,FALSE)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4" s="48" t="str">
        <f ca="1">VLOOKUP($F314,OFFSET(enemy_skill_triggers!$A$1,0,0,COUNTA(enemy_skill_triggers!$A:$A),MATCH(J$1,enemy_skill_triggers!$1:$1,0)-MATCH($F$1,enemy_skill_triggers!$1:$1,0)+1),MATCH(J$1,enemy_skill_triggers!$1:$1,0)-MATCH($F$1,enemy_skill_triggers!$1:$1,0)+1,FALSE)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4" s="48" t="str">
        <f ca="1">VLOOKUP($F314,OFFSET(enemy_skill_triggers!$A$1,0,0,COUNTA(enemy_skill_triggers!$A:$A),MATCH(K$1,enemy_skill_triggers!$1:$1,0)-MATCH($F$1,enemy_skill_triggers!$1:$1,0)+1),MATCH(K$1,enemy_skill_triggers!$1:$1,0)-MATCH($F$1,enemy_skill_triggers!$1:$1,0)+1,FALSE)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4" s="48">
        <f ca="1">VLOOKUP($F314,OFFSET(enemy_skill_triggers!$A$1,0,0,COUNTA(enemy_skill_triggers!$A:$A),MATCH(L$1,enemy_skill_triggers!$1:$1,0)-MATCH($F$1,enemy_skill_triggers!$1:$1,0)+1),MATCH(L$1,enemy_skill_triggers!$1:$1,0)-MATCH($F$1,enemy_skill_triggers!$1:$1,0)+1,FALSE)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4" s="48">
        <f ca="1">VLOOKUP($F314,OFFSET(enemy_skill_triggers!$A$1,0,0,COUNTA(enemy_skill_triggers!$A:$A),MATCH(M$1,enemy_skill_triggers!$1:$1,0)-MATCH($F$1,enemy_skill_triggers!$1:$1,0)+1),MATCH(M$1,enemy_skill_triggers!$1:$1,0)-MATCH($F$1,enemy_skill_triggers!$1:$1,0)+1,FALSE)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4" s="48">
        <f ca="1">VLOOKUP($F314,OFFSET(enemy_skill_triggers!$A$1,0,0,COUNTA(enemy_skill_triggers!$A:$A),MATCH(N$1,enemy_skill_triggers!$1:$1,0)-MATCH($F$1,enemy_skill_triggers!$1:$1,0)+1),MATCH(N$1,enemy_skill_triggers!$1:$1,0)-MATCH($F$1,enemy_skill_triggers!$1:$1,0)+1,FALSE)</f>
        <v>1579</v>
      </c>
      <c r="O314" s="48">
        <f ca="1">VLOOKUP($F314,OFFSET(enemy_skill_triggers!$A$1,0,0,COUNTA(enemy_skill_triggers!$A:$A),MATCH(O$1,enemy_skill_triggers!$1:$1,0)-MATCH($F$1,enemy_skill_triggers!$1:$1,0)+1),MATCH(O$1,enemy_skill_triggers!$1:$1,0)-MATCH($F$1,enemy_skill_triggers!$1:$1,0)+1,FALSE)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4" s="47"/>
      <c r="Q314" s="47"/>
      <c r="R314" s="47"/>
    </row>
    <row r="315" spans="1:18" ht="16" customHeight="1" x14ac:dyDescent="0.15">
      <c r="A315" s="39" t="str">
        <f t="shared" si="20"/>
        <v>49016620_49016607</v>
      </c>
      <c r="B315" s="123">
        <v>49016620</v>
      </c>
      <c r="C315" s="175">
        <v>49016607</v>
      </c>
      <c r="D315" s="46" t="str">
        <f ca="1">VLOOKUP($C315,OFFSET(enemy_skills!$A$1,0,0,COUNTA(enemy_skills!$A:$A),MATCH(D$1,enemy_skills!$1:$1,0)-MATCH("enemy_skill_id",enemy_skills!$1:$1,0)+1),MATCH(D$1,enemy_skills!$1:$1,0)-MATCH("enemy_skill_id",enemy_skills!$1:$1,0)+1,FALSE)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315" s="46" t="str">
        <f ca="1">VLOOKUP($C315,OFFSET(enemy_skills!$A$1,0,0,COUNTA(enemy_skills!$A:$A),MATCH(E$1,enemy_skills!$1:$1,0)-MATCH("enemy_skill_id",enemy_skills!$1:$1,0)+1),MATCH(E$1,enemy_skills!$1:$1,0)-MATCH("enemy_skill_id",enemy_skills!$1:$1,0)+1,FALSE)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15" s="175">
        <v>49016640</v>
      </c>
      <c r="G315" s="48">
        <f ca="1">VLOOKUP($F315,OFFSET(enemy_skill_triggers!$A$1,0,0,COUNTA(enemy_skill_triggers!$A:$A),MATCH(G$1,enemy_skill_triggers!$1:$1,0)-MATCH($F$1,enemy_skill_triggers!$1:$1,0)+1),MATCH(G$1,enemy_skill_triggers!$1:$1,0)-MATCH($F$1,enemy_skill_triggers!$1:$1,0)+1,FALSE)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5" s="48">
        <f ca="1">VLOOKUP($F315,OFFSET(enemy_skill_triggers!$A$1,0,0,COUNTA(enemy_skill_triggers!$A:$A),MATCH(H$1,enemy_skill_triggers!$1:$1,0)-MATCH($F$1,enemy_skill_triggers!$1:$1,0)+1),MATCH(H$1,enemy_skill_triggers!$1:$1,0)-MATCH($F$1,enemy_skill_triggers!$1:$1,0)+1,FALSE)</f>
        <v>830</v>
      </c>
      <c r="I315" s="48">
        <f ca="1">VLOOKUP($F315,OFFSET(enemy_skill_triggers!$A$1,0,0,COUNTA(enemy_skill_triggers!$A:$A),MATCH(I$1,enemy_skill_triggers!$1:$1,0)-MATCH($F$1,enemy_skill_triggers!$1:$1,0)+1),MATCH(I$1,enemy_skill_triggers!$1:$1,0)-MATCH($F$1,enemy_skill_triggers!$1:$1,0)+1,FALSE)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5" s="48" t="str">
        <f ca="1">VLOOKUP($F315,OFFSET(enemy_skill_triggers!$A$1,0,0,COUNTA(enemy_skill_triggers!$A:$A),MATCH(J$1,enemy_skill_triggers!$1:$1,0)-MATCH($F$1,enemy_skill_triggers!$1:$1,0)+1),MATCH(J$1,enemy_skill_triggers!$1:$1,0)-MATCH($F$1,enemy_skill_triggers!$1:$1,0)+1,FALSE)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5" s="48" t="str">
        <f ca="1">VLOOKUP($F315,OFFSET(enemy_skill_triggers!$A$1,0,0,COUNTA(enemy_skill_triggers!$A:$A),MATCH(K$1,enemy_skill_triggers!$1:$1,0)-MATCH($F$1,enemy_skill_triggers!$1:$1,0)+1),MATCH(K$1,enemy_skill_triggers!$1:$1,0)-MATCH($F$1,enemy_skill_triggers!$1:$1,0)+1,FALSE)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5" s="48">
        <f ca="1">VLOOKUP($F315,OFFSET(enemy_skill_triggers!$A$1,0,0,COUNTA(enemy_skill_triggers!$A:$A),MATCH(L$1,enemy_skill_triggers!$1:$1,0)-MATCH($F$1,enemy_skill_triggers!$1:$1,0)+1),MATCH(L$1,enemy_skill_triggers!$1:$1,0)-MATCH($F$1,enemy_skill_triggers!$1:$1,0)+1,FALSE)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5" s="48">
        <f ca="1">VLOOKUP($F315,OFFSET(enemy_skill_triggers!$A$1,0,0,COUNTA(enemy_skill_triggers!$A:$A),MATCH(M$1,enemy_skill_triggers!$1:$1,0)-MATCH($F$1,enemy_skill_triggers!$1:$1,0)+1),MATCH(M$1,enemy_skill_triggers!$1:$1,0)-MATCH($F$1,enemy_skill_triggers!$1:$1,0)+1,FALSE)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5" s="48">
        <f ca="1">VLOOKUP($F315,OFFSET(enemy_skill_triggers!$A$1,0,0,COUNTA(enemy_skill_triggers!$A:$A),MATCH(N$1,enemy_skill_triggers!$1:$1,0)-MATCH($F$1,enemy_skill_triggers!$1:$1,0)+1),MATCH(N$1,enemy_skill_triggers!$1:$1,0)-MATCH($F$1,enemy_skill_triggers!$1:$1,0)+1,FALSE)</f>
        <v>1580</v>
      </c>
      <c r="O315" s="48">
        <f ca="1">VLOOKUP($F315,OFFSET(enemy_skill_triggers!$A$1,0,0,COUNTA(enemy_skill_triggers!$A:$A),MATCH(O$1,enemy_skill_triggers!$1:$1,0)-MATCH($F$1,enemy_skill_triggers!$1:$1,0)+1),MATCH(O$1,enemy_skill_triggers!$1:$1,0)-MATCH($F$1,enemy_skill_triggers!$1:$1,0)+1,FALSE)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5" s="47"/>
      <c r="Q315" s="47"/>
      <c r="R315" s="47"/>
    </row>
    <row r="316" spans="1:18" ht="16" customHeight="1" x14ac:dyDescent="0.15">
      <c r="A316" s="39" t="str">
        <f t="shared" si="20"/>
        <v>49016620_49016607</v>
      </c>
      <c r="B316" s="123">
        <v>49016620</v>
      </c>
      <c r="C316" s="175">
        <v>49016607</v>
      </c>
      <c r="D316" s="46" t="str">
        <f ca="1">VLOOKUP($C316,OFFSET(enemy_skills!$A$1,0,0,COUNTA(enemy_skills!$A:$A),MATCH(D$1,enemy_skills!$1:$1,0)-MATCH("enemy_skill_id",enemy_skills!$1:$1,0)+1),MATCH(D$1,enemy_skills!$1:$1,0)-MATCH("enemy_skill_id",enemy_skills!$1:$1,0)+1,FALSE)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316" s="46" t="str">
        <f ca="1">VLOOKUP($C316,OFFSET(enemy_skills!$A$1,0,0,COUNTA(enemy_skills!$A:$A),MATCH(E$1,enemy_skills!$1:$1,0)-MATCH("enemy_skill_id",enemy_skills!$1:$1,0)+1),MATCH(E$1,enemy_skills!$1:$1,0)-MATCH("enemy_skill_id",enemy_skills!$1:$1,0)+1,FALSE)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16" s="175">
        <v>49016641</v>
      </c>
      <c r="G316" s="48">
        <f ca="1">VLOOKUP($F316,OFFSET(enemy_skill_triggers!$A$1,0,0,COUNTA(enemy_skill_triggers!$A:$A),MATCH(G$1,enemy_skill_triggers!$1:$1,0)-MATCH($F$1,enemy_skill_triggers!$1:$1,0)+1),MATCH(G$1,enemy_skill_triggers!$1:$1,0)-MATCH($F$1,enemy_skill_triggers!$1:$1,0)+1,FALSE)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6" s="48">
        <f ca="1">VLOOKUP($F316,OFFSET(enemy_skill_triggers!$A$1,0,0,COUNTA(enemy_skill_triggers!$A:$A),MATCH(H$1,enemy_skill_triggers!$1:$1,0)-MATCH($F$1,enemy_skill_triggers!$1:$1,0)+1),MATCH(H$1,enemy_skill_triggers!$1:$1,0)-MATCH($F$1,enemy_skill_triggers!$1:$1,0)+1,FALSE)</f>
        <v>831</v>
      </c>
      <c r="I316" s="48">
        <f ca="1">VLOOKUP($F316,OFFSET(enemy_skill_triggers!$A$1,0,0,COUNTA(enemy_skill_triggers!$A:$A),MATCH(I$1,enemy_skill_triggers!$1:$1,0)-MATCH($F$1,enemy_skill_triggers!$1:$1,0)+1),MATCH(I$1,enemy_skill_triggers!$1:$1,0)-MATCH($F$1,enemy_skill_triggers!$1:$1,0)+1,FALSE)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6" s="48" t="str">
        <f ca="1">VLOOKUP($F316,OFFSET(enemy_skill_triggers!$A$1,0,0,COUNTA(enemy_skill_triggers!$A:$A),MATCH(J$1,enemy_skill_triggers!$1:$1,0)-MATCH($F$1,enemy_skill_triggers!$1:$1,0)+1),MATCH(J$1,enemy_skill_triggers!$1:$1,0)-MATCH($F$1,enemy_skill_triggers!$1:$1,0)+1,FALSE)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6" s="48" t="str">
        <f ca="1">VLOOKUP($F316,OFFSET(enemy_skill_triggers!$A$1,0,0,COUNTA(enemy_skill_triggers!$A:$A),MATCH(K$1,enemy_skill_triggers!$1:$1,0)-MATCH($F$1,enemy_skill_triggers!$1:$1,0)+1),MATCH(K$1,enemy_skill_triggers!$1:$1,0)-MATCH($F$1,enemy_skill_triggers!$1:$1,0)+1,FALSE)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6" s="48">
        <f ca="1">VLOOKUP($F316,OFFSET(enemy_skill_triggers!$A$1,0,0,COUNTA(enemy_skill_triggers!$A:$A),MATCH(L$1,enemy_skill_triggers!$1:$1,0)-MATCH($F$1,enemy_skill_triggers!$1:$1,0)+1),MATCH(L$1,enemy_skill_triggers!$1:$1,0)-MATCH($F$1,enemy_skill_triggers!$1:$1,0)+1,FALSE)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6" s="48">
        <f ca="1">VLOOKUP($F316,OFFSET(enemy_skill_triggers!$A$1,0,0,COUNTA(enemy_skill_triggers!$A:$A),MATCH(M$1,enemy_skill_triggers!$1:$1,0)-MATCH($F$1,enemy_skill_triggers!$1:$1,0)+1),MATCH(M$1,enemy_skill_triggers!$1:$1,0)-MATCH($F$1,enemy_skill_triggers!$1:$1,0)+1,FALSE)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6" s="48">
        <f ca="1">VLOOKUP($F316,OFFSET(enemy_skill_triggers!$A$1,0,0,COUNTA(enemy_skill_triggers!$A:$A),MATCH(N$1,enemy_skill_triggers!$1:$1,0)-MATCH($F$1,enemy_skill_triggers!$1:$1,0)+1),MATCH(N$1,enemy_skill_triggers!$1:$1,0)-MATCH($F$1,enemy_skill_triggers!$1:$1,0)+1,FALSE)</f>
        <v>1581</v>
      </c>
      <c r="O316" s="48">
        <f ca="1">VLOOKUP($F316,OFFSET(enemy_skill_triggers!$A$1,0,0,COUNTA(enemy_skill_triggers!$A:$A),MATCH(O$1,enemy_skill_triggers!$1:$1,0)-MATCH($F$1,enemy_skill_triggers!$1:$1,0)+1),MATCH(O$1,enemy_skill_triggers!$1:$1,0)-MATCH($F$1,enemy_skill_triggers!$1:$1,0)+1,FALSE)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6" s="47"/>
      <c r="Q316" s="47"/>
      <c r="R316" s="47"/>
    </row>
    <row r="317" spans="1:18" ht="16" customHeight="1" x14ac:dyDescent="0.15">
      <c r="A317" s="39" t="str">
        <f t="shared" si="20"/>
        <v>49016620_49016607</v>
      </c>
      <c r="B317" s="123">
        <v>49016620</v>
      </c>
      <c r="C317" s="175">
        <v>49016607</v>
      </c>
      <c r="D317" s="46" t="str">
        <f ca="1">VLOOKUP($C317,OFFSET(enemy_skills!$A$1,0,0,COUNTA(enemy_skills!$A:$A),MATCH(D$1,enemy_skills!$1:$1,0)-MATCH("enemy_skill_id",enemy_skills!$1:$1,0)+1),MATCH(D$1,enemy_skills!$1:$1,0)-MATCH("enemy_skill_id",enemy_skills!$1:$1,0)+1,FALSE)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317" s="46" t="str">
        <f ca="1">VLOOKUP($C317,OFFSET(enemy_skills!$A$1,0,0,COUNTA(enemy_skills!$A:$A),MATCH(E$1,enemy_skills!$1:$1,0)-MATCH("enemy_skill_id",enemy_skills!$1:$1,0)+1),MATCH(E$1,enemy_skills!$1:$1,0)-MATCH("enemy_skill_id",enemy_skills!$1:$1,0)+1,FALSE)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17" s="175">
        <v>49016642</v>
      </c>
      <c r="G317" s="48">
        <f ca="1">VLOOKUP($F317,OFFSET(enemy_skill_triggers!$A$1,0,0,COUNTA(enemy_skill_triggers!$A:$A),MATCH(G$1,enemy_skill_triggers!$1:$1,0)-MATCH($F$1,enemy_skill_triggers!$1:$1,0)+1),MATCH(G$1,enemy_skill_triggers!$1:$1,0)-MATCH($F$1,enemy_skill_triggers!$1:$1,0)+1,FALSE)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7" s="48">
        <f ca="1">VLOOKUP($F317,OFFSET(enemy_skill_triggers!$A$1,0,0,COUNTA(enemy_skill_triggers!$A:$A),MATCH(H$1,enemy_skill_triggers!$1:$1,0)-MATCH($F$1,enemy_skill_triggers!$1:$1,0)+1),MATCH(H$1,enemy_skill_triggers!$1:$1,0)-MATCH($F$1,enemy_skill_triggers!$1:$1,0)+1,FALSE)</f>
        <v>832</v>
      </c>
      <c r="I317" s="48">
        <f ca="1">VLOOKUP($F317,OFFSET(enemy_skill_triggers!$A$1,0,0,COUNTA(enemy_skill_triggers!$A:$A),MATCH(I$1,enemy_skill_triggers!$1:$1,0)-MATCH($F$1,enemy_skill_triggers!$1:$1,0)+1),MATCH(I$1,enemy_skill_triggers!$1:$1,0)-MATCH($F$1,enemy_skill_triggers!$1:$1,0)+1,FALSE)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7" s="48" t="str">
        <f ca="1">VLOOKUP($F317,OFFSET(enemy_skill_triggers!$A$1,0,0,COUNTA(enemy_skill_triggers!$A:$A),MATCH(J$1,enemy_skill_triggers!$1:$1,0)-MATCH($F$1,enemy_skill_triggers!$1:$1,0)+1),MATCH(J$1,enemy_skill_triggers!$1:$1,0)-MATCH($F$1,enemy_skill_triggers!$1:$1,0)+1,FALSE)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7" s="48" t="str">
        <f ca="1">VLOOKUP($F317,OFFSET(enemy_skill_triggers!$A$1,0,0,COUNTA(enemy_skill_triggers!$A:$A),MATCH(K$1,enemy_skill_triggers!$1:$1,0)-MATCH($F$1,enemy_skill_triggers!$1:$1,0)+1),MATCH(K$1,enemy_skill_triggers!$1:$1,0)-MATCH($F$1,enemy_skill_triggers!$1:$1,0)+1,FALSE)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7" s="48">
        <f ca="1">VLOOKUP($F317,OFFSET(enemy_skill_triggers!$A$1,0,0,COUNTA(enemy_skill_triggers!$A:$A),MATCH(L$1,enemy_skill_triggers!$1:$1,0)-MATCH($F$1,enemy_skill_triggers!$1:$1,0)+1),MATCH(L$1,enemy_skill_triggers!$1:$1,0)-MATCH($F$1,enemy_skill_triggers!$1:$1,0)+1,FALSE)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7" s="48">
        <f ca="1">VLOOKUP($F317,OFFSET(enemy_skill_triggers!$A$1,0,0,COUNTA(enemy_skill_triggers!$A:$A),MATCH(M$1,enemy_skill_triggers!$1:$1,0)-MATCH($F$1,enemy_skill_triggers!$1:$1,0)+1),MATCH(M$1,enemy_skill_triggers!$1:$1,0)-MATCH($F$1,enemy_skill_triggers!$1:$1,0)+1,FALSE)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7" s="48">
        <f ca="1">VLOOKUP($F317,OFFSET(enemy_skill_triggers!$A$1,0,0,COUNTA(enemy_skill_triggers!$A:$A),MATCH(N$1,enemy_skill_triggers!$1:$1,0)-MATCH($F$1,enemy_skill_triggers!$1:$1,0)+1),MATCH(N$1,enemy_skill_triggers!$1:$1,0)-MATCH($F$1,enemy_skill_triggers!$1:$1,0)+1,FALSE)</f>
        <v>1582</v>
      </c>
      <c r="O317" s="48">
        <f ca="1">VLOOKUP($F317,OFFSET(enemy_skill_triggers!$A$1,0,0,COUNTA(enemy_skill_triggers!$A:$A),MATCH(O$1,enemy_skill_triggers!$1:$1,0)-MATCH($F$1,enemy_skill_triggers!$1:$1,0)+1),MATCH(O$1,enemy_skill_triggers!$1:$1,0)-MATCH($F$1,enemy_skill_triggers!$1:$1,0)+1,FALSE)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7" s="47"/>
      <c r="Q317" s="47"/>
      <c r="R317" s="47"/>
    </row>
    <row r="318" spans="1:18" ht="16" customHeight="1" x14ac:dyDescent="0.15">
      <c r="A318" s="39" t="str">
        <f t="shared" si="20"/>
        <v>49016620_49016607</v>
      </c>
      <c r="B318" s="123">
        <v>49016620</v>
      </c>
      <c r="C318" s="175">
        <v>49016607</v>
      </c>
      <c r="D318" s="46" t="str">
        <f ca="1">VLOOKUP($C318,OFFSET(enemy_skills!$A$1,0,0,COUNTA(enemy_skills!$A:$A),MATCH(D$1,enemy_skills!$1:$1,0)-MATCH("enemy_skill_id",enemy_skills!$1:$1,0)+1),MATCH(D$1,enemy_skills!$1:$1,0)-MATCH("enemy_skill_id",enemy_skills!$1:$1,0)+1,FALSE)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318" s="46" t="str">
        <f ca="1">VLOOKUP($C318,OFFSET(enemy_skills!$A$1,0,0,COUNTA(enemy_skills!$A:$A),MATCH(E$1,enemy_skills!$1:$1,0)-MATCH("enemy_skill_id",enemy_skills!$1:$1,0)+1),MATCH(E$1,enemy_skills!$1:$1,0)-MATCH("enemy_skill_id",enemy_skills!$1:$1,0)+1,FALSE)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18" s="175">
        <v>49016643</v>
      </c>
      <c r="G318" s="48">
        <f ca="1">VLOOKUP($F318,OFFSET(enemy_skill_triggers!$A$1,0,0,COUNTA(enemy_skill_triggers!$A:$A),MATCH(G$1,enemy_skill_triggers!$1:$1,0)-MATCH($F$1,enemy_skill_triggers!$1:$1,0)+1),MATCH(G$1,enemy_skill_triggers!$1:$1,0)-MATCH($F$1,enemy_skill_triggers!$1:$1,0)+1,FALSE)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8" s="48">
        <f ca="1">VLOOKUP($F318,OFFSET(enemy_skill_triggers!$A$1,0,0,COUNTA(enemy_skill_triggers!$A:$A),MATCH(H$1,enemy_skill_triggers!$1:$1,0)-MATCH($F$1,enemy_skill_triggers!$1:$1,0)+1),MATCH(H$1,enemy_skill_triggers!$1:$1,0)-MATCH($F$1,enemy_skill_triggers!$1:$1,0)+1,FALSE)</f>
        <v>833</v>
      </c>
      <c r="I318" s="48">
        <f ca="1">VLOOKUP($F318,OFFSET(enemy_skill_triggers!$A$1,0,0,COUNTA(enemy_skill_triggers!$A:$A),MATCH(I$1,enemy_skill_triggers!$1:$1,0)-MATCH($F$1,enemy_skill_triggers!$1:$1,0)+1),MATCH(I$1,enemy_skill_triggers!$1:$1,0)-MATCH($F$1,enemy_skill_triggers!$1:$1,0)+1,FALSE)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8" s="48" t="str">
        <f ca="1">VLOOKUP($F318,OFFSET(enemy_skill_triggers!$A$1,0,0,COUNTA(enemy_skill_triggers!$A:$A),MATCH(J$1,enemy_skill_triggers!$1:$1,0)-MATCH($F$1,enemy_skill_triggers!$1:$1,0)+1),MATCH(J$1,enemy_skill_triggers!$1:$1,0)-MATCH($F$1,enemy_skill_triggers!$1:$1,0)+1,FALSE)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8" s="48" t="str">
        <f ca="1">VLOOKUP($F318,OFFSET(enemy_skill_triggers!$A$1,0,0,COUNTA(enemy_skill_triggers!$A:$A),MATCH(K$1,enemy_skill_triggers!$1:$1,0)-MATCH($F$1,enemy_skill_triggers!$1:$1,0)+1),MATCH(K$1,enemy_skill_triggers!$1:$1,0)-MATCH($F$1,enemy_skill_triggers!$1:$1,0)+1,FALSE)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8" s="48">
        <f ca="1">VLOOKUP($F318,OFFSET(enemy_skill_triggers!$A$1,0,0,COUNTA(enemy_skill_triggers!$A:$A),MATCH(L$1,enemy_skill_triggers!$1:$1,0)-MATCH($F$1,enemy_skill_triggers!$1:$1,0)+1),MATCH(L$1,enemy_skill_triggers!$1:$1,0)-MATCH($F$1,enemy_skill_triggers!$1:$1,0)+1,FALSE)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8" s="48">
        <f ca="1">VLOOKUP($F318,OFFSET(enemy_skill_triggers!$A$1,0,0,COUNTA(enemy_skill_triggers!$A:$A),MATCH(M$1,enemy_skill_triggers!$1:$1,0)-MATCH($F$1,enemy_skill_triggers!$1:$1,0)+1),MATCH(M$1,enemy_skill_triggers!$1:$1,0)-MATCH($F$1,enemy_skill_triggers!$1:$1,0)+1,FALSE)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8" s="48">
        <f ca="1">VLOOKUP($F318,OFFSET(enemy_skill_triggers!$A$1,0,0,COUNTA(enemy_skill_triggers!$A:$A),MATCH(N$1,enemy_skill_triggers!$1:$1,0)-MATCH($F$1,enemy_skill_triggers!$1:$1,0)+1),MATCH(N$1,enemy_skill_triggers!$1:$1,0)-MATCH($F$1,enemy_skill_triggers!$1:$1,0)+1,FALSE)</f>
        <v>1583</v>
      </c>
      <c r="O318" s="48">
        <f ca="1">VLOOKUP($F318,OFFSET(enemy_skill_triggers!$A$1,0,0,COUNTA(enemy_skill_triggers!$A:$A),MATCH(O$1,enemy_skill_triggers!$1:$1,0)-MATCH($F$1,enemy_skill_triggers!$1:$1,0)+1),MATCH(O$1,enemy_skill_triggers!$1:$1,0)-MATCH($F$1,enemy_skill_triggers!$1:$1,0)+1,FALSE)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8" s="47"/>
      <c r="Q318" s="47"/>
      <c r="R318" s="47"/>
    </row>
    <row r="319" spans="1:18" ht="16" customHeight="1" x14ac:dyDescent="0.15">
      <c r="A319" s="39" t="str">
        <f t="shared" si="20"/>
        <v>49016620_49016607</v>
      </c>
      <c r="B319" s="123">
        <v>49016620</v>
      </c>
      <c r="C319" s="175">
        <v>49016607</v>
      </c>
      <c r="D319" s="46" t="str">
        <f ca="1">VLOOKUP($C319,OFFSET(enemy_skills!$A$1,0,0,COUNTA(enemy_skills!$A:$A),MATCH(D$1,enemy_skills!$1:$1,0)-MATCH("enemy_skill_id",enemy_skills!$1:$1,0)+1),MATCH(D$1,enemy_skills!$1:$1,0)-MATCH("enemy_skill_id",enemy_skills!$1:$1,0)+1,FALSE)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319" s="46" t="str">
        <f ca="1">VLOOKUP($C319,OFFSET(enemy_skills!$A$1,0,0,COUNTA(enemy_skills!$A:$A),MATCH(E$1,enemy_skills!$1:$1,0)-MATCH("enemy_skill_id",enemy_skills!$1:$1,0)+1),MATCH(E$1,enemy_skills!$1:$1,0)-MATCH("enemy_skill_id",enemy_skills!$1:$1,0)+1,FALSE)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19" s="175">
        <v>49016644</v>
      </c>
      <c r="G319" s="48">
        <f ca="1">VLOOKUP($F319,OFFSET(enemy_skill_triggers!$A$1,0,0,COUNTA(enemy_skill_triggers!$A:$A),MATCH(G$1,enemy_skill_triggers!$1:$1,0)-MATCH($F$1,enemy_skill_triggers!$1:$1,0)+1),MATCH(G$1,enemy_skill_triggers!$1:$1,0)-MATCH($F$1,enemy_skill_triggers!$1:$1,0)+1,FALSE)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9" s="48">
        <f ca="1">VLOOKUP($F319,OFFSET(enemy_skill_triggers!$A$1,0,0,COUNTA(enemy_skill_triggers!$A:$A),MATCH(H$1,enemy_skill_triggers!$1:$1,0)-MATCH($F$1,enemy_skill_triggers!$1:$1,0)+1),MATCH(H$1,enemy_skill_triggers!$1:$1,0)-MATCH($F$1,enemy_skill_triggers!$1:$1,0)+1,FALSE)</f>
        <v>834</v>
      </c>
      <c r="I319" s="48">
        <f ca="1">VLOOKUP($F319,OFFSET(enemy_skill_triggers!$A$1,0,0,COUNTA(enemy_skill_triggers!$A:$A),MATCH(I$1,enemy_skill_triggers!$1:$1,0)-MATCH($F$1,enemy_skill_triggers!$1:$1,0)+1),MATCH(I$1,enemy_skill_triggers!$1:$1,0)-MATCH($F$1,enemy_skill_triggers!$1:$1,0)+1,FALSE)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9" s="48" t="str">
        <f ca="1">VLOOKUP($F319,OFFSET(enemy_skill_triggers!$A$1,0,0,COUNTA(enemy_skill_triggers!$A:$A),MATCH(J$1,enemy_skill_triggers!$1:$1,0)-MATCH($F$1,enemy_skill_triggers!$1:$1,0)+1),MATCH(J$1,enemy_skill_triggers!$1:$1,0)-MATCH($F$1,enemy_skill_triggers!$1:$1,0)+1,FALSE)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9" s="48" t="str">
        <f ca="1">VLOOKUP($F319,OFFSET(enemy_skill_triggers!$A$1,0,0,COUNTA(enemy_skill_triggers!$A:$A),MATCH(K$1,enemy_skill_triggers!$1:$1,0)-MATCH($F$1,enemy_skill_triggers!$1:$1,0)+1),MATCH(K$1,enemy_skill_triggers!$1:$1,0)-MATCH($F$1,enemy_skill_triggers!$1:$1,0)+1,FALSE)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9" s="48">
        <f ca="1">VLOOKUP($F319,OFFSET(enemy_skill_triggers!$A$1,0,0,COUNTA(enemy_skill_triggers!$A:$A),MATCH(L$1,enemy_skill_triggers!$1:$1,0)-MATCH($F$1,enemy_skill_triggers!$1:$1,0)+1),MATCH(L$1,enemy_skill_triggers!$1:$1,0)-MATCH($F$1,enemy_skill_triggers!$1:$1,0)+1,FALSE)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19" s="48">
        <f ca="1">VLOOKUP($F319,OFFSET(enemy_skill_triggers!$A$1,0,0,COUNTA(enemy_skill_triggers!$A:$A),MATCH(M$1,enemy_skill_triggers!$1:$1,0)-MATCH($F$1,enemy_skill_triggers!$1:$1,0)+1),MATCH(M$1,enemy_skill_triggers!$1:$1,0)-MATCH($F$1,enemy_skill_triggers!$1:$1,0)+1,FALSE)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9" s="48">
        <f ca="1">VLOOKUP($F319,OFFSET(enemy_skill_triggers!$A$1,0,0,COUNTA(enemy_skill_triggers!$A:$A),MATCH(N$1,enemy_skill_triggers!$1:$1,0)-MATCH($F$1,enemy_skill_triggers!$1:$1,0)+1),MATCH(N$1,enemy_skill_triggers!$1:$1,0)-MATCH($F$1,enemy_skill_triggers!$1:$1,0)+1,FALSE)</f>
        <v>1584</v>
      </c>
      <c r="O319" s="48">
        <f ca="1">VLOOKUP($F319,OFFSET(enemy_skill_triggers!$A$1,0,0,COUNTA(enemy_skill_triggers!$A:$A),MATCH(O$1,enemy_skill_triggers!$1:$1,0)-MATCH($F$1,enemy_skill_triggers!$1:$1,0)+1),MATCH(O$1,enemy_skill_triggers!$1:$1,0)-MATCH($F$1,enemy_skill_triggers!$1:$1,0)+1,FALSE)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9" s="47"/>
      <c r="Q319" s="47"/>
      <c r="R319" s="47"/>
    </row>
    <row r="320" spans="1:18" ht="16" customHeight="1" x14ac:dyDescent="0.15">
      <c r="A320" s="39" t="str">
        <f t="shared" si="20"/>
        <v>49016620_49016607</v>
      </c>
      <c r="B320" s="123">
        <v>49016620</v>
      </c>
      <c r="C320" s="175">
        <v>49016607</v>
      </c>
      <c r="D320" s="46" t="str">
        <f ca="1">VLOOKUP($C320,OFFSET(enemy_skills!$A$1,0,0,COUNTA(enemy_skills!$A:$A),MATCH(D$1,enemy_skills!$1:$1,0)-MATCH("enemy_skill_id",enemy_skills!$1:$1,0)+1),MATCH(D$1,enemy_skills!$1:$1,0)-MATCH("enemy_skill_id",enemy_skills!$1:$1,0)+1,FALSE)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320" s="46" t="str">
        <f ca="1">VLOOKUP($C320,OFFSET(enemy_skills!$A$1,0,0,COUNTA(enemy_skills!$A:$A),MATCH(E$1,enemy_skills!$1:$1,0)-MATCH("enemy_skill_id",enemy_skills!$1:$1,0)+1),MATCH(E$1,enemy_skills!$1:$1,0)-MATCH("enemy_skill_id",enemy_skills!$1:$1,0)+1,FALSE)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20" s="175">
        <v>49016645</v>
      </c>
      <c r="G320" s="48">
        <f ca="1">VLOOKUP($F320,OFFSET(enemy_skill_triggers!$A$1,0,0,COUNTA(enemy_skill_triggers!$A:$A),MATCH(G$1,enemy_skill_triggers!$1:$1,0)-MATCH($F$1,enemy_skill_triggers!$1:$1,0)+1),MATCH(G$1,enemy_skill_triggers!$1:$1,0)-MATCH($F$1,enemy_skill_triggers!$1:$1,0)+1,FALSE)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0" s="48">
        <f ca="1">VLOOKUP($F320,OFFSET(enemy_skill_triggers!$A$1,0,0,COUNTA(enemy_skill_triggers!$A:$A),MATCH(H$1,enemy_skill_triggers!$1:$1,0)-MATCH($F$1,enemy_skill_triggers!$1:$1,0)+1),MATCH(H$1,enemy_skill_triggers!$1:$1,0)-MATCH($F$1,enemy_skill_triggers!$1:$1,0)+1,FALSE)</f>
        <v>835</v>
      </c>
      <c r="I320" s="48">
        <f ca="1">VLOOKUP($F320,OFFSET(enemy_skill_triggers!$A$1,0,0,COUNTA(enemy_skill_triggers!$A:$A),MATCH(I$1,enemy_skill_triggers!$1:$1,0)-MATCH($F$1,enemy_skill_triggers!$1:$1,0)+1),MATCH(I$1,enemy_skill_triggers!$1:$1,0)-MATCH($F$1,enemy_skill_triggers!$1:$1,0)+1,FALSE)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0" s="48" t="str">
        <f ca="1">VLOOKUP($F320,OFFSET(enemy_skill_triggers!$A$1,0,0,COUNTA(enemy_skill_triggers!$A:$A),MATCH(J$1,enemy_skill_triggers!$1:$1,0)-MATCH($F$1,enemy_skill_triggers!$1:$1,0)+1),MATCH(J$1,enemy_skill_triggers!$1:$1,0)-MATCH($F$1,enemy_skill_triggers!$1:$1,0)+1,FALSE)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0" s="48" t="str">
        <f ca="1">VLOOKUP($F320,OFFSET(enemy_skill_triggers!$A$1,0,0,COUNTA(enemy_skill_triggers!$A:$A),MATCH(K$1,enemy_skill_triggers!$1:$1,0)-MATCH($F$1,enemy_skill_triggers!$1:$1,0)+1),MATCH(K$1,enemy_skill_triggers!$1:$1,0)-MATCH($F$1,enemy_skill_triggers!$1:$1,0)+1,FALSE)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0" s="48">
        <f ca="1">VLOOKUP($F320,OFFSET(enemy_skill_triggers!$A$1,0,0,COUNTA(enemy_skill_triggers!$A:$A),MATCH(L$1,enemy_skill_triggers!$1:$1,0)-MATCH($F$1,enemy_skill_triggers!$1:$1,0)+1),MATCH(L$1,enemy_skill_triggers!$1:$1,0)-MATCH($F$1,enemy_skill_triggers!$1:$1,0)+1,FALSE)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20" s="48">
        <f ca="1">VLOOKUP($F320,OFFSET(enemy_skill_triggers!$A$1,0,0,COUNTA(enemy_skill_triggers!$A:$A),MATCH(M$1,enemy_skill_triggers!$1:$1,0)-MATCH($F$1,enemy_skill_triggers!$1:$1,0)+1),MATCH(M$1,enemy_skill_triggers!$1:$1,0)-MATCH($F$1,enemy_skill_triggers!$1:$1,0)+1,FALSE)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0" s="48">
        <f ca="1">VLOOKUP($F320,OFFSET(enemy_skill_triggers!$A$1,0,0,COUNTA(enemy_skill_triggers!$A:$A),MATCH(N$1,enemy_skill_triggers!$1:$1,0)-MATCH($F$1,enemy_skill_triggers!$1:$1,0)+1),MATCH(N$1,enemy_skill_triggers!$1:$1,0)-MATCH($F$1,enemy_skill_triggers!$1:$1,0)+1,FALSE)</f>
        <v>1585</v>
      </c>
      <c r="O320" s="48">
        <f ca="1">VLOOKUP($F320,OFFSET(enemy_skill_triggers!$A$1,0,0,COUNTA(enemy_skill_triggers!$A:$A),MATCH(O$1,enemy_skill_triggers!$1:$1,0)-MATCH($F$1,enemy_skill_triggers!$1:$1,0)+1),MATCH(O$1,enemy_skill_triggers!$1:$1,0)-MATCH($F$1,enemy_skill_triggers!$1:$1,0)+1,FALSE)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0" s="47"/>
      <c r="Q320" s="47"/>
      <c r="R320" s="47"/>
    </row>
    <row r="321" spans="1:18" ht="16" customHeight="1" x14ac:dyDescent="0.15">
      <c r="A321" s="39" t="str">
        <f t="shared" si="20"/>
        <v>49016620_49016607</v>
      </c>
      <c r="B321" s="123">
        <v>49016620</v>
      </c>
      <c r="C321" s="175">
        <v>49016607</v>
      </c>
      <c r="D321" s="46" t="str">
        <f ca="1">VLOOKUP($C321,OFFSET(enemy_skills!$A$1,0,0,COUNTA(enemy_skills!$A:$A),MATCH(D$1,enemy_skills!$1:$1,0)-MATCH("enemy_skill_id",enemy_skills!$1:$1,0)+1),MATCH(D$1,enemy_skills!$1:$1,0)-MATCH("enemy_skill_id",enemy_skills!$1:$1,0)+1,FALSE)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321" s="46" t="str">
        <f ca="1">VLOOKUP($C321,OFFSET(enemy_skills!$A$1,0,0,COUNTA(enemy_skills!$A:$A),MATCH(E$1,enemy_skills!$1:$1,0)-MATCH("enemy_skill_id",enemy_skills!$1:$1,0)+1),MATCH(E$1,enemy_skills!$1:$1,0)-MATCH("enemy_skill_id",enemy_skills!$1:$1,0)+1,FALSE)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21" s="175">
        <v>49016646</v>
      </c>
      <c r="G321" s="48">
        <f ca="1">VLOOKUP($F321,OFFSET(enemy_skill_triggers!$A$1,0,0,COUNTA(enemy_skill_triggers!$A:$A),MATCH(G$1,enemy_skill_triggers!$1:$1,0)-MATCH($F$1,enemy_skill_triggers!$1:$1,0)+1),MATCH(G$1,enemy_skill_triggers!$1:$1,0)-MATCH($F$1,enemy_skill_triggers!$1:$1,0)+1,FALSE)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1" s="48">
        <f ca="1">VLOOKUP($F321,OFFSET(enemy_skill_triggers!$A$1,0,0,COUNTA(enemy_skill_triggers!$A:$A),MATCH(H$1,enemy_skill_triggers!$1:$1,0)-MATCH($F$1,enemy_skill_triggers!$1:$1,0)+1),MATCH(H$1,enemy_skill_triggers!$1:$1,0)-MATCH($F$1,enemy_skill_triggers!$1:$1,0)+1,FALSE)</f>
        <v>836</v>
      </c>
      <c r="I321" s="48">
        <f ca="1">VLOOKUP($F321,OFFSET(enemy_skill_triggers!$A$1,0,0,COUNTA(enemy_skill_triggers!$A:$A),MATCH(I$1,enemy_skill_triggers!$1:$1,0)-MATCH($F$1,enemy_skill_triggers!$1:$1,0)+1),MATCH(I$1,enemy_skill_triggers!$1:$1,0)-MATCH($F$1,enemy_skill_triggers!$1:$1,0)+1,FALSE)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1" s="48" t="str">
        <f ca="1">VLOOKUP($F321,OFFSET(enemy_skill_triggers!$A$1,0,0,COUNTA(enemy_skill_triggers!$A:$A),MATCH(J$1,enemy_skill_triggers!$1:$1,0)-MATCH($F$1,enemy_skill_triggers!$1:$1,0)+1),MATCH(J$1,enemy_skill_triggers!$1:$1,0)-MATCH($F$1,enemy_skill_triggers!$1:$1,0)+1,FALSE)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1" s="48" t="str">
        <f ca="1">VLOOKUP($F321,OFFSET(enemy_skill_triggers!$A$1,0,0,COUNTA(enemy_skill_triggers!$A:$A),MATCH(K$1,enemy_skill_triggers!$1:$1,0)-MATCH($F$1,enemy_skill_triggers!$1:$1,0)+1),MATCH(K$1,enemy_skill_triggers!$1:$1,0)-MATCH($F$1,enemy_skill_triggers!$1:$1,0)+1,FALSE)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1" s="48">
        <f ca="1">VLOOKUP($F321,OFFSET(enemy_skill_triggers!$A$1,0,0,COUNTA(enemy_skill_triggers!$A:$A),MATCH(L$1,enemy_skill_triggers!$1:$1,0)-MATCH($F$1,enemy_skill_triggers!$1:$1,0)+1),MATCH(L$1,enemy_skill_triggers!$1:$1,0)-MATCH($F$1,enemy_skill_triggers!$1:$1,0)+1,FALSE)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21" s="48">
        <f ca="1">VLOOKUP($F321,OFFSET(enemy_skill_triggers!$A$1,0,0,COUNTA(enemy_skill_triggers!$A:$A),MATCH(M$1,enemy_skill_triggers!$1:$1,0)-MATCH($F$1,enemy_skill_triggers!$1:$1,0)+1),MATCH(M$1,enemy_skill_triggers!$1:$1,0)-MATCH($F$1,enemy_skill_triggers!$1:$1,0)+1,FALSE)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1" s="48">
        <f ca="1">VLOOKUP($F321,OFFSET(enemy_skill_triggers!$A$1,0,0,COUNTA(enemy_skill_triggers!$A:$A),MATCH(N$1,enemy_skill_triggers!$1:$1,0)-MATCH($F$1,enemy_skill_triggers!$1:$1,0)+1),MATCH(N$1,enemy_skill_triggers!$1:$1,0)-MATCH($F$1,enemy_skill_triggers!$1:$1,0)+1,FALSE)</f>
        <v>1586</v>
      </c>
      <c r="O321" s="48">
        <f ca="1">VLOOKUP($F321,OFFSET(enemy_skill_triggers!$A$1,0,0,COUNTA(enemy_skill_triggers!$A:$A),MATCH(O$1,enemy_skill_triggers!$1:$1,0)-MATCH($F$1,enemy_skill_triggers!$1:$1,0)+1),MATCH(O$1,enemy_skill_triggers!$1:$1,0)-MATCH($F$1,enemy_skill_triggers!$1:$1,0)+1,FALSE)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1" s="47"/>
      <c r="Q321" s="47"/>
      <c r="R321" s="47"/>
    </row>
    <row r="322" spans="1:18" ht="16" customHeight="1" x14ac:dyDescent="0.15">
      <c r="A322" s="39" t="str">
        <f t="shared" si="20"/>
        <v>49016620_49016607</v>
      </c>
      <c r="B322" s="123">
        <v>49016620</v>
      </c>
      <c r="C322" s="175">
        <v>49016607</v>
      </c>
      <c r="D322" s="46" t="str">
        <f ca="1">VLOOKUP($C322,OFFSET(enemy_skills!$A$1,0,0,COUNTA(enemy_skills!$A:$A),MATCH(D$1,enemy_skills!$1:$1,0)-MATCH("enemy_skill_id",enemy_skills!$1:$1,0)+1),MATCH(D$1,enemy_skills!$1:$1,0)-MATCH("enemy_skill_id",enemy_skills!$1:$1,0)+1,FALSE)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322" s="46" t="str">
        <f ca="1">VLOOKUP($C322,OFFSET(enemy_skills!$A$1,0,0,COUNTA(enemy_skills!$A:$A),MATCH(E$1,enemy_skills!$1:$1,0)-MATCH("enemy_skill_id",enemy_skills!$1:$1,0)+1),MATCH(E$1,enemy_skills!$1:$1,0)-MATCH("enemy_skill_id",enemy_skills!$1:$1,0)+1,FALSE)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22" s="175">
        <v>49016647</v>
      </c>
      <c r="G322" s="48">
        <f ca="1">VLOOKUP($F322,OFFSET(enemy_skill_triggers!$A$1,0,0,COUNTA(enemy_skill_triggers!$A:$A),MATCH(G$1,enemy_skill_triggers!$1:$1,0)-MATCH($F$1,enemy_skill_triggers!$1:$1,0)+1),MATCH(G$1,enemy_skill_triggers!$1:$1,0)-MATCH($F$1,enemy_skill_triggers!$1:$1,0)+1,FALSE)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2" s="48">
        <f ca="1">VLOOKUP($F322,OFFSET(enemy_skill_triggers!$A$1,0,0,COUNTA(enemy_skill_triggers!$A:$A),MATCH(H$1,enemy_skill_triggers!$1:$1,0)-MATCH($F$1,enemy_skill_triggers!$1:$1,0)+1),MATCH(H$1,enemy_skill_triggers!$1:$1,0)-MATCH($F$1,enemy_skill_triggers!$1:$1,0)+1,FALSE)</f>
        <v>837</v>
      </c>
      <c r="I322" s="48">
        <f ca="1">VLOOKUP($F322,OFFSET(enemy_skill_triggers!$A$1,0,0,COUNTA(enemy_skill_triggers!$A:$A),MATCH(I$1,enemy_skill_triggers!$1:$1,0)-MATCH($F$1,enemy_skill_triggers!$1:$1,0)+1),MATCH(I$1,enemy_skill_triggers!$1:$1,0)-MATCH($F$1,enemy_skill_triggers!$1:$1,0)+1,FALSE)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2" s="48" t="str">
        <f ca="1">VLOOKUP($F322,OFFSET(enemy_skill_triggers!$A$1,0,0,COUNTA(enemy_skill_triggers!$A:$A),MATCH(J$1,enemy_skill_triggers!$1:$1,0)-MATCH($F$1,enemy_skill_triggers!$1:$1,0)+1),MATCH(J$1,enemy_skill_triggers!$1:$1,0)-MATCH($F$1,enemy_skill_triggers!$1:$1,0)+1,FALSE)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2" s="48" t="str">
        <f ca="1">VLOOKUP($F322,OFFSET(enemy_skill_triggers!$A$1,0,0,COUNTA(enemy_skill_triggers!$A:$A),MATCH(K$1,enemy_skill_triggers!$1:$1,0)-MATCH($F$1,enemy_skill_triggers!$1:$1,0)+1),MATCH(K$1,enemy_skill_triggers!$1:$1,0)-MATCH($F$1,enemy_skill_triggers!$1:$1,0)+1,FALSE)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2" s="48">
        <f ca="1">VLOOKUP($F322,OFFSET(enemy_skill_triggers!$A$1,0,0,COUNTA(enemy_skill_triggers!$A:$A),MATCH(L$1,enemy_skill_triggers!$1:$1,0)-MATCH($F$1,enemy_skill_triggers!$1:$1,0)+1),MATCH(L$1,enemy_skill_triggers!$1:$1,0)-MATCH($F$1,enemy_skill_triggers!$1:$1,0)+1,FALSE)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22" s="48">
        <f ca="1">VLOOKUP($F322,OFFSET(enemy_skill_triggers!$A$1,0,0,COUNTA(enemy_skill_triggers!$A:$A),MATCH(M$1,enemy_skill_triggers!$1:$1,0)-MATCH($F$1,enemy_skill_triggers!$1:$1,0)+1),MATCH(M$1,enemy_skill_triggers!$1:$1,0)-MATCH($F$1,enemy_skill_triggers!$1:$1,0)+1,FALSE)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2" s="48">
        <f ca="1">VLOOKUP($F322,OFFSET(enemy_skill_triggers!$A$1,0,0,COUNTA(enemy_skill_triggers!$A:$A),MATCH(N$1,enemy_skill_triggers!$1:$1,0)-MATCH($F$1,enemy_skill_triggers!$1:$1,0)+1),MATCH(N$1,enemy_skill_triggers!$1:$1,0)-MATCH($F$1,enemy_skill_triggers!$1:$1,0)+1,FALSE)</f>
        <v>1587</v>
      </c>
      <c r="O322" s="48">
        <f ca="1">VLOOKUP($F322,OFFSET(enemy_skill_triggers!$A$1,0,0,COUNTA(enemy_skill_triggers!$A:$A),MATCH(O$1,enemy_skill_triggers!$1:$1,0)-MATCH($F$1,enemy_skill_triggers!$1:$1,0)+1),MATCH(O$1,enemy_skill_triggers!$1:$1,0)-MATCH($F$1,enemy_skill_triggers!$1:$1,0)+1,FALSE)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2" s="47"/>
      <c r="Q322" s="47"/>
      <c r="R322" s="47"/>
    </row>
    <row r="323" spans="1:18" ht="16" customHeight="1" thickBot="1" x14ac:dyDescent="0.2">
      <c r="A323" s="181" t="str">
        <f t="shared" si="20"/>
        <v>49016620_49016607</v>
      </c>
      <c r="B323" s="182">
        <v>49016620</v>
      </c>
      <c r="C323" s="183">
        <v>49016607</v>
      </c>
      <c r="D323" s="184" t="str">
        <f ca="1">VLOOKUP($C323,OFFSET(enemy_skills!$A$1,0,0,COUNTA(enemy_skills!$A:$A),MATCH(D$1,enemy_skills!$1:$1,0)-MATCH("enemy_skill_id",enemy_skills!$1:$1,0)+1),MATCH(D$1,enemy_skills!$1:$1,0)-MATCH("enemy_skill_id",enemy_skills!$1:$1,0)+1,FALSE)</f>
        <v>ああ、ひかりが…</v>
      </c>
      <c r="E323" s="184" t="str">
        <f ca="1">VLOOKUP($C323,OFFSET(enemy_skills!$A$1,0,0,COUNTA(enemy_skills!$A:$A),MATCH(E$1,enemy_skills!$1:$1,0)-MATCH("enemy_skill_id",enemy_skills!$1:$1,0)+1),MATCH(E$1,enemy_skills!$1:$1,0)-MATCH("enemy_skill_id",enemy_skills!$1:$1,0)+1,FALSE)</f>
        <v>[表示しない]</v>
      </c>
      <c r="F323" s="175">
        <v>49016648</v>
      </c>
      <c r="G323" s="185">
        <f ca="1">VLOOKUP($F323,OFFSET(enemy_skill_triggers!$A$1,0,0,COUNTA(enemy_skill_triggers!$A:$A),MATCH(G$1,enemy_skill_triggers!$1:$1,0)-MATCH($F$1,enemy_skill_triggers!$1:$1,0)+1),MATCH(G$1,enemy_skill_triggers!$1:$1,0)-MATCH($F$1,enemy_skill_triggers!$1:$1,0)+1,FALSE)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3" s="185">
        <f ca="1">VLOOKUP($F323,OFFSET(enemy_skill_triggers!$A$1,0,0,COUNTA(enemy_skill_triggers!$A:$A),MATCH(H$1,enemy_skill_triggers!$1:$1,0)-MATCH($F$1,enemy_skill_triggers!$1:$1,0)+1),MATCH(H$1,enemy_skill_triggers!$1:$1,0)-MATCH($F$1,enemy_skill_triggers!$1:$1,0)+1,FALSE)</f>
        <v>838</v>
      </c>
      <c r="I323" s="185">
        <f ca="1">VLOOKUP($F323,OFFSET(enemy_skill_triggers!$A$1,0,0,COUNTA(enemy_skill_triggers!$A:$A),MATCH(I$1,enemy_skill_triggers!$1:$1,0)-MATCH($F$1,enemy_skill_triggers!$1:$1,0)+1),MATCH(I$1,enemy_skill_triggers!$1:$1,0)-MATCH($F$1,enemy_skill_triggers!$1:$1,0)+1,FALSE)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3" s="185" t="str">
        <f ca="1">VLOOKUP($F323,OFFSET(enemy_skill_triggers!$A$1,0,0,COUNTA(enemy_skill_triggers!$A:$A),MATCH(J$1,enemy_skill_triggers!$1:$1,0)-MATCH($F$1,enemy_skill_triggers!$1:$1,0)+1),MATCH(J$1,enemy_skill_triggers!$1:$1,0)-MATCH($F$1,enemy_skill_triggers!$1:$1,0)+1,FALSE)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3" s="185" t="str">
        <f ca="1">VLOOKUP($F323,OFFSET(enemy_skill_triggers!$A$1,0,0,COUNTA(enemy_skill_triggers!$A:$A),MATCH(K$1,enemy_skill_triggers!$1:$1,0)-MATCH($F$1,enemy_skill_triggers!$1:$1,0)+1),MATCH(K$1,enemy_skill_triggers!$1:$1,0)-MATCH($F$1,enemy_skill_triggers!$1:$1,0)+1,FALSE)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3" s="185">
        <f ca="1">VLOOKUP($F323,OFFSET(enemy_skill_triggers!$A$1,0,0,COUNTA(enemy_skill_triggers!$A:$A),MATCH(L$1,enemy_skill_triggers!$1:$1,0)-MATCH($F$1,enemy_skill_triggers!$1:$1,0)+1),MATCH(L$1,enemy_skill_triggers!$1:$1,0)-MATCH($F$1,enemy_skill_triggers!$1:$1,0)+1,FALSE)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23" s="185">
        <f ca="1">VLOOKUP($F323,OFFSET(enemy_skill_triggers!$A$1,0,0,COUNTA(enemy_skill_triggers!$A:$A),MATCH(M$1,enemy_skill_triggers!$1:$1,0)-MATCH($F$1,enemy_skill_triggers!$1:$1,0)+1),MATCH(M$1,enemy_skill_triggers!$1:$1,0)-MATCH($F$1,enemy_skill_triggers!$1:$1,0)+1,FALSE)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3" s="185">
        <f ca="1">VLOOKUP($F323,OFFSET(enemy_skill_triggers!$A$1,0,0,COUNTA(enemy_skill_triggers!$A:$A),MATCH(N$1,enemy_skill_triggers!$1:$1,0)-MATCH($F$1,enemy_skill_triggers!$1:$1,0)+1),MATCH(N$1,enemy_skill_triggers!$1:$1,0)-MATCH($F$1,enemy_skill_triggers!$1:$1,0)+1,FALSE)</f>
        <v>1588</v>
      </c>
      <c r="O323" s="185">
        <f ca="1">VLOOKUP($F323,OFFSET(enemy_skill_triggers!$A$1,0,0,COUNTA(enemy_skill_triggers!$A:$A),MATCH(O$1,enemy_skill_triggers!$1:$1,0)-MATCH($F$1,enemy_skill_triggers!$1:$1,0)+1),MATCH(O$1,enemy_skill_triggers!$1:$1,0)-MATCH($F$1,enemy_skill_triggers!$1:$1,0)+1,FALSE)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3" s="186"/>
      <c r="Q323" s="186"/>
      <c r="R323" s="18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E139"/>
  <sheetViews>
    <sheetView showGridLines="0" tabSelected="1" zoomScale="110" zoomScaleNormal="110" zoomScalePageLayoutView="110" workbookViewId="0">
      <pane ySplit="1" topLeftCell="A123" activePane="bottomLeft" state="frozenSplit"/>
      <selection pane="bottomLeft" activeCell="B136" sqref="B136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84.6640625" style="168" customWidth="1"/>
    <col min="3" max="3" width="5.1640625" style="49" customWidth="1"/>
    <col min="4" max="4" width="3.6640625" style="49" customWidth="1"/>
    <col min="5" max="5" width="29.1640625" style="49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14.6640625" style="49" customWidth="1" collapsed="1"/>
    <col min="13" max="18" width="23.6640625" style="49" hidden="1" customWidth="1" outlineLevel="1"/>
    <col min="19" max="19" width="18.6640625" style="49" customWidth="1" collapsed="1"/>
    <col min="20" max="24" width="23.6640625" style="49" hidden="1" customWidth="1" outlineLevel="1"/>
    <col min="25" max="25" width="17.5" style="49" customWidth="1" collapsed="1"/>
    <col min="26" max="28" width="4.6640625" style="49" customWidth="1"/>
    <col min="29" max="29" width="19.5" style="49" customWidth="1"/>
    <col min="30" max="30" width="38.83203125" style="49" customWidth="1"/>
    <col min="31" max="16384" width="12.83203125" style="49"/>
  </cols>
  <sheetData>
    <row r="1" spans="1:30" ht="21" customHeight="1" x14ac:dyDescent="0.15">
      <c r="A1" s="40" t="s">
        <v>78</v>
      </c>
      <c r="B1" s="160" t="s">
        <v>79</v>
      </c>
      <c r="C1" s="40" t="s">
        <v>80</v>
      </c>
      <c r="D1" s="40" t="s">
        <v>126</v>
      </c>
      <c r="E1" s="40" t="s">
        <v>81</v>
      </c>
      <c r="F1" s="40" t="s">
        <v>82</v>
      </c>
      <c r="G1" s="41" t="s">
        <v>132</v>
      </c>
      <c r="H1" s="41" t="s">
        <v>138</v>
      </c>
      <c r="I1" s="41" t="s">
        <v>140</v>
      </c>
      <c r="J1" s="41" t="s">
        <v>139</v>
      </c>
      <c r="K1" s="41" t="s">
        <v>141</v>
      </c>
      <c r="L1" s="41" t="s">
        <v>133</v>
      </c>
      <c r="M1" s="41" t="s">
        <v>131</v>
      </c>
      <c r="N1" s="41" t="s">
        <v>134</v>
      </c>
      <c r="O1" s="41" t="s">
        <v>142</v>
      </c>
      <c r="P1" s="41" t="s">
        <v>143</v>
      </c>
      <c r="Q1" s="41" t="s">
        <v>144</v>
      </c>
      <c r="R1" s="41" t="s">
        <v>145</v>
      </c>
      <c r="S1" s="41" t="s">
        <v>135</v>
      </c>
      <c r="T1" s="41" t="s">
        <v>136</v>
      </c>
      <c r="U1" s="41" t="s">
        <v>146</v>
      </c>
      <c r="V1" s="41" t="s">
        <v>147</v>
      </c>
      <c r="W1" s="41" t="s">
        <v>148</v>
      </c>
      <c r="X1" s="41" t="s">
        <v>149</v>
      </c>
      <c r="Y1" s="41" t="s">
        <v>137</v>
      </c>
      <c r="Z1" s="41" t="s">
        <v>75</v>
      </c>
      <c r="AA1" s="41" t="s">
        <v>76</v>
      </c>
      <c r="AB1" s="41" t="s">
        <v>77</v>
      </c>
    </row>
    <row r="2" spans="1:30" ht="29" customHeight="1" x14ac:dyDescent="0.15">
      <c r="A2" s="105">
        <v>49016000</v>
      </c>
      <c r="B2" s="161" t="s">
        <v>432</v>
      </c>
      <c r="C2" s="106">
        <v>1</v>
      </c>
      <c r="D2" s="106" t="s">
        <v>127</v>
      </c>
      <c r="E2" s="107" t="s">
        <v>365</v>
      </c>
      <c r="F2" s="107" t="s">
        <v>359</v>
      </c>
      <c r="G2" s="62" t="str">
        <f t="shared" ref="G2:G123" si="0">IFERROR(LEFT(B2,FIND("],",B2)),B2)</f>
        <v>[effect:enemy_message, val1:2.8, val2:0.0]</v>
      </c>
      <c r="H2" s="62">
        <f t="shared" ref="H2:H123" si="1">FIND("effect:",G2)+7</f>
        <v>9</v>
      </c>
      <c r="I2" s="62">
        <f t="shared" ref="I2:I123" si="2">IFERROR(FIND(",",G2),LEN(G2))</f>
        <v>22</v>
      </c>
      <c r="J2" s="62" t="e">
        <f t="shared" ref="J2:J123" si="3">FIND("target:",G2)+7</f>
        <v>#VALUE!</v>
      </c>
      <c r="K2" s="62">
        <f t="shared" ref="K2:K123" si="4">FIND(",",G2,I2+1)</f>
        <v>32</v>
      </c>
      <c r="L2" s="62" t="str">
        <f>IFERROR(VLOOKUP(MID(G2,J2,K2-J2),[6]skilldef!$C:$D,2,FALSE),"-") &amp; " / " &amp; IFERROR(VLOOKUP(MID(G2,H2,I2-H2),[6]skilldef!$A:$B,2,FALSE),"-")</f>
        <v>- / -</v>
      </c>
      <c r="M2" s="62" t="str">
        <f t="shared" ref="M2:M123" si="5">IFERROR(RIGHT(B2,LEN(B2)-FIND("],",B2)-1),"none")</f>
        <v>[effect:fix_speed, target:myself, turn:2]</v>
      </c>
      <c r="N2" s="48" t="str">
        <f>IFERROR(LEFT(M2,FIND("],",M2)+S46),M2)</f>
        <v>[effect:fix_speed, target:myself, turn:2]</v>
      </c>
      <c r="O2" s="62">
        <f t="shared" ref="O2:O123" si="6">FIND("effect:",N2)+7</f>
        <v>9</v>
      </c>
      <c r="P2" s="62">
        <f t="shared" ref="P2:P123" si="7">IFERROR(FIND(",",N2),LEN(N2))</f>
        <v>18</v>
      </c>
      <c r="Q2" s="62">
        <f t="shared" ref="Q2:Q123" si="8">FIND("target:",N2)+7</f>
        <v>27</v>
      </c>
      <c r="R2" s="62">
        <f t="shared" ref="R2:R123" si="9">FIND(",",N2,P2+1)</f>
        <v>33</v>
      </c>
      <c r="S2" s="62" t="str">
        <f>IFERROR(VLOOKUP(MID(N2,Q2,R2-Q2),[6]skilldef!$C:$D,2,FALSE),"-") &amp; " / " &amp; IFERROR(VLOOKUP(MID(N2,O2,P2-O2),[6]skilldef!$A:$B,2,FALSE),"-")</f>
        <v>自分自身に / 行動値設定</v>
      </c>
      <c r="T2" s="48" t="str">
        <f t="shared" ref="T2:T123" si="10">IFERROR(RIGHT(M2,LEN(M2)-FIND("],",M2)-1),"none")</f>
        <v>none</v>
      </c>
      <c r="U2" s="62" t="e">
        <f t="shared" ref="U2:U123" si="11">FIND("effect:",T2)+7</f>
        <v>#VALUE!</v>
      </c>
      <c r="V2" s="62">
        <f t="shared" ref="V2:V123" si="12">IFERROR(FIND(",",T2),LEN(T2))</f>
        <v>4</v>
      </c>
      <c r="W2" s="62" t="e">
        <f t="shared" ref="W2:W123" si="13">FIND("target:",T2)+7</f>
        <v>#VALUE!</v>
      </c>
      <c r="X2" s="62" t="e">
        <f t="shared" ref="X2:X123" si="14">FIND(",",T2,V2+1)</f>
        <v>#VALUE!</v>
      </c>
      <c r="Y2" s="62" t="str">
        <f>IFERROR(VLOOKUP(MID(T2,W2,X2-W2),[6]skilldef!$C:$D,2,FALSE),"-") &amp; " / " &amp; IFERROR(VLOOKUP(MID(T2,U2,V2-U2),[6]skilldef!$A:$B,2,FALSE),"-")</f>
        <v>- / -</v>
      </c>
      <c r="Z2" s="50"/>
      <c r="AA2" s="51"/>
      <c r="AB2" s="50"/>
      <c r="AC2" s="107" t="s">
        <v>297</v>
      </c>
      <c r="AD2" s="107" t="s">
        <v>255</v>
      </c>
    </row>
    <row r="3" spans="1:30" ht="29" customHeight="1" x14ac:dyDescent="0.15">
      <c r="A3" s="175">
        <v>49016003</v>
      </c>
      <c r="B3" s="161" t="s">
        <v>433</v>
      </c>
      <c r="C3" s="177">
        <v>1</v>
      </c>
      <c r="D3" s="177" t="s">
        <v>127</v>
      </c>
      <c r="E3" s="178" t="s">
        <v>366</v>
      </c>
      <c r="F3" s="107" t="s">
        <v>359</v>
      </c>
      <c r="G3" s="62" t="str">
        <f t="shared" ref="G3:G5" si="15">IFERROR(LEFT(B3,FIND("],",B3)),B3)</f>
        <v>[effect:enemy_message, val1:2.3, val2:0.0]</v>
      </c>
      <c r="H3" s="62">
        <f t="shared" ref="H3:H5" si="16">FIND("effect:",G3)+7</f>
        <v>9</v>
      </c>
      <c r="I3" s="62">
        <f t="shared" ref="I3:I5" si="17">IFERROR(FIND(",",G3),LEN(G3))</f>
        <v>22</v>
      </c>
      <c r="J3" s="62" t="e">
        <f t="shared" ref="J3:J5" si="18">FIND("target:",G3)+7</f>
        <v>#VALUE!</v>
      </c>
      <c r="K3" s="62">
        <f t="shared" ref="K3:K5" si="19">FIND(",",G3,I3+1)</f>
        <v>32</v>
      </c>
      <c r="L3" s="62" t="str">
        <f>IFERROR(VLOOKUP(MID(G3,J3,K3-J3),[6]skilldef!$C:$D,2,FALSE),"-") &amp; " / " &amp; IFERROR(VLOOKUP(MID(G3,H3,I3-H3),[6]skilldef!$A:$B,2,FALSE),"-")</f>
        <v>- / -</v>
      </c>
      <c r="M3" s="62" t="str">
        <f t="shared" ref="M3:M5" si="20">IFERROR(RIGHT(B3,LEN(B3)-FIND("],",B3)-1),"none")</f>
        <v>[effect:fix_speed, target:myself, turn:2]</v>
      </c>
      <c r="N3" s="48" t="str">
        <f>IFERROR(LEFT(M3,FIND("],",M3)+S47),M3)</f>
        <v>[effect:fix_speed, target:myself, turn:2]</v>
      </c>
      <c r="O3" s="62">
        <f t="shared" ref="O3:O5" si="21">FIND("effect:",N3)+7</f>
        <v>9</v>
      </c>
      <c r="P3" s="62">
        <f t="shared" ref="P3:P5" si="22">IFERROR(FIND(",",N3),LEN(N3))</f>
        <v>18</v>
      </c>
      <c r="Q3" s="62">
        <f t="shared" ref="Q3:Q5" si="23">FIND("target:",N3)+7</f>
        <v>27</v>
      </c>
      <c r="R3" s="62">
        <f t="shared" ref="R3:R5" si="24">FIND(",",N3,P3+1)</f>
        <v>33</v>
      </c>
      <c r="S3" s="62" t="str">
        <f>IFERROR(VLOOKUP(MID(N3,Q3,R3-Q3),[6]skilldef!$C:$D,2,FALSE),"-") &amp; " / " &amp; IFERROR(VLOOKUP(MID(N3,O3,P3-O3),[6]skilldef!$A:$B,2,FALSE),"-")</f>
        <v>自分自身に / 行動値設定</v>
      </c>
      <c r="T3" s="48" t="str">
        <f t="shared" ref="T3:T5" si="25">IFERROR(RIGHT(M3,LEN(M3)-FIND("],",M3)-1),"none")</f>
        <v>none</v>
      </c>
      <c r="U3" s="62" t="e">
        <f t="shared" ref="U3:U5" si="26">FIND("effect:",T3)+7</f>
        <v>#VALUE!</v>
      </c>
      <c r="V3" s="62">
        <f t="shared" ref="V3:V5" si="27">IFERROR(FIND(",",T3),LEN(T3))</f>
        <v>4</v>
      </c>
      <c r="W3" s="62" t="e">
        <f t="shared" ref="W3:W5" si="28">FIND("target:",T3)+7</f>
        <v>#VALUE!</v>
      </c>
      <c r="X3" s="62" t="e">
        <f t="shared" ref="X3:X5" si="29">FIND(",",T3,V3+1)</f>
        <v>#VALUE!</v>
      </c>
      <c r="Y3" s="62" t="str">
        <f>IFERROR(VLOOKUP(MID(T3,W3,X3-W3),[6]skilldef!$C:$D,2,FALSE),"-") &amp; " / " &amp; IFERROR(VLOOKUP(MID(T3,U3,V3-U3),[6]skilldef!$A:$B,2,FALSE),"-")</f>
        <v>- / -</v>
      </c>
      <c r="Z3" s="50"/>
      <c r="AA3" s="51"/>
      <c r="AB3" s="50"/>
      <c r="AC3" s="107" t="s">
        <v>360</v>
      </c>
      <c r="AD3" s="107" t="s">
        <v>255</v>
      </c>
    </row>
    <row r="4" spans="1:30" ht="29" customHeight="1" x14ac:dyDescent="0.15">
      <c r="A4" s="175">
        <v>49016004</v>
      </c>
      <c r="B4" s="161" t="s">
        <v>433</v>
      </c>
      <c r="C4" s="177">
        <v>1</v>
      </c>
      <c r="D4" s="177" t="s">
        <v>127</v>
      </c>
      <c r="E4" s="178" t="s">
        <v>366</v>
      </c>
      <c r="F4" s="107" t="s">
        <v>359</v>
      </c>
      <c r="G4" s="62" t="str">
        <f t="shared" ref="G4" si="30">IFERROR(LEFT(B4,FIND("],",B4)),B4)</f>
        <v>[effect:enemy_message, val1:2.3, val2:0.0]</v>
      </c>
      <c r="H4" s="62">
        <f t="shared" ref="H4" si="31">FIND("effect:",G4)+7</f>
        <v>9</v>
      </c>
      <c r="I4" s="62">
        <f t="shared" ref="I4" si="32">IFERROR(FIND(",",G4),LEN(G4))</f>
        <v>22</v>
      </c>
      <c r="J4" s="62" t="e">
        <f t="shared" ref="J4" si="33">FIND("target:",G4)+7</f>
        <v>#VALUE!</v>
      </c>
      <c r="K4" s="62">
        <f t="shared" ref="K4" si="34">FIND(",",G4,I4+1)</f>
        <v>32</v>
      </c>
      <c r="L4" s="62" t="str">
        <f>IFERROR(VLOOKUP(MID(G4,J4,K4-J4),[6]skilldef!$C:$D,2,FALSE),"-") &amp; " / " &amp; IFERROR(VLOOKUP(MID(G4,H4,I4-H4),[6]skilldef!$A:$B,2,FALSE),"-")</f>
        <v>- / -</v>
      </c>
      <c r="M4" s="62" t="str">
        <f t="shared" ref="M4" si="35">IFERROR(RIGHT(B4,LEN(B4)-FIND("],",B4)-1),"none")</f>
        <v>[effect:fix_speed, target:myself, turn:2]</v>
      </c>
      <c r="N4" s="48" t="str">
        <f>IFERROR(LEFT(M4,FIND("],",M4)+S48),M4)</f>
        <v>[effect:fix_speed, target:myself, turn:2]</v>
      </c>
      <c r="O4" s="62">
        <f t="shared" ref="O4" si="36">FIND("effect:",N4)+7</f>
        <v>9</v>
      </c>
      <c r="P4" s="62">
        <f t="shared" ref="P4" si="37">IFERROR(FIND(",",N4),LEN(N4))</f>
        <v>18</v>
      </c>
      <c r="Q4" s="62">
        <f t="shared" ref="Q4" si="38">FIND("target:",N4)+7</f>
        <v>27</v>
      </c>
      <c r="R4" s="62">
        <f t="shared" ref="R4" si="39">FIND(",",N4,P4+1)</f>
        <v>33</v>
      </c>
      <c r="S4" s="62" t="str">
        <f>IFERROR(VLOOKUP(MID(N4,Q4,R4-Q4),[6]skilldef!$C:$D,2,FALSE),"-") &amp; " / " &amp; IFERROR(VLOOKUP(MID(N4,O4,P4-O4),[6]skilldef!$A:$B,2,FALSE),"-")</f>
        <v>自分自身に / 行動値設定</v>
      </c>
      <c r="T4" s="48" t="str">
        <f t="shared" ref="T4" si="40">IFERROR(RIGHT(M4,LEN(M4)-FIND("],",M4)-1),"none")</f>
        <v>none</v>
      </c>
      <c r="U4" s="62" t="e">
        <f t="shared" ref="U4" si="41">FIND("effect:",T4)+7</f>
        <v>#VALUE!</v>
      </c>
      <c r="V4" s="62">
        <f t="shared" ref="V4" si="42">IFERROR(FIND(",",T4),LEN(T4))</f>
        <v>4</v>
      </c>
      <c r="W4" s="62" t="e">
        <f t="shared" ref="W4" si="43">FIND("target:",T4)+7</f>
        <v>#VALUE!</v>
      </c>
      <c r="X4" s="62" t="e">
        <f t="shared" ref="X4" si="44">FIND(",",T4,V4+1)</f>
        <v>#VALUE!</v>
      </c>
      <c r="Y4" s="62" t="str">
        <f>IFERROR(VLOOKUP(MID(T4,W4,X4-W4),[6]skilldef!$C:$D,2,FALSE),"-") &amp; " / " &amp; IFERROR(VLOOKUP(MID(T4,U4,V4-U4),[6]skilldef!$A:$B,2,FALSE),"-")</f>
        <v>- / -</v>
      </c>
      <c r="Z4" s="50"/>
      <c r="AA4" s="51"/>
      <c r="AB4" s="50"/>
      <c r="AC4" s="107" t="s">
        <v>420</v>
      </c>
      <c r="AD4" s="107" t="s">
        <v>255</v>
      </c>
    </row>
    <row r="5" spans="1:30" ht="29" customHeight="1" x14ac:dyDescent="0.15">
      <c r="A5" s="175">
        <v>49016005</v>
      </c>
      <c r="B5" s="161" t="s">
        <v>434</v>
      </c>
      <c r="C5" s="177">
        <v>1</v>
      </c>
      <c r="D5" s="177" t="s">
        <v>127</v>
      </c>
      <c r="E5" s="178" t="s">
        <v>372</v>
      </c>
      <c r="F5" s="107" t="s">
        <v>359</v>
      </c>
      <c r="G5" s="62" t="str">
        <f t="shared" si="15"/>
        <v>[effect:enemy_message, val1:2.6, val2:0.0]</v>
      </c>
      <c r="H5" s="62">
        <f t="shared" si="16"/>
        <v>9</v>
      </c>
      <c r="I5" s="62">
        <f t="shared" si="17"/>
        <v>22</v>
      </c>
      <c r="J5" s="62" t="e">
        <f t="shared" si="18"/>
        <v>#VALUE!</v>
      </c>
      <c r="K5" s="62">
        <f t="shared" si="19"/>
        <v>32</v>
      </c>
      <c r="L5" s="62" t="str">
        <f>IFERROR(VLOOKUP(MID(G5,J5,K5-J5),[6]skilldef!$C:$D,2,FALSE),"-") &amp; " / " &amp; IFERROR(VLOOKUP(MID(G5,H5,I5-H5),[6]skilldef!$A:$B,2,FALSE),"-")</f>
        <v>- / -</v>
      </c>
      <c r="M5" s="62" t="str">
        <f t="shared" si="20"/>
        <v>[effect:fix_speed, target:myself, turn:2]</v>
      </c>
      <c r="N5" s="48" t="str">
        <f t="shared" ref="N5" si="45">IFERROR(LEFT(M5,FIND("],",M5)+S48),M5)</f>
        <v>[effect:fix_speed, target:myself, turn:2]</v>
      </c>
      <c r="O5" s="62">
        <f t="shared" si="21"/>
        <v>9</v>
      </c>
      <c r="P5" s="62">
        <f t="shared" si="22"/>
        <v>18</v>
      </c>
      <c r="Q5" s="62">
        <f t="shared" si="23"/>
        <v>27</v>
      </c>
      <c r="R5" s="62">
        <f t="shared" si="24"/>
        <v>33</v>
      </c>
      <c r="S5" s="62" t="str">
        <f>IFERROR(VLOOKUP(MID(N5,Q5,R5-Q5),[6]skilldef!$C:$D,2,FALSE),"-") &amp; " / " &amp; IFERROR(VLOOKUP(MID(N5,O5,P5-O5),[6]skilldef!$A:$B,2,FALSE),"-")</f>
        <v>自分自身に / 行動値設定</v>
      </c>
      <c r="T5" s="48" t="str">
        <f t="shared" si="25"/>
        <v>none</v>
      </c>
      <c r="U5" s="62" t="e">
        <f t="shared" si="26"/>
        <v>#VALUE!</v>
      </c>
      <c r="V5" s="62">
        <f t="shared" si="27"/>
        <v>4</v>
      </c>
      <c r="W5" s="62" t="e">
        <f t="shared" si="28"/>
        <v>#VALUE!</v>
      </c>
      <c r="X5" s="62" t="e">
        <f t="shared" si="29"/>
        <v>#VALUE!</v>
      </c>
      <c r="Y5" s="62" t="str">
        <f>IFERROR(VLOOKUP(MID(T5,W5,X5-W5),[6]skilldef!$C:$D,2,FALSE),"-") &amp; " / " &amp; IFERROR(VLOOKUP(MID(T5,U5,V5-U5),[6]skilldef!$A:$B,2,FALSE),"-")</f>
        <v>- / -</v>
      </c>
      <c r="Z5" s="50"/>
      <c r="AA5" s="51"/>
      <c r="AB5" s="50"/>
      <c r="AC5" s="107" t="s">
        <v>361</v>
      </c>
      <c r="AD5" s="107" t="s">
        <v>255</v>
      </c>
    </row>
    <row r="6" spans="1:30" ht="20" customHeight="1" x14ac:dyDescent="0.15">
      <c r="A6" s="105">
        <v>49016001</v>
      </c>
      <c r="B6" s="161" t="s">
        <v>435</v>
      </c>
      <c r="C6" s="106">
        <v>1</v>
      </c>
      <c r="D6" s="106" t="s">
        <v>127</v>
      </c>
      <c r="E6" s="107" t="s">
        <v>380</v>
      </c>
      <c r="F6" s="107" t="s">
        <v>256</v>
      </c>
      <c r="G6" s="62" t="str">
        <f t="shared" si="0"/>
        <v>[effect:enemy_message, val1:1.2, val2:1.2]</v>
      </c>
      <c r="H6" s="62">
        <f t="shared" si="1"/>
        <v>9</v>
      </c>
      <c r="I6" s="62">
        <f t="shared" si="2"/>
        <v>22</v>
      </c>
      <c r="J6" s="62" t="e">
        <f t="shared" si="3"/>
        <v>#VALUE!</v>
      </c>
      <c r="K6" s="62">
        <f t="shared" si="4"/>
        <v>32</v>
      </c>
      <c r="L6" s="62" t="str">
        <f>IFERROR(VLOOKUP(MID(G6,J6,K6-J6),[6]skilldef!$C:$D,2,FALSE),"-") &amp; " / " &amp; IFERROR(VLOOKUP(MID(G6,H6,I6-H6),[6]skilldef!$A:$B,2,FALSE),"-")</f>
        <v>- / -</v>
      </c>
      <c r="M6" s="62" t="str">
        <f t="shared" si="5"/>
        <v>[effect:rush, count:2, val:0.6]</v>
      </c>
      <c r="N6" s="48" t="str">
        <f>IFERROR(LEFT(M6,FIND("],",M6)+S47),M6)</f>
        <v>[effect:rush, count:2, val:0.6]</v>
      </c>
      <c r="O6" s="62">
        <f t="shared" si="6"/>
        <v>9</v>
      </c>
      <c r="P6" s="62">
        <f t="shared" si="7"/>
        <v>13</v>
      </c>
      <c r="Q6" s="62" t="e">
        <f t="shared" si="8"/>
        <v>#VALUE!</v>
      </c>
      <c r="R6" s="62">
        <f t="shared" si="9"/>
        <v>22</v>
      </c>
      <c r="S6" s="62" t="str">
        <f>IFERROR(VLOOKUP(MID(N6,Q6,R6-Q6),[6]skilldef!$C:$D,2,FALSE),"-") &amp; " / " &amp; IFERROR(VLOOKUP(MID(N6,O6,P6-O6),[6]skilldef!$A:$B,2,FALSE),"-")</f>
        <v>- / 連続攻撃</v>
      </c>
      <c r="T6" s="48" t="str">
        <f t="shared" si="10"/>
        <v>none</v>
      </c>
      <c r="U6" s="62" t="e">
        <f t="shared" si="11"/>
        <v>#VALUE!</v>
      </c>
      <c r="V6" s="62">
        <f t="shared" si="12"/>
        <v>4</v>
      </c>
      <c r="W6" s="62" t="e">
        <f t="shared" si="13"/>
        <v>#VALUE!</v>
      </c>
      <c r="X6" s="62" t="e">
        <f t="shared" si="14"/>
        <v>#VALUE!</v>
      </c>
      <c r="Y6" s="62" t="str">
        <f>IFERROR(VLOOKUP(MID(T6,W6,X6-W6),[6]skilldef!$C:$D,2,FALSE),"-") &amp; " / " &amp; IFERROR(VLOOKUP(MID(T6,U6,V6-U6),[6]skilldef!$A:$B,2,FALSE),"-")</f>
        <v>- / -</v>
      </c>
      <c r="Z6" s="50"/>
      <c r="AA6" s="51"/>
      <c r="AB6" s="50"/>
      <c r="AC6" s="107" t="s">
        <v>298</v>
      </c>
      <c r="AD6" s="107" t="s">
        <v>256</v>
      </c>
    </row>
    <row r="7" spans="1:30" ht="20" customHeight="1" x14ac:dyDescent="0.15">
      <c r="A7" s="105">
        <v>49016002</v>
      </c>
      <c r="B7" s="161" t="s">
        <v>436</v>
      </c>
      <c r="C7" s="106">
        <v>1</v>
      </c>
      <c r="D7" s="106" t="s">
        <v>127</v>
      </c>
      <c r="E7" s="107" t="s">
        <v>370</v>
      </c>
      <c r="F7" s="107" t="s">
        <v>259</v>
      </c>
      <c r="G7" s="62" t="str">
        <f t="shared" si="0"/>
        <v>[effect:enemy_message, val1:1.2, val2:2.1]</v>
      </c>
      <c r="H7" s="62">
        <f t="shared" si="1"/>
        <v>9</v>
      </c>
      <c r="I7" s="62">
        <f t="shared" si="2"/>
        <v>22</v>
      </c>
      <c r="J7" s="62" t="e">
        <f t="shared" si="3"/>
        <v>#VALUE!</v>
      </c>
      <c r="K7" s="62">
        <f t="shared" si="4"/>
        <v>32</v>
      </c>
      <c r="L7" s="62" t="str">
        <f>IFERROR(VLOOKUP(MID(G7,J7,K7-J7),[6]skilldef!$C:$D,2,FALSE),"-") &amp; " / " &amp; IFERROR(VLOOKUP(MID(G7,H7,I7-H7),[6]skilldef!$A:$B,2,FALSE),"-")</f>
        <v>- / -</v>
      </c>
      <c r="M7" s="62" t="str">
        <f t="shared" si="5"/>
        <v>[effect:panel_freeze, target:block_all, count:5],[effect:rush, count:1, val:0.8]</v>
      </c>
      <c r="N7" s="48" t="str">
        <f>IFERROR(LEFT(M7,FIND("],",M7)+S74),M7)</f>
        <v>[effect:panel_freeze, target:block_all, count:5],[effect:rush, count:1, val:0.8]</v>
      </c>
      <c r="O7" s="62">
        <f t="shared" si="6"/>
        <v>9</v>
      </c>
      <c r="P7" s="62">
        <f t="shared" si="7"/>
        <v>21</v>
      </c>
      <c r="Q7" s="62">
        <f t="shared" si="8"/>
        <v>30</v>
      </c>
      <c r="R7" s="62">
        <f t="shared" si="9"/>
        <v>39</v>
      </c>
      <c r="S7" s="62" t="str">
        <f>IFERROR(VLOOKUP(MID(N7,Q7,R7-Q7),[6]skilldef!$C:$D,2,FALSE),"-") &amp; " / " &amp; IFERROR(VLOOKUP(MID(N7,O7,P7-O7),[6]skilldef!$A:$B,2,FALSE),"-")</f>
        <v>- / -</v>
      </c>
      <c r="T7" s="48" t="str">
        <f t="shared" si="10"/>
        <v>[effect:rush, count:1, val:0.8]</v>
      </c>
      <c r="U7" s="62">
        <f t="shared" si="11"/>
        <v>9</v>
      </c>
      <c r="V7" s="62">
        <f t="shared" si="12"/>
        <v>13</v>
      </c>
      <c r="W7" s="62" t="e">
        <f t="shared" si="13"/>
        <v>#VALUE!</v>
      </c>
      <c r="X7" s="62">
        <f t="shared" si="14"/>
        <v>22</v>
      </c>
      <c r="Y7" s="62" t="str">
        <f>IFERROR(VLOOKUP(MID(T7,W7,X7-W7),[6]skilldef!$C:$D,2,FALSE),"-") &amp; " / " &amp; IFERROR(VLOOKUP(MID(T7,U7,V7-U7),[6]skilldef!$A:$B,2,FALSE),"-")</f>
        <v>- / 連続攻撃</v>
      </c>
      <c r="Z7" s="50"/>
      <c r="AA7" s="51"/>
      <c r="AB7" s="50"/>
      <c r="AC7" s="107" t="s">
        <v>299</v>
      </c>
      <c r="AD7" s="107" t="s">
        <v>259</v>
      </c>
    </row>
    <row r="8" spans="1:30" ht="39" customHeight="1" x14ac:dyDescent="0.15">
      <c r="A8" s="108">
        <v>49016100</v>
      </c>
      <c r="B8" s="162" t="s">
        <v>437</v>
      </c>
      <c r="C8" s="109">
        <v>1</v>
      </c>
      <c r="D8" s="109" t="s">
        <v>127</v>
      </c>
      <c r="E8" s="110" t="s">
        <v>375</v>
      </c>
      <c r="F8" s="110" t="s">
        <v>325</v>
      </c>
      <c r="G8" s="62" t="str">
        <f t="shared" si="0"/>
        <v>[effect:enemy_message, val1:1.6, val2:0.0]</v>
      </c>
      <c r="H8" s="62">
        <f t="shared" si="1"/>
        <v>9</v>
      </c>
      <c r="I8" s="62">
        <f t="shared" si="2"/>
        <v>22</v>
      </c>
      <c r="J8" s="62" t="e">
        <f t="shared" si="3"/>
        <v>#VALUE!</v>
      </c>
      <c r="K8" s="62">
        <f t="shared" si="4"/>
        <v>32</v>
      </c>
      <c r="L8" s="62" t="str">
        <f>IFERROR(VLOOKUP(MID(G8,J8,K8-J8),[6]skilldef!$C:$D,2,FALSE),"-") &amp; " / " &amp; IFERROR(VLOOKUP(MID(G8,H8,I8-H8),[6]skilldef!$A:$B,2,FALSE),"-")</f>
        <v>- / -</v>
      </c>
      <c r="M8" s="62" t="str">
        <f t="shared" si="5"/>
        <v>[effect:fix_speed, target:myself, turn:2]</v>
      </c>
      <c r="N8" s="48" t="str">
        <f>IFERROR(LEFT(M8,FIND("],",M8)+S72),M8)</f>
        <v>[effect:fix_speed, target:myself, turn:2]</v>
      </c>
      <c r="O8" s="62">
        <f t="shared" si="6"/>
        <v>9</v>
      </c>
      <c r="P8" s="62">
        <f t="shared" si="7"/>
        <v>18</v>
      </c>
      <c r="Q8" s="62">
        <f t="shared" si="8"/>
        <v>27</v>
      </c>
      <c r="R8" s="62">
        <f t="shared" si="9"/>
        <v>33</v>
      </c>
      <c r="S8" s="62" t="str">
        <f>IFERROR(VLOOKUP(MID(N8,Q8,R8-Q8),[6]skilldef!$C:$D,2,FALSE),"-") &amp; " / " &amp; IFERROR(VLOOKUP(MID(N8,O8,P8-O8),[6]skilldef!$A:$B,2,FALSE),"-")</f>
        <v>自分自身に / 行動値設定</v>
      </c>
      <c r="T8" s="48" t="str">
        <f t="shared" si="10"/>
        <v>none</v>
      </c>
      <c r="U8" s="62" t="e">
        <f t="shared" si="11"/>
        <v>#VALUE!</v>
      </c>
      <c r="V8" s="62">
        <f t="shared" si="12"/>
        <v>4</v>
      </c>
      <c r="W8" s="62" t="e">
        <f t="shared" si="13"/>
        <v>#VALUE!</v>
      </c>
      <c r="X8" s="62" t="e">
        <f t="shared" si="14"/>
        <v>#VALUE!</v>
      </c>
      <c r="Y8" s="62" t="str">
        <f>IFERROR(VLOOKUP(MID(T8,W8,X8-W8),[6]skilldef!$C:$D,2,FALSE),"-") &amp; " / " &amp; IFERROR(VLOOKUP(MID(T8,U8,V8-U8),[6]skilldef!$A:$B,2,FALSE),"-")</f>
        <v>- / -</v>
      </c>
      <c r="Z8" s="50"/>
      <c r="AA8" s="51"/>
      <c r="AB8" s="50"/>
      <c r="AC8" s="110" t="s">
        <v>300</v>
      </c>
      <c r="AD8" s="110" t="s">
        <v>257</v>
      </c>
    </row>
    <row r="9" spans="1:30" ht="42" customHeight="1" x14ac:dyDescent="0.15">
      <c r="A9" s="170">
        <v>49016701</v>
      </c>
      <c r="B9" s="171" t="s">
        <v>438</v>
      </c>
      <c r="C9" s="172">
        <v>1</v>
      </c>
      <c r="D9" s="172" t="s">
        <v>127</v>
      </c>
      <c r="E9" s="173" t="s">
        <v>367</v>
      </c>
      <c r="F9" s="173" t="s">
        <v>423</v>
      </c>
      <c r="G9" s="173" t="str">
        <f t="shared" ref="G9:G31" si="46">IFERROR(LEFT(B9,FIND("],",B9)),B9)</f>
        <v>[effect:enemy_message, val1:1.5, val2:2.4]</v>
      </c>
      <c r="H9" s="173">
        <f t="shared" ref="H9:H31" si="47">FIND("effect:",G9)+7</f>
        <v>9</v>
      </c>
      <c r="I9" s="173">
        <f t="shared" ref="I9:I31" si="48">IFERROR(FIND(",",G9),LEN(G9))</f>
        <v>22</v>
      </c>
      <c r="J9" s="173" t="e">
        <f t="shared" ref="J9:J31" si="49">FIND("target:",G9)+7</f>
        <v>#VALUE!</v>
      </c>
      <c r="K9" s="173">
        <f t="shared" ref="K9:K31" si="50">FIND(",",G9,I9+1)</f>
        <v>32</v>
      </c>
      <c r="L9" s="173" t="str">
        <f>IFERROR(VLOOKUP(MID(G9,J9,K9-J9),[6]skilldef!$C:$D,2,FALSE),"-") &amp; " / " &amp; IFERROR(VLOOKUP(MID(G9,H9,I9-H9),[6]skilldef!$A:$B,2,FALSE),"-")</f>
        <v>- / -</v>
      </c>
      <c r="M9" s="173" t="str">
        <f t="shared" ref="M9:M31" si="51">IFERROR(RIGHT(B9,LEN(B9)-FIND("],",B9)-1),"none")</f>
        <v>[effect:sp_boost, target:unit_heal, val:4, animation:sp_boost_one02],[effect:fix_speed, target:myself, turn:2]</v>
      </c>
      <c r="N9" s="170" t="str">
        <f>IFERROR(LEFT(M9,FIND("],",M9)+S73),M9)</f>
        <v>[effect:sp_boost, target:unit_heal, val:4, animation:sp_boost_one02],[effect:fix_speed, target:myself, turn:2]</v>
      </c>
      <c r="O9" s="173">
        <f t="shared" ref="O9:O31" si="52">FIND("effect:",N9)+7</f>
        <v>9</v>
      </c>
      <c r="P9" s="173">
        <f t="shared" ref="P9:P31" si="53">IFERROR(FIND(",",N9),LEN(N9))</f>
        <v>17</v>
      </c>
      <c r="Q9" s="173">
        <f t="shared" ref="Q9:Q31" si="54">FIND("target:",N9)+7</f>
        <v>26</v>
      </c>
      <c r="R9" s="173">
        <f t="shared" ref="R9:R31" si="55">FIND(",",N9,P9+1)</f>
        <v>35</v>
      </c>
      <c r="S9" s="173" t="str">
        <f>IFERROR(VLOOKUP(MID(N9,Q9,R9-Q9),[6]skilldef!$C:$D,2,FALSE),"-") &amp; " / " &amp; IFERROR(VLOOKUP(MID(N9,O9,P9-O9),[6]skilldef!$A:$B,2,FALSE),"-")</f>
        <v>回復タイプの味方に / -</v>
      </c>
      <c r="T9" s="170" t="str">
        <f t="shared" ref="T9:T31" si="56">IFERROR(RIGHT(M9,LEN(M9)-FIND("],",M9)-1),"none")</f>
        <v>[effect:fix_speed, target:myself, turn:2]</v>
      </c>
      <c r="U9" s="173">
        <f t="shared" ref="U9:U31" si="57">FIND("effect:",T9)+7</f>
        <v>9</v>
      </c>
      <c r="V9" s="173">
        <f t="shared" ref="V9:V31" si="58">IFERROR(FIND(",",T9),LEN(T9))</f>
        <v>18</v>
      </c>
      <c r="W9" s="173">
        <f t="shared" ref="W9:W31" si="59">FIND("target:",T9)+7</f>
        <v>27</v>
      </c>
      <c r="X9" s="173">
        <f t="shared" ref="X9:X31" si="60">FIND(",",T9,V9+1)</f>
        <v>33</v>
      </c>
      <c r="Y9" s="173" t="str">
        <f>IFERROR(VLOOKUP(MID(T9,W9,X9-W9),[6]skilldef!$C:$D,2,FALSE),"-") &amp; " / " &amp; IFERROR(VLOOKUP(MID(T9,U9,V9-U9),[6]skilldef!$A:$B,2,FALSE),"-")</f>
        <v>自分自身に / 行動値設定</v>
      </c>
      <c r="Z9" s="172"/>
      <c r="AA9" s="174"/>
      <c r="AB9" s="172"/>
      <c r="AC9" s="173" t="s">
        <v>300</v>
      </c>
      <c r="AD9" s="173" t="s">
        <v>257</v>
      </c>
    </row>
    <row r="10" spans="1:30" ht="21" customHeight="1" x14ac:dyDescent="0.15">
      <c r="A10" s="170">
        <v>49016702</v>
      </c>
      <c r="B10" s="171" t="s">
        <v>438</v>
      </c>
      <c r="C10" s="172">
        <v>1</v>
      </c>
      <c r="D10" s="172" t="s">
        <v>127</v>
      </c>
      <c r="E10" s="173" t="s">
        <v>367</v>
      </c>
      <c r="F10" s="173" t="s">
        <v>423</v>
      </c>
      <c r="G10" s="173" t="str">
        <f t="shared" si="46"/>
        <v>[effect:enemy_message, val1:1.5, val2:2.4]</v>
      </c>
      <c r="H10" s="173">
        <f t="shared" si="47"/>
        <v>9</v>
      </c>
      <c r="I10" s="173">
        <f t="shared" si="48"/>
        <v>22</v>
      </c>
      <c r="J10" s="173" t="e">
        <f t="shared" si="49"/>
        <v>#VALUE!</v>
      </c>
      <c r="K10" s="173">
        <f t="shared" si="50"/>
        <v>32</v>
      </c>
      <c r="L10" s="173" t="str">
        <f>IFERROR(VLOOKUP(MID(G10,J10,K10-J10),[6]skilldef!$C:$D,2,FALSE),"-") &amp; " / " &amp; IFERROR(VLOOKUP(MID(G10,H10,I10-H10),[6]skilldef!$A:$B,2,FALSE),"-")</f>
        <v>- / -</v>
      </c>
      <c r="M10" s="173" t="str">
        <f t="shared" si="51"/>
        <v>[effect:sp_boost, target:unit_heal, val:4, animation:sp_boost_one02],[effect:fix_speed, target:myself, turn:2]</v>
      </c>
      <c r="N10" s="170" t="str">
        <f>IFERROR(LEFT(M10,FIND("],",M10)+S74),M10)</f>
        <v>[effect:sp_boost, target:unit_heal, val:4, animation:sp_boost_one02],[effect:fix_speed, target:myself, turn:2]</v>
      </c>
      <c r="O10" s="173">
        <f t="shared" si="52"/>
        <v>9</v>
      </c>
      <c r="P10" s="173">
        <f t="shared" si="53"/>
        <v>17</v>
      </c>
      <c r="Q10" s="173">
        <f t="shared" si="54"/>
        <v>26</v>
      </c>
      <c r="R10" s="173">
        <f t="shared" si="55"/>
        <v>35</v>
      </c>
      <c r="S10" s="173" t="str">
        <f>IFERROR(VLOOKUP(MID(N10,Q10,R10-Q10),[6]skilldef!$C:$D,2,FALSE),"-") &amp; " / " &amp; IFERROR(VLOOKUP(MID(N10,O10,P10-O10),[6]skilldef!$A:$B,2,FALSE),"-")</f>
        <v>回復タイプの味方に / -</v>
      </c>
      <c r="T10" s="170" t="str">
        <f t="shared" si="56"/>
        <v>[effect:fix_speed, target:myself, turn:2]</v>
      </c>
      <c r="U10" s="173">
        <f t="shared" si="57"/>
        <v>9</v>
      </c>
      <c r="V10" s="173">
        <f t="shared" si="58"/>
        <v>18</v>
      </c>
      <c r="W10" s="173">
        <f t="shared" si="59"/>
        <v>27</v>
      </c>
      <c r="X10" s="173">
        <f t="shared" si="60"/>
        <v>33</v>
      </c>
      <c r="Y10" s="173" t="str">
        <f>IFERROR(VLOOKUP(MID(T10,W10,X10-W10),[6]skilldef!$C:$D,2,FALSE),"-") &amp; " / " &amp; IFERROR(VLOOKUP(MID(T10,U10,V10-U10),[6]skilldef!$A:$B,2,FALSE),"-")</f>
        <v>自分自身に / 行動値設定</v>
      </c>
      <c r="Z10" s="172"/>
      <c r="AA10" s="174"/>
      <c r="AB10" s="172"/>
      <c r="AC10" s="173" t="s">
        <v>300</v>
      </c>
      <c r="AD10" s="173" t="s">
        <v>257</v>
      </c>
    </row>
    <row r="11" spans="1:30" ht="21" customHeight="1" x14ac:dyDescent="0.15">
      <c r="A11" s="170">
        <v>49016703</v>
      </c>
      <c r="B11" s="171" t="s">
        <v>438</v>
      </c>
      <c r="C11" s="172">
        <v>1</v>
      </c>
      <c r="D11" s="172" t="s">
        <v>127</v>
      </c>
      <c r="E11" s="173" t="s">
        <v>367</v>
      </c>
      <c r="F11" s="173" t="s">
        <v>423</v>
      </c>
      <c r="G11" s="173" t="str">
        <f t="shared" si="46"/>
        <v>[effect:enemy_message, val1:1.5, val2:2.4]</v>
      </c>
      <c r="H11" s="173">
        <f t="shared" si="47"/>
        <v>9</v>
      </c>
      <c r="I11" s="173">
        <f t="shared" si="48"/>
        <v>22</v>
      </c>
      <c r="J11" s="173" t="e">
        <f t="shared" si="49"/>
        <v>#VALUE!</v>
      </c>
      <c r="K11" s="173">
        <f t="shared" si="50"/>
        <v>32</v>
      </c>
      <c r="L11" s="173" t="str">
        <f>IFERROR(VLOOKUP(MID(G11,J11,K11-J11),[6]skilldef!$C:$D,2,FALSE),"-") &amp; " / " &amp; IFERROR(VLOOKUP(MID(G11,H11,I11-H11),[6]skilldef!$A:$B,2,FALSE),"-")</f>
        <v>- / -</v>
      </c>
      <c r="M11" s="173" t="str">
        <f t="shared" si="51"/>
        <v>[effect:sp_boost, target:unit_heal, val:4, animation:sp_boost_one02],[effect:fix_speed, target:myself, turn:2]</v>
      </c>
      <c r="N11" s="170" t="str">
        <f>IFERROR(LEFT(M11,FIND("],",M11)+S75),M11)</f>
        <v>[effect:sp_boost, target:unit_heal, val:4, animation:sp_boost_one02],[effect:fix_speed, target:myself, turn:2]</v>
      </c>
      <c r="O11" s="173">
        <f t="shared" si="52"/>
        <v>9</v>
      </c>
      <c r="P11" s="173">
        <f t="shared" si="53"/>
        <v>17</v>
      </c>
      <c r="Q11" s="173">
        <f t="shared" si="54"/>
        <v>26</v>
      </c>
      <c r="R11" s="173">
        <f t="shared" si="55"/>
        <v>35</v>
      </c>
      <c r="S11" s="173" t="str">
        <f>IFERROR(VLOOKUP(MID(N11,Q11,R11-Q11),[6]skilldef!$C:$D,2,FALSE),"-") &amp; " / " &amp; IFERROR(VLOOKUP(MID(N11,O11,P11-O11),[6]skilldef!$A:$B,2,FALSE),"-")</f>
        <v>回復タイプの味方に / -</v>
      </c>
      <c r="T11" s="170" t="str">
        <f t="shared" si="56"/>
        <v>[effect:fix_speed, target:myself, turn:2]</v>
      </c>
      <c r="U11" s="173">
        <f t="shared" si="57"/>
        <v>9</v>
      </c>
      <c r="V11" s="173">
        <f t="shared" si="58"/>
        <v>18</v>
      </c>
      <c r="W11" s="173">
        <f t="shared" si="59"/>
        <v>27</v>
      </c>
      <c r="X11" s="173">
        <f t="shared" si="60"/>
        <v>33</v>
      </c>
      <c r="Y11" s="173" t="str">
        <f>IFERROR(VLOOKUP(MID(T11,W11,X11-W11),[6]skilldef!$C:$D,2,FALSE),"-") &amp; " / " &amp; IFERROR(VLOOKUP(MID(T11,U11,V11-U11),[6]skilldef!$A:$B,2,FALSE),"-")</f>
        <v>自分自身に / 行動値設定</v>
      </c>
      <c r="Z11" s="172"/>
      <c r="AA11" s="174"/>
      <c r="AB11" s="172"/>
      <c r="AC11" s="173" t="s">
        <v>300</v>
      </c>
      <c r="AD11" s="173" t="s">
        <v>257</v>
      </c>
    </row>
    <row r="12" spans="1:30" ht="21" customHeight="1" x14ac:dyDescent="0.15">
      <c r="A12" s="170">
        <v>49016704</v>
      </c>
      <c r="B12" s="171" t="s">
        <v>438</v>
      </c>
      <c r="C12" s="172">
        <v>1</v>
      </c>
      <c r="D12" s="172" t="s">
        <v>127</v>
      </c>
      <c r="E12" s="173" t="s">
        <v>367</v>
      </c>
      <c r="F12" s="173" t="s">
        <v>423</v>
      </c>
      <c r="G12" s="173" t="str">
        <f t="shared" si="46"/>
        <v>[effect:enemy_message, val1:1.5, val2:2.4]</v>
      </c>
      <c r="H12" s="173">
        <f t="shared" si="47"/>
        <v>9</v>
      </c>
      <c r="I12" s="173">
        <f t="shared" si="48"/>
        <v>22</v>
      </c>
      <c r="J12" s="173" t="e">
        <f t="shared" si="49"/>
        <v>#VALUE!</v>
      </c>
      <c r="K12" s="173">
        <f t="shared" si="50"/>
        <v>32</v>
      </c>
      <c r="L12" s="173" t="str">
        <f>IFERROR(VLOOKUP(MID(G12,J12,K12-J12),[6]skilldef!$C:$D,2,FALSE),"-") &amp; " / " &amp; IFERROR(VLOOKUP(MID(G12,H12,I12-H12),[6]skilldef!$A:$B,2,FALSE),"-")</f>
        <v>- / -</v>
      </c>
      <c r="M12" s="173" t="str">
        <f t="shared" si="51"/>
        <v>[effect:sp_boost, target:unit_heal, val:4, animation:sp_boost_one02],[effect:fix_speed, target:myself, turn:2]</v>
      </c>
      <c r="N12" s="170" t="str">
        <f>IFERROR(LEFT(M12,FIND("],",M12)+S79),M12)</f>
        <v>[effect:sp_boost, target:unit_heal, val:4, animation:sp_boost_one02],[effect:fix_speed, target:myself, turn:2]</v>
      </c>
      <c r="O12" s="173">
        <f t="shared" si="52"/>
        <v>9</v>
      </c>
      <c r="P12" s="173">
        <f t="shared" si="53"/>
        <v>17</v>
      </c>
      <c r="Q12" s="173">
        <f t="shared" si="54"/>
        <v>26</v>
      </c>
      <c r="R12" s="173">
        <f t="shared" si="55"/>
        <v>35</v>
      </c>
      <c r="S12" s="173" t="str">
        <f>IFERROR(VLOOKUP(MID(N12,Q12,R12-Q12),[6]skilldef!$C:$D,2,FALSE),"-") &amp; " / " &amp; IFERROR(VLOOKUP(MID(N12,O12,P12-O12),[6]skilldef!$A:$B,2,FALSE),"-")</f>
        <v>回復タイプの味方に / -</v>
      </c>
      <c r="T12" s="170" t="str">
        <f t="shared" si="56"/>
        <v>[effect:fix_speed, target:myself, turn:2]</v>
      </c>
      <c r="U12" s="173">
        <f t="shared" si="57"/>
        <v>9</v>
      </c>
      <c r="V12" s="173">
        <f t="shared" si="58"/>
        <v>18</v>
      </c>
      <c r="W12" s="173">
        <f t="shared" si="59"/>
        <v>27</v>
      </c>
      <c r="X12" s="173">
        <f t="shared" si="60"/>
        <v>33</v>
      </c>
      <c r="Y12" s="173" t="str">
        <f>IFERROR(VLOOKUP(MID(T12,W12,X12-W12),[6]skilldef!$C:$D,2,FALSE),"-") &amp; " / " &amp; IFERROR(VLOOKUP(MID(T12,U12,V12-U12),[6]skilldef!$A:$B,2,FALSE),"-")</f>
        <v>自分自身に / 行動値設定</v>
      </c>
      <c r="Z12" s="172"/>
      <c r="AA12" s="174"/>
      <c r="AB12" s="172"/>
      <c r="AC12" s="173" t="s">
        <v>300</v>
      </c>
      <c r="AD12" s="173" t="s">
        <v>257</v>
      </c>
    </row>
    <row r="13" spans="1:30" ht="21" customHeight="1" x14ac:dyDescent="0.15">
      <c r="A13" s="170">
        <v>49016705</v>
      </c>
      <c r="B13" s="171" t="s">
        <v>438</v>
      </c>
      <c r="C13" s="172">
        <v>1</v>
      </c>
      <c r="D13" s="172" t="s">
        <v>127</v>
      </c>
      <c r="E13" s="173" t="s">
        <v>367</v>
      </c>
      <c r="F13" s="173" t="s">
        <v>423</v>
      </c>
      <c r="G13" s="173" t="str">
        <f t="shared" si="46"/>
        <v>[effect:enemy_message, val1:1.5, val2:2.4]</v>
      </c>
      <c r="H13" s="173">
        <f t="shared" si="47"/>
        <v>9</v>
      </c>
      <c r="I13" s="173">
        <f t="shared" si="48"/>
        <v>22</v>
      </c>
      <c r="J13" s="173" t="e">
        <f t="shared" si="49"/>
        <v>#VALUE!</v>
      </c>
      <c r="K13" s="173">
        <f t="shared" si="50"/>
        <v>32</v>
      </c>
      <c r="L13" s="173" t="str">
        <f>IFERROR(VLOOKUP(MID(G13,J13,K13-J13),[6]skilldef!$C:$D,2,FALSE),"-") &amp; " / " &amp; IFERROR(VLOOKUP(MID(G13,H13,I13-H13),[6]skilldef!$A:$B,2,FALSE),"-")</f>
        <v>- / -</v>
      </c>
      <c r="M13" s="173" t="str">
        <f t="shared" si="51"/>
        <v>[effect:sp_boost, target:unit_heal, val:4, animation:sp_boost_one02],[effect:fix_speed, target:myself, turn:2]</v>
      </c>
      <c r="N13" s="170" t="str">
        <f t="shared" ref="N13:N29" si="61">IFERROR(LEFT(M13,FIND("],",M13)+S108),M13)</f>
        <v>[effect:sp_boost, target:unit_heal, val:4, animation:sp_boost_one02],[effect:fix_speed, target:myself, turn:2]</v>
      </c>
      <c r="O13" s="173">
        <f t="shared" si="52"/>
        <v>9</v>
      </c>
      <c r="P13" s="173">
        <f t="shared" si="53"/>
        <v>17</v>
      </c>
      <c r="Q13" s="173">
        <f t="shared" si="54"/>
        <v>26</v>
      </c>
      <c r="R13" s="173">
        <f t="shared" si="55"/>
        <v>35</v>
      </c>
      <c r="S13" s="173" t="str">
        <f>IFERROR(VLOOKUP(MID(N13,Q13,R13-Q13),[6]skilldef!$C:$D,2,FALSE),"-") &amp; " / " &amp; IFERROR(VLOOKUP(MID(N13,O13,P13-O13),[6]skilldef!$A:$B,2,FALSE),"-")</f>
        <v>回復タイプの味方に / -</v>
      </c>
      <c r="T13" s="170" t="str">
        <f t="shared" si="56"/>
        <v>[effect:fix_speed, target:myself, turn:2]</v>
      </c>
      <c r="U13" s="173">
        <f t="shared" si="57"/>
        <v>9</v>
      </c>
      <c r="V13" s="173">
        <f t="shared" si="58"/>
        <v>18</v>
      </c>
      <c r="W13" s="173">
        <f t="shared" si="59"/>
        <v>27</v>
      </c>
      <c r="X13" s="173">
        <f t="shared" si="60"/>
        <v>33</v>
      </c>
      <c r="Y13" s="173" t="str">
        <f>IFERROR(VLOOKUP(MID(T13,W13,X13-W13),[6]skilldef!$C:$D,2,FALSE),"-") &amp; " / " &amp; IFERROR(VLOOKUP(MID(T13,U13,V13-U13),[6]skilldef!$A:$B,2,FALSE),"-")</f>
        <v>自分自身に / 行動値設定</v>
      </c>
      <c r="Z13" s="172"/>
      <c r="AA13" s="174"/>
      <c r="AB13" s="172"/>
      <c r="AC13" s="173" t="s">
        <v>300</v>
      </c>
      <c r="AD13" s="173" t="s">
        <v>257</v>
      </c>
    </row>
    <row r="14" spans="1:30" ht="21" customHeight="1" x14ac:dyDescent="0.15">
      <c r="A14" s="170">
        <v>49016706</v>
      </c>
      <c r="B14" s="171" t="s">
        <v>438</v>
      </c>
      <c r="C14" s="172">
        <v>1</v>
      </c>
      <c r="D14" s="172" t="s">
        <v>127</v>
      </c>
      <c r="E14" s="173" t="s">
        <v>367</v>
      </c>
      <c r="F14" s="173" t="s">
        <v>423</v>
      </c>
      <c r="G14" s="173" t="str">
        <f t="shared" si="46"/>
        <v>[effect:enemy_message, val1:1.5, val2:2.4]</v>
      </c>
      <c r="H14" s="173">
        <f t="shared" si="47"/>
        <v>9</v>
      </c>
      <c r="I14" s="173">
        <f t="shared" si="48"/>
        <v>22</v>
      </c>
      <c r="J14" s="173" t="e">
        <f t="shared" si="49"/>
        <v>#VALUE!</v>
      </c>
      <c r="K14" s="173">
        <f t="shared" si="50"/>
        <v>32</v>
      </c>
      <c r="L14" s="173" t="str">
        <f>IFERROR(VLOOKUP(MID(G14,J14,K14-J14),[6]skilldef!$C:$D,2,FALSE),"-") &amp; " / " &amp; IFERROR(VLOOKUP(MID(G14,H14,I14-H14),[6]skilldef!$A:$B,2,FALSE),"-")</f>
        <v>- / -</v>
      </c>
      <c r="M14" s="173" t="str">
        <f t="shared" si="51"/>
        <v>[effect:sp_boost, target:unit_heal, val:4, animation:sp_boost_one02],[effect:fix_speed, target:myself, turn:2]</v>
      </c>
      <c r="N14" s="170" t="str">
        <f t="shared" si="61"/>
        <v>[effect:sp_boost, target:unit_heal, val:4, animation:sp_boost_one02],[effect:fix_speed, target:myself, turn:2]</v>
      </c>
      <c r="O14" s="173">
        <f t="shared" si="52"/>
        <v>9</v>
      </c>
      <c r="P14" s="173">
        <f t="shared" si="53"/>
        <v>17</v>
      </c>
      <c r="Q14" s="173">
        <f t="shared" si="54"/>
        <v>26</v>
      </c>
      <c r="R14" s="173">
        <f t="shared" si="55"/>
        <v>35</v>
      </c>
      <c r="S14" s="173" t="str">
        <f>IFERROR(VLOOKUP(MID(N14,Q14,R14-Q14),[6]skilldef!$C:$D,2,FALSE),"-") &amp; " / " &amp; IFERROR(VLOOKUP(MID(N14,O14,P14-O14),[6]skilldef!$A:$B,2,FALSE),"-")</f>
        <v>回復タイプの味方に / -</v>
      </c>
      <c r="T14" s="170" t="str">
        <f t="shared" si="56"/>
        <v>[effect:fix_speed, target:myself, turn:2]</v>
      </c>
      <c r="U14" s="173">
        <f t="shared" si="57"/>
        <v>9</v>
      </c>
      <c r="V14" s="173">
        <f t="shared" si="58"/>
        <v>18</v>
      </c>
      <c r="W14" s="173">
        <f t="shared" si="59"/>
        <v>27</v>
      </c>
      <c r="X14" s="173">
        <f t="shared" si="60"/>
        <v>33</v>
      </c>
      <c r="Y14" s="173" t="str">
        <f>IFERROR(VLOOKUP(MID(T14,W14,X14-W14),[6]skilldef!$C:$D,2,FALSE),"-") &amp; " / " &amp; IFERROR(VLOOKUP(MID(T14,U14,V14-U14),[6]skilldef!$A:$B,2,FALSE),"-")</f>
        <v>自分自身に / 行動値設定</v>
      </c>
      <c r="Z14" s="172"/>
      <c r="AA14" s="174"/>
      <c r="AB14" s="172"/>
      <c r="AC14" s="173" t="s">
        <v>300</v>
      </c>
      <c r="AD14" s="173" t="s">
        <v>257</v>
      </c>
    </row>
    <row r="15" spans="1:30" ht="21" customHeight="1" x14ac:dyDescent="0.15">
      <c r="A15" s="170">
        <v>49016707</v>
      </c>
      <c r="B15" s="171" t="s">
        <v>438</v>
      </c>
      <c r="C15" s="172">
        <v>1</v>
      </c>
      <c r="D15" s="172" t="s">
        <v>127</v>
      </c>
      <c r="E15" s="173" t="s">
        <v>367</v>
      </c>
      <c r="F15" s="173" t="s">
        <v>423</v>
      </c>
      <c r="G15" s="173" t="str">
        <f t="shared" si="46"/>
        <v>[effect:enemy_message, val1:1.5, val2:2.4]</v>
      </c>
      <c r="H15" s="173">
        <f t="shared" si="47"/>
        <v>9</v>
      </c>
      <c r="I15" s="173">
        <f t="shared" si="48"/>
        <v>22</v>
      </c>
      <c r="J15" s="173" t="e">
        <f t="shared" si="49"/>
        <v>#VALUE!</v>
      </c>
      <c r="K15" s="173">
        <f t="shared" si="50"/>
        <v>32</v>
      </c>
      <c r="L15" s="173" t="str">
        <f>IFERROR(VLOOKUP(MID(G15,J15,K15-J15),[6]skilldef!$C:$D,2,FALSE),"-") &amp; " / " &amp; IFERROR(VLOOKUP(MID(G15,H15,I15-H15),[6]skilldef!$A:$B,2,FALSE),"-")</f>
        <v>- / -</v>
      </c>
      <c r="M15" s="173" t="str">
        <f t="shared" si="51"/>
        <v>[effect:sp_boost, target:unit_heal, val:4, animation:sp_boost_one02],[effect:fix_speed, target:myself, turn:2]</v>
      </c>
      <c r="N15" s="170" t="str">
        <f t="shared" si="61"/>
        <v>[effect:sp_boost, target:unit_heal, val:4, animation:sp_boost_one02],[effect:fix_speed, target:myself, turn:2]</v>
      </c>
      <c r="O15" s="173">
        <f t="shared" si="52"/>
        <v>9</v>
      </c>
      <c r="P15" s="173">
        <f t="shared" si="53"/>
        <v>17</v>
      </c>
      <c r="Q15" s="173">
        <f t="shared" si="54"/>
        <v>26</v>
      </c>
      <c r="R15" s="173">
        <f t="shared" si="55"/>
        <v>35</v>
      </c>
      <c r="S15" s="173" t="str">
        <f>IFERROR(VLOOKUP(MID(N15,Q15,R15-Q15),[6]skilldef!$C:$D,2,FALSE),"-") &amp; " / " &amp; IFERROR(VLOOKUP(MID(N15,O15,P15-O15),[6]skilldef!$A:$B,2,FALSE),"-")</f>
        <v>回復タイプの味方に / -</v>
      </c>
      <c r="T15" s="170" t="str">
        <f t="shared" si="56"/>
        <v>[effect:fix_speed, target:myself, turn:2]</v>
      </c>
      <c r="U15" s="173">
        <f t="shared" si="57"/>
        <v>9</v>
      </c>
      <c r="V15" s="173">
        <f t="shared" si="58"/>
        <v>18</v>
      </c>
      <c r="W15" s="173">
        <f t="shared" si="59"/>
        <v>27</v>
      </c>
      <c r="X15" s="173">
        <f t="shared" si="60"/>
        <v>33</v>
      </c>
      <c r="Y15" s="173" t="str">
        <f>IFERROR(VLOOKUP(MID(T15,W15,X15-W15),[6]skilldef!$C:$D,2,FALSE),"-") &amp; " / " &amp; IFERROR(VLOOKUP(MID(T15,U15,V15-U15),[6]skilldef!$A:$B,2,FALSE),"-")</f>
        <v>自分自身に / 行動値設定</v>
      </c>
      <c r="Z15" s="172"/>
      <c r="AA15" s="174"/>
      <c r="AB15" s="172"/>
      <c r="AC15" s="173" t="s">
        <v>300</v>
      </c>
      <c r="AD15" s="173" t="s">
        <v>257</v>
      </c>
    </row>
    <row r="16" spans="1:30" ht="21" customHeight="1" x14ac:dyDescent="0.15">
      <c r="A16" s="170">
        <v>49016708</v>
      </c>
      <c r="B16" s="171" t="s">
        <v>438</v>
      </c>
      <c r="C16" s="172">
        <v>1</v>
      </c>
      <c r="D16" s="172" t="s">
        <v>127</v>
      </c>
      <c r="E16" s="173" t="s">
        <v>367</v>
      </c>
      <c r="F16" s="173" t="s">
        <v>423</v>
      </c>
      <c r="G16" s="173" t="str">
        <f t="shared" si="46"/>
        <v>[effect:enemy_message, val1:1.5, val2:2.4]</v>
      </c>
      <c r="H16" s="173">
        <f t="shared" si="47"/>
        <v>9</v>
      </c>
      <c r="I16" s="173">
        <f t="shared" si="48"/>
        <v>22</v>
      </c>
      <c r="J16" s="173" t="e">
        <f t="shared" si="49"/>
        <v>#VALUE!</v>
      </c>
      <c r="K16" s="173">
        <f t="shared" si="50"/>
        <v>32</v>
      </c>
      <c r="L16" s="173" t="str">
        <f>IFERROR(VLOOKUP(MID(G16,J16,K16-J16),[6]skilldef!$C:$D,2,FALSE),"-") &amp; " / " &amp; IFERROR(VLOOKUP(MID(G16,H16,I16-H16),[6]skilldef!$A:$B,2,FALSE),"-")</f>
        <v>- / -</v>
      </c>
      <c r="M16" s="173" t="str">
        <f t="shared" si="51"/>
        <v>[effect:sp_boost, target:unit_heal, val:4, animation:sp_boost_one02],[effect:fix_speed, target:myself, turn:2]</v>
      </c>
      <c r="N16" s="170" t="str">
        <f t="shared" si="61"/>
        <v>[effect:sp_boost, target:unit_heal, val:4, animation:sp_boost_one02],[effect:fix_speed, target:myself, turn:2]</v>
      </c>
      <c r="O16" s="173">
        <f t="shared" si="52"/>
        <v>9</v>
      </c>
      <c r="P16" s="173">
        <f t="shared" si="53"/>
        <v>17</v>
      </c>
      <c r="Q16" s="173">
        <f t="shared" si="54"/>
        <v>26</v>
      </c>
      <c r="R16" s="173">
        <f t="shared" si="55"/>
        <v>35</v>
      </c>
      <c r="S16" s="173" t="str">
        <f>IFERROR(VLOOKUP(MID(N16,Q16,R16-Q16),[6]skilldef!$C:$D,2,FALSE),"-") &amp; " / " &amp; IFERROR(VLOOKUP(MID(N16,O16,P16-O16),[6]skilldef!$A:$B,2,FALSE),"-")</f>
        <v>回復タイプの味方に / -</v>
      </c>
      <c r="T16" s="170" t="str">
        <f t="shared" si="56"/>
        <v>[effect:fix_speed, target:myself, turn:2]</v>
      </c>
      <c r="U16" s="173">
        <f t="shared" si="57"/>
        <v>9</v>
      </c>
      <c r="V16" s="173">
        <f t="shared" si="58"/>
        <v>18</v>
      </c>
      <c r="W16" s="173">
        <f t="shared" si="59"/>
        <v>27</v>
      </c>
      <c r="X16" s="173">
        <f t="shared" si="60"/>
        <v>33</v>
      </c>
      <c r="Y16" s="173" t="str">
        <f>IFERROR(VLOOKUP(MID(T16,W16,X16-W16),[6]skilldef!$C:$D,2,FALSE),"-") &amp; " / " &amp; IFERROR(VLOOKUP(MID(T16,U16,V16-U16),[6]skilldef!$A:$B,2,FALSE),"-")</f>
        <v>自分自身に / 行動値設定</v>
      </c>
      <c r="Z16" s="172"/>
      <c r="AA16" s="174"/>
      <c r="AB16" s="172"/>
      <c r="AC16" s="173" t="s">
        <v>300</v>
      </c>
      <c r="AD16" s="173" t="s">
        <v>257</v>
      </c>
    </row>
    <row r="17" spans="1:30" ht="21" customHeight="1" x14ac:dyDescent="0.15">
      <c r="A17" s="170">
        <v>49016709</v>
      </c>
      <c r="B17" s="171" t="s">
        <v>438</v>
      </c>
      <c r="C17" s="172">
        <v>1</v>
      </c>
      <c r="D17" s="172" t="s">
        <v>127</v>
      </c>
      <c r="E17" s="173" t="s">
        <v>367</v>
      </c>
      <c r="F17" s="173" t="s">
        <v>423</v>
      </c>
      <c r="G17" s="173" t="str">
        <f t="shared" si="46"/>
        <v>[effect:enemy_message, val1:1.5, val2:2.4]</v>
      </c>
      <c r="H17" s="173">
        <f t="shared" si="47"/>
        <v>9</v>
      </c>
      <c r="I17" s="173">
        <f t="shared" si="48"/>
        <v>22</v>
      </c>
      <c r="J17" s="173" t="e">
        <f t="shared" si="49"/>
        <v>#VALUE!</v>
      </c>
      <c r="K17" s="173">
        <f t="shared" si="50"/>
        <v>32</v>
      </c>
      <c r="L17" s="173" t="str">
        <f>IFERROR(VLOOKUP(MID(G17,J17,K17-J17),[6]skilldef!$C:$D,2,FALSE),"-") &amp; " / " &amp; IFERROR(VLOOKUP(MID(G17,H17,I17-H17),[6]skilldef!$A:$B,2,FALSE),"-")</f>
        <v>- / -</v>
      </c>
      <c r="M17" s="173" t="str">
        <f t="shared" si="51"/>
        <v>[effect:sp_boost, target:unit_heal, val:4, animation:sp_boost_one02],[effect:fix_speed, target:myself, turn:2]</v>
      </c>
      <c r="N17" s="170" t="str">
        <f t="shared" si="61"/>
        <v>[effect:sp_boost, target:unit_heal, val:4, animation:sp_boost_one02],[effect:fix_speed, target:myself, turn:2]</v>
      </c>
      <c r="O17" s="173">
        <f t="shared" si="52"/>
        <v>9</v>
      </c>
      <c r="P17" s="173">
        <f t="shared" si="53"/>
        <v>17</v>
      </c>
      <c r="Q17" s="173">
        <f t="shared" si="54"/>
        <v>26</v>
      </c>
      <c r="R17" s="173">
        <f t="shared" si="55"/>
        <v>35</v>
      </c>
      <c r="S17" s="173" t="str">
        <f>IFERROR(VLOOKUP(MID(N17,Q17,R17-Q17),[6]skilldef!$C:$D,2,FALSE),"-") &amp; " / " &amp; IFERROR(VLOOKUP(MID(N17,O17,P17-O17),[6]skilldef!$A:$B,2,FALSE),"-")</f>
        <v>回復タイプの味方に / -</v>
      </c>
      <c r="T17" s="170" t="str">
        <f t="shared" si="56"/>
        <v>[effect:fix_speed, target:myself, turn:2]</v>
      </c>
      <c r="U17" s="173">
        <f t="shared" si="57"/>
        <v>9</v>
      </c>
      <c r="V17" s="173">
        <f t="shared" si="58"/>
        <v>18</v>
      </c>
      <c r="W17" s="173">
        <f t="shared" si="59"/>
        <v>27</v>
      </c>
      <c r="X17" s="173">
        <f t="shared" si="60"/>
        <v>33</v>
      </c>
      <c r="Y17" s="173" t="str">
        <f>IFERROR(VLOOKUP(MID(T17,W17,X17-W17),[6]skilldef!$C:$D,2,FALSE),"-") &amp; " / " &amp; IFERROR(VLOOKUP(MID(T17,U17,V17-U17),[6]skilldef!$A:$B,2,FALSE),"-")</f>
        <v>自分自身に / 行動値設定</v>
      </c>
      <c r="Z17" s="172"/>
      <c r="AA17" s="174"/>
      <c r="AB17" s="172"/>
      <c r="AC17" s="173" t="s">
        <v>300</v>
      </c>
      <c r="AD17" s="173" t="s">
        <v>257</v>
      </c>
    </row>
    <row r="18" spans="1:30" ht="21" customHeight="1" x14ac:dyDescent="0.15">
      <c r="A18" s="170">
        <v>49016710</v>
      </c>
      <c r="B18" s="171" t="s">
        <v>438</v>
      </c>
      <c r="C18" s="172">
        <v>1</v>
      </c>
      <c r="D18" s="172" t="s">
        <v>127</v>
      </c>
      <c r="E18" s="173" t="s">
        <v>367</v>
      </c>
      <c r="F18" s="173" t="s">
        <v>423</v>
      </c>
      <c r="G18" s="173" t="str">
        <f t="shared" si="46"/>
        <v>[effect:enemy_message, val1:1.5, val2:2.4]</v>
      </c>
      <c r="H18" s="173">
        <f t="shared" si="47"/>
        <v>9</v>
      </c>
      <c r="I18" s="173">
        <f t="shared" si="48"/>
        <v>22</v>
      </c>
      <c r="J18" s="173" t="e">
        <f t="shared" si="49"/>
        <v>#VALUE!</v>
      </c>
      <c r="K18" s="173">
        <f t="shared" si="50"/>
        <v>32</v>
      </c>
      <c r="L18" s="173" t="str">
        <f>IFERROR(VLOOKUP(MID(G18,J18,K18-J18),[6]skilldef!$C:$D,2,FALSE),"-") &amp; " / " &amp; IFERROR(VLOOKUP(MID(G18,H18,I18-H18),[6]skilldef!$A:$B,2,FALSE),"-")</f>
        <v>- / -</v>
      </c>
      <c r="M18" s="173" t="str">
        <f t="shared" si="51"/>
        <v>[effect:sp_boost, target:unit_heal, val:4, animation:sp_boost_one02],[effect:fix_speed, target:myself, turn:2]</v>
      </c>
      <c r="N18" s="170" t="str">
        <f t="shared" si="61"/>
        <v>[effect:sp_boost, target:unit_heal, val:4, animation:sp_boost_one02],[effect:fix_speed, target:myself, turn:2]</v>
      </c>
      <c r="O18" s="173">
        <f t="shared" si="52"/>
        <v>9</v>
      </c>
      <c r="P18" s="173">
        <f t="shared" si="53"/>
        <v>17</v>
      </c>
      <c r="Q18" s="173">
        <f t="shared" si="54"/>
        <v>26</v>
      </c>
      <c r="R18" s="173">
        <f t="shared" si="55"/>
        <v>35</v>
      </c>
      <c r="S18" s="173" t="str">
        <f>IFERROR(VLOOKUP(MID(N18,Q18,R18-Q18),[6]skilldef!$C:$D,2,FALSE),"-") &amp; " / " &amp; IFERROR(VLOOKUP(MID(N18,O18,P18-O18),[6]skilldef!$A:$B,2,FALSE),"-")</f>
        <v>回復タイプの味方に / -</v>
      </c>
      <c r="T18" s="170" t="str">
        <f t="shared" si="56"/>
        <v>[effect:fix_speed, target:myself, turn:2]</v>
      </c>
      <c r="U18" s="173">
        <f t="shared" si="57"/>
        <v>9</v>
      </c>
      <c r="V18" s="173">
        <f t="shared" si="58"/>
        <v>18</v>
      </c>
      <c r="W18" s="173">
        <f t="shared" si="59"/>
        <v>27</v>
      </c>
      <c r="X18" s="173">
        <f t="shared" si="60"/>
        <v>33</v>
      </c>
      <c r="Y18" s="173" t="str">
        <f>IFERROR(VLOOKUP(MID(T18,W18,X18-W18),[6]skilldef!$C:$D,2,FALSE),"-") &amp; " / " &amp; IFERROR(VLOOKUP(MID(T18,U18,V18-U18),[6]skilldef!$A:$B,2,FALSE),"-")</f>
        <v>自分自身に / 行動値設定</v>
      </c>
      <c r="Z18" s="172"/>
      <c r="AA18" s="174"/>
      <c r="AB18" s="172"/>
      <c r="AC18" s="173" t="s">
        <v>300</v>
      </c>
      <c r="AD18" s="173" t="s">
        <v>257</v>
      </c>
    </row>
    <row r="19" spans="1:30" ht="21" customHeight="1" x14ac:dyDescent="0.15">
      <c r="A19" s="170">
        <v>49016711</v>
      </c>
      <c r="B19" s="171" t="s">
        <v>438</v>
      </c>
      <c r="C19" s="172">
        <v>1</v>
      </c>
      <c r="D19" s="172" t="s">
        <v>127</v>
      </c>
      <c r="E19" s="173" t="s">
        <v>367</v>
      </c>
      <c r="F19" s="173" t="s">
        <v>423</v>
      </c>
      <c r="G19" s="173" t="str">
        <f t="shared" si="46"/>
        <v>[effect:enemy_message, val1:1.5, val2:2.4]</v>
      </c>
      <c r="H19" s="173">
        <f t="shared" si="47"/>
        <v>9</v>
      </c>
      <c r="I19" s="173">
        <f t="shared" si="48"/>
        <v>22</v>
      </c>
      <c r="J19" s="173" t="e">
        <f t="shared" si="49"/>
        <v>#VALUE!</v>
      </c>
      <c r="K19" s="173">
        <f t="shared" si="50"/>
        <v>32</v>
      </c>
      <c r="L19" s="173" t="str">
        <f>IFERROR(VLOOKUP(MID(G19,J19,K19-J19),[6]skilldef!$C:$D,2,FALSE),"-") &amp; " / " &amp; IFERROR(VLOOKUP(MID(G19,H19,I19-H19),[6]skilldef!$A:$B,2,FALSE),"-")</f>
        <v>- / -</v>
      </c>
      <c r="M19" s="173" t="str">
        <f t="shared" si="51"/>
        <v>[effect:sp_boost, target:unit_heal, val:4, animation:sp_boost_one02],[effect:fix_speed, target:myself, turn:2]</v>
      </c>
      <c r="N19" s="170" t="str">
        <f t="shared" si="61"/>
        <v>[effect:sp_boost, target:unit_heal, val:4, animation:sp_boost_one02],[effect:fix_speed, target:myself, turn:2]</v>
      </c>
      <c r="O19" s="173">
        <f t="shared" si="52"/>
        <v>9</v>
      </c>
      <c r="P19" s="173">
        <f t="shared" si="53"/>
        <v>17</v>
      </c>
      <c r="Q19" s="173">
        <f t="shared" si="54"/>
        <v>26</v>
      </c>
      <c r="R19" s="173">
        <f t="shared" si="55"/>
        <v>35</v>
      </c>
      <c r="S19" s="173" t="str">
        <f>IFERROR(VLOOKUP(MID(N19,Q19,R19-Q19),[6]skilldef!$C:$D,2,FALSE),"-") &amp; " / " &amp; IFERROR(VLOOKUP(MID(N19,O19,P19-O19),[6]skilldef!$A:$B,2,FALSE),"-")</f>
        <v>回復タイプの味方に / -</v>
      </c>
      <c r="T19" s="170" t="str">
        <f t="shared" si="56"/>
        <v>[effect:fix_speed, target:myself, turn:2]</v>
      </c>
      <c r="U19" s="173">
        <f t="shared" si="57"/>
        <v>9</v>
      </c>
      <c r="V19" s="173">
        <f t="shared" si="58"/>
        <v>18</v>
      </c>
      <c r="W19" s="173">
        <f t="shared" si="59"/>
        <v>27</v>
      </c>
      <c r="X19" s="173">
        <f t="shared" si="60"/>
        <v>33</v>
      </c>
      <c r="Y19" s="173" t="str">
        <f>IFERROR(VLOOKUP(MID(T19,W19,X19-W19),[6]skilldef!$C:$D,2,FALSE),"-") &amp; " / " &amp; IFERROR(VLOOKUP(MID(T19,U19,V19-U19),[6]skilldef!$A:$B,2,FALSE),"-")</f>
        <v>自分自身に / 行動値設定</v>
      </c>
      <c r="Z19" s="172"/>
      <c r="AA19" s="174"/>
      <c r="AB19" s="172"/>
      <c r="AC19" s="173" t="s">
        <v>300</v>
      </c>
      <c r="AD19" s="173" t="s">
        <v>257</v>
      </c>
    </row>
    <row r="20" spans="1:30" ht="21" customHeight="1" x14ac:dyDescent="0.15">
      <c r="A20" s="170">
        <v>49016712</v>
      </c>
      <c r="B20" s="171" t="s">
        <v>438</v>
      </c>
      <c r="C20" s="172">
        <v>1</v>
      </c>
      <c r="D20" s="172" t="s">
        <v>127</v>
      </c>
      <c r="E20" s="173" t="s">
        <v>367</v>
      </c>
      <c r="F20" s="173" t="s">
        <v>423</v>
      </c>
      <c r="G20" s="173" t="str">
        <f t="shared" si="46"/>
        <v>[effect:enemy_message, val1:1.5, val2:2.4]</v>
      </c>
      <c r="H20" s="173">
        <f t="shared" si="47"/>
        <v>9</v>
      </c>
      <c r="I20" s="173">
        <f t="shared" si="48"/>
        <v>22</v>
      </c>
      <c r="J20" s="173" t="e">
        <f t="shared" si="49"/>
        <v>#VALUE!</v>
      </c>
      <c r="K20" s="173">
        <f t="shared" si="50"/>
        <v>32</v>
      </c>
      <c r="L20" s="173" t="str">
        <f>IFERROR(VLOOKUP(MID(G20,J20,K20-J20),[6]skilldef!$C:$D,2,FALSE),"-") &amp; " / " &amp; IFERROR(VLOOKUP(MID(G20,H20,I20-H20),[6]skilldef!$A:$B,2,FALSE),"-")</f>
        <v>- / -</v>
      </c>
      <c r="M20" s="173" t="str">
        <f t="shared" si="51"/>
        <v>[effect:sp_boost, target:unit_heal, val:4, animation:sp_boost_one02],[effect:fix_speed, target:myself, turn:2]</v>
      </c>
      <c r="N20" s="170" t="str">
        <f t="shared" si="61"/>
        <v>[effect:sp_boost, target:unit_heal, val:4, animation:sp_boost_one02],[effect:fix_speed, target:myself, turn:2]</v>
      </c>
      <c r="O20" s="173">
        <f t="shared" si="52"/>
        <v>9</v>
      </c>
      <c r="P20" s="173">
        <f t="shared" si="53"/>
        <v>17</v>
      </c>
      <c r="Q20" s="173">
        <f t="shared" si="54"/>
        <v>26</v>
      </c>
      <c r="R20" s="173">
        <f t="shared" si="55"/>
        <v>35</v>
      </c>
      <c r="S20" s="173" t="str">
        <f>IFERROR(VLOOKUP(MID(N20,Q20,R20-Q20),[6]skilldef!$C:$D,2,FALSE),"-") &amp; " / " &amp; IFERROR(VLOOKUP(MID(N20,O20,P20-O20),[6]skilldef!$A:$B,2,FALSE),"-")</f>
        <v>回復タイプの味方に / -</v>
      </c>
      <c r="T20" s="170" t="str">
        <f t="shared" si="56"/>
        <v>[effect:fix_speed, target:myself, turn:2]</v>
      </c>
      <c r="U20" s="173">
        <f t="shared" si="57"/>
        <v>9</v>
      </c>
      <c r="V20" s="173">
        <f t="shared" si="58"/>
        <v>18</v>
      </c>
      <c r="W20" s="173">
        <f t="shared" si="59"/>
        <v>27</v>
      </c>
      <c r="X20" s="173">
        <f t="shared" si="60"/>
        <v>33</v>
      </c>
      <c r="Y20" s="173" t="str">
        <f>IFERROR(VLOOKUP(MID(T20,W20,X20-W20),[6]skilldef!$C:$D,2,FALSE),"-") &amp; " / " &amp; IFERROR(VLOOKUP(MID(T20,U20,V20-U20),[6]skilldef!$A:$B,2,FALSE),"-")</f>
        <v>自分自身に / 行動値設定</v>
      </c>
      <c r="Z20" s="172"/>
      <c r="AA20" s="174"/>
      <c r="AB20" s="172"/>
      <c r="AC20" s="173" t="s">
        <v>300</v>
      </c>
      <c r="AD20" s="173" t="s">
        <v>257</v>
      </c>
    </row>
    <row r="21" spans="1:30" ht="21" customHeight="1" x14ac:dyDescent="0.15">
      <c r="A21" s="170">
        <v>49016713</v>
      </c>
      <c r="B21" s="171" t="s">
        <v>438</v>
      </c>
      <c r="C21" s="172">
        <v>1</v>
      </c>
      <c r="D21" s="172" t="s">
        <v>127</v>
      </c>
      <c r="E21" s="173" t="s">
        <v>367</v>
      </c>
      <c r="F21" s="173" t="s">
        <v>423</v>
      </c>
      <c r="G21" s="173" t="str">
        <f t="shared" si="46"/>
        <v>[effect:enemy_message, val1:1.5, val2:2.4]</v>
      </c>
      <c r="H21" s="173">
        <f t="shared" si="47"/>
        <v>9</v>
      </c>
      <c r="I21" s="173">
        <f t="shared" si="48"/>
        <v>22</v>
      </c>
      <c r="J21" s="173" t="e">
        <f t="shared" si="49"/>
        <v>#VALUE!</v>
      </c>
      <c r="K21" s="173">
        <f t="shared" si="50"/>
        <v>32</v>
      </c>
      <c r="L21" s="173" t="str">
        <f>IFERROR(VLOOKUP(MID(G21,J21,K21-J21),[6]skilldef!$C:$D,2,FALSE),"-") &amp; " / " &amp; IFERROR(VLOOKUP(MID(G21,H21,I21-H21),[6]skilldef!$A:$B,2,FALSE),"-")</f>
        <v>- / -</v>
      </c>
      <c r="M21" s="173" t="str">
        <f t="shared" si="51"/>
        <v>[effect:sp_boost, target:unit_heal, val:4, animation:sp_boost_one02],[effect:fix_speed, target:myself, turn:2]</v>
      </c>
      <c r="N21" s="170" t="str">
        <f t="shared" si="61"/>
        <v>[effect:sp_boost, target:unit_heal, val:4, animation:sp_boost_one02],[effect:fix_speed, target:myself, turn:2]</v>
      </c>
      <c r="O21" s="173">
        <f t="shared" si="52"/>
        <v>9</v>
      </c>
      <c r="P21" s="173">
        <f t="shared" si="53"/>
        <v>17</v>
      </c>
      <c r="Q21" s="173">
        <f t="shared" si="54"/>
        <v>26</v>
      </c>
      <c r="R21" s="173">
        <f t="shared" si="55"/>
        <v>35</v>
      </c>
      <c r="S21" s="173" t="str">
        <f>IFERROR(VLOOKUP(MID(N21,Q21,R21-Q21),[6]skilldef!$C:$D,2,FALSE),"-") &amp; " / " &amp; IFERROR(VLOOKUP(MID(N21,O21,P21-O21),[6]skilldef!$A:$B,2,FALSE),"-")</f>
        <v>回復タイプの味方に / -</v>
      </c>
      <c r="T21" s="170" t="str">
        <f t="shared" si="56"/>
        <v>[effect:fix_speed, target:myself, turn:2]</v>
      </c>
      <c r="U21" s="173">
        <f t="shared" si="57"/>
        <v>9</v>
      </c>
      <c r="V21" s="173">
        <f t="shared" si="58"/>
        <v>18</v>
      </c>
      <c r="W21" s="173">
        <f t="shared" si="59"/>
        <v>27</v>
      </c>
      <c r="X21" s="173">
        <f t="shared" si="60"/>
        <v>33</v>
      </c>
      <c r="Y21" s="173" t="str">
        <f>IFERROR(VLOOKUP(MID(T21,W21,X21-W21),[6]skilldef!$C:$D,2,FALSE),"-") &amp; " / " &amp; IFERROR(VLOOKUP(MID(T21,U21,V21-U21),[6]skilldef!$A:$B,2,FALSE),"-")</f>
        <v>自分自身に / 行動値設定</v>
      </c>
      <c r="Z21" s="172"/>
      <c r="AA21" s="174"/>
      <c r="AB21" s="172"/>
      <c r="AC21" s="173" t="s">
        <v>300</v>
      </c>
      <c r="AD21" s="173" t="s">
        <v>257</v>
      </c>
    </row>
    <row r="22" spans="1:30" ht="21" customHeight="1" x14ac:dyDescent="0.15">
      <c r="A22" s="170">
        <v>49016714</v>
      </c>
      <c r="B22" s="171" t="s">
        <v>438</v>
      </c>
      <c r="C22" s="172">
        <v>1</v>
      </c>
      <c r="D22" s="172" t="s">
        <v>127</v>
      </c>
      <c r="E22" s="173" t="s">
        <v>367</v>
      </c>
      <c r="F22" s="173" t="s">
        <v>423</v>
      </c>
      <c r="G22" s="173" t="str">
        <f t="shared" si="46"/>
        <v>[effect:enemy_message, val1:1.5, val2:2.4]</v>
      </c>
      <c r="H22" s="173">
        <f t="shared" si="47"/>
        <v>9</v>
      </c>
      <c r="I22" s="173">
        <f t="shared" si="48"/>
        <v>22</v>
      </c>
      <c r="J22" s="173" t="e">
        <f t="shared" si="49"/>
        <v>#VALUE!</v>
      </c>
      <c r="K22" s="173">
        <f t="shared" si="50"/>
        <v>32</v>
      </c>
      <c r="L22" s="173" t="str">
        <f>IFERROR(VLOOKUP(MID(G22,J22,K22-J22),[6]skilldef!$C:$D,2,FALSE),"-") &amp; " / " &amp; IFERROR(VLOOKUP(MID(G22,H22,I22-H22),[6]skilldef!$A:$B,2,FALSE),"-")</f>
        <v>- / -</v>
      </c>
      <c r="M22" s="173" t="str">
        <f t="shared" si="51"/>
        <v>[effect:sp_boost, target:unit_heal, val:4, animation:sp_boost_one02],[effect:fix_speed, target:myself, turn:2]</v>
      </c>
      <c r="N22" s="170" t="str">
        <f t="shared" si="61"/>
        <v>[effect:sp_boost, target:unit_heal, val:4, animation:sp_boost_one02],[effect:fix_speed, target:myself, turn:2]</v>
      </c>
      <c r="O22" s="173">
        <f t="shared" si="52"/>
        <v>9</v>
      </c>
      <c r="P22" s="173">
        <f t="shared" si="53"/>
        <v>17</v>
      </c>
      <c r="Q22" s="173">
        <f t="shared" si="54"/>
        <v>26</v>
      </c>
      <c r="R22" s="173">
        <f t="shared" si="55"/>
        <v>35</v>
      </c>
      <c r="S22" s="173" t="str">
        <f>IFERROR(VLOOKUP(MID(N22,Q22,R22-Q22),[6]skilldef!$C:$D,2,FALSE),"-") &amp; " / " &amp; IFERROR(VLOOKUP(MID(N22,O22,P22-O22),[6]skilldef!$A:$B,2,FALSE),"-")</f>
        <v>回復タイプの味方に / -</v>
      </c>
      <c r="T22" s="170" t="str">
        <f t="shared" si="56"/>
        <v>[effect:fix_speed, target:myself, turn:2]</v>
      </c>
      <c r="U22" s="173">
        <f t="shared" si="57"/>
        <v>9</v>
      </c>
      <c r="V22" s="173">
        <f t="shared" si="58"/>
        <v>18</v>
      </c>
      <c r="W22" s="173">
        <f t="shared" si="59"/>
        <v>27</v>
      </c>
      <c r="X22" s="173">
        <f t="shared" si="60"/>
        <v>33</v>
      </c>
      <c r="Y22" s="173" t="str">
        <f>IFERROR(VLOOKUP(MID(T22,W22,X22-W22),[6]skilldef!$C:$D,2,FALSE),"-") &amp; " / " &amp; IFERROR(VLOOKUP(MID(T22,U22,V22-U22),[6]skilldef!$A:$B,2,FALSE),"-")</f>
        <v>自分自身に / 行動値設定</v>
      </c>
      <c r="Z22" s="172"/>
      <c r="AA22" s="174"/>
      <c r="AB22" s="172"/>
      <c r="AC22" s="173" t="s">
        <v>300</v>
      </c>
      <c r="AD22" s="173" t="s">
        <v>257</v>
      </c>
    </row>
    <row r="23" spans="1:30" ht="21" customHeight="1" x14ac:dyDescent="0.15">
      <c r="A23" s="170">
        <v>49016715</v>
      </c>
      <c r="B23" s="171" t="s">
        <v>438</v>
      </c>
      <c r="C23" s="172">
        <v>1</v>
      </c>
      <c r="D23" s="172" t="s">
        <v>127</v>
      </c>
      <c r="E23" s="173" t="s">
        <v>367</v>
      </c>
      <c r="F23" s="173" t="s">
        <v>423</v>
      </c>
      <c r="G23" s="173" t="str">
        <f t="shared" si="46"/>
        <v>[effect:enemy_message, val1:1.5, val2:2.4]</v>
      </c>
      <c r="H23" s="173">
        <f t="shared" si="47"/>
        <v>9</v>
      </c>
      <c r="I23" s="173">
        <f t="shared" si="48"/>
        <v>22</v>
      </c>
      <c r="J23" s="173" t="e">
        <f t="shared" si="49"/>
        <v>#VALUE!</v>
      </c>
      <c r="K23" s="173">
        <f t="shared" si="50"/>
        <v>32</v>
      </c>
      <c r="L23" s="173" t="str">
        <f>IFERROR(VLOOKUP(MID(G23,J23,K23-J23),[6]skilldef!$C:$D,2,FALSE),"-") &amp; " / " &amp; IFERROR(VLOOKUP(MID(G23,H23,I23-H23),[6]skilldef!$A:$B,2,FALSE),"-")</f>
        <v>- / -</v>
      </c>
      <c r="M23" s="173" t="str">
        <f t="shared" si="51"/>
        <v>[effect:sp_boost, target:unit_heal, val:4, animation:sp_boost_one02],[effect:fix_speed, target:myself, turn:2]</v>
      </c>
      <c r="N23" s="170" t="str">
        <f t="shared" si="61"/>
        <v>[effect:sp_boost, target:unit_heal, val:4, animation:sp_boost_one02],[effect:fix_speed, target:myself, turn:2]</v>
      </c>
      <c r="O23" s="173">
        <f t="shared" si="52"/>
        <v>9</v>
      </c>
      <c r="P23" s="173">
        <f t="shared" si="53"/>
        <v>17</v>
      </c>
      <c r="Q23" s="173">
        <f t="shared" si="54"/>
        <v>26</v>
      </c>
      <c r="R23" s="173">
        <f t="shared" si="55"/>
        <v>35</v>
      </c>
      <c r="S23" s="173" t="str">
        <f>IFERROR(VLOOKUP(MID(N23,Q23,R23-Q23),[6]skilldef!$C:$D,2,FALSE),"-") &amp; " / " &amp; IFERROR(VLOOKUP(MID(N23,O23,P23-O23),[6]skilldef!$A:$B,2,FALSE),"-")</f>
        <v>回復タイプの味方に / -</v>
      </c>
      <c r="T23" s="170" t="str">
        <f t="shared" si="56"/>
        <v>[effect:fix_speed, target:myself, turn:2]</v>
      </c>
      <c r="U23" s="173">
        <f t="shared" si="57"/>
        <v>9</v>
      </c>
      <c r="V23" s="173">
        <f t="shared" si="58"/>
        <v>18</v>
      </c>
      <c r="W23" s="173">
        <f t="shared" si="59"/>
        <v>27</v>
      </c>
      <c r="X23" s="173">
        <f t="shared" si="60"/>
        <v>33</v>
      </c>
      <c r="Y23" s="173" t="str">
        <f>IFERROR(VLOOKUP(MID(T23,W23,X23-W23),[6]skilldef!$C:$D,2,FALSE),"-") &amp; " / " &amp; IFERROR(VLOOKUP(MID(T23,U23,V23-U23),[6]skilldef!$A:$B,2,FALSE),"-")</f>
        <v>自分自身に / 行動値設定</v>
      </c>
      <c r="Z23" s="172"/>
      <c r="AA23" s="174"/>
      <c r="AB23" s="172"/>
      <c r="AC23" s="173" t="s">
        <v>300</v>
      </c>
      <c r="AD23" s="173" t="s">
        <v>257</v>
      </c>
    </row>
    <row r="24" spans="1:30" ht="21" customHeight="1" x14ac:dyDescent="0.15">
      <c r="A24" s="170">
        <v>49016716</v>
      </c>
      <c r="B24" s="171" t="s">
        <v>438</v>
      </c>
      <c r="C24" s="172">
        <v>1</v>
      </c>
      <c r="D24" s="172" t="s">
        <v>127</v>
      </c>
      <c r="E24" s="173" t="s">
        <v>367</v>
      </c>
      <c r="F24" s="173" t="s">
        <v>423</v>
      </c>
      <c r="G24" s="173" t="str">
        <f t="shared" si="46"/>
        <v>[effect:enemy_message, val1:1.5, val2:2.4]</v>
      </c>
      <c r="H24" s="173">
        <f t="shared" si="47"/>
        <v>9</v>
      </c>
      <c r="I24" s="173">
        <f t="shared" si="48"/>
        <v>22</v>
      </c>
      <c r="J24" s="173" t="e">
        <f t="shared" si="49"/>
        <v>#VALUE!</v>
      </c>
      <c r="K24" s="173">
        <f t="shared" si="50"/>
        <v>32</v>
      </c>
      <c r="L24" s="173" t="str">
        <f>IFERROR(VLOOKUP(MID(G24,J24,K24-J24),[6]skilldef!$C:$D,2,FALSE),"-") &amp; " / " &amp; IFERROR(VLOOKUP(MID(G24,H24,I24-H24),[6]skilldef!$A:$B,2,FALSE),"-")</f>
        <v>- / -</v>
      </c>
      <c r="M24" s="173" t="str">
        <f t="shared" si="51"/>
        <v>[effect:sp_boost, target:unit_heal, val:4, animation:sp_boost_one02],[effect:fix_speed, target:myself, turn:2]</v>
      </c>
      <c r="N24" s="170" t="str">
        <f t="shared" si="61"/>
        <v>[effect:sp_boost, target:unit_heal, val:4, animation:sp_boost_one02],[effect:fix_speed, target:myself, turn:2]</v>
      </c>
      <c r="O24" s="173">
        <f t="shared" si="52"/>
        <v>9</v>
      </c>
      <c r="P24" s="173">
        <f t="shared" si="53"/>
        <v>17</v>
      </c>
      <c r="Q24" s="173">
        <f t="shared" si="54"/>
        <v>26</v>
      </c>
      <c r="R24" s="173">
        <f t="shared" si="55"/>
        <v>35</v>
      </c>
      <c r="S24" s="173" t="str">
        <f>IFERROR(VLOOKUP(MID(N24,Q24,R24-Q24),[6]skilldef!$C:$D,2,FALSE),"-") &amp; " / " &amp; IFERROR(VLOOKUP(MID(N24,O24,P24-O24),[6]skilldef!$A:$B,2,FALSE),"-")</f>
        <v>回復タイプの味方に / -</v>
      </c>
      <c r="T24" s="170" t="str">
        <f t="shared" si="56"/>
        <v>[effect:fix_speed, target:myself, turn:2]</v>
      </c>
      <c r="U24" s="173">
        <f t="shared" si="57"/>
        <v>9</v>
      </c>
      <c r="V24" s="173">
        <f t="shared" si="58"/>
        <v>18</v>
      </c>
      <c r="W24" s="173">
        <f t="shared" si="59"/>
        <v>27</v>
      </c>
      <c r="X24" s="173">
        <f t="shared" si="60"/>
        <v>33</v>
      </c>
      <c r="Y24" s="173" t="str">
        <f>IFERROR(VLOOKUP(MID(T24,W24,X24-W24),[6]skilldef!$C:$D,2,FALSE),"-") &amp; " / " &amp; IFERROR(VLOOKUP(MID(T24,U24,V24-U24),[6]skilldef!$A:$B,2,FALSE),"-")</f>
        <v>自分自身に / 行動値設定</v>
      </c>
      <c r="Z24" s="172"/>
      <c r="AA24" s="174"/>
      <c r="AB24" s="172"/>
      <c r="AC24" s="173" t="s">
        <v>300</v>
      </c>
      <c r="AD24" s="173" t="s">
        <v>257</v>
      </c>
    </row>
    <row r="25" spans="1:30" ht="21" customHeight="1" x14ac:dyDescent="0.15">
      <c r="A25" s="170">
        <v>49016717</v>
      </c>
      <c r="B25" s="171" t="s">
        <v>438</v>
      </c>
      <c r="C25" s="172">
        <v>1</v>
      </c>
      <c r="D25" s="172" t="s">
        <v>127</v>
      </c>
      <c r="E25" s="173" t="s">
        <v>367</v>
      </c>
      <c r="F25" s="173" t="s">
        <v>423</v>
      </c>
      <c r="G25" s="173" t="str">
        <f t="shared" si="46"/>
        <v>[effect:enemy_message, val1:1.5, val2:2.4]</v>
      </c>
      <c r="H25" s="173">
        <f t="shared" si="47"/>
        <v>9</v>
      </c>
      <c r="I25" s="173">
        <f t="shared" si="48"/>
        <v>22</v>
      </c>
      <c r="J25" s="173" t="e">
        <f t="shared" si="49"/>
        <v>#VALUE!</v>
      </c>
      <c r="K25" s="173">
        <f t="shared" si="50"/>
        <v>32</v>
      </c>
      <c r="L25" s="173" t="str">
        <f>IFERROR(VLOOKUP(MID(G25,J25,K25-J25),[6]skilldef!$C:$D,2,FALSE),"-") &amp; " / " &amp; IFERROR(VLOOKUP(MID(G25,H25,I25-H25),[6]skilldef!$A:$B,2,FALSE),"-")</f>
        <v>- / -</v>
      </c>
      <c r="M25" s="173" t="str">
        <f t="shared" si="51"/>
        <v>[effect:sp_boost, target:unit_heal, val:4, animation:sp_boost_one02],[effect:fix_speed, target:myself, turn:2]</v>
      </c>
      <c r="N25" s="170" t="str">
        <f t="shared" si="61"/>
        <v>[effect:sp_boost, target:unit_heal, val:4, animation:sp_boost_one02],[effect:fix_speed, target:myself, turn:2]</v>
      </c>
      <c r="O25" s="173">
        <f t="shared" si="52"/>
        <v>9</v>
      </c>
      <c r="P25" s="173">
        <f t="shared" si="53"/>
        <v>17</v>
      </c>
      <c r="Q25" s="173">
        <f t="shared" si="54"/>
        <v>26</v>
      </c>
      <c r="R25" s="173">
        <f t="shared" si="55"/>
        <v>35</v>
      </c>
      <c r="S25" s="173" t="str">
        <f>IFERROR(VLOOKUP(MID(N25,Q25,R25-Q25),[6]skilldef!$C:$D,2,FALSE),"-") &amp; " / " &amp; IFERROR(VLOOKUP(MID(N25,O25,P25-O25),[6]skilldef!$A:$B,2,FALSE),"-")</f>
        <v>回復タイプの味方に / -</v>
      </c>
      <c r="T25" s="170" t="str">
        <f t="shared" si="56"/>
        <v>[effect:fix_speed, target:myself, turn:2]</v>
      </c>
      <c r="U25" s="173">
        <f t="shared" si="57"/>
        <v>9</v>
      </c>
      <c r="V25" s="173">
        <f t="shared" si="58"/>
        <v>18</v>
      </c>
      <c r="W25" s="173">
        <f t="shared" si="59"/>
        <v>27</v>
      </c>
      <c r="X25" s="173">
        <f t="shared" si="60"/>
        <v>33</v>
      </c>
      <c r="Y25" s="173" t="str">
        <f>IFERROR(VLOOKUP(MID(T25,W25,X25-W25),[6]skilldef!$C:$D,2,FALSE),"-") &amp; " / " &amp; IFERROR(VLOOKUP(MID(T25,U25,V25-U25),[6]skilldef!$A:$B,2,FALSE),"-")</f>
        <v>自分自身に / 行動値設定</v>
      </c>
      <c r="Z25" s="172"/>
      <c r="AA25" s="174"/>
      <c r="AB25" s="172"/>
      <c r="AC25" s="173" t="s">
        <v>300</v>
      </c>
      <c r="AD25" s="173" t="s">
        <v>257</v>
      </c>
    </row>
    <row r="26" spans="1:30" ht="21" customHeight="1" x14ac:dyDescent="0.15">
      <c r="A26" s="170">
        <v>49016718</v>
      </c>
      <c r="B26" s="171" t="s">
        <v>438</v>
      </c>
      <c r="C26" s="172">
        <v>1</v>
      </c>
      <c r="D26" s="172" t="s">
        <v>127</v>
      </c>
      <c r="E26" s="173" t="s">
        <v>367</v>
      </c>
      <c r="F26" s="173" t="s">
        <v>423</v>
      </c>
      <c r="G26" s="173" t="str">
        <f t="shared" si="46"/>
        <v>[effect:enemy_message, val1:1.5, val2:2.4]</v>
      </c>
      <c r="H26" s="173">
        <f t="shared" si="47"/>
        <v>9</v>
      </c>
      <c r="I26" s="173">
        <f t="shared" si="48"/>
        <v>22</v>
      </c>
      <c r="J26" s="173" t="e">
        <f t="shared" si="49"/>
        <v>#VALUE!</v>
      </c>
      <c r="K26" s="173">
        <f t="shared" si="50"/>
        <v>32</v>
      </c>
      <c r="L26" s="173" t="str">
        <f>IFERROR(VLOOKUP(MID(G26,J26,K26-J26),[6]skilldef!$C:$D,2,FALSE),"-") &amp; " / " &amp; IFERROR(VLOOKUP(MID(G26,H26,I26-H26),[6]skilldef!$A:$B,2,FALSE),"-")</f>
        <v>- / -</v>
      </c>
      <c r="M26" s="173" t="str">
        <f t="shared" si="51"/>
        <v>[effect:sp_boost, target:unit_heal, val:4, animation:sp_boost_one02],[effect:fix_speed, target:myself, turn:2]</v>
      </c>
      <c r="N26" s="170" t="str">
        <f t="shared" si="61"/>
        <v>[effect:sp_boost, target:unit_heal, val:4, animation:sp_boost_one02],[effect:fix_speed, target:myself, turn:2]</v>
      </c>
      <c r="O26" s="173">
        <f t="shared" si="52"/>
        <v>9</v>
      </c>
      <c r="P26" s="173">
        <f t="shared" si="53"/>
        <v>17</v>
      </c>
      <c r="Q26" s="173">
        <f t="shared" si="54"/>
        <v>26</v>
      </c>
      <c r="R26" s="173">
        <f t="shared" si="55"/>
        <v>35</v>
      </c>
      <c r="S26" s="173" t="str">
        <f>IFERROR(VLOOKUP(MID(N26,Q26,R26-Q26),[6]skilldef!$C:$D,2,FALSE),"-") &amp; " / " &amp; IFERROR(VLOOKUP(MID(N26,O26,P26-O26),[6]skilldef!$A:$B,2,FALSE),"-")</f>
        <v>回復タイプの味方に / -</v>
      </c>
      <c r="T26" s="170" t="str">
        <f t="shared" si="56"/>
        <v>[effect:fix_speed, target:myself, turn:2]</v>
      </c>
      <c r="U26" s="173">
        <f t="shared" si="57"/>
        <v>9</v>
      </c>
      <c r="V26" s="173">
        <f t="shared" si="58"/>
        <v>18</v>
      </c>
      <c r="W26" s="173">
        <f t="shared" si="59"/>
        <v>27</v>
      </c>
      <c r="X26" s="173">
        <f t="shared" si="60"/>
        <v>33</v>
      </c>
      <c r="Y26" s="173" t="str">
        <f>IFERROR(VLOOKUP(MID(T26,W26,X26-W26),[6]skilldef!$C:$D,2,FALSE),"-") &amp; " / " &amp; IFERROR(VLOOKUP(MID(T26,U26,V26-U26),[6]skilldef!$A:$B,2,FALSE),"-")</f>
        <v>自分自身に / 行動値設定</v>
      </c>
      <c r="Z26" s="172"/>
      <c r="AA26" s="174"/>
      <c r="AB26" s="172"/>
      <c r="AC26" s="173" t="s">
        <v>300</v>
      </c>
      <c r="AD26" s="173" t="s">
        <v>257</v>
      </c>
    </row>
    <row r="27" spans="1:30" ht="21" customHeight="1" x14ac:dyDescent="0.15">
      <c r="A27" s="170">
        <v>49016719</v>
      </c>
      <c r="B27" s="171" t="s">
        <v>438</v>
      </c>
      <c r="C27" s="172">
        <v>1</v>
      </c>
      <c r="D27" s="172" t="s">
        <v>127</v>
      </c>
      <c r="E27" s="173" t="s">
        <v>367</v>
      </c>
      <c r="F27" s="173" t="s">
        <v>423</v>
      </c>
      <c r="G27" s="173" t="str">
        <f t="shared" si="46"/>
        <v>[effect:enemy_message, val1:1.5, val2:2.4]</v>
      </c>
      <c r="H27" s="173">
        <f t="shared" si="47"/>
        <v>9</v>
      </c>
      <c r="I27" s="173">
        <f t="shared" si="48"/>
        <v>22</v>
      </c>
      <c r="J27" s="173" t="e">
        <f t="shared" si="49"/>
        <v>#VALUE!</v>
      </c>
      <c r="K27" s="173">
        <f t="shared" si="50"/>
        <v>32</v>
      </c>
      <c r="L27" s="173" t="str">
        <f>IFERROR(VLOOKUP(MID(G27,J27,K27-J27),[6]skilldef!$C:$D,2,FALSE),"-") &amp; " / " &amp; IFERROR(VLOOKUP(MID(G27,H27,I27-H27),[6]skilldef!$A:$B,2,FALSE),"-")</f>
        <v>- / -</v>
      </c>
      <c r="M27" s="173" t="str">
        <f t="shared" si="51"/>
        <v>[effect:sp_boost, target:unit_heal, val:4, animation:sp_boost_one02],[effect:fix_speed, target:myself, turn:2]</v>
      </c>
      <c r="N27" s="170" t="str">
        <f t="shared" si="61"/>
        <v>[effect:sp_boost, target:unit_heal, val:4, animation:sp_boost_one02],[effect:fix_speed, target:myself, turn:2]</v>
      </c>
      <c r="O27" s="173">
        <f t="shared" si="52"/>
        <v>9</v>
      </c>
      <c r="P27" s="173">
        <f t="shared" si="53"/>
        <v>17</v>
      </c>
      <c r="Q27" s="173">
        <f t="shared" si="54"/>
        <v>26</v>
      </c>
      <c r="R27" s="173">
        <f t="shared" si="55"/>
        <v>35</v>
      </c>
      <c r="S27" s="173" t="str">
        <f>IFERROR(VLOOKUP(MID(N27,Q27,R27-Q27),[6]skilldef!$C:$D,2,FALSE),"-") &amp; " / " &amp; IFERROR(VLOOKUP(MID(N27,O27,P27-O27),[6]skilldef!$A:$B,2,FALSE),"-")</f>
        <v>回復タイプの味方に / -</v>
      </c>
      <c r="T27" s="170" t="str">
        <f t="shared" si="56"/>
        <v>[effect:fix_speed, target:myself, turn:2]</v>
      </c>
      <c r="U27" s="173">
        <f t="shared" si="57"/>
        <v>9</v>
      </c>
      <c r="V27" s="173">
        <f t="shared" si="58"/>
        <v>18</v>
      </c>
      <c r="W27" s="173">
        <f t="shared" si="59"/>
        <v>27</v>
      </c>
      <c r="X27" s="173">
        <f t="shared" si="60"/>
        <v>33</v>
      </c>
      <c r="Y27" s="173" t="str">
        <f>IFERROR(VLOOKUP(MID(T27,W27,X27-W27),[6]skilldef!$C:$D,2,FALSE),"-") &amp; " / " &amp; IFERROR(VLOOKUP(MID(T27,U27,V27-U27),[6]skilldef!$A:$B,2,FALSE),"-")</f>
        <v>自分自身に / 行動値設定</v>
      </c>
      <c r="Z27" s="172"/>
      <c r="AA27" s="174"/>
      <c r="AB27" s="172"/>
      <c r="AC27" s="173" t="s">
        <v>300</v>
      </c>
      <c r="AD27" s="173" t="s">
        <v>257</v>
      </c>
    </row>
    <row r="28" spans="1:30" ht="21" customHeight="1" x14ac:dyDescent="0.15">
      <c r="A28" s="170">
        <v>49016720</v>
      </c>
      <c r="B28" s="171" t="s">
        <v>438</v>
      </c>
      <c r="C28" s="172">
        <v>1</v>
      </c>
      <c r="D28" s="172" t="s">
        <v>127</v>
      </c>
      <c r="E28" s="173" t="s">
        <v>367</v>
      </c>
      <c r="F28" s="173" t="s">
        <v>423</v>
      </c>
      <c r="G28" s="173" t="str">
        <f t="shared" si="46"/>
        <v>[effect:enemy_message, val1:1.5, val2:2.4]</v>
      </c>
      <c r="H28" s="173">
        <f t="shared" si="47"/>
        <v>9</v>
      </c>
      <c r="I28" s="173">
        <f t="shared" si="48"/>
        <v>22</v>
      </c>
      <c r="J28" s="173" t="e">
        <f t="shared" si="49"/>
        <v>#VALUE!</v>
      </c>
      <c r="K28" s="173">
        <f t="shared" si="50"/>
        <v>32</v>
      </c>
      <c r="L28" s="173" t="str">
        <f>IFERROR(VLOOKUP(MID(G28,J28,K28-J28),[6]skilldef!$C:$D,2,FALSE),"-") &amp; " / " &amp; IFERROR(VLOOKUP(MID(G28,H28,I28-H28),[6]skilldef!$A:$B,2,FALSE),"-")</f>
        <v>- / -</v>
      </c>
      <c r="M28" s="173" t="str">
        <f t="shared" si="51"/>
        <v>[effect:sp_boost, target:unit_heal, val:4, animation:sp_boost_one02],[effect:fix_speed, target:myself, turn:2]</v>
      </c>
      <c r="N28" s="170" t="str">
        <f t="shared" si="61"/>
        <v>[effect:sp_boost, target:unit_heal, val:4, animation:sp_boost_one02],[effect:fix_speed, target:myself, turn:2]</v>
      </c>
      <c r="O28" s="173">
        <f t="shared" si="52"/>
        <v>9</v>
      </c>
      <c r="P28" s="173">
        <f t="shared" si="53"/>
        <v>17</v>
      </c>
      <c r="Q28" s="173">
        <f t="shared" si="54"/>
        <v>26</v>
      </c>
      <c r="R28" s="173">
        <f t="shared" si="55"/>
        <v>35</v>
      </c>
      <c r="S28" s="173" t="str">
        <f>IFERROR(VLOOKUP(MID(N28,Q28,R28-Q28),[6]skilldef!$C:$D,2,FALSE),"-") &amp; " / " &amp; IFERROR(VLOOKUP(MID(N28,O28,P28-O28),[6]skilldef!$A:$B,2,FALSE),"-")</f>
        <v>回復タイプの味方に / -</v>
      </c>
      <c r="T28" s="170" t="str">
        <f t="shared" si="56"/>
        <v>[effect:fix_speed, target:myself, turn:2]</v>
      </c>
      <c r="U28" s="173">
        <f t="shared" si="57"/>
        <v>9</v>
      </c>
      <c r="V28" s="173">
        <f t="shared" si="58"/>
        <v>18</v>
      </c>
      <c r="W28" s="173">
        <f t="shared" si="59"/>
        <v>27</v>
      </c>
      <c r="X28" s="173">
        <f t="shared" si="60"/>
        <v>33</v>
      </c>
      <c r="Y28" s="173" t="str">
        <f>IFERROR(VLOOKUP(MID(T28,W28,X28-W28),[6]skilldef!$C:$D,2,FALSE),"-") &amp; " / " &amp; IFERROR(VLOOKUP(MID(T28,U28,V28-U28),[6]skilldef!$A:$B,2,FALSE),"-")</f>
        <v>自分自身に / 行動値設定</v>
      </c>
      <c r="Z28" s="172"/>
      <c r="AA28" s="174"/>
      <c r="AB28" s="172"/>
      <c r="AC28" s="173" t="s">
        <v>300</v>
      </c>
      <c r="AD28" s="173" t="s">
        <v>257</v>
      </c>
    </row>
    <row r="29" spans="1:30" ht="33" customHeight="1" x14ac:dyDescent="0.15">
      <c r="A29" s="170">
        <v>49016721</v>
      </c>
      <c r="B29" s="171" t="s">
        <v>439</v>
      </c>
      <c r="C29" s="172">
        <v>1</v>
      </c>
      <c r="D29" s="172" t="s">
        <v>127</v>
      </c>
      <c r="E29" s="178" t="s">
        <v>393</v>
      </c>
      <c r="F29" s="173" t="s">
        <v>423</v>
      </c>
      <c r="G29" s="173" t="str">
        <f t="shared" si="46"/>
        <v>[effect:enemy_message, val1:2.9, val2:2.4]</v>
      </c>
      <c r="H29" s="173">
        <f t="shared" si="47"/>
        <v>9</v>
      </c>
      <c r="I29" s="173">
        <f t="shared" si="48"/>
        <v>22</v>
      </c>
      <c r="J29" s="173" t="e">
        <f t="shared" si="49"/>
        <v>#VALUE!</v>
      </c>
      <c r="K29" s="173">
        <f t="shared" si="50"/>
        <v>32</v>
      </c>
      <c r="L29" s="173" t="str">
        <f>IFERROR(VLOOKUP(MID(G29,J29,K29-J29),[6]skilldef!$C:$D,2,FALSE),"-") &amp; " / " &amp; IFERROR(VLOOKUP(MID(G29,H29,I29-H29),[6]skilldef!$A:$B,2,FALSE),"-")</f>
        <v>- / -</v>
      </c>
      <c r="M29" s="173" t="str">
        <f t="shared" si="51"/>
        <v>[effect:sp_boost, target:unit_heal, val:4, animation:sp_boost_one02],[effect:fix_speed, target:myself, turn:2]</v>
      </c>
      <c r="N29" s="170" t="str">
        <f t="shared" si="61"/>
        <v>[effect:sp_boost, target:unit_heal, val:4, animation:sp_boost_one02],[effect:fix_speed, target:myself, turn:2]</v>
      </c>
      <c r="O29" s="173">
        <f t="shared" si="52"/>
        <v>9</v>
      </c>
      <c r="P29" s="173">
        <f t="shared" si="53"/>
        <v>17</v>
      </c>
      <c r="Q29" s="173">
        <f t="shared" si="54"/>
        <v>26</v>
      </c>
      <c r="R29" s="173">
        <f t="shared" si="55"/>
        <v>35</v>
      </c>
      <c r="S29" s="173" t="str">
        <f>IFERROR(VLOOKUP(MID(N29,Q29,R29-Q29),[6]skilldef!$C:$D,2,FALSE),"-") &amp; " / " &amp; IFERROR(VLOOKUP(MID(N29,O29,P29-O29),[6]skilldef!$A:$B,2,FALSE),"-")</f>
        <v>回復タイプの味方に / -</v>
      </c>
      <c r="T29" s="170" t="str">
        <f t="shared" si="56"/>
        <v>[effect:fix_speed, target:myself, turn:2]</v>
      </c>
      <c r="U29" s="173">
        <f t="shared" si="57"/>
        <v>9</v>
      </c>
      <c r="V29" s="173">
        <f t="shared" si="58"/>
        <v>18</v>
      </c>
      <c r="W29" s="173">
        <f t="shared" si="59"/>
        <v>27</v>
      </c>
      <c r="X29" s="173">
        <f t="shared" si="60"/>
        <v>33</v>
      </c>
      <c r="Y29" s="173" t="str">
        <f>IFERROR(VLOOKUP(MID(T29,W29,X29-W29),[6]skilldef!$C:$D,2,FALSE),"-") &amp; " / " &amp; IFERROR(VLOOKUP(MID(T29,U29,V29-U29),[6]skilldef!$A:$B,2,FALSE),"-")</f>
        <v>自分自身に / 行動値設定</v>
      </c>
      <c r="Z29" s="172"/>
      <c r="AA29" s="174"/>
      <c r="AB29" s="172"/>
      <c r="AC29" s="178" t="s">
        <v>338</v>
      </c>
      <c r="AD29" s="173" t="s">
        <v>257</v>
      </c>
    </row>
    <row r="30" spans="1:30" ht="33" customHeight="1" x14ac:dyDescent="0.15">
      <c r="A30" s="170">
        <v>49016722</v>
      </c>
      <c r="B30" s="171" t="s">
        <v>439</v>
      </c>
      <c r="C30" s="172">
        <v>1</v>
      </c>
      <c r="D30" s="172" t="s">
        <v>127</v>
      </c>
      <c r="E30" s="178" t="s">
        <v>393</v>
      </c>
      <c r="F30" s="173" t="s">
        <v>423</v>
      </c>
      <c r="G30" s="173" t="str">
        <f t="shared" si="46"/>
        <v>[effect:enemy_message, val1:2.9, val2:2.4]</v>
      </c>
      <c r="H30" s="173">
        <f t="shared" si="47"/>
        <v>9</v>
      </c>
      <c r="I30" s="173">
        <f t="shared" si="48"/>
        <v>22</v>
      </c>
      <c r="J30" s="173" t="e">
        <f t="shared" si="49"/>
        <v>#VALUE!</v>
      </c>
      <c r="K30" s="173">
        <f t="shared" si="50"/>
        <v>32</v>
      </c>
      <c r="L30" s="173" t="str">
        <f>IFERROR(VLOOKUP(MID(G30,J30,K30-J30),[6]skilldef!$C:$D,2,FALSE),"-") &amp; " / " &amp; IFERROR(VLOOKUP(MID(G30,H30,I30-H30),[6]skilldef!$A:$B,2,FALSE),"-")</f>
        <v>- / -</v>
      </c>
      <c r="M30" s="173" t="str">
        <f t="shared" si="51"/>
        <v>[effect:sp_boost, target:unit_heal, val:4, animation:sp_boost_one02],[effect:fix_speed, target:myself, turn:2]</v>
      </c>
      <c r="N30" s="170" t="str">
        <f>IFERROR(LEFT(M30,FIND("],",M30)+#REF!),M30)</f>
        <v>[effect:sp_boost, target:unit_heal, val:4, animation:sp_boost_one02],[effect:fix_speed, target:myself, turn:2]</v>
      </c>
      <c r="O30" s="173">
        <f t="shared" si="52"/>
        <v>9</v>
      </c>
      <c r="P30" s="173">
        <f t="shared" si="53"/>
        <v>17</v>
      </c>
      <c r="Q30" s="173">
        <f t="shared" si="54"/>
        <v>26</v>
      </c>
      <c r="R30" s="173">
        <f t="shared" si="55"/>
        <v>35</v>
      </c>
      <c r="S30" s="173" t="str">
        <f>IFERROR(VLOOKUP(MID(N30,Q30,R30-Q30),[6]skilldef!$C:$D,2,FALSE),"-") &amp; " / " &amp; IFERROR(VLOOKUP(MID(N30,O30,P30-O30),[6]skilldef!$A:$B,2,FALSE),"-")</f>
        <v>回復タイプの味方に / -</v>
      </c>
      <c r="T30" s="170" t="str">
        <f t="shared" si="56"/>
        <v>[effect:fix_speed, target:myself, turn:2]</v>
      </c>
      <c r="U30" s="173">
        <f t="shared" si="57"/>
        <v>9</v>
      </c>
      <c r="V30" s="173">
        <f t="shared" si="58"/>
        <v>18</v>
      </c>
      <c r="W30" s="173">
        <f t="shared" si="59"/>
        <v>27</v>
      </c>
      <c r="X30" s="173">
        <f t="shared" si="60"/>
        <v>33</v>
      </c>
      <c r="Y30" s="173" t="str">
        <f>IFERROR(VLOOKUP(MID(T30,W30,X30-W30),[6]skilldef!$C:$D,2,FALSE),"-") &amp; " / " &amp; IFERROR(VLOOKUP(MID(T30,U30,V30-U30),[6]skilldef!$A:$B,2,FALSE),"-")</f>
        <v>自分自身に / 行動値設定</v>
      </c>
      <c r="Z30" s="172"/>
      <c r="AA30" s="174"/>
      <c r="AB30" s="172"/>
      <c r="AC30" s="178" t="s">
        <v>339</v>
      </c>
      <c r="AD30" s="173" t="s">
        <v>257</v>
      </c>
    </row>
    <row r="31" spans="1:30" ht="33" customHeight="1" x14ac:dyDescent="0.15">
      <c r="A31" s="170">
        <v>49016723</v>
      </c>
      <c r="B31" s="171" t="s">
        <v>440</v>
      </c>
      <c r="C31" s="172">
        <v>1</v>
      </c>
      <c r="D31" s="172" t="s">
        <v>127</v>
      </c>
      <c r="E31" s="178" t="s">
        <v>379</v>
      </c>
      <c r="F31" s="173" t="s">
        <v>423</v>
      </c>
      <c r="G31" s="173" t="str">
        <f t="shared" si="46"/>
        <v>[effect:enemy_message, val1:2.0, val2:2.4]</v>
      </c>
      <c r="H31" s="173">
        <f t="shared" si="47"/>
        <v>9</v>
      </c>
      <c r="I31" s="173">
        <f t="shared" si="48"/>
        <v>22</v>
      </c>
      <c r="J31" s="173" t="e">
        <f t="shared" si="49"/>
        <v>#VALUE!</v>
      </c>
      <c r="K31" s="173">
        <f t="shared" si="50"/>
        <v>32</v>
      </c>
      <c r="L31" s="173" t="str">
        <f>IFERROR(VLOOKUP(MID(G31,J31,K31-J31),[6]skilldef!$C:$D,2,FALSE),"-") &amp; " / " &amp; IFERROR(VLOOKUP(MID(G31,H31,I31-H31),[6]skilldef!$A:$B,2,FALSE),"-")</f>
        <v>- / -</v>
      </c>
      <c r="M31" s="173" t="str">
        <f t="shared" si="51"/>
        <v>[effect:sp_boost, target:unit_heal, val:4, animation:sp_boost_one02],[effect:fix_speed, target:myself, turn:2]</v>
      </c>
      <c r="N31" s="170" t="str">
        <f>IFERROR(LEFT(M31,FIND("],",M31)+#REF!),M31)</f>
        <v>[effect:sp_boost, target:unit_heal, val:4, animation:sp_boost_one02],[effect:fix_speed, target:myself, turn:2]</v>
      </c>
      <c r="O31" s="173">
        <f t="shared" si="52"/>
        <v>9</v>
      </c>
      <c r="P31" s="173">
        <f t="shared" si="53"/>
        <v>17</v>
      </c>
      <c r="Q31" s="173">
        <f t="shared" si="54"/>
        <v>26</v>
      </c>
      <c r="R31" s="173">
        <f t="shared" si="55"/>
        <v>35</v>
      </c>
      <c r="S31" s="173" t="str">
        <f>IFERROR(VLOOKUP(MID(N31,Q31,R31-Q31),[6]skilldef!$C:$D,2,FALSE),"-") &amp; " / " &amp; IFERROR(VLOOKUP(MID(N31,O31,P31-O31),[6]skilldef!$A:$B,2,FALSE),"-")</f>
        <v>回復タイプの味方に / -</v>
      </c>
      <c r="T31" s="170" t="str">
        <f t="shared" si="56"/>
        <v>[effect:fix_speed, target:myself, turn:2]</v>
      </c>
      <c r="U31" s="173">
        <f t="shared" si="57"/>
        <v>9</v>
      </c>
      <c r="V31" s="173">
        <f t="shared" si="58"/>
        <v>18</v>
      </c>
      <c r="W31" s="173">
        <f t="shared" si="59"/>
        <v>27</v>
      </c>
      <c r="X31" s="173">
        <f t="shared" si="60"/>
        <v>33</v>
      </c>
      <c r="Y31" s="173" t="str">
        <f>IFERROR(VLOOKUP(MID(T31,W31,X31-W31),[6]skilldef!$C:$D,2,FALSE),"-") &amp; " / " &amp; IFERROR(VLOOKUP(MID(T31,U31,V31-U31),[6]skilldef!$A:$B,2,FALSE),"-")</f>
        <v>自分自身に / 行動値設定</v>
      </c>
      <c r="Z31" s="172"/>
      <c r="AA31" s="174"/>
      <c r="AB31" s="172"/>
      <c r="AC31" s="178" t="s">
        <v>340</v>
      </c>
      <c r="AD31" s="173" t="s">
        <v>257</v>
      </c>
    </row>
    <row r="32" spans="1:30" ht="33" customHeight="1" x14ac:dyDescent="0.15">
      <c r="A32" s="170">
        <v>49016724</v>
      </c>
      <c r="B32" s="171" t="s">
        <v>440</v>
      </c>
      <c r="C32" s="172">
        <v>1</v>
      </c>
      <c r="D32" s="172" t="s">
        <v>127</v>
      </c>
      <c r="E32" s="178" t="s">
        <v>379</v>
      </c>
      <c r="F32" s="173" t="s">
        <v>423</v>
      </c>
      <c r="G32" s="173" t="str">
        <f t="shared" ref="G32" si="62">IFERROR(LEFT(B32,FIND("],",B32)),B32)</f>
        <v>[effect:enemy_message, val1:2.0, val2:2.4]</v>
      </c>
      <c r="H32" s="173">
        <f t="shared" ref="H32" si="63">FIND("effect:",G32)+7</f>
        <v>9</v>
      </c>
      <c r="I32" s="173">
        <f t="shared" ref="I32" si="64">IFERROR(FIND(",",G32),LEN(G32))</f>
        <v>22</v>
      </c>
      <c r="J32" s="173" t="e">
        <f t="shared" ref="J32" si="65">FIND("target:",G32)+7</f>
        <v>#VALUE!</v>
      </c>
      <c r="K32" s="173">
        <f t="shared" ref="K32" si="66">FIND(",",G32,I32+1)</f>
        <v>32</v>
      </c>
      <c r="L32" s="173" t="str">
        <f>IFERROR(VLOOKUP(MID(G32,J32,K32-J32),[6]skilldef!$C:$D,2,FALSE),"-") &amp; " / " &amp; IFERROR(VLOOKUP(MID(G32,H32,I32-H32),[6]skilldef!$A:$B,2,FALSE),"-")</f>
        <v>- / -</v>
      </c>
      <c r="M32" s="173" t="str">
        <f t="shared" ref="M32" si="67">IFERROR(RIGHT(B32,LEN(B32)-FIND("],",B32)-1),"none")</f>
        <v>[effect:sp_boost, target:unit_heal, val:4, animation:sp_boost_one02],[effect:fix_speed, target:myself, turn:2]</v>
      </c>
      <c r="N32" s="170" t="str">
        <f>IFERROR(LEFT(M32,FIND("],",M32)+#REF!),M32)</f>
        <v>[effect:sp_boost, target:unit_heal, val:4, animation:sp_boost_one02],[effect:fix_speed, target:myself, turn:2]</v>
      </c>
      <c r="O32" s="173">
        <f t="shared" ref="O32" si="68">FIND("effect:",N32)+7</f>
        <v>9</v>
      </c>
      <c r="P32" s="173">
        <f t="shared" ref="P32" si="69">IFERROR(FIND(",",N32),LEN(N32))</f>
        <v>17</v>
      </c>
      <c r="Q32" s="173">
        <f t="shared" ref="Q32" si="70">FIND("target:",N32)+7</f>
        <v>26</v>
      </c>
      <c r="R32" s="173">
        <f t="shared" ref="R32" si="71">FIND(",",N32,P32+1)</f>
        <v>35</v>
      </c>
      <c r="S32" s="173" t="str">
        <f>IFERROR(VLOOKUP(MID(N32,Q32,R32-Q32),[6]skilldef!$C:$D,2,FALSE),"-") &amp; " / " &amp; IFERROR(VLOOKUP(MID(N32,O32,P32-O32),[6]skilldef!$A:$B,2,FALSE),"-")</f>
        <v>回復タイプの味方に / -</v>
      </c>
      <c r="T32" s="170" t="str">
        <f t="shared" ref="T32" si="72">IFERROR(RIGHT(M32,LEN(M32)-FIND("],",M32)-1),"none")</f>
        <v>[effect:fix_speed, target:myself, turn:2]</v>
      </c>
      <c r="U32" s="173">
        <f t="shared" ref="U32" si="73">FIND("effect:",T32)+7</f>
        <v>9</v>
      </c>
      <c r="V32" s="173">
        <f t="shared" ref="V32" si="74">IFERROR(FIND(",",T32),LEN(T32))</f>
        <v>18</v>
      </c>
      <c r="W32" s="173">
        <f t="shared" ref="W32" si="75">FIND("target:",T32)+7</f>
        <v>27</v>
      </c>
      <c r="X32" s="173">
        <f t="shared" ref="X32" si="76">FIND(",",T32,V32+1)</f>
        <v>33</v>
      </c>
      <c r="Y32" s="173" t="str">
        <f>IFERROR(VLOOKUP(MID(T32,W32,X32-W32),[6]skilldef!$C:$D,2,FALSE),"-") &amp; " / " &amp; IFERROR(VLOOKUP(MID(T32,U32,V32-U32),[6]skilldef!$A:$B,2,FALSE),"-")</f>
        <v>自分自身に / 行動値設定</v>
      </c>
      <c r="Z32" s="172"/>
      <c r="AA32" s="174"/>
      <c r="AB32" s="172"/>
      <c r="AC32" s="178" t="s">
        <v>341</v>
      </c>
      <c r="AD32" s="173" t="s">
        <v>257</v>
      </c>
    </row>
    <row r="33" spans="1:30" ht="18" customHeight="1" x14ac:dyDescent="0.15">
      <c r="A33" s="108">
        <v>49016101</v>
      </c>
      <c r="B33" s="162" t="s">
        <v>441</v>
      </c>
      <c r="C33" s="109">
        <v>1</v>
      </c>
      <c r="D33" s="109" t="s">
        <v>127</v>
      </c>
      <c r="E33" s="110" t="s">
        <v>371</v>
      </c>
      <c r="F33" s="110" t="s">
        <v>258</v>
      </c>
      <c r="G33" s="62" t="str">
        <f t="shared" si="0"/>
        <v>[effect:enemy_message, val1:1.2, val2:1.2]</v>
      </c>
      <c r="H33" s="62">
        <f t="shared" si="1"/>
        <v>9</v>
      </c>
      <c r="I33" s="62">
        <f t="shared" si="2"/>
        <v>22</v>
      </c>
      <c r="J33" s="62" t="e">
        <f t="shared" si="3"/>
        <v>#VALUE!</v>
      </c>
      <c r="K33" s="62">
        <f t="shared" si="4"/>
        <v>32</v>
      </c>
      <c r="L33" s="62" t="str">
        <f>IFERROR(VLOOKUP(MID(G33,J33,K33-J33),[6]skilldef!$C:$D,2,FALSE),"-") &amp; " / " &amp; IFERROR(VLOOKUP(MID(G33,H33,I33-H33),[6]skilldef!$A:$B,2,FALSE),"-")</f>
        <v>- / -</v>
      </c>
      <c r="M33" s="62" t="str">
        <f t="shared" si="5"/>
        <v>[effect:rush, count:4, val:0.35]</v>
      </c>
      <c r="N33" s="48" t="str">
        <f>IFERROR(LEFT(M33,FIND("],",M33)+S75),M33)</f>
        <v>[effect:rush, count:4, val:0.35]</v>
      </c>
      <c r="O33" s="62">
        <f t="shared" si="6"/>
        <v>9</v>
      </c>
      <c r="P33" s="62">
        <f t="shared" si="7"/>
        <v>13</v>
      </c>
      <c r="Q33" s="62" t="e">
        <f t="shared" si="8"/>
        <v>#VALUE!</v>
      </c>
      <c r="R33" s="62">
        <f t="shared" si="9"/>
        <v>22</v>
      </c>
      <c r="S33" s="62" t="str">
        <f>IFERROR(VLOOKUP(MID(N33,Q33,R33-Q33),[6]skilldef!$C:$D,2,FALSE),"-") &amp; " / " &amp; IFERROR(VLOOKUP(MID(N33,O33,P33-O33),[6]skilldef!$A:$B,2,FALSE),"-")</f>
        <v>- / 連続攻撃</v>
      </c>
      <c r="T33" s="48" t="str">
        <f t="shared" si="10"/>
        <v>none</v>
      </c>
      <c r="U33" s="62" t="e">
        <f t="shared" si="11"/>
        <v>#VALUE!</v>
      </c>
      <c r="V33" s="62">
        <f t="shared" si="12"/>
        <v>4</v>
      </c>
      <c r="W33" s="62" t="e">
        <f t="shared" si="13"/>
        <v>#VALUE!</v>
      </c>
      <c r="X33" s="62" t="e">
        <f t="shared" si="14"/>
        <v>#VALUE!</v>
      </c>
      <c r="Y33" s="62" t="str">
        <f>IFERROR(VLOOKUP(MID(T33,W33,X33-W33),[6]skilldef!$C:$D,2,FALSE),"-") &amp; " / " &amp; IFERROR(VLOOKUP(MID(T33,U33,V33-U33),[6]skilldef!$A:$B,2,FALSE),"-")</f>
        <v>- / -</v>
      </c>
      <c r="Z33" s="50"/>
      <c r="AA33" s="51"/>
      <c r="AB33" s="50"/>
      <c r="AC33" s="110" t="s">
        <v>301</v>
      </c>
      <c r="AD33" s="110" t="s">
        <v>258</v>
      </c>
    </row>
    <row r="34" spans="1:30" ht="18" customHeight="1" x14ac:dyDescent="0.15">
      <c r="A34" s="108">
        <v>49016102</v>
      </c>
      <c r="B34" s="162" t="s">
        <v>442</v>
      </c>
      <c r="C34" s="109">
        <v>1</v>
      </c>
      <c r="D34" s="109" t="s">
        <v>127</v>
      </c>
      <c r="E34" s="110" t="s">
        <v>492</v>
      </c>
      <c r="F34" s="110" t="s">
        <v>260</v>
      </c>
      <c r="G34" s="62" t="str">
        <f t="shared" si="0"/>
        <v>[effect:enemy_message, val1:1.2, val2:2.1]</v>
      </c>
      <c r="H34" s="62">
        <f t="shared" si="1"/>
        <v>9</v>
      </c>
      <c r="I34" s="62">
        <f t="shared" si="2"/>
        <v>22</v>
      </c>
      <c r="J34" s="62" t="e">
        <f t="shared" si="3"/>
        <v>#VALUE!</v>
      </c>
      <c r="K34" s="62">
        <f t="shared" si="4"/>
        <v>32</v>
      </c>
      <c r="L34" s="62" t="str">
        <f>IFERROR(VLOOKUP(MID(G34,J34,K34-J34),[6]skilldef!$C:$D,2,FALSE),"-") &amp; " / " &amp; IFERROR(VLOOKUP(MID(G34,H34,I34-H34),[6]skilldef!$A:$B,2,FALSE),"-")</f>
        <v>- / -</v>
      </c>
      <c r="M34" s="62" t="str">
        <f t="shared" si="5"/>
        <v>[effect:panel_freeze, target:block_all, count:7],[effect:rush, count:1, val:0.8]</v>
      </c>
      <c r="N34" s="48" t="str">
        <f>IFERROR(LEFT(M34,FIND("],",M34)+S79),M34)</f>
        <v>[effect:panel_freeze, target:block_all, count:7],[effect:rush, count:1, val:0.8]</v>
      </c>
      <c r="O34" s="62">
        <f t="shared" si="6"/>
        <v>9</v>
      </c>
      <c r="P34" s="62">
        <f t="shared" si="7"/>
        <v>21</v>
      </c>
      <c r="Q34" s="62">
        <f t="shared" si="8"/>
        <v>30</v>
      </c>
      <c r="R34" s="62">
        <f t="shared" si="9"/>
        <v>39</v>
      </c>
      <c r="S34" s="62" t="str">
        <f>IFERROR(VLOOKUP(MID(N34,Q34,R34-Q34),[6]skilldef!$C:$D,2,FALSE),"-") &amp; " / " &amp; IFERROR(VLOOKUP(MID(N34,O34,P34-O34),[6]skilldef!$A:$B,2,FALSE),"-")</f>
        <v>- / -</v>
      </c>
      <c r="T34" s="48" t="str">
        <f t="shared" si="10"/>
        <v>[effect:rush, count:1, val:0.8]</v>
      </c>
      <c r="U34" s="62">
        <f t="shared" si="11"/>
        <v>9</v>
      </c>
      <c r="V34" s="62">
        <f t="shared" si="12"/>
        <v>13</v>
      </c>
      <c r="W34" s="62" t="e">
        <f t="shared" si="13"/>
        <v>#VALUE!</v>
      </c>
      <c r="X34" s="62">
        <f t="shared" si="14"/>
        <v>22</v>
      </c>
      <c r="Y34" s="62" t="str">
        <f>IFERROR(VLOOKUP(MID(T34,W34,X34-W34),[6]skilldef!$C:$D,2,FALSE),"-") &amp; " / " &amp; IFERROR(VLOOKUP(MID(T34,U34,V34-U34),[6]skilldef!$A:$B,2,FALSE),"-")</f>
        <v>- / 連続攻撃</v>
      </c>
      <c r="Z34" s="50"/>
      <c r="AA34" s="51"/>
      <c r="AB34" s="50"/>
      <c r="AC34" s="110" t="s">
        <v>299</v>
      </c>
      <c r="AD34" s="110" t="s">
        <v>260</v>
      </c>
    </row>
    <row r="35" spans="1:30" ht="18" customHeight="1" x14ac:dyDescent="0.15">
      <c r="A35" s="108">
        <v>49016103</v>
      </c>
      <c r="B35" s="162" t="s">
        <v>443</v>
      </c>
      <c r="C35" s="109">
        <v>1</v>
      </c>
      <c r="D35" s="109" t="s">
        <v>127</v>
      </c>
      <c r="E35" s="110" t="s">
        <v>368</v>
      </c>
      <c r="F35" s="110" t="s">
        <v>482</v>
      </c>
      <c r="G35" s="62" t="str">
        <f t="shared" si="0"/>
        <v>[effect:enemy_message, val1:1.2, val2:1.2]</v>
      </c>
      <c r="H35" s="62">
        <f t="shared" si="1"/>
        <v>9</v>
      </c>
      <c r="I35" s="62">
        <f t="shared" si="2"/>
        <v>22</v>
      </c>
      <c r="J35" s="62" t="e">
        <f t="shared" si="3"/>
        <v>#VALUE!</v>
      </c>
      <c r="K35" s="62">
        <f t="shared" si="4"/>
        <v>32</v>
      </c>
      <c r="L35" s="62" t="str">
        <f>IFERROR(VLOOKUP(MID(G35,J35,K35-J35),[6]skilldef!$C:$D,2,FALSE),"-") &amp; " / " &amp; IFERROR(VLOOKUP(MID(G35,H35,I35-H35),[6]skilldef!$A:$B,2,FALSE),"-")</f>
        <v>- / -</v>
      </c>
      <c r="M35" s="62" t="str">
        <f t="shared" si="5"/>
        <v>[effect:freq_turn, target:myself, turn:-1, val:1, animation:enemy_freq_turn]</v>
      </c>
      <c r="N35" s="48" t="str">
        <f>IFERROR(LEFT(M35,FIND("],",M35)+S108),M35)</f>
        <v>[effect:freq_turn, target:myself, turn:-1, val:1, animation:enemy_freq_turn]</v>
      </c>
      <c r="O35" s="62">
        <f t="shared" si="6"/>
        <v>9</v>
      </c>
      <c r="P35" s="62">
        <f t="shared" si="7"/>
        <v>18</v>
      </c>
      <c r="Q35" s="62">
        <f t="shared" si="8"/>
        <v>27</v>
      </c>
      <c r="R35" s="62">
        <f t="shared" si="9"/>
        <v>33</v>
      </c>
      <c r="S35" s="62" t="str">
        <f>IFERROR(VLOOKUP(MID(N35,Q35,R35-Q35),[6]skilldef!$C:$D,2,FALSE),"-") &amp; " / " &amp; IFERROR(VLOOKUP(MID(N35,O35,P35-O35),[6]skilldef!$A:$B,2,FALSE),"-")</f>
        <v>自分自身に / 攻撃頻度がUP</v>
      </c>
      <c r="T35" s="48" t="str">
        <f t="shared" si="10"/>
        <v>none</v>
      </c>
      <c r="U35" s="62" t="e">
        <f t="shared" si="11"/>
        <v>#VALUE!</v>
      </c>
      <c r="V35" s="62">
        <f t="shared" si="12"/>
        <v>4</v>
      </c>
      <c r="W35" s="62" t="e">
        <f t="shared" si="13"/>
        <v>#VALUE!</v>
      </c>
      <c r="X35" s="62" t="e">
        <f t="shared" si="14"/>
        <v>#VALUE!</v>
      </c>
      <c r="Y35" s="62" t="str">
        <f>IFERROR(VLOOKUP(MID(T35,W35,X35-W35),[6]skilldef!$C:$D,2,FALSE),"-") &amp; " / " &amp; IFERROR(VLOOKUP(MID(T35,U35,V35-U35),[6]skilldef!$A:$B,2,FALSE),"-")</f>
        <v>- / -</v>
      </c>
      <c r="Z35" s="50"/>
      <c r="AA35" s="51"/>
      <c r="AB35" s="50"/>
      <c r="AC35" s="110" t="s">
        <v>302</v>
      </c>
      <c r="AD35" s="110" t="s">
        <v>261</v>
      </c>
    </row>
    <row r="36" spans="1:30" ht="112" customHeight="1" x14ac:dyDescent="0.15">
      <c r="A36" s="108">
        <v>49016104</v>
      </c>
      <c r="B36" s="162" t="s">
        <v>444</v>
      </c>
      <c r="C36" s="109">
        <v>1</v>
      </c>
      <c r="D36" s="109" t="s">
        <v>127</v>
      </c>
      <c r="E36" s="110" t="s">
        <v>369</v>
      </c>
      <c r="F36" s="169" t="s">
        <v>388</v>
      </c>
      <c r="G36" s="62" t="str">
        <f t="shared" si="0"/>
        <v>[effect:enemy_message, val1:2.2, val2:2.0]</v>
      </c>
      <c r="H36" s="62">
        <f t="shared" si="1"/>
        <v>9</v>
      </c>
      <c r="I36" s="62">
        <f t="shared" si="2"/>
        <v>22</v>
      </c>
      <c r="J36" s="62" t="e">
        <f t="shared" si="3"/>
        <v>#VALUE!</v>
      </c>
      <c r="K36" s="62">
        <f t="shared" si="4"/>
        <v>32</v>
      </c>
      <c r="L36" s="62" t="str">
        <f>IFERROR(VLOOKUP(MID(G36,J36,K36-J36),[6]skilldef!$C:$D,2,FALSE),"-") &amp; " / " &amp; IFERROR(VLOOKUP(MID(G36,H36,I36-H36),[6]skilldef!$A:$B,2,FALSE),"-")</f>
        <v>- / -</v>
      </c>
      <c r="M36" s="62" t="str">
        <f t="shared" si="5"/>
        <v>[effect:change_range_block, block_change:1, base_type:0, square_count:5, position01:1, position02:3, value_h01:5, value_h02:5, value_w01:1, value_w02:1, new_block:block_blue, target:block_all, ignore01:block_positive, count:0, val:0, animation:change_range_block],[effect:rush, count:6, val:0.5]</v>
      </c>
      <c r="N36" s="48" t="str">
        <f>IFERROR(LEFT(M36,FIND("],",M36)+S109),M36)</f>
        <v>[effect:change_range_block, block_change:1, base_type:0, square_count:5, position01:1, position02:3, value_h01:5, value_h02:5, value_w01:1, value_w02:1, new_block:block_blue, target:block_all, ignore01:block_positive, count:0, val:0, animation:change_range_block],[effect:rush, count:6, val:0.5]</v>
      </c>
      <c r="O36" s="62">
        <f t="shared" si="6"/>
        <v>9</v>
      </c>
      <c r="P36" s="62">
        <f t="shared" si="7"/>
        <v>27</v>
      </c>
      <c r="Q36" s="62">
        <f t="shared" si="8"/>
        <v>183</v>
      </c>
      <c r="R36" s="62">
        <f t="shared" si="9"/>
        <v>43</v>
      </c>
      <c r="S36" s="62" t="str">
        <f>IFERROR(VLOOKUP(MID(N36,Q36,R36-Q36),[6]skilldef!$C:$D,2,FALSE),"-") &amp; " / " &amp; IFERROR(VLOOKUP(MID(N36,O36,P36-O36),[6]skilldef!$A:$B,2,FALSE),"-")</f>
        <v>- / -</v>
      </c>
      <c r="T36" s="48" t="str">
        <f t="shared" si="10"/>
        <v>[effect:rush, count:6, val:0.5]</v>
      </c>
      <c r="U36" s="62">
        <f t="shared" si="11"/>
        <v>9</v>
      </c>
      <c r="V36" s="62">
        <f t="shared" si="12"/>
        <v>13</v>
      </c>
      <c r="W36" s="62" t="e">
        <f t="shared" si="13"/>
        <v>#VALUE!</v>
      </c>
      <c r="X36" s="62">
        <f t="shared" si="14"/>
        <v>22</v>
      </c>
      <c r="Y36" s="62" t="str">
        <f>IFERROR(VLOOKUP(MID(T36,W36,X36-W36),[6]skilldef!$C:$D,2,FALSE),"-") &amp; " / " &amp; IFERROR(VLOOKUP(MID(T36,U36,V36-U36),[6]skilldef!$A:$B,2,FALSE),"-")</f>
        <v>- / 連続攻撃</v>
      </c>
      <c r="Z36" s="50"/>
      <c r="AA36" s="51"/>
      <c r="AB36" s="50"/>
      <c r="AC36" s="110" t="s">
        <v>303</v>
      </c>
      <c r="AD36" s="110" t="s">
        <v>262</v>
      </c>
    </row>
    <row r="37" spans="1:30" ht="39" customHeight="1" x14ac:dyDescent="0.15">
      <c r="A37" s="175">
        <v>49016105</v>
      </c>
      <c r="B37" s="176" t="s">
        <v>445</v>
      </c>
      <c r="C37" s="177">
        <v>1</v>
      </c>
      <c r="D37" s="177" t="s">
        <v>127</v>
      </c>
      <c r="E37" s="178" t="s">
        <v>373</v>
      </c>
      <c r="F37" s="110" t="s">
        <v>325</v>
      </c>
      <c r="G37" s="62" t="str">
        <f t="shared" ref="G37:G39" si="77">IFERROR(LEFT(B37,FIND("],",B37)),B37)</f>
        <v>[effect:enemy_message, val1:1.2, val2:0.0]</v>
      </c>
      <c r="H37" s="62">
        <f t="shared" ref="H37:H39" si="78">FIND("effect:",G37)+7</f>
        <v>9</v>
      </c>
      <c r="I37" s="62">
        <f t="shared" ref="I37:I39" si="79">IFERROR(FIND(",",G37),LEN(G37))</f>
        <v>22</v>
      </c>
      <c r="J37" s="62" t="e">
        <f t="shared" ref="J37:J39" si="80">FIND("target:",G37)+7</f>
        <v>#VALUE!</v>
      </c>
      <c r="K37" s="62">
        <f t="shared" ref="K37:K39" si="81">FIND(",",G37,I37+1)</f>
        <v>32</v>
      </c>
      <c r="L37" s="62" t="str">
        <f>IFERROR(VLOOKUP(MID(G37,J37,K37-J37),[6]skilldef!$C:$D,2,FALSE),"-") &amp; " / " &amp; IFERROR(VLOOKUP(MID(G37,H37,I37-H37),[6]skilldef!$A:$B,2,FALSE),"-")</f>
        <v>- / -</v>
      </c>
      <c r="M37" s="62" t="str">
        <f t="shared" ref="M37:M39" si="82">IFERROR(RIGHT(B37,LEN(B37)-FIND("],",B37)-1),"none")</f>
        <v>none</v>
      </c>
      <c r="N37" s="48" t="str">
        <f>IFERROR(LEFT(M37,FIND("],",M37)+S105),M37)</f>
        <v>none</v>
      </c>
      <c r="O37" s="62" t="e">
        <f t="shared" ref="O37:O39" si="83">FIND("effect:",N37)+7</f>
        <v>#VALUE!</v>
      </c>
      <c r="P37" s="62">
        <f t="shared" ref="P37:P39" si="84">IFERROR(FIND(",",N37),LEN(N37))</f>
        <v>4</v>
      </c>
      <c r="Q37" s="62" t="e">
        <f t="shared" ref="Q37:Q39" si="85">FIND("target:",N37)+7</f>
        <v>#VALUE!</v>
      </c>
      <c r="R37" s="62" t="e">
        <f t="shared" ref="R37:R39" si="86">FIND(",",N37,P37+1)</f>
        <v>#VALUE!</v>
      </c>
      <c r="S37" s="62" t="str">
        <f>IFERROR(VLOOKUP(MID(N37,Q37,R37-Q37),[6]skilldef!$C:$D,2,FALSE),"-") &amp; " / " &amp; IFERROR(VLOOKUP(MID(N37,O37,P37-O37),[6]skilldef!$A:$B,2,FALSE),"-")</f>
        <v>- / -</v>
      </c>
      <c r="T37" s="48" t="str">
        <f t="shared" ref="T37:T39" si="87">IFERROR(RIGHT(M37,LEN(M37)-FIND("],",M37)-1),"none")</f>
        <v>none</v>
      </c>
      <c r="U37" s="62" t="e">
        <f t="shared" ref="U37:U39" si="88">FIND("effect:",T37)+7</f>
        <v>#VALUE!</v>
      </c>
      <c r="V37" s="62">
        <f t="shared" ref="V37:V39" si="89">IFERROR(FIND(",",T37),LEN(T37))</f>
        <v>4</v>
      </c>
      <c r="W37" s="62" t="e">
        <f t="shared" ref="W37:W39" si="90">FIND("target:",T37)+7</f>
        <v>#VALUE!</v>
      </c>
      <c r="X37" s="62" t="e">
        <f t="shared" ref="X37:X39" si="91">FIND(",",T37,V37+1)</f>
        <v>#VALUE!</v>
      </c>
      <c r="Y37" s="62" t="str">
        <f>IFERROR(VLOOKUP(MID(T37,W37,X37-W37),[6]skilldef!$C:$D,2,FALSE),"-") &amp; " / " &amp; IFERROR(VLOOKUP(MID(T37,U37,V37-U37),[6]skilldef!$A:$B,2,FALSE),"-")</f>
        <v>- / -</v>
      </c>
      <c r="Z37" s="50"/>
      <c r="AA37" s="51"/>
      <c r="AB37" s="50"/>
      <c r="AC37" s="178" t="s">
        <v>326</v>
      </c>
      <c r="AD37" s="110" t="s">
        <v>257</v>
      </c>
    </row>
    <row r="38" spans="1:30" ht="39" customHeight="1" x14ac:dyDescent="0.15">
      <c r="A38" s="175">
        <v>49016106</v>
      </c>
      <c r="B38" s="176" t="s">
        <v>446</v>
      </c>
      <c r="C38" s="177">
        <v>1</v>
      </c>
      <c r="D38" s="177" t="s">
        <v>127</v>
      </c>
      <c r="E38" s="178" t="s">
        <v>374</v>
      </c>
      <c r="F38" s="110" t="s">
        <v>325</v>
      </c>
      <c r="G38" s="62" t="str">
        <f t="shared" si="77"/>
        <v>[effect:enemy_message, val1:1.9, val2:0.0]</v>
      </c>
      <c r="H38" s="62">
        <f t="shared" si="78"/>
        <v>9</v>
      </c>
      <c r="I38" s="62">
        <f t="shared" si="79"/>
        <v>22</v>
      </c>
      <c r="J38" s="62" t="e">
        <f t="shared" si="80"/>
        <v>#VALUE!</v>
      </c>
      <c r="K38" s="62">
        <f t="shared" si="81"/>
        <v>32</v>
      </c>
      <c r="L38" s="62" t="str">
        <f>IFERROR(VLOOKUP(MID(G38,J38,K38-J38),[6]skilldef!$C:$D,2,FALSE),"-") &amp; " / " &amp; IFERROR(VLOOKUP(MID(G38,H38,I38-H38),[6]skilldef!$A:$B,2,FALSE),"-")</f>
        <v>- / -</v>
      </c>
      <c r="M38" s="62" t="str">
        <f t="shared" si="82"/>
        <v>none</v>
      </c>
      <c r="N38" s="48" t="str">
        <f>IFERROR(LEFT(M38,FIND("],",M38)+S104),M38)</f>
        <v>none</v>
      </c>
      <c r="O38" s="62" t="e">
        <f t="shared" si="83"/>
        <v>#VALUE!</v>
      </c>
      <c r="P38" s="62">
        <f t="shared" si="84"/>
        <v>4</v>
      </c>
      <c r="Q38" s="62" t="e">
        <f t="shared" si="85"/>
        <v>#VALUE!</v>
      </c>
      <c r="R38" s="62" t="e">
        <f t="shared" si="86"/>
        <v>#VALUE!</v>
      </c>
      <c r="S38" s="62" t="str">
        <f>IFERROR(VLOOKUP(MID(N38,Q38,R38-Q38),[6]skilldef!$C:$D,2,FALSE),"-") &amp; " / " &amp; IFERROR(VLOOKUP(MID(N38,O38,P38-O38),[6]skilldef!$A:$B,2,FALSE),"-")</f>
        <v>- / -</v>
      </c>
      <c r="T38" s="48" t="str">
        <f t="shared" si="87"/>
        <v>none</v>
      </c>
      <c r="U38" s="62" t="e">
        <f t="shared" si="88"/>
        <v>#VALUE!</v>
      </c>
      <c r="V38" s="62">
        <f t="shared" si="89"/>
        <v>4</v>
      </c>
      <c r="W38" s="62" t="e">
        <f t="shared" si="90"/>
        <v>#VALUE!</v>
      </c>
      <c r="X38" s="62" t="e">
        <f t="shared" si="91"/>
        <v>#VALUE!</v>
      </c>
      <c r="Y38" s="62" t="str">
        <f>IFERROR(VLOOKUP(MID(T38,W38,X38-W38),[6]skilldef!$C:$D,2,FALSE),"-") &amp; " / " &amp; IFERROR(VLOOKUP(MID(T38,U38,V38-U38),[6]skilldef!$A:$B,2,FALSE),"-")</f>
        <v>- / -</v>
      </c>
      <c r="Z38" s="50"/>
      <c r="AA38" s="51"/>
      <c r="AB38" s="50"/>
      <c r="AC38" s="178" t="s">
        <v>332</v>
      </c>
      <c r="AD38" s="110" t="s">
        <v>257</v>
      </c>
    </row>
    <row r="39" spans="1:30" ht="39" customHeight="1" x14ac:dyDescent="0.15">
      <c r="A39" s="175">
        <v>49016107</v>
      </c>
      <c r="B39" s="176" t="s">
        <v>446</v>
      </c>
      <c r="C39" s="177">
        <v>1</v>
      </c>
      <c r="D39" s="177" t="s">
        <v>127</v>
      </c>
      <c r="E39" s="178" t="s">
        <v>374</v>
      </c>
      <c r="F39" s="110" t="s">
        <v>325</v>
      </c>
      <c r="G39" s="62" t="str">
        <f t="shared" si="77"/>
        <v>[effect:enemy_message, val1:1.9, val2:0.0]</v>
      </c>
      <c r="H39" s="62">
        <f t="shared" si="78"/>
        <v>9</v>
      </c>
      <c r="I39" s="62">
        <f t="shared" si="79"/>
        <v>22</v>
      </c>
      <c r="J39" s="62" t="e">
        <f t="shared" si="80"/>
        <v>#VALUE!</v>
      </c>
      <c r="K39" s="62">
        <f t="shared" si="81"/>
        <v>32</v>
      </c>
      <c r="L39" s="62" t="str">
        <f>IFERROR(VLOOKUP(MID(G39,J39,K39-J39),[6]skilldef!$C:$D,2,FALSE),"-") &amp; " / " &amp; IFERROR(VLOOKUP(MID(G39,H39,I39-H39),[6]skilldef!$A:$B,2,FALSE),"-")</f>
        <v>- / -</v>
      </c>
      <c r="M39" s="62" t="str">
        <f t="shared" si="82"/>
        <v>none</v>
      </c>
      <c r="N39" s="48" t="str">
        <f>IFERROR(LEFT(M39,FIND("],",M39)+S105),M39)</f>
        <v>none</v>
      </c>
      <c r="O39" s="62" t="e">
        <f t="shared" si="83"/>
        <v>#VALUE!</v>
      </c>
      <c r="P39" s="62">
        <f t="shared" si="84"/>
        <v>4</v>
      </c>
      <c r="Q39" s="62" t="e">
        <f t="shared" si="85"/>
        <v>#VALUE!</v>
      </c>
      <c r="R39" s="62" t="e">
        <f t="shared" si="86"/>
        <v>#VALUE!</v>
      </c>
      <c r="S39" s="62" t="str">
        <f>IFERROR(VLOOKUP(MID(N39,Q39,R39-Q39),[6]skilldef!$C:$D,2,FALSE),"-") &amp; " / " &amp; IFERROR(VLOOKUP(MID(N39,O39,P39-O39),[6]skilldef!$A:$B,2,FALSE),"-")</f>
        <v>- / -</v>
      </c>
      <c r="T39" s="48" t="str">
        <f t="shared" si="87"/>
        <v>none</v>
      </c>
      <c r="U39" s="62" t="e">
        <f t="shared" si="88"/>
        <v>#VALUE!</v>
      </c>
      <c r="V39" s="62">
        <f t="shared" si="89"/>
        <v>4</v>
      </c>
      <c r="W39" s="62" t="e">
        <f t="shared" si="90"/>
        <v>#VALUE!</v>
      </c>
      <c r="X39" s="62" t="e">
        <f t="shared" si="91"/>
        <v>#VALUE!</v>
      </c>
      <c r="Y39" s="62" t="str">
        <f>IFERROR(VLOOKUP(MID(T39,W39,X39-W39),[6]skilldef!$C:$D,2,FALSE),"-") &amp; " / " &amp; IFERROR(VLOOKUP(MID(T39,U39,V39-U39),[6]skilldef!$A:$B,2,FALSE),"-")</f>
        <v>- / -</v>
      </c>
      <c r="Z39" s="50"/>
      <c r="AA39" s="51"/>
      <c r="AB39" s="50"/>
      <c r="AC39" s="178" t="s">
        <v>333</v>
      </c>
      <c r="AD39" s="110" t="s">
        <v>257</v>
      </c>
    </row>
    <row r="40" spans="1:30" ht="39" customHeight="1" x14ac:dyDescent="0.15">
      <c r="A40" s="175">
        <v>49016108</v>
      </c>
      <c r="B40" s="176" t="s">
        <v>447</v>
      </c>
      <c r="C40" s="177">
        <v>1</v>
      </c>
      <c r="D40" s="177" t="s">
        <v>127</v>
      </c>
      <c r="E40" s="178" t="s">
        <v>381</v>
      </c>
      <c r="F40" s="110" t="s">
        <v>325</v>
      </c>
      <c r="G40" s="62" t="str">
        <f t="shared" ref="G40:G41" si="92">IFERROR(LEFT(B40,FIND("],",B40)),B40)</f>
        <v>[effect:enemy_message, val1:2.5, val2:0.0]</v>
      </c>
      <c r="H40" s="62">
        <f t="shared" ref="H40:H41" si="93">FIND("effect:",G40)+7</f>
        <v>9</v>
      </c>
      <c r="I40" s="62">
        <f t="shared" ref="I40:I41" si="94">IFERROR(FIND(",",G40),LEN(G40))</f>
        <v>22</v>
      </c>
      <c r="J40" s="62" t="e">
        <f t="shared" ref="J40:J41" si="95">FIND("target:",G40)+7</f>
        <v>#VALUE!</v>
      </c>
      <c r="K40" s="62">
        <f t="shared" ref="K40:K41" si="96">FIND(",",G40,I40+1)</f>
        <v>32</v>
      </c>
      <c r="L40" s="62" t="str">
        <f>IFERROR(VLOOKUP(MID(G40,J40,K40-J40),[6]skilldef!$C:$D,2,FALSE),"-") &amp; " / " &amp; IFERROR(VLOOKUP(MID(G40,H40,I40-H40),[6]skilldef!$A:$B,2,FALSE),"-")</f>
        <v>- / -</v>
      </c>
      <c r="M40" s="62" t="str">
        <f t="shared" ref="M40:M41" si="97">IFERROR(RIGHT(B40,LEN(B40)-FIND("],",B40)-1),"none")</f>
        <v>none</v>
      </c>
      <c r="N40" s="48" t="str">
        <f>IFERROR(LEFT(M40,FIND("],",M40)+S106),M40)</f>
        <v>none</v>
      </c>
      <c r="O40" s="62" t="e">
        <f t="shared" ref="O40:O41" si="98">FIND("effect:",N40)+7</f>
        <v>#VALUE!</v>
      </c>
      <c r="P40" s="62">
        <f t="shared" ref="P40:P41" si="99">IFERROR(FIND(",",N40),LEN(N40))</f>
        <v>4</v>
      </c>
      <c r="Q40" s="62" t="e">
        <f t="shared" ref="Q40:Q41" si="100">FIND("target:",N40)+7</f>
        <v>#VALUE!</v>
      </c>
      <c r="R40" s="62" t="e">
        <f t="shared" ref="R40:R41" si="101">FIND(",",N40,P40+1)</f>
        <v>#VALUE!</v>
      </c>
      <c r="S40" s="62" t="str">
        <f>IFERROR(VLOOKUP(MID(N40,Q40,R40-Q40),[6]skilldef!$C:$D,2,FALSE),"-") &amp; " / " &amp; IFERROR(VLOOKUP(MID(N40,O40,P40-O40),[6]skilldef!$A:$B,2,FALSE),"-")</f>
        <v>- / -</v>
      </c>
      <c r="T40" s="48" t="str">
        <f t="shared" ref="T40:T41" si="102">IFERROR(RIGHT(M40,LEN(M40)-FIND("],",M40)-1),"none")</f>
        <v>none</v>
      </c>
      <c r="U40" s="62" t="e">
        <f t="shared" ref="U40:U41" si="103">FIND("effect:",T40)+7</f>
        <v>#VALUE!</v>
      </c>
      <c r="V40" s="62">
        <f t="shared" ref="V40:V41" si="104">IFERROR(FIND(",",T40),LEN(T40))</f>
        <v>4</v>
      </c>
      <c r="W40" s="62" t="e">
        <f t="shared" ref="W40:W41" si="105">FIND("target:",T40)+7</f>
        <v>#VALUE!</v>
      </c>
      <c r="X40" s="62" t="e">
        <f t="shared" ref="X40:X41" si="106">FIND(",",T40,V40+1)</f>
        <v>#VALUE!</v>
      </c>
      <c r="Y40" s="62" t="str">
        <f>IFERROR(VLOOKUP(MID(T40,W40,X40-W40),[6]skilldef!$C:$D,2,FALSE),"-") &amp; " / " &amp; IFERROR(VLOOKUP(MID(T40,U40,V40-U40),[6]skilldef!$A:$B,2,FALSE),"-")</f>
        <v>- / -</v>
      </c>
      <c r="Z40" s="50"/>
      <c r="AA40" s="51"/>
      <c r="AB40" s="50"/>
      <c r="AC40" s="178" t="s">
        <v>334</v>
      </c>
      <c r="AD40" s="110" t="s">
        <v>257</v>
      </c>
    </row>
    <row r="41" spans="1:30" ht="39" customHeight="1" x14ac:dyDescent="0.15">
      <c r="A41" s="175">
        <v>49016109</v>
      </c>
      <c r="B41" s="176" t="s">
        <v>447</v>
      </c>
      <c r="C41" s="177">
        <v>1</v>
      </c>
      <c r="D41" s="177" t="s">
        <v>127</v>
      </c>
      <c r="E41" s="178" t="s">
        <v>381</v>
      </c>
      <c r="F41" s="110" t="s">
        <v>325</v>
      </c>
      <c r="G41" s="62" t="str">
        <f t="shared" si="92"/>
        <v>[effect:enemy_message, val1:2.5, val2:0.0]</v>
      </c>
      <c r="H41" s="62">
        <f t="shared" si="93"/>
        <v>9</v>
      </c>
      <c r="I41" s="62">
        <f t="shared" si="94"/>
        <v>22</v>
      </c>
      <c r="J41" s="62" t="e">
        <f t="shared" si="95"/>
        <v>#VALUE!</v>
      </c>
      <c r="K41" s="62">
        <f t="shared" si="96"/>
        <v>32</v>
      </c>
      <c r="L41" s="62" t="str">
        <f>IFERROR(VLOOKUP(MID(G41,J41,K41-J41),[6]skilldef!$C:$D,2,FALSE),"-") &amp; " / " &amp; IFERROR(VLOOKUP(MID(G41,H41,I41-H41),[6]skilldef!$A:$B,2,FALSE),"-")</f>
        <v>- / -</v>
      </c>
      <c r="M41" s="62" t="str">
        <f t="shared" si="97"/>
        <v>none</v>
      </c>
      <c r="N41" s="48" t="str">
        <f>IFERROR(LEFT(M41,FIND("],",M41)+S107),M41)</f>
        <v>none</v>
      </c>
      <c r="O41" s="62" t="e">
        <f t="shared" si="98"/>
        <v>#VALUE!</v>
      </c>
      <c r="P41" s="62">
        <f t="shared" si="99"/>
        <v>4</v>
      </c>
      <c r="Q41" s="62" t="e">
        <f t="shared" si="100"/>
        <v>#VALUE!</v>
      </c>
      <c r="R41" s="62" t="e">
        <f t="shared" si="101"/>
        <v>#VALUE!</v>
      </c>
      <c r="S41" s="62" t="str">
        <f>IFERROR(VLOOKUP(MID(N41,Q41,R41-Q41),[6]skilldef!$C:$D,2,FALSE),"-") &amp; " / " &amp; IFERROR(VLOOKUP(MID(N41,O41,P41-O41),[6]skilldef!$A:$B,2,FALSE),"-")</f>
        <v>- / -</v>
      </c>
      <c r="T41" s="48" t="str">
        <f t="shared" si="102"/>
        <v>none</v>
      </c>
      <c r="U41" s="62" t="e">
        <f t="shared" si="103"/>
        <v>#VALUE!</v>
      </c>
      <c r="V41" s="62">
        <f t="shared" si="104"/>
        <v>4</v>
      </c>
      <c r="W41" s="62" t="e">
        <f t="shared" si="105"/>
        <v>#VALUE!</v>
      </c>
      <c r="X41" s="62" t="e">
        <f t="shared" si="106"/>
        <v>#VALUE!</v>
      </c>
      <c r="Y41" s="62" t="str">
        <f>IFERROR(VLOOKUP(MID(T41,W41,X41-W41),[6]skilldef!$C:$D,2,FALSE),"-") &amp; " / " &amp; IFERROR(VLOOKUP(MID(T41,U41,V41-U41),[6]skilldef!$A:$B,2,FALSE),"-")</f>
        <v>- / -</v>
      </c>
      <c r="Z41" s="50"/>
      <c r="AA41" s="51"/>
      <c r="AB41" s="50"/>
      <c r="AC41" s="178" t="s">
        <v>335</v>
      </c>
      <c r="AD41" s="110" t="s">
        <v>257</v>
      </c>
    </row>
    <row r="42" spans="1:30" ht="37" customHeight="1" x14ac:dyDescent="0.15">
      <c r="A42" s="114">
        <v>49016200</v>
      </c>
      <c r="B42" s="163" t="s">
        <v>432</v>
      </c>
      <c r="C42" s="115">
        <v>1</v>
      </c>
      <c r="D42" s="115" t="s">
        <v>127</v>
      </c>
      <c r="E42" s="116" t="s">
        <v>364</v>
      </c>
      <c r="F42" s="116" t="s">
        <v>359</v>
      </c>
      <c r="G42" s="62" t="str">
        <f t="shared" si="0"/>
        <v>[effect:enemy_message, val1:2.8, val2:0.0]</v>
      </c>
      <c r="H42" s="62">
        <f t="shared" si="1"/>
        <v>9</v>
      </c>
      <c r="I42" s="62">
        <f t="shared" si="2"/>
        <v>22</v>
      </c>
      <c r="J42" s="62" t="e">
        <f t="shared" si="3"/>
        <v>#VALUE!</v>
      </c>
      <c r="K42" s="62">
        <f t="shared" si="4"/>
        <v>32</v>
      </c>
      <c r="L42" s="62" t="str">
        <f>IFERROR(VLOOKUP(MID(G42,J42,K42-J42),[6]skilldef!$C:$D,2,FALSE),"-") &amp; " / " &amp; IFERROR(VLOOKUP(MID(G42,H42,I42-H42),[6]skilldef!$A:$B,2,FALSE),"-")</f>
        <v>- / -</v>
      </c>
      <c r="M42" s="62" t="str">
        <f t="shared" si="5"/>
        <v>[effect:fix_speed, target:myself, turn:2]</v>
      </c>
      <c r="N42" s="48" t="str">
        <f>IFERROR(LEFT(M42,FIND("],",M42)+S110),M42)</f>
        <v>[effect:fix_speed, target:myself, turn:2]</v>
      </c>
      <c r="O42" s="62">
        <f t="shared" si="6"/>
        <v>9</v>
      </c>
      <c r="P42" s="62">
        <f t="shared" si="7"/>
        <v>18</v>
      </c>
      <c r="Q42" s="62">
        <f t="shared" si="8"/>
        <v>27</v>
      </c>
      <c r="R42" s="62">
        <f t="shared" si="9"/>
        <v>33</v>
      </c>
      <c r="S42" s="62" t="str">
        <f>IFERROR(VLOOKUP(MID(N42,Q42,R42-Q42),[6]skilldef!$C:$D,2,FALSE),"-") &amp; " / " &amp; IFERROR(VLOOKUP(MID(N42,O42,P42-O42),[6]skilldef!$A:$B,2,FALSE),"-")</f>
        <v>自分自身に / 行動値設定</v>
      </c>
      <c r="T42" s="48" t="str">
        <f t="shared" si="10"/>
        <v>none</v>
      </c>
      <c r="U42" s="62" t="e">
        <f t="shared" si="11"/>
        <v>#VALUE!</v>
      </c>
      <c r="V42" s="62">
        <f t="shared" si="12"/>
        <v>4</v>
      </c>
      <c r="W42" s="62" t="e">
        <f t="shared" si="13"/>
        <v>#VALUE!</v>
      </c>
      <c r="X42" s="62" t="e">
        <f t="shared" si="14"/>
        <v>#VALUE!</v>
      </c>
      <c r="Y42" s="62" t="str">
        <f>IFERROR(VLOOKUP(MID(T42,W42,X42-W42),[6]skilldef!$C:$D,2,FALSE),"-") &amp; " / " &amp; IFERROR(VLOOKUP(MID(T42,U42,V42-U42),[6]skilldef!$A:$B,2,FALSE),"-")</f>
        <v>- / -</v>
      </c>
      <c r="Z42" s="50"/>
      <c r="AA42" s="51"/>
      <c r="AB42" s="50"/>
      <c r="AC42" s="116" t="s">
        <v>304</v>
      </c>
      <c r="AD42" s="116" t="s">
        <v>263</v>
      </c>
    </row>
    <row r="43" spans="1:30" ht="23" customHeight="1" x14ac:dyDescent="0.15">
      <c r="A43" s="175">
        <v>49016205</v>
      </c>
      <c r="B43" s="176" t="s">
        <v>448</v>
      </c>
      <c r="C43" s="177">
        <v>1</v>
      </c>
      <c r="D43" s="177" t="s">
        <v>127</v>
      </c>
      <c r="E43" s="178" t="s">
        <v>383</v>
      </c>
      <c r="F43" s="178" t="s">
        <v>382</v>
      </c>
      <c r="G43" s="62" t="str">
        <f t="shared" ref="G43" si="107">IFERROR(LEFT(B43,FIND("],",B43)),B43)</f>
        <v>[effect:enemy_message, val1:1.2, val2:1.3]</v>
      </c>
      <c r="H43" s="62">
        <f t="shared" ref="H43" si="108">FIND("effect:",G43)+7</f>
        <v>9</v>
      </c>
      <c r="I43" s="62">
        <f t="shared" ref="I43" si="109">IFERROR(FIND(",",G43),LEN(G43))</f>
        <v>22</v>
      </c>
      <c r="J43" s="62" t="e">
        <f t="shared" ref="J43" si="110">FIND("target:",G43)+7</f>
        <v>#VALUE!</v>
      </c>
      <c r="K43" s="62">
        <f t="shared" ref="K43" si="111">FIND(",",G43,I43+1)</f>
        <v>32</v>
      </c>
      <c r="L43" s="62" t="str">
        <f>IFERROR(VLOOKUP(MID(G43,J43,K43-J43),[6]skilldef!$C:$D,2,FALSE),"-") &amp; " / " &amp; IFERROR(VLOOKUP(MID(G43,H43,I43-H43),[6]skilldef!$A:$B,2,FALSE),"-")</f>
        <v>- / -</v>
      </c>
      <c r="M43" s="62" t="str">
        <f t="shared" ref="M43" si="112">IFERROR(RIGHT(B43,LEN(B43)-FIND("],",B43)-1),"none")</f>
        <v>[effect:fix_speed, target:myself, turn:2]</v>
      </c>
      <c r="N43" s="48" t="str">
        <f>IFERROR(LEFT(M43,FIND("],",M43)+S111),M43)</f>
        <v>[effect:fix_speed, target:myself, turn:2]</v>
      </c>
      <c r="O43" s="62">
        <f t="shared" ref="O43" si="113">FIND("effect:",N43)+7</f>
        <v>9</v>
      </c>
      <c r="P43" s="62">
        <f t="shared" ref="P43" si="114">IFERROR(FIND(",",N43),LEN(N43))</f>
        <v>18</v>
      </c>
      <c r="Q43" s="62">
        <f t="shared" ref="Q43" si="115">FIND("target:",N43)+7</f>
        <v>27</v>
      </c>
      <c r="R43" s="62">
        <f t="shared" ref="R43" si="116">FIND(",",N43,P43+1)</f>
        <v>33</v>
      </c>
      <c r="S43" s="62" t="str">
        <f>IFERROR(VLOOKUP(MID(N43,Q43,R43-Q43),[6]skilldef!$C:$D,2,FALSE),"-") &amp; " / " &amp; IFERROR(VLOOKUP(MID(N43,O43,P43-O43),[6]skilldef!$A:$B,2,FALSE),"-")</f>
        <v>自分自身に / 行動値設定</v>
      </c>
      <c r="T43" s="48" t="str">
        <f t="shared" ref="T43" si="117">IFERROR(RIGHT(M43,LEN(M43)-FIND("],",M43)-1),"none")</f>
        <v>none</v>
      </c>
      <c r="U43" s="62" t="e">
        <f t="shared" ref="U43" si="118">FIND("effect:",T43)+7</f>
        <v>#VALUE!</v>
      </c>
      <c r="V43" s="62">
        <f t="shared" ref="V43" si="119">IFERROR(FIND(",",T43),LEN(T43))</f>
        <v>4</v>
      </c>
      <c r="W43" s="62" t="e">
        <f t="shared" ref="W43" si="120">FIND("target:",T43)+7</f>
        <v>#VALUE!</v>
      </c>
      <c r="X43" s="62" t="e">
        <f t="shared" ref="X43" si="121">FIND(",",T43,V43+1)</f>
        <v>#VALUE!</v>
      </c>
      <c r="Y43" s="62" t="str">
        <f>IFERROR(VLOOKUP(MID(T43,W43,X43-W43),[6]skilldef!$C:$D,2,FALSE),"-") &amp; " / " &amp; IFERROR(VLOOKUP(MID(T43,U43,V43-U43),[6]skilldef!$A:$B,2,FALSE),"-")</f>
        <v>- / -</v>
      </c>
      <c r="Z43" s="50"/>
      <c r="AA43" s="51"/>
      <c r="AB43" s="50"/>
      <c r="AC43" s="116" t="s">
        <v>304</v>
      </c>
      <c r="AD43" s="116" t="s">
        <v>263</v>
      </c>
    </row>
    <row r="44" spans="1:30" ht="23" customHeight="1" x14ac:dyDescent="0.15">
      <c r="A44" s="114">
        <v>49016201</v>
      </c>
      <c r="B44" s="163" t="s">
        <v>449</v>
      </c>
      <c r="C44" s="115">
        <v>1</v>
      </c>
      <c r="D44" s="115" t="s">
        <v>127</v>
      </c>
      <c r="E44" s="116" t="s">
        <v>493</v>
      </c>
      <c r="F44" s="116" t="s">
        <v>264</v>
      </c>
      <c r="G44" s="62" t="str">
        <f t="shared" si="0"/>
        <v>[effect:enemy_message, val1:1.2, val2:1.4]</v>
      </c>
      <c r="H44" s="62">
        <f t="shared" si="1"/>
        <v>9</v>
      </c>
      <c r="I44" s="62">
        <f t="shared" si="2"/>
        <v>22</v>
      </c>
      <c r="J44" s="62" t="e">
        <f t="shared" si="3"/>
        <v>#VALUE!</v>
      </c>
      <c r="K44" s="62">
        <f t="shared" si="4"/>
        <v>32</v>
      </c>
      <c r="L44" s="62" t="str">
        <f>IFERROR(VLOOKUP(MID(G44,J44,K44-J44),[6]skilldef!$C:$D,2,FALSE),"-") &amp; " / " &amp; IFERROR(VLOOKUP(MID(G44,H44,I44-H44),[6]skilldef!$A:$B,2,FALSE),"-")</f>
        <v>- / -</v>
      </c>
      <c r="M44" s="62" t="str">
        <f t="shared" si="5"/>
        <v>[effect:panel_freeze, target:block_red, count:-1],[effect:rush, count:1, val:0.8]</v>
      </c>
      <c r="N44" s="48" t="str">
        <f t="shared" ref="N44:N57" si="122">IFERROR(LEFT(M44,FIND("],",M44)+S111),M44)</f>
        <v>[effect:panel_freeze, target:block_red, count:-1],[effect:rush, count:1, val:0.8]</v>
      </c>
      <c r="O44" s="62">
        <f t="shared" si="6"/>
        <v>9</v>
      </c>
      <c r="P44" s="62">
        <f t="shared" si="7"/>
        <v>21</v>
      </c>
      <c r="Q44" s="62">
        <f t="shared" si="8"/>
        <v>30</v>
      </c>
      <c r="R44" s="62">
        <f t="shared" si="9"/>
        <v>39</v>
      </c>
      <c r="S44" s="62" t="str">
        <f>IFERROR(VLOOKUP(MID(N44,Q44,R44-Q44),[6]skilldef!$C:$D,2,FALSE),"-") &amp; " / " &amp; IFERROR(VLOOKUP(MID(N44,O44,P44-O44),[6]skilldef!$A:$B,2,FALSE),"-")</f>
        <v>赤パネルを / -</v>
      </c>
      <c r="T44" s="48" t="str">
        <f t="shared" si="10"/>
        <v>[effect:rush, count:1, val:0.8]</v>
      </c>
      <c r="U44" s="62">
        <f t="shared" si="11"/>
        <v>9</v>
      </c>
      <c r="V44" s="62">
        <f t="shared" si="12"/>
        <v>13</v>
      </c>
      <c r="W44" s="62" t="e">
        <f t="shared" si="13"/>
        <v>#VALUE!</v>
      </c>
      <c r="X44" s="62">
        <f t="shared" si="14"/>
        <v>22</v>
      </c>
      <c r="Y44" s="62" t="str">
        <f>IFERROR(VLOOKUP(MID(T44,W44,X44-W44),[6]skilldef!$C:$D,2,FALSE),"-") &amp; " / " &amp; IFERROR(VLOOKUP(MID(T44,U44,V44-U44),[6]skilldef!$A:$B,2,FALSE),"-")</f>
        <v>- / 連続攻撃</v>
      </c>
      <c r="Z44" s="50"/>
      <c r="AA44" s="51"/>
      <c r="AB44" s="50"/>
      <c r="AC44" s="116" t="s">
        <v>305</v>
      </c>
      <c r="AD44" s="116" t="s">
        <v>264</v>
      </c>
    </row>
    <row r="45" spans="1:30" ht="23" customHeight="1" x14ac:dyDescent="0.15">
      <c r="A45" s="114">
        <v>49016202</v>
      </c>
      <c r="B45" s="163" t="s">
        <v>450</v>
      </c>
      <c r="C45" s="115">
        <v>1</v>
      </c>
      <c r="D45" s="115" t="s">
        <v>127</v>
      </c>
      <c r="E45" s="116" t="s">
        <v>494</v>
      </c>
      <c r="F45" s="116" t="s">
        <v>265</v>
      </c>
      <c r="G45" s="62" t="str">
        <f t="shared" si="0"/>
        <v>[effect:enemy_message, val1:1.2, val2:1.2]</v>
      </c>
      <c r="H45" s="62">
        <f t="shared" si="1"/>
        <v>9</v>
      </c>
      <c r="I45" s="62">
        <f t="shared" si="2"/>
        <v>22</v>
      </c>
      <c r="J45" s="62" t="e">
        <f t="shared" si="3"/>
        <v>#VALUE!</v>
      </c>
      <c r="K45" s="62">
        <f t="shared" si="4"/>
        <v>32</v>
      </c>
      <c r="L45" s="62" t="str">
        <f>IFERROR(VLOOKUP(MID(G45,J45,K45-J45),[6]skilldef!$C:$D,2,FALSE),"-") &amp; " / " &amp; IFERROR(VLOOKUP(MID(G45,H45,I45-H45),[6]skilldef!$A:$B,2,FALSE),"-")</f>
        <v>- / -</v>
      </c>
      <c r="M45" s="62" t="str">
        <f t="shared" si="5"/>
        <v>[effect:critical, val:1.5, animation:enemy_critical]</v>
      </c>
      <c r="N45" s="48" t="str">
        <f t="shared" si="122"/>
        <v>[effect:critical, val:1.5, animation:enemy_critical]</v>
      </c>
      <c r="O45" s="62">
        <f t="shared" si="6"/>
        <v>9</v>
      </c>
      <c r="P45" s="62">
        <f t="shared" si="7"/>
        <v>17</v>
      </c>
      <c r="Q45" s="62" t="e">
        <f t="shared" si="8"/>
        <v>#VALUE!</v>
      </c>
      <c r="R45" s="62">
        <f t="shared" si="9"/>
        <v>26</v>
      </c>
      <c r="S45" s="62" t="str">
        <f>IFERROR(VLOOKUP(MID(N45,Q45,R45-Q45),[6]skilldef!$C:$D,2,FALSE),"-") &amp; " / " &amp; IFERROR(VLOOKUP(MID(N45,O45,P45-O45),[6]skilldef!$A:$B,2,FALSE),"-")</f>
        <v>- / 大攻撃</v>
      </c>
      <c r="T45" s="48" t="str">
        <f t="shared" si="10"/>
        <v>none</v>
      </c>
      <c r="U45" s="62" t="e">
        <f t="shared" si="11"/>
        <v>#VALUE!</v>
      </c>
      <c r="V45" s="62">
        <f t="shared" si="12"/>
        <v>4</v>
      </c>
      <c r="W45" s="62" t="e">
        <f t="shared" si="13"/>
        <v>#VALUE!</v>
      </c>
      <c r="X45" s="62" t="e">
        <f t="shared" si="14"/>
        <v>#VALUE!</v>
      </c>
      <c r="Y45" s="62" t="str">
        <f>IFERROR(VLOOKUP(MID(T45,W45,X45-W45),[6]skilldef!$C:$D,2,FALSE),"-") &amp; " / " &amp; IFERROR(VLOOKUP(MID(T45,U45,V45-U45),[6]skilldef!$A:$B,2,FALSE),"-")</f>
        <v>- / -</v>
      </c>
      <c r="Z45" s="50"/>
      <c r="AA45" s="51"/>
      <c r="AB45" s="50"/>
      <c r="AC45" s="116" t="s">
        <v>306</v>
      </c>
      <c r="AD45" s="116" t="s">
        <v>265</v>
      </c>
    </row>
    <row r="46" spans="1:30" ht="23" customHeight="1" x14ac:dyDescent="0.15">
      <c r="A46" s="114">
        <v>49016203</v>
      </c>
      <c r="B46" s="163" t="s">
        <v>451</v>
      </c>
      <c r="C46" s="115">
        <v>1</v>
      </c>
      <c r="D46" s="115" t="s">
        <v>127</v>
      </c>
      <c r="E46" s="116" t="s">
        <v>377</v>
      </c>
      <c r="F46" s="116" t="s">
        <v>266</v>
      </c>
      <c r="G46" s="62" t="str">
        <f t="shared" si="0"/>
        <v>[effect:enemy_message, val1:1.2, val2:1.7]</v>
      </c>
      <c r="H46" s="62">
        <f t="shared" si="1"/>
        <v>9</v>
      </c>
      <c r="I46" s="62">
        <f t="shared" si="2"/>
        <v>22</v>
      </c>
      <c r="J46" s="62" t="e">
        <f t="shared" si="3"/>
        <v>#VALUE!</v>
      </c>
      <c r="K46" s="62">
        <f t="shared" si="4"/>
        <v>32</v>
      </c>
      <c r="L46" s="62" t="str">
        <f>IFERROR(VLOOKUP(MID(G46,J46,K46-J46),[6]skilldef!$C:$D,2,FALSE),"-") &amp; " / " &amp; IFERROR(VLOOKUP(MID(G46,H46,I46-H46),[6]skilldef!$A:$B,2,FALSE),"-")</f>
        <v>- / -</v>
      </c>
      <c r="M46" s="62" t="str">
        <f t="shared" si="5"/>
        <v>none</v>
      </c>
      <c r="N46" s="48" t="str">
        <f t="shared" si="122"/>
        <v>none</v>
      </c>
      <c r="O46" s="62" t="e">
        <f t="shared" si="6"/>
        <v>#VALUE!</v>
      </c>
      <c r="P46" s="62">
        <f t="shared" si="7"/>
        <v>4</v>
      </c>
      <c r="Q46" s="62" t="e">
        <f t="shared" si="8"/>
        <v>#VALUE!</v>
      </c>
      <c r="R46" s="62" t="e">
        <f t="shared" si="9"/>
        <v>#VALUE!</v>
      </c>
      <c r="S46" s="62" t="str">
        <f>IFERROR(VLOOKUP(MID(N46,Q46,R46-Q46),[6]skilldef!$C:$D,2,FALSE),"-") &amp; " / " &amp; IFERROR(VLOOKUP(MID(N46,O46,P46-O46),[6]skilldef!$A:$B,2,FALSE),"-")</f>
        <v>- / -</v>
      </c>
      <c r="T46" s="48" t="str">
        <f t="shared" si="10"/>
        <v>none</v>
      </c>
      <c r="U46" s="62" t="e">
        <f t="shared" si="11"/>
        <v>#VALUE!</v>
      </c>
      <c r="V46" s="62">
        <f t="shared" si="12"/>
        <v>4</v>
      </c>
      <c r="W46" s="62" t="e">
        <f t="shared" si="13"/>
        <v>#VALUE!</v>
      </c>
      <c r="X46" s="62" t="e">
        <f t="shared" si="14"/>
        <v>#VALUE!</v>
      </c>
      <c r="Y46" s="62" t="str">
        <f>IFERROR(VLOOKUP(MID(T46,W46,X46-W46),[6]skilldef!$C:$D,2,FALSE),"-") &amp; " / " &amp; IFERROR(VLOOKUP(MID(T46,U46,V46-U46),[6]skilldef!$A:$B,2,FALSE),"-")</f>
        <v>- / -</v>
      </c>
      <c r="Z46" s="50"/>
      <c r="AA46" s="51"/>
      <c r="AB46" s="50"/>
      <c r="AC46" s="116" t="s">
        <v>307</v>
      </c>
      <c r="AD46" s="116" t="s">
        <v>266</v>
      </c>
    </row>
    <row r="47" spans="1:30" ht="23" customHeight="1" x14ac:dyDescent="0.15">
      <c r="A47" s="114">
        <v>49016204</v>
      </c>
      <c r="B47" s="163" t="s">
        <v>452</v>
      </c>
      <c r="C47" s="115">
        <v>1</v>
      </c>
      <c r="D47" s="115" t="s">
        <v>127</v>
      </c>
      <c r="E47" s="116" t="s">
        <v>495</v>
      </c>
      <c r="F47" s="116" t="s">
        <v>267</v>
      </c>
      <c r="G47" s="62" t="str">
        <f t="shared" si="0"/>
        <v>[effect:enemy_message, val1:1.2, val2:1.2]</v>
      </c>
      <c r="H47" s="62">
        <f t="shared" si="1"/>
        <v>9</v>
      </c>
      <c r="I47" s="62">
        <f t="shared" si="2"/>
        <v>22</v>
      </c>
      <c r="J47" s="62" t="e">
        <f t="shared" si="3"/>
        <v>#VALUE!</v>
      </c>
      <c r="K47" s="62">
        <f t="shared" si="4"/>
        <v>32</v>
      </c>
      <c r="L47" s="62" t="str">
        <f>IFERROR(VLOOKUP(MID(G47,J47,K47-J47),[6]skilldef!$C:$D,2,FALSE),"-") &amp; " / " &amp; IFERROR(VLOOKUP(MID(G47,H47,I47-H47),[6]skilldef!$A:$B,2,FALSE),"-")</f>
        <v>- / -</v>
      </c>
      <c r="M47" s="62" t="str">
        <f t="shared" si="5"/>
        <v>[effect:break_attack_fix, target:unit_one, val:500, lowest_val:2000, count:-1, color:red, block01:block_red]</v>
      </c>
      <c r="N47" s="48" t="str">
        <f t="shared" si="122"/>
        <v>[effect:break_attack_fix, target:unit_one, val:500, lowest_val:2000, count:-1, color:red, block01:block_red]</v>
      </c>
      <c r="O47" s="62">
        <f t="shared" si="6"/>
        <v>9</v>
      </c>
      <c r="P47" s="62">
        <f t="shared" si="7"/>
        <v>25</v>
      </c>
      <c r="Q47" s="62">
        <f t="shared" si="8"/>
        <v>34</v>
      </c>
      <c r="R47" s="62">
        <f t="shared" si="9"/>
        <v>42</v>
      </c>
      <c r="S47" s="62" t="str">
        <f>IFERROR(VLOOKUP(MID(N47,Q47,R47-Q47),[6]skilldef!$C:$D,2,FALSE),"-") &amp; " / " &amp; IFERROR(VLOOKUP(MID(N47,O47,P47-O47),[6]skilldef!$A:$B,2,FALSE),"-")</f>
        <v>味方単体に / -</v>
      </c>
      <c r="T47" s="48" t="str">
        <f t="shared" si="10"/>
        <v>none</v>
      </c>
      <c r="U47" s="62" t="e">
        <f t="shared" si="11"/>
        <v>#VALUE!</v>
      </c>
      <c r="V47" s="62">
        <f t="shared" si="12"/>
        <v>4</v>
      </c>
      <c r="W47" s="62" t="e">
        <f t="shared" si="13"/>
        <v>#VALUE!</v>
      </c>
      <c r="X47" s="62" t="e">
        <f t="shared" si="14"/>
        <v>#VALUE!</v>
      </c>
      <c r="Y47" s="62" t="str">
        <f>IFERROR(VLOOKUP(MID(T47,W47,X47-W47),[6]skilldef!$C:$D,2,FALSE),"-") &amp; " / " &amp; IFERROR(VLOOKUP(MID(T47,U47,V47-U47),[6]skilldef!$A:$B,2,FALSE),"-")</f>
        <v>- / -</v>
      </c>
      <c r="Z47" s="50"/>
      <c r="AA47" s="51"/>
      <c r="AB47" s="50"/>
      <c r="AC47" s="116" t="s">
        <v>316</v>
      </c>
      <c r="AD47" s="116" t="s">
        <v>267</v>
      </c>
    </row>
    <row r="48" spans="1:30" ht="39" customHeight="1" x14ac:dyDescent="0.15">
      <c r="A48" s="117">
        <v>49016300</v>
      </c>
      <c r="B48" s="207" t="s">
        <v>453</v>
      </c>
      <c r="C48" s="118">
        <v>1</v>
      </c>
      <c r="D48" s="118" t="s">
        <v>127</v>
      </c>
      <c r="E48" s="119" t="s">
        <v>363</v>
      </c>
      <c r="F48" s="206" t="s">
        <v>329</v>
      </c>
      <c r="G48" s="62" t="str">
        <f t="shared" si="0"/>
        <v>[effect:enemy_message, val1:2.3, val2:1.5]</v>
      </c>
      <c r="H48" s="62">
        <f t="shared" si="1"/>
        <v>9</v>
      </c>
      <c r="I48" s="62">
        <f t="shared" si="2"/>
        <v>22</v>
      </c>
      <c r="J48" s="62" t="e">
        <f t="shared" si="3"/>
        <v>#VALUE!</v>
      </c>
      <c r="K48" s="62">
        <f t="shared" si="4"/>
        <v>32</v>
      </c>
      <c r="L48" s="62" t="str">
        <f>IFERROR(VLOOKUP(MID(G48,J48,K48-J48),[6]skilldef!$C:$D,2,FALSE),"-") &amp; " / " &amp; IFERROR(VLOOKUP(MID(G48,H48,I48-H48),[6]skilldef!$A:$B,2,FALSE),"-")</f>
        <v>- / -</v>
      </c>
      <c r="M48" s="62" t="str">
        <f t="shared" si="5"/>
        <v>[effect:change_panel_ratio, turn:5, block_type:red, val:0.6, animation:block_incidence04],[effect:fix_speed, target:myself, turn:1]</v>
      </c>
      <c r="N48" s="48" t="str">
        <f t="shared" si="122"/>
        <v>[effect:change_panel_ratio, turn:5, block_type:red, val:0.6, animation:block_incidence04],[effect:fix_speed, target:myself, turn:1]</v>
      </c>
      <c r="O48" s="62">
        <f t="shared" si="6"/>
        <v>9</v>
      </c>
      <c r="P48" s="62">
        <f t="shared" si="7"/>
        <v>27</v>
      </c>
      <c r="Q48" s="62">
        <f t="shared" si="8"/>
        <v>117</v>
      </c>
      <c r="R48" s="62">
        <f t="shared" si="9"/>
        <v>35</v>
      </c>
      <c r="S48" s="62" t="str">
        <f>IFERROR(VLOOKUP(MID(N48,Q48,R48-Q48),[6]skilldef!$C:$D,2,FALSE),"-") &amp; " / " &amp; IFERROR(VLOOKUP(MID(N48,O48,P48-O48),[6]skilldef!$A:$B,2,FALSE),"-")</f>
        <v>- / -</v>
      </c>
      <c r="T48" s="48" t="str">
        <f t="shared" si="10"/>
        <v>[effect:fix_speed, target:myself, turn:1]</v>
      </c>
      <c r="U48" s="62">
        <f t="shared" si="11"/>
        <v>9</v>
      </c>
      <c r="V48" s="62">
        <f t="shared" si="12"/>
        <v>18</v>
      </c>
      <c r="W48" s="62">
        <f t="shared" si="13"/>
        <v>27</v>
      </c>
      <c r="X48" s="62">
        <f t="shared" si="14"/>
        <v>33</v>
      </c>
      <c r="Y48" s="62" t="str">
        <f>IFERROR(VLOOKUP(MID(T48,W48,X48-W48),[6]skilldef!$C:$D,2,FALSE),"-") &amp; " / " &amp; IFERROR(VLOOKUP(MID(T48,U48,V48-U48),[6]skilldef!$A:$B,2,FALSE),"-")</f>
        <v>自分自身に / 行動値設定</v>
      </c>
      <c r="Z48" s="50"/>
      <c r="AA48" s="51"/>
      <c r="AB48" s="50"/>
      <c r="AC48" s="119" t="s">
        <v>309</v>
      </c>
      <c r="AD48" s="119" t="s">
        <v>308</v>
      </c>
    </row>
    <row r="49" spans="1:30" ht="46" customHeight="1" x14ac:dyDescent="0.15">
      <c r="A49" s="170">
        <v>49016801</v>
      </c>
      <c r="B49" s="171" t="s">
        <v>454</v>
      </c>
      <c r="C49" s="172">
        <v>1</v>
      </c>
      <c r="D49" s="172" t="s">
        <v>127</v>
      </c>
      <c r="E49" s="173" t="s">
        <v>358</v>
      </c>
      <c r="F49" s="173" t="s">
        <v>424</v>
      </c>
      <c r="G49" s="173" t="str">
        <f t="shared" ref="G49:G71" si="123">IFERROR(LEFT(B49,FIND("],",B49)),B49)</f>
        <v>[effect:enemy_message, val1:2.0, val2:4.3]</v>
      </c>
      <c r="H49" s="173">
        <f t="shared" ref="H49:H71" si="124">FIND("effect:",G49)+7</f>
        <v>9</v>
      </c>
      <c r="I49" s="173">
        <f t="shared" ref="I49:I71" si="125">IFERROR(FIND(",",G49),LEN(G49))</f>
        <v>22</v>
      </c>
      <c r="J49" s="173" t="e">
        <f t="shared" ref="J49:J71" si="126">FIND("target:",G49)+7</f>
        <v>#VALUE!</v>
      </c>
      <c r="K49" s="173">
        <f t="shared" ref="K49:K71" si="127">FIND(",",G49,I49+1)</f>
        <v>32</v>
      </c>
      <c r="L49" s="173" t="str">
        <f>IFERROR(VLOOKUP(MID(G49,J49,K49-J49),[6]skilldef!$C:$D,2,FALSE),"-") &amp; " / " &amp; IFERROR(VLOOKUP(MID(G49,H49,I49-H49),[6]skilldef!$A:$B,2,FALSE),"-")</f>
        <v>- / -</v>
      </c>
      <c r="M49" s="173" t="str">
        <f t="shared" ref="M49:M71" si="128">IFERROR(RIGHT(B49,LEN(B49)-FIND("],",B49)-1),"none")</f>
        <v>[effect:change_panel_ratio, turn:5, block_type:red, val:0.4, animation:block_incidence04],[effect:sp_boost, target:unit_technical, val:4, animation:sp_boost_one02],[effect:fix_speed, target:myself, turn:1]</v>
      </c>
      <c r="N49" s="170" t="str">
        <f t="shared" si="122"/>
        <v>[effect:change_panel_ratio, turn:5, block_type:red, val:0.4, animation:block_incidence04],[effect:sp_boost, target:unit_technical, val:4, animation:sp_boost_one02],[effect:fix_speed, target:myself, turn:1]</v>
      </c>
      <c r="O49" s="173">
        <f t="shared" ref="O49:O71" si="129">FIND("effect:",N49)+7</f>
        <v>9</v>
      </c>
      <c r="P49" s="173">
        <f t="shared" ref="P49:P71" si="130">IFERROR(FIND(",",N49),LEN(N49))</f>
        <v>27</v>
      </c>
      <c r="Q49" s="173">
        <f t="shared" ref="Q49:Q71" si="131">FIND("target:",N49)+7</f>
        <v>116</v>
      </c>
      <c r="R49" s="173">
        <f t="shared" ref="R49:R71" si="132">FIND(",",N49,P49+1)</f>
        <v>35</v>
      </c>
      <c r="S49" s="173" t="str">
        <f>IFERROR(VLOOKUP(MID(N49,Q49,R49-Q49),[6]skilldef!$C:$D,2,FALSE),"-") &amp; " / " &amp; IFERROR(VLOOKUP(MID(N49,O49,P49-O49),[6]skilldef!$A:$B,2,FALSE),"-")</f>
        <v>- / -</v>
      </c>
      <c r="T49" s="170" t="str">
        <f t="shared" ref="T49:T71" si="133">IFERROR(RIGHT(M49,LEN(M49)-FIND("],",M49)-1),"none")</f>
        <v>[effect:sp_boost, target:unit_technical, val:4, animation:sp_boost_one02],[effect:fix_speed, target:myself, turn:1]</v>
      </c>
      <c r="U49" s="173">
        <f t="shared" ref="U49:U71" si="134">FIND("effect:",T49)+7</f>
        <v>9</v>
      </c>
      <c r="V49" s="173">
        <f t="shared" ref="V49:V71" si="135">IFERROR(FIND(",",T49),LEN(T49))</f>
        <v>17</v>
      </c>
      <c r="W49" s="173">
        <f t="shared" ref="W49:W71" si="136">FIND("target:",T49)+7</f>
        <v>26</v>
      </c>
      <c r="X49" s="173">
        <f t="shared" ref="X49:X71" si="137">FIND(",",T49,V49+1)</f>
        <v>40</v>
      </c>
      <c r="Y49" s="173" t="str">
        <f>IFERROR(VLOOKUP(MID(T49,W49,X49-W49),[6]skilldef!$C:$D,2,FALSE),"-") &amp; " / " &amp; IFERROR(VLOOKUP(MID(T49,U49,V49-U49),[6]skilldef!$A:$B,2,FALSE),"-")</f>
        <v>- / -</v>
      </c>
      <c r="Z49" s="172"/>
      <c r="AA49" s="174"/>
      <c r="AB49" s="172"/>
      <c r="AC49" s="173" t="s">
        <v>309</v>
      </c>
      <c r="AD49" s="173" t="s">
        <v>308</v>
      </c>
    </row>
    <row r="50" spans="1:30" ht="17" customHeight="1" x14ac:dyDescent="0.15">
      <c r="A50" s="170">
        <v>49016802</v>
      </c>
      <c r="B50" s="171" t="s">
        <v>454</v>
      </c>
      <c r="C50" s="172">
        <v>1</v>
      </c>
      <c r="D50" s="172" t="s">
        <v>127</v>
      </c>
      <c r="E50" s="173" t="s">
        <v>358</v>
      </c>
      <c r="F50" s="173" t="s">
        <v>424</v>
      </c>
      <c r="G50" s="173" t="str">
        <f t="shared" si="123"/>
        <v>[effect:enemy_message, val1:2.0, val2:4.3]</v>
      </c>
      <c r="H50" s="173">
        <f t="shared" si="124"/>
        <v>9</v>
      </c>
      <c r="I50" s="173">
        <f t="shared" si="125"/>
        <v>22</v>
      </c>
      <c r="J50" s="173" t="e">
        <f t="shared" si="126"/>
        <v>#VALUE!</v>
      </c>
      <c r="K50" s="173">
        <f t="shared" si="127"/>
        <v>32</v>
      </c>
      <c r="L50" s="173" t="str">
        <f>IFERROR(VLOOKUP(MID(G50,J50,K50-J50),[6]skilldef!$C:$D,2,FALSE),"-") &amp; " / " &amp; IFERROR(VLOOKUP(MID(G50,H50,I50-H50),[6]skilldef!$A:$B,2,FALSE),"-")</f>
        <v>- / -</v>
      </c>
      <c r="M50" s="173" t="str">
        <f t="shared" si="128"/>
        <v>[effect:change_panel_ratio, turn:5, block_type:red, val:0.4, animation:block_incidence04],[effect:sp_boost, target:unit_technical, val:4, animation:sp_boost_one02],[effect:fix_speed, target:myself, turn:1]</v>
      </c>
      <c r="N50" s="170" t="str">
        <f t="shared" si="122"/>
        <v>[effect:change_panel_ratio, turn:5, block_type:red, val:0.4, animation:block_incidence04],[effect:sp_boost, target:unit_technical, val:4, animation:sp_boost_one02],[effect:fix_speed, target:myself, turn:1]</v>
      </c>
      <c r="O50" s="173">
        <f t="shared" si="129"/>
        <v>9</v>
      </c>
      <c r="P50" s="173">
        <f t="shared" si="130"/>
        <v>27</v>
      </c>
      <c r="Q50" s="173">
        <f t="shared" si="131"/>
        <v>116</v>
      </c>
      <c r="R50" s="173">
        <f t="shared" si="132"/>
        <v>35</v>
      </c>
      <c r="S50" s="173" t="str">
        <f>IFERROR(VLOOKUP(MID(N50,Q50,R50-Q50),[6]skilldef!$C:$D,2,FALSE),"-") &amp; " / " &amp; IFERROR(VLOOKUP(MID(N50,O50,P50-O50),[6]skilldef!$A:$B,2,FALSE),"-")</f>
        <v>- / -</v>
      </c>
      <c r="T50" s="170" t="str">
        <f t="shared" si="133"/>
        <v>[effect:sp_boost, target:unit_technical, val:4, animation:sp_boost_one02],[effect:fix_speed, target:myself, turn:1]</v>
      </c>
      <c r="U50" s="173">
        <f t="shared" si="134"/>
        <v>9</v>
      </c>
      <c r="V50" s="173">
        <f t="shared" si="135"/>
        <v>17</v>
      </c>
      <c r="W50" s="173">
        <f t="shared" si="136"/>
        <v>26</v>
      </c>
      <c r="X50" s="173">
        <f t="shared" si="137"/>
        <v>40</v>
      </c>
      <c r="Y50" s="173" t="str">
        <f>IFERROR(VLOOKUP(MID(T50,W50,X50-W50),[6]skilldef!$C:$D,2,FALSE),"-") &amp; " / " &amp; IFERROR(VLOOKUP(MID(T50,U50,V50-U50),[6]skilldef!$A:$B,2,FALSE),"-")</f>
        <v>- / -</v>
      </c>
      <c r="Z50" s="172"/>
      <c r="AA50" s="174"/>
      <c r="AB50" s="172"/>
      <c r="AC50" s="173" t="s">
        <v>309</v>
      </c>
      <c r="AD50" s="173" t="s">
        <v>308</v>
      </c>
    </row>
    <row r="51" spans="1:30" ht="17" customHeight="1" x14ac:dyDescent="0.15">
      <c r="A51" s="170">
        <v>49016803</v>
      </c>
      <c r="B51" s="171" t="s">
        <v>454</v>
      </c>
      <c r="C51" s="172">
        <v>1</v>
      </c>
      <c r="D51" s="172" t="s">
        <v>127</v>
      </c>
      <c r="E51" s="173" t="s">
        <v>358</v>
      </c>
      <c r="F51" s="173" t="s">
        <v>424</v>
      </c>
      <c r="G51" s="173" t="str">
        <f t="shared" si="123"/>
        <v>[effect:enemy_message, val1:2.0, val2:4.3]</v>
      </c>
      <c r="H51" s="173">
        <f t="shared" si="124"/>
        <v>9</v>
      </c>
      <c r="I51" s="173">
        <f t="shared" si="125"/>
        <v>22</v>
      </c>
      <c r="J51" s="173" t="e">
        <f t="shared" si="126"/>
        <v>#VALUE!</v>
      </c>
      <c r="K51" s="173">
        <f t="shared" si="127"/>
        <v>32</v>
      </c>
      <c r="L51" s="173" t="str">
        <f>IFERROR(VLOOKUP(MID(G51,J51,K51-J51),[6]skilldef!$C:$D,2,FALSE),"-") &amp; " / " &amp; IFERROR(VLOOKUP(MID(G51,H51,I51-H51),[6]skilldef!$A:$B,2,FALSE),"-")</f>
        <v>- / -</v>
      </c>
      <c r="M51" s="173" t="str">
        <f t="shared" si="128"/>
        <v>[effect:change_panel_ratio, turn:5, block_type:red, val:0.4, animation:block_incidence04],[effect:sp_boost, target:unit_technical, val:4, animation:sp_boost_one02],[effect:fix_speed, target:myself, turn:1]</v>
      </c>
      <c r="N51" s="170" t="str">
        <f t="shared" si="122"/>
        <v>[effect:change_panel_ratio, turn:5, block_type:red, val:0.4, animation:block_incidence04],[effect:sp_boost, target:unit_technical, val:4, animation:sp_boost_one02],[effect:fix_speed, target:myself, turn:1]</v>
      </c>
      <c r="O51" s="173">
        <f t="shared" si="129"/>
        <v>9</v>
      </c>
      <c r="P51" s="173">
        <f t="shared" si="130"/>
        <v>27</v>
      </c>
      <c r="Q51" s="173">
        <f t="shared" si="131"/>
        <v>116</v>
      </c>
      <c r="R51" s="173">
        <f t="shared" si="132"/>
        <v>35</v>
      </c>
      <c r="S51" s="173" t="str">
        <f>IFERROR(VLOOKUP(MID(N51,Q51,R51-Q51),[6]skilldef!$C:$D,2,FALSE),"-") &amp; " / " &amp; IFERROR(VLOOKUP(MID(N51,O51,P51-O51),[6]skilldef!$A:$B,2,FALSE),"-")</f>
        <v>- / -</v>
      </c>
      <c r="T51" s="170" t="str">
        <f t="shared" si="133"/>
        <v>[effect:sp_boost, target:unit_technical, val:4, animation:sp_boost_one02],[effect:fix_speed, target:myself, turn:1]</v>
      </c>
      <c r="U51" s="173">
        <f t="shared" si="134"/>
        <v>9</v>
      </c>
      <c r="V51" s="173">
        <f t="shared" si="135"/>
        <v>17</v>
      </c>
      <c r="W51" s="173">
        <f t="shared" si="136"/>
        <v>26</v>
      </c>
      <c r="X51" s="173">
        <f t="shared" si="137"/>
        <v>40</v>
      </c>
      <c r="Y51" s="173" t="str">
        <f>IFERROR(VLOOKUP(MID(T51,W51,X51-W51),[6]skilldef!$C:$D,2,FALSE),"-") &amp; " / " &amp; IFERROR(VLOOKUP(MID(T51,U51,V51-U51),[6]skilldef!$A:$B,2,FALSE),"-")</f>
        <v>- / -</v>
      </c>
      <c r="Z51" s="172"/>
      <c r="AA51" s="174"/>
      <c r="AB51" s="172"/>
      <c r="AC51" s="173" t="s">
        <v>309</v>
      </c>
      <c r="AD51" s="173" t="s">
        <v>308</v>
      </c>
    </row>
    <row r="52" spans="1:30" ht="17" customHeight="1" x14ac:dyDescent="0.15">
      <c r="A52" s="170">
        <v>49016804</v>
      </c>
      <c r="B52" s="171" t="s">
        <v>454</v>
      </c>
      <c r="C52" s="172">
        <v>1</v>
      </c>
      <c r="D52" s="172" t="s">
        <v>127</v>
      </c>
      <c r="E52" s="173" t="s">
        <v>358</v>
      </c>
      <c r="F52" s="173" t="s">
        <v>424</v>
      </c>
      <c r="G52" s="173" t="str">
        <f t="shared" si="123"/>
        <v>[effect:enemy_message, val1:2.0, val2:4.3]</v>
      </c>
      <c r="H52" s="173">
        <f t="shared" si="124"/>
        <v>9</v>
      </c>
      <c r="I52" s="173">
        <f t="shared" si="125"/>
        <v>22</v>
      </c>
      <c r="J52" s="173" t="e">
        <f t="shared" si="126"/>
        <v>#VALUE!</v>
      </c>
      <c r="K52" s="173">
        <f t="shared" si="127"/>
        <v>32</v>
      </c>
      <c r="L52" s="173" t="str">
        <f>IFERROR(VLOOKUP(MID(G52,J52,K52-J52),[6]skilldef!$C:$D,2,FALSE),"-") &amp; " / " &amp; IFERROR(VLOOKUP(MID(G52,H52,I52-H52),[6]skilldef!$A:$B,2,FALSE),"-")</f>
        <v>- / -</v>
      </c>
      <c r="M52" s="173" t="str">
        <f t="shared" si="128"/>
        <v>[effect:change_panel_ratio, turn:5, block_type:red, val:0.4, animation:block_incidence04],[effect:sp_boost, target:unit_technical, val:4, animation:sp_boost_one02],[effect:fix_speed, target:myself, turn:1]</v>
      </c>
      <c r="N52" s="170" t="str">
        <f t="shared" si="122"/>
        <v>[effect:change_panel_ratio, turn:5, block_type:red, val:0.4, animation:block_incidence04],[effect:sp_boost, target:unit_technical, val:4, animation:sp_boost_one02],[effect:fix_speed, target:myself, turn:1]</v>
      </c>
      <c r="O52" s="173">
        <f t="shared" si="129"/>
        <v>9</v>
      </c>
      <c r="P52" s="173">
        <f t="shared" si="130"/>
        <v>27</v>
      </c>
      <c r="Q52" s="173">
        <f t="shared" si="131"/>
        <v>116</v>
      </c>
      <c r="R52" s="173">
        <f t="shared" si="132"/>
        <v>35</v>
      </c>
      <c r="S52" s="173" t="str">
        <f>IFERROR(VLOOKUP(MID(N52,Q52,R52-Q52),[6]skilldef!$C:$D,2,FALSE),"-") &amp; " / " &amp; IFERROR(VLOOKUP(MID(N52,O52,P52-O52),[6]skilldef!$A:$B,2,FALSE),"-")</f>
        <v>- / -</v>
      </c>
      <c r="T52" s="170" t="str">
        <f t="shared" si="133"/>
        <v>[effect:sp_boost, target:unit_technical, val:4, animation:sp_boost_one02],[effect:fix_speed, target:myself, turn:1]</v>
      </c>
      <c r="U52" s="173">
        <f t="shared" si="134"/>
        <v>9</v>
      </c>
      <c r="V52" s="173">
        <f t="shared" si="135"/>
        <v>17</v>
      </c>
      <c r="W52" s="173">
        <f t="shared" si="136"/>
        <v>26</v>
      </c>
      <c r="X52" s="173">
        <f t="shared" si="137"/>
        <v>40</v>
      </c>
      <c r="Y52" s="173" t="str">
        <f>IFERROR(VLOOKUP(MID(T52,W52,X52-W52),[6]skilldef!$C:$D,2,FALSE),"-") &amp; " / " &amp; IFERROR(VLOOKUP(MID(T52,U52,V52-U52),[6]skilldef!$A:$B,2,FALSE),"-")</f>
        <v>- / -</v>
      </c>
      <c r="Z52" s="172"/>
      <c r="AA52" s="174"/>
      <c r="AB52" s="172"/>
      <c r="AC52" s="173" t="s">
        <v>309</v>
      </c>
      <c r="AD52" s="173" t="s">
        <v>308</v>
      </c>
    </row>
    <row r="53" spans="1:30" ht="17" customHeight="1" x14ac:dyDescent="0.15">
      <c r="A53" s="170">
        <v>49016805</v>
      </c>
      <c r="B53" s="171" t="s">
        <v>454</v>
      </c>
      <c r="C53" s="172">
        <v>1</v>
      </c>
      <c r="D53" s="172" t="s">
        <v>127</v>
      </c>
      <c r="E53" s="173" t="s">
        <v>358</v>
      </c>
      <c r="F53" s="173" t="s">
        <v>424</v>
      </c>
      <c r="G53" s="173" t="str">
        <f t="shared" si="123"/>
        <v>[effect:enemy_message, val1:2.0, val2:4.3]</v>
      </c>
      <c r="H53" s="173">
        <f t="shared" si="124"/>
        <v>9</v>
      </c>
      <c r="I53" s="173">
        <f t="shared" si="125"/>
        <v>22</v>
      </c>
      <c r="J53" s="173" t="e">
        <f t="shared" si="126"/>
        <v>#VALUE!</v>
      </c>
      <c r="K53" s="173">
        <f t="shared" si="127"/>
        <v>32</v>
      </c>
      <c r="L53" s="173" t="str">
        <f>IFERROR(VLOOKUP(MID(G53,J53,K53-J53),[6]skilldef!$C:$D,2,FALSE),"-") &amp; " / " &amp; IFERROR(VLOOKUP(MID(G53,H53,I53-H53),[6]skilldef!$A:$B,2,FALSE),"-")</f>
        <v>- / -</v>
      </c>
      <c r="M53" s="173" t="str">
        <f t="shared" si="128"/>
        <v>[effect:change_panel_ratio, turn:5, block_type:red, val:0.4, animation:block_incidence04],[effect:sp_boost, target:unit_technical, val:4, animation:sp_boost_one02],[effect:fix_speed, target:myself, turn:1]</v>
      </c>
      <c r="N53" s="170" t="str">
        <f t="shared" si="122"/>
        <v>[effect:change_panel_ratio, turn:5, block_type:red, val:0.4, animation:block_incidence04],[effect:sp_boost, target:unit_technical, val:4, animation:sp_boost_one02],[effect:fix_speed, target:myself, turn:1]</v>
      </c>
      <c r="O53" s="173">
        <f t="shared" si="129"/>
        <v>9</v>
      </c>
      <c r="P53" s="173">
        <f t="shared" si="130"/>
        <v>27</v>
      </c>
      <c r="Q53" s="173">
        <f t="shared" si="131"/>
        <v>116</v>
      </c>
      <c r="R53" s="173">
        <f t="shared" si="132"/>
        <v>35</v>
      </c>
      <c r="S53" s="173" t="str">
        <f>IFERROR(VLOOKUP(MID(N53,Q53,R53-Q53),[6]skilldef!$C:$D,2,FALSE),"-") &amp; " / " &amp; IFERROR(VLOOKUP(MID(N53,O53,P53-O53),[6]skilldef!$A:$B,2,FALSE),"-")</f>
        <v>- / -</v>
      </c>
      <c r="T53" s="170" t="str">
        <f t="shared" si="133"/>
        <v>[effect:sp_boost, target:unit_technical, val:4, animation:sp_boost_one02],[effect:fix_speed, target:myself, turn:1]</v>
      </c>
      <c r="U53" s="173">
        <f t="shared" si="134"/>
        <v>9</v>
      </c>
      <c r="V53" s="173">
        <f t="shared" si="135"/>
        <v>17</v>
      </c>
      <c r="W53" s="173">
        <f t="shared" si="136"/>
        <v>26</v>
      </c>
      <c r="X53" s="173">
        <f t="shared" si="137"/>
        <v>40</v>
      </c>
      <c r="Y53" s="173" t="str">
        <f>IFERROR(VLOOKUP(MID(T53,W53,X53-W53),[6]skilldef!$C:$D,2,FALSE),"-") &amp; " / " &amp; IFERROR(VLOOKUP(MID(T53,U53,V53-U53),[6]skilldef!$A:$B,2,FALSE),"-")</f>
        <v>- / -</v>
      </c>
      <c r="Z53" s="172"/>
      <c r="AA53" s="174"/>
      <c r="AB53" s="172"/>
      <c r="AC53" s="173" t="s">
        <v>309</v>
      </c>
      <c r="AD53" s="173" t="s">
        <v>308</v>
      </c>
    </row>
    <row r="54" spans="1:30" ht="17" customHeight="1" x14ac:dyDescent="0.15">
      <c r="A54" s="170">
        <v>49016806</v>
      </c>
      <c r="B54" s="171" t="s">
        <v>454</v>
      </c>
      <c r="C54" s="172">
        <v>1</v>
      </c>
      <c r="D54" s="172" t="s">
        <v>127</v>
      </c>
      <c r="E54" s="173" t="s">
        <v>358</v>
      </c>
      <c r="F54" s="173" t="s">
        <v>424</v>
      </c>
      <c r="G54" s="173" t="str">
        <f t="shared" si="123"/>
        <v>[effect:enemy_message, val1:2.0, val2:4.3]</v>
      </c>
      <c r="H54" s="173">
        <f t="shared" si="124"/>
        <v>9</v>
      </c>
      <c r="I54" s="173">
        <f t="shared" si="125"/>
        <v>22</v>
      </c>
      <c r="J54" s="173" t="e">
        <f t="shared" si="126"/>
        <v>#VALUE!</v>
      </c>
      <c r="K54" s="173">
        <f t="shared" si="127"/>
        <v>32</v>
      </c>
      <c r="L54" s="173" t="str">
        <f>IFERROR(VLOOKUP(MID(G54,J54,K54-J54),[6]skilldef!$C:$D,2,FALSE),"-") &amp; " / " &amp; IFERROR(VLOOKUP(MID(G54,H54,I54-H54),[6]skilldef!$A:$B,2,FALSE),"-")</f>
        <v>- / -</v>
      </c>
      <c r="M54" s="173" t="str">
        <f t="shared" si="128"/>
        <v>[effect:change_panel_ratio, turn:5, block_type:red, val:0.4, animation:block_incidence04],[effect:sp_boost, target:unit_technical, val:4, animation:sp_boost_one02],[effect:fix_speed, target:myself, turn:1]</v>
      </c>
      <c r="N54" s="170" t="str">
        <f t="shared" si="122"/>
        <v>[effect:change_panel_ratio, turn:5, block_type:red, val:0.4, animation:block_incidence04],[effect:sp_boost, target:unit_technical, val:4, animation:sp_boost_one02],[effect:fix_speed, target:myself, turn:1]</v>
      </c>
      <c r="O54" s="173">
        <f t="shared" si="129"/>
        <v>9</v>
      </c>
      <c r="P54" s="173">
        <f t="shared" si="130"/>
        <v>27</v>
      </c>
      <c r="Q54" s="173">
        <f t="shared" si="131"/>
        <v>116</v>
      </c>
      <c r="R54" s="173">
        <f t="shared" si="132"/>
        <v>35</v>
      </c>
      <c r="S54" s="173" t="str">
        <f>IFERROR(VLOOKUP(MID(N54,Q54,R54-Q54),[6]skilldef!$C:$D,2,FALSE),"-") &amp; " / " &amp; IFERROR(VLOOKUP(MID(N54,O54,P54-O54),[6]skilldef!$A:$B,2,FALSE),"-")</f>
        <v>- / -</v>
      </c>
      <c r="T54" s="170" t="str">
        <f t="shared" si="133"/>
        <v>[effect:sp_boost, target:unit_technical, val:4, animation:sp_boost_one02],[effect:fix_speed, target:myself, turn:1]</v>
      </c>
      <c r="U54" s="173">
        <f t="shared" si="134"/>
        <v>9</v>
      </c>
      <c r="V54" s="173">
        <f t="shared" si="135"/>
        <v>17</v>
      </c>
      <c r="W54" s="173">
        <f t="shared" si="136"/>
        <v>26</v>
      </c>
      <c r="X54" s="173">
        <f t="shared" si="137"/>
        <v>40</v>
      </c>
      <c r="Y54" s="173" t="str">
        <f>IFERROR(VLOOKUP(MID(T54,W54,X54-W54),[6]skilldef!$C:$D,2,FALSE),"-") &amp; " / " &amp; IFERROR(VLOOKUP(MID(T54,U54,V54-U54),[6]skilldef!$A:$B,2,FALSE),"-")</f>
        <v>- / -</v>
      </c>
      <c r="Z54" s="172"/>
      <c r="AA54" s="174"/>
      <c r="AB54" s="172"/>
      <c r="AC54" s="173" t="s">
        <v>309</v>
      </c>
      <c r="AD54" s="173" t="s">
        <v>308</v>
      </c>
    </row>
    <row r="55" spans="1:30" ht="17" customHeight="1" x14ac:dyDescent="0.15">
      <c r="A55" s="170">
        <v>49016807</v>
      </c>
      <c r="B55" s="171" t="s">
        <v>454</v>
      </c>
      <c r="C55" s="172">
        <v>1</v>
      </c>
      <c r="D55" s="172" t="s">
        <v>127</v>
      </c>
      <c r="E55" s="173" t="s">
        <v>358</v>
      </c>
      <c r="F55" s="173" t="s">
        <v>424</v>
      </c>
      <c r="G55" s="173" t="str">
        <f t="shared" si="123"/>
        <v>[effect:enemy_message, val1:2.0, val2:4.3]</v>
      </c>
      <c r="H55" s="173">
        <f t="shared" si="124"/>
        <v>9</v>
      </c>
      <c r="I55" s="173">
        <f t="shared" si="125"/>
        <v>22</v>
      </c>
      <c r="J55" s="173" t="e">
        <f t="shared" si="126"/>
        <v>#VALUE!</v>
      </c>
      <c r="K55" s="173">
        <f t="shared" si="127"/>
        <v>32</v>
      </c>
      <c r="L55" s="173" t="str">
        <f>IFERROR(VLOOKUP(MID(G55,J55,K55-J55),[6]skilldef!$C:$D,2,FALSE),"-") &amp; " / " &amp; IFERROR(VLOOKUP(MID(G55,H55,I55-H55),[6]skilldef!$A:$B,2,FALSE),"-")</f>
        <v>- / -</v>
      </c>
      <c r="M55" s="173" t="str">
        <f t="shared" si="128"/>
        <v>[effect:change_panel_ratio, turn:5, block_type:red, val:0.4, animation:block_incidence04],[effect:sp_boost, target:unit_technical, val:4, animation:sp_boost_one02],[effect:fix_speed, target:myself, turn:1]</v>
      </c>
      <c r="N55" s="170" t="str">
        <f t="shared" si="122"/>
        <v>[effect:change_panel_ratio, turn:5, block_type:red, val:0.4, animation:block_incidence04],[effect:sp_boost, target:unit_technical, val:4, animation:sp_boost_one02],[effect:fix_speed, target:myself, turn:1]</v>
      </c>
      <c r="O55" s="173">
        <f t="shared" si="129"/>
        <v>9</v>
      </c>
      <c r="P55" s="173">
        <f t="shared" si="130"/>
        <v>27</v>
      </c>
      <c r="Q55" s="173">
        <f t="shared" si="131"/>
        <v>116</v>
      </c>
      <c r="R55" s="173">
        <f t="shared" si="132"/>
        <v>35</v>
      </c>
      <c r="S55" s="173" t="str">
        <f>IFERROR(VLOOKUP(MID(N55,Q55,R55-Q55),[6]skilldef!$C:$D,2,FALSE),"-") &amp; " / " &amp; IFERROR(VLOOKUP(MID(N55,O55,P55-O55),[6]skilldef!$A:$B,2,FALSE),"-")</f>
        <v>- / -</v>
      </c>
      <c r="T55" s="170" t="str">
        <f t="shared" si="133"/>
        <v>[effect:sp_boost, target:unit_technical, val:4, animation:sp_boost_one02],[effect:fix_speed, target:myself, turn:1]</v>
      </c>
      <c r="U55" s="173">
        <f t="shared" si="134"/>
        <v>9</v>
      </c>
      <c r="V55" s="173">
        <f t="shared" si="135"/>
        <v>17</v>
      </c>
      <c r="W55" s="173">
        <f t="shared" si="136"/>
        <v>26</v>
      </c>
      <c r="X55" s="173">
        <f t="shared" si="137"/>
        <v>40</v>
      </c>
      <c r="Y55" s="173" t="str">
        <f>IFERROR(VLOOKUP(MID(T55,W55,X55-W55),[6]skilldef!$C:$D,2,FALSE),"-") &amp; " / " &amp; IFERROR(VLOOKUP(MID(T55,U55,V55-U55),[6]skilldef!$A:$B,2,FALSE),"-")</f>
        <v>- / -</v>
      </c>
      <c r="Z55" s="172"/>
      <c r="AA55" s="174"/>
      <c r="AB55" s="172"/>
      <c r="AC55" s="173" t="s">
        <v>309</v>
      </c>
      <c r="AD55" s="173" t="s">
        <v>308</v>
      </c>
    </row>
    <row r="56" spans="1:30" ht="17" customHeight="1" x14ac:dyDescent="0.15">
      <c r="A56" s="170">
        <v>49016808</v>
      </c>
      <c r="B56" s="171" t="s">
        <v>454</v>
      </c>
      <c r="C56" s="172">
        <v>1</v>
      </c>
      <c r="D56" s="172" t="s">
        <v>127</v>
      </c>
      <c r="E56" s="173" t="s">
        <v>358</v>
      </c>
      <c r="F56" s="173" t="s">
        <v>424</v>
      </c>
      <c r="G56" s="173" t="str">
        <f t="shared" si="123"/>
        <v>[effect:enemy_message, val1:2.0, val2:4.3]</v>
      </c>
      <c r="H56" s="173">
        <f t="shared" si="124"/>
        <v>9</v>
      </c>
      <c r="I56" s="173">
        <f t="shared" si="125"/>
        <v>22</v>
      </c>
      <c r="J56" s="173" t="e">
        <f t="shared" si="126"/>
        <v>#VALUE!</v>
      </c>
      <c r="K56" s="173">
        <f t="shared" si="127"/>
        <v>32</v>
      </c>
      <c r="L56" s="173" t="str">
        <f>IFERROR(VLOOKUP(MID(G56,J56,K56-J56),[6]skilldef!$C:$D,2,FALSE),"-") &amp; " / " &amp; IFERROR(VLOOKUP(MID(G56,H56,I56-H56),[6]skilldef!$A:$B,2,FALSE),"-")</f>
        <v>- / -</v>
      </c>
      <c r="M56" s="173" t="str">
        <f t="shared" si="128"/>
        <v>[effect:change_panel_ratio, turn:5, block_type:red, val:0.4, animation:block_incidence04],[effect:sp_boost, target:unit_technical, val:4, animation:sp_boost_one02],[effect:fix_speed, target:myself, turn:1]</v>
      </c>
      <c r="N56" s="170" t="str">
        <f t="shared" si="122"/>
        <v>[effect:change_panel_ratio, turn:5, block_type:red, val:0.4, animation:block_incidence04],[effect:sp_boost, target:unit_technical, val:4, animation:sp_boost_one02],[effect:fix_speed, target:myself, turn:1]</v>
      </c>
      <c r="O56" s="173">
        <f t="shared" si="129"/>
        <v>9</v>
      </c>
      <c r="P56" s="173">
        <f t="shared" si="130"/>
        <v>27</v>
      </c>
      <c r="Q56" s="173">
        <f t="shared" si="131"/>
        <v>116</v>
      </c>
      <c r="R56" s="173">
        <f t="shared" si="132"/>
        <v>35</v>
      </c>
      <c r="S56" s="173" t="str">
        <f>IFERROR(VLOOKUP(MID(N56,Q56,R56-Q56),[6]skilldef!$C:$D,2,FALSE),"-") &amp; " / " &amp; IFERROR(VLOOKUP(MID(N56,O56,P56-O56),[6]skilldef!$A:$B,2,FALSE),"-")</f>
        <v>- / -</v>
      </c>
      <c r="T56" s="170" t="str">
        <f t="shared" si="133"/>
        <v>[effect:sp_boost, target:unit_technical, val:4, animation:sp_boost_one02],[effect:fix_speed, target:myself, turn:1]</v>
      </c>
      <c r="U56" s="173">
        <f t="shared" si="134"/>
        <v>9</v>
      </c>
      <c r="V56" s="173">
        <f t="shared" si="135"/>
        <v>17</v>
      </c>
      <c r="W56" s="173">
        <f t="shared" si="136"/>
        <v>26</v>
      </c>
      <c r="X56" s="173">
        <f t="shared" si="137"/>
        <v>40</v>
      </c>
      <c r="Y56" s="173" t="str">
        <f>IFERROR(VLOOKUP(MID(T56,W56,X56-W56),[6]skilldef!$C:$D,2,FALSE),"-") &amp; " / " &amp; IFERROR(VLOOKUP(MID(T56,U56,V56-U56),[6]skilldef!$A:$B,2,FALSE),"-")</f>
        <v>- / -</v>
      </c>
      <c r="Z56" s="172"/>
      <c r="AA56" s="174"/>
      <c r="AB56" s="172"/>
      <c r="AC56" s="173" t="s">
        <v>309</v>
      </c>
      <c r="AD56" s="173" t="s">
        <v>308</v>
      </c>
    </row>
    <row r="57" spans="1:30" ht="17" customHeight="1" x14ac:dyDescent="0.15">
      <c r="A57" s="170">
        <v>49016809</v>
      </c>
      <c r="B57" s="171" t="s">
        <v>454</v>
      </c>
      <c r="C57" s="172">
        <v>1</v>
      </c>
      <c r="D57" s="172" t="s">
        <v>127</v>
      </c>
      <c r="E57" s="173" t="s">
        <v>358</v>
      </c>
      <c r="F57" s="173" t="s">
        <v>424</v>
      </c>
      <c r="G57" s="173" t="str">
        <f t="shared" si="123"/>
        <v>[effect:enemy_message, val1:2.0, val2:4.3]</v>
      </c>
      <c r="H57" s="173">
        <f t="shared" si="124"/>
        <v>9</v>
      </c>
      <c r="I57" s="173">
        <f t="shared" si="125"/>
        <v>22</v>
      </c>
      <c r="J57" s="173" t="e">
        <f t="shared" si="126"/>
        <v>#VALUE!</v>
      </c>
      <c r="K57" s="173">
        <f t="shared" si="127"/>
        <v>32</v>
      </c>
      <c r="L57" s="173" t="str">
        <f>IFERROR(VLOOKUP(MID(G57,J57,K57-J57),[6]skilldef!$C:$D,2,FALSE),"-") &amp; " / " &amp; IFERROR(VLOOKUP(MID(G57,H57,I57-H57),[6]skilldef!$A:$B,2,FALSE),"-")</f>
        <v>- / -</v>
      </c>
      <c r="M57" s="173" t="str">
        <f t="shared" si="128"/>
        <v>[effect:change_panel_ratio, turn:5, block_type:red, val:0.4, animation:block_incidence04],[effect:sp_boost, target:unit_technical, val:4, animation:sp_boost_one02],[effect:fix_speed, target:myself, turn:1]</v>
      </c>
      <c r="N57" s="170" t="str">
        <f t="shared" si="122"/>
        <v>[effect:change_panel_ratio, turn:5, block_type:red, val:0.4, animation:block_incidence04],[effect:sp_boost, target:unit_technical, val:4, animation:sp_boost_one02],[effect:fix_speed, target:myself, turn:1]</v>
      </c>
      <c r="O57" s="173">
        <f t="shared" si="129"/>
        <v>9</v>
      </c>
      <c r="P57" s="173">
        <f t="shared" si="130"/>
        <v>27</v>
      </c>
      <c r="Q57" s="173">
        <f t="shared" si="131"/>
        <v>116</v>
      </c>
      <c r="R57" s="173">
        <f t="shared" si="132"/>
        <v>35</v>
      </c>
      <c r="S57" s="173" t="str">
        <f>IFERROR(VLOOKUP(MID(N57,Q57,R57-Q57),[6]skilldef!$C:$D,2,FALSE),"-") &amp; " / " &amp; IFERROR(VLOOKUP(MID(N57,O57,P57-O57),[6]skilldef!$A:$B,2,FALSE),"-")</f>
        <v>- / -</v>
      </c>
      <c r="T57" s="170" t="str">
        <f t="shared" si="133"/>
        <v>[effect:sp_boost, target:unit_technical, val:4, animation:sp_boost_one02],[effect:fix_speed, target:myself, turn:1]</v>
      </c>
      <c r="U57" s="173">
        <f t="shared" si="134"/>
        <v>9</v>
      </c>
      <c r="V57" s="173">
        <f t="shared" si="135"/>
        <v>17</v>
      </c>
      <c r="W57" s="173">
        <f t="shared" si="136"/>
        <v>26</v>
      </c>
      <c r="X57" s="173">
        <f t="shared" si="137"/>
        <v>40</v>
      </c>
      <c r="Y57" s="173" t="str">
        <f>IFERROR(VLOOKUP(MID(T57,W57,X57-W57),[6]skilldef!$C:$D,2,FALSE),"-") &amp; " / " &amp; IFERROR(VLOOKUP(MID(T57,U57,V57-U57),[6]skilldef!$A:$B,2,FALSE),"-")</f>
        <v>- / -</v>
      </c>
      <c r="Z57" s="172"/>
      <c r="AA57" s="174"/>
      <c r="AB57" s="172"/>
      <c r="AC57" s="173" t="s">
        <v>309</v>
      </c>
      <c r="AD57" s="173" t="s">
        <v>308</v>
      </c>
    </row>
    <row r="58" spans="1:30" ht="17" customHeight="1" x14ac:dyDescent="0.15">
      <c r="A58" s="170">
        <v>49016810</v>
      </c>
      <c r="B58" s="171" t="s">
        <v>454</v>
      </c>
      <c r="C58" s="172">
        <v>1</v>
      </c>
      <c r="D58" s="172" t="s">
        <v>127</v>
      </c>
      <c r="E58" s="173" t="s">
        <v>358</v>
      </c>
      <c r="F58" s="173" t="s">
        <v>424</v>
      </c>
      <c r="G58" s="173" t="str">
        <f t="shared" si="123"/>
        <v>[effect:enemy_message, val1:2.0, val2:4.3]</v>
      </c>
      <c r="H58" s="173">
        <f t="shared" si="124"/>
        <v>9</v>
      </c>
      <c r="I58" s="173">
        <f t="shared" si="125"/>
        <v>22</v>
      </c>
      <c r="J58" s="173" t="e">
        <f t="shared" si="126"/>
        <v>#VALUE!</v>
      </c>
      <c r="K58" s="173">
        <f t="shared" si="127"/>
        <v>32</v>
      </c>
      <c r="L58" s="173" t="str">
        <f>IFERROR(VLOOKUP(MID(G58,J58,K58-J58),[6]skilldef!$C:$D,2,FALSE),"-") &amp; " / " &amp; IFERROR(VLOOKUP(MID(G58,H58,I58-H58),[6]skilldef!$A:$B,2,FALSE),"-")</f>
        <v>- / -</v>
      </c>
      <c r="M58" s="173" t="str">
        <f t="shared" si="128"/>
        <v>[effect:change_panel_ratio, turn:5, block_type:red, val:0.4, animation:block_incidence04],[effect:sp_boost, target:unit_technical, val:4, animation:sp_boost_one02],[effect:fix_speed, target:myself, turn:1]</v>
      </c>
      <c r="N58" s="170" t="str">
        <f>IFERROR(LEFT(M58,FIND("],",M58)+#REF!),M58)</f>
        <v>[effect:change_panel_ratio, turn:5, block_type:red, val:0.4, animation:block_incidence04],[effect:sp_boost, target:unit_technical, val:4, animation:sp_boost_one02],[effect:fix_speed, target:myself, turn:1]</v>
      </c>
      <c r="O58" s="173">
        <f t="shared" si="129"/>
        <v>9</v>
      </c>
      <c r="P58" s="173">
        <f t="shared" si="130"/>
        <v>27</v>
      </c>
      <c r="Q58" s="173">
        <f t="shared" si="131"/>
        <v>116</v>
      </c>
      <c r="R58" s="173">
        <f t="shared" si="132"/>
        <v>35</v>
      </c>
      <c r="S58" s="173" t="str">
        <f>IFERROR(VLOOKUP(MID(N58,Q58,R58-Q58),[6]skilldef!$C:$D,2,FALSE),"-") &amp; " / " &amp; IFERROR(VLOOKUP(MID(N58,O58,P58-O58),[6]skilldef!$A:$B,2,FALSE),"-")</f>
        <v>- / -</v>
      </c>
      <c r="T58" s="170" t="str">
        <f t="shared" si="133"/>
        <v>[effect:sp_boost, target:unit_technical, val:4, animation:sp_boost_one02],[effect:fix_speed, target:myself, turn:1]</v>
      </c>
      <c r="U58" s="173">
        <f t="shared" si="134"/>
        <v>9</v>
      </c>
      <c r="V58" s="173">
        <f t="shared" si="135"/>
        <v>17</v>
      </c>
      <c r="W58" s="173">
        <f t="shared" si="136"/>
        <v>26</v>
      </c>
      <c r="X58" s="173">
        <f t="shared" si="137"/>
        <v>40</v>
      </c>
      <c r="Y58" s="173" t="str">
        <f>IFERROR(VLOOKUP(MID(T58,W58,X58-W58),[6]skilldef!$C:$D,2,FALSE),"-") &amp; " / " &amp; IFERROR(VLOOKUP(MID(T58,U58,V58-U58),[6]skilldef!$A:$B,2,FALSE),"-")</f>
        <v>- / -</v>
      </c>
      <c r="Z58" s="172"/>
      <c r="AA58" s="174"/>
      <c r="AB58" s="172"/>
      <c r="AC58" s="173" t="s">
        <v>309</v>
      </c>
      <c r="AD58" s="173" t="s">
        <v>308</v>
      </c>
    </row>
    <row r="59" spans="1:30" ht="17" customHeight="1" x14ac:dyDescent="0.15">
      <c r="A59" s="170">
        <v>49016811</v>
      </c>
      <c r="B59" s="171" t="s">
        <v>454</v>
      </c>
      <c r="C59" s="172">
        <v>1</v>
      </c>
      <c r="D59" s="172" t="s">
        <v>127</v>
      </c>
      <c r="E59" s="173" t="s">
        <v>358</v>
      </c>
      <c r="F59" s="173" t="s">
        <v>424</v>
      </c>
      <c r="G59" s="173" t="str">
        <f t="shared" si="123"/>
        <v>[effect:enemy_message, val1:2.0, val2:4.3]</v>
      </c>
      <c r="H59" s="173">
        <f t="shared" si="124"/>
        <v>9</v>
      </c>
      <c r="I59" s="173">
        <f t="shared" si="125"/>
        <v>22</v>
      </c>
      <c r="J59" s="173" t="e">
        <f t="shared" si="126"/>
        <v>#VALUE!</v>
      </c>
      <c r="K59" s="173">
        <f t="shared" si="127"/>
        <v>32</v>
      </c>
      <c r="L59" s="173" t="str">
        <f>IFERROR(VLOOKUP(MID(G59,J59,K59-J59),[6]skilldef!$C:$D,2,FALSE),"-") &amp; " / " &amp; IFERROR(VLOOKUP(MID(G59,H59,I59-H59),[6]skilldef!$A:$B,2,FALSE),"-")</f>
        <v>- / -</v>
      </c>
      <c r="M59" s="173" t="str">
        <f t="shared" si="128"/>
        <v>[effect:change_panel_ratio, turn:5, block_type:red, val:0.4, animation:block_incidence04],[effect:sp_boost, target:unit_technical, val:4, animation:sp_boost_one02],[effect:fix_speed, target:myself, turn:1]</v>
      </c>
      <c r="N59" s="170" t="str">
        <f>IFERROR(LEFT(M59,FIND("],",M59)+#REF!),M59)</f>
        <v>[effect:change_panel_ratio, turn:5, block_type:red, val:0.4, animation:block_incidence04],[effect:sp_boost, target:unit_technical, val:4, animation:sp_boost_one02],[effect:fix_speed, target:myself, turn:1]</v>
      </c>
      <c r="O59" s="173">
        <f t="shared" si="129"/>
        <v>9</v>
      </c>
      <c r="P59" s="173">
        <f t="shared" si="130"/>
        <v>27</v>
      </c>
      <c r="Q59" s="173">
        <f t="shared" si="131"/>
        <v>116</v>
      </c>
      <c r="R59" s="173">
        <f t="shared" si="132"/>
        <v>35</v>
      </c>
      <c r="S59" s="173" t="str">
        <f>IFERROR(VLOOKUP(MID(N59,Q59,R59-Q59),[6]skilldef!$C:$D,2,FALSE),"-") &amp; " / " &amp; IFERROR(VLOOKUP(MID(N59,O59,P59-O59),[6]skilldef!$A:$B,2,FALSE),"-")</f>
        <v>- / -</v>
      </c>
      <c r="T59" s="170" t="str">
        <f t="shared" si="133"/>
        <v>[effect:sp_boost, target:unit_technical, val:4, animation:sp_boost_one02],[effect:fix_speed, target:myself, turn:1]</v>
      </c>
      <c r="U59" s="173">
        <f t="shared" si="134"/>
        <v>9</v>
      </c>
      <c r="V59" s="173">
        <f t="shared" si="135"/>
        <v>17</v>
      </c>
      <c r="W59" s="173">
        <f t="shared" si="136"/>
        <v>26</v>
      </c>
      <c r="X59" s="173">
        <f t="shared" si="137"/>
        <v>40</v>
      </c>
      <c r="Y59" s="173" t="str">
        <f>IFERROR(VLOOKUP(MID(T59,W59,X59-W59),[6]skilldef!$C:$D,2,FALSE),"-") &amp; " / " &amp; IFERROR(VLOOKUP(MID(T59,U59,V59-U59),[6]skilldef!$A:$B,2,FALSE),"-")</f>
        <v>- / -</v>
      </c>
      <c r="Z59" s="172"/>
      <c r="AA59" s="174"/>
      <c r="AB59" s="172"/>
      <c r="AC59" s="173" t="s">
        <v>309</v>
      </c>
      <c r="AD59" s="173" t="s">
        <v>308</v>
      </c>
    </row>
    <row r="60" spans="1:30" ht="17" customHeight="1" x14ac:dyDescent="0.15">
      <c r="A60" s="170">
        <v>49016812</v>
      </c>
      <c r="B60" s="171" t="s">
        <v>454</v>
      </c>
      <c r="C60" s="172">
        <v>1</v>
      </c>
      <c r="D60" s="172" t="s">
        <v>127</v>
      </c>
      <c r="E60" s="173" t="s">
        <v>358</v>
      </c>
      <c r="F60" s="173" t="s">
        <v>424</v>
      </c>
      <c r="G60" s="173" t="str">
        <f t="shared" si="123"/>
        <v>[effect:enemy_message, val1:2.0, val2:4.3]</v>
      </c>
      <c r="H60" s="173">
        <f t="shared" si="124"/>
        <v>9</v>
      </c>
      <c r="I60" s="173">
        <f t="shared" si="125"/>
        <v>22</v>
      </c>
      <c r="J60" s="173" t="e">
        <f t="shared" si="126"/>
        <v>#VALUE!</v>
      </c>
      <c r="K60" s="173">
        <f t="shared" si="127"/>
        <v>32</v>
      </c>
      <c r="L60" s="173" t="str">
        <f>IFERROR(VLOOKUP(MID(G60,J60,K60-J60),[6]skilldef!$C:$D,2,FALSE),"-") &amp; " / " &amp; IFERROR(VLOOKUP(MID(G60,H60,I60-H60),[6]skilldef!$A:$B,2,FALSE),"-")</f>
        <v>- / -</v>
      </c>
      <c r="M60" s="173" t="str">
        <f t="shared" si="128"/>
        <v>[effect:change_panel_ratio, turn:5, block_type:red, val:0.4, animation:block_incidence04],[effect:sp_boost, target:unit_technical, val:4, animation:sp_boost_one02],[effect:fix_speed, target:myself, turn:1]</v>
      </c>
      <c r="N60" s="170" t="str">
        <f>IFERROR(LEFT(M60,FIND("],",M60)+#REF!),M60)</f>
        <v>[effect:change_panel_ratio, turn:5, block_type:red, val:0.4, animation:block_incidence04],[effect:sp_boost, target:unit_technical, val:4, animation:sp_boost_one02],[effect:fix_speed, target:myself, turn:1]</v>
      </c>
      <c r="O60" s="173">
        <f t="shared" si="129"/>
        <v>9</v>
      </c>
      <c r="P60" s="173">
        <f t="shared" si="130"/>
        <v>27</v>
      </c>
      <c r="Q60" s="173">
        <f t="shared" si="131"/>
        <v>116</v>
      </c>
      <c r="R60" s="173">
        <f t="shared" si="132"/>
        <v>35</v>
      </c>
      <c r="S60" s="173" t="str">
        <f>IFERROR(VLOOKUP(MID(N60,Q60,R60-Q60),[6]skilldef!$C:$D,2,FALSE),"-") &amp; " / " &amp; IFERROR(VLOOKUP(MID(N60,O60,P60-O60),[6]skilldef!$A:$B,2,FALSE),"-")</f>
        <v>- / -</v>
      </c>
      <c r="T60" s="170" t="str">
        <f t="shared" si="133"/>
        <v>[effect:sp_boost, target:unit_technical, val:4, animation:sp_boost_one02],[effect:fix_speed, target:myself, turn:1]</v>
      </c>
      <c r="U60" s="173">
        <f t="shared" si="134"/>
        <v>9</v>
      </c>
      <c r="V60" s="173">
        <f t="shared" si="135"/>
        <v>17</v>
      </c>
      <c r="W60" s="173">
        <f t="shared" si="136"/>
        <v>26</v>
      </c>
      <c r="X60" s="173">
        <f t="shared" si="137"/>
        <v>40</v>
      </c>
      <c r="Y60" s="173" t="str">
        <f>IFERROR(VLOOKUP(MID(T60,W60,X60-W60),[6]skilldef!$C:$D,2,FALSE),"-") &amp; " / " &amp; IFERROR(VLOOKUP(MID(T60,U60,V60-U60),[6]skilldef!$A:$B,2,FALSE),"-")</f>
        <v>- / -</v>
      </c>
      <c r="Z60" s="172"/>
      <c r="AA60" s="174"/>
      <c r="AB60" s="172"/>
      <c r="AC60" s="173" t="s">
        <v>309</v>
      </c>
      <c r="AD60" s="173" t="s">
        <v>308</v>
      </c>
    </row>
    <row r="61" spans="1:30" ht="17" customHeight="1" x14ac:dyDescent="0.15">
      <c r="A61" s="170">
        <v>49016813</v>
      </c>
      <c r="B61" s="171" t="s">
        <v>454</v>
      </c>
      <c r="C61" s="172">
        <v>1</v>
      </c>
      <c r="D61" s="172" t="s">
        <v>127</v>
      </c>
      <c r="E61" s="173" t="s">
        <v>358</v>
      </c>
      <c r="F61" s="173" t="s">
        <v>424</v>
      </c>
      <c r="G61" s="173" t="str">
        <f t="shared" si="123"/>
        <v>[effect:enemy_message, val1:2.0, val2:4.3]</v>
      </c>
      <c r="H61" s="173">
        <f t="shared" si="124"/>
        <v>9</v>
      </c>
      <c r="I61" s="173">
        <f t="shared" si="125"/>
        <v>22</v>
      </c>
      <c r="J61" s="173" t="e">
        <f t="shared" si="126"/>
        <v>#VALUE!</v>
      </c>
      <c r="K61" s="173">
        <f t="shared" si="127"/>
        <v>32</v>
      </c>
      <c r="L61" s="173" t="str">
        <f>IFERROR(VLOOKUP(MID(G61,J61,K61-J61),[6]skilldef!$C:$D,2,FALSE),"-") &amp; " / " &amp; IFERROR(VLOOKUP(MID(G61,H61,I61-H61),[6]skilldef!$A:$B,2,FALSE),"-")</f>
        <v>- / -</v>
      </c>
      <c r="M61" s="173" t="str">
        <f t="shared" si="128"/>
        <v>[effect:change_panel_ratio, turn:5, block_type:red, val:0.4, animation:block_incidence04],[effect:sp_boost, target:unit_technical, val:4, animation:sp_boost_one02],[effect:fix_speed, target:myself, turn:1]</v>
      </c>
      <c r="N61" s="170" t="str">
        <f>IFERROR(LEFT(M61,FIND("],",M61)+#REF!),M61)</f>
        <v>[effect:change_panel_ratio, turn:5, block_type:red, val:0.4, animation:block_incidence04],[effect:sp_boost, target:unit_technical, val:4, animation:sp_boost_one02],[effect:fix_speed, target:myself, turn:1]</v>
      </c>
      <c r="O61" s="173">
        <f t="shared" si="129"/>
        <v>9</v>
      </c>
      <c r="P61" s="173">
        <f t="shared" si="130"/>
        <v>27</v>
      </c>
      <c r="Q61" s="173">
        <f t="shared" si="131"/>
        <v>116</v>
      </c>
      <c r="R61" s="173">
        <f t="shared" si="132"/>
        <v>35</v>
      </c>
      <c r="S61" s="173" t="str">
        <f>IFERROR(VLOOKUP(MID(N61,Q61,R61-Q61),[6]skilldef!$C:$D,2,FALSE),"-") &amp; " / " &amp; IFERROR(VLOOKUP(MID(N61,O61,P61-O61),[6]skilldef!$A:$B,2,FALSE),"-")</f>
        <v>- / -</v>
      </c>
      <c r="T61" s="170" t="str">
        <f t="shared" si="133"/>
        <v>[effect:sp_boost, target:unit_technical, val:4, animation:sp_boost_one02],[effect:fix_speed, target:myself, turn:1]</v>
      </c>
      <c r="U61" s="173">
        <f t="shared" si="134"/>
        <v>9</v>
      </c>
      <c r="V61" s="173">
        <f t="shared" si="135"/>
        <v>17</v>
      </c>
      <c r="W61" s="173">
        <f t="shared" si="136"/>
        <v>26</v>
      </c>
      <c r="X61" s="173">
        <f t="shared" si="137"/>
        <v>40</v>
      </c>
      <c r="Y61" s="173" t="str">
        <f>IFERROR(VLOOKUP(MID(T61,W61,X61-W61),[6]skilldef!$C:$D,2,FALSE),"-") &amp; " / " &amp; IFERROR(VLOOKUP(MID(T61,U61,V61-U61),[6]skilldef!$A:$B,2,FALSE),"-")</f>
        <v>- / -</v>
      </c>
      <c r="Z61" s="172"/>
      <c r="AA61" s="174"/>
      <c r="AB61" s="172"/>
      <c r="AC61" s="173" t="s">
        <v>309</v>
      </c>
      <c r="AD61" s="173" t="s">
        <v>308</v>
      </c>
    </row>
    <row r="62" spans="1:30" ht="17" customHeight="1" x14ac:dyDescent="0.15">
      <c r="A62" s="170">
        <v>49016814</v>
      </c>
      <c r="B62" s="171" t="s">
        <v>454</v>
      </c>
      <c r="C62" s="172">
        <v>1</v>
      </c>
      <c r="D62" s="172" t="s">
        <v>127</v>
      </c>
      <c r="E62" s="173" t="s">
        <v>358</v>
      </c>
      <c r="F62" s="173" t="s">
        <v>424</v>
      </c>
      <c r="G62" s="173" t="str">
        <f t="shared" si="123"/>
        <v>[effect:enemy_message, val1:2.0, val2:4.3]</v>
      </c>
      <c r="H62" s="173">
        <f t="shared" si="124"/>
        <v>9</v>
      </c>
      <c r="I62" s="173">
        <f t="shared" si="125"/>
        <v>22</v>
      </c>
      <c r="J62" s="173" t="e">
        <f t="shared" si="126"/>
        <v>#VALUE!</v>
      </c>
      <c r="K62" s="173">
        <f t="shared" si="127"/>
        <v>32</v>
      </c>
      <c r="L62" s="173" t="str">
        <f>IFERROR(VLOOKUP(MID(G62,J62,K62-J62),[6]skilldef!$C:$D,2,FALSE),"-") &amp; " / " &amp; IFERROR(VLOOKUP(MID(G62,H62,I62-H62),[6]skilldef!$A:$B,2,FALSE),"-")</f>
        <v>- / -</v>
      </c>
      <c r="M62" s="173" t="str">
        <f t="shared" si="128"/>
        <v>[effect:change_panel_ratio, turn:5, block_type:red, val:0.4, animation:block_incidence04],[effect:sp_boost, target:unit_technical, val:4, animation:sp_boost_one02],[effect:fix_speed, target:myself, turn:1]</v>
      </c>
      <c r="N62" s="170" t="str">
        <f>IFERROR(LEFT(M62,FIND("],",M62)+#REF!),M62)</f>
        <v>[effect:change_panel_ratio, turn:5, block_type:red, val:0.4, animation:block_incidence04],[effect:sp_boost, target:unit_technical, val:4, animation:sp_boost_one02],[effect:fix_speed, target:myself, turn:1]</v>
      </c>
      <c r="O62" s="173">
        <f t="shared" si="129"/>
        <v>9</v>
      </c>
      <c r="P62" s="173">
        <f t="shared" si="130"/>
        <v>27</v>
      </c>
      <c r="Q62" s="173">
        <f t="shared" si="131"/>
        <v>116</v>
      </c>
      <c r="R62" s="173">
        <f t="shared" si="132"/>
        <v>35</v>
      </c>
      <c r="S62" s="173" t="str">
        <f>IFERROR(VLOOKUP(MID(N62,Q62,R62-Q62),[6]skilldef!$C:$D,2,FALSE),"-") &amp; " / " &amp; IFERROR(VLOOKUP(MID(N62,O62,P62-O62),[6]skilldef!$A:$B,2,FALSE),"-")</f>
        <v>- / -</v>
      </c>
      <c r="T62" s="170" t="str">
        <f t="shared" si="133"/>
        <v>[effect:sp_boost, target:unit_technical, val:4, animation:sp_boost_one02],[effect:fix_speed, target:myself, turn:1]</v>
      </c>
      <c r="U62" s="173">
        <f t="shared" si="134"/>
        <v>9</v>
      </c>
      <c r="V62" s="173">
        <f t="shared" si="135"/>
        <v>17</v>
      </c>
      <c r="W62" s="173">
        <f t="shared" si="136"/>
        <v>26</v>
      </c>
      <c r="X62" s="173">
        <f t="shared" si="137"/>
        <v>40</v>
      </c>
      <c r="Y62" s="173" t="str">
        <f>IFERROR(VLOOKUP(MID(T62,W62,X62-W62),[6]skilldef!$C:$D,2,FALSE),"-") &amp; " / " &amp; IFERROR(VLOOKUP(MID(T62,U62,V62-U62),[6]skilldef!$A:$B,2,FALSE),"-")</f>
        <v>- / -</v>
      </c>
      <c r="Z62" s="172"/>
      <c r="AA62" s="174"/>
      <c r="AB62" s="172"/>
      <c r="AC62" s="173" t="s">
        <v>309</v>
      </c>
      <c r="AD62" s="173" t="s">
        <v>308</v>
      </c>
    </row>
    <row r="63" spans="1:30" ht="17" customHeight="1" x14ac:dyDescent="0.15">
      <c r="A63" s="170">
        <v>49016815</v>
      </c>
      <c r="B63" s="171" t="s">
        <v>454</v>
      </c>
      <c r="C63" s="172">
        <v>1</v>
      </c>
      <c r="D63" s="172" t="s">
        <v>127</v>
      </c>
      <c r="E63" s="173" t="s">
        <v>358</v>
      </c>
      <c r="F63" s="173" t="s">
        <v>424</v>
      </c>
      <c r="G63" s="173" t="str">
        <f t="shared" si="123"/>
        <v>[effect:enemy_message, val1:2.0, val2:4.3]</v>
      </c>
      <c r="H63" s="173">
        <f t="shared" si="124"/>
        <v>9</v>
      </c>
      <c r="I63" s="173">
        <f t="shared" si="125"/>
        <v>22</v>
      </c>
      <c r="J63" s="173" t="e">
        <f t="shared" si="126"/>
        <v>#VALUE!</v>
      </c>
      <c r="K63" s="173">
        <f t="shared" si="127"/>
        <v>32</v>
      </c>
      <c r="L63" s="173" t="str">
        <f>IFERROR(VLOOKUP(MID(G63,J63,K63-J63),[6]skilldef!$C:$D,2,FALSE),"-") &amp; " / " &amp; IFERROR(VLOOKUP(MID(G63,H63,I63-H63),[6]skilldef!$A:$B,2,FALSE),"-")</f>
        <v>- / -</v>
      </c>
      <c r="M63" s="173" t="str">
        <f t="shared" si="128"/>
        <v>[effect:change_panel_ratio, turn:5, block_type:red, val:0.4, animation:block_incidence04],[effect:sp_boost, target:unit_technical, val:4, animation:sp_boost_one02],[effect:fix_speed, target:myself, turn:1]</v>
      </c>
      <c r="N63" s="170" t="str">
        <f>IFERROR(LEFT(M63,FIND("],",M63)+#REF!),M63)</f>
        <v>[effect:change_panel_ratio, turn:5, block_type:red, val:0.4, animation:block_incidence04],[effect:sp_boost, target:unit_technical, val:4, animation:sp_boost_one02],[effect:fix_speed, target:myself, turn:1]</v>
      </c>
      <c r="O63" s="173">
        <f t="shared" si="129"/>
        <v>9</v>
      </c>
      <c r="P63" s="173">
        <f t="shared" si="130"/>
        <v>27</v>
      </c>
      <c r="Q63" s="173">
        <f t="shared" si="131"/>
        <v>116</v>
      </c>
      <c r="R63" s="173">
        <f t="shared" si="132"/>
        <v>35</v>
      </c>
      <c r="S63" s="173" t="str">
        <f>IFERROR(VLOOKUP(MID(N63,Q63,R63-Q63),[6]skilldef!$C:$D,2,FALSE),"-") &amp; " / " &amp; IFERROR(VLOOKUP(MID(N63,O63,P63-O63),[6]skilldef!$A:$B,2,FALSE),"-")</f>
        <v>- / -</v>
      </c>
      <c r="T63" s="170" t="str">
        <f t="shared" si="133"/>
        <v>[effect:sp_boost, target:unit_technical, val:4, animation:sp_boost_one02],[effect:fix_speed, target:myself, turn:1]</v>
      </c>
      <c r="U63" s="173">
        <f t="shared" si="134"/>
        <v>9</v>
      </c>
      <c r="V63" s="173">
        <f t="shared" si="135"/>
        <v>17</v>
      </c>
      <c r="W63" s="173">
        <f t="shared" si="136"/>
        <v>26</v>
      </c>
      <c r="X63" s="173">
        <f t="shared" si="137"/>
        <v>40</v>
      </c>
      <c r="Y63" s="173" t="str">
        <f>IFERROR(VLOOKUP(MID(T63,W63,X63-W63),[6]skilldef!$C:$D,2,FALSE),"-") &amp; " / " &amp; IFERROR(VLOOKUP(MID(T63,U63,V63-U63),[6]skilldef!$A:$B,2,FALSE),"-")</f>
        <v>- / -</v>
      </c>
      <c r="Z63" s="172"/>
      <c r="AA63" s="174"/>
      <c r="AB63" s="172"/>
      <c r="AC63" s="173" t="s">
        <v>309</v>
      </c>
      <c r="AD63" s="173" t="s">
        <v>308</v>
      </c>
    </row>
    <row r="64" spans="1:30" ht="17" customHeight="1" x14ac:dyDescent="0.15">
      <c r="A64" s="170">
        <v>49016816</v>
      </c>
      <c r="B64" s="171" t="s">
        <v>454</v>
      </c>
      <c r="C64" s="172">
        <v>1</v>
      </c>
      <c r="D64" s="172" t="s">
        <v>127</v>
      </c>
      <c r="E64" s="173" t="s">
        <v>358</v>
      </c>
      <c r="F64" s="173" t="s">
        <v>424</v>
      </c>
      <c r="G64" s="173" t="str">
        <f t="shared" si="123"/>
        <v>[effect:enemy_message, val1:2.0, val2:4.3]</v>
      </c>
      <c r="H64" s="173">
        <f t="shared" si="124"/>
        <v>9</v>
      </c>
      <c r="I64" s="173">
        <f t="shared" si="125"/>
        <v>22</v>
      </c>
      <c r="J64" s="173" t="e">
        <f t="shared" si="126"/>
        <v>#VALUE!</v>
      </c>
      <c r="K64" s="173">
        <f t="shared" si="127"/>
        <v>32</v>
      </c>
      <c r="L64" s="173" t="str">
        <f>IFERROR(VLOOKUP(MID(G64,J64,K64-J64),[6]skilldef!$C:$D,2,FALSE),"-") &amp; " / " &amp; IFERROR(VLOOKUP(MID(G64,H64,I64-H64),[6]skilldef!$A:$B,2,FALSE),"-")</f>
        <v>- / -</v>
      </c>
      <c r="M64" s="173" t="str">
        <f t="shared" si="128"/>
        <v>[effect:change_panel_ratio, turn:5, block_type:red, val:0.4, animation:block_incidence04],[effect:sp_boost, target:unit_technical, val:4, animation:sp_boost_one02],[effect:fix_speed, target:myself, turn:1]</v>
      </c>
      <c r="N64" s="170" t="str">
        <f>IFERROR(LEFT(M64,FIND("],",M64)+#REF!),M64)</f>
        <v>[effect:change_panel_ratio, turn:5, block_type:red, val:0.4, animation:block_incidence04],[effect:sp_boost, target:unit_technical, val:4, animation:sp_boost_one02],[effect:fix_speed, target:myself, turn:1]</v>
      </c>
      <c r="O64" s="173">
        <f t="shared" si="129"/>
        <v>9</v>
      </c>
      <c r="P64" s="173">
        <f t="shared" si="130"/>
        <v>27</v>
      </c>
      <c r="Q64" s="173">
        <f t="shared" si="131"/>
        <v>116</v>
      </c>
      <c r="R64" s="173">
        <f t="shared" si="132"/>
        <v>35</v>
      </c>
      <c r="S64" s="173" t="str">
        <f>IFERROR(VLOOKUP(MID(N64,Q64,R64-Q64),[6]skilldef!$C:$D,2,FALSE),"-") &amp; " / " &amp; IFERROR(VLOOKUP(MID(N64,O64,P64-O64),[6]skilldef!$A:$B,2,FALSE),"-")</f>
        <v>- / -</v>
      </c>
      <c r="T64" s="170" t="str">
        <f t="shared" si="133"/>
        <v>[effect:sp_boost, target:unit_technical, val:4, animation:sp_boost_one02],[effect:fix_speed, target:myself, turn:1]</v>
      </c>
      <c r="U64" s="173">
        <f t="shared" si="134"/>
        <v>9</v>
      </c>
      <c r="V64" s="173">
        <f t="shared" si="135"/>
        <v>17</v>
      </c>
      <c r="W64" s="173">
        <f t="shared" si="136"/>
        <v>26</v>
      </c>
      <c r="X64" s="173">
        <f t="shared" si="137"/>
        <v>40</v>
      </c>
      <c r="Y64" s="173" t="str">
        <f>IFERROR(VLOOKUP(MID(T64,W64,X64-W64),[6]skilldef!$C:$D,2,FALSE),"-") &amp; " / " &amp; IFERROR(VLOOKUP(MID(T64,U64,V64-U64),[6]skilldef!$A:$B,2,FALSE),"-")</f>
        <v>- / -</v>
      </c>
      <c r="Z64" s="172"/>
      <c r="AA64" s="174"/>
      <c r="AB64" s="172"/>
      <c r="AC64" s="173" t="s">
        <v>309</v>
      </c>
      <c r="AD64" s="173" t="s">
        <v>308</v>
      </c>
    </row>
    <row r="65" spans="1:30" ht="17" customHeight="1" x14ac:dyDescent="0.15">
      <c r="A65" s="170">
        <v>49016817</v>
      </c>
      <c r="B65" s="171" t="s">
        <v>454</v>
      </c>
      <c r="C65" s="172">
        <v>1</v>
      </c>
      <c r="D65" s="172" t="s">
        <v>127</v>
      </c>
      <c r="E65" s="173" t="s">
        <v>358</v>
      </c>
      <c r="F65" s="173" t="s">
        <v>424</v>
      </c>
      <c r="G65" s="173" t="str">
        <f t="shared" si="123"/>
        <v>[effect:enemy_message, val1:2.0, val2:4.3]</v>
      </c>
      <c r="H65" s="173">
        <f t="shared" si="124"/>
        <v>9</v>
      </c>
      <c r="I65" s="173">
        <f t="shared" si="125"/>
        <v>22</v>
      </c>
      <c r="J65" s="173" t="e">
        <f t="shared" si="126"/>
        <v>#VALUE!</v>
      </c>
      <c r="K65" s="173">
        <f t="shared" si="127"/>
        <v>32</v>
      </c>
      <c r="L65" s="173" t="str">
        <f>IFERROR(VLOOKUP(MID(G65,J65,K65-J65),[6]skilldef!$C:$D,2,FALSE),"-") &amp; " / " &amp; IFERROR(VLOOKUP(MID(G65,H65,I65-H65),[6]skilldef!$A:$B,2,FALSE),"-")</f>
        <v>- / -</v>
      </c>
      <c r="M65" s="173" t="str">
        <f t="shared" si="128"/>
        <v>[effect:change_panel_ratio, turn:5, block_type:red, val:0.4, animation:block_incidence04],[effect:sp_boost, target:unit_technical, val:4, animation:sp_boost_one02],[effect:fix_speed, target:myself, turn:1]</v>
      </c>
      <c r="N65" s="170" t="str">
        <f>IFERROR(LEFT(M65,FIND("],",M65)+#REF!),M65)</f>
        <v>[effect:change_panel_ratio, turn:5, block_type:red, val:0.4, animation:block_incidence04],[effect:sp_boost, target:unit_technical, val:4, animation:sp_boost_one02],[effect:fix_speed, target:myself, turn:1]</v>
      </c>
      <c r="O65" s="173">
        <f t="shared" si="129"/>
        <v>9</v>
      </c>
      <c r="P65" s="173">
        <f t="shared" si="130"/>
        <v>27</v>
      </c>
      <c r="Q65" s="173">
        <f t="shared" si="131"/>
        <v>116</v>
      </c>
      <c r="R65" s="173">
        <f t="shared" si="132"/>
        <v>35</v>
      </c>
      <c r="S65" s="173" t="str">
        <f>IFERROR(VLOOKUP(MID(N65,Q65,R65-Q65),[6]skilldef!$C:$D,2,FALSE),"-") &amp; " / " &amp; IFERROR(VLOOKUP(MID(N65,O65,P65-O65),[6]skilldef!$A:$B,2,FALSE),"-")</f>
        <v>- / -</v>
      </c>
      <c r="T65" s="170" t="str">
        <f t="shared" si="133"/>
        <v>[effect:sp_boost, target:unit_technical, val:4, animation:sp_boost_one02],[effect:fix_speed, target:myself, turn:1]</v>
      </c>
      <c r="U65" s="173">
        <f t="shared" si="134"/>
        <v>9</v>
      </c>
      <c r="V65" s="173">
        <f t="shared" si="135"/>
        <v>17</v>
      </c>
      <c r="W65" s="173">
        <f t="shared" si="136"/>
        <v>26</v>
      </c>
      <c r="X65" s="173">
        <f t="shared" si="137"/>
        <v>40</v>
      </c>
      <c r="Y65" s="173" t="str">
        <f>IFERROR(VLOOKUP(MID(T65,W65,X65-W65),[6]skilldef!$C:$D,2,FALSE),"-") &amp; " / " &amp; IFERROR(VLOOKUP(MID(T65,U65,V65-U65),[6]skilldef!$A:$B,2,FALSE),"-")</f>
        <v>- / -</v>
      </c>
      <c r="Z65" s="172"/>
      <c r="AA65" s="174"/>
      <c r="AB65" s="172"/>
      <c r="AC65" s="173" t="s">
        <v>309</v>
      </c>
      <c r="AD65" s="173" t="s">
        <v>308</v>
      </c>
    </row>
    <row r="66" spans="1:30" ht="17" customHeight="1" x14ac:dyDescent="0.15">
      <c r="A66" s="170">
        <v>49016818</v>
      </c>
      <c r="B66" s="171" t="s">
        <v>454</v>
      </c>
      <c r="C66" s="172">
        <v>1</v>
      </c>
      <c r="D66" s="172" t="s">
        <v>127</v>
      </c>
      <c r="E66" s="173" t="s">
        <v>358</v>
      </c>
      <c r="F66" s="173" t="s">
        <v>424</v>
      </c>
      <c r="G66" s="173" t="str">
        <f t="shared" si="123"/>
        <v>[effect:enemy_message, val1:2.0, val2:4.3]</v>
      </c>
      <c r="H66" s="173">
        <f t="shared" si="124"/>
        <v>9</v>
      </c>
      <c r="I66" s="173">
        <f t="shared" si="125"/>
        <v>22</v>
      </c>
      <c r="J66" s="173" t="e">
        <f t="shared" si="126"/>
        <v>#VALUE!</v>
      </c>
      <c r="K66" s="173">
        <f t="shared" si="127"/>
        <v>32</v>
      </c>
      <c r="L66" s="173" t="str">
        <f>IFERROR(VLOOKUP(MID(G66,J66,K66-J66),[6]skilldef!$C:$D,2,FALSE),"-") &amp; " / " &amp; IFERROR(VLOOKUP(MID(G66,H66,I66-H66),[6]skilldef!$A:$B,2,FALSE),"-")</f>
        <v>- / -</v>
      </c>
      <c r="M66" s="173" t="str">
        <f t="shared" si="128"/>
        <v>[effect:change_panel_ratio, turn:5, block_type:red, val:0.4, animation:block_incidence04],[effect:sp_boost, target:unit_technical, val:4, animation:sp_boost_one02],[effect:fix_speed, target:myself, turn:1]</v>
      </c>
      <c r="N66" s="170" t="str">
        <f>IFERROR(LEFT(M66,FIND("],",M66)+#REF!),M66)</f>
        <v>[effect:change_panel_ratio, turn:5, block_type:red, val:0.4, animation:block_incidence04],[effect:sp_boost, target:unit_technical, val:4, animation:sp_boost_one02],[effect:fix_speed, target:myself, turn:1]</v>
      </c>
      <c r="O66" s="173">
        <f t="shared" si="129"/>
        <v>9</v>
      </c>
      <c r="P66" s="173">
        <f t="shared" si="130"/>
        <v>27</v>
      </c>
      <c r="Q66" s="173">
        <f t="shared" si="131"/>
        <v>116</v>
      </c>
      <c r="R66" s="173">
        <f t="shared" si="132"/>
        <v>35</v>
      </c>
      <c r="S66" s="173" t="str">
        <f>IFERROR(VLOOKUP(MID(N66,Q66,R66-Q66),[6]skilldef!$C:$D,2,FALSE),"-") &amp; " / " &amp; IFERROR(VLOOKUP(MID(N66,O66,P66-O66),[6]skilldef!$A:$B,2,FALSE),"-")</f>
        <v>- / -</v>
      </c>
      <c r="T66" s="170" t="str">
        <f t="shared" si="133"/>
        <v>[effect:sp_boost, target:unit_technical, val:4, animation:sp_boost_one02],[effect:fix_speed, target:myself, turn:1]</v>
      </c>
      <c r="U66" s="173">
        <f t="shared" si="134"/>
        <v>9</v>
      </c>
      <c r="V66" s="173">
        <f t="shared" si="135"/>
        <v>17</v>
      </c>
      <c r="W66" s="173">
        <f t="shared" si="136"/>
        <v>26</v>
      </c>
      <c r="X66" s="173">
        <f t="shared" si="137"/>
        <v>40</v>
      </c>
      <c r="Y66" s="173" t="str">
        <f>IFERROR(VLOOKUP(MID(T66,W66,X66-W66),[6]skilldef!$C:$D,2,FALSE),"-") &amp; " / " &amp; IFERROR(VLOOKUP(MID(T66,U66,V66-U66),[6]skilldef!$A:$B,2,FALSE),"-")</f>
        <v>- / -</v>
      </c>
      <c r="Z66" s="172"/>
      <c r="AA66" s="174"/>
      <c r="AB66" s="172"/>
      <c r="AC66" s="173" t="s">
        <v>309</v>
      </c>
      <c r="AD66" s="173" t="s">
        <v>308</v>
      </c>
    </row>
    <row r="67" spans="1:30" ht="17" customHeight="1" x14ac:dyDescent="0.15">
      <c r="A67" s="170">
        <v>49016819</v>
      </c>
      <c r="B67" s="171" t="s">
        <v>454</v>
      </c>
      <c r="C67" s="172">
        <v>1</v>
      </c>
      <c r="D67" s="172" t="s">
        <v>127</v>
      </c>
      <c r="E67" s="173" t="s">
        <v>358</v>
      </c>
      <c r="F67" s="173" t="s">
        <v>424</v>
      </c>
      <c r="G67" s="173" t="str">
        <f t="shared" si="123"/>
        <v>[effect:enemy_message, val1:2.0, val2:4.3]</v>
      </c>
      <c r="H67" s="173">
        <f t="shared" si="124"/>
        <v>9</v>
      </c>
      <c r="I67" s="173">
        <f t="shared" si="125"/>
        <v>22</v>
      </c>
      <c r="J67" s="173" t="e">
        <f t="shared" si="126"/>
        <v>#VALUE!</v>
      </c>
      <c r="K67" s="173">
        <f t="shared" si="127"/>
        <v>32</v>
      </c>
      <c r="L67" s="173" t="str">
        <f>IFERROR(VLOOKUP(MID(G67,J67,K67-J67),[6]skilldef!$C:$D,2,FALSE),"-") &amp; " / " &amp; IFERROR(VLOOKUP(MID(G67,H67,I67-H67),[6]skilldef!$A:$B,2,FALSE),"-")</f>
        <v>- / -</v>
      </c>
      <c r="M67" s="173" t="str">
        <f t="shared" si="128"/>
        <v>[effect:change_panel_ratio, turn:5, block_type:red, val:0.4, animation:block_incidence04],[effect:sp_boost, target:unit_technical, val:4, animation:sp_boost_one02],[effect:fix_speed, target:myself, turn:1]</v>
      </c>
      <c r="N67" s="170" t="str">
        <f>IFERROR(LEFT(M67,FIND("],",M67)+#REF!),M67)</f>
        <v>[effect:change_panel_ratio, turn:5, block_type:red, val:0.4, animation:block_incidence04],[effect:sp_boost, target:unit_technical, val:4, animation:sp_boost_one02],[effect:fix_speed, target:myself, turn:1]</v>
      </c>
      <c r="O67" s="173">
        <f t="shared" si="129"/>
        <v>9</v>
      </c>
      <c r="P67" s="173">
        <f t="shared" si="130"/>
        <v>27</v>
      </c>
      <c r="Q67" s="173">
        <f t="shared" si="131"/>
        <v>116</v>
      </c>
      <c r="R67" s="173">
        <f t="shared" si="132"/>
        <v>35</v>
      </c>
      <c r="S67" s="173" t="str">
        <f>IFERROR(VLOOKUP(MID(N67,Q67,R67-Q67),[6]skilldef!$C:$D,2,FALSE),"-") &amp; " / " &amp; IFERROR(VLOOKUP(MID(N67,O67,P67-O67),[6]skilldef!$A:$B,2,FALSE),"-")</f>
        <v>- / -</v>
      </c>
      <c r="T67" s="170" t="str">
        <f t="shared" si="133"/>
        <v>[effect:sp_boost, target:unit_technical, val:4, animation:sp_boost_one02],[effect:fix_speed, target:myself, turn:1]</v>
      </c>
      <c r="U67" s="173">
        <f t="shared" si="134"/>
        <v>9</v>
      </c>
      <c r="V67" s="173">
        <f t="shared" si="135"/>
        <v>17</v>
      </c>
      <c r="W67" s="173">
        <f t="shared" si="136"/>
        <v>26</v>
      </c>
      <c r="X67" s="173">
        <f t="shared" si="137"/>
        <v>40</v>
      </c>
      <c r="Y67" s="173" t="str">
        <f>IFERROR(VLOOKUP(MID(T67,W67,X67-W67),[6]skilldef!$C:$D,2,FALSE),"-") &amp; " / " &amp; IFERROR(VLOOKUP(MID(T67,U67,V67-U67),[6]skilldef!$A:$B,2,FALSE),"-")</f>
        <v>- / -</v>
      </c>
      <c r="Z67" s="172"/>
      <c r="AA67" s="174"/>
      <c r="AB67" s="172"/>
      <c r="AC67" s="173" t="s">
        <v>309</v>
      </c>
      <c r="AD67" s="173" t="s">
        <v>308</v>
      </c>
    </row>
    <row r="68" spans="1:30" ht="17" customHeight="1" x14ac:dyDescent="0.15">
      <c r="A68" s="170">
        <v>49016820</v>
      </c>
      <c r="B68" s="171" t="s">
        <v>454</v>
      </c>
      <c r="C68" s="172">
        <v>1</v>
      </c>
      <c r="D68" s="172" t="s">
        <v>127</v>
      </c>
      <c r="E68" s="173" t="s">
        <v>358</v>
      </c>
      <c r="F68" s="173" t="s">
        <v>424</v>
      </c>
      <c r="G68" s="173" t="str">
        <f t="shared" si="123"/>
        <v>[effect:enemy_message, val1:2.0, val2:4.3]</v>
      </c>
      <c r="H68" s="173">
        <f t="shared" si="124"/>
        <v>9</v>
      </c>
      <c r="I68" s="173">
        <f t="shared" si="125"/>
        <v>22</v>
      </c>
      <c r="J68" s="173" t="e">
        <f t="shared" si="126"/>
        <v>#VALUE!</v>
      </c>
      <c r="K68" s="173">
        <f t="shared" si="127"/>
        <v>32</v>
      </c>
      <c r="L68" s="173" t="str">
        <f>IFERROR(VLOOKUP(MID(G68,J68,K68-J68),[6]skilldef!$C:$D,2,FALSE),"-") &amp; " / " &amp; IFERROR(VLOOKUP(MID(G68,H68,I68-H68),[6]skilldef!$A:$B,2,FALSE),"-")</f>
        <v>- / -</v>
      </c>
      <c r="M68" s="173" t="str">
        <f t="shared" si="128"/>
        <v>[effect:change_panel_ratio, turn:5, block_type:red, val:0.4, animation:block_incidence04],[effect:sp_boost, target:unit_technical, val:4, animation:sp_boost_one02],[effect:fix_speed, target:myself, turn:1]</v>
      </c>
      <c r="N68" s="170" t="str">
        <f>IFERROR(LEFT(M68,FIND("],",M68)+#REF!),M68)</f>
        <v>[effect:change_panel_ratio, turn:5, block_type:red, val:0.4, animation:block_incidence04],[effect:sp_boost, target:unit_technical, val:4, animation:sp_boost_one02],[effect:fix_speed, target:myself, turn:1]</v>
      </c>
      <c r="O68" s="173">
        <f t="shared" si="129"/>
        <v>9</v>
      </c>
      <c r="P68" s="173">
        <f t="shared" si="130"/>
        <v>27</v>
      </c>
      <c r="Q68" s="173">
        <f t="shared" si="131"/>
        <v>116</v>
      </c>
      <c r="R68" s="173">
        <f t="shared" si="132"/>
        <v>35</v>
      </c>
      <c r="S68" s="173" t="str">
        <f>IFERROR(VLOOKUP(MID(N68,Q68,R68-Q68),[6]skilldef!$C:$D,2,FALSE),"-") &amp; " / " &amp; IFERROR(VLOOKUP(MID(N68,O68,P68-O68),[6]skilldef!$A:$B,2,FALSE),"-")</f>
        <v>- / -</v>
      </c>
      <c r="T68" s="170" t="str">
        <f t="shared" si="133"/>
        <v>[effect:sp_boost, target:unit_technical, val:4, animation:sp_boost_one02],[effect:fix_speed, target:myself, turn:1]</v>
      </c>
      <c r="U68" s="173">
        <f t="shared" si="134"/>
        <v>9</v>
      </c>
      <c r="V68" s="173">
        <f t="shared" si="135"/>
        <v>17</v>
      </c>
      <c r="W68" s="173">
        <f t="shared" si="136"/>
        <v>26</v>
      </c>
      <c r="X68" s="173">
        <f t="shared" si="137"/>
        <v>40</v>
      </c>
      <c r="Y68" s="173" t="str">
        <f>IFERROR(VLOOKUP(MID(T68,W68,X68-W68),[6]skilldef!$C:$D,2,FALSE),"-") &amp; " / " &amp; IFERROR(VLOOKUP(MID(T68,U68,V68-U68),[6]skilldef!$A:$B,2,FALSE),"-")</f>
        <v>- / -</v>
      </c>
      <c r="Z68" s="172"/>
      <c r="AA68" s="174"/>
      <c r="AB68" s="172"/>
      <c r="AC68" s="173" t="s">
        <v>309</v>
      </c>
      <c r="AD68" s="173" t="s">
        <v>308</v>
      </c>
    </row>
    <row r="69" spans="1:30" ht="17" customHeight="1" x14ac:dyDescent="0.15">
      <c r="A69" s="170">
        <v>49016821</v>
      </c>
      <c r="B69" s="171" t="s">
        <v>454</v>
      </c>
      <c r="C69" s="172">
        <v>1</v>
      </c>
      <c r="D69" s="172" t="s">
        <v>127</v>
      </c>
      <c r="E69" s="173" t="s">
        <v>358</v>
      </c>
      <c r="F69" s="173" t="s">
        <v>424</v>
      </c>
      <c r="G69" s="173" t="str">
        <f t="shared" si="123"/>
        <v>[effect:enemy_message, val1:2.0, val2:4.3]</v>
      </c>
      <c r="H69" s="173">
        <f t="shared" si="124"/>
        <v>9</v>
      </c>
      <c r="I69" s="173">
        <f t="shared" si="125"/>
        <v>22</v>
      </c>
      <c r="J69" s="173" t="e">
        <f t="shared" si="126"/>
        <v>#VALUE!</v>
      </c>
      <c r="K69" s="173">
        <f t="shared" si="127"/>
        <v>32</v>
      </c>
      <c r="L69" s="173" t="str">
        <f>IFERROR(VLOOKUP(MID(G69,J69,K69-J69),[6]skilldef!$C:$D,2,FALSE),"-") &amp; " / " &amp; IFERROR(VLOOKUP(MID(G69,H69,I69-H69),[6]skilldef!$A:$B,2,FALSE),"-")</f>
        <v>- / -</v>
      </c>
      <c r="M69" s="173" t="str">
        <f t="shared" si="128"/>
        <v>[effect:change_panel_ratio, turn:5, block_type:red, val:0.4, animation:block_incidence04],[effect:sp_boost, target:unit_technical, val:4, animation:sp_boost_one02],[effect:fix_speed, target:myself, turn:1]</v>
      </c>
      <c r="N69" s="170" t="str">
        <f>IFERROR(LEFT(M69,FIND("],",M69)+#REF!),M69)</f>
        <v>[effect:change_panel_ratio, turn:5, block_type:red, val:0.4, animation:block_incidence04],[effect:sp_boost, target:unit_technical, val:4, animation:sp_boost_one02],[effect:fix_speed, target:myself, turn:1]</v>
      </c>
      <c r="O69" s="173">
        <f t="shared" si="129"/>
        <v>9</v>
      </c>
      <c r="P69" s="173">
        <f t="shared" si="130"/>
        <v>27</v>
      </c>
      <c r="Q69" s="173">
        <f t="shared" si="131"/>
        <v>116</v>
      </c>
      <c r="R69" s="173">
        <f t="shared" si="132"/>
        <v>35</v>
      </c>
      <c r="S69" s="173" t="str">
        <f>IFERROR(VLOOKUP(MID(N69,Q69,R69-Q69),[6]skilldef!$C:$D,2,FALSE),"-") &amp; " / " &amp; IFERROR(VLOOKUP(MID(N69,O69,P69-O69),[6]skilldef!$A:$B,2,FALSE),"-")</f>
        <v>- / -</v>
      </c>
      <c r="T69" s="170" t="str">
        <f t="shared" si="133"/>
        <v>[effect:sp_boost, target:unit_technical, val:4, animation:sp_boost_one02],[effect:fix_speed, target:myself, turn:1]</v>
      </c>
      <c r="U69" s="173">
        <f t="shared" si="134"/>
        <v>9</v>
      </c>
      <c r="V69" s="173">
        <f t="shared" si="135"/>
        <v>17</v>
      </c>
      <c r="W69" s="173">
        <f t="shared" si="136"/>
        <v>26</v>
      </c>
      <c r="X69" s="173">
        <f t="shared" si="137"/>
        <v>40</v>
      </c>
      <c r="Y69" s="173" t="str">
        <f>IFERROR(VLOOKUP(MID(T69,W69,X69-W69),[6]skilldef!$C:$D,2,FALSE),"-") &amp; " / " &amp; IFERROR(VLOOKUP(MID(T69,U69,V69-U69),[6]skilldef!$A:$B,2,FALSE),"-")</f>
        <v>- / -</v>
      </c>
      <c r="Z69" s="172"/>
      <c r="AA69" s="174"/>
      <c r="AB69" s="172"/>
      <c r="AC69" s="173" t="s">
        <v>309</v>
      </c>
      <c r="AD69" s="173" t="s">
        <v>308</v>
      </c>
    </row>
    <row r="70" spans="1:30" ht="16" customHeight="1" x14ac:dyDescent="0.15">
      <c r="A70" s="170">
        <v>49016822</v>
      </c>
      <c r="B70" s="171" t="s">
        <v>455</v>
      </c>
      <c r="C70" s="172">
        <v>1</v>
      </c>
      <c r="D70" s="172" t="s">
        <v>127</v>
      </c>
      <c r="E70" s="178" t="s">
        <v>384</v>
      </c>
      <c r="F70" s="178" t="s">
        <v>385</v>
      </c>
      <c r="G70" s="173" t="str">
        <f t="shared" si="123"/>
        <v>[effect:enemy_message, val1:1.2, val2:1.2]</v>
      </c>
      <c r="H70" s="173">
        <f t="shared" si="124"/>
        <v>9</v>
      </c>
      <c r="I70" s="173">
        <f t="shared" si="125"/>
        <v>22</v>
      </c>
      <c r="J70" s="173" t="e">
        <f t="shared" si="126"/>
        <v>#VALUE!</v>
      </c>
      <c r="K70" s="173">
        <f t="shared" si="127"/>
        <v>32</v>
      </c>
      <c r="L70" s="173" t="str">
        <f>IFERROR(VLOOKUP(MID(G70,J70,K70-J70),[6]skilldef!$C:$D,2,FALSE),"-") &amp; " / " &amp; IFERROR(VLOOKUP(MID(G70,H70,I70-H70),[6]skilldef!$A:$B,2,FALSE),"-")</f>
        <v>- / -</v>
      </c>
      <c r="M70" s="173" t="str">
        <f t="shared" si="128"/>
        <v>[effect:change_panel_ratio, turn:5, block_type:red, val:0.4, animation:block_incidence04],[effect:sp_boost, target:unit_technical, val:4, animation:sp_boost_one02],[effect:fix_speed, target:myself, turn:1]</v>
      </c>
      <c r="N70" s="170" t="str">
        <f>IFERROR(LEFT(M70,FIND("],",M70)+S126),M70)</f>
        <v>[effect:change_panel_ratio, turn:5, block_type:red, val:0.4, animation:block_incidence04],[effect:sp_boost, target:unit_technical, val:4, animation:sp_boost_one02],[effect:fix_speed, target:myself, turn:1]</v>
      </c>
      <c r="O70" s="173">
        <f t="shared" si="129"/>
        <v>9</v>
      </c>
      <c r="P70" s="173">
        <f t="shared" si="130"/>
        <v>27</v>
      </c>
      <c r="Q70" s="173">
        <f t="shared" si="131"/>
        <v>116</v>
      </c>
      <c r="R70" s="173">
        <f t="shared" si="132"/>
        <v>35</v>
      </c>
      <c r="S70" s="173" t="str">
        <f>IFERROR(VLOOKUP(MID(N70,Q70,R70-Q70),[6]skilldef!$C:$D,2,FALSE),"-") &amp; " / " &amp; IFERROR(VLOOKUP(MID(N70,O70,P70-O70),[6]skilldef!$A:$B,2,FALSE),"-")</f>
        <v>- / -</v>
      </c>
      <c r="T70" s="170" t="str">
        <f t="shared" si="133"/>
        <v>[effect:sp_boost, target:unit_technical, val:4, animation:sp_boost_one02],[effect:fix_speed, target:myself, turn:1]</v>
      </c>
      <c r="U70" s="173">
        <f t="shared" si="134"/>
        <v>9</v>
      </c>
      <c r="V70" s="173">
        <f t="shared" si="135"/>
        <v>17</v>
      </c>
      <c r="W70" s="173">
        <f t="shared" si="136"/>
        <v>26</v>
      </c>
      <c r="X70" s="173">
        <f t="shared" si="137"/>
        <v>40</v>
      </c>
      <c r="Y70" s="173" t="str">
        <f>IFERROR(VLOOKUP(MID(T70,W70,X70-W70),[6]skilldef!$C:$D,2,FALSE),"-") &amp; " / " &amp; IFERROR(VLOOKUP(MID(T70,U70,V70-U70),[6]skilldef!$A:$B,2,FALSE),"-")</f>
        <v>- / -</v>
      </c>
      <c r="Z70" s="172"/>
      <c r="AA70" s="174"/>
      <c r="AB70" s="172"/>
      <c r="AC70" s="178" t="s">
        <v>336</v>
      </c>
      <c r="AD70" s="173" t="s">
        <v>308</v>
      </c>
    </row>
    <row r="71" spans="1:30" ht="16" customHeight="1" x14ac:dyDescent="0.15">
      <c r="A71" s="170">
        <v>49016823</v>
      </c>
      <c r="B71" s="171" t="s">
        <v>455</v>
      </c>
      <c r="C71" s="172">
        <v>1</v>
      </c>
      <c r="D71" s="172" t="s">
        <v>127</v>
      </c>
      <c r="E71" s="178" t="s">
        <v>384</v>
      </c>
      <c r="F71" s="178" t="s">
        <v>385</v>
      </c>
      <c r="G71" s="173" t="str">
        <f t="shared" si="123"/>
        <v>[effect:enemy_message, val1:1.2, val2:1.2]</v>
      </c>
      <c r="H71" s="173">
        <f t="shared" si="124"/>
        <v>9</v>
      </c>
      <c r="I71" s="173">
        <f t="shared" si="125"/>
        <v>22</v>
      </c>
      <c r="J71" s="173" t="e">
        <f t="shared" si="126"/>
        <v>#VALUE!</v>
      </c>
      <c r="K71" s="173">
        <f t="shared" si="127"/>
        <v>32</v>
      </c>
      <c r="L71" s="173" t="str">
        <f>IFERROR(VLOOKUP(MID(G71,J71,K71-J71),[6]skilldef!$C:$D,2,FALSE),"-") &amp; " / " &amp; IFERROR(VLOOKUP(MID(G71,H71,I71-H71),[6]skilldef!$A:$B,2,FALSE),"-")</f>
        <v>- / -</v>
      </c>
      <c r="M71" s="173" t="str">
        <f t="shared" si="128"/>
        <v>[effect:change_panel_ratio, turn:5, block_type:red, val:0.4, animation:block_incidence04],[effect:sp_boost, target:unit_technical, val:4, animation:sp_boost_one02],[effect:fix_speed, target:myself, turn:1]</v>
      </c>
      <c r="N71" s="170" t="str">
        <f>IFERROR(LEFT(M71,FIND("],",M71)+S127),M71)</f>
        <v>[effect:change_panel_ratio, turn:5, block_type:red, val:0.4, animation:block_incidence04],[effect:sp_boost, target:unit_technical, val:4, animation:sp_boost_one02],[effect:fix_speed, target:myself, turn:1]</v>
      </c>
      <c r="O71" s="173">
        <f t="shared" si="129"/>
        <v>9</v>
      </c>
      <c r="P71" s="173">
        <f t="shared" si="130"/>
        <v>27</v>
      </c>
      <c r="Q71" s="173">
        <f t="shared" si="131"/>
        <v>116</v>
      </c>
      <c r="R71" s="173">
        <f t="shared" si="132"/>
        <v>35</v>
      </c>
      <c r="S71" s="173" t="str">
        <f>IFERROR(VLOOKUP(MID(N71,Q71,R71-Q71),[6]skilldef!$C:$D,2,FALSE),"-") &amp; " / " &amp; IFERROR(VLOOKUP(MID(N71,O71,P71-O71),[6]skilldef!$A:$B,2,FALSE),"-")</f>
        <v>- / -</v>
      </c>
      <c r="T71" s="170" t="str">
        <f t="shared" si="133"/>
        <v>[effect:sp_boost, target:unit_technical, val:4, animation:sp_boost_one02],[effect:fix_speed, target:myself, turn:1]</v>
      </c>
      <c r="U71" s="173">
        <f t="shared" si="134"/>
        <v>9</v>
      </c>
      <c r="V71" s="173">
        <f t="shared" si="135"/>
        <v>17</v>
      </c>
      <c r="W71" s="173">
        <f t="shared" si="136"/>
        <v>26</v>
      </c>
      <c r="X71" s="173">
        <f t="shared" si="137"/>
        <v>40</v>
      </c>
      <c r="Y71" s="173" t="str">
        <f>IFERROR(VLOOKUP(MID(T71,W71,X71-W71),[6]skilldef!$C:$D,2,FALSE),"-") &amp; " / " &amp; IFERROR(VLOOKUP(MID(T71,U71,V71-U71),[6]skilldef!$A:$B,2,FALSE),"-")</f>
        <v>- / -</v>
      </c>
      <c r="Z71" s="172"/>
      <c r="AA71" s="174"/>
      <c r="AB71" s="172"/>
      <c r="AC71" s="178" t="s">
        <v>337</v>
      </c>
      <c r="AD71" s="173" t="s">
        <v>308</v>
      </c>
    </row>
    <row r="72" spans="1:30" ht="22" customHeight="1" x14ac:dyDescent="0.15">
      <c r="A72" s="117">
        <v>49016301</v>
      </c>
      <c r="B72" s="164" t="s">
        <v>502</v>
      </c>
      <c r="C72" s="118">
        <v>1</v>
      </c>
      <c r="D72" s="118" t="s">
        <v>127</v>
      </c>
      <c r="E72" s="119" t="s">
        <v>496</v>
      </c>
      <c r="F72" s="119" t="s">
        <v>264</v>
      </c>
      <c r="G72" s="62" t="str">
        <f t="shared" si="0"/>
        <v>[effect:enemy_message, val1:1.3, val2:1.4]</v>
      </c>
      <c r="H72" s="62">
        <f t="shared" si="1"/>
        <v>9</v>
      </c>
      <c r="I72" s="62">
        <f t="shared" si="2"/>
        <v>22</v>
      </c>
      <c r="J72" s="62" t="e">
        <f t="shared" si="3"/>
        <v>#VALUE!</v>
      </c>
      <c r="K72" s="62">
        <f t="shared" si="4"/>
        <v>32</v>
      </c>
      <c r="L72" s="62" t="str">
        <f>IFERROR(VLOOKUP(MID(G72,J72,K72-J72),[6]skilldef!$C:$D,2,FALSE),"-") &amp; " / " &amp; IFERROR(VLOOKUP(MID(G72,H72,I72-H72),[6]skilldef!$A:$B,2,FALSE),"-")</f>
        <v>- / -</v>
      </c>
      <c r="M72" s="62" t="str">
        <f t="shared" si="5"/>
        <v>[effect:panel_freeze, target:block_red, count:-1],[effect:rush, count:1, val:0.8]</v>
      </c>
      <c r="N72" s="48" t="str">
        <f>IFERROR(LEFT(M72,FIND("],",M72)+S116),M72)</f>
        <v>[effect:panel_freeze, target:block_red, count:-1],[effect:rush, count:1, val:0.8]</v>
      </c>
      <c r="O72" s="62">
        <f t="shared" si="6"/>
        <v>9</v>
      </c>
      <c r="P72" s="62">
        <f t="shared" si="7"/>
        <v>21</v>
      </c>
      <c r="Q72" s="62">
        <f t="shared" si="8"/>
        <v>30</v>
      </c>
      <c r="R72" s="62">
        <f t="shared" si="9"/>
        <v>39</v>
      </c>
      <c r="S72" s="62" t="str">
        <f>IFERROR(VLOOKUP(MID(N72,Q72,R72-Q72),[6]skilldef!$C:$D,2,FALSE),"-") &amp; " / " &amp; IFERROR(VLOOKUP(MID(N72,O72,P72-O72),[6]skilldef!$A:$B,2,FALSE),"-")</f>
        <v>赤パネルを / -</v>
      </c>
      <c r="T72" s="48" t="str">
        <f t="shared" si="10"/>
        <v>[effect:rush, count:1, val:0.8]</v>
      </c>
      <c r="U72" s="62">
        <f t="shared" si="11"/>
        <v>9</v>
      </c>
      <c r="V72" s="62">
        <f t="shared" si="12"/>
        <v>13</v>
      </c>
      <c r="W72" s="62" t="e">
        <f t="shared" si="13"/>
        <v>#VALUE!</v>
      </c>
      <c r="X72" s="62">
        <f t="shared" si="14"/>
        <v>22</v>
      </c>
      <c r="Y72" s="62" t="str">
        <f>IFERROR(VLOOKUP(MID(T72,W72,X72-W72),[6]skilldef!$C:$D,2,FALSE),"-") &amp; " / " &amp; IFERROR(VLOOKUP(MID(T72,U72,V72-U72),[6]skilldef!$A:$B,2,FALSE),"-")</f>
        <v>- / 連続攻撃</v>
      </c>
      <c r="Z72" s="50"/>
      <c r="AA72" s="51"/>
      <c r="AB72" s="50"/>
      <c r="AC72" s="119" t="s">
        <v>305</v>
      </c>
      <c r="AD72" s="119" t="s">
        <v>264</v>
      </c>
    </row>
    <row r="73" spans="1:30" ht="22" customHeight="1" x14ac:dyDescent="0.15">
      <c r="A73" s="117">
        <v>49016302</v>
      </c>
      <c r="B73" s="164" t="s">
        <v>456</v>
      </c>
      <c r="C73" s="118">
        <v>1</v>
      </c>
      <c r="D73" s="118" t="s">
        <v>127</v>
      </c>
      <c r="E73" s="119" t="s">
        <v>376</v>
      </c>
      <c r="F73" s="240" t="s">
        <v>511</v>
      </c>
      <c r="G73" s="62" t="str">
        <f t="shared" si="0"/>
        <v>[effect:enemy_message, val1:1.2, val2:1.2]</v>
      </c>
      <c r="H73" s="62">
        <f t="shared" si="1"/>
        <v>9</v>
      </c>
      <c r="I73" s="62">
        <f t="shared" si="2"/>
        <v>22</v>
      </c>
      <c r="J73" s="62" t="e">
        <f t="shared" si="3"/>
        <v>#VALUE!</v>
      </c>
      <c r="K73" s="62">
        <f t="shared" si="4"/>
        <v>32</v>
      </c>
      <c r="L73" s="62" t="str">
        <f>IFERROR(VLOOKUP(MID(G73,J73,K73-J73),[6]skilldef!$C:$D,2,FALSE),"-") &amp; " / " &amp; IFERROR(VLOOKUP(MID(G73,H73,I73-H73),[6]skilldef!$A:$B,2,FALSE),"-")</f>
        <v>- / -</v>
      </c>
      <c r="M73" s="62" t="str">
        <f t="shared" si="5"/>
        <v>[effect:break_attack_fix, target:unit_one, val:300, lowest_val:2000, count:-1, color:red, block01:block_red]</v>
      </c>
      <c r="N73" s="48" t="str">
        <f>IFERROR(LEFT(M73,FIND("],",M73)+S117),M73)</f>
        <v>[effect:break_attack_fix, target:unit_one, val:300, lowest_val:2000, count:-1, color:red, block01:block_red]</v>
      </c>
      <c r="O73" s="62">
        <f t="shared" si="6"/>
        <v>9</v>
      </c>
      <c r="P73" s="62">
        <f t="shared" si="7"/>
        <v>25</v>
      </c>
      <c r="Q73" s="62">
        <f t="shared" si="8"/>
        <v>34</v>
      </c>
      <c r="R73" s="62">
        <f t="shared" si="9"/>
        <v>42</v>
      </c>
      <c r="S73" s="62" t="str">
        <f>IFERROR(VLOOKUP(MID(N73,Q73,R73-Q73),[6]skilldef!$C:$D,2,FALSE),"-") &amp; " / " &amp; IFERROR(VLOOKUP(MID(N73,O73,P73-O73),[6]skilldef!$A:$B,2,FALSE),"-")</f>
        <v>味方単体に / -</v>
      </c>
      <c r="T73" s="48" t="str">
        <f t="shared" si="10"/>
        <v>none</v>
      </c>
      <c r="U73" s="62" t="e">
        <f t="shared" si="11"/>
        <v>#VALUE!</v>
      </c>
      <c r="V73" s="62">
        <f t="shared" si="12"/>
        <v>4</v>
      </c>
      <c r="W73" s="62" t="e">
        <f t="shared" si="13"/>
        <v>#VALUE!</v>
      </c>
      <c r="X73" s="62" t="e">
        <f t="shared" si="14"/>
        <v>#VALUE!</v>
      </c>
      <c r="Y73" s="62" t="str">
        <f>IFERROR(VLOOKUP(MID(T73,W73,X73-W73),[6]skilldef!$C:$D,2,FALSE),"-") &amp; " / " &amp; IFERROR(VLOOKUP(MID(T73,U73,V73-U73),[6]skilldef!$A:$B,2,FALSE),"-")</f>
        <v>- / -</v>
      </c>
      <c r="Z73" s="50"/>
      <c r="AA73" s="51"/>
      <c r="AB73" s="50"/>
      <c r="AC73" s="119" t="s">
        <v>306</v>
      </c>
      <c r="AD73" s="119" t="s">
        <v>268</v>
      </c>
    </row>
    <row r="74" spans="1:30" ht="39" customHeight="1" x14ac:dyDescent="0.15">
      <c r="A74" s="117">
        <v>49016303</v>
      </c>
      <c r="B74" s="164" t="s">
        <v>457</v>
      </c>
      <c r="C74" s="118">
        <v>1</v>
      </c>
      <c r="D74" s="118" t="s">
        <v>127</v>
      </c>
      <c r="E74" s="119" t="s">
        <v>387</v>
      </c>
      <c r="F74" s="119" t="s">
        <v>269</v>
      </c>
      <c r="G74" s="62" t="str">
        <f t="shared" si="0"/>
        <v>[effect:enemy_message, val1:1.2, val2:1.8]</v>
      </c>
      <c r="H74" s="62">
        <f t="shared" si="1"/>
        <v>9</v>
      </c>
      <c r="I74" s="62">
        <f t="shared" si="2"/>
        <v>22</v>
      </c>
      <c r="J74" s="62" t="e">
        <f t="shared" si="3"/>
        <v>#VALUE!</v>
      </c>
      <c r="K74" s="62">
        <f t="shared" si="4"/>
        <v>32</v>
      </c>
      <c r="L74" s="62" t="str">
        <f>IFERROR(VLOOKUP(MID(G74,J74,K74-J74),[6]skilldef!$C:$D,2,FALSE),"-") &amp; " / " &amp; IFERROR(VLOOKUP(MID(G74,H74,I74-H74),[6]skilldef!$A:$B,2,FALSE),"-")</f>
        <v>- / -</v>
      </c>
      <c r="M74" s="62" t="str">
        <f t="shared" si="5"/>
        <v>[effect:break_enchance_enemy, target:myself, val:0.05, lowest_val:0.01, count:-1, status:attack, turn:1, block01:block_red, calc:mul, animation:enemy_enhance_attack]</v>
      </c>
      <c r="N74" s="48" t="str">
        <f>IFERROR(LEFT(M74,FIND("],",M74)+S115),M74)</f>
        <v>[effect:break_enchance_enemy, target:myself, val:0.05, lowest_val:0.01, count:-1, status:attack, turn:1, block01:block_red, calc:mul, animation:enemy_enhance_attack]</v>
      </c>
      <c r="O74" s="62">
        <f t="shared" si="6"/>
        <v>9</v>
      </c>
      <c r="P74" s="62">
        <f t="shared" si="7"/>
        <v>29</v>
      </c>
      <c r="Q74" s="62">
        <f t="shared" si="8"/>
        <v>38</v>
      </c>
      <c r="R74" s="62">
        <f t="shared" si="9"/>
        <v>44</v>
      </c>
      <c r="S74" s="62" t="str">
        <f>IFERROR(VLOOKUP(MID(N74,Q74,R74-Q74),[6]skilldef!$C:$D,2,FALSE),"-") &amp; " / " &amp; IFERROR(VLOOKUP(MID(N74,O74,P74-O74),[6]skilldef!$A:$B,2,FALSE),"-")</f>
        <v>自分自身に / -</v>
      </c>
      <c r="T74" s="48" t="str">
        <f t="shared" si="10"/>
        <v>none</v>
      </c>
      <c r="U74" s="62" t="e">
        <f t="shared" si="11"/>
        <v>#VALUE!</v>
      </c>
      <c r="V74" s="62">
        <f t="shared" si="12"/>
        <v>4</v>
      </c>
      <c r="W74" s="62" t="e">
        <f t="shared" si="13"/>
        <v>#VALUE!</v>
      </c>
      <c r="X74" s="62" t="e">
        <f t="shared" si="14"/>
        <v>#VALUE!</v>
      </c>
      <c r="Y74" s="62" t="str">
        <f>IFERROR(VLOOKUP(MID(T74,W74,X74-W74),[6]skilldef!$C:$D,2,FALSE),"-") &amp; " / " &amp; IFERROR(VLOOKUP(MID(T74,U74,V74-U74),[6]skilldef!$A:$B,2,FALSE),"-")</f>
        <v>- / -</v>
      </c>
      <c r="Z74" s="50"/>
      <c r="AA74" s="51"/>
      <c r="AB74" s="50"/>
      <c r="AC74" s="119" t="s">
        <v>310</v>
      </c>
      <c r="AD74" s="119" t="s">
        <v>269</v>
      </c>
    </row>
    <row r="75" spans="1:30" ht="126" customHeight="1" x14ac:dyDescent="0.15">
      <c r="A75" s="117">
        <v>49016304</v>
      </c>
      <c r="B75" s="164" t="s">
        <v>458</v>
      </c>
      <c r="C75" s="118">
        <v>1</v>
      </c>
      <c r="D75" s="118" t="s">
        <v>127</v>
      </c>
      <c r="E75" s="119" t="s">
        <v>378</v>
      </c>
      <c r="F75" s="169" t="s">
        <v>270</v>
      </c>
      <c r="G75" s="62" t="str">
        <f t="shared" si="0"/>
        <v>[effect:enemy_message, val1:1.4, val2:2.1]</v>
      </c>
      <c r="H75" s="62">
        <f t="shared" si="1"/>
        <v>9</v>
      </c>
      <c r="I75" s="62">
        <f t="shared" si="2"/>
        <v>22</v>
      </c>
      <c r="J75" s="62" t="e">
        <f t="shared" si="3"/>
        <v>#VALUE!</v>
      </c>
      <c r="K75" s="62">
        <f t="shared" si="4"/>
        <v>32</v>
      </c>
      <c r="L75" s="62" t="str">
        <f>IFERROR(VLOOKUP(MID(G75,J75,K75-J75),[6]skilldef!$C:$D,2,FALSE),"-") &amp; " / " &amp; IFERROR(VLOOKUP(MID(G75,H75,I75-H75),[6]skilldef!$A:$B,2,FALSE),"-")</f>
        <v>- / -</v>
      </c>
      <c r="M75" s="62" t="str">
        <f t="shared" si="5"/>
        <v>[effect:critical, val:1.5, animation:enemy_critical],[effect:change_range_block, block_change:1, base_type:0, square_count:5, position01:5, value_h01:3, value_w01:5, new_block:block_red,target:block_all, ignore01:block_positive, count:0, val:0, animation:change_range_block]</v>
      </c>
      <c r="N75" s="48" t="str">
        <f>IFERROR(LEFT(M75,FIND("],",M75)+S116),M75)</f>
        <v>[effect:critical, val:1.5, animation:enemy_critical],[effect:change_range_block, block_change:1, base_type:0, square_count:5, position01:5, value_h01:3, value_w01:5, new_block:block_red,target:block_all, ignore01:block_positive, count:0, val:0, animation:change_range_block]</v>
      </c>
      <c r="O75" s="62">
        <f t="shared" si="6"/>
        <v>9</v>
      </c>
      <c r="P75" s="62">
        <f t="shared" si="7"/>
        <v>17</v>
      </c>
      <c r="Q75" s="62">
        <f t="shared" si="8"/>
        <v>194</v>
      </c>
      <c r="R75" s="62">
        <f t="shared" si="9"/>
        <v>26</v>
      </c>
      <c r="S75" s="62" t="str">
        <f>IFERROR(VLOOKUP(MID(N75,Q75,R75-Q75),[6]skilldef!$C:$D,2,FALSE),"-") &amp; " / " &amp; IFERROR(VLOOKUP(MID(N75,O75,P75-O75),[6]skilldef!$A:$B,2,FALSE),"-")</f>
        <v>- / 大攻撃</v>
      </c>
      <c r="T75" s="48" t="str">
        <f t="shared" si="10"/>
        <v>[effect:change_range_block, block_change:1, base_type:0, square_count:5, position01:5, value_h01:3, value_w01:5, new_block:block_red,target:block_all, ignore01:block_positive, count:0, val:0, animation:change_range_block]</v>
      </c>
      <c r="U75" s="62">
        <f t="shared" si="11"/>
        <v>9</v>
      </c>
      <c r="V75" s="62">
        <f t="shared" si="12"/>
        <v>27</v>
      </c>
      <c r="W75" s="62">
        <f t="shared" si="13"/>
        <v>141</v>
      </c>
      <c r="X75" s="62">
        <f t="shared" si="14"/>
        <v>43</v>
      </c>
      <c r="Y75" s="62" t="str">
        <f>IFERROR(VLOOKUP(MID(T75,W75,X75-W75),[6]skilldef!$C:$D,2,FALSE),"-") &amp; " / " &amp; IFERROR(VLOOKUP(MID(T75,U75,V75-U75),[6]skilldef!$A:$B,2,FALSE),"-")</f>
        <v>- / -</v>
      </c>
      <c r="Z75" s="50"/>
      <c r="AA75" s="51"/>
      <c r="AB75" s="50"/>
      <c r="AC75" s="119" t="s">
        <v>311</v>
      </c>
      <c r="AD75" s="119" t="s">
        <v>270</v>
      </c>
    </row>
    <row r="76" spans="1:30" ht="39" customHeight="1" x14ac:dyDescent="0.15">
      <c r="A76" s="175">
        <v>49016305</v>
      </c>
      <c r="B76" s="176" t="s">
        <v>459</v>
      </c>
      <c r="C76" s="177">
        <v>1</v>
      </c>
      <c r="D76" s="177" t="s">
        <v>127</v>
      </c>
      <c r="E76" s="178" t="s">
        <v>362</v>
      </c>
      <c r="F76" s="119" t="s">
        <v>325</v>
      </c>
      <c r="G76" s="62" t="str">
        <f t="shared" si="0"/>
        <v>[effect:enemy_message, val1:2.1, val2:0.0]</v>
      </c>
      <c r="H76" s="62">
        <f t="shared" si="1"/>
        <v>9</v>
      </c>
      <c r="I76" s="62">
        <f t="shared" si="2"/>
        <v>22</v>
      </c>
      <c r="J76" s="62" t="e">
        <f t="shared" si="3"/>
        <v>#VALUE!</v>
      </c>
      <c r="K76" s="62">
        <f t="shared" si="4"/>
        <v>32</v>
      </c>
      <c r="L76" s="62" t="str">
        <f>IFERROR(VLOOKUP(MID(G76,J76,K76-J76),[6]skilldef!$C:$D,2,FALSE),"-") &amp; " / " &amp; IFERROR(VLOOKUP(MID(G76,H76,I76-H76),[6]skilldef!$A:$B,2,FALSE),"-")</f>
        <v>- / -</v>
      </c>
      <c r="M76" s="62" t="str">
        <f t="shared" si="5"/>
        <v>none</v>
      </c>
      <c r="N76" s="48" t="str">
        <f>IFERROR(LEFT(M76,FIND("],",M76)+S130),M76)</f>
        <v>none</v>
      </c>
      <c r="O76" s="62" t="e">
        <f t="shared" si="6"/>
        <v>#VALUE!</v>
      </c>
      <c r="P76" s="62">
        <f t="shared" si="7"/>
        <v>4</v>
      </c>
      <c r="Q76" s="62" t="e">
        <f t="shared" si="8"/>
        <v>#VALUE!</v>
      </c>
      <c r="R76" s="62" t="e">
        <f t="shared" si="9"/>
        <v>#VALUE!</v>
      </c>
      <c r="S76" s="62" t="str">
        <f>IFERROR(VLOOKUP(MID(N76,Q76,R76-Q76),[6]skilldef!$C:$D,2,FALSE),"-") &amp; " / " &amp; IFERROR(VLOOKUP(MID(N76,O76,P76-O76),[6]skilldef!$A:$B,2,FALSE),"-")</f>
        <v>- / -</v>
      </c>
      <c r="T76" s="48" t="str">
        <f t="shared" si="10"/>
        <v>none</v>
      </c>
      <c r="U76" s="62" t="e">
        <f t="shared" si="11"/>
        <v>#VALUE!</v>
      </c>
      <c r="V76" s="62">
        <f t="shared" si="12"/>
        <v>4</v>
      </c>
      <c r="W76" s="62" t="e">
        <f t="shared" si="13"/>
        <v>#VALUE!</v>
      </c>
      <c r="X76" s="62" t="e">
        <f t="shared" si="14"/>
        <v>#VALUE!</v>
      </c>
      <c r="Y76" s="62" t="str">
        <f>IFERROR(VLOOKUP(MID(T76,W76,X76-W76),[6]skilldef!$C:$D,2,FALSE),"-") &amp; " / " &amp; IFERROR(VLOOKUP(MID(T76,U76,V76-U76),[6]skilldef!$A:$B,2,FALSE),"-")</f>
        <v>- / -</v>
      </c>
      <c r="Z76" s="50"/>
      <c r="AA76" s="51"/>
      <c r="AB76" s="50"/>
      <c r="AC76" s="178" t="s">
        <v>327</v>
      </c>
      <c r="AD76" s="179"/>
    </row>
    <row r="77" spans="1:30" ht="39" customHeight="1" x14ac:dyDescent="0.15">
      <c r="A77" s="175">
        <v>49016306</v>
      </c>
      <c r="B77" s="176" t="s">
        <v>460</v>
      </c>
      <c r="C77" s="177">
        <v>1</v>
      </c>
      <c r="D77" s="177" t="s">
        <v>127</v>
      </c>
      <c r="E77" s="178" t="s">
        <v>386</v>
      </c>
      <c r="F77" s="178" t="s">
        <v>421</v>
      </c>
      <c r="G77" s="62" t="str">
        <f t="shared" ref="G77" si="138">IFERROR(LEFT(B77,FIND("],",B77)),B77)</f>
        <v>[effect:enemy_message, val1:1.2, val2:2.9]</v>
      </c>
      <c r="H77" s="62">
        <f t="shared" ref="H77" si="139">FIND("effect:",G77)+7</f>
        <v>9</v>
      </c>
      <c r="I77" s="62">
        <f t="shared" ref="I77" si="140">IFERROR(FIND(",",G77),LEN(G77))</f>
        <v>22</v>
      </c>
      <c r="J77" s="62" t="e">
        <f t="shared" ref="J77" si="141">FIND("target:",G77)+7</f>
        <v>#VALUE!</v>
      </c>
      <c r="K77" s="62">
        <f t="shared" ref="K77" si="142">FIND(",",G77,I77+1)</f>
        <v>32</v>
      </c>
      <c r="L77" s="62" t="str">
        <f>IFERROR(VLOOKUP(MID(G77,J77,K77-J77),[6]skilldef!$C:$D,2,FALSE),"-") &amp; " / " &amp; IFERROR(VLOOKUP(MID(G77,H77,I77-H77),[6]skilldef!$A:$B,2,FALSE),"-")</f>
        <v>- / -</v>
      </c>
      <c r="M77" s="62" t="str">
        <f t="shared" ref="M77" si="143">IFERROR(RIGHT(B77,LEN(B77)-FIND("],",B77)-1),"none")</f>
        <v>none</v>
      </c>
      <c r="N77" s="48" t="str">
        <f>IFERROR(LEFT(M77,FIND("],",M77)+S130),M77)</f>
        <v>none</v>
      </c>
      <c r="O77" s="62" t="e">
        <f t="shared" ref="O77" si="144">FIND("effect:",N77)+7</f>
        <v>#VALUE!</v>
      </c>
      <c r="P77" s="62">
        <f t="shared" ref="P77" si="145">IFERROR(FIND(",",N77),LEN(N77))</f>
        <v>4</v>
      </c>
      <c r="Q77" s="62" t="e">
        <f t="shared" ref="Q77" si="146">FIND("target:",N77)+7</f>
        <v>#VALUE!</v>
      </c>
      <c r="R77" s="62" t="e">
        <f t="shared" ref="R77" si="147">FIND(",",N77,P77+1)</f>
        <v>#VALUE!</v>
      </c>
      <c r="S77" s="62" t="str">
        <f>IFERROR(VLOOKUP(MID(N77,Q77,R77-Q77),[6]skilldef!$C:$D,2,FALSE),"-") &amp; " / " &amp; IFERROR(VLOOKUP(MID(N77,O77,P77-O77),[6]skilldef!$A:$B,2,FALSE),"-")</f>
        <v>- / -</v>
      </c>
      <c r="T77" s="48" t="str">
        <f t="shared" ref="T77" si="148">IFERROR(RIGHT(M77,LEN(M77)-FIND("],",M77)-1),"none")</f>
        <v>none</v>
      </c>
      <c r="U77" s="62" t="e">
        <f t="shared" ref="U77" si="149">FIND("effect:",T77)+7</f>
        <v>#VALUE!</v>
      </c>
      <c r="V77" s="62">
        <f t="shared" ref="V77" si="150">IFERROR(FIND(",",T77),LEN(T77))</f>
        <v>4</v>
      </c>
      <c r="W77" s="62" t="e">
        <f t="shared" ref="W77" si="151">FIND("target:",T77)+7</f>
        <v>#VALUE!</v>
      </c>
      <c r="X77" s="62" t="e">
        <f t="shared" ref="X77" si="152">FIND(",",T77,V77+1)</f>
        <v>#VALUE!</v>
      </c>
      <c r="Y77" s="62" t="str">
        <f>IFERROR(VLOOKUP(MID(T77,W77,X77-W77),[6]skilldef!$C:$D,2,FALSE),"-") &amp; " / " &amp; IFERROR(VLOOKUP(MID(T77,U77,V77-U77),[6]skilldef!$A:$B,2,FALSE),"-")</f>
        <v>- / -</v>
      </c>
      <c r="Z77" s="50"/>
      <c r="AA77" s="51"/>
      <c r="AB77" s="50"/>
      <c r="AC77" s="178" t="s">
        <v>330</v>
      </c>
      <c r="AD77" s="179"/>
    </row>
    <row r="78" spans="1:30" ht="39" customHeight="1" x14ac:dyDescent="0.15">
      <c r="A78" s="175">
        <v>49016307</v>
      </c>
      <c r="B78" s="176" t="s">
        <v>460</v>
      </c>
      <c r="C78" s="177">
        <v>1</v>
      </c>
      <c r="D78" s="177" t="s">
        <v>127</v>
      </c>
      <c r="E78" s="178" t="s">
        <v>386</v>
      </c>
      <c r="F78" s="178" t="s">
        <v>421</v>
      </c>
      <c r="G78" s="62" t="str">
        <f t="shared" si="0"/>
        <v>[effect:enemy_message, val1:1.2, val2:2.9]</v>
      </c>
      <c r="H78" s="62">
        <f t="shared" si="1"/>
        <v>9</v>
      </c>
      <c r="I78" s="62">
        <f t="shared" si="2"/>
        <v>22</v>
      </c>
      <c r="J78" s="62" t="e">
        <f t="shared" si="3"/>
        <v>#VALUE!</v>
      </c>
      <c r="K78" s="62">
        <f t="shared" si="4"/>
        <v>32</v>
      </c>
      <c r="L78" s="62" t="str">
        <f>IFERROR(VLOOKUP(MID(G78,J78,K78-J78),[6]skilldef!$C:$D,2,FALSE),"-") &amp; " / " &amp; IFERROR(VLOOKUP(MID(G78,H78,I78-H78),[6]skilldef!$A:$B,2,FALSE),"-")</f>
        <v>- / -</v>
      </c>
      <c r="M78" s="62" t="str">
        <f t="shared" si="5"/>
        <v>none</v>
      </c>
      <c r="N78" s="48" t="str">
        <f>IFERROR(LEFT(M78,FIND("],",M78)+S131),M78)</f>
        <v>none</v>
      </c>
      <c r="O78" s="62" t="e">
        <f t="shared" si="6"/>
        <v>#VALUE!</v>
      </c>
      <c r="P78" s="62">
        <f t="shared" si="7"/>
        <v>4</v>
      </c>
      <c r="Q78" s="62" t="e">
        <f t="shared" si="8"/>
        <v>#VALUE!</v>
      </c>
      <c r="R78" s="62" t="e">
        <f t="shared" si="9"/>
        <v>#VALUE!</v>
      </c>
      <c r="S78" s="62" t="str">
        <f>IFERROR(VLOOKUP(MID(N78,Q78,R78-Q78),[6]skilldef!$C:$D,2,FALSE),"-") &amp; " / " &amp; IFERROR(VLOOKUP(MID(N78,O78,P78-O78),[6]skilldef!$A:$B,2,FALSE),"-")</f>
        <v>- / -</v>
      </c>
      <c r="T78" s="48" t="str">
        <f t="shared" si="10"/>
        <v>none</v>
      </c>
      <c r="U78" s="62" t="e">
        <f t="shared" si="11"/>
        <v>#VALUE!</v>
      </c>
      <c r="V78" s="62">
        <f t="shared" si="12"/>
        <v>4</v>
      </c>
      <c r="W78" s="62" t="e">
        <f t="shared" si="13"/>
        <v>#VALUE!</v>
      </c>
      <c r="X78" s="62" t="e">
        <f t="shared" si="14"/>
        <v>#VALUE!</v>
      </c>
      <c r="Y78" s="62" t="str">
        <f>IFERROR(VLOOKUP(MID(T78,W78,X78-W78),[6]skilldef!$C:$D,2,FALSE),"-") &amp; " / " &amp; IFERROR(VLOOKUP(MID(T78,U78,V78-U78),[6]skilldef!$A:$B,2,FALSE),"-")</f>
        <v>- / -</v>
      </c>
      <c r="Z78" s="50"/>
      <c r="AA78" s="51"/>
      <c r="AB78" s="50"/>
      <c r="AC78" s="178" t="s">
        <v>331</v>
      </c>
      <c r="AD78" s="179"/>
    </row>
    <row r="79" spans="1:30" ht="46" customHeight="1" x14ac:dyDescent="0.15">
      <c r="A79" s="111">
        <v>49016400</v>
      </c>
      <c r="B79" s="165" t="s">
        <v>485</v>
      </c>
      <c r="C79" s="112">
        <v>1</v>
      </c>
      <c r="D79" s="112" t="s">
        <v>127</v>
      </c>
      <c r="E79" s="113" t="s">
        <v>497</v>
      </c>
      <c r="F79" s="113" t="s">
        <v>484</v>
      </c>
      <c r="G79" s="62" t="str">
        <f t="shared" si="0"/>
        <v>[effect:enemy_message, val1:1.8, val2:1.8]</v>
      </c>
      <c r="H79" s="62">
        <f t="shared" si="1"/>
        <v>9</v>
      </c>
      <c r="I79" s="62">
        <f t="shared" si="2"/>
        <v>22</v>
      </c>
      <c r="J79" s="62" t="e">
        <f t="shared" si="3"/>
        <v>#VALUE!</v>
      </c>
      <c r="K79" s="62">
        <f t="shared" si="4"/>
        <v>32</v>
      </c>
      <c r="L79" s="62" t="str">
        <f>IFERROR(VLOOKUP(MID(G79,J79,K79-J79),[6]skilldef!$C:$D,2,FALSE),"-") &amp; " / " &amp; IFERROR(VLOOKUP(MID(G79,H79,I79-H79),[6]skilldef!$A:$B,2,FALSE),"-")</f>
        <v>- / -</v>
      </c>
      <c r="M79" s="62" t="str">
        <f t="shared" si="5"/>
        <v>[effect:enemy_counter, target:enemy_one, invoke_condition:unit_all, counter_target:attacker, turn:-1, val:0.1, animation:enemy_counter],[effect:fix_speed, target:myself, turn:1]</v>
      </c>
      <c r="N79" s="48" t="str">
        <f t="shared" ref="N79:N86" si="153">IFERROR(LEFT(M79,FIND("],",M79)+S117),M79)</f>
        <v>[effect:enemy_counter, target:enemy_one, invoke_condition:unit_all, counter_target:attacker, turn:-1, val:0.1, animation:enemy_counter],[effect:fix_speed, target:myself, turn:1]</v>
      </c>
      <c r="O79" s="62">
        <f t="shared" si="6"/>
        <v>9</v>
      </c>
      <c r="P79" s="62">
        <f t="shared" si="7"/>
        <v>22</v>
      </c>
      <c r="Q79" s="62">
        <f t="shared" si="8"/>
        <v>31</v>
      </c>
      <c r="R79" s="62">
        <f t="shared" si="9"/>
        <v>40</v>
      </c>
      <c r="S79" s="62" t="str">
        <f>IFERROR(VLOOKUP(MID(N79,Q79,R79-Q79),[6]skilldef!$C:$D,2,FALSE),"-") &amp; " / " &amp; IFERROR(VLOOKUP(MID(N79,O79,P79-O79),[6]skilldef!$A:$B,2,FALSE),"-")</f>
        <v>敵単体に / カウンター</v>
      </c>
      <c r="T79" s="48" t="str">
        <f t="shared" si="10"/>
        <v>[effect:fix_speed, target:myself, turn:1]</v>
      </c>
      <c r="U79" s="62">
        <f t="shared" si="11"/>
        <v>9</v>
      </c>
      <c r="V79" s="62">
        <f t="shared" si="12"/>
        <v>18</v>
      </c>
      <c r="W79" s="62">
        <f t="shared" si="13"/>
        <v>27</v>
      </c>
      <c r="X79" s="62">
        <f t="shared" si="14"/>
        <v>33</v>
      </c>
      <c r="Y79" s="62" t="str">
        <f>IFERROR(VLOOKUP(MID(T79,W79,X79-W79),[6]skilldef!$C:$D,2,FALSE),"-") &amp; " / " &amp; IFERROR(VLOOKUP(MID(T79,U79,V79-U79),[6]skilldef!$A:$B,2,FALSE),"-")</f>
        <v>自分自身に / 行動値設定</v>
      </c>
      <c r="Z79" s="50"/>
      <c r="AA79" s="51"/>
      <c r="AB79" s="50"/>
      <c r="AC79" s="113" t="s">
        <v>312</v>
      </c>
      <c r="AD79" s="113" t="s">
        <v>271</v>
      </c>
    </row>
    <row r="80" spans="1:30" ht="49" customHeight="1" x14ac:dyDescent="0.15">
      <c r="A80" s="170">
        <v>49016901</v>
      </c>
      <c r="B80" s="171" t="s">
        <v>486</v>
      </c>
      <c r="C80" s="172">
        <v>1</v>
      </c>
      <c r="D80" s="172" t="s">
        <v>127</v>
      </c>
      <c r="E80" s="173" t="s">
        <v>397</v>
      </c>
      <c r="F80" s="173" t="s">
        <v>483</v>
      </c>
      <c r="G80" s="173" t="str">
        <f t="shared" ref="G80:G102" si="154">IFERROR(LEFT(B80,FIND("],",B80)),B80)</f>
        <v>[effect:enemy_message, val1:2.5, val2:4.3]</v>
      </c>
      <c r="H80" s="173">
        <f t="shared" ref="H80:H102" si="155">FIND("effect:",G80)+7</f>
        <v>9</v>
      </c>
      <c r="I80" s="173">
        <f t="shared" ref="I80:I102" si="156">IFERROR(FIND(",",G80),LEN(G80))</f>
        <v>22</v>
      </c>
      <c r="J80" s="173" t="e">
        <f t="shared" ref="J80:J102" si="157">FIND("target:",G80)+7</f>
        <v>#VALUE!</v>
      </c>
      <c r="K80" s="173">
        <f t="shared" ref="K80:K102" si="158">FIND(",",G80,I80+1)</f>
        <v>32</v>
      </c>
      <c r="L80" s="173" t="str">
        <f>IFERROR(VLOOKUP(MID(G80,J80,K80-J80),[6]skilldef!$C:$D,2,FALSE),"-") &amp; " / " &amp; IFERROR(VLOOKUP(MID(G80,H80,I80-H80),[6]skilldef!$A:$B,2,FALSE),"-")</f>
        <v>- / -</v>
      </c>
      <c r="M80" s="173" t="str">
        <f t="shared" ref="M80:M102" si="159">IFERROR(RIGHT(B80,LEN(B80)-FIND("],",B80)-1),"none")</f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N80" s="170" t="str">
        <f t="shared" si="153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O80" s="173">
        <f t="shared" ref="O80:O102" si="160">FIND("effect:",N80)+7</f>
        <v>9</v>
      </c>
      <c r="P80" s="173">
        <f t="shared" ref="P80:P102" si="161">IFERROR(FIND(",",N80),LEN(N80))</f>
        <v>22</v>
      </c>
      <c r="Q80" s="173">
        <f t="shared" ref="Q80:Q102" si="162">FIND("target:",N80)+7</f>
        <v>31</v>
      </c>
      <c r="R80" s="173">
        <f t="shared" ref="R80:R102" si="163">FIND(",",N80,P80+1)</f>
        <v>40</v>
      </c>
      <c r="S80" s="173" t="str">
        <f>IFERROR(VLOOKUP(MID(N80,Q80,R80-Q80),[6]skilldef!$C:$D,2,FALSE),"-") &amp; " / " &amp; IFERROR(VLOOKUP(MID(N80,O80,P80-O80),[6]skilldef!$A:$B,2,FALSE),"-")</f>
        <v>敵単体に / カウンター</v>
      </c>
      <c r="T80" s="170" t="str">
        <f t="shared" ref="T80:T102" si="164">IFERROR(RIGHT(M80,LEN(M80)-FIND("],",M80)-1),"none")</f>
        <v>[effect:sp_boost, target:unit_attack, val:4, animation:sp_boost_one02],[effect:fix_speed, target:myself, turn:1]</v>
      </c>
      <c r="U80" s="173">
        <f t="shared" ref="U80:U102" si="165">FIND("effect:",T80)+7</f>
        <v>9</v>
      </c>
      <c r="V80" s="173">
        <f t="shared" ref="V80:V102" si="166">IFERROR(FIND(",",T80),LEN(T80))</f>
        <v>17</v>
      </c>
      <c r="W80" s="173">
        <f t="shared" ref="W80:W102" si="167">FIND("target:",T80)+7</f>
        <v>26</v>
      </c>
      <c r="X80" s="173">
        <f t="shared" ref="X80:X102" si="168">FIND(",",T80,V80+1)</f>
        <v>37</v>
      </c>
      <c r="Y80" s="173" t="str">
        <f>IFERROR(VLOOKUP(MID(T80,W80,X80-W80),[6]skilldef!$C:$D,2,FALSE),"-") &amp; " / " &amp; IFERROR(VLOOKUP(MID(T80,U80,V80-U80),[6]skilldef!$A:$B,2,FALSE),"-")</f>
        <v>攻撃タイプの味方に / -</v>
      </c>
      <c r="Z80" s="172"/>
      <c r="AA80" s="174"/>
      <c r="AB80" s="172"/>
      <c r="AC80" s="173" t="s">
        <v>312</v>
      </c>
      <c r="AD80" s="173" t="s">
        <v>271</v>
      </c>
    </row>
    <row r="81" spans="1:30" ht="19" customHeight="1" x14ac:dyDescent="0.15">
      <c r="A81" s="170">
        <v>49016902</v>
      </c>
      <c r="B81" s="171" t="s">
        <v>486</v>
      </c>
      <c r="C81" s="172">
        <v>1</v>
      </c>
      <c r="D81" s="172" t="s">
        <v>127</v>
      </c>
      <c r="E81" s="173" t="s">
        <v>397</v>
      </c>
      <c r="F81" s="173" t="s">
        <v>483</v>
      </c>
      <c r="G81" s="173" t="str">
        <f t="shared" si="154"/>
        <v>[effect:enemy_message, val1:2.5, val2:4.3]</v>
      </c>
      <c r="H81" s="173">
        <f t="shared" si="155"/>
        <v>9</v>
      </c>
      <c r="I81" s="173">
        <f t="shared" si="156"/>
        <v>22</v>
      </c>
      <c r="J81" s="173" t="e">
        <f t="shared" si="157"/>
        <v>#VALUE!</v>
      </c>
      <c r="K81" s="173">
        <f t="shared" si="158"/>
        <v>32</v>
      </c>
      <c r="L81" s="173" t="str">
        <f>IFERROR(VLOOKUP(MID(G81,J81,K81-J81),[6]skilldef!$C:$D,2,FALSE),"-") &amp; " / " &amp; IFERROR(VLOOKUP(MID(G81,H81,I81-H81),[6]skilldef!$A:$B,2,FALSE),"-")</f>
        <v>- / -</v>
      </c>
      <c r="M81" s="173" t="str">
        <f t="shared" si="159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N81" s="170" t="str">
        <f t="shared" si="153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O81" s="173">
        <f t="shared" si="160"/>
        <v>9</v>
      </c>
      <c r="P81" s="173">
        <f t="shared" si="161"/>
        <v>22</v>
      </c>
      <c r="Q81" s="173">
        <f t="shared" si="162"/>
        <v>31</v>
      </c>
      <c r="R81" s="173">
        <f t="shared" si="163"/>
        <v>40</v>
      </c>
      <c r="S81" s="173" t="str">
        <f>IFERROR(VLOOKUP(MID(N81,Q81,R81-Q81),[6]skilldef!$C:$D,2,FALSE),"-") &amp; " / " &amp; IFERROR(VLOOKUP(MID(N81,O81,P81-O81),[6]skilldef!$A:$B,2,FALSE),"-")</f>
        <v>敵単体に / カウンター</v>
      </c>
      <c r="T81" s="170" t="str">
        <f t="shared" si="164"/>
        <v>[effect:sp_boost, target:unit_attack, val:4, animation:sp_boost_one02],[effect:fix_speed, target:myself, turn:1]</v>
      </c>
      <c r="U81" s="173">
        <f t="shared" si="165"/>
        <v>9</v>
      </c>
      <c r="V81" s="173">
        <f t="shared" si="166"/>
        <v>17</v>
      </c>
      <c r="W81" s="173">
        <f t="shared" si="167"/>
        <v>26</v>
      </c>
      <c r="X81" s="173">
        <f t="shared" si="168"/>
        <v>37</v>
      </c>
      <c r="Y81" s="173" t="str">
        <f>IFERROR(VLOOKUP(MID(T81,W81,X81-W81),[6]skilldef!$C:$D,2,FALSE),"-") &amp; " / " &amp; IFERROR(VLOOKUP(MID(T81,U81,V81-U81),[6]skilldef!$A:$B,2,FALSE),"-")</f>
        <v>攻撃タイプの味方に / -</v>
      </c>
      <c r="Z81" s="172"/>
      <c r="AA81" s="174"/>
      <c r="AB81" s="172"/>
      <c r="AC81" s="173" t="s">
        <v>312</v>
      </c>
      <c r="AD81" s="173" t="s">
        <v>271</v>
      </c>
    </row>
    <row r="82" spans="1:30" ht="19" customHeight="1" x14ac:dyDescent="0.15">
      <c r="A82" s="170">
        <v>49016903</v>
      </c>
      <c r="B82" s="171" t="s">
        <v>486</v>
      </c>
      <c r="C82" s="172">
        <v>1</v>
      </c>
      <c r="D82" s="172" t="s">
        <v>127</v>
      </c>
      <c r="E82" s="173" t="s">
        <v>397</v>
      </c>
      <c r="F82" s="173" t="s">
        <v>483</v>
      </c>
      <c r="G82" s="173" t="str">
        <f t="shared" si="154"/>
        <v>[effect:enemy_message, val1:2.5, val2:4.3]</v>
      </c>
      <c r="H82" s="173">
        <f t="shared" si="155"/>
        <v>9</v>
      </c>
      <c r="I82" s="173">
        <f t="shared" si="156"/>
        <v>22</v>
      </c>
      <c r="J82" s="173" t="e">
        <f t="shared" si="157"/>
        <v>#VALUE!</v>
      </c>
      <c r="K82" s="173">
        <f t="shared" si="158"/>
        <v>32</v>
      </c>
      <c r="L82" s="173" t="str">
        <f>IFERROR(VLOOKUP(MID(G82,J82,K82-J82),[6]skilldef!$C:$D,2,FALSE),"-") &amp; " / " &amp; IFERROR(VLOOKUP(MID(G82,H82,I82-H82),[6]skilldef!$A:$B,2,FALSE),"-")</f>
        <v>- / -</v>
      </c>
      <c r="M82" s="173" t="str">
        <f t="shared" si="159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N82" s="170" t="str">
        <f t="shared" si="153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O82" s="173">
        <f t="shared" si="160"/>
        <v>9</v>
      </c>
      <c r="P82" s="173">
        <f t="shared" si="161"/>
        <v>22</v>
      </c>
      <c r="Q82" s="173">
        <f t="shared" si="162"/>
        <v>31</v>
      </c>
      <c r="R82" s="173">
        <f t="shared" si="163"/>
        <v>40</v>
      </c>
      <c r="S82" s="173" t="str">
        <f>IFERROR(VLOOKUP(MID(N82,Q82,R82-Q82),[6]skilldef!$C:$D,2,FALSE),"-") &amp; " / " &amp; IFERROR(VLOOKUP(MID(N82,O82,P82-O82),[6]skilldef!$A:$B,2,FALSE),"-")</f>
        <v>敵単体に / カウンター</v>
      </c>
      <c r="T82" s="170" t="str">
        <f t="shared" si="164"/>
        <v>[effect:sp_boost, target:unit_attack, val:4, animation:sp_boost_one02],[effect:fix_speed, target:myself, turn:1]</v>
      </c>
      <c r="U82" s="173">
        <f t="shared" si="165"/>
        <v>9</v>
      </c>
      <c r="V82" s="173">
        <f t="shared" si="166"/>
        <v>17</v>
      </c>
      <c r="W82" s="173">
        <f t="shared" si="167"/>
        <v>26</v>
      </c>
      <c r="X82" s="173">
        <f t="shared" si="168"/>
        <v>37</v>
      </c>
      <c r="Y82" s="173" t="str">
        <f>IFERROR(VLOOKUP(MID(T82,W82,X82-W82),[6]skilldef!$C:$D,2,FALSE),"-") &amp; " / " &amp; IFERROR(VLOOKUP(MID(T82,U82,V82-U82),[6]skilldef!$A:$B,2,FALSE),"-")</f>
        <v>攻撃タイプの味方に / -</v>
      </c>
      <c r="Z82" s="172"/>
      <c r="AA82" s="174"/>
      <c r="AB82" s="172"/>
      <c r="AC82" s="173" t="s">
        <v>312</v>
      </c>
      <c r="AD82" s="173" t="s">
        <v>271</v>
      </c>
    </row>
    <row r="83" spans="1:30" ht="19" customHeight="1" x14ac:dyDescent="0.15">
      <c r="A83" s="170">
        <v>49016904</v>
      </c>
      <c r="B83" s="171" t="s">
        <v>486</v>
      </c>
      <c r="C83" s="172">
        <v>1</v>
      </c>
      <c r="D83" s="172" t="s">
        <v>127</v>
      </c>
      <c r="E83" s="173" t="s">
        <v>397</v>
      </c>
      <c r="F83" s="173" t="s">
        <v>483</v>
      </c>
      <c r="G83" s="173" t="str">
        <f t="shared" si="154"/>
        <v>[effect:enemy_message, val1:2.5, val2:4.3]</v>
      </c>
      <c r="H83" s="173">
        <f t="shared" si="155"/>
        <v>9</v>
      </c>
      <c r="I83" s="173">
        <f t="shared" si="156"/>
        <v>22</v>
      </c>
      <c r="J83" s="173" t="e">
        <f t="shared" si="157"/>
        <v>#VALUE!</v>
      </c>
      <c r="K83" s="173">
        <f t="shared" si="158"/>
        <v>32</v>
      </c>
      <c r="L83" s="173" t="str">
        <f>IFERROR(VLOOKUP(MID(G83,J83,K83-J83),[6]skilldef!$C:$D,2,FALSE),"-") &amp; " / " &amp; IFERROR(VLOOKUP(MID(G83,H83,I83-H83),[6]skilldef!$A:$B,2,FALSE),"-")</f>
        <v>- / -</v>
      </c>
      <c r="M83" s="173" t="str">
        <f t="shared" si="159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N83" s="170" t="str">
        <f t="shared" si="153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O83" s="173">
        <f t="shared" si="160"/>
        <v>9</v>
      </c>
      <c r="P83" s="173">
        <f t="shared" si="161"/>
        <v>22</v>
      </c>
      <c r="Q83" s="173">
        <f t="shared" si="162"/>
        <v>31</v>
      </c>
      <c r="R83" s="173">
        <f t="shared" si="163"/>
        <v>40</v>
      </c>
      <c r="S83" s="173" t="str">
        <f>IFERROR(VLOOKUP(MID(N83,Q83,R83-Q83),[6]skilldef!$C:$D,2,FALSE),"-") &amp; " / " &amp; IFERROR(VLOOKUP(MID(N83,O83,P83-O83),[6]skilldef!$A:$B,2,FALSE),"-")</f>
        <v>敵単体に / カウンター</v>
      </c>
      <c r="T83" s="170" t="str">
        <f t="shared" si="164"/>
        <v>[effect:sp_boost, target:unit_attack, val:4, animation:sp_boost_one02],[effect:fix_speed, target:myself, turn:1]</v>
      </c>
      <c r="U83" s="173">
        <f t="shared" si="165"/>
        <v>9</v>
      </c>
      <c r="V83" s="173">
        <f t="shared" si="166"/>
        <v>17</v>
      </c>
      <c r="W83" s="173">
        <f t="shared" si="167"/>
        <v>26</v>
      </c>
      <c r="X83" s="173">
        <f t="shared" si="168"/>
        <v>37</v>
      </c>
      <c r="Y83" s="173" t="str">
        <f>IFERROR(VLOOKUP(MID(T83,W83,X83-W83),[6]skilldef!$C:$D,2,FALSE),"-") &amp; " / " &amp; IFERROR(VLOOKUP(MID(T83,U83,V83-U83),[6]skilldef!$A:$B,2,FALSE),"-")</f>
        <v>攻撃タイプの味方に / -</v>
      </c>
      <c r="Z83" s="172"/>
      <c r="AA83" s="174"/>
      <c r="AB83" s="172"/>
      <c r="AC83" s="173" t="s">
        <v>312</v>
      </c>
      <c r="AD83" s="173" t="s">
        <v>271</v>
      </c>
    </row>
    <row r="84" spans="1:30" ht="19" customHeight="1" x14ac:dyDescent="0.15">
      <c r="A84" s="170">
        <v>49016905</v>
      </c>
      <c r="B84" s="171" t="s">
        <v>486</v>
      </c>
      <c r="C84" s="172">
        <v>1</v>
      </c>
      <c r="D84" s="172" t="s">
        <v>127</v>
      </c>
      <c r="E84" s="173" t="s">
        <v>397</v>
      </c>
      <c r="F84" s="173" t="s">
        <v>483</v>
      </c>
      <c r="G84" s="173" t="str">
        <f t="shared" si="154"/>
        <v>[effect:enemy_message, val1:2.5, val2:4.3]</v>
      </c>
      <c r="H84" s="173">
        <f t="shared" si="155"/>
        <v>9</v>
      </c>
      <c r="I84" s="173">
        <f t="shared" si="156"/>
        <v>22</v>
      </c>
      <c r="J84" s="173" t="e">
        <f t="shared" si="157"/>
        <v>#VALUE!</v>
      </c>
      <c r="K84" s="173">
        <f t="shared" si="158"/>
        <v>32</v>
      </c>
      <c r="L84" s="173" t="str">
        <f>IFERROR(VLOOKUP(MID(G84,J84,K84-J84),[6]skilldef!$C:$D,2,FALSE),"-") &amp; " / " &amp; IFERROR(VLOOKUP(MID(G84,H84,I84-H84),[6]skilldef!$A:$B,2,FALSE),"-")</f>
        <v>- / -</v>
      </c>
      <c r="M84" s="173" t="str">
        <f t="shared" si="159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N84" s="170" t="str">
        <f t="shared" si="153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O84" s="173">
        <f t="shared" si="160"/>
        <v>9</v>
      </c>
      <c r="P84" s="173">
        <f t="shared" si="161"/>
        <v>22</v>
      </c>
      <c r="Q84" s="173">
        <f t="shared" si="162"/>
        <v>31</v>
      </c>
      <c r="R84" s="173">
        <f t="shared" si="163"/>
        <v>40</v>
      </c>
      <c r="S84" s="173" t="str">
        <f>IFERROR(VLOOKUP(MID(N84,Q84,R84-Q84),[6]skilldef!$C:$D,2,FALSE),"-") &amp; " / " &amp; IFERROR(VLOOKUP(MID(N84,O84,P84-O84),[6]skilldef!$A:$B,2,FALSE),"-")</f>
        <v>敵単体に / カウンター</v>
      </c>
      <c r="T84" s="170" t="str">
        <f t="shared" si="164"/>
        <v>[effect:sp_boost, target:unit_attack, val:4, animation:sp_boost_one02],[effect:fix_speed, target:myself, turn:1]</v>
      </c>
      <c r="U84" s="173">
        <f t="shared" si="165"/>
        <v>9</v>
      </c>
      <c r="V84" s="173">
        <f t="shared" si="166"/>
        <v>17</v>
      </c>
      <c r="W84" s="173">
        <f t="shared" si="167"/>
        <v>26</v>
      </c>
      <c r="X84" s="173">
        <f t="shared" si="168"/>
        <v>37</v>
      </c>
      <c r="Y84" s="173" t="str">
        <f>IFERROR(VLOOKUP(MID(T84,W84,X84-W84),[6]skilldef!$C:$D,2,FALSE),"-") &amp; " / " &amp; IFERROR(VLOOKUP(MID(T84,U84,V84-U84),[6]skilldef!$A:$B,2,FALSE),"-")</f>
        <v>攻撃タイプの味方に / -</v>
      </c>
      <c r="Z84" s="172"/>
      <c r="AA84" s="174"/>
      <c r="AB84" s="172"/>
      <c r="AC84" s="173" t="s">
        <v>312</v>
      </c>
      <c r="AD84" s="173" t="s">
        <v>271</v>
      </c>
    </row>
    <row r="85" spans="1:30" ht="19" customHeight="1" x14ac:dyDescent="0.15">
      <c r="A85" s="170">
        <v>49016906</v>
      </c>
      <c r="B85" s="171" t="s">
        <v>486</v>
      </c>
      <c r="C85" s="172">
        <v>1</v>
      </c>
      <c r="D85" s="172" t="s">
        <v>127</v>
      </c>
      <c r="E85" s="173" t="s">
        <v>397</v>
      </c>
      <c r="F85" s="173" t="s">
        <v>483</v>
      </c>
      <c r="G85" s="173" t="str">
        <f t="shared" si="154"/>
        <v>[effect:enemy_message, val1:2.5, val2:4.3]</v>
      </c>
      <c r="H85" s="173">
        <f t="shared" si="155"/>
        <v>9</v>
      </c>
      <c r="I85" s="173">
        <f t="shared" si="156"/>
        <v>22</v>
      </c>
      <c r="J85" s="173" t="e">
        <f t="shared" si="157"/>
        <v>#VALUE!</v>
      </c>
      <c r="K85" s="173">
        <f t="shared" si="158"/>
        <v>32</v>
      </c>
      <c r="L85" s="173" t="str">
        <f>IFERROR(VLOOKUP(MID(G85,J85,K85-J85),[6]skilldef!$C:$D,2,FALSE),"-") &amp; " / " &amp; IFERROR(VLOOKUP(MID(G85,H85,I85-H85),[6]skilldef!$A:$B,2,FALSE),"-")</f>
        <v>- / -</v>
      </c>
      <c r="M85" s="173" t="str">
        <f t="shared" si="159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N85" s="170" t="str">
        <f t="shared" si="153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O85" s="173">
        <f t="shared" si="160"/>
        <v>9</v>
      </c>
      <c r="P85" s="173">
        <f t="shared" si="161"/>
        <v>22</v>
      </c>
      <c r="Q85" s="173">
        <f t="shared" si="162"/>
        <v>31</v>
      </c>
      <c r="R85" s="173">
        <f t="shared" si="163"/>
        <v>40</v>
      </c>
      <c r="S85" s="173" t="str">
        <f>IFERROR(VLOOKUP(MID(N85,Q85,R85-Q85),[6]skilldef!$C:$D,2,FALSE),"-") &amp; " / " &amp; IFERROR(VLOOKUP(MID(N85,O85,P85-O85),[6]skilldef!$A:$B,2,FALSE),"-")</f>
        <v>敵単体に / カウンター</v>
      </c>
      <c r="T85" s="170" t="str">
        <f t="shared" si="164"/>
        <v>[effect:sp_boost, target:unit_attack, val:4, animation:sp_boost_one02],[effect:fix_speed, target:myself, turn:1]</v>
      </c>
      <c r="U85" s="173">
        <f t="shared" si="165"/>
        <v>9</v>
      </c>
      <c r="V85" s="173">
        <f t="shared" si="166"/>
        <v>17</v>
      </c>
      <c r="W85" s="173">
        <f t="shared" si="167"/>
        <v>26</v>
      </c>
      <c r="X85" s="173">
        <f t="shared" si="168"/>
        <v>37</v>
      </c>
      <c r="Y85" s="173" t="str">
        <f>IFERROR(VLOOKUP(MID(T85,W85,X85-W85),[6]skilldef!$C:$D,2,FALSE),"-") &amp; " / " &amp; IFERROR(VLOOKUP(MID(T85,U85,V85-U85),[6]skilldef!$A:$B,2,FALSE),"-")</f>
        <v>攻撃タイプの味方に / -</v>
      </c>
      <c r="Z85" s="172"/>
      <c r="AA85" s="174"/>
      <c r="AB85" s="172"/>
      <c r="AC85" s="173" t="s">
        <v>312</v>
      </c>
      <c r="AD85" s="173" t="s">
        <v>271</v>
      </c>
    </row>
    <row r="86" spans="1:30" ht="19" customHeight="1" x14ac:dyDescent="0.15">
      <c r="A86" s="170">
        <v>49016907</v>
      </c>
      <c r="B86" s="171" t="s">
        <v>486</v>
      </c>
      <c r="C86" s="172">
        <v>1</v>
      </c>
      <c r="D86" s="172" t="s">
        <v>127</v>
      </c>
      <c r="E86" s="173" t="s">
        <v>397</v>
      </c>
      <c r="F86" s="173" t="s">
        <v>483</v>
      </c>
      <c r="G86" s="173" t="str">
        <f t="shared" si="154"/>
        <v>[effect:enemy_message, val1:2.5, val2:4.3]</v>
      </c>
      <c r="H86" s="173">
        <f t="shared" si="155"/>
        <v>9</v>
      </c>
      <c r="I86" s="173">
        <f t="shared" si="156"/>
        <v>22</v>
      </c>
      <c r="J86" s="173" t="e">
        <f t="shared" si="157"/>
        <v>#VALUE!</v>
      </c>
      <c r="K86" s="173">
        <f t="shared" si="158"/>
        <v>32</v>
      </c>
      <c r="L86" s="173" t="str">
        <f>IFERROR(VLOOKUP(MID(G86,J86,K86-J86),[6]skilldef!$C:$D,2,FALSE),"-") &amp; " / " &amp; IFERROR(VLOOKUP(MID(G86,H86,I86-H86),[6]skilldef!$A:$B,2,FALSE),"-")</f>
        <v>- / -</v>
      </c>
      <c r="M86" s="173" t="str">
        <f t="shared" si="159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N86" s="170" t="str">
        <f t="shared" si="153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O86" s="173">
        <f t="shared" si="160"/>
        <v>9</v>
      </c>
      <c r="P86" s="173">
        <f t="shared" si="161"/>
        <v>22</v>
      </c>
      <c r="Q86" s="173">
        <f t="shared" si="162"/>
        <v>31</v>
      </c>
      <c r="R86" s="173">
        <f t="shared" si="163"/>
        <v>40</v>
      </c>
      <c r="S86" s="173" t="str">
        <f>IFERROR(VLOOKUP(MID(N86,Q86,R86-Q86),[6]skilldef!$C:$D,2,FALSE),"-") &amp; " / " &amp; IFERROR(VLOOKUP(MID(N86,O86,P86-O86),[6]skilldef!$A:$B,2,FALSE),"-")</f>
        <v>敵単体に / カウンター</v>
      </c>
      <c r="T86" s="170" t="str">
        <f t="shared" si="164"/>
        <v>[effect:sp_boost, target:unit_attack, val:4, animation:sp_boost_one02],[effect:fix_speed, target:myself, turn:1]</v>
      </c>
      <c r="U86" s="173">
        <f t="shared" si="165"/>
        <v>9</v>
      </c>
      <c r="V86" s="173">
        <f t="shared" si="166"/>
        <v>17</v>
      </c>
      <c r="W86" s="173">
        <f t="shared" si="167"/>
        <v>26</v>
      </c>
      <c r="X86" s="173">
        <f t="shared" si="168"/>
        <v>37</v>
      </c>
      <c r="Y86" s="173" t="str">
        <f>IFERROR(VLOOKUP(MID(T86,W86,X86-W86),[6]skilldef!$C:$D,2,FALSE),"-") &amp; " / " &amp; IFERROR(VLOOKUP(MID(T86,U86,V86-U86),[6]skilldef!$A:$B,2,FALSE),"-")</f>
        <v>攻撃タイプの味方に / -</v>
      </c>
      <c r="Z86" s="172"/>
      <c r="AA86" s="174"/>
      <c r="AB86" s="172"/>
      <c r="AC86" s="173" t="s">
        <v>312</v>
      </c>
      <c r="AD86" s="173" t="s">
        <v>271</v>
      </c>
    </row>
    <row r="87" spans="1:30" ht="19" customHeight="1" x14ac:dyDescent="0.15">
      <c r="A87" s="170">
        <v>49016908</v>
      </c>
      <c r="B87" s="171" t="s">
        <v>486</v>
      </c>
      <c r="C87" s="172">
        <v>1</v>
      </c>
      <c r="D87" s="172" t="s">
        <v>127</v>
      </c>
      <c r="E87" s="173" t="s">
        <v>397</v>
      </c>
      <c r="F87" s="173" t="s">
        <v>483</v>
      </c>
      <c r="G87" s="173" t="str">
        <f t="shared" si="154"/>
        <v>[effect:enemy_message, val1:2.5, val2:4.3]</v>
      </c>
      <c r="H87" s="173">
        <f t="shared" si="155"/>
        <v>9</v>
      </c>
      <c r="I87" s="173">
        <f t="shared" si="156"/>
        <v>22</v>
      </c>
      <c r="J87" s="173" t="e">
        <f t="shared" si="157"/>
        <v>#VALUE!</v>
      </c>
      <c r="K87" s="173">
        <f t="shared" si="158"/>
        <v>32</v>
      </c>
      <c r="L87" s="173" t="str">
        <f>IFERROR(VLOOKUP(MID(G87,J87,K87-J87),[6]skilldef!$C:$D,2,FALSE),"-") &amp; " / " &amp; IFERROR(VLOOKUP(MID(G87,H87,I87-H87),[6]skilldef!$A:$B,2,FALSE),"-")</f>
        <v>- / -</v>
      </c>
      <c r="M87" s="173" t="str">
        <f t="shared" si="159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N87" s="170" t="str">
        <f>IFERROR(LEFT(M87,FIND("],",M87)+#REF!),M87)</f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O87" s="173">
        <f t="shared" si="160"/>
        <v>9</v>
      </c>
      <c r="P87" s="173">
        <f t="shared" si="161"/>
        <v>22</v>
      </c>
      <c r="Q87" s="173">
        <f t="shared" si="162"/>
        <v>31</v>
      </c>
      <c r="R87" s="173">
        <f t="shared" si="163"/>
        <v>40</v>
      </c>
      <c r="S87" s="173" t="str">
        <f>IFERROR(VLOOKUP(MID(N87,Q87,R87-Q87),[6]skilldef!$C:$D,2,FALSE),"-") &amp; " / " &amp; IFERROR(VLOOKUP(MID(N87,O87,P87-O87),[6]skilldef!$A:$B,2,FALSE),"-")</f>
        <v>敵単体に / カウンター</v>
      </c>
      <c r="T87" s="170" t="str">
        <f t="shared" si="164"/>
        <v>[effect:sp_boost, target:unit_attack, val:4, animation:sp_boost_one02],[effect:fix_speed, target:myself, turn:1]</v>
      </c>
      <c r="U87" s="173">
        <f t="shared" si="165"/>
        <v>9</v>
      </c>
      <c r="V87" s="173">
        <f t="shared" si="166"/>
        <v>17</v>
      </c>
      <c r="W87" s="173">
        <f t="shared" si="167"/>
        <v>26</v>
      </c>
      <c r="X87" s="173">
        <f t="shared" si="168"/>
        <v>37</v>
      </c>
      <c r="Y87" s="173" t="str">
        <f>IFERROR(VLOOKUP(MID(T87,W87,X87-W87),[6]skilldef!$C:$D,2,FALSE),"-") &amp; " / " &amp; IFERROR(VLOOKUP(MID(T87,U87,V87-U87),[6]skilldef!$A:$B,2,FALSE),"-")</f>
        <v>攻撃タイプの味方に / -</v>
      </c>
      <c r="Z87" s="172"/>
      <c r="AA87" s="174"/>
      <c r="AB87" s="172"/>
      <c r="AC87" s="173" t="s">
        <v>312</v>
      </c>
      <c r="AD87" s="173" t="s">
        <v>271</v>
      </c>
    </row>
    <row r="88" spans="1:30" ht="19" customHeight="1" x14ac:dyDescent="0.15">
      <c r="A88" s="170">
        <v>49016909</v>
      </c>
      <c r="B88" s="171" t="s">
        <v>486</v>
      </c>
      <c r="C88" s="172">
        <v>1</v>
      </c>
      <c r="D88" s="172" t="s">
        <v>127</v>
      </c>
      <c r="E88" s="173" t="s">
        <v>397</v>
      </c>
      <c r="F88" s="173" t="s">
        <v>483</v>
      </c>
      <c r="G88" s="173" t="str">
        <f t="shared" si="154"/>
        <v>[effect:enemy_message, val1:2.5, val2:4.3]</v>
      </c>
      <c r="H88" s="173">
        <f t="shared" si="155"/>
        <v>9</v>
      </c>
      <c r="I88" s="173">
        <f t="shared" si="156"/>
        <v>22</v>
      </c>
      <c r="J88" s="173" t="e">
        <f t="shared" si="157"/>
        <v>#VALUE!</v>
      </c>
      <c r="K88" s="173">
        <f t="shared" si="158"/>
        <v>32</v>
      </c>
      <c r="L88" s="173" t="str">
        <f>IFERROR(VLOOKUP(MID(G88,J88,K88-J88),[6]skilldef!$C:$D,2,FALSE),"-") &amp; " / " &amp; IFERROR(VLOOKUP(MID(G88,H88,I88-H88),[6]skilldef!$A:$B,2,FALSE),"-")</f>
        <v>- / -</v>
      </c>
      <c r="M88" s="173" t="str">
        <f t="shared" si="159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N88" s="170" t="str">
        <f>IFERROR(LEFT(M88,FIND("],",M88)+#REF!),M88)</f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O88" s="173">
        <f t="shared" si="160"/>
        <v>9</v>
      </c>
      <c r="P88" s="173">
        <f t="shared" si="161"/>
        <v>22</v>
      </c>
      <c r="Q88" s="173">
        <f t="shared" si="162"/>
        <v>31</v>
      </c>
      <c r="R88" s="173">
        <f t="shared" si="163"/>
        <v>40</v>
      </c>
      <c r="S88" s="173" t="str">
        <f>IFERROR(VLOOKUP(MID(N88,Q88,R88-Q88),[6]skilldef!$C:$D,2,FALSE),"-") &amp; " / " &amp; IFERROR(VLOOKUP(MID(N88,O88,P88-O88),[6]skilldef!$A:$B,2,FALSE),"-")</f>
        <v>敵単体に / カウンター</v>
      </c>
      <c r="T88" s="170" t="str">
        <f t="shared" si="164"/>
        <v>[effect:sp_boost, target:unit_attack, val:4, animation:sp_boost_one02],[effect:fix_speed, target:myself, turn:1]</v>
      </c>
      <c r="U88" s="173">
        <f t="shared" si="165"/>
        <v>9</v>
      </c>
      <c r="V88" s="173">
        <f t="shared" si="166"/>
        <v>17</v>
      </c>
      <c r="W88" s="173">
        <f t="shared" si="167"/>
        <v>26</v>
      </c>
      <c r="X88" s="173">
        <f t="shared" si="168"/>
        <v>37</v>
      </c>
      <c r="Y88" s="173" t="str">
        <f>IFERROR(VLOOKUP(MID(T88,W88,X88-W88),[6]skilldef!$C:$D,2,FALSE),"-") &amp; " / " &amp; IFERROR(VLOOKUP(MID(T88,U88,V88-U88),[6]skilldef!$A:$B,2,FALSE),"-")</f>
        <v>攻撃タイプの味方に / -</v>
      </c>
      <c r="Z88" s="172"/>
      <c r="AA88" s="174"/>
      <c r="AB88" s="172"/>
      <c r="AC88" s="173" t="s">
        <v>312</v>
      </c>
      <c r="AD88" s="173" t="s">
        <v>271</v>
      </c>
    </row>
    <row r="89" spans="1:30" ht="19" customHeight="1" x14ac:dyDescent="0.15">
      <c r="A89" s="170">
        <v>49016910</v>
      </c>
      <c r="B89" s="171" t="s">
        <v>486</v>
      </c>
      <c r="C89" s="172">
        <v>1</v>
      </c>
      <c r="D89" s="172" t="s">
        <v>127</v>
      </c>
      <c r="E89" s="173" t="s">
        <v>397</v>
      </c>
      <c r="F89" s="173" t="s">
        <v>483</v>
      </c>
      <c r="G89" s="173" t="str">
        <f t="shared" si="154"/>
        <v>[effect:enemy_message, val1:2.5, val2:4.3]</v>
      </c>
      <c r="H89" s="173">
        <f t="shared" si="155"/>
        <v>9</v>
      </c>
      <c r="I89" s="173">
        <f t="shared" si="156"/>
        <v>22</v>
      </c>
      <c r="J89" s="173" t="e">
        <f t="shared" si="157"/>
        <v>#VALUE!</v>
      </c>
      <c r="K89" s="173">
        <f t="shared" si="158"/>
        <v>32</v>
      </c>
      <c r="L89" s="173" t="str">
        <f>IFERROR(VLOOKUP(MID(G89,J89,K89-J89),[6]skilldef!$C:$D,2,FALSE),"-") &amp; " / " &amp; IFERROR(VLOOKUP(MID(G89,H89,I89-H89),[6]skilldef!$A:$B,2,FALSE),"-")</f>
        <v>- / -</v>
      </c>
      <c r="M89" s="173" t="str">
        <f t="shared" si="159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N89" s="170" t="str">
        <f>IFERROR(LEFT(M89,FIND("],",M89)+#REF!),M89)</f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O89" s="173">
        <f t="shared" si="160"/>
        <v>9</v>
      </c>
      <c r="P89" s="173">
        <f t="shared" si="161"/>
        <v>22</v>
      </c>
      <c r="Q89" s="173">
        <f t="shared" si="162"/>
        <v>31</v>
      </c>
      <c r="R89" s="173">
        <f t="shared" si="163"/>
        <v>40</v>
      </c>
      <c r="S89" s="173" t="str">
        <f>IFERROR(VLOOKUP(MID(N89,Q89,R89-Q89),[6]skilldef!$C:$D,2,FALSE),"-") &amp; " / " &amp; IFERROR(VLOOKUP(MID(N89,O89,P89-O89),[6]skilldef!$A:$B,2,FALSE),"-")</f>
        <v>敵単体に / カウンター</v>
      </c>
      <c r="T89" s="170" t="str">
        <f t="shared" si="164"/>
        <v>[effect:sp_boost, target:unit_attack, val:4, animation:sp_boost_one02],[effect:fix_speed, target:myself, turn:1]</v>
      </c>
      <c r="U89" s="173">
        <f t="shared" si="165"/>
        <v>9</v>
      </c>
      <c r="V89" s="173">
        <f t="shared" si="166"/>
        <v>17</v>
      </c>
      <c r="W89" s="173">
        <f t="shared" si="167"/>
        <v>26</v>
      </c>
      <c r="X89" s="173">
        <f t="shared" si="168"/>
        <v>37</v>
      </c>
      <c r="Y89" s="173" t="str">
        <f>IFERROR(VLOOKUP(MID(T89,W89,X89-W89),[6]skilldef!$C:$D,2,FALSE),"-") &amp; " / " &amp; IFERROR(VLOOKUP(MID(T89,U89,V89-U89),[6]skilldef!$A:$B,2,FALSE),"-")</f>
        <v>攻撃タイプの味方に / -</v>
      </c>
      <c r="Z89" s="172"/>
      <c r="AA89" s="174"/>
      <c r="AB89" s="172"/>
      <c r="AC89" s="173" t="s">
        <v>312</v>
      </c>
      <c r="AD89" s="173" t="s">
        <v>271</v>
      </c>
    </row>
    <row r="90" spans="1:30" ht="19" customHeight="1" x14ac:dyDescent="0.15">
      <c r="A90" s="170">
        <v>49016911</v>
      </c>
      <c r="B90" s="171" t="s">
        <v>486</v>
      </c>
      <c r="C90" s="172">
        <v>1</v>
      </c>
      <c r="D90" s="172" t="s">
        <v>127</v>
      </c>
      <c r="E90" s="173" t="s">
        <v>397</v>
      </c>
      <c r="F90" s="173" t="s">
        <v>483</v>
      </c>
      <c r="G90" s="173" t="str">
        <f t="shared" si="154"/>
        <v>[effect:enemy_message, val1:2.5, val2:4.3]</v>
      </c>
      <c r="H90" s="173">
        <f t="shared" si="155"/>
        <v>9</v>
      </c>
      <c r="I90" s="173">
        <f t="shared" si="156"/>
        <v>22</v>
      </c>
      <c r="J90" s="173" t="e">
        <f t="shared" si="157"/>
        <v>#VALUE!</v>
      </c>
      <c r="K90" s="173">
        <f t="shared" si="158"/>
        <v>32</v>
      </c>
      <c r="L90" s="173" t="str">
        <f>IFERROR(VLOOKUP(MID(G90,J90,K90-J90),[6]skilldef!$C:$D,2,FALSE),"-") &amp; " / " &amp; IFERROR(VLOOKUP(MID(G90,H90,I90-H90),[6]skilldef!$A:$B,2,FALSE),"-")</f>
        <v>- / -</v>
      </c>
      <c r="M90" s="173" t="str">
        <f t="shared" si="159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N90" s="170" t="str">
        <f>IFERROR(LEFT(M90,FIND("],",M90)+#REF!),M90)</f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O90" s="173">
        <f t="shared" si="160"/>
        <v>9</v>
      </c>
      <c r="P90" s="173">
        <f t="shared" si="161"/>
        <v>22</v>
      </c>
      <c r="Q90" s="173">
        <f t="shared" si="162"/>
        <v>31</v>
      </c>
      <c r="R90" s="173">
        <f t="shared" si="163"/>
        <v>40</v>
      </c>
      <c r="S90" s="173" t="str">
        <f>IFERROR(VLOOKUP(MID(N90,Q90,R90-Q90),[6]skilldef!$C:$D,2,FALSE),"-") &amp; " / " &amp; IFERROR(VLOOKUP(MID(N90,O90,P90-O90),[6]skilldef!$A:$B,2,FALSE),"-")</f>
        <v>敵単体に / カウンター</v>
      </c>
      <c r="T90" s="170" t="str">
        <f t="shared" si="164"/>
        <v>[effect:sp_boost, target:unit_attack, val:4, animation:sp_boost_one02],[effect:fix_speed, target:myself, turn:1]</v>
      </c>
      <c r="U90" s="173">
        <f t="shared" si="165"/>
        <v>9</v>
      </c>
      <c r="V90" s="173">
        <f t="shared" si="166"/>
        <v>17</v>
      </c>
      <c r="W90" s="173">
        <f t="shared" si="167"/>
        <v>26</v>
      </c>
      <c r="X90" s="173">
        <f t="shared" si="168"/>
        <v>37</v>
      </c>
      <c r="Y90" s="173" t="str">
        <f>IFERROR(VLOOKUP(MID(T90,W90,X90-W90),[6]skilldef!$C:$D,2,FALSE),"-") &amp; " / " &amp; IFERROR(VLOOKUP(MID(T90,U90,V90-U90),[6]skilldef!$A:$B,2,FALSE),"-")</f>
        <v>攻撃タイプの味方に / -</v>
      </c>
      <c r="Z90" s="172"/>
      <c r="AA90" s="174"/>
      <c r="AB90" s="172"/>
      <c r="AC90" s="173" t="s">
        <v>312</v>
      </c>
      <c r="AD90" s="173" t="s">
        <v>271</v>
      </c>
    </row>
    <row r="91" spans="1:30" ht="19" customHeight="1" x14ac:dyDescent="0.15">
      <c r="A91" s="170">
        <v>49016912</v>
      </c>
      <c r="B91" s="171" t="s">
        <v>486</v>
      </c>
      <c r="C91" s="172">
        <v>1</v>
      </c>
      <c r="D91" s="172" t="s">
        <v>127</v>
      </c>
      <c r="E91" s="173" t="s">
        <v>397</v>
      </c>
      <c r="F91" s="173" t="s">
        <v>483</v>
      </c>
      <c r="G91" s="173" t="str">
        <f t="shared" si="154"/>
        <v>[effect:enemy_message, val1:2.5, val2:4.3]</v>
      </c>
      <c r="H91" s="173">
        <f t="shared" si="155"/>
        <v>9</v>
      </c>
      <c r="I91" s="173">
        <f t="shared" si="156"/>
        <v>22</v>
      </c>
      <c r="J91" s="173" t="e">
        <f t="shared" si="157"/>
        <v>#VALUE!</v>
      </c>
      <c r="K91" s="173">
        <f t="shared" si="158"/>
        <v>32</v>
      </c>
      <c r="L91" s="173" t="str">
        <f>IFERROR(VLOOKUP(MID(G91,J91,K91-J91),[6]skilldef!$C:$D,2,FALSE),"-") &amp; " / " &amp; IFERROR(VLOOKUP(MID(G91,H91,I91-H91),[6]skilldef!$A:$B,2,FALSE),"-")</f>
        <v>- / -</v>
      </c>
      <c r="M91" s="173" t="str">
        <f t="shared" si="159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N91" s="170" t="str">
        <f>IFERROR(LEFT(M91,FIND("],",M91)+#REF!),M91)</f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O91" s="173">
        <f t="shared" si="160"/>
        <v>9</v>
      </c>
      <c r="P91" s="173">
        <f t="shared" si="161"/>
        <v>22</v>
      </c>
      <c r="Q91" s="173">
        <f t="shared" si="162"/>
        <v>31</v>
      </c>
      <c r="R91" s="173">
        <f t="shared" si="163"/>
        <v>40</v>
      </c>
      <c r="S91" s="173" t="str">
        <f>IFERROR(VLOOKUP(MID(N91,Q91,R91-Q91),[6]skilldef!$C:$D,2,FALSE),"-") &amp; " / " &amp; IFERROR(VLOOKUP(MID(N91,O91,P91-O91),[6]skilldef!$A:$B,2,FALSE),"-")</f>
        <v>敵単体に / カウンター</v>
      </c>
      <c r="T91" s="170" t="str">
        <f t="shared" si="164"/>
        <v>[effect:sp_boost, target:unit_attack, val:4, animation:sp_boost_one02],[effect:fix_speed, target:myself, turn:1]</v>
      </c>
      <c r="U91" s="173">
        <f t="shared" si="165"/>
        <v>9</v>
      </c>
      <c r="V91" s="173">
        <f t="shared" si="166"/>
        <v>17</v>
      </c>
      <c r="W91" s="173">
        <f t="shared" si="167"/>
        <v>26</v>
      </c>
      <c r="X91" s="173">
        <f t="shared" si="168"/>
        <v>37</v>
      </c>
      <c r="Y91" s="173" t="str">
        <f>IFERROR(VLOOKUP(MID(T91,W91,X91-W91),[6]skilldef!$C:$D,2,FALSE),"-") &amp; " / " &amp; IFERROR(VLOOKUP(MID(T91,U91,V91-U91),[6]skilldef!$A:$B,2,FALSE),"-")</f>
        <v>攻撃タイプの味方に / -</v>
      </c>
      <c r="Z91" s="172"/>
      <c r="AA91" s="174"/>
      <c r="AB91" s="172"/>
      <c r="AC91" s="173" t="s">
        <v>312</v>
      </c>
      <c r="AD91" s="173" t="s">
        <v>271</v>
      </c>
    </row>
    <row r="92" spans="1:30" ht="19" customHeight="1" x14ac:dyDescent="0.15">
      <c r="A92" s="170">
        <v>49016913</v>
      </c>
      <c r="B92" s="171" t="s">
        <v>486</v>
      </c>
      <c r="C92" s="172">
        <v>1</v>
      </c>
      <c r="D92" s="172" t="s">
        <v>127</v>
      </c>
      <c r="E92" s="173" t="s">
        <v>397</v>
      </c>
      <c r="F92" s="173" t="s">
        <v>483</v>
      </c>
      <c r="G92" s="173" t="str">
        <f t="shared" si="154"/>
        <v>[effect:enemy_message, val1:2.5, val2:4.3]</v>
      </c>
      <c r="H92" s="173">
        <f t="shared" si="155"/>
        <v>9</v>
      </c>
      <c r="I92" s="173">
        <f t="shared" si="156"/>
        <v>22</v>
      </c>
      <c r="J92" s="173" t="e">
        <f t="shared" si="157"/>
        <v>#VALUE!</v>
      </c>
      <c r="K92" s="173">
        <f t="shared" si="158"/>
        <v>32</v>
      </c>
      <c r="L92" s="173" t="str">
        <f>IFERROR(VLOOKUP(MID(G92,J92,K92-J92),[6]skilldef!$C:$D,2,FALSE),"-") &amp; " / " &amp; IFERROR(VLOOKUP(MID(G92,H92,I92-H92),[6]skilldef!$A:$B,2,FALSE),"-")</f>
        <v>- / -</v>
      </c>
      <c r="M92" s="173" t="str">
        <f t="shared" si="159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N92" s="170" t="str">
        <f>IFERROR(LEFT(M92,FIND("],",M92)+#REF!),M92)</f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O92" s="173">
        <f t="shared" si="160"/>
        <v>9</v>
      </c>
      <c r="P92" s="173">
        <f t="shared" si="161"/>
        <v>22</v>
      </c>
      <c r="Q92" s="173">
        <f t="shared" si="162"/>
        <v>31</v>
      </c>
      <c r="R92" s="173">
        <f t="shared" si="163"/>
        <v>40</v>
      </c>
      <c r="S92" s="173" t="str">
        <f>IFERROR(VLOOKUP(MID(N92,Q92,R92-Q92),[6]skilldef!$C:$D,2,FALSE),"-") &amp; " / " &amp; IFERROR(VLOOKUP(MID(N92,O92,P92-O92),[6]skilldef!$A:$B,2,FALSE),"-")</f>
        <v>敵単体に / カウンター</v>
      </c>
      <c r="T92" s="170" t="str">
        <f t="shared" si="164"/>
        <v>[effect:sp_boost, target:unit_attack, val:4, animation:sp_boost_one02],[effect:fix_speed, target:myself, turn:1]</v>
      </c>
      <c r="U92" s="173">
        <f t="shared" si="165"/>
        <v>9</v>
      </c>
      <c r="V92" s="173">
        <f t="shared" si="166"/>
        <v>17</v>
      </c>
      <c r="W92" s="173">
        <f t="shared" si="167"/>
        <v>26</v>
      </c>
      <c r="X92" s="173">
        <f t="shared" si="168"/>
        <v>37</v>
      </c>
      <c r="Y92" s="173" t="str">
        <f>IFERROR(VLOOKUP(MID(T92,W92,X92-W92),[6]skilldef!$C:$D,2,FALSE),"-") &amp; " / " &amp; IFERROR(VLOOKUP(MID(T92,U92,V92-U92),[6]skilldef!$A:$B,2,FALSE),"-")</f>
        <v>攻撃タイプの味方に / -</v>
      </c>
      <c r="Z92" s="172"/>
      <c r="AA92" s="174"/>
      <c r="AB92" s="172"/>
      <c r="AC92" s="173" t="s">
        <v>312</v>
      </c>
      <c r="AD92" s="173" t="s">
        <v>271</v>
      </c>
    </row>
    <row r="93" spans="1:30" ht="19" customHeight="1" x14ac:dyDescent="0.15">
      <c r="A93" s="170">
        <v>49016914</v>
      </c>
      <c r="B93" s="171" t="s">
        <v>486</v>
      </c>
      <c r="C93" s="172">
        <v>1</v>
      </c>
      <c r="D93" s="172" t="s">
        <v>127</v>
      </c>
      <c r="E93" s="173" t="s">
        <v>397</v>
      </c>
      <c r="F93" s="173" t="s">
        <v>483</v>
      </c>
      <c r="G93" s="173" t="str">
        <f t="shared" si="154"/>
        <v>[effect:enemy_message, val1:2.5, val2:4.3]</v>
      </c>
      <c r="H93" s="173">
        <f t="shared" si="155"/>
        <v>9</v>
      </c>
      <c r="I93" s="173">
        <f t="shared" si="156"/>
        <v>22</v>
      </c>
      <c r="J93" s="173" t="e">
        <f t="shared" si="157"/>
        <v>#VALUE!</v>
      </c>
      <c r="K93" s="173">
        <f t="shared" si="158"/>
        <v>32</v>
      </c>
      <c r="L93" s="173" t="str">
        <f>IFERROR(VLOOKUP(MID(G93,J93,K93-J93),[6]skilldef!$C:$D,2,FALSE),"-") &amp; " / " &amp; IFERROR(VLOOKUP(MID(G93,H93,I93-H93),[6]skilldef!$A:$B,2,FALSE),"-")</f>
        <v>- / -</v>
      </c>
      <c r="M93" s="173" t="str">
        <f t="shared" si="159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N93" s="170" t="str">
        <f>IFERROR(LEFT(M93,FIND("],",M93)+#REF!),M93)</f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O93" s="173">
        <f t="shared" si="160"/>
        <v>9</v>
      </c>
      <c r="P93" s="173">
        <f t="shared" si="161"/>
        <v>22</v>
      </c>
      <c r="Q93" s="173">
        <f t="shared" si="162"/>
        <v>31</v>
      </c>
      <c r="R93" s="173">
        <f t="shared" si="163"/>
        <v>40</v>
      </c>
      <c r="S93" s="173" t="str">
        <f>IFERROR(VLOOKUP(MID(N93,Q93,R93-Q93),[6]skilldef!$C:$D,2,FALSE),"-") &amp; " / " &amp; IFERROR(VLOOKUP(MID(N93,O93,P93-O93),[6]skilldef!$A:$B,2,FALSE),"-")</f>
        <v>敵単体に / カウンター</v>
      </c>
      <c r="T93" s="170" t="str">
        <f t="shared" si="164"/>
        <v>[effect:sp_boost, target:unit_attack, val:4, animation:sp_boost_one02],[effect:fix_speed, target:myself, turn:1]</v>
      </c>
      <c r="U93" s="173">
        <f t="shared" si="165"/>
        <v>9</v>
      </c>
      <c r="V93" s="173">
        <f t="shared" si="166"/>
        <v>17</v>
      </c>
      <c r="W93" s="173">
        <f t="shared" si="167"/>
        <v>26</v>
      </c>
      <c r="X93" s="173">
        <f t="shared" si="168"/>
        <v>37</v>
      </c>
      <c r="Y93" s="173" t="str">
        <f>IFERROR(VLOOKUP(MID(T93,W93,X93-W93),[6]skilldef!$C:$D,2,FALSE),"-") &amp; " / " &amp; IFERROR(VLOOKUP(MID(T93,U93,V93-U93),[6]skilldef!$A:$B,2,FALSE),"-")</f>
        <v>攻撃タイプの味方に / -</v>
      </c>
      <c r="Z93" s="172"/>
      <c r="AA93" s="174"/>
      <c r="AB93" s="172"/>
      <c r="AC93" s="173" t="s">
        <v>312</v>
      </c>
      <c r="AD93" s="173" t="s">
        <v>271</v>
      </c>
    </row>
    <row r="94" spans="1:30" ht="19" customHeight="1" x14ac:dyDescent="0.15">
      <c r="A94" s="170">
        <v>49016915</v>
      </c>
      <c r="B94" s="171" t="s">
        <v>486</v>
      </c>
      <c r="C94" s="172">
        <v>1</v>
      </c>
      <c r="D94" s="172" t="s">
        <v>127</v>
      </c>
      <c r="E94" s="173" t="s">
        <v>397</v>
      </c>
      <c r="F94" s="173" t="s">
        <v>483</v>
      </c>
      <c r="G94" s="173" t="str">
        <f t="shared" si="154"/>
        <v>[effect:enemy_message, val1:2.5, val2:4.3]</v>
      </c>
      <c r="H94" s="173">
        <f t="shared" si="155"/>
        <v>9</v>
      </c>
      <c r="I94" s="173">
        <f t="shared" si="156"/>
        <v>22</v>
      </c>
      <c r="J94" s="173" t="e">
        <f t="shared" si="157"/>
        <v>#VALUE!</v>
      </c>
      <c r="K94" s="173">
        <f t="shared" si="158"/>
        <v>32</v>
      </c>
      <c r="L94" s="173" t="str">
        <f>IFERROR(VLOOKUP(MID(G94,J94,K94-J94),[6]skilldef!$C:$D,2,FALSE),"-") &amp; " / " &amp; IFERROR(VLOOKUP(MID(G94,H94,I94-H94),[6]skilldef!$A:$B,2,FALSE),"-")</f>
        <v>- / -</v>
      </c>
      <c r="M94" s="173" t="str">
        <f t="shared" si="159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N94" s="170" t="str">
        <f>IFERROR(LEFT(M94,FIND("],",M94)+#REF!),M94)</f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O94" s="173">
        <f t="shared" si="160"/>
        <v>9</v>
      </c>
      <c r="P94" s="173">
        <f t="shared" si="161"/>
        <v>22</v>
      </c>
      <c r="Q94" s="173">
        <f t="shared" si="162"/>
        <v>31</v>
      </c>
      <c r="R94" s="173">
        <f t="shared" si="163"/>
        <v>40</v>
      </c>
      <c r="S94" s="173" t="str">
        <f>IFERROR(VLOOKUP(MID(N94,Q94,R94-Q94),[6]skilldef!$C:$D,2,FALSE),"-") &amp; " / " &amp; IFERROR(VLOOKUP(MID(N94,O94,P94-O94),[6]skilldef!$A:$B,2,FALSE),"-")</f>
        <v>敵単体に / カウンター</v>
      </c>
      <c r="T94" s="170" t="str">
        <f t="shared" si="164"/>
        <v>[effect:sp_boost, target:unit_attack, val:4, animation:sp_boost_one02],[effect:fix_speed, target:myself, turn:1]</v>
      </c>
      <c r="U94" s="173">
        <f t="shared" si="165"/>
        <v>9</v>
      </c>
      <c r="V94" s="173">
        <f t="shared" si="166"/>
        <v>17</v>
      </c>
      <c r="W94" s="173">
        <f t="shared" si="167"/>
        <v>26</v>
      </c>
      <c r="X94" s="173">
        <f t="shared" si="168"/>
        <v>37</v>
      </c>
      <c r="Y94" s="173" t="str">
        <f>IFERROR(VLOOKUP(MID(T94,W94,X94-W94),[6]skilldef!$C:$D,2,FALSE),"-") &amp; " / " &amp; IFERROR(VLOOKUP(MID(T94,U94,V94-U94),[6]skilldef!$A:$B,2,FALSE),"-")</f>
        <v>攻撃タイプの味方に / -</v>
      </c>
      <c r="Z94" s="172"/>
      <c r="AA94" s="174"/>
      <c r="AB94" s="172"/>
      <c r="AC94" s="173" t="s">
        <v>312</v>
      </c>
      <c r="AD94" s="173" t="s">
        <v>271</v>
      </c>
    </row>
    <row r="95" spans="1:30" ht="19" customHeight="1" x14ac:dyDescent="0.15">
      <c r="A95" s="170">
        <v>49016916</v>
      </c>
      <c r="B95" s="171" t="s">
        <v>486</v>
      </c>
      <c r="C95" s="172">
        <v>1</v>
      </c>
      <c r="D95" s="172" t="s">
        <v>127</v>
      </c>
      <c r="E95" s="173" t="s">
        <v>397</v>
      </c>
      <c r="F95" s="173" t="s">
        <v>483</v>
      </c>
      <c r="G95" s="173" t="str">
        <f t="shared" si="154"/>
        <v>[effect:enemy_message, val1:2.5, val2:4.3]</v>
      </c>
      <c r="H95" s="173">
        <f t="shared" si="155"/>
        <v>9</v>
      </c>
      <c r="I95" s="173">
        <f t="shared" si="156"/>
        <v>22</v>
      </c>
      <c r="J95" s="173" t="e">
        <f t="shared" si="157"/>
        <v>#VALUE!</v>
      </c>
      <c r="K95" s="173">
        <f t="shared" si="158"/>
        <v>32</v>
      </c>
      <c r="L95" s="173" t="str">
        <f>IFERROR(VLOOKUP(MID(G95,J95,K95-J95),[6]skilldef!$C:$D,2,FALSE),"-") &amp; " / " &amp; IFERROR(VLOOKUP(MID(G95,H95,I95-H95),[6]skilldef!$A:$B,2,FALSE),"-")</f>
        <v>- / -</v>
      </c>
      <c r="M95" s="173" t="str">
        <f t="shared" si="159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N95" s="170" t="str">
        <f>IFERROR(LEFT(M95,FIND("],",M95)+#REF!),M95)</f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O95" s="173">
        <f t="shared" si="160"/>
        <v>9</v>
      </c>
      <c r="P95" s="173">
        <f t="shared" si="161"/>
        <v>22</v>
      </c>
      <c r="Q95" s="173">
        <f t="shared" si="162"/>
        <v>31</v>
      </c>
      <c r="R95" s="173">
        <f t="shared" si="163"/>
        <v>40</v>
      </c>
      <c r="S95" s="173" t="str">
        <f>IFERROR(VLOOKUP(MID(N95,Q95,R95-Q95),[6]skilldef!$C:$D,2,FALSE),"-") &amp; " / " &amp; IFERROR(VLOOKUP(MID(N95,O95,P95-O95),[6]skilldef!$A:$B,2,FALSE),"-")</f>
        <v>敵単体に / カウンター</v>
      </c>
      <c r="T95" s="170" t="str">
        <f t="shared" si="164"/>
        <v>[effect:sp_boost, target:unit_attack, val:4, animation:sp_boost_one02],[effect:fix_speed, target:myself, turn:1]</v>
      </c>
      <c r="U95" s="173">
        <f t="shared" si="165"/>
        <v>9</v>
      </c>
      <c r="V95" s="173">
        <f t="shared" si="166"/>
        <v>17</v>
      </c>
      <c r="W95" s="173">
        <f t="shared" si="167"/>
        <v>26</v>
      </c>
      <c r="X95" s="173">
        <f t="shared" si="168"/>
        <v>37</v>
      </c>
      <c r="Y95" s="173" t="str">
        <f>IFERROR(VLOOKUP(MID(T95,W95,X95-W95),[6]skilldef!$C:$D,2,FALSE),"-") &amp; " / " &amp; IFERROR(VLOOKUP(MID(T95,U95,V95-U95),[6]skilldef!$A:$B,2,FALSE),"-")</f>
        <v>攻撃タイプの味方に / -</v>
      </c>
      <c r="Z95" s="172"/>
      <c r="AA95" s="174"/>
      <c r="AB95" s="172"/>
      <c r="AC95" s="173" t="s">
        <v>312</v>
      </c>
      <c r="AD95" s="173" t="s">
        <v>271</v>
      </c>
    </row>
    <row r="96" spans="1:30" ht="29" customHeight="1" x14ac:dyDescent="0.15">
      <c r="A96" s="170">
        <v>49016917</v>
      </c>
      <c r="B96" s="171" t="s">
        <v>487</v>
      </c>
      <c r="C96" s="172">
        <v>1</v>
      </c>
      <c r="D96" s="172" t="s">
        <v>127</v>
      </c>
      <c r="E96" s="178" t="s">
        <v>394</v>
      </c>
      <c r="F96" s="173" t="s">
        <v>483</v>
      </c>
      <c r="G96" s="173" t="str">
        <f t="shared" si="154"/>
        <v>[effect:enemy_message, val1:1.8, val2:4.3]</v>
      </c>
      <c r="H96" s="173">
        <f t="shared" si="155"/>
        <v>9</v>
      </c>
      <c r="I96" s="173">
        <f t="shared" si="156"/>
        <v>22</v>
      </c>
      <c r="J96" s="173" t="e">
        <f t="shared" si="157"/>
        <v>#VALUE!</v>
      </c>
      <c r="K96" s="173">
        <f t="shared" si="158"/>
        <v>32</v>
      </c>
      <c r="L96" s="173" t="str">
        <f>IFERROR(VLOOKUP(MID(G96,J96,K96-J96),[6]skilldef!$C:$D,2,FALSE),"-") &amp; " / " &amp; IFERROR(VLOOKUP(MID(G96,H96,I96-H96),[6]skilldef!$A:$B,2,FALSE),"-")</f>
        <v>- / -</v>
      </c>
      <c r="M96" s="173" t="str">
        <f t="shared" si="159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N96" s="170" t="str">
        <f>IFERROR(LEFT(M96,FIND("],",M96)+#REF!),M96)</f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O96" s="173">
        <f t="shared" si="160"/>
        <v>9</v>
      </c>
      <c r="P96" s="173">
        <f t="shared" si="161"/>
        <v>22</v>
      </c>
      <c r="Q96" s="173">
        <f t="shared" si="162"/>
        <v>31</v>
      </c>
      <c r="R96" s="173">
        <f t="shared" si="163"/>
        <v>40</v>
      </c>
      <c r="S96" s="173" t="str">
        <f>IFERROR(VLOOKUP(MID(N96,Q96,R96-Q96),[6]skilldef!$C:$D,2,FALSE),"-") &amp; " / " &amp; IFERROR(VLOOKUP(MID(N96,O96,P96-O96),[6]skilldef!$A:$B,2,FALSE),"-")</f>
        <v>敵単体に / カウンター</v>
      </c>
      <c r="T96" s="170" t="str">
        <f t="shared" si="164"/>
        <v>[effect:sp_boost, target:unit_attack, val:4, animation:sp_boost_one02],[effect:fix_speed, target:myself, turn:1]</v>
      </c>
      <c r="U96" s="173">
        <f t="shared" si="165"/>
        <v>9</v>
      </c>
      <c r="V96" s="173">
        <f t="shared" si="166"/>
        <v>17</v>
      </c>
      <c r="W96" s="173">
        <f t="shared" si="167"/>
        <v>26</v>
      </c>
      <c r="X96" s="173">
        <f t="shared" si="168"/>
        <v>37</v>
      </c>
      <c r="Y96" s="173" t="str">
        <f>IFERROR(VLOOKUP(MID(T96,W96,X96-W96),[6]skilldef!$C:$D,2,FALSE),"-") &amp; " / " &amp; IFERROR(VLOOKUP(MID(T96,U96,V96-U96),[6]skilldef!$A:$B,2,FALSE),"-")</f>
        <v>攻撃タイプの味方に / -</v>
      </c>
      <c r="Z96" s="172"/>
      <c r="AA96" s="174"/>
      <c r="AB96" s="172"/>
      <c r="AC96" s="178" t="s">
        <v>342</v>
      </c>
      <c r="AD96" s="173" t="s">
        <v>271</v>
      </c>
    </row>
    <row r="97" spans="1:30" ht="29" customHeight="1" x14ac:dyDescent="0.15">
      <c r="A97" s="170">
        <v>49016918</v>
      </c>
      <c r="B97" s="171" t="s">
        <v>487</v>
      </c>
      <c r="C97" s="172">
        <v>1</v>
      </c>
      <c r="D97" s="172" t="s">
        <v>127</v>
      </c>
      <c r="E97" s="178" t="s">
        <v>394</v>
      </c>
      <c r="F97" s="173" t="s">
        <v>483</v>
      </c>
      <c r="G97" s="173" t="str">
        <f t="shared" si="154"/>
        <v>[effect:enemy_message, val1:1.8, val2:4.3]</v>
      </c>
      <c r="H97" s="173">
        <f t="shared" si="155"/>
        <v>9</v>
      </c>
      <c r="I97" s="173">
        <f t="shared" si="156"/>
        <v>22</v>
      </c>
      <c r="J97" s="173" t="e">
        <f t="shared" si="157"/>
        <v>#VALUE!</v>
      </c>
      <c r="K97" s="173">
        <f t="shared" si="158"/>
        <v>32</v>
      </c>
      <c r="L97" s="173" t="str">
        <f>IFERROR(VLOOKUP(MID(G97,J97,K97-J97),[6]skilldef!$C:$D,2,FALSE),"-") &amp; " / " &amp; IFERROR(VLOOKUP(MID(G97,H97,I97-H97),[6]skilldef!$A:$B,2,FALSE),"-")</f>
        <v>- / -</v>
      </c>
      <c r="M97" s="173" t="str">
        <f t="shared" si="159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N97" s="170" t="str">
        <f>IFERROR(LEFT(M97,FIND("],",M97)+#REF!),M97)</f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O97" s="173">
        <f t="shared" si="160"/>
        <v>9</v>
      </c>
      <c r="P97" s="173">
        <f t="shared" si="161"/>
        <v>22</v>
      </c>
      <c r="Q97" s="173">
        <f t="shared" si="162"/>
        <v>31</v>
      </c>
      <c r="R97" s="173">
        <f t="shared" si="163"/>
        <v>40</v>
      </c>
      <c r="S97" s="173" t="str">
        <f>IFERROR(VLOOKUP(MID(N97,Q97,R97-Q97),[6]skilldef!$C:$D,2,FALSE),"-") &amp; " / " &amp; IFERROR(VLOOKUP(MID(N97,O97,P97-O97),[6]skilldef!$A:$B,2,FALSE),"-")</f>
        <v>敵単体に / カウンター</v>
      </c>
      <c r="T97" s="170" t="str">
        <f t="shared" si="164"/>
        <v>[effect:sp_boost, target:unit_attack, val:4, animation:sp_boost_one02],[effect:fix_speed, target:myself, turn:1]</v>
      </c>
      <c r="U97" s="173">
        <f t="shared" si="165"/>
        <v>9</v>
      </c>
      <c r="V97" s="173">
        <f t="shared" si="166"/>
        <v>17</v>
      </c>
      <c r="W97" s="173">
        <f t="shared" si="167"/>
        <v>26</v>
      </c>
      <c r="X97" s="173">
        <f t="shared" si="168"/>
        <v>37</v>
      </c>
      <c r="Y97" s="173" t="str">
        <f>IFERROR(VLOOKUP(MID(T97,W97,X97-W97),[6]skilldef!$C:$D,2,FALSE),"-") &amp; " / " &amp; IFERROR(VLOOKUP(MID(T97,U97,V97-U97),[6]skilldef!$A:$B,2,FALSE),"-")</f>
        <v>攻撃タイプの味方に / -</v>
      </c>
      <c r="Z97" s="172"/>
      <c r="AA97" s="174"/>
      <c r="AB97" s="172"/>
      <c r="AC97" s="178" t="s">
        <v>342</v>
      </c>
      <c r="AD97" s="173" t="s">
        <v>271</v>
      </c>
    </row>
    <row r="98" spans="1:30" ht="29" customHeight="1" x14ac:dyDescent="0.15">
      <c r="A98" s="170">
        <v>49016919</v>
      </c>
      <c r="B98" s="171" t="s">
        <v>488</v>
      </c>
      <c r="C98" s="172">
        <v>1</v>
      </c>
      <c r="D98" s="172" t="s">
        <v>127</v>
      </c>
      <c r="E98" s="178" t="s">
        <v>395</v>
      </c>
      <c r="F98" s="173" t="s">
        <v>483</v>
      </c>
      <c r="G98" s="173" t="str">
        <f t="shared" si="154"/>
        <v>[effect:enemy_message, val1:2.6, val2:4.3]</v>
      </c>
      <c r="H98" s="173">
        <f t="shared" si="155"/>
        <v>9</v>
      </c>
      <c r="I98" s="173">
        <f t="shared" si="156"/>
        <v>22</v>
      </c>
      <c r="J98" s="173" t="e">
        <f t="shared" si="157"/>
        <v>#VALUE!</v>
      </c>
      <c r="K98" s="173">
        <f t="shared" si="158"/>
        <v>32</v>
      </c>
      <c r="L98" s="173" t="str">
        <f>IFERROR(VLOOKUP(MID(G98,J98,K98-J98),[6]skilldef!$C:$D,2,FALSE),"-") &amp; " / " &amp; IFERROR(VLOOKUP(MID(G98,H98,I98-H98),[6]skilldef!$A:$B,2,FALSE),"-")</f>
        <v>- / -</v>
      </c>
      <c r="M98" s="173" t="str">
        <f t="shared" si="159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N98" s="170" t="str">
        <f>IFERROR(LEFT(M98,FIND("],",M98)+#REF!),M98)</f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O98" s="173">
        <f t="shared" si="160"/>
        <v>9</v>
      </c>
      <c r="P98" s="173">
        <f t="shared" si="161"/>
        <v>22</v>
      </c>
      <c r="Q98" s="173">
        <f t="shared" si="162"/>
        <v>31</v>
      </c>
      <c r="R98" s="173">
        <f t="shared" si="163"/>
        <v>40</v>
      </c>
      <c r="S98" s="173" t="str">
        <f>IFERROR(VLOOKUP(MID(N98,Q98,R98-Q98),[6]skilldef!$C:$D,2,FALSE),"-") &amp; " / " &amp; IFERROR(VLOOKUP(MID(N98,O98,P98-O98),[6]skilldef!$A:$B,2,FALSE),"-")</f>
        <v>敵単体に / カウンター</v>
      </c>
      <c r="T98" s="170" t="str">
        <f t="shared" si="164"/>
        <v>[effect:sp_boost, target:unit_attack, val:4, animation:sp_boost_one02],[effect:fix_speed, target:myself, turn:1]</v>
      </c>
      <c r="U98" s="173">
        <f t="shared" si="165"/>
        <v>9</v>
      </c>
      <c r="V98" s="173">
        <f t="shared" si="166"/>
        <v>17</v>
      </c>
      <c r="W98" s="173">
        <f t="shared" si="167"/>
        <v>26</v>
      </c>
      <c r="X98" s="173">
        <f t="shared" si="168"/>
        <v>37</v>
      </c>
      <c r="Y98" s="173" t="str">
        <f>IFERROR(VLOOKUP(MID(T98,W98,X98-W98),[6]skilldef!$C:$D,2,FALSE),"-") &amp; " / " &amp; IFERROR(VLOOKUP(MID(T98,U98,V98-U98),[6]skilldef!$A:$B,2,FALSE),"-")</f>
        <v>攻撃タイプの味方に / -</v>
      </c>
      <c r="Z98" s="172"/>
      <c r="AA98" s="174"/>
      <c r="AB98" s="172"/>
      <c r="AC98" s="178" t="s">
        <v>343</v>
      </c>
      <c r="AD98" s="173" t="s">
        <v>271</v>
      </c>
    </row>
    <row r="99" spans="1:30" ht="29" customHeight="1" x14ac:dyDescent="0.15">
      <c r="A99" s="170">
        <v>49016920</v>
      </c>
      <c r="B99" s="171" t="s">
        <v>488</v>
      </c>
      <c r="C99" s="172">
        <v>1</v>
      </c>
      <c r="D99" s="172" t="s">
        <v>127</v>
      </c>
      <c r="E99" s="178" t="s">
        <v>395</v>
      </c>
      <c r="F99" s="173" t="s">
        <v>483</v>
      </c>
      <c r="G99" s="173" t="str">
        <f t="shared" si="154"/>
        <v>[effect:enemy_message, val1:2.6, val2:4.3]</v>
      </c>
      <c r="H99" s="173">
        <f t="shared" si="155"/>
        <v>9</v>
      </c>
      <c r="I99" s="173">
        <f t="shared" si="156"/>
        <v>22</v>
      </c>
      <c r="J99" s="173" t="e">
        <f t="shared" si="157"/>
        <v>#VALUE!</v>
      </c>
      <c r="K99" s="173">
        <f t="shared" si="158"/>
        <v>32</v>
      </c>
      <c r="L99" s="173" t="str">
        <f>IFERROR(VLOOKUP(MID(G99,J99,K99-J99),[6]skilldef!$C:$D,2,FALSE),"-") &amp; " / " &amp; IFERROR(VLOOKUP(MID(G99,H99,I99-H99),[6]skilldef!$A:$B,2,FALSE),"-")</f>
        <v>- / -</v>
      </c>
      <c r="M99" s="173" t="str">
        <f t="shared" si="159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N99" s="170" t="str">
        <f t="shared" ref="N99:N107" si="169">IFERROR(LEFT(M99,FIND("],",M99)+S126),M99)</f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O99" s="173">
        <f t="shared" si="160"/>
        <v>9</v>
      </c>
      <c r="P99" s="173">
        <f t="shared" si="161"/>
        <v>22</v>
      </c>
      <c r="Q99" s="173">
        <f t="shared" si="162"/>
        <v>31</v>
      </c>
      <c r="R99" s="173">
        <f t="shared" si="163"/>
        <v>40</v>
      </c>
      <c r="S99" s="173" t="str">
        <f>IFERROR(VLOOKUP(MID(N99,Q99,R99-Q99),[6]skilldef!$C:$D,2,FALSE),"-") &amp; " / " &amp; IFERROR(VLOOKUP(MID(N99,O99,P99-O99),[6]skilldef!$A:$B,2,FALSE),"-")</f>
        <v>敵単体に / カウンター</v>
      </c>
      <c r="T99" s="170" t="str">
        <f t="shared" si="164"/>
        <v>[effect:sp_boost, target:unit_attack, val:4, animation:sp_boost_one02],[effect:fix_speed, target:myself, turn:1]</v>
      </c>
      <c r="U99" s="173">
        <f t="shared" si="165"/>
        <v>9</v>
      </c>
      <c r="V99" s="173">
        <f t="shared" si="166"/>
        <v>17</v>
      </c>
      <c r="W99" s="173">
        <f t="shared" si="167"/>
        <v>26</v>
      </c>
      <c r="X99" s="173">
        <f t="shared" si="168"/>
        <v>37</v>
      </c>
      <c r="Y99" s="173" t="str">
        <f>IFERROR(VLOOKUP(MID(T99,W99,X99-W99),[6]skilldef!$C:$D,2,FALSE),"-") &amp; " / " &amp; IFERROR(VLOOKUP(MID(T99,U99,V99-U99),[6]skilldef!$A:$B,2,FALSE),"-")</f>
        <v>攻撃タイプの味方に / -</v>
      </c>
      <c r="Z99" s="172"/>
      <c r="AA99" s="174"/>
      <c r="AB99" s="172"/>
      <c r="AC99" s="178" t="s">
        <v>343</v>
      </c>
      <c r="AD99" s="173" t="s">
        <v>271</v>
      </c>
    </row>
    <row r="100" spans="1:30" ht="29" customHeight="1" x14ac:dyDescent="0.15">
      <c r="A100" s="170">
        <v>49016921</v>
      </c>
      <c r="B100" s="171" t="s">
        <v>489</v>
      </c>
      <c r="C100" s="172">
        <v>1</v>
      </c>
      <c r="D100" s="172" t="s">
        <v>127</v>
      </c>
      <c r="E100" s="178" t="s">
        <v>425</v>
      </c>
      <c r="F100" s="173" t="s">
        <v>483</v>
      </c>
      <c r="G100" s="173" t="str">
        <f t="shared" si="154"/>
        <v>[effect:enemy_message, val1:2.2, val2:4.3]</v>
      </c>
      <c r="H100" s="173">
        <f t="shared" si="155"/>
        <v>9</v>
      </c>
      <c r="I100" s="173">
        <f t="shared" si="156"/>
        <v>22</v>
      </c>
      <c r="J100" s="173" t="e">
        <f t="shared" si="157"/>
        <v>#VALUE!</v>
      </c>
      <c r="K100" s="173">
        <f t="shared" si="158"/>
        <v>32</v>
      </c>
      <c r="L100" s="173" t="str">
        <f>IFERROR(VLOOKUP(MID(G100,J100,K100-J100),[6]skilldef!$C:$D,2,FALSE),"-") &amp; " / " &amp; IFERROR(VLOOKUP(MID(G100,H100,I100-H100),[6]skilldef!$A:$B,2,FALSE),"-")</f>
        <v>- / -</v>
      </c>
      <c r="M100" s="173" t="str">
        <f t="shared" si="159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N100" s="170" t="str">
        <f t="shared" si="169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O100" s="173">
        <f t="shared" si="160"/>
        <v>9</v>
      </c>
      <c r="P100" s="173">
        <f t="shared" si="161"/>
        <v>22</v>
      </c>
      <c r="Q100" s="173">
        <f t="shared" si="162"/>
        <v>31</v>
      </c>
      <c r="R100" s="173">
        <f t="shared" si="163"/>
        <v>40</v>
      </c>
      <c r="S100" s="173" t="str">
        <f>IFERROR(VLOOKUP(MID(N100,Q100,R100-Q100),[6]skilldef!$C:$D,2,FALSE),"-") &amp; " / " &amp; IFERROR(VLOOKUP(MID(N100,O100,P100-O100),[6]skilldef!$A:$B,2,FALSE),"-")</f>
        <v>敵単体に / カウンター</v>
      </c>
      <c r="T100" s="170" t="str">
        <f t="shared" si="164"/>
        <v>[effect:sp_boost, target:unit_attack, val:4, animation:sp_boost_one02],[effect:fix_speed, target:myself, turn:1]</v>
      </c>
      <c r="U100" s="173">
        <f t="shared" si="165"/>
        <v>9</v>
      </c>
      <c r="V100" s="173">
        <f t="shared" si="166"/>
        <v>17</v>
      </c>
      <c r="W100" s="173">
        <f t="shared" si="167"/>
        <v>26</v>
      </c>
      <c r="X100" s="173">
        <f t="shared" si="168"/>
        <v>37</v>
      </c>
      <c r="Y100" s="173" t="str">
        <f>IFERROR(VLOOKUP(MID(T100,W100,X100-W100),[6]skilldef!$C:$D,2,FALSE),"-") &amp; " / " &amp; IFERROR(VLOOKUP(MID(T100,U100,V100-U100),[6]skilldef!$A:$B,2,FALSE),"-")</f>
        <v>攻撃タイプの味方に / -</v>
      </c>
      <c r="Z100" s="172"/>
      <c r="AA100" s="174"/>
      <c r="AB100" s="172"/>
      <c r="AC100" s="178" t="s">
        <v>344</v>
      </c>
      <c r="AD100" s="173" t="s">
        <v>271</v>
      </c>
    </row>
    <row r="101" spans="1:30" ht="29" customHeight="1" x14ac:dyDescent="0.15">
      <c r="A101" s="170">
        <v>49016922</v>
      </c>
      <c r="B101" s="171" t="s">
        <v>489</v>
      </c>
      <c r="C101" s="172">
        <v>1</v>
      </c>
      <c r="D101" s="172" t="s">
        <v>127</v>
      </c>
      <c r="E101" s="178" t="s">
        <v>425</v>
      </c>
      <c r="F101" s="173" t="s">
        <v>483</v>
      </c>
      <c r="G101" s="173" t="str">
        <f t="shared" si="154"/>
        <v>[effect:enemy_message, val1:2.2, val2:4.3]</v>
      </c>
      <c r="H101" s="173">
        <f t="shared" si="155"/>
        <v>9</v>
      </c>
      <c r="I101" s="173">
        <f t="shared" si="156"/>
        <v>22</v>
      </c>
      <c r="J101" s="173" t="e">
        <f t="shared" si="157"/>
        <v>#VALUE!</v>
      </c>
      <c r="K101" s="173">
        <f t="shared" si="158"/>
        <v>32</v>
      </c>
      <c r="L101" s="173" t="str">
        <f>IFERROR(VLOOKUP(MID(G101,J101,K101-J101),[6]skilldef!$C:$D,2,FALSE),"-") &amp; " / " &amp; IFERROR(VLOOKUP(MID(G101,H101,I101-H101),[6]skilldef!$A:$B,2,FALSE),"-")</f>
        <v>- / -</v>
      </c>
      <c r="M101" s="173" t="str">
        <f t="shared" si="159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N101" s="170" t="str">
        <f t="shared" si="169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O101" s="173">
        <f t="shared" si="160"/>
        <v>9</v>
      </c>
      <c r="P101" s="173">
        <f t="shared" si="161"/>
        <v>22</v>
      </c>
      <c r="Q101" s="173">
        <f t="shared" si="162"/>
        <v>31</v>
      </c>
      <c r="R101" s="173">
        <f t="shared" si="163"/>
        <v>40</v>
      </c>
      <c r="S101" s="173" t="str">
        <f>IFERROR(VLOOKUP(MID(N101,Q101,R101-Q101),[6]skilldef!$C:$D,2,FALSE),"-") &amp; " / " &amp; IFERROR(VLOOKUP(MID(N101,O101,P101-O101),[6]skilldef!$A:$B,2,FALSE),"-")</f>
        <v>敵単体に / カウンター</v>
      </c>
      <c r="T101" s="170" t="str">
        <f t="shared" si="164"/>
        <v>[effect:sp_boost, target:unit_attack, val:4, animation:sp_boost_one02],[effect:fix_speed, target:myself, turn:1]</v>
      </c>
      <c r="U101" s="173">
        <f t="shared" si="165"/>
        <v>9</v>
      </c>
      <c r="V101" s="173">
        <f t="shared" si="166"/>
        <v>17</v>
      </c>
      <c r="W101" s="173">
        <f t="shared" si="167"/>
        <v>26</v>
      </c>
      <c r="X101" s="173">
        <f t="shared" si="168"/>
        <v>37</v>
      </c>
      <c r="Y101" s="173" t="str">
        <f>IFERROR(VLOOKUP(MID(T101,W101,X101-W101),[6]skilldef!$C:$D,2,FALSE),"-") &amp; " / " &amp; IFERROR(VLOOKUP(MID(T101,U101,V101-U101),[6]skilldef!$A:$B,2,FALSE),"-")</f>
        <v>攻撃タイプの味方に / -</v>
      </c>
      <c r="Z101" s="172"/>
      <c r="AA101" s="174"/>
      <c r="AB101" s="172"/>
      <c r="AC101" s="178" t="s">
        <v>344</v>
      </c>
      <c r="AD101" s="173" t="s">
        <v>271</v>
      </c>
    </row>
    <row r="102" spans="1:30" ht="29" customHeight="1" x14ac:dyDescent="0.15">
      <c r="A102" s="170">
        <v>49016923</v>
      </c>
      <c r="B102" s="171" t="s">
        <v>490</v>
      </c>
      <c r="C102" s="172">
        <v>1</v>
      </c>
      <c r="D102" s="172" t="s">
        <v>127</v>
      </c>
      <c r="E102" s="178" t="s">
        <v>396</v>
      </c>
      <c r="F102" s="173" t="s">
        <v>483</v>
      </c>
      <c r="G102" s="173" t="str">
        <f t="shared" si="154"/>
        <v>[effect:enemy_message, val1:2.4, val2:4.3]</v>
      </c>
      <c r="H102" s="173">
        <f t="shared" si="155"/>
        <v>9</v>
      </c>
      <c r="I102" s="173">
        <f t="shared" si="156"/>
        <v>22</v>
      </c>
      <c r="J102" s="173" t="e">
        <f t="shared" si="157"/>
        <v>#VALUE!</v>
      </c>
      <c r="K102" s="173">
        <f t="shared" si="158"/>
        <v>32</v>
      </c>
      <c r="L102" s="173" t="str">
        <f>IFERROR(VLOOKUP(MID(G102,J102,K102-J102),[6]skilldef!$C:$D,2,FALSE),"-") &amp; " / " &amp; IFERROR(VLOOKUP(MID(G102,H102,I102-H102),[6]skilldef!$A:$B,2,FALSE),"-")</f>
        <v>- / -</v>
      </c>
      <c r="M102" s="173" t="str">
        <f t="shared" si="159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N102" s="170" t="str">
        <f t="shared" si="169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O102" s="173">
        <f t="shared" si="160"/>
        <v>9</v>
      </c>
      <c r="P102" s="173">
        <f t="shared" si="161"/>
        <v>22</v>
      </c>
      <c r="Q102" s="173">
        <f t="shared" si="162"/>
        <v>31</v>
      </c>
      <c r="R102" s="173">
        <f t="shared" si="163"/>
        <v>40</v>
      </c>
      <c r="S102" s="173" t="str">
        <f>IFERROR(VLOOKUP(MID(N102,Q102,R102-Q102),[6]skilldef!$C:$D,2,FALSE),"-") &amp; " / " &amp; IFERROR(VLOOKUP(MID(N102,O102,P102-O102),[6]skilldef!$A:$B,2,FALSE),"-")</f>
        <v>敵単体に / カウンター</v>
      </c>
      <c r="T102" s="170" t="str">
        <f t="shared" si="164"/>
        <v>[effect:sp_boost, target:unit_attack, val:4, animation:sp_boost_one02],[effect:fix_speed, target:myself, turn:1]</v>
      </c>
      <c r="U102" s="173">
        <f t="shared" si="165"/>
        <v>9</v>
      </c>
      <c r="V102" s="173">
        <f t="shared" si="166"/>
        <v>17</v>
      </c>
      <c r="W102" s="173">
        <f t="shared" si="167"/>
        <v>26</v>
      </c>
      <c r="X102" s="173">
        <f t="shared" si="168"/>
        <v>37</v>
      </c>
      <c r="Y102" s="173" t="str">
        <f>IFERROR(VLOOKUP(MID(T102,W102,X102-W102),[6]skilldef!$C:$D,2,FALSE),"-") &amp; " / " &amp; IFERROR(VLOOKUP(MID(T102,U102,V102-U102),[6]skilldef!$A:$B,2,FALSE),"-")</f>
        <v>攻撃タイプの味方に / -</v>
      </c>
      <c r="Z102" s="172"/>
      <c r="AA102" s="174"/>
      <c r="AB102" s="172"/>
      <c r="AC102" s="178" t="s">
        <v>345</v>
      </c>
      <c r="AD102" s="173" t="s">
        <v>271</v>
      </c>
    </row>
    <row r="103" spans="1:30" ht="29" customHeight="1" x14ac:dyDescent="0.15">
      <c r="A103" s="170">
        <v>49016924</v>
      </c>
      <c r="B103" s="171" t="s">
        <v>490</v>
      </c>
      <c r="C103" s="172">
        <v>1</v>
      </c>
      <c r="D103" s="172" t="s">
        <v>127</v>
      </c>
      <c r="E103" s="178" t="s">
        <v>396</v>
      </c>
      <c r="F103" s="173" t="s">
        <v>483</v>
      </c>
      <c r="G103" s="173" t="str">
        <f t="shared" ref="G103:G107" si="170">IFERROR(LEFT(B103,FIND("],",B103)),B103)</f>
        <v>[effect:enemy_message, val1:2.4, val2:4.3]</v>
      </c>
      <c r="H103" s="173">
        <f t="shared" ref="H103:H107" si="171">FIND("effect:",G103)+7</f>
        <v>9</v>
      </c>
      <c r="I103" s="173">
        <f t="shared" ref="I103:I107" si="172">IFERROR(FIND(",",G103),LEN(G103))</f>
        <v>22</v>
      </c>
      <c r="J103" s="173" t="e">
        <f t="shared" ref="J103:J107" si="173">FIND("target:",G103)+7</f>
        <v>#VALUE!</v>
      </c>
      <c r="K103" s="173">
        <f t="shared" ref="K103:K107" si="174">FIND(",",G103,I103+1)</f>
        <v>32</v>
      </c>
      <c r="L103" s="173" t="str">
        <f>IFERROR(VLOOKUP(MID(G103,J103,K103-J103),[6]skilldef!$C:$D,2,FALSE),"-") &amp; " / " &amp; IFERROR(VLOOKUP(MID(G103,H103,I103-H103),[6]skilldef!$A:$B,2,FALSE),"-")</f>
        <v>- / -</v>
      </c>
      <c r="M103" s="173" t="str">
        <f t="shared" ref="M103:M107" si="175">IFERROR(RIGHT(B103,LEN(B103)-FIND("],",B103)-1),"none")</f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N103" s="170" t="str">
        <f t="shared" si="169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O103" s="173">
        <f t="shared" ref="O103:O107" si="176">FIND("effect:",N103)+7</f>
        <v>9</v>
      </c>
      <c r="P103" s="173">
        <f t="shared" ref="P103:P107" si="177">IFERROR(FIND(",",N103),LEN(N103))</f>
        <v>22</v>
      </c>
      <c r="Q103" s="173">
        <f t="shared" ref="Q103:Q107" si="178">FIND("target:",N103)+7</f>
        <v>31</v>
      </c>
      <c r="R103" s="173">
        <f t="shared" ref="R103:R107" si="179">FIND(",",N103,P103+1)</f>
        <v>40</v>
      </c>
      <c r="S103" s="173" t="str">
        <f>IFERROR(VLOOKUP(MID(N103,Q103,R103-Q103),[6]skilldef!$C:$D,2,FALSE),"-") &amp; " / " &amp; IFERROR(VLOOKUP(MID(N103,O103,P103-O103),[6]skilldef!$A:$B,2,FALSE),"-")</f>
        <v>敵単体に / カウンター</v>
      </c>
      <c r="T103" s="170" t="str">
        <f t="shared" ref="T103:T107" si="180">IFERROR(RIGHT(M103,LEN(M103)-FIND("],",M103)-1),"none")</f>
        <v>[effect:sp_boost, target:unit_attack, val:4, animation:sp_boost_one02],[effect:fix_speed, target:myself, turn:1]</v>
      </c>
      <c r="U103" s="173">
        <f t="shared" ref="U103:U107" si="181">FIND("effect:",T103)+7</f>
        <v>9</v>
      </c>
      <c r="V103" s="173">
        <f t="shared" ref="V103:V107" si="182">IFERROR(FIND(",",T103),LEN(T103))</f>
        <v>17</v>
      </c>
      <c r="W103" s="173">
        <f t="shared" ref="W103:W107" si="183">FIND("target:",T103)+7</f>
        <v>26</v>
      </c>
      <c r="X103" s="173">
        <f t="shared" ref="X103:X107" si="184">FIND(",",T103,V103+1)</f>
        <v>37</v>
      </c>
      <c r="Y103" s="173" t="str">
        <f>IFERROR(VLOOKUP(MID(T103,W103,X103-W103),[6]skilldef!$C:$D,2,FALSE),"-") &amp; " / " &amp; IFERROR(VLOOKUP(MID(T103,U103,V103-U103),[6]skilldef!$A:$B,2,FALSE),"-")</f>
        <v>攻撃タイプの味方に / -</v>
      </c>
      <c r="Z103" s="172"/>
      <c r="AA103" s="174"/>
      <c r="AB103" s="172"/>
      <c r="AC103" s="178" t="s">
        <v>345</v>
      </c>
      <c r="AD103" s="173" t="s">
        <v>271</v>
      </c>
    </row>
    <row r="104" spans="1:30" ht="29" customHeight="1" x14ac:dyDescent="0.15">
      <c r="A104" s="170">
        <v>49016925</v>
      </c>
      <c r="B104" s="171" t="s">
        <v>489</v>
      </c>
      <c r="C104" s="172">
        <v>1</v>
      </c>
      <c r="D104" s="172" t="s">
        <v>127</v>
      </c>
      <c r="E104" s="178" t="s">
        <v>392</v>
      </c>
      <c r="F104" s="173" t="s">
        <v>483</v>
      </c>
      <c r="G104" s="173" t="str">
        <f t="shared" si="170"/>
        <v>[effect:enemy_message, val1:2.2, val2:4.3]</v>
      </c>
      <c r="H104" s="173">
        <f t="shared" si="171"/>
        <v>9</v>
      </c>
      <c r="I104" s="173">
        <f t="shared" si="172"/>
        <v>22</v>
      </c>
      <c r="J104" s="173" t="e">
        <f t="shared" si="173"/>
        <v>#VALUE!</v>
      </c>
      <c r="K104" s="173">
        <f t="shared" si="174"/>
        <v>32</v>
      </c>
      <c r="L104" s="173" t="str">
        <f>IFERROR(VLOOKUP(MID(G104,J104,K104-J104),[6]skilldef!$C:$D,2,FALSE),"-") &amp; " / " &amp; IFERROR(VLOOKUP(MID(G104,H104,I104-H104),[6]skilldef!$A:$B,2,FALSE),"-")</f>
        <v>- / -</v>
      </c>
      <c r="M104" s="173" t="str">
        <f t="shared" si="175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N104" s="170" t="str">
        <f t="shared" si="169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O104" s="173">
        <f t="shared" si="176"/>
        <v>9</v>
      </c>
      <c r="P104" s="173">
        <f t="shared" si="177"/>
        <v>22</v>
      </c>
      <c r="Q104" s="173">
        <f t="shared" si="178"/>
        <v>31</v>
      </c>
      <c r="R104" s="173">
        <f t="shared" si="179"/>
        <v>40</v>
      </c>
      <c r="S104" s="173" t="str">
        <f>IFERROR(VLOOKUP(MID(N104,Q104,R104-Q104),[6]skilldef!$C:$D,2,FALSE),"-") &amp; " / " &amp; IFERROR(VLOOKUP(MID(N104,O104,P104-O104),[6]skilldef!$A:$B,2,FALSE),"-")</f>
        <v>敵単体に / カウンター</v>
      </c>
      <c r="T104" s="170" t="str">
        <f t="shared" si="180"/>
        <v>[effect:sp_boost, target:unit_attack, val:4, animation:sp_boost_one02],[effect:fix_speed, target:myself, turn:1]</v>
      </c>
      <c r="U104" s="173">
        <f t="shared" si="181"/>
        <v>9</v>
      </c>
      <c r="V104" s="173">
        <f t="shared" si="182"/>
        <v>17</v>
      </c>
      <c r="W104" s="173">
        <f t="shared" si="183"/>
        <v>26</v>
      </c>
      <c r="X104" s="173">
        <f t="shared" si="184"/>
        <v>37</v>
      </c>
      <c r="Y104" s="173" t="str">
        <f>IFERROR(VLOOKUP(MID(T104,W104,X104-W104),[6]skilldef!$C:$D,2,FALSE),"-") &amp; " / " &amp; IFERROR(VLOOKUP(MID(T104,U104,V104-U104),[6]skilldef!$A:$B,2,FALSE),"-")</f>
        <v>攻撃タイプの味方に / -</v>
      </c>
      <c r="Z104" s="172"/>
      <c r="AA104" s="174"/>
      <c r="AB104" s="172"/>
      <c r="AC104" s="178" t="s">
        <v>346</v>
      </c>
      <c r="AD104" s="173" t="s">
        <v>271</v>
      </c>
    </row>
    <row r="105" spans="1:30" ht="29" customHeight="1" x14ac:dyDescent="0.15">
      <c r="A105" s="170">
        <v>49016926</v>
      </c>
      <c r="B105" s="171" t="s">
        <v>489</v>
      </c>
      <c r="C105" s="172">
        <v>1</v>
      </c>
      <c r="D105" s="172" t="s">
        <v>127</v>
      </c>
      <c r="E105" s="178" t="s">
        <v>392</v>
      </c>
      <c r="F105" s="173" t="s">
        <v>483</v>
      </c>
      <c r="G105" s="173" t="str">
        <f t="shared" si="170"/>
        <v>[effect:enemy_message, val1:2.2, val2:4.3]</v>
      </c>
      <c r="H105" s="173">
        <f t="shared" si="171"/>
        <v>9</v>
      </c>
      <c r="I105" s="173">
        <f t="shared" si="172"/>
        <v>22</v>
      </c>
      <c r="J105" s="173" t="e">
        <f t="shared" si="173"/>
        <v>#VALUE!</v>
      </c>
      <c r="K105" s="173">
        <f t="shared" si="174"/>
        <v>32</v>
      </c>
      <c r="L105" s="173" t="str">
        <f>IFERROR(VLOOKUP(MID(G105,J105,K105-J105),[6]skilldef!$C:$D,2,FALSE),"-") &amp; " / " &amp; IFERROR(VLOOKUP(MID(G105,H105,I105-H105),[6]skilldef!$A:$B,2,FALSE),"-")</f>
        <v>- / -</v>
      </c>
      <c r="M105" s="173" t="str">
        <f t="shared" si="175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N105" s="170" t="str">
        <f t="shared" si="169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O105" s="173">
        <f t="shared" si="176"/>
        <v>9</v>
      </c>
      <c r="P105" s="173">
        <f t="shared" si="177"/>
        <v>22</v>
      </c>
      <c r="Q105" s="173">
        <f t="shared" si="178"/>
        <v>31</v>
      </c>
      <c r="R105" s="173">
        <f t="shared" si="179"/>
        <v>40</v>
      </c>
      <c r="S105" s="173" t="str">
        <f>IFERROR(VLOOKUP(MID(N105,Q105,R105-Q105),[6]skilldef!$C:$D,2,FALSE),"-") &amp; " / " &amp; IFERROR(VLOOKUP(MID(N105,O105,P105-O105),[6]skilldef!$A:$B,2,FALSE),"-")</f>
        <v>敵単体に / カウンター</v>
      </c>
      <c r="T105" s="170" t="str">
        <f t="shared" si="180"/>
        <v>[effect:sp_boost, target:unit_attack, val:4, animation:sp_boost_one02],[effect:fix_speed, target:myself, turn:1]</v>
      </c>
      <c r="U105" s="173">
        <f t="shared" si="181"/>
        <v>9</v>
      </c>
      <c r="V105" s="173">
        <f t="shared" si="182"/>
        <v>17</v>
      </c>
      <c r="W105" s="173">
        <f t="shared" si="183"/>
        <v>26</v>
      </c>
      <c r="X105" s="173">
        <f t="shared" si="184"/>
        <v>37</v>
      </c>
      <c r="Y105" s="173" t="str">
        <f>IFERROR(VLOOKUP(MID(T105,W105,X105-W105),[6]skilldef!$C:$D,2,FALSE),"-") &amp; " / " &amp; IFERROR(VLOOKUP(MID(T105,U105,V105-U105),[6]skilldef!$A:$B,2,FALSE),"-")</f>
        <v>攻撃タイプの味方に / -</v>
      </c>
      <c r="Z105" s="172"/>
      <c r="AA105" s="174"/>
      <c r="AB105" s="172"/>
      <c r="AC105" s="178" t="s">
        <v>346</v>
      </c>
      <c r="AD105" s="173" t="s">
        <v>271</v>
      </c>
    </row>
    <row r="106" spans="1:30" ht="29" customHeight="1" x14ac:dyDescent="0.15">
      <c r="A106" s="170">
        <v>49016927</v>
      </c>
      <c r="B106" s="171" t="s">
        <v>491</v>
      </c>
      <c r="C106" s="172">
        <v>1</v>
      </c>
      <c r="D106" s="172" t="s">
        <v>127</v>
      </c>
      <c r="E106" s="178" t="s">
        <v>428</v>
      </c>
      <c r="F106" s="173" t="s">
        <v>483</v>
      </c>
      <c r="G106" s="173" t="str">
        <f t="shared" si="170"/>
        <v>[effect:enemy_message, val1:1.7, val2:4.3]</v>
      </c>
      <c r="H106" s="173">
        <f t="shared" si="171"/>
        <v>9</v>
      </c>
      <c r="I106" s="173">
        <f t="shared" si="172"/>
        <v>22</v>
      </c>
      <c r="J106" s="173" t="e">
        <f t="shared" si="173"/>
        <v>#VALUE!</v>
      </c>
      <c r="K106" s="173">
        <f t="shared" si="174"/>
        <v>32</v>
      </c>
      <c r="L106" s="173" t="str">
        <f>IFERROR(VLOOKUP(MID(G106,J106,K106-J106),[6]skilldef!$C:$D,2,FALSE),"-") &amp; " / " &amp; IFERROR(VLOOKUP(MID(G106,H106,I106-H106),[6]skilldef!$A:$B,2,FALSE),"-")</f>
        <v>- / -</v>
      </c>
      <c r="M106" s="173" t="str">
        <f t="shared" si="175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N106" s="170" t="str">
        <f t="shared" si="169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O106" s="173">
        <f t="shared" si="176"/>
        <v>9</v>
      </c>
      <c r="P106" s="173">
        <f t="shared" si="177"/>
        <v>22</v>
      </c>
      <c r="Q106" s="173">
        <f t="shared" si="178"/>
        <v>31</v>
      </c>
      <c r="R106" s="173">
        <f t="shared" si="179"/>
        <v>40</v>
      </c>
      <c r="S106" s="173" t="str">
        <f>IFERROR(VLOOKUP(MID(N106,Q106,R106-Q106),[6]skilldef!$C:$D,2,FALSE),"-") &amp; " / " &amp; IFERROR(VLOOKUP(MID(N106,O106,P106-O106),[6]skilldef!$A:$B,2,FALSE),"-")</f>
        <v>敵単体に / カウンター</v>
      </c>
      <c r="T106" s="170" t="str">
        <f t="shared" si="180"/>
        <v>[effect:sp_boost, target:unit_attack, val:4, animation:sp_boost_one02],[effect:fix_speed, target:myself, turn:1]</v>
      </c>
      <c r="U106" s="173">
        <f t="shared" si="181"/>
        <v>9</v>
      </c>
      <c r="V106" s="173">
        <f t="shared" si="182"/>
        <v>17</v>
      </c>
      <c r="W106" s="173">
        <f t="shared" si="183"/>
        <v>26</v>
      </c>
      <c r="X106" s="173">
        <f t="shared" si="184"/>
        <v>37</v>
      </c>
      <c r="Y106" s="173" t="str">
        <f>IFERROR(VLOOKUP(MID(T106,W106,X106-W106),[6]skilldef!$C:$D,2,FALSE),"-") &amp; " / " &amp; IFERROR(VLOOKUP(MID(T106,U106,V106-U106),[6]skilldef!$A:$B,2,FALSE),"-")</f>
        <v>攻撃タイプの味方に / -</v>
      </c>
      <c r="Z106" s="172"/>
      <c r="AA106" s="174"/>
      <c r="AB106" s="172"/>
      <c r="AC106" s="178" t="s">
        <v>347</v>
      </c>
      <c r="AD106" s="173" t="s">
        <v>271</v>
      </c>
    </row>
    <row r="107" spans="1:30" ht="29" customHeight="1" x14ac:dyDescent="0.15">
      <c r="A107" s="170">
        <v>49016928</v>
      </c>
      <c r="B107" s="171" t="s">
        <v>491</v>
      </c>
      <c r="C107" s="172">
        <v>1</v>
      </c>
      <c r="D107" s="172" t="s">
        <v>127</v>
      </c>
      <c r="E107" s="178" t="s">
        <v>428</v>
      </c>
      <c r="F107" s="173" t="s">
        <v>483</v>
      </c>
      <c r="G107" s="173" t="str">
        <f t="shared" si="170"/>
        <v>[effect:enemy_message, val1:1.7, val2:4.3]</v>
      </c>
      <c r="H107" s="173">
        <f t="shared" si="171"/>
        <v>9</v>
      </c>
      <c r="I107" s="173">
        <f t="shared" si="172"/>
        <v>22</v>
      </c>
      <c r="J107" s="173" t="e">
        <f t="shared" si="173"/>
        <v>#VALUE!</v>
      </c>
      <c r="K107" s="173">
        <f t="shared" si="174"/>
        <v>32</v>
      </c>
      <c r="L107" s="173" t="str">
        <f>IFERROR(VLOOKUP(MID(G107,J107,K107-J107),[6]skilldef!$C:$D,2,FALSE),"-") &amp; " / " &amp; IFERROR(VLOOKUP(MID(G107,H107,I107-H107),[6]skilldef!$A:$B,2,FALSE),"-")</f>
        <v>- / -</v>
      </c>
      <c r="M107" s="173" t="str">
        <f t="shared" si="175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N107" s="170" t="str">
        <f t="shared" si="169"/>
        <v>[effect:enemy_counter, target:enemy_one, invoke_condition:unit_all, counter_target:attacker, turn:-1, val:0.1, animation:enemy_counter],[effect:sp_boost, target:unit_attack, val:4, animation:sp_boost_one02],[effect:fix_speed, target:myself, turn:1]</v>
      </c>
      <c r="O107" s="173">
        <f t="shared" si="176"/>
        <v>9</v>
      </c>
      <c r="P107" s="173">
        <f t="shared" si="177"/>
        <v>22</v>
      </c>
      <c r="Q107" s="173">
        <f t="shared" si="178"/>
        <v>31</v>
      </c>
      <c r="R107" s="173">
        <f t="shared" si="179"/>
        <v>40</v>
      </c>
      <c r="S107" s="173" t="str">
        <f>IFERROR(VLOOKUP(MID(N107,Q107,R107-Q107),[6]skilldef!$C:$D,2,FALSE),"-") &amp; " / " &amp; IFERROR(VLOOKUP(MID(N107,O107,P107-O107),[6]skilldef!$A:$B,2,FALSE),"-")</f>
        <v>敵単体に / カウンター</v>
      </c>
      <c r="T107" s="170" t="str">
        <f t="shared" si="180"/>
        <v>[effect:sp_boost, target:unit_attack, val:4, animation:sp_boost_one02],[effect:fix_speed, target:myself, turn:1]</v>
      </c>
      <c r="U107" s="173">
        <f t="shared" si="181"/>
        <v>9</v>
      </c>
      <c r="V107" s="173">
        <f t="shared" si="182"/>
        <v>17</v>
      </c>
      <c r="W107" s="173">
        <f t="shared" si="183"/>
        <v>26</v>
      </c>
      <c r="X107" s="173">
        <f t="shared" si="184"/>
        <v>37</v>
      </c>
      <c r="Y107" s="173" t="str">
        <f>IFERROR(VLOOKUP(MID(T107,W107,X107-W107),[6]skilldef!$C:$D,2,FALSE),"-") &amp; " / " &amp; IFERROR(VLOOKUP(MID(T107,U107,V107-U107),[6]skilldef!$A:$B,2,FALSE),"-")</f>
        <v>攻撃タイプの味方に / -</v>
      </c>
      <c r="Z107" s="172"/>
      <c r="AA107" s="174"/>
      <c r="AB107" s="172"/>
      <c r="AC107" s="178" t="s">
        <v>348</v>
      </c>
      <c r="AD107" s="173" t="s">
        <v>271</v>
      </c>
    </row>
    <row r="108" spans="1:30" ht="18" customHeight="1" x14ac:dyDescent="0.15">
      <c r="A108" s="111">
        <v>49016401</v>
      </c>
      <c r="B108" s="165" t="s">
        <v>461</v>
      </c>
      <c r="C108" s="112">
        <v>1</v>
      </c>
      <c r="D108" s="112" t="s">
        <v>127</v>
      </c>
      <c r="E108" s="113" t="s">
        <v>426</v>
      </c>
      <c r="F108" s="113" t="s">
        <v>272</v>
      </c>
      <c r="G108" s="62" t="str">
        <f t="shared" si="0"/>
        <v>[effect:enemy_message, val1:1.2, val2:1.2]</v>
      </c>
      <c r="H108" s="62">
        <f t="shared" si="1"/>
        <v>9</v>
      </c>
      <c r="I108" s="62">
        <f t="shared" si="2"/>
        <v>22</v>
      </c>
      <c r="J108" s="62" t="e">
        <f t="shared" si="3"/>
        <v>#VALUE!</v>
      </c>
      <c r="K108" s="62">
        <f t="shared" si="4"/>
        <v>32</v>
      </c>
      <c r="L108" s="62" t="str">
        <f>IFERROR(VLOOKUP(MID(G108,J108,K108-J108),[6]skilldef!$C:$D,2,FALSE),"-") &amp; " / " &amp; IFERROR(VLOOKUP(MID(G108,H108,I108-H108),[6]skilldef!$A:$B,2,FALSE),"-")</f>
        <v>- / -</v>
      </c>
      <c r="M108" s="62" t="str">
        <f t="shared" si="5"/>
        <v>[effect:rush, count:5, val:0.25]</v>
      </c>
      <c r="N108" s="48" t="str">
        <f t="shared" ref="N108:N113" si="185">IFERROR(LEFT(M108,FIND("],",M108)+S118),M108)</f>
        <v>[effect:rush, count:5, val:0.25]</v>
      </c>
      <c r="O108" s="62">
        <f t="shared" si="6"/>
        <v>9</v>
      </c>
      <c r="P108" s="62">
        <f t="shared" si="7"/>
        <v>13</v>
      </c>
      <c r="Q108" s="62" t="e">
        <f t="shared" si="8"/>
        <v>#VALUE!</v>
      </c>
      <c r="R108" s="62">
        <f t="shared" si="9"/>
        <v>22</v>
      </c>
      <c r="S108" s="62" t="str">
        <f>IFERROR(VLOOKUP(MID(N108,Q108,R108-Q108),[6]skilldef!$C:$D,2,FALSE),"-") &amp; " / " &amp; IFERROR(VLOOKUP(MID(N108,O108,P108-O108),[6]skilldef!$A:$B,2,FALSE),"-")</f>
        <v>- / 連続攻撃</v>
      </c>
      <c r="T108" s="48" t="str">
        <f t="shared" si="10"/>
        <v>none</v>
      </c>
      <c r="U108" s="62" t="e">
        <f t="shared" si="11"/>
        <v>#VALUE!</v>
      </c>
      <c r="V108" s="62">
        <f t="shared" si="12"/>
        <v>4</v>
      </c>
      <c r="W108" s="62" t="e">
        <f t="shared" si="13"/>
        <v>#VALUE!</v>
      </c>
      <c r="X108" s="62" t="e">
        <f t="shared" si="14"/>
        <v>#VALUE!</v>
      </c>
      <c r="Y108" s="62" t="str">
        <f>IFERROR(VLOOKUP(MID(T108,W108,X108-W108),[6]skilldef!$C:$D,2,FALSE),"-") &amp; " / " &amp; IFERROR(VLOOKUP(MID(T108,U108,V108-U108),[6]skilldef!$A:$B,2,FALSE),"-")</f>
        <v>- / -</v>
      </c>
      <c r="Z108" s="50"/>
      <c r="AA108" s="51"/>
      <c r="AB108" s="50"/>
      <c r="AC108" s="113" t="s">
        <v>313</v>
      </c>
      <c r="AD108" s="113" t="s">
        <v>272</v>
      </c>
    </row>
    <row r="109" spans="1:30" ht="18" customHeight="1" x14ac:dyDescent="0.15">
      <c r="A109" s="111">
        <v>49016402</v>
      </c>
      <c r="B109" s="165" t="s">
        <v>462</v>
      </c>
      <c r="C109" s="112">
        <v>1</v>
      </c>
      <c r="D109" s="112" t="s">
        <v>127</v>
      </c>
      <c r="E109" s="113" t="s">
        <v>355</v>
      </c>
      <c r="F109" s="113" t="s">
        <v>273</v>
      </c>
      <c r="G109" s="62" t="str">
        <f t="shared" si="0"/>
        <v>[effect:enemy_message, val1:1.2, val2:1.6]</v>
      </c>
      <c r="H109" s="62">
        <f t="shared" si="1"/>
        <v>9</v>
      </c>
      <c r="I109" s="62">
        <f t="shared" si="2"/>
        <v>22</v>
      </c>
      <c r="J109" s="62" t="e">
        <f t="shared" si="3"/>
        <v>#VALUE!</v>
      </c>
      <c r="K109" s="62">
        <f t="shared" si="4"/>
        <v>32</v>
      </c>
      <c r="L109" s="62" t="str">
        <f>IFERROR(VLOOKUP(MID(G109,J109,K109-J109),[6]skilldef!$C:$D,2,FALSE),"-") &amp; " / " &amp; IFERROR(VLOOKUP(MID(G109,H109,I109-H109),[6]skilldef!$A:$B,2,FALSE),"-")</f>
        <v>- / -</v>
      </c>
      <c r="M109" s="62" t="str">
        <f t="shared" si="5"/>
        <v>[effect:panel_freeze, target:block_blue, count:-1],[effect:rush, count:2, val:0.4]</v>
      </c>
      <c r="N109" s="48" t="str">
        <f t="shared" si="185"/>
        <v>[effect:panel_freeze, target:block_blue, count:-1],[effect:rush, count:2, val:0.4]</v>
      </c>
      <c r="O109" s="62">
        <f t="shared" si="6"/>
        <v>9</v>
      </c>
      <c r="P109" s="62">
        <f t="shared" si="7"/>
        <v>21</v>
      </c>
      <c r="Q109" s="62">
        <f t="shared" si="8"/>
        <v>30</v>
      </c>
      <c r="R109" s="62">
        <f t="shared" si="9"/>
        <v>40</v>
      </c>
      <c r="S109" s="62" t="str">
        <f>IFERROR(VLOOKUP(MID(N109,Q109,R109-Q109),[6]skilldef!$C:$D,2,FALSE),"-") &amp; " / " &amp; IFERROR(VLOOKUP(MID(N109,O109,P109-O109),[6]skilldef!$A:$B,2,FALSE),"-")</f>
        <v>青パネルを / -</v>
      </c>
      <c r="T109" s="48" t="str">
        <f t="shared" si="10"/>
        <v>[effect:rush, count:2, val:0.4]</v>
      </c>
      <c r="U109" s="62">
        <f t="shared" si="11"/>
        <v>9</v>
      </c>
      <c r="V109" s="62">
        <f t="shared" si="12"/>
        <v>13</v>
      </c>
      <c r="W109" s="62" t="e">
        <f t="shared" si="13"/>
        <v>#VALUE!</v>
      </c>
      <c r="X109" s="62">
        <f t="shared" si="14"/>
        <v>22</v>
      </c>
      <c r="Y109" s="62" t="str">
        <f>IFERROR(VLOOKUP(MID(T109,W109,X109-W109),[6]skilldef!$C:$D,2,FALSE),"-") &amp; " / " &amp; IFERROR(VLOOKUP(MID(T109,U109,V109-U109),[6]skilldef!$A:$B,2,FALSE),"-")</f>
        <v>- / 連続攻撃</v>
      </c>
      <c r="Z109" s="50"/>
      <c r="AA109" s="51"/>
      <c r="AB109" s="50"/>
      <c r="AC109" s="113" t="s">
        <v>314</v>
      </c>
      <c r="AD109" s="113" t="s">
        <v>273</v>
      </c>
    </row>
    <row r="110" spans="1:30" ht="18" customHeight="1" x14ac:dyDescent="0.15">
      <c r="A110" s="111">
        <v>49016403</v>
      </c>
      <c r="B110" s="165" t="s">
        <v>463</v>
      </c>
      <c r="C110" s="112">
        <v>1</v>
      </c>
      <c r="D110" s="112" t="s">
        <v>127</v>
      </c>
      <c r="E110" s="113" t="s">
        <v>389</v>
      </c>
      <c r="F110" s="241" t="s">
        <v>512</v>
      </c>
      <c r="G110" s="62" t="str">
        <f t="shared" si="0"/>
        <v>[effect:enemy_message, val1:1.2, val2:1.2]</v>
      </c>
      <c r="H110" s="62">
        <f t="shared" si="1"/>
        <v>9</v>
      </c>
      <c r="I110" s="62">
        <f t="shared" si="2"/>
        <v>22</v>
      </c>
      <c r="J110" s="62" t="e">
        <f t="shared" si="3"/>
        <v>#VALUE!</v>
      </c>
      <c r="K110" s="62">
        <f t="shared" si="4"/>
        <v>32</v>
      </c>
      <c r="L110" s="62" t="str">
        <f>IFERROR(VLOOKUP(MID(G110,J110,K110-J110),[6]skilldef!$C:$D,2,FALSE),"-") &amp; " / " &amp; IFERROR(VLOOKUP(MID(G110,H110,I110-H110),[6]skilldef!$A:$B,2,FALSE),"-")</f>
        <v>- / -</v>
      </c>
      <c r="M110" s="62" t="str">
        <f t="shared" si="5"/>
        <v>[effect:break_attack, target:unit_one, val:0.05, lowest_val:4000, count:-1, color:red, block01:block_blue]</v>
      </c>
      <c r="N110" s="48" t="str">
        <f t="shared" si="185"/>
        <v>[effect:break_attack, target:unit_one, val:0.05, lowest_val:4000, count:-1, color:red, block01:block_blue]</v>
      </c>
      <c r="O110" s="62">
        <f t="shared" si="6"/>
        <v>9</v>
      </c>
      <c r="P110" s="62">
        <f t="shared" si="7"/>
        <v>21</v>
      </c>
      <c r="Q110" s="62">
        <f t="shared" si="8"/>
        <v>30</v>
      </c>
      <c r="R110" s="62">
        <f t="shared" si="9"/>
        <v>38</v>
      </c>
      <c r="S110" s="62" t="str">
        <f>IFERROR(VLOOKUP(MID(N110,Q110,R110-Q110),[6]skilldef!$C:$D,2,FALSE),"-") &amp; " / " &amp; IFERROR(VLOOKUP(MID(N110,O110,P110-O110),[6]skilldef!$A:$B,2,FALSE),"-")</f>
        <v>味方単体に / -</v>
      </c>
      <c r="T110" s="48" t="str">
        <f t="shared" si="10"/>
        <v>none</v>
      </c>
      <c r="U110" s="62" t="e">
        <f t="shared" si="11"/>
        <v>#VALUE!</v>
      </c>
      <c r="V110" s="62">
        <f t="shared" si="12"/>
        <v>4</v>
      </c>
      <c r="W110" s="62" t="e">
        <f t="shared" si="13"/>
        <v>#VALUE!</v>
      </c>
      <c r="X110" s="62" t="e">
        <f t="shared" si="14"/>
        <v>#VALUE!</v>
      </c>
      <c r="Y110" s="62" t="str">
        <f>IFERROR(VLOOKUP(MID(T110,W110,X110-W110),[6]skilldef!$C:$D,2,FALSE),"-") &amp; " / " &amp; IFERROR(VLOOKUP(MID(T110,U110,V110-U110),[6]skilldef!$A:$B,2,FALSE),"-")</f>
        <v>- / -</v>
      </c>
      <c r="Z110" s="50"/>
      <c r="AA110" s="51"/>
      <c r="AB110" s="50"/>
      <c r="AC110" s="113" t="s">
        <v>315</v>
      </c>
      <c r="AD110" s="113" t="s">
        <v>274</v>
      </c>
    </row>
    <row r="111" spans="1:30" ht="18" customHeight="1" x14ac:dyDescent="0.15">
      <c r="A111" s="111">
        <v>49016404</v>
      </c>
      <c r="B111" s="165" t="s">
        <v>464</v>
      </c>
      <c r="C111" s="112">
        <v>1</v>
      </c>
      <c r="D111" s="112" t="s">
        <v>127</v>
      </c>
      <c r="E111" s="113" t="s">
        <v>353</v>
      </c>
      <c r="F111" s="113" t="s">
        <v>275</v>
      </c>
      <c r="G111" s="62" t="str">
        <f t="shared" si="0"/>
        <v>[effect:enemy_message, val1:1.2, val2:1.3]</v>
      </c>
      <c r="H111" s="62">
        <f t="shared" si="1"/>
        <v>9</v>
      </c>
      <c r="I111" s="62">
        <f t="shared" si="2"/>
        <v>22</v>
      </c>
      <c r="J111" s="62" t="e">
        <f t="shared" si="3"/>
        <v>#VALUE!</v>
      </c>
      <c r="K111" s="62">
        <f t="shared" si="4"/>
        <v>32</v>
      </c>
      <c r="L111" s="62" t="str">
        <f>IFERROR(VLOOKUP(MID(G111,J111,K111-J111),[6]skilldef!$C:$D,2,FALSE),"-") &amp; " / " &amp; IFERROR(VLOOKUP(MID(G111,H111,I111-H111),[6]skilldef!$A:$B,2,FALSE),"-")</f>
        <v>- / -</v>
      </c>
      <c r="M111" s="62" t="str">
        <f t="shared" si="5"/>
        <v>none</v>
      </c>
      <c r="N111" s="48" t="str">
        <f t="shared" si="185"/>
        <v>none</v>
      </c>
      <c r="O111" s="62" t="e">
        <f t="shared" si="6"/>
        <v>#VALUE!</v>
      </c>
      <c r="P111" s="62">
        <f t="shared" si="7"/>
        <v>4</v>
      </c>
      <c r="Q111" s="62" t="e">
        <f t="shared" si="8"/>
        <v>#VALUE!</v>
      </c>
      <c r="R111" s="62" t="e">
        <f t="shared" si="9"/>
        <v>#VALUE!</v>
      </c>
      <c r="S111" s="62" t="str">
        <f>IFERROR(VLOOKUP(MID(N111,Q111,R111-Q111),[6]skilldef!$C:$D,2,FALSE),"-") &amp; " / " &amp; IFERROR(VLOOKUP(MID(N111,O111,P111-O111),[6]skilldef!$A:$B,2,FALSE),"-")</f>
        <v>- / -</v>
      </c>
      <c r="T111" s="48" t="str">
        <f t="shared" si="10"/>
        <v>none</v>
      </c>
      <c r="U111" s="62" t="e">
        <f t="shared" si="11"/>
        <v>#VALUE!</v>
      </c>
      <c r="V111" s="62">
        <f t="shared" si="12"/>
        <v>4</v>
      </c>
      <c r="W111" s="62" t="e">
        <f t="shared" si="13"/>
        <v>#VALUE!</v>
      </c>
      <c r="X111" s="62" t="e">
        <f t="shared" si="14"/>
        <v>#VALUE!</v>
      </c>
      <c r="Y111" s="62" t="str">
        <f>IFERROR(VLOOKUP(MID(T111,W111,X111-W111),[6]skilldef!$C:$D,2,FALSE),"-") &amp; " / " &amp; IFERROR(VLOOKUP(MID(T111,U111,V111-U111),[6]skilldef!$A:$B,2,FALSE),"-")</f>
        <v>- / -</v>
      </c>
      <c r="Z111" s="50"/>
      <c r="AA111" s="51"/>
      <c r="AB111" s="50"/>
      <c r="AC111" s="113" t="s">
        <v>317</v>
      </c>
      <c r="AD111" s="113" t="s">
        <v>275</v>
      </c>
    </row>
    <row r="112" spans="1:30" ht="18" customHeight="1" x14ac:dyDescent="0.15">
      <c r="A112" s="111">
        <v>49016405</v>
      </c>
      <c r="B112" s="165" t="s">
        <v>465</v>
      </c>
      <c r="C112" s="112">
        <v>1</v>
      </c>
      <c r="D112" s="112" t="s">
        <v>127</v>
      </c>
      <c r="E112" s="113" t="s">
        <v>427</v>
      </c>
      <c r="F112" s="113" t="s">
        <v>276</v>
      </c>
      <c r="G112" s="62" t="str">
        <f t="shared" si="0"/>
        <v>[effect:enemy_message, val1:1.2, val2:1.2]</v>
      </c>
      <c r="H112" s="62">
        <f t="shared" si="1"/>
        <v>9</v>
      </c>
      <c r="I112" s="62">
        <f t="shared" si="2"/>
        <v>22</v>
      </c>
      <c r="J112" s="62" t="e">
        <f t="shared" si="3"/>
        <v>#VALUE!</v>
      </c>
      <c r="K112" s="62">
        <f t="shared" si="4"/>
        <v>32</v>
      </c>
      <c r="L112" s="62" t="str">
        <f>IFERROR(VLOOKUP(MID(G112,J112,K112-J112),[6]skilldef!$C:$D,2,FALSE),"-") &amp; " / " &amp; IFERROR(VLOOKUP(MID(G112,H112,I112-H112),[6]skilldef!$A:$B,2,FALSE),"-")</f>
        <v>- / -</v>
      </c>
      <c r="M112" s="62" t="str">
        <f t="shared" si="5"/>
        <v>[effect:rush, count:10, val:0.17]</v>
      </c>
      <c r="N112" s="48" t="str">
        <f t="shared" si="185"/>
        <v>[effect:rush, count:10, val:0.17]</v>
      </c>
      <c r="O112" s="62">
        <f t="shared" si="6"/>
        <v>9</v>
      </c>
      <c r="P112" s="62">
        <f t="shared" si="7"/>
        <v>13</v>
      </c>
      <c r="Q112" s="62" t="e">
        <f t="shared" si="8"/>
        <v>#VALUE!</v>
      </c>
      <c r="R112" s="62">
        <f t="shared" si="9"/>
        <v>23</v>
      </c>
      <c r="S112" s="62" t="str">
        <f>IFERROR(VLOOKUP(MID(N112,Q112,R112-Q112),[6]skilldef!$C:$D,2,FALSE),"-") &amp; " / " &amp; IFERROR(VLOOKUP(MID(N112,O112,P112-O112),[6]skilldef!$A:$B,2,FALSE),"-")</f>
        <v>- / 連続攻撃</v>
      </c>
      <c r="T112" s="48" t="str">
        <f t="shared" si="10"/>
        <v>none</v>
      </c>
      <c r="U112" s="62" t="e">
        <f t="shared" si="11"/>
        <v>#VALUE!</v>
      </c>
      <c r="V112" s="62">
        <f t="shared" si="12"/>
        <v>4</v>
      </c>
      <c r="W112" s="62" t="e">
        <f t="shared" si="13"/>
        <v>#VALUE!</v>
      </c>
      <c r="X112" s="62" t="e">
        <f t="shared" si="14"/>
        <v>#VALUE!</v>
      </c>
      <c r="Y112" s="62" t="str">
        <f>IFERROR(VLOOKUP(MID(T112,W112,X112-W112),[6]skilldef!$C:$D,2,FALSE),"-") &amp; " / " &amp; IFERROR(VLOOKUP(MID(T112,U112,V112-U112),[6]skilldef!$A:$B,2,FALSE),"-")</f>
        <v>- / -</v>
      </c>
      <c r="Z112" s="50"/>
      <c r="AA112" s="51"/>
      <c r="AB112" s="50"/>
      <c r="AC112" s="113" t="s">
        <v>318</v>
      </c>
      <c r="AD112" s="113" t="s">
        <v>276</v>
      </c>
    </row>
    <row r="113" spans="1:31" ht="107" customHeight="1" x14ac:dyDescent="0.2">
      <c r="A113" s="120">
        <v>49016500</v>
      </c>
      <c r="B113" s="207" t="s">
        <v>564</v>
      </c>
      <c r="C113" s="121">
        <v>1</v>
      </c>
      <c r="D113" s="121" t="s">
        <v>127</v>
      </c>
      <c r="E113" s="122" t="s">
        <v>352</v>
      </c>
      <c r="F113" s="206" t="s">
        <v>419</v>
      </c>
      <c r="G113" s="62" t="str">
        <f t="shared" si="0"/>
        <v>[effect:enemy_message, val1:1.2, val2:4.7]</v>
      </c>
      <c r="H113" s="62">
        <f t="shared" si="1"/>
        <v>9</v>
      </c>
      <c r="I113" s="62">
        <f t="shared" si="2"/>
        <v>22</v>
      </c>
      <c r="J113" s="62" t="e">
        <f t="shared" si="3"/>
        <v>#VALUE!</v>
      </c>
      <c r="K113" s="62">
        <f t="shared" si="4"/>
        <v>32</v>
      </c>
      <c r="L113" s="62" t="str">
        <f>IFERROR(VLOOKUP(MID(G113,J113,K113-J113),[6]skilldef!$C:$D,2,FALSE),"-") &amp; " / " &amp; IFERROR(VLOOKUP(MID(G113,H113,I113-H113),[6]skilldef!$A:$B,2,FALSE),"-")</f>
        <v>- / -</v>
      </c>
      <c r="M113" s="62" t="str">
        <f t="shared" si="5"/>
        <v>[effect:drop_freeze, turn:-1, block_type:normal, block_color:block_blue, rate:1, animation:drop_protect],[effect:drop_freeze, turn:-1, block_type:normal, block_color:block_red, rate:1],[effect:fix_speed, target:myself, turn:1],[effect:drop_freeze, turn:-1, block_type:crack_bomb, rate:1],[effect:drop_block, block_type:crack_bomb, color:block_red, val:12, rate:0.5, turn:-1, animation:bomb_influence04],[effect:drop_block, block_type:crack_bomb, color:block_blue, val:12, rate:0.5, turn:-1],[effect:play_bgm, turn:-1, bgm_path:BGM/BattleBoss9803],[effect:set_background, turn:-1, background_id:999, switching_mode:go_front, duration:2]</v>
      </c>
      <c r="N113" s="48" t="str">
        <f t="shared" si="185"/>
        <v>[effect:drop_freeze, turn:-1, block_type:normal, block_color:block_blue, rate:1, animation:drop_protect],[effect:drop_freeze, turn:-1, block_type:normal, block_color:block_red, rate:1],[effect:fix_speed, target:myself, turn:1],[effect:drop_freeze, turn:-1, block_type:crack_bomb, rate:1],[effect:drop_block, block_type:crack_bomb, color:block_red, val:12, rate:0.5, turn:-1, animation:bomb_influence04],[effect:drop_block, block_type:crack_bomb, color:block_blue, val:12, rate:0.5, turn:-1],[effect:play_bgm, turn:-1, bgm_path:BGM/BattleBoss9803],[effect:set_background, turn:-1, background_id:999, switching_mode:go_front, duration:2]</v>
      </c>
      <c r="O113" s="62">
        <f t="shared" si="6"/>
        <v>9</v>
      </c>
      <c r="P113" s="62">
        <f t="shared" si="7"/>
        <v>20</v>
      </c>
      <c r="Q113" s="62">
        <f t="shared" si="8"/>
        <v>212</v>
      </c>
      <c r="R113" s="62">
        <f t="shared" si="9"/>
        <v>29</v>
      </c>
      <c r="S113" s="62" t="str">
        <f>IFERROR(VLOOKUP(MID(N113,Q113,R113-Q113),[6]skilldef!$C:$D,2,FALSE),"-") &amp; " / " &amp; IFERROR(VLOOKUP(MID(N113,O113,P113-O113),[6]skilldef!$A:$B,2,FALSE),"-")</f>
        <v>- / -</v>
      </c>
      <c r="T113" s="48" t="str">
        <f t="shared" si="10"/>
        <v>[effect:drop_freeze, turn:-1, block_type:normal, block_color:block_red, rate:1],[effect:fix_speed, target:myself, turn:1],[effect:drop_freeze, turn:-1, block_type:crack_bomb, rate:1],[effect:drop_block, block_type:crack_bomb, color:block_red, val:12, rate:0.5, turn:-1, animation:bomb_influence04],[effect:drop_block, block_type:crack_bomb, color:block_blue, val:12, rate:0.5, turn:-1],[effect:play_bgm, turn:-1, bgm_path:BGM/BattleBoss9803],[effect:set_background, turn:-1, background_id:999, switching_mode:go_front, duration:2]</v>
      </c>
      <c r="U113" s="62">
        <f t="shared" si="11"/>
        <v>9</v>
      </c>
      <c r="V113" s="62">
        <f t="shared" si="12"/>
        <v>20</v>
      </c>
      <c r="W113" s="62">
        <f t="shared" si="13"/>
        <v>107</v>
      </c>
      <c r="X113" s="62">
        <f t="shared" si="14"/>
        <v>29</v>
      </c>
      <c r="Y113" s="62" t="str">
        <f>IFERROR(VLOOKUP(MID(T113,W113,X113-W113),[6]skilldef!$C:$D,2,FALSE),"-") &amp; " / " &amp; IFERROR(VLOOKUP(MID(T113,U113,V113-U113),[6]skilldef!$A:$B,2,FALSE),"-")</f>
        <v>- / -</v>
      </c>
      <c r="Z113" s="50"/>
      <c r="AA113" s="51"/>
      <c r="AB113" s="50"/>
      <c r="AC113" s="122" t="s">
        <v>319</v>
      </c>
      <c r="AD113" s="122" t="s">
        <v>277</v>
      </c>
      <c r="AE113" s="243"/>
    </row>
    <row r="114" spans="1:31" ht="61" customHeight="1" x14ac:dyDescent="0.15">
      <c r="A114" s="120">
        <v>49016501</v>
      </c>
      <c r="B114" s="166" t="s">
        <v>466</v>
      </c>
      <c r="C114" s="121">
        <v>1</v>
      </c>
      <c r="D114" s="121" t="s">
        <v>127</v>
      </c>
      <c r="E114" s="122" t="s">
        <v>404</v>
      </c>
      <c r="F114" s="122" t="s">
        <v>278</v>
      </c>
      <c r="G114" s="62" t="str">
        <f t="shared" si="0"/>
        <v>[effect:enemy_message, val1:1.2, val2:3.1]</v>
      </c>
      <c r="H114" s="62">
        <f t="shared" si="1"/>
        <v>9</v>
      </c>
      <c r="I114" s="62">
        <f t="shared" si="2"/>
        <v>22</v>
      </c>
      <c r="J114" s="62" t="e">
        <f t="shared" si="3"/>
        <v>#VALUE!</v>
      </c>
      <c r="K114" s="62">
        <f t="shared" si="4"/>
        <v>32</v>
      </c>
      <c r="L114" s="62" t="str">
        <f>IFERROR(VLOOKUP(MID(G114,J114,K114-J114),[6]skilldef!$C:$D,2,FALSE),"-") &amp; " / " &amp; IFERROR(VLOOKUP(MID(G114,H114,I114-H114),[6]skilldef!$A:$B,2,FALSE),"-")</f>
        <v>- / -</v>
      </c>
      <c r="M114" s="62" t="str">
        <f t="shared" si="5"/>
        <v>[effect:remove_enhancement, target:unit_all, target_effect:enhance, status:defense, animation:frozen_wave],[effect:remove_enhancement, target:unit_all, target_effect:reduction],[effect:remove_enhancement, target:unit_all, target_effect:counter_new],[effect:critical, val:1.5, animation:enemy_critical]</v>
      </c>
      <c r="N114" s="48" t="str">
        <f>IFERROR(LEFT(M114,FIND("],",M114)+#REF!),M114)</f>
        <v>[effect:remove_enhancement, target:unit_all, target_effect:enhance, status:defense, animation:frozen_wave],[effect:remove_enhancement, target:unit_all, target_effect:reduction],[effect:remove_enhancement, target:unit_all, target_effect:counter_new],[effect:critical, val:1.5, animation:enemy_critical]</v>
      </c>
      <c r="O114" s="62">
        <f t="shared" si="6"/>
        <v>9</v>
      </c>
      <c r="P114" s="62">
        <f t="shared" si="7"/>
        <v>27</v>
      </c>
      <c r="Q114" s="62">
        <f t="shared" si="8"/>
        <v>36</v>
      </c>
      <c r="R114" s="62">
        <f t="shared" si="9"/>
        <v>44</v>
      </c>
      <c r="S114" s="62" t="str">
        <f>IFERROR(VLOOKUP(MID(N114,Q114,R114-Q114),[6]skilldef!$C:$D,2,FALSE),"-") &amp; " / " &amp; IFERROR(VLOOKUP(MID(N114,O114,P114-O114),[6]skilldef!$A:$B,2,FALSE),"-")</f>
        <v>味方全体に / -</v>
      </c>
      <c r="T114" s="48" t="str">
        <f t="shared" si="10"/>
        <v>[effect:remove_enhancement, target:unit_all, target_effect:reduction],[effect:remove_enhancement, target:unit_all, target_effect:counter_new],[effect:critical, val:1.5, animation:enemy_critical]</v>
      </c>
      <c r="U114" s="62">
        <f t="shared" si="11"/>
        <v>9</v>
      </c>
      <c r="V114" s="62">
        <f t="shared" si="12"/>
        <v>27</v>
      </c>
      <c r="W114" s="62">
        <f t="shared" si="13"/>
        <v>36</v>
      </c>
      <c r="X114" s="62">
        <f t="shared" si="14"/>
        <v>44</v>
      </c>
      <c r="Y114" s="62" t="str">
        <f>IFERROR(VLOOKUP(MID(T114,W114,X114-W114),[6]skilldef!$C:$D,2,FALSE),"-") &amp; " / " &amp; IFERROR(VLOOKUP(MID(T114,U114,V114-U114),[6]skilldef!$A:$B,2,FALSE),"-")</f>
        <v>味方全体に / -</v>
      </c>
      <c r="Z114" s="50"/>
      <c r="AA114" s="51"/>
      <c r="AB114" s="50"/>
      <c r="AC114" s="122" t="s">
        <v>313</v>
      </c>
      <c r="AD114" s="122" t="s">
        <v>278</v>
      </c>
    </row>
    <row r="115" spans="1:31" ht="51" customHeight="1" x14ac:dyDescent="0.15">
      <c r="A115" s="120">
        <v>49016502</v>
      </c>
      <c r="B115" s="166" t="s">
        <v>467</v>
      </c>
      <c r="C115" s="121">
        <v>1</v>
      </c>
      <c r="D115" s="121" t="s">
        <v>127</v>
      </c>
      <c r="E115" s="122" t="s">
        <v>429</v>
      </c>
      <c r="F115" s="239" t="s">
        <v>510</v>
      </c>
      <c r="G115" s="62" t="str">
        <f t="shared" si="0"/>
        <v>[effect:enemy_message, val1:1.2, val2:3.0]</v>
      </c>
      <c r="H115" s="62">
        <f t="shared" si="1"/>
        <v>9</v>
      </c>
      <c r="I115" s="62">
        <f t="shared" si="2"/>
        <v>22</v>
      </c>
      <c r="J115" s="62" t="e">
        <f t="shared" si="3"/>
        <v>#VALUE!</v>
      </c>
      <c r="K115" s="62">
        <f t="shared" si="4"/>
        <v>32</v>
      </c>
      <c r="L115" s="62" t="str">
        <f>IFERROR(VLOOKUP(MID(G115,J115,K115-J115),[6]skilldef!$C:$D,2,FALSE),"-") &amp; " / " &amp; IFERROR(VLOOKUP(MID(G115,H115,I115-H115),[6]skilldef!$A:$B,2,FALSE),"-")</f>
        <v>- / -</v>
      </c>
      <c r="M115" s="62" t="str">
        <f t="shared" si="5"/>
        <v>[effect:force_change_block, new_block:block_red, target:block_green, count:5, val:0, animation:change_block],[effect:force_change_block, new_block:block_blue, target:block_yellow, count:5, val:0, animation:change_block],[effect:rush, count:4, val:0.25]</v>
      </c>
      <c r="N115" s="48" t="str">
        <f t="shared" ref="N115" si="186">IFERROR(LEFT(M115,FIND("],",M115)+S124),M115)</f>
        <v>[effect:force_change_block, new_block:block_red, target:block_green, count:5, val:0, animation:change_block],[effect:force_change_block, new_block:block_blue, target:block_yellow, count:5, val:0, animation:change_block],[effect:rush, count:4, val:0.25]</v>
      </c>
      <c r="O115" s="62">
        <f t="shared" si="6"/>
        <v>9</v>
      </c>
      <c r="P115" s="62">
        <f t="shared" si="7"/>
        <v>27</v>
      </c>
      <c r="Q115" s="62">
        <f t="shared" si="8"/>
        <v>57</v>
      </c>
      <c r="R115" s="62">
        <f t="shared" si="9"/>
        <v>48</v>
      </c>
      <c r="S115" s="62" t="str">
        <f>IFERROR(VLOOKUP(MID(N115,Q115,R115-Q115),[6]skilldef!$C:$D,2,FALSE),"-") &amp; " / " &amp; IFERROR(VLOOKUP(MID(N115,O115,P115-O115),[6]skilldef!$A:$B,2,FALSE),"-")</f>
        <v>- / -</v>
      </c>
      <c r="T115" s="48" t="str">
        <f t="shared" si="10"/>
        <v>[effect:force_change_block, new_block:block_blue, target:block_yellow, count:5, val:0, animation:change_block],[effect:rush, count:4, val:0.25]</v>
      </c>
      <c r="U115" s="62">
        <f t="shared" si="11"/>
        <v>9</v>
      </c>
      <c r="V115" s="62">
        <f t="shared" si="12"/>
        <v>27</v>
      </c>
      <c r="W115" s="62">
        <f t="shared" si="13"/>
        <v>58</v>
      </c>
      <c r="X115" s="62">
        <f t="shared" si="14"/>
        <v>49</v>
      </c>
      <c r="Y115" s="62" t="str">
        <f>IFERROR(VLOOKUP(MID(T115,W115,X115-W115),[6]skilldef!$C:$D,2,FALSE),"-") &amp; " / " &amp; IFERROR(VLOOKUP(MID(T115,U115,V115-U115),[6]skilldef!$A:$B,2,FALSE),"-")</f>
        <v>- / -</v>
      </c>
      <c r="Z115" s="50"/>
      <c r="AA115" s="51"/>
      <c r="AB115" s="50"/>
      <c r="AC115" s="122" t="s">
        <v>314</v>
      </c>
      <c r="AD115" s="122" t="s">
        <v>279</v>
      </c>
    </row>
    <row r="116" spans="1:31" ht="39" customHeight="1" x14ac:dyDescent="0.15">
      <c r="A116" s="120">
        <v>49016503</v>
      </c>
      <c r="B116" s="208" t="s">
        <v>468</v>
      </c>
      <c r="C116" s="121">
        <v>1</v>
      </c>
      <c r="D116" s="121" t="s">
        <v>127</v>
      </c>
      <c r="E116" s="122" t="s">
        <v>430</v>
      </c>
      <c r="F116" s="209" t="s">
        <v>416</v>
      </c>
      <c r="G116" s="62" t="str">
        <f t="shared" si="0"/>
        <v>[effect:enemy_message, val1:1.2, val2:1.6]</v>
      </c>
      <c r="H116" s="62">
        <f t="shared" si="1"/>
        <v>9</v>
      </c>
      <c r="I116" s="62">
        <f t="shared" si="2"/>
        <v>22</v>
      </c>
      <c r="J116" s="62" t="e">
        <f t="shared" si="3"/>
        <v>#VALUE!</v>
      </c>
      <c r="K116" s="62">
        <f t="shared" si="4"/>
        <v>32</v>
      </c>
      <c r="L116" s="62" t="str">
        <f>IFERROR(VLOOKUP(MID(G116,J116,K116-J116),[6]skilldef!$C:$D,2,FALSE),"-") &amp; " / " &amp; IFERROR(VLOOKUP(MID(G116,H116,I116-H116),[6]skilldef!$A:$B,2,FALSE),"-")</f>
        <v>- / -</v>
      </c>
      <c r="M116" s="62" t="str">
        <f t="shared" si="5"/>
        <v>[effect:break_attack_fix, target:unit_one, val:200, lowest_val:2000, count:-1, color:red, block01:block_red, block02:block_blue, block03:crack_bomb]</v>
      </c>
      <c r="N116" s="48" t="str">
        <f>IFERROR(LEFT(M116,FIND("],",M116)+#REF!),M116)</f>
        <v>[effect:break_attack_fix, target:unit_one, val:200, lowest_val:2000, count:-1, color:red, block01:block_red, block02:block_blue, block03:crack_bomb]</v>
      </c>
      <c r="O116" s="62">
        <f t="shared" si="6"/>
        <v>9</v>
      </c>
      <c r="P116" s="62">
        <f t="shared" si="7"/>
        <v>25</v>
      </c>
      <c r="Q116" s="62">
        <f t="shared" si="8"/>
        <v>34</v>
      </c>
      <c r="R116" s="62">
        <f t="shared" si="9"/>
        <v>42</v>
      </c>
      <c r="S116" s="62" t="str">
        <f>IFERROR(VLOOKUP(MID(N116,Q116,R116-Q116),[6]skilldef!$C:$D,2,FALSE),"-") &amp; " / " &amp; IFERROR(VLOOKUP(MID(N116,O116,P116-O116),[6]skilldef!$A:$B,2,FALSE),"-")</f>
        <v>味方単体に / -</v>
      </c>
      <c r="T116" s="48" t="str">
        <f t="shared" si="10"/>
        <v>none</v>
      </c>
      <c r="U116" s="62" t="e">
        <f t="shared" si="11"/>
        <v>#VALUE!</v>
      </c>
      <c r="V116" s="62">
        <f t="shared" si="12"/>
        <v>4</v>
      </c>
      <c r="W116" s="62" t="e">
        <f t="shared" si="13"/>
        <v>#VALUE!</v>
      </c>
      <c r="X116" s="62" t="e">
        <f t="shared" si="14"/>
        <v>#VALUE!</v>
      </c>
      <c r="Y116" s="62" t="str">
        <f>IFERROR(VLOOKUP(MID(T116,W116,X116-W116),[6]skilldef!$C:$D,2,FALSE),"-") &amp; " / " &amp; IFERROR(VLOOKUP(MID(T116,U116,V116-U116),[6]skilldef!$A:$B,2,FALSE),"-")</f>
        <v>- / -</v>
      </c>
      <c r="Z116" s="50"/>
      <c r="AA116" s="51"/>
      <c r="AB116" s="50"/>
      <c r="AC116" s="122" t="s">
        <v>315</v>
      </c>
      <c r="AD116" s="122" t="s">
        <v>280</v>
      </c>
    </row>
    <row r="117" spans="1:31" ht="39" customHeight="1" x14ac:dyDescent="0.15">
      <c r="A117" s="120">
        <v>49016504</v>
      </c>
      <c r="B117" s="208" t="s">
        <v>469</v>
      </c>
      <c r="C117" s="121">
        <v>1</v>
      </c>
      <c r="D117" s="121" t="s">
        <v>127</v>
      </c>
      <c r="E117" s="122" t="s">
        <v>354</v>
      </c>
      <c r="F117" s="209" t="s">
        <v>417</v>
      </c>
      <c r="G117" s="62" t="str">
        <f t="shared" si="0"/>
        <v>[effect:enemy_message, val1:1.2, val2:3.4]</v>
      </c>
      <c r="H117" s="62">
        <f t="shared" si="1"/>
        <v>9</v>
      </c>
      <c r="I117" s="62">
        <f t="shared" si="2"/>
        <v>22</v>
      </c>
      <c r="J117" s="62" t="e">
        <f t="shared" si="3"/>
        <v>#VALUE!</v>
      </c>
      <c r="K117" s="62">
        <f t="shared" si="4"/>
        <v>32</v>
      </c>
      <c r="L117" s="62" t="str">
        <f>IFERROR(VLOOKUP(MID(G117,J117,K117-J117),[6]skilldef!$C:$D,2,FALSE),"-") &amp; " / " &amp; IFERROR(VLOOKUP(MID(G117,H117,I117-H117),[6]skilldef!$A:$B,2,FALSE),"-")</f>
        <v>- / -</v>
      </c>
      <c r="M117" s="62" t="str">
        <f t="shared" si="5"/>
        <v>[effect:break_heal_ratio, target:myself, val:0.02, lowest_val:0, count:-1, block01:block_blue, block02:block_red, block03:crack_bomb, animation:enemy_heal],[effect:hungup, target:unit_all, turn:1, rate:1, animation:hungup01]</v>
      </c>
      <c r="N117" s="48" t="str">
        <f>IFERROR(LEFT(M117,FIND("],",M117)+#REF!),M117)</f>
        <v>[effect:break_heal_ratio, target:myself, val:0.02, lowest_val:0, count:-1, block01:block_blue, block02:block_red, block03:crack_bomb, animation:enemy_heal],[effect:hungup, target:unit_all, turn:1, rate:1, animation:hungup01]</v>
      </c>
      <c r="O117" s="62">
        <f t="shared" si="6"/>
        <v>9</v>
      </c>
      <c r="P117" s="62">
        <f t="shared" si="7"/>
        <v>25</v>
      </c>
      <c r="Q117" s="62">
        <f t="shared" si="8"/>
        <v>34</v>
      </c>
      <c r="R117" s="62">
        <f t="shared" si="9"/>
        <v>40</v>
      </c>
      <c r="S117" s="62" t="str">
        <f>IFERROR(VLOOKUP(MID(N117,Q117,R117-Q117),[6]skilldef!$C:$D,2,FALSE),"-") &amp; " / " &amp; IFERROR(VLOOKUP(MID(N117,O117,P117-O117),[6]skilldef!$A:$B,2,FALSE),"-")</f>
        <v>自分自身に / -</v>
      </c>
      <c r="T117" s="48" t="str">
        <f t="shared" si="10"/>
        <v>[effect:hungup, target:unit_all, turn:1, rate:1, animation:hungup01]</v>
      </c>
      <c r="U117" s="62">
        <f t="shared" si="11"/>
        <v>9</v>
      </c>
      <c r="V117" s="62">
        <f t="shared" si="12"/>
        <v>15</v>
      </c>
      <c r="W117" s="62">
        <f t="shared" si="13"/>
        <v>24</v>
      </c>
      <c r="X117" s="62">
        <f t="shared" si="14"/>
        <v>32</v>
      </c>
      <c r="Y117" s="62" t="str">
        <f>IFERROR(VLOOKUP(MID(T117,W117,X117-W117),[6]skilldef!$C:$D,2,FALSE),"-") &amp; " / " &amp; IFERROR(VLOOKUP(MID(T117,U117,V117-U117),[6]skilldef!$A:$B,2,FALSE),"-")</f>
        <v>味方全体に / ハングアップ</v>
      </c>
      <c r="Z117" s="50"/>
      <c r="AA117" s="51"/>
      <c r="AB117" s="50"/>
      <c r="AC117" s="122" t="s">
        <v>324</v>
      </c>
      <c r="AD117" s="122" t="s">
        <v>287</v>
      </c>
    </row>
    <row r="118" spans="1:31" ht="46" customHeight="1" x14ac:dyDescent="0.15">
      <c r="A118" s="123">
        <v>49016600</v>
      </c>
      <c r="B118" s="207" t="s">
        <v>470</v>
      </c>
      <c r="C118" s="124">
        <v>1</v>
      </c>
      <c r="D118" s="124" t="s">
        <v>127</v>
      </c>
      <c r="E118" s="125" t="s">
        <v>351</v>
      </c>
      <c r="F118" s="206" t="s">
        <v>418</v>
      </c>
      <c r="G118" s="62" t="str">
        <f t="shared" si="0"/>
        <v>[effect:enemy_message, val1:1.2, val2:2.8]</v>
      </c>
      <c r="H118" s="62">
        <f t="shared" si="1"/>
        <v>9</v>
      </c>
      <c r="I118" s="62">
        <f t="shared" si="2"/>
        <v>22</v>
      </c>
      <c r="J118" s="62" t="e">
        <f t="shared" si="3"/>
        <v>#VALUE!</v>
      </c>
      <c r="K118" s="62">
        <f t="shared" si="4"/>
        <v>32</v>
      </c>
      <c r="L118" s="62" t="str">
        <f>IFERROR(VLOOKUP(MID(G118,J118,K118-J118),[6]skilldef!$C:$D,2,FALSE),"-") &amp; " / " &amp; IFERROR(VLOOKUP(MID(G118,H118,I118-H118),[6]skilldef!$A:$B,2,FALSE),"-")</f>
        <v>- / -</v>
      </c>
      <c r="M118" s="62" t="str">
        <f t="shared" si="5"/>
        <v>[effect:degrade_fever, val:1000, animation:fevergauge_down],[effect:fix_speed, target:myself, turn:1],[effect:change_panel_ratio, turn:6, block_type:red, val:0.4, animation:block_incidence04],[effect:change_panel_ratio, turn:6, block_type:blue, val:0.4]</v>
      </c>
      <c r="N118" s="48" t="str">
        <f>IFERROR(LEFT(M118,FIND("],",M118)+#REF!),M118)</f>
        <v>[effect:degrade_fever, val:1000, animation:fevergauge_down],[effect:fix_speed, target:myself, turn:1],[effect:change_panel_ratio, turn:6, block_type:red, val:0.4, animation:block_incidence04],[effect:change_panel_ratio, turn:6, block_type:blue, val:0.4]</v>
      </c>
      <c r="O118" s="62">
        <f t="shared" si="6"/>
        <v>9</v>
      </c>
      <c r="P118" s="62">
        <f t="shared" si="7"/>
        <v>22</v>
      </c>
      <c r="Q118" s="62">
        <f t="shared" si="8"/>
        <v>87</v>
      </c>
      <c r="R118" s="62">
        <f t="shared" si="9"/>
        <v>32</v>
      </c>
      <c r="S118" s="62" t="str">
        <f>IFERROR(VLOOKUP(MID(N118,Q118,R118-Q118),[6]skilldef!$C:$D,2,FALSE),"-") &amp; " / " &amp; IFERROR(VLOOKUP(MID(N118,O118,P118-O118),[6]skilldef!$A:$B,2,FALSE),"-")</f>
        <v>- / フィーバーゲージ減少</v>
      </c>
      <c r="T118" s="48" t="str">
        <f t="shared" si="10"/>
        <v>[effect:fix_speed, target:myself, turn:1],[effect:change_panel_ratio, turn:6, block_type:red, val:0.4, animation:block_incidence04],[effect:change_panel_ratio, turn:6, block_type:blue, val:0.4]</v>
      </c>
      <c r="U118" s="62">
        <f t="shared" si="11"/>
        <v>9</v>
      </c>
      <c r="V118" s="62">
        <f t="shared" si="12"/>
        <v>18</v>
      </c>
      <c r="W118" s="62">
        <f t="shared" si="13"/>
        <v>27</v>
      </c>
      <c r="X118" s="62">
        <f t="shared" si="14"/>
        <v>33</v>
      </c>
      <c r="Y118" s="62" t="str">
        <f>IFERROR(VLOOKUP(MID(T118,W118,X118-W118),[6]skilldef!$C:$D,2,FALSE),"-") &amp; " / " &amp; IFERROR(VLOOKUP(MID(T118,U118,V118-U118),[6]skilldef!$A:$B,2,FALSE),"-")</f>
        <v>自分自身に / 行動値設定</v>
      </c>
      <c r="Z118" s="50"/>
      <c r="AA118" s="51"/>
      <c r="AB118" s="50"/>
      <c r="AC118" s="125" t="s">
        <v>320</v>
      </c>
      <c r="AD118" s="125" t="s">
        <v>281</v>
      </c>
    </row>
    <row r="119" spans="1:31" ht="58" customHeight="1" x14ac:dyDescent="0.15">
      <c r="A119" s="123">
        <v>49016601</v>
      </c>
      <c r="B119" s="167" t="s">
        <v>471</v>
      </c>
      <c r="C119" s="124">
        <v>1</v>
      </c>
      <c r="D119" s="124" t="s">
        <v>127</v>
      </c>
      <c r="E119" s="125" t="s">
        <v>404</v>
      </c>
      <c r="F119" s="125" t="s">
        <v>282</v>
      </c>
      <c r="G119" s="62" t="str">
        <f t="shared" si="0"/>
        <v>[effect:enemy_message, val1:1.2, val2:3.0]</v>
      </c>
      <c r="H119" s="62">
        <f t="shared" si="1"/>
        <v>9</v>
      </c>
      <c r="I119" s="62">
        <f t="shared" si="2"/>
        <v>22</v>
      </c>
      <c r="J119" s="62" t="e">
        <f t="shared" si="3"/>
        <v>#VALUE!</v>
      </c>
      <c r="K119" s="62">
        <f t="shared" si="4"/>
        <v>32</v>
      </c>
      <c r="L119" s="62" t="str">
        <f>IFERROR(VLOOKUP(MID(G119,J119,K119-J119),[6]skilldef!$C:$D,2,FALSE),"-") &amp; " / " &amp; IFERROR(VLOOKUP(MID(G119,H119,I119-H119),[6]skilldef!$A:$B,2,FALSE),"-")</f>
        <v>- / -</v>
      </c>
      <c r="M119" s="62" t="str">
        <f t="shared" si="5"/>
        <v>[effect:remove_enhancement, target:unit_all, target_effect:enhance, status:defense, animation:frozen_wave],[effect:remove_enhancement, target:unit_all, target_effect:reduction],[effect:remove_enhancement, target:unit_all, target_effect:counter_new],[effect:rush, count:2, val:0.7]</v>
      </c>
      <c r="N119" s="48" t="str">
        <f>IFERROR(LEFT(M119,FIND("],",M119)+#REF!),M119)</f>
        <v>[effect:remove_enhancement, target:unit_all, target_effect:enhance, status:defense, animation:frozen_wave],[effect:remove_enhancement, target:unit_all, target_effect:reduction],[effect:remove_enhancement, target:unit_all, target_effect:counter_new],[effect:rush, count:2, val:0.7]</v>
      </c>
      <c r="O119" s="62">
        <f t="shared" si="6"/>
        <v>9</v>
      </c>
      <c r="P119" s="62">
        <f t="shared" si="7"/>
        <v>27</v>
      </c>
      <c r="Q119" s="62">
        <f t="shared" si="8"/>
        <v>36</v>
      </c>
      <c r="R119" s="62">
        <f t="shared" si="9"/>
        <v>44</v>
      </c>
      <c r="S119" s="62" t="str">
        <f>IFERROR(VLOOKUP(MID(N119,Q119,R119-Q119),[6]skilldef!$C:$D,2,FALSE),"-") &amp; " / " &amp; IFERROR(VLOOKUP(MID(N119,O119,P119-O119),[6]skilldef!$A:$B,2,FALSE),"-")</f>
        <v>味方全体に / -</v>
      </c>
      <c r="T119" s="48" t="str">
        <f t="shared" si="10"/>
        <v>[effect:remove_enhancement, target:unit_all, target_effect:reduction],[effect:remove_enhancement, target:unit_all, target_effect:counter_new],[effect:rush, count:2, val:0.7]</v>
      </c>
      <c r="U119" s="62">
        <f t="shared" si="11"/>
        <v>9</v>
      </c>
      <c r="V119" s="62">
        <f t="shared" si="12"/>
        <v>27</v>
      </c>
      <c r="W119" s="62">
        <f t="shared" si="13"/>
        <v>36</v>
      </c>
      <c r="X119" s="62">
        <f t="shared" si="14"/>
        <v>44</v>
      </c>
      <c r="Y119" s="62" t="str">
        <f>IFERROR(VLOOKUP(MID(T119,W119,X119-W119),[6]skilldef!$C:$D,2,FALSE),"-") &amp; " / " &amp; IFERROR(VLOOKUP(MID(T119,U119,V119-U119),[6]skilldef!$A:$B,2,FALSE),"-")</f>
        <v>味方全体に / -</v>
      </c>
      <c r="Z119" s="50"/>
      <c r="AA119" s="51"/>
      <c r="AB119" s="50"/>
      <c r="AC119" s="125" t="s">
        <v>313</v>
      </c>
      <c r="AD119" s="125" t="s">
        <v>282</v>
      </c>
    </row>
    <row r="120" spans="1:31" ht="39" customHeight="1" x14ac:dyDescent="0.15">
      <c r="A120" s="123">
        <v>49016602</v>
      </c>
      <c r="B120" s="208" t="s">
        <v>468</v>
      </c>
      <c r="C120" s="124">
        <v>1</v>
      </c>
      <c r="D120" s="124" t="s">
        <v>127</v>
      </c>
      <c r="E120" s="125" t="s">
        <v>430</v>
      </c>
      <c r="F120" s="209" t="s">
        <v>416</v>
      </c>
      <c r="G120" s="62" t="str">
        <f t="shared" si="0"/>
        <v>[effect:enemy_message, val1:1.2, val2:1.6]</v>
      </c>
      <c r="H120" s="62">
        <f t="shared" si="1"/>
        <v>9</v>
      </c>
      <c r="I120" s="62">
        <f t="shared" si="2"/>
        <v>22</v>
      </c>
      <c r="J120" s="62" t="e">
        <f t="shared" si="3"/>
        <v>#VALUE!</v>
      </c>
      <c r="K120" s="62">
        <f t="shared" si="4"/>
        <v>32</v>
      </c>
      <c r="L120" s="62" t="str">
        <f>IFERROR(VLOOKUP(MID(G120,J120,K120-J120),[6]skilldef!$C:$D,2,FALSE),"-") &amp; " / " &amp; IFERROR(VLOOKUP(MID(G120,H120,I120-H120),[6]skilldef!$A:$B,2,FALSE),"-")</f>
        <v>- / -</v>
      </c>
      <c r="M120" s="62" t="str">
        <f t="shared" si="5"/>
        <v>[effect:break_attack_fix, target:unit_one, val:200, lowest_val:2000, count:-1, color:red, block01:block_red, block02:block_blue, block03:crack_bomb]</v>
      </c>
      <c r="N120" s="48" t="str">
        <f>IFERROR(LEFT(M120,FIND("],",M120)+#REF!),M120)</f>
        <v>[effect:break_attack_fix, target:unit_one, val:200, lowest_val:2000, count:-1, color:red, block01:block_red, block02:block_blue, block03:crack_bomb]</v>
      </c>
      <c r="O120" s="62">
        <f t="shared" si="6"/>
        <v>9</v>
      </c>
      <c r="P120" s="62">
        <f t="shared" si="7"/>
        <v>25</v>
      </c>
      <c r="Q120" s="62">
        <f t="shared" si="8"/>
        <v>34</v>
      </c>
      <c r="R120" s="62">
        <f t="shared" si="9"/>
        <v>42</v>
      </c>
      <c r="S120" s="62" t="str">
        <f>IFERROR(VLOOKUP(MID(N120,Q120,R120-Q120),[6]skilldef!$C:$D,2,FALSE),"-") &amp; " / " &amp; IFERROR(VLOOKUP(MID(N120,O120,P120-O120),[6]skilldef!$A:$B,2,FALSE),"-")</f>
        <v>味方単体に / -</v>
      </c>
      <c r="T120" s="48" t="str">
        <f t="shared" si="10"/>
        <v>none</v>
      </c>
      <c r="U120" s="62" t="e">
        <f t="shared" si="11"/>
        <v>#VALUE!</v>
      </c>
      <c r="V120" s="62">
        <f t="shared" si="12"/>
        <v>4</v>
      </c>
      <c r="W120" s="62" t="e">
        <f t="shared" si="13"/>
        <v>#VALUE!</v>
      </c>
      <c r="X120" s="62" t="e">
        <f t="shared" si="14"/>
        <v>#VALUE!</v>
      </c>
      <c r="Y120" s="62" t="str">
        <f>IFERROR(VLOOKUP(MID(T120,W120,X120-W120),[6]skilldef!$C:$D,2,FALSE),"-") &amp; " / " &amp; IFERROR(VLOOKUP(MID(T120,U120,V120-U120),[6]skilldef!$A:$B,2,FALSE),"-")</f>
        <v>- / -</v>
      </c>
      <c r="Z120" s="50"/>
      <c r="AA120" s="51"/>
      <c r="AB120" s="50"/>
      <c r="AC120" s="125" t="s">
        <v>314</v>
      </c>
      <c r="AD120" s="125" t="s">
        <v>280</v>
      </c>
    </row>
    <row r="121" spans="1:31" ht="20" customHeight="1" x14ac:dyDescent="0.15">
      <c r="A121" s="123">
        <v>49016603</v>
      </c>
      <c r="B121" s="167" t="s">
        <v>472</v>
      </c>
      <c r="C121" s="124">
        <v>1</v>
      </c>
      <c r="D121" s="124" t="s">
        <v>127</v>
      </c>
      <c r="E121" s="125" t="s">
        <v>350</v>
      </c>
      <c r="F121" s="242" t="s">
        <v>513</v>
      </c>
      <c r="G121" s="62" t="str">
        <f t="shared" si="0"/>
        <v>[effect:enemy_message, val1:1.2, val2:1.2]</v>
      </c>
      <c r="H121" s="62">
        <f t="shared" si="1"/>
        <v>9</v>
      </c>
      <c r="I121" s="62">
        <f t="shared" si="2"/>
        <v>22</v>
      </c>
      <c r="J121" s="62" t="e">
        <f t="shared" si="3"/>
        <v>#VALUE!</v>
      </c>
      <c r="K121" s="62">
        <f t="shared" si="4"/>
        <v>32</v>
      </c>
      <c r="L121" s="62" t="str">
        <f>IFERROR(VLOOKUP(MID(G121,J121,K121-J121),[6]skilldef!$C:$D,2,FALSE),"-") &amp; " / " &amp; IFERROR(VLOOKUP(MID(G121,H121,I121-H121),[6]skilldef!$A:$B,2,FALSE),"-")</f>
        <v>- / -</v>
      </c>
      <c r="M121" s="62" t="str">
        <f t="shared" si="5"/>
        <v>[effect:damage_gravity, val:0.7, animation:fevergauge_down]</v>
      </c>
      <c r="N121" s="48" t="str">
        <f>IFERROR(LEFT(M121,FIND("],",M121)+#REF!),M121)</f>
        <v>[effect:damage_gravity, val:0.7, animation:fevergauge_down]</v>
      </c>
      <c r="O121" s="62">
        <f t="shared" si="6"/>
        <v>9</v>
      </c>
      <c r="P121" s="62">
        <f t="shared" si="7"/>
        <v>23</v>
      </c>
      <c r="Q121" s="62" t="e">
        <f t="shared" si="8"/>
        <v>#VALUE!</v>
      </c>
      <c r="R121" s="62">
        <f t="shared" si="9"/>
        <v>32</v>
      </c>
      <c r="S121" s="62" t="str">
        <f>IFERROR(VLOOKUP(MID(N121,Q121,R121-Q121),[6]skilldef!$C:$D,2,FALSE),"-") &amp; " / " &amp; IFERROR(VLOOKUP(MID(N121,O121,P121-O121),[6]skilldef!$A:$B,2,FALSE),"-")</f>
        <v>- / 割合ダメージ</v>
      </c>
      <c r="T121" s="48" t="str">
        <f t="shared" si="10"/>
        <v>none</v>
      </c>
      <c r="U121" s="62" t="e">
        <f t="shared" si="11"/>
        <v>#VALUE!</v>
      </c>
      <c r="V121" s="62">
        <f t="shared" si="12"/>
        <v>4</v>
      </c>
      <c r="W121" s="62" t="e">
        <f t="shared" si="13"/>
        <v>#VALUE!</v>
      </c>
      <c r="X121" s="62" t="e">
        <f t="shared" si="14"/>
        <v>#VALUE!</v>
      </c>
      <c r="Y121" s="62" t="str">
        <f>IFERROR(VLOOKUP(MID(T121,W121,X121-W121),[6]skilldef!$C:$D,2,FALSE),"-") &amp; " / " &amp; IFERROR(VLOOKUP(MID(T121,U121,V121-U121),[6]skilldef!$A:$B,2,FALSE),"-")</f>
        <v>- / -</v>
      </c>
      <c r="Z121" s="50"/>
      <c r="AA121" s="51"/>
      <c r="AB121" s="50"/>
      <c r="AC121" s="125" t="s">
        <v>321</v>
      </c>
      <c r="AD121" s="125" t="s">
        <v>283</v>
      </c>
    </row>
    <row r="122" spans="1:31" ht="20" customHeight="1" x14ac:dyDescent="0.15">
      <c r="A122" s="123">
        <v>49016604</v>
      </c>
      <c r="B122" s="167" t="s">
        <v>473</v>
      </c>
      <c r="C122" s="124">
        <v>1</v>
      </c>
      <c r="D122" s="124" t="s">
        <v>127</v>
      </c>
      <c r="E122" s="125" t="s">
        <v>356</v>
      </c>
      <c r="F122" s="125" t="s">
        <v>284</v>
      </c>
      <c r="G122" s="62" t="str">
        <f t="shared" si="0"/>
        <v>[effect:enemy_message, val1:1.2, val2:1.2]</v>
      </c>
      <c r="H122" s="62">
        <f t="shared" si="1"/>
        <v>9</v>
      </c>
      <c r="I122" s="62">
        <f t="shared" si="2"/>
        <v>22</v>
      </c>
      <c r="J122" s="62" t="e">
        <f t="shared" si="3"/>
        <v>#VALUE!</v>
      </c>
      <c r="K122" s="62">
        <f t="shared" si="4"/>
        <v>32</v>
      </c>
      <c r="L122" s="62" t="str">
        <f>IFERROR(VLOOKUP(MID(G122,J122,K122-J122),[6]skilldef!$C:$D,2,FALSE),"-") &amp; " / " &amp; IFERROR(VLOOKUP(MID(G122,H122,I122-H122),[6]skilldef!$A:$B,2,FALSE),"-")</f>
        <v>- / -</v>
      </c>
      <c r="M122" s="62" t="str">
        <f t="shared" si="5"/>
        <v>none</v>
      </c>
      <c r="N122" s="48" t="str">
        <f>IFERROR(LEFT(M122,FIND("],",M122)+#REF!),M122)</f>
        <v>none</v>
      </c>
      <c r="O122" s="62" t="e">
        <f t="shared" si="6"/>
        <v>#VALUE!</v>
      </c>
      <c r="P122" s="62">
        <f t="shared" si="7"/>
        <v>4</v>
      </c>
      <c r="Q122" s="62" t="e">
        <f t="shared" si="8"/>
        <v>#VALUE!</v>
      </c>
      <c r="R122" s="62" t="e">
        <f t="shared" si="9"/>
        <v>#VALUE!</v>
      </c>
      <c r="S122" s="62" t="str">
        <f>IFERROR(VLOOKUP(MID(N122,Q122,R122-Q122),[6]skilldef!$C:$D,2,FALSE),"-") &amp; " / " &amp; IFERROR(VLOOKUP(MID(N122,O122,P122-O122),[6]skilldef!$A:$B,2,FALSE),"-")</f>
        <v>- / -</v>
      </c>
      <c r="T122" s="48" t="str">
        <f t="shared" si="10"/>
        <v>none</v>
      </c>
      <c r="U122" s="62" t="e">
        <f t="shared" si="11"/>
        <v>#VALUE!</v>
      </c>
      <c r="V122" s="62">
        <f t="shared" si="12"/>
        <v>4</v>
      </c>
      <c r="W122" s="62" t="e">
        <f t="shared" si="13"/>
        <v>#VALUE!</v>
      </c>
      <c r="X122" s="62" t="e">
        <f t="shared" si="14"/>
        <v>#VALUE!</v>
      </c>
      <c r="Y122" s="62" t="str">
        <f>IFERROR(VLOOKUP(MID(T122,W122,X122-W122),[6]skilldef!$C:$D,2,FALSE),"-") &amp; " / " &amp; IFERROR(VLOOKUP(MID(T122,U122,V122-U122),[6]skilldef!$A:$B,2,FALSE),"-")</f>
        <v>- / -</v>
      </c>
      <c r="Z122" s="50"/>
      <c r="AA122" s="51"/>
      <c r="AB122" s="50"/>
      <c r="AC122" s="125" t="s">
        <v>323</v>
      </c>
      <c r="AD122" s="125" t="s">
        <v>284</v>
      </c>
    </row>
    <row r="123" spans="1:31" ht="120" customHeight="1" x14ac:dyDescent="0.15">
      <c r="A123" s="123">
        <v>49016605</v>
      </c>
      <c r="B123" s="167" t="s">
        <v>474</v>
      </c>
      <c r="C123" s="124">
        <v>1</v>
      </c>
      <c r="D123" s="124" t="s">
        <v>127</v>
      </c>
      <c r="E123" s="125" t="s">
        <v>431</v>
      </c>
      <c r="F123" s="169" t="s">
        <v>286</v>
      </c>
      <c r="G123" s="62" t="str">
        <f t="shared" si="0"/>
        <v>[effect:enemy_message, val1:1.2, val2:4.0]</v>
      </c>
      <c r="H123" s="62">
        <f t="shared" si="1"/>
        <v>9</v>
      </c>
      <c r="I123" s="62">
        <f t="shared" si="2"/>
        <v>22</v>
      </c>
      <c r="J123" s="62" t="e">
        <f t="shared" si="3"/>
        <v>#VALUE!</v>
      </c>
      <c r="K123" s="62">
        <f t="shared" si="4"/>
        <v>32</v>
      </c>
      <c r="L123" s="62" t="str">
        <f>IFERROR(VLOOKUP(MID(G123,J123,K123-J123),[6]skilldef!$C:$D,2,FALSE),"-") &amp; " / " &amp; IFERROR(VLOOKUP(MID(G123,H123,I123-H123),[6]skilldef!$A:$B,2,FALSE),"-")</f>
        <v>- / -</v>
      </c>
      <c r="M123" s="62" t="str">
        <f t="shared" si="5"/>
        <v>[effect:critical, val:1.5, animation:enemy_critical],[effect:force_change_block, new_block:block_red, target:block_all, ignore01:block_positive, count:0, val:0, animation:change_block],[effect:change_range_block, block_change:1, base_type:0, square_count:3, position01:3, value_h01:1, value_w01:5, new_block:block_blue,target:block_all, ignore01:block_positive, count:0, val:0, animation:change_range_block],[effect:change_range_block, block_change:1, base_type:1, square_count:7, position01:22, value_rad01:1, value_h01:1, value_w01:1, new_block:color_break, target:block_all, color:block_blue, count:1, val:0,  animation:change_range_block],[effect:change_range_block, block_change:1, base_type:1, square_count:7, position01:26, value_rad01:1, value_h01:1, value_w01:1, new_block:color_break, target:block_all, color:block_red, count:1, val:0, animation:change_range_block]</v>
      </c>
      <c r="N123" s="48" t="str">
        <f>IFERROR(LEFT(M123,FIND("],",M123)+#REF!),M123)</f>
        <v>[effect:critical, val:1.5, animation:enemy_critical],[effect:force_change_block, new_block:block_red, target:block_all, ignore01:block_positive, count:0, val:0, animation:change_block],[effect:change_range_block, block_change:1, base_type:0, square_count:3, position01:3, value_h01:1, value_w01:5, new_block:block_blue,target:block_all, ignore01:block_positive, count:0, val:0, animation:change_range_block],[effect:change_range_block, block_change:1, base_type:1, square_count:7, position01:22, value_rad01:1, value_h01:1, value_w01:1, new_block:color_break, target:block_all, color:block_blue, count:1, val:0,  animation:change_range_block],[effect:change_range_block, block_change:1, base_type:1, square_count:7, position01:26, value_rad01:1, value_h01:1, value_w01:1, new_block:color_break, target:block_all, color:block_red, count:1, val:0, animation:change_range_block]</v>
      </c>
      <c r="O123" s="62">
        <f t="shared" si="6"/>
        <v>9</v>
      </c>
      <c r="P123" s="62">
        <f t="shared" si="7"/>
        <v>17</v>
      </c>
      <c r="Q123" s="62">
        <f t="shared" si="8"/>
        <v>110</v>
      </c>
      <c r="R123" s="62">
        <f t="shared" si="9"/>
        <v>26</v>
      </c>
      <c r="S123" s="62" t="str">
        <f>IFERROR(VLOOKUP(MID(N123,Q123,R123-Q123),[6]skilldef!$C:$D,2,FALSE),"-") &amp; " / " &amp; IFERROR(VLOOKUP(MID(N123,O123,P123-O123),[6]skilldef!$A:$B,2,FALSE),"-")</f>
        <v>- / 大攻撃</v>
      </c>
      <c r="T123" s="48" t="str">
        <f t="shared" si="10"/>
        <v>[effect:force_change_block, new_block:block_red, target:block_all, ignore01:block_positive, count:0, val:0, animation:change_block],[effect:change_range_block, block_change:1, base_type:0, square_count:3, position01:3, value_h01:1, value_w01:5, new_block:block_blue,target:block_all, ignore01:block_positive, count:0, val:0, animation:change_range_block],[effect:change_range_block, block_change:1, base_type:1, square_count:7, position01:22, value_rad01:1, value_h01:1, value_w01:1, new_block:color_break, target:block_all, color:block_blue, count:1, val:0,  animation:change_range_block],[effect:change_range_block, block_change:1, base_type:1, square_count:7, position01:26, value_rad01:1, value_h01:1, value_w01:1, new_block:color_break, target:block_all, color:block_red, count:1, val:0, animation:change_range_block]</v>
      </c>
      <c r="U123" s="62">
        <f t="shared" si="11"/>
        <v>9</v>
      </c>
      <c r="V123" s="62">
        <f t="shared" si="12"/>
        <v>27</v>
      </c>
      <c r="W123" s="62">
        <f t="shared" si="13"/>
        <v>57</v>
      </c>
      <c r="X123" s="62">
        <f t="shared" si="14"/>
        <v>48</v>
      </c>
      <c r="Y123" s="62" t="str">
        <f>IFERROR(VLOOKUP(MID(T123,W123,X123-W123),[6]skilldef!$C:$D,2,FALSE),"-") &amp; " / " &amp; IFERROR(VLOOKUP(MID(T123,U123,V123-U123),[6]skilldef!$A:$B,2,FALSE),"-")</f>
        <v>- / -</v>
      </c>
      <c r="Z123" s="50"/>
      <c r="AA123" s="51"/>
      <c r="AB123" s="50"/>
      <c r="AC123" s="125" t="s">
        <v>322</v>
      </c>
      <c r="AD123" s="125" t="s">
        <v>286</v>
      </c>
    </row>
    <row r="124" spans="1:31" ht="39" customHeight="1" x14ac:dyDescent="0.15">
      <c r="A124" s="123">
        <v>49016606</v>
      </c>
      <c r="B124" s="176" t="s">
        <v>481</v>
      </c>
      <c r="C124" s="177">
        <v>1</v>
      </c>
      <c r="D124" s="177" t="s">
        <v>127</v>
      </c>
      <c r="E124" s="178" t="s">
        <v>400</v>
      </c>
      <c r="F124" s="125" t="s">
        <v>325</v>
      </c>
      <c r="G124" s="62" t="str">
        <f t="shared" ref="G124" si="187">IFERROR(LEFT(B124,FIND("],",B124)),B124)</f>
        <v>[effect:enemy_message, val1:1.7, val2:0.0]</v>
      </c>
      <c r="H124" s="62">
        <f t="shared" ref="H124" si="188">FIND("effect:",G124)+7</f>
        <v>9</v>
      </c>
      <c r="I124" s="62">
        <f t="shared" ref="I124" si="189">IFERROR(FIND(",",G124),LEN(G124))</f>
        <v>22</v>
      </c>
      <c r="J124" s="62" t="e">
        <f t="shared" ref="J124" si="190">FIND("target:",G124)+7</f>
        <v>#VALUE!</v>
      </c>
      <c r="K124" s="62">
        <f t="shared" ref="K124" si="191">FIND(",",G124,I124+1)</f>
        <v>32</v>
      </c>
      <c r="L124" s="62" t="str">
        <f>IFERROR(VLOOKUP(MID(G124,J124,K124-J124),[6]skilldef!$C:$D,2,FALSE),"-") &amp; " / " &amp; IFERROR(VLOOKUP(MID(G124,H124,I124-H124),[6]skilldef!$A:$B,2,FALSE),"-")</f>
        <v>- / -</v>
      </c>
      <c r="M124" s="62" t="str">
        <f t="shared" ref="M124" si="192">IFERROR(RIGHT(B124,LEN(B124)-FIND("],",B124)-1),"none")</f>
        <v>none</v>
      </c>
      <c r="N124" s="48" t="str">
        <f>IFERROR(LEFT(M124,FIND("],",M124)+S178),M124)</f>
        <v>none</v>
      </c>
      <c r="O124" s="62" t="e">
        <f t="shared" ref="O124" si="193">FIND("effect:",N124)+7</f>
        <v>#VALUE!</v>
      </c>
      <c r="P124" s="62">
        <f t="shared" ref="P124" si="194">IFERROR(FIND(",",N124),LEN(N124))</f>
        <v>4</v>
      </c>
      <c r="Q124" s="62" t="e">
        <f t="shared" ref="Q124" si="195">FIND("target:",N124)+7</f>
        <v>#VALUE!</v>
      </c>
      <c r="R124" s="62" t="e">
        <f t="shared" ref="R124" si="196">FIND(",",N124,P124+1)</f>
        <v>#VALUE!</v>
      </c>
      <c r="S124" s="62" t="str">
        <f>IFERROR(VLOOKUP(MID(N124,Q124,R124-Q124),[6]skilldef!$C:$D,2,FALSE),"-") &amp; " / " &amp; IFERROR(VLOOKUP(MID(N124,O124,P124-O124),[6]skilldef!$A:$B,2,FALSE),"-")</f>
        <v>- / -</v>
      </c>
      <c r="T124" s="48" t="str">
        <f t="shared" ref="T124" si="197">IFERROR(RIGHT(M124,LEN(M124)-FIND("],",M124)-1),"none")</f>
        <v>none</v>
      </c>
      <c r="U124" s="62" t="e">
        <f t="shared" ref="U124" si="198">FIND("effect:",T124)+7</f>
        <v>#VALUE!</v>
      </c>
      <c r="V124" s="62">
        <f t="shared" ref="V124" si="199">IFERROR(FIND(",",T124),LEN(T124))</f>
        <v>4</v>
      </c>
      <c r="W124" s="62" t="e">
        <f t="shared" ref="W124" si="200">FIND("target:",T124)+7</f>
        <v>#VALUE!</v>
      </c>
      <c r="X124" s="62" t="e">
        <f t="shared" ref="X124" si="201">FIND(",",T124,V124+1)</f>
        <v>#VALUE!</v>
      </c>
      <c r="Y124" s="62" t="str">
        <f>IFERROR(VLOOKUP(MID(T124,W124,X124-W124),[6]skilldef!$C:$D,2,FALSE),"-") &amp; " / " &amp; IFERROR(VLOOKUP(MID(T124,U124,V124-U124),[6]skilldef!$A:$B,2,FALSE),"-")</f>
        <v>- / -</v>
      </c>
      <c r="Z124" s="50"/>
      <c r="AA124" s="51"/>
      <c r="AB124" s="50"/>
      <c r="AC124" s="178" t="s">
        <v>357</v>
      </c>
      <c r="AD124" s="179"/>
    </row>
    <row r="125" spans="1:31" ht="31" customHeight="1" thickBot="1" x14ac:dyDescent="0.2">
      <c r="A125" s="183">
        <v>49016607</v>
      </c>
      <c r="B125" s="187" t="s">
        <v>481</v>
      </c>
      <c r="C125" s="188">
        <v>1</v>
      </c>
      <c r="D125" s="188" t="s">
        <v>127</v>
      </c>
      <c r="E125" s="189" t="s">
        <v>399</v>
      </c>
      <c r="F125" s="190" t="s">
        <v>325</v>
      </c>
      <c r="G125" s="191" t="str">
        <f t="shared" ref="G125" si="202">IFERROR(LEFT(B125,FIND("],",B125)),B125)</f>
        <v>[effect:enemy_message, val1:1.7, val2:0.0]</v>
      </c>
      <c r="H125" s="191">
        <f t="shared" ref="H125" si="203">FIND("effect:",G125)+7</f>
        <v>9</v>
      </c>
      <c r="I125" s="191">
        <f t="shared" ref="I125" si="204">IFERROR(FIND(",",G125),LEN(G125))</f>
        <v>22</v>
      </c>
      <c r="J125" s="191" t="e">
        <f t="shared" ref="J125" si="205">FIND("target:",G125)+7</f>
        <v>#VALUE!</v>
      </c>
      <c r="K125" s="191">
        <f t="shared" ref="K125" si="206">FIND(",",G125,I125+1)</f>
        <v>32</v>
      </c>
      <c r="L125" s="191" t="str">
        <f>IFERROR(VLOOKUP(MID(G125,J125,K125-J125),[6]skilldef!$C:$D,2,FALSE),"-") &amp; " / " &amp; IFERROR(VLOOKUP(MID(G125,H125,I125-H125),[6]skilldef!$A:$B,2,FALSE),"-")</f>
        <v>- / -</v>
      </c>
      <c r="M125" s="191" t="str">
        <f t="shared" ref="M125" si="207">IFERROR(RIGHT(B125,LEN(B125)-FIND("],",B125)-1),"none")</f>
        <v>none</v>
      </c>
      <c r="N125" s="185" t="str">
        <f>IFERROR(LEFT(M125,FIND("],",M125)+S200),M125)</f>
        <v>none</v>
      </c>
      <c r="O125" s="191" t="e">
        <f t="shared" ref="O125" si="208">FIND("effect:",N125)+7</f>
        <v>#VALUE!</v>
      </c>
      <c r="P125" s="191">
        <f t="shared" ref="P125" si="209">IFERROR(FIND(",",N125),LEN(N125))</f>
        <v>4</v>
      </c>
      <c r="Q125" s="191" t="e">
        <f t="shared" ref="Q125" si="210">FIND("target:",N125)+7</f>
        <v>#VALUE!</v>
      </c>
      <c r="R125" s="191" t="e">
        <f t="shared" ref="R125" si="211">FIND(",",N125,P125+1)</f>
        <v>#VALUE!</v>
      </c>
      <c r="S125" s="191" t="str">
        <f>IFERROR(VLOOKUP(MID(N125,Q125,R125-Q125),[6]skilldef!$C:$D,2,FALSE),"-") &amp; " / " &amp; IFERROR(VLOOKUP(MID(N125,O125,P125-O125),[6]skilldef!$A:$B,2,FALSE),"-")</f>
        <v>- / -</v>
      </c>
      <c r="T125" s="185" t="str">
        <f t="shared" ref="T125" si="212">IFERROR(RIGHT(M125,LEN(M125)-FIND("],",M125)-1),"none")</f>
        <v>none</v>
      </c>
      <c r="U125" s="191" t="e">
        <f t="shared" ref="U125" si="213">FIND("effect:",T125)+7</f>
        <v>#VALUE!</v>
      </c>
      <c r="V125" s="191">
        <f t="shared" ref="V125" si="214">IFERROR(FIND(",",T125),LEN(T125))</f>
        <v>4</v>
      </c>
      <c r="W125" s="191" t="e">
        <f t="shared" ref="W125" si="215">FIND("target:",T125)+7</f>
        <v>#VALUE!</v>
      </c>
      <c r="X125" s="191" t="e">
        <f t="shared" ref="X125" si="216">FIND(",",T125,V125+1)</f>
        <v>#VALUE!</v>
      </c>
      <c r="Y125" s="191" t="str">
        <f>IFERROR(VLOOKUP(MID(T125,W125,X125-W125),[6]skilldef!$C:$D,2,FALSE),"-") &amp; " / " &amp; IFERROR(VLOOKUP(MID(T125,U125,V125-U125),[6]skilldef!$A:$B,2,FALSE),"-")</f>
        <v>- / -</v>
      </c>
      <c r="Z125" s="192"/>
      <c r="AA125" s="193"/>
      <c r="AB125" s="192"/>
      <c r="AC125" s="189" t="s">
        <v>357</v>
      </c>
      <c r="AD125" s="194"/>
    </row>
    <row r="126" spans="1:31" ht="20" customHeight="1" x14ac:dyDescent="0.15">
      <c r="A126" s="200">
        <v>49016971</v>
      </c>
      <c r="B126" s="201" t="s">
        <v>475</v>
      </c>
      <c r="C126" s="202">
        <v>1</v>
      </c>
      <c r="D126" s="202" t="s">
        <v>127</v>
      </c>
      <c r="E126" s="203" t="s">
        <v>370</v>
      </c>
      <c r="F126" s="203" t="s">
        <v>403</v>
      </c>
      <c r="G126" s="196" t="str">
        <f t="shared" ref="G126:G139" si="217">IFERROR(LEFT(B126,FIND("],",B126)),B126)</f>
        <v>[effect:enemy_message, val1:1.2, val2:2.1]</v>
      </c>
      <c r="H126" s="196">
        <f t="shared" ref="H126:H139" si="218">FIND("effect:",G126)+7</f>
        <v>9</v>
      </c>
      <c r="I126" s="196">
        <f t="shared" ref="I126:I139" si="219">IFERROR(FIND(",",G126),LEN(G126))</f>
        <v>22</v>
      </c>
      <c r="J126" s="196" t="e">
        <f t="shared" ref="J126:J139" si="220">FIND("target:",G126)+7</f>
        <v>#VALUE!</v>
      </c>
      <c r="K126" s="196">
        <f t="shared" ref="K126:K139" si="221">FIND(",",G126,I126+1)</f>
        <v>32</v>
      </c>
      <c r="L126" s="196" t="str">
        <f>IFERROR(VLOOKUP(MID(G126,J126,K126-J126),[6]skilldef!$C:$D,2,FALSE),"-") &amp; " / " &amp; IFERROR(VLOOKUP(MID(G126,H126,I126-H126),[6]skilldef!$A:$B,2,FALSE),"-")</f>
        <v>- / -</v>
      </c>
      <c r="M126" s="196" t="str">
        <f t="shared" ref="M126:M139" si="222">IFERROR(RIGHT(B126,LEN(B126)-FIND("],",B126)-1),"none")</f>
        <v>[effect:panel_freeze, target:block_all, count:3],[effect:rush, count:1, val:0.8]</v>
      </c>
      <c r="N126" s="197" t="str">
        <f>IFERROR(LEFT(M126,FIND("],",M126)+S193),M126)</f>
        <v>[effect:panel_freeze, target:block_all, count:3]</v>
      </c>
      <c r="O126" s="196">
        <f t="shared" ref="O126:O139" si="223">FIND("effect:",N126)+7</f>
        <v>9</v>
      </c>
      <c r="P126" s="196">
        <f t="shared" ref="P126:P139" si="224">IFERROR(FIND(",",N126),LEN(N126))</f>
        <v>21</v>
      </c>
      <c r="Q126" s="196">
        <f t="shared" ref="Q126:Q139" si="225">FIND("target:",N126)+7</f>
        <v>30</v>
      </c>
      <c r="R126" s="196">
        <f t="shared" ref="R126:R139" si="226">FIND(",",N126,P126+1)</f>
        <v>39</v>
      </c>
      <c r="S126" s="196" t="str">
        <f>IFERROR(VLOOKUP(MID(N126,Q126,R126-Q126),[6]skilldef!$C:$D,2,FALSE),"-") &amp; " / " &amp; IFERROR(VLOOKUP(MID(N126,O126,P126-O126),[6]skilldef!$A:$B,2,FALSE),"-")</f>
        <v>- / -</v>
      </c>
      <c r="T126" s="197" t="str">
        <f t="shared" ref="T126:T139" si="227">IFERROR(RIGHT(M126,LEN(M126)-FIND("],",M126)-1),"none")</f>
        <v>[effect:rush, count:1, val:0.8]</v>
      </c>
      <c r="U126" s="196">
        <f t="shared" ref="U126:U139" si="228">FIND("effect:",T126)+7</f>
        <v>9</v>
      </c>
      <c r="V126" s="196">
        <f t="shared" ref="V126:V139" si="229">IFERROR(FIND(",",T126),LEN(T126))</f>
        <v>13</v>
      </c>
      <c r="W126" s="196" t="e">
        <f t="shared" ref="W126:W139" si="230">FIND("target:",T126)+7</f>
        <v>#VALUE!</v>
      </c>
      <c r="X126" s="196">
        <f t="shared" ref="X126:X139" si="231">FIND(",",T126,V126+1)</f>
        <v>22</v>
      </c>
      <c r="Y126" s="196" t="str">
        <f>IFERROR(VLOOKUP(MID(T126,W126,X126-W126),[6]skilldef!$C:$D,2,FALSE),"-") &amp; " / " &amp; IFERROR(VLOOKUP(MID(T126,U126,V126-U126),[6]skilldef!$A:$B,2,FALSE),"-")</f>
        <v>- / 連続攻撃</v>
      </c>
      <c r="Z126" s="198"/>
      <c r="AA126" s="199"/>
      <c r="AB126" s="198"/>
      <c r="AC126" s="203" t="s">
        <v>299</v>
      </c>
      <c r="AD126" s="203" t="s">
        <v>259</v>
      </c>
      <c r="AE126" s="105">
        <v>49016002</v>
      </c>
    </row>
    <row r="127" spans="1:31" ht="18" customHeight="1" x14ac:dyDescent="0.15">
      <c r="A127" s="108">
        <v>49016972</v>
      </c>
      <c r="B127" s="162" t="s">
        <v>500</v>
      </c>
      <c r="C127" s="109">
        <v>1</v>
      </c>
      <c r="D127" s="109" t="s">
        <v>127</v>
      </c>
      <c r="E127" s="110" t="s">
        <v>498</v>
      </c>
      <c r="F127" s="110" t="s">
        <v>402</v>
      </c>
      <c r="G127" s="62" t="str">
        <f t="shared" si="217"/>
        <v>[effect:enemy_message, val1:1.2, val2:2.1]</v>
      </c>
      <c r="H127" s="62">
        <f t="shared" si="218"/>
        <v>9</v>
      </c>
      <c r="I127" s="62">
        <f t="shared" si="219"/>
        <v>22</v>
      </c>
      <c r="J127" s="62" t="e">
        <f t="shared" si="220"/>
        <v>#VALUE!</v>
      </c>
      <c r="K127" s="62">
        <f t="shared" si="221"/>
        <v>32</v>
      </c>
      <c r="L127" s="62" t="str">
        <f>IFERROR(VLOOKUP(MID(G127,J127,K127-J127),[6]skilldef!$C:$D,2,FALSE),"-") &amp; " / " &amp; IFERROR(VLOOKUP(MID(G127,H127,I127-H127),[6]skilldef!$A:$B,2,FALSE),"-")</f>
        <v>- / -</v>
      </c>
      <c r="M127" s="62" t="str">
        <f t="shared" si="222"/>
        <v>[effect:panel_freeze, target:block_all, count:4],[effect:rush, count:1, val:0.8]</v>
      </c>
      <c r="N127" s="48" t="str">
        <f>IFERROR(LEFT(M127,FIND("],",M127)+S172),M127)</f>
        <v>[effect:panel_freeze, target:block_all, count:4]</v>
      </c>
      <c r="O127" s="62">
        <f t="shared" si="223"/>
        <v>9</v>
      </c>
      <c r="P127" s="62">
        <f t="shared" si="224"/>
        <v>21</v>
      </c>
      <c r="Q127" s="62">
        <f t="shared" si="225"/>
        <v>30</v>
      </c>
      <c r="R127" s="62">
        <f t="shared" si="226"/>
        <v>39</v>
      </c>
      <c r="S127" s="62" t="str">
        <f>IFERROR(VLOOKUP(MID(N127,Q127,R127-Q127),[6]skilldef!$C:$D,2,FALSE),"-") &amp; " / " &amp; IFERROR(VLOOKUP(MID(N127,O127,P127-O127),[6]skilldef!$A:$B,2,FALSE),"-")</f>
        <v>- / -</v>
      </c>
      <c r="T127" s="48" t="str">
        <f t="shared" si="227"/>
        <v>[effect:rush, count:1, val:0.8]</v>
      </c>
      <c r="U127" s="62">
        <f t="shared" si="228"/>
        <v>9</v>
      </c>
      <c r="V127" s="62">
        <f t="shared" si="229"/>
        <v>13</v>
      </c>
      <c r="W127" s="62" t="e">
        <f t="shared" si="230"/>
        <v>#VALUE!</v>
      </c>
      <c r="X127" s="62">
        <f t="shared" si="231"/>
        <v>22</v>
      </c>
      <c r="Y127" s="62" t="str">
        <f>IFERROR(VLOOKUP(MID(T127,W127,X127-W127),[6]skilldef!$C:$D,2,FALSE),"-") &amp; " / " &amp; IFERROR(VLOOKUP(MID(T127,U127,V127-U127),[6]skilldef!$A:$B,2,FALSE),"-")</f>
        <v>- / 連続攻撃</v>
      </c>
      <c r="Z127" s="50"/>
      <c r="AA127" s="51"/>
      <c r="AB127" s="50"/>
      <c r="AC127" s="110" t="s">
        <v>299</v>
      </c>
      <c r="AD127" s="110" t="s">
        <v>260</v>
      </c>
      <c r="AE127" s="108">
        <v>49016102</v>
      </c>
    </row>
    <row r="128" spans="1:31" ht="23" customHeight="1" x14ac:dyDescent="0.15">
      <c r="A128" s="114">
        <v>49016973</v>
      </c>
      <c r="B128" s="163" t="s">
        <v>476</v>
      </c>
      <c r="C128" s="115">
        <v>1</v>
      </c>
      <c r="D128" s="115" t="s">
        <v>127</v>
      </c>
      <c r="E128" s="116" t="s">
        <v>493</v>
      </c>
      <c r="F128" s="116" t="s">
        <v>390</v>
      </c>
      <c r="G128" s="62" t="str">
        <f t="shared" si="217"/>
        <v>[effect:enemy_message, val1:1.2, val2:2.0]</v>
      </c>
      <c r="H128" s="62">
        <f t="shared" si="218"/>
        <v>9</v>
      </c>
      <c r="I128" s="62">
        <f t="shared" si="219"/>
        <v>22</v>
      </c>
      <c r="J128" s="62" t="e">
        <f t="shared" si="220"/>
        <v>#VALUE!</v>
      </c>
      <c r="K128" s="62">
        <f t="shared" si="221"/>
        <v>32</v>
      </c>
      <c r="L128" s="62" t="str">
        <f>IFERROR(VLOOKUP(MID(G128,J128,K128-J128),[6]skilldef!$C:$D,2,FALSE),"-") &amp; " / " &amp; IFERROR(VLOOKUP(MID(G128,H128,I128-H128),[6]skilldef!$A:$B,2,FALSE),"-")</f>
        <v>- / -</v>
      </c>
      <c r="M128" s="62" t="str">
        <f t="shared" si="222"/>
        <v>[effect:panel_freeze, target:block_red, count:3],[effect:rush, count:1, val:0.8]</v>
      </c>
      <c r="N128" s="48" t="str">
        <f>IFERROR(LEFT(M128,FIND("],",M128)+S195),M128)</f>
        <v>[effect:panel_freeze, target:block_red, count:3]</v>
      </c>
      <c r="O128" s="62">
        <f t="shared" si="223"/>
        <v>9</v>
      </c>
      <c r="P128" s="62">
        <f t="shared" si="224"/>
        <v>21</v>
      </c>
      <c r="Q128" s="62">
        <f t="shared" si="225"/>
        <v>30</v>
      </c>
      <c r="R128" s="62">
        <f t="shared" si="226"/>
        <v>39</v>
      </c>
      <c r="S128" s="62" t="str">
        <f>IFERROR(VLOOKUP(MID(N128,Q128,R128-Q128),[6]skilldef!$C:$D,2,FALSE),"-") &amp; " / " &amp; IFERROR(VLOOKUP(MID(N128,O128,P128-O128),[6]skilldef!$A:$B,2,FALSE),"-")</f>
        <v>赤パネルを / -</v>
      </c>
      <c r="T128" s="48" t="str">
        <f t="shared" si="227"/>
        <v>[effect:rush, count:1, val:0.8]</v>
      </c>
      <c r="U128" s="62">
        <f t="shared" si="228"/>
        <v>9</v>
      </c>
      <c r="V128" s="62">
        <f t="shared" si="229"/>
        <v>13</v>
      </c>
      <c r="W128" s="62" t="e">
        <f t="shared" si="230"/>
        <v>#VALUE!</v>
      </c>
      <c r="X128" s="62">
        <f t="shared" si="231"/>
        <v>22</v>
      </c>
      <c r="Y128" s="62" t="str">
        <f>IFERROR(VLOOKUP(MID(T128,W128,X128-W128),[6]skilldef!$C:$D,2,FALSE),"-") &amp; " / " &amp; IFERROR(VLOOKUP(MID(T128,U128,V128-U128),[6]skilldef!$A:$B,2,FALSE),"-")</f>
        <v>- / 連続攻撃</v>
      </c>
      <c r="Z128" s="50"/>
      <c r="AA128" s="51"/>
      <c r="AB128" s="50"/>
      <c r="AC128" s="116" t="s">
        <v>305</v>
      </c>
      <c r="AD128" s="116" t="s">
        <v>264</v>
      </c>
      <c r="AE128" s="114">
        <v>49016201</v>
      </c>
    </row>
    <row r="129" spans="1:31" ht="23" customHeight="1" x14ac:dyDescent="0.15">
      <c r="A129" s="114">
        <v>49016974</v>
      </c>
      <c r="B129" s="163" t="s">
        <v>477</v>
      </c>
      <c r="C129" s="115">
        <v>1</v>
      </c>
      <c r="D129" s="115" t="s">
        <v>127</v>
      </c>
      <c r="E129" s="116" t="s">
        <v>499</v>
      </c>
      <c r="F129" s="116" t="s">
        <v>267</v>
      </c>
      <c r="G129" s="62" t="str">
        <f t="shared" si="217"/>
        <v>[effect:enemy_message, val1:1.2, val2:1.2]</v>
      </c>
      <c r="H129" s="62">
        <f t="shared" si="218"/>
        <v>9</v>
      </c>
      <c r="I129" s="62">
        <f t="shared" si="219"/>
        <v>22</v>
      </c>
      <c r="J129" s="62" t="e">
        <f t="shared" si="220"/>
        <v>#VALUE!</v>
      </c>
      <c r="K129" s="62">
        <f t="shared" si="221"/>
        <v>32</v>
      </c>
      <c r="L129" s="62" t="str">
        <f>IFERROR(VLOOKUP(MID(G129,J129,K129-J129),[6]skilldef!$C:$D,2,FALSE),"-") &amp; " / " &amp; IFERROR(VLOOKUP(MID(G129,H129,I129-H129),[6]skilldef!$A:$B,2,FALSE),"-")</f>
        <v>- / -</v>
      </c>
      <c r="M129" s="62" t="str">
        <f t="shared" si="222"/>
        <v>[effect:break_attack_fix, target:unit_one, val:400, lowest_val:1800, count:-1, color:red, block01:block_red]</v>
      </c>
      <c r="N129" s="48" t="str">
        <f>IFERROR(LEFT(M129,FIND("],",M129)+S196),M129)</f>
        <v>[effect:break_attack_fix, target:unit_one, val:400, lowest_val:1800, count:-1, color:red, block01:block_red]</v>
      </c>
      <c r="O129" s="62">
        <f t="shared" si="223"/>
        <v>9</v>
      </c>
      <c r="P129" s="62">
        <f t="shared" si="224"/>
        <v>25</v>
      </c>
      <c r="Q129" s="62">
        <f t="shared" si="225"/>
        <v>34</v>
      </c>
      <c r="R129" s="62">
        <f t="shared" si="226"/>
        <v>42</v>
      </c>
      <c r="S129" s="62" t="str">
        <f>IFERROR(VLOOKUP(MID(N129,Q129,R129-Q129),[6]skilldef!$C:$D,2,FALSE),"-") &amp; " / " &amp; IFERROR(VLOOKUP(MID(N129,O129,P129-O129),[6]skilldef!$A:$B,2,FALSE),"-")</f>
        <v>味方単体に / -</v>
      </c>
      <c r="T129" s="48" t="str">
        <f t="shared" si="227"/>
        <v>none</v>
      </c>
      <c r="U129" s="62" t="e">
        <f t="shared" si="228"/>
        <v>#VALUE!</v>
      </c>
      <c r="V129" s="62">
        <f t="shared" si="229"/>
        <v>4</v>
      </c>
      <c r="W129" s="62" t="e">
        <f t="shared" si="230"/>
        <v>#VALUE!</v>
      </c>
      <c r="X129" s="62" t="e">
        <f t="shared" si="231"/>
        <v>#VALUE!</v>
      </c>
      <c r="Y129" s="62" t="str">
        <f>IFERROR(VLOOKUP(MID(T129,W129,X129-W129),[6]skilldef!$C:$D,2,FALSE),"-") &amp; " / " &amp; IFERROR(VLOOKUP(MID(T129,U129,V129-U129),[6]skilldef!$A:$B,2,FALSE),"-")</f>
        <v>- / -</v>
      </c>
      <c r="Z129" s="50"/>
      <c r="AA129" s="51"/>
      <c r="AB129" s="50"/>
      <c r="AC129" s="116" t="s">
        <v>316</v>
      </c>
      <c r="AD129" s="116" t="s">
        <v>267</v>
      </c>
      <c r="AE129" s="114">
        <v>49016204</v>
      </c>
    </row>
    <row r="130" spans="1:31" ht="22" customHeight="1" x14ac:dyDescent="0.15">
      <c r="A130" s="117">
        <v>49016975</v>
      </c>
      <c r="B130" s="164" t="s">
        <v>501</v>
      </c>
      <c r="C130" s="118">
        <v>1</v>
      </c>
      <c r="D130" s="118" t="s">
        <v>127</v>
      </c>
      <c r="E130" s="119" t="s">
        <v>496</v>
      </c>
      <c r="F130" s="119" t="s">
        <v>401</v>
      </c>
      <c r="G130" s="62" t="str">
        <f t="shared" si="217"/>
        <v>[effect:enemy_message, val1:1.3, val2:2.0]</v>
      </c>
      <c r="H130" s="62">
        <f t="shared" si="218"/>
        <v>9</v>
      </c>
      <c r="I130" s="62">
        <f t="shared" si="219"/>
        <v>22</v>
      </c>
      <c r="J130" s="62" t="e">
        <f t="shared" si="220"/>
        <v>#VALUE!</v>
      </c>
      <c r="K130" s="62">
        <f t="shared" si="221"/>
        <v>32</v>
      </c>
      <c r="L130" s="62" t="str">
        <f>IFERROR(VLOOKUP(MID(G130,J130,K130-J130),[6]skilldef!$C:$D,2,FALSE),"-") &amp; " / " &amp; IFERROR(VLOOKUP(MID(G130,H130,I130-H130),[6]skilldef!$A:$B,2,FALSE),"-")</f>
        <v>- / -</v>
      </c>
      <c r="M130" s="62" t="str">
        <f t="shared" si="222"/>
        <v>[effect:panel_freeze, target:block_red, count:4],[effect:rush, count:1, val:0.8]</v>
      </c>
      <c r="N130" s="48" t="str">
        <f>IFERROR(LEFT(M130,FIND("],",M130)+S174),M130)</f>
        <v>[effect:panel_freeze, target:block_red, count:4]</v>
      </c>
      <c r="O130" s="62">
        <f t="shared" si="223"/>
        <v>9</v>
      </c>
      <c r="P130" s="62">
        <f t="shared" si="224"/>
        <v>21</v>
      </c>
      <c r="Q130" s="62">
        <f t="shared" si="225"/>
        <v>30</v>
      </c>
      <c r="R130" s="62">
        <f t="shared" si="226"/>
        <v>39</v>
      </c>
      <c r="S130" s="62" t="str">
        <f>IFERROR(VLOOKUP(MID(N130,Q130,R130-Q130),[6]skilldef!$C:$D,2,FALSE),"-") &amp; " / " &amp; IFERROR(VLOOKUP(MID(N130,O130,P130-O130),[6]skilldef!$A:$B,2,FALSE),"-")</f>
        <v>赤パネルを / -</v>
      </c>
      <c r="T130" s="48" t="str">
        <f t="shared" si="227"/>
        <v>[effect:rush, count:1, val:0.8]</v>
      </c>
      <c r="U130" s="62">
        <f t="shared" si="228"/>
        <v>9</v>
      </c>
      <c r="V130" s="62">
        <f t="shared" si="229"/>
        <v>13</v>
      </c>
      <c r="W130" s="62" t="e">
        <f t="shared" si="230"/>
        <v>#VALUE!</v>
      </c>
      <c r="X130" s="62">
        <f t="shared" si="231"/>
        <v>22</v>
      </c>
      <c r="Y130" s="62" t="str">
        <f>IFERROR(VLOOKUP(MID(T130,W130,X130-W130),[6]skilldef!$C:$D,2,FALSE),"-") &amp; " / " &amp; IFERROR(VLOOKUP(MID(T130,U130,V130-U130),[6]skilldef!$A:$B,2,FALSE),"-")</f>
        <v>- / 連続攻撃</v>
      </c>
      <c r="Z130" s="50"/>
      <c r="AA130" s="51"/>
      <c r="AB130" s="50"/>
      <c r="AC130" s="119" t="s">
        <v>305</v>
      </c>
      <c r="AD130" s="119" t="s">
        <v>264</v>
      </c>
      <c r="AE130" s="117">
        <v>49016301</v>
      </c>
    </row>
    <row r="131" spans="1:31" ht="22" customHeight="1" x14ac:dyDescent="0.15">
      <c r="A131" s="117">
        <v>49016976</v>
      </c>
      <c r="B131" s="164" t="s">
        <v>478</v>
      </c>
      <c r="C131" s="118">
        <v>1</v>
      </c>
      <c r="D131" s="118" t="s">
        <v>127</v>
      </c>
      <c r="E131" s="119" t="s">
        <v>376</v>
      </c>
      <c r="F131" s="240" t="s">
        <v>511</v>
      </c>
      <c r="G131" s="62" t="str">
        <f t="shared" si="217"/>
        <v>[effect:enemy_message, val1:1.2, val2:1.2]</v>
      </c>
      <c r="H131" s="62">
        <f t="shared" si="218"/>
        <v>9</v>
      </c>
      <c r="I131" s="62">
        <f t="shared" si="219"/>
        <v>22</v>
      </c>
      <c r="J131" s="62" t="e">
        <f t="shared" si="220"/>
        <v>#VALUE!</v>
      </c>
      <c r="K131" s="62">
        <f t="shared" si="221"/>
        <v>32</v>
      </c>
      <c r="L131" s="62" t="str">
        <f>IFERROR(VLOOKUP(MID(G131,J131,K131-J131),[6]skilldef!$C:$D,2,FALSE),"-") &amp; " / " &amp; IFERROR(VLOOKUP(MID(G131,H131,I131-H131),[6]skilldef!$A:$B,2,FALSE),"-")</f>
        <v>- / -</v>
      </c>
      <c r="M131" s="62" t="str">
        <f t="shared" si="222"/>
        <v>[effect:break_attack_fix, target:unit_one, val:300, lowest_val:1200, count:-1, color:red, block01:block_red]</v>
      </c>
      <c r="N131" s="48" t="str">
        <f>IFERROR(LEFT(M131,FIND("],",M131)+S175),M131)</f>
        <v>[effect:break_attack_fix, target:unit_one, val:300, lowest_val:1200, count:-1, color:red, block01:block_red]</v>
      </c>
      <c r="O131" s="62">
        <f t="shared" si="223"/>
        <v>9</v>
      </c>
      <c r="P131" s="62">
        <f t="shared" si="224"/>
        <v>25</v>
      </c>
      <c r="Q131" s="62">
        <f t="shared" si="225"/>
        <v>34</v>
      </c>
      <c r="R131" s="62">
        <f t="shared" si="226"/>
        <v>42</v>
      </c>
      <c r="S131" s="62" t="str">
        <f>IFERROR(VLOOKUP(MID(N131,Q131,R131-Q131),[6]skilldef!$C:$D,2,FALSE),"-") &amp; " / " &amp; IFERROR(VLOOKUP(MID(N131,O131,P131-O131),[6]skilldef!$A:$B,2,FALSE),"-")</f>
        <v>味方単体に / -</v>
      </c>
      <c r="T131" s="48" t="str">
        <f t="shared" si="227"/>
        <v>none</v>
      </c>
      <c r="U131" s="62" t="e">
        <f t="shared" si="228"/>
        <v>#VALUE!</v>
      </c>
      <c r="V131" s="62">
        <f t="shared" si="229"/>
        <v>4</v>
      </c>
      <c r="W131" s="62" t="e">
        <f t="shared" si="230"/>
        <v>#VALUE!</v>
      </c>
      <c r="X131" s="62" t="e">
        <f t="shared" si="231"/>
        <v>#VALUE!</v>
      </c>
      <c r="Y131" s="62" t="str">
        <f>IFERROR(VLOOKUP(MID(T131,W131,X131-W131),[6]skilldef!$C:$D,2,FALSE),"-") &amp; " / " &amp; IFERROR(VLOOKUP(MID(T131,U131,V131-U131),[6]skilldef!$A:$B,2,FALSE),"-")</f>
        <v>- / -</v>
      </c>
      <c r="Z131" s="50"/>
      <c r="AA131" s="51"/>
      <c r="AB131" s="50"/>
      <c r="AC131" s="119" t="s">
        <v>306</v>
      </c>
      <c r="AD131" s="119" t="s">
        <v>268</v>
      </c>
      <c r="AE131" s="117">
        <v>49016302</v>
      </c>
    </row>
    <row r="132" spans="1:31" ht="39" customHeight="1" x14ac:dyDescent="0.15">
      <c r="A132" s="117">
        <v>49016977</v>
      </c>
      <c r="B132" s="164" t="s">
        <v>457</v>
      </c>
      <c r="C132" s="118">
        <v>1</v>
      </c>
      <c r="D132" s="118" t="s">
        <v>127</v>
      </c>
      <c r="E132" s="119" t="s">
        <v>387</v>
      </c>
      <c r="F132" s="119" t="s">
        <v>269</v>
      </c>
      <c r="G132" s="62" t="str">
        <f t="shared" si="217"/>
        <v>[effect:enemy_message, val1:1.2, val2:1.8]</v>
      </c>
      <c r="H132" s="62">
        <f t="shared" si="218"/>
        <v>9</v>
      </c>
      <c r="I132" s="62">
        <f t="shared" si="219"/>
        <v>22</v>
      </c>
      <c r="J132" s="62" t="e">
        <f t="shared" si="220"/>
        <v>#VALUE!</v>
      </c>
      <c r="K132" s="62">
        <f t="shared" si="221"/>
        <v>32</v>
      </c>
      <c r="L132" s="62" t="str">
        <f>IFERROR(VLOOKUP(MID(G132,J132,K132-J132),[6]skilldef!$C:$D,2,FALSE),"-") &amp; " / " &amp; IFERROR(VLOOKUP(MID(G132,H132,I132-H132),[6]skilldef!$A:$B,2,FALSE),"-")</f>
        <v>- / -</v>
      </c>
      <c r="M132" s="62" t="str">
        <f t="shared" si="222"/>
        <v>[effect:break_enchance_enemy, target:myself, val:0.05, lowest_val:0.01, count:-1, status:attack, turn:1, block01:block_red, calc:mul, animation:enemy_enhance_attack]</v>
      </c>
      <c r="N132" s="48" t="str">
        <f>IFERROR(LEFT(M132,FIND("],",M132)+S173),M132)</f>
        <v>[effect:break_enchance_enemy, target:myself, val:0.05, lowest_val:0.01, count:-1, status:attack, turn:1, block01:block_red, calc:mul, animation:enemy_enhance_attack]</v>
      </c>
      <c r="O132" s="62">
        <f t="shared" si="223"/>
        <v>9</v>
      </c>
      <c r="P132" s="62">
        <f t="shared" si="224"/>
        <v>29</v>
      </c>
      <c r="Q132" s="62">
        <f t="shared" si="225"/>
        <v>38</v>
      </c>
      <c r="R132" s="62">
        <f t="shared" si="226"/>
        <v>44</v>
      </c>
      <c r="S132" s="62" t="str">
        <f>IFERROR(VLOOKUP(MID(N132,Q132,R132-Q132),[6]skilldef!$C:$D,2,FALSE),"-") &amp; " / " &amp; IFERROR(VLOOKUP(MID(N132,O132,P132-O132),[6]skilldef!$A:$B,2,FALSE),"-")</f>
        <v>自分自身に / -</v>
      </c>
      <c r="T132" s="48" t="str">
        <f t="shared" si="227"/>
        <v>none</v>
      </c>
      <c r="U132" s="62" t="e">
        <f t="shared" si="228"/>
        <v>#VALUE!</v>
      </c>
      <c r="V132" s="62">
        <f t="shared" si="229"/>
        <v>4</v>
      </c>
      <c r="W132" s="62" t="e">
        <f t="shared" si="230"/>
        <v>#VALUE!</v>
      </c>
      <c r="X132" s="62" t="e">
        <f t="shared" si="231"/>
        <v>#VALUE!</v>
      </c>
      <c r="Y132" s="62" t="str">
        <f>IFERROR(VLOOKUP(MID(T132,W132,X132-W132),[6]skilldef!$C:$D,2,FALSE),"-") &amp; " / " &amp; IFERROR(VLOOKUP(MID(T132,U132,V132-U132),[6]skilldef!$A:$B,2,FALSE),"-")</f>
        <v>- / -</v>
      </c>
      <c r="Z132" s="50"/>
      <c r="AA132" s="51"/>
      <c r="AB132" s="50"/>
      <c r="AC132" s="119" t="s">
        <v>310</v>
      </c>
      <c r="AD132" s="119" t="s">
        <v>269</v>
      </c>
      <c r="AE132" s="117">
        <v>49016303</v>
      </c>
    </row>
    <row r="133" spans="1:31" ht="18" customHeight="1" x14ac:dyDescent="0.15">
      <c r="A133" s="111">
        <v>49016978</v>
      </c>
      <c r="B133" s="165" t="s">
        <v>506</v>
      </c>
      <c r="C133" s="112">
        <v>1</v>
      </c>
      <c r="D133" s="112" t="s">
        <v>127</v>
      </c>
      <c r="E133" s="113" t="s">
        <v>355</v>
      </c>
      <c r="F133" s="113" t="s">
        <v>391</v>
      </c>
      <c r="G133" s="62" t="str">
        <f t="shared" si="217"/>
        <v>[effect:enemy_message, val1:1.2, val2:2.2]</v>
      </c>
      <c r="H133" s="62">
        <f t="shared" si="218"/>
        <v>9</v>
      </c>
      <c r="I133" s="62">
        <f t="shared" si="219"/>
        <v>22</v>
      </c>
      <c r="J133" s="62" t="e">
        <f t="shared" si="220"/>
        <v>#VALUE!</v>
      </c>
      <c r="K133" s="62">
        <f t="shared" si="221"/>
        <v>32</v>
      </c>
      <c r="L133" s="62" t="str">
        <f>IFERROR(VLOOKUP(MID(G133,J133,K133-J133),[6]skilldef!$C:$D,2,FALSE),"-") &amp; " / " &amp; IFERROR(VLOOKUP(MID(G133,H133,I133-H133),[6]skilldef!$A:$B,2,FALSE),"-")</f>
        <v>- / -</v>
      </c>
      <c r="M133" s="62" t="str">
        <f t="shared" si="222"/>
        <v>[effect:panel_freeze, target:block_blue, count:2],[effect:rush, count:2, val:0.4]</v>
      </c>
      <c r="N133" s="48" t="str">
        <f t="shared" ref="N133:N135" si="232">IFERROR(LEFT(M133,FIND("],",M133)+S143),M133)</f>
        <v>[effect:panel_freeze, target:block_blue, count:2]</v>
      </c>
      <c r="O133" s="62">
        <f t="shared" si="223"/>
        <v>9</v>
      </c>
      <c r="P133" s="62">
        <f t="shared" si="224"/>
        <v>21</v>
      </c>
      <c r="Q133" s="62">
        <f t="shared" si="225"/>
        <v>30</v>
      </c>
      <c r="R133" s="62">
        <f t="shared" si="226"/>
        <v>40</v>
      </c>
      <c r="S133" s="62" t="str">
        <f>IFERROR(VLOOKUP(MID(N133,Q133,R133-Q133),[6]skilldef!$C:$D,2,FALSE),"-") &amp; " / " &amp; IFERROR(VLOOKUP(MID(N133,O133,P133-O133),[6]skilldef!$A:$B,2,FALSE),"-")</f>
        <v>青パネルを / -</v>
      </c>
      <c r="T133" s="48" t="str">
        <f t="shared" si="227"/>
        <v>[effect:rush, count:2, val:0.4]</v>
      </c>
      <c r="U133" s="62">
        <f t="shared" si="228"/>
        <v>9</v>
      </c>
      <c r="V133" s="62">
        <f t="shared" si="229"/>
        <v>13</v>
      </c>
      <c r="W133" s="62" t="e">
        <f t="shared" si="230"/>
        <v>#VALUE!</v>
      </c>
      <c r="X133" s="62">
        <f t="shared" si="231"/>
        <v>22</v>
      </c>
      <c r="Y133" s="62" t="str">
        <f>IFERROR(VLOOKUP(MID(T133,W133,X133-W133),[6]skilldef!$C:$D,2,FALSE),"-") &amp; " / " &amp; IFERROR(VLOOKUP(MID(T133,U133,V133-U133),[6]skilldef!$A:$B,2,FALSE),"-")</f>
        <v>- / 連続攻撃</v>
      </c>
      <c r="Z133" s="50"/>
      <c r="AA133" s="51"/>
      <c r="AB133" s="50"/>
      <c r="AC133" s="113" t="s">
        <v>314</v>
      </c>
      <c r="AD133" s="113" t="s">
        <v>273</v>
      </c>
      <c r="AE133" s="111">
        <v>49016402</v>
      </c>
    </row>
    <row r="134" spans="1:31" ht="25" customHeight="1" x14ac:dyDescent="0.15">
      <c r="A134" s="111">
        <v>49016979</v>
      </c>
      <c r="B134" s="165" t="s">
        <v>479</v>
      </c>
      <c r="C134" s="112">
        <v>1</v>
      </c>
      <c r="D134" s="112" t="s">
        <v>127</v>
      </c>
      <c r="E134" s="113" t="s">
        <v>389</v>
      </c>
      <c r="F134" s="241" t="s">
        <v>512</v>
      </c>
      <c r="G134" s="62" t="str">
        <f t="shared" si="217"/>
        <v>[effect:enemy_message, val1:1.2, val2:1.2]</v>
      </c>
      <c r="H134" s="62">
        <f t="shared" si="218"/>
        <v>9</v>
      </c>
      <c r="I134" s="62">
        <f t="shared" si="219"/>
        <v>22</v>
      </c>
      <c r="J134" s="62" t="e">
        <f t="shared" si="220"/>
        <v>#VALUE!</v>
      </c>
      <c r="K134" s="62">
        <f t="shared" si="221"/>
        <v>32</v>
      </c>
      <c r="L134" s="62" t="str">
        <f>IFERROR(VLOOKUP(MID(G134,J134,K134-J134),[6]skilldef!$C:$D,2,FALSE),"-") &amp; " / " &amp; IFERROR(VLOOKUP(MID(G134,H134,I134-H134),[6]skilldef!$A:$B,2,FALSE),"-")</f>
        <v>- / -</v>
      </c>
      <c r="M134" s="62" t="str">
        <f t="shared" si="222"/>
        <v>[effect:break_attack_fix, target:unit_one, val:300, lowest_val:1600, count:-1, color:red, block01:block_blue]</v>
      </c>
      <c r="N134" s="48" t="str">
        <f t="shared" si="232"/>
        <v>[effect:break_attack_fix, target:unit_one, val:300, lowest_val:1600, count:-1, color:red, block01:block_blue]</v>
      </c>
      <c r="O134" s="62">
        <f t="shared" si="223"/>
        <v>9</v>
      </c>
      <c r="P134" s="62">
        <f t="shared" si="224"/>
        <v>25</v>
      </c>
      <c r="Q134" s="62">
        <f t="shared" si="225"/>
        <v>34</v>
      </c>
      <c r="R134" s="62">
        <f t="shared" si="226"/>
        <v>42</v>
      </c>
      <c r="S134" s="62" t="str">
        <f>IFERROR(VLOOKUP(MID(N134,Q134,R134-Q134),[6]skilldef!$C:$D,2,FALSE),"-") &amp; " / " &amp; IFERROR(VLOOKUP(MID(N134,O134,P134-O134),[6]skilldef!$A:$B,2,FALSE),"-")</f>
        <v>味方単体に / -</v>
      </c>
      <c r="T134" s="48" t="str">
        <f t="shared" si="227"/>
        <v>none</v>
      </c>
      <c r="U134" s="62" t="e">
        <f t="shared" si="228"/>
        <v>#VALUE!</v>
      </c>
      <c r="V134" s="62">
        <f t="shared" si="229"/>
        <v>4</v>
      </c>
      <c r="W134" s="62" t="e">
        <f t="shared" si="230"/>
        <v>#VALUE!</v>
      </c>
      <c r="X134" s="62" t="e">
        <f t="shared" si="231"/>
        <v>#VALUE!</v>
      </c>
      <c r="Y134" s="62" t="str">
        <f>IFERROR(VLOOKUP(MID(T134,W134,X134-W134),[6]skilldef!$C:$D,2,FALSE),"-") &amp; " / " &amp; IFERROR(VLOOKUP(MID(T134,U134,V134-U134),[6]skilldef!$A:$B,2,FALSE),"-")</f>
        <v>- / -</v>
      </c>
      <c r="Z134" s="50"/>
      <c r="AA134" s="51"/>
      <c r="AB134" s="50"/>
      <c r="AC134" s="113" t="s">
        <v>315</v>
      </c>
      <c r="AD134" s="113" t="s">
        <v>274</v>
      </c>
      <c r="AE134" s="111">
        <v>49016403</v>
      </c>
    </row>
    <row r="135" spans="1:31" ht="112" customHeight="1" x14ac:dyDescent="0.15">
      <c r="A135" s="120">
        <v>49016980</v>
      </c>
      <c r="B135" s="207" t="s">
        <v>565</v>
      </c>
      <c r="C135" s="121">
        <v>1</v>
      </c>
      <c r="D135" s="121" t="s">
        <v>127</v>
      </c>
      <c r="E135" s="122" t="s">
        <v>352</v>
      </c>
      <c r="F135" s="206" t="s">
        <v>422</v>
      </c>
      <c r="G135" s="62" t="str">
        <f t="shared" si="217"/>
        <v>[effect:enemy_message, val1:1.2, val2:5.0]</v>
      </c>
      <c r="H135" s="62">
        <f t="shared" si="218"/>
        <v>9</v>
      </c>
      <c r="I135" s="62">
        <f t="shared" si="219"/>
        <v>22</v>
      </c>
      <c r="J135" s="62" t="e">
        <f t="shared" si="220"/>
        <v>#VALUE!</v>
      </c>
      <c r="K135" s="62">
        <f t="shared" si="221"/>
        <v>32</v>
      </c>
      <c r="L135" s="62" t="str">
        <f>IFERROR(VLOOKUP(MID(G135,J135,K135-J135),[6]skilldef!$C:$D,2,FALSE),"-") &amp; " / " &amp; IFERROR(VLOOKUP(MID(G135,H135,I135-H135),[6]skilldef!$A:$B,2,FALSE),"-")</f>
        <v>- / -</v>
      </c>
      <c r="M135" s="62" t="str">
        <f t="shared" si="222"/>
        <v>[effect:drop_freeze, turn:-1, block_type:normal, block_color:block_blue, rate:0.3, animation:drop_protect],[effect:drop_freeze, turn:-1, block_type:normal, block_color:block_red, rate:0.3],[effect:fix_speed, target:myself, turn:1],[effect:drop_freeze, turn:-1, block_type:crack_bomb, rate:0.3],[effect:drop_block, block_type:crack_bomb, color:block_red, val:12, rate:0.5, turn:-1, animation:bomb_influence04],[effect:drop_block, block_type:crack_bomb, color:block_blue, val:12, rate:0.5, turn:-1],[effect:play_bgm, turn:-1, bgm_path:BGM/BattleBoss9803],[effect:set_background, turn:-1, background_id:999, switching_mode:go_front, duration:2]</v>
      </c>
      <c r="N135" s="48" t="str">
        <f t="shared" si="232"/>
        <v>[effect:drop_freeze, turn:-1, block_type:normal, block_color:block_blue, rate:0.3, animation:drop_protect]</v>
      </c>
      <c r="O135" s="62">
        <f t="shared" si="223"/>
        <v>9</v>
      </c>
      <c r="P135" s="62">
        <f t="shared" si="224"/>
        <v>20</v>
      </c>
      <c r="Q135" s="62" t="e">
        <f t="shared" si="225"/>
        <v>#VALUE!</v>
      </c>
      <c r="R135" s="62">
        <f t="shared" si="226"/>
        <v>29</v>
      </c>
      <c r="S135" s="62" t="str">
        <f>IFERROR(VLOOKUP(MID(N135,Q135,R135-Q135),[6]skilldef!$C:$D,2,FALSE),"-") &amp; " / " &amp; IFERROR(VLOOKUP(MID(N135,O135,P135-O135),[6]skilldef!$A:$B,2,FALSE),"-")</f>
        <v>- / -</v>
      </c>
      <c r="T135" s="48" t="str">
        <f t="shared" si="227"/>
        <v>[effect:drop_freeze, turn:-1, block_type:normal, block_color:block_red, rate:0.3],[effect:fix_speed, target:myself, turn:1],[effect:drop_freeze, turn:-1, block_type:crack_bomb, rate:0.3],[effect:drop_block, block_type:crack_bomb, color:block_red, val:12, rate:0.5, turn:-1, animation:bomb_influence04],[effect:drop_block, block_type:crack_bomb, color:block_blue, val:12, rate:0.5, turn:-1],[effect:play_bgm, turn:-1, bgm_path:BGM/BattleBoss9803],[effect:set_background, turn:-1, background_id:999, switching_mode:go_front, duration:2]</v>
      </c>
      <c r="U135" s="62">
        <f t="shared" si="228"/>
        <v>9</v>
      </c>
      <c r="V135" s="62">
        <f t="shared" si="229"/>
        <v>20</v>
      </c>
      <c r="W135" s="62">
        <f t="shared" si="230"/>
        <v>109</v>
      </c>
      <c r="X135" s="62">
        <f t="shared" si="231"/>
        <v>29</v>
      </c>
      <c r="Y135" s="62" t="str">
        <f>IFERROR(VLOOKUP(MID(T135,W135,X135-W135),[6]skilldef!$C:$D,2,FALSE),"-") &amp; " / " &amp; IFERROR(VLOOKUP(MID(T135,U135,V135-U135),[6]skilldef!$A:$B,2,FALSE),"-")</f>
        <v>- / -</v>
      </c>
      <c r="Z135" s="50"/>
      <c r="AA135" s="51"/>
      <c r="AB135" s="50"/>
      <c r="AC135" s="122" t="s">
        <v>319</v>
      </c>
      <c r="AD135" s="122" t="s">
        <v>277</v>
      </c>
      <c r="AE135" s="120">
        <v>49016500</v>
      </c>
    </row>
    <row r="136" spans="1:31" ht="39" customHeight="1" x14ac:dyDescent="0.15">
      <c r="A136" s="120">
        <v>49016981</v>
      </c>
      <c r="B136" s="166" t="s">
        <v>480</v>
      </c>
      <c r="C136" s="121">
        <v>1</v>
      </c>
      <c r="D136" s="121" t="s">
        <v>127</v>
      </c>
      <c r="E136" s="122" t="s">
        <v>430</v>
      </c>
      <c r="F136" s="209" t="s">
        <v>416</v>
      </c>
      <c r="G136" s="62" t="str">
        <f t="shared" si="217"/>
        <v>[effect:enemy_message, val1:1.2, val2:1.6]</v>
      </c>
      <c r="H136" s="62">
        <f t="shared" si="218"/>
        <v>9</v>
      </c>
      <c r="I136" s="62">
        <f t="shared" si="219"/>
        <v>22</v>
      </c>
      <c r="J136" s="62" t="e">
        <f t="shared" si="220"/>
        <v>#VALUE!</v>
      </c>
      <c r="K136" s="62">
        <f t="shared" si="221"/>
        <v>32</v>
      </c>
      <c r="L136" s="62" t="str">
        <f>IFERROR(VLOOKUP(MID(G136,J136,K136-J136),[6]skilldef!$C:$D,2,FALSE),"-") &amp; " / " &amp; IFERROR(VLOOKUP(MID(G136,H136,I136-H136),[6]skilldef!$A:$B,2,FALSE),"-")</f>
        <v>- / -</v>
      </c>
      <c r="M136" s="62" t="str">
        <f t="shared" si="222"/>
        <v>[effect:break_attack_fix, target:unit_one, val:150, lowest_val:1000, count:-1, color:red, block01:block_red, block02:block_blue, block03:crack_bomb]</v>
      </c>
      <c r="N136" s="48" t="str">
        <f t="shared" ref="N136:N138" si="233">IFERROR(LEFT(M136,FIND("],",M136)+S145),M136)</f>
        <v>[effect:break_attack_fix, target:unit_one, val:150, lowest_val:1000, count:-1, color:red, block01:block_red, block02:block_blue, block03:crack_bomb]</v>
      </c>
      <c r="O136" s="62">
        <f t="shared" si="223"/>
        <v>9</v>
      </c>
      <c r="P136" s="62">
        <f t="shared" si="224"/>
        <v>25</v>
      </c>
      <c r="Q136" s="62">
        <f t="shared" si="225"/>
        <v>34</v>
      </c>
      <c r="R136" s="62">
        <f t="shared" si="226"/>
        <v>42</v>
      </c>
      <c r="S136" s="62" t="str">
        <f>IFERROR(VLOOKUP(MID(N136,Q136,R136-Q136),[6]skilldef!$C:$D,2,FALSE),"-") &amp; " / " &amp; IFERROR(VLOOKUP(MID(N136,O136,P136-O136),[6]skilldef!$A:$B,2,FALSE),"-")</f>
        <v>味方単体に / -</v>
      </c>
      <c r="T136" s="48" t="str">
        <f t="shared" si="227"/>
        <v>none</v>
      </c>
      <c r="U136" s="62" t="e">
        <f t="shared" si="228"/>
        <v>#VALUE!</v>
      </c>
      <c r="V136" s="62">
        <f t="shared" si="229"/>
        <v>4</v>
      </c>
      <c r="W136" s="62" t="e">
        <f t="shared" si="230"/>
        <v>#VALUE!</v>
      </c>
      <c r="X136" s="62" t="e">
        <f t="shared" si="231"/>
        <v>#VALUE!</v>
      </c>
      <c r="Y136" s="62" t="str">
        <f>IFERROR(VLOOKUP(MID(T136,W136,X136-W136),[6]skilldef!$C:$D,2,FALSE),"-") &amp; " / " &amp; IFERROR(VLOOKUP(MID(T136,U136,V136-U136),[6]skilldef!$A:$B,2,FALSE),"-")</f>
        <v>- / -</v>
      </c>
      <c r="Z136" s="50"/>
      <c r="AA136" s="51"/>
      <c r="AB136" s="50"/>
      <c r="AC136" s="122" t="s">
        <v>315</v>
      </c>
      <c r="AD136" s="122" t="s">
        <v>280</v>
      </c>
      <c r="AE136" s="120">
        <v>49016503</v>
      </c>
    </row>
    <row r="137" spans="1:31" ht="39" customHeight="1" x14ac:dyDescent="0.15">
      <c r="A137" s="123">
        <v>49016982</v>
      </c>
      <c r="B137" s="167" t="s">
        <v>480</v>
      </c>
      <c r="C137" s="124">
        <v>1</v>
      </c>
      <c r="D137" s="124" t="s">
        <v>127</v>
      </c>
      <c r="E137" s="125" t="s">
        <v>430</v>
      </c>
      <c r="F137" s="209" t="s">
        <v>416</v>
      </c>
      <c r="G137" s="62" t="str">
        <f t="shared" si="217"/>
        <v>[effect:enemy_message, val1:1.2, val2:1.6]</v>
      </c>
      <c r="H137" s="62">
        <f t="shared" si="218"/>
        <v>9</v>
      </c>
      <c r="I137" s="62">
        <f t="shared" si="219"/>
        <v>22</v>
      </c>
      <c r="J137" s="62" t="e">
        <f t="shared" si="220"/>
        <v>#VALUE!</v>
      </c>
      <c r="K137" s="62">
        <f t="shared" si="221"/>
        <v>32</v>
      </c>
      <c r="L137" s="62" t="str">
        <f>IFERROR(VLOOKUP(MID(G137,J137,K137-J137),[6]skilldef!$C:$D,2,FALSE),"-") &amp; " / " &amp; IFERROR(VLOOKUP(MID(G137,H137,I137-H137),[6]skilldef!$A:$B,2,FALSE),"-")</f>
        <v>- / -</v>
      </c>
      <c r="M137" s="62" t="str">
        <f t="shared" si="222"/>
        <v>[effect:break_attack_fix, target:unit_one, val:150, lowest_val:1000, count:-1, color:red, block01:block_red, block02:block_blue, block03:crack_bomb]</v>
      </c>
      <c r="N137" s="48" t="str">
        <f t="shared" si="233"/>
        <v>[effect:break_attack_fix, target:unit_one, val:150, lowest_val:1000, count:-1, color:red, block01:block_red, block02:block_blue, block03:crack_bomb]</v>
      </c>
      <c r="O137" s="62">
        <f t="shared" si="223"/>
        <v>9</v>
      </c>
      <c r="P137" s="62">
        <f t="shared" si="224"/>
        <v>25</v>
      </c>
      <c r="Q137" s="62">
        <f t="shared" si="225"/>
        <v>34</v>
      </c>
      <c r="R137" s="62">
        <f t="shared" si="226"/>
        <v>42</v>
      </c>
      <c r="S137" s="62" t="str">
        <f>IFERROR(VLOOKUP(MID(N137,Q137,R137-Q137),[6]skilldef!$C:$D,2,FALSE),"-") &amp; " / " &amp; IFERROR(VLOOKUP(MID(N137,O137,P137-O137),[6]skilldef!$A:$B,2,FALSE),"-")</f>
        <v>味方単体に / -</v>
      </c>
      <c r="T137" s="48" t="str">
        <f t="shared" si="227"/>
        <v>none</v>
      </c>
      <c r="U137" s="62" t="e">
        <f t="shared" si="228"/>
        <v>#VALUE!</v>
      </c>
      <c r="V137" s="62">
        <f t="shared" si="229"/>
        <v>4</v>
      </c>
      <c r="W137" s="62" t="e">
        <f t="shared" si="230"/>
        <v>#VALUE!</v>
      </c>
      <c r="X137" s="62" t="e">
        <f t="shared" si="231"/>
        <v>#VALUE!</v>
      </c>
      <c r="Y137" s="62" t="str">
        <f>IFERROR(VLOOKUP(MID(T137,W137,X137-W137),[6]skilldef!$C:$D,2,FALSE),"-") &amp; " / " &amp; IFERROR(VLOOKUP(MID(T137,U137,V137-U137),[6]skilldef!$A:$B,2,FALSE),"-")</f>
        <v>- / -</v>
      </c>
      <c r="Z137" s="50"/>
      <c r="AA137" s="51"/>
      <c r="AB137" s="50"/>
      <c r="AC137" s="125" t="s">
        <v>314</v>
      </c>
      <c r="AD137" s="125" t="s">
        <v>280</v>
      </c>
      <c r="AE137" s="123">
        <v>49016602</v>
      </c>
    </row>
    <row r="138" spans="1:31" ht="20" customHeight="1" x14ac:dyDescent="0.15">
      <c r="A138" s="123">
        <v>49016983</v>
      </c>
      <c r="B138" s="167" t="s">
        <v>472</v>
      </c>
      <c r="C138" s="124">
        <v>1</v>
      </c>
      <c r="D138" s="124" t="s">
        <v>127</v>
      </c>
      <c r="E138" s="125" t="s">
        <v>350</v>
      </c>
      <c r="F138" s="242" t="s">
        <v>513</v>
      </c>
      <c r="G138" s="62" t="str">
        <f t="shared" si="217"/>
        <v>[effect:enemy_message, val1:1.2, val2:1.2]</v>
      </c>
      <c r="H138" s="62">
        <f t="shared" si="218"/>
        <v>9</v>
      </c>
      <c r="I138" s="62">
        <f t="shared" si="219"/>
        <v>22</v>
      </c>
      <c r="J138" s="62" t="e">
        <f t="shared" si="220"/>
        <v>#VALUE!</v>
      </c>
      <c r="K138" s="62">
        <f t="shared" si="221"/>
        <v>32</v>
      </c>
      <c r="L138" s="62" t="str">
        <f>IFERROR(VLOOKUP(MID(G138,J138,K138-J138),[6]skilldef!$C:$D,2,FALSE),"-") &amp; " / " &amp; IFERROR(VLOOKUP(MID(G138,H138,I138-H138),[6]skilldef!$A:$B,2,FALSE),"-")</f>
        <v>- / -</v>
      </c>
      <c r="M138" s="62" t="str">
        <f t="shared" si="222"/>
        <v>[effect:damage_gravity, val:0.7, animation:fevergauge_down]</v>
      </c>
      <c r="N138" s="48" t="str">
        <f t="shared" si="233"/>
        <v>[effect:damage_gravity, val:0.7, animation:fevergauge_down]</v>
      </c>
      <c r="O138" s="62">
        <f t="shared" si="223"/>
        <v>9</v>
      </c>
      <c r="P138" s="62">
        <f t="shared" si="224"/>
        <v>23</v>
      </c>
      <c r="Q138" s="62" t="e">
        <f t="shared" si="225"/>
        <v>#VALUE!</v>
      </c>
      <c r="R138" s="62">
        <f t="shared" si="226"/>
        <v>32</v>
      </c>
      <c r="S138" s="62" t="str">
        <f>IFERROR(VLOOKUP(MID(N138,Q138,R138-Q138),[6]skilldef!$C:$D,2,FALSE),"-") &amp; " / " &amp; IFERROR(VLOOKUP(MID(N138,O138,P138-O138),[6]skilldef!$A:$B,2,FALSE),"-")</f>
        <v>- / 割合ダメージ</v>
      </c>
      <c r="T138" s="48" t="str">
        <f t="shared" si="227"/>
        <v>none</v>
      </c>
      <c r="U138" s="62" t="e">
        <f t="shared" si="228"/>
        <v>#VALUE!</v>
      </c>
      <c r="V138" s="62">
        <f t="shared" si="229"/>
        <v>4</v>
      </c>
      <c r="W138" s="62" t="e">
        <f t="shared" si="230"/>
        <v>#VALUE!</v>
      </c>
      <c r="X138" s="62" t="e">
        <f t="shared" si="231"/>
        <v>#VALUE!</v>
      </c>
      <c r="Y138" s="62" t="str">
        <f>IFERROR(VLOOKUP(MID(T138,W138,X138-W138),[6]skilldef!$C:$D,2,FALSE),"-") &amp; " / " &amp; IFERROR(VLOOKUP(MID(T138,U138,V138-U138),[6]skilldef!$A:$B,2,FALSE),"-")</f>
        <v>- / -</v>
      </c>
      <c r="Z138" s="50"/>
      <c r="AA138" s="51"/>
      <c r="AB138" s="50"/>
      <c r="AC138" s="125" t="s">
        <v>321</v>
      </c>
      <c r="AD138" s="125" t="s">
        <v>283</v>
      </c>
    </row>
    <row r="139" spans="1:31" ht="61" customHeight="1" x14ac:dyDescent="0.15">
      <c r="A139" s="120">
        <v>49016984</v>
      </c>
      <c r="B139" s="166" t="s">
        <v>507</v>
      </c>
      <c r="C139" s="121">
        <v>1</v>
      </c>
      <c r="D139" s="121" t="s">
        <v>127</v>
      </c>
      <c r="E139" s="122" t="s">
        <v>508</v>
      </c>
      <c r="F139" s="122" t="s">
        <v>509</v>
      </c>
      <c r="G139" s="62" t="str">
        <f t="shared" si="217"/>
        <v>[effect:enemy_message, val1:1.2, val2:2.8]</v>
      </c>
      <c r="H139" s="62">
        <f t="shared" si="218"/>
        <v>9</v>
      </c>
      <c r="I139" s="62">
        <f t="shared" si="219"/>
        <v>22</v>
      </c>
      <c r="J139" s="62" t="e">
        <f t="shared" si="220"/>
        <v>#VALUE!</v>
      </c>
      <c r="K139" s="62">
        <f t="shared" si="221"/>
        <v>32</v>
      </c>
      <c r="L139" s="62" t="str">
        <f>IFERROR(VLOOKUP(MID(G139,J139,K139-J139),[6]skilldef!$C:$D,2,FALSE),"-") &amp; " / " &amp; IFERROR(VLOOKUP(MID(G139,H139,I139-H139),[6]skilldef!$A:$B,2,FALSE),"-")</f>
        <v>- / -</v>
      </c>
      <c r="M139" s="62" t="str">
        <f t="shared" si="222"/>
        <v>[effect:remove_enhancement, target:unit_all, target_effect:enhance, status:defense, animation:frozen_wave],[effect:remove_enhancement, target:unit_all, target_effect:reduction],[effect:remove_enhancement, target:unit_all, target_effect:counter_new],[effect:rush, count:1, val:0.8]</v>
      </c>
      <c r="N139" s="48" t="str">
        <f>IFERROR(LEFT(M139,FIND("],",M139)+#REF!),M139)</f>
        <v>[effect:remove_enhancement, target:unit_all, target_effect:enhance, status:defense, animation:frozen_wave],[effect:remove_enhancement, target:unit_all, target_effect:reduction],[effect:remove_enhancement, target:unit_all, target_effect:counter_new],[effect:rush, count:1, val:0.8]</v>
      </c>
      <c r="O139" s="62">
        <f t="shared" si="223"/>
        <v>9</v>
      </c>
      <c r="P139" s="62">
        <f t="shared" si="224"/>
        <v>27</v>
      </c>
      <c r="Q139" s="62">
        <f t="shared" si="225"/>
        <v>36</v>
      </c>
      <c r="R139" s="62">
        <f t="shared" si="226"/>
        <v>44</v>
      </c>
      <c r="S139" s="62" t="str">
        <f>IFERROR(VLOOKUP(MID(N139,Q139,R139-Q139),[6]skilldef!$C:$D,2,FALSE),"-") &amp; " / " &amp; IFERROR(VLOOKUP(MID(N139,O139,P139-O139),[6]skilldef!$A:$B,2,FALSE),"-")</f>
        <v>味方全体に / -</v>
      </c>
      <c r="T139" s="48" t="str">
        <f t="shared" si="227"/>
        <v>[effect:remove_enhancement, target:unit_all, target_effect:reduction],[effect:remove_enhancement, target:unit_all, target_effect:counter_new],[effect:rush, count:1, val:0.8]</v>
      </c>
      <c r="U139" s="62">
        <f t="shared" si="228"/>
        <v>9</v>
      </c>
      <c r="V139" s="62">
        <f t="shared" si="229"/>
        <v>27</v>
      </c>
      <c r="W139" s="62">
        <f t="shared" si="230"/>
        <v>36</v>
      </c>
      <c r="X139" s="62">
        <f t="shared" si="231"/>
        <v>44</v>
      </c>
      <c r="Y139" s="62" t="str">
        <f>IFERROR(VLOOKUP(MID(T139,W139,X139-W139),[6]skilldef!$C:$D,2,FALSE),"-") &amp; " / " &amp; IFERROR(VLOOKUP(MID(T139,U139,V139-U139),[6]skilldef!$A:$B,2,FALSE),"-")</f>
        <v>味方全体に / -</v>
      </c>
      <c r="Z139" s="50"/>
      <c r="AA139" s="51"/>
      <c r="AB139" s="50"/>
      <c r="AC139" s="122" t="s">
        <v>313</v>
      </c>
      <c r="AD139" s="122" t="s">
        <v>278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T189"/>
  <sheetViews>
    <sheetView showGridLines="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2" width="19.33203125" style="45" customWidth="1"/>
    <col min="13" max="13" width="47.83203125" style="45" customWidth="1"/>
    <col min="14" max="16384" width="12.83203125" style="45"/>
  </cols>
  <sheetData>
    <row r="1" spans="1:20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2" t="s">
        <v>70</v>
      </c>
      <c r="G1" s="52" t="s">
        <v>71</v>
      </c>
      <c r="H1" s="42" t="s">
        <v>72</v>
      </c>
      <c r="I1" s="42" t="s">
        <v>73</v>
      </c>
      <c r="J1" s="42" t="s">
        <v>74</v>
      </c>
      <c r="K1" s="53" t="s">
        <v>87</v>
      </c>
    </row>
    <row r="2" spans="1:20" ht="21" customHeight="1" x14ac:dyDescent="0.15">
      <c r="A2" s="105">
        <v>49016000</v>
      </c>
      <c r="B2" s="47">
        <v>1</v>
      </c>
      <c r="C2" s="47">
        <v>400</v>
      </c>
      <c r="D2" s="47">
        <v>100</v>
      </c>
      <c r="E2" s="47" t="s">
        <v>254</v>
      </c>
      <c r="F2" s="47" t="s">
        <v>89</v>
      </c>
      <c r="G2" s="47">
        <v>1</v>
      </c>
      <c r="H2" s="47">
        <v>1</v>
      </c>
      <c r="I2" s="47" t="s">
        <v>89</v>
      </c>
      <c r="J2" s="48">
        <f t="shared" ref="J2" si="0">D2</f>
        <v>100</v>
      </c>
      <c r="L2" s="107" t="s">
        <v>297</v>
      </c>
      <c r="M2" s="107" t="s">
        <v>255</v>
      </c>
      <c r="T2" s="45">
        <v>1551</v>
      </c>
    </row>
    <row r="3" spans="1:20" ht="21" customHeight="1" x14ac:dyDescent="0.15">
      <c r="A3" s="175">
        <v>49016003</v>
      </c>
      <c r="B3" s="47">
        <v>1</v>
      </c>
      <c r="C3" s="47">
        <v>402</v>
      </c>
      <c r="D3" s="47">
        <v>100</v>
      </c>
      <c r="E3" s="47" t="s">
        <v>88</v>
      </c>
      <c r="F3" s="47" t="s">
        <v>88</v>
      </c>
      <c r="G3" s="47">
        <v>1</v>
      </c>
      <c r="H3" s="47">
        <v>1</v>
      </c>
      <c r="I3" s="47">
        <v>1556</v>
      </c>
      <c r="J3" s="48">
        <f t="shared" ref="J3:J5" si="1">D3</f>
        <v>100</v>
      </c>
      <c r="L3" s="107" t="s">
        <v>297</v>
      </c>
      <c r="M3" s="107" t="s">
        <v>255</v>
      </c>
      <c r="T3" s="45">
        <v>1552</v>
      </c>
    </row>
    <row r="4" spans="1:20" ht="21" customHeight="1" x14ac:dyDescent="0.15">
      <c r="A4" s="175">
        <v>49016004</v>
      </c>
      <c r="B4" s="47">
        <v>1</v>
      </c>
      <c r="C4" s="47">
        <v>403</v>
      </c>
      <c r="D4" s="47">
        <v>100</v>
      </c>
      <c r="E4" s="47" t="s">
        <v>88</v>
      </c>
      <c r="F4" s="47" t="s">
        <v>88</v>
      </c>
      <c r="G4" s="47">
        <v>1</v>
      </c>
      <c r="H4" s="47">
        <v>1</v>
      </c>
      <c r="I4" s="47">
        <v>1557</v>
      </c>
      <c r="J4" s="48">
        <f t="shared" si="1"/>
        <v>100</v>
      </c>
      <c r="L4" s="107" t="s">
        <v>297</v>
      </c>
      <c r="M4" s="107" t="s">
        <v>255</v>
      </c>
      <c r="T4" s="45">
        <v>1553</v>
      </c>
    </row>
    <row r="5" spans="1:20" ht="21" customHeight="1" x14ac:dyDescent="0.15">
      <c r="A5" s="175">
        <v>49016005</v>
      </c>
      <c r="B5" s="47">
        <v>1</v>
      </c>
      <c r="C5" s="47">
        <v>401</v>
      </c>
      <c r="D5" s="47">
        <v>100</v>
      </c>
      <c r="E5" s="47" t="s">
        <v>88</v>
      </c>
      <c r="F5" s="47" t="s">
        <v>88</v>
      </c>
      <c r="G5" s="47">
        <v>1</v>
      </c>
      <c r="H5" s="47">
        <v>1</v>
      </c>
      <c r="I5" s="47">
        <v>1558</v>
      </c>
      <c r="J5" s="48">
        <f t="shared" si="1"/>
        <v>100</v>
      </c>
      <c r="L5" s="107" t="s">
        <v>297</v>
      </c>
      <c r="M5" s="107" t="s">
        <v>255</v>
      </c>
      <c r="T5" s="45">
        <v>1554</v>
      </c>
    </row>
    <row r="6" spans="1:20" ht="21" customHeight="1" x14ac:dyDescent="0.15">
      <c r="A6" s="105">
        <v>49016001</v>
      </c>
      <c r="B6" s="126">
        <v>0</v>
      </c>
      <c r="C6" s="126">
        <v>100</v>
      </c>
      <c r="D6" s="126">
        <v>100</v>
      </c>
      <c r="E6" s="126" t="s">
        <v>288</v>
      </c>
      <c r="F6" s="126" t="s">
        <v>289</v>
      </c>
      <c r="G6" s="126" t="s">
        <v>168</v>
      </c>
      <c r="H6" s="126">
        <v>2</v>
      </c>
      <c r="I6" s="126" t="s">
        <v>290</v>
      </c>
      <c r="J6" s="48">
        <f t="shared" ref="J6:J7" si="2">D6</f>
        <v>100</v>
      </c>
      <c r="L6" s="107" t="s">
        <v>298</v>
      </c>
      <c r="M6" s="107" t="s">
        <v>256</v>
      </c>
      <c r="T6" s="45">
        <v>1555</v>
      </c>
    </row>
    <row r="7" spans="1:20" ht="21" customHeight="1" x14ac:dyDescent="0.15">
      <c r="A7" s="105">
        <v>49016002</v>
      </c>
      <c r="B7" s="126">
        <v>0</v>
      </c>
      <c r="C7" s="126">
        <v>200</v>
      </c>
      <c r="D7" s="126">
        <v>100</v>
      </c>
      <c r="E7" s="126" t="s">
        <v>291</v>
      </c>
      <c r="F7" s="126" t="s">
        <v>168</v>
      </c>
      <c r="G7" s="126" t="s">
        <v>168</v>
      </c>
      <c r="H7" s="126">
        <v>3</v>
      </c>
      <c r="I7" s="126" t="s">
        <v>292</v>
      </c>
      <c r="J7" s="48">
        <f t="shared" si="2"/>
        <v>100</v>
      </c>
      <c r="L7" s="107" t="s">
        <v>299</v>
      </c>
      <c r="M7" s="107" t="s">
        <v>259</v>
      </c>
      <c r="T7" s="45">
        <v>1556</v>
      </c>
    </row>
    <row r="8" spans="1:20" ht="21" customHeight="1" x14ac:dyDescent="0.15">
      <c r="A8" s="108">
        <v>49016100</v>
      </c>
      <c r="B8" s="126">
        <v>1</v>
      </c>
      <c r="C8" s="126">
        <v>400</v>
      </c>
      <c r="D8" s="126">
        <v>100</v>
      </c>
      <c r="E8" s="126" t="s">
        <v>168</v>
      </c>
      <c r="F8" s="126" t="s">
        <v>168</v>
      </c>
      <c r="G8" s="126">
        <v>1</v>
      </c>
      <c r="H8" s="126">
        <v>1</v>
      </c>
      <c r="I8" s="126" t="s">
        <v>168</v>
      </c>
      <c r="J8" s="48">
        <f t="shared" ref="J8:J35" si="3">D8</f>
        <v>100</v>
      </c>
      <c r="L8" s="110" t="s">
        <v>300</v>
      </c>
      <c r="M8" s="110" t="s">
        <v>257</v>
      </c>
      <c r="T8" s="45">
        <v>1557</v>
      </c>
    </row>
    <row r="9" spans="1:20" ht="15" customHeight="1" x14ac:dyDescent="0.15">
      <c r="A9" s="170">
        <v>49016701</v>
      </c>
      <c r="B9" s="126">
        <v>1</v>
      </c>
      <c r="C9" s="126">
        <v>401</v>
      </c>
      <c r="D9" s="126">
        <v>100</v>
      </c>
      <c r="E9" s="126" t="s">
        <v>88</v>
      </c>
      <c r="F9" s="126" t="s">
        <v>88</v>
      </c>
      <c r="G9" s="126">
        <v>1</v>
      </c>
      <c r="H9" s="126">
        <v>1</v>
      </c>
      <c r="I9" s="126">
        <v>1551</v>
      </c>
      <c r="J9" s="48">
        <f t="shared" ref="J9:J32" si="4">D9</f>
        <v>100</v>
      </c>
      <c r="L9" s="110" t="s">
        <v>300</v>
      </c>
      <c r="M9" s="110" t="s">
        <v>257</v>
      </c>
      <c r="T9" s="45">
        <v>1558</v>
      </c>
    </row>
    <row r="10" spans="1:20" ht="15" customHeight="1" x14ac:dyDescent="0.15">
      <c r="A10" s="170">
        <v>49016702</v>
      </c>
      <c r="B10" s="126">
        <v>1</v>
      </c>
      <c r="C10" s="126">
        <v>402</v>
      </c>
      <c r="D10" s="126">
        <v>100</v>
      </c>
      <c r="E10" s="126" t="s">
        <v>88</v>
      </c>
      <c r="F10" s="126" t="s">
        <v>88</v>
      </c>
      <c r="G10" s="126">
        <v>1</v>
      </c>
      <c r="H10" s="126">
        <v>1</v>
      </c>
      <c r="I10" s="126">
        <v>1553</v>
      </c>
      <c r="J10" s="48">
        <f t="shared" si="4"/>
        <v>100</v>
      </c>
      <c r="L10" s="110" t="s">
        <v>300</v>
      </c>
      <c r="M10" s="110" t="s">
        <v>257</v>
      </c>
      <c r="T10" s="45">
        <v>1559</v>
      </c>
    </row>
    <row r="11" spans="1:20" ht="15" customHeight="1" x14ac:dyDescent="0.15">
      <c r="A11" s="170">
        <v>49016703</v>
      </c>
      <c r="B11" s="126">
        <v>1</v>
      </c>
      <c r="C11" s="126">
        <v>403</v>
      </c>
      <c r="D11" s="126">
        <v>100</v>
      </c>
      <c r="E11" s="126" t="s">
        <v>88</v>
      </c>
      <c r="F11" s="126" t="s">
        <v>88</v>
      </c>
      <c r="G11" s="126">
        <v>1</v>
      </c>
      <c r="H11" s="126">
        <v>1</v>
      </c>
      <c r="I11" s="126">
        <v>1555</v>
      </c>
      <c r="J11" s="48">
        <f t="shared" si="4"/>
        <v>100</v>
      </c>
      <c r="L11" s="110" t="s">
        <v>300</v>
      </c>
      <c r="M11" s="110" t="s">
        <v>257</v>
      </c>
      <c r="T11" s="45">
        <v>1560</v>
      </c>
    </row>
    <row r="12" spans="1:20" ht="15" customHeight="1" x14ac:dyDescent="0.15">
      <c r="A12" s="170">
        <v>49016704</v>
      </c>
      <c r="B12" s="126">
        <v>1</v>
      </c>
      <c r="C12" s="126">
        <v>404</v>
      </c>
      <c r="D12" s="126">
        <v>100</v>
      </c>
      <c r="E12" s="126" t="s">
        <v>88</v>
      </c>
      <c r="F12" s="126" t="s">
        <v>88</v>
      </c>
      <c r="G12" s="126">
        <v>1</v>
      </c>
      <c r="H12" s="126">
        <v>1</v>
      </c>
      <c r="I12" s="126">
        <v>1560</v>
      </c>
      <c r="J12" s="48">
        <f t="shared" si="4"/>
        <v>100</v>
      </c>
      <c r="L12" s="110" t="s">
        <v>300</v>
      </c>
      <c r="M12" s="110" t="s">
        <v>257</v>
      </c>
      <c r="T12" s="45">
        <v>1561</v>
      </c>
    </row>
    <row r="13" spans="1:20" ht="15" customHeight="1" x14ac:dyDescent="0.15">
      <c r="A13" s="170">
        <v>49016705</v>
      </c>
      <c r="B13" s="126">
        <v>1</v>
      </c>
      <c r="C13" s="126">
        <v>405</v>
      </c>
      <c r="D13" s="126">
        <v>100</v>
      </c>
      <c r="E13" s="126" t="s">
        <v>88</v>
      </c>
      <c r="F13" s="126" t="s">
        <v>88</v>
      </c>
      <c r="G13" s="126">
        <v>1</v>
      </c>
      <c r="H13" s="126">
        <v>1</v>
      </c>
      <c r="I13" s="126">
        <v>1561</v>
      </c>
      <c r="J13" s="48">
        <f t="shared" si="4"/>
        <v>100</v>
      </c>
      <c r="L13" s="110" t="s">
        <v>300</v>
      </c>
      <c r="M13" s="110" t="s">
        <v>257</v>
      </c>
      <c r="T13" s="45">
        <v>1562</v>
      </c>
    </row>
    <row r="14" spans="1:20" ht="15" customHeight="1" x14ac:dyDescent="0.15">
      <c r="A14" s="170">
        <v>49016706</v>
      </c>
      <c r="B14" s="126">
        <v>1</v>
      </c>
      <c r="C14" s="126">
        <v>406</v>
      </c>
      <c r="D14" s="126">
        <v>100</v>
      </c>
      <c r="E14" s="126" t="s">
        <v>88</v>
      </c>
      <c r="F14" s="126" t="s">
        <v>88</v>
      </c>
      <c r="G14" s="126">
        <v>1</v>
      </c>
      <c r="H14" s="126">
        <v>1</v>
      </c>
      <c r="I14" s="126">
        <v>1563</v>
      </c>
      <c r="J14" s="48">
        <f t="shared" si="4"/>
        <v>100</v>
      </c>
      <c r="L14" s="110" t="s">
        <v>300</v>
      </c>
      <c r="M14" s="110" t="s">
        <v>257</v>
      </c>
      <c r="T14" s="45">
        <v>1563</v>
      </c>
    </row>
    <row r="15" spans="1:20" ht="15" customHeight="1" x14ac:dyDescent="0.15">
      <c r="A15" s="170">
        <v>49016707</v>
      </c>
      <c r="B15" s="126">
        <v>1</v>
      </c>
      <c r="C15" s="126">
        <v>407</v>
      </c>
      <c r="D15" s="126">
        <v>100</v>
      </c>
      <c r="E15" s="126" t="s">
        <v>88</v>
      </c>
      <c r="F15" s="126" t="s">
        <v>88</v>
      </c>
      <c r="G15" s="126">
        <v>1</v>
      </c>
      <c r="H15" s="126">
        <v>1</v>
      </c>
      <c r="I15" s="126">
        <v>1565</v>
      </c>
      <c r="J15" s="48">
        <f t="shared" si="4"/>
        <v>100</v>
      </c>
      <c r="L15" s="110" t="s">
        <v>300</v>
      </c>
      <c r="M15" s="110" t="s">
        <v>257</v>
      </c>
      <c r="T15" s="45">
        <v>1564</v>
      </c>
    </row>
    <row r="16" spans="1:20" ht="15" customHeight="1" x14ac:dyDescent="0.15">
      <c r="A16" s="170">
        <v>49016708</v>
      </c>
      <c r="B16" s="126">
        <v>1</v>
      </c>
      <c r="C16" s="126">
        <v>408</v>
      </c>
      <c r="D16" s="126">
        <v>100</v>
      </c>
      <c r="E16" s="126" t="s">
        <v>88</v>
      </c>
      <c r="F16" s="126" t="s">
        <v>88</v>
      </c>
      <c r="G16" s="126">
        <v>1</v>
      </c>
      <c r="H16" s="126">
        <v>1</v>
      </c>
      <c r="I16" s="126">
        <v>1566</v>
      </c>
      <c r="J16" s="48">
        <f t="shared" si="4"/>
        <v>100</v>
      </c>
      <c r="L16" s="110" t="s">
        <v>300</v>
      </c>
      <c r="M16" s="110" t="s">
        <v>257</v>
      </c>
      <c r="T16" s="45">
        <v>1565</v>
      </c>
    </row>
    <row r="17" spans="1:20" ht="15" customHeight="1" x14ac:dyDescent="0.15">
      <c r="A17" s="170">
        <v>49016709</v>
      </c>
      <c r="B17" s="126">
        <v>1</v>
      </c>
      <c r="C17" s="126">
        <v>409</v>
      </c>
      <c r="D17" s="126">
        <v>100</v>
      </c>
      <c r="E17" s="126" t="s">
        <v>88</v>
      </c>
      <c r="F17" s="126" t="s">
        <v>88</v>
      </c>
      <c r="G17" s="126">
        <v>1</v>
      </c>
      <c r="H17" s="126">
        <v>1</v>
      </c>
      <c r="I17" s="126">
        <v>1568</v>
      </c>
      <c r="J17" s="48">
        <f t="shared" si="4"/>
        <v>100</v>
      </c>
      <c r="L17" s="110" t="s">
        <v>300</v>
      </c>
      <c r="M17" s="110" t="s">
        <v>257</v>
      </c>
      <c r="T17" s="45">
        <v>1566</v>
      </c>
    </row>
    <row r="18" spans="1:20" ht="15" customHeight="1" x14ac:dyDescent="0.15">
      <c r="A18" s="170">
        <v>49016710</v>
      </c>
      <c r="B18" s="126">
        <v>1</v>
      </c>
      <c r="C18" s="126">
        <v>410</v>
      </c>
      <c r="D18" s="126">
        <v>100</v>
      </c>
      <c r="E18" s="126" t="s">
        <v>88</v>
      </c>
      <c r="F18" s="126" t="s">
        <v>88</v>
      </c>
      <c r="G18" s="126">
        <v>1</v>
      </c>
      <c r="H18" s="126">
        <v>1</v>
      </c>
      <c r="I18" s="126">
        <v>1570</v>
      </c>
      <c r="J18" s="48">
        <f t="shared" si="4"/>
        <v>100</v>
      </c>
      <c r="L18" s="110" t="s">
        <v>300</v>
      </c>
      <c r="M18" s="110" t="s">
        <v>257</v>
      </c>
      <c r="T18" s="45">
        <v>1567</v>
      </c>
    </row>
    <row r="19" spans="1:20" ht="15" customHeight="1" x14ac:dyDescent="0.15">
      <c r="A19" s="170">
        <v>49016711</v>
      </c>
      <c r="B19" s="126">
        <v>1</v>
      </c>
      <c r="C19" s="126">
        <v>411</v>
      </c>
      <c r="D19" s="126">
        <v>100</v>
      </c>
      <c r="E19" s="126" t="s">
        <v>88</v>
      </c>
      <c r="F19" s="126" t="s">
        <v>88</v>
      </c>
      <c r="G19" s="126">
        <v>1</v>
      </c>
      <c r="H19" s="126">
        <v>1</v>
      </c>
      <c r="I19" s="126">
        <v>1571</v>
      </c>
      <c r="J19" s="48">
        <f t="shared" si="4"/>
        <v>100</v>
      </c>
      <c r="L19" s="110" t="s">
        <v>300</v>
      </c>
      <c r="M19" s="110" t="s">
        <v>257</v>
      </c>
      <c r="T19" s="45">
        <v>1568</v>
      </c>
    </row>
    <row r="20" spans="1:20" ht="15" customHeight="1" x14ac:dyDescent="0.15">
      <c r="A20" s="170">
        <v>49016712</v>
      </c>
      <c r="B20" s="126">
        <v>1</v>
      </c>
      <c r="C20" s="126">
        <v>412</v>
      </c>
      <c r="D20" s="126">
        <v>100</v>
      </c>
      <c r="E20" s="126" t="s">
        <v>88</v>
      </c>
      <c r="F20" s="126" t="s">
        <v>88</v>
      </c>
      <c r="G20" s="126">
        <v>1</v>
      </c>
      <c r="H20" s="126">
        <v>1</v>
      </c>
      <c r="I20" s="126">
        <v>1573</v>
      </c>
      <c r="J20" s="48">
        <f t="shared" si="4"/>
        <v>100</v>
      </c>
      <c r="L20" s="110" t="s">
        <v>300</v>
      </c>
      <c r="M20" s="110" t="s">
        <v>257</v>
      </c>
      <c r="T20" s="45">
        <v>1569</v>
      </c>
    </row>
    <row r="21" spans="1:20" ht="15" customHeight="1" x14ac:dyDescent="0.15">
      <c r="A21" s="170">
        <v>49016713</v>
      </c>
      <c r="B21" s="126">
        <v>1</v>
      </c>
      <c r="C21" s="126">
        <v>413</v>
      </c>
      <c r="D21" s="126">
        <v>100</v>
      </c>
      <c r="E21" s="126" t="s">
        <v>88</v>
      </c>
      <c r="F21" s="126" t="s">
        <v>88</v>
      </c>
      <c r="G21" s="126">
        <v>1</v>
      </c>
      <c r="H21" s="126">
        <v>1</v>
      </c>
      <c r="I21" s="126">
        <v>1574</v>
      </c>
      <c r="J21" s="48">
        <f t="shared" si="4"/>
        <v>100</v>
      </c>
      <c r="L21" s="110" t="s">
        <v>300</v>
      </c>
      <c r="M21" s="110" t="s">
        <v>257</v>
      </c>
      <c r="T21" s="45">
        <v>1570</v>
      </c>
    </row>
    <row r="22" spans="1:20" ht="15" customHeight="1" x14ac:dyDescent="0.15">
      <c r="A22" s="170">
        <v>49016714</v>
      </c>
      <c r="B22" s="126">
        <v>1</v>
      </c>
      <c r="C22" s="126">
        <v>414</v>
      </c>
      <c r="D22" s="126">
        <v>100</v>
      </c>
      <c r="E22" s="126" t="s">
        <v>88</v>
      </c>
      <c r="F22" s="126" t="s">
        <v>88</v>
      </c>
      <c r="G22" s="126">
        <v>1</v>
      </c>
      <c r="H22" s="126">
        <v>1</v>
      </c>
      <c r="I22" s="126">
        <v>1575</v>
      </c>
      <c r="J22" s="48">
        <f t="shared" si="4"/>
        <v>100</v>
      </c>
      <c r="L22" s="110" t="s">
        <v>300</v>
      </c>
      <c r="M22" s="110" t="s">
        <v>257</v>
      </c>
      <c r="T22" s="45">
        <v>1571</v>
      </c>
    </row>
    <row r="23" spans="1:20" ht="15" customHeight="1" x14ac:dyDescent="0.15">
      <c r="A23" s="170">
        <v>49016715</v>
      </c>
      <c r="B23" s="126">
        <v>1</v>
      </c>
      <c r="C23" s="126">
        <v>415</v>
      </c>
      <c r="D23" s="126">
        <v>100</v>
      </c>
      <c r="E23" s="126" t="s">
        <v>88</v>
      </c>
      <c r="F23" s="126" t="s">
        <v>88</v>
      </c>
      <c r="G23" s="126">
        <v>1</v>
      </c>
      <c r="H23" s="126">
        <v>1</v>
      </c>
      <c r="I23" s="126">
        <v>1577</v>
      </c>
      <c r="J23" s="48">
        <f t="shared" si="4"/>
        <v>100</v>
      </c>
      <c r="L23" s="110" t="s">
        <v>300</v>
      </c>
      <c r="M23" s="110" t="s">
        <v>257</v>
      </c>
      <c r="T23" s="45">
        <v>1572</v>
      </c>
    </row>
    <row r="24" spans="1:20" ht="15" customHeight="1" x14ac:dyDescent="0.15">
      <c r="A24" s="170">
        <v>49016716</v>
      </c>
      <c r="B24" s="126">
        <v>1</v>
      </c>
      <c r="C24" s="126">
        <v>416</v>
      </c>
      <c r="D24" s="126">
        <v>100</v>
      </c>
      <c r="E24" s="126" t="s">
        <v>88</v>
      </c>
      <c r="F24" s="126" t="s">
        <v>88</v>
      </c>
      <c r="G24" s="126">
        <v>1</v>
      </c>
      <c r="H24" s="126">
        <v>1</v>
      </c>
      <c r="I24" s="126">
        <v>1578</v>
      </c>
      <c r="J24" s="48">
        <f t="shared" si="4"/>
        <v>100</v>
      </c>
      <c r="L24" s="110" t="s">
        <v>300</v>
      </c>
      <c r="M24" s="110" t="s">
        <v>257</v>
      </c>
      <c r="T24" s="45">
        <v>1573</v>
      </c>
    </row>
    <row r="25" spans="1:20" ht="15" customHeight="1" x14ac:dyDescent="0.15">
      <c r="A25" s="170">
        <v>49016717</v>
      </c>
      <c r="B25" s="126">
        <v>1</v>
      </c>
      <c r="C25" s="126">
        <v>417</v>
      </c>
      <c r="D25" s="126">
        <v>100</v>
      </c>
      <c r="E25" s="126" t="s">
        <v>88</v>
      </c>
      <c r="F25" s="126" t="s">
        <v>88</v>
      </c>
      <c r="G25" s="126">
        <v>1</v>
      </c>
      <c r="H25" s="126">
        <v>1</v>
      </c>
      <c r="I25" s="126">
        <v>1579</v>
      </c>
      <c r="J25" s="48">
        <f t="shared" si="4"/>
        <v>100</v>
      </c>
      <c r="L25" s="110" t="s">
        <v>300</v>
      </c>
      <c r="M25" s="110" t="s">
        <v>257</v>
      </c>
      <c r="O25" s="273" t="s">
        <v>398</v>
      </c>
      <c r="P25" s="273"/>
      <c r="Q25" s="273"/>
      <c r="R25" s="45" t="s">
        <v>349</v>
      </c>
      <c r="T25" s="45">
        <v>1574</v>
      </c>
    </row>
    <row r="26" spans="1:20" ht="15" customHeight="1" x14ac:dyDescent="0.15">
      <c r="A26" s="170">
        <v>49016718</v>
      </c>
      <c r="B26" s="126">
        <v>1</v>
      </c>
      <c r="C26" s="126">
        <v>418</v>
      </c>
      <c r="D26" s="126">
        <v>100</v>
      </c>
      <c r="E26" s="126" t="s">
        <v>88</v>
      </c>
      <c r="F26" s="126" t="s">
        <v>88</v>
      </c>
      <c r="G26" s="126">
        <v>1</v>
      </c>
      <c r="H26" s="126">
        <v>1</v>
      </c>
      <c r="I26" s="126">
        <v>1581</v>
      </c>
      <c r="J26" s="48">
        <f t="shared" si="4"/>
        <v>100</v>
      </c>
      <c r="L26" s="110" t="s">
        <v>300</v>
      </c>
      <c r="M26" s="110" t="s">
        <v>257</v>
      </c>
      <c r="O26" s="49">
        <v>1551</v>
      </c>
      <c r="P26" s="49">
        <v>1551</v>
      </c>
      <c r="Q26" s="49">
        <v>1553</v>
      </c>
      <c r="R26" s="45">
        <v>1551</v>
      </c>
      <c r="S26" s="195"/>
      <c r="T26" s="45">
        <v>1575</v>
      </c>
    </row>
    <row r="27" spans="1:20" ht="15" customHeight="1" x14ac:dyDescent="0.15">
      <c r="A27" s="170">
        <v>49016719</v>
      </c>
      <c r="B27" s="126">
        <v>1</v>
      </c>
      <c r="C27" s="126">
        <v>419</v>
      </c>
      <c r="D27" s="126">
        <v>100</v>
      </c>
      <c r="E27" s="126" t="s">
        <v>88</v>
      </c>
      <c r="F27" s="126" t="s">
        <v>88</v>
      </c>
      <c r="G27" s="126">
        <v>1</v>
      </c>
      <c r="H27" s="126">
        <v>1</v>
      </c>
      <c r="I27" s="126">
        <v>1584</v>
      </c>
      <c r="J27" s="48">
        <f t="shared" si="4"/>
        <v>100</v>
      </c>
      <c r="L27" s="110" t="s">
        <v>300</v>
      </c>
      <c r="M27" s="110" t="s">
        <v>257</v>
      </c>
      <c r="O27" s="49">
        <v>1553</v>
      </c>
      <c r="P27" s="49">
        <v>1553</v>
      </c>
      <c r="Q27" s="49">
        <v>1555</v>
      </c>
      <c r="R27" s="45">
        <v>1553</v>
      </c>
      <c r="T27" s="45">
        <v>1576</v>
      </c>
    </row>
    <row r="28" spans="1:20" ht="15" customHeight="1" x14ac:dyDescent="0.15">
      <c r="A28" s="170">
        <v>49016720</v>
      </c>
      <c r="B28" s="126">
        <v>1</v>
      </c>
      <c r="C28" s="126">
        <v>420</v>
      </c>
      <c r="D28" s="126">
        <v>100</v>
      </c>
      <c r="E28" s="126" t="s">
        <v>88</v>
      </c>
      <c r="F28" s="126" t="s">
        <v>88</v>
      </c>
      <c r="G28" s="126">
        <v>1</v>
      </c>
      <c r="H28" s="126">
        <v>1</v>
      </c>
      <c r="I28" s="126">
        <v>1587</v>
      </c>
      <c r="J28" s="48">
        <f t="shared" si="4"/>
        <v>100</v>
      </c>
      <c r="L28" s="110" t="s">
        <v>300</v>
      </c>
      <c r="M28" s="110" t="s">
        <v>257</v>
      </c>
      <c r="O28" s="49">
        <v>1555</v>
      </c>
      <c r="P28" s="49">
        <v>1555</v>
      </c>
      <c r="Q28" s="49">
        <v>1556</v>
      </c>
      <c r="R28" s="45">
        <v>1555</v>
      </c>
      <c r="T28" s="45">
        <v>1577</v>
      </c>
    </row>
    <row r="29" spans="1:20" ht="15" customHeight="1" x14ac:dyDescent="0.15">
      <c r="A29" s="170">
        <v>49016721</v>
      </c>
      <c r="B29" s="126">
        <v>1</v>
      </c>
      <c r="C29" s="126">
        <v>423</v>
      </c>
      <c r="D29" s="126">
        <v>100</v>
      </c>
      <c r="E29" s="126" t="s">
        <v>88</v>
      </c>
      <c r="F29" s="126" t="s">
        <v>88</v>
      </c>
      <c r="G29" s="126">
        <v>1</v>
      </c>
      <c r="H29" s="126">
        <v>1</v>
      </c>
      <c r="I29" s="175">
        <v>1556</v>
      </c>
      <c r="J29" s="48">
        <f t="shared" si="4"/>
        <v>100</v>
      </c>
      <c r="L29" s="110" t="s">
        <v>300</v>
      </c>
      <c r="M29" s="110" t="s">
        <v>257</v>
      </c>
      <c r="O29" s="49">
        <v>1560</v>
      </c>
      <c r="P29" s="49">
        <v>1556</v>
      </c>
      <c r="Q29" s="49">
        <v>1560</v>
      </c>
      <c r="R29" s="45">
        <v>1556</v>
      </c>
      <c r="T29" s="45">
        <v>1578</v>
      </c>
    </row>
    <row r="30" spans="1:20" ht="15" customHeight="1" x14ac:dyDescent="0.15">
      <c r="A30" s="170">
        <v>49016722</v>
      </c>
      <c r="B30" s="126">
        <v>1</v>
      </c>
      <c r="C30" s="126">
        <v>424</v>
      </c>
      <c r="D30" s="126">
        <v>100</v>
      </c>
      <c r="E30" s="126" t="s">
        <v>88</v>
      </c>
      <c r="F30" s="126" t="s">
        <v>88</v>
      </c>
      <c r="G30" s="126">
        <v>1</v>
      </c>
      <c r="H30" s="126">
        <v>1</v>
      </c>
      <c r="I30" s="175">
        <v>1557</v>
      </c>
      <c r="J30" s="48">
        <f t="shared" si="4"/>
        <v>100</v>
      </c>
      <c r="L30" s="110" t="s">
        <v>300</v>
      </c>
      <c r="M30" s="110" t="s">
        <v>257</v>
      </c>
      <c r="O30" s="49">
        <v>1561</v>
      </c>
      <c r="P30" s="49">
        <v>1558</v>
      </c>
      <c r="Q30" s="49">
        <v>1561</v>
      </c>
      <c r="R30" s="45">
        <v>1558</v>
      </c>
      <c r="T30" s="45">
        <v>1579</v>
      </c>
    </row>
    <row r="31" spans="1:20" ht="15" customHeight="1" x14ac:dyDescent="0.15">
      <c r="A31" s="170">
        <v>49016723</v>
      </c>
      <c r="B31" s="126">
        <v>1</v>
      </c>
      <c r="C31" s="126">
        <v>421</v>
      </c>
      <c r="D31" s="126">
        <v>100</v>
      </c>
      <c r="E31" s="126" t="s">
        <v>88</v>
      </c>
      <c r="F31" s="126" t="s">
        <v>88</v>
      </c>
      <c r="G31" s="126">
        <v>1</v>
      </c>
      <c r="H31" s="126">
        <v>1</v>
      </c>
      <c r="I31" s="175">
        <v>1558</v>
      </c>
      <c r="J31" s="48">
        <f t="shared" si="4"/>
        <v>100</v>
      </c>
      <c r="L31" s="110" t="s">
        <v>300</v>
      </c>
      <c r="M31" s="110" t="s">
        <v>257</v>
      </c>
      <c r="O31" s="49">
        <v>1563</v>
      </c>
      <c r="P31" s="49">
        <v>1560</v>
      </c>
      <c r="Q31" s="49">
        <v>1565</v>
      </c>
      <c r="R31" s="45">
        <v>1560</v>
      </c>
      <c r="T31" s="45">
        <v>1580</v>
      </c>
    </row>
    <row r="32" spans="1:20" ht="15" customHeight="1" x14ac:dyDescent="0.15">
      <c r="A32" s="170">
        <v>49016724</v>
      </c>
      <c r="B32" s="126">
        <v>1</v>
      </c>
      <c r="C32" s="126">
        <v>422</v>
      </c>
      <c r="D32" s="126">
        <v>100</v>
      </c>
      <c r="E32" s="126" t="s">
        <v>88</v>
      </c>
      <c r="F32" s="126" t="s">
        <v>88</v>
      </c>
      <c r="G32" s="126">
        <v>1</v>
      </c>
      <c r="H32" s="126">
        <v>1</v>
      </c>
      <c r="I32" s="175">
        <v>1559</v>
      </c>
      <c r="J32" s="48">
        <f t="shared" si="4"/>
        <v>100</v>
      </c>
      <c r="L32" s="110" t="s">
        <v>300</v>
      </c>
      <c r="M32" s="110" t="s">
        <v>257</v>
      </c>
      <c r="O32" s="49">
        <v>1565</v>
      </c>
      <c r="P32" s="49">
        <v>1561</v>
      </c>
      <c r="Q32" s="49">
        <v>1568</v>
      </c>
      <c r="R32" s="45">
        <v>1561</v>
      </c>
      <c r="T32" s="45">
        <v>1581</v>
      </c>
    </row>
    <row r="33" spans="1:20" ht="21" customHeight="1" x14ac:dyDescent="0.15">
      <c r="A33" s="108">
        <v>49016101</v>
      </c>
      <c r="B33" s="126">
        <v>0</v>
      </c>
      <c r="C33" s="126">
        <v>100</v>
      </c>
      <c r="D33" s="126">
        <v>100</v>
      </c>
      <c r="E33" s="126" t="s">
        <v>288</v>
      </c>
      <c r="F33" s="126" t="s">
        <v>289</v>
      </c>
      <c r="G33" s="126" t="s">
        <v>168</v>
      </c>
      <c r="H33" s="126">
        <v>2</v>
      </c>
      <c r="I33" s="126" t="s">
        <v>290</v>
      </c>
      <c r="J33" s="48">
        <f t="shared" si="3"/>
        <v>100</v>
      </c>
      <c r="L33" s="110" t="s">
        <v>301</v>
      </c>
      <c r="M33" s="110" t="s">
        <v>258</v>
      </c>
      <c r="O33" s="49">
        <v>1566</v>
      </c>
      <c r="P33" s="49">
        <v>1563</v>
      </c>
      <c r="Q33" s="49">
        <v>1570</v>
      </c>
      <c r="R33" s="45">
        <v>1563</v>
      </c>
      <c r="T33" s="45">
        <v>1582</v>
      </c>
    </row>
    <row r="34" spans="1:20" ht="21" customHeight="1" x14ac:dyDescent="0.15">
      <c r="A34" s="108">
        <v>49016102</v>
      </c>
      <c r="B34" s="126">
        <v>0</v>
      </c>
      <c r="C34" s="126">
        <v>200</v>
      </c>
      <c r="D34" s="126">
        <v>100</v>
      </c>
      <c r="E34" s="126" t="s">
        <v>291</v>
      </c>
      <c r="F34" s="126" t="s">
        <v>168</v>
      </c>
      <c r="G34" s="126" t="s">
        <v>168</v>
      </c>
      <c r="H34" s="126">
        <v>3</v>
      </c>
      <c r="I34" s="126" t="s">
        <v>292</v>
      </c>
      <c r="J34" s="48">
        <f t="shared" si="3"/>
        <v>100</v>
      </c>
      <c r="L34" s="110" t="s">
        <v>299</v>
      </c>
      <c r="M34" s="110" t="s">
        <v>260</v>
      </c>
      <c r="O34" s="49">
        <v>1568</v>
      </c>
      <c r="P34" s="49">
        <v>1565</v>
      </c>
      <c r="Q34" s="49">
        <v>1571</v>
      </c>
      <c r="R34" s="45">
        <v>1565</v>
      </c>
      <c r="T34" s="45">
        <v>1583</v>
      </c>
    </row>
    <row r="35" spans="1:20" ht="21" customHeight="1" x14ac:dyDescent="0.15">
      <c r="A35" s="108">
        <v>49016103</v>
      </c>
      <c r="B35" s="126">
        <v>0</v>
      </c>
      <c r="C35" s="126">
        <v>300</v>
      </c>
      <c r="D35" s="126">
        <v>100</v>
      </c>
      <c r="E35" s="126">
        <v>50</v>
      </c>
      <c r="F35" s="126" t="s">
        <v>168</v>
      </c>
      <c r="G35" s="126">
        <v>1</v>
      </c>
      <c r="H35" s="126">
        <v>1</v>
      </c>
      <c r="I35" s="126" t="s">
        <v>293</v>
      </c>
      <c r="J35" s="48">
        <f t="shared" si="3"/>
        <v>100</v>
      </c>
      <c r="L35" s="110" t="s">
        <v>302</v>
      </c>
      <c r="M35" s="110" t="s">
        <v>261</v>
      </c>
      <c r="O35" s="49">
        <v>1570</v>
      </c>
      <c r="P35" s="49">
        <v>1566</v>
      </c>
      <c r="Q35" s="49">
        <v>1573</v>
      </c>
      <c r="R35" s="45">
        <v>1566</v>
      </c>
      <c r="T35" s="45">
        <v>1584</v>
      </c>
    </row>
    <row r="36" spans="1:20" ht="21" customHeight="1" x14ac:dyDescent="0.15">
      <c r="A36" s="108">
        <v>49016104</v>
      </c>
      <c r="B36" s="126">
        <v>0</v>
      </c>
      <c r="C36" s="126">
        <v>250</v>
      </c>
      <c r="D36" s="126">
        <v>100</v>
      </c>
      <c r="E36" s="126">
        <v>40</v>
      </c>
      <c r="F36" s="126" t="s">
        <v>294</v>
      </c>
      <c r="G36" s="126">
        <v>1</v>
      </c>
      <c r="H36" s="126">
        <v>1</v>
      </c>
      <c r="I36" s="126" t="s">
        <v>292</v>
      </c>
      <c r="J36" s="48">
        <f t="shared" ref="J36:J72" si="5">D36</f>
        <v>100</v>
      </c>
      <c r="L36" s="110" t="s">
        <v>303</v>
      </c>
      <c r="M36" s="110" t="s">
        <v>262</v>
      </c>
      <c r="O36" s="49">
        <v>1571</v>
      </c>
      <c r="P36" s="49">
        <v>1568</v>
      </c>
      <c r="Q36" s="49">
        <v>1574</v>
      </c>
      <c r="R36" s="45">
        <v>1568</v>
      </c>
      <c r="T36" s="45">
        <v>1585</v>
      </c>
    </row>
    <row r="37" spans="1:20" ht="21" customHeight="1" x14ac:dyDescent="0.15">
      <c r="A37" s="175">
        <v>49016105</v>
      </c>
      <c r="B37" s="47">
        <v>0</v>
      </c>
      <c r="C37" s="47">
        <v>800</v>
      </c>
      <c r="D37" s="47">
        <v>100</v>
      </c>
      <c r="E37" s="47" t="s">
        <v>254</v>
      </c>
      <c r="F37" s="47" t="s">
        <v>88</v>
      </c>
      <c r="G37" s="47">
        <v>0</v>
      </c>
      <c r="H37" s="47">
        <v>1</v>
      </c>
      <c r="I37" s="47">
        <v>0</v>
      </c>
      <c r="J37" s="48">
        <f t="shared" si="5"/>
        <v>100</v>
      </c>
      <c r="L37" s="178" t="s">
        <v>328</v>
      </c>
      <c r="M37" s="178" t="s">
        <v>255</v>
      </c>
      <c r="O37" s="49">
        <v>1573</v>
      </c>
      <c r="P37" s="49">
        <v>1570</v>
      </c>
      <c r="Q37" s="49">
        <v>1577</v>
      </c>
      <c r="R37" s="45">
        <v>1570</v>
      </c>
      <c r="T37" s="45">
        <v>1586</v>
      </c>
    </row>
    <row r="38" spans="1:20" ht="21" customHeight="1" x14ac:dyDescent="0.15">
      <c r="A38" s="175">
        <v>49016106</v>
      </c>
      <c r="B38" s="47">
        <v>0</v>
      </c>
      <c r="C38" s="47">
        <v>803</v>
      </c>
      <c r="D38" s="47">
        <v>100</v>
      </c>
      <c r="E38" s="47" t="s">
        <v>254</v>
      </c>
      <c r="F38" s="47" t="s">
        <v>88</v>
      </c>
      <c r="G38" s="47">
        <v>0</v>
      </c>
      <c r="H38" s="47">
        <v>1</v>
      </c>
      <c r="I38" s="47">
        <v>1556</v>
      </c>
      <c r="J38" s="48">
        <f t="shared" si="5"/>
        <v>100</v>
      </c>
      <c r="L38" s="178" t="s">
        <v>328</v>
      </c>
      <c r="M38" s="178" t="s">
        <v>255</v>
      </c>
      <c r="O38" s="49">
        <v>1574</v>
      </c>
      <c r="P38" s="180">
        <v>1573</v>
      </c>
      <c r="Q38" s="49">
        <v>1578</v>
      </c>
      <c r="R38" s="45">
        <v>1571</v>
      </c>
      <c r="T38" s="45">
        <v>1587</v>
      </c>
    </row>
    <row r="39" spans="1:20" ht="21" customHeight="1" x14ac:dyDescent="0.15">
      <c r="A39" s="175">
        <v>49016107</v>
      </c>
      <c r="B39" s="47">
        <v>0</v>
      </c>
      <c r="C39" s="47">
        <v>804</v>
      </c>
      <c r="D39" s="47">
        <v>100</v>
      </c>
      <c r="E39" s="47" t="s">
        <v>254</v>
      </c>
      <c r="F39" s="47" t="s">
        <v>88</v>
      </c>
      <c r="G39" s="47">
        <v>0</v>
      </c>
      <c r="H39" s="47">
        <v>1</v>
      </c>
      <c r="I39" s="47">
        <v>1557</v>
      </c>
      <c r="J39" s="48">
        <f t="shared" si="5"/>
        <v>100</v>
      </c>
      <c r="L39" s="178" t="s">
        <v>328</v>
      </c>
      <c r="M39" s="178" t="s">
        <v>255</v>
      </c>
      <c r="O39" s="49">
        <v>1575</v>
      </c>
      <c r="P39" s="180">
        <v>1574</v>
      </c>
      <c r="Q39" s="49">
        <v>1581</v>
      </c>
      <c r="R39" s="45">
        <v>1573</v>
      </c>
      <c r="T39" s="45">
        <v>1588</v>
      </c>
    </row>
    <row r="40" spans="1:20" ht="21" customHeight="1" x14ac:dyDescent="0.15">
      <c r="A40" s="175">
        <v>49016108</v>
      </c>
      <c r="B40" s="47">
        <v>0</v>
      </c>
      <c r="C40" s="47">
        <v>801</v>
      </c>
      <c r="D40" s="47">
        <v>100</v>
      </c>
      <c r="E40" s="47" t="s">
        <v>254</v>
      </c>
      <c r="F40" s="47" t="s">
        <v>88</v>
      </c>
      <c r="G40" s="47">
        <v>0</v>
      </c>
      <c r="H40" s="47">
        <v>1</v>
      </c>
      <c r="I40" s="47">
        <v>1558</v>
      </c>
      <c r="J40" s="48">
        <f t="shared" ref="J40:J41" si="6">D40</f>
        <v>100</v>
      </c>
      <c r="L40" s="178" t="s">
        <v>328</v>
      </c>
      <c r="M40" s="178" t="s">
        <v>255</v>
      </c>
      <c r="O40" s="49">
        <v>1577</v>
      </c>
      <c r="P40" s="180">
        <v>1575</v>
      </c>
      <c r="Q40" s="49">
        <v>1584</v>
      </c>
      <c r="R40" s="45">
        <v>1574</v>
      </c>
    </row>
    <row r="41" spans="1:20" ht="21" customHeight="1" x14ac:dyDescent="0.15">
      <c r="A41" s="175">
        <v>49016109</v>
      </c>
      <c r="B41" s="47">
        <v>0</v>
      </c>
      <c r="C41" s="47">
        <v>802</v>
      </c>
      <c r="D41" s="47">
        <v>100</v>
      </c>
      <c r="E41" s="47" t="s">
        <v>254</v>
      </c>
      <c r="F41" s="47" t="s">
        <v>88</v>
      </c>
      <c r="G41" s="47">
        <v>0</v>
      </c>
      <c r="H41" s="47">
        <v>1</v>
      </c>
      <c r="I41" s="47">
        <v>1559</v>
      </c>
      <c r="J41" s="48">
        <f t="shared" si="6"/>
        <v>100</v>
      </c>
      <c r="L41" s="178" t="s">
        <v>328</v>
      </c>
      <c r="M41" s="178" t="s">
        <v>255</v>
      </c>
      <c r="O41" s="49">
        <v>1578</v>
      </c>
      <c r="P41" s="180">
        <v>1577</v>
      </c>
      <c r="Q41" s="49">
        <v>1587</v>
      </c>
      <c r="R41" s="45">
        <v>1575</v>
      </c>
    </row>
    <row r="42" spans="1:20" ht="21" customHeight="1" x14ac:dyDescent="0.15">
      <c r="A42" s="114">
        <v>49016200</v>
      </c>
      <c r="B42" s="126">
        <v>1</v>
      </c>
      <c r="C42" s="126">
        <v>400</v>
      </c>
      <c r="D42" s="126">
        <v>100</v>
      </c>
      <c r="E42" s="126" t="s">
        <v>168</v>
      </c>
      <c r="F42" s="126" t="s">
        <v>168</v>
      </c>
      <c r="G42" s="126">
        <v>1</v>
      </c>
      <c r="H42" s="126">
        <v>1</v>
      </c>
      <c r="I42" s="126" t="s">
        <v>168</v>
      </c>
      <c r="J42" s="48">
        <f t="shared" si="5"/>
        <v>100</v>
      </c>
      <c r="L42" s="116" t="s">
        <v>304</v>
      </c>
      <c r="M42" s="116" t="s">
        <v>263</v>
      </c>
      <c r="O42" s="49">
        <v>1579</v>
      </c>
      <c r="P42" s="180">
        <v>1578</v>
      </c>
      <c r="R42" s="45">
        <v>1577</v>
      </c>
    </row>
    <row r="43" spans="1:20" ht="21" customHeight="1" x14ac:dyDescent="0.15">
      <c r="A43" s="175">
        <v>49016205</v>
      </c>
      <c r="B43" s="126">
        <v>1</v>
      </c>
      <c r="C43" s="126">
        <v>401</v>
      </c>
      <c r="D43" s="126">
        <v>100</v>
      </c>
      <c r="E43" s="126" t="s">
        <v>88</v>
      </c>
      <c r="F43" s="126" t="s">
        <v>88</v>
      </c>
      <c r="G43" s="126">
        <v>1</v>
      </c>
      <c r="H43" s="126">
        <v>1</v>
      </c>
      <c r="I43" s="126">
        <v>1571</v>
      </c>
      <c r="J43" s="48">
        <f t="shared" ref="J43" si="7">D43</f>
        <v>100</v>
      </c>
      <c r="L43" s="116" t="s">
        <v>304</v>
      </c>
      <c r="M43" s="116" t="s">
        <v>263</v>
      </c>
      <c r="O43" s="49">
        <v>1579</v>
      </c>
      <c r="P43" s="180">
        <v>1578</v>
      </c>
      <c r="R43" s="45">
        <v>1578</v>
      </c>
    </row>
    <row r="44" spans="1:20" ht="21" customHeight="1" x14ac:dyDescent="0.15">
      <c r="A44" s="114">
        <v>49016201</v>
      </c>
      <c r="B44" s="126">
        <v>0</v>
      </c>
      <c r="C44" s="126">
        <v>100</v>
      </c>
      <c r="D44" s="126">
        <v>100</v>
      </c>
      <c r="E44" s="126" t="s">
        <v>288</v>
      </c>
      <c r="F44" s="126" t="s">
        <v>289</v>
      </c>
      <c r="G44" s="126" t="s">
        <v>168</v>
      </c>
      <c r="H44" s="126">
        <v>1</v>
      </c>
      <c r="I44" s="126" t="s">
        <v>290</v>
      </c>
      <c r="J44" s="48">
        <f t="shared" si="5"/>
        <v>100</v>
      </c>
      <c r="L44" s="116" t="s">
        <v>305</v>
      </c>
      <c r="M44" s="116" t="s">
        <v>264</v>
      </c>
      <c r="O44" s="49">
        <v>1581</v>
      </c>
      <c r="P44" s="180">
        <v>1579</v>
      </c>
      <c r="R44" s="45">
        <v>1579</v>
      </c>
    </row>
    <row r="45" spans="1:20" ht="21" customHeight="1" x14ac:dyDescent="0.15">
      <c r="A45" s="114">
        <v>49016202</v>
      </c>
      <c r="B45" s="126">
        <v>0</v>
      </c>
      <c r="C45" s="126">
        <v>200</v>
      </c>
      <c r="D45" s="126">
        <v>100</v>
      </c>
      <c r="E45" s="126" t="s">
        <v>291</v>
      </c>
      <c r="F45" s="126" t="s">
        <v>168</v>
      </c>
      <c r="G45" s="126" t="s">
        <v>168</v>
      </c>
      <c r="H45" s="126">
        <v>2</v>
      </c>
      <c r="I45" s="126" t="s">
        <v>292</v>
      </c>
      <c r="J45" s="48">
        <f t="shared" si="5"/>
        <v>100</v>
      </c>
      <c r="L45" s="116" t="s">
        <v>306</v>
      </c>
      <c r="M45" s="116" t="s">
        <v>265</v>
      </c>
      <c r="O45" s="49">
        <v>1584</v>
      </c>
      <c r="P45" s="180">
        <v>1581</v>
      </c>
      <c r="Q45" s="49"/>
      <c r="R45" s="45">
        <v>1581</v>
      </c>
    </row>
    <row r="46" spans="1:20" ht="21" customHeight="1" x14ac:dyDescent="0.15">
      <c r="A46" s="114">
        <v>49016203</v>
      </c>
      <c r="B46" s="126">
        <v>0</v>
      </c>
      <c r="C46" s="126">
        <v>300</v>
      </c>
      <c r="D46" s="126">
        <v>100</v>
      </c>
      <c r="E46" s="126">
        <v>40</v>
      </c>
      <c r="F46" s="126" t="s">
        <v>168</v>
      </c>
      <c r="G46" s="126">
        <v>1</v>
      </c>
      <c r="H46" s="126">
        <v>1</v>
      </c>
      <c r="I46" s="126" t="s">
        <v>293</v>
      </c>
      <c r="J46" s="48">
        <f t="shared" si="5"/>
        <v>100</v>
      </c>
      <c r="L46" s="116" t="s">
        <v>307</v>
      </c>
      <c r="M46" s="116" t="s">
        <v>266</v>
      </c>
      <c r="O46" s="49">
        <v>1587</v>
      </c>
      <c r="P46" s="180">
        <v>1584</v>
      </c>
      <c r="R46" s="45">
        <v>1584</v>
      </c>
    </row>
    <row r="47" spans="1:20" ht="21" customHeight="1" x14ac:dyDescent="0.15">
      <c r="A47" s="114">
        <v>49016204</v>
      </c>
      <c r="B47" s="126">
        <v>0</v>
      </c>
      <c r="C47" s="126">
        <v>250</v>
      </c>
      <c r="D47" s="126">
        <v>100</v>
      </c>
      <c r="E47" s="126">
        <v>40</v>
      </c>
      <c r="F47" s="126" t="s">
        <v>294</v>
      </c>
      <c r="G47" s="126">
        <v>1</v>
      </c>
      <c r="H47" s="126">
        <v>1</v>
      </c>
      <c r="I47" s="126" t="s">
        <v>292</v>
      </c>
      <c r="J47" s="48">
        <f t="shared" si="5"/>
        <v>100</v>
      </c>
      <c r="L47" s="116" t="s">
        <v>316</v>
      </c>
      <c r="M47" s="116" t="s">
        <v>267</v>
      </c>
      <c r="O47" s="49"/>
      <c r="P47" s="180">
        <v>1587</v>
      </c>
      <c r="R47" s="45">
        <v>1587</v>
      </c>
    </row>
    <row r="48" spans="1:20" ht="21" customHeight="1" x14ac:dyDescent="0.15">
      <c r="A48" s="117">
        <v>49016300</v>
      </c>
      <c r="B48" s="126">
        <v>1</v>
      </c>
      <c r="C48" s="126">
        <v>400</v>
      </c>
      <c r="D48" s="126">
        <v>100</v>
      </c>
      <c r="E48" s="126" t="s">
        <v>168</v>
      </c>
      <c r="F48" s="126" t="s">
        <v>168</v>
      </c>
      <c r="G48" s="126">
        <v>1</v>
      </c>
      <c r="H48" s="126">
        <v>1</v>
      </c>
      <c r="I48" s="126" t="s">
        <v>168</v>
      </c>
      <c r="J48" s="48">
        <f t="shared" si="5"/>
        <v>100</v>
      </c>
      <c r="L48" s="119" t="s">
        <v>309</v>
      </c>
      <c r="M48" s="119" t="s">
        <v>308</v>
      </c>
    </row>
    <row r="49" spans="1:13" ht="14" customHeight="1" x14ac:dyDescent="0.15">
      <c r="A49" s="170">
        <v>49016801</v>
      </c>
      <c r="B49" s="126">
        <v>1</v>
      </c>
      <c r="C49" s="126">
        <v>401</v>
      </c>
      <c r="D49" s="126">
        <v>100</v>
      </c>
      <c r="E49" s="126" t="s">
        <v>88</v>
      </c>
      <c r="F49" s="126" t="s">
        <v>88</v>
      </c>
      <c r="G49" s="126">
        <v>1</v>
      </c>
      <c r="H49" s="126">
        <v>1</v>
      </c>
      <c r="I49" s="126">
        <v>1551</v>
      </c>
      <c r="J49" s="48">
        <f t="shared" ref="J49:J71" si="8">D49</f>
        <v>100</v>
      </c>
      <c r="L49" s="119" t="s">
        <v>309</v>
      </c>
      <c r="M49" s="119" t="s">
        <v>308</v>
      </c>
    </row>
    <row r="50" spans="1:13" ht="14" customHeight="1" x14ac:dyDescent="0.15">
      <c r="A50" s="170">
        <v>49016802</v>
      </c>
      <c r="B50" s="126">
        <v>1</v>
      </c>
      <c r="C50" s="126">
        <v>402</v>
      </c>
      <c r="D50" s="126">
        <v>100</v>
      </c>
      <c r="E50" s="126" t="s">
        <v>88</v>
      </c>
      <c r="F50" s="126" t="s">
        <v>88</v>
      </c>
      <c r="G50" s="126">
        <v>1</v>
      </c>
      <c r="H50" s="126">
        <v>1</v>
      </c>
      <c r="I50" s="126">
        <v>1553</v>
      </c>
      <c r="J50" s="48">
        <f t="shared" si="8"/>
        <v>100</v>
      </c>
      <c r="L50" s="119" t="s">
        <v>309</v>
      </c>
      <c r="M50" s="119" t="s">
        <v>308</v>
      </c>
    </row>
    <row r="51" spans="1:13" ht="14" customHeight="1" x14ac:dyDescent="0.15">
      <c r="A51" s="170">
        <v>49016803</v>
      </c>
      <c r="B51" s="126">
        <v>1</v>
      </c>
      <c r="C51" s="126">
        <v>403</v>
      </c>
      <c r="D51" s="126">
        <v>100</v>
      </c>
      <c r="E51" s="126" t="s">
        <v>88</v>
      </c>
      <c r="F51" s="126" t="s">
        <v>88</v>
      </c>
      <c r="G51" s="126">
        <v>1</v>
      </c>
      <c r="H51" s="126">
        <v>1</v>
      </c>
      <c r="I51" s="126">
        <v>1555</v>
      </c>
      <c r="J51" s="48">
        <f t="shared" si="8"/>
        <v>100</v>
      </c>
      <c r="L51" s="119" t="s">
        <v>309</v>
      </c>
      <c r="M51" s="119" t="s">
        <v>308</v>
      </c>
    </row>
    <row r="52" spans="1:13" ht="14" customHeight="1" x14ac:dyDescent="0.15">
      <c r="A52" s="170">
        <v>49016804</v>
      </c>
      <c r="B52" s="126">
        <v>1</v>
      </c>
      <c r="C52" s="126">
        <v>404</v>
      </c>
      <c r="D52" s="126">
        <v>100</v>
      </c>
      <c r="E52" s="126" t="s">
        <v>88</v>
      </c>
      <c r="F52" s="126" t="s">
        <v>88</v>
      </c>
      <c r="G52" s="126">
        <v>1</v>
      </c>
      <c r="H52" s="126">
        <v>1</v>
      </c>
      <c r="I52" s="126">
        <v>1556</v>
      </c>
      <c r="J52" s="48">
        <f t="shared" si="8"/>
        <v>100</v>
      </c>
      <c r="L52" s="119" t="s">
        <v>309</v>
      </c>
      <c r="M52" s="119" t="s">
        <v>308</v>
      </c>
    </row>
    <row r="53" spans="1:13" ht="14" customHeight="1" x14ac:dyDescent="0.15">
      <c r="A53" s="170">
        <v>49016805</v>
      </c>
      <c r="B53" s="126">
        <v>1</v>
      </c>
      <c r="C53" s="126">
        <v>405</v>
      </c>
      <c r="D53" s="126">
        <v>100</v>
      </c>
      <c r="E53" s="126" t="s">
        <v>88</v>
      </c>
      <c r="F53" s="126" t="s">
        <v>88</v>
      </c>
      <c r="G53" s="126">
        <v>1</v>
      </c>
      <c r="H53" s="126">
        <v>1</v>
      </c>
      <c r="I53" s="126">
        <v>1558</v>
      </c>
      <c r="J53" s="48">
        <f t="shared" si="8"/>
        <v>100</v>
      </c>
      <c r="L53" s="119" t="s">
        <v>309</v>
      </c>
      <c r="M53" s="119" t="s">
        <v>308</v>
      </c>
    </row>
    <row r="54" spans="1:13" ht="14" customHeight="1" x14ac:dyDescent="0.15">
      <c r="A54" s="170">
        <v>49016806</v>
      </c>
      <c r="B54" s="126">
        <v>1</v>
      </c>
      <c r="C54" s="126">
        <v>406</v>
      </c>
      <c r="D54" s="126">
        <v>100</v>
      </c>
      <c r="E54" s="126" t="s">
        <v>88</v>
      </c>
      <c r="F54" s="126" t="s">
        <v>88</v>
      </c>
      <c r="G54" s="126">
        <v>1</v>
      </c>
      <c r="H54" s="126">
        <v>1</v>
      </c>
      <c r="I54" s="126">
        <v>1560</v>
      </c>
      <c r="J54" s="48">
        <f t="shared" si="8"/>
        <v>100</v>
      </c>
      <c r="L54" s="119" t="s">
        <v>309</v>
      </c>
      <c r="M54" s="119" t="s">
        <v>308</v>
      </c>
    </row>
    <row r="55" spans="1:13" ht="14" customHeight="1" x14ac:dyDescent="0.15">
      <c r="A55" s="170">
        <v>49016807</v>
      </c>
      <c r="B55" s="126">
        <v>1</v>
      </c>
      <c r="C55" s="126">
        <v>407</v>
      </c>
      <c r="D55" s="126">
        <v>100</v>
      </c>
      <c r="E55" s="126" t="s">
        <v>88</v>
      </c>
      <c r="F55" s="126" t="s">
        <v>88</v>
      </c>
      <c r="G55" s="126">
        <v>1</v>
      </c>
      <c r="H55" s="126">
        <v>1</v>
      </c>
      <c r="I55" s="126">
        <v>1561</v>
      </c>
      <c r="J55" s="48">
        <f t="shared" si="8"/>
        <v>100</v>
      </c>
      <c r="L55" s="119" t="s">
        <v>309</v>
      </c>
      <c r="M55" s="119" t="s">
        <v>308</v>
      </c>
    </row>
    <row r="56" spans="1:13" ht="14" customHeight="1" x14ac:dyDescent="0.15">
      <c r="A56" s="170">
        <v>49016808</v>
      </c>
      <c r="B56" s="126">
        <v>1</v>
      </c>
      <c r="C56" s="126">
        <v>408</v>
      </c>
      <c r="D56" s="126">
        <v>100</v>
      </c>
      <c r="E56" s="126" t="s">
        <v>88</v>
      </c>
      <c r="F56" s="126" t="s">
        <v>88</v>
      </c>
      <c r="G56" s="126">
        <v>1</v>
      </c>
      <c r="H56" s="126">
        <v>1</v>
      </c>
      <c r="I56" s="126">
        <v>1563</v>
      </c>
      <c r="J56" s="48">
        <f t="shared" si="8"/>
        <v>100</v>
      </c>
      <c r="L56" s="119" t="s">
        <v>309</v>
      </c>
      <c r="M56" s="119" t="s">
        <v>308</v>
      </c>
    </row>
    <row r="57" spans="1:13" ht="14" customHeight="1" x14ac:dyDescent="0.15">
      <c r="A57" s="170">
        <v>49016809</v>
      </c>
      <c r="B57" s="126">
        <v>1</v>
      </c>
      <c r="C57" s="126">
        <v>409</v>
      </c>
      <c r="D57" s="126">
        <v>100</v>
      </c>
      <c r="E57" s="126" t="s">
        <v>88</v>
      </c>
      <c r="F57" s="126" t="s">
        <v>88</v>
      </c>
      <c r="G57" s="126">
        <v>1</v>
      </c>
      <c r="H57" s="126">
        <v>1</v>
      </c>
      <c r="I57" s="126">
        <v>1565</v>
      </c>
      <c r="J57" s="48">
        <f t="shared" si="8"/>
        <v>100</v>
      </c>
      <c r="L57" s="119" t="s">
        <v>309</v>
      </c>
      <c r="M57" s="119" t="s">
        <v>308</v>
      </c>
    </row>
    <row r="58" spans="1:13" ht="14" customHeight="1" x14ac:dyDescent="0.15">
      <c r="A58" s="170">
        <v>49016810</v>
      </c>
      <c r="B58" s="126">
        <v>1</v>
      </c>
      <c r="C58" s="126">
        <v>410</v>
      </c>
      <c r="D58" s="126">
        <v>100</v>
      </c>
      <c r="E58" s="126" t="s">
        <v>88</v>
      </c>
      <c r="F58" s="126" t="s">
        <v>88</v>
      </c>
      <c r="G58" s="126">
        <v>1</v>
      </c>
      <c r="H58" s="126">
        <v>1</v>
      </c>
      <c r="I58" s="126">
        <v>1566</v>
      </c>
      <c r="J58" s="48">
        <f t="shared" si="8"/>
        <v>100</v>
      </c>
      <c r="L58" s="119" t="s">
        <v>309</v>
      </c>
      <c r="M58" s="119" t="s">
        <v>308</v>
      </c>
    </row>
    <row r="59" spans="1:13" ht="14" customHeight="1" x14ac:dyDescent="0.15">
      <c r="A59" s="170">
        <v>49016811</v>
      </c>
      <c r="B59" s="126">
        <v>1</v>
      </c>
      <c r="C59" s="126">
        <v>411</v>
      </c>
      <c r="D59" s="126">
        <v>100</v>
      </c>
      <c r="E59" s="126" t="s">
        <v>88</v>
      </c>
      <c r="F59" s="126" t="s">
        <v>88</v>
      </c>
      <c r="G59" s="126">
        <v>1</v>
      </c>
      <c r="H59" s="126">
        <v>1</v>
      </c>
      <c r="I59" s="126">
        <v>1568</v>
      </c>
      <c r="J59" s="48">
        <f t="shared" si="8"/>
        <v>100</v>
      </c>
      <c r="L59" s="119" t="s">
        <v>309</v>
      </c>
      <c r="M59" s="119" t="s">
        <v>308</v>
      </c>
    </row>
    <row r="60" spans="1:13" ht="14" customHeight="1" x14ac:dyDescent="0.15">
      <c r="A60" s="170">
        <v>49016812</v>
      </c>
      <c r="B60" s="126">
        <v>1</v>
      </c>
      <c r="C60" s="126">
        <v>412</v>
      </c>
      <c r="D60" s="126">
        <v>100</v>
      </c>
      <c r="E60" s="126" t="s">
        <v>88</v>
      </c>
      <c r="F60" s="126" t="s">
        <v>88</v>
      </c>
      <c r="G60" s="126">
        <v>1</v>
      </c>
      <c r="H60" s="126">
        <v>1</v>
      </c>
      <c r="I60" s="126">
        <v>1570</v>
      </c>
      <c r="J60" s="48">
        <f t="shared" si="8"/>
        <v>100</v>
      </c>
      <c r="L60" s="119" t="s">
        <v>309</v>
      </c>
      <c r="M60" s="119" t="s">
        <v>308</v>
      </c>
    </row>
    <row r="61" spans="1:13" ht="14" customHeight="1" x14ac:dyDescent="0.15">
      <c r="A61" s="170">
        <v>49016813</v>
      </c>
      <c r="B61" s="126">
        <v>1</v>
      </c>
      <c r="C61" s="126">
        <v>413</v>
      </c>
      <c r="D61" s="126">
        <v>100</v>
      </c>
      <c r="E61" s="126" t="s">
        <v>88</v>
      </c>
      <c r="F61" s="126" t="s">
        <v>88</v>
      </c>
      <c r="G61" s="126">
        <v>1</v>
      </c>
      <c r="H61" s="126">
        <v>1</v>
      </c>
      <c r="I61" s="126">
        <v>1573</v>
      </c>
      <c r="J61" s="48">
        <f t="shared" si="8"/>
        <v>100</v>
      </c>
      <c r="L61" s="119" t="s">
        <v>309</v>
      </c>
      <c r="M61" s="119" t="s">
        <v>308</v>
      </c>
    </row>
    <row r="62" spans="1:13" ht="14" customHeight="1" x14ac:dyDescent="0.15">
      <c r="A62" s="170">
        <v>49016814</v>
      </c>
      <c r="B62" s="126">
        <v>1</v>
      </c>
      <c r="C62" s="126">
        <v>414</v>
      </c>
      <c r="D62" s="126">
        <v>100</v>
      </c>
      <c r="E62" s="126" t="s">
        <v>88</v>
      </c>
      <c r="F62" s="126" t="s">
        <v>88</v>
      </c>
      <c r="G62" s="126">
        <v>1</v>
      </c>
      <c r="H62" s="126">
        <v>1</v>
      </c>
      <c r="I62" s="126">
        <v>1574</v>
      </c>
      <c r="J62" s="48">
        <f t="shared" si="8"/>
        <v>100</v>
      </c>
      <c r="L62" s="119" t="s">
        <v>309</v>
      </c>
      <c r="M62" s="119" t="s">
        <v>308</v>
      </c>
    </row>
    <row r="63" spans="1:13" ht="14" customHeight="1" x14ac:dyDescent="0.15">
      <c r="A63" s="170">
        <v>49016815</v>
      </c>
      <c r="B63" s="126">
        <v>1</v>
      </c>
      <c r="C63" s="126">
        <v>415</v>
      </c>
      <c r="D63" s="126">
        <v>100</v>
      </c>
      <c r="E63" s="126" t="s">
        <v>88</v>
      </c>
      <c r="F63" s="126" t="s">
        <v>88</v>
      </c>
      <c r="G63" s="126">
        <v>1</v>
      </c>
      <c r="H63" s="126">
        <v>1</v>
      </c>
      <c r="I63" s="126">
        <v>1575</v>
      </c>
      <c r="J63" s="48">
        <f t="shared" si="8"/>
        <v>100</v>
      </c>
      <c r="L63" s="119" t="s">
        <v>309</v>
      </c>
      <c r="M63" s="119" t="s">
        <v>308</v>
      </c>
    </row>
    <row r="64" spans="1:13" ht="14" customHeight="1" x14ac:dyDescent="0.15">
      <c r="A64" s="170">
        <v>49016816</v>
      </c>
      <c r="B64" s="126">
        <v>1</v>
      </c>
      <c r="C64" s="126">
        <v>416</v>
      </c>
      <c r="D64" s="126">
        <v>100</v>
      </c>
      <c r="E64" s="126" t="s">
        <v>88</v>
      </c>
      <c r="F64" s="126" t="s">
        <v>88</v>
      </c>
      <c r="G64" s="126">
        <v>1</v>
      </c>
      <c r="H64" s="126">
        <v>1</v>
      </c>
      <c r="I64" s="126">
        <v>1577</v>
      </c>
      <c r="J64" s="48">
        <f t="shared" si="8"/>
        <v>100</v>
      </c>
      <c r="L64" s="119" t="s">
        <v>309</v>
      </c>
      <c r="M64" s="119" t="s">
        <v>308</v>
      </c>
    </row>
    <row r="65" spans="1:13" ht="14" customHeight="1" x14ac:dyDescent="0.15">
      <c r="A65" s="170">
        <v>49016817</v>
      </c>
      <c r="B65" s="126">
        <v>1</v>
      </c>
      <c r="C65" s="126">
        <v>417</v>
      </c>
      <c r="D65" s="126">
        <v>100</v>
      </c>
      <c r="E65" s="126" t="s">
        <v>88</v>
      </c>
      <c r="F65" s="126" t="s">
        <v>88</v>
      </c>
      <c r="G65" s="126">
        <v>1</v>
      </c>
      <c r="H65" s="126">
        <v>1</v>
      </c>
      <c r="I65" s="126">
        <v>1578</v>
      </c>
      <c r="J65" s="48">
        <f t="shared" si="8"/>
        <v>100</v>
      </c>
      <c r="L65" s="119" t="s">
        <v>309</v>
      </c>
      <c r="M65" s="119" t="s">
        <v>308</v>
      </c>
    </row>
    <row r="66" spans="1:13" ht="14" customHeight="1" x14ac:dyDescent="0.15">
      <c r="A66" s="170">
        <v>49016818</v>
      </c>
      <c r="B66" s="126">
        <v>1</v>
      </c>
      <c r="C66" s="126">
        <v>418</v>
      </c>
      <c r="D66" s="126">
        <v>100</v>
      </c>
      <c r="E66" s="126" t="s">
        <v>88</v>
      </c>
      <c r="F66" s="126" t="s">
        <v>88</v>
      </c>
      <c r="G66" s="126">
        <v>1</v>
      </c>
      <c r="H66" s="126">
        <v>1</v>
      </c>
      <c r="I66" s="126">
        <v>1579</v>
      </c>
      <c r="J66" s="48">
        <f t="shared" si="8"/>
        <v>100</v>
      </c>
      <c r="L66" s="119" t="s">
        <v>309</v>
      </c>
      <c r="M66" s="119" t="s">
        <v>308</v>
      </c>
    </row>
    <row r="67" spans="1:13" ht="14" customHeight="1" x14ac:dyDescent="0.15">
      <c r="A67" s="170">
        <v>49016819</v>
      </c>
      <c r="B67" s="126">
        <v>1</v>
      </c>
      <c r="C67" s="126">
        <v>419</v>
      </c>
      <c r="D67" s="126">
        <v>100</v>
      </c>
      <c r="E67" s="126" t="s">
        <v>88</v>
      </c>
      <c r="F67" s="126" t="s">
        <v>88</v>
      </c>
      <c r="G67" s="126">
        <v>1</v>
      </c>
      <c r="H67" s="126">
        <v>1</v>
      </c>
      <c r="I67" s="126">
        <v>1581</v>
      </c>
      <c r="J67" s="48">
        <f t="shared" si="8"/>
        <v>100</v>
      </c>
      <c r="L67" s="119" t="s">
        <v>309</v>
      </c>
      <c r="M67" s="119" t="s">
        <v>308</v>
      </c>
    </row>
    <row r="68" spans="1:13" ht="14" customHeight="1" x14ac:dyDescent="0.15">
      <c r="A68" s="170">
        <v>49016820</v>
      </c>
      <c r="B68" s="126">
        <v>1</v>
      </c>
      <c r="C68" s="126">
        <v>420</v>
      </c>
      <c r="D68" s="126">
        <v>100</v>
      </c>
      <c r="E68" s="126" t="s">
        <v>88</v>
      </c>
      <c r="F68" s="126" t="s">
        <v>88</v>
      </c>
      <c r="G68" s="126">
        <v>1</v>
      </c>
      <c r="H68" s="126">
        <v>1</v>
      </c>
      <c r="I68" s="126">
        <v>1584</v>
      </c>
      <c r="J68" s="48">
        <f t="shared" si="8"/>
        <v>100</v>
      </c>
      <c r="L68" s="119" t="s">
        <v>309</v>
      </c>
      <c r="M68" s="119" t="s">
        <v>308</v>
      </c>
    </row>
    <row r="69" spans="1:13" ht="14" customHeight="1" x14ac:dyDescent="0.15">
      <c r="A69" s="170">
        <v>49016821</v>
      </c>
      <c r="B69" s="126">
        <v>1</v>
      </c>
      <c r="C69" s="126">
        <v>421</v>
      </c>
      <c r="D69" s="126">
        <v>100</v>
      </c>
      <c r="E69" s="126" t="s">
        <v>88</v>
      </c>
      <c r="F69" s="126" t="s">
        <v>88</v>
      </c>
      <c r="G69" s="126">
        <v>1</v>
      </c>
      <c r="H69" s="126">
        <v>1</v>
      </c>
      <c r="I69" s="126">
        <v>1587</v>
      </c>
      <c r="J69" s="48">
        <f t="shared" si="8"/>
        <v>100</v>
      </c>
      <c r="L69" s="119" t="s">
        <v>309</v>
      </c>
      <c r="M69" s="119" t="s">
        <v>308</v>
      </c>
    </row>
    <row r="70" spans="1:13" ht="14" customHeight="1" x14ac:dyDescent="0.15">
      <c r="A70" s="170">
        <v>49016822</v>
      </c>
      <c r="B70" s="126">
        <v>1</v>
      </c>
      <c r="C70" s="126">
        <v>422</v>
      </c>
      <c r="D70" s="126">
        <v>100</v>
      </c>
      <c r="E70" s="126" t="s">
        <v>88</v>
      </c>
      <c r="F70" s="126" t="s">
        <v>88</v>
      </c>
      <c r="G70" s="126">
        <v>1</v>
      </c>
      <c r="H70" s="126">
        <v>1</v>
      </c>
      <c r="I70" s="175">
        <v>1571</v>
      </c>
      <c r="J70" s="48">
        <f t="shared" si="8"/>
        <v>100</v>
      </c>
      <c r="L70" s="119" t="s">
        <v>309</v>
      </c>
      <c r="M70" s="119" t="s">
        <v>308</v>
      </c>
    </row>
    <row r="71" spans="1:13" ht="14" customHeight="1" x14ac:dyDescent="0.15">
      <c r="A71" s="170">
        <v>49016823</v>
      </c>
      <c r="B71" s="126">
        <v>1</v>
      </c>
      <c r="C71" s="126">
        <v>423</v>
      </c>
      <c r="D71" s="126">
        <v>100</v>
      </c>
      <c r="E71" s="126" t="s">
        <v>88</v>
      </c>
      <c r="F71" s="126" t="s">
        <v>88</v>
      </c>
      <c r="G71" s="126">
        <v>1</v>
      </c>
      <c r="H71" s="126">
        <v>1</v>
      </c>
      <c r="I71" s="175">
        <v>1572</v>
      </c>
      <c r="J71" s="48">
        <f t="shared" si="8"/>
        <v>100</v>
      </c>
      <c r="L71" s="119" t="s">
        <v>309</v>
      </c>
      <c r="M71" s="119" t="s">
        <v>308</v>
      </c>
    </row>
    <row r="72" spans="1:13" ht="21" customHeight="1" x14ac:dyDescent="0.15">
      <c r="A72" s="117">
        <v>49016301</v>
      </c>
      <c r="B72" s="126">
        <v>0</v>
      </c>
      <c r="C72" s="126">
        <v>100</v>
      </c>
      <c r="D72" s="126">
        <v>100</v>
      </c>
      <c r="E72" s="126" t="s">
        <v>288</v>
      </c>
      <c r="F72" s="126" t="s">
        <v>289</v>
      </c>
      <c r="G72" s="126" t="s">
        <v>168</v>
      </c>
      <c r="H72" s="126">
        <v>1</v>
      </c>
      <c r="I72" s="126" t="s">
        <v>290</v>
      </c>
      <c r="J72" s="48">
        <f t="shared" si="5"/>
        <v>100</v>
      </c>
      <c r="L72" s="119" t="s">
        <v>305</v>
      </c>
      <c r="M72" s="119" t="s">
        <v>264</v>
      </c>
    </row>
    <row r="73" spans="1:13" ht="21" customHeight="1" x14ac:dyDescent="0.15">
      <c r="A73" s="117">
        <v>49016302</v>
      </c>
      <c r="B73" s="126">
        <v>0</v>
      </c>
      <c r="C73" s="126">
        <v>200</v>
      </c>
      <c r="D73" s="126">
        <v>100</v>
      </c>
      <c r="E73" s="126" t="s">
        <v>291</v>
      </c>
      <c r="F73" s="126" t="s">
        <v>168</v>
      </c>
      <c r="G73" s="126" t="s">
        <v>168</v>
      </c>
      <c r="H73" s="126">
        <v>2</v>
      </c>
      <c r="I73" s="126" t="s">
        <v>292</v>
      </c>
      <c r="J73" s="48">
        <f t="shared" ref="J73:J119" si="9">D73</f>
        <v>100</v>
      </c>
      <c r="L73" s="119" t="s">
        <v>306</v>
      </c>
      <c r="M73" s="119" t="s">
        <v>268</v>
      </c>
    </row>
    <row r="74" spans="1:13" ht="21" customHeight="1" x14ac:dyDescent="0.15">
      <c r="A74" s="117">
        <v>49016303</v>
      </c>
      <c r="B74" s="126">
        <v>0</v>
      </c>
      <c r="C74" s="126">
        <v>300</v>
      </c>
      <c r="D74" s="126">
        <v>100</v>
      </c>
      <c r="E74" s="126" t="s">
        <v>295</v>
      </c>
      <c r="F74" s="126" t="s">
        <v>168</v>
      </c>
      <c r="G74" s="126">
        <v>1</v>
      </c>
      <c r="H74" s="126">
        <v>3</v>
      </c>
      <c r="I74" s="126" t="s">
        <v>293</v>
      </c>
      <c r="J74" s="48">
        <f t="shared" si="9"/>
        <v>100</v>
      </c>
      <c r="L74" s="119" t="s">
        <v>310</v>
      </c>
      <c r="M74" s="119" t="s">
        <v>269</v>
      </c>
    </row>
    <row r="75" spans="1:13" ht="21" customHeight="1" x14ac:dyDescent="0.15">
      <c r="A75" s="117">
        <v>49016304</v>
      </c>
      <c r="B75" s="126">
        <v>0</v>
      </c>
      <c r="C75" s="126">
        <v>250</v>
      </c>
      <c r="D75" s="126">
        <v>100</v>
      </c>
      <c r="E75" s="126" t="s">
        <v>168</v>
      </c>
      <c r="F75" s="126" t="s">
        <v>294</v>
      </c>
      <c r="G75" s="126">
        <v>1</v>
      </c>
      <c r="H75" s="126">
        <v>4</v>
      </c>
      <c r="I75" s="126" t="s">
        <v>292</v>
      </c>
      <c r="J75" s="48">
        <f t="shared" si="9"/>
        <v>100</v>
      </c>
      <c r="L75" s="119" t="s">
        <v>311</v>
      </c>
      <c r="M75" s="119" t="s">
        <v>270</v>
      </c>
    </row>
    <row r="76" spans="1:13" ht="21" customHeight="1" x14ac:dyDescent="0.15">
      <c r="A76" s="175">
        <v>49016305</v>
      </c>
      <c r="B76" s="47">
        <v>0</v>
      </c>
      <c r="C76" s="47">
        <v>801</v>
      </c>
      <c r="D76" s="47">
        <v>100</v>
      </c>
      <c r="E76" s="47" t="s">
        <v>254</v>
      </c>
      <c r="F76" s="47" t="s">
        <v>88</v>
      </c>
      <c r="G76" s="47">
        <v>0</v>
      </c>
      <c r="H76" s="47">
        <v>1</v>
      </c>
      <c r="I76" s="47">
        <v>0</v>
      </c>
      <c r="J76" s="48">
        <f t="shared" si="9"/>
        <v>100</v>
      </c>
      <c r="L76" s="178" t="s">
        <v>328</v>
      </c>
      <c r="M76" s="178" t="s">
        <v>255</v>
      </c>
    </row>
    <row r="77" spans="1:13" ht="21" customHeight="1" x14ac:dyDescent="0.15">
      <c r="A77" s="175">
        <v>49016306</v>
      </c>
      <c r="B77" s="47">
        <v>0</v>
      </c>
      <c r="C77" s="47">
        <v>802</v>
      </c>
      <c r="D77" s="47">
        <v>100</v>
      </c>
      <c r="E77" s="47" t="s">
        <v>254</v>
      </c>
      <c r="F77" s="47" t="s">
        <v>88</v>
      </c>
      <c r="G77" s="47">
        <v>0</v>
      </c>
      <c r="H77" s="47">
        <v>1</v>
      </c>
      <c r="I77" s="47">
        <v>1571</v>
      </c>
      <c r="J77" s="48">
        <f t="shared" ref="J77" si="10">D77</f>
        <v>100</v>
      </c>
      <c r="L77" s="178" t="s">
        <v>328</v>
      </c>
      <c r="M77" s="178" t="s">
        <v>255</v>
      </c>
    </row>
    <row r="78" spans="1:13" ht="21" customHeight="1" x14ac:dyDescent="0.15">
      <c r="A78" s="175">
        <v>49016307</v>
      </c>
      <c r="B78" s="47">
        <v>0</v>
      </c>
      <c r="C78" s="47">
        <v>803</v>
      </c>
      <c r="D78" s="47">
        <v>100</v>
      </c>
      <c r="E78" s="47" t="s">
        <v>254</v>
      </c>
      <c r="F78" s="47" t="s">
        <v>88</v>
      </c>
      <c r="G78" s="47">
        <v>0</v>
      </c>
      <c r="H78" s="47">
        <v>1</v>
      </c>
      <c r="I78" s="47">
        <v>1572</v>
      </c>
      <c r="J78" s="48">
        <f t="shared" si="9"/>
        <v>100</v>
      </c>
      <c r="L78" s="178" t="s">
        <v>328</v>
      </c>
      <c r="M78" s="178" t="s">
        <v>255</v>
      </c>
    </row>
    <row r="79" spans="1:13" ht="21" customHeight="1" x14ac:dyDescent="0.15">
      <c r="A79" s="111">
        <v>49016400</v>
      </c>
      <c r="B79" s="126">
        <v>1</v>
      </c>
      <c r="C79" s="126">
        <v>600</v>
      </c>
      <c r="D79" s="126">
        <v>100</v>
      </c>
      <c r="E79" s="126" t="s">
        <v>168</v>
      </c>
      <c r="F79" s="126" t="s">
        <v>168</v>
      </c>
      <c r="G79" s="126">
        <v>1</v>
      </c>
      <c r="H79" s="126">
        <v>1</v>
      </c>
      <c r="I79" s="126" t="s">
        <v>168</v>
      </c>
      <c r="J79" s="48">
        <f t="shared" si="9"/>
        <v>100</v>
      </c>
      <c r="L79" s="113" t="s">
        <v>312</v>
      </c>
      <c r="M79" s="113" t="s">
        <v>271</v>
      </c>
    </row>
    <row r="80" spans="1:13" ht="11" customHeight="1" x14ac:dyDescent="0.15">
      <c r="A80" s="170">
        <v>49016901</v>
      </c>
      <c r="B80" s="126">
        <v>1</v>
      </c>
      <c r="C80" s="126">
        <v>601</v>
      </c>
      <c r="D80" s="126">
        <v>100</v>
      </c>
      <c r="E80" s="126" t="s">
        <v>88</v>
      </c>
      <c r="F80" s="126" t="s">
        <v>88</v>
      </c>
      <c r="G80" s="126">
        <v>1</v>
      </c>
      <c r="H80" s="126">
        <v>1</v>
      </c>
      <c r="I80" s="126">
        <v>1553</v>
      </c>
      <c r="J80" s="48">
        <f t="shared" ref="J80:J107" si="11">D80</f>
        <v>100</v>
      </c>
      <c r="L80" s="113" t="s">
        <v>312</v>
      </c>
      <c r="M80" s="113" t="s">
        <v>271</v>
      </c>
    </row>
    <row r="81" spans="1:15" ht="11" customHeight="1" x14ac:dyDescent="0.15">
      <c r="A81" s="170">
        <v>49016902</v>
      </c>
      <c r="B81" s="126">
        <v>1</v>
      </c>
      <c r="C81" s="126">
        <v>602</v>
      </c>
      <c r="D81" s="126">
        <v>100</v>
      </c>
      <c r="E81" s="126" t="s">
        <v>88</v>
      </c>
      <c r="F81" s="126" t="s">
        <v>88</v>
      </c>
      <c r="G81" s="126">
        <v>1</v>
      </c>
      <c r="H81" s="126">
        <v>1</v>
      </c>
      <c r="I81" s="126">
        <v>1555</v>
      </c>
      <c r="J81" s="48">
        <f t="shared" si="11"/>
        <v>100</v>
      </c>
      <c r="L81" s="113" t="s">
        <v>312</v>
      </c>
      <c r="M81" s="113" t="s">
        <v>271</v>
      </c>
    </row>
    <row r="82" spans="1:15" ht="11" customHeight="1" x14ac:dyDescent="0.15">
      <c r="A82" s="170">
        <v>49016903</v>
      </c>
      <c r="B82" s="126">
        <v>1</v>
      </c>
      <c r="C82" s="126">
        <v>603</v>
      </c>
      <c r="D82" s="126">
        <v>100</v>
      </c>
      <c r="E82" s="126" t="s">
        <v>88</v>
      </c>
      <c r="F82" s="126" t="s">
        <v>88</v>
      </c>
      <c r="G82" s="126">
        <v>1</v>
      </c>
      <c r="H82" s="126">
        <v>1</v>
      </c>
      <c r="I82" s="126">
        <v>1556</v>
      </c>
      <c r="J82" s="48">
        <f t="shared" si="11"/>
        <v>100</v>
      </c>
      <c r="L82" s="113" t="s">
        <v>312</v>
      </c>
      <c r="M82" s="113" t="s">
        <v>271</v>
      </c>
    </row>
    <row r="83" spans="1:15" ht="11" customHeight="1" x14ac:dyDescent="0.15">
      <c r="A83" s="170">
        <v>49016904</v>
      </c>
      <c r="B83" s="126">
        <v>1</v>
      </c>
      <c r="C83" s="126">
        <v>604</v>
      </c>
      <c r="D83" s="126">
        <v>100</v>
      </c>
      <c r="E83" s="126" t="s">
        <v>88</v>
      </c>
      <c r="F83" s="126" t="s">
        <v>88</v>
      </c>
      <c r="G83" s="126">
        <v>1</v>
      </c>
      <c r="H83" s="126">
        <v>1</v>
      </c>
      <c r="I83" s="126">
        <v>1560</v>
      </c>
      <c r="J83" s="48">
        <f t="shared" si="11"/>
        <v>100</v>
      </c>
      <c r="L83" s="113" t="s">
        <v>312</v>
      </c>
      <c r="M83" s="113" t="s">
        <v>271</v>
      </c>
    </row>
    <row r="84" spans="1:15" ht="11" customHeight="1" x14ac:dyDescent="0.15">
      <c r="A84" s="170">
        <v>49016905</v>
      </c>
      <c r="B84" s="126">
        <v>1</v>
      </c>
      <c r="C84" s="126">
        <v>605</v>
      </c>
      <c r="D84" s="126">
        <v>100</v>
      </c>
      <c r="E84" s="126" t="s">
        <v>88</v>
      </c>
      <c r="F84" s="126" t="s">
        <v>88</v>
      </c>
      <c r="G84" s="126">
        <v>1</v>
      </c>
      <c r="H84" s="126">
        <v>1</v>
      </c>
      <c r="I84" s="126">
        <v>1561</v>
      </c>
      <c r="J84" s="48">
        <f t="shared" si="11"/>
        <v>100</v>
      </c>
      <c r="L84" s="113" t="s">
        <v>312</v>
      </c>
      <c r="M84" s="113" t="s">
        <v>271</v>
      </c>
    </row>
    <row r="85" spans="1:15" ht="11" customHeight="1" x14ac:dyDescent="0.15">
      <c r="A85" s="170">
        <v>49016906</v>
      </c>
      <c r="B85" s="126">
        <v>1</v>
      </c>
      <c r="C85" s="126">
        <v>606</v>
      </c>
      <c r="D85" s="126">
        <v>100</v>
      </c>
      <c r="E85" s="126" t="s">
        <v>88</v>
      </c>
      <c r="F85" s="126" t="s">
        <v>88</v>
      </c>
      <c r="G85" s="126">
        <v>1</v>
      </c>
      <c r="H85" s="126">
        <v>1</v>
      </c>
      <c r="I85" s="126">
        <v>1565</v>
      </c>
      <c r="J85" s="48">
        <f t="shared" si="11"/>
        <v>100</v>
      </c>
      <c r="L85" s="113" t="s">
        <v>312</v>
      </c>
      <c r="M85" s="113" t="s">
        <v>271</v>
      </c>
    </row>
    <row r="86" spans="1:15" ht="11" customHeight="1" x14ac:dyDescent="0.15">
      <c r="A86" s="170">
        <v>49016907</v>
      </c>
      <c r="B86" s="126">
        <v>1</v>
      </c>
      <c r="C86" s="126">
        <v>607</v>
      </c>
      <c r="D86" s="126">
        <v>100</v>
      </c>
      <c r="E86" s="126" t="s">
        <v>88</v>
      </c>
      <c r="F86" s="126" t="s">
        <v>88</v>
      </c>
      <c r="G86" s="126">
        <v>1</v>
      </c>
      <c r="H86" s="126">
        <v>1</v>
      </c>
      <c r="I86" s="126">
        <v>1568</v>
      </c>
      <c r="J86" s="48">
        <f t="shared" si="11"/>
        <v>100</v>
      </c>
      <c r="L86" s="113" t="s">
        <v>312</v>
      </c>
      <c r="M86" s="113" t="s">
        <v>271</v>
      </c>
    </row>
    <row r="87" spans="1:15" ht="11" customHeight="1" x14ac:dyDescent="0.15">
      <c r="A87" s="170">
        <v>49016908</v>
      </c>
      <c r="B87" s="126">
        <v>1</v>
      </c>
      <c r="C87" s="126">
        <v>608</v>
      </c>
      <c r="D87" s="126">
        <v>100</v>
      </c>
      <c r="E87" s="126" t="s">
        <v>88</v>
      </c>
      <c r="F87" s="126" t="s">
        <v>88</v>
      </c>
      <c r="G87" s="126">
        <v>1</v>
      </c>
      <c r="H87" s="126">
        <v>1</v>
      </c>
      <c r="I87" s="126">
        <v>1570</v>
      </c>
      <c r="J87" s="48">
        <f t="shared" si="11"/>
        <v>100</v>
      </c>
      <c r="L87" s="113" t="s">
        <v>312</v>
      </c>
      <c r="M87" s="113" t="s">
        <v>271</v>
      </c>
    </row>
    <row r="88" spans="1:15" ht="11" customHeight="1" x14ac:dyDescent="0.15">
      <c r="A88" s="170">
        <v>49016909</v>
      </c>
      <c r="B88" s="126">
        <v>1</v>
      </c>
      <c r="C88" s="126">
        <v>609</v>
      </c>
      <c r="D88" s="126">
        <v>100</v>
      </c>
      <c r="E88" s="126" t="s">
        <v>88</v>
      </c>
      <c r="F88" s="126" t="s">
        <v>88</v>
      </c>
      <c r="G88" s="126">
        <v>1</v>
      </c>
      <c r="H88" s="126">
        <v>1</v>
      </c>
      <c r="I88" s="126">
        <v>1571</v>
      </c>
      <c r="J88" s="48">
        <f t="shared" si="11"/>
        <v>100</v>
      </c>
      <c r="L88" s="113" t="s">
        <v>312</v>
      </c>
      <c r="M88" s="113" t="s">
        <v>271</v>
      </c>
    </row>
    <row r="89" spans="1:15" ht="11" customHeight="1" x14ac:dyDescent="0.15">
      <c r="A89" s="170">
        <v>49016910</v>
      </c>
      <c r="B89" s="126">
        <v>1</v>
      </c>
      <c r="C89" s="126">
        <v>610</v>
      </c>
      <c r="D89" s="126">
        <v>100</v>
      </c>
      <c r="E89" s="126" t="s">
        <v>88</v>
      </c>
      <c r="F89" s="126" t="s">
        <v>88</v>
      </c>
      <c r="G89" s="126">
        <v>1</v>
      </c>
      <c r="H89" s="126">
        <v>1</v>
      </c>
      <c r="I89" s="126">
        <v>1573</v>
      </c>
      <c r="J89" s="48">
        <f t="shared" si="11"/>
        <v>100</v>
      </c>
      <c r="L89" s="113" t="s">
        <v>312</v>
      </c>
      <c r="M89" s="113" t="s">
        <v>271</v>
      </c>
    </row>
    <row r="90" spans="1:15" ht="11" customHeight="1" x14ac:dyDescent="0.15">
      <c r="A90" s="170">
        <v>49016911</v>
      </c>
      <c r="B90" s="126">
        <v>1</v>
      </c>
      <c r="C90" s="126">
        <v>611</v>
      </c>
      <c r="D90" s="126">
        <v>100</v>
      </c>
      <c r="E90" s="126" t="s">
        <v>88</v>
      </c>
      <c r="F90" s="126" t="s">
        <v>88</v>
      </c>
      <c r="G90" s="126">
        <v>1</v>
      </c>
      <c r="H90" s="126">
        <v>1</v>
      </c>
      <c r="I90" s="126">
        <v>1574</v>
      </c>
      <c r="J90" s="48">
        <f t="shared" si="11"/>
        <v>100</v>
      </c>
      <c r="L90" s="113" t="s">
        <v>312</v>
      </c>
      <c r="M90" s="113" t="s">
        <v>271</v>
      </c>
    </row>
    <row r="91" spans="1:15" ht="11" customHeight="1" x14ac:dyDescent="0.15">
      <c r="A91" s="170">
        <v>49016912</v>
      </c>
      <c r="B91" s="126">
        <v>1</v>
      </c>
      <c r="C91" s="126">
        <v>612</v>
      </c>
      <c r="D91" s="126">
        <v>100</v>
      </c>
      <c r="E91" s="126" t="s">
        <v>88</v>
      </c>
      <c r="F91" s="126" t="s">
        <v>88</v>
      </c>
      <c r="G91" s="126">
        <v>1</v>
      </c>
      <c r="H91" s="126">
        <v>1</v>
      </c>
      <c r="I91" s="126">
        <v>1577</v>
      </c>
      <c r="J91" s="48">
        <f t="shared" si="11"/>
        <v>100</v>
      </c>
      <c r="L91" s="113" t="s">
        <v>312</v>
      </c>
      <c r="M91" s="113" t="s">
        <v>271</v>
      </c>
    </row>
    <row r="92" spans="1:15" ht="11" customHeight="1" x14ac:dyDescent="0.15">
      <c r="A92" s="170">
        <v>49016913</v>
      </c>
      <c r="B92" s="126">
        <v>1</v>
      </c>
      <c r="C92" s="126">
        <v>613</v>
      </c>
      <c r="D92" s="126">
        <v>100</v>
      </c>
      <c r="E92" s="126" t="s">
        <v>88</v>
      </c>
      <c r="F92" s="126" t="s">
        <v>88</v>
      </c>
      <c r="G92" s="126">
        <v>1</v>
      </c>
      <c r="H92" s="126">
        <v>1</v>
      </c>
      <c r="I92" s="126">
        <v>1578</v>
      </c>
      <c r="J92" s="48">
        <f t="shared" si="11"/>
        <v>100</v>
      </c>
      <c r="L92" s="113" t="s">
        <v>312</v>
      </c>
      <c r="M92" s="113" t="s">
        <v>271</v>
      </c>
    </row>
    <row r="93" spans="1:15" ht="11" customHeight="1" x14ac:dyDescent="0.15">
      <c r="A93" s="170">
        <v>49016914</v>
      </c>
      <c r="B93" s="126">
        <v>1</v>
      </c>
      <c r="C93" s="126">
        <v>614</v>
      </c>
      <c r="D93" s="126">
        <v>100</v>
      </c>
      <c r="E93" s="126" t="s">
        <v>88</v>
      </c>
      <c r="F93" s="126" t="s">
        <v>88</v>
      </c>
      <c r="G93" s="126">
        <v>1</v>
      </c>
      <c r="H93" s="126">
        <v>1</v>
      </c>
      <c r="I93" s="126">
        <v>1581</v>
      </c>
      <c r="J93" s="48">
        <f t="shared" si="11"/>
        <v>100</v>
      </c>
      <c r="L93" s="113" t="s">
        <v>312</v>
      </c>
      <c r="M93" s="113" t="s">
        <v>271</v>
      </c>
    </row>
    <row r="94" spans="1:15" ht="11" customHeight="1" x14ac:dyDescent="0.15">
      <c r="A94" s="170">
        <v>49016915</v>
      </c>
      <c r="B94" s="126">
        <v>1</v>
      </c>
      <c r="C94" s="126">
        <v>615</v>
      </c>
      <c r="D94" s="126">
        <v>100</v>
      </c>
      <c r="E94" s="126" t="s">
        <v>88</v>
      </c>
      <c r="F94" s="126" t="s">
        <v>88</v>
      </c>
      <c r="G94" s="126">
        <v>1</v>
      </c>
      <c r="H94" s="126">
        <v>1</v>
      </c>
      <c r="I94" s="126">
        <v>1584</v>
      </c>
      <c r="J94" s="48">
        <f t="shared" si="11"/>
        <v>100</v>
      </c>
      <c r="L94" s="113" t="s">
        <v>312</v>
      </c>
      <c r="M94" s="113" t="s">
        <v>271</v>
      </c>
    </row>
    <row r="95" spans="1:15" ht="11" customHeight="1" x14ac:dyDescent="0.15">
      <c r="A95" s="170">
        <v>49016916</v>
      </c>
      <c r="B95" s="126">
        <v>1</v>
      </c>
      <c r="C95" s="126">
        <v>616</v>
      </c>
      <c r="D95" s="126">
        <v>100</v>
      </c>
      <c r="E95" s="126" t="s">
        <v>88</v>
      </c>
      <c r="F95" s="126" t="s">
        <v>88</v>
      </c>
      <c r="G95" s="126">
        <v>1</v>
      </c>
      <c r="H95" s="126">
        <v>1</v>
      </c>
      <c r="I95" s="126">
        <v>1587</v>
      </c>
      <c r="J95" s="48">
        <f t="shared" si="11"/>
        <v>100</v>
      </c>
      <c r="L95" s="113" t="s">
        <v>312</v>
      </c>
      <c r="M95" s="113" t="s">
        <v>271</v>
      </c>
    </row>
    <row r="96" spans="1:15" ht="11" customHeight="1" x14ac:dyDescent="0.15">
      <c r="A96" s="170">
        <v>49016917</v>
      </c>
      <c r="B96" s="126">
        <v>1</v>
      </c>
      <c r="C96" s="126">
        <v>627</v>
      </c>
      <c r="D96" s="126">
        <v>100</v>
      </c>
      <c r="E96" s="126" t="s">
        <v>88</v>
      </c>
      <c r="F96" s="126" t="s">
        <v>88</v>
      </c>
      <c r="G96" s="126">
        <v>1</v>
      </c>
      <c r="H96" s="126">
        <v>1</v>
      </c>
      <c r="I96" s="175">
        <v>1551</v>
      </c>
      <c r="J96" s="48">
        <f t="shared" si="11"/>
        <v>100</v>
      </c>
      <c r="L96" s="178" t="s">
        <v>342</v>
      </c>
      <c r="M96" s="113" t="s">
        <v>271</v>
      </c>
      <c r="N96" s="126">
        <v>627</v>
      </c>
      <c r="O96" s="175">
        <v>1551</v>
      </c>
    </row>
    <row r="97" spans="1:15" ht="11" customHeight="1" x14ac:dyDescent="0.15">
      <c r="A97" s="170">
        <v>49016918</v>
      </c>
      <c r="B97" s="126">
        <v>1</v>
      </c>
      <c r="C97" s="126">
        <v>628</v>
      </c>
      <c r="D97" s="126">
        <v>100</v>
      </c>
      <c r="E97" s="126" t="s">
        <v>88</v>
      </c>
      <c r="F97" s="126" t="s">
        <v>88</v>
      </c>
      <c r="G97" s="126">
        <v>1</v>
      </c>
      <c r="H97" s="126">
        <v>1</v>
      </c>
      <c r="I97" s="175">
        <v>1552</v>
      </c>
      <c r="J97" s="48">
        <f t="shared" si="11"/>
        <v>100</v>
      </c>
      <c r="L97" s="178" t="s">
        <v>342</v>
      </c>
      <c r="M97" s="113" t="s">
        <v>271</v>
      </c>
      <c r="N97" s="126">
        <v>628</v>
      </c>
      <c r="O97" s="175">
        <v>1552</v>
      </c>
    </row>
    <row r="98" spans="1:15" ht="11" customHeight="1" x14ac:dyDescent="0.15">
      <c r="A98" s="170">
        <v>49016919</v>
      </c>
      <c r="B98" s="126">
        <v>1</v>
      </c>
      <c r="C98" s="126">
        <v>625</v>
      </c>
      <c r="D98" s="126">
        <v>100</v>
      </c>
      <c r="E98" s="126" t="s">
        <v>88</v>
      </c>
      <c r="F98" s="126" t="s">
        <v>88</v>
      </c>
      <c r="G98" s="126">
        <v>1</v>
      </c>
      <c r="H98" s="126">
        <v>1</v>
      </c>
      <c r="I98" s="175">
        <v>1566</v>
      </c>
      <c r="J98" s="48">
        <f t="shared" si="11"/>
        <v>100</v>
      </c>
      <c r="L98" s="178" t="s">
        <v>343</v>
      </c>
      <c r="M98" s="113" t="s">
        <v>271</v>
      </c>
      <c r="N98" s="126">
        <v>625</v>
      </c>
      <c r="O98" s="175">
        <v>1566</v>
      </c>
    </row>
    <row r="99" spans="1:15" ht="11" customHeight="1" x14ac:dyDescent="0.15">
      <c r="A99" s="170">
        <v>49016920</v>
      </c>
      <c r="B99" s="126">
        <v>1</v>
      </c>
      <c r="C99" s="126">
        <v>626</v>
      </c>
      <c r="D99" s="126">
        <v>100</v>
      </c>
      <c r="E99" s="126" t="s">
        <v>88</v>
      </c>
      <c r="F99" s="126" t="s">
        <v>88</v>
      </c>
      <c r="G99" s="126">
        <v>1</v>
      </c>
      <c r="H99" s="126">
        <v>1</v>
      </c>
      <c r="I99" s="175">
        <v>1567</v>
      </c>
      <c r="J99" s="48">
        <f t="shared" si="11"/>
        <v>100</v>
      </c>
      <c r="L99" s="178" t="s">
        <v>343</v>
      </c>
      <c r="M99" s="113" t="s">
        <v>271</v>
      </c>
      <c r="N99" s="126">
        <v>626</v>
      </c>
      <c r="O99" s="175">
        <v>1567</v>
      </c>
    </row>
    <row r="100" spans="1:15" ht="11" customHeight="1" x14ac:dyDescent="0.15">
      <c r="A100" s="170">
        <v>49016921</v>
      </c>
      <c r="B100" s="126">
        <v>1</v>
      </c>
      <c r="C100" s="126">
        <v>623</v>
      </c>
      <c r="D100" s="126">
        <v>100</v>
      </c>
      <c r="E100" s="126" t="s">
        <v>88</v>
      </c>
      <c r="F100" s="126" t="s">
        <v>88</v>
      </c>
      <c r="G100" s="126">
        <v>1</v>
      </c>
      <c r="H100" s="126">
        <v>1</v>
      </c>
      <c r="I100" s="175">
        <v>1563</v>
      </c>
      <c r="J100" s="48">
        <f t="shared" si="11"/>
        <v>100</v>
      </c>
      <c r="L100" s="178" t="s">
        <v>344</v>
      </c>
      <c r="M100" s="113" t="s">
        <v>271</v>
      </c>
      <c r="N100" s="126">
        <v>623</v>
      </c>
      <c r="O100" s="175">
        <v>1563</v>
      </c>
    </row>
    <row r="101" spans="1:15" ht="11" customHeight="1" x14ac:dyDescent="0.15">
      <c r="A101" s="170">
        <v>49016922</v>
      </c>
      <c r="B101" s="126">
        <v>1</v>
      </c>
      <c r="C101" s="126">
        <v>624</v>
      </c>
      <c r="D101" s="126">
        <v>100</v>
      </c>
      <c r="E101" s="126" t="s">
        <v>88</v>
      </c>
      <c r="F101" s="126" t="s">
        <v>88</v>
      </c>
      <c r="G101" s="126">
        <v>1</v>
      </c>
      <c r="H101" s="126">
        <v>1</v>
      </c>
      <c r="I101" s="175">
        <v>1564</v>
      </c>
      <c r="J101" s="48">
        <f t="shared" si="11"/>
        <v>100</v>
      </c>
      <c r="L101" s="178" t="s">
        <v>344</v>
      </c>
      <c r="M101" s="113" t="s">
        <v>271</v>
      </c>
      <c r="N101" s="126">
        <v>624</v>
      </c>
      <c r="O101" s="175">
        <v>1564</v>
      </c>
    </row>
    <row r="102" spans="1:15" ht="11" customHeight="1" x14ac:dyDescent="0.15">
      <c r="A102" s="170">
        <v>49016923</v>
      </c>
      <c r="B102" s="126">
        <v>1</v>
      </c>
      <c r="C102" s="126">
        <v>621</v>
      </c>
      <c r="D102" s="126">
        <v>100</v>
      </c>
      <c r="E102" s="126" t="s">
        <v>88</v>
      </c>
      <c r="F102" s="126" t="s">
        <v>88</v>
      </c>
      <c r="G102" s="126">
        <v>1</v>
      </c>
      <c r="H102" s="126">
        <v>1</v>
      </c>
      <c r="I102" s="175">
        <v>1558</v>
      </c>
      <c r="J102" s="48">
        <f t="shared" si="11"/>
        <v>100</v>
      </c>
      <c r="L102" s="178" t="s">
        <v>345</v>
      </c>
      <c r="M102" s="113" t="s">
        <v>271</v>
      </c>
      <c r="N102" s="126">
        <v>621</v>
      </c>
      <c r="O102" s="175">
        <v>1558</v>
      </c>
    </row>
    <row r="103" spans="1:15" ht="11" customHeight="1" x14ac:dyDescent="0.15">
      <c r="A103" s="170">
        <v>49016924</v>
      </c>
      <c r="B103" s="126">
        <v>1</v>
      </c>
      <c r="C103" s="126">
        <v>622</v>
      </c>
      <c r="D103" s="126">
        <v>100</v>
      </c>
      <c r="E103" s="126" t="s">
        <v>88</v>
      </c>
      <c r="F103" s="126" t="s">
        <v>88</v>
      </c>
      <c r="G103" s="126">
        <v>1</v>
      </c>
      <c r="H103" s="126">
        <v>1</v>
      </c>
      <c r="I103" s="175">
        <v>1559</v>
      </c>
      <c r="J103" s="48">
        <f t="shared" si="11"/>
        <v>100</v>
      </c>
      <c r="L103" s="178" t="s">
        <v>345</v>
      </c>
      <c r="M103" s="113" t="s">
        <v>271</v>
      </c>
      <c r="N103" s="126">
        <v>622</v>
      </c>
      <c r="O103" s="175">
        <v>1559</v>
      </c>
    </row>
    <row r="104" spans="1:15" ht="11" customHeight="1" x14ac:dyDescent="0.15">
      <c r="A104" s="170">
        <v>49016925</v>
      </c>
      <c r="B104" s="126">
        <v>1</v>
      </c>
      <c r="C104" s="126">
        <v>619</v>
      </c>
      <c r="D104" s="126">
        <v>100</v>
      </c>
      <c r="E104" s="126" t="s">
        <v>88</v>
      </c>
      <c r="F104" s="126" t="s">
        <v>88</v>
      </c>
      <c r="G104" s="126">
        <v>1</v>
      </c>
      <c r="H104" s="126">
        <v>1</v>
      </c>
      <c r="I104" s="175">
        <v>1575</v>
      </c>
      <c r="J104" s="48">
        <f t="shared" si="11"/>
        <v>100</v>
      </c>
      <c r="L104" s="178" t="s">
        <v>346</v>
      </c>
      <c r="M104" s="113" t="s">
        <v>271</v>
      </c>
      <c r="N104" s="126">
        <v>619</v>
      </c>
      <c r="O104" s="175">
        <v>1575</v>
      </c>
    </row>
    <row r="105" spans="1:15" ht="11" customHeight="1" x14ac:dyDescent="0.15">
      <c r="A105" s="170">
        <v>49016926</v>
      </c>
      <c r="B105" s="126">
        <v>1</v>
      </c>
      <c r="C105" s="126">
        <v>620</v>
      </c>
      <c r="D105" s="126">
        <v>100</v>
      </c>
      <c r="E105" s="126" t="s">
        <v>88</v>
      </c>
      <c r="F105" s="126" t="s">
        <v>88</v>
      </c>
      <c r="G105" s="126">
        <v>1</v>
      </c>
      <c r="H105" s="126">
        <v>1</v>
      </c>
      <c r="I105" s="175">
        <v>1576</v>
      </c>
      <c r="J105" s="48">
        <f t="shared" si="11"/>
        <v>100</v>
      </c>
      <c r="L105" s="178" t="s">
        <v>346</v>
      </c>
      <c r="M105" s="113" t="s">
        <v>271</v>
      </c>
      <c r="N105" s="126">
        <v>620</v>
      </c>
      <c r="O105" s="175">
        <v>1576</v>
      </c>
    </row>
    <row r="106" spans="1:15" ht="11" customHeight="1" x14ac:dyDescent="0.15">
      <c r="A106" s="170">
        <v>49016927</v>
      </c>
      <c r="B106" s="126">
        <v>1</v>
      </c>
      <c r="C106" s="126">
        <v>617</v>
      </c>
      <c r="D106" s="126">
        <v>100</v>
      </c>
      <c r="E106" s="126" t="s">
        <v>88</v>
      </c>
      <c r="F106" s="126" t="s">
        <v>88</v>
      </c>
      <c r="G106" s="126">
        <v>1</v>
      </c>
      <c r="H106" s="126">
        <v>1</v>
      </c>
      <c r="I106" s="175">
        <v>1579</v>
      </c>
      <c r="J106" s="48">
        <f t="shared" si="11"/>
        <v>100</v>
      </c>
      <c r="L106" s="178" t="s">
        <v>347</v>
      </c>
      <c r="M106" s="113" t="s">
        <v>271</v>
      </c>
      <c r="N106" s="126">
        <v>617</v>
      </c>
      <c r="O106" s="175">
        <v>1579</v>
      </c>
    </row>
    <row r="107" spans="1:15" ht="11" customHeight="1" x14ac:dyDescent="0.15">
      <c r="A107" s="170">
        <v>49016928</v>
      </c>
      <c r="B107" s="126">
        <v>1</v>
      </c>
      <c r="C107" s="126">
        <v>618</v>
      </c>
      <c r="D107" s="126">
        <v>100</v>
      </c>
      <c r="E107" s="126" t="s">
        <v>88</v>
      </c>
      <c r="F107" s="126" t="s">
        <v>88</v>
      </c>
      <c r="G107" s="126">
        <v>1</v>
      </c>
      <c r="H107" s="126">
        <v>1</v>
      </c>
      <c r="I107" s="175">
        <v>1580</v>
      </c>
      <c r="J107" s="48">
        <f t="shared" si="11"/>
        <v>100</v>
      </c>
      <c r="L107" s="178" t="s">
        <v>348</v>
      </c>
      <c r="M107" s="113" t="s">
        <v>271</v>
      </c>
      <c r="N107" s="126">
        <v>618</v>
      </c>
      <c r="O107" s="175">
        <v>1580</v>
      </c>
    </row>
    <row r="108" spans="1:15" ht="21" customHeight="1" x14ac:dyDescent="0.15">
      <c r="A108" s="111">
        <v>49016401</v>
      </c>
      <c r="B108" s="126">
        <v>0</v>
      </c>
      <c r="C108" s="126">
        <v>100</v>
      </c>
      <c r="D108" s="126">
        <v>100</v>
      </c>
      <c r="E108" s="126" t="s">
        <v>288</v>
      </c>
      <c r="F108" s="126" t="s">
        <v>289</v>
      </c>
      <c r="G108" s="126" t="s">
        <v>168</v>
      </c>
      <c r="H108" s="126">
        <v>1</v>
      </c>
      <c r="I108" s="126" t="s">
        <v>290</v>
      </c>
      <c r="J108" s="48">
        <f t="shared" si="9"/>
        <v>100</v>
      </c>
      <c r="L108" s="113" t="s">
        <v>313</v>
      </c>
      <c r="M108" s="113" t="s">
        <v>272</v>
      </c>
    </row>
    <row r="109" spans="1:15" ht="21" customHeight="1" x14ac:dyDescent="0.15">
      <c r="A109" s="111">
        <v>49016402</v>
      </c>
      <c r="B109" s="126">
        <v>0</v>
      </c>
      <c r="C109" s="126">
        <v>200</v>
      </c>
      <c r="D109" s="126">
        <v>100</v>
      </c>
      <c r="E109" s="126" t="s">
        <v>291</v>
      </c>
      <c r="F109" s="126" t="s">
        <v>168</v>
      </c>
      <c r="G109" s="126" t="s">
        <v>168</v>
      </c>
      <c r="H109" s="126">
        <v>2</v>
      </c>
      <c r="I109" s="126" t="s">
        <v>292</v>
      </c>
      <c r="J109" s="48">
        <f t="shared" si="9"/>
        <v>100</v>
      </c>
      <c r="L109" s="113" t="s">
        <v>314</v>
      </c>
      <c r="M109" s="113" t="s">
        <v>273</v>
      </c>
    </row>
    <row r="110" spans="1:15" ht="21" customHeight="1" x14ac:dyDescent="0.15">
      <c r="A110" s="111">
        <v>49016403</v>
      </c>
      <c r="B110" s="126">
        <v>0</v>
      </c>
      <c r="C110" s="126">
        <v>300</v>
      </c>
      <c r="D110" s="126">
        <v>100</v>
      </c>
      <c r="E110" s="126" t="s">
        <v>291</v>
      </c>
      <c r="F110" s="126" t="s">
        <v>168</v>
      </c>
      <c r="G110" s="126" t="s">
        <v>168</v>
      </c>
      <c r="H110" s="126">
        <v>3</v>
      </c>
      <c r="I110" s="126" t="s">
        <v>292</v>
      </c>
      <c r="J110" s="48">
        <f t="shared" si="9"/>
        <v>100</v>
      </c>
      <c r="L110" s="113" t="s">
        <v>315</v>
      </c>
      <c r="M110" s="113" t="s">
        <v>274</v>
      </c>
    </row>
    <row r="111" spans="1:15" ht="21" customHeight="1" x14ac:dyDescent="0.15">
      <c r="A111" s="111">
        <v>49016404</v>
      </c>
      <c r="B111" s="126">
        <v>0</v>
      </c>
      <c r="C111" s="126">
        <v>500</v>
      </c>
      <c r="D111" s="126">
        <v>100</v>
      </c>
      <c r="E111" s="126">
        <v>50</v>
      </c>
      <c r="F111" s="126" t="s">
        <v>168</v>
      </c>
      <c r="G111" s="126">
        <v>1</v>
      </c>
      <c r="H111" s="126">
        <v>1</v>
      </c>
      <c r="I111" s="126" t="s">
        <v>292</v>
      </c>
      <c r="J111" s="48">
        <f t="shared" si="9"/>
        <v>100</v>
      </c>
      <c r="L111" s="113" t="s">
        <v>317</v>
      </c>
      <c r="M111" s="113" t="s">
        <v>275</v>
      </c>
    </row>
    <row r="112" spans="1:15" ht="21" customHeight="1" x14ac:dyDescent="0.15">
      <c r="A112" s="111">
        <v>49016405</v>
      </c>
      <c r="B112" s="126">
        <v>0</v>
      </c>
      <c r="C112" s="126">
        <v>400</v>
      </c>
      <c r="D112" s="126">
        <v>100</v>
      </c>
      <c r="E112" s="126">
        <v>50</v>
      </c>
      <c r="F112" s="126" t="s">
        <v>168</v>
      </c>
      <c r="G112" s="126">
        <v>1</v>
      </c>
      <c r="H112" s="126">
        <v>1</v>
      </c>
      <c r="I112" s="126" t="s">
        <v>292</v>
      </c>
      <c r="J112" s="48">
        <f t="shared" si="9"/>
        <v>100</v>
      </c>
      <c r="L112" s="113" t="s">
        <v>318</v>
      </c>
      <c r="M112" s="113" t="s">
        <v>276</v>
      </c>
    </row>
    <row r="113" spans="1:13" ht="21" customHeight="1" x14ac:dyDescent="0.15">
      <c r="A113" s="120">
        <v>49016500</v>
      </c>
      <c r="B113" s="126">
        <v>1</v>
      </c>
      <c r="C113" s="126" t="s">
        <v>168</v>
      </c>
      <c r="D113" s="126">
        <v>100</v>
      </c>
      <c r="E113" s="126" t="s">
        <v>168</v>
      </c>
      <c r="F113" s="126" t="s">
        <v>168</v>
      </c>
      <c r="G113" s="126">
        <v>1</v>
      </c>
      <c r="H113" s="126">
        <v>1</v>
      </c>
      <c r="I113" s="126" t="s">
        <v>168</v>
      </c>
      <c r="J113" s="48">
        <f t="shared" si="9"/>
        <v>100</v>
      </c>
      <c r="L113" s="122" t="s">
        <v>319</v>
      </c>
      <c r="M113" s="122" t="s">
        <v>277</v>
      </c>
    </row>
    <row r="114" spans="1:13" ht="21" customHeight="1" x14ac:dyDescent="0.15">
      <c r="A114" s="120">
        <v>49016501</v>
      </c>
      <c r="B114" s="126">
        <v>0</v>
      </c>
      <c r="C114" s="126">
        <v>100</v>
      </c>
      <c r="D114" s="126">
        <v>100</v>
      </c>
      <c r="E114" s="126" t="s">
        <v>288</v>
      </c>
      <c r="F114" s="126" t="s">
        <v>289</v>
      </c>
      <c r="G114" s="126" t="s">
        <v>168</v>
      </c>
      <c r="H114" s="126">
        <v>1</v>
      </c>
      <c r="I114" s="126" t="s">
        <v>290</v>
      </c>
      <c r="J114" s="48">
        <f t="shared" si="9"/>
        <v>100</v>
      </c>
      <c r="L114" s="122" t="s">
        <v>313</v>
      </c>
      <c r="M114" s="122" t="s">
        <v>278</v>
      </c>
    </row>
    <row r="115" spans="1:13" ht="21" customHeight="1" x14ac:dyDescent="0.15">
      <c r="A115" s="120">
        <v>49016502</v>
      </c>
      <c r="B115" s="126">
        <v>0</v>
      </c>
      <c r="C115" s="126">
        <v>200</v>
      </c>
      <c r="D115" s="126">
        <v>100</v>
      </c>
      <c r="E115" s="126" t="s">
        <v>291</v>
      </c>
      <c r="F115" s="126" t="s">
        <v>168</v>
      </c>
      <c r="G115" s="126" t="s">
        <v>168</v>
      </c>
      <c r="H115" s="126">
        <v>2</v>
      </c>
      <c r="I115" s="126" t="s">
        <v>292</v>
      </c>
      <c r="J115" s="48">
        <f t="shared" si="9"/>
        <v>100</v>
      </c>
      <c r="L115" s="122" t="s">
        <v>314</v>
      </c>
      <c r="M115" s="122" t="s">
        <v>279</v>
      </c>
    </row>
    <row r="116" spans="1:13" ht="21" customHeight="1" x14ac:dyDescent="0.15">
      <c r="A116" s="120">
        <v>49016503</v>
      </c>
      <c r="B116" s="126">
        <v>0</v>
      </c>
      <c r="C116" s="126">
        <v>300</v>
      </c>
      <c r="D116" s="126">
        <v>100</v>
      </c>
      <c r="E116" s="126" t="s">
        <v>291</v>
      </c>
      <c r="F116" s="126" t="s">
        <v>168</v>
      </c>
      <c r="G116" s="126" t="s">
        <v>168</v>
      </c>
      <c r="H116" s="126">
        <v>3</v>
      </c>
      <c r="I116" s="126" t="s">
        <v>292</v>
      </c>
      <c r="J116" s="48">
        <f t="shared" si="9"/>
        <v>100</v>
      </c>
      <c r="L116" s="122" t="s">
        <v>315</v>
      </c>
      <c r="M116" s="122" t="s">
        <v>280</v>
      </c>
    </row>
    <row r="117" spans="1:13" ht="21" customHeight="1" x14ac:dyDescent="0.15">
      <c r="A117" s="120">
        <v>49016504</v>
      </c>
      <c r="B117" s="126">
        <v>0</v>
      </c>
      <c r="C117" s="126">
        <v>400</v>
      </c>
      <c r="D117" s="126">
        <v>100</v>
      </c>
      <c r="E117" s="126">
        <v>40</v>
      </c>
      <c r="F117" s="126" t="s">
        <v>168</v>
      </c>
      <c r="G117" s="126">
        <v>1</v>
      </c>
      <c r="H117" s="126">
        <v>1</v>
      </c>
      <c r="I117" s="126" t="s">
        <v>292</v>
      </c>
      <c r="J117" s="48">
        <f t="shared" si="9"/>
        <v>100</v>
      </c>
      <c r="L117" s="122" t="s">
        <v>324</v>
      </c>
      <c r="M117" s="122" t="s">
        <v>287</v>
      </c>
    </row>
    <row r="118" spans="1:13" ht="21" customHeight="1" x14ac:dyDescent="0.15">
      <c r="A118" s="123">
        <v>49016600</v>
      </c>
      <c r="B118" s="126">
        <v>1</v>
      </c>
      <c r="C118" s="126" t="s">
        <v>168</v>
      </c>
      <c r="D118" s="126">
        <v>100</v>
      </c>
      <c r="E118" s="126" t="s">
        <v>168</v>
      </c>
      <c r="F118" s="126" t="s">
        <v>168</v>
      </c>
      <c r="G118" s="126">
        <v>1</v>
      </c>
      <c r="H118" s="126">
        <v>1</v>
      </c>
      <c r="I118" s="126" t="s">
        <v>168</v>
      </c>
      <c r="J118" s="48">
        <f t="shared" si="9"/>
        <v>100</v>
      </c>
      <c r="L118" s="125" t="s">
        <v>320</v>
      </c>
      <c r="M118" s="125" t="s">
        <v>281</v>
      </c>
    </row>
    <row r="119" spans="1:13" ht="21" customHeight="1" x14ac:dyDescent="0.15">
      <c r="A119" s="123">
        <v>49016601</v>
      </c>
      <c r="B119" s="126">
        <v>0</v>
      </c>
      <c r="C119" s="126">
        <v>100</v>
      </c>
      <c r="D119" s="126">
        <v>100</v>
      </c>
      <c r="E119" s="126" t="s">
        <v>288</v>
      </c>
      <c r="F119" s="126" t="s">
        <v>289</v>
      </c>
      <c r="G119" s="126" t="s">
        <v>168</v>
      </c>
      <c r="H119" s="126">
        <v>1</v>
      </c>
      <c r="I119" s="126" t="s">
        <v>290</v>
      </c>
      <c r="J119" s="48">
        <f t="shared" si="9"/>
        <v>100</v>
      </c>
      <c r="L119" s="125" t="s">
        <v>313</v>
      </c>
      <c r="M119" s="125" t="s">
        <v>282</v>
      </c>
    </row>
    <row r="120" spans="1:13" ht="21" customHeight="1" x14ac:dyDescent="0.15">
      <c r="A120" s="123">
        <v>49016602</v>
      </c>
      <c r="B120" s="126">
        <v>0</v>
      </c>
      <c r="C120" s="126">
        <v>200</v>
      </c>
      <c r="D120" s="126">
        <v>100</v>
      </c>
      <c r="E120" s="126" t="s">
        <v>291</v>
      </c>
      <c r="F120" s="126" t="s">
        <v>168</v>
      </c>
      <c r="G120" s="126" t="s">
        <v>168</v>
      </c>
      <c r="H120" s="126">
        <v>2</v>
      </c>
      <c r="I120" s="126" t="s">
        <v>292</v>
      </c>
      <c r="J120" s="48">
        <f t="shared" ref="J120:J122" si="12">D120</f>
        <v>100</v>
      </c>
      <c r="L120" s="125" t="s">
        <v>314</v>
      </c>
      <c r="M120" s="125" t="s">
        <v>280</v>
      </c>
    </row>
    <row r="121" spans="1:13" ht="21" customHeight="1" x14ac:dyDescent="0.15">
      <c r="A121" s="123">
        <v>49016603</v>
      </c>
      <c r="B121" s="126">
        <v>0</v>
      </c>
      <c r="C121" s="126">
        <v>300</v>
      </c>
      <c r="D121" s="126">
        <v>100</v>
      </c>
      <c r="E121" s="126">
        <v>70</v>
      </c>
      <c r="F121" s="126" t="s">
        <v>168</v>
      </c>
      <c r="G121" s="126">
        <v>1</v>
      </c>
      <c r="H121" s="126">
        <v>1</v>
      </c>
      <c r="I121" s="126" t="s">
        <v>292</v>
      </c>
      <c r="J121" s="48">
        <f t="shared" si="12"/>
        <v>100</v>
      </c>
      <c r="L121" s="125" t="s">
        <v>321</v>
      </c>
      <c r="M121" s="125" t="s">
        <v>283</v>
      </c>
    </row>
    <row r="122" spans="1:13" ht="21" customHeight="1" x14ac:dyDescent="0.15">
      <c r="A122" s="123">
        <v>49016604</v>
      </c>
      <c r="B122" s="126">
        <v>0</v>
      </c>
      <c r="C122" s="126">
        <v>500</v>
      </c>
      <c r="D122" s="126">
        <v>100</v>
      </c>
      <c r="E122" s="126">
        <v>50</v>
      </c>
      <c r="F122" s="126" t="s">
        <v>168</v>
      </c>
      <c r="G122" s="126">
        <v>1</v>
      </c>
      <c r="H122" s="126">
        <v>1</v>
      </c>
      <c r="I122" s="126" t="s">
        <v>292</v>
      </c>
      <c r="J122" s="48">
        <f t="shared" si="12"/>
        <v>100</v>
      </c>
      <c r="L122" s="125" t="s">
        <v>323</v>
      </c>
      <c r="M122" s="125" t="s">
        <v>284</v>
      </c>
    </row>
    <row r="123" spans="1:13" ht="21" customHeight="1" x14ac:dyDescent="0.15">
      <c r="A123" s="123">
        <v>49016605</v>
      </c>
      <c r="B123" s="126">
        <v>0</v>
      </c>
      <c r="C123" s="126">
        <v>400</v>
      </c>
      <c r="D123" s="126">
        <v>100</v>
      </c>
      <c r="E123" s="126">
        <v>50</v>
      </c>
      <c r="F123" s="126" t="s">
        <v>168</v>
      </c>
      <c r="G123" s="126">
        <v>1</v>
      </c>
      <c r="H123" s="126">
        <v>1</v>
      </c>
      <c r="I123" s="126" t="s">
        <v>292</v>
      </c>
      <c r="J123" s="48">
        <f t="shared" ref="J123:J174" si="13">D123</f>
        <v>100</v>
      </c>
      <c r="L123" s="125" t="s">
        <v>322</v>
      </c>
      <c r="M123" s="125" t="s">
        <v>286</v>
      </c>
    </row>
    <row r="124" spans="1:13" ht="21" customHeight="1" x14ac:dyDescent="0.15">
      <c r="A124" s="123">
        <v>49016606</v>
      </c>
      <c r="B124" s="47">
        <v>0</v>
      </c>
      <c r="C124" s="47">
        <v>800</v>
      </c>
      <c r="D124" s="47">
        <v>100</v>
      </c>
      <c r="E124" s="47" t="s">
        <v>254</v>
      </c>
      <c r="F124" s="47" t="s">
        <v>88</v>
      </c>
      <c r="G124" s="47">
        <v>0</v>
      </c>
      <c r="H124" s="47">
        <v>1</v>
      </c>
      <c r="I124" s="47">
        <v>0</v>
      </c>
      <c r="J124" s="48">
        <f t="shared" si="13"/>
        <v>100</v>
      </c>
      <c r="L124" s="178" t="s">
        <v>328</v>
      </c>
      <c r="M124" s="178" t="s">
        <v>255</v>
      </c>
    </row>
    <row r="125" spans="1:13" ht="21" customHeight="1" x14ac:dyDescent="0.15">
      <c r="A125" s="175">
        <v>49016611</v>
      </c>
      <c r="B125" s="47">
        <v>0</v>
      </c>
      <c r="C125" s="47">
        <v>801</v>
      </c>
      <c r="D125" s="47">
        <v>100</v>
      </c>
      <c r="E125" s="47" t="s">
        <v>254</v>
      </c>
      <c r="F125" s="47" t="s">
        <v>88</v>
      </c>
      <c r="G125" s="47">
        <v>0</v>
      </c>
      <c r="H125" s="47">
        <v>1</v>
      </c>
      <c r="I125" s="205">
        <v>1551</v>
      </c>
      <c r="J125" s="48">
        <f t="shared" si="13"/>
        <v>100</v>
      </c>
      <c r="L125" s="178" t="s">
        <v>328</v>
      </c>
      <c r="M125" s="178" t="s">
        <v>255</v>
      </c>
    </row>
    <row r="126" spans="1:13" ht="21" customHeight="1" x14ac:dyDescent="0.15">
      <c r="A126" s="175">
        <v>49016612</v>
      </c>
      <c r="B126" s="47">
        <v>0</v>
      </c>
      <c r="C126" s="47">
        <v>802</v>
      </c>
      <c r="D126" s="47">
        <v>100</v>
      </c>
      <c r="E126" s="47" t="s">
        <v>254</v>
      </c>
      <c r="F126" s="47" t="s">
        <v>88</v>
      </c>
      <c r="G126" s="47">
        <v>0</v>
      </c>
      <c r="H126" s="47">
        <v>1</v>
      </c>
      <c r="I126" s="205">
        <v>1552</v>
      </c>
      <c r="J126" s="48">
        <f t="shared" ref="J126:J141" si="14">D126</f>
        <v>100</v>
      </c>
      <c r="L126" s="178" t="s">
        <v>328</v>
      </c>
      <c r="M126" s="178" t="s">
        <v>255</v>
      </c>
    </row>
    <row r="127" spans="1:13" ht="21" customHeight="1" x14ac:dyDescent="0.15">
      <c r="A127" s="175">
        <v>49016613</v>
      </c>
      <c r="B127" s="47">
        <v>0</v>
      </c>
      <c r="C127" s="47">
        <v>803</v>
      </c>
      <c r="D127" s="47">
        <v>100</v>
      </c>
      <c r="E127" s="47" t="s">
        <v>254</v>
      </c>
      <c r="F127" s="47" t="s">
        <v>88</v>
      </c>
      <c r="G127" s="47">
        <v>0</v>
      </c>
      <c r="H127" s="47">
        <v>1</v>
      </c>
      <c r="I127" s="205">
        <v>1553</v>
      </c>
      <c r="J127" s="48">
        <f t="shared" si="14"/>
        <v>100</v>
      </c>
      <c r="L127" s="178" t="s">
        <v>328</v>
      </c>
      <c r="M127" s="178" t="s">
        <v>255</v>
      </c>
    </row>
    <row r="128" spans="1:13" ht="21" customHeight="1" x14ac:dyDescent="0.15">
      <c r="A128" s="175">
        <v>49016614</v>
      </c>
      <c r="B128" s="47">
        <v>0</v>
      </c>
      <c r="C128" s="47">
        <v>804</v>
      </c>
      <c r="D128" s="47">
        <v>100</v>
      </c>
      <c r="E128" s="47" t="s">
        <v>254</v>
      </c>
      <c r="F128" s="47" t="s">
        <v>88</v>
      </c>
      <c r="G128" s="47">
        <v>0</v>
      </c>
      <c r="H128" s="47">
        <v>1</v>
      </c>
      <c r="I128" s="205">
        <v>1554</v>
      </c>
      <c r="J128" s="48">
        <f t="shared" si="14"/>
        <v>100</v>
      </c>
      <c r="L128" s="178" t="s">
        <v>328</v>
      </c>
      <c r="M128" s="178" t="s">
        <v>255</v>
      </c>
    </row>
    <row r="129" spans="1:13" ht="21" customHeight="1" x14ac:dyDescent="0.15">
      <c r="A129" s="175">
        <v>49016615</v>
      </c>
      <c r="B129" s="47">
        <v>0</v>
      </c>
      <c r="C129" s="47">
        <v>805</v>
      </c>
      <c r="D129" s="47">
        <v>100</v>
      </c>
      <c r="E129" s="47" t="s">
        <v>254</v>
      </c>
      <c r="F129" s="47" t="s">
        <v>88</v>
      </c>
      <c r="G129" s="47">
        <v>0</v>
      </c>
      <c r="H129" s="47">
        <v>1</v>
      </c>
      <c r="I129" s="205">
        <v>1555</v>
      </c>
      <c r="J129" s="48">
        <f t="shared" si="14"/>
        <v>100</v>
      </c>
      <c r="L129" s="178" t="s">
        <v>328</v>
      </c>
      <c r="M129" s="178" t="s">
        <v>255</v>
      </c>
    </row>
    <row r="130" spans="1:13" ht="21" customHeight="1" x14ac:dyDescent="0.15">
      <c r="A130" s="175">
        <v>49016616</v>
      </c>
      <c r="B130" s="47">
        <v>0</v>
      </c>
      <c r="C130" s="47">
        <v>806</v>
      </c>
      <c r="D130" s="47">
        <v>100</v>
      </c>
      <c r="E130" s="47" t="s">
        <v>254</v>
      </c>
      <c r="F130" s="47" t="s">
        <v>88</v>
      </c>
      <c r="G130" s="47">
        <v>0</v>
      </c>
      <c r="H130" s="47">
        <v>1</v>
      </c>
      <c r="I130" s="205">
        <v>1556</v>
      </c>
      <c r="J130" s="48">
        <f t="shared" si="14"/>
        <v>100</v>
      </c>
      <c r="L130" s="178" t="s">
        <v>328</v>
      </c>
      <c r="M130" s="178" t="s">
        <v>255</v>
      </c>
    </row>
    <row r="131" spans="1:13" ht="21" customHeight="1" x14ac:dyDescent="0.15">
      <c r="A131" s="175">
        <v>49016617</v>
      </c>
      <c r="B131" s="47">
        <v>0</v>
      </c>
      <c r="C131" s="47">
        <v>807</v>
      </c>
      <c r="D131" s="47">
        <v>100</v>
      </c>
      <c r="E131" s="47" t="s">
        <v>254</v>
      </c>
      <c r="F131" s="47" t="s">
        <v>88</v>
      </c>
      <c r="G131" s="47">
        <v>0</v>
      </c>
      <c r="H131" s="47">
        <v>1</v>
      </c>
      <c r="I131" s="205">
        <v>1557</v>
      </c>
      <c r="J131" s="48">
        <f t="shared" si="14"/>
        <v>100</v>
      </c>
      <c r="L131" s="178" t="s">
        <v>328</v>
      </c>
      <c r="M131" s="178" t="s">
        <v>255</v>
      </c>
    </row>
    <row r="132" spans="1:13" ht="21" customHeight="1" x14ac:dyDescent="0.15">
      <c r="A132" s="175">
        <v>49016618</v>
      </c>
      <c r="B132" s="47">
        <v>0</v>
      </c>
      <c r="C132" s="47">
        <v>808</v>
      </c>
      <c r="D132" s="47">
        <v>100</v>
      </c>
      <c r="E132" s="47" t="s">
        <v>254</v>
      </c>
      <c r="F132" s="47" t="s">
        <v>88</v>
      </c>
      <c r="G132" s="47">
        <v>0</v>
      </c>
      <c r="H132" s="47">
        <v>1</v>
      </c>
      <c r="I132" s="205">
        <v>1558</v>
      </c>
      <c r="J132" s="48">
        <f t="shared" si="14"/>
        <v>100</v>
      </c>
      <c r="L132" s="178" t="s">
        <v>328</v>
      </c>
      <c r="M132" s="178" t="s">
        <v>255</v>
      </c>
    </row>
    <row r="133" spans="1:13" ht="21" customHeight="1" x14ac:dyDescent="0.15">
      <c r="A133" s="175">
        <v>49016619</v>
      </c>
      <c r="B133" s="47">
        <v>0</v>
      </c>
      <c r="C133" s="47">
        <v>809</v>
      </c>
      <c r="D133" s="47">
        <v>100</v>
      </c>
      <c r="E133" s="47" t="s">
        <v>254</v>
      </c>
      <c r="F133" s="47" t="s">
        <v>88</v>
      </c>
      <c r="G133" s="47">
        <v>0</v>
      </c>
      <c r="H133" s="47">
        <v>1</v>
      </c>
      <c r="I133" s="205">
        <v>1559</v>
      </c>
      <c r="J133" s="48">
        <f t="shared" si="14"/>
        <v>100</v>
      </c>
      <c r="L133" s="178" t="s">
        <v>328</v>
      </c>
      <c r="M133" s="178" t="s">
        <v>255</v>
      </c>
    </row>
    <row r="134" spans="1:13" ht="21" customHeight="1" x14ac:dyDescent="0.15">
      <c r="A134" s="175">
        <v>49016620</v>
      </c>
      <c r="B134" s="47">
        <v>0</v>
      </c>
      <c r="C134" s="47">
        <v>810</v>
      </c>
      <c r="D134" s="47">
        <v>100</v>
      </c>
      <c r="E134" s="47" t="s">
        <v>254</v>
      </c>
      <c r="F134" s="47" t="s">
        <v>88</v>
      </c>
      <c r="G134" s="47">
        <v>0</v>
      </c>
      <c r="H134" s="47">
        <v>1</v>
      </c>
      <c r="I134" s="205">
        <v>1560</v>
      </c>
      <c r="J134" s="48">
        <f t="shared" si="14"/>
        <v>100</v>
      </c>
      <c r="L134" s="178" t="s">
        <v>328</v>
      </c>
      <c r="M134" s="178" t="s">
        <v>255</v>
      </c>
    </row>
    <row r="135" spans="1:13" ht="21" customHeight="1" x14ac:dyDescent="0.15">
      <c r="A135" s="175">
        <v>49016621</v>
      </c>
      <c r="B135" s="47">
        <v>0</v>
      </c>
      <c r="C135" s="47">
        <v>811</v>
      </c>
      <c r="D135" s="47">
        <v>100</v>
      </c>
      <c r="E135" s="47" t="s">
        <v>254</v>
      </c>
      <c r="F135" s="47" t="s">
        <v>88</v>
      </c>
      <c r="G135" s="47">
        <v>0</v>
      </c>
      <c r="H135" s="47">
        <v>1</v>
      </c>
      <c r="I135" s="205">
        <v>1561</v>
      </c>
      <c r="J135" s="48">
        <f t="shared" si="14"/>
        <v>100</v>
      </c>
      <c r="L135" s="178" t="s">
        <v>328</v>
      </c>
      <c r="M135" s="178" t="s">
        <v>255</v>
      </c>
    </row>
    <row r="136" spans="1:13" ht="21" customHeight="1" x14ac:dyDescent="0.15">
      <c r="A136" s="175">
        <v>49016622</v>
      </c>
      <c r="B136" s="47">
        <v>0</v>
      </c>
      <c r="C136" s="47">
        <v>812</v>
      </c>
      <c r="D136" s="47">
        <v>100</v>
      </c>
      <c r="E136" s="47" t="s">
        <v>254</v>
      </c>
      <c r="F136" s="47" t="s">
        <v>88</v>
      </c>
      <c r="G136" s="47">
        <v>0</v>
      </c>
      <c r="H136" s="47">
        <v>1</v>
      </c>
      <c r="I136" s="205">
        <v>1562</v>
      </c>
      <c r="J136" s="48">
        <f t="shared" si="14"/>
        <v>100</v>
      </c>
      <c r="L136" s="178" t="s">
        <v>328</v>
      </c>
      <c r="M136" s="178" t="s">
        <v>255</v>
      </c>
    </row>
    <row r="137" spans="1:13" ht="21" customHeight="1" x14ac:dyDescent="0.15">
      <c r="A137" s="175">
        <v>49016623</v>
      </c>
      <c r="B137" s="47">
        <v>0</v>
      </c>
      <c r="C137" s="47">
        <v>813</v>
      </c>
      <c r="D137" s="47">
        <v>100</v>
      </c>
      <c r="E137" s="47" t="s">
        <v>254</v>
      </c>
      <c r="F137" s="47" t="s">
        <v>88</v>
      </c>
      <c r="G137" s="47">
        <v>0</v>
      </c>
      <c r="H137" s="47">
        <v>1</v>
      </c>
      <c r="I137" s="205">
        <v>1563</v>
      </c>
      <c r="J137" s="48">
        <f t="shared" si="14"/>
        <v>100</v>
      </c>
      <c r="L137" s="178" t="s">
        <v>328</v>
      </c>
      <c r="M137" s="178" t="s">
        <v>255</v>
      </c>
    </row>
    <row r="138" spans="1:13" ht="21" customHeight="1" x14ac:dyDescent="0.15">
      <c r="A138" s="175">
        <v>49016624</v>
      </c>
      <c r="B138" s="47">
        <v>0</v>
      </c>
      <c r="C138" s="47">
        <v>814</v>
      </c>
      <c r="D138" s="47">
        <v>100</v>
      </c>
      <c r="E138" s="47" t="s">
        <v>254</v>
      </c>
      <c r="F138" s="47" t="s">
        <v>88</v>
      </c>
      <c r="G138" s="47">
        <v>0</v>
      </c>
      <c r="H138" s="47">
        <v>1</v>
      </c>
      <c r="I138" s="205">
        <v>1564</v>
      </c>
      <c r="J138" s="48">
        <f t="shared" si="14"/>
        <v>100</v>
      </c>
      <c r="L138" s="178" t="s">
        <v>328</v>
      </c>
      <c r="M138" s="178" t="s">
        <v>255</v>
      </c>
    </row>
    <row r="139" spans="1:13" ht="21" customHeight="1" x14ac:dyDescent="0.15">
      <c r="A139" s="175">
        <v>49016625</v>
      </c>
      <c r="B139" s="47">
        <v>0</v>
      </c>
      <c r="C139" s="47">
        <v>815</v>
      </c>
      <c r="D139" s="47">
        <v>100</v>
      </c>
      <c r="E139" s="47" t="s">
        <v>254</v>
      </c>
      <c r="F139" s="47" t="s">
        <v>88</v>
      </c>
      <c r="G139" s="47">
        <v>0</v>
      </c>
      <c r="H139" s="47">
        <v>1</v>
      </c>
      <c r="I139" s="205">
        <v>1565</v>
      </c>
      <c r="J139" s="48">
        <f t="shared" si="14"/>
        <v>100</v>
      </c>
      <c r="L139" s="178" t="s">
        <v>328</v>
      </c>
      <c r="M139" s="178" t="s">
        <v>255</v>
      </c>
    </row>
    <row r="140" spans="1:13" ht="21" customHeight="1" x14ac:dyDescent="0.15">
      <c r="A140" s="175">
        <v>49016626</v>
      </c>
      <c r="B140" s="47">
        <v>0</v>
      </c>
      <c r="C140" s="47">
        <v>816</v>
      </c>
      <c r="D140" s="47">
        <v>100</v>
      </c>
      <c r="E140" s="47" t="s">
        <v>254</v>
      </c>
      <c r="F140" s="47" t="s">
        <v>88</v>
      </c>
      <c r="G140" s="47">
        <v>0</v>
      </c>
      <c r="H140" s="47">
        <v>1</v>
      </c>
      <c r="I140" s="205">
        <v>1566</v>
      </c>
      <c r="J140" s="48">
        <f t="shared" si="14"/>
        <v>100</v>
      </c>
      <c r="L140" s="178" t="s">
        <v>328</v>
      </c>
      <c r="M140" s="178" t="s">
        <v>255</v>
      </c>
    </row>
    <row r="141" spans="1:13" ht="21" customHeight="1" x14ac:dyDescent="0.15">
      <c r="A141" s="175">
        <v>49016627</v>
      </c>
      <c r="B141" s="47">
        <v>0</v>
      </c>
      <c r="C141" s="47">
        <v>817</v>
      </c>
      <c r="D141" s="47">
        <v>100</v>
      </c>
      <c r="E141" s="47" t="s">
        <v>254</v>
      </c>
      <c r="F141" s="47" t="s">
        <v>88</v>
      </c>
      <c r="G141" s="47">
        <v>0</v>
      </c>
      <c r="H141" s="47">
        <v>1</v>
      </c>
      <c r="I141" s="205">
        <v>1567</v>
      </c>
      <c r="J141" s="48">
        <f t="shared" si="14"/>
        <v>100</v>
      </c>
      <c r="L141" s="178" t="s">
        <v>328</v>
      </c>
      <c r="M141" s="178" t="s">
        <v>255</v>
      </c>
    </row>
    <row r="142" spans="1:13" ht="21" customHeight="1" x14ac:dyDescent="0.15">
      <c r="A142" s="175">
        <v>49016628</v>
      </c>
      <c r="B142" s="47">
        <v>0</v>
      </c>
      <c r="C142" s="47">
        <v>818</v>
      </c>
      <c r="D142" s="47">
        <v>100</v>
      </c>
      <c r="E142" s="47" t="s">
        <v>88</v>
      </c>
      <c r="F142" s="47" t="s">
        <v>88</v>
      </c>
      <c r="G142" s="47">
        <v>0</v>
      </c>
      <c r="H142" s="47">
        <v>1</v>
      </c>
      <c r="I142" s="205">
        <v>1568</v>
      </c>
      <c r="J142" s="48">
        <f t="shared" ref="J142:J162" si="15">D142</f>
        <v>100</v>
      </c>
      <c r="L142" s="178" t="s">
        <v>328</v>
      </c>
      <c r="M142" s="178" t="s">
        <v>255</v>
      </c>
    </row>
    <row r="143" spans="1:13" ht="21" customHeight="1" x14ac:dyDescent="0.15">
      <c r="A143" s="175">
        <v>49016629</v>
      </c>
      <c r="B143" s="47">
        <v>0</v>
      </c>
      <c r="C143" s="47">
        <v>819</v>
      </c>
      <c r="D143" s="47">
        <v>100</v>
      </c>
      <c r="E143" s="47" t="s">
        <v>88</v>
      </c>
      <c r="F143" s="47" t="s">
        <v>88</v>
      </c>
      <c r="G143" s="47">
        <v>0</v>
      </c>
      <c r="H143" s="47">
        <v>1</v>
      </c>
      <c r="I143" s="205">
        <v>1569</v>
      </c>
      <c r="J143" s="48">
        <f t="shared" si="15"/>
        <v>100</v>
      </c>
      <c r="L143" s="178" t="s">
        <v>328</v>
      </c>
      <c r="M143" s="178" t="s">
        <v>255</v>
      </c>
    </row>
    <row r="144" spans="1:13" ht="21" customHeight="1" x14ac:dyDescent="0.15">
      <c r="A144" s="175">
        <v>49016630</v>
      </c>
      <c r="B144" s="47">
        <v>0</v>
      </c>
      <c r="C144" s="47">
        <v>820</v>
      </c>
      <c r="D144" s="47">
        <v>100</v>
      </c>
      <c r="E144" s="47" t="s">
        <v>88</v>
      </c>
      <c r="F144" s="47" t="s">
        <v>88</v>
      </c>
      <c r="G144" s="47">
        <v>0</v>
      </c>
      <c r="H144" s="47">
        <v>1</v>
      </c>
      <c r="I144" s="205">
        <v>1570</v>
      </c>
      <c r="J144" s="48">
        <f t="shared" si="15"/>
        <v>100</v>
      </c>
      <c r="L144" s="178" t="s">
        <v>328</v>
      </c>
      <c r="M144" s="178" t="s">
        <v>255</v>
      </c>
    </row>
    <row r="145" spans="1:13" ht="21" customHeight="1" x14ac:dyDescent="0.15">
      <c r="A145" s="175">
        <v>49016631</v>
      </c>
      <c r="B145" s="47">
        <v>0</v>
      </c>
      <c r="C145" s="47">
        <v>821</v>
      </c>
      <c r="D145" s="47">
        <v>100</v>
      </c>
      <c r="E145" s="47" t="s">
        <v>88</v>
      </c>
      <c r="F145" s="47" t="s">
        <v>88</v>
      </c>
      <c r="G145" s="47">
        <v>0</v>
      </c>
      <c r="H145" s="47">
        <v>1</v>
      </c>
      <c r="I145" s="205">
        <v>1571</v>
      </c>
      <c r="J145" s="48">
        <f t="shared" si="15"/>
        <v>100</v>
      </c>
      <c r="L145" s="178" t="s">
        <v>328</v>
      </c>
      <c r="M145" s="178" t="s">
        <v>255</v>
      </c>
    </row>
    <row r="146" spans="1:13" ht="21" customHeight="1" x14ac:dyDescent="0.15">
      <c r="A146" s="175">
        <v>49016632</v>
      </c>
      <c r="B146" s="47">
        <v>0</v>
      </c>
      <c r="C146" s="47">
        <v>822</v>
      </c>
      <c r="D146" s="47">
        <v>100</v>
      </c>
      <c r="E146" s="47" t="s">
        <v>88</v>
      </c>
      <c r="F146" s="47" t="s">
        <v>88</v>
      </c>
      <c r="G146" s="47">
        <v>0</v>
      </c>
      <c r="H146" s="47">
        <v>1</v>
      </c>
      <c r="I146" s="205">
        <v>1572</v>
      </c>
      <c r="J146" s="48">
        <f t="shared" si="15"/>
        <v>100</v>
      </c>
      <c r="L146" s="178" t="s">
        <v>328</v>
      </c>
      <c r="M146" s="178" t="s">
        <v>255</v>
      </c>
    </row>
    <row r="147" spans="1:13" ht="21" customHeight="1" x14ac:dyDescent="0.15">
      <c r="A147" s="175">
        <v>49016633</v>
      </c>
      <c r="B147" s="47">
        <v>0</v>
      </c>
      <c r="C147" s="47">
        <v>823</v>
      </c>
      <c r="D147" s="47">
        <v>100</v>
      </c>
      <c r="E147" s="47" t="s">
        <v>88</v>
      </c>
      <c r="F147" s="47" t="s">
        <v>88</v>
      </c>
      <c r="G147" s="47">
        <v>0</v>
      </c>
      <c r="H147" s="47">
        <v>1</v>
      </c>
      <c r="I147" s="205">
        <v>1573</v>
      </c>
      <c r="J147" s="48">
        <f t="shared" si="15"/>
        <v>100</v>
      </c>
      <c r="L147" s="178" t="s">
        <v>328</v>
      </c>
      <c r="M147" s="178" t="s">
        <v>255</v>
      </c>
    </row>
    <row r="148" spans="1:13" ht="21" customHeight="1" x14ac:dyDescent="0.15">
      <c r="A148" s="175">
        <v>49016634</v>
      </c>
      <c r="B148" s="47">
        <v>0</v>
      </c>
      <c r="C148" s="47">
        <v>824</v>
      </c>
      <c r="D148" s="47">
        <v>100</v>
      </c>
      <c r="E148" s="47" t="s">
        <v>88</v>
      </c>
      <c r="F148" s="47" t="s">
        <v>88</v>
      </c>
      <c r="G148" s="47">
        <v>0</v>
      </c>
      <c r="H148" s="47">
        <v>1</v>
      </c>
      <c r="I148" s="205">
        <v>1574</v>
      </c>
      <c r="J148" s="48">
        <f t="shared" si="15"/>
        <v>100</v>
      </c>
      <c r="L148" s="178" t="s">
        <v>328</v>
      </c>
      <c r="M148" s="178" t="s">
        <v>255</v>
      </c>
    </row>
    <row r="149" spans="1:13" ht="21" customHeight="1" x14ac:dyDescent="0.15">
      <c r="A149" s="175">
        <v>49016635</v>
      </c>
      <c r="B149" s="47">
        <v>0</v>
      </c>
      <c r="C149" s="47">
        <v>825</v>
      </c>
      <c r="D149" s="47">
        <v>100</v>
      </c>
      <c r="E149" s="47" t="s">
        <v>88</v>
      </c>
      <c r="F149" s="47" t="s">
        <v>88</v>
      </c>
      <c r="G149" s="47">
        <v>0</v>
      </c>
      <c r="H149" s="47">
        <v>1</v>
      </c>
      <c r="I149" s="205">
        <v>1575</v>
      </c>
      <c r="J149" s="48">
        <f t="shared" si="15"/>
        <v>100</v>
      </c>
      <c r="L149" s="178" t="s">
        <v>328</v>
      </c>
      <c r="M149" s="178" t="s">
        <v>255</v>
      </c>
    </row>
    <row r="150" spans="1:13" ht="21" customHeight="1" x14ac:dyDescent="0.15">
      <c r="A150" s="175">
        <v>49016636</v>
      </c>
      <c r="B150" s="47">
        <v>0</v>
      </c>
      <c r="C150" s="47">
        <v>826</v>
      </c>
      <c r="D150" s="47">
        <v>100</v>
      </c>
      <c r="E150" s="47" t="s">
        <v>88</v>
      </c>
      <c r="F150" s="47" t="s">
        <v>88</v>
      </c>
      <c r="G150" s="47">
        <v>0</v>
      </c>
      <c r="H150" s="47">
        <v>1</v>
      </c>
      <c r="I150" s="205">
        <v>1576</v>
      </c>
      <c r="J150" s="48">
        <f t="shared" si="15"/>
        <v>100</v>
      </c>
      <c r="L150" s="178" t="s">
        <v>328</v>
      </c>
      <c r="M150" s="178" t="s">
        <v>255</v>
      </c>
    </row>
    <row r="151" spans="1:13" ht="21" customHeight="1" x14ac:dyDescent="0.15">
      <c r="A151" s="175">
        <v>49016637</v>
      </c>
      <c r="B151" s="47">
        <v>0</v>
      </c>
      <c r="C151" s="47">
        <v>827</v>
      </c>
      <c r="D151" s="47">
        <v>100</v>
      </c>
      <c r="E151" s="47" t="s">
        <v>88</v>
      </c>
      <c r="F151" s="47" t="s">
        <v>88</v>
      </c>
      <c r="G151" s="47">
        <v>0</v>
      </c>
      <c r="H151" s="47">
        <v>1</v>
      </c>
      <c r="I151" s="205">
        <v>1577</v>
      </c>
      <c r="J151" s="48">
        <f t="shared" si="15"/>
        <v>100</v>
      </c>
      <c r="L151" s="178" t="s">
        <v>328</v>
      </c>
      <c r="M151" s="178" t="s">
        <v>255</v>
      </c>
    </row>
    <row r="152" spans="1:13" ht="21" customHeight="1" x14ac:dyDescent="0.15">
      <c r="A152" s="175">
        <v>49016638</v>
      </c>
      <c r="B152" s="47">
        <v>0</v>
      </c>
      <c r="C152" s="47">
        <v>828</v>
      </c>
      <c r="D152" s="47">
        <v>100</v>
      </c>
      <c r="E152" s="47" t="s">
        <v>88</v>
      </c>
      <c r="F152" s="47" t="s">
        <v>88</v>
      </c>
      <c r="G152" s="47">
        <v>0</v>
      </c>
      <c r="H152" s="47">
        <v>1</v>
      </c>
      <c r="I152" s="205">
        <v>1578</v>
      </c>
      <c r="J152" s="48">
        <f t="shared" si="15"/>
        <v>100</v>
      </c>
      <c r="L152" s="178" t="s">
        <v>328</v>
      </c>
      <c r="M152" s="178" t="s">
        <v>255</v>
      </c>
    </row>
    <row r="153" spans="1:13" ht="21" customHeight="1" x14ac:dyDescent="0.15">
      <c r="A153" s="175">
        <v>49016639</v>
      </c>
      <c r="B153" s="47">
        <v>0</v>
      </c>
      <c r="C153" s="47">
        <v>829</v>
      </c>
      <c r="D153" s="47">
        <v>100</v>
      </c>
      <c r="E153" s="47" t="s">
        <v>88</v>
      </c>
      <c r="F153" s="47" t="s">
        <v>88</v>
      </c>
      <c r="G153" s="47">
        <v>0</v>
      </c>
      <c r="H153" s="47">
        <v>1</v>
      </c>
      <c r="I153" s="205">
        <v>1579</v>
      </c>
      <c r="J153" s="48">
        <f t="shared" si="15"/>
        <v>100</v>
      </c>
      <c r="L153" s="178" t="s">
        <v>328</v>
      </c>
      <c r="M153" s="178" t="s">
        <v>255</v>
      </c>
    </row>
    <row r="154" spans="1:13" ht="21" customHeight="1" x14ac:dyDescent="0.15">
      <c r="A154" s="175">
        <v>49016640</v>
      </c>
      <c r="B154" s="47">
        <v>0</v>
      </c>
      <c r="C154" s="47">
        <v>830</v>
      </c>
      <c r="D154" s="47">
        <v>100</v>
      </c>
      <c r="E154" s="47" t="s">
        <v>88</v>
      </c>
      <c r="F154" s="47" t="s">
        <v>88</v>
      </c>
      <c r="G154" s="47">
        <v>0</v>
      </c>
      <c r="H154" s="47">
        <v>1</v>
      </c>
      <c r="I154" s="205">
        <v>1580</v>
      </c>
      <c r="J154" s="48">
        <f t="shared" si="15"/>
        <v>100</v>
      </c>
      <c r="L154" s="178" t="s">
        <v>328</v>
      </c>
      <c r="M154" s="178" t="s">
        <v>255</v>
      </c>
    </row>
    <row r="155" spans="1:13" ht="21" customHeight="1" x14ac:dyDescent="0.15">
      <c r="A155" s="175">
        <v>49016641</v>
      </c>
      <c r="B155" s="47">
        <v>0</v>
      </c>
      <c r="C155" s="47">
        <v>831</v>
      </c>
      <c r="D155" s="47">
        <v>100</v>
      </c>
      <c r="E155" s="47" t="s">
        <v>88</v>
      </c>
      <c r="F155" s="47" t="s">
        <v>88</v>
      </c>
      <c r="G155" s="47">
        <v>0</v>
      </c>
      <c r="H155" s="47">
        <v>1</v>
      </c>
      <c r="I155" s="205">
        <v>1581</v>
      </c>
      <c r="J155" s="48">
        <f t="shared" si="15"/>
        <v>100</v>
      </c>
      <c r="L155" s="178" t="s">
        <v>328</v>
      </c>
      <c r="M155" s="178" t="s">
        <v>255</v>
      </c>
    </row>
    <row r="156" spans="1:13" ht="21" customHeight="1" x14ac:dyDescent="0.15">
      <c r="A156" s="175">
        <v>49016642</v>
      </c>
      <c r="B156" s="47">
        <v>0</v>
      </c>
      <c r="C156" s="47">
        <v>832</v>
      </c>
      <c r="D156" s="47">
        <v>100</v>
      </c>
      <c r="E156" s="47" t="s">
        <v>88</v>
      </c>
      <c r="F156" s="47" t="s">
        <v>88</v>
      </c>
      <c r="G156" s="47">
        <v>0</v>
      </c>
      <c r="H156" s="47">
        <v>1</v>
      </c>
      <c r="I156" s="205">
        <v>1582</v>
      </c>
      <c r="J156" s="48">
        <f t="shared" si="15"/>
        <v>100</v>
      </c>
      <c r="L156" s="178" t="s">
        <v>328</v>
      </c>
      <c r="M156" s="178" t="s">
        <v>255</v>
      </c>
    </row>
    <row r="157" spans="1:13" ht="21" customHeight="1" x14ac:dyDescent="0.15">
      <c r="A157" s="175">
        <v>49016643</v>
      </c>
      <c r="B157" s="47">
        <v>0</v>
      </c>
      <c r="C157" s="47">
        <v>833</v>
      </c>
      <c r="D157" s="47">
        <v>100</v>
      </c>
      <c r="E157" s="47" t="s">
        <v>88</v>
      </c>
      <c r="F157" s="47" t="s">
        <v>88</v>
      </c>
      <c r="G157" s="47">
        <v>0</v>
      </c>
      <c r="H157" s="47">
        <v>1</v>
      </c>
      <c r="I157" s="205">
        <v>1583</v>
      </c>
      <c r="J157" s="48">
        <f t="shared" si="15"/>
        <v>100</v>
      </c>
      <c r="L157" s="178" t="s">
        <v>328</v>
      </c>
      <c r="M157" s="178" t="s">
        <v>255</v>
      </c>
    </row>
    <row r="158" spans="1:13" ht="21" customHeight="1" x14ac:dyDescent="0.15">
      <c r="A158" s="175">
        <v>49016644</v>
      </c>
      <c r="B158" s="47">
        <v>0</v>
      </c>
      <c r="C158" s="47">
        <v>834</v>
      </c>
      <c r="D158" s="47">
        <v>100</v>
      </c>
      <c r="E158" s="47" t="s">
        <v>88</v>
      </c>
      <c r="F158" s="47" t="s">
        <v>88</v>
      </c>
      <c r="G158" s="47">
        <v>0</v>
      </c>
      <c r="H158" s="47">
        <v>1</v>
      </c>
      <c r="I158" s="205">
        <v>1584</v>
      </c>
      <c r="J158" s="48">
        <f t="shared" si="15"/>
        <v>100</v>
      </c>
      <c r="L158" s="178" t="s">
        <v>328</v>
      </c>
      <c r="M158" s="178" t="s">
        <v>255</v>
      </c>
    </row>
    <row r="159" spans="1:13" ht="21" customHeight="1" x14ac:dyDescent="0.15">
      <c r="A159" s="175">
        <v>49016645</v>
      </c>
      <c r="B159" s="47">
        <v>0</v>
      </c>
      <c r="C159" s="47">
        <v>835</v>
      </c>
      <c r="D159" s="47">
        <v>100</v>
      </c>
      <c r="E159" s="47" t="s">
        <v>88</v>
      </c>
      <c r="F159" s="47" t="s">
        <v>88</v>
      </c>
      <c r="G159" s="47">
        <v>0</v>
      </c>
      <c r="H159" s="47">
        <v>1</v>
      </c>
      <c r="I159" s="205">
        <v>1585</v>
      </c>
      <c r="J159" s="48">
        <f t="shared" si="15"/>
        <v>100</v>
      </c>
      <c r="L159" s="178" t="s">
        <v>328</v>
      </c>
      <c r="M159" s="178" t="s">
        <v>255</v>
      </c>
    </row>
    <row r="160" spans="1:13" ht="21" customHeight="1" x14ac:dyDescent="0.15">
      <c r="A160" s="175">
        <v>49016646</v>
      </c>
      <c r="B160" s="47">
        <v>0</v>
      </c>
      <c r="C160" s="47">
        <v>836</v>
      </c>
      <c r="D160" s="47">
        <v>100</v>
      </c>
      <c r="E160" s="47" t="s">
        <v>88</v>
      </c>
      <c r="F160" s="47" t="s">
        <v>88</v>
      </c>
      <c r="G160" s="47">
        <v>0</v>
      </c>
      <c r="H160" s="47">
        <v>1</v>
      </c>
      <c r="I160" s="205">
        <v>1586</v>
      </c>
      <c r="J160" s="48">
        <f t="shared" si="15"/>
        <v>100</v>
      </c>
      <c r="L160" s="178" t="s">
        <v>328</v>
      </c>
      <c r="M160" s="178" t="s">
        <v>255</v>
      </c>
    </row>
    <row r="161" spans="1:17" ht="21" customHeight="1" x14ac:dyDescent="0.15">
      <c r="A161" s="175">
        <v>49016647</v>
      </c>
      <c r="B161" s="47">
        <v>0</v>
      </c>
      <c r="C161" s="47">
        <v>837</v>
      </c>
      <c r="D161" s="47">
        <v>100</v>
      </c>
      <c r="E161" s="47" t="s">
        <v>88</v>
      </c>
      <c r="F161" s="47" t="s">
        <v>88</v>
      </c>
      <c r="G161" s="47">
        <v>0</v>
      </c>
      <c r="H161" s="47">
        <v>1</v>
      </c>
      <c r="I161" s="205">
        <v>1587</v>
      </c>
      <c r="J161" s="48">
        <f t="shared" si="15"/>
        <v>100</v>
      </c>
      <c r="L161" s="178" t="s">
        <v>328</v>
      </c>
      <c r="M161" s="178" t="s">
        <v>255</v>
      </c>
    </row>
    <row r="162" spans="1:17" ht="21" customHeight="1" thickBot="1" x14ac:dyDescent="0.2">
      <c r="A162" s="175">
        <v>49016648</v>
      </c>
      <c r="B162" s="186">
        <v>0</v>
      </c>
      <c r="C162" s="47">
        <v>838</v>
      </c>
      <c r="D162" s="186">
        <v>100</v>
      </c>
      <c r="E162" s="186" t="s">
        <v>88</v>
      </c>
      <c r="F162" s="186" t="s">
        <v>88</v>
      </c>
      <c r="G162" s="186">
        <v>0</v>
      </c>
      <c r="H162" s="186">
        <v>1</v>
      </c>
      <c r="I162" s="205">
        <v>1588</v>
      </c>
      <c r="J162" s="185">
        <f t="shared" si="15"/>
        <v>100</v>
      </c>
      <c r="K162" s="181"/>
      <c r="L162" s="189" t="s">
        <v>328</v>
      </c>
      <c r="M162" s="189" t="s">
        <v>255</v>
      </c>
    </row>
    <row r="163" spans="1:17" ht="21" customHeight="1" x14ac:dyDescent="0.15">
      <c r="A163" s="200">
        <v>49016971</v>
      </c>
      <c r="B163" s="204">
        <v>0</v>
      </c>
      <c r="C163" s="204">
        <v>200</v>
      </c>
      <c r="D163" s="204">
        <v>100</v>
      </c>
      <c r="E163" s="204" t="s">
        <v>88</v>
      </c>
      <c r="F163" s="204" t="s">
        <v>88</v>
      </c>
      <c r="G163" s="204" t="s">
        <v>88</v>
      </c>
      <c r="H163" s="204">
        <v>3</v>
      </c>
      <c r="I163" s="204" t="s">
        <v>88</v>
      </c>
      <c r="J163" s="197">
        <f t="shared" si="13"/>
        <v>100</v>
      </c>
      <c r="L163" s="203" t="s">
        <v>299</v>
      </c>
      <c r="M163" s="203" t="s">
        <v>259</v>
      </c>
      <c r="N163" s="105">
        <v>49016002</v>
      </c>
    </row>
    <row r="164" spans="1:17" ht="21" customHeight="1" x14ac:dyDescent="0.15">
      <c r="A164" s="108">
        <v>49016972</v>
      </c>
      <c r="B164" s="126">
        <v>0</v>
      </c>
      <c r="C164" s="126">
        <v>200</v>
      </c>
      <c r="D164" s="126">
        <v>100</v>
      </c>
      <c r="E164" s="126" t="s">
        <v>88</v>
      </c>
      <c r="F164" s="126" t="s">
        <v>88</v>
      </c>
      <c r="G164" s="126" t="s">
        <v>88</v>
      </c>
      <c r="H164" s="126">
        <v>3</v>
      </c>
      <c r="I164" s="126" t="s">
        <v>88</v>
      </c>
      <c r="J164" s="48">
        <f t="shared" si="13"/>
        <v>100</v>
      </c>
      <c r="L164" s="110" t="s">
        <v>299</v>
      </c>
      <c r="M164" s="110" t="s">
        <v>260</v>
      </c>
      <c r="N164" s="108">
        <v>49016102</v>
      </c>
      <c r="O164" s="49"/>
      <c r="P164" s="49"/>
      <c r="Q164" s="49"/>
    </row>
    <row r="165" spans="1:17" ht="21" customHeight="1" x14ac:dyDescent="0.15">
      <c r="A165" s="114">
        <v>49016973</v>
      </c>
      <c r="B165" s="126">
        <v>0</v>
      </c>
      <c r="C165" s="126">
        <v>100</v>
      </c>
      <c r="D165" s="126">
        <v>100</v>
      </c>
      <c r="E165" s="126" t="s">
        <v>88</v>
      </c>
      <c r="F165" s="126" t="s">
        <v>88</v>
      </c>
      <c r="G165" s="126" t="s">
        <v>88</v>
      </c>
      <c r="H165" s="126">
        <v>1</v>
      </c>
      <c r="I165" s="126" t="s">
        <v>88</v>
      </c>
      <c r="J165" s="48">
        <f t="shared" si="13"/>
        <v>100</v>
      </c>
      <c r="L165" s="116" t="s">
        <v>305</v>
      </c>
      <c r="M165" s="116" t="s">
        <v>264</v>
      </c>
      <c r="N165" s="114">
        <v>49016201</v>
      </c>
      <c r="O165" s="49"/>
      <c r="P165" s="180"/>
    </row>
    <row r="166" spans="1:17" ht="21" customHeight="1" x14ac:dyDescent="0.15">
      <c r="A166" s="114">
        <v>49016974</v>
      </c>
      <c r="B166" s="126">
        <v>0</v>
      </c>
      <c r="C166" s="126">
        <v>250</v>
      </c>
      <c r="D166" s="126">
        <v>100</v>
      </c>
      <c r="E166" s="126">
        <v>40</v>
      </c>
      <c r="F166" s="126" t="s">
        <v>88</v>
      </c>
      <c r="G166" s="126">
        <v>1</v>
      </c>
      <c r="H166" s="126">
        <v>1</v>
      </c>
      <c r="I166" s="126" t="s">
        <v>88</v>
      </c>
      <c r="J166" s="48">
        <f t="shared" si="13"/>
        <v>100</v>
      </c>
      <c r="L166" s="116" t="s">
        <v>316</v>
      </c>
      <c r="M166" s="116" t="s">
        <v>267</v>
      </c>
      <c r="N166" s="114">
        <v>49016204</v>
      </c>
      <c r="O166" s="49"/>
      <c r="P166" s="180"/>
    </row>
    <row r="167" spans="1:17" ht="21" customHeight="1" x14ac:dyDescent="0.15">
      <c r="A167" s="117">
        <v>49016975</v>
      </c>
      <c r="B167" s="126">
        <v>0</v>
      </c>
      <c r="C167" s="126">
        <v>100</v>
      </c>
      <c r="D167" s="126">
        <v>100</v>
      </c>
      <c r="E167" s="126" t="s">
        <v>88</v>
      </c>
      <c r="F167" s="126" t="s">
        <v>88</v>
      </c>
      <c r="G167" s="126" t="s">
        <v>88</v>
      </c>
      <c r="H167" s="126">
        <v>1</v>
      </c>
      <c r="I167" s="126" t="s">
        <v>88</v>
      </c>
      <c r="J167" s="48">
        <f t="shared" si="13"/>
        <v>100</v>
      </c>
      <c r="L167" s="119" t="s">
        <v>305</v>
      </c>
      <c r="M167" s="119" t="s">
        <v>264</v>
      </c>
      <c r="N167" s="117">
        <v>49016301</v>
      </c>
    </row>
    <row r="168" spans="1:17" ht="21" customHeight="1" x14ac:dyDescent="0.15">
      <c r="A168" s="117">
        <v>49016976</v>
      </c>
      <c r="B168" s="126">
        <v>0</v>
      </c>
      <c r="C168" s="126">
        <v>200</v>
      </c>
      <c r="D168" s="126">
        <v>100</v>
      </c>
      <c r="E168" s="126" t="s">
        <v>88</v>
      </c>
      <c r="F168" s="126" t="s">
        <v>88</v>
      </c>
      <c r="G168" s="126" t="s">
        <v>88</v>
      </c>
      <c r="H168" s="126">
        <v>2</v>
      </c>
      <c r="I168" s="126" t="s">
        <v>88</v>
      </c>
      <c r="J168" s="48">
        <f t="shared" si="13"/>
        <v>100</v>
      </c>
      <c r="L168" s="119" t="s">
        <v>306</v>
      </c>
      <c r="M168" s="119" t="s">
        <v>268</v>
      </c>
      <c r="N168" s="117">
        <v>49016302</v>
      </c>
    </row>
    <row r="169" spans="1:17" ht="21" customHeight="1" x14ac:dyDescent="0.15">
      <c r="A169" s="117">
        <v>49016977</v>
      </c>
      <c r="B169" s="126">
        <v>0</v>
      </c>
      <c r="C169" s="126">
        <v>300</v>
      </c>
      <c r="D169" s="126">
        <v>100</v>
      </c>
      <c r="E169" s="126" t="s">
        <v>88</v>
      </c>
      <c r="F169" s="126" t="s">
        <v>88</v>
      </c>
      <c r="G169" s="126">
        <v>1</v>
      </c>
      <c r="H169" s="126">
        <v>3</v>
      </c>
      <c r="I169" s="126" t="s">
        <v>88</v>
      </c>
      <c r="J169" s="48">
        <f t="shared" si="13"/>
        <v>100</v>
      </c>
      <c r="L169" s="119" t="s">
        <v>310</v>
      </c>
      <c r="M169" s="119" t="s">
        <v>269</v>
      </c>
      <c r="N169" s="117">
        <v>49016303</v>
      </c>
    </row>
    <row r="170" spans="1:17" ht="21" customHeight="1" x14ac:dyDescent="0.15">
      <c r="A170" s="111">
        <v>49016978</v>
      </c>
      <c r="B170" s="126">
        <v>0</v>
      </c>
      <c r="C170" s="126">
        <v>200</v>
      </c>
      <c r="D170" s="126">
        <v>100</v>
      </c>
      <c r="E170" s="126" t="s">
        <v>88</v>
      </c>
      <c r="F170" s="126" t="s">
        <v>88</v>
      </c>
      <c r="G170" s="126" t="s">
        <v>88</v>
      </c>
      <c r="H170" s="126">
        <v>2</v>
      </c>
      <c r="I170" s="126" t="s">
        <v>88</v>
      </c>
      <c r="J170" s="48">
        <f t="shared" si="13"/>
        <v>100</v>
      </c>
      <c r="L170" s="113" t="s">
        <v>314</v>
      </c>
      <c r="M170" s="113" t="s">
        <v>273</v>
      </c>
      <c r="N170" s="111">
        <v>49016402</v>
      </c>
    </row>
    <row r="171" spans="1:17" ht="21" customHeight="1" x14ac:dyDescent="0.15">
      <c r="A171" s="111">
        <v>49016979</v>
      </c>
      <c r="B171" s="126">
        <v>0</v>
      </c>
      <c r="C171" s="126">
        <v>300</v>
      </c>
      <c r="D171" s="126">
        <v>100</v>
      </c>
      <c r="E171" s="126" t="s">
        <v>88</v>
      </c>
      <c r="F171" s="126" t="s">
        <v>88</v>
      </c>
      <c r="G171" s="126" t="s">
        <v>88</v>
      </c>
      <c r="H171" s="126">
        <v>3</v>
      </c>
      <c r="I171" s="126" t="s">
        <v>88</v>
      </c>
      <c r="J171" s="48">
        <f t="shared" si="13"/>
        <v>100</v>
      </c>
      <c r="L171" s="113" t="s">
        <v>315</v>
      </c>
      <c r="M171" s="113" t="s">
        <v>274</v>
      </c>
      <c r="N171" s="111">
        <v>49016403</v>
      </c>
    </row>
    <row r="172" spans="1:17" ht="21" customHeight="1" x14ac:dyDescent="0.15">
      <c r="A172" s="120">
        <v>49016980</v>
      </c>
      <c r="B172" s="126">
        <v>1</v>
      </c>
      <c r="C172" s="126" t="s">
        <v>88</v>
      </c>
      <c r="D172" s="126">
        <v>100</v>
      </c>
      <c r="E172" s="126" t="s">
        <v>88</v>
      </c>
      <c r="F172" s="126" t="s">
        <v>88</v>
      </c>
      <c r="G172" s="126">
        <v>1</v>
      </c>
      <c r="H172" s="126">
        <v>1</v>
      </c>
      <c r="I172" s="126" t="s">
        <v>88</v>
      </c>
      <c r="J172" s="48">
        <f t="shared" si="13"/>
        <v>100</v>
      </c>
      <c r="L172" s="122" t="s">
        <v>319</v>
      </c>
      <c r="M172" s="122" t="s">
        <v>277</v>
      </c>
      <c r="N172" s="120">
        <v>49016500</v>
      </c>
    </row>
    <row r="173" spans="1:17" ht="21" customHeight="1" x14ac:dyDescent="0.15">
      <c r="A173" s="120">
        <v>49016981</v>
      </c>
      <c r="B173" s="126">
        <v>0</v>
      </c>
      <c r="C173" s="126">
        <v>300</v>
      </c>
      <c r="D173" s="126">
        <v>100</v>
      </c>
      <c r="E173" s="126" t="s">
        <v>88</v>
      </c>
      <c r="F173" s="126" t="s">
        <v>88</v>
      </c>
      <c r="G173" s="126" t="s">
        <v>88</v>
      </c>
      <c r="H173" s="126">
        <v>3</v>
      </c>
      <c r="I173" s="126" t="s">
        <v>88</v>
      </c>
      <c r="J173" s="48">
        <f t="shared" si="13"/>
        <v>100</v>
      </c>
      <c r="L173" s="122" t="s">
        <v>315</v>
      </c>
      <c r="M173" s="122" t="s">
        <v>280</v>
      </c>
      <c r="N173" s="120">
        <v>49016503</v>
      </c>
    </row>
    <row r="174" spans="1:17" ht="21" customHeight="1" x14ac:dyDescent="0.15">
      <c r="A174" s="123">
        <v>49016982</v>
      </c>
      <c r="B174" s="126">
        <v>0</v>
      </c>
      <c r="C174" s="126">
        <v>200</v>
      </c>
      <c r="D174" s="126">
        <v>100</v>
      </c>
      <c r="E174" s="126" t="s">
        <v>88</v>
      </c>
      <c r="F174" s="126" t="s">
        <v>88</v>
      </c>
      <c r="G174" s="126" t="s">
        <v>88</v>
      </c>
      <c r="H174" s="126">
        <v>2</v>
      </c>
      <c r="I174" s="126" t="s">
        <v>88</v>
      </c>
      <c r="J174" s="48">
        <f t="shared" si="13"/>
        <v>100</v>
      </c>
      <c r="L174" s="125" t="s">
        <v>314</v>
      </c>
      <c r="M174" s="125" t="s">
        <v>280</v>
      </c>
      <c r="N174" s="123">
        <v>49016602</v>
      </c>
    </row>
    <row r="175" spans="1:17" ht="21" customHeight="1" x14ac:dyDescent="0.15">
      <c r="G175" s="45"/>
      <c r="H175" s="45"/>
      <c r="I175" s="45"/>
    </row>
    <row r="176" spans="1:17" ht="21" customHeight="1" x14ac:dyDescent="0.15">
      <c r="G176" s="45"/>
      <c r="H176" s="45"/>
      <c r="I176" s="45"/>
    </row>
    <row r="177" spans="7:9" ht="21" customHeight="1" x14ac:dyDescent="0.15">
      <c r="G177" s="45"/>
      <c r="H177" s="45"/>
      <c r="I177" s="45"/>
    </row>
    <row r="178" spans="7:9" ht="21" customHeight="1" x14ac:dyDescent="0.15">
      <c r="G178" s="45"/>
      <c r="H178" s="45"/>
      <c r="I178" s="45"/>
    </row>
    <row r="179" spans="7:9" ht="21" customHeight="1" x14ac:dyDescent="0.15">
      <c r="G179" s="45"/>
      <c r="H179" s="45"/>
      <c r="I179" s="45"/>
    </row>
    <row r="180" spans="7:9" ht="21" customHeight="1" x14ac:dyDescent="0.15">
      <c r="G180" s="45"/>
      <c r="H180" s="45"/>
      <c r="I180" s="45"/>
    </row>
    <row r="181" spans="7:9" ht="21" customHeight="1" x14ac:dyDescent="0.15">
      <c r="G181" s="45"/>
      <c r="H181" s="45"/>
      <c r="I181" s="45"/>
    </row>
    <row r="182" spans="7:9" ht="21" customHeight="1" x14ac:dyDescent="0.15">
      <c r="G182" s="45"/>
      <c r="H182" s="45"/>
      <c r="I182" s="45"/>
    </row>
    <row r="183" spans="7:9" ht="21" customHeight="1" x14ac:dyDescent="0.15">
      <c r="G183" s="45"/>
      <c r="H183" s="45"/>
      <c r="I183" s="45"/>
    </row>
    <row r="184" spans="7:9" ht="21" customHeight="1" x14ac:dyDescent="0.15">
      <c r="G184" s="45"/>
      <c r="H184" s="45"/>
      <c r="I184" s="45"/>
    </row>
    <row r="185" spans="7:9" ht="21" customHeight="1" x14ac:dyDescent="0.15">
      <c r="G185" s="45"/>
      <c r="H185" s="45"/>
      <c r="I185" s="45"/>
    </row>
    <row r="186" spans="7:9" ht="21" customHeight="1" x14ac:dyDescent="0.15">
      <c r="G186" s="45"/>
      <c r="H186" s="45"/>
      <c r="I186" s="45"/>
    </row>
    <row r="187" spans="7:9" ht="21" customHeight="1" x14ac:dyDescent="0.15">
      <c r="G187" s="45"/>
      <c r="H187" s="45"/>
      <c r="I187" s="45"/>
    </row>
    <row r="188" spans="7:9" ht="21" customHeight="1" x14ac:dyDescent="0.15">
      <c r="G188" s="45"/>
      <c r="H188" s="45"/>
      <c r="I188" s="45"/>
    </row>
    <row r="189" spans="7:9" ht="21" customHeight="1" x14ac:dyDescent="0.15">
      <c r="I189" s="45"/>
    </row>
  </sheetData>
  <autoFilter ref="A1:G1"/>
  <mergeCells count="1">
    <mergeCell ref="O25:Q25"/>
  </mergeCells>
  <phoneticPr fontId="5"/>
  <conditionalFormatting sqref="K175:K1048576 K1:K2">
    <cfRule type="duplicateValues" dxfId="59" priority="61"/>
  </conditionalFormatting>
  <conditionalFormatting sqref="K6">
    <cfRule type="duplicateValues" dxfId="58" priority="60"/>
  </conditionalFormatting>
  <conditionalFormatting sqref="K7">
    <cfRule type="duplicateValues" dxfId="57" priority="59"/>
  </conditionalFormatting>
  <conditionalFormatting sqref="K8">
    <cfRule type="duplicateValues" dxfId="56" priority="58"/>
  </conditionalFormatting>
  <conditionalFormatting sqref="K33">
    <cfRule type="duplicateValues" dxfId="55" priority="57"/>
  </conditionalFormatting>
  <conditionalFormatting sqref="K34">
    <cfRule type="duplicateValues" dxfId="54" priority="56"/>
  </conditionalFormatting>
  <conditionalFormatting sqref="K35">
    <cfRule type="duplicateValues" dxfId="53" priority="55"/>
  </conditionalFormatting>
  <conditionalFormatting sqref="K36">
    <cfRule type="duplicateValues" dxfId="52" priority="54"/>
  </conditionalFormatting>
  <conditionalFormatting sqref="K42">
    <cfRule type="duplicateValues" dxfId="51" priority="53"/>
  </conditionalFormatting>
  <conditionalFormatting sqref="K44">
    <cfRule type="duplicateValues" dxfId="50" priority="52"/>
  </conditionalFormatting>
  <conditionalFormatting sqref="K45">
    <cfRule type="duplicateValues" dxfId="49" priority="51"/>
  </conditionalFormatting>
  <conditionalFormatting sqref="K46">
    <cfRule type="duplicateValues" dxfId="48" priority="50"/>
  </conditionalFormatting>
  <conditionalFormatting sqref="K47">
    <cfRule type="duplicateValues" dxfId="47" priority="49"/>
  </conditionalFormatting>
  <conditionalFormatting sqref="K48">
    <cfRule type="duplicateValues" dxfId="46" priority="48"/>
  </conditionalFormatting>
  <conditionalFormatting sqref="K72">
    <cfRule type="duplicateValues" dxfId="45" priority="47"/>
  </conditionalFormatting>
  <conditionalFormatting sqref="K73">
    <cfRule type="duplicateValues" dxfId="44" priority="46"/>
  </conditionalFormatting>
  <conditionalFormatting sqref="K74">
    <cfRule type="duplicateValues" dxfId="43" priority="45"/>
  </conditionalFormatting>
  <conditionalFormatting sqref="K75">
    <cfRule type="duplicateValues" dxfId="42" priority="44"/>
  </conditionalFormatting>
  <conditionalFormatting sqref="K79">
    <cfRule type="duplicateValues" dxfId="41" priority="43"/>
  </conditionalFormatting>
  <conditionalFormatting sqref="K108">
    <cfRule type="duplicateValues" dxfId="40" priority="42"/>
  </conditionalFormatting>
  <conditionalFormatting sqref="K109">
    <cfRule type="duplicateValues" dxfId="39" priority="41"/>
  </conditionalFormatting>
  <conditionalFormatting sqref="K110">
    <cfRule type="duplicateValues" dxfId="38" priority="40"/>
  </conditionalFormatting>
  <conditionalFormatting sqref="K111">
    <cfRule type="duplicateValues" dxfId="37" priority="39"/>
  </conditionalFormatting>
  <conditionalFormatting sqref="K112">
    <cfRule type="duplicateValues" dxfId="36" priority="38"/>
  </conditionalFormatting>
  <conditionalFormatting sqref="K113">
    <cfRule type="duplicateValues" dxfId="35" priority="37"/>
  </conditionalFormatting>
  <conditionalFormatting sqref="K114">
    <cfRule type="duplicateValues" dxfId="34" priority="36"/>
  </conditionalFormatting>
  <conditionalFormatting sqref="K115">
    <cfRule type="duplicateValues" dxfId="33" priority="35"/>
  </conditionalFormatting>
  <conditionalFormatting sqref="K116">
    <cfRule type="duplicateValues" dxfId="32" priority="34"/>
  </conditionalFormatting>
  <conditionalFormatting sqref="K117">
    <cfRule type="duplicateValues" dxfId="31" priority="33"/>
  </conditionalFormatting>
  <conditionalFormatting sqref="K118">
    <cfRule type="duplicateValues" dxfId="30" priority="32"/>
  </conditionalFormatting>
  <conditionalFormatting sqref="K119">
    <cfRule type="duplicateValues" dxfId="29" priority="31"/>
  </conditionalFormatting>
  <conditionalFormatting sqref="K120">
    <cfRule type="duplicateValues" dxfId="28" priority="30"/>
  </conditionalFormatting>
  <conditionalFormatting sqref="K121">
    <cfRule type="duplicateValues" dxfId="27" priority="29"/>
  </conditionalFormatting>
  <conditionalFormatting sqref="K122">
    <cfRule type="duplicateValues" dxfId="26" priority="28"/>
  </conditionalFormatting>
  <conditionalFormatting sqref="K123">
    <cfRule type="duplicateValues" dxfId="25" priority="27"/>
  </conditionalFormatting>
  <conditionalFormatting sqref="K37">
    <cfRule type="duplicateValues" dxfId="24" priority="23"/>
  </conditionalFormatting>
  <conditionalFormatting sqref="K40:K41">
    <cfRule type="duplicateValues" dxfId="23" priority="22"/>
  </conditionalFormatting>
  <conditionalFormatting sqref="K76 K78">
    <cfRule type="duplicateValues" dxfId="22" priority="21"/>
  </conditionalFormatting>
  <conditionalFormatting sqref="K77">
    <cfRule type="duplicateValues" dxfId="21" priority="19"/>
  </conditionalFormatting>
  <conditionalFormatting sqref="K38:K39">
    <cfRule type="duplicateValues" dxfId="20" priority="18"/>
  </conditionalFormatting>
  <conditionalFormatting sqref="K9:K32">
    <cfRule type="duplicateValues" dxfId="19" priority="63"/>
  </conditionalFormatting>
  <conditionalFormatting sqref="K49:K71">
    <cfRule type="duplicateValues" dxfId="18" priority="65"/>
  </conditionalFormatting>
  <conditionalFormatting sqref="K80:K107">
    <cfRule type="duplicateValues" dxfId="17" priority="67"/>
  </conditionalFormatting>
  <conditionalFormatting sqref="K43">
    <cfRule type="duplicateValues" dxfId="16" priority="17"/>
  </conditionalFormatting>
  <conditionalFormatting sqref="K3:K5">
    <cfRule type="duplicateValues" dxfId="15" priority="16"/>
  </conditionalFormatting>
  <conditionalFormatting sqref="K163">
    <cfRule type="duplicateValues" dxfId="14" priority="14"/>
  </conditionalFormatting>
  <conditionalFormatting sqref="K164">
    <cfRule type="duplicateValues" dxfId="13" priority="13"/>
  </conditionalFormatting>
  <conditionalFormatting sqref="K165">
    <cfRule type="duplicateValues" dxfId="12" priority="12"/>
  </conditionalFormatting>
  <conditionalFormatting sqref="K166">
    <cfRule type="duplicateValues" dxfId="11" priority="11"/>
  </conditionalFormatting>
  <conditionalFormatting sqref="K167">
    <cfRule type="duplicateValues" dxfId="10" priority="10"/>
  </conditionalFormatting>
  <conditionalFormatting sqref="K168">
    <cfRule type="duplicateValues" dxfId="9" priority="9"/>
  </conditionalFormatting>
  <conditionalFormatting sqref="K169">
    <cfRule type="duplicateValues" dxfId="8" priority="8"/>
  </conditionalFormatting>
  <conditionalFormatting sqref="K170">
    <cfRule type="duplicateValues" dxfId="7" priority="7"/>
  </conditionalFormatting>
  <conditionalFormatting sqref="K171">
    <cfRule type="duplicateValues" dxfId="6" priority="6"/>
  </conditionalFormatting>
  <conditionalFormatting sqref="K172">
    <cfRule type="duplicateValues" dxfId="5" priority="5"/>
  </conditionalFormatting>
  <conditionalFormatting sqref="K173">
    <cfRule type="duplicateValues" dxfId="4" priority="4"/>
  </conditionalFormatting>
  <conditionalFormatting sqref="K174">
    <cfRule type="duplicateValues" dxfId="3" priority="3"/>
  </conditionalFormatting>
  <conditionalFormatting sqref="K142:K162">
    <cfRule type="duplicateValues" dxfId="2" priority="2"/>
  </conditionalFormatting>
  <conditionalFormatting sqref="K124:K125">
    <cfRule type="duplicateValues" dxfId="1" priority="69"/>
  </conditionalFormatting>
  <conditionalFormatting sqref="K126:K141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/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150</v>
      </c>
      <c r="B1" s="63" t="s">
        <v>151</v>
      </c>
      <c r="C1" s="64" t="s">
        <v>152</v>
      </c>
      <c r="D1" s="70" t="s">
        <v>153</v>
      </c>
      <c r="E1" s="65" t="s">
        <v>154</v>
      </c>
      <c r="F1" s="63" t="s">
        <v>155</v>
      </c>
      <c r="G1" s="63" t="s">
        <v>156</v>
      </c>
      <c r="H1" s="63" t="s">
        <v>157</v>
      </c>
      <c r="I1" s="63" t="s">
        <v>158</v>
      </c>
      <c r="J1" s="63" t="s">
        <v>159</v>
      </c>
      <c r="K1" s="63" t="s">
        <v>160</v>
      </c>
      <c r="L1" s="63" t="s">
        <v>161</v>
      </c>
      <c r="M1" s="63" t="s">
        <v>162</v>
      </c>
      <c r="N1" s="63" t="s">
        <v>163</v>
      </c>
      <c r="O1" s="63" t="s">
        <v>164</v>
      </c>
      <c r="P1" s="63" t="s">
        <v>165</v>
      </c>
      <c r="Q1" s="63" t="s">
        <v>166</v>
      </c>
      <c r="R1" s="63" t="s">
        <v>167</v>
      </c>
    </row>
    <row r="2" spans="1:18" x14ac:dyDescent="0.15">
      <c r="A2" s="56">
        <v>49016</v>
      </c>
      <c r="B2" s="56">
        <v>2</v>
      </c>
      <c r="C2" s="69" t="str">
        <f>A2&amp; "_"&amp;B2</f>
        <v>49016_2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7">
        <v>1</v>
      </c>
      <c r="F2" s="57" t="s">
        <v>226</v>
      </c>
      <c r="G2" s="57">
        <v>1581</v>
      </c>
      <c r="H2" s="57">
        <v>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500</v>
      </c>
      <c r="Q2" s="56" t="s">
        <v>169</v>
      </c>
      <c r="R2" s="56" t="s">
        <v>170</v>
      </c>
    </row>
    <row r="3" spans="1:18" x14ac:dyDescent="0.15">
      <c r="A3" s="56">
        <v>49016</v>
      </c>
      <c r="B3" s="56">
        <v>2</v>
      </c>
      <c r="C3" s="69" t="str">
        <f t="shared" ref="C3:C8" si="0">A3&amp; "_"&amp;B3</f>
        <v>49016_2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226</v>
      </c>
      <c r="G3" s="57">
        <v>334</v>
      </c>
      <c r="H3" s="57">
        <v>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50</v>
      </c>
      <c r="Q3" s="56" t="s">
        <v>169</v>
      </c>
      <c r="R3" s="56" t="s">
        <v>170</v>
      </c>
    </row>
    <row r="4" spans="1:18" x14ac:dyDescent="0.15">
      <c r="A4" s="56">
        <v>49016</v>
      </c>
      <c r="B4" s="56">
        <v>2</v>
      </c>
      <c r="C4" s="69" t="str">
        <f t="shared" si="0"/>
        <v>49016_2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226</v>
      </c>
      <c r="G4" s="57">
        <v>348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120</v>
      </c>
      <c r="Q4" s="56" t="s">
        <v>169</v>
      </c>
      <c r="R4" s="56" t="s">
        <v>170</v>
      </c>
    </row>
    <row r="5" spans="1:18" x14ac:dyDescent="0.15">
      <c r="A5" s="56">
        <v>49016</v>
      </c>
      <c r="B5" s="56">
        <v>2</v>
      </c>
      <c r="C5" s="69" t="str">
        <f t="shared" si="0"/>
        <v>49016_2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226</v>
      </c>
      <c r="G5" s="57">
        <v>607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100</v>
      </c>
      <c r="Q5" s="56" t="s">
        <v>169</v>
      </c>
      <c r="R5" s="56" t="s">
        <v>170</v>
      </c>
    </row>
    <row r="6" spans="1:18" x14ac:dyDescent="0.15">
      <c r="A6" s="56">
        <v>49016</v>
      </c>
      <c r="B6" s="56">
        <v>2</v>
      </c>
      <c r="C6" s="69" t="str">
        <f t="shared" si="0"/>
        <v>49016_2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226</v>
      </c>
      <c r="G6" s="57">
        <v>608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100</v>
      </c>
      <c r="Q6" s="56" t="s">
        <v>169</v>
      </c>
      <c r="R6" s="56" t="s">
        <v>170</v>
      </c>
    </row>
    <row r="7" spans="1:18" x14ac:dyDescent="0.15">
      <c r="A7" s="56">
        <v>49016</v>
      </c>
      <c r="B7" s="56">
        <v>2</v>
      </c>
      <c r="C7" s="69" t="str">
        <f t="shared" si="0"/>
        <v>49016_2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226</v>
      </c>
      <c r="G7" s="57">
        <v>609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100</v>
      </c>
      <c r="Q7" s="56" t="s">
        <v>169</v>
      </c>
      <c r="R7" s="56" t="s">
        <v>170</v>
      </c>
    </row>
    <row r="8" spans="1:18" x14ac:dyDescent="0.15">
      <c r="A8" s="56">
        <v>49016</v>
      </c>
      <c r="B8" s="56">
        <v>2</v>
      </c>
      <c r="C8" s="69" t="str">
        <f t="shared" si="0"/>
        <v>49016_2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226</v>
      </c>
      <c r="G8" s="57">
        <v>125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30</v>
      </c>
      <c r="Q8" s="56" t="s">
        <v>169</v>
      </c>
      <c r="R8" s="56" t="s">
        <v>170</v>
      </c>
    </row>
    <row r="9" spans="1:18" x14ac:dyDescent="0.15">
      <c r="A9" s="56">
        <v>49016</v>
      </c>
      <c r="B9" s="56">
        <v>1</v>
      </c>
      <c r="C9" s="69" t="str">
        <f t="shared" ref="C9" si="1">A9&amp; "_"&amp;B9</f>
        <v>49016_1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6">
        <v>8</v>
      </c>
      <c r="F9" s="56" t="s">
        <v>515</v>
      </c>
      <c r="G9" s="56">
        <v>40000</v>
      </c>
      <c r="H9" s="56" t="s">
        <v>88</v>
      </c>
      <c r="I9" s="56">
        <v>1</v>
      </c>
      <c r="J9" s="56">
        <v>1</v>
      </c>
      <c r="K9" s="56">
        <v>0</v>
      </c>
      <c r="L9" s="56">
        <v>0</v>
      </c>
      <c r="M9" s="56">
        <v>0</v>
      </c>
      <c r="N9" s="56">
        <v>0</v>
      </c>
      <c r="O9" s="56">
        <v>1</v>
      </c>
      <c r="P9" s="56">
        <v>175</v>
      </c>
      <c r="Q9" s="56" t="s">
        <v>169</v>
      </c>
      <c r="R9" s="56" t="s">
        <v>170</v>
      </c>
    </row>
    <row r="10" spans="1:18" x14ac:dyDescent="0.15">
      <c r="A10" s="56">
        <v>49016</v>
      </c>
      <c r="B10" s="56">
        <v>1</v>
      </c>
      <c r="C10" s="69" t="str">
        <f t="shared" ref="C10:C18" si="2">A10&amp; "_"&amp;B10</f>
        <v>49016_1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6">
        <v>9</v>
      </c>
      <c r="F10" s="56" t="s">
        <v>516</v>
      </c>
      <c r="G10" s="56">
        <v>30</v>
      </c>
      <c r="H10" s="56" t="s">
        <v>88</v>
      </c>
      <c r="I10" s="56">
        <v>1</v>
      </c>
      <c r="J10" s="56">
        <v>1</v>
      </c>
      <c r="K10" s="56">
        <v>0</v>
      </c>
      <c r="L10" s="56">
        <v>0</v>
      </c>
      <c r="M10" s="56">
        <v>0</v>
      </c>
      <c r="N10" s="56">
        <v>0</v>
      </c>
      <c r="O10" s="56">
        <v>1</v>
      </c>
      <c r="P10" s="56">
        <v>175</v>
      </c>
      <c r="Q10" s="56" t="s">
        <v>169</v>
      </c>
      <c r="R10" s="56" t="s">
        <v>170</v>
      </c>
    </row>
    <row r="11" spans="1:18" x14ac:dyDescent="0.15">
      <c r="A11" s="56">
        <v>49016</v>
      </c>
      <c r="B11" s="56">
        <v>1</v>
      </c>
      <c r="C11" s="69" t="str">
        <f t="shared" si="2"/>
        <v>49016_1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6">
        <v>10</v>
      </c>
      <c r="F11" s="56" t="s">
        <v>226</v>
      </c>
      <c r="G11" s="56">
        <v>1581</v>
      </c>
      <c r="H11" s="56">
        <v>1</v>
      </c>
      <c r="I11" s="56">
        <v>1</v>
      </c>
      <c r="J11" s="56">
        <v>1</v>
      </c>
      <c r="K11" s="56">
        <v>0</v>
      </c>
      <c r="L11" s="56">
        <v>0</v>
      </c>
      <c r="M11" s="56">
        <v>0</v>
      </c>
      <c r="N11" s="56">
        <v>0</v>
      </c>
      <c r="O11" s="56">
        <v>1</v>
      </c>
      <c r="P11" s="56">
        <v>200</v>
      </c>
      <c r="Q11" s="56" t="s">
        <v>169</v>
      </c>
      <c r="R11" s="56" t="s">
        <v>170</v>
      </c>
    </row>
    <row r="12" spans="1:18" x14ac:dyDescent="0.15">
      <c r="A12" s="56">
        <v>49016</v>
      </c>
      <c r="B12" s="56">
        <v>1</v>
      </c>
      <c r="C12" s="69" t="str">
        <f t="shared" si="2"/>
        <v>49016_1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6">
        <v>11</v>
      </c>
      <c r="F12" s="56" t="s">
        <v>226</v>
      </c>
      <c r="G12" s="56">
        <v>333</v>
      </c>
      <c r="H12" s="56">
        <v>1</v>
      </c>
      <c r="I12" s="56">
        <v>1</v>
      </c>
      <c r="J12" s="56">
        <v>1</v>
      </c>
      <c r="K12" s="56">
        <v>0</v>
      </c>
      <c r="L12" s="56">
        <v>0</v>
      </c>
      <c r="M12" s="56">
        <v>0</v>
      </c>
      <c r="N12" s="56">
        <v>0</v>
      </c>
      <c r="O12" s="56">
        <v>1</v>
      </c>
      <c r="P12" s="56">
        <v>56</v>
      </c>
      <c r="Q12" s="56" t="s">
        <v>169</v>
      </c>
      <c r="R12" s="56" t="s">
        <v>170</v>
      </c>
    </row>
    <row r="13" spans="1:18" x14ac:dyDescent="0.15">
      <c r="A13" s="56">
        <v>49016</v>
      </c>
      <c r="B13" s="56">
        <v>1</v>
      </c>
      <c r="C13" s="69" t="str">
        <f t="shared" si="2"/>
        <v>49016_1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6">
        <v>12</v>
      </c>
      <c r="F13" s="56" t="s">
        <v>226</v>
      </c>
      <c r="G13" s="56">
        <v>334</v>
      </c>
      <c r="H13" s="56">
        <v>1</v>
      </c>
      <c r="I13" s="56">
        <v>1</v>
      </c>
      <c r="J13" s="56">
        <v>1</v>
      </c>
      <c r="K13" s="56">
        <v>0</v>
      </c>
      <c r="L13" s="56">
        <v>0</v>
      </c>
      <c r="M13" s="56">
        <v>0</v>
      </c>
      <c r="N13" s="56">
        <v>0</v>
      </c>
      <c r="O13" s="56">
        <v>1</v>
      </c>
      <c r="P13" s="56">
        <v>84</v>
      </c>
      <c r="Q13" s="56" t="s">
        <v>169</v>
      </c>
      <c r="R13" s="56" t="s">
        <v>170</v>
      </c>
    </row>
    <row r="14" spans="1:18" x14ac:dyDescent="0.15">
      <c r="A14" s="56">
        <v>49016</v>
      </c>
      <c r="B14" s="56">
        <v>1</v>
      </c>
      <c r="C14" s="69" t="str">
        <f t="shared" si="2"/>
        <v>49016_1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6">
        <v>13</v>
      </c>
      <c r="F14" s="56" t="s">
        <v>226</v>
      </c>
      <c r="G14" s="56">
        <v>348</v>
      </c>
      <c r="H14" s="56">
        <v>1</v>
      </c>
      <c r="I14" s="56">
        <v>1</v>
      </c>
      <c r="J14" s="56">
        <v>1</v>
      </c>
      <c r="K14" s="56">
        <v>0</v>
      </c>
      <c r="L14" s="56">
        <v>0</v>
      </c>
      <c r="M14" s="56">
        <v>0</v>
      </c>
      <c r="N14" s="56">
        <v>0</v>
      </c>
      <c r="O14" s="56">
        <v>1</v>
      </c>
      <c r="P14" s="56">
        <v>150</v>
      </c>
      <c r="Q14" s="56" t="s">
        <v>169</v>
      </c>
      <c r="R14" s="56" t="s">
        <v>170</v>
      </c>
    </row>
    <row r="15" spans="1:18" x14ac:dyDescent="0.15">
      <c r="A15" s="56">
        <v>49016</v>
      </c>
      <c r="B15" s="56">
        <v>1</v>
      </c>
      <c r="C15" s="69" t="str">
        <f t="shared" si="2"/>
        <v>49016_1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6">
        <v>14</v>
      </c>
      <c r="F15" s="56" t="s">
        <v>226</v>
      </c>
      <c r="G15" s="56">
        <v>121</v>
      </c>
      <c r="H15" s="56">
        <v>1</v>
      </c>
      <c r="I15" s="56">
        <v>1</v>
      </c>
      <c r="J15" s="56">
        <v>1</v>
      </c>
      <c r="K15" s="56">
        <v>0</v>
      </c>
      <c r="L15" s="56">
        <v>0</v>
      </c>
      <c r="M15" s="56">
        <v>0</v>
      </c>
      <c r="N15" s="56">
        <v>0</v>
      </c>
      <c r="O15" s="56">
        <v>1</v>
      </c>
      <c r="P15" s="56">
        <v>50</v>
      </c>
      <c r="Q15" s="56" t="s">
        <v>169</v>
      </c>
      <c r="R15" s="56" t="s">
        <v>170</v>
      </c>
    </row>
    <row r="16" spans="1:18" x14ac:dyDescent="0.15">
      <c r="A16" s="56">
        <v>49016</v>
      </c>
      <c r="B16" s="56">
        <v>1</v>
      </c>
      <c r="C16" s="69" t="str">
        <f t="shared" si="2"/>
        <v>49016_1</v>
      </c>
      <c r="D16" s="11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6">
        <v>15</v>
      </c>
      <c r="F16" s="56" t="s">
        <v>226</v>
      </c>
      <c r="G16" s="56">
        <v>122</v>
      </c>
      <c r="H16" s="56">
        <v>1</v>
      </c>
      <c r="I16" s="56">
        <v>1</v>
      </c>
      <c r="J16" s="56">
        <v>1</v>
      </c>
      <c r="K16" s="56">
        <v>0</v>
      </c>
      <c r="L16" s="56">
        <v>0</v>
      </c>
      <c r="M16" s="56">
        <v>0</v>
      </c>
      <c r="N16" s="56">
        <v>0</v>
      </c>
      <c r="O16" s="56">
        <v>1</v>
      </c>
      <c r="P16" s="56">
        <v>50</v>
      </c>
      <c r="Q16" s="56" t="s">
        <v>169</v>
      </c>
      <c r="R16" s="56" t="s">
        <v>170</v>
      </c>
    </row>
    <row r="17" spans="1:18" x14ac:dyDescent="0.15">
      <c r="A17" s="56">
        <v>49016</v>
      </c>
      <c r="B17" s="56">
        <v>1</v>
      </c>
      <c r="C17" s="69" t="str">
        <f t="shared" si="2"/>
        <v>49016_1</v>
      </c>
      <c r="D17" s="11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6">
        <v>16</v>
      </c>
      <c r="F17" s="56" t="s">
        <v>226</v>
      </c>
      <c r="G17" s="56">
        <v>123</v>
      </c>
      <c r="H17" s="56">
        <v>1</v>
      </c>
      <c r="I17" s="56">
        <v>1</v>
      </c>
      <c r="J17" s="56">
        <v>1</v>
      </c>
      <c r="K17" s="56">
        <v>0</v>
      </c>
      <c r="L17" s="56">
        <v>0</v>
      </c>
      <c r="M17" s="56">
        <v>0</v>
      </c>
      <c r="N17" s="56">
        <v>0</v>
      </c>
      <c r="O17" s="56">
        <v>1</v>
      </c>
      <c r="P17" s="56">
        <v>50</v>
      </c>
      <c r="Q17" s="56" t="s">
        <v>169</v>
      </c>
      <c r="R17" s="56" t="s">
        <v>170</v>
      </c>
    </row>
    <row r="18" spans="1:18" x14ac:dyDescent="0.15">
      <c r="A18" s="56">
        <v>49016</v>
      </c>
      <c r="B18" s="56">
        <v>1</v>
      </c>
      <c r="C18" s="69" t="str">
        <f t="shared" si="2"/>
        <v>49016_1</v>
      </c>
      <c r="D18" s="11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6">
        <v>17</v>
      </c>
      <c r="F18" s="56" t="s">
        <v>226</v>
      </c>
      <c r="G18" s="56">
        <v>125</v>
      </c>
      <c r="H18" s="56">
        <v>1</v>
      </c>
      <c r="I18" s="56">
        <v>1</v>
      </c>
      <c r="J18" s="56">
        <v>1</v>
      </c>
      <c r="K18" s="56">
        <v>0</v>
      </c>
      <c r="L18" s="56">
        <v>0</v>
      </c>
      <c r="M18" s="56">
        <v>0</v>
      </c>
      <c r="N18" s="56">
        <v>0</v>
      </c>
      <c r="O18" s="56">
        <v>1</v>
      </c>
      <c r="P18" s="56">
        <v>10</v>
      </c>
      <c r="Q18" s="56" t="s">
        <v>169</v>
      </c>
      <c r="R18" s="56" t="s">
        <v>170</v>
      </c>
    </row>
  </sheetData>
  <phoneticPr fontId="5"/>
  <dataValidations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188</v>
      </c>
      <c r="B1" s="71" t="s">
        <v>189</v>
      </c>
      <c r="C1" s="75" t="s">
        <v>190</v>
      </c>
      <c r="D1" s="75" t="s">
        <v>33</v>
      </c>
      <c r="E1" s="71" t="s">
        <v>191</v>
      </c>
      <c r="F1" s="75" t="s">
        <v>192</v>
      </c>
      <c r="G1" s="75" t="s">
        <v>33</v>
      </c>
      <c r="H1" s="71" t="s">
        <v>193</v>
      </c>
      <c r="I1" s="88" t="s">
        <v>195</v>
      </c>
      <c r="J1" s="77" t="s">
        <v>126</v>
      </c>
      <c r="K1" s="76" t="s">
        <v>186</v>
      </c>
      <c r="L1" s="89" t="s">
        <v>185</v>
      </c>
      <c r="M1" s="78" t="s">
        <v>196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R61"/>
  <sheetViews>
    <sheetView showGridLines="0" zoomScale="90" zoomScaleNormal="90" zoomScalePageLayoutView="90" workbookViewId="0">
      <pane ySplit="1" topLeftCell="A2" activePane="bottomLeft" state="frozen"/>
      <selection pane="bottomLeft" activeCell="L56" sqref="L56"/>
    </sheetView>
  </sheetViews>
  <sheetFormatPr baseColWidth="12" defaultColWidth="13" defaultRowHeight="15" outlineLevelCol="1" x14ac:dyDescent="0.15"/>
  <cols>
    <col min="1" max="1" width="13" style="85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0" width="11.1640625" customWidth="1"/>
    <col min="11" max="11" width="7.33203125" customWidth="1"/>
    <col min="12" max="12" width="13.1640625" customWidth="1"/>
    <col min="13" max="13" width="42.6640625" customWidth="1"/>
    <col min="16" max="16" width="40.5" customWidth="1"/>
  </cols>
  <sheetData>
    <row r="1" spans="1:18" x14ac:dyDescent="0.15">
      <c r="A1" s="74" t="s">
        <v>188</v>
      </c>
      <c r="B1" s="71" t="s">
        <v>150</v>
      </c>
      <c r="C1" s="75" t="s">
        <v>190</v>
      </c>
      <c r="D1" s="75" t="s">
        <v>33</v>
      </c>
      <c r="E1" s="71" t="s">
        <v>191</v>
      </c>
      <c r="F1" s="75" t="s">
        <v>18</v>
      </c>
      <c r="G1" s="75" t="s">
        <v>33</v>
      </c>
      <c r="H1" s="71" t="s">
        <v>193</v>
      </c>
      <c r="I1" s="86" t="s">
        <v>194</v>
      </c>
      <c r="J1" s="88" t="s">
        <v>195</v>
      </c>
      <c r="K1" s="77" t="s">
        <v>126</v>
      </c>
      <c r="L1" s="76" t="s">
        <v>186</v>
      </c>
      <c r="M1" s="89" t="s">
        <v>185</v>
      </c>
      <c r="N1" s="78" t="s">
        <v>196</v>
      </c>
      <c r="O1" s="263" t="s">
        <v>518</v>
      </c>
    </row>
    <row r="2" spans="1:18" ht="78" customHeight="1" x14ac:dyDescent="0.15">
      <c r="A2" s="79" t="s">
        <v>197</v>
      </c>
      <c r="B2" s="80">
        <f>floors!$C$2</f>
        <v>49016</v>
      </c>
      <c r="C2" s="81" t="str">
        <f ca="1">VLOOKUP($B2,OFFSET([2]quests!$A$1,0,0,COUNTA([2]quests!$A:$A),MATCH(C$1,[2]quests!$1:$1,0)-MATCH($B$1,[2]quests!$1:$1,0)+1),MATCH(C$1,[2]quests!$1:$1,0)-MATCH($B$1,[2]quests!$1:$1,0)+1,FALSE)</f>
        <v>栗転</v>
      </c>
      <c r="D2" s="81" t="str">
        <f ca="1">VLOOKUP($B2,OFFSET([2]quests!$A$1,0,0,COUNTA([2]quests!$A:$A),MATCH(D$1,[2]quests!$1:$1,0)-MATCH($B$1,[2]quests!$1:$1,0)+1),MATCH(D$1,[2]quests!$1:$1,0)-MATCH($B$1,[2]quests!$1:$1,0)+1,FALSE)</f>
        <v>コラボ降臨12</v>
      </c>
      <c r="E2" s="82">
        <v>2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【ウィザード級】栗転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コラボ降臨12</v>
      </c>
      <c r="H2" s="83">
        <v>1</v>
      </c>
      <c r="I2" s="87">
        <f>ROW()-1</f>
        <v>1</v>
      </c>
      <c r="J2" s="84" t="str">
        <f>B2&amp;TEXT(I2,"00")</f>
        <v>4901601</v>
      </c>
      <c r="K2" s="218" t="s">
        <v>198</v>
      </c>
      <c r="L2" s="219" t="s">
        <v>253</v>
      </c>
      <c r="M2" s="230" t="s">
        <v>411</v>
      </c>
      <c r="N2" s="56" t="s">
        <v>199</v>
      </c>
      <c r="O2" s="56" t="s">
        <v>199</v>
      </c>
      <c r="P2" s="228" t="str">
        <f>"１２３４５６７８９０１２３４５６７８９０"&amp;DBCS(M2)</f>
        <v>１２３４５６７８９０１２３４５６７８９０ロバートは属性パネルをプロテクトする_x000D_スキルを使用します_x000D_対処できるスキルやアビリティを用意して_x000D_挑むと有利に戦えます</v>
      </c>
      <c r="Q2" s="229">
        <f>LEN(M2)</f>
        <v>59</v>
      </c>
      <c r="R2" t="s">
        <v>408</v>
      </c>
    </row>
    <row r="3" spans="1:18" ht="85" customHeight="1" x14ac:dyDescent="0.15">
      <c r="A3" s="79" t="s">
        <v>197</v>
      </c>
      <c r="B3" s="80">
        <f>floors!$C$2</f>
        <v>49016</v>
      </c>
      <c r="C3" s="81" t="str">
        <f ca="1">VLOOKUP($B3,OFFSET([2]quests!$A$1,0,0,COUNTA([2]quests!$A:$A),MATCH(C$1,[2]quests!$1:$1,0)-MATCH($B$1,[2]quests!$1:$1,0)+1),MATCH(C$1,[2]quests!$1:$1,0)-MATCH($B$1,[2]quests!$1:$1,0)+1,FALSE)</f>
        <v>栗転</v>
      </c>
      <c r="D3" s="81" t="str">
        <f ca="1">VLOOKUP($B3,OFFSET([2]quests!$A$1,0,0,COUNTA([2]quests!$A:$A),MATCH(D$1,[2]quests!$1:$1,0)-MATCH($B$1,[2]quests!$1:$1,0)+1),MATCH(D$1,[2]quests!$1:$1,0)-MATCH($B$1,[2]quests!$1:$1,0)+1,FALSE)</f>
        <v>コラボ降臨12</v>
      </c>
      <c r="E3" s="82">
        <v>2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【ウィザード級】栗転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コラボ降臨12</v>
      </c>
      <c r="H3" s="83">
        <v>2</v>
      </c>
      <c r="I3" s="87">
        <f t="shared" ref="I3:I61" si="0">ROW()-1</f>
        <v>2</v>
      </c>
      <c r="J3" s="84" t="str">
        <f t="shared" ref="J3:J31" si="1">B3&amp;TEXT(I3,"00")</f>
        <v>4901602</v>
      </c>
      <c r="K3" s="220" t="s">
        <v>127</v>
      </c>
      <c r="L3" s="221" t="s">
        <v>253</v>
      </c>
      <c r="M3" s="231" t="s">
        <v>409</v>
      </c>
      <c r="N3" s="56" t="s">
        <v>199</v>
      </c>
      <c r="O3" s="56" t="s">
        <v>199</v>
      </c>
      <c r="P3" s="228" t="str">
        <f t="shared" ref="P3:P31" si="2">"１２３４５６７８９０１２３４５６７８９０"&amp;DBCS(M3)</f>
        <v>１２３４５６７８９０１２３４５６７８９０草薙京は赤パネルのドロップ率ＵＰの後_x000D_強力な吸収攻撃を放ちます_x000D_ドロップ率を下げるスキルを使うことで_x000D_大ダメージを避けられます</v>
      </c>
      <c r="Q3" s="229">
        <f t="shared" ref="Q3:Q31" si="3">LEN(M3)</f>
        <v>63</v>
      </c>
    </row>
    <row r="4" spans="1:18" ht="85" customHeight="1" x14ac:dyDescent="0.15">
      <c r="A4" s="79" t="s">
        <v>197</v>
      </c>
      <c r="B4" s="80">
        <f>floors!$C$2</f>
        <v>49016</v>
      </c>
      <c r="C4" s="81" t="str">
        <f ca="1">VLOOKUP($B4,OFFSET([2]quests!$A$1,0,0,COUNTA([2]quests!$A:$A),MATCH(C$1,[2]quests!$1:$1,0)-MATCH($B$1,[2]quests!$1:$1,0)+1),MATCH(C$1,[2]quests!$1:$1,0)-MATCH($B$1,[2]quests!$1:$1,0)+1,FALSE)</f>
        <v>栗転</v>
      </c>
      <c r="D4" s="81" t="str">
        <f ca="1">VLOOKUP($B4,OFFSET([2]quests!$A$1,0,0,COUNTA([2]quests!$A:$A),MATCH(D$1,[2]quests!$1:$1,0)-MATCH($B$1,[2]quests!$1:$1,0)+1),MATCH(D$1,[2]quests!$1:$1,0)-MATCH($B$1,[2]quests!$1:$1,0)+1,FALSE)</f>
        <v>コラボ降臨12</v>
      </c>
      <c r="E4" s="82">
        <v>2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【ウィザード級】栗転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コラボ降臨12</v>
      </c>
      <c r="H4" s="83">
        <v>3</v>
      </c>
      <c r="I4" s="87">
        <f t="shared" si="0"/>
        <v>3</v>
      </c>
      <c r="J4" s="84" t="str">
        <f t="shared" si="1"/>
        <v>4901603</v>
      </c>
      <c r="K4" s="222" t="s">
        <v>127</v>
      </c>
      <c r="L4" s="223" t="s">
        <v>253</v>
      </c>
      <c r="M4" s="233" t="s">
        <v>415</v>
      </c>
      <c r="N4" s="56" t="s">
        <v>199</v>
      </c>
      <c r="O4" s="56" t="s">
        <v>199</v>
      </c>
      <c r="P4" s="228" t="str">
        <f t="shared" si="2"/>
        <v>１２３４５６７８９０１２３４５６７８９０クリスは各ゲージごとに_x000D_ＨＰが一定値まで減るとそれぞれ_x000D_強力なスキルを使用します_x000D_個々の性質を見極め戦い方を選びましょう</v>
      </c>
      <c r="Q4" s="229">
        <f t="shared" si="3"/>
        <v>60</v>
      </c>
    </row>
    <row r="5" spans="1:18" ht="65" customHeight="1" x14ac:dyDescent="0.15">
      <c r="A5" s="79" t="s">
        <v>197</v>
      </c>
      <c r="B5" s="80">
        <f>floors!$C$2</f>
        <v>49016</v>
      </c>
      <c r="C5" s="81" t="str">
        <f ca="1">VLOOKUP($B5,OFFSET([2]quests!$A$1,0,0,COUNTA([2]quests!$A:$A),MATCH(C$1,[2]quests!$1:$1,0)-MATCH($B$1,[2]quests!$1:$1,0)+1),MATCH(C$1,[2]quests!$1:$1,0)-MATCH($B$1,[2]quests!$1:$1,0)+1,FALSE)</f>
        <v>栗転</v>
      </c>
      <c r="D5" s="81" t="str">
        <f ca="1">VLOOKUP($B5,OFFSET([2]quests!$A$1,0,0,COUNTA([2]quests!$A:$A),MATCH(D$1,[2]quests!$1:$1,0)-MATCH($B$1,[2]quests!$1:$1,0)+1),MATCH(D$1,[2]quests!$1:$1,0)-MATCH($B$1,[2]quests!$1:$1,0)+1,FALSE)</f>
        <v>コラボ降臨12</v>
      </c>
      <c r="E5" s="82">
        <v>2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【ウィザード級】栗転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コラボ降臨12</v>
      </c>
      <c r="H5" s="83">
        <v>3</v>
      </c>
      <c r="I5" s="87">
        <f t="shared" si="0"/>
        <v>4</v>
      </c>
      <c r="J5" s="84" t="str">
        <f t="shared" si="1"/>
        <v>4901604</v>
      </c>
      <c r="K5" s="222" t="s">
        <v>127</v>
      </c>
      <c r="L5" s="223" t="s">
        <v>253</v>
      </c>
      <c r="M5" s="233" t="s">
        <v>410</v>
      </c>
      <c r="N5" s="56" t="s">
        <v>199</v>
      </c>
      <c r="O5" s="56" t="s">
        <v>199</v>
      </c>
      <c r="P5" s="228" t="str">
        <f t="shared" si="2"/>
        <v>１２３４５６７８９０１２３４５６７８９０クリスの２ゲージ目以降は赤と青のパネルが_x000D_プロテクトされた状態でドロップします_x000D_どう対策しながら戦うかが重要です</v>
      </c>
      <c r="Q5" s="229">
        <f t="shared" si="3"/>
        <v>56</v>
      </c>
    </row>
    <row r="6" spans="1:18" ht="83" customHeight="1" x14ac:dyDescent="0.15">
      <c r="A6" s="79" t="s">
        <v>197</v>
      </c>
      <c r="B6" s="80">
        <f>floors!$C$2</f>
        <v>49016</v>
      </c>
      <c r="C6" s="81" t="str">
        <f ca="1">VLOOKUP($B6,OFFSET([2]quests!$A$1,0,0,COUNTA([2]quests!$A:$A),MATCH(C$1,[2]quests!$1:$1,0)-MATCH($B$1,[2]quests!$1:$1,0)+1),MATCH(C$1,[2]quests!$1:$1,0)-MATCH($B$1,[2]quests!$1:$1,0)+1,FALSE)</f>
        <v>栗転</v>
      </c>
      <c r="D6" s="81" t="str">
        <f ca="1">VLOOKUP($B6,OFFSET([2]quests!$A$1,0,0,COUNTA([2]quests!$A:$A),MATCH(D$1,[2]quests!$1:$1,0)-MATCH($B$1,[2]quests!$1:$1,0)+1),MATCH(D$1,[2]quests!$1:$1,0)-MATCH($B$1,[2]quests!$1:$1,0)+1,FALSE)</f>
        <v>コラボ降臨12</v>
      </c>
      <c r="E6" s="82">
        <v>2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【ウィザード級】栗転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コラボ降臨12</v>
      </c>
      <c r="H6" s="83">
        <v>3</v>
      </c>
      <c r="I6" s="87">
        <f t="shared" si="0"/>
        <v>5</v>
      </c>
      <c r="J6" s="84" t="str">
        <f t="shared" si="1"/>
        <v>4901605</v>
      </c>
      <c r="K6" s="222" t="s">
        <v>127</v>
      </c>
      <c r="L6" s="223" t="s">
        <v>253</v>
      </c>
      <c r="M6" s="233" t="s">
        <v>412</v>
      </c>
      <c r="N6" s="56" t="s">
        <v>199</v>
      </c>
      <c r="O6" s="56" t="s">
        <v>199</v>
      </c>
      <c r="P6" s="228" t="str">
        <f t="shared" si="2"/>
        <v>１２３４５６７８９０１２３４５６７８９０クリスの３ゲージ目はＨＰを一気に減らす_x000D_必殺技を使用します_x000D_ピンチに備えて回復手段を確保しながら_x000D_戦いましょう</v>
      </c>
      <c r="Q6" s="229">
        <f t="shared" si="3"/>
        <v>55</v>
      </c>
    </row>
    <row r="7" spans="1:18" ht="80" customHeight="1" x14ac:dyDescent="0.15">
      <c r="A7" s="79" t="s">
        <v>407</v>
      </c>
      <c r="B7" s="80">
        <f>floors!$C$2</f>
        <v>49016</v>
      </c>
      <c r="C7" s="81" t="str">
        <f ca="1">VLOOKUP($B7,OFFSET([2]quests!$A$1,0,0,COUNTA([2]quests!$A:$A),MATCH(C$1,[2]quests!$1:$1,0)-MATCH($B$1,[2]quests!$1:$1,0)+1),MATCH(C$1,[2]quests!$1:$1,0)-MATCH($B$1,[2]quests!$1:$1,0)+1,FALSE)</f>
        <v>栗転</v>
      </c>
      <c r="D7" s="81" t="str">
        <f ca="1">VLOOKUP($B7,OFFSET([2]quests!$A$1,0,0,COUNTA([2]quests!$A:$A),MATCH(D$1,[2]quests!$1:$1,0)-MATCH($B$1,[2]quests!$1:$1,0)+1),MATCH(D$1,[2]quests!$1:$1,0)-MATCH($B$1,[2]quests!$1:$1,0)+1,FALSE)</f>
        <v>コラボ降臨12</v>
      </c>
      <c r="E7" s="82">
        <v>2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【ウィザード級】栗転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コラボ降臨12</v>
      </c>
      <c r="H7" s="83">
        <v>0</v>
      </c>
      <c r="I7" s="87">
        <f t="shared" si="0"/>
        <v>6</v>
      </c>
      <c r="J7" s="84" t="str">
        <f t="shared" si="1"/>
        <v>4901606</v>
      </c>
      <c r="K7" s="224" t="s">
        <v>127</v>
      </c>
      <c r="L7" s="225" t="s">
        <v>505</v>
      </c>
      <c r="M7" s="232" t="s">
        <v>503</v>
      </c>
      <c r="N7" s="56" t="s">
        <v>199</v>
      </c>
      <c r="O7" s="56" t="s">
        <v>199</v>
      </c>
      <c r="P7" s="228" t="str">
        <f>"１２３４５６７８９０１２３４５６７８９０"&amp;DBCS(M7)</f>
        <v>１２３４５６７８９０１２３４５６７８９０クリスは転生を繰り返して_x000D_自身の力を高めていますが_x000D_その能力は謎に包まれています</v>
      </c>
      <c r="Q7" s="229">
        <f t="shared" si="3"/>
        <v>40</v>
      </c>
    </row>
    <row r="8" spans="1:18" ht="80" customHeight="1" x14ac:dyDescent="0.15">
      <c r="A8" s="79" t="s">
        <v>407</v>
      </c>
      <c r="B8" s="80">
        <f>floors!$C$2</f>
        <v>49016</v>
      </c>
      <c r="C8" s="81" t="str">
        <f ca="1">VLOOKUP($B8,OFFSET([2]quests!$A$1,0,0,COUNTA([2]quests!$A:$A),MATCH(C$1,[2]quests!$1:$1,0)-MATCH($B$1,[2]quests!$1:$1,0)+1),MATCH(C$1,[2]quests!$1:$1,0)-MATCH($B$1,[2]quests!$1:$1,0)+1,FALSE)</f>
        <v>栗転</v>
      </c>
      <c r="D8" s="81" t="str">
        <f ca="1">VLOOKUP($B8,OFFSET([2]quests!$A$1,0,0,COUNTA([2]quests!$A:$A),MATCH(D$1,[2]quests!$1:$1,0)-MATCH($B$1,[2]quests!$1:$1,0)+1),MATCH(D$1,[2]quests!$1:$1,0)-MATCH($B$1,[2]quests!$1:$1,0)+1,FALSE)</f>
        <v>コラボ降臨12</v>
      </c>
      <c r="E8" s="82">
        <v>2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【ウィザード級】栗転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コラボ降臨12</v>
      </c>
      <c r="H8" s="83">
        <v>0</v>
      </c>
      <c r="I8" s="87">
        <f t="shared" si="0"/>
        <v>7</v>
      </c>
      <c r="J8" s="84" t="str">
        <f t="shared" si="1"/>
        <v>4901607</v>
      </c>
      <c r="K8" s="224" t="s">
        <v>127</v>
      </c>
      <c r="L8" s="225" t="s">
        <v>406</v>
      </c>
      <c r="M8" s="232" t="s">
        <v>504</v>
      </c>
      <c r="N8" s="56" t="s">
        <v>199</v>
      </c>
      <c r="O8" s="56" t="s">
        <v>199</v>
      </c>
      <c r="P8" s="228" t="str">
        <f t="shared" si="2"/>
        <v>１２３４５６７８９０１２３４５６７８９０クリスはかつてオロチ復活を目論み_x000D_精神力を集めていました_x000D_今はたった独りで_x000D_何を求めているのでしょうか</v>
      </c>
      <c r="Q8" s="229">
        <f t="shared" si="3"/>
        <v>51</v>
      </c>
    </row>
    <row r="9" spans="1:18" ht="84" customHeight="1" x14ac:dyDescent="0.15">
      <c r="A9" s="79" t="s">
        <v>407</v>
      </c>
      <c r="B9" s="80">
        <f>floors!$C$2</f>
        <v>49016</v>
      </c>
      <c r="C9" s="244" t="str">
        <f ca="1">VLOOKUP($B9,OFFSET([2]quests!$A$1,0,0,COUNTA([2]quests!$A:$A),MATCH(C$1,[2]quests!$1:$1,0)-MATCH($B$1,[2]quests!$1:$1,0)+1),MATCH(C$1,[2]quests!$1:$1,0)-MATCH($B$1,[2]quests!$1:$1,0)+1,FALSE)</f>
        <v>栗転</v>
      </c>
      <c r="D9" s="244" t="str">
        <f ca="1">VLOOKUP($B9,OFFSET([2]quests!$A$1,0,0,COUNTA([2]quests!$A:$A),MATCH(D$1,[2]quests!$1:$1,0)-MATCH($B$1,[2]quests!$1:$1,0)+1),MATCH(D$1,[2]quests!$1:$1,0)-MATCH($B$1,[2]quests!$1:$1,0)+1,FALSE)</f>
        <v>コラボ降臨12</v>
      </c>
      <c r="E9" s="82">
        <v>2</v>
      </c>
      <c r="F9" s="244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【ウィザード級】栗転</v>
      </c>
      <c r="G9" s="244" t="str">
        <f ca="1">VLOOKUP($B9&amp;"_"&amp;$E9,OFFSET([2]stages!$A$1,0,0,COUNTA([2]stages!$A:$A),MATCH(G$1,[2]stages!$2:$2,0)-MATCH("temp_stage",[2]stages!$2:$2,0)+1),MATCH(G$1,[2]stages!$2:$2,0)-MATCH("temp_stage",[2]stages!$2:$2,0)+1,FALSE)</f>
        <v>コラボ降臨12</v>
      </c>
      <c r="H9" s="245">
        <v>0</v>
      </c>
      <c r="I9" s="87">
        <f t="shared" si="0"/>
        <v>8</v>
      </c>
      <c r="J9" s="84" t="str">
        <f t="shared" si="1"/>
        <v>4901608</v>
      </c>
      <c r="K9" s="224" t="s">
        <v>127</v>
      </c>
      <c r="L9" s="225" t="s">
        <v>413</v>
      </c>
      <c r="M9" s="232" t="s">
        <v>414</v>
      </c>
      <c r="N9" s="56" t="s">
        <v>199</v>
      </c>
      <c r="O9" s="56" t="s">
        <v>199</v>
      </c>
      <c r="P9" s="228" t="str">
        <f t="shared" si="2"/>
        <v>１２３４５６７８９０１２３４５６７８９０クリスの足跡は凶暴化した格闘家を_x000D_辿る様に残されていました_x000D_進むにつれ狂気とオロチの瘴気は強まり_x000D_深奥にある脅威を伝えています</v>
      </c>
      <c r="Q9" s="229">
        <f t="shared" si="3"/>
        <v>63</v>
      </c>
    </row>
    <row r="10" spans="1:18" s="259" customFormat="1" ht="84" customHeight="1" x14ac:dyDescent="0.15">
      <c r="A10" s="265" t="s">
        <v>407</v>
      </c>
      <c r="B10" s="266">
        <f>floors!$C$2</f>
        <v>49016</v>
      </c>
      <c r="C10" s="81" t="str">
        <f ca="1">VLOOKUP($B10,OFFSET([2]quests!$A$1,0,0,COUNTA([2]quests!$A:$A),MATCH(C$1,[2]quests!$1:$1,0)-MATCH($B$1,[2]quests!$1:$1,0)+1),MATCH(C$1,[2]quests!$1:$1,0)-MATCH($B$1,[2]quests!$1:$1,0)+1,FALSE)</f>
        <v>栗転</v>
      </c>
      <c r="D10" s="81" t="str">
        <f ca="1">VLOOKUP($B10,OFFSET([2]quests!$A$1,0,0,COUNTA([2]quests!$A:$A),MATCH(D$1,[2]quests!$1:$1,0)-MATCH($B$1,[2]quests!$1:$1,0)+1),MATCH(D$1,[2]quests!$1:$1,0)-MATCH($B$1,[2]quests!$1:$1,0)+1,FALSE)</f>
        <v>コラボ降臨12</v>
      </c>
      <c r="E10" s="267">
        <v>2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【ウィザード級】栗転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コラボ降臨12</v>
      </c>
      <c r="H10" s="83">
        <v>0</v>
      </c>
      <c r="I10" s="268">
        <f t="shared" si="0"/>
        <v>9</v>
      </c>
      <c r="J10" s="269" t="str">
        <f t="shared" si="1"/>
        <v>4901609</v>
      </c>
      <c r="K10" s="270" t="s">
        <v>127</v>
      </c>
      <c r="L10" s="271" t="s">
        <v>519</v>
      </c>
      <c r="M10" s="272" t="s">
        <v>563</v>
      </c>
      <c r="N10" s="264" t="s">
        <v>520</v>
      </c>
      <c r="O10" s="264">
        <v>1579</v>
      </c>
      <c r="P10" s="235" t="str">
        <f t="shared" si="2"/>
        <v>１２３４５６７８９０１２３４５６７８９０俺の炎で燃えつきちまいな！_x000D_弱い奴に用はねえぜ！</v>
      </c>
      <c r="Q10" s="236">
        <f t="shared" si="3"/>
        <v>24</v>
      </c>
    </row>
    <row r="11" spans="1:18" s="260" customFormat="1" ht="84" customHeight="1" x14ac:dyDescent="0.15">
      <c r="A11" s="79" t="s">
        <v>407</v>
      </c>
      <c r="B11" s="80">
        <f>floors!$C$2</f>
        <v>49016</v>
      </c>
      <c r="C11" s="244" t="str">
        <f ca="1">VLOOKUP($B11,OFFSET([2]quests!$A$1,0,0,COUNTA([2]quests!$A:$A),MATCH(C$1,[2]quests!$1:$1,0)-MATCH($B$1,[2]quests!$1:$1,0)+1),MATCH(C$1,[2]quests!$1:$1,0)-MATCH($B$1,[2]quests!$1:$1,0)+1,FALSE)</f>
        <v>栗転</v>
      </c>
      <c r="D11" s="244" t="str">
        <f ca="1">VLOOKUP($B11,OFFSET([2]quests!$A$1,0,0,COUNTA([2]quests!$A:$A),MATCH(D$1,[2]quests!$1:$1,0)-MATCH($B$1,[2]quests!$1:$1,0)+1),MATCH(D$1,[2]quests!$1:$1,0)-MATCH($B$1,[2]quests!$1:$1,0)+1,FALSE)</f>
        <v>コラボ降臨12</v>
      </c>
      <c r="E11" s="82">
        <v>2</v>
      </c>
      <c r="F11" s="244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【ウィザード級】栗転</v>
      </c>
      <c r="G11" s="244" t="str">
        <f ca="1">VLOOKUP($B11&amp;"_"&amp;$E11,OFFSET([2]stages!$A$1,0,0,COUNTA([2]stages!$A:$A),MATCH(G$1,[2]stages!$2:$2,0)-MATCH("temp_stage",[2]stages!$2:$2,0)+1),MATCH(G$1,[2]stages!$2:$2,0)-MATCH("temp_stage",[2]stages!$2:$2,0)+1,FALSE)</f>
        <v>コラボ降臨12</v>
      </c>
      <c r="H11" s="245">
        <v>0</v>
      </c>
      <c r="I11" s="87">
        <f t="shared" si="0"/>
        <v>10</v>
      </c>
      <c r="J11" s="84" t="str">
        <f t="shared" si="1"/>
        <v>4901610</v>
      </c>
      <c r="K11" s="224" t="s">
        <v>127</v>
      </c>
      <c r="L11" s="225" t="s">
        <v>521</v>
      </c>
      <c r="M11" s="232" t="s">
        <v>522</v>
      </c>
      <c r="N11" s="56" t="s">
        <v>520</v>
      </c>
      <c r="O11" s="56">
        <v>1587</v>
      </c>
      <c r="P11" s="228" t="str">
        <f t="shared" si="2"/>
        <v>１２３４５６７８９０１２３４５６７８９０全身全霊をかけた試合、楽しかったです。_x000D_ありがとうございました！</v>
      </c>
      <c r="Q11" s="229">
        <f t="shared" si="3"/>
        <v>32</v>
      </c>
    </row>
    <row r="12" spans="1:18" s="260" customFormat="1" ht="84" customHeight="1" x14ac:dyDescent="0.15">
      <c r="A12" s="79" t="s">
        <v>407</v>
      </c>
      <c r="B12" s="80">
        <f>floors!$C$2</f>
        <v>49016</v>
      </c>
      <c r="C12" s="244" t="str">
        <f ca="1">VLOOKUP($B12,OFFSET([2]quests!$A$1,0,0,COUNTA([2]quests!$A:$A),MATCH(C$1,[2]quests!$1:$1,0)-MATCH($B$1,[2]quests!$1:$1,0)+1),MATCH(C$1,[2]quests!$1:$1,0)-MATCH($B$1,[2]quests!$1:$1,0)+1,FALSE)</f>
        <v>栗転</v>
      </c>
      <c r="D12" s="244" t="str">
        <f ca="1">VLOOKUP($B12,OFFSET([2]quests!$A$1,0,0,COUNTA([2]quests!$A:$A),MATCH(D$1,[2]quests!$1:$1,0)-MATCH($B$1,[2]quests!$1:$1,0)+1),MATCH(D$1,[2]quests!$1:$1,0)-MATCH($B$1,[2]quests!$1:$1,0)+1,FALSE)</f>
        <v>コラボ降臨12</v>
      </c>
      <c r="E12" s="82">
        <v>2</v>
      </c>
      <c r="F12" s="244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【ウィザード級】栗転</v>
      </c>
      <c r="G12" s="244" t="str">
        <f ca="1">VLOOKUP($B12&amp;"_"&amp;$E12,OFFSET([2]stages!$A$1,0,0,COUNTA([2]stages!$A:$A),MATCH(G$1,[2]stages!$2:$2,0)-MATCH("temp_stage",[2]stages!$2:$2,0)+1),MATCH(G$1,[2]stages!$2:$2,0)-MATCH("temp_stage",[2]stages!$2:$2,0)+1,FALSE)</f>
        <v>コラボ降臨12</v>
      </c>
      <c r="H12" s="245">
        <v>0</v>
      </c>
      <c r="I12" s="87">
        <f t="shared" si="0"/>
        <v>11</v>
      </c>
      <c r="J12" s="84" t="str">
        <f t="shared" si="1"/>
        <v>4901611</v>
      </c>
      <c r="K12" s="224" t="s">
        <v>127</v>
      </c>
      <c r="L12" s="225" t="s">
        <v>523</v>
      </c>
      <c r="M12" s="232" t="s">
        <v>524</v>
      </c>
      <c r="N12" s="56" t="s">
        <v>520</v>
      </c>
      <c r="O12" s="56">
        <v>1581</v>
      </c>
      <c r="P12" s="228" t="str">
        <f t="shared" si="2"/>
        <v>１２３４５６７８９０１２３４５６７８９０おしまいですか？ふふっ、つまんないの！</v>
      </c>
      <c r="Q12" s="229">
        <f t="shared" si="3"/>
        <v>19</v>
      </c>
    </row>
    <row r="13" spans="1:18" s="260" customFormat="1" ht="84" customHeight="1" x14ac:dyDescent="0.15">
      <c r="A13" s="79" t="s">
        <v>407</v>
      </c>
      <c r="B13" s="80">
        <f>floors!$C$2</f>
        <v>49016</v>
      </c>
      <c r="C13" s="244" t="str">
        <f ca="1">VLOOKUP($B13,OFFSET([2]quests!$A$1,0,0,COUNTA([2]quests!$A:$A),MATCH(C$1,[2]quests!$1:$1,0)-MATCH($B$1,[2]quests!$1:$1,0)+1),MATCH(C$1,[2]quests!$1:$1,0)-MATCH($B$1,[2]quests!$1:$1,0)+1,FALSE)</f>
        <v>栗転</v>
      </c>
      <c r="D13" s="244" t="str">
        <f ca="1">VLOOKUP($B13,OFFSET([2]quests!$A$1,0,0,COUNTA([2]quests!$A:$A),MATCH(D$1,[2]quests!$1:$1,0)-MATCH($B$1,[2]quests!$1:$1,0)+1),MATCH(D$1,[2]quests!$1:$1,0)-MATCH($B$1,[2]quests!$1:$1,0)+1,FALSE)</f>
        <v>コラボ降臨12</v>
      </c>
      <c r="E13" s="82">
        <v>2</v>
      </c>
      <c r="F13" s="244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【ウィザード級】栗転</v>
      </c>
      <c r="G13" s="244" t="str">
        <f ca="1">VLOOKUP($B13&amp;"_"&amp;$E13,OFFSET([2]stages!$A$1,0,0,COUNTA([2]stages!$A:$A),MATCH(G$1,[2]stages!$2:$2,0)-MATCH("temp_stage",[2]stages!$2:$2,0)+1),MATCH(G$1,[2]stages!$2:$2,0)-MATCH("temp_stage",[2]stages!$2:$2,0)+1,FALSE)</f>
        <v>コラボ降臨12</v>
      </c>
      <c r="H13" s="245">
        <v>0</v>
      </c>
      <c r="I13" s="87">
        <f t="shared" si="0"/>
        <v>12</v>
      </c>
      <c r="J13" s="84" t="str">
        <f t="shared" si="1"/>
        <v>4901612</v>
      </c>
      <c r="K13" s="224" t="s">
        <v>127</v>
      </c>
      <c r="L13" s="225" t="s">
        <v>525</v>
      </c>
      <c r="M13" s="232" t="s">
        <v>526</v>
      </c>
      <c r="N13" s="56" t="s">
        <v>520</v>
      </c>
      <c r="O13" s="56">
        <v>1570</v>
      </c>
      <c r="P13" s="228" t="str">
        <f t="shared" si="2"/>
        <v>１２３４５６７８９０１２３４５６７８９０戦いに性別は関係ない。_x000D_最後に立っていた奴が、強者だ！_x000D_わかるだろ！</v>
      </c>
      <c r="Q13" s="229">
        <f t="shared" si="3"/>
        <v>34</v>
      </c>
    </row>
    <row r="14" spans="1:18" s="260" customFormat="1" ht="84" customHeight="1" x14ac:dyDescent="0.15">
      <c r="A14" s="79" t="s">
        <v>407</v>
      </c>
      <c r="B14" s="80">
        <f>floors!$C$2</f>
        <v>49016</v>
      </c>
      <c r="C14" s="244" t="str">
        <f ca="1">VLOOKUP($B14,OFFSET([2]quests!$A$1,0,0,COUNTA([2]quests!$A:$A),MATCH(C$1,[2]quests!$1:$1,0)-MATCH($B$1,[2]quests!$1:$1,0)+1),MATCH(C$1,[2]quests!$1:$1,0)-MATCH($B$1,[2]quests!$1:$1,0)+1,FALSE)</f>
        <v>栗転</v>
      </c>
      <c r="D14" s="244" t="str">
        <f ca="1">VLOOKUP($B14,OFFSET([2]quests!$A$1,0,0,COUNTA([2]quests!$A:$A),MATCH(D$1,[2]quests!$1:$1,0)-MATCH($B$1,[2]quests!$1:$1,0)+1),MATCH(D$1,[2]quests!$1:$1,0)-MATCH($B$1,[2]quests!$1:$1,0)+1,FALSE)</f>
        <v>コラボ降臨12</v>
      </c>
      <c r="E14" s="82">
        <v>2</v>
      </c>
      <c r="F14" s="244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【ウィザード級】栗転</v>
      </c>
      <c r="G14" s="244" t="str">
        <f ca="1">VLOOKUP($B14&amp;"_"&amp;$E14,OFFSET([2]stages!$A$1,0,0,COUNTA([2]stages!$A:$A),MATCH(G$1,[2]stages!$2:$2,0)-MATCH("temp_stage",[2]stages!$2:$2,0)+1),MATCH(G$1,[2]stages!$2:$2,0)-MATCH("temp_stage",[2]stages!$2:$2,0)+1,FALSE)</f>
        <v>コラボ降臨12</v>
      </c>
      <c r="H14" s="245">
        <v>0</v>
      </c>
      <c r="I14" s="87">
        <f t="shared" si="0"/>
        <v>13</v>
      </c>
      <c r="J14" s="84" t="str">
        <f t="shared" si="1"/>
        <v>4901613</v>
      </c>
      <c r="K14" s="224" t="s">
        <v>127</v>
      </c>
      <c r="L14" s="225" t="s">
        <v>527</v>
      </c>
      <c r="M14" s="232" t="s">
        <v>562</v>
      </c>
      <c r="N14" s="56" t="s">
        <v>520</v>
      </c>
      <c r="O14" s="56">
        <v>1568</v>
      </c>
      <c r="P14" s="228" t="str">
        <f t="shared" si="2"/>
        <v>１２３４５６７８９０１２３４５６７８９０遊びがすぎます。それでは勝つ事はおろか、_x000D_私に触れる事も出来ませんね</v>
      </c>
      <c r="Q14" s="229">
        <f t="shared" si="3"/>
        <v>34</v>
      </c>
    </row>
    <row r="15" spans="1:18" s="260" customFormat="1" ht="84" customHeight="1" x14ac:dyDescent="0.15">
      <c r="A15" s="79" t="s">
        <v>407</v>
      </c>
      <c r="B15" s="80">
        <f>floors!$C$2</f>
        <v>49016</v>
      </c>
      <c r="C15" s="244" t="str">
        <f ca="1">VLOOKUP($B15,OFFSET([2]quests!$A$1,0,0,COUNTA([2]quests!$A:$A),MATCH(C$1,[2]quests!$1:$1,0)-MATCH($B$1,[2]quests!$1:$1,0)+1),MATCH(C$1,[2]quests!$1:$1,0)-MATCH($B$1,[2]quests!$1:$1,0)+1,FALSE)</f>
        <v>栗転</v>
      </c>
      <c r="D15" s="244" t="str">
        <f ca="1">VLOOKUP($B15,OFFSET([2]quests!$A$1,0,0,COUNTA([2]quests!$A:$A),MATCH(D$1,[2]quests!$1:$1,0)-MATCH($B$1,[2]quests!$1:$1,0)+1),MATCH(D$1,[2]quests!$1:$1,0)-MATCH($B$1,[2]quests!$1:$1,0)+1,FALSE)</f>
        <v>コラボ降臨12</v>
      </c>
      <c r="E15" s="82">
        <v>2</v>
      </c>
      <c r="F15" s="244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【ウィザード級】栗転</v>
      </c>
      <c r="G15" s="244" t="str">
        <f ca="1">VLOOKUP($B15&amp;"_"&amp;$E15,OFFSET([2]stages!$A$1,0,0,COUNTA([2]stages!$A:$A),MATCH(G$1,[2]stages!$2:$2,0)-MATCH("temp_stage",[2]stages!$2:$2,0)+1),MATCH(G$1,[2]stages!$2:$2,0)-MATCH("temp_stage",[2]stages!$2:$2,0)+1,FALSE)</f>
        <v>コラボ降臨12</v>
      </c>
      <c r="H15" s="245">
        <v>0</v>
      </c>
      <c r="I15" s="87">
        <f t="shared" si="0"/>
        <v>14</v>
      </c>
      <c r="J15" s="84" t="str">
        <f t="shared" si="1"/>
        <v>4901614</v>
      </c>
      <c r="K15" s="224" t="s">
        <v>127</v>
      </c>
      <c r="L15" s="225" t="s">
        <v>528</v>
      </c>
      <c r="M15" s="232" t="s">
        <v>529</v>
      </c>
      <c r="N15" s="56" t="s">
        <v>520</v>
      </c>
      <c r="O15" s="56">
        <v>1553</v>
      </c>
      <c r="P15" s="228" t="str">
        <f t="shared" si="2"/>
        <v>１２３４５６７８９０１２３４５６７８９０いったい何にしびれてる？_x000D_電撃か？それとも俺の美貌にかい？</v>
      </c>
      <c r="Q15" s="229">
        <f t="shared" si="3"/>
        <v>29</v>
      </c>
    </row>
    <row r="16" spans="1:18" s="260" customFormat="1" ht="84" customHeight="1" x14ac:dyDescent="0.15">
      <c r="A16" s="79" t="s">
        <v>407</v>
      </c>
      <c r="B16" s="80">
        <f>floors!$C$2</f>
        <v>49016</v>
      </c>
      <c r="C16" s="244" t="str">
        <f ca="1">VLOOKUP($B16,OFFSET([2]quests!$A$1,0,0,COUNTA([2]quests!$A:$A),MATCH(C$1,[2]quests!$1:$1,0)-MATCH($B$1,[2]quests!$1:$1,0)+1),MATCH(C$1,[2]quests!$1:$1,0)-MATCH($B$1,[2]quests!$1:$1,0)+1,FALSE)</f>
        <v>栗転</v>
      </c>
      <c r="D16" s="244" t="str">
        <f ca="1">VLOOKUP($B16,OFFSET([2]quests!$A$1,0,0,COUNTA([2]quests!$A:$A),MATCH(D$1,[2]quests!$1:$1,0)-MATCH($B$1,[2]quests!$1:$1,0)+1),MATCH(D$1,[2]quests!$1:$1,0)-MATCH($B$1,[2]quests!$1:$1,0)+1,FALSE)</f>
        <v>コラボ降臨12</v>
      </c>
      <c r="E16" s="82">
        <v>2</v>
      </c>
      <c r="F16" s="244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【ウィザード級】栗転</v>
      </c>
      <c r="G16" s="244" t="str">
        <f ca="1">VLOOKUP($B16&amp;"_"&amp;$E16,OFFSET([2]stages!$A$1,0,0,COUNTA([2]stages!$A:$A),MATCH(G$1,[2]stages!$2:$2,0)-MATCH("temp_stage",[2]stages!$2:$2,0)+1),MATCH(G$1,[2]stages!$2:$2,0)-MATCH("temp_stage",[2]stages!$2:$2,0)+1,FALSE)</f>
        <v>コラボ降臨12</v>
      </c>
      <c r="H16" s="245">
        <v>0</v>
      </c>
      <c r="I16" s="87">
        <f t="shared" si="0"/>
        <v>15</v>
      </c>
      <c r="J16" s="84" t="str">
        <f t="shared" si="1"/>
        <v>4901615</v>
      </c>
      <c r="K16" s="224" t="s">
        <v>127</v>
      </c>
      <c r="L16" s="225" t="s">
        <v>530</v>
      </c>
      <c r="M16" s="232" t="s">
        <v>531</v>
      </c>
      <c r="N16" s="56" t="s">
        <v>520</v>
      </c>
      <c r="O16" s="56">
        <v>1566</v>
      </c>
      <c r="P16" s="228" t="str">
        <f t="shared" si="2"/>
        <v>１２３４５６７８９０１２３４５６７８９０ナイスバディで最強の格闘家の_x000D_私に勝とうなんてやっぱ、無謀って感じぃ！</v>
      </c>
      <c r="Q16" s="229">
        <f t="shared" si="3"/>
        <v>35</v>
      </c>
    </row>
    <row r="17" spans="1:18" s="260" customFormat="1" ht="84" customHeight="1" x14ac:dyDescent="0.15">
      <c r="A17" s="79" t="s">
        <v>407</v>
      </c>
      <c r="B17" s="80">
        <f>floors!$C$2</f>
        <v>49016</v>
      </c>
      <c r="C17" s="244" t="str">
        <f ca="1">VLOOKUP($B17,OFFSET([2]quests!$A$1,0,0,COUNTA([2]quests!$A:$A),MATCH(C$1,[2]quests!$1:$1,0)-MATCH($B$1,[2]quests!$1:$1,0)+1),MATCH(C$1,[2]quests!$1:$1,0)-MATCH($B$1,[2]quests!$1:$1,0)+1,FALSE)</f>
        <v>栗転</v>
      </c>
      <c r="D17" s="244" t="str">
        <f ca="1">VLOOKUP($B17,OFFSET([2]quests!$A$1,0,0,COUNTA([2]quests!$A:$A),MATCH(D$1,[2]quests!$1:$1,0)-MATCH($B$1,[2]quests!$1:$1,0)+1),MATCH(D$1,[2]quests!$1:$1,0)-MATCH($B$1,[2]quests!$1:$1,0)+1,FALSE)</f>
        <v>コラボ降臨12</v>
      </c>
      <c r="E17" s="82">
        <v>2</v>
      </c>
      <c r="F17" s="244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【ウィザード級】栗転</v>
      </c>
      <c r="G17" s="244" t="str">
        <f ca="1">VLOOKUP($B17&amp;"_"&amp;$E17,OFFSET([2]stages!$A$1,0,0,COUNTA([2]stages!$A:$A),MATCH(G$1,[2]stages!$2:$2,0)-MATCH("temp_stage",[2]stages!$2:$2,0)+1),MATCH(G$1,[2]stages!$2:$2,0)-MATCH("temp_stage",[2]stages!$2:$2,0)+1,FALSE)</f>
        <v>コラボ降臨12</v>
      </c>
      <c r="H17" s="245">
        <v>0</v>
      </c>
      <c r="I17" s="87">
        <f t="shared" si="0"/>
        <v>16</v>
      </c>
      <c r="J17" s="84" t="str">
        <f t="shared" si="1"/>
        <v>4901616</v>
      </c>
      <c r="K17" s="224" t="s">
        <v>127</v>
      </c>
      <c r="L17" s="225" t="s">
        <v>532</v>
      </c>
      <c r="M17" s="232" t="s">
        <v>561</v>
      </c>
      <c r="N17" s="56" t="s">
        <v>520</v>
      </c>
      <c r="O17" s="56">
        <v>1551</v>
      </c>
      <c r="P17" s="228" t="str">
        <f t="shared" si="2"/>
        <v>１２３４５６７８９０１２３４５６７８９０何が足りねえかわかったろ？_x000D_へこんでる暇はないはずだぜ！</v>
      </c>
      <c r="Q17" s="229">
        <f t="shared" si="3"/>
        <v>28</v>
      </c>
    </row>
    <row r="18" spans="1:18" s="260" customFormat="1" ht="84" customHeight="1" x14ac:dyDescent="0.15">
      <c r="A18" s="79" t="s">
        <v>407</v>
      </c>
      <c r="B18" s="80">
        <f>floors!$C$2</f>
        <v>49016</v>
      </c>
      <c r="C18" s="244" t="str">
        <f ca="1">VLOOKUP($B18,OFFSET([2]quests!$A$1,0,0,COUNTA([2]quests!$A:$A),MATCH(C$1,[2]quests!$1:$1,0)-MATCH($B$1,[2]quests!$1:$1,0)+1),MATCH(C$1,[2]quests!$1:$1,0)-MATCH($B$1,[2]quests!$1:$1,0)+1,FALSE)</f>
        <v>栗転</v>
      </c>
      <c r="D18" s="244" t="str">
        <f ca="1">VLOOKUP($B18,OFFSET([2]quests!$A$1,0,0,COUNTA([2]quests!$A:$A),MATCH(D$1,[2]quests!$1:$1,0)-MATCH($B$1,[2]quests!$1:$1,0)+1),MATCH(D$1,[2]quests!$1:$1,0)-MATCH($B$1,[2]quests!$1:$1,0)+1,FALSE)</f>
        <v>コラボ降臨12</v>
      </c>
      <c r="E18" s="82">
        <v>2</v>
      </c>
      <c r="F18" s="244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【ウィザード級】栗転</v>
      </c>
      <c r="G18" s="244" t="str">
        <f ca="1">VLOOKUP($B18&amp;"_"&amp;$E18,OFFSET([2]stages!$A$1,0,0,COUNTA([2]stages!$A:$A),MATCH(G$1,[2]stages!$2:$2,0)-MATCH("temp_stage",[2]stages!$2:$2,0)+1),MATCH(G$1,[2]stages!$2:$2,0)-MATCH("temp_stage",[2]stages!$2:$2,0)+1,FALSE)</f>
        <v>コラボ降臨12</v>
      </c>
      <c r="H18" s="245">
        <v>0</v>
      </c>
      <c r="I18" s="87">
        <f t="shared" si="0"/>
        <v>17</v>
      </c>
      <c r="J18" s="84" t="str">
        <f t="shared" si="1"/>
        <v>4901617</v>
      </c>
      <c r="K18" s="224" t="s">
        <v>127</v>
      </c>
      <c r="L18" s="225" t="s">
        <v>533</v>
      </c>
      <c r="M18" s="232" t="s">
        <v>534</v>
      </c>
      <c r="N18" s="56" t="s">
        <v>520</v>
      </c>
      <c r="O18" s="56">
        <v>1555</v>
      </c>
      <c r="P18" s="228" t="str">
        <f t="shared" si="2"/>
        <v>１２３４５６７８９０１２３４５６７８９０これが答えだ…！</v>
      </c>
      <c r="Q18" s="229">
        <f t="shared" si="3"/>
        <v>8</v>
      </c>
    </row>
    <row r="19" spans="1:18" s="260" customFormat="1" ht="84" customHeight="1" x14ac:dyDescent="0.15">
      <c r="A19" s="79" t="s">
        <v>407</v>
      </c>
      <c r="B19" s="80">
        <f>floors!$C$2</f>
        <v>49016</v>
      </c>
      <c r="C19" s="244" t="str">
        <f ca="1">VLOOKUP($B19,OFFSET([2]quests!$A$1,0,0,COUNTA([2]quests!$A:$A),MATCH(C$1,[2]quests!$1:$1,0)-MATCH($B$1,[2]quests!$1:$1,0)+1),MATCH(C$1,[2]quests!$1:$1,0)-MATCH($B$1,[2]quests!$1:$1,0)+1,FALSE)</f>
        <v>栗転</v>
      </c>
      <c r="D19" s="244" t="str">
        <f ca="1">VLOOKUP($B19,OFFSET([2]quests!$A$1,0,0,COUNTA([2]quests!$A:$A),MATCH(D$1,[2]quests!$1:$1,0)-MATCH($B$1,[2]quests!$1:$1,0)+1),MATCH(D$1,[2]quests!$1:$1,0)-MATCH($B$1,[2]quests!$1:$1,0)+1,FALSE)</f>
        <v>コラボ降臨12</v>
      </c>
      <c r="E19" s="82">
        <v>2</v>
      </c>
      <c r="F19" s="244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【ウィザード級】栗転</v>
      </c>
      <c r="G19" s="244" t="str">
        <f ca="1">VLOOKUP($B19&amp;"_"&amp;$E19,OFFSET([2]stages!$A$1,0,0,COUNTA([2]stages!$A:$A),MATCH(G$1,[2]stages!$2:$2,0)-MATCH("temp_stage",[2]stages!$2:$2,0)+1),MATCH(G$1,[2]stages!$2:$2,0)-MATCH("temp_stage",[2]stages!$2:$2,0)+1,FALSE)</f>
        <v>コラボ降臨12</v>
      </c>
      <c r="H19" s="245">
        <v>0</v>
      </c>
      <c r="I19" s="87">
        <f t="shared" si="0"/>
        <v>18</v>
      </c>
      <c r="J19" s="84" t="str">
        <f t="shared" si="1"/>
        <v>4901618</v>
      </c>
      <c r="K19" s="224" t="s">
        <v>127</v>
      </c>
      <c r="L19" s="225" t="s">
        <v>535</v>
      </c>
      <c r="M19" s="232" t="s">
        <v>536</v>
      </c>
      <c r="N19" s="56" t="s">
        <v>520</v>
      </c>
      <c r="O19" s="56">
        <v>1556</v>
      </c>
      <c r="P19" s="228" t="str">
        <f t="shared" si="2"/>
        <v>１２３４５６７８９０１２３４５６７８９０絶対無比の空手！_x000D_それが極限流だ！覚えておく事だぜ！</v>
      </c>
      <c r="Q19" s="229">
        <f t="shared" si="3"/>
        <v>26</v>
      </c>
    </row>
    <row r="20" spans="1:18" s="260" customFormat="1" ht="84" customHeight="1" x14ac:dyDescent="0.15">
      <c r="A20" s="79" t="s">
        <v>407</v>
      </c>
      <c r="B20" s="80">
        <f>floors!$C$2</f>
        <v>49016</v>
      </c>
      <c r="C20" s="244" t="str">
        <f ca="1">VLOOKUP($B20,OFFSET([2]quests!$A$1,0,0,COUNTA([2]quests!$A:$A),MATCH(C$1,[2]quests!$1:$1,0)-MATCH($B$1,[2]quests!$1:$1,0)+1),MATCH(C$1,[2]quests!$1:$1,0)-MATCH($B$1,[2]quests!$1:$1,0)+1,FALSE)</f>
        <v>栗転</v>
      </c>
      <c r="D20" s="244" t="str">
        <f ca="1">VLOOKUP($B20,OFFSET([2]quests!$A$1,0,0,COUNTA([2]quests!$A:$A),MATCH(D$1,[2]quests!$1:$1,0)-MATCH($B$1,[2]quests!$1:$1,0)+1),MATCH(D$1,[2]quests!$1:$1,0)-MATCH($B$1,[2]quests!$1:$1,0)+1,FALSE)</f>
        <v>コラボ降臨12</v>
      </c>
      <c r="E20" s="82">
        <v>2</v>
      </c>
      <c r="F20" s="244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【ウィザード級】栗転</v>
      </c>
      <c r="G20" s="244" t="str">
        <f ca="1">VLOOKUP($B20&amp;"_"&amp;$E20,OFFSET([2]stages!$A$1,0,0,COUNTA([2]stages!$A:$A),MATCH(G$1,[2]stages!$2:$2,0)-MATCH("temp_stage",[2]stages!$2:$2,0)+1),MATCH(G$1,[2]stages!$2:$2,0)-MATCH("temp_stage",[2]stages!$2:$2,0)+1,FALSE)</f>
        <v>コラボ降臨12</v>
      </c>
      <c r="H20" s="245">
        <v>0</v>
      </c>
      <c r="I20" s="87">
        <f t="shared" si="0"/>
        <v>19</v>
      </c>
      <c r="J20" s="84" t="str">
        <f t="shared" si="1"/>
        <v>4901619</v>
      </c>
      <c r="K20" s="224" t="s">
        <v>127</v>
      </c>
      <c r="L20" s="225" t="s">
        <v>537</v>
      </c>
      <c r="M20" s="232" t="s">
        <v>538</v>
      </c>
      <c r="N20" s="56" t="s">
        <v>520</v>
      </c>
      <c r="O20" s="56">
        <v>1558</v>
      </c>
      <c r="P20" s="228" t="str">
        <f t="shared" si="2"/>
        <v>１２３４５６７８９０１２３４５６７８９０勝負は勝負！_x000D_負けたからってスネちゃダメよ！</v>
      </c>
      <c r="Q20" s="229">
        <f t="shared" si="3"/>
        <v>22</v>
      </c>
    </row>
    <row r="21" spans="1:18" s="260" customFormat="1" ht="84" customHeight="1" x14ac:dyDescent="0.15">
      <c r="A21" s="79" t="s">
        <v>407</v>
      </c>
      <c r="B21" s="80">
        <f>floors!$C$2</f>
        <v>49016</v>
      </c>
      <c r="C21" s="244" t="str">
        <f ca="1">VLOOKUP($B21,OFFSET([2]quests!$A$1,0,0,COUNTA([2]quests!$A:$A),MATCH(C$1,[2]quests!$1:$1,0)-MATCH($B$1,[2]quests!$1:$1,0)+1),MATCH(C$1,[2]quests!$1:$1,0)-MATCH($B$1,[2]quests!$1:$1,0)+1,FALSE)</f>
        <v>栗転</v>
      </c>
      <c r="D21" s="244" t="str">
        <f ca="1">VLOOKUP($B21,OFFSET([2]quests!$A$1,0,0,COUNTA([2]quests!$A:$A),MATCH(D$1,[2]quests!$1:$1,0)-MATCH($B$1,[2]quests!$1:$1,0)+1),MATCH(D$1,[2]quests!$1:$1,0)-MATCH($B$1,[2]quests!$1:$1,0)+1,FALSE)</f>
        <v>コラボ降臨12</v>
      </c>
      <c r="E21" s="82">
        <v>2</v>
      </c>
      <c r="F21" s="244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【ウィザード級】栗転</v>
      </c>
      <c r="G21" s="244" t="str">
        <f ca="1">VLOOKUP($B21&amp;"_"&amp;$E21,OFFSET([2]stages!$A$1,0,0,COUNTA([2]stages!$A:$A),MATCH(G$1,[2]stages!$2:$2,0)-MATCH("temp_stage",[2]stages!$2:$2,0)+1),MATCH(G$1,[2]stages!$2:$2,0)-MATCH("temp_stage",[2]stages!$2:$2,0)+1,FALSE)</f>
        <v>コラボ降臨12</v>
      </c>
      <c r="H21" s="245">
        <v>0</v>
      </c>
      <c r="I21" s="87">
        <f t="shared" si="0"/>
        <v>20</v>
      </c>
      <c r="J21" s="84" t="str">
        <f t="shared" si="1"/>
        <v>4901620</v>
      </c>
      <c r="K21" s="224" t="s">
        <v>127</v>
      </c>
      <c r="L21" s="225" t="s">
        <v>539</v>
      </c>
      <c r="M21" s="232" t="s">
        <v>540</v>
      </c>
      <c r="N21" s="56" t="s">
        <v>520</v>
      </c>
      <c r="O21" s="56">
        <v>1560</v>
      </c>
      <c r="P21" s="228" t="str">
        <f t="shared" si="2"/>
        <v>１２３４５６７８９０１２３４５６７８９０ワイの力みくびるなんて_x000D_まだまだ、ひよっこって事やな！</v>
      </c>
      <c r="Q21" s="229">
        <f t="shared" si="3"/>
        <v>27</v>
      </c>
    </row>
    <row r="22" spans="1:18" s="260" customFormat="1" ht="84" customHeight="1" x14ac:dyDescent="0.15">
      <c r="A22" s="79" t="s">
        <v>407</v>
      </c>
      <c r="B22" s="80">
        <f>floors!$C$2</f>
        <v>49016</v>
      </c>
      <c r="C22" s="244" t="str">
        <f ca="1">VLOOKUP($B22,OFFSET([2]quests!$A$1,0,0,COUNTA([2]quests!$A:$A),MATCH(C$1,[2]quests!$1:$1,0)-MATCH($B$1,[2]quests!$1:$1,0)+1),MATCH(C$1,[2]quests!$1:$1,0)-MATCH($B$1,[2]quests!$1:$1,0)+1,FALSE)</f>
        <v>栗転</v>
      </c>
      <c r="D22" s="244" t="str">
        <f ca="1">VLOOKUP($B22,OFFSET([2]quests!$A$1,0,0,COUNTA([2]quests!$A:$A),MATCH(D$1,[2]quests!$1:$1,0)-MATCH($B$1,[2]quests!$1:$1,0)+1),MATCH(D$1,[2]quests!$1:$1,0)-MATCH($B$1,[2]quests!$1:$1,0)+1,FALSE)</f>
        <v>コラボ降臨12</v>
      </c>
      <c r="E22" s="82">
        <v>2</v>
      </c>
      <c r="F22" s="244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【ウィザード級】栗転</v>
      </c>
      <c r="G22" s="244" t="str">
        <f ca="1">VLOOKUP($B22&amp;"_"&amp;$E22,OFFSET([2]stages!$A$1,0,0,COUNTA([2]stages!$A:$A),MATCH(G$1,[2]stages!$2:$2,0)-MATCH("temp_stage",[2]stages!$2:$2,0)+1),MATCH(G$1,[2]stages!$2:$2,0)-MATCH("temp_stage",[2]stages!$2:$2,0)+1,FALSE)</f>
        <v>コラボ降臨12</v>
      </c>
      <c r="H22" s="245">
        <v>0</v>
      </c>
      <c r="I22" s="87">
        <f t="shared" si="0"/>
        <v>21</v>
      </c>
      <c r="J22" s="84" t="str">
        <f t="shared" si="1"/>
        <v>4901621</v>
      </c>
      <c r="K22" s="224" t="s">
        <v>127</v>
      </c>
      <c r="L22" s="225" t="s">
        <v>541</v>
      </c>
      <c r="M22" s="232" t="s">
        <v>542</v>
      </c>
      <c r="N22" s="56" t="s">
        <v>520</v>
      </c>
      <c r="O22" s="56">
        <v>1561</v>
      </c>
      <c r="P22" s="228" t="str">
        <f t="shared" si="2"/>
        <v>１２３４５６７８９０１２３４５６７８９０甘い夢を見続けるなら、_x000D_夢の中だけで十分だぜ！_x000D_現実は厳しいって事だ！</v>
      </c>
      <c r="Q22" s="229">
        <f t="shared" si="3"/>
        <v>35</v>
      </c>
    </row>
    <row r="23" spans="1:18" s="260" customFormat="1" ht="84" customHeight="1" x14ac:dyDescent="0.15">
      <c r="A23" s="79" t="s">
        <v>407</v>
      </c>
      <c r="B23" s="80">
        <f>floors!$C$2</f>
        <v>49016</v>
      </c>
      <c r="C23" s="244" t="str">
        <f ca="1">VLOOKUP($B23,OFFSET([2]quests!$A$1,0,0,COUNTA([2]quests!$A:$A),MATCH(C$1,[2]quests!$1:$1,0)-MATCH($B$1,[2]quests!$1:$1,0)+1),MATCH(C$1,[2]quests!$1:$1,0)-MATCH($B$1,[2]quests!$1:$1,0)+1,FALSE)</f>
        <v>栗転</v>
      </c>
      <c r="D23" s="244" t="str">
        <f ca="1">VLOOKUP($B23,OFFSET([2]quests!$A$1,0,0,COUNTA([2]quests!$A:$A),MATCH(D$1,[2]quests!$1:$1,0)-MATCH($B$1,[2]quests!$1:$1,0)+1),MATCH(D$1,[2]quests!$1:$1,0)-MATCH($B$1,[2]quests!$1:$1,0)+1,FALSE)</f>
        <v>コラボ降臨12</v>
      </c>
      <c r="E23" s="82">
        <v>2</v>
      </c>
      <c r="F23" s="244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【ウィザード級】栗転</v>
      </c>
      <c r="G23" s="244" t="str">
        <f ca="1">VLOOKUP($B23&amp;"_"&amp;$E23,OFFSET([2]stages!$A$1,0,0,COUNTA([2]stages!$A:$A),MATCH(G$1,[2]stages!$2:$2,0)-MATCH("temp_stage",[2]stages!$2:$2,0)+1),MATCH(G$1,[2]stages!$2:$2,0)-MATCH("temp_stage",[2]stages!$2:$2,0)+1,FALSE)</f>
        <v>コラボ降臨12</v>
      </c>
      <c r="H23" s="245">
        <v>0</v>
      </c>
      <c r="I23" s="87">
        <f t="shared" si="0"/>
        <v>22</v>
      </c>
      <c r="J23" s="84" t="str">
        <f t="shared" si="1"/>
        <v>4901622</v>
      </c>
      <c r="K23" s="224" t="s">
        <v>127</v>
      </c>
      <c r="L23" s="225" t="s">
        <v>543</v>
      </c>
      <c r="M23" s="232" t="s">
        <v>544</v>
      </c>
      <c r="N23" s="56" t="s">
        <v>520</v>
      </c>
      <c r="O23" s="56">
        <v>1563</v>
      </c>
      <c r="P23" s="228" t="str">
        <f t="shared" si="2"/>
        <v>１２３４５６７８９０１２３４５６７８９０相手の力量を見誤ると大怪我するよ。_x000D_気をつけるんだ！</v>
      </c>
      <c r="Q23" s="229">
        <f t="shared" si="3"/>
        <v>26</v>
      </c>
    </row>
    <row r="24" spans="1:18" s="260" customFormat="1" ht="84" customHeight="1" x14ac:dyDescent="0.15">
      <c r="A24" s="79" t="s">
        <v>407</v>
      </c>
      <c r="B24" s="80">
        <f>floors!$C$2</f>
        <v>49016</v>
      </c>
      <c r="C24" s="244" t="str">
        <f ca="1">VLOOKUP($B24,OFFSET([2]quests!$A$1,0,0,COUNTA([2]quests!$A:$A),MATCH(C$1,[2]quests!$1:$1,0)-MATCH($B$1,[2]quests!$1:$1,0)+1),MATCH(C$1,[2]quests!$1:$1,0)-MATCH($B$1,[2]quests!$1:$1,0)+1,FALSE)</f>
        <v>栗転</v>
      </c>
      <c r="D24" s="244" t="str">
        <f ca="1">VLOOKUP($B24,OFFSET([2]quests!$A$1,0,0,COUNTA([2]quests!$A:$A),MATCH(D$1,[2]quests!$1:$1,0)-MATCH($B$1,[2]quests!$1:$1,0)+1),MATCH(D$1,[2]quests!$1:$1,0)-MATCH($B$1,[2]quests!$1:$1,0)+1,FALSE)</f>
        <v>コラボ降臨12</v>
      </c>
      <c r="E24" s="82">
        <v>2</v>
      </c>
      <c r="F24" s="244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【ウィザード級】栗転</v>
      </c>
      <c r="G24" s="244" t="str">
        <f ca="1">VLOOKUP($B24&amp;"_"&amp;$E24,OFFSET([2]stages!$A$1,0,0,COUNTA([2]stages!$A:$A),MATCH(G$1,[2]stages!$2:$2,0)-MATCH("temp_stage",[2]stages!$2:$2,0)+1),MATCH(G$1,[2]stages!$2:$2,0)-MATCH("temp_stage",[2]stages!$2:$2,0)+1,FALSE)</f>
        <v>コラボ降臨12</v>
      </c>
      <c r="H24" s="245">
        <v>0</v>
      </c>
      <c r="I24" s="87">
        <f t="shared" si="0"/>
        <v>23</v>
      </c>
      <c r="J24" s="84" t="str">
        <f t="shared" si="1"/>
        <v>4901623</v>
      </c>
      <c r="K24" s="224" t="s">
        <v>127</v>
      </c>
      <c r="L24" s="225" t="s">
        <v>545</v>
      </c>
      <c r="M24" s="232" t="s">
        <v>546</v>
      </c>
      <c r="N24" s="56" t="s">
        <v>520</v>
      </c>
      <c r="O24" s="56">
        <v>1565</v>
      </c>
      <c r="P24" s="228" t="str">
        <f t="shared" si="2"/>
        <v>１２３４５６７８９０１２３４５６７８９０勝利者はいつもこの俺！ジョー東様よ！_x000D_そこんとこ勘違いしちゃいけねーぜ！</v>
      </c>
      <c r="Q24" s="229">
        <f t="shared" si="3"/>
        <v>36</v>
      </c>
    </row>
    <row r="25" spans="1:18" s="260" customFormat="1" ht="84" customHeight="1" x14ac:dyDescent="0.15">
      <c r="A25" s="79" t="s">
        <v>407</v>
      </c>
      <c r="B25" s="80">
        <f>floors!$C$2</f>
        <v>49016</v>
      </c>
      <c r="C25" s="244" t="str">
        <f ca="1">VLOOKUP($B25,OFFSET([2]quests!$A$1,0,0,COUNTA([2]quests!$A:$A),MATCH(C$1,[2]quests!$1:$1,0)-MATCH($B$1,[2]quests!$1:$1,0)+1),MATCH(C$1,[2]quests!$1:$1,0)-MATCH($B$1,[2]quests!$1:$1,0)+1,FALSE)</f>
        <v>栗転</v>
      </c>
      <c r="D25" s="244" t="str">
        <f ca="1">VLOOKUP($B25,OFFSET([2]quests!$A$1,0,0,COUNTA([2]quests!$A:$A),MATCH(D$1,[2]quests!$1:$1,0)-MATCH($B$1,[2]quests!$1:$1,0)+1),MATCH(D$1,[2]quests!$1:$1,0)-MATCH($B$1,[2]quests!$1:$1,0)+1,FALSE)</f>
        <v>コラボ降臨12</v>
      </c>
      <c r="E25" s="82">
        <v>2</v>
      </c>
      <c r="F25" s="244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【ウィザード級】栗転</v>
      </c>
      <c r="G25" s="244" t="str">
        <f ca="1">VLOOKUP($B25&amp;"_"&amp;$E25,OFFSET([2]stages!$A$1,0,0,COUNTA([2]stages!$A:$A),MATCH(G$1,[2]stages!$2:$2,0)-MATCH("temp_stage",[2]stages!$2:$2,0)+1),MATCH(G$1,[2]stages!$2:$2,0)-MATCH("temp_stage",[2]stages!$2:$2,0)+1,FALSE)</f>
        <v>コラボ降臨12</v>
      </c>
      <c r="H25" s="245">
        <v>0</v>
      </c>
      <c r="I25" s="87">
        <f t="shared" si="0"/>
        <v>24</v>
      </c>
      <c r="J25" s="84" t="str">
        <f t="shared" si="1"/>
        <v>4901624</v>
      </c>
      <c r="K25" s="224" t="s">
        <v>127</v>
      </c>
      <c r="L25" s="225" t="s">
        <v>547</v>
      </c>
      <c r="M25" s="232" t="s">
        <v>548</v>
      </c>
      <c r="N25" s="56" t="s">
        <v>520</v>
      </c>
      <c r="O25" s="56">
        <v>1571</v>
      </c>
      <c r="P25" s="228" t="str">
        <f t="shared" si="2"/>
        <v>１２３４５６７８９０１２３４５６７８９０失せろ！キサマ等にくれてやるのは_x000D_痛み、苦しみという名の慈悲だけだ！！！</v>
      </c>
      <c r="Q25" s="229">
        <f t="shared" si="3"/>
        <v>36</v>
      </c>
    </row>
    <row r="26" spans="1:18" s="260" customFormat="1" ht="84" customHeight="1" x14ac:dyDescent="0.15">
      <c r="A26" s="79" t="s">
        <v>407</v>
      </c>
      <c r="B26" s="80">
        <f>floors!$C$2</f>
        <v>49016</v>
      </c>
      <c r="C26" s="244" t="str">
        <f ca="1">VLOOKUP($B26,OFFSET([2]quests!$A$1,0,0,COUNTA([2]quests!$A:$A),MATCH(C$1,[2]quests!$1:$1,0)-MATCH($B$1,[2]quests!$1:$1,0)+1),MATCH(C$1,[2]quests!$1:$1,0)-MATCH($B$1,[2]quests!$1:$1,0)+1,FALSE)</f>
        <v>栗転</v>
      </c>
      <c r="D26" s="244" t="str">
        <f ca="1">VLOOKUP($B26,OFFSET([2]quests!$A$1,0,0,COUNTA([2]quests!$A:$A),MATCH(D$1,[2]quests!$1:$1,0)-MATCH($B$1,[2]quests!$1:$1,0)+1),MATCH(D$1,[2]quests!$1:$1,0)-MATCH($B$1,[2]quests!$1:$1,0)+1,FALSE)</f>
        <v>コラボ降臨12</v>
      </c>
      <c r="E26" s="82">
        <v>2</v>
      </c>
      <c r="F26" s="244" t="str">
        <f ca="1">VLOOKUP($B26&amp;"_"&amp;$E26,OFFSET([2]stages!$A$1,0,0,COUNTA([2]stages!$A:$A),MATCH(F$1,[2]stages!$2:$2,0)-MATCH("temp_stage",[2]stages!$2:$2,0)+1),MATCH(F$1,[2]stages!$2:$2,0)-MATCH("temp_stage",[2]stages!$2:$2,0)+1,FALSE)</f>
        <v>【ウィザード級】栗転</v>
      </c>
      <c r="G26" s="244" t="str">
        <f ca="1">VLOOKUP($B26&amp;"_"&amp;$E26,OFFSET([2]stages!$A$1,0,0,COUNTA([2]stages!$A:$A),MATCH(G$1,[2]stages!$2:$2,0)-MATCH("temp_stage",[2]stages!$2:$2,0)+1),MATCH(G$1,[2]stages!$2:$2,0)-MATCH("temp_stage",[2]stages!$2:$2,0)+1,FALSE)</f>
        <v>コラボ降臨12</v>
      </c>
      <c r="H26" s="245">
        <v>0</v>
      </c>
      <c r="I26" s="87">
        <f t="shared" si="0"/>
        <v>25</v>
      </c>
      <c r="J26" s="84" t="str">
        <f t="shared" si="1"/>
        <v>4901625</v>
      </c>
      <c r="K26" s="224" t="s">
        <v>127</v>
      </c>
      <c r="L26" s="225" t="s">
        <v>549</v>
      </c>
      <c r="M26" s="232" t="s">
        <v>550</v>
      </c>
      <c r="N26" s="56" t="s">
        <v>520</v>
      </c>
      <c r="O26" s="56">
        <v>1573</v>
      </c>
      <c r="P26" s="228" t="str">
        <f t="shared" si="2"/>
        <v>１２３４５６７８９０１２３４５６７８９０意識が無くなるまでしばらくあるよ。_x000D_好きな歌でも口ずさんで待つんだね</v>
      </c>
      <c r="Q26" s="229">
        <f t="shared" si="3"/>
        <v>34</v>
      </c>
    </row>
    <row r="27" spans="1:18" s="260" customFormat="1" ht="84" customHeight="1" x14ac:dyDescent="0.15">
      <c r="A27" s="79" t="s">
        <v>407</v>
      </c>
      <c r="B27" s="80">
        <f>floors!$C$2</f>
        <v>49016</v>
      </c>
      <c r="C27" s="244" t="str">
        <f ca="1">VLOOKUP($B27,OFFSET([2]quests!$A$1,0,0,COUNTA([2]quests!$A:$A),MATCH(C$1,[2]quests!$1:$1,0)-MATCH($B$1,[2]quests!$1:$1,0)+1),MATCH(C$1,[2]quests!$1:$1,0)-MATCH($B$1,[2]quests!$1:$1,0)+1,FALSE)</f>
        <v>栗転</v>
      </c>
      <c r="D27" s="244" t="str">
        <f ca="1">VLOOKUP($B27,OFFSET([2]quests!$A$1,0,0,COUNTA([2]quests!$A:$A),MATCH(D$1,[2]quests!$1:$1,0)-MATCH($B$1,[2]quests!$1:$1,0)+1),MATCH(D$1,[2]quests!$1:$1,0)-MATCH($B$1,[2]quests!$1:$1,0)+1,FALSE)</f>
        <v>コラボ降臨12</v>
      </c>
      <c r="E27" s="82">
        <v>2</v>
      </c>
      <c r="F27" s="244" t="str">
        <f ca="1">VLOOKUP($B27&amp;"_"&amp;$E27,OFFSET([2]stages!$A$1,0,0,COUNTA([2]stages!$A:$A),MATCH(F$1,[2]stages!$2:$2,0)-MATCH("temp_stage",[2]stages!$2:$2,0)+1),MATCH(F$1,[2]stages!$2:$2,0)-MATCH("temp_stage",[2]stages!$2:$2,0)+1,FALSE)</f>
        <v>【ウィザード級】栗転</v>
      </c>
      <c r="G27" s="244" t="str">
        <f ca="1">VLOOKUP($B27&amp;"_"&amp;$E27,OFFSET([2]stages!$A$1,0,0,COUNTA([2]stages!$A:$A),MATCH(G$1,[2]stages!$2:$2,0)-MATCH("temp_stage",[2]stages!$2:$2,0)+1),MATCH(G$1,[2]stages!$2:$2,0)-MATCH("temp_stage",[2]stages!$2:$2,0)+1,FALSE)</f>
        <v>コラボ降臨12</v>
      </c>
      <c r="H27" s="245">
        <v>0</v>
      </c>
      <c r="I27" s="87">
        <f t="shared" si="0"/>
        <v>26</v>
      </c>
      <c r="J27" s="84" t="str">
        <f t="shared" si="1"/>
        <v>4901626</v>
      </c>
      <c r="K27" s="224" t="s">
        <v>127</v>
      </c>
      <c r="L27" s="225" t="s">
        <v>551</v>
      </c>
      <c r="M27" s="232" t="s">
        <v>552</v>
      </c>
      <c r="N27" s="56" t="s">
        <v>520</v>
      </c>
      <c r="O27" s="56">
        <v>1574</v>
      </c>
      <c r="P27" s="228" t="str">
        <f t="shared" si="2"/>
        <v>１２３４５６７８９０１２３４５６７８９０おやすみなさい。百万回のごきげんよう…</v>
      </c>
      <c r="Q27" s="229">
        <f t="shared" si="3"/>
        <v>19</v>
      </c>
    </row>
    <row r="28" spans="1:18" s="260" customFormat="1" ht="84" customHeight="1" x14ac:dyDescent="0.15">
      <c r="A28" s="79" t="s">
        <v>407</v>
      </c>
      <c r="B28" s="80">
        <f>floors!$C$2</f>
        <v>49016</v>
      </c>
      <c r="C28" s="244" t="str">
        <f ca="1">VLOOKUP($B28,OFFSET([2]quests!$A$1,0,0,COUNTA([2]quests!$A:$A),MATCH(C$1,[2]quests!$1:$1,0)-MATCH($B$1,[2]quests!$1:$1,0)+1),MATCH(C$1,[2]quests!$1:$1,0)-MATCH($B$1,[2]quests!$1:$1,0)+1,FALSE)</f>
        <v>栗転</v>
      </c>
      <c r="D28" s="244" t="str">
        <f ca="1">VLOOKUP($B28,OFFSET([2]quests!$A$1,0,0,COUNTA([2]quests!$A:$A),MATCH(D$1,[2]quests!$1:$1,0)-MATCH($B$1,[2]quests!$1:$1,0)+1),MATCH(D$1,[2]quests!$1:$1,0)-MATCH($B$1,[2]quests!$1:$1,0)+1,FALSE)</f>
        <v>コラボ降臨12</v>
      </c>
      <c r="E28" s="82">
        <v>2</v>
      </c>
      <c r="F28" s="244" t="str">
        <f ca="1">VLOOKUP($B28&amp;"_"&amp;$E28,OFFSET([2]stages!$A$1,0,0,COUNTA([2]stages!$A:$A),MATCH(F$1,[2]stages!$2:$2,0)-MATCH("temp_stage",[2]stages!$2:$2,0)+1),MATCH(F$1,[2]stages!$2:$2,0)-MATCH("temp_stage",[2]stages!$2:$2,0)+1,FALSE)</f>
        <v>【ウィザード級】栗転</v>
      </c>
      <c r="G28" s="244" t="str">
        <f ca="1">VLOOKUP($B28&amp;"_"&amp;$E28,OFFSET([2]stages!$A$1,0,0,COUNTA([2]stages!$A:$A),MATCH(G$1,[2]stages!$2:$2,0)-MATCH("temp_stage",[2]stages!$2:$2,0)+1),MATCH(G$1,[2]stages!$2:$2,0)-MATCH("temp_stage",[2]stages!$2:$2,0)+1,FALSE)</f>
        <v>コラボ降臨12</v>
      </c>
      <c r="H28" s="245">
        <v>0</v>
      </c>
      <c r="I28" s="87">
        <f t="shared" si="0"/>
        <v>27</v>
      </c>
      <c r="J28" s="84" t="str">
        <f t="shared" si="1"/>
        <v>4901627</v>
      </c>
      <c r="K28" s="224" t="s">
        <v>127</v>
      </c>
      <c r="L28" s="225" t="s">
        <v>553</v>
      </c>
      <c r="M28" s="232" t="s">
        <v>554</v>
      </c>
      <c r="N28" s="56" t="s">
        <v>520</v>
      </c>
      <c r="O28" s="56">
        <v>1575</v>
      </c>
      <c r="P28" s="228" t="str">
        <f t="shared" si="2"/>
        <v>１２３４５６７８９０１２３４５６７８９０いい試合でした。_x000D_私もつい本気になってしまったようです！_x000D_ハッハッハ！！</v>
      </c>
      <c r="Q28" s="229">
        <f t="shared" si="3"/>
        <v>36</v>
      </c>
    </row>
    <row r="29" spans="1:18" s="260" customFormat="1" ht="84" customHeight="1" x14ac:dyDescent="0.15">
      <c r="A29" s="79" t="s">
        <v>407</v>
      </c>
      <c r="B29" s="80">
        <f>floors!$C$2</f>
        <v>49016</v>
      </c>
      <c r="C29" s="244" t="str">
        <f ca="1">VLOOKUP($B29,OFFSET([2]quests!$A$1,0,0,COUNTA([2]quests!$A:$A),MATCH(C$1,[2]quests!$1:$1,0)-MATCH($B$1,[2]quests!$1:$1,0)+1),MATCH(C$1,[2]quests!$1:$1,0)-MATCH($B$1,[2]quests!$1:$1,0)+1,FALSE)</f>
        <v>栗転</v>
      </c>
      <c r="D29" s="244" t="str">
        <f ca="1">VLOOKUP($B29,OFFSET([2]quests!$A$1,0,0,COUNTA([2]quests!$A:$A),MATCH(D$1,[2]quests!$1:$1,0)-MATCH($B$1,[2]quests!$1:$1,0)+1),MATCH(D$1,[2]quests!$1:$1,0)-MATCH($B$1,[2]quests!$1:$1,0)+1,FALSE)</f>
        <v>コラボ降臨12</v>
      </c>
      <c r="E29" s="82">
        <v>2</v>
      </c>
      <c r="F29" s="244" t="str">
        <f ca="1">VLOOKUP($B29&amp;"_"&amp;$E29,OFFSET([2]stages!$A$1,0,0,COUNTA([2]stages!$A:$A),MATCH(F$1,[2]stages!$2:$2,0)-MATCH("temp_stage",[2]stages!$2:$2,0)+1),MATCH(F$1,[2]stages!$2:$2,0)-MATCH("temp_stage",[2]stages!$2:$2,0)+1,FALSE)</f>
        <v>【ウィザード級】栗転</v>
      </c>
      <c r="G29" s="244" t="str">
        <f ca="1">VLOOKUP($B29&amp;"_"&amp;$E29,OFFSET([2]stages!$A$1,0,0,COUNTA([2]stages!$A:$A),MATCH(G$1,[2]stages!$2:$2,0)-MATCH("temp_stage",[2]stages!$2:$2,0)+1),MATCH(G$1,[2]stages!$2:$2,0)-MATCH("temp_stage",[2]stages!$2:$2,0)+1,FALSE)</f>
        <v>コラボ降臨12</v>
      </c>
      <c r="H29" s="245">
        <v>0</v>
      </c>
      <c r="I29" s="87">
        <f t="shared" si="0"/>
        <v>28</v>
      </c>
      <c r="J29" s="84" t="str">
        <f t="shared" si="1"/>
        <v>4901628</v>
      </c>
      <c r="K29" s="224" t="s">
        <v>127</v>
      </c>
      <c r="L29" s="225" t="s">
        <v>555</v>
      </c>
      <c r="M29" s="232" t="s">
        <v>556</v>
      </c>
      <c r="N29" s="56" t="s">
        <v>520</v>
      </c>
      <c r="O29" s="56">
        <v>1577</v>
      </c>
      <c r="P29" s="228" t="str">
        <f t="shared" si="2"/>
        <v>１２３４５６７８９０１２３４５６７８９０ってゆっかー、じぶんらよわすぎぃー、_x000D_みたいなぁーでヤンスぅー</v>
      </c>
      <c r="Q29" s="229">
        <f t="shared" si="3"/>
        <v>31</v>
      </c>
    </row>
    <row r="30" spans="1:18" s="260" customFormat="1" ht="84" customHeight="1" x14ac:dyDescent="0.15">
      <c r="A30" s="79" t="s">
        <v>407</v>
      </c>
      <c r="B30" s="80">
        <f>floors!$C$2</f>
        <v>49016</v>
      </c>
      <c r="C30" s="244" t="str">
        <f ca="1">VLOOKUP($B30,OFFSET([2]quests!$A$1,0,0,COUNTA([2]quests!$A:$A),MATCH(C$1,[2]quests!$1:$1,0)-MATCH($B$1,[2]quests!$1:$1,0)+1),MATCH(C$1,[2]quests!$1:$1,0)-MATCH($B$1,[2]quests!$1:$1,0)+1,FALSE)</f>
        <v>栗転</v>
      </c>
      <c r="D30" s="244" t="str">
        <f ca="1">VLOOKUP($B30,OFFSET([2]quests!$A$1,0,0,COUNTA([2]quests!$A:$A),MATCH(D$1,[2]quests!$1:$1,0)-MATCH($B$1,[2]quests!$1:$1,0)+1),MATCH(D$1,[2]quests!$1:$1,0)-MATCH($B$1,[2]quests!$1:$1,0)+1,FALSE)</f>
        <v>コラボ降臨12</v>
      </c>
      <c r="E30" s="82">
        <v>2</v>
      </c>
      <c r="F30" s="244" t="str">
        <f ca="1">VLOOKUP($B30&amp;"_"&amp;$E30,OFFSET([2]stages!$A$1,0,0,COUNTA([2]stages!$A:$A),MATCH(F$1,[2]stages!$2:$2,0)-MATCH("temp_stage",[2]stages!$2:$2,0)+1),MATCH(F$1,[2]stages!$2:$2,0)-MATCH("temp_stage",[2]stages!$2:$2,0)+1,FALSE)</f>
        <v>【ウィザード級】栗転</v>
      </c>
      <c r="G30" s="244" t="str">
        <f ca="1">VLOOKUP($B30&amp;"_"&amp;$E30,OFFSET([2]stages!$A$1,0,0,COUNTA([2]stages!$A:$A),MATCH(G$1,[2]stages!$2:$2,0)-MATCH("temp_stage",[2]stages!$2:$2,0)+1),MATCH(G$1,[2]stages!$2:$2,0)-MATCH("temp_stage",[2]stages!$2:$2,0)+1,FALSE)</f>
        <v>コラボ降臨12</v>
      </c>
      <c r="H30" s="245">
        <v>0</v>
      </c>
      <c r="I30" s="87">
        <f t="shared" si="0"/>
        <v>29</v>
      </c>
      <c r="J30" s="84" t="str">
        <f t="shared" si="1"/>
        <v>4901629</v>
      </c>
      <c r="K30" s="224" t="s">
        <v>127</v>
      </c>
      <c r="L30" s="225" t="s">
        <v>557</v>
      </c>
      <c r="M30" s="232" t="s">
        <v>558</v>
      </c>
      <c r="N30" s="56" t="s">
        <v>520</v>
      </c>
      <c r="O30" s="56">
        <v>1578</v>
      </c>
      <c r="P30" s="228" t="str">
        <f t="shared" si="2"/>
        <v>１２３４５６７８９０１２３４５６７８９０なんでぇ。_x000D_もう、オレのオモチャが壊れちまったぜ！！_x000D_面白くねえな！</v>
      </c>
      <c r="Q30" s="229">
        <f t="shared" si="3"/>
        <v>34</v>
      </c>
    </row>
    <row r="31" spans="1:18" s="261" customFormat="1" ht="84" customHeight="1" thickBot="1" x14ac:dyDescent="0.2">
      <c r="A31" s="210" t="s">
        <v>407</v>
      </c>
      <c r="B31" s="211">
        <f>floors!$C$2</f>
        <v>49016</v>
      </c>
      <c r="C31" s="212" t="str">
        <f ca="1">VLOOKUP($B31,OFFSET([2]quests!$A$1,0,0,COUNTA([2]quests!$A:$A),MATCH(C$1,[2]quests!$1:$1,0)-MATCH($B$1,[2]quests!$1:$1,0)+1),MATCH(C$1,[2]quests!$1:$1,0)-MATCH($B$1,[2]quests!$1:$1,0)+1,FALSE)</f>
        <v>栗転</v>
      </c>
      <c r="D31" s="212" t="str">
        <f ca="1">VLOOKUP($B31,OFFSET([2]quests!$A$1,0,0,COUNTA([2]quests!$A:$A),MATCH(D$1,[2]quests!$1:$1,0)-MATCH($B$1,[2]quests!$1:$1,0)+1),MATCH(D$1,[2]quests!$1:$1,0)-MATCH($B$1,[2]quests!$1:$1,0)+1,FALSE)</f>
        <v>コラボ降臨12</v>
      </c>
      <c r="E31" s="213">
        <v>2</v>
      </c>
      <c r="F31" s="212" t="str">
        <f ca="1">VLOOKUP($B31&amp;"_"&amp;$E31,OFFSET([2]stages!$A$1,0,0,COUNTA([2]stages!$A:$A),MATCH(F$1,[2]stages!$2:$2,0)-MATCH("temp_stage",[2]stages!$2:$2,0)+1),MATCH(F$1,[2]stages!$2:$2,0)-MATCH("temp_stage",[2]stages!$2:$2,0)+1,FALSE)</f>
        <v>【ウィザード級】栗転</v>
      </c>
      <c r="G31" s="212" t="str">
        <f ca="1">VLOOKUP($B31&amp;"_"&amp;$E31,OFFSET([2]stages!$A$1,0,0,COUNTA([2]stages!$A:$A),MATCH(G$1,[2]stages!$2:$2,0)-MATCH("temp_stage",[2]stages!$2:$2,0)+1),MATCH(G$1,[2]stages!$2:$2,0)-MATCH("temp_stage",[2]stages!$2:$2,0)+1,FALSE)</f>
        <v>コラボ降臨12</v>
      </c>
      <c r="H31" s="214">
        <v>0</v>
      </c>
      <c r="I31" s="215">
        <f t="shared" si="0"/>
        <v>30</v>
      </c>
      <c r="J31" s="216" t="str">
        <f t="shared" si="1"/>
        <v>4901630</v>
      </c>
      <c r="K31" s="226" t="s">
        <v>127</v>
      </c>
      <c r="L31" s="227" t="s">
        <v>559</v>
      </c>
      <c r="M31" s="234" t="s">
        <v>560</v>
      </c>
      <c r="N31" s="217" t="s">
        <v>520</v>
      </c>
      <c r="O31" s="217">
        <v>1584</v>
      </c>
      <c r="P31" s="237" t="str">
        <f t="shared" si="2"/>
        <v>１２３４５６７８９０１２３４５６７８９０いちいちシャクに触る野郎だなぁ！_x000D_沈めるぞ！！</v>
      </c>
      <c r="Q31" s="238">
        <f t="shared" si="3"/>
        <v>23</v>
      </c>
    </row>
    <row r="32" spans="1:18" ht="78" customHeight="1" x14ac:dyDescent="0.15">
      <c r="A32" s="79" t="s">
        <v>197</v>
      </c>
      <c r="B32" s="80">
        <f>floors!$C$2</f>
        <v>49016</v>
      </c>
      <c r="C32" s="81" t="str">
        <f ca="1">VLOOKUP($B32,OFFSET([2]quests!$A$1,0,0,COUNTA([2]quests!$A:$A),MATCH(C$1,[2]quests!$1:$1,0)-MATCH($B$1,[2]quests!$1:$1,0)+1),MATCH(C$1,[2]quests!$1:$1,0)-MATCH($B$1,[2]quests!$1:$1,0)+1,FALSE)</f>
        <v>栗転</v>
      </c>
      <c r="D32" s="81" t="str">
        <f ca="1">VLOOKUP($B32,OFFSET([2]quests!$A$1,0,0,COUNTA([2]quests!$A:$A),MATCH(D$1,[2]quests!$1:$1,0)-MATCH($B$1,[2]quests!$1:$1,0)+1),MATCH(D$1,[2]quests!$1:$1,0)-MATCH($B$1,[2]quests!$1:$1,0)+1,FALSE)</f>
        <v>コラボ降臨12</v>
      </c>
      <c r="E32" s="82">
        <v>1</v>
      </c>
      <c r="F32" s="81" t="str">
        <f ca="1">VLOOKUP($B32&amp;"_"&amp;$E32,OFFSET([2]stages!$A$1,0,0,COUNTA([2]stages!$A:$A),MATCH(F$1,[2]stages!$2:$2,0)-MATCH("temp_stage",[2]stages!$2:$2,0)+1),MATCH(F$1,[2]stages!$2:$2,0)-MATCH("temp_stage",[2]stages!$2:$2,0)+1,FALSE)</f>
        <v>【超絶級】栗転</v>
      </c>
      <c r="G32" s="81" t="str">
        <f ca="1">VLOOKUP($B32&amp;"_"&amp;$E32,OFFSET([2]stages!$A$1,0,0,COUNTA([2]stages!$A:$A),MATCH(G$1,[2]stages!$2:$2,0)-MATCH("temp_stage",[2]stages!$2:$2,0)+1),MATCH(G$1,[2]stages!$2:$2,0)-MATCH("temp_stage",[2]stages!$2:$2,0)+1,FALSE)</f>
        <v>コラボ降臨12</v>
      </c>
      <c r="H32" s="83">
        <v>1</v>
      </c>
      <c r="I32" s="87">
        <f>ROW()-1</f>
        <v>31</v>
      </c>
      <c r="J32" s="84" t="str">
        <f>B32&amp;TEXT(I32,"00")</f>
        <v>4901631</v>
      </c>
      <c r="K32" s="218" t="s">
        <v>127</v>
      </c>
      <c r="L32" s="219" t="s">
        <v>253</v>
      </c>
      <c r="M32" s="230" t="s">
        <v>411</v>
      </c>
      <c r="N32" s="56" t="s">
        <v>199</v>
      </c>
      <c r="O32" s="56" t="s">
        <v>199</v>
      </c>
      <c r="P32" s="235" t="str">
        <f>"１２３４５６７８９０１２３４５６７８９０"&amp;DBCS(M32)</f>
        <v>１２３４５６７８９０１２３４５６７８９０ロバートは属性パネルをプロテクトする_x000D_スキルを使用します_x000D_対処できるスキルやアビリティを用意して_x000D_挑むと有利に戦えます</v>
      </c>
      <c r="Q32" s="236">
        <f>LEN(M32)</f>
        <v>59</v>
      </c>
      <c r="R32" t="s">
        <v>408</v>
      </c>
    </row>
    <row r="33" spans="1:17" ht="85" customHeight="1" x14ac:dyDescent="0.15">
      <c r="A33" s="79" t="s">
        <v>197</v>
      </c>
      <c r="B33" s="80">
        <f>floors!$C$2</f>
        <v>49016</v>
      </c>
      <c r="C33" s="81" t="str">
        <f ca="1">VLOOKUP($B33,OFFSET([2]quests!$A$1,0,0,COUNTA([2]quests!$A:$A),MATCH(C$1,[2]quests!$1:$1,0)-MATCH($B$1,[2]quests!$1:$1,0)+1),MATCH(C$1,[2]quests!$1:$1,0)-MATCH($B$1,[2]quests!$1:$1,0)+1,FALSE)</f>
        <v>栗転</v>
      </c>
      <c r="D33" s="81" t="str">
        <f ca="1">VLOOKUP($B33,OFFSET([2]quests!$A$1,0,0,COUNTA([2]quests!$A:$A),MATCH(D$1,[2]quests!$1:$1,0)-MATCH($B$1,[2]quests!$1:$1,0)+1),MATCH(D$1,[2]quests!$1:$1,0)-MATCH($B$1,[2]quests!$1:$1,0)+1,FALSE)</f>
        <v>コラボ降臨12</v>
      </c>
      <c r="E33" s="82">
        <v>1</v>
      </c>
      <c r="F33" s="81" t="str">
        <f ca="1">VLOOKUP($B33&amp;"_"&amp;$E33,OFFSET([2]stages!$A$1,0,0,COUNTA([2]stages!$A:$A),MATCH(F$1,[2]stages!$2:$2,0)-MATCH("temp_stage",[2]stages!$2:$2,0)+1),MATCH(F$1,[2]stages!$2:$2,0)-MATCH("temp_stage",[2]stages!$2:$2,0)+1,FALSE)</f>
        <v>【超絶級】栗転</v>
      </c>
      <c r="G33" s="81" t="str">
        <f ca="1">VLOOKUP($B33&amp;"_"&amp;$E33,OFFSET([2]stages!$A$1,0,0,COUNTA([2]stages!$A:$A),MATCH(G$1,[2]stages!$2:$2,0)-MATCH("temp_stage",[2]stages!$2:$2,0)+1),MATCH(G$1,[2]stages!$2:$2,0)-MATCH("temp_stage",[2]stages!$2:$2,0)+1,FALSE)</f>
        <v>コラボ降臨12</v>
      </c>
      <c r="H33" s="83">
        <v>2</v>
      </c>
      <c r="I33" s="87">
        <f t="shared" si="0"/>
        <v>32</v>
      </c>
      <c r="J33" s="84" t="str">
        <f t="shared" ref="J33:J39" si="4">B33&amp;TEXT(I33,"00")</f>
        <v>4901632</v>
      </c>
      <c r="K33" s="220" t="s">
        <v>127</v>
      </c>
      <c r="L33" s="221" t="s">
        <v>253</v>
      </c>
      <c r="M33" s="231" t="s">
        <v>409</v>
      </c>
      <c r="N33" s="56" t="s">
        <v>199</v>
      </c>
      <c r="O33" s="56" t="s">
        <v>199</v>
      </c>
      <c r="P33" s="228" t="str">
        <f t="shared" ref="P33:P36" si="5">"１２３４５６７８９０１２３４５６７８９０"&amp;DBCS(M33)</f>
        <v>１２３４５６７８９０１２３４５６７８９０草薙京は赤パネルのドロップ率ＵＰの後_x000D_強力な吸収攻撃を放ちます_x000D_ドロップ率を下げるスキルを使うことで_x000D_大ダメージを避けられます</v>
      </c>
      <c r="Q33" s="229">
        <f t="shared" ref="Q33:Q39" si="6">LEN(M33)</f>
        <v>63</v>
      </c>
    </row>
    <row r="34" spans="1:17" ht="85" customHeight="1" x14ac:dyDescent="0.15">
      <c r="A34" s="79" t="s">
        <v>197</v>
      </c>
      <c r="B34" s="80">
        <f>floors!$C$2</f>
        <v>49016</v>
      </c>
      <c r="C34" s="81" t="str">
        <f ca="1">VLOOKUP($B34,OFFSET([2]quests!$A$1,0,0,COUNTA([2]quests!$A:$A),MATCH(C$1,[2]quests!$1:$1,0)-MATCH($B$1,[2]quests!$1:$1,0)+1),MATCH(C$1,[2]quests!$1:$1,0)-MATCH($B$1,[2]quests!$1:$1,0)+1,FALSE)</f>
        <v>栗転</v>
      </c>
      <c r="D34" s="81" t="str">
        <f ca="1">VLOOKUP($B34,OFFSET([2]quests!$A$1,0,0,COUNTA([2]quests!$A:$A),MATCH(D$1,[2]quests!$1:$1,0)-MATCH($B$1,[2]quests!$1:$1,0)+1),MATCH(D$1,[2]quests!$1:$1,0)-MATCH($B$1,[2]quests!$1:$1,0)+1,FALSE)</f>
        <v>コラボ降臨12</v>
      </c>
      <c r="E34" s="82">
        <v>1</v>
      </c>
      <c r="F34" s="81" t="str">
        <f ca="1">VLOOKUP($B34&amp;"_"&amp;$E34,OFFSET([2]stages!$A$1,0,0,COUNTA([2]stages!$A:$A),MATCH(F$1,[2]stages!$2:$2,0)-MATCH("temp_stage",[2]stages!$2:$2,0)+1),MATCH(F$1,[2]stages!$2:$2,0)-MATCH("temp_stage",[2]stages!$2:$2,0)+1,FALSE)</f>
        <v>【超絶級】栗転</v>
      </c>
      <c r="G34" s="81" t="str">
        <f ca="1">VLOOKUP($B34&amp;"_"&amp;$E34,OFFSET([2]stages!$A$1,0,0,COUNTA([2]stages!$A:$A),MATCH(G$1,[2]stages!$2:$2,0)-MATCH("temp_stage",[2]stages!$2:$2,0)+1),MATCH(G$1,[2]stages!$2:$2,0)-MATCH("temp_stage",[2]stages!$2:$2,0)+1,FALSE)</f>
        <v>コラボ降臨12</v>
      </c>
      <c r="H34" s="83">
        <v>3</v>
      </c>
      <c r="I34" s="87">
        <f t="shared" si="0"/>
        <v>33</v>
      </c>
      <c r="J34" s="84" t="str">
        <f t="shared" si="4"/>
        <v>4901633</v>
      </c>
      <c r="K34" s="222" t="s">
        <v>127</v>
      </c>
      <c r="L34" s="223" t="s">
        <v>253</v>
      </c>
      <c r="M34" s="233" t="s">
        <v>415</v>
      </c>
      <c r="N34" s="56" t="s">
        <v>199</v>
      </c>
      <c r="O34" s="56" t="s">
        <v>199</v>
      </c>
      <c r="P34" s="228" t="str">
        <f t="shared" si="5"/>
        <v>１２３４５６７８９０１２３４５６７８９０クリスは各ゲージごとに_x000D_ＨＰが一定値まで減るとそれぞれ_x000D_強力なスキルを使用します_x000D_個々の性質を見極め戦い方を選びましょう</v>
      </c>
      <c r="Q34" s="229">
        <f t="shared" si="6"/>
        <v>60</v>
      </c>
    </row>
    <row r="35" spans="1:17" ht="65" customHeight="1" x14ac:dyDescent="0.15">
      <c r="A35" s="79" t="s">
        <v>197</v>
      </c>
      <c r="B35" s="80">
        <f>floors!$C$2</f>
        <v>49016</v>
      </c>
      <c r="C35" s="81" t="str">
        <f ca="1">VLOOKUP($B35,OFFSET([2]quests!$A$1,0,0,COUNTA([2]quests!$A:$A),MATCH(C$1,[2]quests!$1:$1,0)-MATCH($B$1,[2]quests!$1:$1,0)+1),MATCH(C$1,[2]quests!$1:$1,0)-MATCH($B$1,[2]quests!$1:$1,0)+1,FALSE)</f>
        <v>栗転</v>
      </c>
      <c r="D35" s="81" t="str">
        <f ca="1">VLOOKUP($B35,OFFSET([2]quests!$A$1,0,0,COUNTA([2]quests!$A:$A),MATCH(D$1,[2]quests!$1:$1,0)-MATCH($B$1,[2]quests!$1:$1,0)+1),MATCH(D$1,[2]quests!$1:$1,0)-MATCH($B$1,[2]quests!$1:$1,0)+1,FALSE)</f>
        <v>コラボ降臨12</v>
      </c>
      <c r="E35" s="82">
        <v>1</v>
      </c>
      <c r="F35" s="81" t="str">
        <f ca="1">VLOOKUP($B35&amp;"_"&amp;$E35,OFFSET([2]stages!$A$1,0,0,COUNTA([2]stages!$A:$A),MATCH(F$1,[2]stages!$2:$2,0)-MATCH("temp_stage",[2]stages!$2:$2,0)+1),MATCH(F$1,[2]stages!$2:$2,0)-MATCH("temp_stage",[2]stages!$2:$2,0)+1,FALSE)</f>
        <v>【超絶級】栗転</v>
      </c>
      <c r="G35" s="81" t="str">
        <f ca="1">VLOOKUP($B35&amp;"_"&amp;$E35,OFFSET([2]stages!$A$1,0,0,COUNTA([2]stages!$A:$A),MATCH(G$1,[2]stages!$2:$2,0)-MATCH("temp_stage",[2]stages!$2:$2,0)+1),MATCH(G$1,[2]stages!$2:$2,0)-MATCH("temp_stage",[2]stages!$2:$2,0)+1,FALSE)</f>
        <v>コラボ降臨12</v>
      </c>
      <c r="H35" s="83">
        <v>3</v>
      </c>
      <c r="I35" s="87">
        <f t="shared" si="0"/>
        <v>34</v>
      </c>
      <c r="J35" s="84" t="str">
        <f t="shared" si="4"/>
        <v>4901634</v>
      </c>
      <c r="K35" s="222" t="s">
        <v>127</v>
      </c>
      <c r="L35" s="223" t="s">
        <v>253</v>
      </c>
      <c r="M35" s="233" t="s">
        <v>410</v>
      </c>
      <c r="N35" s="56" t="s">
        <v>199</v>
      </c>
      <c r="O35" s="56" t="s">
        <v>199</v>
      </c>
      <c r="P35" s="228" t="str">
        <f t="shared" si="5"/>
        <v>１２３４５６７８９０１２３４５６７８９０クリスの２ゲージ目以降は赤と青のパネルが_x000D_プロテクトされた状態でドロップします_x000D_どう対策しながら戦うかが重要です</v>
      </c>
      <c r="Q35" s="229">
        <f t="shared" si="6"/>
        <v>56</v>
      </c>
    </row>
    <row r="36" spans="1:17" ht="83" customHeight="1" x14ac:dyDescent="0.15">
      <c r="A36" s="79" t="s">
        <v>197</v>
      </c>
      <c r="B36" s="80">
        <f>floors!$C$2</f>
        <v>49016</v>
      </c>
      <c r="C36" s="81" t="str">
        <f ca="1">VLOOKUP($B36,OFFSET([2]quests!$A$1,0,0,COUNTA([2]quests!$A:$A),MATCH(C$1,[2]quests!$1:$1,0)-MATCH($B$1,[2]quests!$1:$1,0)+1),MATCH(C$1,[2]quests!$1:$1,0)-MATCH($B$1,[2]quests!$1:$1,0)+1,FALSE)</f>
        <v>栗転</v>
      </c>
      <c r="D36" s="81" t="str">
        <f ca="1">VLOOKUP($B36,OFFSET([2]quests!$A$1,0,0,COUNTA([2]quests!$A:$A),MATCH(D$1,[2]quests!$1:$1,0)-MATCH($B$1,[2]quests!$1:$1,0)+1),MATCH(D$1,[2]quests!$1:$1,0)-MATCH($B$1,[2]quests!$1:$1,0)+1,FALSE)</f>
        <v>コラボ降臨12</v>
      </c>
      <c r="E36" s="82">
        <v>1</v>
      </c>
      <c r="F36" s="81" t="str">
        <f ca="1">VLOOKUP($B36&amp;"_"&amp;$E36,OFFSET([2]stages!$A$1,0,0,COUNTA([2]stages!$A:$A),MATCH(F$1,[2]stages!$2:$2,0)-MATCH("temp_stage",[2]stages!$2:$2,0)+1),MATCH(F$1,[2]stages!$2:$2,0)-MATCH("temp_stage",[2]stages!$2:$2,0)+1,FALSE)</f>
        <v>【超絶級】栗転</v>
      </c>
      <c r="G36" s="81" t="str">
        <f ca="1">VLOOKUP($B36&amp;"_"&amp;$E36,OFFSET([2]stages!$A$1,0,0,COUNTA([2]stages!$A:$A),MATCH(G$1,[2]stages!$2:$2,0)-MATCH("temp_stage",[2]stages!$2:$2,0)+1),MATCH(G$1,[2]stages!$2:$2,0)-MATCH("temp_stage",[2]stages!$2:$2,0)+1,FALSE)</f>
        <v>コラボ降臨12</v>
      </c>
      <c r="H36" s="83">
        <v>3</v>
      </c>
      <c r="I36" s="87">
        <f t="shared" si="0"/>
        <v>35</v>
      </c>
      <c r="J36" s="84" t="str">
        <f t="shared" si="4"/>
        <v>4901635</v>
      </c>
      <c r="K36" s="222" t="s">
        <v>127</v>
      </c>
      <c r="L36" s="223" t="s">
        <v>253</v>
      </c>
      <c r="M36" s="233" t="s">
        <v>412</v>
      </c>
      <c r="N36" s="56" t="s">
        <v>199</v>
      </c>
      <c r="O36" s="56" t="s">
        <v>199</v>
      </c>
      <c r="P36" s="228" t="str">
        <f t="shared" si="5"/>
        <v>１２３４５６７８９０１２３４５６７８９０クリスの３ゲージ目はＨＰを一気に減らす_x000D_必殺技を使用します_x000D_ピンチに備えて回復手段を確保しながら_x000D_戦いましょう</v>
      </c>
      <c r="Q36" s="229">
        <f t="shared" si="6"/>
        <v>55</v>
      </c>
    </row>
    <row r="37" spans="1:17" ht="83" customHeight="1" x14ac:dyDescent="0.15">
      <c r="A37" s="79" t="s">
        <v>407</v>
      </c>
      <c r="B37" s="80">
        <f>floors!$C$2</f>
        <v>49016</v>
      </c>
      <c r="C37" s="81" t="str">
        <f ca="1">VLOOKUP($B37,OFFSET([2]quests!$A$1,0,0,COUNTA([2]quests!$A:$A),MATCH(C$1,[2]quests!$1:$1,0)-MATCH($B$1,[2]quests!$1:$1,0)+1),MATCH(C$1,[2]quests!$1:$1,0)-MATCH($B$1,[2]quests!$1:$1,0)+1,FALSE)</f>
        <v>栗転</v>
      </c>
      <c r="D37" s="81" t="str">
        <f ca="1">VLOOKUP($B37,OFFSET([2]quests!$A$1,0,0,COUNTA([2]quests!$A:$A),MATCH(D$1,[2]quests!$1:$1,0)-MATCH($B$1,[2]quests!$1:$1,0)+1),MATCH(D$1,[2]quests!$1:$1,0)-MATCH($B$1,[2]quests!$1:$1,0)+1,FALSE)</f>
        <v>コラボ降臨12</v>
      </c>
      <c r="E37" s="82">
        <v>1</v>
      </c>
      <c r="F37" s="81" t="str">
        <f ca="1">VLOOKUP($B37&amp;"_"&amp;$E37,OFFSET([2]stages!$A$1,0,0,COUNTA([2]stages!$A:$A),MATCH(F$1,[2]stages!$2:$2,0)-MATCH("temp_stage",[2]stages!$2:$2,0)+1),MATCH(F$1,[2]stages!$2:$2,0)-MATCH("temp_stage",[2]stages!$2:$2,0)+1,FALSE)</f>
        <v>【超絶級】栗転</v>
      </c>
      <c r="G37" s="81" t="str">
        <f ca="1">VLOOKUP($B37&amp;"_"&amp;$E37,OFFSET([2]stages!$A$1,0,0,COUNTA([2]stages!$A:$A),MATCH(G$1,[2]stages!$2:$2,0)-MATCH("temp_stage",[2]stages!$2:$2,0)+1),MATCH(G$1,[2]stages!$2:$2,0)-MATCH("temp_stage",[2]stages!$2:$2,0)+1,FALSE)</f>
        <v>コラボ降臨12</v>
      </c>
      <c r="H37" s="83">
        <v>0</v>
      </c>
      <c r="I37" s="87">
        <f t="shared" si="0"/>
        <v>36</v>
      </c>
      <c r="J37" s="84" t="str">
        <f t="shared" si="4"/>
        <v>4901636</v>
      </c>
      <c r="K37" s="224" t="s">
        <v>127</v>
      </c>
      <c r="L37" s="225" t="s">
        <v>505</v>
      </c>
      <c r="M37" s="232" t="s">
        <v>503</v>
      </c>
      <c r="N37" s="56" t="s">
        <v>199</v>
      </c>
      <c r="O37" s="56" t="s">
        <v>199</v>
      </c>
      <c r="P37" s="228" t="str">
        <f>"１２３４５６７８９０１２３４５６７８９０"&amp;DBCS(M37)</f>
        <v>１２３４５６７８９０１２３４５６７８９０クリスは転生を繰り返して_x000D_自身の力を高めていますが_x000D_その能力は謎に包まれています</v>
      </c>
      <c r="Q37" s="229">
        <f t="shared" si="6"/>
        <v>40</v>
      </c>
    </row>
    <row r="38" spans="1:17" ht="97" customHeight="1" x14ac:dyDescent="0.15">
      <c r="A38" s="79" t="s">
        <v>407</v>
      </c>
      <c r="B38" s="80">
        <f>floors!$C$2</f>
        <v>49016</v>
      </c>
      <c r="C38" s="81" t="str">
        <f ca="1">VLOOKUP($B38,OFFSET([2]quests!$A$1,0,0,COUNTA([2]quests!$A:$A),MATCH(C$1,[2]quests!$1:$1,0)-MATCH($B$1,[2]quests!$1:$1,0)+1),MATCH(C$1,[2]quests!$1:$1,0)-MATCH($B$1,[2]quests!$1:$1,0)+1,FALSE)</f>
        <v>栗転</v>
      </c>
      <c r="D38" s="81" t="str">
        <f ca="1">VLOOKUP($B38,OFFSET([2]quests!$A$1,0,0,COUNTA([2]quests!$A:$A),MATCH(D$1,[2]quests!$1:$1,0)-MATCH($B$1,[2]quests!$1:$1,0)+1),MATCH(D$1,[2]quests!$1:$1,0)-MATCH($B$1,[2]quests!$1:$1,0)+1,FALSE)</f>
        <v>コラボ降臨12</v>
      </c>
      <c r="E38" s="82">
        <v>1</v>
      </c>
      <c r="F38" s="81" t="str">
        <f ca="1">VLOOKUP($B38&amp;"_"&amp;$E38,OFFSET([2]stages!$A$1,0,0,COUNTA([2]stages!$A:$A),MATCH(F$1,[2]stages!$2:$2,0)-MATCH("temp_stage",[2]stages!$2:$2,0)+1),MATCH(F$1,[2]stages!$2:$2,0)-MATCH("temp_stage",[2]stages!$2:$2,0)+1,FALSE)</f>
        <v>【超絶級】栗転</v>
      </c>
      <c r="G38" s="81" t="str">
        <f ca="1">VLOOKUP($B38&amp;"_"&amp;$E38,OFFSET([2]stages!$A$1,0,0,COUNTA([2]stages!$A:$A),MATCH(G$1,[2]stages!$2:$2,0)-MATCH("temp_stage",[2]stages!$2:$2,0)+1),MATCH(G$1,[2]stages!$2:$2,0)-MATCH("temp_stage",[2]stages!$2:$2,0)+1,FALSE)</f>
        <v>コラボ降臨12</v>
      </c>
      <c r="H38" s="83">
        <v>0</v>
      </c>
      <c r="I38" s="87">
        <f t="shared" si="0"/>
        <v>37</v>
      </c>
      <c r="J38" s="84" t="str">
        <f t="shared" si="4"/>
        <v>4901637</v>
      </c>
      <c r="K38" s="224" t="s">
        <v>127</v>
      </c>
      <c r="L38" s="225" t="s">
        <v>406</v>
      </c>
      <c r="M38" s="232" t="s">
        <v>504</v>
      </c>
      <c r="N38" s="56" t="s">
        <v>199</v>
      </c>
      <c r="O38" s="56" t="s">
        <v>199</v>
      </c>
      <c r="P38" s="228" t="str">
        <f t="shared" ref="P38:P39" si="7">"１２３４５６７８９０１２３４５６７８９０"&amp;DBCS(M38)</f>
        <v>１２３４５６７８９０１２３４５６７８９０クリスはかつてオロチ復活を目論み_x000D_精神力を集めていました_x000D_今はたった独りで_x000D_何を求めているのでしょうか</v>
      </c>
      <c r="Q38" s="229">
        <f t="shared" si="6"/>
        <v>51</v>
      </c>
    </row>
    <row r="39" spans="1:17" ht="84" customHeight="1" x14ac:dyDescent="0.15">
      <c r="A39" s="246" t="s">
        <v>407</v>
      </c>
      <c r="B39" s="247">
        <f>floors!$C$2</f>
        <v>49016</v>
      </c>
      <c r="C39" s="248" t="str">
        <f ca="1">VLOOKUP($B39,OFFSET([2]quests!$A$1,0,0,COUNTA([2]quests!$A:$A),MATCH(C$1,[2]quests!$1:$1,0)-MATCH($B$1,[2]quests!$1:$1,0)+1),MATCH(C$1,[2]quests!$1:$1,0)-MATCH($B$1,[2]quests!$1:$1,0)+1,FALSE)</f>
        <v>栗転</v>
      </c>
      <c r="D39" s="248" t="str">
        <f ca="1">VLOOKUP($B39,OFFSET([2]quests!$A$1,0,0,COUNTA([2]quests!$A:$A),MATCH(D$1,[2]quests!$1:$1,0)-MATCH($B$1,[2]quests!$1:$1,0)+1),MATCH(D$1,[2]quests!$1:$1,0)-MATCH($B$1,[2]quests!$1:$1,0)+1,FALSE)</f>
        <v>コラボ降臨12</v>
      </c>
      <c r="E39" s="249">
        <v>1</v>
      </c>
      <c r="F39" s="248" t="str">
        <f ca="1">VLOOKUP($B39&amp;"_"&amp;$E39,OFFSET([2]stages!$A$1,0,0,COUNTA([2]stages!$A:$A),MATCH(F$1,[2]stages!$2:$2,0)-MATCH("temp_stage",[2]stages!$2:$2,0)+1),MATCH(F$1,[2]stages!$2:$2,0)-MATCH("temp_stage",[2]stages!$2:$2,0)+1,FALSE)</f>
        <v>【超絶級】栗転</v>
      </c>
      <c r="G39" s="248" t="str">
        <f ca="1">VLOOKUP($B39&amp;"_"&amp;$E39,OFFSET([2]stages!$A$1,0,0,COUNTA([2]stages!$A:$A),MATCH(G$1,[2]stages!$2:$2,0)-MATCH("temp_stage",[2]stages!$2:$2,0)+1),MATCH(G$1,[2]stages!$2:$2,0)-MATCH("temp_stage",[2]stages!$2:$2,0)+1,FALSE)</f>
        <v>コラボ降臨12</v>
      </c>
      <c r="H39" s="250">
        <v>0</v>
      </c>
      <c r="I39" s="251">
        <f t="shared" si="0"/>
        <v>38</v>
      </c>
      <c r="J39" s="252" t="str">
        <f t="shared" si="4"/>
        <v>4901638</v>
      </c>
      <c r="K39" s="253" t="s">
        <v>127</v>
      </c>
      <c r="L39" s="254" t="s">
        <v>413</v>
      </c>
      <c r="M39" s="255" t="s">
        <v>414</v>
      </c>
      <c r="N39" s="256" t="s">
        <v>199</v>
      </c>
      <c r="O39" s="256" t="s">
        <v>199</v>
      </c>
      <c r="P39" s="257" t="str">
        <f t="shared" si="7"/>
        <v>１２３４５６７８９０１２３４５６７８９０クリスの足跡は凶暴化した格闘家を_x000D_辿る様に残されていました_x000D_進むにつれ狂気とオロチの瘴気は強まり_x000D_深奥にある脅威を伝えています</v>
      </c>
      <c r="Q39" s="258">
        <f t="shared" si="6"/>
        <v>63</v>
      </c>
    </row>
    <row r="40" spans="1:17" s="259" customFormat="1" ht="84" customHeight="1" x14ac:dyDescent="0.15">
      <c r="A40" s="79" t="s">
        <v>407</v>
      </c>
      <c r="B40" s="80">
        <f>floors!$C$2</f>
        <v>49016</v>
      </c>
      <c r="C40" s="244" t="str">
        <f ca="1">VLOOKUP($B40,OFFSET([2]quests!$A$1,0,0,COUNTA([2]quests!$A:$A),MATCH(C$1,[2]quests!$1:$1,0)-MATCH($B$1,[2]quests!$1:$1,0)+1),MATCH(C$1,[2]quests!$1:$1,0)-MATCH($B$1,[2]quests!$1:$1,0)+1,FALSE)</f>
        <v>栗転</v>
      </c>
      <c r="D40" s="244" t="str">
        <f ca="1">VLOOKUP($B40,OFFSET([2]quests!$A$1,0,0,COUNTA([2]quests!$A:$A),MATCH(D$1,[2]quests!$1:$1,0)-MATCH($B$1,[2]quests!$1:$1,0)+1),MATCH(D$1,[2]quests!$1:$1,0)-MATCH($B$1,[2]quests!$1:$1,0)+1,FALSE)</f>
        <v>コラボ降臨12</v>
      </c>
      <c r="E40" s="82">
        <v>1</v>
      </c>
      <c r="F40" s="244" t="str">
        <f ca="1">VLOOKUP($B40&amp;"_"&amp;$E40,OFFSET([2]stages!$A$1,0,0,COUNTA([2]stages!$A:$A),MATCH(F$1,[2]stages!$2:$2,0)-MATCH("temp_stage",[2]stages!$2:$2,0)+1),MATCH(F$1,[2]stages!$2:$2,0)-MATCH("temp_stage",[2]stages!$2:$2,0)+1,FALSE)</f>
        <v>【超絶級】栗転</v>
      </c>
      <c r="G40" s="244" t="str">
        <f ca="1">VLOOKUP($B40&amp;"_"&amp;$E40,OFFSET([2]stages!$A$1,0,0,COUNTA([2]stages!$A:$A),MATCH(G$1,[2]stages!$2:$2,0)-MATCH("temp_stage",[2]stages!$2:$2,0)+1),MATCH(G$1,[2]stages!$2:$2,0)-MATCH("temp_stage",[2]stages!$2:$2,0)+1,FALSE)</f>
        <v>コラボ降臨12</v>
      </c>
      <c r="H40" s="245">
        <v>0</v>
      </c>
      <c r="I40" s="87">
        <f t="shared" si="0"/>
        <v>39</v>
      </c>
      <c r="J40" s="84" t="str">
        <f t="shared" ref="J40:J61" si="8">B40&amp;TEXT(I40,"00")</f>
        <v>4901639</v>
      </c>
      <c r="K40" s="224" t="s">
        <v>127</v>
      </c>
      <c r="L40" s="225" t="s">
        <v>519</v>
      </c>
      <c r="M40" s="232" t="s">
        <v>563</v>
      </c>
      <c r="N40" s="56" t="s">
        <v>520</v>
      </c>
      <c r="O40" s="56">
        <v>1579</v>
      </c>
      <c r="P40" s="228" t="str">
        <f t="shared" ref="P40:P61" si="9">"１２３４５６７８９０１２３４５６７８９０"&amp;DBCS(M40)</f>
        <v>１２３４５６７８９０１２３４５６７８９０俺の炎で燃えつきちまいな！_x000D_弱い奴に用はねえぜ！</v>
      </c>
      <c r="Q40" s="229">
        <f t="shared" ref="Q40:Q61" si="10">LEN(M40)</f>
        <v>24</v>
      </c>
    </row>
    <row r="41" spans="1:17" s="260" customFormat="1" ht="84" customHeight="1" x14ac:dyDescent="0.15">
      <c r="A41" s="79" t="s">
        <v>407</v>
      </c>
      <c r="B41" s="80">
        <f>floors!$C$2</f>
        <v>49016</v>
      </c>
      <c r="C41" s="244" t="str">
        <f ca="1">VLOOKUP($B41,OFFSET([2]quests!$A$1,0,0,COUNTA([2]quests!$A:$A),MATCH(C$1,[2]quests!$1:$1,0)-MATCH($B$1,[2]quests!$1:$1,0)+1),MATCH(C$1,[2]quests!$1:$1,0)-MATCH($B$1,[2]quests!$1:$1,0)+1,FALSE)</f>
        <v>栗転</v>
      </c>
      <c r="D41" s="244" t="str">
        <f ca="1">VLOOKUP($B41,OFFSET([2]quests!$A$1,0,0,COUNTA([2]quests!$A:$A),MATCH(D$1,[2]quests!$1:$1,0)-MATCH($B$1,[2]quests!$1:$1,0)+1),MATCH(D$1,[2]quests!$1:$1,0)-MATCH($B$1,[2]quests!$1:$1,0)+1,FALSE)</f>
        <v>コラボ降臨12</v>
      </c>
      <c r="E41" s="82">
        <v>1</v>
      </c>
      <c r="F41" s="244" t="str">
        <f ca="1">VLOOKUP($B41&amp;"_"&amp;$E41,OFFSET([2]stages!$A$1,0,0,COUNTA([2]stages!$A:$A),MATCH(F$1,[2]stages!$2:$2,0)-MATCH("temp_stage",[2]stages!$2:$2,0)+1),MATCH(F$1,[2]stages!$2:$2,0)-MATCH("temp_stage",[2]stages!$2:$2,0)+1,FALSE)</f>
        <v>【超絶級】栗転</v>
      </c>
      <c r="G41" s="244" t="str">
        <f ca="1">VLOOKUP($B41&amp;"_"&amp;$E41,OFFSET([2]stages!$A$1,0,0,COUNTA([2]stages!$A:$A),MATCH(G$1,[2]stages!$2:$2,0)-MATCH("temp_stage",[2]stages!$2:$2,0)+1),MATCH(G$1,[2]stages!$2:$2,0)-MATCH("temp_stage",[2]stages!$2:$2,0)+1,FALSE)</f>
        <v>コラボ降臨12</v>
      </c>
      <c r="H41" s="245">
        <v>0</v>
      </c>
      <c r="I41" s="87">
        <f t="shared" si="0"/>
        <v>40</v>
      </c>
      <c r="J41" s="84" t="str">
        <f t="shared" si="8"/>
        <v>4901640</v>
      </c>
      <c r="K41" s="224" t="s">
        <v>127</v>
      </c>
      <c r="L41" s="225" t="s">
        <v>521</v>
      </c>
      <c r="M41" s="232" t="s">
        <v>522</v>
      </c>
      <c r="N41" s="56" t="s">
        <v>520</v>
      </c>
      <c r="O41" s="56">
        <v>1587</v>
      </c>
      <c r="P41" s="228" t="str">
        <f t="shared" si="9"/>
        <v>１２３４５６７８９０１２３４５６７８９０全身全霊をかけた試合、楽しかったです。_x000D_ありがとうございました！</v>
      </c>
      <c r="Q41" s="229">
        <f t="shared" si="10"/>
        <v>32</v>
      </c>
    </row>
    <row r="42" spans="1:17" s="260" customFormat="1" ht="84" customHeight="1" x14ac:dyDescent="0.15">
      <c r="A42" s="79" t="s">
        <v>407</v>
      </c>
      <c r="B42" s="80">
        <f>floors!$C$2</f>
        <v>49016</v>
      </c>
      <c r="C42" s="244" t="str">
        <f ca="1">VLOOKUP($B42,OFFSET([2]quests!$A$1,0,0,COUNTA([2]quests!$A:$A),MATCH(C$1,[2]quests!$1:$1,0)-MATCH($B$1,[2]quests!$1:$1,0)+1),MATCH(C$1,[2]quests!$1:$1,0)-MATCH($B$1,[2]quests!$1:$1,0)+1,FALSE)</f>
        <v>栗転</v>
      </c>
      <c r="D42" s="244" t="str">
        <f ca="1">VLOOKUP($B42,OFFSET([2]quests!$A$1,0,0,COUNTA([2]quests!$A:$A),MATCH(D$1,[2]quests!$1:$1,0)-MATCH($B$1,[2]quests!$1:$1,0)+1),MATCH(D$1,[2]quests!$1:$1,0)-MATCH($B$1,[2]quests!$1:$1,0)+1,FALSE)</f>
        <v>コラボ降臨12</v>
      </c>
      <c r="E42" s="82">
        <v>1</v>
      </c>
      <c r="F42" s="244" t="str">
        <f ca="1">VLOOKUP($B42&amp;"_"&amp;$E42,OFFSET([2]stages!$A$1,0,0,COUNTA([2]stages!$A:$A),MATCH(F$1,[2]stages!$2:$2,0)-MATCH("temp_stage",[2]stages!$2:$2,0)+1),MATCH(F$1,[2]stages!$2:$2,0)-MATCH("temp_stage",[2]stages!$2:$2,0)+1,FALSE)</f>
        <v>【超絶級】栗転</v>
      </c>
      <c r="G42" s="244" t="str">
        <f ca="1">VLOOKUP($B42&amp;"_"&amp;$E42,OFFSET([2]stages!$A$1,0,0,COUNTA([2]stages!$A:$A),MATCH(G$1,[2]stages!$2:$2,0)-MATCH("temp_stage",[2]stages!$2:$2,0)+1),MATCH(G$1,[2]stages!$2:$2,0)-MATCH("temp_stage",[2]stages!$2:$2,0)+1,FALSE)</f>
        <v>コラボ降臨12</v>
      </c>
      <c r="H42" s="245">
        <v>0</v>
      </c>
      <c r="I42" s="87">
        <f t="shared" si="0"/>
        <v>41</v>
      </c>
      <c r="J42" s="84" t="str">
        <f t="shared" si="8"/>
        <v>4901641</v>
      </c>
      <c r="K42" s="224" t="s">
        <v>127</v>
      </c>
      <c r="L42" s="225" t="s">
        <v>523</v>
      </c>
      <c r="M42" s="232" t="s">
        <v>524</v>
      </c>
      <c r="N42" s="56" t="s">
        <v>520</v>
      </c>
      <c r="O42" s="56">
        <v>1581</v>
      </c>
      <c r="P42" s="228" t="str">
        <f t="shared" si="9"/>
        <v>１２３４５６７８９０１２３４５６７８９０おしまいですか？ふふっ、つまんないの！</v>
      </c>
      <c r="Q42" s="229">
        <f t="shared" si="10"/>
        <v>19</v>
      </c>
    </row>
    <row r="43" spans="1:17" s="260" customFormat="1" ht="84" customHeight="1" x14ac:dyDescent="0.15">
      <c r="A43" s="79" t="s">
        <v>407</v>
      </c>
      <c r="B43" s="80">
        <f>floors!$C$2</f>
        <v>49016</v>
      </c>
      <c r="C43" s="244" t="str">
        <f ca="1">VLOOKUP($B43,OFFSET([2]quests!$A$1,0,0,COUNTA([2]quests!$A:$A),MATCH(C$1,[2]quests!$1:$1,0)-MATCH($B$1,[2]quests!$1:$1,0)+1),MATCH(C$1,[2]quests!$1:$1,0)-MATCH($B$1,[2]quests!$1:$1,0)+1,FALSE)</f>
        <v>栗転</v>
      </c>
      <c r="D43" s="244" t="str">
        <f ca="1">VLOOKUP($B43,OFFSET([2]quests!$A$1,0,0,COUNTA([2]quests!$A:$A),MATCH(D$1,[2]quests!$1:$1,0)-MATCH($B$1,[2]quests!$1:$1,0)+1),MATCH(D$1,[2]quests!$1:$1,0)-MATCH($B$1,[2]quests!$1:$1,0)+1,FALSE)</f>
        <v>コラボ降臨12</v>
      </c>
      <c r="E43" s="82">
        <v>1</v>
      </c>
      <c r="F43" s="244" t="str">
        <f ca="1">VLOOKUP($B43&amp;"_"&amp;$E43,OFFSET([2]stages!$A$1,0,0,COUNTA([2]stages!$A:$A),MATCH(F$1,[2]stages!$2:$2,0)-MATCH("temp_stage",[2]stages!$2:$2,0)+1),MATCH(F$1,[2]stages!$2:$2,0)-MATCH("temp_stage",[2]stages!$2:$2,0)+1,FALSE)</f>
        <v>【超絶級】栗転</v>
      </c>
      <c r="G43" s="244" t="str">
        <f ca="1">VLOOKUP($B43&amp;"_"&amp;$E43,OFFSET([2]stages!$A$1,0,0,COUNTA([2]stages!$A:$A),MATCH(G$1,[2]stages!$2:$2,0)-MATCH("temp_stage",[2]stages!$2:$2,0)+1),MATCH(G$1,[2]stages!$2:$2,0)-MATCH("temp_stage",[2]stages!$2:$2,0)+1,FALSE)</f>
        <v>コラボ降臨12</v>
      </c>
      <c r="H43" s="245">
        <v>0</v>
      </c>
      <c r="I43" s="87">
        <f t="shared" si="0"/>
        <v>42</v>
      </c>
      <c r="J43" s="84" t="str">
        <f t="shared" si="8"/>
        <v>4901642</v>
      </c>
      <c r="K43" s="224" t="s">
        <v>127</v>
      </c>
      <c r="L43" s="225" t="s">
        <v>525</v>
      </c>
      <c r="M43" s="232" t="s">
        <v>526</v>
      </c>
      <c r="N43" s="56" t="s">
        <v>520</v>
      </c>
      <c r="O43" s="56">
        <v>1570</v>
      </c>
      <c r="P43" s="228" t="str">
        <f t="shared" si="9"/>
        <v>１２３４５６７８９０１２３４５６７８９０戦いに性別は関係ない。_x000D_最後に立っていた奴が、強者だ！_x000D_わかるだろ！</v>
      </c>
      <c r="Q43" s="229">
        <f t="shared" si="10"/>
        <v>34</v>
      </c>
    </row>
    <row r="44" spans="1:17" s="260" customFormat="1" ht="84" customHeight="1" x14ac:dyDescent="0.15">
      <c r="A44" s="79" t="s">
        <v>407</v>
      </c>
      <c r="B44" s="80">
        <f>floors!$C$2</f>
        <v>49016</v>
      </c>
      <c r="C44" s="244" t="str">
        <f ca="1">VLOOKUP($B44,OFFSET([2]quests!$A$1,0,0,COUNTA([2]quests!$A:$A),MATCH(C$1,[2]quests!$1:$1,0)-MATCH($B$1,[2]quests!$1:$1,0)+1),MATCH(C$1,[2]quests!$1:$1,0)-MATCH($B$1,[2]quests!$1:$1,0)+1,FALSE)</f>
        <v>栗転</v>
      </c>
      <c r="D44" s="244" t="str">
        <f ca="1">VLOOKUP($B44,OFFSET([2]quests!$A$1,0,0,COUNTA([2]quests!$A:$A),MATCH(D$1,[2]quests!$1:$1,0)-MATCH($B$1,[2]quests!$1:$1,0)+1),MATCH(D$1,[2]quests!$1:$1,0)-MATCH($B$1,[2]quests!$1:$1,0)+1,FALSE)</f>
        <v>コラボ降臨12</v>
      </c>
      <c r="E44" s="82">
        <v>1</v>
      </c>
      <c r="F44" s="244" t="str">
        <f ca="1">VLOOKUP($B44&amp;"_"&amp;$E44,OFFSET([2]stages!$A$1,0,0,COUNTA([2]stages!$A:$A),MATCH(F$1,[2]stages!$2:$2,0)-MATCH("temp_stage",[2]stages!$2:$2,0)+1),MATCH(F$1,[2]stages!$2:$2,0)-MATCH("temp_stage",[2]stages!$2:$2,0)+1,FALSE)</f>
        <v>【超絶級】栗転</v>
      </c>
      <c r="G44" s="244" t="str">
        <f ca="1">VLOOKUP($B44&amp;"_"&amp;$E44,OFFSET([2]stages!$A$1,0,0,COUNTA([2]stages!$A:$A),MATCH(G$1,[2]stages!$2:$2,0)-MATCH("temp_stage",[2]stages!$2:$2,0)+1),MATCH(G$1,[2]stages!$2:$2,0)-MATCH("temp_stage",[2]stages!$2:$2,0)+1,FALSE)</f>
        <v>コラボ降臨12</v>
      </c>
      <c r="H44" s="245">
        <v>0</v>
      </c>
      <c r="I44" s="87">
        <f t="shared" si="0"/>
        <v>43</v>
      </c>
      <c r="J44" s="84" t="str">
        <f t="shared" si="8"/>
        <v>4901643</v>
      </c>
      <c r="K44" s="224" t="s">
        <v>127</v>
      </c>
      <c r="L44" s="225" t="s">
        <v>527</v>
      </c>
      <c r="M44" s="232" t="s">
        <v>562</v>
      </c>
      <c r="N44" s="56" t="s">
        <v>520</v>
      </c>
      <c r="O44" s="56">
        <v>1568</v>
      </c>
      <c r="P44" s="228" t="str">
        <f t="shared" si="9"/>
        <v>１２３４５６７８９０１２３４５６７８９０遊びがすぎます。それでは勝つ事はおろか、_x000D_私に触れる事も出来ませんね</v>
      </c>
      <c r="Q44" s="229">
        <f t="shared" si="10"/>
        <v>34</v>
      </c>
    </row>
    <row r="45" spans="1:17" s="260" customFormat="1" ht="84" customHeight="1" x14ac:dyDescent="0.15">
      <c r="A45" s="79" t="s">
        <v>407</v>
      </c>
      <c r="B45" s="80">
        <f>floors!$C$2</f>
        <v>49016</v>
      </c>
      <c r="C45" s="244" t="str">
        <f ca="1">VLOOKUP($B45,OFFSET([2]quests!$A$1,0,0,COUNTA([2]quests!$A:$A),MATCH(C$1,[2]quests!$1:$1,0)-MATCH($B$1,[2]quests!$1:$1,0)+1),MATCH(C$1,[2]quests!$1:$1,0)-MATCH($B$1,[2]quests!$1:$1,0)+1,FALSE)</f>
        <v>栗転</v>
      </c>
      <c r="D45" s="244" t="str">
        <f ca="1">VLOOKUP($B45,OFFSET([2]quests!$A$1,0,0,COUNTA([2]quests!$A:$A),MATCH(D$1,[2]quests!$1:$1,0)-MATCH($B$1,[2]quests!$1:$1,0)+1),MATCH(D$1,[2]quests!$1:$1,0)-MATCH($B$1,[2]quests!$1:$1,0)+1,FALSE)</f>
        <v>コラボ降臨12</v>
      </c>
      <c r="E45" s="82">
        <v>1</v>
      </c>
      <c r="F45" s="244" t="str">
        <f ca="1">VLOOKUP($B45&amp;"_"&amp;$E45,OFFSET([2]stages!$A$1,0,0,COUNTA([2]stages!$A:$A),MATCH(F$1,[2]stages!$2:$2,0)-MATCH("temp_stage",[2]stages!$2:$2,0)+1),MATCH(F$1,[2]stages!$2:$2,0)-MATCH("temp_stage",[2]stages!$2:$2,0)+1,FALSE)</f>
        <v>【超絶級】栗転</v>
      </c>
      <c r="G45" s="244" t="str">
        <f ca="1">VLOOKUP($B45&amp;"_"&amp;$E45,OFFSET([2]stages!$A$1,0,0,COUNTA([2]stages!$A:$A),MATCH(G$1,[2]stages!$2:$2,0)-MATCH("temp_stage",[2]stages!$2:$2,0)+1),MATCH(G$1,[2]stages!$2:$2,0)-MATCH("temp_stage",[2]stages!$2:$2,0)+1,FALSE)</f>
        <v>コラボ降臨12</v>
      </c>
      <c r="H45" s="245">
        <v>0</v>
      </c>
      <c r="I45" s="87">
        <f t="shared" si="0"/>
        <v>44</v>
      </c>
      <c r="J45" s="84" t="str">
        <f t="shared" si="8"/>
        <v>4901644</v>
      </c>
      <c r="K45" s="224" t="s">
        <v>127</v>
      </c>
      <c r="L45" s="225" t="s">
        <v>528</v>
      </c>
      <c r="M45" s="232" t="s">
        <v>529</v>
      </c>
      <c r="N45" s="56" t="s">
        <v>520</v>
      </c>
      <c r="O45" s="56">
        <v>1553</v>
      </c>
      <c r="P45" s="228" t="str">
        <f t="shared" si="9"/>
        <v>１２３４５６７８９０１２３４５６７８９０いったい何にしびれてる？_x000D_電撃か？それとも俺の美貌にかい？</v>
      </c>
      <c r="Q45" s="229">
        <f t="shared" si="10"/>
        <v>29</v>
      </c>
    </row>
    <row r="46" spans="1:17" s="260" customFormat="1" ht="84" customHeight="1" x14ac:dyDescent="0.15">
      <c r="A46" s="79" t="s">
        <v>407</v>
      </c>
      <c r="B46" s="80">
        <f>floors!$C$2</f>
        <v>49016</v>
      </c>
      <c r="C46" s="244" t="str">
        <f ca="1">VLOOKUP($B46,OFFSET([2]quests!$A$1,0,0,COUNTA([2]quests!$A:$A),MATCH(C$1,[2]quests!$1:$1,0)-MATCH($B$1,[2]quests!$1:$1,0)+1),MATCH(C$1,[2]quests!$1:$1,0)-MATCH($B$1,[2]quests!$1:$1,0)+1,FALSE)</f>
        <v>栗転</v>
      </c>
      <c r="D46" s="244" t="str">
        <f ca="1">VLOOKUP($B46,OFFSET([2]quests!$A$1,0,0,COUNTA([2]quests!$A:$A),MATCH(D$1,[2]quests!$1:$1,0)-MATCH($B$1,[2]quests!$1:$1,0)+1),MATCH(D$1,[2]quests!$1:$1,0)-MATCH($B$1,[2]quests!$1:$1,0)+1,FALSE)</f>
        <v>コラボ降臨12</v>
      </c>
      <c r="E46" s="82">
        <v>1</v>
      </c>
      <c r="F46" s="244" t="str">
        <f ca="1">VLOOKUP($B46&amp;"_"&amp;$E46,OFFSET([2]stages!$A$1,0,0,COUNTA([2]stages!$A:$A),MATCH(F$1,[2]stages!$2:$2,0)-MATCH("temp_stage",[2]stages!$2:$2,0)+1),MATCH(F$1,[2]stages!$2:$2,0)-MATCH("temp_stage",[2]stages!$2:$2,0)+1,FALSE)</f>
        <v>【超絶級】栗転</v>
      </c>
      <c r="G46" s="244" t="str">
        <f ca="1">VLOOKUP($B46&amp;"_"&amp;$E46,OFFSET([2]stages!$A$1,0,0,COUNTA([2]stages!$A:$A),MATCH(G$1,[2]stages!$2:$2,0)-MATCH("temp_stage",[2]stages!$2:$2,0)+1),MATCH(G$1,[2]stages!$2:$2,0)-MATCH("temp_stage",[2]stages!$2:$2,0)+1,FALSE)</f>
        <v>コラボ降臨12</v>
      </c>
      <c r="H46" s="245">
        <v>0</v>
      </c>
      <c r="I46" s="87">
        <f t="shared" si="0"/>
        <v>45</v>
      </c>
      <c r="J46" s="84" t="str">
        <f t="shared" si="8"/>
        <v>4901645</v>
      </c>
      <c r="K46" s="224" t="s">
        <v>127</v>
      </c>
      <c r="L46" s="225" t="s">
        <v>530</v>
      </c>
      <c r="M46" s="232" t="s">
        <v>531</v>
      </c>
      <c r="N46" s="56" t="s">
        <v>520</v>
      </c>
      <c r="O46" s="56">
        <v>1566</v>
      </c>
      <c r="P46" s="228" t="str">
        <f t="shared" si="9"/>
        <v>１２３４５６７８９０１２３４５６７８９０ナイスバディで最強の格闘家の_x000D_私に勝とうなんてやっぱ、無謀って感じぃ！</v>
      </c>
      <c r="Q46" s="229">
        <f t="shared" si="10"/>
        <v>35</v>
      </c>
    </row>
    <row r="47" spans="1:17" s="260" customFormat="1" ht="84" customHeight="1" x14ac:dyDescent="0.15">
      <c r="A47" s="79" t="s">
        <v>407</v>
      </c>
      <c r="B47" s="80">
        <f>floors!$C$2</f>
        <v>49016</v>
      </c>
      <c r="C47" s="244" t="str">
        <f ca="1">VLOOKUP($B47,OFFSET([2]quests!$A$1,0,0,COUNTA([2]quests!$A:$A),MATCH(C$1,[2]quests!$1:$1,0)-MATCH($B$1,[2]quests!$1:$1,0)+1),MATCH(C$1,[2]quests!$1:$1,0)-MATCH($B$1,[2]quests!$1:$1,0)+1,FALSE)</f>
        <v>栗転</v>
      </c>
      <c r="D47" s="244" t="str">
        <f ca="1">VLOOKUP($B47,OFFSET([2]quests!$A$1,0,0,COUNTA([2]quests!$A:$A),MATCH(D$1,[2]quests!$1:$1,0)-MATCH($B$1,[2]quests!$1:$1,0)+1),MATCH(D$1,[2]quests!$1:$1,0)-MATCH($B$1,[2]quests!$1:$1,0)+1,FALSE)</f>
        <v>コラボ降臨12</v>
      </c>
      <c r="E47" s="82">
        <v>1</v>
      </c>
      <c r="F47" s="244" t="str">
        <f ca="1">VLOOKUP($B47&amp;"_"&amp;$E47,OFFSET([2]stages!$A$1,0,0,COUNTA([2]stages!$A:$A),MATCH(F$1,[2]stages!$2:$2,0)-MATCH("temp_stage",[2]stages!$2:$2,0)+1),MATCH(F$1,[2]stages!$2:$2,0)-MATCH("temp_stage",[2]stages!$2:$2,0)+1,FALSE)</f>
        <v>【超絶級】栗転</v>
      </c>
      <c r="G47" s="244" t="str">
        <f ca="1">VLOOKUP($B47&amp;"_"&amp;$E47,OFFSET([2]stages!$A$1,0,0,COUNTA([2]stages!$A:$A),MATCH(G$1,[2]stages!$2:$2,0)-MATCH("temp_stage",[2]stages!$2:$2,0)+1),MATCH(G$1,[2]stages!$2:$2,0)-MATCH("temp_stage",[2]stages!$2:$2,0)+1,FALSE)</f>
        <v>コラボ降臨12</v>
      </c>
      <c r="H47" s="245">
        <v>0</v>
      </c>
      <c r="I47" s="87">
        <f t="shared" si="0"/>
        <v>46</v>
      </c>
      <c r="J47" s="84" t="str">
        <f t="shared" si="8"/>
        <v>4901646</v>
      </c>
      <c r="K47" s="224" t="s">
        <v>127</v>
      </c>
      <c r="L47" s="225" t="s">
        <v>532</v>
      </c>
      <c r="M47" s="232" t="s">
        <v>561</v>
      </c>
      <c r="N47" s="56" t="s">
        <v>520</v>
      </c>
      <c r="O47" s="56">
        <v>1551</v>
      </c>
      <c r="P47" s="228" t="str">
        <f t="shared" si="9"/>
        <v>１２３４５６７８９０１２３４５６７８９０何が足りねえかわかったろ？_x000D_へこんでる暇はないはずだぜ！</v>
      </c>
      <c r="Q47" s="229">
        <f t="shared" si="10"/>
        <v>28</v>
      </c>
    </row>
    <row r="48" spans="1:17" s="260" customFormat="1" ht="84" customHeight="1" x14ac:dyDescent="0.15">
      <c r="A48" s="79" t="s">
        <v>407</v>
      </c>
      <c r="B48" s="80">
        <f>floors!$C$2</f>
        <v>49016</v>
      </c>
      <c r="C48" s="244" t="str">
        <f ca="1">VLOOKUP($B48,OFFSET([2]quests!$A$1,0,0,COUNTA([2]quests!$A:$A),MATCH(C$1,[2]quests!$1:$1,0)-MATCH($B$1,[2]quests!$1:$1,0)+1),MATCH(C$1,[2]quests!$1:$1,0)-MATCH($B$1,[2]quests!$1:$1,0)+1,FALSE)</f>
        <v>栗転</v>
      </c>
      <c r="D48" s="244" t="str">
        <f ca="1">VLOOKUP($B48,OFFSET([2]quests!$A$1,0,0,COUNTA([2]quests!$A:$A),MATCH(D$1,[2]quests!$1:$1,0)-MATCH($B$1,[2]quests!$1:$1,0)+1),MATCH(D$1,[2]quests!$1:$1,0)-MATCH($B$1,[2]quests!$1:$1,0)+1,FALSE)</f>
        <v>コラボ降臨12</v>
      </c>
      <c r="E48" s="82">
        <v>1</v>
      </c>
      <c r="F48" s="244" t="str">
        <f ca="1">VLOOKUP($B48&amp;"_"&amp;$E48,OFFSET([2]stages!$A$1,0,0,COUNTA([2]stages!$A:$A),MATCH(F$1,[2]stages!$2:$2,0)-MATCH("temp_stage",[2]stages!$2:$2,0)+1),MATCH(F$1,[2]stages!$2:$2,0)-MATCH("temp_stage",[2]stages!$2:$2,0)+1,FALSE)</f>
        <v>【超絶級】栗転</v>
      </c>
      <c r="G48" s="244" t="str">
        <f ca="1">VLOOKUP($B48&amp;"_"&amp;$E48,OFFSET([2]stages!$A$1,0,0,COUNTA([2]stages!$A:$A),MATCH(G$1,[2]stages!$2:$2,0)-MATCH("temp_stage",[2]stages!$2:$2,0)+1),MATCH(G$1,[2]stages!$2:$2,0)-MATCH("temp_stage",[2]stages!$2:$2,0)+1,FALSE)</f>
        <v>コラボ降臨12</v>
      </c>
      <c r="H48" s="245">
        <v>0</v>
      </c>
      <c r="I48" s="87">
        <f t="shared" si="0"/>
        <v>47</v>
      </c>
      <c r="J48" s="84" t="str">
        <f t="shared" si="8"/>
        <v>4901647</v>
      </c>
      <c r="K48" s="224" t="s">
        <v>127</v>
      </c>
      <c r="L48" s="225" t="s">
        <v>533</v>
      </c>
      <c r="M48" s="232" t="s">
        <v>534</v>
      </c>
      <c r="N48" s="56" t="s">
        <v>520</v>
      </c>
      <c r="O48" s="56">
        <v>1555</v>
      </c>
      <c r="P48" s="228" t="str">
        <f t="shared" si="9"/>
        <v>１２３４５６７８９０１２３４５６７８９０これが答えだ…！</v>
      </c>
      <c r="Q48" s="229">
        <f t="shared" si="10"/>
        <v>8</v>
      </c>
    </row>
    <row r="49" spans="1:17" s="260" customFormat="1" ht="84" customHeight="1" x14ac:dyDescent="0.15">
      <c r="A49" s="79" t="s">
        <v>407</v>
      </c>
      <c r="B49" s="80">
        <f>floors!$C$2</f>
        <v>49016</v>
      </c>
      <c r="C49" s="244" t="str">
        <f ca="1">VLOOKUP($B49,OFFSET([2]quests!$A$1,0,0,COUNTA([2]quests!$A:$A),MATCH(C$1,[2]quests!$1:$1,0)-MATCH($B$1,[2]quests!$1:$1,0)+1),MATCH(C$1,[2]quests!$1:$1,0)-MATCH($B$1,[2]quests!$1:$1,0)+1,FALSE)</f>
        <v>栗転</v>
      </c>
      <c r="D49" s="244" t="str">
        <f ca="1">VLOOKUP($B49,OFFSET([2]quests!$A$1,0,0,COUNTA([2]quests!$A:$A),MATCH(D$1,[2]quests!$1:$1,0)-MATCH($B$1,[2]quests!$1:$1,0)+1),MATCH(D$1,[2]quests!$1:$1,0)-MATCH($B$1,[2]quests!$1:$1,0)+1,FALSE)</f>
        <v>コラボ降臨12</v>
      </c>
      <c r="E49" s="82">
        <v>1</v>
      </c>
      <c r="F49" s="244" t="str">
        <f ca="1">VLOOKUP($B49&amp;"_"&amp;$E49,OFFSET([2]stages!$A$1,0,0,COUNTA([2]stages!$A:$A),MATCH(F$1,[2]stages!$2:$2,0)-MATCH("temp_stage",[2]stages!$2:$2,0)+1),MATCH(F$1,[2]stages!$2:$2,0)-MATCH("temp_stage",[2]stages!$2:$2,0)+1,FALSE)</f>
        <v>【超絶級】栗転</v>
      </c>
      <c r="G49" s="244" t="str">
        <f ca="1">VLOOKUP($B49&amp;"_"&amp;$E49,OFFSET([2]stages!$A$1,0,0,COUNTA([2]stages!$A:$A),MATCH(G$1,[2]stages!$2:$2,0)-MATCH("temp_stage",[2]stages!$2:$2,0)+1),MATCH(G$1,[2]stages!$2:$2,0)-MATCH("temp_stage",[2]stages!$2:$2,0)+1,FALSE)</f>
        <v>コラボ降臨12</v>
      </c>
      <c r="H49" s="245">
        <v>0</v>
      </c>
      <c r="I49" s="87">
        <f t="shared" si="0"/>
        <v>48</v>
      </c>
      <c r="J49" s="84" t="str">
        <f t="shared" si="8"/>
        <v>4901648</v>
      </c>
      <c r="K49" s="224" t="s">
        <v>127</v>
      </c>
      <c r="L49" s="225" t="s">
        <v>535</v>
      </c>
      <c r="M49" s="232" t="s">
        <v>536</v>
      </c>
      <c r="N49" s="56" t="s">
        <v>520</v>
      </c>
      <c r="O49" s="56">
        <v>1556</v>
      </c>
      <c r="P49" s="228" t="str">
        <f t="shared" si="9"/>
        <v>１２３４５６７８９０１２３４５６７８９０絶対無比の空手！_x000D_それが極限流だ！覚えておく事だぜ！</v>
      </c>
      <c r="Q49" s="229">
        <f t="shared" si="10"/>
        <v>26</v>
      </c>
    </row>
    <row r="50" spans="1:17" s="260" customFormat="1" ht="84" customHeight="1" x14ac:dyDescent="0.15">
      <c r="A50" s="79" t="s">
        <v>407</v>
      </c>
      <c r="B50" s="80">
        <f>floors!$C$2</f>
        <v>49016</v>
      </c>
      <c r="C50" s="244" t="str">
        <f ca="1">VLOOKUP($B50,OFFSET([2]quests!$A$1,0,0,COUNTA([2]quests!$A:$A),MATCH(C$1,[2]quests!$1:$1,0)-MATCH($B$1,[2]quests!$1:$1,0)+1),MATCH(C$1,[2]quests!$1:$1,0)-MATCH($B$1,[2]quests!$1:$1,0)+1,FALSE)</f>
        <v>栗転</v>
      </c>
      <c r="D50" s="244" t="str">
        <f ca="1">VLOOKUP($B50,OFFSET([2]quests!$A$1,0,0,COUNTA([2]quests!$A:$A),MATCH(D$1,[2]quests!$1:$1,0)-MATCH($B$1,[2]quests!$1:$1,0)+1),MATCH(D$1,[2]quests!$1:$1,0)-MATCH($B$1,[2]quests!$1:$1,0)+1,FALSE)</f>
        <v>コラボ降臨12</v>
      </c>
      <c r="E50" s="82">
        <v>1</v>
      </c>
      <c r="F50" s="244" t="str">
        <f ca="1">VLOOKUP($B50&amp;"_"&amp;$E50,OFFSET([2]stages!$A$1,0,0,COUNTA([2]stages!$A:$A),MATCH(F$1,[2]stages!$2:$2,0)-MATCH("temp_stage",[2]stages!$2:$2,0)+1),MATCH(F$1,[2]stages!$2:$2,0)-MATCH("temp_stage",[2]stages!$2:$2,0)+1,FALSE)</f>
        <v>【超絶級】栗転</v>
      </c>
      <c r="G50" s="244" t="str">
        <f ca="1">VLOOKUP($B50&amp;"_"&amp;$E50,OFFSET([2]stages!$A$1,0,0,COUNTA([2]stages!$A:$A),MATCH(G$1,[2]stages!$2:$2,0)-MATCH("temp_stage",[2]stages!$2:$2,0)+1),MATCH(G$1,[2]stages!$2:$2,0)-MATCH("temp_stage",[2]stages!$2:$2,0)+1,FALSE)</f>
        <v>コラボ降臨12</v>
      </c>
      <c r="H50" s="245">
        <v>0</v>
      </c>
      <c r="I50" s="87">
        <f t="shared" si="0"/>
        <v>49</v>
      </c>
      <c r="J50" s="84" t="str">
        <f t="shared" si="8"/>
        <v>4901649</v>
      </c>
      <c r="K50" s="224" t="s">
        <v>127</v>
      </c>
      <c r="L50" s="225" t="s">
        <v>537</v>
      </c>
      <c r="M50" s="232" t="s">
        <v>538</v>
      </c>
      <c r="N50" s="56" t="s">
        <v>520</v>
      </c>
      <c r="O50" s="56">
        <v>1558</v>
      </c>
      <c r="P50" s="228" t="str">
        <f t="shared" si="9"/>
        <v>１２３４５６７８９０１２３４５６７８９０勝負は勝負！_x000D_負けたからってスネちゃダメよ！</v>
      </c>
      <c r="Q50" s="229">
        <f t="shared" si="10"/>
        <v>22</v>
      </c>
    </row>
    <row r="51" spans="1:17" s="260" customFormat="1" ht="84" customHeight="1" x14ac:dyDescent="0.15">
      <c r="A51" s="79" t="s">
        <v>407</v>
      </c>
      <c r="B51" s="80">
        <f>floors!$C$2</f>
        <v>49016</v>
      </c>
      <c r="C51" s="244" t="str">
        <f ca="1">VLOOKUP($B51,OFFSET([2]quests!$A$1,0,0,COUNTA([2]quests!$A:$A),MATCH(C$1,[2]quests!$1:$1,0)-MATCH($B$1,[2]quests!$1:$1,0)+1),MATCH(C$1,[2]quests!$1:$1,0)-MATCH($B$1,[2]quests!$1:$1,0)+1,FALSE)</f>
        <v>栗転</v>
      </c>
      <c r="D51" s="244" t="str">
        <f ca="1">VLOOKUP($B51,OFFSET([2]quests!$A$1,0,0,COUNTA([2]quests!$A:$A),MATCH(D$1,[2]quests!$1:$1,0)-MATCH($B$1,[2]quests!$1:$1,0)+1),MATCH(D$1,[2]quests!$1:$1,0)-MATCH($B$1,[2]quests!$1:$1,0)+1,FALSE)</f>
        <v>コラボ降臨12</v>
      </c>
      <c r="E51" s="82">
        <v>1</v>
      </c>
      <c r="F51" s="244" t="str">
        <f ca="1">VLOOKUP($B51&amp;"_"&amp;$E51,OFFSET([2]stages!$A$1,0,0,COUNTA([2]stages!$A:$A),MATCH(F$1,[2]stages!$2:$2,0)-MATCH("temp_stage",[2]stages!$2:$2,0)+1),MATCH(F$1,[2]stages!$2:$2,0)-MATCH("temp_stage",[2]stages!$2:$2,0)+1,FALSE)</f>
        <v>【超絶級】栗転</v>
      </c>
      <c r="G51" s="244" t="str">
        <f ca="1">VLOOKUP($B51&amp;"_"&amp;$E51,OFFSET([2]stages!$A$1,0,0,COUNTA([2]stages!$A:$A),MATCH(G$1,[2]stages!$2:$2,0)-MATCH("temp_stage",[2]stages!$2:$2,0)+1),MATCH(G$1,[2]stages!$2:$2,0)-MATCH("temp_stage",[2]stages!$2:$2,0)+1,FALSE)</f>
        <v>コラボ降臨12</v>
      </c>
      <c r="H51" s="245">
        <v>0</v>
      </c>
      <c r="I51" s="87">
        <f t="shared" si="0"/>
        <v>50</v>
      </c>
      <c r="J51" s="84" t="str">
        <f t="shared" si="8"/>
        <v>4901650</v>
      </c>
      <c r="K51" s="224" t="s">
        <v>127</v>
      </c>
      <c r="L51" s="225" t="s">
        <v>539</v>
      </c>
      <c r="M51" s="232" t="s">
        <v>540</v>
      </c>
      <c r="N51" s="56" t="s">
        <v>520</v>
      </c>
      <c r="O51" s="56">
        <v>1560</v>
      </c>
      <c r="P51" s="228" t="str">
        <f t="shared" si="9"/>
        <v>１２３４５６７８９０１２３４５６７８９０ワイの力みくびるなんて_x000D_まだまだ、ひよっこって事やな！</v>
      </c>
      <c r="Q51" s="229">
        <f t="shared" si="10"/>
        <v>27</v>
      </c>
    </row>
    <row r="52" spans="1:17" s="260" customFormat="1" ht="84" customHeight="1" x14ac:dyDescent="0.15">
      <c r="A52" s="79" t="s">
        <v>407</v>
      </c>
      <c r="B52" s="80">
        <f>floors!$C$2</f>
        <v>49016</v>
      </c>
      <c r="C52" s="244" t="str">
        <f ca="1">VLOOKUP($B52,OFFSET([2]quests!$A$1,0,0,COUNTA([2]quests!$A:$A),MATCH(C$1,[2]quests!$1:$1,0)-MATCH($B$1,[2]quests!$1:$1,0)+1),MATCH(C$1,[2]quests!$1:$1,0)-MATCH($B$1,[2]quests!$1:$1,0)+1,FALSE)</f>
        <v>栗転</v>
      </c>
      <c r="D52" s="244" t="str">
        <f ca="1">VLOOKUP($B52,OFFSET([2]quests!$A$1,0,0,COUNTA([2]quests!$A:$A),MATCH(D$1,[2]quests!$1:$1,0)-MATCH($B$1,[2]quests!$1:$1,0)+1),MATCH(D$1,[2]quests!$1:$1,0)-MATCH($B$1,[2]quests!$1:$1,0)+1,FALSE)</f>
        <v>コラボ降臨12</v>
      </c>
      <c r="E52" s="82">
        <v>1</v>
      </c>
      <c r="F52" s="244" t="str">
        <f ca="1">VLOOKUP($B52&amp;"_"&amp;$E52,OFFSET([2]stages!$A$1,0,0,COUNTA([2]stages!$A:$A),MATCH(F$1,[2]stages!$2:$2,0)-MATCH("temp_stage",[2]stages!$2:$2,0)+1),MATCH(F$1,[2]stages!$2:$2,0)-MATCH("temp_stage",[2]stages!$2:$2,0)+1,FALSE)</f>
        <v>【超絶級】栗転</v>
      </c>
      <c r="G52" s="244" t="str">
        <f ca="1">VLOOKUP($B52&amp;"_"&amp;$E52,OFFSET([2]stages!$A$1,0,0,COUNTA([2]stages!$A:$A),MATCH(G$1,[2]stages!$2:$2,0)-MATCH("temp_stage",[2]stages!$2:$2,0)+1),MATCH(G$1,[2]stages!$2:$2,0)-MATCH("temp_stage",[2]stages!$2:$2,0)+1,FALSE)</f>
        <v>コラボ降臨12</v>
      </c>
      <c r="H52" s="245">
        <v>0</v>
      </c>
      <c r="I52" s="87">
        <f t="shared" si="0"/>
        <v>51</v>
      </c>
      <c r="J52" s="84" t="str">
        <f t="shared" si="8"/>
        <v>4901651</v>
      </c>
      <c r="K52" s="224" t="s">
        <v>127</v>
      </c>
      <c r="L52" s="225" t="s">
        <v>541</v>
      </c>
      <c r="M52" s="232" t="s">
        <v>542</v>
      </c>
      <c r="N52" s="56" t="s">
        <v>520</v>
      </c>
      <c r="O52" s="56">
        <v>1561</v>
      </c>
      <c r="P52" s="228" t="str">
        <f t="shared" si="9"/>
        <v>１２３４５６７８９０１２３４５６７８９０甘い夢を見続けるなら、_x000D_夢の中だけで十分だぜ！_x000D_現実は厳しいって事だ！</v>
      </c>
      <c r="Q52" s="229">
        <f t="shared" si="10"/>
        <v>35</v>
      </c>
    </row>
    <row r="53" spans="1:17" s="260" customFormat="1" ht="84" customHeight="1" x14ac:dyDescent="0.15">
      <c r="A53" s="79" t="s">
        <v>407</v>
      </c>
      <c r="B53" s="80">
        <f>floors!$C$2</f>
        <v>49016</v>
      </c>
      <c r="C53" s="244" t="str">
        <f ca="1">VLOOKUP($B53,OFFSET([2]quests!$A$1,0,0,COUNTA([2]quests!$A:$A),MATCH(C$1,[2]quests!$1:$1,0)-MATCH($B$1,[2]quests!$1:$1,0)+1),MATCH(C$1,[2]quests!$1:$1,0)-MATCH($B$1,[2]quests!$1:$1,0)+1,FALSE)</f>
        <v>栗転</v>
      </c>
      <c r="D53" s="244" t="str">
        <f ca="1">VLOOKUP($B53,OFFSET([2]quests!$A$1,0,0,COUNTA([2]quests!$A:$A),MATCH(D$1,[2]quests!$1:$1,0)-MATCH($B$1,[2]quests!$1:$1,0)+1),MATCH(D$1,[2]quests!$1:$1,0)-MATCH($B$1,[2]quests!$1:$1,0)+1,FALSE)</f>
        <v>コラボ降臨12</v>
      </c>
      <c r="E53" s="82">
        <v>1</v>
      </c>
      <c r="F53" s="244" t="str">
        <f ca="1">VLOOKUP($B53&amp;"_"&amp;$E53,OFFSET([2]stages!$A$1,0,0,COUNTA([2]stages!$A:$A),MATCH(F$1,[2]stages!$2:$2,0)-MATCH("temp_stage",[2]stages!$2:$2,0)+1),MATCH(F$1,[2]stages!$2:$2,0)-MATCH("temp_stage",[2]stages!$2:$2,0)+1,FALSE)</f>
        <v>【超絶級】栗転</v>
      </c>
      <c r="G53" s="244" t="str">
        <f ca="1">VLOOKUP($B53&amp;"_"&amp;$E53,OFFSET([2]stages!$A$1,0,0,COUNTA([2]stages!$A:$A),MATCH(G$1,[2]stages!$2:$2,0)-MATCH("temp_stage",[2]stages!$2:$2,0)+1),MATCH(G$1,[2]stages!$2:$2,0)-MATCH("temp_stage",[2]stages!$2:$2,0)+1,FALSE)</f>
        <v>コラボ降臨12</v>
      </c>
      <c r="H53" s="245">
        <v>0</v>
      </c>
      <c r="I53" s="87">
        <f t="shared" si="0"/>
        <v>52</v>
      </c>
      <c r="J53" s="84" t="str">
        <f t="shared" si="8"/>
        <v>4901652</v>
      </c>
      <c r="K53" s="224" t="s">
        <v>127</v>
      </c>
      <c r="L53" s="225" t="s">
        <v>543</v>
      </c>
      <c r="M53" s="232" t="s">
        <v>544</v>
      </c>
      <c r="N53" s="56" t="s">
        <v>520</v>
      </c>
      <c r="O53" s="56">
        <v>1563</v>
      </c>
      <c r="P53" s="228" t="str">
        <f t="shared" si="9"/>
        <v>１２３４５６７８９０１２３４５６７８９０相手の力量を見誤ると大怪我するよ。_x000D_気をつけるんだ！</v>
      </c>
      <c r="Q53" s="229">
        <f t="shared" si="10"/>
        <v>26</v>
      </c>
    </row>
    <row r="54" spans="1:17" s="260" customFormat="1" ht="84" customHeight="1" x14ac:dyDescent="0.15">
      <c r="A54" s="79" t="s">
        <v>407</v>
      </c>
      <c r="B54" s="80">
        <f>floors!$C$2</f>
        <v>49016</v>
      </c>
      <c r="C54" s="244" t="str">
        <f ca="1">VLOOKUP($B54,OFFSET([2]quests!$A$1,0,0,COUNTA([2]quests!$A:$A),MATCH(C$1,[2]quests!$1:$1,0)-MATCH($B$1,[2]quests!$1:$1,0)+1),MATCH(C$1,[2]quests!$1:$1,0)-MATCH($B$1,[2]quests!$1:$1,0)+1,FALSE)</f>
        <v>栗転</v>
      </c>
      <c r="D54" s="244" t="str">
        <f ca="1">VLOOKUP($B54,OFFSET([2]quests!$A$1,0,0,COUNTA([2]quests!$A:$A),MATCH(D$1,[2]quests!$1:$1,0)-MATCH($B$1,[2]quests!$1:$1,0)+1),MATCH(D$1,[2]quests!$1:$1,0)-MATCH($B$1,[2]quests!$1:$1,0)+1,FALSE)</f>
        <v>コラボ降臨12</v>
      </c>
      <c r="E54" s="82">
        <v>1</v>
      </c>
      <c r="F54" s="244" t="str">
        <f ca="1">VLOOKUP($B54&amp;"_"&amp;$E54,OFFSET([2]stages!$A$1,0,0,COUNTA([2]stages!$A:$A),MATCH(F$1,[2]stages!$2:$2,0)-MATCH("temp_stage",[2]stages!$2:$2,0)+1),MATCH(F$1,[2]stages!$2:$2,0)-MATCH("temp_stage",[2]stages!$2:$2,0)+1,FALSE)</f>
        <v>【超絶級】栗転</v>
      </c>
      <c r="G54" s="244" t="str">
        <f ca="1">VLOOKUP($B54&amp;"_"&amp;$E54,OFFSET([2]stages!$A$1,0,0,COUNTA([2]stages!$A:$A),MATCH(G$1,[2]stages!$2:$2,0)-MATCH("temp_stage",[2]stages!$2:$2,0)+1),MATCH(G$1,[2]stages!$2:$2,0)-MATCH("temp_stage",[2]stages!$2:$2,0)+1,FALSE)</f>
        <v>コラボ降臨12</v>
      </c>
      <c r="H54" s="245">
        <v>0</v>
      </c>
      <c r="I54" s="87">
        <f t="shared" si="0"/>
        <v>53</v>
      </c>
      <c r="J54" s="84" t="str">
        <f t="shared" si="8"/>
        <v>4901653</v>
      </c>
      <c r="K54" s="224" t="s">
        <v>127</v>
      </c>
      <c r="L54" s="225" t="s">
        <v>545</v>
      </c>
      <c r="M54" s="232" t="s">
        <v>546</v>
      </c>
      <c r="N54" s="56" t="s">
        <v>520</v>
      </c>
      <c r="O54" s="56">
        <v>1565</v>
      </c>
      <c r="P54" s="228" t="str">
        <f t="shared" si="9"/>
        <v>１２３４５６７８９０１２３４５６７８９０勝利者はいつもこの俺！ジョー東様よ！_x000D_そこんとこ勘違いしちゃいけねーぜ！</v>
      </c>
      <c r="Q54" s="229">
        <f t="shared" si="10"/>
        <v>36</v>
      </c>
    </row>
    <row r="55" spans="1:17" s="260" customFormat="1" ht="84" customHeight="1" x14ac:dyDescent="0.15">
      <c r="A55" s="79" t="s">
        <v>407</v>
      </c>
      <c r="B55" s="80">
        <f>floors!$C$2</f>
        <v>49016</v>
      </c>
      <c r="C55" s="244" t="str">
        <f ca="1">VLOOKUP($B55,OFFSET([2]quests!$A$1,0,0,COUNTA([2]quests!$A:$A),MATCH(C$1,[2]quests!$1:$1,0)-MATCH($B$1,[2]quests!$1:$1,0)+1),MATCH(C$1,[2]quests!$1:$1,0)-MATCH($B$1,[2]quests!$1:$1,0)+1,FALSE)</f>
        <v>栗転</v>
      </c>
      <c r="D55" s="244" t="str">
        <f ca="1">VLOOKUP($B55,OFFSET([2]quests!$A$1,0,0,COUNTA([2]quests!$A:$A),MATCH(D$1,[2]quests!$1:$1,0)-MATCH($B$1,[2]quests!$1:$1,0)+1),MATCH(D$1,[2]quests!$1:$1,0)-MATCH($B$1,[2]quests!$1:$1,0)+1,FALSE)</f>
        <v>コラボ降臨12</v>
      </c>
      <c r="E55" s="82">
        <v>1</v>
      </c>
      <c r="F55" s="244" t="str">
        <f ca="1">VLOOKUP($B55&amp;"_"&amp;$E55,OFFSET([2]stages!$A$1,0,0,COUNTA([2]stages!$A:$A),MATCH(F$1,[2]stages!$2:$2,0)-MATCH("temp_stage",[2]stages!$2:$2,0)+1),MATCH(F$1,[2]stages!$2:$2,0)-MATCH("temp_stage",[2]stages!$2:$2,0)+1,FALSE)</f>
        <v>【超絶級】栗転</v>
      </c>
      <c r="G55" s="244" t="str">
        <f ca="1">VLOOKUP($B55&amp;"_"&amp;$E55,OFFSET([2]stages!$A$1,0,0,COUNTA([2]stages!$A:$A),MATCH(G$1,[2]stages!$2:$2,0)-MATCH("temp_stage",[2]stages!$2:$2,0)+1),MATCH(G$1,[2]stages!$2:$2,0)-MATCH("temp_stage",[2]stages!$2:$2,0)+1,FALSE)</f>
        <v>コラボ降臨12</v>
      </c>
      <c r="H55" s="245">
        <v>0</v>
      </c>
      <c r="I55" s="87">
        <f t="shared" si="0"/>
        <v>54</v>
      </c>
      <c r="J55" s="84" t="str">
        <f t="shared" si="8"/>
        <v>4901654</v>
      </c>
      <c r="K55" s="224" t="s">
        <v>127</v>
      </c>
      <c r="L55" s="225" t="s">
        <v>547</v>
      </c>
      <c r="M55" s="232" t="s">
        <v>548</v>
      </c>
      <c r="N55" s="56" t="s">
        <v>520</v>
      </c>
      <c r="O55" s="56">
        <v>1571</v>
      </c>
      <c r="P55" s="228" t="str">
        <f t="shared" si="9"/>
        <v>１２３４５６７８９０１２３４５６７８９０失せろ！キサマ等にくれてやるのは_x000D_痛み、苦しみという名の慈悲だけだ！！！</v>
      </c>
      <c r="Q55" s="229">
        <f t="shared" si="10"/>
        <v>36</v>
      </c>
    </row>
    <row r="56" spans="1:17" s="260" customFormat="1" ht="84" customHeight="1" x14ac:dyDescent="0.15">
      <c r="A56" s="79" t="s">
        <v>407</v>
      </c>
      <c r="B56" s="80">
        <f>floors!$C$2</f>
        <v>49016</v>
      </c>
      <c r="C56" s="244" t="str">
        <f ca="1">VLOOKUP($B56,OFFSET([2]quests!$A$1,0,0,COUNTA([2]quests!$A:$A),MATCH(C$1,[2]quests!$1:$1,0)-MATCH($B$1,[2]quests!$1:$1,0)+1),MATCH(C$1,[2]quests!$1:$1,0)-MATCH($B$1,[2]quests!$1:$1,0)+1,FALSE)</f>
        <v>栗転</v>
      </c>
      <c r="D56" s="244" t="str">
        <f ca="1">VLOOKUP($B56,OFFSET([2]quests!$A$1,0,0,COUNTA([2]quests!$A:$A),MATCH(D$1,[2]quests!$1:$1,0)-MATCH($B$1,[2]quests!$1:$1,0)+1),MATCH(D$1,[2]quests!$1:$1,0)-MATCH($B$1,[2]quests!$1:$1,0)+1,FALSE)</f>
        <v>コラボ降臨12</v>
      </c>
      <c r="E56" s="82">
        <v>1</v>
      </c>
      <c r="F56" s="244" t="str">
        <f ca="1">VLOOKUP($B56&amp;"_"&amp;$E56,OFFSET([2]stages!$A$1,0,0,COUNTA([2]stages!$A:$A),MATCH(F$1,[2]stages!$2:$2,0)-MATCH("temp_stage",[2]stages!$2:$2,0)+1),MATCH(F$1,[2]stages!$2:$2,0)-MATCH("temp_stage",[2]stages!$2:$2,0)+1,FALSE)</f>
        <v>【超絶級】栗転</v>
      </c>
      <c r="G56" s="244" t="str">
        <f ca="1">VLOOKUP($B56&amp;"_"&amp;$E56,OFFSET([2]stages!$A$1,0,0,COUNTA([2]stages!$A:$A),MATCH(G$1,[2]stages!$2:$2,0)-MATCH("temp_stage",[2]stages!$2:$2,0)+1),MATCH(G$1,[2]stages!$2:$2,0)-MATCH("temp_stage",[2]stages!$2:$2,0)+1,FALSE)</f>
        <v>コラボ降臨12</v>
      </c>
      <c r="H56" s="245">
        <v>0</v>
      </c>
      <c r="I56" s="87">
        <f t="shared" si="0"/>
        <v>55</v>
      </c>
      <c r="J56" s="84" t="str">
        <f t="shared" si="8"/>
        <v>4901655</v>
      </c>
      <c r="K56" s="224" t="s">
        <v>127</v>
      </c>
      <c r="L56" s="225" t="s">
        <v>549</v>
      </c>
      <c r="M56" s="232" t="s">
        <v>550</v>
      </c>
      <c r="N56" s="56" t="s">
        <v>520</v>
      </c>
      <c r="O56" s="56">
        <v>1573</v>
      </c>
      <c r="P56" s="228" t="str">
        <f t="shared" si="9"/>
        <v>１２３４５６７８９０１２３４５６７８９０意識が無くなるまでしばらくあるよ。_x000D_好きな歌でも口ずさんで待つんだね</v>
      </c>
      <c r="Q56" s="229">
        <f t="shared" si="10"/>
        <v>34</v>
      </c>
    </row>
    <row r="57" spans="1:17" s="260" customFormat="1" ht="84" customHeight="1" x14ac:dyDescent="0.15">
      <c r="A57" s="79" t="s">
        <v>407</v>
      </c>
      <c r="B57" s="80">
        <f>floors!$C$2</f>
        <v>49016</v>
      </c>
      <c r="C57" s="244" t="str">
        <f ca="1">VLOOKUP($B57,OFFSET([2]quests!$A$1,0,0,COUNTA([2]quests!$A:$A),MATCH(C$1,[2]quests!$1:$1,0)-MATCH($B$1,[2]quests!$1:$1,0)+1),MATCH(C$1,[2]quests!$1:$1,0)-MATCH($B$1,[2]quests!$1:$1,0)+1,FALSE)</f>
        <v>栗転</v>
      </c>
      <c r="D57" s="244" t="str">
        <f ca="1">VLOOKUP($B57,OFFSET([2]quests!$A$1,0,0,COUNTA([2]quests!$A:$A),MATCH(D$1,[2]quests!$1:$1,0)-MATCH($B$1,[2]quests!$1:$1,0)+1),MATCH(D$1,[2]quests!$1:$1,0)-MATCH($B$1,[2]quests!$1:$1,0)+1,FALSE)</f>
        <v>コラボ降臨12</v>
      </c>
      <c r="E57" s="82">
        <v>1</v>
      </c>
      <c r="F57" s="244" t="str">
        <f ca="1">VLOOKUP($B57&amp;"_"&amp;$E57,OFFSET([2]stages!$A$1,0,0,COUNTA([2]stages!$A:$A),MATCH(F$1,[2]stages!$2:$2,0)-MATCH("temp_stage",[2]stages!$2:$2,0)+1),MATCH(F$1,[2]stages!$2:$2,0)-MATCH("temp_stage",[2]stages!$2:$2,0)+1,FALSE)</f>
        <v>【超絶級】栗転</v>
      </c>
      <c r="G57" s="244" t="str">
        <f ca="1">VLOOKUP($B57&amp;"_"&amp;$E57,OFFSET([2]stages!$A$1,0,0,COUNTA([2]stages!$A:$A),MATCH(G$1,[2]stages!$2:$2,0)-MATCH("temp_stage",[2]stages!$2:$2,0)+1),MATCH(G$1,[2]stages!$2:$2,0)-MATCH("temp_stage",[2]stages!$2:$2,0)+1,FALSE)</f>
        <v>コラボ降臨12</v>
      </c>
      <c r="H57" s="245">
        <v>0</v>
      </c>
      <c r="I57" s="87">
        <f t="shared" si="0"/>
        <v>56</v>
      </c>
      <c r="J57" s="84" t="str">
        <f t="shared" si="8"/>
        <v>4901656</v>
      </c>
      <c r="K57" s="224" t="s">
        <v>127</v>
      </c>
      <c r="L57" s="225" t="s">
        <v>551</v>
      </c>
      <c r="M57" s="232" t="s">
        <v>552</v>
      </c>
      <c r="N57" s="56" t="s">
        <v>520</v>
      </c>
      <c r="O57" s="56">
        <v>1574</v>
      </c>
      <c r="P57" s="228" t="str">
        <f t="shared" si="9"/>
        <v>１２３４５６７８９０１２３４５６７８９０おやすみなさい。百万回のごきげんよう…</v>
      </c>
      <c r="Q57" s="229">
        <f t="shared" si="10"/>
        <v>19</v>
      </c>
    </row>
    <row r="58" spans="1:17" s="260" customFormat="1" ht="84" customHeight="1" x14ac:dyDescent="0.15">
      <c r="A58" s="79" t="s">
        <v>407</v>
      </c>
      <c r="B58" s="80">
        <f>floors!$C$2</f>
        <v>49016</v>
      </c>
      <c r="C58" s="244" t="str">
        <f ca="1">VLOOKUP($B58,OFFSET([2]quests!$A$1,0,0,COUNTA([2]quests!$A:$A),MATCH(C$1,[2]quests!$1:$1,0)-MATCH($B$1,[2]quests!$1:$1,0)+1),MATCH(C$1,[2]quests!$1:$1,0)-MATCH($B$1,[2]quests!$1:$1,0)+1,FALSE)</f>
        <v>栗転</v>
      </c>
      <c r="D58" s="244" t="str">
        <f ca="1">VLOOKUP($B58,OFFSET([2]quests!$A$1,0,0,COUNTA([2]quests!$A:$A),MATCH(D$1,[2]quests!$1:$1,0)-MATCH($B$1,[2]quests!$1:$1,0)+1),MATCH(D$1,[2]quests!$1:$1,0)-MATCH($B$1,[2]quests!$1:$1,0)+1,FALSE)</f>
        <v>コラボ降臨12</v>
      </c>
      <c r="E58" s="82">
        <v>1</v>
      </c>
      <c r="F58" s="244" t="str">
        <f ca="1">VLOOKUP($B58&amp;"_"&amp;$E58,OFFSET([2]stages!$A$1,0,0,COUNTA([2]stages!$A:$A),MATCH(F$1,[2]stages!$2:$2,0)-MATCH("temp_stage",[2]stages!$2:$2,0)+1),MATCH(F$1,[2]stages!$2:$2,0)-MATCH("temp_stage",[2]stages!$2:$2,0)+1,FALSE)</f>
        <v>【超絶級】栗転</v>
      </c>
      <c r="G58" s="244" t="str">
        <f ca="1">VLOOKUP($B58&amp;"_"&amp;$E58,OFFSET([2]stages!$A$1,0,0,COUNTA([2]stages!$A:$A),MATCH(G$1,[2]stages!$2:$2,0)-MATCH("temp_stage",[2]stages!$2:$2,0)+1),MATCH(G$1,[2]stages!$2:$2,0)-MATCH("temp_stage",[2]stages!$2:$2,0)+1,FALSE)</f>
        <v>コラボ降臨12</v>
      </c>
      <c r="H58" s="245">
        <v>0</v>
      </c>
      <c r="I58" s="87">
        <f t="shared" si="0"/>
        <v>57</v>
      </c>
      <c r="J58" s="84" t="str">
        <f t="shared" si="8"/>
        <v>4901657</v>
      </c>
      <c r="K58" s="224" t="s">
        <v>127</v>
      </c>
      <c r="L58" s="225" t="s">
        <v>553</v>
      </c>
      <c r="M58" s="232" t="s">
        <v>554</v>
      </c>
      <c r="N58" s="56" t="s">
        <v>520</v>
      </c>
      <c r="O58" s="56">
        <v>1575</v>
      </c>
      <c r="P58" s="228" t="str">
        <f t="shared" si="9"/>
        <v>１２３４５６７８９０１２３４５６７８９０いい試合でした。_x000D_私もつい本気になってしまったようです！_x000D_ハッハッハ！！</v>
      </c>
      <c r="Q58" s="229">
        <f t="shared" si="10"/>
        <v>36</v>
      </c>
    </row>
    <row r="59" spans="1:17" s="260" customFormat="1" ht="84" customHeight="1" x14ac:dyDescent="0.15">
      <c r="A59" s="79" t="s">
        <v>407</v>
      </c>
      <c r="B59" s="80">
        <f>floors!$C$2</f>
        <v>49016</v>
      </c>
      <c r="C59" s="244" t="str">
        <f ca="1">VLOOKUP($B59,OFFSET([2]quests!$A$1,0,0,COUNTA([2]quests!$A:$A),MATCH(C$1,[2]quests!$1:$1,0)-MATCH($B$1,[2]quests!$1:$1,0)+1),MATCH(C$1,[2]quests!$1:$1,0)-MATCH($B$1,[2]quests!$1:$1,0)+1,FALSE)</f>
        <v>栗転</v>
      </c>
      <c r="D59" s="244" t="str">
        <f ca="1">VLOOKUP($B59,OFFSET([2]quests!$A$1,0,0,COUNTA([2]quests!$A:$A),MATCH(D$1,[2]quests!$1:$1,0)-MATCH($B$1,[2]quests!$1:$1,0)+1),MATCH(D$1,[2]quests!$1:$1,0)-MATCH($B$1,[2]quests!$1:$1,0)+1,FALSE)</f>
        <v>コラボ降臨12</v>
      </c>
      <c r="E59" s="82">
        <v>1</v>
      </c>
      <c r="F59" s="244" t="str">
        <f ca="1">VLOOKUP($B59&amp;"_"&amp;$E59,OFFSET([2]stages!$A$1,0,0,COUNTA([2]stages!$A:$A),MATCH(F$1,[2]stages!$2:$2,0)-MATCH("temp_stage",[2]stages!$2:$2,0)+1),MATCH(F$1,[2]stages!$2:$2,0)-MATCH("temp_stage",[2]stages!$2:$2,0)+1,FALSE)</f>
        <v>【超絶級】栗転</v>
      </c>
      <c r="G59" s="244" t="str">
        <f ca="1">VLOOKUP($B59&amp;"_"&amp;$E59,OFFSET([2]stages!$A$1,0,0,COUNTA([2]stages!$A:$A),MATCH(G$1,[2]stages!$2:$2,0)-MATCH("temp_stage",[2]stages!$2:$2,0)+1),MATCH(G$1,[2]stages!$2:$2,0)-MATCH("temp_stage",[2]stages!$2:$2,0)+1,FALSE)</f>
        <v>コラボ降臨12</v>
      </c>
      <c r="H59" s="245">
        <v>0</v>
      </c>
      <c r="I59" s="87">
        <f t="shared" si="0"/>
        <v>58</v>
      </c>
      <c r="J59" s="84" t="str">
        <f t="shared" si="8"/>
        <v>4901658</v>
      </c>
      <c r="K59" s="224" t="s">
        <v>127</v>
      </c>
      <c r="L59" s="225" t="s">
        <v>555</v>
      </c>
      <c r="M59" s="232" t="s">
        <v>556</v>
      </c>
      <c r="N59" s="56" t="s">
        <v>520</v>
      </c>
      <c r="O59" s="56">
        <v>1577</v>
      </c>
      <c r="P59" s="228" t="str">
        <f t="shared" si="9"/>
        <v>１２３４５６７８９０１２３４５６７８９０ってゆっかー、じぶんらよわすぎぃー、_x000D_みたいなぁーでヤンスぅー</v>
      </c>
      <c r="Q59" s="229">
        <f t="shared" si="10"/>
        <v>31</v>
      </c>
    </row>
    <row r="60" spans="1:17" s="260" customFormat="1" ht="84" customHeight="1" x14ac:dyDescent="0.15">
      <c r="A60" s="79" t="s">
        <v>407</v>
      </c>
      <c r="B60" s="80">
        <f>floors!$C$2</f>
        <v>49016</v>
      </c>
      <c r="C60" s="244" t="str">
        <f ca="1">VLOOKUP($B60,OFFSET([2]quests!$A$1,0,0,COUNTA([2]quests!$A:$A),MATCH(C$1,[2]quests!$1:$1,0)-MATCH($B$1,[2]quests!$1:$1,0)+1),MATCH(C$1,[2]quests!$1:$1,0)-MATCH($B$1,[2]quests!$1:$1,0)+1,FALSE)</f>
        <v>栗転</v>
      </c>
      <c r="D60" s="244" t="str">
        <f ca="1">VLOOKUP($B60,OFFSET([2]quests!$A$1,0,0,COUNTA([2]quests!$A:$A),MATCH(D$1,[2]quests!$1:$1,0)-MATCH($B$1,[2]quests!$1:$1,0)+1),MATCH(D$1,[2]quests!$1:$1,0)-MATCH($B$1,[2]quests!$1:$1,0)+1,FALSE)</f>
        <v>コラボ降臨12</v>
      </c>
      <c r="E60" s="82">
        <v>1</v>
      </c>
      <c r="F60" s="244" t="str">
        <f ca="1">VLOOKUP($B60&amp;"_"&amp;$E60,OFFSET([2]stages!$A$1,0,0,COUNTA([2]stages!$A:$A),MATCH(F$1,[2]stages!$2:$2,0)-MATCH("temp_stage",[2]stages!$2:$2,0)+1),MATCH(F$1,[2]stages!$2:$2,0)-MATCH("temp_stage",[2]stages!$2:$2,0)+1,FALSE)</f>
        <v>【超絶級】栗転</v>
      </c>
      <c r="G60" s="244" t="str">
        <f ca="1">VLOOKUP($B60&amp;"_"&amp;$E60,OFFSET([2]stages!$A$1,0,0,COUNTA([2]stages!$A:$A),MATCH(G$1,[2]stages!$2:$2,0)-MATCH("temp_stage",[2]stages!$2:$2,0)+1),MATCH(G$1,[2]stages!$2:$2,0)-MATCH("temp_stage",[2]stages!$2:$2,0)+1,FALSE)</f>
        <v>コラボ降臨12</v>
      </c>
      <c r="H60" s="245">
        <v>0</v>
      </c>
      <c r="I60" s="87">
        <f t="shared" si="0"/>
        <v>59</v>
      </c>
      <c r="J60" s="84" t="str">
        <f t="shared" si="8"/>
        <v>4901659</v>
      </c>
      <c r="K60" s="224" t="s">
        <v>127</v>
      </c>
      <c r="L60" s="225" t="s">
        <v>557</v>
      </c>
      <c r="M60" s="232" t="s">
        <v>558</v>
      </c>
      <c r="N60" s="56" t="s">
        <v>520</v>
      </c>
      <c r="O60" s="56">
        <v>1578</v>
      </c>
      <c r="P60" s="228" t="str">
        <f t="shared" si="9"/>
        <v>１２３４５６７８９０１２３４５６７８９０なんでぇ。_x000D_もう、オレのオモチャが壊れちまったぜ！！_x000D_面白くねえな！</v>
      </c>
      <c r="Q60" s="229">
        <f t="shared" si="10"/>
        <v>34</v>
      </c>
    </row>
    <row r="61" spans="1:17" s="261" customFormat="1" ht="84" customHeight="1" thickBot="1" x14ac:dyDescent="0.2">
      <c r="A61" s="210" t="s">
        <v>407</v>
      </c>
      <c r="B61" s="211">
        <f>floors!$C$2</f>
        <v>49016</v>
      </c>
      <c r="C61" s="212" t="str">
        <f ca="1">VLOOKUP($B61,OFFSET([2]quests!$A$1,0,0,COUNTA([2]quests!$A:$A),MATCH(C$1,[2]quests!$1:$1,0)-MATCH($B$1,[2]quests!$1:$1,0)+1),MATCH(C$1,[2]quests!$1:$1,0)-MATCH($B$1,[2]quests!$1:$1,0)+1,FALSE)</f>
        <v>栗転</v>
      </c>
      <c r="D61" s="212" t="str">
        <f ca="1">VLOOKUP($B61,OFFSET([2]quests!$A$1,0,0,COUNTA([2]quests!$A:$A),MATCH(D$1,[2]quests!$1:$1,0)-MATCH($B$1,[2]quests!$1:$1,0)+1),MATCH(D$1,[2]quests!$1:$1,0)-MATCH($B$1,[2]quests!$1:$1,0)+1,FALSE)</f>
        <v>コラボ降臨12</v>
      </c>
      <c r="E61" s="213">
        <v>1</v>
      </c>
      <c r="F61" s="212" t="str">
        <f ca="1">VLOOKUP($B61&amp;"_"&amp;$E61,OFFSET([2]stages!$A$1,0,0,COUNTA([2]stages!$A:$A),MATCH(F$1,[2]stages!$2:$2,0)-MATCH("temp_stage",[2]stages!$2:$2,0)+1),MATCH(F$1,[2]stages!$2:$2,0)-MATCH("temp_stage",[2]stages!$2:$2,0)+1,FALSE)</f>
        <v>【超絶級】栗転</v>
      </c>
      <c r="G61" s="212" t="str">
        <f ca="1">VLOOKUP($B61&amp;"_"&amp;$E61,OFFSET([2]stages!$A$1,0,0,COUNTA([2]stages!$A:$A),MATCH(G$1,[2]stages!$2:$2,0)-MATCH("temp_stage",[2]stages!$2:$2,0)+1),MATCH(G$1,[2]stages!$2:$2,0)-MATCH("temp_stage",[2]stages!$2:$2,0)+1,FALSE)</f>
        <v>コラボ降臨12</v>
      </c>
      <c r="H61" s="214">
        <v>0</v>
      </c>
      <c r="I61" s="215">
        <f t="shared" si="0"/>
        <v>60</v>
      </c>
      <c r="J61" s="216" t="str">
        <f t="shared" si="8"/>
        <v>4901660</v>
      </c>
      <c r="K61" s="226" t="s">
        <v>127</v>
      </c>
      <c r="L61" s="227" t="s">
        <v>559</v>
      </c>
      <c r="M61" s="234" t="s">
        <v>560</v>
      </c>
      <c r="N61" s="217" t="s">
        <v>520</v>
      </c>
      <c r="O61" s="217">
        <v>1584</v>
      </c>
      <c r="P61" s="237" t="str">
        <f t="shared" si="9"/>
        <v>１２３４５６７８９０１２３４５６７８９０いちいちシャクに触る野郎だなぁ！_x000D_沈めるぞ！！</v>
      </c>
      <c r="Q61" s="238">
        <f t="shared" si="10"/>
        <v>23</v>
      </c>
    </row>
  </sheetData>
  <phoneticPr fontId="5"/>
  <dataValidations count="1">
    <dataValidation type="list" allowBlank="1" showInputMessage="1" showErrorMessage="1" sqref="A2:A6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4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1" t="s">
        <v>211</v>
      </c>
      <c r="B1" s="92" t="s">
        <v>212</v>
      </c>
      <c r="C1" s="75" t="s">
        <v>213</v>
      </c>
      <c r="D1" s="75" t="s">
        <v>33</v>
      </c>
      <c r="E1" s="92" t="s">
        <v>214</v>
      </c>
      <c r="F1" s="75" t="s">
        <v>215</v>
      </c>
      <c r="G1" s="75" t="s">
        <v>33</v>
      </c>
      <c r="H1" s="92" t="s">
        <v>216</v>
      </c>
      <c r="I1" s="92" t="s">
        <v>217</v>
      </c>
      <c r="J1" s="92" t="s">
        <v>218</v>
      </c>
      <c r="K1" s="71" t="s">
        <v>219</v>
      </c>
      <c r="L1" s="71" t="s">
        <v>220</v>
      </c>
      <c r="M1" s="71" t="s">
        <v>156</v>
      </c>
      <c r="N1" s="75" t="s">
        <v>16</v>
      </c>
      <c r="O1" s="71" t="s">
        <v>221</v>
      </c>
      <c r="P1" s="71" t="s">
        <v>56</v>
      </c>
      <c r="Q1" s="71" t="s">
        <v>222</v>
      </c>
      <c r="R1" s="71" t="s">
        <v>38</v>
      </c>
      <c r="S1" s="71" t="s">
        <v>40</v>
      </c>
      <c r="T1" s="71" t="s">
        <v>42</v>
      </c>
      <c r="U1" s="71" t="s">
        <v>44</v>
      </c>
      <c r="V1" s="71" t="s">
        <v>46</v>
      </c>
      <c r="W1" s="71" t="s">
        <v>223</v>
      </c>
      <c r="X1" s="71" t="s">
        <v>224</v>
      </c>
    </row>
    <row r="2" spans="1:24" x14ac:dyDescent="0.15">
      <c r="A2" s="93" t="str">
        <f>B2&amp;"_"&amp;E2&amp;"_"&amp;H2&amp;"_"&amp;I2&amp;"_"&amp;J2</f>
        <v>49016_2_everyone_full_member_1</v>
      </c>
      <c r="B2" s="80">
        <v>49016</v>
      </c>
      <c r="C2" s="81" t="str">
        <f ca="1">VLOOKUP($B2,OFFSET([2]quests!$A$1,0,0,COUNTA([2]quests!$A:$A),MATCH(C$1,[2]quests!$1:$1,0)-MATCH($B$1,[2]quests!$1:$1,0)+1),MATCH(C$1,[2]quests!$1:$1,0)-MATCH($B$1,[2]quests!$1:$1,0)+1,FALSE)</f>
        <v>栗転</v>
      </c>
      <c r="D2" s="81" t="str">
        <f ca="1">VLOOKUP($B2,OFFSET([2]quests!$A$1,0,0,COUNTA([2]quests!$A:$A),MATCH(D$1,[2]quests!$1:$1,0)-MATCH($B$1,[2]quests!$1:$1,0)+1),MATCH(D$1,[2]quests!$1:$1,0)-MATCH($B$1,[2]quests!$1:$1,0)+1,FALSE)</f>
        <v>コラボ降臨12</v>
      </c>
      <c r="E2" s="82">
        <v>2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【ウィザード級】栗転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コラボ降臨12</v>
      </c>
      <c r="H2" s="83" t="s">
        <v>225</v>
      </c>
      <c r="I2" s="82" t="s">
        <v>514</v>
      </c>
      <c r="J2" s="82">
        <v>1</v>
      </c>
      <c r="K2" s="82">
        <v>100</v>
      </c>
      <c r="L2" s="82" t="s">
        <v>226</v>
      </c>
      <c r="M2" s="82">
        <v>1581</v>
      </c>
      <c r="N2" s="94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Gemini01</v>
      </c>
      <c r="O2" s="82">
        <v>1</v>
      </c>
      <c r="P2" s="82">
        <v>1</v>
      </c>
      <c r="Q2" s="82">
        <v>1</v>
      </c>
      <c r="R2" s="82">
        <v>0</v>
      </c>
      <c r="S2" s="82">
        <v>0</v>
      </c>
      <c r="T2" s="82">
        <v>0</v>
      </c>
      <c r="U2" s="82">
        <v>0</v>
      </c>
      <c r="V2" s="82">
        <v>1</v>
      </c>
      <c r="W2" s="95" t="s">
        <v>227</v>
      </c>
      <c r="X2" s="96" t="s">
        <v>228</v>
      </c>
    </row>
    <row r="3" spans="1:24" x14ac:dyDescent="0.15">
      <c r="A3" s="93" t="str">
        <f>B3&amp;"_"&amp;E3&amp;"_"&amp;H3&amp;"_"&amp;I3&amp;"_"&amp;J3</f>
        <v>49016_2_everyone_no_continue_1</v>
      </c>
      <c r="B3" s="80">
        <v>49016</v>
      </c>
      <c r="C3" s="81" t="str">
        <f ca="1">VLOOKUP($B3,OFFSET([2]quests!$A$1,0,0,COUNTA([2]quests!$A:$A),MATCH(C$1,[2]quests!$1:$1,0)-MATCH($B$1,[2]quests!$1:$1,0)+1),MATCH(C$1,[2]quests!$1:$1,0)-MATCH($B$1,[2]quests!$1:$1,0)+1,FALSE)</f>
        <v>栗転</v>
      </c>
      <c r="D3" s="81" t="str">
        <f ca="1">VLOOKUP($B3,OFFSET([2]quests!$A$1,0,0,COUNTA([2]quests!$A:$A),MATCH(D$1,[2]quests!$1:$1,0)-MATCH($B$1,[2]quests!$1:$1,0)+1),MATCH(D$1,[2]quests!$1:$1,0)-MATCH($B$1,[2]quests!$1:$1,0)+1,FALSE)</f>
        <v>コラボ降臨12</v>
      </c>
      <c r="E3" s="82">
        <v>2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【ウィザード級】栗転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コラボ降臨12</v>
      </c>
      <c r="H3" s="83" t="s">
        <v>225</v>
      </c>
      <c r="I3" s="82" t="s">
        <v>229</v>
      </c>
      <c r="J3" s="82">
        <v>1</v>
      </c>
      <c r="K3" s="82">
        <v>100</v>
      </c>
      <c r="L3" s="82" t="s">
        <v>226</v>
      </c>
      <c r="M3" s="82">
        <v>1581</v>
      </c>
      <c r="N3" s="94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Gemini01</v>
      </c>
      <c r="O3" s="82">
        <v>1</v>
      </c>
      <c r="P3" s="82">
        <v>1</v>
      </c>
      <c r="Q3" s="82">
        <v>1</v>
      </c>
      <c r="R3" s="82">
        <v>0</v>
      </c>
      <c r="S3" s="82">
        <v>0</v>
      </c>
      <c r="T3" s="82">
        <v>0</v>
      </c>
      <c r="U3" s="82">
        <v>0</v>
      </c>
      <c r="V3" s="82">
        <v>1</v>
      </c>
      <c r="W3" s="95" t="s">
        <v>227</v>
      </c>
      <c r="X3" s="96" t="s">
        <v>228</v>
      </c>
    </row>
    <row r="4" spans="1:24" x14ac:dyDescent="0.15">
      <c r="A4" s="93" t="str">
        <f>B4&amp;"_"&amp;E4&amp;"_"&amp;H4&amp;"_"&amp;I4&amp;"_"&amp;J4</f>
        <v>49016_1_everyone_full_member_1</v>
      </c>
      <c r="B4" s="80">
        <v>49016</v>
      </c>
      <c r="C4" s="81" t="str">
        <f ca="1">VLOOKUP($B4,OFFSET([2]quests!$A$1,0,0,COUNTA([2]quests!$A:$A),MATCH(C$1,[2]quests!$1:$1,0)-MATCH($B$1,[2]quests!$1:$1,0)+1),MATCH(C$1,[2]quests!$1:$1,0)-MATCH($B$1,[2]quests!$1:$1,0)+1,FALSE)</f>
        <v>栗転</v>
      </c>
      <c r="D4" s="81" t="str">
        <f ca="1">VLOOKUP($B4,OFFSET([2]quests!$A$1,0,0,COUNTA([2]quests!$A:$A),MATCH(D$1,[2]quests!$1:$1,0)-MATCH($B$1,[2]quests!$1:$1,0)+1),MATCH(D$1,[2]quests!$1:$1,0)-MATCH($B$1,[2]quests!$1:$1,0)+1,FALSE)</f>
        <v>コラボ降臨12</v>
      </c>
      <c r="E4" s="82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【超絶級】栗転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コラボ降臨12</v>
      </c>
      <c r="H4" s="83" t="s">
        <v>225</v>
      </c>
      <c r="I4" s="82" t="s">
        <v>514</v>
      </c>
      <c r="J4" s="82">
        <v>1</v>
      </c>
      <c r="K4" s="82">
        <v>100</v>
      </c>
      <c r="L4" s="82" t="s">
        <v>226</v>
      </c>
      <c r="M4" s="82">
        <v>1581</v>
      </c>
      <c r="N4" s="94" t="str">
        <f ca="1">IF(L4="unit",VLOOKUP($M4,OFFSET([4]characters!$A$1,0,0,COUNTA([4]characters!$A:$A),MATCH(N$1,[4]characters!$1:$1,0)-MATCH("character_id",[4]characters!$1:$1,0)+1),MATCH(N$1,[4]characters!$1:$1,0)-MATCH("character_id",[4]characters!$1:$1,0)+1,FALSE),"")</f>
        <v>Gemini01</v>
      </c>
      <c r="O4" s="82">
        <v>1</v>
      </c>
      <c r="P4" s="82">
        <v>1</v>
      </c>
      <c r="Q4" s="82">
        <v>1</v>
      </c>
      <c r="R4" s="82">
        <v>0</v>
      </c>
      <c r="S4" s="82">
        <v>0</v>
      </c>
      <c r="T4" s="82">
        <v>0</v>
      </c>
      <c r="U4" s="82">
        <v>0</v>
      </c>
      <c r="V4" s="82">
        <v>1</v>
      </c>
      <c r="W4" s="95" t="s">
        <v>227</v>
      </c>
      <c r="X4" s="96" t="s">
        <v>228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2017-06-02T02:11:10Z</dcterms:modified>
</cp:coreProperties>
</file>