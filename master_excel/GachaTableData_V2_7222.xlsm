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12660" yWindow="-21140" windowWidth="38400" windowHeight="21140" tabRatio="943" activeTab="3"/>
  </bookViews>
  <sheets>
    <sheet name="確率の考え方" sheetId="110" r:id="rId1"/>
    <sheet name="Sheet1" sheetId="107" r:id="rId2"/>
    <sheet name="output" sheetId="103" r:id="rId3"/>
    <sheet name="tables_settle_7222100" sheetId="131" r:id="rId4"/>
    <sheet name="R6追加前" sheetId="111" r:id="rId5"/>
    <sheet name="R6開放" sheetId="112" r:id="rId6"/>
  </sheets>
  <externalReferences>
    <externalReference r:id="rId7"/>
  </externalReferences>
  <definedNames>
    <definedName name="_xlnm._FilterDatabase" localSheetId="3" hidden="1">tables_settle_7222100!$A$1:$V$274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1" i="131" l="1"/>
  <c r="D11" i="131"/>
  <c r="J11" i="131"/>
  <c r="E11" i="131"/>
  <c r="F11" i="131"/>
  <c r="C11" i="131"/>
  <c r="H11" i="131"/>
  <c r="K11" i="131"/>
  <c r="L11" i="131"/>
  <c r="M11" i="131"/>
  <c r="N11" i="131"/>
  <c r="P11" i="131"/>
  <c r="I17" i="131"/>
  <c r="D17" i="131"/>
  <c r="J17" i="131"/>
  <c r="E17" i="131"/>
  <c r="F17" i="131"/>
  <c r="C17" i="131"/>
  <c r="H17" i="131"/>
  <c r="K17" i="131"/>
  <c r="L17" i="131"/>
  <c r="M17" i="131"/>
  <c r="N17" i="131"/>
  <c r="P17" i="131"/>
  <c r="I13" i="131"/>
  <c r="D13" i="131"/>
  <c r="J13" i="131"/>
  <c r="E13" i="131"/>
  <c r="F13" i="131"/>
  <c r="C13" i="131"/>
  <c r="H13" i="131"/>
  <c r="K13" i="131"/>
  <c r="L13" i="131"/>
  <c r="M13" i="131"/>
  <c r="N13" i="131"/>
  <c r="P13" i="131"/>
  <c r="I21" i="131"/>
  <c r="D21" i="131"/>
  <c r="J21" i="131"/>
  <c r="E21" i="131"/>
  <c r="F21" i="131"/>
  <c r="C21" i="131"/>
  <c r="H21" i="131"/>
  <c r="K21" i="131"/>
  <c r="L21" i="131"/>
  <c r="M21" i="131"/>
  <c r="N21" i="131"/>
  <c r="P21" i="131"/>
  <c r="I3" i="131"/>
  <c r="D3" i="131"/>
  <c r="J3" i="131"/>
  <c r="E3" i="131"/>
  <c r="F3" i="131"/>
  <c r="C3" i="131"/>
  <c r="H3" i="131"/>
  <c r="K3" i="131"/>
  <c r="L3" i="131"/>
  <c r="M3" i="131"/>
  <c r="N3" i="131"/>
  <c r="P3" i="131"/>
  <c r="I5" i="131"/>
  <c r="D5" i="131"/>
  <c r="J5" i="131"/>
  <c r="E5" i="131"/>
  <c r="F5" i="131"/>
  <c r="C5" i="131"/>
  <c r="H5" i="131"/>
  <c r="K5" i="131"/>
  <c r="L5" i="131"/>
  <c r="M5" i="131"/>
  <c r="N5" i="131"/>
  <c r="P5" i="131"/>
  <c r="I65" i="131"/>
  <c r="D65" i="131"/>
  <c r="J65" i="131"/>
  <c r="E65" i="131"/>
  <c r="F65" i="131"/>
  <c r="C65" i="131"/>
  <c r="H65" i="131"/>
  <c r="K65" i="131"/>
  <c r="L65" i="131"/>
  <c r="M65" i="131"/>
  <c r="N65" i="131"/>
  <c r="P65" i="131"/>
  <c r="I66" i="131"/>
  <c r="D66" i="131"/>
  <c r="J66" i="131"/>
  <c r="E66" i="131"/>
  <c r="F66" i="131"/>
  <c r="C66" i="131"/>
  <c r="H66" i="131"/>
  <c r="K66" i="131"/>
  <c r="L66" i="131"/>
  <c r="M66" i="131"/>
  <c r="N66" i="131"/>
  <c r="P66" i="131"/>
  <c r="I67" i="131"/>
  <c r="D67" i="131"/>
  <c r="J67" i="131"/>
  <c r="E67" i="131"/>
  <c r="F67" i="131"/>
  <c r="C67" i="131"/>
  <c r="H67" i="131"/>
  <c r="K67" i="131"/>
  <c r="L67" i="131"/>
  <c r="M67" i="131"/>
  <c r="N67" i="131"/>
  <c r="P67" i="131"/>
  <c r="I62" i="131"/>
  <c r="D62" i="131"/>
  <c r="J62" i="131"/>
  <c r="E62" i="131"/>
  <c r="F62" i="131"/>
  <c r="C62" i="131"/>
  <c r="H62" i="131"/>
  <c r="K62" i="131"/>
  <c r="L62" i="131"/>
  <c r="M62" i="131"/>
  <c r="N62" i="131"/>
  <c r="P62" i="131"/>
  <c r="I63" i="131"/>
  <c r="D63" i="131"/>
  <c r="J63" i="131"/>
  <c r="E63" i="131"/>
  <c r="F63" i="131"/>
  <c r="C63" i="131"/>
  <c r="H63" i="131"/>
  <c r="K63" i="131"/>
  <c r="L63" i="131"/>
  <c r="M63" i="131"/>
  <c r="N63" i="131"/>
  <c r="P63" i="131"/>
  <c r="I64" i="131"/>
  <c r="D64" i="131"/>
  <c r="J64" i="131"/>
  <c r="E64" i="131"/>
  <c r="F64" i="131"/>
  <c r="C64" i="131"/>
  <c r="H64" i="131"/>
  <c r="K64" i="131"/>
  <c r="L64" i="131"/>
  <c r="M64" i="131"/>
  <c r="N64" i="131"/>
  <c r="P64" i="131"/>
  <c r="I57" i="131"/>
  <c r="D57" i="131"/>
  <c r="J57" i="131"/>
  <c r="E57" i="131"/>
  <c r="F57" i="131"/>
  <c r="C57" i="131"/>
  <c r="H57" i="131"/>
  <c r="K57" i="131"/>
  <c r="L57" i="131"/>
  <c r="M57" i="131"/>
  <c r="N57" i="131"/>
  <c r="P57" i="131"/>
  <c r="I58" i="131"/>
  <c r="D58" i="131"/>
  <c r="J58" i="131"/>
  <c r="E58" i="131"/>
  <c r="F58" i="131"/>
  <c r="C58" i="131"/>
  <c r="H58" i="131"/>
  <c r="K58" i="131"/>
  <c r="L58" i="131"/>
  <c r="M58" i="131"/>
  <c r="N58" i="131"/>
  <c r="P58" i="131"/>
  <c r="I59" i="131"/>
  <c r="D59" i="131"/>
  <c r="J59" i="131"/>
  <c r="E59" i="131"/>
  <c r="F59" i="131"/>
  <c r="C59" i="131"/>
  <c r="H59" i="131"/>
  <c r="K59" i="131"/>
  <c r="L59" i="131"/>
  <c r="M59" i="131"/>
  <c r="N59" i="131"/>
  <c r="P59" i="131"/>
  <c r="I60" i="131"/>
  <c r="D60" i="131"/>
  <c r="J60" i="131"/>
  <c r="E60" i="131"/>
  <c r="F60" i="131"/>
  <c r="C60" i="131"/>
  <c r="H60" i="131"/>
  <c r="K60" i="131"/>
  <c r="L60" i="131"/>
  <c r="M60" i="131"/>
  <c r="N60" i="131"/>
  <c r="P60" i="131"/>
  <c r="I61" i="131"/>
  <c r="D61" i="131"/>
  <c r="J61" i="131"/>
  <c r="E61" i="131"/>
  <c r="F61" i="131"/>
  <c r="C61" i="131"/>
  <c r="H61" i="131"/>
  <c r="K61" i="131"/>
  <c r="L61" i="131"/>
  <c r="M61" i="131"/>
  <c r="N61" i="131"/>
  <c r="P61" i="131"/>
  <c r="I54" i="131"/>
  <c r="D54" i="131"/>
  <c r="J54" i="131"/>
  <c r="E54" i="131"/>
  <c r="F54" i="131"/>
  <c r="C54" i="131"/>
  <c r="H54" i="131"/>
  <c r="K54" i="131"/>
  <c r="L54" i="131"/>
  <c r="M54" i="131"/>
  <c r="N54" i="131"/>
  <c r="P54" i="131"/>
  <c r="I55" i="131"/>
  <c r="D55" i="131"/>
  <c r="J55" i="131"/>
  <c r="E55" i="131"/>
  <c r="F55" i="131"/>
  <c r="C55" i="131"/>
  <c r="H55" i="131"/>
  <c r="K55" i="131"/>
  <c r="L55" i="131"/>
  <c r="M55" i="131"/>
  <c r="N55" i="131"/>
  <c r="P55" i="131"/>
  <c r="I56" i="131"/>
  <c r="D56" i="131"/>
  <c r="J56" i="131"/>
  <c r="E56" i="131"/>
  <c r="F56" i="131"/>
  <c r="C56" i="131"/>
  <c r="H56" i="131"/>
  <c r="K56" i="131"/>
  <c r="L56" i="131"/>
  <c r="M56" i="131"/>
  <c r="N56" i="131"/>
  <c r="P56" i="131"/>
  <c r="I51" i="131"/>
  <c r="D51" i="131"/>
  <c r="J51" i="131"/>
  <c r="E51" i="131"/>
  <c r="F51" i="131"/>
  <c r="C51" i="131"/>
  <c r="H51" i="131"/>
  <c r="K51" i="131"/>
  <c r="L51" i="131"/>
  <c r="M51" i="131"/>
  <c r="N51" i="131"/>
  <c r="P51" i="131"/>
  <c r="I52" i="131"/>
  <c r="D52" i="131"/>
  <c r="J52" i="131"/>
  <c r="E52" i="131"/>
  <c r="F52" i="131"/>
  <c r="C52" i="131"/>
  <c r="H52" i="131"/>
  <c r="K52" i="131"/>
  <c r="L52" i="131"/>
  <c r="M52" i="131"/>
  <c r="N52" i="131"/>
  <c r="P52" i="131"/>
  <c r="I53" i="131"/>
  <c r="D53" i="131"/>
  <c r="J53" i="131"/>
  <c r="E53" i="131"/>
  <c r="F53" i="131"/>
  <c r="C53" i="131"/>
  <c r="H53" i="131"/>
  <c r="K53" i="131"/>
  <c r="L53" i="131"/>
  <c r="M53" i="131"/>
  <c r="N53" i="131"/>
  <c r="P53" i="131"/>
  <c r="I48" i="131"/>
  <c r="D48" i="131"/>
  <c r="J48" i="131"/>
  <c r="E48" i="131"/>
  <c r="F48" i="131"/>
  <c r="C48" i="131"/>
  <c r="H48" i="131"/>
  <c r="K48" i="131"/>
  <c r="L48" i="131"/>
  <c r="M48" i="131"/>
  <c r="N48" i="131"/>
  <c r="P48" i="131"/>
  <c r="I49" i="131"/>
  <c r="D49" i="131"/>
  <c r="J49" i="131"/>
  <c r="E49" i="131"/>
  <c r="F49" i="131"/>
  <c r="C49" i="131"/>
  <c r="H49" i="131"/>
  <c r="K49" i="131"/>
  <c r="L49" i="131"/>
  <c r="M49" i="131"/>
  <c r="N49" i="131"/>
  <c r="P49" i="131"/>
  <c r="I50" i="131"/>
  <c r="D50" i="131"/>
  <c r="J50" i="131"/>
  <c r="E50" i="131"/>
  <c r="F50" i="131"/>
  <c r="C50" i="131"/>
  <c r="H50" i="131"/>
  <c r="K50" i="131"/>
  <c r="L50" i="131"/>
  <c r="M50" i="131"/>
  <c r="N50" i="131"/>
  <c r="P50" i="131"/>
  <c r="I47" i="131"/>
  <c r="D47" i="131"/>
  <c r="J47" i="131"/>
  <c r="E47" i="131"/>
  <c r="F47" i="131"/>
  <c r="C47" i="131"/>
  <c r="H47" i="131"/>
  <c r="K47" i="131"/>
  <c r="L47" i="131"/>
  <c r="M47" i="131"/>
  <c r="N47" i="131"/>
  <c r="P47" i="131"/>
  <c r="I46" i="131"/>
  <c r="D46" i="131"/>
  <c r="J46" i="131"/>
  <c r="E46" i="131"/>
  <c r="F46" i="131"/>
  <c r="C46" i="131"/>
  <c r="H46" i="131"/>
  <c r="K46" i="131"/>
  <c r="L46" i="131"/>
  <c r="M46" i="131"/>
  <c r="N46" i="131"/>
  <c r="P46" i="131"/>
  <c r="I2" i="131"/>
  <c r="E2" i="131"/>
  <c r="I4" i="131"/>
  <c r="E4" i="131"/>
  <c r="E6" i="131"/>
  <c r="E7" i="131"/>
  <c r="I8" i="131"/>
  <c r="E8" i="131"/>
  <c r="I9" i="131"/>
  <c r="E9" i="131"/>
  <c r="E10" i="131"/>
  <c r="E12" i="131"/>
  <c r="I14" i="131"/>
  <c r="E14" i="131"/>
  <c r="I15" i="131"/>
  <c r="E15" i="131"/>
  <c r="E16" i="131"/>
  <c r="E18" i="131"/>
  <c r="E19" i="131"/>
  <c r="E20" i="131"/>
  <c r="E22" i="131"/>
  <c r="E23" i="131"/>
  <c r="E24" i="131"/>
  <c r="E25" i="131"/>
  <c r="I26" i="131"/>
  <c r="E26" i="131"/>
  <c r="I27" i="131"/>
  <c r="E27" i="131"/>
  <c r="I28" i="131"/>
  <c r="E28" i="131"/>
  <c r="I29" i="131"/>
  <c r="E29" i="131"/>
  <c r="I30" i="131"/>
  <c r="E30" i="131"/>
  <c r="I31" i="131"/>
  <c r="E31" i="131"/>
  <c r="E32" i="131"/>
  <c r="I33" i="131"/>
  <c r="E33" i="131"/>
  <c r="I34" i="131"/>
  <c r="E34" i="131"/>
  <c r="I35" i="131"/>
  <c r="E35" i="131"/>
  <c r="I36" i="131"/>
  <c r="E36" i="131"/>
  <c r="I37" i="131"/>
  <c r="E37" i="131"/>
  <c r="I38" i="131"/>
  <c r="E38" i="131"/>
  <c r="I39" i="131"/>
  <c r="E39" i="131"/>
  <c r="I40" i="131"/>
  <c r="E40" i="131"/>
  <c r="I41" i="131"/>
  <c r="E41" i="131"/>
  <c r="I42" i="131"/>
  <c r="E42" i="131"/>
  <c r="I43" i="131"/>
  <c r="E43" i="131"/>
  <c r="I44" i="131"/>
  <c r="E44" i="131"/>
  <c r="I45" i="131"/>
  <c r="E45" i="131"/>
  <c r="D2" i="131"/>
  <c r="D4" i="131"/>
  <c r="I6" i="131"/>
  <c r="D6" i="131"/>
  <c r="I7" i="131"/>
  <c r="D7" i="131"/>
  <c r="D8" i="131"/>
  <c r="D9" i="131"/>
  <c r="I10" i="131"/>
  <c r="D10" i="131"/>
  <c r="I12" i="131"/>
  <c r="D12" i="131"/>
  <c r="D14" i="131"/>
  <c r="D15" i="131"/>
  <c r="I16" i="131"/>
  <c r="D16" i="131"/>
  <c r="I18" i="131"/>
  <c r="D18" i="131"/>
  <c r="I19" i="131"/>
  <c r="D19" i="131"/>
  <c r="I20" i="131"/>
  <c r="D20" i="131"/>
  <c r="I22" i="131"/>
  <c r="D22" i="131"/>
  <c r="I23" i="131"/>
  <c r="D23" i="131"/>
  <c r="I24" i="131"/>
  <c r="D24" i="131"/>
  <c r="I25" i="131"/>
  <c r="D25" i="131"/>
  <c r="D26" i="131"/>
  <c r="D27" i="131"/>
  <c r="D28" i="131"/>
  <c r="D29" i="131"/>
  <c r="D30" i="131"/>
  <c r="D31" i="131"/>
  <c r="I32" i="131"/>
  <c r="D32" i="131"/>
  <c r="D33" i="131"/>
  <c r="D34" i="131"/>
  <c r="D35" i="131"/>
  <c r="D36" i="131"/>
  <c r="D37" i="131"/>
  <c r="D38" i="131"/>
  <c r="D39" i="131"/>
  <c r="D40" i="131"/>
  <c r="D41" i="131"/>
  <c r="D42" i="131"/>
  <c r="D43" i="131"/>
  <c r="D44" i="131"/>
  <c r="D45" i="131"/>
  <c r="J43" i="131"/>
  <c r="F43" i="131"/>
  <c r="C43" i="131"/>
  <c r="H43" i="131"/>
  <c r="K43" i="131"/>
  <c r="L43" i="131"/>
  <c r="M43" i="131"/>
  <c r="N43" i="131"/>
  <c r="P43" i="131"/>
  <c r="J44" i="131"/>
  <c r="F44" i="131"/>
  <c r="C44" i="131"/>
  <c r="H44" i="131"/>
  <c r="K44" i="131"/>
  <c r="L44" i="131"/>
  <c r="M44" i="131"/>
  <c r="N44" i="131"/>
  <c r="P44" i="131"/>
  <c r="J45" i="131"/>
  <c r="F45" i="131"/>
  <c r="C45" i="131"/>
  <c r="H45" i="131"/>
  <c r="K45" i="131"/>
  <c r="L45" i="131"/>
  <c r="M45" i="131"/>
  <c r="N45" i="131"/>
  <c r="P45" i="131"/>
  <c r="J40" i="131"/>
  <c r="F40" i="131"/>
  <c r="C40" i="131"/>
  <c r="H40" i="131"/>
  <c r="K40" i="131"/>
  <c r="L40" i="131"/>
  <c r="M40" i="131"/>
  <c r="N40" i="131"/>
  <c r="P40" i="131"/>
  <c r="J41" i="131"/>
  <c r="F41" i="131"/>
  <c r="C41" i="131"/>
  <c r="H41" i="131"/>
  <c r="K41" i="131"/>
  <c r="L41" i="131"/>
  <c r="M41" i="131"/>
  <c r="N41" i="131"/>
  <c r="P41" i="131"/>
  <c r="J42" i="131"/>
  <c r="F42" i="131"/>
  <c r="C42" i="131"/>
  <c r="H42" i="131"/>
  <c r="K42" i="131"/>
  <c r="L42" i="131"/>
  <c r="M42" i="131"/>
  <c r="N42" i="131"/>
  <c r="P42" i="131"/>
  <c r="J38" i="131"/>
  <c r="F38" i="131"/>
  <c r="C38" i="131"/>
  <c r="H38" i="131"/>
  <c r="K38" i="131"/>
  <c r="L38" i="131"/>
  <c r="M38" i="131"/>
  <c r="N38" i="131"/>
  <c r="P38" i="131"/>
  <c r="J39" i="131"/>
  <c r="F39" i="131"/>
  <c r="C39" i="131"/>
  <c r="H39" i="131"/>
  <c r="K39" i="131"/>
  <c r="L39" i="131"/>
  <c r="M39" i="131"/>
  <c r="N39" i="131"/>
  <c r="P39" i="131"/>
  <c r="C3" i="103"/>
  <c r="P37" i="131"/>
  <c r="N37" i="131"/>
  <c r="M37" i="131"/>
  <c r="L37" i="131"/>
  <c r="K37" i="131"/>
  <c r="J37" i="131"/>
  <c r="H37" i="131"/>
  <c r="F37" i="131"/>
  <c r="C37" i="131"/>
  <c r="P36" i="131"/>
  <c r="N36" i="131"/>
  <c r="M36" i="131"/>
  <c r="L36" i="131"/>
  <c r="K36" i="131"/>
  <c r="J36" i="131"/>
  <c r="H36" i="131"/>
  <c r="F36" i="131"/>
  <c r="C36" i="131"/>
  <c r="J33" i="131"/>
  <c r="F33" i="131"/>
  <c r="C33" i="131"/>
  <c r="H33" i="131"/>
  <c r="K33" i="131"/>
  <c r="L33" i="131"/>
  <c r="M33" i="131"/>
  <c r="N33" i="131"/>
  <c r="P33" i="131"/>
  <c r="J34" i="131"/>
  <c r="F34" i="131"/>
  <c r="C34" i="131"/>
  <c r="H34" i="131"/>
  <c r="K34" i="131"/>
  <c r="L34" i="131"/>
  <c r="M34" i="131"/>
  <c r="N34" i="131"/>
  <c r="P34" i="131"/>
  <c r="J35" i="131"/>
  <c r="F35" i="131"/>
  <c r="C35" i="131"/>
  <c r="H35" i="131"/>
  <c r="K35" i="131"/>
  <c r="L35" i="131"/>
  <c r="M35" i="131"/>
  <c r="N35" i="131"/>
  <c r="P35" i="131"/>
  <c r="J31" i="131"/>
  <c r="F31" i="131"/>
  <c r="C31" i="131"/>
  <c r="H31" i="131"/>
  <c r="K31" i="131"/>
  <c r="L31" i="131"/>
  <c r="M31" i="131"/>
  <c r="N31" i="131"/>
  <c r="P31" i="131"/>
  <c r="J32" i="131"/>
  <c r="F32" i="131"/>
  <c r="C32" i="131"/>
  <c r="H32" i="131"/>
  <c r="K32" i="131"/>
  <c r="L32" i="131"/>
  <c r="M32" i="131"/>
  <c r="N32" i="131"/>
  <c r="P32" i="131"/>
  <c r="J22" i="131"/>
  <c r="F22" i="131"/>
  <c r="C22" i="131"/>
  <c r="H22" i="131"/>
  <c r="K22" i="131"/>
  <c r="L22" i="131"/>
  <c r="M22" i="131"/>
  <c r="N22" i="131"/>
  <c r="P22" i="131"/>
  <c r="J23" i="131"/>
  <c r="F23" i="131"/>
  <c r="C23" i="131"/>
  <c r="H23" i="131"/>
  <c r="K23" i="131"/>
  <c r="L23" i="131"/>
  <c r="M23" i="131"/>
  <c r="N23" i="131"/>
  <c r="P23" i="131"/>
  <c r="J24" i="131"/>
  <c r="F24" i="131"/>
  <c r="C24" i="131"/>
  <c r="H24" i="131"/>
  <c r="K24" i="131"/>
  <c r="L24" i="131"/>
  <c r="M24" i="131"/>
  <c r="N24" i="131"/>
  <c r="P24" i="131"/>
  <c r="J25" i="131"/>
  <c r="F25" i="131"/>
  <c r="C25" i="131"/>
  <c r="H25" i="131"/>
  <c r="K25" i="131"/>
  <c r="L25" i="131"/>
  <c r="M25" i="131"/>
  <c r="N25" i="131"/>
  <c r="P25" i="131"/>
  <c r="J2" i="131"/>
  <c r="F2" i="131"/>
  <c r="C2" i="131"/>
  <c r="J4" i="131"/>
  <c r="F4" i="131"/>
  <c r="C4" i="131"/>
  <c r="J6" i="131"/>
  <c r="F6" i="131"/>
  <c r="C6" i="131"/>
  <c r="J7" i="131"/>
  <c r="F7" i="131"/>
  <c r="C7" i="131"/>
  <c r="J8" i="131"/>
  <c r="F8" i="131"/>
  <c r="C8" i="131"/>
  <c r="J9" i="131"/>
  <c r="F9" i="131"/>
  <c r="C9" i="131"/>
  <c r="J10" i="131"/>
  <c r="F10" i="131"/>
  <c r="C10" i="131"/>
  <c r="J12" i="131"/>
  <c r="F12" i="131"/>
  <c r="C12" i="131"/>
  <c r="J14" i="131"/>
  <c r="F14" i="131"/>
  <c r="C14" i="131"/>
  <c r="J15" i="131"/>
  <c r="F15" i="131"/>
  <c r="C15" i="131"/>
  <c r="J16" i="131"/>
  <c r="F16" i="131"/>
  <c r="C16" i="131"/>
  <c r="J18" i="131"/>
  <c r="F18" i="131"/>
  <c r="C18" i="131"/>
  <c r="J19" i="131"/>
  <c r="F19" i="131"/>
  <c r="C19" i="131"/>
  <c r="J20" i="131"/>
  <c r="F20" i="131"/>
  <c r="C20" i="131"/>
  <c r="J26" i="131"/>
  <c r="F26" i="131"/>
  <c r="C26" i="131"/>
  <c r="J27" i="131"/>
  <c r="F27" i="131"/>
  <c r="C27" i="131"/>
  <c r="J28" i="131"/>
  <c r="F28" i="131"/>
  <c r="C28" i="131"/>
  <c r="J29" i="131"/>
  <c r="F29" i="131"/>
  <c r="C29" i="131"/>
  <c r="J30" i="131"/>
  <c r="F30" i="131"/>
  <c r="C30" i="131"/>
  <c r="H30" i="131"/>
  <c r="K30" i="131"/>
  <c r="L30" i="131"/>
  <c r="M30" i="131"/>
  <c r="N30" i="131"/>
  <c r="P30" i="131"/>
  <c r="H28" i="131"/>
  <c r="K28" i="131"/>
  <c r="L28" i="131"/>
  <c r="M28" i="131"/>
  <c r="N28" i="131"/>
  <c r="P28" i="131"/>
  <c r="H29" i="131"/>
  <c r="K29" i="131"/>
  <c r="L29" i="131"/>
  <c r="M29" i="131"/>
  <c r="N29" i="131"/>
  <c r="P29" i="131"/>
  <c r="H26" i="131"/>
  <c r="K26" i="131"/>
  <c r="L26" i="131"/>
  <c r="M26" i="131"/>
  <c r="N26" i="131"/>
  <c r="P26" i="131"/>
  <c r="H27" i="131"/>
  <c r="K27" i="131"/>
  <c r="L27" i="131"/>
  <c r="M27" i="131"/>
  <c r="N27" i="131"/>
  <c r="P27" i="131"/>
  <c r="H19" i="131"/>
  <c r="K19" i="131"/>
  <c r="L19" i="131"/>
  <c r="M19" i="131"/>
  <c r="N19" i="131"/>
  <c r="P19" i="131"/>
  <c r="H20" i="131"/>
  <c r="K20" i="131"/>
  <c r="L20" i="131"/>
  <c r="M20" i="131"/>
  <c r="N20" i="131"/>
  <c r="P20" i="131"/>
  <c r="H16" i="131"/>
  <c r="K16" i="131"/>
  <c r="L16" i="131"/>
  <c r="M16" i="131"/>
  <c r="N16" i="131"/>
  <c r="P16" i="131"/>
  <c r="H18" i="131"/>
  <c r="K18" i="131"/>
  <c r="L18" i="131"/>
  <c r="M18" i="131"/>
  <c r="N18" i="131"/>
  <c r="P18" i="131"/>
  <c r="H15" i="131"/>
  <c r="H14" i="131"/>
  <c r="K14" i="131"/>
  <c r="L14" i="131"/>
  <c r="M14" i="131"/>
  <c r="N14" i="131"/>
  <c r="P14" i="131"/>
  <c r="K15" i="131"/>
  <c r="L15" i="131"/>
  <c r="M15" i="131"/>
  <c r="N15" i="131"/>
  <c r="P15" i="131"/>
  <c r="H10" i="131"/>
  <c r="K10" i="131"/>
  <c r="L10" i="131"/>
  <c r="M10" i="131"/>
  <c r="N10" i="131"/>
  <c r="P10" i="131"/>
  <c r="H12" i="131"/>
  <c r="K12" i="131"/>
  <c r="L12" i="131"/>
  <c r="M12" i="131"/>
  <c r="N12" i="131"/>
  <c r="P12" i="131"/>
  <c r="H8" i="131"/>
  <c r="K8" i="131"/>
  <c r="L8" i="131"/>
  <c r="M8" i="131"/>
  <c r="N8" i="131"/>
  <c r="P8" i="131"/>
  <c r="H9" i="131"/>
  <c r="K9" i="131"/>
  <c r="L9" i="131"/>
  <c r="M9" i="131"/>
  <c r="N9" i="131"/>
  <c r="P9" i="131"/>
  <c r="P7" i="131"/>
  <c r="N7" i="131"/>
  <c r="M7" i="131"/>
  <c r="L7" i="131"/>
  <c r="K7" i="131"/>
  <c r="H7" i="131"/>
  <c r="P6" i="131"/>
  <c r="N6" i="131"/>
  <c r="M6" i="131"/>
  <c r="L6" i="131"/>
  <c r="K6" i="131"/>
  <c r="H6" i="131"/>
  <c r="P4" i="131"/>
  <c r="N4" i="131"/>
  <c r="M4" i="131"/>
  <c r="L4" i="131"/>
  <c r="K4" i="131"/>
  <c r="H4" i="131"/>
  <c r="P2" i="131"/>
  <c r="N2" i="131"/>
  <c r="M2" i="131"/>
  <c r="L2" i="131"/>
  <c r="K2" i="131"/>
  <c r="H2" i="131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2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<sst xmlns="http://schemas.openxmlformats.org/spreadsheetml/2006/main" count="213" uniqueCount="147">
  <si>
    <t>character_id</t>
  </si>
  <si>
    <t>character_id</t>
    <phoneticPr fontId="18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</si>
  <si>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</si>
  <si>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</si>
  <si>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</si>
  <si>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</si>
  <si>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</si>
  <si>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</si>
  <si>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</si>
  <si>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8"/>
  </si>
  <si>
    <t>weight</t>
    <phoneticPr fontId="18"/>
  </si>
  <si>
    <t>gift_id</t>
    <phoneticPr fontId="18"/>
  </si>
  <si>
    <t>gift_id</t>
    <phoneticPr fontId="18"/>
  </si>
  <si>
    <t>gift_id</t>
    <phoneticPr fontId="18"/>
  </si>
  <si>
    <t>gift_value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</si>
  <si>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</si>
  <si>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</si>
  <si>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</si>
  <si>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</si>
  <si>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</si>
  <si>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</si>
  <si>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gift_type</t>
    <phoneticPr fontId="18"/>
  </si>
  <si>
    <t>備考</t>
    <rPh sb="0" eb="2">
      <t>ビコウ</t>
    </rPh>
    <phoneticPr fontId="18"/>
  </si>
  <si>
    <t>character_id</t>
    <phoneticPr fontId="18"/>
  </si>
  <si>
    <t>name</t>
    <phoneticPr fontId="18"/>
  </si>
  <si>
    <t>接頭語</t>
    <rPh sb="0" eb="3">
      <t>セットウゴ</t>
    </rPh>
    <phoneticPr fontId="51"/>
  </si>
  <si>
    <t>識別子</t>
    <rPh sb="0" eb="3">
      <t>シキベツシ</t>
    </rPh>
    <phoneticPr fontId="51"/>
  </si>
  <si>
    <t>形式</t>
    <rPh sb="0" eb="2">
      <t>ケイシキ</t>
    </rPh>
    <phoneticPr fontId="51"/>
  </si>
  <si>
    <t>出力ファイル名</t>
    <rPh sb="0" eb="2">
      <t>シュツリョク</t>
    </rPh>
    <rPh sb="6" eb="7">
      <t>メイ</t>
    </rPh>
    <phoneticPr fontId="51"/>
  </si>
  <si>
    <t>入力シート名</t>
    <rPh sb="0" eb="2">
      <t>ニュウリョク</t>
    </rPh>
    <rPh sb="5" eb="6">
      <t>メイ</t>
    </rPh>
    <phoneticPr fontId="51"/>
  </si>
  <si>
    <t>出力データ</t>
    <rPh sb="0" eb="2">
      <t>シュツリョク</t>
    </rPh>
    <phoneticPr fontId="51"/>
  </si>
  <si>
    <t>.tmp</t>
    <phoneticPr fontId="51"/>
  </si>
  <si>
    <t>.tmp</t>
    <phoneticPr fontId="51"/>
  </si>
  <si>
    <t>gacha_bonus_tables</t>
    <phoneticPr fontId="51"/>
  </si>
  <si>
    <t>gifts_tmp_</t>
    <phoneticPr fontId="18"/>
  </si>
  <si>
    <t>gifts_i18n_</t>
    <phoneticPr fontId="18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</si>
  <si>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8"/>
  </si>
  <si>
    <t>出力flg</t>
    <rPh sb="0" eb="2">
      <t>シュツリョク</t>
    </rPh>
    <phoneticPr fontId="51"/>
  </si>
  <si>
    <t>性別</t>
    <rPh sb="0" eb="2">
      <t>セイベツ</t>
    </rPh>
    <phoneticPr fontId="18"/>
  </si>
  <si>
    <t>ピックアップ確率</t>
    <rPh sb="6" eb="8">
      <t>カクリツ</t>
    </rPh>
    <phoneticPr fontId="18"/>
  </si>
  <si>
    <t>確率</t>
    <rPh sb="0" eb="2">
      <t>カクリツ</t>
    </rPh>
    <phoneticPr fontId="18"/>
  </si>
  <si>
    <t>名前</t>
    <rPh sb="0" eb="2">
      <t>ナマエ</t>
    </rPh>
    <phoneticPr fontId="18"/>
  </si>
  <si>
    <t>テーブルを増やしたい場合</t>
    <rPh sb="5" eb="6">
      <t>フ</t>
    </rPh>
    <rPh sb="10" eb="12">
      <t>バアイ</t>
    </rPh>
    <phoneticPr fontId="18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</si>
  <si>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8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</si>
  <si>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8"/>
  </si>
  <si>
    <t>３．outputシートで２で作ったtablesを指定する</t>
    <rPh sb="14" eb="15">
      <t>ツク</t>
    </rPh>
    <rPh sb="24" eb="26">
      <t>シテイ</t>
    </rPh>
    <phoneticPr fontId="18"/>
  </si>
  <si>
    <t>table_no</t>
    <phoneticPr fontId="18"/>
  </si>
  <si>
    <t>skill_level</t>
  </si>
  <si>
    <t>level</t>
  </si>
  <si>
    <t>gacha_select_tables_</t>
    <phoneticPr fontId="18"/>
  </si>
  <si>
    <t>ラベル確率で考えましょう</t>
    <rPh sb="6" eb="7">
      <t>カンガエマショウ</t>
    </rPh>
    <phoneticPr fontId="51"/>
  </si>
  <si>
    <t>ラベル</t>
    <phoneticPr fontId="51"/>
  </si>
  <si>
    <t>レアリティ</t>
    <phoneticPr fontId="51"/>
  </si>
  <si>
    <t>{W}</t>
    <phoneticPr fontId="51"/>
  </si>
  <si>
    <t>{N,S}</t>
    <phoneticPr fontId="51"/>
  </si>
  <si>
    <t>{N,S}R3less</t>
    <phoneticPr fontId="51"/>
  </si>
  <si>
    <t>{N,S}R6release</t>
    <phoneticPr fontId="51"/>
  </si>
  <si>
    <t>{SS}</t>
    <phoneticPr fontId="51"/>
  </si>
  <si>
    <t>{SS}R6only</t>
    <phoneticPr fontId="51"/>
  </si>
  <si>
    <t>小計</t>
    <rPh sb="0" eb="2">
      <t>ショウケイ</t>
    </rPh>
    <phoneticPr fontId="51"/>
  </si>
  <si>
    <t>A</t>
    <phoneticPr fontId="51"/>
  </si>
  <si>
    <t>C</t>
    <phoneticPr fontId="51"/>
  </si>
  <si>
    <t>H</t>
    <phoneticPr fontId="51"/>
  </si>
  <si>
    <t>B</t>
    <phoneticPr fontId="51"/>
  </si>
  <si>
    <t>D</t>
    <phoneticPr fontId="51"/>
  </si>
  <si>
    <t>F</t>
    <phoneticPr fontId="51"/>
  </si>
  <si>
    <t>I</t>
    <phoneticPr fontId="51"/>
  </si>
  <si>
    <t>K</t>
    <phoneticPr fontId="51"/>
  </si>
  <si>
    <t>E</t>
    <phoneticPr fontId="51"/>
  </si>
  <si>
    <t>G</t>
    <phoneticPr fontId="51"/>
  </si>
  <si>
    <t>J</t>
    <phoneticPr fontId="51"/>
  </si>
  <si>
    <t>L</t>
    <phoneticPr fontId="51"/>
  </si>
  <si>
    <t>M</t>
    <phoneticPr fontId="51"/>
  </si>
  <si>
    <t>→</t>
    <phoneticPr fontId="51"/>
  </si>
  <si>
    <t>1-SS率</t>
    <rPh sb="4" eb="5">
      <t>リツ</t>
    </rPh>
    <phoneticPr fontId="51"/>
  </si>
  <si>
    <t>SS率</t>
    <rPh sb="2" eb="3">
      <t>リツ</t>
    </rPh>
    <phoneticPr fontId="51"/>
  </si>
  <si>
    <t>考え方を変える</t>
    <rPh sb="0" eb="1">
      <t>カンガエカタ</t>
    </rPh>
    <rPh sb="4" eb="5">
      <t>カエル</t>
    </rPh>
    <phoneticPr fontId="51"/>
  </si>
  <si>
    <t>SS4%は確定事項</t>
    <rPh sb="5" eb="7">
      <t>カクテイ</t>
    </rPh>
    <rPh sb="7" eb="9">
      <t>ジコウ</t>
    </rPh>
    <phoneticPr fontId="51"/>
  </si>
  <si>
    <t>当たりは分配</t>
    <rPh sb="0" eb="1">
      <t>アタリ</t>
    </rPh>
    <rPh sb="4" eb="6">
      <t>ブンパイ</t>
    </rPh>
    <phoneticPr fontId="51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</si>
  <si>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1"/>
  </si>
  <si>
    <t>=</t>
    <phoneticPr fontId="51"/>
  </si>
  <si>
    <t>X*{SS R5only}</t>
    <phoneticPr fontId="51"/>
  </si>
  <si>
    <t>K</t>
    <phoneticPr fontId="51"/>
  </si>
  <si>
    <t>=</t>
    <phoneticPr fontId="51"/>
  </si>
  <si>
    <t>X*{SS}*(R3率+R4率)</t>
    <rPh sb="10" eb="11">
      <t>リツ</t>
    </rPh>
    <rPh sb="14" eb="15">
      <t>リツ</t>
    </rPh>
    <phoneticPr fontId="51"/>
  </si>
  <si>
    <t>L</t>
    <phoneticPr fontId="51"/>
  </si>
  <si>
    <t>X*{SS}*R5率</t>
    <rPh sb="9" eb="10">
      <t>リツ</t>
    </rPh>
    <phoneticPr fontId="51"/>
  </si>
  <si>
    <t>X*{R6release}*R3率</t>
    <rPh sb="16" eb="17">
      <t>リツ</t>
    </rPh>
    <phoneticPr fontId="51"/>
  </si>
  <si>
    <t>X*{R6release}*R4率</t>
    <rPh sb="16" eb="17">
      <t>リツ</t>
    </rPh>
    <phoneticPr fontId="51"/>
  </si>
  <si>
    <t>J</t>
    <phoneticPr fontId="51"/>
  </si>
  <si>
    <t>X*{R6release}*R5率</t>
    <rPh sb="16" eb="17">
      <t>リツ</t>
    </rPh>
    <phoneticPr fontId="51"/>
  </si>
  <si>
    <t>ハズレで確率を整える</t>
    <rPh sb="4" eb="6">
      <t>カクリツ</t>
    </rPh>
    <rPh sb="7" eb="8">
      <t>トトノエル</t>
    </rPh>
    <phoneticPr fontId="51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</si>
  <si>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1"/>
  </si>
  <si>
    <t>A + C</t>
    <phoneticPr fontId="51"/>
  </si>
  <si>
    <t>=</t>
    <phoneticPr fontId="51"/>
  </si>
  <si>
    <t>50%-H</t>
    <phoneticPr fontId="51"/>
  </si>
  <si>
    <t>①</t>
    <phoneticPr fontId="51"/>
  </si>
  <si>
    <t>B + D + F</t>
    <phoneticPr fontId="51"/>
  </si>
  <si>
    <t>45%-I-K</t>
    <phoneticPr fontId="51"/>
  </si>
  <si>
    <t>②</t>
    <phoneticPr fontId="51"/>
  </si>
  <si>
    <t>E+G</t>
    <phoneticPr fontId="51"/>
  </si>
  <si>
    <t>5%-J-L-M</t>
    <phoneticPr fontId="51"/>
  </si>
  <si>
    <t>③</t>
    <phoneticPr fontId="51"/>
  </si>
  <si>
    <t>A+B</t>
    <phoneticPr fontId="51"/>
  </si>
  <si>
    <t>Y*{W}</t>
    <phoneticPr fontId="51"/>
  </si>
  <si>
    <t>④</t>
    <phoneticPr fontId="51"/>
  </si>
  <si>
    <t>C+D+E</t>
    <phoneticPr fontId="51"/>
  </si>
  <si>
    <t>Y*{N,S}</t>
    <phoneticPr fontId="51"/>
  </si>
  <si>
    <t>⑤</t>
    <phoneticPr fontId="51"/>
  </si>
  <si>
    <t>F+G</t>
    <phoneticPr fontId="51"/>
  </si>
  <si>
    <t>Y*{N,S R3less}</t>
    <phoneticPr fontId="51"/>
  </si>
  <si>
    <t>⑥</t>
    <phoneticPr fontId="51"/>
  </si>
  <si>
    <t>A+B+C+D+E+F+G</t>
    <phoneticPr fontId="51"/>
  </si>
  <si>
    <t>⑦</t>
    <phoneticPr fontId="51"/>
  </si>
  <si>
    <t>←これは4,5,6で作れるのでダメだわ</t>
    <rPh sb="10" eb="11">
      <t>ツクレル</t>
    </rPh>
    <phoneticPr fontId="51"/>
  </si>
  <si>
    <t>E*R3率/R5率</t>
    <rPh sb="4" eb="5">
      <t>リツ</t>
    </rPh>
    <rPh sb="8" eb="9">
      <t>リツ</t>
    </rPh>
    <phoneticPr fontId="51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</si>
  <si>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1"/>
  </si>
  <si>
    <t>E*R4率/R5率</t>
    <rPh sb="4" eb="5">
      <t>リツ</t>
    </rPh>
    <rPh sb="8" eb="9">
      <t>リツ</t>
    </rPh>
    <phoneticPr fontId="51"/>
  </si>
  <si>
    <t>∴</t>
    <phoneticPr fontId="51"/>
  </si>
  <si>
    <t>E</t>
    <phoneticPr fontId="51"/>
  </si>
  <si>
    <t>Y*{N,S}*R5率</t>
    <rPh sb="10" eb="11">
      <t>リツ</t>
    </rPh>
    <phoneticPr fontId="51"/>
  </si>
  <si>
    <t>Y*{N,S}*R4率</t>
    <rPh sb="10" eb="11">
      <t>リツ</t>
    </rPh>
    <phoneticPr fontId="51"/>
  </si>
  <si>
    <t>Y*{N,S}*R3率</t>
    <rPh sb="10" eb="11">
      <t>リツ</t>
    </rPh>
    <phoneticPr fontId="51"/>
  </si>
  <si>
    <t>50%-H-C</t>
    <phoneticPr fontId="51"/>
  </si>
  <si>
    <t>Y*{W}-A</t>
    <phoneticPr fontId="51"/>
  </si>
  <si>
    <t>5%-J-L-M-E</t>
    <phoneticPr fontId="51"/>
  </si>
  <si>
    <t>Y*{N,S R3less} - G</t>
    <phoneticPr fontId="51"/>
  </si>
  <si>
    <t>R6境界前後</t>
    <rPh sb="2" eb="4">
      <t>キョウカイ</t>
    </rPh>
    <rPh sb="4" eb="6">
      <t>ゼンゴ</t>
    </rPh>
    <phoneticPr fontId="18"/>
  </si>
  <si>
    <t>R6事後開放N,S</t>
    <rPh sb="2" eb="6">
      <t>ジゴカイホウ</t>
    </rPh>
    <phoneticPr fontId="18"/>
  </si>
  <si>
    <t>skip</t>
    <phoneticPr fontId="18"/>
  </si>
  <si>
    <t>hogehoge</t>
    <phoneticPr fontId="18"/>
  </si>
  <si>
    <t>tables_337010</t>
    <phoneticPr fontId="18"/>
  </si>
  <si>
    <t>skip</t>
    <phoneticPr fontId="18"/>
  </si>
  <si>
    <t>gacha_settle_tables_</t>
    <phoneticPr fontId="18"/>
  </si>
  <si>
    <t>table_no</t>
    <phoneticPr fontId="18"/>
  </si>
  <si>
    <t>drop_label2</t>
    <phoneticPr fontId="18"/>
  </si>
  <si>
    <t>color2</t>
    <phoneticPr fontId="18"/>
  </si>
  <si>
    <t>name</t>
    <phoneticPr fontId="18"/>
  </si>
  <si>
    <t>drop_label</t>
    <phoneticPr fontId="18"/>
  </si>
  <si>
    <t>rare</t>
    <phoneticPr fontId="18"/>
  </si>
  <si>
    <t>color</t>
    <phoneticPr fontId="18"/>
  </si>
  <si>
    <t>character_type_id</t>
    <phoneticPr fontId="18"/>
  </si>
  <si>
    <t>character_tribe_id</t>
    <phoneticPr fontId="18"/>
  </si>
  <si>
    <t>weight</t>
    <phoneticPr fontId="18"/>
  </si>
  <si>
    <t>unit_level</t>
    <phoneticPr fontId="18"/>
  </si>
  <si>
    <t>old</t>
    <phoneticPr fontId="18"/>
  </si>
  <si>
    <t>tables_settle_7222100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</si>
</sst>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54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665">
    <xf numFmtId="0" fontId="0" fillId="0" borderId="0"/>
    <xf numFmtId="0" fontId="17" fillId="0" borderId="0"/>
    <xf numFmtId="0" fontId="2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0" borderId="0"/>
    <xf numFmtId="0" fontId="28" fillId="5" borderId="2" applyNumberFormat="0" applyAlignment="0" applyProtection="0"/>
    <xf numFmtId="0" fontId="29" fillId="6" borderId="0" applyNumberFormat="0" applyBorder="0" applyAlignment="0" applyProtection="0"/>
    <xf numFmtId="0" fontId="30" fillId="7" borderId="3" applyNumberFormat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3" fillId="9" borderId="4" applyNumberFormat="0" applyAlignment="0" applyProtection="0"/>
    <xf numFmtId="0" fontId="34" fillId="0" borderId="0" applyNumberFormat="0" applyFill="0" applyBorder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0" applyNumberFormat="0" applyBorder="0" applyAlignment="0" applyProtection="0"/>
    <xf numFmtId="0" fontId="38" fillId="6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1" borderId="0" applyNumberFormat="0" applyBorder="0" applyAlignment="0" applyProtection="0"/>
    <xf numFmtId="0" fontId="38" fillId="5" borderId="0" applyNumberFormat="0" applyBorder="0" applyAlignment="0" applyProtection="0"/>
    <xf numFmtId="0" fontId="38" fillId="7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3" borderId="0" applyNumberFormat="0" applyBorder="0" applyAlignment="0" applyProtection="0"/>
    <xf numFmtId="0" fontId="38" fillId="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4" borderId="0" applyNumberFormat="0" applyBorder="0" applyAlignment="0" applyProtection="0"/>
    <xf numFmtId="0" fontId="39" fillId="6" borderId="0" applyNumberFormat="0" applyBorder="0" applyAlignment="0" applyProtection="0"/>
    <xf numFmtId="0" fontId="31" fillId="0" borderId="0" applyNumberFormat="0" applyFill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0" borderId="0" applyNumberFormat="0" applyBorder="0" applyAlignment="0" applyProtection="0"/>
    <xf numFmtId="0" fontId="39" fillId="1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40" fillId="17" borderId="0" applyNumberFormat="0" applyBorder="0" applyAlignment="0" applyProtection="0"/>
    <xf numFmtId="0" fontId="29" fillId="6" borderId="0" applyNumberFormat="0" applyBorder="0" applyAlignment="0" applyProtection="0"/>
    <xf numFmtId="0" fontId="41" fillId="0" borderId="8" applyNumberFormat="0" applyFill="0" applyAlignment="0" applyProtection="0"/>
    <xf numFmtId="0" fontId="42" fillId="7" borderId="9" applyNumberFormat="0" applyAlignment="0" applyProtection="0"/>
    <xf numFmtId="0" fontId="42" fillId="18" borderId="9" applyNumberFormat="0" applyAlignment="0" applyProtection="0"/>
    <xf numFmtId="0" fontId="30" fillId="6" borderId="3" applyNumberFormat="0" applyAlignment="0" applyProtection="0"/>
    <xf numFmtId="0" fontId="43" fillId="0" borderId="10" applyNumberFormat="0" applyFill="0" applyAlignment="0" applyProtection="0"/>
    <xf numFmtId="0" fontId="44" fillId="18" borderId="3" applyNumberFormat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1" applyNumberFormat="0" applyFill="0" applyAlignment="0" applyProtection="0"/>
    <xf numFmtId="38" fontId="16" fillId="0" borderId="0" applyFont="0" applyFill="0" applyBorder="0" applyAlignment="0" applyProtection="0">
      <alignment vertical="center"/>
    </xf>
    <xf numFmtId="0" fontId="47" fillId="19" borderId="0" applyNumberFormat="0" applyBorder="0" applyAlignment="0" applyProtection="0"/>
    <xf numFmtId="0" fontId="48" fillId="20" borderId="0" applyNumberFormat="0" applyBorder="0" applyAlignment="0" applyProtection="0"/>
    <xf numFmtId="0" fontId="16" fillId="0" borderId="0"/>
    <xf numFmtId="0" fontId="49" fillId="20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1" fillId="0" borderId="0"/>
    <xf numFmtId="0" fontId="52" fillId="0" borderId="0">
      <alignment vertical="center"/>
    </xf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9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9" fontId="5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6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</cellStyleXfs>
  <cellXfs count="52">
    <xf numFmtId="0" fontId="0" fillId="0" borderId="0" xfId="0"/>
    <xf numFmtId="0" fontId="23" fillId="0" borderId="0" xfId="2" applyFont="1" applyAlignment="1">
      <alignment vertical="center"/>
    </xf>
    <xf numFmtId="0" fontId="23" fillId="0" borderId="1" xfId="2" applyFont="1" applyBorder="1" applyAlignment="1">
      <alignment vertical="center"/>
    </xf>
    <xf numFmtId="0" fontId="23" fillId="3" borderId="1" xfId="2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4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horizontal="right" vertical="center"/>
    </xf>
    <xf numFmtId="0" fontId="23" fillId="3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vertical="center"/>
    </xf>
    <xf numFmtId="0" fontId="22" fillId="4" borderId="12" xfId="0" applyFont="1" applyFill="1" applyBorder="1" applyAlignment="1">
      <alignment horizontal="right" vertical="center"/>
    </xf>
    <xf numFmtId="0" fontId="22" fillId="4" borderId="13" xfId="0" applyFont="1" applyFill="1" applyBorder="1" applyAlignment="1">
      <alignment horizontal="right" vertical="center"/>
    </xf>
    <xf numFmtId="0" fontId="23" fillId="2" borderId="1" xfId="2" applyFont="1" applyFill="1" applyBorder="1" applyAlignment="1">
      <alignment horizontal="left" vertical="center"/>
    </xf>
    <xf numFmtId="0" fontId="23" fillId="2" borderId="1" xfId="2" applyFont="1" applyFill="1" applyBorder="1" applyAlignment="1">
      <alignment horizontal="center" vertical="center"/>
    </xf>
    <xf numFmtId="0" fontId="25" fillId="21" borderId="1" xfId="2978" applyFont="1" applyFill="1" applyBorder="1"/>
    <xf numFmtId="0" fontId="11" fillId="21" borderId="1" xfId="2978" applyFill="1" applyBorder="1"/>
    <xf numFmtId="0" fontId="11" fillId="0" borderId="0" xfId="2978"/>
    <xf numFmtId="0" fontId="11" fillId="0" borderId="1" xfId="2978" applyBorder="1"/>
    <xf numFmtId="0" fontId="11" fillId="2" borderId="1" xfId="2978" applyFill="1" applyBorder="1"/>
    <xf numFmtId="0" fontId="15" fillId="2" borderId="1" xfId="19" applyFont="1" applyFill="1" applyBorder="1"/>
    <xf numFmtId="0" fontId="16" fillId="2" borderId="1" xfId="19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0" fillId="0" borderId="1" xfId="2978" applyFont="1" applyBorder="1"/>
    <xf numFmtId="0" fontId="25" fillId="21" borderId="1" xfId="0" applyFont="1" applyFill="1" applyBorder="1"/>
    <xf numFmtId="0" fontId="50" fillId="22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vertical="center"/>
    </xf>
    <xf numFmtId="0" fontId="0" fillId="0" borderId="1" xfId="0" applyBorder="1"/>
    <xf numFmtId="0" fontId="0" fillId="3" borderId="1" xfId="0" applyFill="1" applyBorder="1"/>
    <xf numFmtId="0" fontId="0" fillId="24" borderId="0" xfId="0" applyFill="1"/>
    <xf numFmtId="0" fontId="0" fillId="25" borderId="1" xfId="0" applyFill="1" applyBorder="1"/>
    <xf numFmtId="176" fontId="0" fillId="25" borderId="1" xfId="3575" applyNumberFormat="1" applyFont="1" applyFill="1" applyBorder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0" fontId="22" fillId="23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0" fontId="5" fillId="0" borderId="1" xfId="3036" applyFont="1" applyBorder="1"/>
    <xf numFmtId="0" fontId="5" fillId="0" borderId="1" xfId="2978" applyFont="1" applyBorder="1"/>
    <xf numFmtId="0" fontId="4" fillId="4" borderId="1" xfId="2978" applyFont="1" applyFill="1" applyBorder="1"/>
    <xf numFmtId="0" fontId="3" fillId="0" borderId="1" xfId="3036" applyFont="1" applyBorder="1"/>
    <xf numFmtId="0" fontId="3" fillId="0" borderId="1" xfId="2978" applyFont="1" applyBorder="1"/>
    <xf numFmtId="0" fontId="23" fillId="23" borderId="1" xfId="2" applyFont="1" applyFill="1" applyBorder="1" applyAlignment="1">
      <alignment vertical="center"/>
    </xf>
    <xf numFmtId="0" fontId="2" fillId="0" borderId="1" xfId="3036" applyFont="1" applyBorder="1"/>
    <xf numFmtId="0" fontId="1" fillId="4" borderId="1" xfId="2978" applyFont="1" applyFill="1" applyBorder="1"/>
  </cellXfs>
  <cellStyles count="3665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3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4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externalLink" Target="externalLinks/externalLink1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未定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attack</v>
          </cell>
          <cell r="L1171" t="str">
            <v>攻撃タイプ</v>
          </cell>
          <cell r="M1171" t="str">
            <v>academia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rabbit01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rabbit02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fox01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fox02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wildboar01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wolf01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wolf02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raccoon01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raccoon02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sloth01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sloth02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hedgehog01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hedgehog02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mole01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bear01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giraffe01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sheep01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lion01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goat01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camel01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weasel01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tiger01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tiger02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zebra01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zebra02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elephant01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elephant02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leopard01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leopard02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1427</v>
          </cell>
          <cell r="B1376" t="str">
            <v>ja</v>
          </cell>
          <cell r="C1376" t="str">
            <v>超覚醒シュヴァルツシルト</v>
          </cell>
          <cell r="H1376" t="str">
            <v>blue</v>
          </cell>
          <cell r="I1376">
            <v>6</v>
          </cell>
          <cell r="J1376" t="str">
            <v>PremiumSSS</v>
          </cell>
          <cell r="K1376" t="str">
            <v>attack</v>
          </cell>
          <cell r="L1376" t="str">
            <v>攻撃タイプ</v>
          </cell>
          <cell r="M1376" t="str">
            <v>academia</v>
          </cell>
        </row>
        <row r="1377">
          <cell r="A1377">
            <v>5001</v>
          </cell>
          <cell r="B1377" t="str">
            <v>ja</v>
          </cell>
          <cell r="C1377" t="str">
            <v>ガルーダ</v>
          </cell>
          <cell r="D1377" t="str">
            <v>ノーマルクエスト</v>
          </cell>
          <cell r="E1377" t="str">
            <v>QoH</v>
          </cell>
          <cell r="F1377" t="str">
            <v>世界観</v>
          </cell>
          <cell r="G1377" t="str">
            <v>不明</v>
          </cell>
          <cell r="H1377" t="str">
            <v>red</v>
          </cell>
          <cell r="I1377">
            <v>5</v>
          </cell>
          <cell r="J1377" t="str">
            <v>PremiumSSw</v>
          </cell>
          <cell r="K1377" t="str">
            <v>attack</v>
          </cell>
          <cell r="L1377" t="str">
            <v>攻撃タイプ</v>
          </cell>
          <cell r="M1377" t="str">
            <v>god</v>
          </cell>
        </row>
        <row r="1378">
          <cell r="A1378">
            <v>5002</v>
          </cell>
          <cell r="B1378" t="str">
            <v>ja</v>
          </cell>
          <cell r="C1378" t="str">
            <v>ガルーダ★６</v>
          </cell>
          <cell r="D1378" t="str">
            <v>ノーマルクエスト</v>
          </cell>
          <cell r="E1378" t="str">
            <v>アバター</v>
          </cell>
          <cell r="F1378" t="str">
            <v>世界観</v>
          </cell>
          <cell r="G1378" t="str">
            <v>男性</v>
          </cell>
          <cell r="H1378" t="str">
            <v>red</v>
          </cell>
          <cell r="I1378">
            <v>6</v>
          </cell>
          <cell r="J1378" t="str">
            <v>PremiumSSw</v>
          </cell>
          <cell r="K1378" t="str">
            <v>attack</v>
          </cell>
          <cell r="L1378" t="str">
            <v>攻撃タイプ</v>
          </cell>
          <cell r="M1378" t="str">
            <v>god</v>
          </cell>
        </row>
        <row r="1379">
          <cell r="A1379">
            <v>5003</v>
          </cell>
          <cell r="B1379" t="str">
            <v>ja</v>
          </cell>
          <cell r="C1379" t="str">
            <v>ナーガ</v>
          </cell>
          <cell r="D1379" t="str">
            <v>リンクガチャ:4神</v>
          </cell>
          <cell r="E1379" t="str">
            <v>守護神</v>
          </cell>
          <cell r="F1379" t="str">
            <v>格好いい</v>
          </cell>
          <cell r="G1379" t="str">
            <v>不明</v>
          </cell>
          <cell r="H1379" t="str">
            <v>green</v>
          </cell>
          <cell r="I1379">
            <v>5</v>
          </cell>
          <cell r="J1379" t="str">
            <v>DropWizS</v>
          </cell>
          <cell r="K1379" t="str">
            <v>technical</v>
          </cell>
          <cell r="L1379" t="str">
            <v>テクニカルタイプ</v>
          </cell>
          <cell r="M1379" t="str">
            <v>animal</v>
          </cell>
        </row>
        <row r="1380">
          <cell r="A1380">
            <v>5004</v>
          </cell>
          <cell r="B1380" t="str">
            <v>ja</v>
          </cell>
          <cell r="C1380" t="str">
            <v>ナーガ★６</v>
          </cell>
          <cell r="D1380" t="str">
            <v>ノーマルクエスト</v>
          </cell>
          <cell r="E1380" t="str">
            <v>アバター</v>
          </cell>
          <cell r="F1380" t="str">
            <v>世界観</v>
          </cell>
          <cell r="G1380" t="str">
            <v>不明</v>
          </cell>
          <cell r="H1380" t="str">
            <v>green</v>
          </cell>
          <cell r="I1380">
            <v>6</v>
          </cell>
          <cell r="J1380" t="str">
            <v>DropWizS</v>
          </cell>
          <cell r="K1380" t="str">
            <v>technical</v>
          </cell>
          <cell r="L1380" t="str">
            <v>テクニカルタイプ</v>
          </cell>
          <cell r="M1380" t="str">
            <v>animal</v>
          </cell>
        </row>
        <row r="1381">
          <cell r="A1381">
            <v>6001</v>
          </cell>
          <cell r="B1381" t="str">
            <v>ja</v>
          </cell>
          <cell r="C1381" t="str">
            <v>ジェリー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1</v>
          </cell>
          <cell r="J1381" t="str">
            <v>Drop1T</v>
          </cell>
          <cell r="K1381" t="str">
            <v>ra</v>
          </cell>
          <cell r="L1381" t="str">
            <v>ラグランジュチャレンジ</v>
          </cell>
          <cell r="M1381" t="str">
            <v>unknown</v>
          </cell>
        </row>
        <row r="1382">
          <cell r="A1382">
            <v>6002</v>
          </cell>
          <cell r="B1382" t="str">
            <v>ja</v>
          </cell>
          <cell r="C1382" t="str">
            <v>ヨシタカ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2</v>
          </cell>
          <cell r="J1382" t="str">
            <v>Drop1N</v>
          </cell>
          <cell r="K1382" t="str">
            <v>ra</v>
          </cell>
          <cell r="L1382" t="str">
            <v>ラグランジュチャレンジ</v>
          </cell>
          <cell r="M1382" t="str">
            <v>human</v>
          </cell>
        </row>
        <row r="1383">
          <cell r="A1383">
            <v>6003</v>
          </cell>
          <cell r="B1383" t="str">
            <v>ja</v>
          </cell>
          <cell r="C1383" t="str">
            <v>朱雀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red</v>
          </cell>
          <cell r="I1383">
            <v>3</v>
          </cell>
          <cell r="J1383" t="str">
            <v>Drop2N</v>
          </cell>
          <cell r="K1383" t="str">
            <v>ra</v>
          </cell>
          <cell r="L1383" t="str">
            <v>ラグランジュチャレンジ</v>
          </cell>
          <cell r="M1383" t="str">
            <v>animal</v>
          </cell>
        </row>
        <row r="1384">
          <cell r="A1384">
            <v>6004</v>
          </cell>
          <cell r="B1384" t="str">
            <v>ja</v>
          </cell>
          <cell r="C1384" t="str">
            <v>ブレット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red</v>
          </cell>
          <cell r="I1384">
            <v>1</v>
          </cell>
          <cell r="J1384" t="str">
            <v>Drop1W</v>
          </cell>
          <cell r="K1384" t="str">
            <v>ra</v>
          </cell>
          <cell r="L1384" t="str">
            <v>ラグランジュチャレンジ</v>
          </cell>
          <cell r="M1384" t="str">
            <v>animal</v>
          </cell>
        </row>
        <row r="1385">
          <cell r="A1385">
            <v>6005</v>
          </cell>
          <cell r="B1385" t="str">
            <v>ja</v>
          </cell>
          <cell r="C1385" t="str">
            <v>孤神 テティス</v>
          </cell>
          <cell r="D1385" t="str">
            <v>初期ガチャ</v>
          </cell>
          <cell r="E1385" t="str">
            <v>管理者</v>
          </cell>
          <cell r="F1385" t="str">
            <v>美しい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PremiumN</v>
          </cell>
          <cell r="K1385" t="str">
            <v>ra</v>
          </cell>
          <cell r="L1385" t="str">
            <v>ラグランジュチャレンジ</v>
          </cell>
          <cell r="M1385" t="str">
            <v>god</v>
          </cell>
        </row>
        <row r="1386">
          <cell r="A1386">
            <v>6006</v>
          </cell>
          <cell r="B1386" t="str">
            <v>ja</v>
          </cell>
          <cell r="C1386" t="str">
            <v>海底の孤高神 テティス</v>
          </cell>
          <cell r="D1386" t="str">
            <v>初期ガチャ</v>
          </cell>
          <cell r="E1386" t="str">
            <v>管理者</v>
          </cell>
          <cell r="F1386" t="str">
            <v>美しい</v>
          </cell>
          <cell r="G1386" t="str">
            <v>女性</v>
          </cell>
          <cell r="H1386" t="str">
            <v>blue</v>
          </cell>
          <cell r="I1386">
            <v>5</v>
          </cell>
          <cell r="J1386" t="str">
            <v>PremiumN</v>
          </cell>
          <cell r="K1386" t="str">
            <v>ra</v>
          </cell>
          <cell r="L1386" t="str">
            <v>ラグランジュチャレンジ</v>
          </cell>
          <cell r="M1386" t="str">
            <v>god</v>
          </cell>
        </row>
        <row r="1387">
          <cell r="A1387">
            <v>6007</v>
          </cell>
          <cell r="B1387" t="str">
            <v>ja</v>
          </cell>
          <cell r="C1387" t="str">
            <v>番犬 ケルベロス</v>
          </cell>
          <cell r="D1387" t="str">
            <v>初期ガチャ</v>
          </cell>
          <cell r="E1387" t="str">
            <v>破界者</v>
          </cell>
          <cell r="F1387" t="str">
            <v>可愛い</v>
          </cell>
          <cell r="G1387" t="str">
            <v>女性</v>
          </cell>
          <cell r="H1387" t="str">
            <v>red</v>
          </cell>
          <cell r="I1387">
            <v>4</v>
          </cell>
          <cell r="J1387" t="str">
            <v>PremiumN</v>
          </cell>
          <cell r="K1387" t="str">
            <v>ra</v>
          </cell>
          <cell r="L1387" t="str">
            <v>ラグランジュチャレンジ</v>
          </cell>
          <cell r="M1387" t="str">
            <v>animal</v>
          </cell>
        </row>
        <row r="1388">
          <cell r="A1388">
            <v>6008</v>
          </cell>
          <cell r="B1388" t="str">
            <v>ja</v>
          </cell>
          <cell r="C1388" t="str">
            <v>焔神 プロメテウス</v>
          </cell>
          <cell r="D1388" t="str">
            <v>初期ガチャ</v>
          </cell>
          <cell r="E1388" t="str">
            <v>管理者</v>
          </cell>
          <cell r="F1388" t="str">
            <v>格好いい</v>
          </cell>
          <cell r="G1388" t="str">
            <v>男性</v>
          </cell>
          <cell r="H1388" t="str">
            <v>red</v>
          </cell>
          <cell r="I1388">
            <v>4</v>
          </cell>
          <cell r="J1388" t="str">
            <v>PremiumN</v>
          </cell>
          <cell r="K1388" t="str">
            <v>ra</v>
          </cell>
          <cell r="L1388" t="str">
            <v>ラグランジュチャレンジ</v>
          </cell>
          <cell r="M1388" t="str">
            <v>god</v>
          </cell>
        </row>
        <row r="1389">
          <cell r="A1389">
            <v>6009</v>
          </cell>
          <cell r="B1389" t="str">
            <v>ja</v>
          </cell>
          <cell r="C1389" t="str">
            <v>超越自我 ラグランジュ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red</v>
          </cell>
          <cell r="I1389">
            <v>5</v>
          </cell>
          <cell r="J1389" t="str">
            <v>PremiumSSS</v>
          </cell>
          <cell r="K1389" t="str">
            <v>ra</v>
          </cell>
          <cell r="L1389" t="str">
            <v>ラグランジュチャレンジ</v>
          </cell>
          <cell r="M1389" t="str">
            <v>human</v>
          </cell>
        </row>
        <row r="1390">
          <cell r="A1390">
            <v>6010</v>
          </cell>
          <cell r="B1390" t="str">
            <v>ja</v>
          </cell>
          <cell r="C1390" t="str">
            <v>超越凌駕 ラグランジュ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6</v>
          </cell>
          <cell r="J1390" t="str">
            <v>PremiumSSS</v>
          </cell>
          <cell r="K1390" t="str">
            <v>ra</v>
          </cell>
          <cell r="L1390" t="str">
            <v>ラグランジュチャレンジ</v>
          </cell>
          <cell r="M1390" t="str">
            <v>human</v>
          </cell>
        </row>
        <row r="1391">
          <cell r="A1391">
            <v>6011</v>
          </cell>
          <cell r="B1391" t="str">
            <v>ja</v>
          </cell>
          <cell r="C1391" t="str">
            <v>パトドッグリーダー ポチ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2</v>
          </cell>
          <cell r="J1391" t="str">
            <v>Drop1T</v>
          </cell>
          <cell r="K1391" t="str">
            <v>ra002</v>
          </cell>
          <cell r="L1391" t="str">
            <v>ユークリッドチャレンジ</v>
          </cell>
          <cell r="M1391" t="str">
            <v>unknown</v>
          </cell>
        </row>
        <row r="1392">
          <cell r="A1392">
            <v>6012</v>
          </cell>
          <cell r="B1392" t="str">
            <v>ja</v>
          </cell>
          <cell r="C1392" t="str">
            <v>ミミ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yellow</v>
          </cell>
          <cell r="I1392">
            <v>1</v>
          </cell>
          <cell r="J1392" t="str">
            <v>Drop1W</v>
          </cell>
          <cell r="K1392" t="str">
            <v>ra002</v>
          </cell>
          <cell r="L1392" t="str">
            <v>ユークリッドチャレンジ</v>
          </cell>
          <cell r="M1392" t="str">
            <v>animal</v>
          </cell>
        </row>
        <row r="1393">
          <cell r="A1393">
            <v>6013</v>
          </cell>
          <cell r="B1393" t="str">
            <v>ja</v>
          </cell>
          <cell r="C1393" t="str">
            <v>護衛機人 スケアクロウ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blue</v>
          </cell>
          <cell r="I1393">
            <v>2</v>
          </cell>
          <cell r="J1393" t="str">
            <v>Drop1N</v>
          </cell>
          <cell r="K1393" t="str">
            <v>ra002</v>
          </cell>
          <cell r="L1393" t="str">
            <v>ユークリッドチャレンジ</v>
          </cell>
          <cell r="M1393" t="str">
            <v>machine</v>
          </cell>
        </row>
        <row r="1394">
          <cell r="A1394">
            <v>6014</v>
          </cell>
          <cell r="B1394" t="str">
            <v>ja</v>
          </cell>
          <cell r="C1394" t="str">
            <v>月下の人狼 ローレンス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blue</v>
          </cell>
          <cell r="I1394">
            <v>4</v>
          </cell>
          <cell r="J1394" t="str">
            <v>PremiumW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6015</v>
          </cell>
          <cell r="B1395" t="str">
            <v>ja</v>
          </cell>
          <cell r="C1395" t="str">
            <v>フレイヤ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PremiumSS</v>
          </cell>
          <cell r="K1395" t="str">
            <v>ra002</v>
          </cell>
          <cell r="L1395" t="str">
            <v>ユークリッドチャレンジ</v>
          </cell>
          <cell r="M1395" t="str">
            <v>animal</v>
          </cell>
        </row>
        <row r="1396">
          <cell r="A1396">
            <v>6016</v>
          </cell>
          <cell r="B1396" t="str">
            <v>ja</v>
          </cell>
          <cell r="C1396" t="str">
            <v>根原論理 ユークリッド</v>
          </cell>
          <cell r="D1396" t="str">
            <v>ガチャ:フィーバーフェス02</v>
          </cell>
          <cell r="E1396" t="str">
            <v>執行者</v>
          </cell>
          <cell r="F1396" t="str">
            <v>格好いい</v>
          </cell>
          <cell r="G1396" t="str">
            <v>男性</v>
          </cell>
          <cell r="H1396" t="str">
            <v>blue</v>
          </cell>
          <cell r="I1396">
            <v>5</v>
          </cell>
          <cell r="J1396" t="str">
            <v>PremiumSSS</v>
          </cell>
          <cell r="K1396" t="str">
            <v>ra002</v>
          </cell>
          <cell r="L1396" t="str">
            <v>ユークリッドチャレンジ</v>
          </cell>
          <cell r="M1396" t="str">
            <v>human</v>
          </cell>
        </row>
        <row r="1397">
          <cell r="A1397">
            <v>6017</v>
          </cell>
          <cell r="B1397" t="str">
            <v>ja</v>
          </cell>
          <cell r="C1397" t="str">
            <v>不朽の極論 ユークリッド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男性</v>
          </cell>
          <cell r="H1397" t="str">
            <v>blue</v>
          </cell>
          <cell r="I1397">
            <v>6</v>
          </cell>
          <cell r="J1397" t="str">
            <v>PremiumSSS</v>
          </cell>
          <cell r="K1397" t="str">
            <v>ra002</v>
          </cell>
          <cell r="L1397" t="str">
            <v>ユークリッドチャレンジ</v>
          </cell>
          <cell r="M1397" t="str">
            <v>human</v>
          </cell>
        </row>
        <row r="1398">
          <cell r="A1398">
            <v>6018</v>
          </cell>
          <cell r="B1398" t="str">
            <v>ja</v>
          </cell>
          <cell r="C1398" t="str">
            <v>ハヅル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男性</v>
          </cell>
          <cell r="H1398" t="str">
            <v>red</v>
          </cell>
          <cell r="I1398">
            <v>4</v>
          </cell>
          <cell r="J1398" t="str">
            <v>PremiumSS</v>
          </cell>
          <cell r="K1398" t="str">
            <v>ra002</v>
          </cell>
          <cell r="L1398" t="str">
            <v>ユークリッドチャレンジ</v>
          </cell>
          <cell r="M1398" t="str">
            <v>animal</v>
          </cell>
        </row>
        <row r="1399">
          <cell r="A1399">
            <v>6019</v>
          </cell>
          <cell r="B1399" t="str">
            <v>ja</v>
          </cell>
          <cell r="C1399" t="str">
            <v>天織羽鶴 ハヅル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red</v>
          </cell>
          <cell r="I1399">
            <v>5</v>
          </cell>
          <cell r="J1399" t="str">
            <v>PremiumSS</v>
          </cell>
          <cell r="K1399" t="str">
            <v>ra002</v>
          </cell>
          <cell r="L1399" t="str">
            <v>ユークリッドチャレンジ</v>
          </cell>
          <cell r="M1399" t="str">
            <v>animal</v>
          </cell>
        </row>
        <row r="1400">
          <cell r="A1400">
            <v>6020</v>
          </cell>
          <cell r="B1400" t="str">
            <v>ja</v>
          </cell>
          <cell r="C1400" t="str">
            <v>ミズチ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blue</v>
          </cell>
          <cell r="I1400">
            <v>4</v>
          </cell>
          <cell r="J1400" t="str">
            <v>PremiumS</v>
          </cell>
          <cell r="K1400" t="str">
            <v>ra002</v>
          </cell>
          <cell r="L1400" t="str">
            <v>ユークリッドチャレンジ</v>
          </cell>
          <cell r="M1400" t="str">
            <v>dragon</v>
          </cell>
        </row>
        <row r="1401">
          <cell r="A1401">
            <v>8001</v>
          </cell>
          <cell r="B1401" t="str">
            <v>ja</v>
          </cell>
          <cell r="C1401" t="str">
            <v>媽祖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女性</v>
          </cell>
          <cell r="H1401" t="str">
            <v>yellow</v>
          </cell>
          <cell r="I1401">
            <v>5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8002</v>
          </cell>
          <cell r="B1402" t="str">
            <v>ja</v>
          </cell>
          <cell r="C1402" t="str">
            <v>宣導する天海妃 媽祖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6</v>
          </cell>
          <cell r="J1402" t="str">
            <v>PremiumSS</v>
          </cell>
          <cell r="K1402" t="str">
            <v>attack</v>
          </cell>
          <cell r="L1402" t="str">
            <v>攻撃タイプ</v>
          </cell>
          <cell r="M1402" t="str">
            <v>god</v>
          </cell>
        </row>
        <row r="1403">
          <cell r="A1403">
            <v>8003</v>
          </cell>
          <cell r="B1403" t="str">
            <v>ja</v>
          </cell>
          <cell r="C1403" t="str">
            <v>蛟龍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blue</v>
          </cell>
          <cell r="I1403">
            <v>5</v>
          </cell>
          <cell r="J1403" t="str">
            <v>DropWizS</v>
          </cell>
          <cell r="K1403" t="str">
            <v>hp</v>
          </cell>
          <cell r="L1403" t="str">
            <v>体力タイプ</v>
          </cell>
          <cell r="M1403" t="str">
            <v>dragon</v>
          </cell>
        </row>
        <row r="1404">
          <cell r="A1404">
            <v>8004</v>
          </cell>
          <cell r="B1404" t="str">
            <v>ja</v>
          </cell>
          <cell r="C1404" t="str">
            <v>呼嵐の蒼棲龍 蛟龍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blue</v>
          </cell>
          <cell r="I1404">
            <v>6</v>
          </cell>
          <cell r="J1404" t="str">
            <v>DropWizS</v>
          </cell>
          <cell r="K1404" t="str">
            <v>hp</v>
          </cell>
          <cell r="L1404" t="str">
            <v>体力タイプ</v>
          </cell>
          <cell r="M1404" t="str">
            <v>dragon</v>
          </cell>
        </row>
        <row r="1405">
          <cell r="A1405">
            <v>8005</v>
          </cell>
          <cell r="B1405" t="str">
            <v>ja</v>
          </cell>
          <cell r="C1405" t="str">
            <v>三蔵法師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blue</v>
          </cell>
          <cell r="I1405">
            <v>5</v>
          </cell>
          <cell r="J1405" t="str">
            <v>PremiumSS</v>
          </cell>
          <cell r="K1405" t="str">
            <v>balance</v>
          </cell>
          <cell r="L1405" t="str">
            <v>バランスタイプ</v>
          </cell>
          <cell r="M1405" t="str">
            <v>human</v>
          </cell>
        </row>
        <row r="1406">
          <cell r="A1406">
            <v>8006</v>
          </cell>
          <cell r="B1406" t="str">
            <v>ja</v>
          </cell>
          <cell r="C1406" t="str">
            <v>慈戒の呪封使 三蔵法師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blue</v>
          </cell>
          <cell r="I1406">
            <v>6</v>
          </cell>
          <cell r="J1406" t="str">
            <v>PremiumSS</v>
          </cell>
          <cell r="K1406" t="str">
            <v>balance</v>
          </cell>
          <cell r="L1406" t="str">
            <v>バランスタイプ</v>
          </cell>
          <cell r="M1406" t="str">
            <v>human</v>
          </cell>
        </row>
        <row r="1407">
          <cell r="A1407">
            <v>8007</v>
          </cell>
          <cell r="B1407" t="str">
            <v>ja</v>
          </cell>
          <cell r="C1407" t="str">
            <v>孫悟空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DropWizS</v>
          </cell>
          <cell r="K1407" t="str">
            <v>attack</v>
          </cell>
          <cell r="L1407" t="str">
            <v>攻撃タイプ</v>
          </cell>
          <cell r="M1407" t="str">
            <v>animal</v>
          </cell>
        </row>
        <row r="1408">
          <cell r="A1408">
            <v>8008</v>
          </cell>
          <cell r="B1408" t="str">
            <v>ja</v>
          </cell>
          <cell r="C1408" t="str">
            <v>花果の天猿仙人 孫悟空</v>
          </cell>
          <cell r="D1408" t="str">
            <v>イベント:ミクコラボ01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DropWizS</v>
          </cell>
          <cell r="K1408" t="str">
            <v>attack</v>
          </cell>
          <cell r="L1408" t="str">
            <v>攻撃タイプ</v>
          </cell>
          <cell r="M1408" t="str">
            <v>animal</v>
          </cell>
        </row>
        <row r="1409">
          <cell r="A1409">
            <v>8009</v>
          </cell>
          <cell r="B1409" t="str">
            <v>ja</v>
          </cell>
          <cell r="C1409" t="str">
            <v>西王娘娘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5</v>
          </cell>
          <cell r="J1409" t="str">
            <v>PremiumSS</v>
          </cell>
          <cell r="K1409" t="str">
            <v>attack</v>
          </cell>
          <cell r="L1409" t="str">
            <v>攻撃タイプ</v>
          </cell>
          <cell r="M1409" t="str">
            <v>god</v>
          </cell>
        </row>
        <row r="1410">
          <cell r="A1410">
            <v>8010</v>
          </cell>
          <cell r="B1410" t="str">
            <v>ja</v>
          </cell>
          <cell r="C1410" t="str">
            <v>極楽瑶池の聖母 西王娘娘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green</v>
          </cell>
          <cell r="I1410">
            <v>6</v>
          </cell>
          <cell r="J1410" t="str">
            <v>PremiumSS</v>
          </cell>
          <cell r="K1410" t="str">
            <v>attack</v>
          </cell>
          <cell r="L1410" t="str">
            <v>攻撃タイプ</v>
          </cell>
          <cell r="M1410" t="str">
            <v>god</v>
          </cell>
        </row>
        <row r="1411">
          <cell r="A1411">
            <v>8011</v>
          </cell>
          <cell r="B1411" t="str">
            <v>ja</v>
          </cell>
          <cell r="C1411" t="str">
            <v>月下老人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yellow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god</v>
          </cell>
        </row>
        <row r="1412">
          <cell r="A1412">
            <v>8012</v>
          </cell>
          <cell r="B1412" t="str">
            <v>ja</v>
          </cell>
          <cell r="C1412" t="str">
            <v>破戀斬る縁剣 月下老人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god</v>
          </cell>
        </row>
        <row r="1413">
          <cell r="A1413">
            <v>8013</v>
          </cell>
          <cell r="B1413" t="str">
            <v>ja</v>
          </cell>
          <cell r="C1413" t="str">
            <v>初音ミクV3</v>
          </cell>
          <cell r="D1413" t="str">
            <v>初音ミクV3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4</v>
          </cell>
          <cell r="J1413" t="str">
            <v>DropWizS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8014</v>
          </cell>
          <cell r="B1414" t="str">
            <v>ja</v>
          </cell>
          <cell r="C1414" t="str">
            <v>初音ミクV3</v>
          </cell>
          <cell r="D1414" t="str">
            <v>初音ミクV3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yellow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8015</v>
          </cell>
          <cell r="B1415" t="str">
            <v>ja</v>
          </cell>
          <cell r="C1415" t="str">
            <v>初音ミク・アペンド</v>
          </cell>
          <cell r="D1415" t="str">
            <v>初音ミク・アペンド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green</v>
          </cell>
          <cell r="I1415">
            <v>4</v>
          </cell>
          <cell r="J1415" t="str">
            <v>PremiumSSS</v>
          </cell>
          <cell r="K1415" t="str">
            <v>technical</v>
          </cell>
          <cell r="L1415" t="str">
            <v>テクニカルタイプ</v>
          </cell>
          <cell r="M1415" t="str">
            <v>unknown</v>
          </cell>
        </row>
        <row r="1416">
          <cell r="A1416">
            <v>8016</v>
          </cell>
          <cell r="B1416" t="str">
            <v>ja</v>
          </cell>
          <cell r="C1416" t="str">
            <v>初音ミク・アペンド</v>
          </cell>
          <cell r="D1416" t="str">
            <v>初音ミク・アペンド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green</v>
          </cell>
          <cell r="I1416">
            <v>5</v>
          </cell>
          <cell r="J1416" t="str">
            <v>PremiumSSS</v>
          </cell>
          <cell r="K1416" t="str">
            <v>technical</v>
          </cell>
          <cell r="L1416" t="str">
            <v>テクニカルタイプ</v>
          </cell>
          <cell r="M1416" t="str">
            <v>unknown</v>
          </cell>
        </row>
        <row r="1417">
          <cell r="A1417">
            <v>8017</v>
          </cell>
          <cell r="B1417" t="str">
            <v>ja</v>
          </cell>
          <cell r="C1417" t="str">
            <v>初音ミク</v>
          </cell>
          <cell r="D1417" t="str">
            <v>初音ミク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green</v>
          </cell>
          <cell r="I1417">
            <v>4</v>
          </cell>
          <cell r="J1417" t="str">
            <v>PremiumSSS</v>
          </cell>
          <cell r="K1417" t="str">
            <v>balance</v>
          </cell>
          <cell r="L1417" t="str">
            <v>バランスタイプ</v>
          </cell>
          <cell r="M1417" t="str">
            <v>unknown</v>
          </cell>
        </row>
        <row r="1418">
          <cell r="A1418">
            <v>8018</v>
          </cell>
          <cell r="B1418" t="str">
            <v>ja</v>
          </cell>
          <cell r="C1418" t="str">
            <v>初音ミク</v>
          </cell>
          <cell r="D1418" t="str">
            <v>初音ミク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unknown</v>
          </cell>
        </row>
        <row r="1419">
          <cell r="A1419">
            <v>8019</v>
          </cell>
          <cell r="B1419" t="str">
            <v>ja</v>
          </cell>
          <cell r="C1419" t="str">
            <v>鏡音リン</v>
          </cell>
          <cell r="D1419" t="str">
            <v>鏡音リン</v>
          </cell>
          <cell r="E1419" t="str">
            <v>執行者</v>
          </cell>
          <cell r="F1419" t="str">
            <v>格好いい</v>
          </cell>
          <cell r="G1419" t="str">
            <v>男性</v>
          </cell>
          <cell r="H1419" t="str">
            <v>yellow</v>
          </cell>
          <cell r="I1419">
            <v>4</v>
          </cell>
          <cell r="J1419" t="str">
            <v>PremiumSS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8020</v>
          </cell>
          <cell r="B1420" t="str">
            <v>ja</v>
          </cell>
          <cell r="C1420" t="str">
            <v>鏡音リン</v>
          </cell>
          <cell r="D1420" t="str">
            <v>鏡音リン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8021</v>
          </cell>
          <cell r="B1421" t="str">
            <v>ja</v>
          </cell>
          <cell r="C1421" t="str">
            <v>鏡音レン</v>
          </cell>
          <cell r="D1421" t="str">
            <v>鏡音レン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yellow</v>
          </cell>
          <cell r="I1421">
            <v>4</v>
          </cell>
          <cell r="J1421" t="str">
            <v>PremiumSS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8022</v>
          </cell>
          <cell r="B1422" t="str">
            <v>ja</v>
          </cell>
          <cell r="C1422" t="str">
            <v>鏡音レン</v>
          </cell>
          <cell r="D1422" t="str">
            <v>鏡音レン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heal</v>
          </cell>
          <cell r="L1422" t="str">
            <v>回復タイプ</v>
          </cell>
          <cell r="M1422" t="str">
            <v>unknown</v>
          </cell>
        </row>
        <row r="1423">
          <cell r="A1423">
            <v>8023</v>
          </cell>
          <cell r="B1423" t="str">
            <v>ja</v>
          </cell>
          <cell r="C1423" t="str">
            <v>巡音ルカ</v>
          </cell>
          <cell r="D1423" t="str">
            <v>巡音ルカ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3</v>
          </cell>
          <cell r="J1423" t="str">
            <v>PremiumS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8024</v>
          </cell>
          <cell r="B1424" t="str">
            <v>ja</v>
          </cell>
          <cell r="C1424" t="str">
            <v>巡音ルカ</v>
          </cell>
          <cell r="D1424" t="str">
            <v>巡音ルカ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red</v>
          </cell>
          <cell r="I1424">
            <v>4</v>
          </cell>
          <cell r="J1424" t="str">
            <v>PremiumS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8025</v>
          </cell>
          <cell r="B1425" t="str">
            <v>ja</v>
          </cell>
          <cell r="C1425" t="str">
            <v>MEIKO</v>
          </cell>
          <cell r="D1425" t="str">
            <v>MEIKO</v>
          </cell>
          <cell r="E1425" t="str">
            <v>執行者</v>
          </cell>
          <cell r="F1425" t="str">
            <v>格好いい</v>
          </cell>
          <cell r="G1425" t="str">
            <v>男性</v>
          </cell>
          <cell r="H1425" t="str">
            <v>red</v>
          </cell>
          <cell r="I1425">
            <v>3</v>
          </cell>
          <cell r="J1425" t="str">
            <v>PremiumS</v>
          </cell>
          <cell r="K1425" t="str">
            <v>hp</v>
          </cell>
          <cell r="L1425" t="str">
            <v>体力タイプ</v>
          </cell>
          <cell r="M1425" t="str">
            <v>unknown</v>
          </cell>
        </row>
        <row r="1426">
          <cell r="A1426">
            <v>8026</v>
          </cell>
          <cell r="B1426" t="str">
            <v>ja</v>
          </cell>
          <cell r="C1426" t="str">
            <v>MEIKO</v>
          </cell>
          <cell r="D1426" t="str">
            <v>MEIKO</v>
          </cell>
          <cell r="E1426" t="str">
            <v>執行者</v>
          </cell>
          <cell r="F1426" t="str">
            <v>格好いい</v>
          </cell>
          <cell r="G1426" t="str">
            <v>男性</v>
          </cell>
          <cell r="H1426" t="str">
            <v>red</v>
          </cell>
          <cell r="I1426">
            <v>4</v>
          </cell>
          <cell r="J1426" t="str">
            <v>PremiumS</v>
          </cell>
          <cell r="K1426" t="str">
            <v>hp</v>
          </cell>
          <cell r="L1426" t="str">
            <v>体力タイプ</v>
          </cell>
          <cell r="M1426" t="str">
            <v>unknown</v>
          </cell>
        </row>
        <row r="1427">
          <cell r="A1427">
            <v>8027</v>
          </cell>
          <cell r="B1427" t="str">
            <v>ja</v>
          </cell>
          <cell r="C1427" t="str">
            <v>KAITO</v>
          </cell>
          <cell r="D1427" t="str">
            <v>KAITO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3</v>
          </cell>
          <cell r="J1427" t="str">
            <v>PremiumS</v>
          </cell>
          <cell r="K1427" t="str">
            <v>technical</v>
          </cell>
          <cell r="L1427" t="str">
            <v>テクニカルタイプ</v>
          </cell>
          <cell r="M1427" t="str">
            <v>unknown</v>
          </cell>
        </row>
        <row r="1428">
          <cell r="A1428">
            <v>8028</v>
          </cell>
          <cell r="B1428" t="str">
            <v>ja</v>
          </cell>
          <cell r="C1428" t="str">
            <v>KAITO</v>
          </cell>
          <cell r="D1428" t="str">
            <v>KAITO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blue</v>
          </cell>
          <cell r="I1428">
            <v>4</v>
          </cell>
          <cell r="J1428" t="str">
            <v>PremiumS</v>
          </cell>
          <cell r="K1428" t="str">
            <v>technical</v>
          </cell>
          <cell r="L1428" t="str">
            <v>テクニカルタイプ</v>
          </cell>
          <cell r="M1428" t="str">
            <v>unknown</v>
          </cell>
        </row>
        <row r="1429">
          <cell r="A1429">
            <v>8029</v>
          </cell>
          <cell r="B1429" t="str">
            <v>ja</v>
          </cell>
          <cell r="C1429" t="str">
            <v>Expoミク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blue</v>
          </cell>
          <cell r="I1429">
            <v>4</v>
          </cell>
          <cell r="J1429" t="str">
            <v>Drop2N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8030</v>
          </cell>
          <cell r="B1430" t="str">
            <v>ja</v>
          </cell>
          <cell r="C1430" t="str">
            <v>Expoミク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Drop2N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8031</v>
          </cell>
          <cell r="B1431" t="str">
            <v>ja</v>
          </cell>
          <cell r="C1431" t="str">
            <v>閻羅王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balance</v>
          </cell>
          <cell r="L1431" t="str">
            <v>バランスタイプ</v>
          </cell>
          <cell r="M1431" t="str">
            <v>god</v>
          </cell>
        </row>
        <row r="1432">
          <cell r="A1432">
            <v>8032</v>
          </cell>
          <cell r="B1432" t="str">
            <v>ja</v>
          </cell>
          <cell r="C1432" t="str">
            <v>六道輪廻の絶獄 閻羅王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8033</v>
          </cell>
          <cell r="B1433" t="str">
            <v>ja</v>
          </cell>
          <cell r="C1433" t="str">
            <v>牛頭馬面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green</v>
          </cell>
          <cell r="I1433">
            <v>5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god</v>
          </cell>
        </row>
        <row r="1434">
          <cell r="A1434">
            <v>8034</v>
          </cell>
          <cell r="B1434" t="str">
            <v>ja</v>
          </cell>
          <cell r="C1434" t="str">
            <v>冥府狩る魂使 牛頭馬面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6</v>
          </cell>
          <cell r="J1434" t="str">
            <v>DropWizS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8035</v>
          </cell>
          <cell r="B1435" t="str">
            <v>ja</v>
          </cell>
          <cell r="C1435" t="str">
            <v>飛衛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blue</v>
          </cell>
          <cell r="I1435">
            <v>5</v>
          </cell>
          <cell r="J1435" t="str">
            <v>PremiumSS</v>
          </cell>
          <cell r="K1435" t="str">
            <v>heal</v>
          </cell>
          <cell r="L1435" t="str">
            <v>回復タイプ</v>
          </cell>
          <cell r="M1435" t="str">
            <v>human</v>
          </cell>
        </row>
        <row r="1436">
          <cell r="A1436">
            <v>8036</v>
          </cell>
          <cell r="B1436" t="str">
            <v>ja</v>
          </cell>
          <cell r="C1436" t="str">
            <v>レア６飛衛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6</v>
          </cell>
          <cell r="J1436" t="str">
            <v>PremiumSS</v>
          </cell>
          <cell r="K1436" t="str">
            <v>heal</v>
          </cell>
          <cell r="L1436" t="str">
            <v>回復タイプ</v>
          </cell>
          <cell r="M1436" t="str">
            <v>human</v>
          </cell>
        </row>
        <row r="1437">
          <cell r="A1437">
            <v>8037</v>
          </cell>
          <cell r="B1437" t="str">
            <v>ja</v>
          </cell>
          <cell r="C1437" t="str">
            <v>紀昌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red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human</v>
          </cell>
        </row>
        <row r="1438">
          <cell r="A1438">
            <v>8038</v>
          </cell>
          <cell r="B1438" t="str">
            <v>ja</v>
          </cell>
          <cell r="C1438" t="str">
            <v>レア６紀昌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human</v>
          </cell>
        </row>
        <row r="1439">
          <cell r="A1439">
            <v>8039</v>
          </cell>
          <cell r="B1439" t="str">
            <v>ja</v>
          </cell>
          <cell r="C1439" t="str">
            <v>何仙姑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yellow</v>
          </cell>
          <cell r="I1439">
            <v>5</v>
          </cell>
          <cell r="J1439" t="str">
            <v>PremiumSSw</v>
          </cell>
          <cell r="K1439" t="str">
            <v>hp</v>
          </cell>
          <cell r="L1439" t="str">
            <v>体力タイプ</v>
          </cell>
          <cell r="M1439" t="str">
            <v>god</v>
          </cell>
        </row>
        <row r="1440">
          <cell r="A1440">
            <v>8040</v>
          </cell>
          <cell r="B1440" t="str">
            <v>ja</v>
          </cell>
          <cell r="C1440" t="str">
            <v>レア６何仙姑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6</v>
          </cell>
          <cell r="J1440" t="str">
            <v>PremiumSSw</v>
          </cell>
          <cell r="K1440" t="str">
            <v>hp</v>
          </cell>
          <cell r="L1440" t="str">
            <v>体力タイプ</v>
          </cell>
          <cell r="M1440" t="str">
            <v>god</v>
          </cell>
        </row>
        <row r="1441">
          <cell r="A1441">
            <v>8041</v>
          </cell>
          <cell r="B1441" t="str">
            <v>ja</v>
          </cell>
          <cell r="C1441" t="str">
            <v>藍采和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balance</v>
          </cell>
          <cell r="L1441" t="str">
            <v>バランスタイプ</v>
          </cell>
          <cell r="M1441" t="str">
            <v>god</v>
          </cell>
        </row>
        <row r="1442">
          <cell r="A1442">
            <v>8042</v>
          </cell>
          <cell r="B1442" t="str">
            <v>ja</v>
          </cell>
          <cell r="C1442" t="str">
            <v>レア６藍采和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balance</v>
          </cell>
          <cell r="L1442" t="str">
            <v>バランスタイプ</v>
          </cell>
          <cell r="M1442" t="str">
            <v>god</v>
          </cell>
        </row>
        <row r="1443">
          <cell r="A1443">
            <v>8043</v>
          </cell>
          <cell r="B1443" t="str">
            <v>ja</v>
          </cell>
          <cell r="C1443" t="str">
            <v>サンリオキャラ大集合+アザゼル</v>
          </cell>
          <cell r="D1443" t="str">
            <v>サンリオキャラ大集合+アザゼル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green</v>
          </cell>
          <cell r="I1443">
            <v>5</v>
          </cell>
          <cell r="J1443" t="str">
            <v>DropWizS</v>
          </cell>
          <cell r="K1443" t="str">
            <v>technical</v>
          </cell>
          <cell r="L1443" t="str">
            <v>テクニカルタイプ</v>
          </cell>
          <cell r="M1443" t="str">
            <v>ss</v>
          </cell>
        </row>
        <row r="1444">
          <cell r="A1444">
            <v>8044</v>
          </cell>
          <cell r="B1444" t="str">
            <v>ja</v>
          </cell>
          <cell r="C1444" t="str">
            <v>サンリオキャラ大集合+アザゼル</v>
          </cell>
          <cell r="D1444" t="str">
            <v>サンリオキャラ大集合+アザゼル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green</v>
          </cell>
          <cell r="I1444">
            <v>6</v>
          </cell>
          <cell r="J1444" t="str">
            <v>DropWizS</v>
          </cell>
          <cell r="K1444" t="str">
            <v>technical</v>
          </cell>
          <cell r="L1444" t="str">
            <v>テクニカルタイプ</v>
          </cell>
          <cell r="M1444" t="str">
            <v>ss</v>
          </cell>
        </row>
        <row r="1445">
          <cell r="A1445">
            <v>8045</v>
          </cell>
          <cell r="B1445" t="str">
            <v>ja</v>
          </cell>
          <cell r="C1445" t="str">
            <v>ニムダ_サンリオキャラ混じり</v>
          </cell>
          <cell r="D1445" t="str">
            <v>ニムダ_サンリオキャラ混じり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yellow</v>
          </cell>
          <cell r="I1445">
            <v>4</v>
          </cell>
          <cell r="J1445" t="str">
            <v>Drop2N</v>
          </cell>
          <cell r="K1445" t="str">
            <v>technical</v>
          </cell>
          <cell r="L1445" t="str">
            <v>テクニカルタイプ</v>
          </cell>
          <cell r="M1445" t="str">
            <v>ss</v>
          </cell>
        </row>
        <row r="1446">
          <cell r="A1446">
            <v>8046</v>
          </cell>
          <cell r="B1446" t="str">
            <v>ja</v>
          </cell>
          <cell r="C1446" t="str">
            <v>ニムダ_サンリオキャラ混じり</v>
          </cell>
          <cell r="D1446" t="str">
            <v>ニムダ_サンリオキャラ混じり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yellow</v>
          </cell>
          <cell r="I1446">
            <v>5</v>
          </cell>
          <cell r="J1446" t="str">
            <v>Drop2N</v>
          </cell>
          <cell r="K1446" t="str">
            <v>technical</v>
          </cell>
          <cell r="L1446" t="str">
            <v>テクニカルタイプ</v>
          </cell>
          <cell r="M1446" t="str">
            <v>ss</v>
          </cell>
        </row>
        <row r="1447">
          <cell r="A1447">
            <v>8047</v>
          </cell>
          <cell r="B1447" t="str">
            <v>ja</v>
          </cell>
          <cell r="C1447" t="str">
            <v>ハローキティ</v>
          </cell>
          <cell r="D1447" t="str">
            <v>ハローキティ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balance</v>
          </cell>
          <cell r="L1447" t="str">
            <v>バランスタイプ</v>
          </cell>
          <cell r="M1447" t="str">
            <v>ss</v>
          </cell>
        </row>
        <row r="1448">
          <cell r="A1448">
            <v>8048</v>
          </cell>
          <cell r="B1448" t="str">
            <v>ja</v>
          </cell>
          <cell r="C1448" t="str">
            <v>ハローキティ</v>
          </cell>
          <cell r="D1448" t="str">
            <v>ハローキティ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Drop2N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8049</v>
          </cell>
          <cell r="B1449" t="str">
            <v>ja</v>
          </cell>
          <cell r="C1449" t="str">
            <v>KIRIMIちゃん</v>
          </cell>
          <cell r="D1449" t="str">
            <v>KIRIMIちゃん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4</v>
          </cell>
          <cell r="J1449" t="str">
            <v>Drop2N</v>
          </cell>
          <cell r="K1449" t="str">
            <v>hp</v>
          </cell>
          <cell r="L1449" t="str">
            <v>体力タイプ</v>
          </cell>
          <cell r="M1449" t="str">
            <v>ss</v>
          </cell>
        </row>
        <row r="1450">
          <cell r="A1450">
            <v>8050</v>
          </cell>
          <cell r="B1450" t="str">
            <v>ja</v>
          </cell>
          <cell r="C1450" t="str">
            <v>KIRIMIちゃん</v>
          </cell>
          <cell r="D1450" t="str">
            <v>KIRIMIちゃん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Drop2N</v>
          </cell>
          <cell r="K1450" t="str">
            <v>hp</v>
          </cell>
          <cell r="L1450" t="str">
            <v>体力タイプ</v>
          </cell>
          <cell r="M1450" t="str">
            <v>ss</v>
          </cell>
        </row>
        <row r="1451">
          <cell r="A1451">
            <v>8051</v>
          </cell>
          <cell r="B1451" t="str">
            <v>ja</v>
          </cell>
          <cell r="C1451" t="str">
            <v>ハローキティのリボン</v>
          </cell>
          <cell r="D1451" t="str">
            <v>ハローキティのリボン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Drop2N</v>
          </cell>
          <cell r="K1451" t="str">
            <v>evolution</v>
          </cell>
          <cell r="L1451" t="str">
            <v>覚醒素材タイプ</v>
          </cell>
          <cell r="M1451" t="str">
            <v>ss</v>
          </cell>
        </row>
        <row r="1452">
          <cell r="A1452">
            <v>8052</v>
          </cell>
          <cell r="B1452" t="str">
            <v>ja</v>
          </cell>
          <cell r="C1452" t="str">
            <v>ママの作ったアップルパイ</v>
          </cell>
          <cell r="D1452" t="str">
            <v>ママの作ったアップルパイ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red</v>
          </cell>
          <cell r="I1452">
            <v>4</v>
          </cell>
          <cell r="J1452" t="str">
            <v>Drop2N</v>
          </cell>
          <cell r="K1452" t="str">
            <v>evolution</v>
          </cell>
          <cell r="L1452" t="str">
            <v>覚醒素材タイプ</v>
          </cell>
          <cell r="M1452" t="str">
            <v>ss</v>
          </cell>
        </row>
        <row r="1453">
          <cell r="A1453">
            <v>8053</v>
          </cell>
          <cell r="B1453" t="str">
            <v>ja</v>
          </cell>
          <cell r="C1453" t="str">
            <v>D.R.T.H__キティコスプレ</v>
          </cell>
          <cell r="D1453" t="str">
            <v>D.R.T.H__キティコスプレ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8054</v>
          </cell>
          <cell r="B1454" t="str">
            <v>ja</v>
          </cell>
          <cell r="C1454" t="str">
            <v>D.R.T.H__キティコスプレ</v>
          </cell>
          <cell r="D1454" t="str">
            <v>D.R.T.H__キティコスプレ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balance</v>
          </cell>
          <cell r="L1454" t="str">
            <v>バランスタイプ</v>
          </cell>
          <cell r="M1454" t="str">
            <v>ss</v>
          </cell>
        </row>
        <row r="1455">
          <cell r="A1455">
            <v>8055</v>
          </cell>
          <cell r="B1455" t="str">
            <v>ja</v>
          </cell>
          <cell r="C1455" t="str">
            <v>マイメロディ</v>
          </cell>
          <cell r="D1455" t="str">
            <v>マイメロディ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4</v>
          </cell>
          <cell r="J1455" t="str">
            <v>PremiumS</v>
          </cell>
          <cell r="K1455" t="str">
            <v>attack</v>
          </cell>
          <cell r="L1455" t="str">
            <v>攻撃タイプ</v>
          </cell>
          <cell r="M1455" t="str">
            <v>ss</v>
          </cell>
        </row>
        <row r="1456">
          <cell r="A1456">
            <v>8056</v>
          </cell>
          <cell r="B1456" t="str">
            <v>ja</v>
          </cell>
          <cell r="C1456" t="str">
            <v>マイメロディ</v>
          </cell>
          <cell r="D1456" t="str">
            <v>マイメロディ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ss</v>
          </cell>
        </row>
        <row r="1457">
          <cell r="A1457">
            <v>8057</v>
          </cell>
          <cell r="B1457" t="str">
            <v>ja</v>
          </cell>
          <cell r="C1457" t="str">
            <v>ニーベルゲン_シナモロールコスプレ</v>
          </cell>
          <cell r="D1457" t="str">
            <v>ニーベルゲン_シナモロールコスプレ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8058</v>
          </cell>
          <cell r="B1458" t="str">
            <v>ja</v>
          </cell>
          <cell r="C1458" t="str">
            <v>ニーベルゲン_シナモロールコスプレ</v>
          </cell>
          <cell r="D1458" t="str">
            <v>ニーベルゲン_シナモロールコスプレ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green</v>
          </cell>
          <cell r="I1458">
            <v>5</v>
          </cell>
          <cell r="J1458" t="str">
            <v>PremiumS</v>
          </cell>
          <cell r="K1458" t="str">
            <v>balance</v>
          </cell>
          <cell r="L1458" t="str">
            <v>バランスタイプ</v>
          </cell>
          <cell r="M1458" t="str">
            <v>ss</v>
          </cell>
        </row>
        <row r="1459">
          <cell r="A1459">
            <v>8059</v>
          </cell>
          <cell r="B1459" t="str">
            <v>ja</v>
          </cell>
          <cell r="C1459" t="str">
            <v>カカシ_マイメロディコスプレ</v>
          </cell>
          <cell r="D1459" t="str">
            <v>カカシ_マイメロディコスプレ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green</v>
          </cell>
          <cell r="I1459">
            <v>4</v>
          </cell>
          <cell r="J1459" t="str">
            <v>PremiumS</v>
          </cell>
          <cell r="K1459" t="str">
            <v>technical</v>
          </cell>
          <cell r="L1459" t="str">
            <v>テクニカルタイプ</v>
          </cell>
          <cell r="M1459" t="str">
            <v>ss</v>
          </cell>
        </row>
        <row r="1460">
          <cell r="A1460">
            <v>8060</v>
          </cell>
          <cell r="B1460" t="str">
            <v>ja</v>
          </cell>
          <cell r="C1460" t="str">
            <v>カカシ_マイメロディコスプレ</v>
          </cell>
          <cell r="D1460" t="str">
            <v>カカシ_マイメロディコスプレ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green</v>
          </cell>
          <cell r="I1460">
            <v>5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8061</v>
          </cell>
          <cell r="B1461" t="str">
            <v>ja</v>
          </cell>
          <cell r="C1461" t="str">
            <v>ケロケロけろっぴ</v>
          </cell>
          <cell r="D1461" t="str">
            <v>ケロケロけろっぴ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green</v>
          </cell>
          <cell r="I1461">
            <v>3</v>
          </cell>
          <cell r="J1461" t="str">
            <v>PremiumS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8062</v>
          </cell>
          <cell r="B1462" t="str">
            <v>ja</v>
          </cell>
          <cell r="C1462" t="str">
            <v>ケロケロけろっぴ</v>
          </cell>
          <cell r="D1462" t="str">
            <v>ケロケロけろっぴ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green</v>
          </cell>
          <cell r="I1462">
            <v>4</v>
          </cell>
          <cell r="J1462" t="str">
            <v>PremiumS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8063</v>
          </cell>
          <cell r="B1463" t="str">
            <v>ja</v>
          </cell>
          <cell r="C1463" t="str">
            <v>モルドレッド_ポムポムプリンコスプレ</v>
          </cell>
          <cell r="D1463" t="str">
            <v>モルドレッド_ポムポムプリンコスプレ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5</v>
          </cell>
          <cell r="J1463" t="str">
            <v>PremiumSS</v>
          </cell>
          <cell r="K1463" t="str">
            <v>heal</v>
          </cell>
          <cell r="L1463" t="str">
            <v>回復タイプ</v>
          </cell>
          <cell r="M1463" t="str">
            <v>ss</v>
          </cell>
        </row>
        <row r="1464">
          <cell r="A1464">
            <v>8064</v>
          </cell>
          <cell r="B1464" t="str">
            <v>ja</v>
          </cell>
          <cell r="C1464" t="str">
            <v>モルドレッド_ポムポムプリンコスプレ</v>
          </cell>
          <cell r="D1464" t="str">
            <v>モルドレッド_ポムポムプリンコスプレ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6</v>
          </cell>
          <cell r="J1464" t="str">
            <v>PremiumSS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8065</v>
          </cell>
          <cell r="B1465" t="str">
            <v>ja</v>
          </cell>
          <cell r="C1465" t="str">
            <v>クロミ</v>
          </cell>
          <cell r="D1465" t="str">
            <v>クロミ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3</v>
          </cell>
          <cell r="J1465" t="str">
            <v>PremiumS</v>
          </cell>
          <cell r="K1465" t="str">
            <v>technical</v>
          </cell>
          <cell r="L1465" t="str">
            <v>テクニカルタイプ</v>
          </cell>
          <cell r="M1465" t="str">
            <v>ss</v>
          </cell>
        </row>
        <row r="1466">
          <cell r="A1466">
            <v>8066</v>
          </cell>
          <cell r="B1466" t="str">
            <v>ja</v>
          </cell>
          <cell r="C1466" t="str">
            <v>クロミ</v>
          </cell>
          <cell r="D1466" t="str">
            <v>クロミ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blue</v>
          </cell>
          <cell r="I1466">
            <v>4</v>
          </cell>
          <cell r="J1466" t="str">
            <v>PremiumS</v>
          </cell>
          <cell r="K1466" t="str">
            <v>technical</v>
          </cell>
          <cell r="L1466" t="str">
            <v>テクニカルタイプ</v>
          </cell>
          <cell r="M1466" t="str">
            <v>ss</v>
          </cell>
        </row>
        <row r="1467">
          <cell r="A1467">
            <v>8067</v>
          </cell>
          <cell r="B1467" t="str">
            <v>ja</v>
          </cell>
          <cell r="C1467" t="str">
            <v>バッドばつ丸</v>
          </cell>
          <cell r="D1467" t="str">
            <v>バッドばつ丸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blue</v>
          </cell>
          <cell r="I1467">
            <v>3</v>
          </cell>
          <cell r="J1467" t="str">
            <v>PremiumS</v>
          </cell>
          <cell r="K1467" t="str">
            <v>attack</v>
          </cell>
          <cell r="L1467" t="str">
            <v>攻撃タイプ</v>
          </cell>
          <cell r="M1467" t="str">
            <v>ss</v>
          </cell>
        </row>
        <row r="1468">
          <cell r="A1468">
            <v>8068</v>
          </cell>
          <cell r="B1468" t="str">
            <v>ja</v>
          </cell>
          <cell r="C1468" t="str">
            <v>バッドばつ丸</v>
          </cell>
          <cell r="D1468" t="str">
            <v>バッドばつ丸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4</v>
          </cell>
          <cell r="J1468" t="str">
            <v>PremiumS</v>
          </cell>
          <cell r="K1468" t="str">
            <v>attack</v>
          </cell>
          <cell r="L1468" t="str">
            <v>攻撃タイプ</v>
          </cell>
          <cell r="M1468" t="str">
            <v>ss</v>
          </cell>
        </row>
        <row r="1469">
          <cell r="A1469">
            <v>8069</v>
          </cell>
          <cell r="B1469" t="str">
            <v>ja</v>
          </cell>
          <cell r="C1469" t="str">
            <v>シナモロール</v>
          </cell>
          <cell r="D1469" t="str">
            <v>シナモロール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yellow</v>
          </cell>
          <cell r="I1469">
            <v>4</v>
          </cell>
          <cell r="J1469" t="str">
            <v>PremiumS</v>
          </cell>
          <cell r="K1469" t="str">
            <v>heal</v>
          </cell>
          <cell r="L1469" t="str">
            <v>回復タイプ</v>
          </cell>
          <cell r="M1469" t="str">
            <v>ss</v>
          </cell>
        </row>
        <row r="1470">
          <cell r="A1470">
            <v>8070</v>
          </cell>
          <cell r="B1470" t="str">
            <v>ja</v>
          </cell>
          <cell r="C1470" t="str">
            <v>シナモロール</v>
          </cell>
          <cell r="D1470" t="str">
            <v>シナモロール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yellow</v>
          </cell>
          <cell r="I1470">
            <v>5</v>
          </cell>
          <cell r="J1470" t="str">
            <v>PremiumS</v>
          </cell>
          <cell r="K1470" t="str">
            <v>heal</v>
          </cell>
          <cell r="L1470" t="str">
            <v>回復タイプ</v>
          </cell>
          <cell r="M1470" t="str">
            <v>ss</v>
          </cell>
        </row>
        <row r="1471">
          <cell r="A1471">
            <v>8071</v>
          </cell>
          <cell r="B1471" t="str">
            <v>ja</v>
          </cell>
          <cell r="C1471" t="str">
            <v>ポムポムプリン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3</v>
          </cell>
          <cell r="J1471" t="str">
            <v>PremiumS</v>
          </cell>
          <cell r="K1471" t="str">
            <v>hp</v>
          </cell>
          <cell r="L1471" t="str">
            <v>体力タイプ</v>
          </cell>
          <cell r="M1471" t="str">
            <v>ss</v>
          </cell>
        </row>
        <row r="1472">
          <cell r="A1472">
            <v>8072</v>
          </cell>
          <cell r="B1472" t="str">
            <v>ja</v>
          </cell>
          <cell r="C1472" t="str">
            <v>ポムポムプリン</v>
          </cell>
          <cell r="D1472" t="str">
            <v>ポムポムプリン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4</v>
          </cell>
          <cell r="J1472" t="str">
            <v>PremiumS</v>
          </cell>
          <cell r="K1472" t="str">
            <v>hp</v>
          </cell>
          <cell r="L1472" t="str">
            <v>体力タイプ</v>
          </cell>
          <cell r="M1472" t="str">
            <v>ss</v>
          </cell>
        </row>
        <row r="1473">
          <cell r="A1473">
            <v>8073</v>
          </cell>
          <cell r="B1473" t="str">
            <v>ja</v>
          </cell>
          <cell r="C1473" t="str">
            <v>媽祖_超覚醒</v>
          </cell>
          <cell r="D1473" t="str">
            <v>Expoミク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attack</v>
          </cell>
          <cell r="L1473" t="str">
            <v>攻撃タイプ</v>
          </cell>
          <cell r="M1473" t="str">
            <v>human</v>
          </cell>
        </row>
        <row r="1474">
          <cell r="A1474">
            <v>8074</v>
          </cell>
          <cell r="B1474" t="str">
            <v>ja</v>
          </cell>
          <cell r="C1474" t="str">
            <v>蛟龍_超覚醒</v>
          </cell>
          <cell r="D1474" t="str">
            <v>Expoミク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blue</v>
          </cell>
          <cell r="I1474">
            <v>6</v>
          </cell>
          <cell r="J1474" t="str">
            <v>DropWizS</v>
          </cell>
          <cell r="K1474" t="str">
            <v>hp</v>
          </cell>
          <cell r="L1474" t="str">
            <v>体力タイプ</v>
          </cell>
          <cell r="M1474" t="str">
            <v>dragon</v>
          </cell>
        </row>
        <row r="1475">
          <cell r="A1475">
            <v>8075</v>
          </cell>
          <cell r="B1475" t="str">
            <v>ja</v>
          </cell>
          <cell r="C1475" t="str">
            <v>三蔵法師_超覚醒</v>
          </cell>
          <cell r="D1475" t="str">
            <v>Expoミク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blue</v>
          </cell>
          <cell r="I1475">
            <v>6</v>
          </cell>
          <cell r="J1475" t="str">
            <v>PremiumSS</v>
          </cell>
          <cell r="K1475" t="str">
            <v>balance</v>
          </cell>
          <cell r="L1475" t="str">
            <v>バランスタイプ</v>
          </cell>
          <cell r="M1475" t="str">
            <v>human</v>
          </cell>
        </row>
        <row r="1476">
          <cell r="A1476">
            <v>8076</v>
          </cell>
          <cell r="B1476" t="str">
            <v>ja</v>
          </cell>
          <cell r="C1476" t="str">
            <v>孫悟空_超覚醒</v>
          </cell>
          <cell r="D1476" t="str">
            <v>Expoミク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red</v>
          </cell>
          <cell r="I1476">
            <v>6</v>
          </cell>
          <cell r="J1476" t="str">
            <v>DropWizS</v>
          </cell>
          <cell r="K1476" t="str">
            <v>attack</v>
          </cell>
          <cell r="L1476" t="str">
            <v>攻撃タイプ</v>
          </cell>
          <cell r="M1476" t="str">
            <v>animal</v>
          </cell>
        </row>
        <row r="1477">
          <cell r="A1477">
            <v>8077</v>
          </cell>
          <cell r="B1477" t="str">
            <v>ja</v>
          </cell>
          <cell r="C1477" t="str">
            <v>鄭成功</v>
          </cell>
          <cell r="D1477" t="str">
            <v>ポムポムプリン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blue</v>
          </cell>
          <cell r="I1477">
            <v>5</v>
          </cell>
          <cell r="J1477" t="str">
            <v>PremiumSS</v>
          </cell>
          <cell r="K1477" t="str">
            <v>attack</v>
          </cell>
          <cell r="L1477" t="str">
            <v>攻撃タイプ</v>
          </cell>
          <cell r="M1477" t="str">
            <v>human</v>
          </cell>
        </row>
        <row r="1478">
          <cell r="A1478">
            <v>8078</v>
          </cell>
          <cell r="B1478" t="str">
            <v>ja</v>
          </cell>
          <cell r="C1478" t="str">
            <v>レア６鄭成功</v>
          </cell>
          <cell r="D1478" t="str">
            <v>ポムポムプリン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blue</v>
          </cell>
          <cell r="I1478">
            <v>6</v>
          </cell>
          <cell r="J1478" t="str">
            <v>PremiumSS</v>
          </cell>
          <cell r="K1478" t="str">
            <v>attack</v>
          </cell>
          <cell r="L1478" t="str">
            <v>攻撃タイプ</v>
          </cell>
          <cell r="M1478" t="str">
            <v>human</v>
          </cell>
        </row>
        <row r="1479">
          <cell r="A1479">
            <v>8079</v>
          </cell>
          <cell r="B1479" t="str">
            <v>ja</v>
          </cell>
          <cell r="C1479" t="str">
            <v>赤鬼</v>
          </cell>
          <cell r="D1479" t="str">
            <v>ポムポムプリン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red</v>
          </cell>
          <cell r="I1479">
            <v>5</v>
          </cell>
          <cell r="J1479" t="str">
            <v>DropWizS</v>
          </cell>
          <cell r="K1479" t="str">
            <v>hp</v>
          </cell>
          <cell r="L1479" t="str">
            <v>体力タイプ</v>
          </cell>
          <cell r="M1479" t="str">
            <v>dragon</v>
          </cell>
        </row>
        <row r="1480">
          <cell r="A1480">
            <v>8080</v>
          </cell>
          <cell r="B1480" t="str">
            <v>ja</v>
          </cell>
          <cell r="C1480" t="str">
            <v>レア６赤鬼</v>
          </cell>
          <cell r="D1480" t="str">
            <v>ポムポムプリン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red</v>
          </cell>
          <cell r="I1480">
            <v>6</v>
          </cell>
          <cell r="J1480" t="str">
            <v>DropWizS</v>
          </cell>
          <cell r="K1480" t="str">
            <v>hp</v>
          </cell>
          <cell r="L1480" t="str">
            <v>体力タイプ</v>
          </cell>
          <cell r="M1480" t="str">
            <v>dragon</v>
          </cell>
        </row>
        <row r="1481">
          <cell r="A1481">
            <v>8095</v>
          </cell>
          <cell r="B1481" t="str">
            <v>ja</v>
          </cell>
          <cell r="C1481" t="str">
            <v>バハムートダック赤</v>
          </cell>
          <cell r="D1481" t="str">
            <v>ポムポムプリン</v>
          </cell>
          <cell r="E1481" t="str">
            <v>執行者</v>
          </cell>
          <cell r="F1481" t="str">
            <v>格好いい</v>
          </cell>
          <cell r="G1481" t="str">
            <v>女性</v>
          </cell>
          <cell r="H1481" t="str">
            <v>red</v>
          </cell>
          <cell r="I1481">
            <v>6</v>
          </cell>
          <cell r="J1481" t="str">
            <v>Material</v>
          </cell>
          <cell r="K1481" t="str">
            <v>exp</v>
          </cell>
          <cell r="L1481" t="str">
            <v>強化素材タイプ</v>
          </cell>
          <cell r="M1481" t="str">
            <v>unknown</v>
          </cell>
        </row>
        <row r="1482">
          <cell r="A1482">
            <v>8096</v>
          </cell>
          <cell r="B1482" t="str">
            <v>ja</v>
          </cell>
          <cell r="C1482" t="str">
            <v>バハムートダック緑</v>
          </cell>
          <cell r="D1482" t="str">
            <v>ポムポムプリン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green</v>
          </cell>
          <cell r="I1482">
            <v>6</v>
          </cell>
          <cell r="J1482" t="str">
            <v>Material</v>
          </cell>
          <cell r="K1482" t="str">
            <v>exp</v>
          </cell>
          <cell r="L1482" t="str">
            <v>強化素材タイプ</v>
          </cell>
          <cell r="M1482" t="str">
            <v>unknown</v>
          </cell>
        </row>
        <row r="1483">
          <cell r="A1483">
            <v>8097</v>
          </cell>
          <cell r="B1483" t="str">
            <v>ja</v>
          </cell>
          <cell r="C1483" t="str">
            <v>バハムートダック青</v>
          </cell>
          <cell r="D1483" t="str">
            <v>ポムポムプリン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blue</v>
          </cell>
          <cell r="I1483">
            <v>6</v>
          </cell>
          <cell r="J1483" t="str">
            <v>Material</v>
          </cell>
          <cell r="K1483" t="str">
            <v>exp</v>
          </cell>
          <cell r="L1483" t="str">
            <v>強化素材タイプ</v>
          </cell>
          <cell r="M1483" t="str">
            <v>unknown</v>
          </cell>
        </row>
        <row r="1484">
          <cell r="A1484">
            <v>8098</v>
          </cell>
          <cell r="B1484" t="str">
            <v>ja</v>
          </cell>
          <cell r="C1484" t="str">
            <v>バハムートダック黄</v>
          </cell>
          <cell r="D1484" t="str">
            <v>ポムポムプリン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yellow</v>
          </cell>
          <cell r="I1484">
            <v>6</v>
          </cell>
          <cell r="J1484" t="str">
            <v>Material</v>
          </cell>
          <cell r="K1484" t="str">
            <v>exp</v>
          </cell>
          <cell r="L1484" t="str">
            <v>強化素材タイプ</v>
          </cell>
          <cell r="M1484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38" customWidth="1"/>
    <col min="2" max="16384" width="13" style="38"/>
  </cols>
  <sheetData>
    <row r="1" spans="1:13" x14ac:dyDescent="0.15">
      <c r="A1" s="38" t="s">
        <v>50</v>
      </c>
      <c r="B1" s="38" t="s">
        <v>51</v>
      </c>
    </row>
    <row r="2" spans="1:13" x14ac:dyDescent="0.15">
      <c r="A2" s="38" t="s">
        <v>52</v>
      </c>
      <c r="B2" s="38" t="s">
        <v>53</v>
      </c>
      <c r="C2" s="38" t="s">
        <v>54</v>
      </c>
      <c r="D2" s="38" t="s">
        <v>55</v>
      </c>
      <c r="E2" s="38" t="s">
        <v>56</v>
      </c>
      <c r="F2" s="38" t="s">
        <v>57</v>
      </c>
      <c r="G2" s="38" t="s">
        <v>58</v>
      </c>
      <c r="H2" s="38" t="s">
        <v>59</v>
      </c>
    </row>
    <row r="3" spans="1:13" x14ac:dyDescent="0.15">
      <c r="A3" s="38">
        <v>3</v>
      </c>
      <c r="B3" s="39" t="s">
        <v>60</v>
      </c>
      <c r="C3" s="39" t="s">
        <v>61</v>
      </c>
      <c r="D3" s="38">
        <v>0</v>
      </c>
      <c r="E3" s="39" t="s">
        <v>62</v>
      </c>
      <c r="F3" s="38">
        <v>0</v>
      </c>
      <c r="G3" s="38">
        <v>0</v>
      </c>
      <c r="H3" s="40">
        <v>0.5</v>
      </c>
    </row>
    <row r="4" spans="1:13" x14ac:dyDescent="0.15">
      <c r="A4" s="38">
        <v>4</v>
      </c>
      <c r="B4" s="39" t="s">
        <v>63</v>
      </c>
      <c r="C4" s="39" t="s">
        <v>64</v>
      </c>
      <c r="D4" s="39" t="s">
        <v>65</v>
      </c>
      <c r="E4" s="39" t="s">
        <v>66</v>
      </c>
      <c r="F4" s="39" t="s">
        <v>67</v>
      </c>
      <c r="G4" s="38">
        <v>0</v>
      </c>
      <c r="H4" s="40">
        <v>0.45</v>
      </c>
    </row>
    <row r="5" spans="1:13" x14ac:dyDescent="0.15">
      <c r="A5" s="38">
        <v>5</v>
      </c>
      <c r="B5" s="41">
        <v>0</v>
      </c>
      <c r="C5" s="39" t="s">
        <v>68</v>
      </c>
      <c r="D5" s="39" t="s">
        <v>69</v>
      </c>
      <c r="E5" s="39" t="s">
        <v>70</v>
      </c>
      <c r="F5" s="39" t="s">
        <v>71</v>
      </c>
      <c r="G5" s="39" t="s">
        <v>72</v>
      </c>
      <c r="H5" s="40">
        <v>0.05</v>
      </c>
    </row>
    <row r="6" spans="1:13" x14ac:dyDescent="0.15">
      <c r="B6" s="40" t="s">
        <v>73</v>
      </c>
      <c r="C6" s="40" t="s">
        <v>73</v>
      </c>
      <c r="D6" s="40" t="s">
        <v>74</v>
      </c>
      <c r="E6" s="40" t="s">
        <v>73</v>
      </c>
      <c r="F6" s="40" t="s">
        <v>73</v>
      </c>
      <c r="G6" s="42" t="s">
        <v>75</v>
      </c>
      <c r="H6" s="40">
        <v>1</v>
      </c>
    </row>
    <row r="7" spans="1:13" x14ac:dyDescent="0.15">
      <c r="B7" s="40"/>
      <c r="C7" s="40"/>
      <c r="D7" s="40"/>
      <c r="E7" s="40"/>
      <c r="F7" s="40"/>
      <c r="G7" s="42"/>
      <c r="H7" s="40"/>
    </row>
    <row r="8" spans="1:13" x14ac:dyDescent="0.15">
      <c r="A8" s="38" t="s">
        <v>76</v>
      </c>
      <c r="B8" s="40"/>
      <c r="C8" s="40"/>
      <c r="D8" s="40"/>
      <c r="E8" s="40"/>
      <c r="F8" s="40"/>
      <c r="G8" s="42"/>
      <c r="H8" s="40"/>
    </row>
    <row r="9" spans="1:13" x14ac:dyDescent="0.15">
      <c r="A9" s="38" t="s">
        <v>77</v>
      </c>
      <c r="B9" s="40"/>
      <c r="C9" s="40"/>
      <c r="D9" s="40"/>
      <c r="E9" s="40"/>
      <c r="F9" s="40"/>
      <c r="G9" s="42"/>
      <c r="H9" s="40"/>
    </row>
    <row r="10" spans="1:13" x14ac:dyDescent="0.15">
      <c r="A10" s="38" t="s">
        <v>78</v>
      </c>
      <c r="B10" s="40"/>
      <c r="C10" s="40"/>
      <c r="D10" s="40"/>
      <c r="E10" s="40"/>
      <c r="F10" s="40"/>
      <c r="G10" s="42"/>
      <c r="H10" s="40"/>
    </row>
    <row r="11" spans="1:13" x14ac:dyDescent="0.15">
      <c r="A11" s="38" t="s">
        <v>79</v>
      </c>
      <c r="B11" s="40"/>
      <c r="C11" s="40"/>
      <c r="D11" s="40"/>
      <c r="E11" s="40"/>
      <c r="F11" s="40"/>
      <c r="G11" s="42"/>
      <c r="H11" s="40"/>
    </row>
    <row r="12" spans="1:13" x14ac:dyDescent="0.15">
      <c r="A12" s="38" t="s">
        <v>72</v>
      </c>
      <c r="B12" s="40" t="s">
        <v>80</v>
      </c>
      <c r="C12" s="40" t="s">
        <v>81</v>
      </c>
      <c r="D12" s="40"/>
      <c r="E12" s="40"/>
      <c r="F12" s="40"/>
      <c r="G12" s="42"/>
      <c r="H12" s="40"/>
    </row>
    <row r="13" spans="1:13" x14ac:dyDescent="0.15">
      <c r="A13" s="38" t="s">
        <v>82</v>
      </c>
      <c r="B13" s="38" t="s">
        <v>83</v>
      </c>
      <c r="C13" s="38" t="s">
        <v>84</v>
      </c>
    </row>
    <row r="14" spans="1:13" x14ac:dyDescent="0.15">
      <c r="A14" s="38" t="s">
        <v>85</v>
      </c>
      <c r="B14" s="38" t="s">
        <v>80</v>
      </c>
      <c r="C14" s="41" t="s">
        <v>86</v>
      </c>
      <c r="E14" s="41"/>
      <c r="F14" s="41"/>
      <c r="M14" s="40"/>
    </row>
    <row r="15" spans="1:13" x14ac:dyDescent="0.15">
      <c r="A15" s="38" t="s">
        <v>62</v>
      </c>
      <c r="B15" s="40" t="s">
        <v>80</v>
      </c>
      <c r="C15" s="40" t="s">
        <v>87</v>
      </c>
      <c r="H15" s="43"/>
      <c r="M15" s="40"/>
    </row>
    <row r="16" spans="1:13" x14ac:dyDescent="0.15">
      <c r="A16" s="38" t="s">
        <v>66</v>
      </c>
      <c r="B16" s="40" t="s">
        <v>80</v>
      </c>
      <c r="C16" s="40" t="s">
        <v>88</v>
      </c>
      <c r="M16" s="40"/>
    </row>
    <row r="17" spans="1:13" x14ac:dyDescent="0.15">
      <c r="A17" s="38" t="s">
        <v>89</v>
      </c>
      <c r="B17" s="40" t="s">
        <v>80</v>
      </c>
      <c r="C17" s="40" t="s">
        <v>90</v>
      </c>
      <c r="M17" s="40"/>
    </row>
    <row r="18" spans="1:13" x14ac:dyDescent="0.15">
      <c r="B18" s="40"/>
      <c r="C18" s="40"/>
    </row>
    <row r="19" spans="1:13" x14ac:dyDescent="0.15">
      <c r="A19" s="38" t="s">
        <v>91</v>
      </c>
    </row>
    <row r="20" spans="1:13" x14ac:dyDescent="0.15">
      <c r="A20" s="38" t="s">
        <v>92</v>
      </c>
      <c r="B20" s="40"/>
      <c r="C20" s="40"/>
    </row>
    <row r="21" spans="1:13" x14ac:dyDescent="0.15">
      <c r="A21" s="38" t="s">
        <v>93</v>
      </c>
      <c r="B21" s="40" t="s">
        <v>94</v>
      </c>
      <c r="C21" s="40" t="s">
        <v>95</v>
      </c>
      <c r="D21" s="38" t="s">
        <v>96</v>
      </c>
    </row>
    <row r="22" spans="1:13" x14ac:dyDescent="0.15">
      <c r="A22" s="38" t="s">
        <v>97</v>
      </c>
      <c r="B22" s="40" t="s">
        <v>80</v>
      </c>
      <c r="C22" s="40" t="s">
        <v>98</v>
      </c>
      <c r="D22" s="38" t="s">
        <v>99</v>
      </c>
    </row>
    <row r="23" spans="1:13" x14ac:dyDescent="0.15">
      <c r="A23" s="38" t="s">
        <v>100</v>
      </c>
      <c r="B23" s="40" t="s">
        <v>80</v>
      </c>
      <c r="C23" s="38" t="s">
        <v>101</v>
      </c>
      <c r="D23" s="38" t="s">
        <v>102</v>
      </c>
    </row>
    <row r="24" spans="1:13" x14ac:dyDescent="0.15">
      <c r="A24" s="38" t="s">
        <v>103</v>
      </c>
      <c r="B24" s="40" t="s">
        <v>80</v>
      </c>
      <c r="C24" s="40" t="s">
        <v>104</v>
      </c>
      <c r="D24" s="38" t="s">
        <v>105</v>
      </c>
    </row>
    <row r="25" spans="1:13" x14ac:dyDescent="0.15">
      <c r="A25" s="38" t="s">
        <v>106</v>
      </c>
      <c r="B25" s="40" t="s">
        <v>80</v>
      </c>
      <c r="C25" s="40" t="s">
        <v>107</v>
      </c>
      <c r="D25" s="38" t="s">
        <v>108</v>
      </c>
    </row>
    <row r="26" spans="1:13" x14ac:dyDescent="0.15">
      <c r="A26" s="38" t="s">
        <v>109</v>
      </c>
      <c r="B26" s="40" t="s">
        <v>80</v>
      </c>
      <c r="C26" s="40" t="s">
        <v>110</v>
      </c>
      <c r="D26" s="38" t="s">
        <v>111</v>
      </c>
    </row>
    <row r="27" spans="1:13" x14ac:dyDescent="0.15">
      <c r="A27" s="38" t="s">
        <v>112</v>
      </c>
      <c r="B27" s="40" t="s">
        <v>80</v>
      </c>
      <c r="C27" s="40" t="s">
        <v>74</v>
      </c>
      <c r="D27" s="38" t="s">
        <v>113</v>
      </c>
      <c r="E27" s="38" t="s">
        <v>114</v>
      </c>
    </row>
    <row r="28" spans="1:13" x14ac:dyDescent="0.15">
      <c r="A28" s="38" t="s">
        <v>61</v>
      </c>
      <c r="B28" s="40" t="s">
        <v>80</v>
      </c>
      <c r="C28" s="40" t="s">
        <v>115</v>
      </c>
      <c r="E28" s="38" t="s">
        <v>116</v>
      </c>
    </row>
    <row r="29" spans="1:13" x14ac:dyDescent="0.15">
      <c r="A29" s="38" t="s">
        <v>64</v>
      </c>
      <c r="B29" s="40" t="s">
        <v>80</v>
      </c>
      <c r="C29" s="40" t="s">
        <v>117</v>
      </c>
    </row>
    <row r="30" spans="1:13" x14ac:dyDescent="0.15">
      <c r="B30" s="40"/>
    </row>
    <row r="31" spans="1:13" x14ac:dyDescent="0.15">
      <c r="A31" s="38" t="s">
        <v>118</v>
      </c>
    </row>
    <row r="32" spans="1:13" x14ac:dyDescent="0.15">
      <c r="A32" s="38" t="s">
        <v>119</v>
      </c>
      <c r="B32" s="40" t="s">
        <v>80</v>
      </c>
      <c r="C32" s="40" t="s">
        <v>120</v>
      </c>
    </row>
    <row r="33" spans="1:3" x14ac:dyDescent="0.15">
      <c r="A33" s="38" t="s">
        <v>64</v>
      </c>
      <c r="B33" s="40" t="s">
        <v>80</v>
      </c>
      <c r="C33" s="40" t="s">
        <v>121</v>
      </c>
    </row>
    <row r="34" spans="1:3" x14ac:dyDescent="0.15">
      <c r="A34" s="38" t="s">
        <v>61</v>
      </c>
      <c r="B34" s="40" t="s">
        <v>80</v>
      </c>
      <c r="C34" s="40" t="s">
        <v>122</v>
      </c>
    </row>
    <row r="35" spans="1:3" x14ac:dyDescent="0.15">
      <c r="A35" s="38" t="s">
        <v>60</v>
      </c>
      <c r="B35" s="40" t="s">
        <v>80</v>
      </c>
      <c r="C35" s="40" t="s">
        <v>123</v>
      </c>
    </row>
    <row r="36" spans="1:3" x14ac:dyDescent="0.15">
      <c r="A36" s="38" t="s">
        <v>63</v>
      </c>
      <c r="B36" s="40" t="s">
        <v>80</v>
      </c>
      <c r="C36" s="40" t="s">
        <v>124</v>
      </c>
    </row>
    <row r="37" spans="1:3" x14ac:dyDescent="0.15">
      <c r="A37" s="38" t="s">
        <v>69</v>
      </c>
      <c r="B37" s="40" t="s">
        <v>80</v>
      </c>
      <c r="C37" s="40" t="s">
        <v>125</v>
      </c>
    </row>
    <row r="38" spans="1:3" x14ac:dyDescent="0.15">
      <c r="A38" s="38" t="s">
        <v>65</v>
      </c>
      <c r="B38" s="40" t="s">
        <v>80</v>
      </c>
      <c r="C38" s="40" t="s">
        <v>126</v>
      </c>
    </row>
  </sheetData>
  <phoneticPr fontId="18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32" sqref="G32"/>
    </sheetView>
  </sheetViews>
  <sheetFormatPr baseColWidth="12" defaultRowHeight="14" x14ac:dyDescent="0.15"/>
  <sheetData>
    <row r="1" spans="1:1" x14ac:dyDescent="0.15">
      <c r="A1" t="s">
        <v>42</v>
      </c>
    </row>
    <row r="2" spans="1:1" x14ac:dyDescent="0.15">
      <c r="A2" t="s">
        <v>43</v>
      </c>
    </row>
    <row r="3" spans="1:1" x14ac:dyDescent="0.15">
      <c r="A3" t="s">
        <v>44</v>
      </c>
    </row>
    <row r="4" spans="1:1" x14ac:dyDescent="0.15">
      <c r="A4" t="s">
        <v>45</v>
      </c>
    </row>
  </sheetData>
  <phoneticPr fontId="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F4" sqref="F4"/>
    </sheetView>
  </sheetViews>
  <sheetFormatPr baseColWidth="12" defaultRowHeight="15" x14ac:dyDescent="0.15"/>
  <cols>
    <col min="1" max="1" width="13" style="15"/>
    <col min="2" max="2" width="14.796875" style="15" bestFit="1" customWidth="1"/>
    <col min="3" max="4" width="13" style="15"/>
    <col min="5" max="5" width="17.59765625" style="15" bestFit="1" customWidth="1"/>
    <col min="6" max="6" width="22.19921875" style="15" bestFit="1" customWidth="1"/>
    <col min="7" max="16384" width="13" style="15"/>
  </cols>
  <sheetData>
    <row r="1" spans="1:21" x14ac:dyDescent="0.15">
      <c r="A1" s="25" t="s">
        <v>37</v>
      </c>
      <c r="B1" s="13" t="s">
        <v>25</v>
      </c>
      <c r="C1" s="13" t="s">
        <v>26</v>
      </c>
      <c r="D1" s="13" t="s">
        <v>27</v>
      </c>
      <c r="E1" s="13" t="s">
        <v>28</v>
      </c>
      <c r="F1" s="13" t="s">
        <v>29</v>
      </c>
      <c r="G1" s="13" t="s">
        <v>30</v>
      </c>
      <c r="H1" s="13"/>
      <c r="I1" s="13"/>
      <c r="J1" s="13"/>
      <c r="K1" s="13"/>
      <c r="L1" s="14"/>
      <c r="M1" s="14"/>
      <c r="N1" s="14"/>
      <c r="O1" s="14"/>
    </row>
    <row r="2" spans="1:21" x14ac:dyDescent="0.15">
      <c r="A2" s="47" t="s">
        <v>132</v>
      </c>
      <c r="B2" s="37" t="s">
        <v>49</v>
      </c>
      <c r="C2" s="34" t="str">
        <f>RIGHT(F2,6)</f>
        <v>337010</v>
      </c>
      <c r="D2" s="16" t="s">
        <v>31</v>
      </c>
      <c r="E2" s="14" t="str">
        <f t="shared" ref="E2:E6" si="0">B2&amp;C2&amp;D2</f>
        <v>gacha_select_tables_337010.tmp</v>
      </c>
      <c r="F2" s="46" t="s">
        <v>131</v>
      </c>
      <c r="G2" s="33" t="s">
        <v>46</v>
      </c>
      <c r="H2" s="19" t="s">
        <v>0</v>
      </c>
      <c r="I2" s="19" t="s">
        <v>2</v>
      </c>
      <c r="J2" s="19" t="s">
        <v>3</v>
      </c>
      <c r="K2" s="19" t="s">
        <v>4</v>
      </c>
      <c r="L2" s="19" t="s">
        <v>5</v>
      </c>
      <c r="M2" s="19" t="s">
        <v>6</v>
      </c>
      <c r="N2" s="19" t="s">
        <v>7</v>
      </c>
      <c r="O2" s="19" t="s">
        <v>8</v>
      </c>
    </row>
    <row r="3" spans="1:21" x14ac:dyDescent="0.15">
      <c r="A3" s="50" t="s">
        <v>145</v>
      </c>
      <c r="B3" s="48" t="s">
        <v>133</v>
      </c>
      <c r="C3" s="34" t="str">
        <f>RIGHT(F3,7)</f>
        <v>7222100</v>
      </c>
      <c r="D3" s="16" t="s">
        <v>31</v>
      </c>
      <c r="E3" s="14" t="str">
        <f t="shared" ref="E3" si="1">B3&amp;C3&amp;D3</f>
        <v>gacha_settle_tables_7222100.tmp</v>
      </c>
      <c r="F3" s="51" t="s">
        <v>146</v>
      </c>
      <c r="G3" s="33" t="s">
        <v>46</v>
      </c>
      <c r="H3" s="19" t="s">
        <v>0</v>
      </c>
      <c r="I3" s="19" t="s">
        <v>2</v>
      </c>
      <c r="J3" s="19" t="s">
        <v>3</v>
      </c>
      <c r="K3" s="19" t="s">
        <v>4</v>
      </c>
      <c r="L3" s="19" t="s">
        <v>5</v>
      </c>
      <c r="M3" s="19" t="s">
        <v>6</v>
      </c>
      <c r="N3" s="19" t="s">
        <v>7</v>
      </c>
      <c r="O3" s="19" t="s">
        <v>8</v>
      </c>
    </row>
    <row r="4" spans="1:21" x14ac:dyDescent="0.15">
      <c r="A4" s="44" t="s">
        <v>129</v>
      </c>
      <c r="B4" s="24" t="s">
        <v>36</v>
      </c>
      <c r="C4" s="45" t="s">
        <v>130</v>
      </c>
      <c r="D4" s="16" t="s">
        <v>32</v>
      </c>
      <c r="E4" s="14" t="str">
        <f t="shared" si="0"/>
        <v>gacha_bonus_tables_hogehoge.tmp</v>
      </c>
      <c r="F4" s="16" t="s">
        <v>33</v>
      </c>
      <c r="G4" s="18" t="s">
        <v>9</v>
      </c>
      <c r="H4" s="20" t="s">
        <v>12</v>
      </c>
      <c r="I4" s="18" t="s">
        <v>10</v>
      </c>
      <c r="J4" s="17"/>
      <c r="K4" s="17"/>
      <c r="L4" s="17"/>
      <c r="M4" s="17"/>
      <c r="N4" s="17"/>
      <c r="O4" s="17"/>
    </row>
    <row r="5" spans="1:21" x14ac:dyDescent="0.15">
      <c r="A5" s="44" t="s">
        <v>129</v>
      </c>
      <c r="B5" s="16" t="s">
        <v>34</v>
      </c>
      <c r="C5" s="45" t="s">
        <v>130</v>
      </c>
      <c r="D5" s="16" t="s">
        <v>32</v>
      </c>
      <c r="E5" s="14" t="str">
        <f t="shared" si="0"/>
        <v>gifts_tmp_hogehoge.tmp</v>
      </c>
      <c r="F5" s="16" t="s">
        <v>33</v>
      </c>
      <c r="G5" s="20" t="s">
        <v>13</v>
      </c>
      <c r="H5" s="21" t="s">
        <v>21</v>
      </c>
      <c r="I5" s="20" t="s">
        <v>14</v>
      </c>
      <c r="J5" s="20" t="s">
        <v>15</v>
      </c>
      <c r="K5" s="20" t="s">
        <v>15</v>
      </c>
      <c r="L5" s="20" t="s">
        <v>16</v>
      </c>
      <c r="M5" s="20" t="s">
        <v>16</v>
      </c>
      <c r="N5" s="20" t="s">
        <v>16</v>
      </c>
      <c r="O5" s="35" t="s">
        <v>6</v>
      </c>
      <c r="P5" s="35" t="s">
        <v>8</v>
      </c>
      <c r="Q5" s="35" t="s">
        <v>5</v>
      </c>
      <c r="R5" s="35" t="s">
        <v>47</v>
      </c>
      <c r="S5" s="35" t="s">
        <v>7</v>
      </c>
      <c r="T5" s="35" t="s">
        <v>48</v>
      </c>
      <c r="U5" s="35" t="s">
        <v>4</v>
      </c>
    </row>
    <row r="6" spans="1:21" x14ac:dyDescent="0.15">
      <c r="A6" s="44" t="s">
        <v>129</v>
      </c>
      <c r="B6" s="16" t="s">
        <v>35</v>
      </c>
      <c r="C6" s="45" t="s">
        <v>130</v>
      </c>
      <c r="D6" s="16" t="s">
        <v>32</v>
      </c>
      <c r="E6" s="14" t="str">
        <f t="shared" si="0"/>
        <v>gifts_i18n_hogehoge.tmp</v>
      </c>
      <c r="F6" s="16" t="s">
        <v>33</v>
      </c>
      <c r="G6" s="20" t="s">
        <v>11</v>
      </c>
      <c r="H6" s="22" t="s">
        <v>17</v>
      </c>
      <c r="I6" s="22" t="s">
        <v>18</v>
      </c>
      <c r="J6" s="22" t="s">
        <v>19</v>
      </c>
      <c r="K6" s="22" t="s">
        <v>20</v>
      </c>
      <c r="L6" s="23"/>
      <c r="M6" s="20"/>
      <c r="N6" s="20"/>
      <c r="O6" s="16"/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80"/>
  <sheetViews>
    <sheetView showGridLines="0" tabSelected="1" zoomScale="75" zoomScaleNormal="75" zoomScalePageLayoutView="75" workbookViewId="0">
      <pane ySplit="1" topLeftCell="A2" activePane="bottomLeft" state="frozen"/>
      <selection activeCell="E6" sqref="E6"/>
      <selection pane="bottomLeft" activeCell="P15" sqref="P1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134</v>
      </c>
      <c r="B1" s="12" t="s">
        <v>1</v>
      </c>
      <c r="C1" s="3" t="s">
        <v>22</v>
      </c>
      <c r="D1" s="3" t="s">
        <v>135</v>
      </c>
      <c r="E1" s="3" t="s">
        <v>127</v>
      </c>
      <c r="F1" s="3" t="s">
        <v>128</v>
      </c>
      <c r="G1" s="3" t="s">
        <v>136</v>
      </c>
      <c r="H1" s="3" t="s">
        <v>137</v>
      </c>
      <c r="I1" s="3" t="s">
        <v>138</v>
      </c>
      <c r="J1" s="3" t="s">
        <v>139</v>
      </c>
      <c r="K1" s="3" t="s">
        <v>140</v>
      </c>
      <c r="L1" s="3" t="s">
        <v>141</v>
      </c>
      <c r="M1" s="3" t="s">
        <v>142</v>
      </c>
      <c r="N1" s="3" t="s">
        <v>38</v>
      </c>
      <c r="O1" s="12" t="s">
        <v>143</v>
      </c>
      <c r="P1" s="3" t="s">
        <v>40</v>
      </c>
      <c r="Q1" s="12" t="s">
        <v>144</v>
      </c>
      <c r="R1" s="26" t="s">
        <v>4</v>
      </c>
      <c r="S1" s="26" t="s">
        <v>5</v>
      </c>
      <c r="T1" s="26" t="s">
        <v>6</v>
      </c>
      <c r="U1" s="26" t="s">
        <v>7</v>
      </c>
      <c r="V1" s="26" t="s">
        <v>8</v>
      </c>
    </row>
    <row r="2" spans="1:22" ht="21" customHeight="1" x14ac:dyDescent="0.15">
      <c r="A2" s="2">
        <v>7222100</v>
      </c>
      <c r="B2" s="36">
        <v>321</v>
      </c>
      <c r="C2" s="7" t="str">
        <f t="shared" ref="C2:C7" si="0">D2&amp;J2&amp;E2&amp;F2&amp;G2</f>
        <v>PremiumSS5</v>
      </c>
      <c r="D2" s="7" t="str">
        <f t="shared" ref="D2:D45" si="1"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巌鉄の烈志士 近藤勇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hp</v>
      </c>
      <c r="M2" s="7" t="str">
        <f>VLOOKUP(B2,[1]characters!$A:$M,13,FALSE)</f>
        <v>human</v>
      </c>
      <c r="N2" s="7" t="str">
        <f>VLOOKUP(B2,[1]characters!$A:$G,7,FALSE)</f>
        <v>男性</v>
      </c>
      <c r="O2" s="31">
        <v>10</v>
      </c>
      <c r="P2" s="32">
        <f>O2/SUM(O:O)</f>
        <v>1.5151515151515152E-2</v>
      </c>
      <c r="Q2" s="27">
        <v>1</v>
      </c>
      <c r="R2" s="27">
        <v>0</v>
      </c>
      <c r="S2" s="27">
        <v>0</v>
      </c>
      <c r="T2" s="27">
        <v>0</v>
      </c>
      <c r="U2" s="27">
        <v>0</v>
      </c>
      <c r="V2" s="27">
        <v>1</v>
      </c>
    </row>
    <row r="3" spans="1:22" ht="21" customHeight="1" x14ac:dyDescent="0.15">
      <c r="A3" s="2">
        <v>7222100</v>
      </c>
      <c r="B3" s="36">
        <v>323</v>
      </c>
      <c r="C3" s="7" t="str">
        <f t="shared" ref="C3" si="2">D3&amp;J3&amp;E3&amp;F3&amp;G3</f>
        <v>PremiumSS5</v>
      </c>
      <c r="D3" s="7" t="str">
        <f t="shared" ref="D3" si="3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流麗の愛志士 土方歳三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1">
        <v>10</v>
      </c>
      <c r="P3" s="32">
        <f>O3/SUM(O:O)</f>
        <v>1.5151515151515152E-2</v>
      </c>
      <c r="Q3" s="27">
        <v>1</v>
      </c>
      <c r="R3" s="27">
        <v>0</v>
      </c>
      <c r="S3" s="27">
        <v>0</v>
      </c>
      <c r="T3" s="27">
        <v>0</v>
      </c>
      <c r="U3" s="27">
        <v>0</v>
      </c>
      <c r="V3" s="27">
        <v>1</v>
      </c>
    </row>
    <row r="4" spans="1:22" ht="21" customHeight="1" x14ac:dyDescent="0.15">
      <c r="A4" s="2">
        <v>7222100</v>
      </c>
      <c r="B4" s="36">
        <v>325</v>
      </c>
      <c r="C4" s="7" t="str">
        <f t="shared" si="0"/>
        <v>PremiumSS5</v>
      </c>
      <c r="D4" s="7" t="str">
        <f t="shared" si="1"/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天賦の凛志士 沖田総司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31">
        <v>10</v>
      </c>
      <c r="P4" s="32">
        <f>O4/SUM(O:O)</f>
        <v>1.5151515151515152E-2</v>
      </c>
      <c r="Q4" s="27">
        <v>1</v>
      </c>
      <c r="R4" s="27">
        <v>0</v>
      </c>
      <c r="S4" s="27">
        <v>0</v>
      </c>
      <c r="T4" s="27">
        <v>0</v>
      </c>
      <c r="U4" s="27">
        <v>0</v>
      </c>
      <c r="V4" s="27">
        <v>1</v>
      </c>
    </row>
    <row r="5" spans="1:22" ht="21" customHeight="1" x14ac:dyDescent="0.15">
      <c r="A5" s="2">
        <v>7222100</v>
      </c>
      <c r="B5" s="36">
        <v>327</v>
      </c>
      <c r="C5" s="7" t="str">
        <f t="shared" ref="C5" si="4">D5&amp;J5&amp;E5&amp;F5&amp;G5</f>
        <v>PremiumSS5</v>
      </c>
      <c r="D5" s="7" t="str">
        <f t="shared" ref="D5" si="5">IF(OR(I5="PremiumSS",I5="PremiumSSw"),"PremiumSS",IF(I5="PremiumSSS",I5,IF(I5="PremiumW",I5,"Premium")))</f>
        <v>PremiumSS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千殺の妖志士 斎藤一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technical</v>
      </c>
      <c r="M5" s="7" t="str">
        <f>VLOOKUP(B5,[1]characters!$A:$M,13,FALSE)</f>
        <v>human</v>
      </c>
      <c r="N5" s="7" t="str">
        <f>VLOOKUP(B5,[1]characters!$A:$G,7,FALSE)</f>
        <v>女性</v>
      </c>
      <c r="O5" s="31">
        <v>10</v>
      </c>
      <c r="P5" s="32">
        <f>O5/SUM(O:O)</f>
        <v>1.5151515151515152E-2</v>
      </c>
      <c r="Q5" s="27">
        <v>1</v>
      </c>
      <c r="R5" s="27">
        <v>0</v>
      </c>
      <c r="S5" s="27">
        <v>0</v>
      </c>
      <c r="T5" s="27">
        <v>0</v>
      </c>
      <c r="U5" s="27">
        <v>0</v>
      </c>
      <c r="V5" s="27">
        <v>1</v>
      </c>
    </row>
    <row r="6" spans="1:22" ht="21" customHeight="1" x14ac:dyDescent="0.15">
      <c r="A6" s="2">
        <v>7222100</v>
      </c>
      <c r="B6" s="36">
        <v>384</v>
      </c>
      <c r="C6" s="7" t="str">
        <f t="shared" si="0"/>
        <v>PremiumSS5</v>
      </c>
      <c r="D6" s="7" t="str">
        <f t="shared" si="1"/>
        <v>PremiumSS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破国の呑龍 ヤマタノオロチ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green</v>
      </c>
      <c r="L6" s="7" t="str">
        <f>VLOOKUP(B6,[1]characters!$A:$K,11,FALSE)</f>
        <v>hp</v>
      </c>
      <c r="M6" s="7" t="str">
        <f>VLOOKUP(B6,[1]characters!$A:$M,13,FALSE)</f>
        <v>dragon</v>
      </c>
      <c r="N6" s="7" t="str">
        <f>VLOOKUP(B6,[1]characters!$A:$G,7,FALSE)</f>
        <v>女性</v>
      </c>
      <c r="O6" s="31">
        <v>10</v>
      </c>
      <c r="P6" s="32">
        <f>O6/SUM(O:O)</f>
        <v>1.5151515151515152E-2</v>
      </c>
      <c r="Q6" s="27">
        <v>1</v>
      </c>
      <c r="R6" s="27">
        <v>0</v>
      </c>
      <c r="S6" s="27">
        <v>0</v>
      </c>
      <c r="T6" s="27">
        <v>0</v>
      </c>
      <c r="U6" s="27">
        <v>0</v>
      </c>
      <c r="V6" s="27">
        <v>1</v>
      </c>
    </row>
    <row r="7" spans="1:22" ht="21" customHeight="1" x14ac:dyDescent="0.15">
      <c r="A7" s="2">
        <v>7222100</v>
      </c>
      <c r="B7" s="36">
        <v>386</v>
      </c>
      <c r="C7" s="7" t="str">
        <f t="shared" si="0"/>
        <v>PremiumSS5</v>
      </c>
      <c r="D7" s="7" t="str">
        <f t="shared" si="1"/>
        <v>PremiumSS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氾乱の海龍 リヴァイアサン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blue</v>
      </c>
      <c r="L7" s="7" t="str">
        <f>VLOOKUP(B7,[1]characters!$A:$K,11,FALSE)</f>
        <v>balance</v>
      </c>
      <c r="M7" s="7" t="str">
        <f>VLOOKUP(B7,[1]characters!$A:$M,13,FALSE)</f>
        <v>dragon</v>
      </c>
      <c r="N7" s="7" t="str">
        <f>VLOOKUP(B7,[1]characters!$A:$G,7,FALSE)</f>
        <v>女性</v>
      </c>
      <c r="O7" s="31">
        <v>10</v>
      </c>
      <c r="P7" s="32">
        <f>O7/SUM(O:O)</f>
        <v>1.5151515151515152E-2</v>
      </c>
      <c r="Q7" s="27">
        <v>1</v>
      </c>
      <c r="R7" s="27">
        <v>0</v>
      </c>
      <c r="S7" s="27">
        <v>0</v>
      </c>
      <c r="T7" s="27">
        <v>0</v>
      </c>
      <c r="U7" s="27">
        <v>0</v>
      </c>
      <c r="V7" s="27">
        <v>1</v>
      </c>
    </row>
    <row r="8" spans="1:22" ht="21" customHeight="1" x14ac:dyDescent="0.15">
      <c r="A8" s="2">
        <v>7222100</v>
      </c>
      <c r="B8" s="36">
        <v>391</v>
      </c>
      <c r="C8" s="7" t="str">
        <f t="shared" ref="C8:C9" si="6">D8&amp;J8&amp;E8&amp;F8&amp;G8</f>
        <v>PremiumSS5</v>
      </c>
      <c r="D8" s="7" t="str">
        <f t="shared" si="1"/>
        <v>PremiumSS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燕翼の旅人 親指姫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red</v>
      </c>
      <c r="L8" s="7" t="str">
        <f>VLOOKUP(B8,[1]characters!$A:$K,11,FALSE)</f>
        <v>heal</v>
      </c>
      <c r="M8" s="7" t="str">
        <f>VLOOKUP(B8,[1]characters!$A:$M,13,FALSE)</f>
        <v>human</v>
      </c>
      <c r="N8" s="7" t="str">
        <f>VLOOKUP(B8,[1]characters!$A:$G,7,FALSE)</f>
        <v>女性</v>
      </c>
      <c r="O8" s="31">
        <v>10</v>
      </c>
      <c r="P8" s="32">
        <f>O8/SUM(O:O)</f>
        <v>1.5151515151515152E-2</v>
      </c>
      <c r="Q8" s="27">
        <v>1</v>
      </c>
      <c r="R8" s="27">
        <v>0</v>
      </c>
      <c r="S8" s="27">
        <v>0</v>
      </c>
      <c r="T8" s="27">
        <v>0</v>
      </c>
      <c r="U8" s="27">
        <v>0</v>
      </c>
      <c r="V8" s="27">
        <v>1</v>
      </c>
    </row>
    <row r="9" spans="1:22" ht="21" customHeight="1" x14ac:dyDescent="0.15">
      <c r="A9" s="2">
        <v>7222100</v>
      </c>
      <c r="B9" s="36">
        <v>399</v>
      </c>
      <c r="C9" s="7" t="str">
        <f t="shared" si="6"/>
        <v>PremiumSS5</v>
      </c>
      <c r="D9" s="7" t="str">
        <f t="shared" si="1"/>
        <v>PremiumSS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信愛の兄妹 ヘンゼル＆グレーテル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balance</v>
      </c>
      <c r="M9" s="7" t="str">
        <f>VLOOKUP(B9,[1]characters!$A:$M,13,FALSE)</f>
        <v>human</v>
      </c>
      <c r="N9" s="7" t="str">
        <f>VLOOKUP(B9,[1]characters!$A:$G,7,FALSE)</f>
        <v>女性</v>
      </c>
      <c r="O9" s="31">
        <v>10</v>
      </c>
      <c r="P9" s="32">
        <f>O9/SUM(O:O)</f>
        <v>1.5151515151515152E-2</v>
      </c>
      <c r="Q9" s="27">
        <v>1</v>
      </c>
      <c r="R9" s="27">
        <v>0</v>
      </c>
      <c r="S9" s="27">
        <v>0</v>
      </c>
      <c r="T9" s="27">
        <v>0</v>
      </c>
      <c r="U9" s="27">
        <v>0</v>
      </c>
      <c r="V9" s="27">
        <v>1</v>
      </c>
    </row>
    <row r="10" spans="1:22" ht="21" customHeight="1" x14ac:dyDescent="0.15">
      <c r="A10" s="2">
        <v>7222100</v>
      </c>
      <c r="B10" s="36">
        <v>404</v>
      </c>
      <c r="C10" s="7" t="str">
        <f t="shared" ref="C10:C12" si="7">D10&amp;J10&amp;E10&amp;F10&amp;G10</f>
        <v>PremiumSS5</v>
      </c>
      <c r="D10" s="7" t="str">
        <f t="shared" si="1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空襲の神眼 八咫烏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green</v>
      </c>
      <c r="L10" s="7" t="str">
        <f>VLOOKUP(B10,[1]characters!$A:$K,11,FALSE)</f>
        <v>balance</v>
      </c>
      <c r="M10" s="7" t="str">
        <f>VLOOKUP(B10,[1]characters!$A:$M,13,FALSE)</f>
        <v>animal</v>
      </c>
      <c r="N10" s="7" t="str">
        <f>VLOOKUP(B10,[1]characters!$A:$G,7,FALSE)</f>
        <v>女性</v>
      </c>
      <c r="O10" s="31">
        <v>10</v>
      </c>
      <c r="P10" s="32">
        <f>O10/SUM(O:O)</f>
        <v>1.5151515151515152E-2</v>
      </c>
      <c r="Q10" s="27">
        <v>1</v>
      </c>
      <c r="R10" s="27">
        <v>0</v>
      </c>
      <c r="S10" s="27">
        <v>0</v>
      </c>
      <c r="T10" s="27">
        <v>0</v>
      </c>
      <c r="U10" s="27">
        <v>0</v>
      </c>
      <c r="V10" s="27">
        <v>1</v>
      </c>
    </row>
    <row r="11" spans="1:22" ht="21" customHeight="1" x14ac:dyDescent="0.15">
      <c r="A11" s="2">
        <v>7222100</v>
      </c>
      <c r="B11" s="36">
        <v>409</v>
      </c>
      <c r="C11" s="7" t="str">
        <f t="shared" ref="C11" si="8">D11&amp;J11&amp;E11&amp;F11&amp;G11</f>
        <v>PremiumSS5</v>
      </c>
      <c r="D11" s="7" t="str">
        <f t="shared" ref="D11" si="9">IF(OR(I11="PremiumSS",I11="PremiumSSw"),"PremiumSS",IF(I11="PremiumSSS",I11,IF(I11="PremiumW",I11,"Premium")))</f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天眼の皇貴魔 アスタロト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yellow</v>
      </c>
      <c r="L11" s="7" t="str">
        <f>VLOOKUP(B11,[1]characters!$A:$K,11,FALSE)</f>
        <v>attack</v>
      </c>
      <c r="M11" s="7" t="str">
        <f>VLOOKUP(B11,[1]characters!$A:$M,13,FALSE)</f>
        <v>god</v>
      </c>
      <c r="N11" s="7" t="str">
        <f>VLOOKUP(B11,[1]characters!$A:$G,7,FALSE)</f>
        <v>男性</v>
      </c>
      <c r="O11" s="31">
        <v>10</v>
      </c>
      <c r="P11" s="32">
        <f>O11/SUM(O:O)</f>
        <v>1.5151515151515152E-2</v>
      </c>
      <c r="Q11" s="27">
        <v>1</v>
      </c>
      <c r="R11" s="27">
        <v>0</v>
      </c>
      <c r="S11" s="27">
        <v>0</v>
      </c>
      <c r="T11" s="27">
        <v>0</v>
      </c>
      <c r="U11" s="27">
        <v>0</v>
      </c>
      <c r="V11" s="27">
        <v>1</v>
      </c>
    </row>
    <row r="12" spans="1:22" ht="21" customHeight="1" x14ac:dyDescent="0.15">
      <c r="A12" s="2">
        <v>7222100</v>
      </c>
      <c r="B12" s="36">
        <v>435</v>
      </c>
      <c r="C12" s="7" t="str">
        <f t="shared" si="7"/>
        <v>PremiumSS5</v>
      </c>
      <c r="D12" s="7" t="str">
        <f t="shared" si="1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曝弾の密偵 D.R.T.H.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red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1">
        <v>10</v>
      </c>
      <c r="P12" s="32">
        <f>O12/SUM(O:O)</f>
        <v>1.5151515151515152E-2</v>
      </c>
      <c r="Q12" s="27">
        <v>1</v>
      </c>
      <c r="R12" s="27">
        <v>0</v>
      </c>
      <c r="S12" s="27">
        <v>0</v>
      </c>
      <c r="T12" s="27">
        <v>0</v>
      </c>
      <c r="U12" s="27">
        <v>0</v>
      </c>
      <c r="V12" s="27">
        <v>1</v>
      </c>
    </row>
    <row r="13" spans="1:22" ht="21" customHeight="1" x14ac:dyDescent="0.15">
      <c r="A13" s="2">
        <v>7222100</v>
      </c>
      <c r="B13" s="36">
        <v>443</v>
      </c>
      <c r="C13" s="7" t="str">
        <f t="shared" ref="C13" si="10">D13&amp;J13&amp;E13&amp;F13&amp;G13</f>
        <v>PremiumSS5</v>
      </c>
      <c r="D13" s="7" t="str">
        <f t="shared" ref="D13" si="11">IF(OR(I13="PremiumSS",I13="PremiumSSw"),"PremiumSS",IF(I13="PremiumSSS",I13,IF(I13="PremiumW",I13,"Premium")))</f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勇機結集 ブレイブリー・ライオン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hp</v>
      </c>
      <c r="M13" s="7" t="str">
        <f>VLOOKUP(B13,[1]characters!$A:$M,13,FALSE)</f>
        <v>animal</v>
      </c>
      <c r="N13" s="7" t="str">
        <f>VLOOKUP(B13,[1]characters!$A:$G,7,FALSE)</f>
        <v>不明</v>
      </c>
      <c r="O13" s="31">
        <v>10</v>
      </c>
      <c r="P13" s="32">
        <f>O13/SUM(O:O)</f>
        <v>1.5151515151515152E-2</v>
      </c>
      <c r="Q13" s="27">
        <v>1</v>
      </c>
      <c r="R13" s="27">
        <v>0</v>
      </c>
      <c r="S13" s="27">
        <v>0</v>
      </c>
      <c r="T13" s="27">
        <v>0</v>
      </c>
      <c r="U13" s="27">
        <v>0</v>
      </c>
      <c r="V13" s="27">
        <v>1</v>
      </c>
    </row>
    <row r="14" spans="1:22" ht="21" customHeight="1" x14ac:dyDescent="0.15">
      <c r="A14" s="2">
        <v>7222100</v>
      </c>
      <c r="B14" s="36">
        <v>466</v>
      </c>
      <c r="C14" s="7" t="str">
        <f t="shared" ref="C14:C15" si="12">D14&amp;J14&amp;E14&amp;F14&amp;G14</f>
        <v>PremiumSS5</v>
      </c>
      <c r="D14" s="7" t="str">
        <f t="shared" si="1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真断の勇覇 ランスロット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green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男性</v>
      </c>
      <c r="O14" s="31">
        <v>10</v>
      </c>
      <c r="P14" s="32">
        <f>O14/SUM(O:O)</f>
        <v>1.5151515151515152E-2</v>
      </c>
      <c r="Q14" s="27">
        <v>1</v>
      </c>
      <c r="R14" s="27">
        <v>0</v>
      </c>
      <c r="S14" s="27">
        <v>0</v>
      </c>
      <c r="T14" s="27">
        <v>0</v>
      </c>
      <c r="U14" s="27">
        <v>0</v>
      </c>
      <c r="V14" s="27">
        <v>1</v>
      </c>
    </row>
    <row r="15" spans="1:22" ht="21" customHeight="1" x14ac:dyDescent="0.15">
      <c r="A15" s="2">
        <v>7222100</v>
      </c>
      <c r="B15" s="36">
        <v>468</v>
      </c>
      <c r="C15" s="7" t="str">
        <f t="shared" si="12"/>
        <v>PremiumSS5</v>
      </c>
      <c r="D15" s="7" t="str">
        <f t="shared" si="1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憎愛の尖鋒 モルドレッド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blue</v>
      </c>
      <c r="L15" s="7" t="str">
        <f>VLOOKUP(B15,[1]characters!$A:$K,11,FALSE)</f>
        <v>technical</v>
      </c>
      <c r="M15" s="7" t="str">
        <f>VLOOKUP(B15,[1]characters!$A:$M,13,FALSE)</f>
        <v>human</v>
      </c>
      <c r="N15" s="7" t="str">
        <f>VLOOKUP(B15,[1]characters!$A:$G,7,FALSE)</f>
        <v>女性</v>
      </c>
      <c r="O15" s="31">
        <v>10</v>
      </c>
      <c r="P15" s="32">
        <f>O15/SUM(O:O)</f>
        <v>1.5151515151515152E-2</v>
      </c>
      <c r="Q15" s="27">
        <v>1</v>
      </c>
      <c r="R15" s="27">
        <v>0</v>
      </c>
      <c r="S15" s="27">
        <v>0</v>
      </c>
      <c r="T15" s="27">
        <v>0</v>
      </c>
      <c r="U15" s="27">
        <v>0</v>
      </c>
      <c r="V15" s="27">
        <v>1</v>
      </c>
    </row>
    <row r="16" spans="1:22" ht="21" customHeight="1" x14ac:dyDescent="0.15">
      <c r="A16" s="2">
        <v>7222100</v>
      </c>
      <c r="B16" s="49">
        <v>475</v>
      </c>
      <c r="C16" s="7" t="str">
        <f t="shared" ref="C16:C18" si="13">D16&amp;J16&amp;E16&amp;F16&amp;G16</f>
        <v>PremiumSS5</v>
      </c>
      <c r="D16" s="7" t="str">
        <f t="shared" si="1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緋王 キング・ドライグ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attack</v>
      </c>
      <c r="M16" s="7" t="str">
        <f>VLOOKUP(B16,[1]characters!$A:$M,13,FALSE)</f>
        <v>dragon</v>
      </c>
      <c r="N16" s="7" t="str">
        <f>VLOOKUP(B16,[1]characters!$A:$G,7,FALSE)</f>
        <v>不明</v>
      </c>
      <c r="O16" s="31">
        <v>10</v>
      </c>
      <c r="P16" s="32">
        <f>O16/SUM(O:O)</f>
        <v>1.5151515151515152E-2</v>
      </c>
      <c r="Q16" s="27">
        <v>1</v>
      </c>
      <c r="R16" s="27">
        <v>0</v>
      </c>
      <c r="S16" s="27">
        <v>0</v>
      </c>
      <c r="T16" s="27">
        <v>0</v>
      </c>
      <c r="U16" s="27">
        <v>0</v>
      </c>
      <c r="V16" s="27">
        <v>1</v>
      </c>
    </row>
    <row r="17" spans="1:22" ht="21" customHeight="1" x14ac:dyDescent="0.15">
      <c r="A17" s="2">
        <v>7222100</v>
      </c>
      <c r="B17" s="49">
        <v>480</v>
      </c>
      <c r="C17" s="7" t="str">
        <f t="shared" ref="C17" si="14">D17&amp;J17&amp;E17&amp;F17&amp;G17</f>
        <v>PremiumSS5</v>
      </c>
      <c r="D17" s="7" t="str">
        <f t="shared" ref="D17" si="15">IF(OR(I17="PremiumSS",I17="PremiumSSw"),"PremiumSS",IF(I17="PremiumSSS",I17,IF(I17="PremiumW",I17,"Premium")))</f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夢幻の愚者フール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technical</v>
      </c>
      <c r="M17" s="7" t="str">
        <f>VLOOKUP(B17,[1]characters!$A:$M,13,FALSE)</f>
        <v>god</v>
      </c>
      <c r="N17" s="7" t="str">
        <f>VLOOKUP(B17,[1]characters!$A:$G,7,FALSE)</f>
        <v>男性</v>
      </c>
      <c r="O17" s="31">
        <v>10</v>
      </c>
      <c r="P17" s="32">
        <f>O17/SUM(O:O)</f>
        <v>1.5151515151515152E-2</v>
      </c>
      <c r="Q17" s="27">
        <v>1</v>
      </c>
      <c r="R17" s="27">
        <v>0</v>
      </c>
      <c r="S17" s="27">
        <v>0</v>
      </c>
      <c r="T17" s="27">
        <v>0</v>
      </c>
      <c r="U17" s="27">
        <v>0</v>
      </c>
      <c r="V17" s="27">
        <v>1</v>
      </c>
    </row>
    <row r="18" spans="1:22" ht="21" customHeight="1" x14ac:dyDescent="0.15">
      <c r="A18" s="2">
        <v>7222100</v>
      </c>
      <c r="B18" s="49">
        <v>493</v>
      </c>
      <c r="C18" s="7" t="str">
        <f t="shared" si="13"/>
        <v>PremiumSS5</v>
      </c>
      <c r="D18" s="7" t="str">
        <f t="shared" si="1"/>
        <v>PremiumSS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跋扈の機脚 ブートレグ・ペロー</v>
      </c>
      <c r="I18" s="7" t="str">
        <f>VLOOKUP(B18,[1]characters!$A:$J,10,FALSE)</f>
        <v>PremiumSS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hp</v>
      </c>
      <c r="M18" s="7" t="str">
        <f>VLOOKUP(B18,[1]characters!$A:$M,13,FALSE)</f>
        <v>animal</v>
      </c>
      <c r="N18" s="7" t="str">
        <f>VLOOKUP(B18,[1]characters!$A:$G,7,FALSE)</f>
        <v>不明</v>
      </c>
      <c r="O18" s="31">
        <v>10</v>
      </c>
      <c r="P18" s="32">
        <f>O18/SUM(O:O)</f>
        <v>1.5151515151515152E-2</v>
      </c>
      <c r="Q18" s="27">
        <v>1</v>
      </c>
      <c r="R18" s="27">
        <v>0</v>
      </c>
      <c r="S18" s="27">
        <v>0</v>
      </c>
      <c r="T18" s="27">
        <v>0</v>
      </c>
      <c r="U18" s="27">
        <v>0</v>
      </c>
      <c r="V18" s="27">
        <v>1</v>
      </c>
    </row>
    <row r="19" spans="1:22" ht="21" customHeight="1" x14ac:dyDescent="0.15">
      <c r="A19" s="2">
        <v>7222100</v>
      </c>
      <c r="B19" s="49">
        <v>495</v>
      </c>
      <c r="C19" s="7" t="str">
        <f t="shared" ref="C19:C20" si="16">D19&amp;J19&amp;E19&amp;F19&amp;G19</f>
        <v>PremiumSS5</v>
      </c>
      <c r="D19" s="7" t="str">
        <f t="shared" si="1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鼠災呼ぶ笛音 ハーメルン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technical</v>
      </c>
      <c r="M19" s="7" t="str">
        <f>VLOOKUP(B19,[1]characters!$A:$M,13,FALSE)</f>
        <v>human</v>
      </c>
      <c r="N19" s="7" t="str">
        <f>VLOOKUP(B19,[1]characters!$A:$G,7,FALSE)</f>
        <v>男性</v>
      </c>
      <c r="O19" s="31">
        <v>10</v>
      </c>
      <c r="P19" s="32">
        <f>O19/SUM(O:O)</f>
        <v>1.5151515151515152E-2</v>
      </c>
      <c r="Q19" s="27">
        <v>1</v>
      </c>
      <c r="R19" s="27">
        <v>0</v>
      </c>
      <c r="S19" s="27">
        <v>0</v>
      </c>
      <c r="T19" s="27">
        <v>0</v>
      </c>
      <c r="U19" s="27">
        <v>0</v>
      </c>
      <c r="V19" s="27">
        <v>1</v>
      </c>
    </row>
    <row r="20" spans="1:22" ht="21" customHeight="1" x14ac:dyDescent="0.15">
      <c r="A20" s="2">
        <v>7222100</v>
      </c>
      <c r="B20" s="49">
        <v>500</v>
      </c>
      <c r="C20" s="7" t="str">
        <f t="shared" si="16"/>
        <v>PremiumSS5</v>
      </c>
      <c r="D20" s="7" t="str">
        <f t="shared" si="1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脈動の禁髪 ラプンツェル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yellow</v>
      </c>
      <c r="L20" s="7" t="str">
        <f>VLOOKUP(B20,[1]characters!$A:$K,11,FALSE)</f>
        <v>balance</v>
      </c>
      <c r="M20" s="7" t="str">
        <f>VLOOKUP(B20,[1]characters!$A:$M,13,FALSE)</f>
        <v>human</v>
      </c>
      <c r="N20" s="7" t="str">
        <f>VLOOKUP(B20,[1]characters!$A:$G,7,FALSE)</f>
        <v>女性</v>
      </c>
      <c r="O20" s="31">
        <v>10</v>
      </c>
      <c r="P20" s="32">
        <f>O20/SUM(O:O)</f>
        <v>1.5151515151515152E-2</v>
      </c>
      <c r="Q20" s="27">
        <v>1</v>
      </c>
      <c r="R20" s="27">
        <v>0</v>
      </c>
      <c r="S20" s="27">
        <v>0</v>
      </c>
      <c r="T20" s="27">
        <v>0</v>
      </c>
      <c r="U20" s="27">
        <v>0</v>
      </c>
      <c r="V20" s="27">
        <v>1</v>
      </c>
    </row>
    <row r="21" spans="1:22" ht="21" customHeight="1" x14ac:dyDescent="0.15">
      <c r="A21" s="2">
        <v>7222100</v>
      </c>
      <c r="B21" s="49">
        <v>587</v>
      </c>
      <c r="C21" s="7" t="str">
        <f t="shared" ref="C21" si="17">D21&amp;J21&amp;E21&amp;F21&amp;G21</f>
        <v>PremiumSS5</v>
      </c>
      <c r="D21" s="7" t="str">
        <f t="shared" ref="D21" si="18">IF(OR(I21="PremiumSS",I21="PremiumSSw"),"PremiumSS",IF(I21="PremiumSSS",I21,IF(I21="PremiumW",I21,"Premium")))</f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原初の煉鋼巨刃 ユミル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red</v>
      </c>
      <c r="L21" s="7" t="str">
        <f>VLOOKUP(B21,[1]characters!$A:$K,11,FALSE)</f>
        <v>hp</v>
      </c>
      <c r="M21" s="7" t="str">
        <f>VLOOKUP(B21,[1]characters!$A:$M,13,FALSE)</f>
        <v>machine</v>
      </c>
      <c r="N21" s="7" t="str">
        <f>VLOOKUP(B21,[1]characters!$A:$G,7,FALSE)</f>
        <v>不明</v>
      </c>
      <c r="O21" s="31">
        <v>10</v>
      </c>
      <c r="P21" s="32">
        <f>O21/SUM(O:O)</f>
        <v>1.5151515151515152E-2</v>
      </c>
      <c r="Q21" s="27">
        <v>1</v>
      </c>
      <c r="R21" s="27">
        <v>0</v>
      </c>
      <c r="S21" s="27">
        <v>0</v>
      </c>
      <c r="T21" s="27">
        <v>0</v>
      </c>
      <c r="U21" s="27">
        <v>0</v>
      </c>
      <c r="V21" s="27">
        <v>1</v>
      </c>
    </row>
    <row r="22" spans="1:22" ht="21" customHeight="1" x14ac:dyDescent="0.15">
      <c r="A22" s="2">
        <v>7222100</v>
      </c>
      <c r="B22" s="49">
        <v>595</v>
      </c>
      <c r="C22" s="7" t="str">
        <f t="shared" ref="C22:C25" si="19">D22&amp;J22&amp;E22&amp;F22&amp;G22</f>
        <v>PremiumSS5</v>
      </c>
      <c r="D22" s="7" t="str">
        <f t="shared" si="1"/>
        <v>PremiumSS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光華なる神域 アルフヘイム</v>
      </c>
      <c r="I22" s="7" t="str">
        <f>VLOOKUP(B22,[1]characters!$A:$J,10,FALSE)</f>
        <v>PremiumSS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attack</v>
      </c>
      <c r="M22" s="7" t="str">
        <f>VLOOKUP(B22,[1]characters!$A:$M,13,FALSE)</f>
        <v>dragon</v>
      </c>
      <c r="N22" s="7" t="str">
        <f>VLOOKUP(B22,[1]characters!$A:$G,7,FALSE)</f>
        <v>不明</v>
      </c>
      <c r="O22" s="31">
        <v>10</v>
      </c>
      <c r="P22" s="32">
        <f>O22/SUM(O:O)</f>
        <v>1.5151515151515152E-2</v>
      </c>
      <c r="Q22" s="27">
        <v>1</v>
      </c>
      <c r="R22" s="27">
        <v>0</v>
      </c>
      <c r="S22" s="27">
        <v>0</v>
      </c>
      <c r="T22" s="27">
        <v>0</v>
      </c>
      <c r="U22" s="27">
        <v>0</v>
      </c>
      <c r="V22" s="27">
        <v>1</v>
      </c>
    </row>
    <row r="23" spans="1:22" ht="21" customHeight="1" x14ac:dyDescent="0.15">
      <c r="A23" s="2">
        <v>7222100</v>
      </c>
      <c r="B23" s="49">
        <v>603</v>
      </c>
      <c r="C23" s="7" t="str">
        <f t="shared" si="19"/>
        <v>PremiumSS5</v>
      </c>
      <c r="D23" s="7" t="str">
        <f t="shared" si="1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掌愛の豊穣女神 フレイヤ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heal</v>
      </c>
      <c r="M23" s="7" t="str">
        <f>VLOOKUP(B23,[1]characters!$A:$M,13,FALSE)</f>
        <v>animal</v>
      </c>
      <c r="N23" s="7" t="str">
        <f>VLOOKUP(B23,[1]characters!$A:$G,7,FALSE)</f>
        <v>女性</v>
      </c>
      <c r="O23" s="31">
        <v>10</v>
      </c>
      <c r="P23" s="32">
        <f>O23/SUM(O:O)</f>
        <v>1.5151515151515152E-2</v>
      </c>
      <c r="Q23" s="27">
        <v>1</v>
      </c>
      <c r="R23" s="27">
        <v>0</v>
      </c>
      <c r="S23" s="27">
        <v>0</v>
      </c>
      <c r="T23" s="27">
        <v>0</v>
      </c>
      <c r="U23" s="27">
        <v>0</v>
      </c>
      <c r="V23" s="27">
        <v>1</v>
      </c>
    </row>
    <row r="24" spans="1:22" ht="21" customHeight="1" x14ac:dyDescent="0.15">
      <c r="A24" s="2">
        <v>7222100</v>
      </c>
      <c r="B24" s="49">
        <v>659</v>
      </c>
      <c r="C24" s="7" t="str">
        <f t="shared" si="19"/>
        <v>PremiumSS5</v>
      </c>
      <c r="D24" s="7" t="str">
        <f t="shared" si="1"/>
        <v>PremiumSS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跳梁する化猫 クルミ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red</v>
      </c>
      <c r="L24" s="7" t="str">
        <f>VLOOKUP(B24,[1]characters!$A:$K,11,FALSE)</f>
        <v>attack</v>
      </c>
      <c r="M24" s="7" t="str">
        <f>VLOOKUP(B24,[1]characters!$A:$M,13,FALSE)</f>
        <v>animal</v>
      </c>
      <c r="N24" s="7" t="str">
        <f>VLOOKUP(B24,[1]characters!$A:$G,7,FALSE)</f>
        <v>女性</v>
      </c>
      <c r="O24" s="31">
        <v>10</v>
      </c>
      <c r="P24" s="32">
        <f>O24/SUM(O:O)</f>
        <v>1.5151515151515152E-2</v>
      </c>
      <c r="Q24" s="27">
        <v>1</v>
      </c>
      <c r="R24" s="27">
        <v>0</v>
      </c>
      <c r="S24" s="27">
        <v>0</v>
      </c>
      <c r="T24" s="27">
        <v>0</v>
      </c>
      <c r="U24" s="27">
        <v>0</v>
      </c>
      <c r="V24" s="27">
        <v>1</v>
      </c>
    </row>
    <row r="25" spans="1:22" ht="21" customHeight="1" x14ac:dyDescent="0.15">
      <c r="A25" s="2">
        <v>7222100</v>
      </c>
      <c r="B25" s="49">
        <v>661</v>
      </c>
      <c r="C25" s="7" t="str">
        <f t="shared" si="19"/>
        <v>PremiumSS5</v>
      </c>
      <c r="D25" s="7" t="str">
        <f t="shared" si="1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疾風の天狗礫 フウガ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green</v>
      </c>
      <c r="L25" s="7" t="str">
        <f>VLOOKUP(B25,[1]characters!$A:$K,11,FALSE)</f>
        <v>balance</v>
      </c>
      <c r="M25" s="7" t="str">
        <f>VLOOKUP(B25,[1]characters!$A:$M,13,FALSE)</f>
        <v>animal</v>
      </c>
      <c r="N25" s="7" t="str">
        <f>VLOOKUP(B25,[1]characters!$A:$G,7,FALSE)</f>
        <v>男性</v>
      </c>
      <c r="O25" s="31">
        <v>10</v>
      </c>
      <c r="P25" s="32">
        <f>O25/SUM(O:O)</f>
        <v>1.5151515151515152E-2</v>
      </c>
      <c r="Q25" s="27">
        <v>1</v>
      </c>
      <c r="R25" s="27">
        <v>0</v>
      </c>
      <c r="S25" s="27">
        <v>0</v>
      </c>
      <c r="T25" s="27">
        <v>0</v>
      </c>
      <c r="U25" s="27">
        <v>0</v>
      </c>
      <c r="V25" s="27">
        <v>1</v>
      </c>
    </row>
    <row r="26" spans="1:22" ht="21" customHeight="1" x14ac:dyDescent="0.15">
      <c r="A26" s="2">
        <v>7222100</v>
      </c>
      <c r="B26" s="49">
        <v>675</v>
      </c>
      <c r="C26" s="7" t="str">
        <f t="shared" ref="C26:C27" si="20">D26&amp;J26&amp;E26&amp;F26&amp;G26</f>
        <v>PremiumSS5</v>
      </c>
      <c r="D26" s="7" t="str">
        <f t="shared" si="1"/>
        <v>PremiumSS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芸楽の奔流 サラスヴァティ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blue</v>
      </c>
      <c r="L26" s="7" t="str">
        <f>VLOOKUP(B26,[1]characters!$A:$K,11,FALSE)</f>
        <v>balance</v>
      </c>
      <c r="M26" s="7" t="str">
        <f>VLOOKUP(B26,[1]characters!$A:$M,13,FALSE)</f>
        <v>god</v>
      </c>
      <c r="N26" s="7" t="str">
        <f>VLOOKUP(B26,[1]characters!$A:$G,7,FALSE)</f>
        <v>女性</v>
      </c>
      <c r="O26" s="31">
        <v>10</v>
      </c>
      <c r="P26" s="32">
        <f>O26/SUM(O:O)</f>
        <v>1.5151515151515152E-2</v>
      </c>
      <c r="Q26" s="27">
        <v>1</v>
      </c>
      <c r="R26" s="27">
        <v>0</v>
      </c>
      <c r="S26" s="27">
        <v>0</v>
      </c>
      <c r="T26" s="27">
        <v>0</v>
      </c>
      <c r="U26" s="27">
        <v>0</v>
      </c>
      <c r="V26" s="27">
        <v>1</v>
      </c>
    </row>
    <row r="27" spans="1:22" ht="21" customHeight="1" x14ac:dyDescent="0.15">
      <c r="A27" s="2">
        <v>7222100</v>
      </c>
      <c r="B27" s="49">
        <v>677</v>
      </c>
      <c r="C27" s="7" t="str">
        <f t="shared" si="20"/>
        <v>PremiumSS5</v>
      </c>
      <c r="D27" s="7" t="str">
        <f t="shared" si="1"/>
        <v>PremiumSS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武遊闊歩 ヴィシュヌ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yellow</v>
      </c>
      <c r="L27" s="7" t="str">
        <f>VLOOKUP(B27,[1]characters!$A:$K,11,FALSE)</f>
        <v>attack</v>
      </c>
      <c r="M27" s="7" t="str">
        <f>VLOOKUP(B27,[1]characters!$A:$M,13,FALSE)</f>
        <v>god</v>
      </c>
      <c r="N27" s="7" t="str">
        <f>VLOOKUP(B27,[1]characters!$A:$G,7,FALSE)</f>
        <v>女性</v>
      </c>
      <c r="O27" s="31">
        <v>10</v>
      </c>
      <c r="P27" s="32">
        <f>O27/SUM(O:O)</f>
        <v>1.5151515151515152E-2</v>
      </c>
      <c r="Q27" s="27">
        <v>1</v>
      </c>
      <c r="R27" s="27">
        <v>0</v>
      </c>
      <c r="S27" s="27">
        <v>0</v>
      </c>
      <c r="T27" s="27">
        <v>0</v>
      </c>
      <c r="U27" s="27">
        <v>0</v>
      </c>
      <c r="V27" s="27">
        <v>1</v>
      </c>
    </row>
    <row r="28" spans="1:22" ht="21" customHeight="1" x14ac:dyDescent="0.15">
      <c r="A28" s="2">
        <v>7222100</v>
      </c>
      <c r="B28" s="49">
        <v>732</v>
      </c>
      <c r="C28" s="7" t="str">
        <f t="shared" ref="C28:C29" si="21">D28&amp;J28&amp;E28&amp;F28&amp;G28</f>
        <v>PremiumSS5R5only</v>
      </c>
      <c r="D28" s="7" t="str">
        <f t="shared" si="1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上杉謙信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attack</v>
      </c>
      <c r="M28" s="7" t="str">
        <f>VLOOKUP(B28,[1]characters!$A:$M,13,FALSE)</f>
        <v>human</v>
      </c>
      <c r="N28" s="7" t="str">
        <f>VLOOKUP(B28,[1]characters!$A:$G,7,FALSE)</f>
        <v>女性</v>
      </c>
      <c r="O28" s="31">
        <v>10</v>
      </c>
      <c r="P28" s="32">
        <f>O28/SUM(O:O)</f>
        <v>1.5151515151515152E-2</v>
      </c>
      <c r="Q28" s="27">
        <v>1</v>
      </c>
      <c r="R28" s="27">
        <v>0</v>
      </c>
      <c r="S28" s="27">
        <v>0</v>
      </c>
      <c r="T28" s="27">
        <v>0</v>
      </c>
      <c r="U28" s="27">
        <v>0</v>
      </c>
      <c r="V28" s="27">
        <v>1</v>
      </c>
    </row>
    <row r="29" spans="1:22" ht="21" customHeight="1" x14ac:dyDescent="0.15">
      <c r="A29" s="2">
        <v>7222100</v>
      </c>
      <c r="B29" s="49">
        <v>734</v>
      </c>
      <c r="C29" s="7" t="str">
        <f t="shared" si="21"/>
        <v>PremiumSS5R5only</v>
      </c>
      <c r="D29" s="7" t="str">
        <f t="shared" si="1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伊達政宗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balance</v>
      </c>
      <c r="M29" s="7" t="str">
        <f>VLOOKUP(B29,[1]characters!$A:$M,13,FALSE)</f>
        <v>human</v>
      </c>
      <c r="N29" s="7" t="str">
        <f>VLOOKUP(B29,[1]characters!$A:$G,7,FALSE)</f>
        <v>男性</v>
      </c>
      <c r="O29" s="31">
        <v>10</v>
      </c>
      <c r="P29" s="32">
        <f>O29/SUM(O:O)</f>
        <v>1.5151515151515152E-2</v>
      </c>
      <c r="Q29" s="27">
        <v>1</v>
      </c>
      <c r="R29" s="27">
        <v>0</v>
      </c>
      <c r="S29" s="27">
        <v>0</v>
      </c>
      <c r="T29" s="27">
        <v>0</v>
      </c>
      <c r="U29" s="27">
        <v>0</v>
      </c>
      <c r="V29" s="27">
        <v>1</v>
      </c>
    </row>
    <row r="30" spans="1:22" ht="21" customHeight="1" x14ac:dyDescent="0.15">
      <c r="A30" s="2">
        <v>7222100</v>
      </c>
      <c r="B30" s="49">
        <v>742</v>
      </c>
      <c r="C30" s="7" t="str">
        <f t="shared" ref="C30" si="22">D30&amp;J30&amp;E30&amp;F30&amp;G30</f>
        <v>PremiumSS5R5only</v>
      </c>
      <c r="D30" s="7" t="str">
        <f t="shared" si="1"/>
        <v>PremiumSS</v>
      </c>
      <c r="E30" s="7" t="str">
        <f>IF(COUNTIF('R6追加前'!A:A,B30)=0,IF(OR(I30="PremiumSS",I30="PremiumSSw"),"R5only","R3less"),"")</f>
        <v>R5only</v>
      </c>
      <c r="F30" s="7" t="str">
        <f>IF(COUNTIF('R6開放'!A:A,B30)&gt;0,"R6release","")</f>
        <v/>
      </c>
      <c r="G30" s="7"/>
      <c r="H30" s="7" t="str">
        <f>VLOOKUP(B30,[1]characters!$A:$C,3,FALSE)</f>
        <v>アポロン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attack</v>
      </c>
      <c r="M30" s="7" t="str">
        <f>VLOOKUP(B30,[1]characters!$A:$M,13,FALSE)</f>
        <v>god</v>
      </c>
      <c r="N30" s="7" t="str">
        <f>VLOOKUP(B30,[1]characters!$A:$G,7,FALSE)</f>
        <v>男性</v>
      </c>
      <c r="O30" s="31">
        <v>10</v>
      </c>
      <c r="P30" s="32">
        <f>O30/SUM(O:O)</f>
        <v>1.5151515151515152E-2</v>
      </c>
      <c r="Q30" s="27">
        <v>1</v>
      </c>
      <c r="R30" s="27">
        <v>0</v>
      </c>
      <c r="S30" s="27">
        <v>0</v>
      </c>
      <c r="T30" s="27">
        <v>0</v>
      </c>
      <c r="U30" s="27">
        <v>0</v>
      </c>
      <c r="V30" s="27">
        <v>1</v>
      </c>
    </row>
    <row r="31" spans="1:22" ht="21" customHeight="1" x14ac:dyDescent="0.15">
      <c r="A31" s="2">
        <v>7222100</v>
      </c>
      <c r="B31" s="49">
        <v>744</v>
      </c>
      <c r="C31" s="7" t="str">
        <f t="shared" ref="C31:C32" si="23">D31&amp;J31&amp;E31&amp;F31&amp;G31</f>
        <v>PremiumSS5R5only</v>
      </c>
      <c r="D31" s="7" t="str">
        <f t="shared" si="1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ヘルメス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男性</v>
      </c>
      <c r="O31" s="31">
        <v>10</v>
      </c>
      <c r="P31" s="32">
        <f>O31/SUM(O:O)</f>
        <v>1.5151515151515152E-2</v>
      </c>
      <c r="Q31" s="27">
        <v>1</v>
      </c>
      <c r="R31" s="27">
        <v>0</v>
      </c>
      <c r="S31" s="27">
        <v>0</v>
      </c>
      <c r="T31" s="27">
        <v>0</v>
      </c>
      <c r="U31" s="27">
        <v>0</v>
      </c>
      <c r="V31" s="27">
        <v>1</v>
      </c>
    </row>
    <row r="32" spans="1:22" ht="21" customHeight="1" x14ac:dyDescent="0.15">
      <c r="A32" s="2">
        <v>7222100</v>
      </c>
      <c r="B32" s="49">
        <v>771</v>
      </c>
      <c r="C32" s="7" t="str">
        <f t="shared" si="23"/>
        <v>PremiumSS5</v>
      </c>
      <c r="D32" s="7" t="str">
        <f t="shared" si="1"/>
        <v>PremiumSS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天織羽鶴 ハヅル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red</v>
      </c>
      <c r="L32" s="7" t="str">
        <f>VLOOKUP(B32,[1]characters!$A:$K,11,FALSE)</f>
        <v>balance</v>
      </c>
      <c r="M32" s="7" t="str">
        <f>VLOOKUP(B32,[1]characters!$A:$M,13,FALSE)</f>
        <v>animal</v>
      </c>
      <c r="N32" s="7" t="str">
        <f>VLOOKUP(B32,[1]characters!$A:$G,7,FALSE)</f>
        <v>女性</v>
      </c>
      <c r="O32" s="31">
        <v>10</v>
      </c>
      <c r="P32" s="32">
        <f>O32/SUM(O:O)</f>
        <v>1.5151515151515152E-2</v>
      </c>
      <c r="Q32" s="27">
        <v>1</v>
      </c>
      <c r="R32" s="27">
        <v>0</v>
      </c>
      <c r="S32" s="27">
        <v>0</v>
      </c>
      <c r="T32" s="27">
        <v>0</v>
      </c>
      <c r="U32" s="27">
        <v>0</v>
      </c>
      <c r="V32" s="27">
        <v>1</v>
      </c>
    </row>
    <row r="33" spans="1:22" ht="21" customHeight="1" x14ac:dyDescent="0.15">
      <c r="A33" s="2">
        <v>7222100</v>
      </c>
      <c r="B33" s="49">
        <v>773</v>
      </c>
      <c r="C33" s="7" t="str">
        <f t="shared" ref="C33:C35" si="24">D33&amp;J33&amp;E33&amp;F33&amp;G33</f>
        <v>PremiumSS5</v>
      </c>
      <c r="D33" s="7" t="str">
        <f t="shared" si="1"/>
        <v>PremiumSS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浮跳天兎 イナバ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green</v>
      </c>
      <c r="L33" s="7" t="str">
        <f>VLOOKUP(B33,[1]characters!$A:$K,11,FALSE)</f>
        <v>balance</v>
      </c>
      <c r="M33" s="7" t="str">
        <f>VLOOKUP(B33,[1]characters!$A:$M,13,FALSE)</f>
        <v>animal</v>
      </c>
      <c r="N33" s="7" t="str">
        <f>VLOOKUP(B33,[1]characters!$A:$G,7,FALSE)</f>
        <v>女性</v>
      </c>
      <c r="O33" s="31">
        <v>10</v>
      </c>
      <c r="P33" s="32">
        <f>O33/SUM(O:O)</f>
        <v>1.5151515151515152E-2</v>
      </c>
      <c r="Q33" s="27">
        <v>1</v>
      </c>
      <c r="R33" s="27">
        <v>0</v>
      </c>
      <c r="S33" s="27">
        <v>0</v>
      </c>
      <c r="T33" s="27">
        <v>0</v>
      </c>
      <c r="U33" s="27">
        <v>0</v>
      </c>
      <c r="V33" s="27">
        <v>1</v>
      </c>
    </row>
    <row r="34" spans="1:22" ht="21" customHeight="1" x14ac:dyDescent="0.15">
      <c r="A34" s="2">
        <v>7222100</v>
      </c>
      <c r="B34" s="49">
        <v>848</v>
      </c>
      <c r="C34" s="7" t="str">
        <f t="shared" si="24"/>
        <v>PremiumSS5R5only</v>
      </c>
      <c r="D34" s="7" t="str">
        <f t="shared" si="1"/>
        <v>PremiumSS</v>
      </c>
      <c r="E34" s="7" t="str">
        <f>IF(COUNTIF('R6追加前'!A:A,B34)=0,IF(OR(I34="PremiumSS",I34="PremiumSSw"),"R5only","R3less"),"")</f>
        <v>R5only</v>
      </c>
      <c r="F34" s="7" t="str">
        <f>IF(COUNTIF('R6開放'!A:A,B34)&gt;0,"R6release","")</f>
        <v/>
      </c>
      <c r="G34" s="7"/>
      <c r="H34" s="7" t="str">
        <f>VLOOKUP(B34,[1]characters!$A:$C,3,FALSE)</f>
        <v>メタトロン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balance</v>
      </c>
      <c r="M34" s="7" t="str">
        <f>VLOOKUP(B34,[1]characters!$A:$M,13,FALSE)</f>
        <v>god</v>
      </c>
      <c r="N34" s="7" t="str">
        <f>VLOOKUP(B34,[1]characters!$A:$G,7,FALSE)</f>
        <v>男性</v>
      </c>
      <c r="O34" s="31">
        <v>10</v>
      </c>
      <c r="P34" s="32">
        <f>O34/SUM(O:O)</f>
        <v>1.5151515151515152E-2</v>
      </c>
      <c r="Q34" s="27">
        <v>1</v>
      </c>
      <c r="R34" s="27">
        <v>0</v>
      </c>
      <c r="S34" s="27">
        <v>0</v>
      </c>
      <c r="T34" s="27">
        <v>0</v>
      </c>
      <c r="U34" s="27">
        <v>0</v>
      </c>
      <c r="V34" s="27">
        <v>1</v>
      </c>
    </row>
    <row r="35" spans="1:22" ht="21" customHeight="1" x14ac:dyDescent="0.15">
      <c r="A35" s="2">
        <v>7222100</v>
      </c>
      <c r="B35" s="49">
        <v>850</v>
      </c>
      <c r="C35" s="7" t="str">
        <f t="shared" si="24"/>
        <v>PremiumSS5R5only</v>
      </c>
      <c r="D35" s="7" t="str">
        <f t="shared" si="1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バアル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technical</v>
      </c>
      <c r="M35" s="7" t="str">
        <f>VLOOKUP(B35,[1]characters!$A:$M,13,FALSE)</f>
        <v>god</v>
      </c>
      <c r="N35" s="7" t="str">
        <f>VLOOKUP(B35,[1]characters!$A:$G,7,FALSE)</f>
        <v>男性</v>
      </c>
      <c r="O35" s="31">
        <v>10</v>
      </c>
      <c r="P35" s="32">
        <f>O35/SUM(O:O)</f>
        <v>1.5151515151515152E-2</v>
      </c>
      <c r="Q35" s="27">
        <v>1</v>
      </c>
      <c r="R35" s="27">
        <v>0</v>
      </c>
      <c r="S35" s="27">
        <v>0</v>
      </c>
      <c r="T35" s="27">
        <v>0</v>
      </c>
      <c r="U35" s="27">
        <v>0</v>
      </c>
      <c r="V35" s="27">
        <v>1</v>
      </c>
    </row>
    <row r="36" spans="1:22" ht="21" customHeight="1" x14ac:dyDescent="0.15">
      <c r="A36" s="2">
        <v>7222100</v>
      </c>
      <c r="B36" s="49">
        <v>866</v>
      </c>
      <c r="C36" s="7" t="str">
        <f t="shared" ref="C36:C37" si="25">D36&amp;J36&amp;E36&amp;F36&amp;G36</f>
        <v>PremiumSS5R5only</v>
      </c>
      <c r="D36" s="7" t="str">
        <f t="shared" si="1"/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無敗の司令姫 白雪姫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男性</v>
      </c>
      <c r="O36" s="31">
        <v>10</v>
      </c>
      <c r="P36" s="32">
        <f>O36/SUM(O:O)</f>
        <v>1.5151515151515152E-2</v>
      </c>
      <c r="Q36" s="27">
        <v>1</v>
      </c>
      <c r="R36" s="27">
        <v>0</v>
      </c>
      <c r="S36" s="27">
        <v>0</v>
      </c>
      <c r="T36" s="27">
        <v>0</v>
      </c>
      <c r="U36" s="27">
        <v>0</v>
      </c>
      <c r="V36" s="27">
        <v>1</v>
      </c>
    </row>
    <row r="37" spans="1:22" ht="21" customHeight="1" x14ac:dyDescent="0.15">
      <c r="A37" s="2">
        <v>7222100</v>
      </c>
      <c r="B37" s="49">
        <v>868</v>
      </c>
      <c r="C37" s="7" t="str">
        <f t="shared" si="25"/>
        <v>PremiumSS5R5only</v>
      </c>
      <c r="D37" s="7" t="str">
        <f t="shared" si="1"/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アラジンと殲滅機兵LAMP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hp</v>
      </c>
      <c r="M37" s="7" t="str">
        <f>VLOOKUP(B37,[1]characters!$A:$M,13,FALSE)</f>
        <v>human</v>
      </c>
      <c r="N37" s="7" t="str">
        <f>VLOOKUP(B37,[1]characters!$A:$G,7,FALSE)</f>
        <v>男性</v>
      </c>
      <c r="O37" s="31">
        <v>10</v>
      </c>
      <c r="P37" s="32">
        <f>O37/SUM(O:O)</f>
        <v>1.5151515151515152E-2</v>
      </c>
      <c r="Q37" s="27">
        <v>1</v>
      </c>
      <c r="R37" s="27">
        <v>0</v>
      </c>
      <c r="S37" s="27">
        <v>0</v>
      </c>
      <c r="T37" s="27">
        <v>0</v>
      </c>
      <c r="U37" s="27">
        <v>0</v>
      </c>
      <c r="V37" s="27">
        <v>1</v>
      </c>
    </row>
    <row r="38" spans="1:22" ht="21" customHeight="1" x14ac:dyDescent="0.15">
      <c r="A38" s="2">
        <v>7222100</v>
      </c>
      <c r="B38" s="49">
        <v>937</v>
      </c>
      <c r="C38" s="7" t="str">
        <f t="shared" ref="C38:C39" si="26">D38&amp;J38&amp;E38&amp;F38&amp;G38</f>
        <v>PremiumSS5R5only</v>
      </c>
      <c r="D38" s="7" t="str">
        <f t="shared" si="1"/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ナポレオン</v>
      </c>
      <c r="I38" s="7" t="str">
        <f>VLOOKUP(B38,[1]characters!$A:$J,10,FALSE)</f>
        <v>PremiumSS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balance</v>
      </c>
      <c r="M38" s="7" t="str">
        <f>VLOOKUP(B38,[1]characters!$A:$M,13,FALSE)</f>
        <v>human</v>
      </c>
      <c r="N38" s="7" t="str">
        <f>VLOOKUP(B38,[1]characters!$A:$G,7,FALSE)</f>
        <v>男性</v>
      </c>
      <c r="O38" s="31">
        <v>10</v>
      </c>
      <c r="P38" s="32">
        <f>O38/SUM(O:O)</f>
        <v>1.5151515151515152E-2</v>
      </c>
      <c r="Q38" s="27">
        <v>1</v>
      </c>
      <c r="R38" s="27">
        <v>0</v>
      </c>
      <c r="S38" s="27">
        <v>0</v>
      </c>
      <c r="T38" s="27">
        <v>0</v>
      </c>
      <c r="U38" s="27">
        <v>0</v>
      </c>
      <c r="V38" s="27">
        <v>1</v>
      </c>
    </row>
    <row r="39" spans="1:22" ht="21" customHeight="1" x14ac:dyDescent="0.15">
      <c r="A39" s="2">
        <v>7222100</v>
      </c>
      <c r="B39" s="49">
        <v>941</v>
      </c>
      <c r="C39" s="7" t="str">
        <f t="shared" si="26"/>
        <v>PremiumSS5R5only</v>
      </c>
      <c r="D39" s="7" t="str">
        <f t="shared" si="1"/>
        <v>PremiumSS</v>
      </c>
      <c r="E39" s="7" t="str">
        <f>IF(COUNTIF('R6追加前'!A:A,B39)=0,IF(OR(I39="PremiumSS",I39="PremiumSSw"),"R5only","R3less"),"")</f>
        <v>R5only</v>
      </c>
      <c r="F39" s="7" t="str">
        <f>IF(COUNTIF('R6開放'!A:A,B39)&gt;0,"R6release","")</f>
        <v/>
      </c>
      <c r="G39" s="7"/>
      <c r="H39" s="7" t="str">
        <f>VLOOKUP(B39,[1]characters!$A:$C,3,FALSE)</f>
        <v>アントワネット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blue</v>
      </c>
      <c r="L39" s="7" t="str">
        <f>VLOOKUP(B39,[1]characters!$A:$K,11,FALSE)</f>
        <v>technical</v>
      </c>
      <c r="M39" s="7" t="str">
        <f>VLOOKUP(B39,[1]characters!$A:$M,13,FALSE)</f>
        <v>human</v>
      </c>
      <c r="N39" s="7" t="str">
        <f>VLOOKUP(B39,[1]characters!$A:$G,7,FALSE)</f>
        <v>男性</v>
      </c>
      <c r="O39" s="31">
        <v>10</v>
      </c>
      <c r="P39" s="32">
        <f>O39/SUM(O:O)</f>
        <v>1.5151515151515152E-2</v>
      </c>
      <c r="Q39" s="27">
        <v>1</v>
      </c>
      <c r="R39" s="27">
        <v>0</v>
      </c>
      <c r="S39" s="27">
        <v>0</v>
      </c>
      <c r="T39" s="27">
        <v>0</v>
      </c>
      <c r="U39" s="27">
        <v>0</v>
      </c>
      <c r="V39" s="27">
        <v>1</v>
      </c>
    </row>
    <row r="40" spans="1:22" ht="21" customHeight="1" x14ac:dyDescent="0.15">
      <c r="A40" s="2">
        <v>7222100</v>
      </c>
      <c r="B40" s="5">
        <v>943</v>
      </c>
      <c r="C40" s="7" t="str">
        <f t="shared" ref="C40:C42" si="27">D40&amp;J40&amp;E40&amp;F40&amp;G40</f>
        <v>PremiumSS5R5only</v>
      </c>
      <c r="D40" s="7" t="str">
        <f t="shared" si="1"/>
        <v>PremiumSS</v>
      </c>
      <c r="E40" s="7" t="str">
        <f>IF(COUNTIF('R6追加前'!A:A,B40)=0,IF(OR(I40="PremiumSS",I40="PremiumSSw"),"R5only","R3less"),"")</f>
        <v>R5only</v>
      </c>
      <c r="F40" s="7" t="str">
        <f>IF(COUNTIF('R6開放'!A:A,B40)&gt;0,"R6release","")</f>
        <v/>
      </c>
      <c r="G40" s="7"/>
      <c r="H40" s="7" t="str">
        <f>VLOOKUP(B40,[1]characters!$A:$C,3,FALSE)</f>
        <v>サンソン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yellow</v>
      </c>
      <c r="L40" s="7" t="str">
        <f>VLOOKUP(B40,[1]characters!$A:$K,11,FALSE)</f>
        <v>attack</v>
      </c>
      <c r="M40" s="7" t="str">
        <f>VLOOKUP(B40,[1]characters!$A:$M,13,FALSE)</f>
        <v>human</v>
      </c>
      <c r="N40" s="7" t="str">
        <f>VLOOKUP(B40,[1]characters!$A:$G,7,FALSE)</f>
        <v>男性</v>
      </c>
      <c r="O40" s="31">
        <v>10</v>
      </c>
      <c r="P40" s="32">
        <f>O40/SUM(O:O)</f>
        <v>1.5151515151515152E-2</v>
      </c>
      <c r="Q40" s="27">
        <v>1</v>
      </c>
      <c r="R40" s="27">
        <v>0</v>
      </c>
      <c r="S40" s="27">
        <v>0</v>
      </c>
      <c r="T40" s="27">
        <v>0</v>
      </c>
      <c r="U40" s="27">
        <v>0</v>
      </c>
      <c r="V40" s="27">
        <v>1</v>
      </c>
    </row>
    <row r="41" spans="1:22" ht="21" customHeight="1" x14ac:dyDescent="0.15">
      <c r="A41" s="2">
        <v>7222100</v>
      </c>
      <c r="B41" s="5">
        <v>1012</v>
      </c>
      <c r="C41" s="7" t="str">
        <f t="shared" si="27"/>
        <v>PremiumSS5R5only</v>
      </c>
      <c r="D41" s="7" t="str">
        <f t="shared" si="1"/>
        <v>PremiumSS</v>
      </c>
      <c r="E41" s="7" t="str">
        <f>IF(COUNTIF('R6追加前'!A:A,B41)=0,IF(OR(I41="PremiumSS",I41="PremiumSSw"),"R5only","R3less"),"")</f>
        <v>R5only</v>
      </c>
      <c r="F41" s="7" t="str">
        <f>IF(COUNTIF('R6開放'!A:A,B41)&gt;0,"R6release","")</f>
        <v/>
      </c>
      <c r="G41" s="7"/>
      <c r="H41" s="7" t="str">
        <f>VLOOKUP(B41,[1]characters!$A:$C,3,FALSE)</f>
        <v>ラー</v>
      </c>
      <c r="I41" s="7" t="str">
        <f>VLOOKUP(B41,[1]characters!$A:$J,10,FALSE)</f>
        <v>PremiumSS</v>
      </c>
      <c r="J41" s="7">
        <f>VLOOKUP(B41,[1]characters!$A:$I,9,FALSE)</f>
        <v>5</v>
      </c>
      <c r="K41" s="7" t="str">
        <f>VLOOKUP(B41,[1]characters!$A:$H,8,FALSE)</f>
        <v>red</v>
      </c>
      <c r="L41" s="7" t="str">
        <f>VLOOKUP(B41,[1]characters!$A:$K,11,FALSE)</f>
        <v>balance</v>
      </c>
      <c r="M41" s="7" t="str">
        <f>VLOOKUP(B41,[1]characters!$A:$M,13,FALSE)</f>
        <v>god</v>
      </c>
      <c r="N41" s="7" t="str">
        <f>VLOOKUP(B41,[1]characters!$A:$G,7,FALSE)</f>
        <v>男性</v>
      </c>
      <c r="O41" s="31">
        <v>10</v>
      </c>
      <c r="P41" s="32">
        <f>O41/SUM(O:O)</f>
        <v>1.5151515151515152E-2</v>
      </c>
      <c r="Q41" s="27">
        <v>1</v>
      </c>
      <c r="R41" s="27">
        <v>0</v>
      </c>
      <c r="S41" s="27">
        <v>0</v>
      </c>
      <c r="T41" s="27">
        <v>0</v>
      </c>
      <c r="U41" s="27">
        <v>0</v>
      </c>
      <c r="V41" s="27">
        <v>1</v>
      </c>
    </row>
    <row r="42" spans="1:22" ht="21" customHeight="1" x14ac:dyDescent="0.15">
      <c r="A42" s="2">
        <v>7222100</v>
      </c>
      <c r="B42" s="5">
        <v>1014</v>
      </c>
      <c r="C42" s="7" t="str">
        <f t="shared" si="27"/>
        <v>PremiumSS5R5only</v>
      </c>
      <c r="D42" s="7" t="str">
        <f t="shared" si="1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イシス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green</v>
      </c>
      <c r="L42" s="7" t="str">
        <f>VLOOKUP(B42,[1]characters!$A:$K,11,FALSE)</f>
        <v>hp</v>
      </c>
      <c r="M42" s="7" t="str">
        <f>VLOOKUP(B42,[1]characters!$A:$M,13,FALSE)</f>
        <v>god</v>
      </c>
      <c r="N42" s="7" t="str">
        <f>VLOOKUP(B42,[1]characters!$A:$G,7,FALSE)</f>
        <v>男性</v>
      </c>
      <c r="O42" s="31">
        <v>10</v>
      </c>
      <c r="P42" s="32">
        <f>O42/SUM(O:O)</f>
        <v>1.5151515151515152E-2</v>
      </c>
      <c r="Q42" s="27">
        <v>1</v>
      </c>
      <c r="R42" s="27">
        <v>0</v>
      </c>
      <c r="S42" s="27">
        <v>0</v>
      </c>
      <c r="T42" s="27">
        <v>0</v>
      </c>
      <c r="U42" s="27">
        <v>0</v>
      </c>
      <c r="V42" s="27">
        <v>1</v>
      </c>
    </row>
    <row r="43" spans="1:22" ht="21" customHeight="1" x14ac:dyDescent="0.15">
      <c r="A43" s="2">
        <v>7222100</v>
      </c>
      <c r="B43" s="5">
        <v>1018</v>
      </c>
      <c r="C43" s="7" t="str">
        <f t="shared" ref="C43:C45" si="28">D43&amp;J43&amp;E43&amp;F43&amp;G43</f>
        <v>PremiumSS5R5only</v>
      </c>
      <c r="D43" s="7" t="str">
        <f t="shared" si="1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バステト</v>
      </c>
      <c r="I43" s="7" t="str">
        <f>VLOOKUP(B43,[1]characters!$A:$J,10,FALSE)</f>
        <v>PremiumSS</v>
      </c>
      <c r="J43" s="7">
        <f>VLOOKUP(B43,[1]characters!$A:$I,9,FALSE)</f>
        <v>5</v>
      </c>
      <c r="K43" s="7" t="str">
        <f>VLOOKUP(B43,[1]characters!$A:$H,8,FALSE)</f>
        <v>yellow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1">
        <v>10</v>
      </c>
      <c r="P43" s="32">
        <f>O43/SUM(O:O)</f>
        <v>1.5151515151515152E-2</v>
      </c>
      <c r="Q43" s="27">
        <v>1</v>
      </c>
      <c r="R43" s="27">
        <v>0</v>
      </c>
      <c r="S43" s="27">
        <v>0</v>
      </c>
      <c r="T43" s="27">
        <v>0</v>
      </c>
      <c r="U43" s="27">
        <v>0</v>
      </c>
      <c r="V43" s="27">
        <v>1</v>
      </c>
    </row>
    <row r="44" spans="1:22" ht="21" customHeight="1" x14ac:dyDescent="0.15">
      <c r="A44" s="2">
        <v>7222100</v>
      </c>
      <c r="B44" s="5">
        <v>1028</v>
      </c>
      <c r="C44" s="7" t="str">
        <f t="shared" si="28"/>
        <v>PremiumSS5R5only</v>
      </c>
      <c r="D44" s="7" t="str">
        <f t="shared" si="1"/>
        <v>PremiumSS</v>
      </c>
      <c r="E44" s="7" t="str">
        <f>IF(COUNTIF('R6追加前'!A:A,B44)=0,IF(OR(I44="PremiumSS",I44="PremiumSSw"),"R5only","R3less"),"")</f>
        <v>R5only</v>
      </c>
      <c r="F44" s="7" t="str">
        <f>IF(COUNTIF('R6開放'!A:A,B44)&gt;0,"R6release","")</f>
        <v/>
      </c>
      <c r="G44" s="7"/>
      <c r="H44" s="7" t="str">
        <f>VLOOKUP(B44,[1]characters!$A:$C,3,FALSE)</f>
        <v>牛若丸</v>
      </c>
      <c r="I44" s="7" t="str">
        <f>VLOOKUP(B44,[1]characters!$A:$J,10,FALSE)</f>
        <v>PremiumSS</v>
      </c>
      <c r="J44" s="7">
        <f>VLOOKUP(B44,[1]characters!$A:$I,9,FALSE)</f>
        <v>5</v>
      </c>
      <c r="K44" s="7" t="str">
        <f>VLOOKUP(B44,[1]characters!$A:$H,8,FALSE)</f>
        <v>green</v>
      </c>
      <c r="L44" s="7" t="str">
        <f>VLOOKUP(B44,[1]characters!$A:$K,11,FALSE)</f>
        <v>balance</v>
      </c>
      <c r="M44" s="7" t="str">
        <f>VLOOKUP(B44,[1]characters!$A:$M,13,FALSE)</f>
        <v>human</v>
      </c>
      <c r="N44" s="7" t="str">
        <f>VLOOKUP(B44,[1]characters!$A:$G,7,FALSE)</f>
        <v>男性</v>
      </c>
      <c r="O44" s="31">
        <v>10</v>
      </c>
      <c r="P44" s="32">
        <f>O44/SUM(O:O)</f>
        <v>1.5151515151515152E-2</v>
      </c>
      <c r="Q44" s="27">
        <v>1</v>
      </c>
      <c r="R44" s="27">
        <v>0</v>
      </c>
      <c r="S44" s="27">
        <v>0</v>
      </c>
      <c r="T44" s="27">
        <v>0</v>
      </c>
      <c r="U44" s="27">
        <v>0</v>
      </c>
      <c r="V44" s="27">
        <v>1</v>
      </c>
    </row>
    <row r="45" spans="1:22" ht="21" customHeight="1" x14ac:dyDescent="0.15">
      <c r="A45" s="2">
        <v>7222100</v>
      </c>
      <c r="B45" s="5">
        <v>1031</v>
      </c>
      <c r="C45" s="7" t="str">
        <f t="shared" si="28"/>
        <v>PremiumSS5R5only</v>
      </c>
      <c r="D45" s="7" t="str">
        <f t="shared" si="1"/>
        <v>PremiumSS</v>
      </c>
      <c r="E45" s="7" t="str">
        <f>IF(COUNTIF('R6追加前'!A:A,B45)=0,IF(OR(I45="PremiumSS",I45="PremiumSSw"),"R5only","R3less"),"")</f>
        <v>R5only</v>
      </c>
      <c r="F45" s="7" t="str">
        <f>IF(COUNTIF('R6開放'!A:A,B45)&gt;0,"R6release","")</f>
        <v/>
      </c>
      <c r="G45" s="7"/>
      <c r="H45" s="7" t="str">
        <f>VLOOKUP(B45,[1]characters!$A:$C,3,FALSE)</f>
        <v>紫式部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blue</v>
      </c>
      <c r="L45" s="7" t="str">
        <f>VLOOKUP(B45,[1]characters!$A:$K,11,FALSE)</f>
        <v>technical</v>
      </c>
      <c r="M45" s="7" t="str">
        <f>VLOOKUP(B45,[1]characters!$A:$M,13,FALSE)</f>
        <v>human</v>
      </c>
      <c r="N45" s="7" t="str">
        <f>VLOOKUP(B45,[1]characters!$A:$G,7,FALSE)</f>
        <v>男性</v>
      </c>
      <c r="O45" s="31">
        <v>10</v>
      </c>
      <c r="P45" s="32">
        <f>O45/SUM(O:O)</f>
        <v>1.5151515151515152E-2</v>
      </c>
      <c r="Q45" s="27">
        <v>1</v>
      </c>
      <c r="R45" s="27">
        <v>0</v>
      </c>
      <c r="S45" s="27">
        <v>0</v>
      </c>
      <c r="T45" s="27">
        <v>0</v>
      </c>
      <c r="U45" s="27">
        <v>0</v>
      </c>
      <c r="V45" s="27">
        <v>1</v>
      </c>
    </row>
    <row r="46" spans="1:22" ht="21" customHeight="1" x14ac:dyDescent="0.15">
      <c r="A46" s="2">
        <v>7222100</v>
      </c>
      <c r="B46" s="2">
        <v>1033</v>
      </c>
      <c r="C46" s="7" t="str">
        <f t="shared" ref="C46" si="29">D46&amp;J46&amp;E46&amp;F46&amp;G46</f>
        <v>PremiumSS5R5only</v>
      </c>
      <c r="D46" s="7" t="str">
        <f t="shared" ref="D46" si="30">IF(OR(I46="PremiumSS",I46="PremiumSSw"),"PremiumSS",IF(I46="PremiumSSS",I46,IF(I46="PremiumW",I46,"Premium")))</f>
        <v>PremiumSS</v>
      </c>
      <c r="E46" s="7" t="str">
        <f>IF(COUNTIF('R6追加前'!A:A,B46)=0,IF(OR(I46="PremiumSS",I46="PremiumSSw"),"R5only","R3less"),"")</f>
        <v>R5only</v>
      </c>
      <c r="F46" s="7" t="str">
        <f>IF(COUNTIF('R6開放'!A:A,B46)&gt;0,"R6release","")</f>
        <v/>
      </c>
      <c r="G46" s="7"/>
      <c r="H46" s="7" t="str">
        <f>VLOOKUP(B46,[1]characters!$A:$C,3,FALSE)</f>
        <v>清少納言</v>
      </c>
      <c r="I46" s="7" t="str">
        <f>VLOOKUP(B46,[1]characters!$A:$J,10,FALSE)</f>
        <v>PremiumSS</v>
      </c>
      <c r="J46" s="7">
        <f>VLOOKUP(B46,[1]characters!$A:$I,9,FALSE)</f>
        <v>5</v>
      </c>
      <c r="K46" s="7" t="str">
        <f>VLOOKUP(B46,[1]characters!$A:$H,8,FALSE)</f>
        <v>yellow</v>
      </c>
      <c r="L46" s="7" t="str">
        <f>VLOOKUP(B46,[1]characters!$A:$K,11,FALSE)</f>
        <v>heal</v>
      </c>
      <c r="M46" s="7" t="str">
        <f>VLOOKUP(B46,[1]characters!$A:$M,13,FALSE)</f>
        <v>human</v>
      </c>
      <c r="N46" s="7" t="str">
        <f>VLOOKUP(B46,[1]characters!$A:$G,7,FALSE)</f>
        <v>男性</v>
      </c>
      <c r="O46" s="31">
        <v>10</v>
      </c>
      <c r="P46" s="32">
        <f>O46/SUM(O:O)</f>
        <v>1.5151515151515152E-2</v>
      </c>
      <c r="Q46" s="27">
        <v>1</v>
      </c>
      <c r="R46" s="27">
        <v>0</v>
      </c>
      <c r="S46" s="27">
        <v>0</v>
      </c>
      <c r="T46" s="27">
        <v>0</v>
      </c>
      <c r="U46" s="27">
        <v>0</v>
      </c>
      <c r="V46" s="27">
        <v>1</v>
      </c>
    </row>
    <row r="47" spans="1:22" ht="21" customHeight="1" x14ac:dyDescent="0.15">
      <c r="A47" s="2">
        <v>7222100</v>
      </c>
      <c r="B47" s="2">
        <v>1069</v>
      </c>
      <c r="C47" s="7" t="str">
        <f t="shared" ref="C47" si="31">D47&amp;J47&amp;E47&amp;F47&amp;G47</f>
        <v>PremiumSS5R5only</v>
      </c>
      <c r="D47" s="7" t="str">
        <f t="shared" ref="D47" si="32">IF(OR(I47="PremiumSS",I47="PremiumSSw"),"PremiumSS",IF(I47="PremiumSSS",I47,IF(I47="PremiumW",I47,"Premium")))</f>
        <v>PremiumSS</v>
      </c>
      <c r="E47" s="7" t="str">
        <f>IF(COUNTIF('R6追加前'!A:A,B47)=0,IF(OR(I47="PremiumSS",I47="PremiumSSw"),"R5only","R3less"),"")</f>
        <v>R5only</v>
      </c>
      <c r="F47" s="7" t="str">
        <f>IF(COUNTIF('R6開放'!A:A,B47)&gt;0,"R6release","")</f>
        <v/>
      </c>
      <c r="G47" s="7"/>
      <c r="H47" s="7" t="str">
        <f>VLOOKUP(B47,[1]characters!$A:$C,3,FALSE)</f>
        <v>イシュタル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technical</v>
      </c>
      <c r="M47" s="7" t="str">
        <f>VLOOKUP(B47,[1]characters!$A:$M,13,FALSE)</f>
        <v>god</v>
      </c>
      <c r="N47" s="7" t="str">
        <f>VLOOKUP(B47,[1]characters!$A:$G,7,FALSE)</f>
        <v>男性</v>
      </c>
      <c r="O47" s="31">
        <v>10</v>
      </c>
      <c r="P47" s="32">
        <f>O47/SUM(O:O)</f>
        <v>1.5151515151515152E-2</v>
      </c>
      <c r="Q47" s="27">
        <v>1</v>
      </c>
      <c r="R47" s="27">
        <v>0</v>
      </c>
      <c r="S47" s="27">
        <v>0</v>
      </c>
      <c r="T47" s="27">
        <v>0</v>
      </c>
      <c r="U47" s="27">
        <v>0</v>
      </c>
      <c r="V47" s="27">
        <v>1</v>
      </c>
    </row>
    <row r="48" spans="1:22" ht="21" customHeight="1" x14ac:dyDescent="0.15">
      <c r="A48" s="2">
        <v>7222100</v>
      </c>
      <c r="B48" s="2">
        <v>1072</v>
      </c>
      <c r="C48" s="7" t="str">
        <f t="shared" ref="C48:C50" si="33">D48&amp;J48&amp;E48&amp;F48&amp;G48</f>
        <v>PremiumSS5R5only</v>
      </c>
      <c r="D48" s="7" t="str">
        <f t="shared" ref="D48:D50" si="34">IF(OR(I48="PremiumSS",I48="PremiumSSw"),"PremiumSS",IF(I48="PremiumSSS",I48,IF(I48="PremiumW",I48,"Premium")))</f>
        <v>PremiumSS</v>
      </c>
      <c r="E48" s="7" t="str">
        <f>IF(COUNTIF('R6追加前'!A:A,B48)=0,IF(OR(I48="PremiumSS",I48="PremiumSSw"),"R5only","R3less"),"")</f>
        <v>R5only</v>
      </c>
      <c r="F48" s="7" t="str">
        <f>IF(COUNTIF('R6開放'!A:A,B48)&gt;0,"R6release","")</f>
        <v/>
      </c>
      <c r="G48" s="7"/>
      <c r="H48" s="7" t="str">
        <f>VLOOKUP(B48,[1]characters!$A:$C,3,FALSE)</f>
        <v>エンキドゥ</v>
      </c>
      <c r="I48" s="7" t="str">
        <f>VLOOKUP(B48,[1]characters!$A:$J,10,FALSE)</f>
        <v>PremiumSSw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human</v>
      </c>
      <c r="N48" s="7" t="str">
        <f>VLOOKUP(B48,[1]characters!$A:$G,7,FALSE)</f>
        <v>男性</v>
      </c>
      <c r="O48" s="31">
        <v>10</v>
      </c>
      <c r="P48" s="32">
        <f>O48/SUM(O:O)</f>
        <v>1.5151515151515152E-2</v>
      </c>
      <c r="Q48" s="27">
        <v>1</v>
      </c>
      <c r="R48" s="27">
        <v>0</v>
      </c>
      <c r="S48" s="27">
        <v>0</v>
      </c>
      <c r="T48" s="27">
        <v>0</v>
      </c>
      <c r="U48" s="27">
        <v>0</v>
      </c>
      <c r="V48" s="27">
        <v>1</v>
      </c>
    </row>
    <row r="49" spans="1:22" ht="21" customHeight="1" x14ac:dyDescent="0.15">
      <c r="A49" s="2">
        <v>7222100</v>
      </c>
      <c r="B49" s="2">
        <v>1074</v>
      </c>
      <c r="C49" s="7" t="str">
        <f t="shared" si="33"/>
        <v>PremiumSS5R5only</v>
      </c>
      <c r="D49" s="7" t="str">
        <f t="shared" si="34"/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マルドゥク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technical</v>
      </c>
      <c r="M49" s="7" t="str">
        <f>VLOOKUP(B49,[1]characters!$A:$M,13,FALSE)</f>
        <v>god</v>
      </c>
      <c r="N49" s="7" t="str">
        <f>VLOOKUP(B49,[1]characters!$A:$G,7,FALSE)</f>
        <v>男性</v>
      </c>
      <c r="O49" s="31">
        <v>10</v>
      </c>
      <c r="P49" s="32">
        <f>O49/SUM(O:O)</f>
        <v>1.5151515151515152E-2</v>
      </c>
      <c r="Q49" s="27">
        <v>1</v>
      </c>
      <c r="R49" s="27">
        <v>0</v>
      </c>
      <c r="S49" s="27">
        <v>0</v>
      </c>
      <c r="T49" s="27">
        <v>0</v>
      </c>
      <c r="U49" s="27">
        <v>0</v>
      </c>
      <c r="V49" s="27">
        <v>1</v>
      </c>
    </row>
    <row r="50" spans="1:22" ht="21" customHeight="1" x14ac:dyDescent="0.15">
      <c r="A50" s="2">
        <v>7222100</v>
      </c>
      <c r="B50" s="2">
        <v>1100</v>
      </c>
      <c r="C50" s="7" t="str">
        <f t="shared" si="33"/>
        <v>PremiumSS5R5only</v>
      </c>
      <c r="D50" s="7" t="str">
        <f t="shared" si="34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北斎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attack</v>
      </c>
      <c r="M50" s="7" t="str">
        <f>VLOOKUP(B50,[1]characters!$A:$M,13,FALSE)</f>
        <v>human</v>
      </c>
      <c r="N50" s="7" t="str">
        <f>VLOOKUP(B50,[1]characters!$A:$G,7,FALSE)</f>
        <v>不明</v>
      </c>
      <c r="O50" s="31">
        <v>10</v>
      </c>
      <c r="P50" s="32">
        <f>O50/SUM(O:O)</f>
        <v>1.5151515151515152E-2</v>
      </c>
      <c r="Q50" s="27">
        <v>1</v>
      </c>
      <c r="R50" s="27">
        <v>0</v>
      </c>
      <c r="S50" s="27">
        <v>0</v>
      </c>
      <c r="T50" s="27">
        <v>0</v>
      </c>
      <c r="U50" s="27">
        <v>0</v>
      </c>
      <c r="V50" s="27">
        <v>1</v>
      </c>
    </row>
    <row r="51" spans="1:22" ht="21" customHeight="1" x14ac:dyDescent="0.15">
      <c r="A51" s="2">
        <v>7222100</v>
      </c>
      <c r="B51" s="2">
        <v>1102</v>
      </c>
      <c r="C51" s="7" t="str">
        <f t="shared" ref="C51:C53" si="35">D51&amp;J51&amp;E51&amp;F51&amp;G51</f>
        <v>PremiumSS5R5only</v>
      </c>
      <c r="D51" s="7" t="str">
        <f t="shared" ref="D51:D53" si="36">IF(OR(I51="PremiumSS",I51="PremiumSSw"),"PremiumSS",IF(I51="PremiumSSS",I51,IF(I51="PremiumW",I51,"Premium")))</f>
        <v>PremiumSS</v>
      </c>
      <c r="E51" s="7" t="str">
        <f>IF(COUNTIF('R6追加前'!A:A,B51)=0,IF(OR(I51="PremiumSS",I51="PremiumSSw"),"R5only","R3less"),"")</f>
        <v>R5only</v>
      </c>
      <c r="F51" s="7" t="str">
        <f>IF(COUNTIF('R6開放'!A:A,B51)&gt;0,"R6release","")</f>
        <v/>
      </c>
      <c r="G51" s="7"/>
      <c r="H51" s="7" t="str">
        <f>VLOOKUP(B51,[1]characters!$A:$C,3,FALSE)</f>
        <v>ドガ</v>
      </c>
      <c r="I51" s="7" t="str">
        <f>VLOOKUP(B51,[1]characters!$A:$J,10,FALSE)</f>
        <v>PremiumSSw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balance</v>
      </c>
      <c r="M51" s="7" t="str">
        <f>VLOOKUP(B51,[1]characters!$A:$M,13,FALSE)</f>
        <v>animal</v>
      </c>
      <c r="N51" s="7" t="str">
        <f>VLOOKUP(B51,[1]characters!$A:$G,7,FALSE)</f>
        <v>不明</v>
      </c>
      <c r="O51" s="31">
        <v>10</v>
      </c>
      <c r="P51" s="32">
        <f>O51/SUM(O:O)</f>
        <v>1.5151515151515152E-2</v>
      </c>
      <c r="Q51" s="27">
        <v>1</v>
      </c>
      <c r="R51" s="27">
        <v>0</v>
      </c>
      <c r="S51" s="27">
        <v>0</v>
      </c>
      <c r="T51" s="27">
        <v>0</v>
      </c>
      <c r="U51" s="27">
        <v>0</v>
      </c>
      <c r="V51" s="27">
        <v>1</v>
      </c>
    </row>
    <row r="52" spans="1:22" ht="21" customHeight="1" x14ac:dyDescent="0.15">
      <c r="A52" s="2">
        <v>7222100</v>
      </c>
      <c r="B52" s="2">
        <v>1106</v>
      </c>
      <c r="C52" s="7" t="str">
        <f t="shared" si="35"/>
        <v>PremiumSS5R5only</v>
      </c>
      <c r="D52" s="7" t="str">
        <f t="shared" si="36"/>
        <v>PremiumSS</v>
      </c>
      <c r="E52" s="7" t="str">
        <f>IF(COUNTIF('R6追加前'!A:A,B52)=0,IF(OR(I52="PremiumSS",I52="PremiumSSw"),"R5only","R3less"),"")</f>
        <v>R5only</v>
      </c>
      <c r="F52" s="7" t="str">
        <f>IF(COUNTIF('R6開放'!A:A,B52)&gt;0,"R6release","")</f>
        <v/>
      </c>
      <c r="G52" s="7"/>
      <c r="H52" s="7" t="str">
        <f>VLOOKUP(B52,[1]characters!$A:$C,3,FALSE)</f>
        <v>ラファエロ</v>
      </c>
      <c r="I52" s="7" t="str">
        <f>VLOOKUP(B52,[1]characters!$A:$J,10,FALSE)</f>
        <v>PremiumSS</v>
      </c>
      <c r="J52" s="7">
        <f>VLOOKUP(B52,[1]characters!$A:$I,9,FALSE)</f>
        <v>5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human</v>
      </c>
      <c r="N52" s="7" t="str">
        <f>VLOOKUP(B52,[1]characters!$A:$G,7,FALSE)</f>
        <v>不明</v>
      </c>
      <c r="O52" s="31">
        <v>10</v>
      </c>
      <c r="P52" s="32">
        <f>O52/SUM(O:O)</f>
        <v>1.5151515151515152E-2</v>
      </c>
      <c r="Q52" s="27">
        <v>1</v>
      </c>
      <c r="R52" s="27">
        <v>0</v>
      </c>
      <c r="S52" s="27">
        <v>0</v>
      </c>
      <c r="T52" s="27">
        <v>0</v>
      </c>
      <c r="U52" s="27">
        <v>0</v>
      </c>
      <c r="V52" s="27">
        <v>1</v>
      </c>
    </row>
    <row r="53" spans="1:22" ht="21" customHeight="1" x14ac:dyDescent="0.15">
      <c r="A53" s="2">
        <v>7222100</v>
      </c>
      <c r="B53" s="2">
        <v>1137</v>
      </c>
      <c r="C53" s="7" t="str">
        <f t="shared" si="35"/>
        <v>PremiumSS5R5only</v>
      </c>
      <c r="D53" s="7" t="str">
        <f t="shared" si="36"/>
        <v>PremiumSS</v>
      </c>
      <c r="E53" s="7" t="str">
        <f>IF(COUNTIF('R6追加前'!A:A,B53)=0,IF(OR(I53="PremiumSS",I53="PremiumSSw"),"R5only","R3less"),"")</f>
        <v>R5only</v>
      </c>
      <c r="F53" s="7" t="str">
        <f>IF(COUNTIF('R6開放'!A:A,B53)&gt;0,"R6release","")</f>
        <v/>
      </c>
      <c r="G53" s="7"/>
      <c r="H53" s="7" t="str">
        <f>VLOOKUP(B53,[1]characters!$A:$C,3,FALSE)</f>
        <v>諸葛亮</v>
      </c>
      <c r="I53" s="7" t="str">
        <f>VLOOKUP(B53,[1]characters!$A:$J,10,FALSE)</f>
        <v>PremiumSSw</v>
      </c>
      <c r="J53" s="7">
        <f>VLOOKUP(B53,[1]characters!$A:$I,9,FALSE)</f>
        <v>5</v>
      </c>
      <c r="K53" s="7" t="str">
        <f>VLOOKUP(B53,[1]characters!$A:$H,8,FALSE)</f>
        <v>red</v>
      </c>
      <c r="L53" s="7" t="str">
        <f>VLOOKUP(B53,[1]characters!$A:$K,11,FALSE)</f>
        <v>technical</v>
      </c>
      <c r="M53" s="7" t="str">
        <f>VLOOKUP(B53,[1]characters!$A:$M,13,FALSE)</f>
        <v>samurai</v>
      </c>
      <c r="N53" s="7" t="str">
        <f>VLOOKUP(B53,[1]characters!$A:$G,7,FALSE)</f>
        <v>不明</v>
      </c>
      <c r="O53" s="31">
        <v>10</v>
      </c>
      <c r="P53" s="32">
        <f>O53/SUM(O:O)</f>
        <v>1.5151515151515152E-2</v>
      </c>
      <c r="Q53" s="27">
        <v>1</v>
      </c>
      <c r="R53" s="27">
        <v>0</v>
      </c>
      <c r="S53" s="27">
        <v>0</v>
      </c>
      <c r="T53" s="27">
        <v>0</v>
      </c>
      <c r="U53" s="27">
        <v>0</v>
      </c>
      <c r="V53" s="27">
        <v>1</v>
      </c>
    </row>
    <row r="54" spans="1:22" ht="21" customHeight="1" x14ac:dyDescent="0.15">
      <c r="A54" s="2">
        <v>7222100</v>
      </c>
      <c r="B54" s="2">
        <v>1139</v>
      </c>
      <c r="C54" s="7" t="str">
        <f t="shared" ref="C54:C56" si="37">D54&amp;J54&amp;E54&amp;F54&amp;G54</f>
        <v>PremiumSS5R5only</v>
      </c>
      <c r="D54" s="7" t="str">
        <f t="shared" ref="D54:D56" si="38">IF(OR(I54="PremiumSS",I54="PremiumSSw"),"PremiumSS",IF(I54="PremiumSSS",I54,IF(I54="PremiumW",I54,"Premium")))</f>
        <v>PremiumSS</v>
      </c>
      <c r="E54" s="7" t="str">
        <f>IF(COUNTIF('R6追加前'!A:A,B54)=0,IF(OR(I54="PremiumSS",I54="PremiumSSw"),"R5only","R3less"),"")</f>
        <v>R5only</v>
      </c>
      <c r="F54" s="7" t="str">
        <f>IF(COUNTIF('R6開放'!A:A,B54)&gt;0,"R6release","")</f>
        <v/>
      </c>
      <c r="G54" s="7"/>
      <c r="H54" s="7" t="str">
        <f>VLOOKUP(B54,[1]characters!$A:$C,3,FALSE)</f>
        <v>趙雲</v>
      </c>
      <c r="I54" s="7" t="str">
        <f>VLOOKUP(B54,[1]characters!$A:$J,10,FALSE)</f>
        <v>PremiumSS</v>
      </c>
      <c r="J54" s="7">
        <f>VLOOKUP(B54,[1]characters!$A:$I,9,FALSE)</f>
        <v>5</v>
      </c>
      <c r="K54" s="7" t="str">
        <f>VLOOKUP(B54,[1]characters!$A:$H,8,FALSE)</f>
        <v>green</v>
      </c>
      <c r="L54" s="7" t="str">
        <f>VLOOKUP(B54,[1]characters!$A:$K,11,FALSE)</f>
        <v>balance</v>
      </c>
      <c r="M54" s="7" t="str">
        <f>VLOOKUP(B54,[1]characters!$A:$M,13,FALSE)</f>
        <v>samurai</v>
      </c>
      <c r="N54" s="7" t="str">
        <f>VLOOKUP(B54,[1]characters!$A:$G,7,FALSE)</f>
        <v>不明</v>
      </c>
      <c r="O54" s="31">
        <v>10</v>
      </c>
      <c r="P54" s="32">
        <f>O54/SUM(O:O)</f>
        <v>1.5151515151515152E-2</v>
      </c>
      <c r="Q54" s="27">
        <v>1</v>
      </c>
      <c r="R54" s="27">
        <v>0</v>
      </c>
      <c r="S54" s="27">
        <v>0</v>
      </c>
      <c r="T54" s="27">
        <v>0</v>
      </c>
      <c r="U54" s="27">
        <v>0</v>
      </c>
      <c r="V54" s="27">
        <v>1</v>
      </c>
    </row>
    <row r="55" spans="1:22" ht="21" customHeight="1" x14ac:dyDescent="0.15">
      <c r="A55" s="2">
        <v>7222100</v>
      </c>
      <c r="B55" s="2">
        <v>1141</v>
      </c>
      <c r="C55" s="7" t="str">
        <f t="shared" si="37"/>
        <v>PremiumSS5R5only</v>
      </c>
      <c r="D55" s="7" t="str">
        <f t="shared" si="38"/>
        <v>PremiumSS</v>
      </c>
      <c r="E55" s="7" t="str">
        <f>IF(COUNTIF('R6追加前'!A:A,B55)=0,IF(OR(I55="PremiumSS",I55="PremiumSSw"),"R5only","R3less"),"")</f>
        <v>R5only</v>
      </c>
      <c r="F55" s="7" t="str">
        <f>IF(COUNTIF('R6開放'!A:A,B55)&gt;0,"R6release","")</f>
        <v/>
      </c>
      <c r="G55" s="7"/>
      <c r="H55" s="7" t="str">
        <f>VLOOKUP(B55,[1]characters!$A:$C,3,FALSE)</f>
        <v>月英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blue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不明</v>
      </c>
      <c r="O55" s="31">
        <v>10</v>
      </c>
      <c r="P55" s="32">
        <f>O55/SUM(O:O)</f>
        <v>1.5151515151515152E-2</v>
      </c>
      <c r="Q55" s="27">
        <v>1</v>
      </c>
      <c r="R55" s="27">
        <v>0</v>
      </c>
      <c r="S55" s="27">
        <v>0</v>
      </c>
      <c r="T55" s="27">
        <v>0</v>
      </c>
      <c r="U55" s="27">
        <v>0</v>
      </c>
      <c r="V55" s="27">
        <v>1</v>
      </c>
    </row>
    <row r="56" spans="1:22" ht="21" customHeight="1" x14ac:dyDescent="0.15">
      <c r="A56" s="2">
        <v>7222100</v>
      </c>
      <c r="B56" s="2">
        <v>1153</v>
      </c>
      <c r="C56" s="7" t="str">
        <f t="shared" si="37"/>
        <v>PremiumSS5R5only</v>
      </c>
      <c r="D56" s="7" t="str">
        <f t="shared" si="38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ラクシュミー</v>
      </c>
      <c r="I56" s="7" t="str">
        <f>VLOOKUP(B56,[1]characters!$A:$J,10,FALSE)</f>
        <v>PremiumSSw</v>
      </c>
      <c r="J56" s="7">
        <f>VLOOKUP(B56,[1]characters!$A:$I,9,FALSE)</f>
        <v>5</v>
      </c>
      <c r="K56" s="7" t="str">
        <f>VLOOKUP(B56,[1]characters!$A:$H,8,FALSE)</f>
        <v>green</v>
      </c>
      <c r="L56" s="7" t="str">
        <f>VLOOKUP(B56,[1]characters!$A:$K,11,FALSE)</f>
        <v>hp</v>
      </c>
      <c r="M56" s="7" t="str">
        <f>VLOOKUP(B56,[1]characters!$A:$M,13,FALSE)</f>
        <v>god</v>
      </c>
      <c r="N56" s="7" t="str">
        <f>VLOOKUP(B56,[1]characters!$A:$G,7,FALSE)</f>
        <v>不明</v>
      </c>
      <c r="O56" s="31">
        <v>10</v>
      </c>
      <c r="P56" s="32">
        <f>O56/SUM(O:O)</f>
        <v>1.5151515151515152E-2</v>
      </c>
      <c r="Q56" s="27">
        <v>1</v>
      </c>
      <c r="R56" s="27">
        <v>0</v>
      </c>
      <c r="S56" s="27">
        <v>0</v>
      </c>
      <c r="T56" s="27">
        <v>0</v>
      </c>
      <c r="U56" s="27">
        <v>0</v>
      </c>
      <c r="V56" s="27">
        <v>1</v>
      </c>
    </row>
    <row r="57" spans="1:22" ht="21" customHeight="1" x14ac:dyDescent="0.15">
      <c r="A57" s="2">
        <v>7222100</v>
      </c>
      <c r="B57" s="2">
        <v>1155</v>
      </c>
      <c r="C57" s="7" t="str">
        <f t="shared" ref="C57:C61" si="39">D57&amp;J57&amp;E57&amp;F57&amp;G57</f>
        <v>PremiumSS5R5only</v>
      </c>
      <c r="D57" s="7" t="str">
        <f t="shared" ref="D57:D61" si="40">IF(OR(I57="PremiumSS",I57="PremiumSSw"),"PremiumSS",IF(I57="PremiumSSS",I57,IF(I57="PremiumW",I57,"Premium")))</f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ドゥルガー</v>
      </c>
      <c r="I57" s="7" t="str">
        <f>VLOOKUP(B57,[1]characters!$A:$J,10,FALSE)</f>
        <v>PremiumSS</v>
      </c>
      <c r="J57" s="7">
        <f>VLOOKUP(B57,[1]characters!$A:$I,9,FALSE)</f>
        <v>5</v>
      </c>
      <c r="K57" s="7" t="str">
        <f>VLOOKUP(B57,[1]characters!$A:$H,8,FALSE)</f>
        <v>blue</v>
      </c>
      <c r="L57" s="7" t="str">
        <f>VLOOKUP(B57,[1]characters!$A:$K,11,FALSE)</f>
        <v>balance</v>
      </c>
      <c r="M57" s="7" t="str">
        <f>VLOOKUP(B57,[1]characters!$A:$M,13,FALSE)</f>
        <v>god</v>
      </c>
      <c r="N57" s="7" t="str">
        <f>VLOOKUP(B57,[1]characters!$A:$G,7,FALSE)</f>
        <v>不明</v>
      </c>
      <c r="O57" s="31">
        <v>10</v>
      </c>
      <c r="P57" s="32">
        <f>O57/SUM(O:O)</f>
        <v>1.5151515151515152E-2</v>
      </c>
      <c r="Q57" s="27">
        <v>1</v>
      </c>
      <c r="R57" s="27">
        <v>0</v>
      </c>
      <c r="S57" s="27">
        <v>0</v>
      </c>
      <c r="T57" s="27">
        <v>0</v>
      </c>
      <c r="U57" s="27">
        <v>0</v>
      </c>
      <c r="V57" s="27">
        <v>1</v>
      </c>
    </row>
    <row r="58" spans="1:22" ht="21" customHeight="1" x14ac:dyDescent="0.15">
      <c r="A58" s="2">
        <v>7222100</v>
      </c>
      <c r="B58" s="2">
        <v>1157</v>
      </c>
      <c r="C58" s="7" t="str">
        <f t="shared" si="39"/>
        <v>PremiumSS5R5only</v>
      </c>
      <c r="D58" s="7" t="str">
        <f t="shared" si="40"/>
        <v>PremiumSS</v>
      </c>
      <c r="E58" s="7" t="str">
        <f>IF(COUNTIF('R6追加前'!A:A,B58)=0,IF(OR(I58="PremiumSS",I58="PremiumSSw"),"R5only","R3less"),"")</f>
        <v>R5only</v>
      </c>
      <c r="F58" s="7" t="str">
        <f>IF(COUNTIF('R6開放'!A:A,B58)&gt;0,"R6release","")</f>
        <v/>
      </c>
      <c r="G58" s="7"/>
      <c r="H58" s="7" t="str">
        <f>VLOOKUP(B58,[1]characters!$A:$C,3,FALSE)</f>
        <v>インドラ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yellow</v>
      </c>
      <c r="L58" s="7" t="str">
        <f>VLOOKUP(B58,[1]characters!$A:$K,11,FALSE)</f>
        <v>attack</v>
      </c>
      <c r="M58" s="7" t="str">
        <f>VLOOKUP(B58,[1]characters!$A:$M,13,FALSE)</f>
        <v>god</v>
      </c>
      <c r="N58" s="7" t="str">
        <f>VLOOKUP(B58,[1]characters!$A:$G,7,FALSE)</f>
        <v>不明</v>
      </c>
      <c r="O58" s="31">
        <v>10</v>
      </c>
      <c r="P58" s="32">
        <f>O58/SUM(O:O)</f>
        <v>1.5151515151515152E-2</v>
      </c>
      <c r="Q58" s="27">
        <v>1</v>
      </c>
      <c r="R58" s="27">
        <v>0</v>
      </c>
      <c r="S58" s="27">
        <v>0</v>
      </c>
      <c r="T58" s="27">
        <v>0</v>
      </c>
      <c r="U58" s="27">
        <v>0</v>
      </c>
      <c r="V58" s="27">
        <v>1</v>
      </c>
    </row>
    <row r="59" spans="1:22" ht="21" customHeight="1" x14ac:dyDescent="0.15">
      <c r="A59" s="2">
        <v>7222100</v>
      </c>
      <c r="B59" s="2">
        <v>1208</v>
      </c>
      <c r="C59" s="7" t="str">
        <f t="shared" si="39"/>
        <v>PremiumSS5R5only</v>
      </c>
      <c r="D59" s="7" t="str">
        <f t="shared" si="40"/>
        <v>PremiumSS</v>
      </c>
      <c r="E59" s="7" t="str">
        <f>IF(COUNTIF('R6追加前'!A:A,B59)=0,IF(OR(I59="PremiumSS",I59="PremiumSSw"),"R5only","R3less"),"")</f>
        <v>R5only</v>
      </c>
      <c r="F59" s="7" t="str">
        <f>IF(COUNTIF('R6開放'!A:A,B59)&gt;0,"R6release","")</f>
        <v/>
      </c>
      <c r="G59" s="7"/>
      <c r="H59" s="7" t="str">
        <f>VLOOKUP(B59,[1]characters!$A:$C,3,FALSE)</f>
        <v>ネメシス</v>
      </c>
      <c r="I59" s="7" t="str">
        <f>VLOOKUP(B59,[1]characters!$A:$J,10,FALSE)</f>
        <v>PremiumSS</v>
      </c>
      <c r="J59" s="7">
        <f>VLOOKUP(B59,[1]characters!$A:$I,9,FALSE)</f>
        <v>5</v>
      </c>
      <c r="K59" s="7" t="str">
        <f>VLOOKUP(B59,[1]characters!$A:$H,8,FALSE)</f>
        <v>red</v>
      </c>
      <c r="L59" s="7" t="str">
        <f>VLOOKUP(B59,[1]characters!$A:$K,11,FALSE)</f>
        <v>hp</v>
      </c>
      <c r="M59" s="7" t="str">
        <f>VLOOKUP(B59,[1]characters!$A:$M,13,FALSE)</f>
        <v>god</v>
      </c>
      <c r="N59" s="7">
        <f>VLOOKUP(B59,[1]characters!$A:$G,7,FALSE)</f>
        <v>0</v>
      </c>
      <c r="O59" s="31">
        <v>10</v>
      </c>
      <c r="P59" s="32">
        <f>O59/SUM(O:O)</f>
        <v>1.5151515151515152E-2</v>
      </c>
      <c r="Q59" s="27">
        <v>1</v>
      </c>
      <c r="R59" s="27">
        <v>0</v>
      </c>
      <c r="S59" s="27">
        <v>0</v>
      </c>
      <c r="T59" s="27">
        <v>0</v>
      </c>
      <c r="U59" s="27">
        <v>0</v>
      </c>
      <c r="V59" s="27">
        <v>1</v>
      </c>
    </row>
    <row r="60" spans="1:22" ht="21" customHeight="1" x14ac:dyDescent="0.15">
      <c r="A60" s="2">
        <v>7222100</v>
      </c>
      <c r="B60" s="2">
        <v>1212</v>
      </c>
      <c r="C60" s="7" t="str">
        <f t="shared" si="39"/>
        <v>PremiumSS5R5only</v>
      </c>
      <c r="D60" s="7" t="str">
        <f t="shared" si="40"/>
        <v>PremiumSS</v>
      </c>
      <c r="E60" s="7" t="str">
        <f>IF(COUNTIF('R6追加前'!A:A,B60)=0,IF(OR(I60="PremiumSS",I60="PremiumSSw"),"R5only","R3less"),"")</f>
        <v>R5only</v>
      </c>
      <c r="F60" s="7" t="str">
        <f>IF(COUNTIF('R6開放'!A:A,B60)&gt;0,"R6release","")</f>
        <v/>
      </c>
      <c r="G60" s="7"/>
      <c r="H60" s="7" t="str">
        <f>VLOOKUP(B60,[1]characters!$A:$C,3,FALSE)</f>
        <v>クロノス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>
        <f>VLOOKUP(B60,[1]characters!$A:$G,7,FALSE)</f>
        <v>0</v>
      </c>
      <c r="O60" s="31">
        <v>10</v>
      </c>
      <c r="P60" s="32">
        <f>O60/SUM(O:O)</f>
        <v>1.5151515151515152E-2</v>
      </c>
      <c r="Q60" s="27">
        <v>1</v>
      </c>
      <c r="R60" s="27">
        <v>0</v>
      </c>
      <c r="S60" s="27">
        <v>0</v>
      </c>
      <c r="T60" s="27">
        <v>0</v>
      </c>
      <c r="U60" s="27">
        <v>0</v>
      </c>
      <c r="V60" s="27">
        <v>1</v>
      </c>
    </row>
    <row r="61" spans="1:22" ht="21" customHeight="1" x14ac:dyDescent="0.15">
      <c r="A61" s="2">
        <v>7222100</v>
      </c>
      <c r="B61" s="2">
        <v>1214</v>
      </c>
      <c r="C61" s="7" t="str">
        <f t="shared" si="39"/>
        <v>PremiumSS5R5only</v>
      </c>
      <c r="D61" s="7" t="str">
        <f t="shared" si="40"/>
        <v>PremiumSS</v>
      </c>
      <c r="E61" s="7" t="str">
        <f>IF(COUNTIF('R6追加前'!A:A,B61)=0,IF(OR(I61="PremiumSS",I61="PremiumSSw"),"R5only","R3less"),"")</f>
        <v>R5only</v>
      </c>
      <c r="F61" s="7" t="str">
        <f>IF(COUNTIF('R6開放'!A:A,B61)&gt;0,"R6release","")</f>
        <v/>
      </c>
      <c r="G61" s="7"/>
      <c r="H61" s="7" t="str">
        <f>VLOOKUP(B61,[1]characters!$A:$C,3,FALSE)</f>
        <v>アルテミス</v>
      </c>
      <c r="I61" s="7" t="str">
        <f>VLOOKUP(B61,[1]characters!$A:$J,10,FALSE)</f>
        <v>PremiumSSw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balance</v>
      </c>
      <c r="M61" s="7" t="str">
        <f>VLOOKUP(B61,[1]characters!$A:$M,13,FALSE)</f>
        <v>god</v>
      </c>
      <c r="N61" s="7">
        <f>VLOOKUP(B61,[1]characters!$A:$G,7,FALSE)</f>
        <v>0</v>
      </c>
      <c r="O61" s="31">
        <v>10</v>
      </c>
      <c r="P61" s="32">
        <f>O61/SUM(O:O)</f>
        <v>1.5151515151515152E-2</v>
      </c>
      <c r="Q61" s="27">
        <v>1</v>
      </c>
      <c r="R61" s="27">
        <v>0</v>
      </c>
      <c r="S61" s="27">
        <v>0</v>
      </c>
      <c r="T61" s="27">
        <v>0</v>
      </c>
      <c r="U61" s="27">
        <v>0</v>
      </c>
      <c r="V61" s="27">
        <v>1</v>
      </c>
    </row>
    <row r="62" spans="1:22" ht="21" customHeight="1" x14ac:dyDescent="0.15">
      <c r="A62" s="2">
        <v>7222100</v>
      </c>
      <c r="B62" s="2">
        <v>1226</v>
      </c>
      <c r="C62" s="7" t="str">
        <f t="shared" ref="C62:C64" si="41">D62&amp;J62&amp;E62&amp;F62&amp;G62</f>
        <v>PremiumSS5R5only</v>
      </c>
      <c r="D62" s="7" t="str">
        <f t="shared" ref="D62:D64" si="42">IF(OR(I62="PremiumSS",I62="PremiumSSw"),"PremiumSS",IF(I62="PremiumSSS",I62,IF(I62="PremiumW",I62,"Premium")))</f>
        <v>PremiumSS</v>
      </c>
      <c r="E62" s="7" t="str">
        <f>IF(COUNTIF('R6追加前'!A:A,B62)=0,IF(OR(I62="PremiumSS",I62="PremiumSSw"),"R5only","R3less"),"")</f>
        <v>R5only</v>
      </c>
      <c r="F62" s="7" t="str">
        <f>IF(COUNTIF('R6開放'!A:A,B62)&gt;0,"R6release","")</f>
        <v/>
      </c>
      <c r="G62" s="7"/>
      <c r="H62" s="7" t="str">
        <f>VLOOKUP(B62,[1]characters!$A:$C,3,FALSE)</f>
        <v>トルストイ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green</v>
      </c>
      <c r="L62" s="7" t="str">
        <f>VLOOKUP(B62,[1]characters!$A:$K,11,FALSE)</f>
        <v>attack</v>
      </c>
      <c r="M62" s="7" t="str">
        <f>VLOOKUP(B62,[1]characters!$A:$M,13,FALSE)</f>
        <v>human</v>
      </c>
      <c r="N62" s="7">
        <f>VLOOKUP(B62,[1]characters!$A:$G,7,FALSE)</f>
        <v>0</v>
      </c>
      <c r="O62" s="31">
        <v>10</v>
      </c>
      <c r="P62" s="32">
        <f>O62/SUM(O:O)</f>
        <v>1.5151515151515152E-2</v>
      </c>
      <c r="Q62" s="27">
        <v>1</v>
      </c>
      <c r="R62" s="27">
        <v>0</v>
      </c>
      <c r="S62" s="27">
        <v>0</v>
      </c>
      <c r="T62" s="27">
        <v>0</v>
      </c>
      <c r="U62" s="27">
        <v>0</v>
      </c>
      <c r="V62" s="27">
        <v>1</v>
      </c>
    </row>
    <row r="63" spans="1:22" ht="21" customHeight="1" x14ac:dyDescent="0.15">
      <c r="A63" s="2">
        <v>7222100</v>
      </c>
      <c r="B63" s="2">
        <v>1228</v>
      </c>
      <c r="C63" s="7" t="str">
        <f t="shared" si="41"/>
        <v>PremiumSS5R5only</v>
      </c>
      <c r="D63" s="7" t="str">
        <f t="shared" si="42"/>
        <v>PremiumSS</v>
      </c>
      <c r="E63" s="7" t="str">
        <f>IF(COUNTIF('R6追加前'!A:A,B63)=0,IF(OR(I63="PremiumSS",I63="PremiumSSw"),"R5only","R3less"),"")</f>
        <v>R5only</v>
      </c>
      <c r="F63" s="7" t="str">
        <f>IF(COUNTIF('R6開放'!A:A,B63)&gt;0,"R6release","")</f>
        <v/>
      </c>
      <c r="G63" s="7"/>
      <c r="H63" s="7" t="str">
        <f>VLOOKUP(B63,[1]characters!$A:$C,3,FALSE)</f>
        <v>芥川龍之介</v>
      </c>
      <c r="I63" s="7" t="str">
        <f>VLOOKUP(B63,[1]characters!$A:$J,10,FALSE)</f>
        <v>PremiumSSw</v>
      </c>
      <c r="J63" s="7">
        <f>VLOOKUP(B63,[1]characters!$A:$I,9,FALSE)</f>
        <v>5</v>
      </c>
      <c r="K63" s="7" t="str">
        <f>VLOOKUP(B63,[1]characters!$A:$H,8,FALSE)</f>
        <v>blue</v>
      </c>
      <c r="L63" s="7" t="str">
        <f>VLOOKUP(B63,[1]characters!$A:$K,11,FALSE)</f>
        <v>attack</v>
      </c>
      <c r="M63" s="7" t="str">
        <f>VLOOKUP(B63,[1]characters!$A:$M,13,FALSE)</f>
        <v>human</v>
      </c>
      <c r="N63" s="7">
        <f>VLOOKUP(B63,[1]characters!$A:$G,7,FALSE)</f>
        <v>0</v>
      </c>
      <c r="O63" s="31">
        <v>10</v>
      </c>
      <c r="P63" s="32">
        <f>O63/SUM(O:O)</f>
        <v>1.5151515151515152E-2</v>
      </c>
      <c r="Q63" s="27">
        <v>1</v>
      </c>
      <c r="R63" s="27">
        <v>0</v>
      </c>
      <c r="S63" s="27">
        <v>0</v>
      </c>
      <c r="T63" s="27">
        <v>0</v>
      </c>
      <c r="U63" s="27">
        <v>0</v>
      </c>
      <c r="V63" s="27">
        <v>1</v>
      </c>
    </row>
    <row r="64" spans="1:22" ht="21" customHeight="1" x14ac:dyDescent="0.15">
      <c r="A64" s="2">
        <v>7222100</v>
      </c>
      <c r="B64" s="2">
        <v>1230</v>
      </c>
      <c r="C64" s="7" t="str">
        <f t="shared" si="41"/>
        <v>PremiumSS5R5only</v>
      </c>
      <c r="D64" s="7" t="str">
        <f t="shared" si="42"/>
        <v>PremiumSS</v>
      </c>
      <c r="E64" s="7" t="str">
        <f>IF(COUNTIF('R6追加前'!A:A,B64)=0,IF(OR(I64="PremiumSS",I64="PremiumSSw"),"R5only","R3less"),"")</f>
        <v>R5only</v>
      </c>
      <c r="F64" s="7" t="str">
        <f>IF(COUNTIF('R6開放'!A:A,B64)&gt;0,"R6release","")</f>
        <v/>
      </c>
      <c r="G64" s="7"/>
      <c r="H64" s="7" t="str">
        <f>VLOOKUP(B64,[1]characters!$A:$C,3,FALSE)</f>
        <v>夏目漱石</v>
      </c>
      <c r="I64" s="7" t="str">
        <f>VLOOKUP(B64,[1]characters!$A:$J,10,FALSE)</f>
        <v>PremiumSS</v>
      </c>
      <c r="J64" s="7">
        <f>VLOOKUP(B64,[1]characters!$A:$I,9,FALSE)</f>
        <v>5</v>
      </c>
      <c r="K64" s="7" t="str">
        <f>VLOOKUP(B64,[1]characters!$A:$H,8,FALSE)</f>
        <v>yellow</v>
      </c>
      <c r="L64" s="7" t="str">
        <f>VLOOKUP(B64,[1]characters!$A:$K,11,FALSE)</f>
        <v>heal</v>
      </c>
      <c r="M64" s="7" t="str">
        <f>VLOOKUP(B64,[1]characters!$A:$M,13,FALSE)</f>
        <v>animal</v>
      </c>
      <c r="N64" s="7">
        <f>VLOOKUP(B64,[1]characters!$A:$G,7,FALSE)</f>
        <v>0</v>
      </c>
      <c r="O64" s="31">
        <v>10</v>
      </c>
      <c r="P64" s="32">
        <f>O64/SUM(O:O)</f>
        <v>1.5151515151515152E-2</v>
      </c>
      <c r="Q64" s="27">
        <v>1</v>
      </c>
      <c r="R64" s="27">
        <v>0</v>
      </c>
      <c r="S64" s="27">
        <v>0</v>
      </c>
      <c r="T64" s="27">
        <v>0</v>
      </c>
      <c r="U64" s="27">
        <v>0</v>
      </c>
      <c r="V64" s="27">
        <v>1</v>
      </c>
    </row>
    <row r="65" spans="1:22" ht="21" customHeight="1" x14ac:dyDescent="0.15">
      <c r="A65" s="2">
        <v>7222100</v>
      </c>
      <c r="B65" s="2">
        <v>1244</v>
      </c>
      <c r="C65" s="7" t="str">
        <f t="shared" ref="C65:C67" si="43">D65&amp;J65&amp;E65&amp;F65&amp;G65</f>
        <v>PremiumSS5R5only</v>
      </c>
      <c r="D65" s="7" t="str">
        <f t="shared" ref="D65:D67" si="44">IF(OR(I65="PremiumSS",I65="PremiumSSw"),"PremiumSS",IF(I65="PremiumSSS",I65,IF(I65="PremiumW",I65,"Premium")))</f>
        <v>PremiumSS</v>
      </c>
      <c r="E65" s="7" t="str">
        <f>IF(COUNTIF('R6追加前'!A:A,B65)=0,IF(OR(I65="PremiumSS",I65="PremiumSSw"),"R5only","R3less"),"")</f>
        <v>R5only</v>
      </c>
      <c r="F65" s="7" t="str">
        <f>IF(COUNTIF('R6開放'!A:A,B65)&gt;0,"R6release","")</f>
        <v/>
      </c>
      <c r="G65" s="7"/>
      <c r="H65" s="7" t="str">
        <f>VLOOKUP(B65,[1]characters!$A:$C,3,FALSE)</f>
        <v>猿飛佐助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red</v>
      </c>
      <c r="L65" s="7" t="str">
        <f>VLOOKUP(B65,[1]characters!$A:$K,11,FALSE)</f>
        <v>attack</v>
      </c>
      <c r="M65" s="7" t="str">
        <f>VLOOKUP(B65,[1]characters!$A:$M,13,FALSE)</f>
        <v>human</v>
      </c>
      <c r="N65" s="7">
        <f>VLOOKUP(B65,[1]characters!$A:$G,7,FALSE)</f>
        <v>0</v>
      </c>
      <c r="O65" s="31">
        <v>10</v>
      </c>
      <c r="P65" s="32">
        <f>O65/SUM(O:O)</f>
        <v>1.5151515151515152E-2</v>
      </c>
      <c r="Q65" s="27">
        <v>1</v>
      </c>
      <c r="R65" s="27">
        <v>0</v>
      </c>
      <c r="S65" s="27">
        <v>0</v>
      </c>
      <c r="T65" s="27">
        <v>0</v>
      </c>
      <c r="U65" s="27">
        <v>0</v>
      </c>
      <c r="V65" s="27">
        <v>1</v>
      </c>
    </row>
    <row r="66" spans="1:22" ht="21" customHeight="1" x14ac:dyDescent="0.15">
      <c r="A66" s="2">
        <v>7222100</v>
      </c>
      <c r="B66" s="2">
        <v>1246</v>
      </c>
      <c r="C66" s="7" t="str">
        <f t="shared" si="43"/>
        <v>PremiumSS5R5only</v>
      </c>
      <c r="D66" s="7" t="str">
        <f t="shared" si="44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望月千代女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green</v>
      </c>
      <c r="L66" s="7" t="str">
        <f>VLOOKUP(B66,[1]characters!$A:$K,11,FALSE)</f>
        <v>heal</v>
      </c>
      <c r="M66" s="7" t="str">
        <f>VLOOKUP(B66,[1]characters!$A:$M,13,FALSE)</f>
        <v>human</v>
      </c>
      <c r="N66" s="7">
        <f>VLOOKUP(B66,[1]characters!$A:$G,7,FALSE)</f>
        <v>0</v>
      </c>
      <c r="O66" s="31">
        <v>10</v>
      </c>
      <c r="P66" s="32">
        <f>O66/SUM(O:O)</f>
        <v>1.5151515151515152E-2</v>
      </c>
      <c r="Q66" s="27">
        <v>1</v>
      </c>
      <c r="R66" s="27">
        <v>0</v>
      </c>
      <c r="S66" s="27">
        <v>0</v>
      </c>
      <c r="T66" s="27">
        <v>0</v>
      </c>
      <c r="U66" s="27">
        <v>0</v>
      </c>
      <c r="V66" s="27">
        <v>1</v>
      </c>
    </row>
    <row r="67" spans="1:22" ht="21" customHeight="1" x14ac:dyDescent="0.15">
      <c r="A67" s="2">
        <v>7222100</v>
      </c>
      <c r="B67" s="2">
        <v>1250</v>
      </c>
      <c r="C67" s="7" t="str">
        <f t="shared" si="43"/>
        <v>PremiumSS5R5only</v>
      </c>
      <c r="D67" s="7" t="str">
        <f t="shared" si="44"/>
        <v>PremiumSS</v>
      </c>
      <c r="E67" s="7" t="str">
        <f>IF(COUNTIF('R6追加前'!A:A,B67)=0,IF(OR(I67="PremiumSS",I67="PremiumSSw"),"R5only","R3less"),"")</f>
        <v>R5only</v>
      </c>
      <c r="F67" s="7" t="str">
        <f>IF(COUNTIF('R6開放'!A:A,B67)&gt;0,"R6release","")</f>
        <v/>
      </c>
      <c r="G67" s="7"/>
      <c r="H67" s="7" t="str">
        <f>VLOOKUP(B67,[1]characters!$A:$C,3,FALSE)</f>
        <v>真田幸村</v>
      </c>
      <c r="I67" s="7" t="str">
        <f>VLOOKUP(B67,[1]characters!$A:$J,10,FALSE)</f>
        <v>PremiumSSw</v>
      </c>
      <c r="J67" s="7">
        <f>VLOOKUP(B67,[1]characters!$A:$I,9,FALSE)</f>
        <v>5</v>
      </c>
      <c r="K67" s="7" t="str">
        <f>VLOOKUP(B67,[1]characters!$A:$H,8,FALSE)</f>
        <v>yellow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>
        <f>VLOOKUP(B67,[1]characters!$A:$G,7,FALSE)</f>
        <v>0</v>
      </c>
      <c r="O67" s="31">
        <v>10</v>
      </c>
      <c r="P67" s="32">
        <f>O67/SUM(O:O)</f>
        <v>1.5151515151515152E-2</v>
      </c>
      <c r="Q67" s="27">
        <v>1</v>
      </c>
      <c r="R67" s="27">
        <v>0</v>
      </c>
      <c r="S67" s="27">
        <v>0</v>
      </c>
      <c r="T67" s="27">
        <v>0</v>
      </c>
      <c r="U67" s="27">
        <v>0</v>
      </c>
      <c r="V67" s="27">
        <v>1</v>
      </c>
    </row>
    <row r="68" spans="1:22" ht="21" customHeight="1" x14ac:dyDescent="0.15">
      <c r="K68" s="1"/>
    </row>
    <row r="69" spans="1:22" ht="21" customHeight="1" x14ac:dyDescent="0.15">
      <c r="K69" s="1"/>
    </row>
    <row r="70" spans="1:22" ht="21" customHeight="1" x14ac:dyDescent="0.15">
      <c r="K70" s="1"/>
    </row>
    <row r="71" spans="1:22" ht="21" customHeight="1" x14ac:dyDescent="0.15">
      <c r="K71" s="1"/>
    </row>
    <row r="72" spans="1:22" ht="21" customHeight="1" x14ac:dyDescent="0.15">
      <c r="K72" s="1"/>
    </row>
    <row r="73" spans="1:22" ht="21" customHeight="1" x14ac:dyDescent="0.15">
      <c r="K73" s="1"/>
    </row>
    <row r="74" spans="1:22" ht="21" customHeight="1" x14ac:dyDescent="0.15">
      <c r="K74" s="1"/>
    </row>
    <row r="75" spans="1:22" ht="21" customHeight="1" x14ac:dyDescent="0.15">
      <c r="K75" s="1"/>
    </row>
    <row r="76" spans="1:22" ht="21" customHeight="1" x14ac:dyDescent="0.15">
      <c r="K76" s="1"/>
    </row>
    <row r="77" spans="1:22" ht="21" customHeight="1" x14ac:dyDescent="0.15">
      <c r="K77" s="1"/>
    </row>
    <row r="78" spans="1:22" ht="21" customHeight="1" x14ac:dyDescent="0.15">
      <c r="K78" s="1"/>
    </row>
    <row r="79" spans="1:22" ht="21" customHeight="1" x14ac:dyDescent="0.15">
      <c r="K79" s="1"/>
    </row>
    <row r="80" spans="1:22" ht="21" customHeight="1" x14ac:dyDescent="0.15">
      <c r="K80" s="1"/>
    </row>
    <row r="81" spans="11:11" ht="21" customHeight="1" x14ac:dyDescent="0.15">
      <c r="K81" s="1"/>
    </row>
    <row r="82" spans="11:11" ht="21" customHeight="1" x14ac:dyDescent="0.15">
      <c r="K82" s="1"/>
    </row>
    <row r="83" spans="11:11" ht="21" customHeight="1" x14ac:dyDescent="0.15">
      <c r="K83" s="1"/>
    </row>
    <row r="84" spans="11:11" ht="21" customHeight="1" x14ac:dyDescent="0.15">
      <c r="K84" s="1"/>
    </row>
    <row r="85" spans="11:11" ht="21" customHeight="1" x14ac:dyDescent="0.15">
      <c r="K85" s="1"/>
    </row>
    <row r="86" spans="11:11" ht="21" customHeight="1" x14ac:dyDescent="0.15">
      <c r="K86" s="1"/>
    </row>
    <row r="87" spans="11:11" ht="21" customHeight="1" x14ac:dyDescent="0.15">
      <c r="K87" s="1"/>
    </row>
    <row r="88" spans="11:11" ht="21" customHeight="1" x14ac:dyDescent="0.15">
      <c r="K88" s="1"/>
    </row>
    <row r="89" spans="11:11" ht="21" customHeight="1" x14ac:dyDescent="0.15">
      <c r="K89" s="1"/>
    </row>
    <row r="90" spans="11:11" ht="21" customHeight="1" x14ac:dyDescent="0.15">
      <c r="K90" s="1"/>
    </row>
    <row r="91" spans="11:11" ht="21" customHeight="1" x14ac:dyDescent="0.15">
      <c r="K91" s="1"/>
    </row>
    <row r="92" spans="11:11" ht="21" customHeight="1" x14ac:dyDescent="0.15">
      <c r="K92" s="1"/>
    </row>
    <row r="93" spans="11:11" ht="21" customHeight="1" x14ac:dyDescent="0.15">
      <c r="K93" s="1"/>
    </row>
    <row r="94" spans="11:11" ht="21" customHeight="1" x14ac:dyDescent="0.15">
      <c r="K94" s="1"/>
    </row>
    <row r="95" spans="11:11" ht="21" customHeight="1" x14ac:dyDescent="0.15">
      <c r="K95" s="1"/>
    </row>
    <row r="96" spans="11:11" ht="21" customHeight="1" x14ac:dyDescent="0.15">
      <c r="K96" s="1"/>
    </row>
    <row r="97" spans="11:11" ht="21" customHeight="1" x14ac:dyDescent="0.15">
      <c r="K97" s="1"/>
    </row>
    <row r="98" spans="11:11" ht="21" customHeight="1" x14ac:dyDescent="0.15">
      <c r="K98" s="1"/>
    </row>
    <row r="99" spans="11:11" ht="21" customHeight="1" x14ac:dyDescent="0.15">
      <c r="K99" s="1"/>
    </row>
    <row r="100" spans="11:11" ht="21" customHeight="1" x14ac:dyDescent="0.15">
      <c r="K100" s="1"/>
    </row>
    <row r="101" spans="11:11" ht="21" customHeight="1" x14ac:dyDescent="0.15">
      <c r="K101" s="1"/>
    </row>
    <row r="102" spans="11:11" ht="21" customHeight="1" x14ac:dyDescent="0.15">
      <c r="K102" s="1"/>
    </row>
    <row r="103" spans="11:11" ht="21" customHeight="1" x14ac:dyDescent="0.15">
      <c r="K103" s="1"/>
    </row>
    <row r="104" spans="11:11" ht="21" customHeight="1" x14ac:dyDescent="0.15">
      <c r="K104" s="1"/>
    </row>
    <row r="105" spans="11:11" ht="21" customHeight="1" x14ac:dyDescent="0.15">
      <c r="K105" s="1"/>
    </row>
    <row r="106" spans="11:11" ht="21" customHeight="1" x14ac:dyDescent="0.15">
      <c r="K106" s="1"/>
    </row>
    <row r="107" spans="11:11" ht="21" customHeight="1" x14ac:dyDescent="0.15">
      <c r="K107" s="1"/>
    </row>
    <row r="108" spans="11:11" ht="21" customHeight="1" x14ac:dyDescent="0.15">
      <c r="K108" s="1"/>
    </row>
    <row r="109" spans="11:11" ht="21" customHeight="1" x14ac:dyDescent="0.15">
      <c r="K109" s="1"/>
    </row>
    <row r="110" spans="11:11" ht="21" customHeight="1" x14ac:dyDescent="0.15">
      <c r="K110" s="1"/>
    </row>
    <row r="111" spans="11:11" ht="21" customHeight="1" x14ac:dyDescent="0.15">
      <c r="K111" s="1"/>
    </row>
    <row r="112" spans="11:11" ht="21" customHeight="1" x14ac:dyDescent="0.15">
      <c r="K112" s="1"/>
    </row>
    <row r="113" spans="11:11" ht="21" customHeight="1" x14ac:dyDescent="0.15">
      <c r="K113" s="1"/>
    </row>
    <row r="114" spans="11:11" ht="21" customHeight="1" x14ac:dyDescent="0.15">
      <c r="K114" s="1"/>
    </row>
    <row r="115" spans="11:11" ht="21" customHeight="1" x14ac:dyDescent="0.15">
      <c r="K115" s="1"/>
    </row>
    <row r="116" spans="11:11" ht="21" customHeight="1" x14ac:dyDescent="0.15">
      <c r="K116" s="1"/>
    </row>
    <row r="117" spans="11:11" ht="21" customHeight="1" x14ac:dyDescent="0.15">
      <c r="K117" s="1"/>
    </row>
    <row r="118" spans="11:11" ht="21" customHeight="1" x14ac:dyDescent="0.15">
      <c r="K118" s="1"/>
    </row>
    <row r="119" spans="11:11" ht="21" customHeight="1" x14ac:dyDescent="0.15">
      <c r="K119" s="1"/>
    </row>
    <row r="120" spans="11:11" ht="21" customHeight="1" x14ac:dyDescent="0.15">
      <c r="K120" s="1"/>
    </row>
    <row r="121" spans="11:11" ht="21" customHeight="1" x14ac:dyDescent="0.15">
      <c r="K121" s="1"/>
    </row>
    <row r="122" spans="11:11" ht="21" customHeight="1" x14ac:dyDescent="0.15">
      <c r="K122" s="1"/>
    </row>
    <row r="123" spans="11:11" ht="21" customHeight="1" x14ac:dyDescent="0.15">
      <c r="K123" s="1"/>
    </row>
    <row r="124" spans="11:11" ht="21" customHeight="1" x14ac:dyDescent="0.15">
      <c r="K124" s="1"/>
    </row>
    <row r="125" spans="11:11" ht="21" customHeight="1" x14ac:dyDescent="0.15">
      <c r="K125" s="1"/>
    </row>
    <row r="126" spans="11:11" ht="21" customHeight="1" x14ac:dyDescent="0.15">
      <c r="K126" s="1"/>
    </row>
    <row r="127" spans="11:11" ht="21" customHeight="1" x14ac:dyDescent="0.15">
      <c r="K127" s="1"/>
    </row>
    <row r="128" spans="11:11" ht="21" customHeight="1" x14ac:dyDescent="0.15">
      <c r="K128" s="1"/>
    </row>
    <row r="129" spans="11:11" ht="21" customHeight="1" x14ac:dyDescent="0.15">
      <c r="K129" s="1"/>
    </row>
    <row r="130" spans="11:11" ht="21" customHeight="1" x14ac:dyDescent="0.15">
      <c r="K130" s="1"/>
    </row>
    <row r="131" spans="11:11" ht="21" customHeight="1" x14ac:dyDescent="0.15">
      <c r="K131" s="1"/>
    </row>
    <row r="132" spans="11:11" ht="21" customHeight="1" x14ac:dyDescent="0.15">
      <c r="K132" s="1"/>
    </row>
    <row r="133" spans="11:11" ht="21" customHeight="1" x14ac:dyDescent="0.15">
      <c r="K133" s="1"/>
    </row>
    <row r="134" spans="11:11" ht="21" customHeight="1" x14ac:dyDescent="0.15">
      <c r="K134" s="1"/>
    </row>
    <row r="135" spans="11:11" ht="21" customHeight="1" x14ac:dyDescent="0.15">
      <c r="K135" s="1"/>
    </row>
    <row r="136" spans="11:11" ht="21" customHeight="1" x14ac:dyDescent="0.15">
      <c r="K136" s="1"/>
    </row>
    <row r="137" spans="11:11" ht="21" customHeight="1" x14ac:dyDescent="0.15">
      <c r="K137" s="1"/>
    </row>
    <row r="138" spans="11:11" ht="21" customHeight="1" x14ac:dyDescent="0.15">
      <c r="K138" s="1"/>
    </row>
    <row r="139" spans="11:11" ht="21" customHeight="1" x14ac:dyDescent="0.15">
      <c r="K139" s="1"/>
    </row>
    <row r="140" spans="11:11" ht="21" customHeight="1" x14ac:dyDescent="0.15">
      <c r="K140" s="1"/>
    </row>
    <row r="141" spans="11:11" ht="21" customHeight="1" x14ac:dyDescent="0.15">
      <c r="K141" s="1"/>
    </row>
    <row r="142" spans="11:11" ht="21" customHeight="1" x14ac:dyDescent="0.15">
      <c r="K142" s="1"/>
    </row>
    <row r="143" spans="11:11" ht="21" customHeight="1" x14ac:dyDescent="0.15">
      <c r="K143" s="1"/>
    </row>
    <row r="144" spans="11:11" ht="21" customHeight="1" x14ac:dyDescent="0.15">
      <c r="K144" s="1"/>
    </row>
    <row r="145" spans="11:11" ht="21" customHeight="1" x14ac:dyDescent="0.15">
      <c r="K145" s="1"/>
    </row>
    <row r="146" spans="11:11" ht="21" customHeight="1" x14ac:dyDescent="0.15">
      <c r="K146" s="1"/>
    </row>
    <row r="147" spans="11:11" ht="21" customHeight="1" x14ac:dyDescent="0.15">
      <c r="K147" s="1"/>
    </row>
    <row r="148" spans="11:11" ht="21" customHeight="1" x14ac:dyDescent="0.15">
      <c r="K148" s="1"/>
    </row>
    <row r="149" spans="11:11" ht="21" customHeight="1" x14ac:dyDescent="0.15">
      <c r="K149" s="1"/>
    </row>
    <row r="150" spans="11:11" ht="21" customHeight="1" x14ac:dyDescent="0.15">
      <c r="K150" s="1"/>
    </row>
    <row r="151" spans="11:11" ht="21" customHeight="1" x14ac:dyDescent="0.15">
      <c r="K151" s="1"/>
    </row>
    <row r="152" spans="11:11" ht="21" customHeight="1" x14ac:dyDescent="0.15">
      <c r="K152" s="1"/>
    </row>
    <row r="153" spans="11:11" ht="21" customHeight="1" x14ac:dyDescent="0.15">
      <c r="K153" s="1"/>
    </row>
    <row r="154" spans="11:11" ht="21" customHeight="1" x14ac:dyDescent="0.15">
      <c r="K154" s="1"/>
    </row>
    <row r="155" spans="11:11" ht="21" customHeight="1" x14ac:dyDescent="0.15">
      <c r="K155" s="1"/>
    </row>
    <row r="156" spans="11:11" ht="21" customHeight="1" x14ac:dyDescent="0.15">
      <c r="K156" s="1"/>
    </row>
    <row r="157" spans="11:11" ht="21" customHeight="1" x14ac:dyDescent="0.15">
      <c r="K157" s="1"/>
    </row>
    <row r="158" spans="11:11" ht="21" customHeight="1" x14ac:dyDescent="0.15">
      <c r="K158" s="1"/>
    </row>
    <row r="159" spans="11:11" ht="21" customHeight="1" x14ac:dyDescent="0.15">
      <c r="K159" s="1"/>
    </row>
    <row r="160" spans="11:11" ht="21" customHeight="1" x14ac:dyDescent="0.15">
      <c r="K160" s="1"/>
    </row>
    <row r="161" spans="11:11" ht="21" customHeight="1" x14ac:dyDescent="0.15">
      <c r="K161" s="1"/>
    </row>
    <row r="162" spans="11:11" ht="21" customHeight="1" x14ac:dyDescent="0.15">
      <c r="K162" s="1"/>
    </row>
    <row r="163" spans="11:11" ht="21" customHeight="1" x14ac:dyDescent="0.15">
      <c r="K163" s="1"/>
    </row>
    <row r="164" spans="11:11" ht="21" customHeight="1" x14ac:dyDescent="0.15">
      <c r="K164" s="1"/>
    </row>
    <row r="165" spans="11:11" ht="21" customHeight="1" x14ac:dyDescent="0.15">
      <c r="K165" s="1"/>
    </row>
    <row r="166" spans="11:11" ht="21" customHeight="1" x14ac:dyDescent="0.15">
      <c r="K166" s="1"/>
    </row>
    <row r="167" spans="11:11" ht="21" customHeight="1" x14ac:dyDescent="0.15">
      <c r="K167" s="1"/>
    </row>
    <row r="168" spans="11:11" ht="21" customHeight="1" x14ac:dyDescent="0.15">
      <c r="K168" s="1"/>
    </row>
    <row r="169" spans="11:11" ht="21" customHeight="1" x14ac:dyDescent="0.15">
      <c r="K169" s="1"/>
    </row>
    <row r="170" spans="11:11" ht="21" customHeight="1" x14ac:dyDescent="0.15">
      <c r="K170" s="1"/>
    </row>
    <row r="171" spans="11:11" ht="21" customHeight="1" x14ac:dyDescent="0.15">
      <c r="K171" s="1"/>
    </row>
    <row r="172" spans="11:11" ht="21" customHeight="1" x14ac:dyDescent="0.15">
      <c r="K172" s="1"/>
    </row>
    <row r="173" spans="11:11" ht="21" customHeight="1" x14ac:dyDescent="0.15">
      <c r="K173" s="1"/>
    </row>
    <row r="174" spans="11:11" ht="21" customHeight="1" x14ac:dyDescent="0.15">
      <c r="K174" s="1"/>
    </row>
    <row r="175" spans="11:11" ht="21" customHeight="1" x14ac:dyDescent="0.15">
      <c r="K175" s="1"/>
    </row>
    <row r="176" spans="11:11" ht="21" customHeight="1" x14ac:dyDescent="0.15">
      <c r="K176" s="1"/>
    </row>
    <row r="177" spans="11:11" ht="21" customHeight="1" x14ac:dyDescent="0.15">
      <c r="K177" s="1"/>
    </row>
    <row r="178" spans="11:11" ht="21" customHeight="1" x14ac:dyDescent="0.15">
      <c r="K178" s="1"/>
    </row>
    <row r="179" spans="11:11" ht="21" customHeight="1" x14ac:dyDescent="0.15">
      <c r="K179" s="1"/>
    </row>
    <row r="180" spans="11:11" ht="21" customHeight="1" x14ac:dyDescent="0.15">
      <c r="K180" s="1"/>
    </row>
    <row r="181" spans="11:11" ht="21" customHeight="1" x14ac:dyDescent="0.15">
      <c r="K181" s="1"/>
    </row>
    <row r="182" spans="11:11" ht="21" customHeight="1" x14ac:dyDescent="0.15">
      <c r="K182" s="1"/>
    </row>
    <row r="183" spans="11:11" ht="21" customHeight="1" x14ac:dyDescent="0.15">
      <c r="K183" s="1"/>
    </row>
    <row r="184" spans="11:11" ht="21" customHeight="1" x14ac:dyDescent="0.15">
      <c r="K184" s="1"/>
    </row>
    <row r="185" spans="11:11" ht="21" customHeight="1" x14ac:dyDescent="0.15">
      <c r="K185" s="1"/>
    </row>
    <row r="186" spans="11:11" ht="21" customHeight="1" x14ac:dyDescent="0.15">
      <c r="K186" s="1"/>
    </row>
    <row r="187" spans="11:11" ht="21" customHeight="1" x14ac:dyDescent="0.15">
      <c r="K187" s="1"/>
    </row>
    <row r="188" spans="11:11" ht="21" customHeight="1" x14ac:dyDescent="0.15">
      <c r="K188" s="1"/>
    </row>
    <row r="189" spans="11:11" ht="21" customHeight="1" x14ac:dyDescent="0.15">
      <c r="K189" s="1"/>
    </row>
    <row r="190" spans="11:11" ht="21" customHeight="1" x14ac:dyDescent="0.15">
      <c r="K190" s="1"/>
    </row>
    <row r="191" spans="11:11" ht="21" customHeight="1" x14ac:dyDescent="0.15">
      <c r="K191" s="1"/>
    </row>
    <row r="192" spans="11:11" ht="21" customHeight="1" x14ac:dyDescent="0.15">
      <c r="K192" s="1"/>
    </row>
    <row r="193" spans="11:11" ht="21" customHeight="1" x14ac:dyDescent="0.15">
      <c r="K193" s="1"/>
    </row>
    <row r="194" spans="11:11" ht="21" customHeight="1" x14ac:dyDescent="0.15">
      <c r="K194" s="1"/>
    </row>
    <row r="195" spans="11:11" ht="21" customHeight="1" x14ac:dyDescent="0.15">
      <c r="K195" s="1"/>
    </row>
    <row r="196" spans="11:11" ht="21" customHeight="1" x14ac:dyDescent="0.15">
      <c r="K196" s="1"/>
    </row>
    <row r="197" spans="11:11" ht="21" customHeight="1" x14ac:dyDescent="0.15">
      <c r="K197" s="1"/>
    </row>
    <row r="198" spans="11:11" ht="21" customHeight="1" x14ac:dyDescent="0.15">
      <c r="K198" s="1"/>
    </row>
    <row r="199" spans="11:11" ht="21" customHeight="1" x14ac:dyDescent="0.15">
      <c r="K199" s="1"/>
    </row>
    <row r="200" spans="11:11" ht="21" customHeight="1" x14ac:dyDescent="0.15">
      <c r="K200" s="1"/>
    </row>
    <row r="201" spans="11:11" ht="21" customHeight="1" x14ac:dyDescent="0.15">
      <c r="K201" s="1"/>
    </row>
    <row r="202" spans="11:11" ht="21" customHeight="1" x14ac:dyDescent="0.15">
      <c r="K202" s="1"/>
    </row>
    <row r="203" spans="11:11" ht="21" customHeight="1" x14ac:dyDescent="0.15">
      <c r="K203" s="1"/>
    </row>
    <row r="204" spans="11:11" ht="21" customHeight="1" x14ac:dyDescent="0.15">
      <c r="K204" s="1"/>
    </row>
    <row r="205" spans="11:11" ht="21" customHeight="1" x14ac:dyDescent="0.15">
      <c r="K205" s="1"/>
    </row>
    <row r="206" spans="11:11" ht="21" customHeight="1" x14ac:dyDescent="0.15">
      <c r="K206" s="1"/>
    </row>
    <row r="207" spans="11:11" ht="21" customHeight="1" x14ac:dyDescent="0.15">
      <c r="K207" s="1"/>
    </row>
    <row r="208" spans="11:11" ht="21" customHeight="1" x14ac:dyDescent="0.15">
      <c r="K208" s="1"/>
    </row>
    <row r="209" spans="11:11" ht="21" customHeight="1" x14ac:dyDescent="0.15">
      <c r="K209" s="1"/>
    </row>
    <row r="210" spans="11:11" ht="21" customHeight="1" x14ac:dyDescent="0.15">
      <c r="K210" s="1"/>
    </row>
    <row r="211" spans="11:11" ht="21" customHeight="1" x14ac:dyDescent="0.15">
      <c r="K211" s="1"/>
    </row>
    <row r="212" spans="11:11" ht="21" customHeight="1" x14ac:dyDescent="0.15">
      <c r="K212" s="1"/>
    </row>
    <row r="213" spans="11:11" ht="21" customHeight="1" x14ac:dyDescent="0.15">
      <c r="K213" s="1"/>
    </row>
    <row r="214" spans="11:11" ht="21" customHeight="1" x14ac:dyDescent="0.15">
      <c r="K214" s="1"/>
    </row>
    <row r="215" spans="11:11" ht="21" customHeight="1" x14ac:dyDescent="0.15">
      <c r="K215" s="1"/>
    </row>
    <row r="216" spans="11:11" ht="21" customHeight="1" x14ac:dyDescent="0.15">
      <c r="K216" s="1"/>
    </row>
    <row r="217" spans="11:11" ht="21" customHeight="1" x14ac:dyDescent="0.15">
      <c r="K217" s="1"/>
    </row>
    <row r="218" spans="11:11" ht="21" customHeight="1" x14ac:dyDescent="0.15">
      <c r="K218" s="1"/>
    </row>
    <row r="219" spans="11:11" ht="21" customHeight="1" x14ac:dyDescent="0.15">
      <c r="K219" s="1"/>
    </row>
    <row r="220" spans="11:11" ht="21" customHeight="1" x14ac:dyDescent="0.15">
      <c r="K220" s="1"/>
    </row>
    <row r="221" spans="11:11" ht="21" customHeight="1" x14ac:dyDescent="0.15">
      <c r="K221" s="1"/>
    </row>
    <row r="222" spans="11:11" ht="21" customHeight="1" x14ac:dyDescent="0.15">
      <c r="K222" s="1"/>
    </row>
    <row r="223" spans="11:11" ht="21" customHeight="1" x14ac:dyDescent="0.15">
      <c r="K223" s="1"/>
    </row>
    <row r="224" spans="11:11" ht="21" customHeight="1" x14ac:dyDescent="0.15">
      <c r="K224" s="1"/>
    </row>
    <row r="225" spans="11:11" ht="21" customHeight="1" x14ac:dyDescent="0.15">
      <c r="K225" s="1"/>
    </row>
    <row r="226" spans="11:11" ht="21" customHeight="1" x14ac:dyDescent="0.15">
      <c r="K226" s="1"/>
    </row>
    <row r="227" spans="11:11" ht="21" customHeight="1" x14ac:dyDescent="0.15">
      <c r="K227" s="1"/>
    </row>
    <row r="228" spans="11:11" ht="21" customHeight="1" x14ac:dyDescent="0.15">
      <c r="K228" s="1"/>
    </row>
    <row r="229" spans="11:11" ht="21" customHeight="1" x14ac:dyDescent="0.15">
      <c r="K229" s="1"/>
    </row>
    <row r="230" spans="11:11" ht="21" customHeight="1" x14ac:dyDescent="0.15">
      <c r="K230" s="1"/>
    </row>
    <row r="231" spans="11:11" ht="21" customHeight="1" x14ac:dyDescent="0.15">
      <c r="K231" s="1"/>
    </row>
    <row r="232" spans="11:11" ht="21" customHeight="1" x14ac:dyDescent="0.15">
      <c r="K232" s="1"/>
    </row>
    <row r="233" spans="11:11" ht="21" customHeight="1" x14ac:dyDescent="0.15">
      <c r="K233" s="1"/>
    </row>
    <row r="234" spans="11:11" ht="21" customHeight="1" x14ac:dyDescent="0.15">
      <c r="K234" s="1"/>
    </row>
    <row r="235" spans="11:11" ht="21" customHeight="1" x14ac:dyDescent="0.15">
      <c r="K235" s="1"/>
    </row>
    <row r="236" spans="11:11" ht="21" customHeight="1" x14ac:dyDescent="0.15">
      <c r="K236" s="1"/>
    </row>
    <row r="237" spans="11:11" ht="21" customHeight="1" x14ac:dyDescent="0.15">
      <c r="K237" s="1"/>
    </row>
    <row r="238" spans="11:11" ht="21" customHeight="1" x14ac:dyDescent="0.15">
      <c r="K238" s="1"/>
    </row>
    <row r="239" spans="11:11" ht="21" customHeight="1" x14ac:dyDescent="0.15">
      <c r="K239" s="1"/>
    </row>
    <row r="240" spans="11:11" ht="21" customHeight="1" x14ac:dyDescent="0.15">
      <c r="K240" s="1"/>
    </row>
    <row r="241" spans="11:11" ht="21" customHeight="1" x14ac:dyDescent="0.15">
      <c r="K241" s="1"/>
    </row>
    <row r="242" spans="11:11" ht="21" customHeight="1" x14ac:dyDescent="0.15">
      <c r="K242" s="1"/>
    </row>
    <row r="243" spans="11:11" ht="21" customHeight="1" x14ac:dyDescent="0.15">
      <c r="K243" s="1"/>
    </row>
    <row r="244" spans="11:11" ht="21" customHeight="1" x14ac:dyDescent="0.15">
      <c r="K244" s="1"/>
    </row>
    <row r="245" spans="11:11" ht="21" customHeight="1" x14ac:dyDescent="0.15">
      <c r="K245" s="1"/>
    </row>
    <row r="246" spans="11:11" ht="21" customHeight="1" x14ac:dyDescent="0.15">
      <c r="K246" s="1"/>
    </row>
    <row r="247" spans="11:11" ht="21" customHeight="1" x14ac:dyDescent="0.15">
      <c r="K247" s="1"/>
    </row>
    <row r="248" spans="11:11" ht="21" customHeight="1" x14ac:dyDescent="0.15">
      <c r="K248" s="1"/>
    </row>
    <row r="249" spans="11:11" ht="21" customHeight="1" x14ac:dyDescent="0.15">
      <c r="K249" s="1"/>
    </row>
    <row r="250" spans="11:11" ht="21" customHeight="1" x14ac:dyDescent="0.15">
      <c r="K250" s="1"/>
    </row>
    <row r="251" spans="11:11" ht="21" customHeight="1" x14ac:dyDescent="0.15">
      <c r="K251" s="1"/>
    </row>
    <row r="252" spans="11:11" ht="21" customHeight="1" x14ac:dyDescent="0.15">
      <c r="K252" s="1"/>
    </row>
    <row r="253" spans="11:11" ht="21" customHeight="1" x14ac:dyDescent="0.15">
      <c r="K253" s="1"/>
    </row>
    <row r="254" spans="11:11" ht="21" customHeight="1" x14ac:dyDescent="0.15">
      <c r="K254" s="1"/>
    </row>
    <row r="255" spans="11:11" ht="21" customHeight="1" x14ac:dyDescent="0.15">
      <c r="K255" s="1"/>
    </row>
    <row r="256" spans="11:11" ht="21" customHeight="1" x14ac:dyDescent="0.15">
      <c r="K256" s="1"/>
    </row>
    <row r="257" spans="11:11" ht="21" customHeight="1" x14ac:dyDescent="0.15">
      <c r="K257" s="1"/>
    </row>
    <row r="258" spans="11:11" ht="21" customHeight="1" x14ac:dyDescent="0.15">
      <c r="K258" s="1"/>
    </row>
    <row r="259" spans="11:11" ht="21" customHeight="1" x14ac:dyDescent="0.15">
      <c r="K259" s="1"/>
    </row>
    <row r="260" spans="11:11" ht="21" customHeight="1" x14ac:dyDescent="0.15">
      <c r="K260" s="1"/>
    </row>
    <row r="261" spans="11:11" ht="21" customHeight="1" x14ac:dyDescent="0.15">
      <c r="K261" s="1"/>
    </row>
    <row r="262" spans="11:11" ht="21" customHeight="1" x14ac:dyDescent="0.15">
      <c r="K262" s="1"/>
    </row>
    <row r="263" spans="11:11" ht="21" customHeight="1" x14ac:dyDescent="0.15">
      <c r="K263" s="1"/>
    </row>
    <row r="264" spans="11:11" ht="21" customHeight="1" x14ac:dyDescent="0.15">
      <c r="K264" s="1"/>
    </row>
    <row r="265" spans="11:11" ht="21" customHeight="1" x14ac:dyDescent="0.15">
      <c r="K265" s="1"/>
    </row>
    <row r="266" spans="11:11" ht="21" customHeight="1" x14ac:dyDescent="0.15">
      <c r="K266" s="1"/>
    </row>
    <row r="267" spans="11:11" ht="21" customHeight="1" x14ac:dyDescent="0.15">
      <c r="K267" s="1"/>
    </row>
    <row r="268" spans="11:11" ht="21" customHeight="1" x14ac:dyDescent="0.15">
      <c r="K268" s="1"/>
    </row>
    <row r="269" spans="11:11" ht="21" customHeight="1" x14ac:dyDescent="0.15">
      <c r="K269" s="1"/>
    </row>
    <row r="270" spans="11:11" ht="21" customHeight="1" x14ac:dyDescent="0.15">
      <c r="K270" s="1"/>
    </row>
    <row r="271" spans="11:11" ht="21" customHeight="1" x14ac:dyDescent="0.15">
      <c r="K271" s="1"/>
    </row>
    <row r="272" spans="11:11" ht="21" customHeight="1" x14ac:dyDescent="0.15">
      <c r="K272" s="1"/>
    </row>
    <row r="273" spans="11:11" ht="21" customHeight="1" x14ac:dyDescent="0.15">
      <c r="K273" s="1"/>
    </row>
    <row r="274" spans="11:11" ht="21" customHeight="1" x14ac:dyDescent="0.15">
      <c r="K274" s="1"/>
    </row>
    <row r="275" spans="11:11" ht="21" customHeight="1" x14ac:dyDescent="0.15">
      <c r="K275" s="1"/>
    </row>
    <row r="276" spans="11:11" ht="21" customHeight="1" x14ac:dyDescent="0.15">
      <c r="K276" s="1"/>
    </row>
    <row r="277" spans="11:11" ht="21" customHeight="1" x14ac:dyDescent="0.15">
      <c r="K277" s="1"/>
    </row>
    <row r="278" spans="11:11" ht="21" customHeight="1" x14ac:dyDescent="0.15">
      <c r="K278" s="1"/>
    </row>
    <row r="279" spans="11:11" ht="21" customHeight="1" x14ac:dyDescent="0.15">
      <c r="K279" s="1"/>
    </row>
    <row r="280" spans="11:11" ht="21" customHeight="1" x14ac:dyDescent="0.15">
      <c r="K280" s="1"/>
    </row>
  </sheetData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2" t="s">
        <v>23</v>
      </c>
      <c r="B1" s="3" t="s">
        <v>24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36">
        <v>668</v>
      </c>
      <c r="B246" s="7" t="str">
        <f>VLOOKUP(A246,[1]characters!$A:$C,3,FALSE)</f>
        <v>アグニ</v>
      </c>
    </row>
    <row r="247" spans="1:2" x14ac:dyDescent="0.15">
      <c r="A247" s="36">
        <v>669</v>
      </c>
      <c r="B247" s="7" t="str">
        <f>VLOOKUP(A247,[1]characters!$A:$C,3,FALSE)</f>
        <v>天地の仲界 アグニ</v>
      </c>
    </row>
    <row r="248" spans="1:2" x14ac:dyDescent="0.15">
      <c r="A248" s="36">
        <v>670</v>
      </c>
      <c r="B248" s="7" t="str">
        <f>VLOOKUP(A248,[1]characters!$A:$C,3,FALSE)</f>
        <v>陽天の噴煙 アグニ</v>
      </c>
    </row>
    <row r="249" spans="1:2" x14ac:dyDescent="0.15">
      <c r="A249" s="36">
        <v>671</v>
      </c>
      <c r="B249" s="7" t="str">
        <f>VLOOKUP(A249,[1]characters!$A:$C,3,FALSE)</f>
        <v>ハヌマーン</v>
      </c>
    </row>
    <row r="250" spans="1:2" x14ac:dyDescent="0.15">
      <c r="A250" s="36">
        <v>672</v>
      </c>
      <c r="B250" s="7" t="str">
        <f>VLOOKUP(A250,[1]characters!$A:$C,3,FALSE)</f>
        <v>西遊韋駄天 ハヌマーン</v>
      </c>
    </row>
    <row r="251" spans="1:2" x14ac:dyDescent="0.15">
      <c r="A251" s="36">
        <v>673</v>
      </c>
      <c r="B251" s="7" t="str">
        <f>VLOOKUP(A251,[1]characters!$A:$C,3,FALSE)</f>
        <v>変幻自在の猿王 ハヌマーン</v>
      </c>
    </row>
    <row r="252" spans="1:2" x14ac:dyDescent="0.15">
      <c r="A252" s="36">
        <v>674</v>
      </c>
      <c r="B252" s="7" t="str">
        <f>VLOOKUP(A252,[1]characters!$A:$C,3,FALSE)</f>
        <v>サラスヴァティ</v>
      </c>
    </row>
    <row r="253" spans="1:2" x14ac:dyDescent="0.15">
      <c r="A253" s="36">
        <v>675</v>
      </c>
      <c r="B253" s="7" t="str">
        <f>VLOOKUP(A253,[1]characters!$A:$C,3,FALSE)</f>
        <v>芸楽の奔流 サラスヴァティ</v>
      </c>
    </row>
    <row r="254" spans="1:2" x14ac:dyDescent="0.15">
      <c r="A254" s="36">
        <v>676</v>
      </c>
      <c r="B254" s="7" t="str">
        <f>VLOOKUP(A254,[1]characters!$A:$C,3,FALSE)</f>
        <v>ヴィシュヌ</v>
      </c>
    </row>
    <row r="255" spans="1:2" x14ac:dyDescent="0.15">
      <c r="A255" s="36">
        <v>677</v>
      </c>
      <c r="B255" s="7" t="str">
        <f>VLOOKUP(A255,[1]characters!$A:$C,3,FALSE)</f>
        <v>武遊闊歩 ヴィシュヌ</v>
      </c>
    </row>
    <row r="256" spans="1:2" x14ac:dyDescent="0.15">
      <c r="A256" s="36">
        <v>770</v>
      </c>
      <c r="B256" s="7" t="str">
        <f>VLOOKUP(A256,[1]characters!$A:$C,3,FALSE)</f>
        <v>ハヅル</v>
      </c>
    </row>
    <row r="257" spans="1:2" x14ac:dyDescent="0.15">
      <c r="A257" s="36">
        <v>771</v>
      </c>
      <c r="B257" s="7" t="str">
        <f>VLOOKUP(A257,[1]characters!$A:$C,3,FALSE)</f>
        <v>天織羽鶴 ハヅル</v>
      </c>
    </row>
    <row r="258" spans="1:2" x14ac:dyDescent="0.15">
      <c r="A258" s="36">
        <v>772</v>
      </c>
      <c r="B258" s="7" t="str">
        <f>VLOOKUP(A258,[1]characters!$A:$C,3,FALSE)</f>
        <v>イナバ</v>
      </c>
    </row>
    <row r="259" spans="1:2" x14ac:dyDescent="0.15">
      <c r="A259" s="36">
        <v>773</v>
      </c>
      <c r="B259" s="7" t="str">
        <f>VLOOKUP(A259,[1]characters!$A:$C,3,FALSE)</f>
        <v>浮跳天兎 イナバ</v>
      </c>
    </row>
    <row r="260" spans="1:2" x14ac:dyDescent="0.15">
      <c r="A260" s="36">
        <v>774</v>
      </c>
      <c r="B260" s="7" t="str">
        <f>VLOOKUP(A260,[1]characters!$A:$C,3,FALSE)</f>
        <v>ミズチ</v>
      </c>
    </row>
    <row r="261" spans="1:2" x14ac:dyDescent="0.15">
      <c r="A261" s="36">
        <v>775</v>
      </c>
      <c r="B261" s="7" t="str">
        <f>VLOOKUP(A261,[1]characters!$A:$C,3,FALSE)</f>
        <v>水底霊竜 ミズチ</v>
      </c>
    </row>
    <row r="262" spans="1:2" x14ac:dyDescent="0.15">
      <c r="A262" s="36">
        <v>776</v>
      </c>
      <c r="B262" s="7" t="str">
        <f>VLOOKUP(A262,[1]characters!$A:$C,3,FALSE)</f>
        <v>水竜底主 ミズチ</v>
      </c>
    </row>
    <row r="263" spans="1:2" x14ac:dyDescent="0.15">
      <c r="A263" s="36">
        <v>777</v>
      </c>
      <c r="B263" s="7" t="str">
        <f>VLOOKUP(A263,[1]characters!$A:$C,3,FALSE)</f>
        <v>ガメック</v>
      </c>
    </row>
    <row r="264" spans="1:2" x14ac:dyDescent="0.15">
      <c r="A264" s="36">
        <v>778</v>
      </c>
      <c r="B264" s="7" t="str">
        <f>VLOOKUP(A264,[1]characters!$A:$C,3,FALSE)</f>
        <v>一亀懸明 ガメック</v>
      </c>
    </row>
    <row r="265" spans="1:2" x14ac:dyDescent="0.15">
      <c r="A265" s="36">
        <v>779</v>
      </c>
      <c r="B265" s="7" t="str">
        <f>VLOOKUP(A265,[1]characters!$A:$C,3,FALSE)</f>
        <v>頑堅咬亀 ガメック</v>
      </c>
    </row>
    <row r="266" spans="1:2" x14ac:dyDescent="0.15">
      <c r="A266" s="36">
        <v>779</v>
      </c>
      <c r="B266" s="7" t="str">
        <f>VLOOKUP(A266,[1]characters!$A:$C,3,FALSE)</f>
        <v>頑堅咬亀 ガメック</v>
      </c>
    </row>
  </sheetData>
  <phoneticPr fontId="18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0" t="s">
        <v>39</v>
      </c>
      <c r="B1" s="30"/>
    </row>
    <row r="2" spans="1:2" x14ac:dyDescent="0.15">
      <c r="A2" s="28" t="s">
        <v>1</v>
      </c>
      <c r="B2" s="29" t="s">
        <v>41</v>
      </c>
    </row>
    <row r="3" spans="1:2" x14ac:dyDescent="0.15">
      <c r="A3" s="6">
        <v>166</v>
      </c>
      <c r="B3" s="29" t="str">
        <f>VLOOKUP(A3,[1]characters!$A:$C,3,FALSE)</f>
        <v>ベリアル</v>
      </c>
    </row>
    <row r="4" spans="1:2" x14ac:dyDescent="0.15">
      <c r="A4" s="6">
        <v>167</v>
      </c>
      <c r="B4" s="29" t="str">
        <f>VLOOKUP(A4,[1]characters!$A:$C,3,FALSE)</f>
        <v>逆徒 ベリアル</v>
      </c>
    </row>
    <row r="5" spans="1:2" x14ac:dyDescent="0.15">
      <c r="A5" s="6">
        <v>168</v>
      </c>
      <c r="B5" s="29" t="str">
        <f>VLOOKUP(A5,[1]characters!$A:$C,3,FALSE)</f>
        <v>猛進の大逆者 ベリアル</v>
      </c>
    </row>
    <row r="6" spans="1:2" x14ac:dyDescent="0.15">
      <c r="A6" s="28">
        <v>169</v>
      </c>
      <c r="B6" s="29" t="str">
        <f>VLOOKUP(A6,[1]characters!$A:$C,3,FALSE)</f>
        <v>オセ</v>
      </c>
    </row>
    <row r="7" spans="1:2" x14ac:dyDescent="0.15">
      <c r="A7" s="28">
        <v>170</v>
      </c>
      <c r="B7" s="29" t="str">
        <f>VLOOKUP(A7,[1]characters!$A:$C,3,FALSE)</f>
        <v>識徒 オセ</v>
      </c>
    </row>
    <row r="8" spans="1:2" x14ac:dyDescent="0.15">
      <c r="A8" s="28">
        <v>171</v>
      </c>
      <c r="B8" s="29" t="str">
        <f>VLOOKUP(A8,[1]characters!$A:$C,3,FALSE)</f>
        <v>精解の預知者 オセ</v>
      </c>
    </row>
    <row r="9" spans="1:2" x14ac:dyDescent="0.15">
      <c r="A9" s="28">
        <v>172</v>
      </c>
      <c r="B9" s="29" t="str">
        <f>VLOOKUP(A9,[1]characters!$A:$C,3,FALSE)</f>
        <v>フォルネウス</v>
      </c>
    </row>
    <row r="10" spans="1:2" x14ac:dyDescent="0.15">
      <c r="A10" s="28">
        <v>173</v>
      </c>
      <c r="B10" s="29" t="str">
        <f>VLOOKUP(A10,[1]characters!$A:$C,3,FALSE)</f>
        <v>公爵 フォルネウス</v>
      </c>
    </row>
    <row r="11" spans="1:2" x14ac:dyDescent="0.15">
      <c r="A11" s="28">
        <v>174</v>
      </c>
      <c r="B11" s="29" t="str">
        <f>VLOOKUP(A11,[1]characters!$A:$C,3,FALSE)</f>
        <v>偽愛の大公爵 フォルネウス</v>
      </c>
    </row>
    <row r="12" spans="1:2" x14ac:dyDescent="0.15">
      <c r="A12" s="28">
        <v>235</v>
      </c>
      <c r="B12" s="29" t="str">
        <f>VLOOKUP(A12,[1]characters!$A:$C,3,FALSE)</f>
        <v>イザナミ</v>
      </c>
    </row>
    <row r="13" spans="1:2" x14ac:dyDescent="0.15">
      <c r="A13" s="28">
        <v>236</v>
      </c>
      <c r="B13" s="29" t="str">
        <f>VLOOKUP(A13,[1]characters!$A:$C,3,FALSE)</f>
        <v>神産 イザナミ</v>
      </c>
    </row>
    <row r="14" spans="1:2" x14ac:dyDescent="0.15">
      <c r="A14" s="28">
        <v>237</v>
      </c>
      <c r="B14" s="29" t="str">
        <f>VLOOKUP(A14,[1]characters!$A:$C,3,FALSE)</f>
        <v>森羅万象の神母 イザナミ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確率の考え方</vt:lpstr>
      <vt:lpstr>Sheet1</vt:lpstr>
      <vt:lpstr>output</vt:lpstr>
      <vt:lpstr>tables_settle_7222100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2016-12-22T09:19:01Z</dcterms:modified>
</cp:coreProperties>
</file>