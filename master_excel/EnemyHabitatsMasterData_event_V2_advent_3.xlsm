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oshizawa/Projects/BULL/Repository/BULL_data/master_excel/"/>
    </mc:Choice>
  </mc:AlternateContent>
  <bookViews>
    <workbookView xWindow="0" yWindow="460" windowWidth="28800" windowHeight="1498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enemy_skill_sets!$A$1:$R$56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21" l="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I3" i="21"/>
  <c r="B2" i="21"/>
  <c r="J2" i="21"/>
  <c r="B5" i="21"/>
  <c r="I5" i="21"/>
  <c r="J5" i="21"/>
  <c r="B3" i="21"/>
  <c r="J3" i="21"/>
  <c r="B4" i="21"/>
  <c r="I4" i="21"/>
  <c r="J4" i="21"/>
  <c r="B6" i="21"/>
  <c r="I6" i="21"/>
  <c r="J6" i="21"/>
  <c r="B7" i="21"/>
  <c r="I7" i="21"/>
  <c r="J7" i="21"/>
  <c r="B8" i="21"/>
  <c r="I8" i="21"/>
  <c r="J8" i="21"/>
  <c r="B9" i="21"/>
  <c r="I9" i="21"/>
  <c r="J9" i="21"/>
  <c r="B10" i="21"/>
  <c r="I10" i="21"/>
  <c r="J10" i="21"/>
  <c r="B11" i="21"/>
  <c r="I11" i="21"/>
  <c r="J11" i="21"/>
  <c r="B12" i="21"/>
  <c r="I12" i="21"/>
  <c r="J12" i="21"/>
  <c r="G12" i="21"/>
  <c r="F12" i="21"/>
  <c r="D12" i="21"/>
  <c r="C12" i="21"/>
  <c r="G11" i="21"/>
  <c r="F11" i="21"/>
  <c r="D11" i="21"/>
  <c r="C11" i="21"/>
  <c r="G10" i="21"/>
  <c r="F10" i="21"/>
  <c r="D10" i="21"/>
  <c r="C10" i="21"/>
  <c r="G9" i="21"/>
  <c r="F9" i="21"/>
  <c r="D9" i="21"/>
  <c r="C9" i="21"/>
  <c r="G8" i="21"/>
  <c r="F8" i="21"/>
  <c r="D8" i="21"/>
  <c r="C8" i="21"/>
  <c r="G7" i="21"/>
  <c r="F7" i="21"/>
  <c r="D7" i="21"/>
  <c r="C7" i="21"/>
  <c r="G6" i="21"/>
  <c r="F6" i="21"/>
  <c r="D6" i="21"/>
  <c r="C6" i="21"/>
  <c r="G5" i="21"/>
  <c r="F5" i="21"/>
  <c r="D5" i="21"/>
  <c r="C5" i="21"/>
  <c r="G4" i="21"/>
  <c r="F4" i="21"/>
  <c r="D4" i="21"/>
  <c r="C4" i="21"/>
  <c r="G3" i="21"/>
  <c r="F3" i="21"/>
  <c r="D3" i="21"/>
  <c r="C3" i="21"/>
  <c r="G2" i="21"/>
  <c r="F2" i="21"/>
  <c r="D2" i="21"/>
  <c r="C2" i="21"/>
  <c r="G2" i="10"/>
  <c r="J38" i="9"/>
  <c r="G38" i="9"/>
  <c r="G11" i="9"/>
  <c r="J11" i="9"/>
  <c r="L38" i="9"/>
  <c r="L11" i="9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L55" i="9"/>
  <c r="H55" i="9"/>
  <c r="M55" i="9"/>
  <c r="J23" i="11"/>
  <c r="J24" i="11"/>
  <c r="O48" i="9"/>
  <c r="N48" i="9"/>
  <c r="M48" i="9"/>
  <c r="L48" i="9"/>
  <c r="K48" i="9"/>
  <c r="J48" i="9"/>
  <c r="I48" i="9"/>
  <c r="H48" i="9"/>
  <c r="G48" i="9"/>
  <c r="E48" i="9"/>
  <c r="D48" i="9"/>
  <c r="A48" i="9"/>
  <c r="J47" i="9"/>
  <c r="G47" i="9"/>
  <c r="O42" i="9"/>
  <c r="N42" i="9"/>
  <c r="M42" i="9"/>
  <c r="L42" i="9"/>
  <c r="K42" i="9"/>
  <c r="J42" i="9"/>
  <c r="I42" i="9"/>
  <c r="H42" i="9"/>
  <c r="G42" i="9"/>
  <c r="E42" i="9"/>
  <c r="D42" i="9"/>
  <c r="A42" i="9"/>
  <c r="O44" i="9"/>
  <c r="N44" i="9"/>
  <c r="M44" i="9"/>
  <c r="L44" i="9"/>
  <c r="K44" i="9"/>
  <c r="J44" i="9"/>
  <c r="I44" i="9"/>
  <c r="H44" i="9"/>
  <c r="G44" i="9"/>
  <c r="E44" i="9"/>
  <c r="D44" i="9"/>
  <c r="A44" i="9"/>
  <c r="D20" i="9"/>
  <c r="O19" i="9"/>
  <c r="N19" i="9"/>
  <c r="M19" i="9"/>
  <c r="L19" i="9"/>
  <c r="K19" i="9"/>
  <c r="J19" i="9"/>
  <c r="I19" i="9"/>
  <c r="H19" i="9"/>
  <c r="G19" i="9"/>
  <c r="E19" i="9"/>
  <c r="D19" i="9"/>
  <c r="A19" i="9"/>
  <c r="G15" i="9"/>
  <c r="O15" i="9"/>
  <c r="N15" i="9"/>
  <c r="M15" i="9"/>
  <c r="L15" i="9"/>
  <c r="K15" i="9"/>
  <c r="J15" i="9"/>
  <c r="I15" i="9"/>
  <c r="H15" i="9"/>
  <c r="E15" i="9"/>
  <c r="D15" i="9"/>
  <c r="A15" i="9"/>
  <c r="O17" i="9"/>
  <c r="N17" i="9"/>
  <c r="M17" i="9"/>
  <c r="L17" i="9"/>
  <c r="K17" i="9"/>
  <c r="J17" i="9"/>
  <c r="I17" i="9"/>
  <c r="H17" i="9"/>
  <c r="G17" i="9"/>
  <c r="E17" i="9"/>
  <c r="D17" i="9"/>
  <c r="A17" i="9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C2" i="18"/>
  <c r="D2" i="18"/>
  <c r="J4" i="11"/>
  <c r="J3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" i="11"/>
  <c r="L35" i="9"/>
  <c r="I35" i="9"/>
  <c r="I36" i="9"/>
  <c r="G57" i="9"/>
  <c r="E57" i="9"/>
  <c r="D57" i="9"/>
  <c r="O57" i="9"/>
  <c r="N57" i="9"/>
  <c r="M57" i="9"/>
  <c r="L57" i="9"/>
  <c r="K57" i="9"/>
  <c r="J57" i="9"/>
  <c r="I57" i="9"/>
  <c r="H57" i="9"/>
  <c r="A57" i="9"/>
  <c r="E46" i="9"/>
  <c r="D46" i="9"/>
  <c r="O46" i="9"/>
  <c r="N46" i="9"/>
  <c r="M46" i="9"/>
  <c r="L46" i="9"/>
  <c r="K46" i="9"/>
  <c r="J46" i="9"/>
  <c r="I46" i="9"/>
  <c r="H46" i="9"/>
  <c r="G46" i="9"/>
  <c r="A46" i="9"/>
  <c r="D56" i="9"/>
  <c r="E47" i="9"/>
  <c r="D47" i="9"/>
  <c r="E35" i="9"/>
  <c r="D36" i="9"/>
  <c r="D35" i="9"/>
  <c r="E36" i="9"/>
  <c r="O35" i="9"/>
  <c r="N35" i="9"/>
  <c r="M35" i="9"/>
  <c r="K35" i="9"/>
  <c r="J35" i="9"/>
  <c r="H35" i="9"/>
  <c r="G35" i="9"/>
  <c r="A35" i="9"/>
  <c r="M27" i="10"/>
  <c r="N27" i="10"/>
  <c r="Q27" i="10"/>
  <c r="P27" i="10"/>
  <c r="R27" i="10"/>
  <c r="O27" i="10"/>
  <c r="S27" i="10"/>
  <c r="A41" i="9"/>
  <c r="D41" i="9"/>
  <c r="E41" i="9"/>
  <c r="G41" i="9"/>
  <c r="H41" i="9"/>
  <c r="I41" i="9"/>
  <c r="J41" i="9"/>
  <c r="K41" i="9"/>
  <c r="L41" i="9"/>
  <c r="M41" i="9"/>
  <c r="N41" i="9"/>
  <c r="O41" i="9"/>
  <c r="D14" i="9"/>
  <c r="M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T16" i="10"/>
  <c r="W16" i="10"/>
  <c r="V16" i="10"/>
  <c r="X16" i="10"/>
  <c r="U16" i="10"/>
  <c r="Y16" i="10"/>
  <c r="D16" i="9"/>
  <c r="D21" i="9"/>
  <c r="D12" i="9"/>
  <c r="D13" i="9"/>
  <c r="D11" i="9"/>
  <c r="E11" i="9"/>
  <c r="A9" i="9"/>
  <c r="D9" i="9"/>
  <c r="E9" i="9"/>
  <c r="G9" i="9"/>
  <c r="H9" i="9"/>
  <c r="I9" i="9"/>
  <c r="J9" i="9"/>
  <c r="K9" i="9"/>
  <c r="L9" i="9"/>
  <c r="M9" i="9"/>
  <c r="N9" i="9"/>
  <c r="O9" i="9"/>
  <c r="E34" i="9"/>
  <c r="D34" i="9"/>
  <c r="G29" i="10"/>
  <c r="J29" i="10"/>
  <c r="I29" i="10"/>
  <c r="K29" i="10"/>
  <c r="H29" i="10"/>
  <c r="L29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M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G28" i="10"/>
  <c r="J28" i="10"/>
  <c r="I28" i="10"/>
  <c r="K28" i="10"/>
  <c r="H28" i="10"/>
  <c r="L28" i="10"/>
  <c r="G27" i="10"/>
  <c r="I27" i="10"/>
  <c r="K27" i="10"/>
  <c r="J27" i="10"/>
  <c r="H27" i="10"/>
  <c r="L27" i="10"/>
  <c r="G24" i="10"/>
  <c r="I24" i="10"/>
  <c r="K24" i="10"/>
  <c r="G11" i="10"/>
  <c r="J11" i="10"/>
  <c r="G23" i="10"/>
  <c r="J23" i="10"/>
  <c r="J24" i="10"/>
  <c r="T22" i="10"/>
  <c r="W22" i="10"/>
  <c r="V22" i="10"/>
  <c r="X22" i="10"/>
  <c r="U22" i="10"/>
  <c r="Y22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M11" i="10"/>
  <c r="M21" i="10"/>
  <c r="N21" i="10"/>
  <c r="Q21" i="10"/>
  <c r="P21" i="10"/>
  <c r="R21" i="10"/>
  <c r="O21" i="10"/>
  <c r="S21" i="10"/>
  <c r="N11" i="10"/>
  <c r="Q11" i="10"/>
  <c r="P11" i="10"/>
  <c r="R11" i="10"/>
  <c r="O11" i="10"/>
  <c r="S11" i="10"/>
  <c r="M26" i="10"/>
  <c r="M18" i="10"/>
  <c r="N18" i="10"/>
  <c r="Q18" i="10"/>
  <c r="P18" i="10"/>
  <c r="R18" i="10"/>
  <c r="O18" i="10"/>
  <c r="S18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T26" i="10"/>
  <c r="W26" i="10"/>
  <c r="V26" i="10"/>
  <c r="X26" i="10"/>
  <c r="U26" i="10"/>
  <c r="Y26" i="10"/>
  <c r="N5" i="7"/>
  <c r="N4" i="7"/>
  <c r="N3" i="7"/>
  <c r="N2" i="7"/>
  <c r="N8" i="7"/>
  <c r="N7" i="7"/>
  <c r="N6" i="7"/>
  <c r="N10" i="7"/>
  <c r="N9" i="7"/>
  <c r="M24" i="1"/>
  <c r="M16" i="1"/>
  <c r="M17" i="1"/>
  <c r="M25" i="1"/>
  <c r="E23" i="1"/>
  <c r="G13" i="2"/>
  <c r="H13" i="2"/>
  <c r="E13" i="2"/>
  <c r="D13" i="2"/>
  <c r="A13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B13" i="2"/>
  <c r="G12" i="2"/>
  <c r="H12" i="2"/>
  <c r="E12" i="2"/>
  <c r="D12" i="2"/>
  <c r="A12" i="2"/>
  <c r="B12" i="2"/>
  <c r="G11" i="2"/>
  <c r="H11" i="2"/>
  <c r="E11" i="2"/>
  <c r="D11" i="2"/>
  <c r="A11" i="2"/>
  <c r="B11" i="2"/>
  <c r="G10" i="2"/>
  <c r="H10" i="2"/>
  <c r="E10" i="2"/>
  <c r="D10" i="2"/>
  <c r="A10" i="2"/>
  <c r="B10" i="2"/>
  <c r="G9" i="2"/>
  <c r="H9" i="2"/>
  <c r="E9" i="2"/>
  <c r="D9" i="2"/>
  <c r="A9" i="2"/>
  <c r="B9" i="2"/>
  <c r="G8" i="2"/>
  <c r="H8" i="2"/>
  <c r="E8" i="2"/>
  <c r="D8" i="2"/>
  <c r="A8" i="2"/>
  <c r="B8" i="2"/>
  <c r="G7" i="2"/>
  <c r="H7" i="2"/>
  <c r="E7" i="2"/>
  <c r="D7" i="2"/>
  <c r="A7" i="2"/>
  <c r="B7" i="2"/>
  <c r="G6" i="2"/>
  <c r="H6" i="2"/>
  <c r="E6" i="2"/>
  <c r="D6" i="2"/>
  <c r="A6" i="2"/>
  <c r="B6" i="2"/>
  <c r="W10" i="7"/>
  <c r="R10" i="7"/>
  <c r="Q10" i="7"/>
  <c r="P10" i="7"/>
  <c r="O10" i="7"/>
  <c r="H10" i="7"/>
  <c r="G2" i="2"/>
  <c r="A2" i="2"/>
  <c r="G3" i="2"/>
  <c r="A3" i="2"/>
  <c r="G4" i="2"/>
  <c r="A4" i="2"/>
  <c r="G5" i="2"/>
  <c r="A5" i="2"/>
  <c r="J10" i="7"/>
  <c r="I10" i="7"/>
  <c r="D10" i="7"/>
  <c r="F10" i="7"/>
  <c r="E10" i="7"/>
  <c r="A10" i="7"/>
  <c r="W9" i="7"/>
  <c r="R9" i="7"/>
  <c r="Q9" i="7"/>
  <c r="P9" i="7"/>
  <c r="O9" i="7"/>
  <c r="H9" i="7"/>
  <c r="J9" i="7"/>
  <c r="I9" i="7"/>
  <c r="D9" i="7"/>
  <c r="F9" i="7"/>
  <c r="E9" i="7"/>
  <c r="A9" i="7"/>
  <c r="W8" i="7"/>
  <c r="R8" i="7"/>
  <c r="Q8" i="7"/>
  <c r="P8" i="7"/>
  <c r="O8" i="7"/>
  <c r="H8" i="7"/>
  <c r="J8" i="7"/>
  <c r="I8" i="7"/>
  <c r="D8" i="7"/>
  <c r="F8" i="7"/>
  <c r="E8" i="7"/>
  <c r="A8" i="7"/>
  <c r="W7" i="7"/>
  <c r="R7" i="7"/>
  <c r="Q7" i="7"/>
  <c r="P7" i="7"/>
  <c r="O7" i="7"/>
  <c r="H7" i="7"/>
  <c r="J7" i="7"/>
  <c r="I7" i="7"/>
  <c r="D7" i="7"/>
  <c r="F7" i="7"/>
  <c r="E7" i="7"/>
  <c r="A7" i="7"/>
  <c r="W6" i="7"/>
  <c r="R6" i="7"/>
  <c r="Q6" i="7"/>
  <c r="P6" i="7"/>
  <c r="O6" i="7"/>
  <c r="H6" i="7"/>
  <c r="J6" i="7"/>
  <c r="I6" i="7"/>
  <c r="D6" i="7"/>
  <c r="F6" i="7"/>
  <c r="E6" i="7"/>
  <c r="A6" i="7"/>
  <c r="W5" i="7"/>
  <c r="R5" i="7"/>
  <c r="Q5" i="7"/>
  <c r="P5" i="7"/>
  <c r="O5" i="7"/>
  <c r="H5" i="7"/>
  <c r="J5" i="7"/>
  <c r="I5" i="7"/>
  <c r="D5" i="7"/>
  <c r="F5" i="7"/>
  <c r="E5" i="7"/>
  <c r="A5" i="7"/>
  <c r="O56" i="9"/>
  <c r="N56" i="9"/>
  <c r="M56" i="9"/>
  <c r="L56" i="9"/>
  <c r="K56" i="9"/>
  <c r="J56" i="9"/>
  <c r="I56" i="9"/>
  <c r="H56" i="9"/>
  <c r="G56" i="9"/>
  <c r="E56" i="9"/>
  <c r="A56" i="9"/>
  <c r="O55" i="9"/>
  <c r="N55" i="9"/>
  <c r="K55" i="9"/>
  <c r="J55" i="9"/>
  <c r="I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7" i="9"/>
  <c r="N47" i="9"/>
  <c r="M47" i="9"/>
  <c r="L47" i="9"/>
  <c r="K47" i="9"/>
  <c r="I47" i="9"/>
  <c r="H47" i="9"/>
  <c r="A47" i="9"/>
  <c r="O45" i="9"/>
  <c r="N45" i="9"/>
  <c r="M45" i="9"/>
  <c r="L45" i="9"/>
  <c r="K45" i="9"/>
  <c r="J45" i="9"/>
  <c r="I45" i="9"/>
  <c r="H45" i="9"/>
  <c r="G45" i="9"/>
  <c r="E45" i="9"/>
  <c r="D45" i="9"/>
  <c r="A45" i="9"/>
  <c r="O49" i="9"/>
  <c r="N49" i="9"/>
  <c r="M49" i="9"/>
  <c r="L49" i="9"/>
  <c r="K49" i="9"/>
  <c r="J49" i="9"/>
  <c r="I49" i="9"/>
  <c r="H49" i="9"/>
  <c r="G49" i="9"/>
  <c r="E49" i="9"/>
  <c r="D49" i="9"/>
  <c r="A49" i="9"/>
  <c r="O43" i="9"/>
  <c r="N43" i="9"/>
  <c r="M43" i="9"/>
  <c r="L43" i="9"/>
  <c r="K43" i="9"/>
  <c r="J43" i="9"/>
  <c r="I43" i="9"/>
  <c r="H43" i="9"/>
  <c r="G43" i="9"/>
  <c r="E43" i="9"/>
  <c r="D43" i="9"/>
  <c r="A43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K38" i="9"/>
  <c r="I38" i="9"/>
  <c r="H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H36" i="9"/>
  <c r="G36" i="9"/>
  <c r="A36" i="9"/>
  <c r="O34" i="9"/>
  <c r="N34" i="9"/>
  <c r="M34" i="9"/>
  <c r="L34" i="9"/>
  <c r="K34" i="9"/>
  <c r="J34" i="9"/>
  <c r="I34" i="9"/>
  <c r="H34" i="9"/>
  <c r="G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AD25" i="1"/>
  <c r="AG25" i="1"/>
  <c r="AE25" i="1"/>
  <c r="AC25" i="1"/>
  <c r="E16" i="9"/>
  <c r="V25" i="1"/>
  <c r="Q25" i="1"/>
  <c r="P25" i="1"/>
  <c r="O25" i="1"/>
  <c r="N25" i="1"/>
  <c r="J25" i="1"/>
  <c r="I25" i="1"/>
  <c r="D25" i="1"/>
  <c r="F25" i="1"/>
  <c r="E25" i="1"/>
  <c r="A25" i="1"/>
  <c r="AB24" i="1"/>
  <c r="AD24" i="1"/>
  <c r="AG24" i="1"/>
  <c r="AE24" i="1"/>
  <c r="AC24" i="1"/>
  <c r="V24" i="1"/>
  <c r="Q24" i="1"/>
  <c r="P24" i="1"/>
  <c r="O24" i="1"/>
  <c r="N24" i="1"/>
  <c r="J24" i="1"/>
  <c r="I24" i="1"/>
  <c r="D24" i="1"/>
  <c r="F24" i="1"/>
  <c r="E24" i="1"/>
  <c r="A24" i="1"/>
  <c r="AB23" i="1"/>
  <c r="AD23" i="1"/>
  <c r="AG23" i="1"/>
  <c r="AE23" i="1"/>
  <c r="AC23" i="1"/>
  <c r="E8" i="9"/>
  <c r="V23" i="1"/>
  <c r="Q23" i="1"/>
  <c r="P23" i="1"/>
  <c r="O23" i="1"/>
  <c r="N23" i="1"/>
  <c r="M23" i="1"/>
  <c r="J23" i="1"/>
  <c r="I23" i="1"/>
  <c r="D23" i="1"/>
  <c r="F23" i="1"/>
  <c r="A23" i="1"/>
  <c r="AB22" i="1"/>
  <c r="AD22" i="1"/>
  <c r="AG22" i="1"/>
  <c r="AE22" i="1"/>
  <c r="AC22" i="1"/>
  <c r="E7" i="9"/>
  <c r="V22" i="1"/>
  <c r="Q22" i="1"/>
  <c r="P22" i="1"/>
  <c r="O22" i="1"/>
  <c r="N22" i="1"/>
  <c r="M22" i="1"/>
  <c r="J22" i="1"/>
  <c r="I22" i="1"/>
  <c r="D22" i="1"/>
  <c r="F22" i="1"/>
  <c r="E22" i="1"/>
  <c r="A22" i="1"/>
  <c r="AB21" i="1"/>
  <c r="AD21" i="1"/>
  <c r="AG21" i="1"/>
  <c r="AE21" i="1"/>
  <c r="AC21" i="1"/>
  <c r="E6" i="9"/>
  <c r="V21" i="1"/>
  <c r="Q21" i="1"/>
  <c r="P21" i="1"/>
  <c r="O21" i="1"/>
  <c r="N21" i="1"/>
  <c r="M21" i="1"/>
  <c r="J21" i="1"/>
  <c r="I21" i="1"/>
  <c r="D21" i="1"/>
  <c r="F21" i="1"/>
  <c r="E21" i="1"/>
  <c r="A21" i="1"/>
  <c r="AB20" i="1"/>
  <c r="AD20" i="1"/>
  <c r="AG20" i="1"/>
  <c r="AE20" i="1"/>
  <c r="AC20" i="1"/>
  <c r="V20" i="1"/>
  <c r="Q20" i="1"/>
  <c r="P20" i="1"/>
  <c r="O20" i="1"/>
  <c r="N20" i="1"/>
  <c r="M20" i="1"/>
  <c r="J20" i="1"/>
  <c r="I20" i="1"/>
  <c r="D20" i="1"/>
  <c r="F20" i="1"/>
  <c r="E20" i="1"/>
  <c r="A20" i="1"/>
  <c r="AB19" i="1"/>
  <c r="AD19" i="1"/>
  <c r="AG19" i="1"/>
  <c r="AE19" i="1"/>
  <c r="AC19" i="1"/>
  <c r="E5" i="9"/>
  <c r="V19" i="1"/>
  <c r="Q19" i="1"/>
  <c r="P19" i="1"/>
  <c r="O19" i="1"/>
  <c r="N19" i="1"/>
  <c r="M19" i="1"/>
  <c r="J19" i="1"/>
  <c r="I19" i="1"/>
  <c r="D19" i="1"/>
  <c r="F19" i="1"/>
  <c r="E19" i="1"/>
  <c r="A19" i="1"/>
  <c r="AB18" i="1"/>
  <c r="AD18" i="1"/>
  <c r="AG18" i="1"/>
  <c r="AE18" i="1"/>
  <c r="AC18" i="1"/>
  <c r="E2" i="9"/>
  <c r="V18" i="1"/>
  <c r="Q18" i="1"/>
  <c r="P18" i="1"/>
  <c r="O18" i="1"/>
  <c r="N18" i="1"/>
  <c r="M18" i="1"/>
  <c r="J18" i="1"/>
  <c r="I18" i="1"/>
  <c r="D18" i="1"/>
  <c r="F18" i="1"/>
  <c r="E18" i="1"/>
  <c r="A18" i="1"/>
  <c r="AD17" i="1"/>
  <c r="AG17" i="1"/>
  <c r="AE17" i="1"/>
  <c r="AC17" i="1"/>
  <c r="V17" i="1"/>
  <c r="Q17" i="1"/>
  <c r="P17" i="1"/>
  <c r="O17" i="1"/>
  <c r="N17" i="1"/>
  <c r="J17" i="1"/>
  <c r="I17" i="1"/>
  <c r="D17" i="1"/>
  <c r="F17" i="1"/>
  <c r="E17" i="1"/>
  <c r="A17" i="1"/>
  <c r="AB16" i="1"/>
  <c r="AD16" i="1"/>
  <c r="AG16" i="1"/>
  <c r="AE16" i="1"/>
  <c r="AC16" i="1"/>
  <c r="V16" i="1"/>
  <c r="Q16" i="1"/>
  <c r="P16" i="1"/>
  <c r="O16" i="1"/>
  <c r="N16" i="1"/>
  <c r="J16" i="1"/>
  <c r="I16" i="1"/>
  <c r="D16" i="1"/>
  <c r="F16" i="1"/>
  <c r="E16" i="1"/>
  <c r="A16" i="1"/>
  <c r="AB15" i="1"/>
  <c r="AD15" i="1"/>
  <c r="AG15" i="1"/>
  <c r="AE15" i="1"/>
  <c r="AC15" i="1"/>
  <c r="V15" i="1"/>
  <c r="Q15" i="1"/>
  <c r="P15" i="1"/>
  <c r="O15" i="1"/>
  <c r="N15" i="1"/>
  <c r="M15" i="1"/>
  <c r="J15" i="1"/>
  <c r="I15" i="1"/>
  <c r="D15" i="1"/>
  <c r="F15" i="1"/>
  <c r="E15" i="1"/>
  <c r="A15" i="1"/>
  <c r="AB14" i="1"/>
  <c r="AD14" i="1"/>
  <c r="AG14" i="1"/>
  <c r="AE14" i="1"/>
  <c r="AC14" i="1"/>
  <c r="V14" i="1"/>
  <c r="Q14" i="1"/>
  <c r="P14" i="1"/>
  <c r="O14" i="1"/>
  <c r="N14" i="1"/>
  <c r="M14" i="1"/>
  <c r="J14" i="1"/>
  <c r="I14" i="1"/>
  <c r="D14" i="1"/>
  <c r="F14" i="1"/>
  <c r="E14" i="1"/>
  <c r="A14" i="1"/>
  <c r="AB13" i="1"/>
  <c r="AD13" i="1"/>
  <c r="AG13" i="1"/>
  <c r="AE13" i="1"/>
  <c r="AC13" i="1"/>
  <c r="V13" i="1"/>
  <c r="Q13" i="1"/>
  <c r="P13" i="1"/>
  <c r="O13" i="1"/>
  <c r="N13" i="1"/>
  <c r="M13" i="1"/>
  <c r="J13" i="1"/>
  <c r="I13" i="1"/>
  <c r="D13" i="1"/>
  <c r="F13" i="1"/>
  <c r="E13" i="1"/>
  <c r="A13" i="1"/>
  <c r="AB12" i="1"/>
  <c r="AD12" i="1"/>
  <c r="AG12" i="1"/>
  <c r="AE12" i="1"/>
  <c r="AC12" i="1"/>
  <c r="V12" i="1"/>
  <c r="Q12" i="1"/>
  <c r="P12" i="1"/>
  <c r="O12" i="1"/>
  <c r="N12" i="1"/>
  <c r="M12" i="1"/>
  <c r="J12" i="1"/>
  <c r="I12" i="1"/>
  <c r="D12" i="1"/>
  <c r="F12" i="1"/>
  <c r="E12" i="1"/>
  <c r="A12" i="1"/>
  <c r="AB11" i="1"/>
  <c r="AD11" i="1"/>
  <c r="AG11" i="1"/>
  <c r="AE11" i="1"/>
  <c r="AC11" i="1"/>
  <c r="V11" i="1"/>
  <c r="Q11" i="1"/>
  <c r="P11" i="1"/>
  <c r="O11" i="1"/>
  <c r="N11" i="1"/>
  <c r="M11" i="1"/>
  <c r="J11" i="1"/>
  <c r="I11" i="1"/>
  <c r="D11" i="1"/>
  <c r="F11" i="1"/>
  <c r="E11" i="1"/>
  <c r="A11" i="1"/>
  <c r="AB10" i="1"/>
  <c r="AD10" i="1"/>
  <c r="AG10" i="1"/>
  <c r="AE10" i="1"/>
  <c r="AC10" i="1"/>
  <c r="V10" i="1"/>
  <c r="Q10" i="1"/>
  <c r="P10" i="1"/>
  <c r="O10" i="1"/>
  <c r="N10" i="1"/>
  <c r="M10" i="1"/>
  <c r="J10" i="1"/>
  <c r="I10" i="1"/>
  <c r="D10" i="1"/>
  <c r="F10" i="1"/>
  <c r="E10" i="1"/>
  <c r="A10" i="1"/>
  <c r="A3" i="7"/>
  <c r="D3" i="7"/>
  <c r="E3" i="7"/>
  <c r="F3" i="7"/>
  <c r="H3" i="7"/>
  <c r="I3" i="7"/>
  <c r="J3" i="7"/>
  <c r="O3" i="7"/>
  <c r="P3" i="7"/>
  <c r="Q3" i="7"/>
  <c r="R3" i="7"/>
  <c r="W3" i="7"/>
  <c r="A4" i="7"/>
  <c r="D4" i="7"/>
  <c r="E4" i="7"/>
  <c r="F4" i="7"/>
  <c r="H4" i="7"/>
  <c r="I4" i="7"/>
  <c r="J4" i="7"/>
  <c r="O4" i="7"/>
  <c r="P4" i="7"/>
  <c r="Q4" i="7"/>
  <c r="R4" i="7"/>
  <c r="W4" i="7"/>
  <c r="L40" i="19"/>
  <c r="K40" i="19"/>
  <c r="G40" i="19"/>
  <c r="F40" i="19"/>
  <c r="D40" i="19"/>
  <c r="C40" i="19"/>
  <c r="L39" i="19"/>
  <c r="K39" i="19"/>
  <c r="G39" i="19"/>
  <c r="F39" i="19"/>
  <c r="D39" i="19"/>
  <c r="C39" i="19"/>
  <c r="L38" i="19"/>
  <c r="K38" i="19"/>
  <c r="G38" i="19"/>
  <c r="F38" i="19"/>
  <c r="D38" i="19"/>
  <c r="C38" i="19"/>
  <c r="L37" i="19"/>
  <c r="K37" i="19"/>
  <c r="G37" i="19"/>
  <c r="F37" i="19"/>
  <c r="D37" i="19"/>
  <c r="C37" i="19"/>
  <c r="L36" i="19"/>
  <c r="K36" i="19"/>
  <c r="G36" i="19"/>
  <c r="F36" i="19"/>
  <c r="D36" i="19"/>
  <c r="C36" i="19"/>
  <c r="L35" i="19"/>
  <c r="K35" i="19"/>
  <c r="G35" i="19"/>
  <c r="F35" i="19"/>
  <c r="D35" i="19"/>
  <c r="C35" i="19"/>
  <c r="L34" i="19"/>
  <c r="K34" i="19"/>
  <c r="G34" i="19"/>
  <c r="F34" i="19"/>
  <c r="D34" i="19"/>
  <c r="C34" i="19"/>
  <c r="L33" i="19"/>
  <c r="K33" i="19"/>
  <c r="G33" i="19"/>
  <c r="F33" i="19"/>
  <c r="D33" i="19"/>
  <c r="C33" i="19"/>
  <c r="L32" i="19"/>
  <c r="K32" i="19"/>
  <c r="G32" i="19"/>
  <c r="F32" i="19"/>
  <c r="D32" i="19"/>
  <c r="C32" i="19"/>
  <c r="L31" i="19"/>
  <c r="K31" i="19"/>
  <c r="G31" i="19"/>
  <c r="F31" i="19"/>
  <c r="D31" i="19"/>
  <c r="C31" i="19"/>
  <c r="L30" i="19"/>
  <c r="K30" i="19"/>
  <c r="G30" i="19"/>
  <c r="F30" i="19"/>
  <c r="D30" i="19"/>
  <c r="C30" i="19"/>
  <c r="L29" i="19"/>
  <c r="K29" i="19"/>
  <c r="G29" i="19"/>
  <c r="F29" i="19"/>
  <c r="D29" i="19"/>
  <c r="C29" i="19"/>
  <c r="L28" i="19"/>
  <c r="K28" i="19"/>
  <c r="G28" i="19"/>
  <c r="F28" i="19"/>
  <c r="D28" i="19"/>
  <c r="C28" i="19"/>
  <c r="C2" i="19"/>
  <c r="D2" i="19"/>
  <c r="F2" i="19"/>
  <c r="G2" i="19"/>
  <c r="K2" i="19"/>
  <c r="L2" i="19"/>
  <c r="C3" i="19"/>
  <c r="D3" i="19"/>
  <c r="F3" i="19"/>
  <c r="G3" i="19"/>
  <c r="K3" i="19"/>
  <c r="L3" i="19"/>
  <c r="C4" i="19"/>
  <c r="D4" i="19"/>
  <c r="F4" i="19"/>
  <c r="G4" i="19"/>
  <c r="K4" i="19"/>
  <c r="L4" i="19"/>
  <c r="C5" i="19"/>
  <c r="D5" i="19"/>
  <c r="F5" i="19"/>
  <c r="G5" i="19"/>
  <c r="K5" i="19"/>
  <c r="L5" i="19"/>
  <c r="C6" i="19"/>
  <c r="D6" i="19"/>
  <c r="F6" i="19"/>
  <c r="G6" i="19"/>
  <c r="K6" i="19"/>
  <c r="L6" i="19"/>
  <c r="C7" i="19"/>
  <c r="D7" i="19"/>
  <c r="F7" i="19"/>
  <c r="G7" i="19"/>
  <c r="K7" i="19"/>
  <c r="L7" i="19"/>
  <c r="C8" i="19"/>
  <c r="D8" i="19"/>
  <c r="F8" i="19"/>
  <c r="G8" i="19"/>
  <c r="K8" i="19"/>
  <c r="L8" i="19"/>
  <c r="C9" i="19"/>
  <c r="D9" i="19"/>
  <c r="F9" i="19"/>
  <c r="G9" i="19"/>
  <c r="K9" i="19"/>
  <c r="L9" i="19"/>
  <c r="C10" i="19"/>
  <c r="D10" i="19"/>
  <c r="F10" i="19"/>
  <c r="G10" i="19"/>
  <c r="K10" i="19"/>
  <c r="L10" i="19"/>
  <c r="C11" i="19"/>
  <c r="D11" i="19"/>
  <c r="F11" i="19"/>
  <c r="G11" i="19"/>
  <c r="K11" i="19"/>
  <c r="L11" i="19"/>
  <c r="C12" i="19"/>
  <c r="D12" i="19"/>
  <c r="F12" i="19"/>
  <c r="G12" i="19"/>
  <c r="K12" i="19"/>
  <c r="L12" i="19"/>
  <c r="C13" i="19"/>
  <c r="D13" i="19"/>
  <c r="F13" i="19"/>
  <c r="G13" i="19"/>
  <c r="K13" i="19"/>
  <c r="L13" i="19"/>
  <c r="C14" i="19"/>
  <c r="D14" i="19"/>
  <c r="F14" i="19"/>
  <c r="G14" i="19"/>
  <c r="K14" i="19"/>
  <c r="L14" i="19"/>
  <c r="A3" i="9"/>
  <c r="D3" i="9"/>
  <c r="E3" i="9"/>
  <c r="G3" i="9"/>
  <c r="H3" i="9"/>
  <c r="I3" i="9"/>
  <c r="J3" i="9"/>
  <c r="K3" i="9"/>
  <c r="L3" i="9"/>
  <c r="M3" i="9"/>
  <c r="N3" i="9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G5" i="9"/>
  <c r="H5" i="9"/>
  <c r="I5" i="9"/>
  <c r="J5" i="9"/>
  <c r="K5" i="9"/>
  <c r="L5" i="9"/>
  <c r="M5" i="9"/>
  <c r="N5" i="9"/>
  <c r="O5" i="9"/>
  <c r="A6" i="9"/>
  <c r="D6" i="9"/>
  <c r="G6" i="9"/>
  <c r="H6" i="9"/>
  <c r="I6" i="9"/>
  <c r="J6" i="9"/>
  <c r="K6" i="9"/>
  <c r="L6" i="9"/>
  <c r="M6" i="9"/>
  <c r="N6" i="9"/>
  <c r="O6" i="9"/>
  <c r="A7" i="9"/>
  <c r="D7" i="9"/>
  <c r="G7" i="9"/>
  <c r="H7" i="9"/>
  <c r="I7" i="9"/>
  <c r="J7" i="9"/>
  <c r="K7" i="9"/>
  <c r="L7" i="9"/>
  <c r="M7" i="9"/>
  <c r="N7" i="9"/>
  <c r="O7" i="9"/>
  <c r="A8" i="9"/>
  <c r="D8" i="9"/>
  <c r="G8" i="9"/>
  <c r="H8" i="9"/>
  <c r="I8" i="9"/>
  <c r="J8" i="9"/>
  <c r="K8" i="9"/>
  <c r="L8" i="9"/>
  <c r="M8" i="9"/>
  <c r="N8" i="9"/>
  <c r="O8" i="9"/>
  <c r="A10" i="9"/>
  <c r="D10" i="9"/>
  <c r="E10" i="9"/>
  <c r="G10" i="9"/>
  <c r="H10" i="9"/>
  <c r="I10" i="9"/>
  <c r="J10" i="9"/>
  <c r="K10" i="9"/>
  <c r="L10" i="9"/>
  <c r="M10" i="9"/>
  <c r="N10" i="9"/>
  <c r="O10" i="9"/>
  <c r="A11" i="9"/>
  <c r="H11" i="9"/>
  <c r="I11" i="9"/>
  <c r="K11" i="9"/>
  <c r="M11" i="9"/>
  <c r="N11" i="9"/>
  <c r="O11" i="9"/>
  <c r="A12" i="9"/>
  <c r="E12" i="9"/>
  <c r="G12" i="9"/>
  <c r="H12" i="9"/>
  <c r="I12" i="9"/>
  <c r="J12" i="9"/>
  <c r="K12" i="9"/>
  <c r="L12" i="9"/>
  <c r="M12" i="9"/>
  <c r="N12" i="9"/>
  <c r="O12" i="9"/>
  <c r="A13" i="9"/>
  <c r="E13" i="9"/>
  <c r="G13" i="9"/>
  <c r="H13" i="9"/>
  <c r="I13" i="9"/>
  <c r="J13" i="9"/>
  <c r="K13" i="9"/>
  <c r="L13" i="9"/>
  <c r="M13" i="9"/>
  <c r="N13" i="9"/>
  <c r="O13" i="9"/>
  <c r="A14" i="9"/>
  <c r="E14" i="9"/>
  <c r="G14" i="9"/>
  <c r="H14" i="9"/>
  <c r="I14" i="9"/>
  <c r="J14" i="9"/>
  <c r="K14" i="9"/>
  <c r="L14" i="9"/>
  <c r="M14" i="9"/>
  <c r="N14" i="9"/>
  <c r="O14" i="9"/>
  <c r="A16" i="9"/>
  <c r="G16" i="9"/>
  <c r="H16" i="9"/>
  <c r="I16" i="9"/>
  <c r="J16" i="9"/>
  <c r="K16" i="9"/>
  <c r="L16" i="9"/>
  <c r="M16" i="9"/>
  <c r="N16" i="9"/>
  <c r="O16" i="9"/>
  <c r="A21" i="9"/>
  <c r="E21" i="9"/>
  <c r="G21" i="9"/>
  <c r="H21" i="9"/>
  <c r="I21" i="9"/>
  <c r="J21" i="9"/>
  <c r="K21" i="9"/>
  <c r="L21" i="9"/>
  <c r="M21" i="9"/>
  <c r="N21" i="9"/>
  <c r="O21" i="9"/>
  <c r="A18" i="9"/>
  <c r="D18" i="9"/>
  <c r="E18" i="9"/>
  <c r="G18" i="9"/>
  <c r="H18" i="9"/>
  <c r="I18" i="9"/>
  <c r="J18" i="9"/>
  <c r="K18" i="9"/>
  <c r="L18" i="9"/>
  <c r="M18" i="9"/>
  <c r="N18" i="9"/>
  <c r="O18" i="9"/>
  <c r="A20" i="9"/>
  <c r="E20" i="9"/>
  <c r="G20" i="9"/>
  <c r="H20" i="9"/>
  <c r="I20" i="9"/>
  <c r="J20" i="9"/>
  <c r="K20" i="9"/>
  <c r="L20" i="9"/>
  <c r="M20" i="9"/>
  <c r="N20" i="9"/>
  <c r="O20" i="9"/>
  <c r="A22" i="9"/>
  <c r="D22" i="9"/>
  <c r="E22" i="9"/>
  <c r="G22" i="9"/>
  <c r="H22" i="9"/>
  <c r="I22" i="9"/>
  <c r="J22" i="9"/>
  <c r="K22" i="9"/>
  <c r="L22" i="9"/>
  <c r="M22" i="9"/>
  <c r="N22" i="9"/>
  <c r="O22" i="9"/>
  <c r="A23" i="9"/>
  <c r="D23" i="9"/>
  <c r="E23" i="9"/>
  <c r="G23" i="9"/>
  <c r="H23" i="9"/>
  <c r="I23" i="9"/>
  <c r="J23" i="9"/>
  <c r="K23" i="9"/>
  <c r="L23" i="9"/>
  <c r="M23" i="9"/>
  <c r="N23" i="9"/>
  <c r="O23" i="9"/>
  <c r="A24" i="9"/>
  <c r="D24" i="9"/>
  <c r="E24" i="9"/>
  <c r="G24" i="9"/>
  <c r="H24" i="9"/>
  <c r="I24" i="9"/>
  <c r="J24" i="9"/>
  <c r="K24" i="9"/>
  <c r="L24" i="9"/>
  <c r="M24" i="9"/>
  <c r="N24" i="9"/>
  <c r="O24" i="9"/>
  <c r="A25" i="9"/>
  <c r="D25" i="9"/>
  <c r="E25" i="9"/>
  <c r="G25" i="9"/>
  <c r="H25" i="9"/>
  <c r="I25" i="9"/>
  <c r="J25" i="9"/>
  <c r="K25" i="9"/>
  <c r="L25" i="9"/>
  <c r="M25" i="9"/>
  <c r="N25" i="9"/>
  <c r="O25" i="9"/>
  <c r="A26" i="9"/>
  <c r="D26" i="9"/>
  <c r="E26" i="9"/>
  <c r="G26" i="9"/>
  <c r="H26" i="9"/>
  <c r="I26" i="9"/>
  <c r="J26" i="9"/>
  <c r="K26" i="9"/>
  <c r="L26" i="9"/>
  <c r="M26" i="9"/>
  <c r="N26" i="9"/>
  <c r="O26" i="9"/>
  <c r="A27" i="9"/>
  <c r="D27" i="9"/>
  <c r="E27" i="9"/>
  <c r="G27" i="9"/>
  <c r="H27" i="9"/>
  <c r="I27" i="9"/>
  <c r="J27" i="9"/>
  <c r="K27" i="9"/>
  <c r="L27" i="9"/>
  <c r="M27" i="9"/>
  <c r="N27" i="9"/>
  <c r="O27" i="9"/>
  <c r="G3" i="10"/>
  <c r="H3" i="10"/>
  <c r="I3" i="10"/>
  <c r="J3" i="10"/>
  <c r="K3" i="10"/>
  <c r="L3" i="10"/>
  <c r="M3" i="10"/>
  <c r="M13" i="10"/>
  <c r="M24" i="10"/>
  <c r="N24" i="10"/>
  <c r="Q24" i="10"/>
  <c r="P24" i="10"/>
  <c r="R24" i="10"/>
  <c r="O24" i="10"/>
  <c r="S24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M25" i="10"/>
  <c r="N25" i="10"/>
  <c r="Q25" i="10"/>
  <c r="P25" i="10"/>
  <c r="R25" i="10"/>
  <c r="O25" i="10"/>
  <c r="S25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9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0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H11" i="10"/>
  <c r="I11" i="10"/>
  <c r="K11" i="10"/>
  <c r="L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M23" i="10"/>
  <c r="N23" i="10"/>
  <c r="Q23" i="10"/>
  <c r="P23" i="10"/>
  <c r="R23" i="10"/>
  <c r="O23" i="10"/>
  <c r="S23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T27" i="10"/>
  <c r="U27" i="10"/>
  <c r="V27" i="10"/>
  <c r="W27" i="10"/>
  <c r="X27" i="10"/>
  <c r="Y27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H23" i="10"/>
  <c r="I23" i="10"/>
  <c r="K23" i="10"/>
  <c r="L23" i="10"/>
  <c r="T23" i="10"/>
  <c r="U23" i="10"/>
  <c r="V23" i="10"/>
  <c r="W23" i="10"/>
  <c r="X23" i="10"/>
  <c r="Y23" i="10"/>
  <c r="H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V2" i="1"/>
  <c r="A4" i="1"/>
  <c r="D4" i="1"/>
  <c r="E4" i="1"/>
  <c r="F4" i="1"/>
  <c r="I4" i="1"/>
  <c r="J4" i="1"/>
  <c r="M4" i="1"/>
  <c r="N4" i="1"/>
  <c r="O4" i="1"/>
  <c r="P4" i="1"/>
  <c r="Q4" i="1"/>
  <c r="V4" i="1"/>
  <c r="AB4" i="1"/>
  <c r="AC4" i="1"/>
  <c r="AD4" i="1"/>
  <c r="AE4" i="1"/>
  <c r="AG4" i="1"/>
  <c r="A5" i="1"/>
  <c r="D5" i="1"/>
  <c r="E5" i="1"/>
  <c r="F5" i="1"/>
  <c r="I5" i="1"/>
  <c r="J5" i="1"/>
  <c r="M5" i="1"/>
  <c r="N5" i="1"/>
  <c r="O5" i="1"/>
  <c r="P5" i="1"/>
  <c r="Q5" i="1"/>
  <c r="V5" i="1"/>
  <c r="AB5" i="1"/>
  <c r="AC5" i="1"/>
  <c r="AD5" i="1"/>
  <c r="AE5" i="1"/>
  <c r="AG5" i="1"/>
  <c r="A6" i="1"/>
  <c r="D6" i="1"/>
  <c r="E6" i="1"/>
  <c r="F6" i="1"/>
  <c r="I6" i="1"/>
  <c r="J6" i="1"/>
  <c r="M6" i="1"/>
  <c r="N6" i="1"/>
  <c r="O6" i="1"/>
  <c r="P6" i="1"/>
  <c r="Q6" i="1"/>
  <c r="V6" i="1"/>
  <c r="AB6" i="1"/>
  <c r="AC6" i="1"/>
  <c r="AD6" i="1"/>
  <c r="AE6" i="1"/>
  <c r="AG6" i="1"/>
  <c r="A7" i="1"/>
  <c r="D7" i="1"/>
  <c r="E7" i="1"/>
  <c r="F7" i="1"/>
  <c r="I7" i="1"/>
  <c r="J7" i="1"/>
  <c r="M7" i="1"/>
  <c r="N7" i="1"/>
  <c r="O7" i="1"/>
  <c r="P7" i="1"/>
  <c r="Q7" i="1"/>
  <c r="V7" i="1"/>
  <c r="AB7" i="1"/>
  <c r="AC7" i="1"/>
  <c r="AD7" i="1"/>
  <c r="AE7" i="1"/>
  <c r="AG7" i="1"/>
  <c r="A8" i="1"/>
  <c r="D8" i="1"/>
  <c r="E8" i="1"/>
  <c r="F8" i="1"/>
  <c r="I8" i="1"/>
  <c r="J8" i="1"/>
  <c r="M8" i="1"/>
  <c r="N8" i="1"/>
  <c r="O8" i="1"/>
  <c r="P8" i="1"/>
  <c r="Q8" i="1"/>
  <c r="V8" i="1"/>
  <c r="AB8" i="1"/>
  <c r="AC8" i="1"/>
  <c r="AD8" i="1"/>
  <c r="AE8" i="1"/>
  <c r="AG8" i="1"/>
  <c r="A9" i="1"/>
  <c r="D9" i="1"/>
  <c r="E9" i="1"/>
  <c r="F9" i="1"/>
  <c r="I9" i="1"/>
  <c r="J9" i="1"/>
  <c r="M9" i="1"/>
  <c r="N9" i="1"/>
  <c r="O9" i="1"/>
  <c r="P9" i="1"/>
  <c r="Q9" i="1"/>
  <c r="V9" i="1"/>
  <c r="AC9" i="1"/>
  <c r="AD9" i="1"/>
  <c r="AE9" i="1"/>
  <c r="AG9" i="1"/>
  <c r="B3" i="2"/>
  <c r="D3" i="2"/>
  <c r="E3" i="2"/>
  <c r="H3" i="2"/>
  <c r="B4" i="2"/>
  <c r="D4" i="2"/>
  <c r="E4" i="2"/>
  <c r="H4" i="2"/>
  <c r="B5" i="2"/>
  <c r="D5" i="2"/>
  <c r="E5" i="2"/>
  <c r="H5" i="2"/>
  <c r="C16" i="19"/>
  <c r="D16" i="19"/>
  <c r="F16" i="19"/>
  <c r="G16" i="19"/>
  <c r="C17" i="19"/>
  <c r="D17" i="19"/>
  <c r="F17" i="19"/>
  <c r="G17" i="19"/>
  <c r="C18" i="19"/>
  <c r="D18" i="19"/>
  <c r="F18" i="19"/>
  <c r="G18" i="19"/>
  <c r="C19" i="19"/>
  <c r="D19" i="19"/>
  <c r="F19" i="19"/>
  <c r="G19" i="19"/>
  <c r="C20" i="19"/>
  <c r="D20" i="19"/>
  <c r="F20" i="19"/>
  <c r="G20" i="19"/>
  <c r="C21" i="19"/>
  <c r="D21" i="19"/>
  <c r="F21" i="19"/>
  <c r="G21" i="19"/>
  <c r="C22" i="19"/>
  <c r="D22" i="19"/>
  <c r="F22" i="19"/>
  <c r="G22" i="19"/>
  <c r="C23" i="19"/>
  <c r="D23" i="19"/>
  <c r="F23" i="19"/>
  <c r="G23" i="19"/>
  <c r="C24" i="19"/>
  <c r="D24" i="19"/>
  <c r="F24" i="19"/>
  <c r="G24" i="19"/>
  <c r="C25" i="19"/>
  <c r="D25" i="19"/>
  <c r="F25" i="19"/>
  <c r="G25" i="19"/>
  <c r="C26" i="19"/>
  <c r="D26" i="19"/>
  <c r="F26" i="19"/>
  <c r="G26" i="19"/>
  <c r="C27" i="19"/>
  <c r="D27" i="19"/>
  <c r="F27" i="19"/>
  <c r="G27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C15" i="19"/>
  <c r="D15" i="19"/>
  <c r="F15" i="19"/>
  <c r="G15" i="19"/>
  <c r="C12" i="16"/>
  <c r="E12" i="16"/>
  <c r="C10" i="16"/>
  <c r="C11" i="16"/>
  <c r="E11" i="16"/>
  <c r="E10" i="16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W2" i="7"/>
  <c r="R2" i="7"/>
  <c r="Q2" i="7"/>
  <c r="P2" i="7"/>
  <c r="O2" i="7"/>
  <c r="AB3" i="1"/>
  <c r="AE3" i="1"/>
  <c r="AD3" i="1"/>
  <c r="AC3" i="1"/>
  <c r="AB2" i="1"/>
  <c r="AE2" i="1"/>
  <c r="AD2" i="1"/>
  <c r="AC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<sst xmlns="http://schemas.openxmlformats.org/spreadsheetml/2006/main" count="903" uniqueCount="320">
  <si>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</si>
  <si>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</si>
  <si>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</si>
  <si>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</si>
  <si>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</si>
  <si>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</si>
  <si>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</si>
  <si>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</si>
  <si>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</si>
  <si>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</si>
  <si>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</si>
  <si>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</si>
  <si>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</si>
  <si>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</si>
  <si>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</si>
  <si>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</si>
  <si>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</si>
  <si>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</si>
  <si>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</si>
  <si>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</si>
  <si>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</si>
  <si>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</si>
  <si>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</si>
  <si>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</si>
  <si>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</si>
  <si>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</si>
  <si>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</si>
  <si>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</si>
  <si>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</si>
  <si>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</si>
  <si>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</si>
  <si>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</si>
  <si>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</si>
  <si>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</si>
  <si>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</si>
  <si>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</si>
  <si>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</si>
  <si>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</si>
  <si>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</si>
  <si>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</si>
  <si>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</si>
  <si>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</si>
  <si>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</si>
  <si>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</si>
  <si>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</si>
  <si>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</si>
  <si>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</si>
  <si>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</si>
  <si>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</si>
  <si>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</si>
  <si>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</si>
  <si>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</si>
  <si>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</si>
  <si>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</si>
  <si>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</si>
  <si>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</si>
  <si>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</si>
  <si>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</si>
  <si>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</si>
  <si>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</si>
  <si>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</si>
  <si>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</si>
  <si>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</si>
  <si>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</si>
  <si>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</si>
  <si>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</si>
  <si>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</si>
  <si>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</si>
  <si>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</si>
  <si>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</si>
  <si>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</si>
  <si>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</si>
  <si>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</si>
  <si>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</si>
  <si>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</si>
  <si>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</si>
  <si>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</si>
  <si>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</si>
  <si>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</si>
  <si>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</si>
  <si>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</si>
  <si>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</si>
  <si>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</si>
  <si>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</si>
  <si>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</si>
  <si>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</si>
  <si>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</si>
  <si>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</si>
  <si>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</si>
  <si>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</si>
  <si>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</si>
  <si>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</si>
  <si>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</si>
  <si>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</si>
  <si>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</si>
  <si>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</si>
  <si>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</si>
  <si>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</si>
  <si>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</si>
  <si>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</si>
  <si>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</si>
  <si>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</si>
  <si>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</si>
  <si>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</si>
  <si>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</si>
  <si>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</si>
  <si>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</si>
  <si>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</si>
  <si>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</si>
  <si>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</si>
  <si>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</si>
  <si>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</si>
  <si>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</si>
  <si>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</si>
  <si>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</si>
  <si>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</si>
  <si>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</si>
  <si>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</si>
  <si>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</si>
  <si>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</si>
  <si>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</si>
  <si>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</si>
  <si>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</si>
  <si>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</si>
  <si>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</si>
  <si>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</si>
  <si>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</si>
  <si>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</si>
  <si>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</si>
  <si>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</si>
  <si>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</si>
  <si>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</si>
  <si>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</si>
  <si>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</si>
  <si>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</si>
  <si>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</si>
  <si>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</si>
  <si>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</si>
  <si>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</si>
  <si>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</si>
  <si>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</si>
  <si>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</si>
  <si>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</si>
  <si>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</si>
  <si>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</si>
  <si>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</si>
  <si>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</si>
  <si>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</si>
  <si>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</si>
  <si>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</si>
  <si>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</si>
  <si>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</si>
  <si>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</si>
  <si>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</si>
  <si>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</si>
  <si>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</si>
  <si>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</si>
  <si>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</si>
  <si>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</si>
  <si>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</si>
  <si>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</si>
  <si>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</si>
  <si>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</si>
  <si>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</si>
  <si>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</si>
  <si>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</si>
  <si>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</si>
  <si>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</si>
  <si>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</si>
  <si>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</si>
  <si>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</si>
  <si>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</si>
  <si>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</si>
  <si>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</si>
  <si>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</si>
  <si>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</si>
  <si>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</si>
  <si>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</si>
  <si>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</si>
  <si>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</si>
  <si>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</si>
  <si>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</si>
  <si>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</si>
  <si>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</si>
  <si>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</si>
  <si>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</si>
  <si>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</si>
  <si>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</si>
  <si>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</si>
  <si>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</si>
  <si>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</si>
  <si>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</si>
  <si>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</si>
  <si>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</si>
  <si>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</si>
  <si>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</si>
  <si>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</si>
  <si>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</si>
  <si>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</si>
  <si>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</si>
  <si>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</si>
  <si>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</si>
  <si>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</si>
  <si>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</si>
  <si>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</si>
  <si>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</si>
  <si>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</si>
  <si>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</si>
  <si>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</si>
  <si>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</si>
  <si>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</si>
  <si>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</si>
  <si>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null</t>
    <phoneticPr fontId="5"/>
  </si>
  <si>
    <t>衰弱ウィルス</t>
    <rPh sb="0" eb="2">
      <t>スイジャク</t>
    </rPh>
    <phoneticPr fontId="5"/>
  </si>
  <si>
    <t>[effect:degrade_unit, target:unit_all, turn:1, status:attack, val:0.5, calc:mul],[effect:rush, count:1, val:0.9]</t>
    <phoneticPr fontId="5"/>
  </si>
  <si>
    <t>脱力カプセル</t>
    <rPh sb="0" eb="1">
      <t>ダツジョク</t>
    </rPh>
    <rPh sb="1" eb="2">
      <t>チカラ</t>
    </rPh>
    <phoneticPr fontId="5"/>
  </si>
  <si>
    <t>青龍摘出液ワクチン</t>
    <rPh sb="0" eb="2">
      <t>セイリュウ</t>
    </rPh>
    <rPh sb="2" eb="4">
      <t>テキシュツ</t>
    </rPh>
    <rPh sb="4" eb="5">
      <t>エキ</t>
    </rPh>
    <phoneticPr fontId="5"/>
  </si>
  <si>
    <t>神海の咆哮</t>
    <rPh sb="0" eb="1">
      <t>カミ</t>
    </rPh>
    <rPh sb="1" eb="2">
      <t>ウミ</t>
    </rPh>
    <rPh sb="3" eb="5">
      <t>ホウコウ</t>
    </rPh>
    <phoneticPr fontId="5"/>
  </si>
  <si>
    <t>全体攻撃</t>
    <rPh sb="0" eb="4">
      <t>ゼンタイコウゲキ</t>
    </rPh>
    <phoneticPr fontId="5"/>
  </si>
  <si>
    <t>仏式真紅爆弾</t>
    <rPh sb="0" eb="1">
      <t>ブツ</t>
    </rPh>
    <rPh sb="1" eb="2">
      <t>シキ</t>
    </rPh>
    <rPh sb="2" eb="4">
      <t>シンク</t>
    </rPh>
    <rPh sb="4" eb="6">
      <t>バクダン</t>
    </rPh>
    <phoneticPr fontId="5"/>
  </si>
  <si>
    <t>赤パネルを時限式ダメージパネルに変換</t>
    <rPh sb="0" eb="1">
      <t>アカ</t>
    </rPh>
    <rPh sb="5" eb="8">
      <t>ジゲンシキ</t>
    </rPh>
    <rPh sb="16" eb="18">
      <t>ヘンカン</t>
    </rPh>
    <phoneticPr fontId="5"/>
  </si>
  <si>
    <t>[effect:change_block, new_block:time_bomb, target:block_green, count:0, val:0.2, animation:change_block]</t>
    <phoneticPr fontId="5"/>
  </si>
  <si>
    <t>仏式翡翠爆弾</t>
    <rPh sb="0" eb="1">
      <t>ブツ</t>
    </rPh>
    <rPh sb="1" eb="2">
      <t>シキ</t>
    </rPh>
    <rPh sb="2" eb="4">
      <t>ヒスイ</t>
    </rPh>
    <rPh sb="4" eb="6">
      <t>バクダン</t>
    </rPh>
    <phoneticPr fontId="5"/>
  </si>
  <si>
    <t>緑パネルを時限式ダメージパネルに変換</t>
    <rPh sb="0" eb="1">
      <t>ミドリ</t>
    </rPh>
    <rPh sb="5" eb="8">
      <t>ジゲンシキ</t>
    </rPh>
    <rPh sb="16" eb="18">
      <t>ヘンカン</t>
    </rPh>
    <phoneticPr fontId="5"/>
  </si>
  <si>
    <t>仏式黄金爆弾</t>
    <rPh sb="0" eb="1">
      <t>ブツ</t>
    </rPh>
    <rPh sb="1" eb="2">
      <t>シキ</t>
    </rPh>
    <rPh sb="2" eb="4">
      <t>コガネ</t>
    </rPh>
    <rPh sb="4" eb="6">
      <t>バクダン</t>
    </rPh>
    <phoneticPr fontId="5"/>
  </si>
  <si>
    <t>黄パネルを時限式ダメージパネルに変換</t>
    <rPh sb="0" eb="1">
      <t>キイロ</t>
    </rPh>
    <rPh sb="5" eb="8">
      <t>ジゲンシキ</t>
    </rPh>
    <rPh sb="16" eb="18">
      <t>ヘンカン</t>
    </rPh>
    <phoneticPr fontId="5"/>
  </si>
  <si>
    <t>神をも滅する衝撃</t>
    <rPh sb="0" eb="1">
      <t>カミ</t>
    </rPh>
    <rPh sb="3" eb="4">
      <t>メッ</t>
    </rPh>
    <rPh sb="6" eb="8">
      <t>ショウゲキ</t>
    </rPh>
    <phoneticPr fontId="5"/>
  </si>
  <si>
    <t>攻撃力×3.0倍の攻撃＋防御力UP</t>
    <rPh sb="12" eb="15">
      <t>ボウギョリョク</t>
    </rPh>
    <phoneticPr fontId="5"/>
  </si>
  <si>
    <t>滅する一撃</t>
    <rPh sb="0" eb="1">
      <t>メッ</t>
    </rPh>
    <rPh sb="3" eb="5">
      <t>イチゲキ</t>
    </rPh>
    <phoneticPr fontId="5"/>
  </si>
  <si>
    <t>破壊する衝撃</t>
    <rPh sb="0" eb="2">
      <t>ハカイ</t>
    </rPh>
    <rPh sb="4" eb="6">
      <t>ショウゲキ</t>
    </rPh>
    <phoneticPr fontId="5"/>
  </si>
  <si>
    <t>ja</t>
    <phoneticPr fontId="5"/>
  </si>
  <si>
    <t>破壊する一撃</t>
    <rPh sb="0" eb="2">
      <t>ハカイ</t>
    </rPh>
    <rPh sb="4" eb="6">
      <t>イチゲキ</t>
    </rPh>
    <phoneticPr fontId="5"/>
  </si>
  <si>
    <t>[effect:nothing]</t>
  </si>
  <si>
    <t>限界突破</t>
    <rPh sb="0" eb="2">
      <t>ゲンカイ</t>
    </rPh>
    <rPh sb="2" eb="4">
      <t>トッパ</t>
    </rPh>
    <phoneticPr fontId="5"/>
  </si>
  <si>
    <t>体力が減るほど強くなる</t>
    <rPh sb="0" eb="2">
      <t>タイリョク</t>
    </rPh>
    <rPh sb="3" eb="4">
      <t>ヘ</t>
    </rPh>
    <rPh sb="7" eb="8">
      <t>ツヨ</t>
    </rPh>
    <phoneticPr fontId="5"/>
  </si>
  <si>
    <t>加速装置オーバーヒート</t>
    <rPh sb="0" eb="2">
      <t>カソク</t>
    </rPh>
    <rPh sb="2" eb="4">
      <t>ソウチ</t>
    </rPh>
    <phoneticPr fontId="7"/>
  </si>
  <si>
    <t>クリティカル攻撃</t>
    <rPh sb="6" eb="8">
      <t>レンゾクコウゲキ</t>
    </rPh>
    <phoneticPr fontId="5"/>
  </si>
  <si>
    <t>断罪の紅</t>
    <rPh sb="0" eb="2">
      <t>ダンザイ</t>
    </rPh>
    <rPh sb="3" eb="4">
      <t>アカ</t>
    </rPh>
    <phoneticPr fontId="5"/>
  </si>
  <si>
    <t>断罪の金</t>
    <rPh sb="0" eb="2">
      <t>ダンザイ</t>
    </rPh>
    <rPh sb="3" eb="4">
      <t>キン</t>
    </rPh>
    <phoneticPr fontId="5"/>
  </si>
  <si>
    <t>断罪の翠</t>
    <rPh sb="0" eb="2">
      <t>ダンザイ</t>
    </rPh>
    <rPh sb="3" eb="4">
      <t>ミドリ</t>
    </rPh>
    <phoneticPr fontId="5"/>
  </si>
  <si>
    <t>断罪の蒼</t>
    <rPh sb="0" eb="2">
      <t>ダンザイ</t>
    </rPh>
    <rPh sb="3" eb="4">
      <t>アオ</t>
    </rPh>
    <phoneticPr fontId="5"/>
  </si>
  <si>
    <t>6回連続攻撃</t>
    <rPh sb="1" eb="2">
      <t>カイ</t>
    </rPh>
    <rPh sb="2" eb="6">
      <t>レンゾクコウゲキ</t>
    </rPh>
    <phoneticPr fontId="5"/>
  </si>
  <si>
    <t>弾丸装填</t>
    <rPh sb="0" eb="2">
      <t>ダンガン</t>
    </rPh>
    <rPh sb="2" eb="4">
      <t>ソウテン</t>
    </rPh>
    <phoneticPr fontId="5"/>
  </si>
  <si>
    <t>次のターン強力な一撃</t>
    <rPh sb="0" eb="1">
      <t>ツギ</t>
    </rPh>
    <rPh sb="5" eb="7">
      <t>キョウリョク</t>
    </rPh>
    <rPh sb="8" eb="10">
      <t>イチゲキ</t>
    </rPh>
    <phoneticPr fontId="5"/>
  </si>
  <si>
    <t>今こそ審判の刻だ…</t>
    <rPh sb="0" eb="1">
      <t>イマ</t>
    </rPh>
    <rPh sb="3" eb="5">
      <t>シンパン</t>
    </rPh>
    <rPh sb="6" eb="7">
      <t>トキ</t>
    </rPh>
    <phoneticPr fontId="5"/>
  </si>
  <si>
    <t>[effect:change_block, new_block:time_bomb, target:block_red, count:0, val:0.1, animation:change_block]</t>
    <phoneticPr fontId="5"/>
  </si>
  <si>
    <t>[effect:change_block, new_block:time_bomb, target:block_yellow, count:0, val:0.1, animation:change_block]</t>
    <phoneticPr fontId="5"/>
  </si>
  <si>
    <t>[effect:critical, val:3.0.0, animation:enemy_critical],[effect:enhance_enemy, target:enemy_all, turn:-1, status:defense, val:5000, calc:add, animation:enemy_enhance_enemy]</t>
    <phoneticPr fontId="5"/>
  </si>
  <si>
    <t>[effect:critical, val:2.0.0, animation:enemy_critical],[effect:enhance_enemy, target:enemy_all, turn:-1, status:defense, val:3000, calc:add, animation:enemy_enhance_enemy]</t>
    <phoneticPr fontId="5"/>
  </si>
  <si>
    <t>攻撃力×2.0倍の攻撃＋防御力UP</t>
    <phoneticPr fontId="5"/>
  </si>
  <si>
    <t>[effect:critical, val:1.5.0, animation:enemy_critical],[effect:enhance_enemy, target:enemy_all, turn:-1, status:defense, val:1000, calc:add, animation:enemy_enhance_enemy]</t>
    <phoneticPr fontId="5"/>
  </si>
  <si>
    <t>攻撃力×1.5倍の攻撃＋防御力UP</t>
    <phoneticPr fontId="5"/>
  </si>
  <si>
    <t>攻撃力×1.2倍の攻撃</t>
    <phoneticPr fontId="5"/>
  </si>
  <si>
    <t>[effect:dis_heart, turn:7, rate:1.0, animation:enemy_dis_heart],[effect:rush, count:1, val:0.5]</t>
    <phoneticPr fontId="5"/>
  </si>
  <si>
    <t>[effect:freq_turn, target:enemy_all, turn:-1, val:1, animation:enemy_freq_turn]</t>
    <phoneticPr fontId="5"/>
  </si>
  <si>
    <t>この戦闘の間攻撃頻度が1ターンにUP</t>
    <phoneticPr fontId="5"/>
  </si>
  <si>
    <t>ギルティブレイク</t>
    <phoneticPr fontId="5"/>
  </si>
  <si>
    <t>[effect:rush, count:6, val:0.3]</t>
    <phoneticPr fontId="5"/>
  </si>
  <si>
    <t>ja</t>
    <phoneticPr fontId="5"/>
  </si>
  <si>
    <t>クレイジーダンス</t>
    <phoneticPr fontId="5"/>
  </si>
  <si>
    <t>ja</t>
    <phoneticPr fontId="5"/>
  </si>
  <si>
    <t>[effect:crash_condition, target:unit_all, val:4, turn:5, animation:enemy_crash_extend]</t>
    <phoneticPr fontId="5"/>
  </si>
  <si>
    <t>ja</t>
    <phoneticPr fontId="5"/>
  </si>
  <si>
    <t>null</t>
  </si>
  <si>
    <t>old</t>
  </si>
  <si>
    <t>超絶級</t>
    <rPh sb="0" eb="2">
      <t>チョウゼツキュウ</t>
    </rPh>
    <rPh sb="2" eb="3">
      <t>9</t>
    </rPh>
    <phoneticPr fontId="5"/>
  </si>
  <si>
    <t>ウィザード・ノーコン</t>
    <phoneticPr fontId="5"/>
  </si>
  <si>
    <t>さぁ、宴の時間よ…</t>
    <rPh sb="3" eb="4">
      <t>ウタゲノ</t>
    </rPh>
    <rPh sb="5" eb="7">
      <t>ジカンヨ</t>
    </rPh>
    <phoneticPr fontId="5"/>
  </si>
  <si>
    <t>自分の罪の数を数えた事はある?</t>
    <rPh sb="0" eb="2">
      <t>ジブンノ</t>
    </rPh>
    <rPh sb="3" eb="4">
      <t>ツミノカズヲ</t>
    </rPh>
    <rPh sb="7" eb="8">
      <t>カゾエタコトハアル</t>
    </rPh>
    <phoneticPr fontId="5"/>
  </si>
  <si>
    <t>青パネルを時限パネルに変換＋攻撃</t>
    <rPh sb="0" eb="1">
      <t>アオパネルヲ</t>
    </rPh>
    <rPh sb="5" eb="7">
      <t>ジゲン</t>
    </rPh>
    <rPh sb="11" eb="13">
      <t>ヘンカン</t>
    </rPh>
    <rPh sb="14" eb="16">
      <t>コウゲキ</t>
    </rPh>
    <phoneticPr fontId="5"/>
  </si>
  <si>
    <t>裁きまでのカウントダウンよ</t>
    <rPh sb="0" eb="1">
      <t>サバキ</t>
    </rPh>
    <phoneticPr fontId="5"/>
  </si>
  <si>
    <t>裁きの鉄槌</t>
    <rPh sb="0" eb="1">
      <t>サバキノテッツイ</t>
    </rPh>
    <phoneticPr fontId="5"/>
  </si>
  <si>
    <t>Cパネル吸収攻撃</t>
    <rPh sb="4" eb="6">
      <t>キュウシュウ</t>
    </rPh>
    <rPh sb="6" eb="8">
      <t>コウゲキ</t>
    </rPh>
    <phoneticPr fontId="5"/>
  </si>
  <si>
    <t>さぁフィナーレよ！</t>
    <phoneticPr fontId="5"/>
  </si>
  <si>
    <t>運命を受け入れなさい！</t>
    <rPh sb="0" eb="2">
      <t>ウンメイヲ</t>
    </rPh>
    <rPh sb="3" eb="4">
      <t>ウケイレナサイ</t>
    </rPh>
    <phoneticPr fontId="7"/>
  </si>
  <si>
    <t>null</t>
    <phoneticPr fontId="5"/>
  </si>
  <si>
    <t>link</t>
    <phoneticPr fontId="5"/>
  </si>
  <si>
    <t>unit</t>
    <phoneticPr fontId="5"/>
  </si>
  <si>
    <t>unit</t>
    <phoneticPr fontId="5"/>
  </si>
  <si>
    <t>unit</t>
    <phoneticPr fontId="5"/>
  </si>
  <si>
    <t>unit</t>
    <phoneticPr fontId="5"/>
  </si>
  <si>
    <t>null</t>
    <phoneticPr fontId="5"/>
  </si>
  <si>
    <t>null</t>
    <phoneticPr fontId="5"/>
  </si>
  <si>
    <t xml:space="preserve">[effect:degrade_unit, target:unit_all, turn:5, status:action, val:2.0,animation:enemy_tap_down],[effect:hungup, target:unit_one, turn:3, rate:1, animation:hungup03]    </t>
    <phoneticPr fontId="5"/>
  </si>
  <si>
    <t>[effect:degrade_unit, target:unit_all, turn:5, status:action, val:2.0,animation:enemy_tap_down]</t>
    <phoneticPr fontId="5"/>
  </si>
  <si>
    <t>[effect:critical, val:2.4, animation:enemy_critical]</t>
    <phoneticPr fontId="5"/>
  </si>
  <si>
    <t>[effect:critical, val:2.5, animation:enemy_critical]</t>
    <phoneticPr fontId="5"/>
  </si>
  <si>
    <t xml:space="preserve">[effect:force_change_block, new_block:time_bomb, target:block_blue, count:0, val:0.3, animation:change_block],[effect:rush, count:1, val:1]  </t>
    <phoneticPr fontId="5"/>
  </si>
  <si>
    <t xml:space="preserve">[effect:enhance_enemy, target:enemy_one, turn:4, status:attack, val:5000, calc:add, animation:enemy_enhance_attack]    </t>
    <phoneticPr fontId="5"/>
  </si>
  <si>
    <t>[effect:degrade_unit, target:unit_all, turn:1, status:heal, val:0.5, calc:mul, animation:degrade_unit_all_heal],[effect:rush, count:1, val:0.9]</t>
    <phoneticPr fontId="5"/>
  </si>
  <si>
    <t>[effect:crash_condition, target:unit_all, val:4, turn:4, animation:enemy_crash_extend]</t>
    <phoneticPr fontId="5"/>
  </si>
  <si>
    <t>ja</t>
    <phoneticPr fontId="5"/>
  </si>
  <si>
    <t>NULL</t>
    <phoneticPr fontId="5"/>
  </si>
  <si>
    <t>ハンナはHPが半分になると
強力なウイルス攻撃をしてきます
半分になる前に一気に倒しましょう</t>
    <rPh sb="7" eb="9">
      <t>ハンブンニナルト</t>
    </rPh>
    <rPh sb="14" eb="16">
      <t>キョウリョクナ</t>
    </rPh>
    <rPh sb="31" eb="33">
      <t>ハンブンニナルマエニ</t>
    </rPh>
    <rPh sb="38" eb="40">
      <t>イッキニ</t>
    </rPh>
    <rPh sb="41" eb="42">
      <t>タオシマショウ</t>
    </rPh>
    <phoneticPr fontId="5"/>
  </si>
  <si>
    <t>アスモデウスは2ゲージ目になると
HPが減るたびに攻撃が強力になります
少しダメージを与えたら一気に倒しましょう</t>
    <rPh sb="20" eb="21">
      <t>ヘルタビニ</t>
    </rPh>
    <rPh sb="25" eb="27">
      <t>コウゲキガキョウリョクニナリマス</t>
    </rPh>
    <rPh sb="37" eb="38">
      <t>スコシ</t>
    </rPh>
    <rPh sb="44" eb="45">
      <t>アタエタラ</t>
    </rPh>
    <phoneticPr fontId="5"/>
  </si>
  <si>
    <t>ジャンヌはハートパネルを無効化してきます
回復スキルを持つユニットで挑みましょう</t>
    <rPh sb="12" eb="15">
      <t>ムコウカシテキマス</t>
    </rPh>
    <rPh sb="22" eb="24">
      <t>カイフクスキルヲ</t>
    </rPh>
    <rPh sb="28" eb="29">
      <t>モツ</t>
    </rPh>
    <rPh sb="35" eb="36">
      <t>イドミマショウ</t>
    </rPh>
    <phoneticPr fontId="5"/>
  </si>
  <si>
    <t>2ゲージ目のジャンヌは
青パネルを時限パネルに変換してきます
爆発する前に対処しましょう</t>
    <rPh sb="12" eb="13">
      <t>アオ</t>
    </rPh>
    <rPh sb="17" eb="19">
      <t>ジゲン</t>
    </rPh>
    <rPh sb="23" eb="25">
      <t>ヘンカンシテキマス</t>
    </rPh>
    <rPh sb="32" eb="34">
      <t>バクハツスルマエニ</t>
    </rPh>
    <rPh sb="38" eb="40">
      <t>タイショシマショウ</t>
    </rPh>
    <phoneticPr fontId="5"/>
  </si>
  <si>
    <t>3ゲージ目のジャンヌは
予告後クリティカル攻撃をしてきます
防御UPのスキルがあれば有利に戦えます</t>
    <rPh sb="12" eb="15">
      <t>ヨコクゴ</t>
    </rPh>
    <rPh sb="21" eb="23">
      <t>コウゲキヲ</t>
    </rPh>
    <rPh sb="31" eb="33">
      <t>ボウギョ</t>
    </rPh>
    <rPh sb="43" eb="45">
      <t>ユウリニタタカエマス</t>
    </rPh>
    <phoneticPr fontId="5"/>
  </si>
  <si>
    <t xml:space="preserve">[effect:break_attack, val:0.2, lowest_val:7000, count:-1, block:crash, target:unit_one]    </t>
    <phoneticPr fontId="5"/>
  </si>
  <si>
    <t>[effect:sleep, target:unit_one, turn:4, rate:1.0, animation:enemy_sleep],[effect:virus, turn:4, rate:1.0, val:0.17, animation:enemy_virus]</t>
    <phoneticPr fontId="5"/>
  </si>
  <si>
    <t>[effect:spread, val:0.31, animation:enemy_spread]</t>
    <phoneticPr fontId="5"/>
  </si>
  <si>
    <t>[effect:critical, val:1.2.0, animation:enemy_critical]</t>
    <phoneticPr fontId="5"/>
  </si>
  <si>
    <t>7ターンの間ハートパネルが使えない！</t>
  </si>
  <si>
    <t>5ターンの間Cパネル生成延長</t>
  </si>
  <si>
    <t>4ターンの間Cパネル生成延長</t>
    <phoneticPr fontId="5"/>
  </si>
  <si>
    <t>4ターンの間ウィルス＋味方一体に4ターンスリープ</t>
  </si>
  <si>
    <t>5ターンの間タップ回数を1にする＋味方一体にスキルバインド</t>
    <rPh sb="5" eb="6">
      <t>アイダ</t>
    </rPh>
    <rPh sb="17" eb="21">
      <t>ミカタイッタイニ</t>
    </rPh>
    <phoneticPr fontId="5"/>
  </si>
  <si>
    <t>2ターンの間赤パネルが使えない！</t>
    <rPh sb="5" eb="6">
      <t>アイダ</t>
    </rPh>
    <rPh sb="6" eb="7">
      <t>アカ</t>
    </rPh>
    <phoneticPr fontId="5"/>
  </si>
  <si>
    <t>2ターンの間黄パネルが使えない！</t>
    <rPh sb="5" eb="6">
      <t>アイダ</t>
    </rPh>
    <rPh sb="6" eb="7">
      <t>キイロ</t>
    </rPh>
    <phoneticPr fontId="5"/>
  </si>
  <si>
    <t>2ターンの間緑パネルが使えない！</t>
    <rPh sb="6" eb="7">
      <t>ミドリ</t>
    </rPh>
    <phoneticPr fontId="5"/>
  </si>
  <si>
    <t>2ターンの間青パネルが使えない！</t>
    <rPh sb="5" eb="6">
      <t>アイダ</t>
    </rPh>
    <rPh sb="6" eb="7">
      <t>アオ</t>
    </rPh>
    <phoneticPr fontId="5"/>
  </si>
  <si>
    <t>4ターンの間攻撃力UP</t>
    <rPh sb="5" eb="6">
      <t>アイダ</t>
    </rPh>
    <rPh sb="6" eb="9">
      <t>コウゲキリョク</t>
    </rPh>
    <phoneticPr fontId="5"/>
  </si>
  <si>
    <t>1ターンの間攻撃力が50%DOWN＋攻撃</t>
    <rPh sb="5" eb="6">
      <t>アイダ</t>
    </rPh>
    <rPh sb="6" eb="9">
      <t>コウゲキリョク</t>
    </rPh>
    <rPh sb="18" eb="20">
      <t>コウゲキ</t>
    </rPh>
    <phoneticPr fontId="5"/>
  </si>
  <si>
    <t>1ターンの間回復力が50%DOWN＋攻撃</t>
    <rPh sb="5" eb="6">
      <t>アイダ</t>
    </rPh>
    <rPh sb="18" eb="20">
      <t>コウゲキ</t>
    </rPh>
    <phoneticPr fontId="5"/>
  </si>
  <si>
    <t>5ターンの間タップ回数を1にする</t>
    <rPh sb="5" eb="6">
      <t>アイダ</t>
    </rPh>
    <phoneticPr fontId="5"/>
  </si>
  <si>
    <t>[effect:dis_panel, target:block_red, turn:2,animation:enemy_dis_red],[effect:rush, count:1, val:1.1]</t>
    <phoneticPr fontId="5"/>
  </si>
  <si>
    <t>[effect:dis_panel, target:block_yellow, turn:2,animation:enemy_dis_yellow],[effect:rush, count:1, val:1.1]</t>
    <phoneticPr fontId="5"/>
  </si>
  <si>
    <t>[effect:dis_panel, target:block_green, turn:2,animation:enemy_dis_green],[effect:rush, count:1, val:1.1]</t>
    <phoneticPr fontId="5"/>
  </si>
  <si>
    <t>[effect:dis_panel, target:block_blue, turn:2,animation:enemy_dis_blue],[effect:rush, count:1, val:1.1]</t>
    <phoneticPr fontId="5"/>
  </si>
  <si>
    <t>マミコたちは開幕時スキルで
盤面を時限パネルでいっぱいにしてきます
スキルを使うかフィーバーで対処しましょう</t>
    <rPh sb="6" eb="8">
      <t>カイマク</t>
    </rPh>
    <rPh sb="8" eb="9">
      <t>ジ</t>
    </rPh>
    <rPh sb="14" eb="16">
      <t>バンメンヲ</t>
    </rPh>
    <rPh sb="17" eb="19">
      <t>ジゲンパネル</t>
    </rPh>
    <rPh sb="39" eb="40">
      <t>ツカウカ</t>
    </rPh>
    <rPh sb="48" eb="50">
      <t>タイショシマショウ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</si>
</sst>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.8"/>
      <color theme="1"/>
      <name val="Arial"/>
      <family val="2"/>
    </font>
    <font>
      <b/>
      <sz val="10"/>
      <name val="ＭＳ Ｐゴシック"/>
      <family val="3"/>
      <charset val="128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0"/>
        <bgColor indexed="2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6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medium">
        <color auto="1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medium">
        <color auto="1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medium">
        <color auto="1"/>
      </right>
      <top style="thin">
        <color auto="1"/>
      </top>
      <bottom/>
      <diagonal/>
    </border>
    <border>
      <left style="thin">
        <color indexed="8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medium">
        <color auto="1"/>
      </top>
      <bottom style="thin">
        <color rgb="FF000000"/>
      </bottom>
      <diagonal/>
    </border>
    <border>
      <left/>
      <right style="thin">
        <color rgb="FF000000"/>
      </right>
      <top style="medium">
        <color auto="1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/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/>
      <top style="thin">
        <color auto="1"/>
      </top>
      <bottom style="thin">
        <color auto="1"/>
      </bottom>
      <diagonal/>
    </border>
    <border>
      <left/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76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0" applyNumberFormat="0" applyAlignment="0" applyProtection="0"/>
    <xf numFmtId="0" fontId="33" fillId="17" borderId="0" applyNumberFormat="0" applyBorder="0" applyAlignment="0" applyProtection="0"/>
    <xf numFmtId="0" fontId="34" fillId="18" borderId="11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2" applyNumberFormat="0" applyAlignment="0" applyProtection="0"/>
    <xf numFmtId="0" fontId="38" fillId="0" borderId="0" applyNumberFormat="0" applyFill="0" applyBorder="0" applyAlignment="0" applyProtection="0"/>
    <xf numFmtId="0" fontId="39" fillId="0" borderId="13" applyNumberFormat="0" applyFill="0" applyAlignment="0" applyProtection="0"/>
    <xf numFmtId="0" fontId="40" fillId="0" borderId="14" applyNumberFormat="0" applyFill="0" applyAlignment="0" applyProtection="0"/>
    <xf numFmtId="0" fontId="41" fillId="0" borderId="15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6" applyNumberFormat="0" applyFill="0" applyAlignment="0" applyProtection="0"/>
    <xf numFmtId="0" fontId="46" fillId="18" borderId="17" applyNumberFormat="0" applyAlignment="0" applyProtection="0"/>
    <xf numFmtId="0" fontId="46" fillId="29" borderId="17" applyNumberFormat="0" applyAlignment="0" applyProtection="0"/>
    <xf numFmtId="0" fontId="34" fillId="17" borderId="11" applyNumberFormat="0" applyAlignment="0" applyProtection="0"/>
    <xf numFmtId="0" fontId="47" fillId="0" borderId="18" applyNumberFormat="0" applyFill="0" applyAlignment="0" applyProtection="0"/>
    <xf numFmtId="0" fontId="48" fillId="29" borderId="11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9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4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6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7" xfId="0" applyFont="1" applyFill="1" applyBorder="1" applyAlignment="1">
      <alignment vertical="center"/>
    </xf>
    <xf numFmtId="0" fontId="6" fillId="5" borderId="6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6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12" fillId="7" borderId="0" xfId="0" applyFont="1" applyFill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6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6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6" xfId="0" applyFont="1" applyFill="1" applyBorder="1" applyAlignment="1">
      <alignment horizontal="left" vertical="center"/>
    </xf>
    <xf numFmtId="0" fontId="16" fillId="0" borderId="6" xfId="0" applyFont="1" applyFill="1" applyBorder="1" applyAlignment="1">
      <alignment vertical="center"/>
    </xf>
    <xf numFmtId="0" fontId="16" fillId="3" borderId="6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6" xfId="0" applyFont="1" applyFill="1" applyBorder="1" applyAlignment="1">
      <alignment horizontal="left" vertical="center"/>
    </xf>
    <xf numFmtId="0" fontId="16" fillId="0" borderId="6" xfId="0" applyFont="1" applyFill="1" applyBorder="1" applyAlignment="1">
      <alignment horizontal="left" vertical="center" wrapText="1"/>
    </xf>
    <xf numFmtId="14" fontId="16" fillId="0" borderId="6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6" xfId="0" applyFont="1" applyFill="1" applyBorder="1"/>
    <xf numFmtId="0" fontId="0" fillId="11" borderId="6" xfId="0" applyFill="1" applyBorder="1"/>
    <xf numFmtId="0" fontId="0" fillId="0" borderId="6" xfId="0" applyBorder="1"/>
    <xf numFmtId="0" fontId="0" fillId="6" borderId="6" xfId="0" applyFill="1" applyBorder="1"/>
    <xf numFmtId="0" fontId="26" fillId="12" borderId="6" xfId="0" applyFont="1" applyFill="1" applyBorder="1"/>
    <xf numFmtId="0" fontId="13" fillId="11" borderId="6" xfId="434" applyFont="1" applyFill="1" applyBorder="1" applyAlignment="1"/>
    <xf numFmtId="0" fontId="24" fillId="0" borderId="6" xfId="434" applyBorder="1" applyAlignment="1"/>
    <xf numFmtId="0" fontId="0" fillId="13" borderId="6" xfId="0" applyFill="1" applyBorder="1"/>
    <xf numFmtId="0" fontId="16" fillId="3" borderId="6" xfId="0" applyFont="1" applyFill="1" applyBorder="1" applyAlignment="1">
      <alignment horizontal="left" vertical="center" wrapText="1"/>
    </xf>
    <xf numFmtId="0" fontId="16" fillId="6" borderId="6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6" xfId="615" applyFont="1" applyFill="1" applyBorder="1"/>
    <xf numFmtId="0" fontId="0" fillId="0" borderId="6" xfId="615" applyFont="1" applyBorder="1"/>
    <xf numFmtId="0" fontId="2" fillId="11" borderId="6" xfId="615" applyFill="1" applyBorder="1"/>
    <xf numFmtId="0" fontId="4" fillId="0" borderId="6" xfId="0" applyFont="1" applyBorder="1" applyAlignment="1">
      <alignment vertical="center"/>
    </xf>
    <xf numFmtId="0" fontId="0" fillId="3" borderId="6" xfId="0" applyFill="1" applyBorder="1"/>
    <xf numFmtId="0" fontId="16" fillId="3" borderId="6" xfId="614" applyFont="1" applyFill="1" applyBorder="1" applyAlignment="1">
      <alignment horizontal="left"/>
    </xf>
    <xf numFmtId="0" fontId="16" fillId="6" borderId="6" xfId="0" applyFont="1" applyFill="1" applyBorder="1" applyAlignment="1">
      <alignment horizontal="center"/>
    </xf>
    <xf numFmtId="56" fontId="16" fillId="6" borderId="6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6" xfId="0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/>
    </xf>
    <xf numFmtId="0" fontId="16" fillId="14" borderId="6" xfId="0" applyFont="1" applyFill="1" applyBorder="1" applyAlignment="1">
      <alignment horizontal="center"/>
    </xf>
    <xf numFmtId="0" fontId="16" fillId="15" borderId="6" xfId="0" applyFont="1" applyFill="1" applyBorder="1" applyAlignment="1">
      <alignment horizontal="center"/>
    </xf>
    <xf numFmtId="0" fontId="0" fillId="15" borderId="6" xfId="0" applyFill="1" applyBorder="1"/>
    <xf numFmtId="0" fontId="27" fillId="0" borderId="6" xfId="0" applyFont="1" applyFill="1" applyBorder="1"/>
    <xf numFmtId="0" fontId="28" fillId="0" borderId="6" xfId="0" applyFont="1" applyFill="1" applyBorder="1"/>
    <xf numFmtId="0" fontId="29" fillId="3" borderId="9" xfId="0" applyFont="1" applyFill="1" applyBorder="1" applyAlignment="1">
      <alignment vertical="center"/>
    </xf>
    <xf numFmtId="0" fontId="30" fillId="0" borderId="6" xfId="0" applyFont="1" applyFill="1" applyBorder="1"/>
    <xf numFmtId="0" fontId="29" fillId="0" borderId="9" xfId="0" applyFont="1" applyFill="1" applyBorder="1" applyAlignment="1">
      <alignment vertical="center"/>
    </xf>
    <xf numFmtId="0" fontId="30" fillId="14" borderId="6" xfId="0" applyFont="1" applyFill="1" applyBorder="1"/>
    <xf numFmtId="0" fontId="31" fillId="0" borderId="6" xfId="0" applyFont="1" applyFill="1" applyBorder="1"/>
    <xf numFmtId="0" fontId="27" fillId="0" borderId="0" xfId="0" applyFont="1" applyFill="1"/>
    <xf numFmtId="0" fontId="16" fillId="30" borderId="6" xfId="0" applyFont="1" applyFill="1" applyBorder="1" applyAlignment="1">
      <alignment horizontal="center"/>
    </xf>
    <xf numFmtId="0" fontId="30" fillId="30" borderId="6" xfId="0" applyFont="1" applyFill="1" applyBorder="1"/>
    <xf numFmtId="0" fontId="16" fillId="13" borderId="6" xfId="0" applyFont="1" applyFill="1" applyBorder="1" applyAlignment="1">
      <alignment horizontal="center"/>
    </xf>
    <xf numFmtId="56" fontId="16" fillId="14" borderId="6" xfId="0" applyNumberFormat="1" applyFont="1" applyFill="1" applyBorder="1" applyAlignment="1">
      <alignment horizontal="center"/>
    </xf>
    <xf numFmtId="0" fontId="31" fillId="14" borderId="6" xfId="0" applyFont="1" applyFill="1" applyBorder="1"/>
    <xf numFmtId="38" fontId="16" fillId="14" borderId="6" xfId="628" applyFont="1" applyFill="1" applyBorder="1" applyAlignment="1"/>
    <xf numFmtId="0" fontId="16" fillId="6" borderId="6" xfId="11" applyFont="1" applyFill="1" applyBorder="1" applyAlignment="1">
      <alignment horizontal="left"/>
    </xf>
    <xf numFmtId="0" fontId="2" fillId="6" borderId="0" xfId="615" applyFill="1"/>
    <xf numFmtId="0" fontId="4" fillId="0" borderId="6" xfId="0" applyFont="1" applyBorder="1" applyAlignment="1">
      <alignment horizontal="center" vertical="center"/>
    </xf>
    <xf numFmtId="176" fontId="4" fillId="31" borderId="3" xfId="0" applyNumberFormat="1" applyFont="1" applyFill="1" applyBorder="1" applyAlignment="1">
      <alignment horizontal="center" vertical="center"/>
    </xf>
    <xf numFmtId="0" fontId="16" fillId="0" borderId="6" xfId="0" applyFont="1" applyFill="1" applyBorder="1" applyAlignment="1">
      <alignment vertical="center" wrapText="1"/>
    </xf>
    <xf numFmtId="0" fontId="51" fillId="0" borderId="6" xfId="0" applyFont="1" applyFill="1" applyBorder="1" applyAlignment="1">
      <alignment vertical="center"/>
    </xf>
    <xf numFmtId="0" fontId="11" fillId="0" borderId="8" xfId="0" applyFont="1" applyFill="1" applyBorder="1" applyAlignment="1">
      <alignment horizontal="left" vertical="center" wrapText="1"/>
    </xf>
    <xf numFmtId="177" fontId="8" fillId="0" borderId="20" xfId="0" applyNumberFormat="1" applyFont="1" applyBorder="1" applyAlignment="1">
      <alignment vertical="center"/>
    </xf>
    <xf numFmtId="0" fontId="4" fillId="3" borderId="2" xfId="0" applyFont="1" applyFill="1" applyBorder="1" applyAlignment="1">
      <alignment horizontal="left" vertical="center"/>
    </xf>
    <xf numFmtId="0" fontId="4" fillId="6" borderId="2" xfId="0" applyFont="1" applyFill="1" applyBorder="1" applyAlignment="1">
      <alignment horizontal="left" vertical="center"/>
    </xf>
    <xf numFmtId="0" fontId="4" fillId="3" borderId="21" xfId="0" applyFont="1" applyFill="1" applyBorder="1" applyAlignment="1">
      <alignment horizontal="left" vertical="center"/>
    </xf>
    <xf numFmtId="0" fontId="4" fillId="3" borderId="22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12" fillId="7" borderId="23" xfId="0" applyFont="1" applyFill="1" applyBorder="1" applyAlignment="1">
      <alignment vertical="center"/>
    </xf>
    <xf numFmtId="0" fontId="4" fillId="0" borderId="25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vertical="center"/>
    </xf>
    <xf numFmtId="0" fontId="6" fillId="0" borderId="25" xfId="0" applyFont="1" applyFill="1" applyBorder="1" applyAlignment="1">
      <alignment vertical="center"/>
    </xf>
    <xf numFmtId="0" fontId="4" fillId="0" borderId="25" xfId="0" applyFont="1" applyBorder="1" applyAlignment="1">
      <alignment horizontal="center" vertical="center"/>
    </xf>
    <xf numFmtId="0" fontId="6" fillId="5" borderId="26" xfId="0" applyFont="1" applyFill="1" applyBorder="1" applyAlignment="1">
      <alignment vertical="center"/>
    </xf>
    <xf numFmtId="0" fontId="8" fillId="0" borderId="27" xfId="0" applyFont="1" applyBorder="1" applyAlignment="1">
      <alignment vertical="center"/>
    </xf>
    <xf numFmtId="177" fontId="8" fillId="0" borderId="27" xfId="0" applyNumberFormat="1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3" borderId="25" xfId="0" applyFont="1" applyFill="1" applyBorder="1" applyAlignment="1">
      <alignment vertical="center"/>
    </xf>
    <xf numFmtId="0" fontId="4" fillId="0" borderId="25" xfId="0" applyFont="1" applyFill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12" fillId="7" borderId="29" xfId="0" applyFont="1" applyFill="1" applyBorder="1" applyAlignment="1">
      <alignment vertical="center"/>
    </xf>
    <xf numFmtId="0" fontId="4" fillId="0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vertical="center"/>
    </xf>
    <xf numFmtId="0" fontId="4" fillId="0" borderId="6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12" fillId="7" borderId="30" xfId="0" applyFont="1" applyFill="1" applyBorder="1" applyAlignment="1">
      <alignment vertical="center"/>
    </xf>
    <xf numFmtId="0" fontId="4" fillId="0" borderId="32" xfId="0" applyFont="1" applyFill="1" applyBorder="1" applyAlignment="1">
      <alignment horizontal="center" vertical="center"/>
    </xf>
    <xf numFmtId="0" fontId="4" fillId="3" borderId="32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vertical="center"/>
    </xf>
    <xf numFmtId="0" fontId="6" fillId="0" borderId="32" xfId="0" applyFont="1" applyFill="1" applyBorder="1" applyAlignment="1">
      <alignment vertical="center"/>
    </xf>
    <xf numFmtId="0" fontId="4" fillId="0" borderId="32" xfId="0" applyFont="1" applyBorder="1" applyAlignment="1">
      <alignment horizontal="center" vertical="center"/>
    </xf>
    <xf numFmtId="0" fontId="6" fillId="5" borderId="33" xfId="0" applyFont="1" applyFill="1" applyBorder="1" applyAlignment="1">
      <alignment vertical="center"/>
    </xf>
    <xf numFmtId="0" fontId="8" fillId="0" borderId="34" xfId="0" applyFont="1" applyBorder="1" applyAlignment="1">
      <alignment vertical="center"/>
    </xf>
    <xf numFmtId="177" fontId="8" fillId="0" borderId="31" xfId="0" applyNumberFormat="1" applyFont="1" applyBorder="1" applyAlignment="1">
      <alignment vertical="center"/>
    </xf>
    <xf numFmtId="0" fontId="4" fillId="3" borderId="32" xfId="0" applyFont="1" applyFill="1" applyBorder="1" applyAlignment="1">
      <alignment vertical="center"/>
    </xf>
    <xf numFmtId="0" fontId="4" fillId="0" borderId="32" xfId="0" applyFont="1" applyFill="1" applyBorder="1" applyAlignment="1">
      <alignment vertical="center"/>
    </xf>
    <xf numFmtId="0" fontId="4" fillId="0" borderId="35" xfId="0" applyFont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4" fillId="0" borderId="36" xfId="0" applyFont="1" applyBorder="1" applyAlignment="1">
      <alignment vertical="center"/>
    </xf>
    <xf numFmtId="0" fontId="11" fillId="0" borderId="6" xfId="0" applyFont="1" applyBorder="1" applyAlignment="1">
      <alignment vertical="center"/>
    </xf>
    <xf numFmtId="176" fontId="4" fillId="0" borderId="37" xfId="0" applyNumberFormat="1" applyFont="1" applyFill="1" applyBorder="1" applyAlignment="1">
      <alignment horizontal="center" vertical="center"/>
    </xf>
    <xf numFmtId="0" fontId="16" fillId="6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4" fillId="7" borderId="23" xfId="0" applyFont="1" applyFill="1" applyBorder="1" applyAlignment="1">
      <alignment vertical="center"/>
    </xf>
    <xf numFmtId="0" fontId="16" fillId="0" borderId="25" xfId="0" applyFont="1" applyFill="1" applyBorder="1" applyAlignment="1">
      <alignment vertical="center"/>
    </xf>
    <xf numFmtId="0" fontId="16" fillId="3" borderId="25" xfId="0" applyFont="1" applyFill="1" applyBorder="1" applyAlignment="1">
      <alignment horizontal="left" vertical="center"/>
    </xf>
    <xf numFmtId="0" fontId="16" fillId="3" borderId="25" xfId="0" applyFont="1" applyFill="1" applyBorder="1" applyAlignment="1">
      <alignment vertical="center"/>
    </xf>
    <xf numFmtId="0" fontId="16" fillId="0" borderId="28" xfId="0" applyFont="1" applyBorder="1" applyAlignment="1">
      <alignment vertical="center"/>
    </xf>
    <xf numFmtId="0" fontId="14" fillId="7" borderId="29" xfId="0" applyFont="1" applyFill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4" fillId="7" borderId="30" xfId="0" applyFont="1" applyFill="1" applyBorder="1" applyAlignment="1">
      <alignment vertical="center"/>
    </xf>
    <xf numFmtId="0" fontId="16" fillId="0" borderId="32" xfId="0" applyFont="1" applyFill="1" applyBorder="1" applyAlignment="1">
      <alignment vertical="center"/>
    </xf>
    <xf numFmtId="0" fontId="16" fillId="3" borderId="32" xfId="0" applyFont="1" applyFill="1" applyBorder="1" applyAlignment="1">
      <alignment horizontal="left" vertical="center"/>
    </xf>
    <xf numFmtId="0" fontId="16" fillId="3" borderId="32" xfId="0" applyFont="1" applyFill="1" applyBorder="1" applyAlignment="1">
      <alignment vertical="center"/>
    </xf>
    <xf numFmtId="0" fontId="16" fillId="0" borderId="36" xfId="0" applyFont="1" applyBorder="1" applyAlignment="1">
      <alignment vertical="center"/>
    </xf>
    <xf numFmtId="0" fontId="6" fillId="33" borderId="3" xfId="0" applyFont="1" applyFill="1" applyBorder="1" applyAlignment="1">
      <alignment vertical="center"/>
    </xf>
    <xf numFmtId="0" fontId="52" fillId="33" borderId="3" xfId="0" applyFont="1" applyFill="1" applyBorder="1" applyAlignment="1">
      <alignment vertical="center"/>
    </xf>
    <xf numFmtId="176" fontId="4" fillId="0" borderId="38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5" borderId="39" xfId="0" applyFont="1" applyFill="1" applyBorder="1" applyAlignment="1">
      <alignment vertical="center"/>
    </xf>
    <xf numFmtId="0" fontId="6" fillId="0" borderId="2" xfId="0" applyFont="1" applyFill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6" fillId="5" borderId="40" xfId="0" applyFont="1" applyFill="1" applyBorder="1" applyAlignment="1">
      <alignment vertical="center"/>
    </xf>
    <xf numFmtId="0" fontId="8" fillId="0" borderId="41" xfId="0" applyFont="1" applyBorder="1" applyAlignment="1">
      <alignment vertical="center"/>
    </xf>
    <xf numFmtId="177" fontId="8" fillId="0" borderId="39" xfId="0" applyNumberFormat="1" applyFont="1" applyBorder="1" applyAlignment="1">
      <alignment vertical="center"/>
    </xf>
    <xf numFmtId="0" fontId="4" fillId="34" borderId="2" xfId="0" applyFont="1" applyFill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43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9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vertical="center"/>
    </xf>
    <xf numFmtId="0" fontId="4" fillId="0" borderId="9" xfId="0" applyFont="1" applyFill="1" applyBorder="1" applyAlignment="1">
      <alignment vertical="center"/>
    </xf>
    <xf numFmtId="176" fontId="4" fillId="0" borderId="44" xfId="0" applyNumberFormat="1" applyFont="1" applyFill="1" applyBorder="1" applyAlignment="1">
      <alignment horizontal="center" vertical="center"/>
    </xf>
    <xf numFmtId="0" fontId="6" fillId="33" borderId="24" xfId="0" applyFont="1" applyFill="1" applyBorder="1" applyAlignment="1">
      <alignment vertical="center"/>
    </xf>
    <xf numFmtId="176" fontId="4" fillId="0" borderId="45" xfId="0" applyNumberFormat="1" applyFont="1" applyFill="1" applyBorder="1" applyAlignment="1">
      <alignment horizontal="center" vertical="center"/>
    </xf>
    <xf numFmtId="0" fontId="4" fillId="34" borderId="32" xfId="0" applyFont="1" applyFill="1" applyBorder="1" applyAlignment="1">
      <alignment vertical="center"/>
    </xf>
    <xf numFmtId="176" fontId="4" fillId="0" borderId="39" xfId="0" applyNumberFormat="1" applyFont="1" applyFill="1" applyBorder="1" applyAlignment="1">
      <alignment horizontal="center" vertical="center"/>
    </xf>
    <xf numFmtId="177" fontId="8" fillId="0" borderId="41" xfId="0" applyNumberFormat="1" applyFont="1" applyBorder="1" applyAlignment="1">
      <alignment vertical="center"/>
    </xf>
    <xf numFmtId="176" fontId="4" fillId="0" borderId="24" xfId="0" applyNumberFormat="1" applyFont="1" applyFill="1" applyBorder="1" applyAlignment="1">
      <alignment horizontal="center" vertical="center"/>
    </xf>
    <xf numFmtId="0" fontId="6" fillId="32" borderId="24" xfId="0" applyFont="1" applyFill="1" applyBorder="1" applyAlignment="1">
      <alignment vertical="center"/>
    </xf>
    <xf numFmtId="176" fontId="4" fillId="0" borderId="31" xfId="0" applyNumberFormat="1" applyFont="1" applyFill="1" applyBorder="1" applyAlignment="1">
      <alignment horizontal="center" vertical="center"/>
    </xf>
    <xf numFmtId="177" fontId="8" fillId="0" borderId="34" xfId="0" applyNumberFormat="1" applyFont="1" applyBorder="1" applyAlignment="1">
      <alignment vertical="center"/>
    </xf>
    <xf numFmtId="0" fontId="4" fillId="0" borderId="0" xfId="0" applyFont="1" applyBorder="1" applyAlignment="1">
      <alignment horizontal="left" vertical="center"/>
    </xf>
    <xf numFmtId="0" fontId="4" fillId="2" borderId="21" xfId="0" applyFont="1" applyFill="1" applyBorder="1" applyAlignment="1">
      <alignment horizontal="left" vertical="center"/>
    </xf>
    <xf numFmtId="0" fontId="6" fillId="5" borderId="46" xfId="0" applyFont="1" applyFill="1" applyBorder="1" applyAlignment="1">
      <alignment vertical="center"/>
    </xf>
    <xf numFmtId="0" fontId="6" fillId="5" borderId="47" xfId="0" applyFont="1" applyFill="1" applyBorder="1" applyAlignment="1">
      <alignment vertical="center"/>
    </xf>
    <xf numFmtId="0" fontId="6" fillId="5" borderId="48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6" fillId="5" borderId="2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3" borderId="9" xfId="0" applyFont="1" applyFill="1" applyBorder="1" applyAlignment="1">
      <alignment vertical="center"/>
    </xf>
    <xf numFmtId="0" fontId="12" fillId="7" borderId="28" xfId="0" applyFont="1" applyFill="1" applyBorder="1" applyAlignment="1">
      <alignment vertical="center"/>
    </xf>
    <xf numFmtId="0" fontId="6" fillId="5" borderId="25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6" fillId="0" borderId="50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6" fillId="0" borderId="51" xfId="0" applyFont="1" applyFill="1" applyBorder="1" applyAlignment="1">
      <alignment vertical="center"/>
    </xf>
    <xf numFmtId="0" fontId="12" fillId="7" borderId="36" xfId="0" applyFont="1" applyFill="1" applyBorder="1" applyAlignment="1">
      <alignment vertical="center"/>
    </xf>
    <xf numFmtId="0" fontId="6" fillId="5" borderId="32" xfId="0" applyFont="1" applyFill="1" applyBorder="1" applyAlignment="1">
      <alignment vertical="center"/>
    </xf>
    <xf numFmtId="0" fontId="6" fillId="3" borderId="32" xfId="0" applyFont="1" applyFill="1" applyBorder="1" applyAlignment="1">
      <alignment vertical="center"/>
    </xf>
    <xf numFmtId="0" fontId="6" fillId="0" borderId="52" xfId="0" applyFont="1" applyFill="1" applyBorder="1" applyAlignment="1">
      <alignment vertical="center"/>
    </xf>
    <xf numFmtId="0" fontId="11" fillId="0" borderId="53" xfId="0" applyFont="1" applyBorder="1" applyAlignment="1">
      <alignment vertical="center"/>
    </xf>
    <xf numFmtId="0" fontId="11" fillId="0" borderId="54" xfId="0" applyFont="1" applyBorder="1" applyAlignment="1">
      <alignment vertical="center"/>
    </xf>
    <xf numFmtId="0" fontId="11" fillId="0" borderId="55" xfId="0" applyFont="1" applyBorder="1" applyAlignment="1">
      <alignment vertical="center"/>
    </xf>
    <xf numFmtId="0" fontId="11" fillId="0" borderId="56" xfId="0" applyFont="1" applyBorder="1" applyAlignment="1">
      <alignment vertical="center"/>
    </xf>
    <xf numFmtId="0" fontId="11" fillId="0" borderId="57" xfId="0" applyFont="1" applyBorder="1" applyAlignment="1">
      <alignment vertical="center"/>
    </xf>
    <xf numFmtId="0" fontId="11" fillId="0" borderId="58" xfId="0" applyFont="1" applyBorder="1" applyAlignment="1">
      <alignment vertical="center"/>
    </xf>
    <xf numFmtId="177" fontId="8" fillId="0" borderId="33" xfId="0" applyNumberFormat="1" applyFont="1" applyBorder="1" applyAlignment="1">
      <alignment vertical="center"/>
    </xf>
    <xf numFmtId="0" fontId="8" fillId="0" borderId="59" xfId="0" applyFont="1" applyBorder="1" applyAlignment="1">
      <alignment vertical="center"/>
    </xf>
    <xf numFmtId="177" fontId="8" fillId="0" borderId="6" xfId="0" applyNumberFormat="1" applyFont="1" applyBorder="1" applyAlignment="1">
      <alignment vertical="center"/>
    </xf>
    <xf numFmtId="0" fontId="4" fillId="0" borderId="60" xfId="0" applyFont="1" applyBorder="1" applyAlignment="1">
      <alignment vertical="center"/>
    </xf>
    <xf numFmtId="0" fontId="8" fillId="0" borderId="61" xfId="0" applyFont="1" applyBorder="1" applyAlignment="1">
      <alignment vertical="center"/>
    </xf>
    <xf numFmtId="0" fontId="8" fillId="0" borderId="62" xfId="0" applyFont="1" applyBorder="1" applyAlignment="1">
      <alignment vertical="center"/>
    </xf>
    <xf numFmtId="177" fontId="8" fillId="0" borderId="63" xfId="0" applyNumberFormat="1" applyFont="1" applyBorder="1" applyAlignment="1">
      <alignment vertical="center"/>
    </xf>
    <xf numFmtId="177" fontId="8" fillId="0" borderId="37" xfId="0" applyNumberFormat="1" applyFont="1" applyBorder="1" applyAlignment="1">
      <alignment vertical="center"/>
    </xf>
    <xf numFmtId="0" fontId="16" fillId="35" borderId="6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horizontal="left" vertical="center"/>
    </xf>
    <xf numFmtId="0" fontId="16" fillId="3" borderId="2" xfId="0" applyFont="1" applyFill="1" applyBorder="1" applyAlignment="1">
      <alignment vertical="center"/>
    </xf>
    <xf numFmtId="0" fontId="4" fillId="15" borderId="6" xfId="0" applyFont="1" applyFill="1" applyBorder="1" applyAlignment="1">
      <alignment horizontal="right" vertical="center"/>
    </xf>
    <xf numFmtId="0" fontId="27" fillId="0" borderId="32" xfId="0" applyFont="1" applyFill="1" applyBorder="1"/>
    <xf numFmtId="0" fontId="16" fillId="0" borderId="9" xfId="0" applyFont="1" applyFill="1" applyBorder="1" applyAlignment="1">
      <alignment vertical="center"/>
    </xf>
    <xf numFmtId="0" fontId="16" fillId="3" borderId="9" xfId="0" applyFont="1" applyFill="1" applyBorder="1" applyAlignment="1">
      <alignment horizontal="left" vertical="center"/>
    </xf>
    <xf numFmtId="0" fontId="16" fillId="3" borderId="9" xfId="0" applyFont="1" applyFill="1" applyBorder="1" applyAlignment="1">
      <alignment vertical="center"/>
    </xf>
    <xf numFmtId="0" fontId="16" fillId="0" borderId="64" xfId="0" applyFont="1" applyFill="1" applyBorder="1" applyAlignment="1">
      <alignment vertical="center"/>
    </xf>
    <xf numFmtId="0" fontId="16" fillId="3" borderId="64" xfId="0" applyFont="1" applyFill="1" applyBorder="1" applyAlignment="1">
      <alignment horizontal="left" vertical="center"/>
    </xf>
    <xf numFmtId="0" fontId="16" fillId="3" borderId="64" xfId="0" applyFont="1" applyFill="1" applyBorder="1" applyAlignment="1">
      <alignment vertical="center"/>
    </xf>
    <xf numFmtId="0" fontId="14" fillId="7" borderId="65" xfId="0" applyFont="1" applyFill="1" applyBorder="1" applyAlignment="1">
      <alignment vertical="center"/>
    </xf>
    <xf numFmtId="0" fontId="16" fillId="0" borderId="66" xfId="0" applyFont="1" applyBorder="1" applyAlignment="1">
      <alignment vertical="center"/>
    </xf>
    <xf numFmtId="38" fontId="16" fillId="0" borderId="6" xfId="628" applyFont="1" applyFill="1" applyBorder="1" applyAlignment="1">
      <alignment wrapText="1"/>
    </xf>
    <xf numFmtId="38" fontId="16" fillId="0" borderId="65" xfId="628" applyFont="1" applyFill="1" applyBorder="1" applyAlignment="1">
      <alignment wrapText="1"/>
    </xf>
    <xf numFmtId="0" fontId="29" fillId="3" borderId="32" xfId="0" applyFont="1" applyFill="1" applyBorder="1" applyAlignment="1">
      <alignment vertical="center"/>
    </xf>
    <xf numFmtId="0" fontId="30" fillId="0" borderId="32" xfId="0" applyFont="1" applyFill="1" applyBorder="1"/>
    <xf numFmtId="0" fontId="29" fillId="0" borderId="32" xfId="0" applyFont="1" applyFill="1" applyBorder="1" applyAlignment="1">
      <alignment vertical="center"/>
    </xf>
    <xf numFmtId="0" fontId="30" fillId="30" borderId="32" xfId="0" applyFont="1" applyFill="1" applyBorder="1"/>
    <xf numFmtId="0" fontId="31" fillId="0" borderId="32" xfId="0" applyFont="1" applyFill="1" applyBorder="1"/>
    <xf numFmtId="38" fontId="16" fillId="0" borderId="32" xfId="628" applyFont="1" applyFill="1" applyBorder="1" applyAlignment="1">
      <alignment wrapText="1"/>
    </xf>
    <xf numFmtId="0" fontId="0" fillId="0" borderId="32" xfId="0" applyBorder="1"/>
    <xf numFmtId="0" fontId="27" fillId="0" borderId="25" xfId="0" applyFont="1" applyFill="1" applyBorder="1"/>
    <xf numFmtId="0" fontId="29" fillId="3" borderId="25" xfId="0" applyFont="1" applyFill="1" applyBorder="1" applyAlignment="1">
      <alignment vertical="center"/>
    </xf>
    <xf numFmtId="0" fontId="30" fillId="0" borderId="25" xfId="0" applyFont="1" applyFill="1" applyBorder="1"/>
    <xf numFmtId="0" fontId="29" fillId="0" borderId="25" xfId="0" applyFont="1" applyFill="1" applyBorder="1" applyAlignment="1">
      <alignment vertical="center"/>
    </xf>
    <xf numFmtId="0" fontId="30" fillId="30" borderId="25" xfId="0" applyFont="1" applyFill="1" applyBorder="1"/>
    <xf numFmtId="0" fontId="31" fillId="0" borderId="25" xfId="0" applyFont="1" applyFill="1" applyBorder="1"/>
    <xf numFmtId="0" fontId="0" fillId="0" borderId="25" xfId="0" applyBorder="1"/>
    <xf numFmtId="0" fontId="27" fillId="15" borderId="32" xfId="0" applyFont="1" applyFill="1" applyBorder="1"/>
  </cellXfs>
  <cellStyles count="76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赤字強調" xfId="431"/>
    <cellStyle name="青字強調" xfId="43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11207</v>
          </cell>
        </row>
        <row r="66">
          <cell r="A66">
            <v>11208</v>
          </cell>
        </row>
        <row r="67">
          <cell r="A67">
            <v>11209</v>
          </cell>
        </row>
        <row r="68">
          <cell r="A68">
            <v>11210</v>
          </cell>
        </row>
        <row r="69">
          <cell r="A69">
            <v>11211</v>
          </cell>
        </row>
        <row r="70">
          <cell r="A70">
            <v>11212</v>
          </cell>
        </row>
        <row r="71">
          <cell r="A71">
            <v>11213</v>
          </cell>
        </row>
        <row r="72">
          <cell r="A72">
            <v>11214</v>
          </cell>
        </row>
        <row r="73">
          <cell r="A73">
            <v>11215</v>
          </cell>
        </row>
        <row r="74">
          <cell r="A74">
            <v>11216</v>
          </cell>
        </row>
        <row r="75">
          <cell r="A75">
            <v>11217</v>
          </cell>
        </row>
        <row r="76">
          <cell r="A76">
            <v>11218</v>
          </cell>
        </row>
        <row r="77">
          <cell r="A77">
            <v>11219</v>
          </cell>
        </row>
        <row r="78">
          <cell r="A78">
            <v>11220</v>
          </cell>
        </row>
        <row r="79">
          <cell r="A79">
            <v>11221</v>
          </cell>
        </row>
        <row r="80">
          <cell r="A80">
            <v>11224</v>
          </cell>
        </row>
        <row r="81">
          <cell r="A81">
            <v>11225</v>
          </cell>
        </row>
        <row r="82">
          <cell r="A82">
            <v>11226</v>
          </cell>
        </row>
        <row r="83">
          <cell r="A83">
            <v>12001</v>
          </cell>
        </row>
        <row r="84">
          <cell r="A84">
            <v>12002</v>
          </cell>
        </row>
        <row r="85">
          <cell r="A85">
            <v>12003</v>
          </cell>
        </row>
        <row r="86">
          <cell r="A86">
            <v>12004</v>
          </cell>
        </row>
        <row r="87">
          <cell r="A87">
            <v>13001</v>
          </cell>
        </row>
        <row r="88">
          <cell r="A88">
            <v>14001</v>
          </cell>
        </row>
        <row r="89">
          <cell r="A89">
            <v>14002</v>
          </cell>
        </row>
        <row r="90">
          <cell r="A90">
            <v>14003</v>
          </cell>
        </row>
        <row r="91">
          <cell r="A91">
            <v>14004</v>
          </cell>
        </row>
        <row r="92">
          <cell r="A92">
            <v>14005</v>
          </cell>
        </row>
        <row r="93">
          <cell r="A93">
            <v>14006</v>
          </cell>
        </row>
        <row r="94">
          <cell r="A94">
            <v>15027</v>
          </cell>
        </row>
        <row r="95">
          <cell r="A95">
            <v>15028</v>
          </cell>
        </row>
        <row r="96">
          <cell r="A96">
            <v>15029</v>
          </cell>
        </row>
        <row r="97">
          <cell r="A97">
            <v>15030</v>
          </cell>
        </row>
        <row r="98">
          <cell r="A98">
            <v>15031</v>
          </cell>
        </row>
        <row r="99">
          <cell r="A99">
            <v>20001</v>
          </cell>
        </row>
        <row r="100">
          <cell r="A100">
            <v>20002</v>
          </cell>
        </row>
        <row r="101">
          <cell r="A101">
            <v>20003</v>
          </cell>
        </row>
        <row r="102">
          <cell r="A102">
            <v>20004</v>
          </cell>
        </row>
        <row r="103">
          <cell r="A103">
            <v>20005</v>
          </cell>
        </row>
        <row r="104">
          <cell r="A104">
            <v>20006</v>
          </cell>
        </row>
        <row r="105">
          <cell r="A105">
            <v>20007</v>
          </cell>
        </row>
        <row r="106">
          <cell r="A106">
            <v>20008</v>
          </cell>
        </row>
        <row r="107">
          <cell r="A107">
            <v>20009</v>
          </cell>
        </row>
        <row r="108">
          <cell r="A108">
            <v>20010</v>
          </cell>
        </row>
        <row r="109">
          <cell r="A109">
            <v>20011</v>
          </cell>
        </row>
        <row r="110">
          <cell r="A110">
            <v>20012</v>
          </cell>
        </row>
        <row r="111">
          <cell r="A111">
            <v>20013</v>
          </cell>
        </row>
        <row r="112">
          <cell r="A112">
            <v>20014</v>
          </cell>
        </row>
        <row r="113">
          <cell r="A113">
            <v>20015</v>
          </cell>
        </row>
        <row r="114">
          <cell r="A114">
            <v>20016</v>
          </cell>
        </row>
        <row r="115">
          <cell r="A115">
            <v>20017</v>
          </cell>
        </row>
        <row r="116">
          <cell r="A116">
            <v>20018</v>
          </cell>
        </row>
        <row r="117">
          <cell r="A117">
            <v>30001</v>
          </cell>
        </row>
        <row r="118">
          <cell r="A118">
            <v>30002</v>
          </cell>
        </row>
        <row r="119">
          <cell r="A119">
            <v>30003</v>
          </cell>
        </row>
        <row r="120">
          <cell r="A120">
            <v>30004</v>
          </cell>
        </row>
        <row r="121">
          <cell r="A121">
            <v>30005</v>
          </cell>
        </row>
        <row r="122">
          <cell r="A122">
            <v>30006</v>
          </cell>
        </row>
        <row r="123">
          <cell r="A123">
            <v>30007</v>
          </cell>
        </row>
        <row r="124">
          <cell r="A124">
            <v>30008</v>
          </cell>
        </row>
        <row r="125">
          <cell r="A125">
            <v>30009</v>
          </cell>
        </row>
        <row r="126">
          <cell r="A126">
            <v>30010</v>
          </cell>
        </row>
        <row r="127">
          <cell r="A127">
            <v>30011</v>
          </cell>
        </row>
        <row r="128">
          <cell r="A128">
            <v>30012</v>
          </cell>
        </row>
        <row r="129">
          <cell r="A129">
            <v>30013</v>
          </cell>
        </row>
        <row r="130">
          <cell r="A130">
            <v>30014</v>
          </cell>
        </row>
        <row r="131">
          <cell r="A131">
            <v>30015</v>
          </cell>
        </row>
        <row r="132">
          <cell r="A132">
            <v>30016</v>
          </cell>
        </row>
        <row r="133">
          <cell r="A133">
            <v>30017</v>
          </cell>
        </row>
        <row r="134">
          <cell r="A134">
            <v>30018</v>
          </cell>
        </row>
        <row r="135">
          <cell r="A135">
            <v>30019</v>
          </cell>
        </row>
        <row r="136">
          <cell r="A136">
            <v>30020</v>
          </cell>
        </row>
        <row r="137">
          <cell r="A137">
            <v>30021</v>
          </cell>
        </row>
        <row r="138">
          <cell r="A138">
            <v>30022</v>
          </cell>
        </row>
        <row r="139">
          <cell r="A139">
            <v>30023</v>
          </cell>
        </row>
        <row r="140">
          <cell r="A140">
            <v>30024</v>
          </cell>
        </row>
        <row r="141">
          <cell r="A141">
            <v>30025</v>
          </cell>
        </row>
        <row r="142">
          <cell r="A142">
            <v>30026</v>
          </cell>
        </row>
        <row r="143">
          <cell r="A143">
            <v>30027</v>
          </cell>
        </row>
        <row r="144">
          <cell r="A144">
            <v>30028</v>
          </cell>
        </row>
        <row r="145">
          <cell r="A145">
            <v>30029</v>
          </cell>
        </row>
        <row r="146">
          <cell r="A146">
            <v>30030</v>
          </cell>
        </row>
        <row r="147">
          <cell r="A147">
            <v>30031</v>
          </cell>
        </row>
        <row r="148">
          <cell r="A148">
            <v>30032</v>
          </cell>
        </row>
        <row r="149">
          <cell r="A149">
            <v>30033</v>
          </cell>
        </row>
        <row r="150">
          <cell r="A150">
            <v>30034</v>
          </cell>
        </row>
        <row r="151">
          <cell r="A151">
            <v>30035</v>
          </cell>
        </row>
        <row r="152">
          <cell r="A152">
            <v>30036</v>
          </cell>
        </row>
        <row r="153">
          <cell r="A153">
            <v>30037</v>
          </cell>
        </row>
        <row r="154">
          <cell r="A154">
            <v>30038</v>
          </cell>
        </row>
        <row r="155">
          <cell r="A155">
            <v>39001</v>
          </cell>
        </row>
        <row r="156">
          <cell r="A156">
            <v>39002</v>
          </cell>
        </row>
        <row r="157">
          <cell r="A157">
            <v>39003</v>
          </cell>
        </row>
        <row r="158">
          <cell r="A158">
            <v>39004</v>
          </cell>
        </row>
        <row r="159">
          <cell r="A159">
            <v>39005</v>
          </cell>
        </row>
        <row r="160">
          <cell r="A160">
            <v>39006</v>
          </cell>
        </row>
        <row r="161">
          <cell r="A161">
            <v>40001</v>
          </cell>
        </row>
        <row r="162">
          <cell r="A162">
            <v>40002</v>
          </cell>
        </row>
        <row r="163">
          <cell r="A163">
            <v>40003</v>
          </cell>
        </row>
        <row r="164">
          <cell r="A164">
            <v>40004</v>
          </cell>
        </row>
        <row r="165">
          <cell r="A165">
            <v>40005</v>
          </cell>
        </row>
        <row r="166">
          <cell r="A166">
            <v>40006</v>
          </cell>
        </row>
        <row r="167">
          <cell r="A167">
            <v>40007</v>
          </cell>
        </row>
        <row r="168">
          <cell r="A168">
            <v>40008</v>
          </cell>
        </row>
        <row r="169">
          <cell r="A169">
            <v>40009</v>
          </cell>
        </row>
        <row r="170">
          <cell r="A170">
            <v>40010</v>
          </cell>
        </row>
        <row r="171">
          <cell r="A171">
            <v>40011</v>
          </cell>
        </row>
        <row r="172">
          <cell r="A172">
            <v>40012</v>
          </cell>
        </row>
        <row r="173">
          <cell r="A173">
            <v>40013</v>
          </cell>
        </row>
        <row r="174">
          <cell r="A174">
            <v>40014</v>
          </cell>
        </row>
        <row r="175">
          <cell r="A175">
            <v>40015</v>
          </cell>
        </row>
        <row r="176">
          <cell r="A176">
            <v>40016</v>
          </cell>
        </row>
        <row r="177">
          <cell r="A177">
            <v>40017</v>
          </cell>
        </row>
        <row r="178">
          <cell r="A178">
            <v>40018</v>
          </cell>
        </row>
        <row r="179">
          <cell r="A179">
            <v>40019</v>
          </cell>
        </row>
        <row r="180">
          <cell r="A180">
            <v>40021</v>
          </cell>
        </row>
        <row r="181">
          <cell r="A181">
            <v>40022</v>
          </cell>
        </row>
        <row r="182">
          <cell r="A182">
            <v>48001</v>
          </cell>
        </row>
        <row r="183">
          <cell r="A183">
            <v>48002</v>
          </cell>
        </row>
        <row r="184">
          <cell r="A184">
            <v>41001</v>
          </cell>
        </row>
        <row r="185">
          <cell r="A185">
            <v>41002</v>
          </cell>
        </row>
        <row r="186">
          <cell r="A186">
            <v>41003</v>
          </cell>
        </row>
        <row r="187">
          <cell r="A187">
            <v>41004</v>
          </cell>
        </row>
        <row r="188">
          <cell r="A188">
            <v>41005</v>
          </cell>
        </row>
        <row r="189">
          <cell r="A189">
            <v>41006</v>
          </cell>
        </row>
        <row r="190">
          <cell r="A190">
            <v>41007</v>
          </cell>
        </row>
        <row r="191">
          <cell r="A191">
            <v>41008</v>
          </cell>
        </row>
        <row r="192">
          <cell r="A192">
            <v>41009</v>
          </cell>
        </row>
        <row r="193">
          <cell r="A193">
            <v>41010</v>
          </cell>
        </row>
        <row r="194">
          <cell r="A194">
            <v>41011</v>
          </cell>
        </row>
        <row r="195">
          <cell r="A195">
            <v>41012</v>
          </cell>
        </row>
        <row r="196">
          <cell r="A196">
            <v>41013</v>
          </cell>
        </row>
        <row r="197">
          <cell r="A197">
            <v>47001</v>
          </cell>
        </row>
        <row r="198">
          <cell r="A198">
            <v>47002</v>
          </cell>
        </row>
        <row r="199">
          <cell r="A199">
            <v>49001</v>
          </cell>
        </row>
        <row r="200">
          <cell r="A200">
            <v>49002</v>
          </cell>
        </row>
        <row r="201">
          <cell r="A201">
            <v>49003</v>
          </cell>
        </row>
        <row r="202">
          <cell r="A202">
            <v>49004</v>
          </cell>
        </row>
        <row r="203">
          <cell r="A203">
            <v>49005</v>
          </cell>
        </row>
        <row r="204">
          <cell r="A204">
            <v>49006</v>
          </cell>
        </row>
        <row r="205">
          <cell r="A205">
            <v>50001</v>
          </cell>
        </row>
        <row r="206">
          <cell r="A206">
            <v>50002</v>
          </cell>
        </row>
        <row r="207">
          <cell r="A207">
            <v>50003</v>
          </cell>
        </row>
        <row r="208">
          <cell r="A208">
            <v>50004</v>
          </cell>
        </row>
        <row r="209">
          <cell r="A209">
            <v>50005</v>
          </cell>
        </row>
        <row r="210">
          <cell r="A210">
            <v>51001</v>
          </cell>
        </row>
        <row r="211">
          <cell r="A211">
            <v>51002</v>
          </cell>
        </row>
        <row r="212">
          <cell r="A212">
            <v>60001</v>
          </cell>
        </row>
        <row r="213">
          <cell r="A213">
            <v>60002</v>
          </cell>
        </row>
        <row r="214">
          <cell r="A214">
            <v>60003</v>
          </cell>
        </row>
        <row r="215">
          <cell r="A215">
            <v>60004</v>
          </cell>
        </row>
        <row r="216">
          <cell r="A216">
            <v>60005</v>
          </cell>
        </row>
        <row r="217">
          <cell r="A217">
            <v>60006</v>
          </cell>
        </row>
        <row r="218">
          <cell r="A218">
            <v>60007</v>
          </cell>
        </row>
        <row r="219">
          <cell r="A219">
            <v>60010</v>
          </cell>
        </row>
        <row r="220">
          <cell r="A220">
            <v>60011</v>
          </cell>
        </row>
        <row r="221">
          <cell r="A221">
            <v>61011</v>
          </cell>
        </row>
        <row r="222">
          <cell r="A222">
            <v>60012</v>
          </cell>
        </row>
        <row r="223">
          <cell r="A223">
            <v>60013</v>
          </cell>
        </row>
        <row r="224">
          <cell r="A224">
            <v>65534</v>
          </cell>
        </row>
        <row r="225">
          <cell r="A225">
            <v>65535</v>
          </cell>
        </row>
        <row r="226">
          <cell r="A226">
            <v>60021</v>
          </cell>
        </row>
        <row r="227">
          <cell r="A227">
            <v>60022</v>
          </cell>
        </row>
        <row r="228">
          <cell r="A228">
            <v>60023</v>
          </cell>
        </row>
        <row r="229">
          <cell r="A22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11207_1</v>
          </cell>
        </row>
        <row r="265">
          <cell r="A265" t="str">
            <v>11207_2</v>
          </cell>
        </row>
        <row r="266">
          <cell r="A266" t="str">
            <v>11208_1</v>
          </cell>
        </row>
        <row r="267">
          <cell r="A267" t="str">
            <v>11208_2</v>
          </cell>
        </row>
        <row r="268">
          <cell r="A268" t="str">
            <v>11209_1</v>
          </cell>
        </row>
        <row r="269">
          <cell r="A269" t="str">
            <v>11209_2</v>
          </cell>
        </row>
        <row r="270">
          <cell r="A270" t="str">
            <v>11212_1</v>
          </cell>
        </row>
        <row r="271">
          <cell r="A271" t="str">
            <v>11213_1</v>
          </cell>
        </row>
        <row r="272">
          <cell r="A272" t="str">
            <v>11214_1</v>
          </cell>
        </row>
        <row r="273">
          <cell r="A273" t="str">
            <v>11214_2</v>
          </cell>
        </row>
        <row r="274">
          <cell r="A274" t="str">
            <v>11214_3</v>
          </cell>
        </row>
        <row r="275">
          <cell r="A275" t="str">
            <v>11215_1</v>
          </cell>
        </row>
        <row r="276">
          <cell r="A276" t="str">
            <v>11216_1</v>
          </cell>
        </row>
        <row r="277">
          <cell r="A277" t="str">
            <v>11217_1</v>
          </cell>
        </row>
        <row r="278">
          <cell r="A278" t="str">
            <v>11218_1</v>
          </cell>
        </row>
        <row r="279">
          <cell r="A279" t="str">
            <v>11219_1</v>
          </cell>
        </row>
        <row r="280">
          <cell r="A280" t="str">
            <v>11220_1</v>
          </cell>
        </row>
        <row r="281">
          <cell r="A281" t="str">
            <v>11221_1</v>
          </cell>
        </row>
        <row r="282">
          <cell r="A282" t="str">
            <v>11224_1</v>
          </cell>
        </row>
        <row r="283">
          <cell r="A283" t="str">
            <v>11225_1</v>
          </cell>
        </row>
        <row r="284">
          <cell r="A284" t="str">
            <v>11226_1</v>
          </cell>
        </row>
        <row r="285">
          <cell r="A285" t="str">
            <v>11226_2</v>
          </cell>
        </row>
        <row r="286">
          <cell r="A286" t="str">
            <v>11226_3</v>
          </cell>
        </row>
        <row r="287">
          <cell r="A287" t="str">
            <v>11226_4</v>
          </cell>
        </row>
        <row r="288">
          <cell r="A288" t="str">
            <v>11226_5</v>
          </cell>
        </row>
        <row r="289">
          <cell r="A289" t="str">
            <v>11226_6</v>
          </cell>
        </row>
        <row r="290">
          <cell r="A290" t="str">
            <v>11226_7</v>
          </cell>
        </row>
        <row r="291">
          <cell r="A291" t="str">
            <v>11226_8</v>
          </cell>
        </row>
        <row r="292">
          <cell r="A292" t="str">
            <v>12001_1</v>
          </cell>
        </row>
        <row r="293">
          <cell r="A293" t="str">
            <v>12001_2</v>
          </cell>
        </row>
        <row r="294">
          <cell r="A294" t="str">
            <v>12001_3</v>
          </cell>
        </row>
        <row r="295">
          <cell r="A295" t="str">
            <v>12002_1</v>
          </cell>
        </row>
        <row r="296">
          <cell r="A296" t="str">
            <v>12002_2</v>
          </cell>
        </row>
        <row r="297">
          <cell r="A297" t="str">
            <v>12003_1</v>
          </cell>
        </row>
        <row r="298">
          <cell r="A298" t="str">
            <v>12003_2</v>
          </cell>
        </row>
        <row r="299">
          <cell r="A299" t="str">
            <v>12003_3</v>
          </cell>
        </row>
        <row r="300">
          <cell r="A300" t="str">
            <v>12003_4</v>
          </cell>
        </row>
        <row r="301">
          <cell r="A301" t="str">
            <v>12004_1</v>
          </cell>
        </row>
        <row r="302">
          <cell r="A302" t="str">
            <v>13001_1</v>
          </cell>
        </row>
        <row r="303">
          <cell r="A303" t="str">
            <v>13001_2</v>
          </cell>
        </row>
        <row r="304">
          <cell r="A304" t="str">
            <v>13001_3</v>
          </cell>
        </row>
        <row r="305">
          <cell r="A305" t="str">
            <v>13001_4</v>
          </cell>
        </row>
        <row r="306">
          <cell r="A306" t="str">
            <v>13001_5</v>
          </cell>
        </row>
        <row r="307">
          <cell r="A307" t="str">
            <v>13001_6</v>
          </cell>
        </row>
        <row r="308">
          <cell r="A308" t="str">
            <v>13001_7</v>
          </cell>
        </row>
        <row r="309">
          <cell r="A309" t="str">
            <v>13001_8</v>
          </cell>
        </row>
        <row r="310">
          <cell r="A310" t="str">
            <v>13001_9</v>
          </cell>
        </row>
        <row r="311">
          <cell r="A311" t="str">
            <v>13001_10</v>
          </cell>
        </row>
        <row r="312">
          <cell r="A312" t="str">
            <v>13001_11</v>
          </cell>
        </row>
        <row r="313">
          <cell r="A313" t="str">
            <v>13001_12</v>
          </cell>
        </row>
        <row r="314">
          <cell r="A314" t="str">
            <v>13001_13</v>
          </cell>
        </row>
        <row r="315">
          <cell r="A315" t="str">
            <v>13001_14</v>
          </cell>
        </row>
        <row r="316">
          <cell r="A316" t="str">
            <v>13001_15</v>
          </cell>
        </row>
        <row r="317">
          <cell r="A317" t="str">
            <v>13001_16</v>
          </cell>
        </row>
        <row r="318">
          <cell r="A318" t="str">
            <v>13001_17</v>
          </cell>
        </row>
        <row r="319">
          <cell r="A319" t="str">
            <v>13001_18</v>
          </cell>
        </row>
        <row r="320">
          <cell r="A320" t="str">
            <v>13001_19</v>
          </cell>
        </row>
        <row r="321">
          <cell r="A321" t="str">
            <v>13001_20</v>
          </cell>
        </row>
        <row r="322">
          <cell r="A322" t="str">
            <v>13001_21</v>
          </cell>
        </row>
        <row r="323">
          <cell r="A323" t="str">
            <v>13001_22</v>
          </cell>
        </row>
        <row r="324">
          <cell r="A324" t="str">
            <v>13001_23</v>
          </cell>
        </row>
        <row r="325">
          <cell r="A325" t="str">
            <v>13001_24</v>
          </cell>
        </row>
        <row r="326">
          <cell r="A326" t="str">
            <v>13001_25</v>
          </cell>
        </row>
        <row r="327">
          <cell r="A327" t="str">
            <v>14001_1</v>
          </cell>
        </row>
        <row r="328">
          <cell r="A328" t="str">
            <v>14001_2</v>
          </cell>
        </row>
        <row r="329">
          <cell r="A329" t="str">
            <v>14001_3</v>
          </cell>
        </row>
        <row r="330">
          <cell r="A330" t="str">
            <v>14001_4</v>
          </cell>
        </row>
        <row r="331">
          <cell r="A331" t="str">
            <v>14001_5</v>
          </cell>
        </row>
        <row r="332">
          <cell r="A332" t="str">
            <v>14001_6</v>
          </cell>
        </row>
        <row r="333">
          <cell r="A333" t="str">
            <v>14001_7</v>
          </cell>
        </row>
        <row r="334">
          <cell r="A334" t="str">
            <v>14001_8</v>
          </cell>
        </row>
        <row r="335">
          <cell r="A335" t="str">
            <v>14002_1</v>
          </cell>
        </row>
        <row r="336">
          <cell r="A336" t="str">
            <v>14002_2</v>
          </cell>
        </row>
        <row r="337">
          <cell r="A337" t="str">
            <v>14003_1</v>
          </cell>
        </row>
        <row r="338">
          <cell r="A338" t="str">
            <v>14003_2</v>
          </cell>
        </row>
        <row r="339">
          <cell r="A339" t="str">
            <v>14003_3</v>
          </cell>
        </row>
        <row r="340">
          <cell r="A340" t="str">
            <v>14003_4</v>
          </cell>
        </row>
        <row r="341">
          <cell r="A341" t="str">
            <v>14004_1</v>
          </cell>
        </row>
        <row r="342">
          <cell r="A342" t="str">
            <v>14004_2</v>
          </cell>
        </row>
        <row r="343">
          <cell r="A343" t="str">
            <v>14004_3</v>
          </cell>
        </row>
        <row r="344">
          <cell r="A344" t="str">
            <v>14004_4</v>
          </cell>
        </row>
        <row r="345">
          <cell r="A345" t="str">
            <v>14005_1</v>
          </cell>
        </row>
        <row r="346">
          <cell r="A346" t="str">
            <v>14006_1</v>
          </cell>
        </row>
        <row r="347">
          <cell r="A347" t="str">
            <v>15027_1</v>
          </cell>
        </row>
        <row r="348">
          <cell r="A348" t="str">
            <v>15027_2</v>
          </cell>
        </row>
        <row r="349">
          <cell r="A349" t="str">
            <v>15027_3</v>
          </cell>
        </row>
        <row r="350">
          <cell r="A350" t="str">
            <v>15027_4</v>
          </cell>
        </row>
        <row r="351">
          <cell r="A351" t="str">
            <v>15028_1</v>
          </cell>
        </row>
        <row r="352">
          <cell r="A352" t="str">
            <v>15028_2</v>
          </cell>
        </row>
        <row r="353">
          <cell r="A353" t="str">
            <v>15028_3</v>
          </cell>
        </row>
        <row r="354">
          <cell r="A354" t="str">
            <v>15028_4</v>
          </cell>
        </row>
        <row r="355">
          <cell r="A355" t="str">
            <v>15029_1</v>
          </cell>
        </row>
        <row r="356">
          <cell r="A356" t="str">
            <v>15029_2</v>
          </cell>
        </row>
        <row r="357">
          <cell r="A357" t="str">
            <v>15029_3</v>
          </cell>
        </row>
        <row r="358">
          <cell r="A358" t="str">
            <v>15029_4</v>
          </cell>
        </row>
        <row r="359">
          <cell r="A359" t="str">
            <v>15030_1</v>
          </cell>
        </row>
        <row r="360">
          <cell r="A360" t="str">
            <v>15030_2</v>
          </cell>
        </row>
        <row r="361">
          <cell r="A361" t="str">
            <v>15030_3</v>
          </cell>
        </row>
        <row r="362">
          <cell r="A362" t="str">
            <v>15030_4</v>
          </cell>
        </row>
        <row r="363">
          <cell r="A363" t="str">
            <v>15031_1</v>
          </cell>
        </row>
        <row r="364">
          <cell r="A364" t="str">
            <v>15031_2</v>
          </cell>
        </row>
        <row r="365">
          <cell r="A365" t="str">
            <v>15031_3</v>
          </cell>
        </row>
        <row r="366">
          <cell r="A366" t="str">
            <v>15031_4</v>
          </cell>
        </row>
        <row r="367">
          <cell r="A367" t="str">
            <v>20001_1</v>
          </cell>
        </row>
        <row r="368">
          <cell r="A368" t="str">
            <v>20001_2</v>
          </cell>
        </row>
        <row r="369">
          <cell r="A369" t="str">
            <v>20001_3</v>
          </cell>
        </row>
        <row r="370">
          <cell r="A370" t="str">
            <v>20002_1</v>
          </cell>
        </row>
        <row r="371">
          <cell r="A371" t="str">
            <v>20002_2</v>
          </cell>
        </row>
        <row r="372">
          <cell r="A372" t="str">
            <v>20002_3</v>
          </cell>
        </row>
        <row r="373">
          <cell r="A373" t="str">
            <v>20003_1</v>
          </cell>
        </row>
        <row r="374">
          <cell r="A374" t="str">
            <v>20003_2</v>
          </cell>
        </row>
        <row r="375">
          <cell r="A375" t="str">
            <v>20003_3</v>
          </cell>
        </row>
        <row r="376">
          <cell r="A376" t="str">
            <v>20004_1</v>
          </cell>
        </row>
        <row r="377">
          <cell r="A377" t="str">
            <v>20004_2</v>
          </cell>
        </row>
        <row r="378">
          <cell r="A378" t="str">
            <v>20004_3</v>
          </cell>
        </row>
        <row r="379">
          <cell r="A379" t="str">
            <v>20005_1</v>
          </cell>
        </row>
        <row r="380">
          <cell r="A380" t="str">
            <v>20005_2</v>
          </cell>
        </row>
        <row r="381">
          <cell r="A381" t="str">
            <v>20005_3</v>
          </cell>
        </row>
        <row r="382">
          <cell r="A382" t="str">
            <v>20006_1</v>
          </cell>
        </row>
        <row r="383">
          <cell r="A383" t="str">
            <v>20006_2</v>
          </cell>
        </row>
        <row r="384">
          <cell r="A384" t="str">
            <v>20006_3</v>
          </cell>
        </row>
        <row r="385">
          <cell r="A385" t="str">
            <v>20007_1</v>
          </cell>
        </row>
        <row r="386">
          <cell r="A386" t="str">
            <v>20007_2</v>
          </cell>
        </row>
        <row r="387">
          <cell r="A387" t="str">
            <v>20007_3</v>
          </cell>
        </row>
        <row r="388">
          <cell r="A388" t="str">
            <v>20008_1</v>
          </cell>
        </row>
        <row r="389">
          <cell r="A389" t="str">
            <v>20008_2</v>
          </cell>
        </row>
        <row r="390">
          <cell r="A390" t="str">
            <v>20008_3</v>
          </cell>
        </row>
        <row r="391">
          <cell r="A391" t="str">
            <v>20009_1</v>
          </cell>
        </row>
        <row r="392">
          <cell r="A392" t="str">
            <v>20009_2</v>
          </cell>
        </row>
        <row r="393">
          <cell r="A393" t="str">
            <v>20009_3</v>
          </cell>
        </row>
        <row r="394">
          <cell r="A394" t="str">
            <v>20010_1</v>
          </cell>
        </row>
        <row r="395">
          <cell r="A395" t="str">
            <v>20010_2</v>
          </cell>
        </row>
        <row r="396">
          <cell r="A396" t="str">
            <v>20010_3</v>
          </cell>
        </row>
        <row r="397">
          <cell r="A397" t="str">
            <v>20011_1</v>
          </cell>
        </row>
        <row r="398">
          <cell r="A398" t="str">
            <v>20011_2</v>
          </cell>
        </row>
        <row r="399">
          <cell r="A399" t="str">
            <v>20011_3</v>
          </cell>
        </row>
        <row r="400">
          <cell r="A400" t="str">
            <v>20012_1</v>
          </cell>
        </row>
        <row r="401">
          <cell r="A401" t="str">
            <v>20012_2</v>
          </cell>
        </row>
        <row r="402">
          <cell r="A402" t="str">
            <v>20012_3</v>
          </cell>
        </row>
        <row r="403">
          <cell r="A403" t="str">
            <v>20013_1</v>
          </cell>
        </row>
        <row r="404">
          <cell r="A404" t="str">
            <v>20013_2</v>
          </cell>
        </row>
        <row r="405">
          <cell r="A405" t="str">
            <v>20013_3</v>
          </cell>
        </row>
        <row r="406">
          <cell r="A406" t="str">
            <v>20014_1</v>
          </cell>
        </row>
        <row r="407">
          <cell r="A407" t="str">
            <v>20014_2</v>
          </cell>
        </row>
        <row r="408">
          <cell r="A408" t="str">
            <v>20014_3</v>
          </cell>
        </row>
        <row r="409">
          <cell r="A409" t="str">
            <v>20015_1</v>
          </cell>
        </row>
        <row r="410">
          <cell r="A410" t="str">
            <v>20015_2</v>
          </cell>
        </row>
        <row r="411">
          <cell r="A411" t="str">
            <v>20015_3</v>
          </cell>
        </row>
        <row r="412">
          <cell r="A412" t="str">
            <v>20016_1</v>
          </cell>
        </row>
        <row r="413">
          <cell r="A413" t="str">
            <v>20016_2</v>
          </cell>
        </row>
        <row r="414">
          <cell r="A414" t="str">
            <v>20016_3</v>
          </cell>
        </row>
        <row r="415">
          <cell r="A415" t="str">
            <v>20017_1</v>
          </cell>
        </row>
        <row r="416">
          <cell r="A416" t="str">
            <v>20017_2</v>
          </cell>
        </row>
        <row r="417">
          <cell r="A417" t="str">
            <v>20017_3</v>
          </cell>
        </row>
        <row r="418">
          <cell r="A418" t="str">
            <v>20018_1</v>
          </cell>
        </row>
        <row r="419">
          <cell r="A419" t="str">
            <v>20018_2</v>
          </cell>
        </row>
        <row r="420">
          <cell r="A420" t="str">
            <v>20018_3</v>
          </cell>
        </row>
        <row r="421">
          <cell r="A421" t="str">
            <v>30001_1</v>
          </cell>
        </row>
        <row r="422">
          <cell r="A422" t="str">
            <v>30001_2</v>
          </cell>
        </row>
        <row r="423">
          <cell r="A423" t="str">
            <v>30001_3</v>
          </cell>
        </row>
        <row r="424">
          <cell r="A424" t="str">
            <v>30002_1</v>
          </cell>
        </row>
        <row r="425">
          <cell r="A425" t="str">
            <v>30002_2</v>
          </cell>
        </row>
        <row r="426">
          <cell r="A426" t="str">
            <v>30002_3</v>
          </cell>
        </row>
        <row r="427">
          <cell r="A427" t="str">
            <v>30003_1</v>
          </cell>
        </row>
        <row r="428">
          <cell r="A428" t="str">
            <v>30003_2</v>
          </cell>
        </row>
        <row r="429">
          <cell r="A429" t="str">
            <v>30003_3</v>
          </cell>
        </row>
        <row r="430">
          <cell r="A430" t="str">
            <v>30004_1</v>
          </cell>
        </row>
        <row r="431">
          <cell r="A431" t="str">
            <v>30004_2</v>
          </cell>
        </row>
        <row r="432">
          <cell r="A432" t="str">
            <v>30004_3</v>
          </cell>
        </row>
        <row r="433">
          <cell r="A433" t="str">
            <v>30005_1</v>
          </cell>
        </row>
        <row r="434">
          <cell r="A434" t="str">
            <v>30005_2</v>
          </cell>
        </row>
        <row r="435">
          <cell r="A435" t="str">
            <v>30005_3</v>
          </cell>
        </row>
        <row r="436">
          <cell r="A436" t="str">
            <v>30006_1</v>
          </cell>
        </row>
        <row r="437">
          <cell r="A437" t="str">
            <v>30006_2</v>
          </cell>
        </row>
        <row r="438">
          <cell r="A438" t="str">
            <v>30006_3</v>
          </cell>
        </row>
        <row r="439">
          <cell r="A439" t="str">
            <v>30007_1</v>
          </cell>
        </row>
        <row r="440">
          <cell r="A440" t="str">
            <v>30007_2</v>
          </cell>
        </row>
        <row r="441">
          <cell r="A441" t="str">
            <v>30007_3</v>
          </cell>
        </row>
        <row r="442">
          <cell r="A442" t="str">
            <v>30008_1</v>
          </cell>
        </row>
        <row r="443">
          <cell r="A443" t="str">
            <v>30008_2</v>
          </cell>
        </row>
        <row r="444">
          <cell r="A444" t="str">
            <v>30008_3</v>
          </cell>
        </row>
        <row r="445">
          <cell r="A445" t="str">
            <v>30009_3</v>
          </cell>
        </row>
        <row r="446">
          <cell r="A446" t="str">
            <v>30009_1</v>
          </cell>
        </row>
        <row r="447">
          <cell r="A447" t="str">
            <v>30009_2</v>
          </cell>
        </row>
        <row r="448">
          <cell r="A448" t="str">
            <v>30010_1</v>
          </cell>
        </row>
        <row r="449">
          <cell r="A449" t="str">
            <v>30010_2</v>
          </cell>
        </row>
        <row r="450">
          <cell r="A450" t="str">
            <v>30010_3</v>
          </cell>
        </row>
        <row r="451">
          <cell r="A451" t="str">
            <v>30011_1</v>
          </cell>
        </row>
        <row r="452">
          <cell r="A452" t="str">
            <v>30011_2</v>
          </cell>
        </row>
        <row r="453">
          <cell r="A453" t="str">
            <v>30011_3</v>
          </cell>
        </row>
        <row r="454">
          <cell r="A454" t="str">
            <v>30012_1</v>
          </cell>
        </row>
        <row r="455">
          <cell r="A455" t="str">
            <v>30012_2</v>
          </cell>
        </row>
        <row r="456">
          <cell r="A456" t="str">
            <v>30012_3</v>
          </cell>
        </row>
        <row r="457">
          <cell r="A457" t="str">
            <v>30013_1</v>
          </cell>
        </row>
        <row r="458">
          <cell r="A458" t="str">
            <v>30013_2</v>
          </cell>
        </row>
        <row r="459">
          <cell r="A459" t="str">
            <v>30014_1</v>
          </cell>
        </row>
        <row r="460">
          <cell r="A460" t="str">
            <v>30014_2</v>
          </cell>
        </row>
        <row r="461">
          <cell r="A461" t="str">
            <v>30015_1</v>
          </cell>
        </row>
        <row r="462">
          <cell r="A462" t="str">
            <v>30015_2</v>
          </cell>
        </row>
        <row r="463">
          <cell r="A463" t="str">
            <v>30016_1</v>
          </cell>
        </row>
        <row r="464">
          <cell r="A464" t="str">
            <v>30016_2</v>
          </cell>
        </row>
        <row r="465">
          <cell r="A465" t="str">
            <v>30017_1</v>
          </cell>
        </row>
        <row r="466">
          <cell r="A466" t="str">
            <v>30017_2</v>
          </cell>
        </row>
        <row r="467">
          <cell r="A467" t="str">
            <v>30018_1</v>
          </cell>
        </row>
        <row r="468">
          <cell r="A468" t="str">
            <v>30018_2</v>
          </cell>
        </row>
        <row r="469">
          <cell r="A469" t="str">
            <v>30019_1</v>
          </cell>
        </row>
        <row r="470">
          <cell r="A470" t="str">
            <v>30019_2</v>
          </cell>
        </row>
        <row r="471">
          <cell r="A471" t="str">
            <v>30020_1</v>
          </cell>
        </row>
        <row r="472">
          <cell r="A472" t="str">
            <v>30020_2</v>
          </cell>
        </row>
        <row r="473">
          <cell r="A473" t="str">
            <v>30021_1</v>
          </cell>
        </row>
        <row r="474">
          <cell r="A474" t="str">
            <v>30021_2</v>
          </cell>
        </row>
        <row r="475">
          <cell r="A475" t="str">
            <v>30021_3</v>
          </cell>
        </row>
        <row r="476">
          <cell r="A476" t="str">
            <v>30022_1</v>
          </cell>
        </row>
        <row r="477">
          <cell r="A477" t="str">
            <v>30022_2</v>
          </cell>
        </row>
        <row r="478">
          <cell r="A478" t="str">
            <v>30023_1</v>
          </cell>
        </row>
        <row r="479">
          <cell r="A479" t="str">
            <v>30023_2</v>
          </cell>
        </row>
        <row r="480">
          <cell r="A480" t="str">
            <v>30023_3</v>
          </cell>
        </row>
        <row r="481">
          <cell r="A481" t="str">
            <v>30024_1</v>
          </cell>
        </row>
        <row r="482">
          <cell r="A482" t="str">
            <v>30024_2</v>
          </cell>
        </row>
        <row r="483">
          <cell r="A483" t="str">
            <v>30024_3</v>
          </cell>
        </row>
        <row r="484">
          <cell r="A484" t="str">
            <v>30025_1</v>
          </cell>
        </row>
        <row r="485">
          <cell r="A485" t="str">
            <v>30025_2</v>
          </cell>
        </row>
        <row r="486">
          <cell r="A486" t="str">
            <v>30025_3</v>
          </cell>
        </row>
        <row r="487">
          <cell r="A487" t="str">
            <v>30026_1</v>
          </cell>
        </row>
        <row r="488">
          <cell r="A488" t="str">
            <v>30026_2</v>
          </cell>
        </row>
        <row r="489">
          <cell r="A489" t="str">
            <v>30026_3</v>
          </cell>
        </row>
        <row r="490">
          <cell r="A490" t="str">
            <v>30027_1</v>
          </cell>
        </row>
        <row r="491">
          <cell r="A491" t="str">
            <v>30027_2</v>
          </cell>
        </row>
        <row r="492">
          <cell r="A492" t="str">
            <v>30027_3</v>
          </cell>
        </row>
        <row r="493">
          <cell r="A493" t="str">
            <v>30028_1</v>
          </cell>
        </row>
        <row r="494">
          <cell r="A494" t="str">
            <v>30028_2</v>
          </cell>
        </row>
        <row r="495">
          <cell r="A495" t="str">
            <v>30028_3</v>
          </cell>
        </row>
        <row r="496">
          <cell r="A496" t="str">
            <v>30029_1</v>
          </cell>
        </row>
        <row r="497">
          <cell r="A497" t="str">
            <v>30029_2</v>
          </cell>
        </row>
        <row r="498">
          <cell r="A498" t="str">
            <v>30029_3</v>
          </cell>
        </row>
        <row r="499">
          <cell r="A499" t="str">
            <v>30030_1</v>
          </cell>
        </row>
        <row r="500">
          <cell r="A500" t="str">
            <v>30030_2</v>
          </cell>
        </row>
        <row r="501">
          <cell r="A501" t="str">
            <v>30030_3</v>
          </cell>
        </row>
        <row r="502">
          <cell r="A502" t="str">
            <v>30031_1</v>
          </cell>
        </row>
        <row r="503">
          <cell r="A503" t="str">
            <v>30031_2</v>
          </cell>
        </row>
        <row r="504">
          <cell r="A504" t="str">
            <v>30031_3</v>
          </cell>
        </row>
        <row r="505">
          <cell r="A505" t="str">
            <v>30032_1</v>
          </cell>
        </row>
        <row r="506">
          <cell r="A506" t="str">
            <v>30032_2</v>
          </cell>
        </row>
        <row r="507">
          <cell r="A507" t="str">
            <v>30032_3</v>
          </cell>
        </row>
        <row r="508">
          <cell r="A508" t="str">
            <v>30033_1</v>
          </cell>
        </row>
        <row r="509">
          <cell r="A509" t="str">
            <v>30033_2</v>
          </cell>
        </row>
        <row r="510">
          <cell r="A510" t="str">
            <v>30033_3</v>
          </cell>
        </row>
        <row r="511">
          <cell r="A511" t="str">
            <v>30034_1</v>
          </cell>
        </row>
        <row r="512">
          <cell r="A512" t="str">
            <v>30034_2</v>
          </cell>
        </row>
        <row r="513">
          <cell r="A513" t="str">
            <v>30034_3</v>
          </cell>
        </row>
        <row r="514">
          <cell r="A514" t="str">
            <v>30035_1</v>
          </cell>
        </row>
        <row r="515">
          <cell r="A515" t="str">
            <v>30035_2</v>
          </cell>
        </row>
        <row r="516">
          <cell r="A516" t="str">
            <v>30035_3</v>
          </cell>
        </row>
        <row r="517">
          <cell r="A517" t="str">
            <v>30036_1</v>
          </cell>
        </row>
        <row r="518">
          <cell r="A518" t="str">
            <v>30036_2</v>
          </cell>
        </row>
        <row r="519">
          <cell r="A519" t="str">
            <v>30036_3</v>
          </cell>
        </row>
        <row r="520">
          <cell r="A520" t="str">
            <v>30037_1</v>
          </cell>
        </row>
        <row r="521">
          <cell r="A521" t="str">
            <v>30037_2</v>
          </cell>
        </row>
        <row r="522">
          <cell r="A522" t="str">
            <v>30037_3</v>
          </cell>
        </row>
        <row r="523">
          <cell r="A523" t="str">
            <v>30038_1</v>
          </cell>
        </row>
        <row r="524">
          <cell r="A524" t="str">
            <v>30038_2</v>
          </cell>
        </row>
        <row r="525">
          <cell r="A525" t="str">
            <v>30038_3</v>
          </cell>
        </row>
        <row r="526">
          <cell r="A526" t="str">
            <v>39001_1</v>
          </cell>
        </row>
        <row r="527">
          <cell r="A527" t="str">
            <v>39001_2</v>
          </cell>
        </row>
        <row r="528">
          <cell r="A528" t="str">
            <v>39001_3</v>
          </cell>
        </row>
        <row r="529">
          <cell r="A529" t="str">
            <v>39001_4</v>
          </cell>
        </row>
        <row r="530">
          <cell r="A530" t="str">
            <v>39001_5</v>
          </cell>
        </row>
        <row r="531">
          <cell r="A531" t="str">
            <v>39002_1</v>
          </cell>
        </row>
        <row r="532">
          <cell r="A532" t="str">
            <v>39002_2</v>
          </cell>
        </row>
        <row r="533">
          <cell r="A533" t="str">
            <v>39002_3</v>
          </cell>
        </row>
        <row r="534">
          <cell r="A534" t="str">
            <v>39002_4</v>
          </cell>
        </row>
        <row r="535">
          <cell r="A535" t="str">
            <v>39003_1</v>
          </cell>
        </row>
        <row r="536">
          <cell r="A536" t="str">
            <v>39003_2</v>
          </cell>
        </row>
        <row r="537">
          <cell r="A537" t="str">
            <v>39003_3</v>
          </cell>
        </row>
        <row r="538">
          <cell r="A538" t="str">
            <v>39003_4</v>
          </cell>
        </row>
        <row r="539">
          <cell r="A539" t="str">
            <v>39004_1</v>
          </cell>
        </row>
        <row r="540">
          <cell r="A540" t="str">
            <v>39004_2</v>
          </cell>
        </row>
        <row r="541">
          <cell r="A541" t="str">
            <v>39004_3</v>
          </cell>
        </row>
        <row r="542">
          <cell r="A542" t="str">
            <v>39004_4</v>
          </cell>
        </row>
        <row r="543">
          <cell r="A543" t="str">
            <v>39005_1</v>
          </cell>
        </row>
        <row r="544">
          <cell r="A544" t="str">
            <v>39005_2</v>
          </cell>
        </row>
        <row r="545">
          <cell r="A545" t="str">
            <v>39005_3</v>
          </cell>
        </row>
        <row r="546">
          <cell r="A546" t="str">
            <v>39005_4</v>
          </cell>
        </row>
        <row r="547">
          <cell r="A547" t="str">
            <v>39005_5</v>
          </cell>
        </row>
        <row r="548">
          <cell r="A548" t="str">
            <v>39006_1</v>
          </cell>
        </row>
        <row r="549">
          <cell r="A549" t="str">
            <v>39006_2</v>
          </cell>
        </row>
        <row r="550">
          <cell r="A550" t="str">
            <v>39006_3</v>
          </cell>
        </row>
        <row r="551">
          <cell r="A551" t="str">
            <v>39006_4</v>
          </cell>
        </row>
        <row r="552">
          <cell r="A552" t="str">
            <v>40001_1</v>
          </cell>
        </row>
        <row r="553">
          <cell r="A553" t="str">
            <v>40002_1</v>
          </cell>
        </row>
        <row r="554">
          <cell r="A554" t="str">
            <v>40002_2</v>
          </cell>
        </row>
        <row r="555">
          <cell r="A555" t="str">
            <v>40002_3</v>
          </cell>
        </row>
        <row r="556">
          <cell r="A556" t="str">
            <v>40003_1</v>
          </cell>
        </row>
        <row r="557">
          <cell r="A557" t="str">
            <v>40004_1</v>
          </cell>
        </row>
        <row r="558">
          <cell r="A558" t="str">
            <v>40005_1</v>
          </cell>
        </row>
        <row r="559">
          <cell r="A559" t="str">
            <v>40006_1</v>
          </cell>
        </row>
        <row r="560">
          <cell r="A560" t="str">
            <v>40007_1</v>
          </cell>
        </row>
        <row r="561">
          <cell r="A561" t="str">
            <v>40008_1</v>
          </cell>
        </row>
        <row r="562">
          <cell r="A562" t="str">
            <v>40009_1</v>
          </cell>
        </row>
        <row r="563">
          <cell r="A563" t="str">
            <v>40010_1</v>
          </cell>
        </row>
        <row r="564">
          <cell r="A564" t="str">
            <v>40011_1</v>
          </cell>
        </row>
        <row r="565">
          <cell r="A565" t="str">
            <v>40012_1</v>
          </cell>
        </row>
        <row r="566">
          <cell r="A566" t="str">
            <v>40013_1</v>
          </cell>
        </row>
        <row r="567">
          <cell r="A567" t="str">
            <v>40014_1</v>
          </cell>
        </row>
        <row r="568">
          <cell r="A568" t="str">
            <v>40015_1</v>
          </cell>
        </row>
        <row r="569">
          <cell r="A569" t="str">
            <v>40016_1</v>
          </cell>
        </row>
        <row r="570">
          <cell r="A570" t="str">
            <v>40016_2</v>
          </cell>
        </row>
        <row r="571">
          <cell r="A571" t="str">
            <v>40017_1</v>
          </cell>
        </row>
        <row r="572">
          <cell r="A572" t="str">
            <v>40017_2</v>
          </cell>
        </row>
        <row r="573">
          <cell r="A573" t="str">
            <v>40017_3</v>
          </cell>
        </row>
        <row r="574">
          <cell r="A574" t="str">
            <v>40018_1</v>
          </cell>
        </row>
        <row r="575">
          <cell r="A575" t="str">
            <v>40018_2</v>
          </cell>
        </row>
        <row r="576">
          <cell r="A576" t="str">
            <v>40018_3</v>
          </cell>
        </row>
        <row r="577">
          <cell r="A577" t="str">
            <v>40019_1</v>
          </cell>
        </row>
        <row r="578">
          <cell r="A578" t="str">
            <v>40019_2</v>
          </cell>
        </row>
        <row r="579">
          <cell r="A579" t="str">
            <v>40019_3</v>
          </cell>
        </row>
        <row r="580">
          <cell r="A580" t="str">
            <v>40021_1</v>
          </cell>
        </row>
        <row r="581">
          <cell r="A581" t="str">
            <v>40021_2</v>
          </cell>
        </row>
        <row r="582">
          <cell r="A582" t="str">
            <v>40022_1</v>
          </cell>
        </row>
        <row r="583">
          <cell r="A583" t="str">
            <v>40022_2</v>
          </cell>
        </row>
        <row r="584">
          <cell r="A584" t="str">
            <v>48001_1</v>
          </cell>
        </row>
        <row r="585">
          <cell r="A585" t="str">
            <v>48002_1</v>
          </cell>
        </row>
        <row r="586">
          <cell r="A586" t="str">
            <v>48002_2</v>
          </cell>
        </row>
        <row r="587">
          <cell r="A587" t="str">
            <v>48002_3</v>
          </cell>
        </row>
        <row r="588">
          <cell r="A588" t="str">
            <v>41001_1</v>
          </cell>
        </row>
        <row r="589">
          <cell r="A589" t="str">
            <v>41001_2</v>
          </cell>
        </row>
        <row r="590">
          <cell r="A590" t="str">
            <v>41001_3</v>
          </cell>
        </row>
        <row r="591">
          <cell r="A591" t="str">
            <v>41002_1</v>
          </cell>
        </row>
        <row r="592">
          <cell r="A592" t="str">
            <v>41002_2</v>
          </cell>
        </row>
        <row r="593">
          <cell r="A593" t="str">
            <v>41002_3</v>
          </cell>
        </row>
        <row r="594">
          <cell r="A594" t="str">
            <v>41003_1</v>
          </cell>
        </row>
        <row r="595">
          <cell r="A595" t="str">
            <v>41003_2</v>
          </cell>
        </row>
        <row r="596">
          <cell r="A596" t="str">
            <v>41003_3</v>
          </cell>
        </row>
        <row r="597">
          <cell r="A597" t="str">
            <v>41004_1</v>
          </cell>
        </row>
        <row r="598">
          <cell r="A598" t="str">
            <v>41004_2</v>
          </cell>
        </row>
        <row r="599">
          <cell r="A599" t="str">
            <v>41004_3</v>
          </cell>
        </row>
        <row r="600">
          <cell r="A600" t="str">
            <v>41005_1</v>
          </cell>
        </row>
        <row r="601">
          <cell r="A601" t="str">
            <v>41005_2</v>
          </cell>
        </row>
        <row r="602">
          <cell r="A602" t="str">
            <v>41005_3</v>
          </cell>
        </row>
        <row r="603">
          <cell r="A603" t="str">
            <v>41006_1</v>
          </cell>
        </row>
        <row r="604">
          <cell r="A604" t="str">
            <v>41006_2</v>
          </cell>
        </row>
        <row r="605">
          <cell r="A605" t="str">
            <v>41006_3</v>
          </cell>
        </row>
        <row r="606">
          <cell r="A606" t="str">
            <v>41007_1</v>
          </cell>
        </row>
        <row r="607">
          <cell r="A607" t="str">
            <v>41007_2</v>
          </cell>
        </row>
        <row r="608">
          <cell r="A608" t="str">
            <v>41007_3</v>
          </cell>
        </row>
        <row r="609">
          <cell r="A609" t="str">
            <v>41008_1</v>
          </cell>
        </row>
        <row r="610">
          <cell r="A610" t="str">
            <v>41008_2</v>
          </cell>
        </row>
        <row r="611">
          <cell r="A611" t="str">
            <v>41008_3</v>
          </cell>
        </row>
        <row r="612">
          <cell r="A612" t="str">
            <v>41009_1</v>
          </cell>
        </row>
        <row r="613">
          <cell r="A613" t="str">
            <v>41009_2</v>
          </cell>
        </row>
        <row r="614">
          <cell r="A614" t="str">
            <v>41009_3</v>
          </cell>
        </row>
        <row r="615">
          <cell r="A615" t="str">
            <v>41010_1</v>
          </cell>
        </row>
        <row r="616">
          <cell r="A616" t="str">
            <v>41010_2</v>
          </cell>
        </row>
        <row r="617">
          <cell r="A617" t="str">
            <v>41010_3</v>
          </cell>
        </row>
        <row r="618">
          <cell r="A618" t="str">
            <v>41011_1</v>
          </cell>
        </row>
        <row r="619">
          <cell r="A619" t="str">
            <v>41011_2</v>
          </cell>
        </row>
        <row r="620">
          <cell r="A620" t="str">
            <v>41012_1</v>
          </cell>
        </row>
        <row r="621">
          <cell r="A621" t="str">
            <v>41012_2</v>
          </cell>
        </row>
        <row r="622">
          <cell r="A622" t="str">
            <v>41013_1</v>
          </cell>
        </row>
        <row r="623">
          <cell r="A623" t="str">
            <v>41013_2</v>
          </cell>
        </row>
        <row r="624">
          <cell r="A624" t="str">
            <v>47001_1</v>
          </cell>
        </row>
        <row r="625">
          <cell r="A625" t="str">
            <v>47001_2</v>
          </cell>
        </row>
        <row r="626">
          <cell r="A626" t="str">
            <v>47002_1</v>
          </cell>
        </row>
        <row r="627">
          <cell r="A627" t="str">
            <v>47002_2</v>
          </cell>
        </row>
        <row r="628">
          <cell r="A628" t="str">
            <v>49001_1</v>
          </cell>
        </row>
        <row r="629">
          <cell r="A629" t="str">
            <v>49002_1</v>
          </cell>
        </row>
        <row r="630">
          <cell r="A630" t="str">
            <v>49002_2</v>
          </cell>
        </row>
        <row r="631">
          <cell r="A631" t="str">
            <v>49003_1</v>
          </cell>
        </row>
        <row r="632">
          <cell r="A632" t="str">
            <v>49003_2</v>
          </cell>
        </row>
        <row r="633">
          <cell r="A633" t="str">
            <v>49004_1</v>
          </cell>
        </row>
        <row r="634">
          <cell r="A634" t="str">
            <v>49004_2</v>
          </cell>
        </row>
        <row r="635">
          <cell r="A635" t="str">
            <v>49004_3</v>
          </cell>
        </row>
        <row r="636">
          <cell r="A636" t="str">
            <v>49005_1</v>
          </cell>
        </row>
        <row r="637">
          <cell r="A637" t="str">
            <v>49006_1</v>
          </cell>
        </row>
        <row r="638">
          <cell r="A638" t="str">
            <v>49006_2</v>
          </cell>
        </row>
        <row r="639">
          <cell r="A639" t="str">
            <v>50001_1</v>
          </cell>
        </row>
        <row r="640">
          <cell r="A640" t="str">
            <v>50002_1</v>
          </cell>
        </row>
        <row r="641">
          <cell r="A641" t="str">
            <v>50003_1</v>
          </cell>
        </row>
        <row r="642">
          <cell r="A642" t="str">
            <v>50004_1</v>
          </cell>
        </row>
        <row r="643">
          <cell r="A643" t="str">
            <v>50005_1</v>
          </cell>
        </row>
        <row r="644">
          <cell r="A644" t="str">
            <v>51001_1</v>
          </cell>
        </row>
        <row r="645">
          <cell r="A645" t="str">
            <v>51002_1</v>
          </cell>
        </row>
        <row r="646">
          <cell r="A646" t="str">
            <v>60001_1</v>
          </cell>
        </row>
        <row r="647">
          <cell r="A647" t="str">
            <v>60002_1</v>
          </cell>
        </row>
        <row r="648">
          <cell r="A648" t="str">
            <v>60002_2</v>
          </cell>
        </row>
        <row r="649">
          <cell r="A649" t="str">
            <v>60003_1</v>
          </cell>
        </row>
        <row r="650">
          <cell r="A650" t="str">
            <v>60003_2</v>
          </cell>
        </row>
        <row r="651">
          <cell r="A651" t="str">
            <v>60003_3</v>
          </cell>
        </row>
        <row r="652">
          <cell r="A652" t="str">
            <v>60004_1</v>
          </cell>
        </row>
        <row r="653">
          <cell r="A653" t="str">
            <v>60005_1</v>
          </cell>
        </row>
        <row r="654">
          <cell r="A654" t="str">
            <v>60006_1</v>
          </cell>
        </row>
        <row r="655">
          <cell r="A655" t="str">
            <v>60006_2</v>
          </cell>
        </row>
        <row r="656">
          <cell r="A656" t="str">
            <v>60006_3</v>
          </cell>
        </row>
        <row r="657">
          <cell r="A657" t="str">
            <v>60007_1</v>
          </cell>
        </row>
        <row r="658">
          <cell r="A658" t="str">
            <v>60007_2</v>
          </cell>
        </row>
        <row r="659">
          <cell r="A659" t="str">
            <v>60007_3</v>
          </cell>
        </row>
        <row r="660">
          <cell r="A660" t="str">
            <v>60010_1</v>
          </cell>
        </row>
        <row r="661">
          <cell r="A661" t="str">
            <v>60011_1</v>
          </cell>
        </row>
        <row r="662">
          <cell r="A662" t="str">
            <v>60011_2</v>
          </cell>
        </row>
        <row r="663">
          <cell r="A663" t="str">
            <v>61011_1</v>
          </cell>
        </row>
        <row r="664">
          <cell r="A664" t="str">
            <v>60012_1</v>
          </cell>
        </row>
        <row r="665">
          <cell r="A665" t="str">
            <v>60013_1</v>
          </cell>
        </row>
        <row r="666">
          <cell r="A666" t="str">
            <v>60013_2</v>
          </cell>
        </row>
        <row r="667">
          <cell r="A667" t="str">
            <v>60013_3</v>
          </cell>
        </row>
        <row r="668">
          <cell r="A668" t="str">
            <v>65535_1</v>
          </cell>
        </row>
        <row r="669">
          <cell r="A669" t="str">
            <v>65535_2</v>
          </cell>
        </row>
        <row r="670">
          <cell r="A670" t="str">
            <v>65535_3</v>
          </cell>
        </row>
        <row r="671">
          <cell r="A671" t="str">
            <v>65535_4</v>
          </cell>
        </row>
        <row r="672">
          <cell r="A672" t="str">
            <v>65535_5</v>
          </cell>
        </row>
        <row r="673">
          <cell r="A673" t="str">
            <v>65535_6</v>
          </cell>
        </row>
        <row r="674">
          <cell r="A674" t="str">
            <v>65535_7</v>
          </cell>
        </row>
        <row r="675">
          <cell r="A675" t="str">
            <v>65535_8</v>
          </cell>
        </row>
        <row r="676">
          <cell r="A676" t="str">
            <v>60021_3</v>
          </cell>
        </row>
        <row r="677">
          <cell r="A677" t="str">
            <v>60022_3</v>
          </cell>
        </row>
        <row r="678">
          <cell r="A678" t="str">
            <v>60023_3</v>
          </cell>
        </row>
        <row r="679">
          <cell r="A679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6001</v>
          </cell>
        </row>
        <row r="1131">
          <cell r="A1131">
            <v>6002</v>
          </cell>
        </row>
        <row r="1132">
          <cell r="A1132">
            <v>6003</v>
          </cell>
        </row>
        <row r="1133">
          <cell r="A1133">
            <v>6004</v>
          </cell>
        </row>
        <row r="1134">
          <cell r="A1134">
            <v>6005</v>
          </cell>
        </row>
        <row r="1135">
          <cell r="A1135">
            <v>6006</v>
          </cell>
        </row>
        <row r="1136">
          <cell r="A1136">
            <v>6007</v>
          </cell>
        </row>
        <row r="1137">
          <cell r="A1137">
            <v>6008</v>
          </cell>
        </row>
        <row r="1138">
          <cell r="A1138">
            <v>6009</v>
          </cell>
        </row>
        <row r="1139">
          <cell r="A1139">
            <v>6010</v>
          </cell>
        </row>
        <row r="1140">
          <cell r="A1140">
            <v>6011</v>
          </cell>
        </row>
        <row r="1141">
          <cell r="A1141">
            <v>6012</v>
          </cell>
        </row>
        <row r="1142">
          <cell r="A1142">
            <v>6013</v>
          </cell>
        </row>
        <row r="1143">
          <cell r="A1143">
            <v>6014</v>
          </cell>
        </row>
        <row r="1144">
          <cell r="A1144">
            <v>6015</v>
          </cell>
        </row>
        <row r="1145">
          <cell r="A1145">
            <v>6016</v>
          </cell>
        </row>
        <row r="1146">
          <cell r="A1146">
            <v>6017</v>
          </cell>
        </row>
        <row r="1147">
          <cell r="A1147">
            <v>6018</v>
          </cell>
        </row>
        <row r="1148">
          <cell r="A1148">
            <v>6019</v>
          </cell>
        </row>
        <row r="1149">
          <cell r="A1149">
            <v>6020</v>
          </cell>
        </row>
        <row r="1150">
          <cell r="A1150">
            <v>8001</v>
          </cell>
        </row>
        <row r="1151">
          <cell r="A1151">
            <v>8002</v>
          </cell>
        </row>
        <row r="1152">
          <cell r="A1152">
            <v>8003</v>
          </cell>
        </row>
        <row r="1153">
          <cell r="A1153">
            <v>8004</v>
          </cell>
        </row>
        <row r="1154">
          <cell r="A1154">
            <v>8005</v>
          </cell>
        </row>
        <row r="1155">
          <cell r="A1155">
            <v>8006</v>
          </cell>
        </row>
        <row r="1156">
          <cell r="A1156">
            <v>8007</v>
          </cell>
        </row>
        <row r="1157">
          <cell r="A1157">
            <v>8008</v>
          </cell>
        </row>
        <row r="1158">
          <cell r="A1158">
            <v>8009</v>
          </cell>
        </row>
        <row r="1159">
          <cell r="A1159">
            <v>8010</v>
          </cell>
        </row>
        <row r="1160">
          <cell r="A1160">
            <v>8011</v>
          </cell>
        </row>
        <row r="1161">
          <cell r="A1161">
            <v>8012</v>
          </cell>
        </row>
        <row r="1162">
          <cell r="A1162">
            <v>8013</v>
          </cell>
        </row>
        <row r="1163">
          <cell r="A1163">
            <v>8014</v>
          </cell>
        </row>
        <row r="1164">
          <cell r="A1164">
            <v>8015</v>
          </cell>
        </row>
        <row r="1165">
          <cell r="A1165">
            <v>8016</v>
          </cell>
        </row>
        <row r="1166">
          <cell r="A1166">
            <v>8017</v>
          </cell>
        </row>
        <row r="1167">
          <cell r="A1167">
            <v>8018</v>
          </cell>
        </row>
        <row r="1168">
          <cell r="A1168">
            <v>8019</v>
          </cell>
        </row>
        <row r="1169">
          <cell r="A1169">
            <v>8020</v>
          </cell>
        </row>
        <row r="1170">
          <cell r="A1170">
            <v>8021</v>
          </cell>
        </row>
        <row r="1171">
          <cell r="A1171">
            <v>8022</v>
          </cell>
        </row>
        <row r="1172">
          <cell r="A1172">
            <v>8023</v>
          </cell>
        </row>
        <row r="1173">
          <cell r="A1173">
            <v>8024</v>
          </cell>
        </row>
        <row r="1174">
          <cell r="A1174">
            <v>8025</v>
          </cell>
        </row>
        <row r="1175">
          <cell r="A1175">
            <v>8026</v>
          </cell>
        </row>
        <row r="1176">
          <cell r="A1176">
            <v>8027</v>
          </cell>
        </row>
        <row r="1177">
          <cell r="A1177">
            <v>8028</v>
          </cell>
        </row>
        <row r="1178">
          <cell r="A1178">
            <v>8029</v>
          </cell>
        </row>
        <row r="1179">
          <cell r="A117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C2" sqref="C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47" t="s">
        <v>128</v>
      </c>
      <c r="B1" s="42" t="s">
        <v>98</v>
      </c>
      <c r="C1" s="42" t="s">
        <v>99</v>
      </c>
      <c r="D1" s="42" t="s">
        <v>100</v>
      </c>
      <c r="E1" s="42" t="s">
        <v>101</v>
      </c>
      <c r="F1" s="42" t="s">
        <v>102</v>
      </c>
      <c r="G1" s="42" t="s">
        <v>103</v>
      </c>
      <c r="H1" s="42"/>
      <c r="I1" s="42"/>
      <c r="J1" s="42"/>
      <c r="K1" s="42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</row>
    <row r="2" spans="1:30" x14ac:dyDescent="0.15">
      <c r="A2" s="48" t="s">
        <v>264</v>
      </c>
      <c r="B2" s="44" t="s">
        <v>104</v>
      </c>
      <c r="C2" s="85">
        <v>41003</v>
      </c>
      <c r="D2" s="44" t="s">
        <v>105</v>
      </c>
      <c r="E2" s="43" t="str">
        <f>B2&amp;C2&amp;D2</f>
        <v>floors_41003.tmp</v>
      </c>
      <c r="F2" s="44" t="s">
        <v>106</v>
      </c>
      <c r="G2" s="45" t="s">
        <v>0</v>
      </c>
      <c r="H2" s="45" t="s">
        <v>1</v>
      </c>
      <c r="I2" s="45" t="s">
        <v>13</v>
      </c>
      <c r="J2" s="45" t="s">
        <v>14</v>
      </c>
      <c r="K2" s="45" t="s">
        <v>15</v>
      </c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</row>
    <row r="3" spans="1:30" x14ac:dyDescent="0.15">
      <c r="A3" s="48" t="s">
        <v>264</v>
      </c>
      <c r="B3" s="44" t="s">
        <v>107</v>
      </c>
      <c r="C3" s="49">
        <f>C$2</f>
        <v>41003</v>
      </c>
      <c r="D3" s="44" t="s">
        <v>105</v>
      </c>
      <c r="E3" s="43" t="str">
        <f>B3&amp;C3&amp;D3</f>
        <v>enemy_habitats_41003.tmp</v>
      </c>
      <c r="F3" s="44" t="s">
        <v>108</v>
      </c>
      <c r="G3" s="45" t="s">
        <v>0</v>
      </c>
      <c r="H3" s="45" t="s">
        <v>1</v>
      </c>
      <c r="I3" s="45" t="s">
        <v>13</v>
      </c>
      <c r="J3" s="45" t="s">
        <v>2</v>
      </c>
      <c r="K3" s="45" t="s">
        <v>3</v>
      </c>
      <c r="L3" s="45" t="s">
        <v>47</v>
      </c>
      <c r="M3" s="45" t="s">
        <v>49</v>
      </c>
      <c r="N3" s="45" t="s">
        <v>51</v>
      </c>
      <c r="O3" s="45" t="s">
        <v>22</v>
      </c>
      <c r="P3" s="45" t="s">
        <v>5</v>
      </c>
      <c r="Q3" s="45" t="s">
        <v>6</v>
      </c>
      <c r="R3" s="45" t="s">
        <v>7</v>
      </c>
      <c r="S3" s="45" t="s">
        <v>8</v>
      </c>
      <c r="T3" s="45" t="s">
        <v>9</v>
      </c>
      <c r="U3" s="45" t="s">
        <v>10</v>
      </c>
      <c r="V3" s="45" t="s">
        <v>11</v>
      </c>
      <c r="W3" s="45" t="s">
        <v>12</v>
      </c>
      <c r="X3" s="45" t="s">
        <v>37</v>
      </c>
      <c r="Y3" s="45" t="s">
        <v>39</v>
      </c>
      <c r="Z3" s="45" t="s">
        <v>41</v>
      </c>
      <c r="AA3" s="45" t="s">
        <v>43</v>
      </c>
      <c r="AB3" s="45" t="s">
        <v>45</v>
      </c>
      <c r="AC3" s="45" t="s">
        <v>53</v>
      </c>
      <c r="AD3" s="45" t="s">
        <v>177</v>
      </c>
    </row>
    <row r="4" spans="1:30" x14ac:dyDescent="0.15">
      <c r="A4" s="48" t="s">
        <v>264</v>
      </c>
      <c r="B4" s="44" t="s">
        <v>109</v>
      </c>
      <c r="C4" s="49">
        <f t="shared" ref="C4:C12" si="0">C$2</f>
        <v>41003</v>
      </c>
      <c r="D4" s="44" t="s">
        <v>105</v>
      </c>
      <c r="E4" s="43" t="str">
        <f>B4&amp;C4&amp;D4</f>
        <v>enemy_habitat_S_41003.tmp</v>
      </c>
      <c r="F4" s="44" t="s">
        <v>110</v>
      </c>
      <c r="G4" s="45" t="s">
        <v>0</v>
      </c>
      <c r="H4" s="45" t="s">
        <v>1</v>
      </c>
      <c r="I4" s="45" t="s">
        <v>13</v>
      </c>
      <c r="J4" s="45" t="s">
        <v>53</v>
      </c>
      <c r="K4" s="45" t="s">
        <v>54</v>
      </c>
      <c r="L4" s="45" t="s">
        <v>55</v>
      </c>
      <c r="M4" s="45" t="s">
        <v>56</v>
      </c>
      <c r="N4" s="45" t="s">
        <v>57</v>
      </c>
      <c r="O4" s="45" t="s">
        <v>58</v>
      </c>
      <c r="P4" s="45" t="s">
        <v>48</v>
      </c>
      <c r="Q4" s="45" t="s">
        <v>50</v>
      </c>
      <c r="R4" s="45" t="s">
        <v>52</v>
      </c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</row>
    <row r="5" spans="1:30" x14ac:dyDescent="0.15">
      <c r="A5" s="48" t="s">
        <v>264</v>
      </c>
      <c r="B5" s="44" t="s">
        <v>111</v>
      </c>
      <c r="C5" s="49">
        <f t="shared" si="0"/>
        <v>41003</v>
      </c>
      <c r="D5" s="44" t="s">
        <v>105</v>
      </c>
      <c r="E5" s="43" t="str">
        <f>B5&amp;C5&amp;D5</f>
        <v>enemy_skill_sets_41003.tmp</v>
      </c>
      <c r="F5" s="44" t="s">
        <v>112</v>
      </c>
      <c r="G5" s="46" t="s">
        <v>22</v>
      </c>
      <c r="H5" s="46" t="s">
        <v>97</v>
      </c>
      <c r="I5" s="46" t="s">
        <v>92</v>
      </c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</row>
    <row r="6" spans="1:30" x14ac:dyDescent="0.15">
      <c r="A6" s="48" t="s">
        <v>264</v>
      </c>
      <c r="B6" s="44" t="s">
        <v>113</v>
      </c>
      <c r="C6" s="49">
        <f t="shared" si="0"/>
        <v>41003</v>
      </c>
      <c r="D6" s="44" t="s">
        <v>114</v>
      </c>
      <c r="E6" s="43" t="str">
        <f t="shared" ref="E6:E10" si="1">B6&amp;C6&amp;D6</f>
        <v>enemy_skills_tmp_41003.tmp</v>
      </c>
      <c r="F6" s="44" t="s">
        <v>88</v>
      </c>
      <c r="G6" s="45" t="s">
        <v>78</v>
      </c>
      <c r="H6" s="45" t="s">
        <v>79</v>
      </c>
      <c r="I6" s="45" t="s">
        <v>80</v>
      </c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</row>
    <row r="7" spans="1:30" x14ac:dyDescent="0.15">
      <c r="A7" s="48" t="s">
        <v>264</v>
      </c>
      <c r="B7" s="44" t="s">
        <v>115</v>
      </c>
      <c r="C7" s="49">
        <f t="shared" si="0"/>
        <v>41003</v>
      </c>
      <c r="D7" s="44" t="s">
        <v>105</v>
      </c>
      <c r="E7" s="43" t="str">
        <f>B7&amp;C7&amp;D7</f>
        <v>enemy_skills_i18n_41003.tmp</v>
      </c>
      <c r="F7" s="44" t="s">
        <v>116</v>
      </c>
      <c r="G7" s="45" t="s">
        <v>78</v>
      </c>
      <c r="H7" s="45" t="s">
        <v>89</v>
      </c>
      <c r="I7" s="45" t="s">
        <v>90</v>
      </c>
      <c r="J7" s="45" t="s">
        <v>91</v>
      </c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</row>
    <row r="8" spans="1:30" x14ac:dyDescent="0.15">
      <c r="A8" s="48" t="s">
        <v>264</v>
      </c>
      <c r="B8" s="44" t="s">
        <v>117</v>
      </c>
      <c r="C8" s="49">
        <f t="shared" si="0"/>
        <v>41003</v>
      </c>
      <c r="D8" s="44" t="s">
        <v>118</v>
      </c>
      <c r="E8" s="43" t="str">
        <f t="shared" si="1"/>
        <v>enemy_skill_triggers_41003.tmp</v>
      </c>
      <c r="F8" s="44" t="s">
        <v>119</v>
      </c>
      <c r="G8" s="45" t="s">
        <v>92</v>
      </c>
      <c r="H8" s="45" t="s">
        <v>93</v>
      </c>
      <c r="I8" s="45" t="s">
        <v>94</v>
      </c>
      <c r="J8" s="45" t="s">
        <v>95</v>
      </c>
      <c r="K8" s="45" t="s">
        <v>120</v>
      </c>
      <c r="L8" s="45" t="s">
        <v>96</v>
      </c>
      <c r="M8" s="45" t="s">
        <v>121</v>
      </c>
      <c r="N8" s="45" t="s">
        <v>122</v>
      </c>
      <c r="O8" s="45" t="s">
        <v>123</v>
      </c>
      <c r="P8" s="45" t="s">
        <v>66</v>
      </c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</row>
    <row r="9" spans="1:30" x14ac:dyDescent="0.15">
      <c r="A9" s="48" t="s">
        <v>264</v>
      </c>
      <c r="B9" s="54" t="s">
        <v>176</v>
      </c>
      <c r="C9" s="49">
        <f t="shared" si="0"/>
        <v>41003</v>
      </c>
      <c r="D9" s="54" t="s">
        <v>170</v>
      </c>
      <c r="E9" s="55" t="str">
        <f t="shared" si="1"/>
        <v>stage_bug_bonuses_41003.tmp</v>
      </c>
      <c r="F9" s="54" t="s">
        <v>171</v>
      </c>
      <c r="G9" s="51" t="s">
        <v>148</v>
      </c>
      <c r="H9" s="51" t="s">
        <v>172</v>
      </c>
      <c r="I9" s="51" t="s">
        <v>173</v>
      </c>
      <c r="J9" s="53" t="s">
        <v>174</v>
      </c>
      <c r="K9" s="51" t="s">
        <v>175</v>
      </c>
      <c r="L9" s="51" t="s">
        <v>154</v>
      </c>
      <c r="M9" s="51" t="s">
        <v>155</v>
      </c>
      <c r="N9" s="51" t="s">
        <v>156</v>
      </c>
      <c r="O9" s="51" t="s">
        <v>157</v>
      </c>
      <c r="P9" s="51" t="s">
        <v>158</v>
      </c>
      <c r="Q9" s="51" t="s">
        <v>159</v>
      </c>
      <c r="R9" s="51" t="s">
        <v>160</v>
      </c>
      <c r="S9" s="51" t="s">
        <v>161</v>
      </c>
      <c r="T9" s="51" t="s">
        <v>162</v>
      </c>
      <c r="U9" s="51" t="s">
        <v>163</v>
      </c>
      <c r="V9" s="51" t="s">
        <v>164</v>
      </c>
      <c r="W9" s="51" t="s">
        <v>165</v>
      </c>
    </row>
    <row r="10" spans="1:30" s="62" customFormat="1" x14ac:dyDescent="0.15">
      <c r="A10" s="48" t="s">
        <v>264</v>
      </c>
      <c r="B10" s="54" t="s">
        <v>200</v>
      </c>
      <c r="C10" s="49">
        <f>C$2</f>
        <v>41003</v>
      </c>
      <c r="D10" s="54" t="s">
        <v>179</v>
      </c>
      <c r="E10" s="55" t="str">
        <f t="shared" si="1"/>
        <v>stage_hints_data_c_41003.tmp</v>
      </c>
      <c r="F10" s="54" t="s">
        <v>208</v>
      </c>
      <c r="G10" s="59" t="s">
        <v>180</v>
      </c>
      <c r="H10" s="59" t="s">
        <v>172</v>
      </c>
      <c r="I10" s="60" t="s">
        <v>181</v>
      </c>
      <c r="J10" s="53" t="s">
        <v>182</v>
      </c>
      <c r="K10" s="61" t="s">
        <v>183</v>
      </c>
    </row>
    <row r="11" spans="1:30" s="62" customFormat="1" x14ac:dyDescent="0.15">
      <c r="A11" s="48" t="s">
        <v>264</v>
      </c>
      <c r="B11" s="54" t="s">
        <v>201</v>
      </c>
      <c r="C11" s="49">
        <f t="shared" si="0"/>
        <v>41003</v>
      </c>
      <c r="D11" s="54" t="s">
        <v>170</v>
      </c>
      <c r="E11" s="55" t="str">
        <f t="shared" ref="E11:E12" si="2">B11&amp;C11&amp;D11</f>
        <v>stage_hints_data_f_41003.tmp</v>
      </c>
      <c r="F11" s="54" t="s">
        <v>210</v>
      </c>
      <c r="G11" s="59" t="s">
        <v>180</v>
      </c>
      <c r="H11" s="59" t="s">
        <v>172</v>
      </c>
      <c r="I11" s="60" t="s">
        <v>181</v>
      </c>
      <c r="J11" s="53" t="s">
        <v>182</v>
      </c>
      <c r="K11" s="61" t="s">
        <v>183</v>
      </c>
    </row>
    <row r="12" spans="1:30" s="62" customFormat="1" x14ac:dyDescent="0.15">
      <c r="A12" s="48" t="s">
        <v>264</v>
      </c>
      <c r="B12" s="54" t="s">
        <v>202</v>
      </c>
      <c r="C12" s="49">
        <f t="shared" si="0"/>
        <v>41003</v>
      </c>
      <c r="D12" s="54" t="s">
        <v>170</v>
      </c>
      <c r="E12" s="55" t="str">
        <f t="shared" si="2"/>
        <v>stage_hints_i18n_41003.tmp</v>
      </c>
      <c r="F12" s="54" t="s">
        <v>211</v>
      </c>
      <c r="G12" s="60" t="s">
        <v>203</v>
      </c>
      <c r="H12" s="82" t="s">
        <v>204</v>
      </c>
      <c r="I12" s="59" t="s">
        <v>205</v>
      </c>
      <c r="J12" s="83" t="s">
        <v>206</v>
      </c>
      <c r="K12" s="61" t="s">
        <v>207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topLeftCell="E1" zoomScale="125" zoomScaleNormal="125" zoomScalePageLayoutView="125" workbookViewId="0">
      <pane ySplit="1" topLeftCell="A2" activePane="bottomLeft" state="frozen"/>
      <selection activeCell="V2" sqref="V2:X34"/>
      <selection pane="bottomLeft" activeCell="K16" sqref="K16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1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41003_1-1</v>
      </c>
      <c r="B2" s="15" t="str">
        <f>IF(COUNTIF(enemy_habitats!$H:$H,A2),"OK","NG")</f>
        <v>OK</v>
      </c>
      <c r="C2" s="7">
        <v>41003</v>
      </c>
      <c r="D2" s="10" t="str">
        <f ca="1">VLOOKUP($C2,OFFSET([2]quests!$A$1,0,0,COUNTA([2]quests!$A:$A),MATCH(D$1,[2]quests!$1:$1,0)-MATCH($C$1,[2]quests!$1:$1,0)+1),MATCH(D$1,[2]quests!$1:$1,0)-MATCH($C$1,[2]quests!$1:$1,0)+1,FALSE)</f>
        <v>ジャンヌ襲来！</v>
      </c>
      <c r="E2" s="17" t="str">
        <f ca="1">VLOOKUP($C2,OFFSET([2]quests!$A$1,0,0,COUNTA([2]quests!$A:$A),MATCH(E$1,[2]quests!$1:$1,0)-MATCH($C$1,[2]quests!$1:$1,0)+1),MATCH(E$1,[2]quests!$1:$1,0)-MATCH($C$1,[2]quests!$1:$1,0)+1,FALSE)</f>
        <v>降臨1</v>
      </c>
      <c r="F2" s="19">
        <v>1</v>
      </c>
      <c r="G2" s="21" t="str">
        <f>C2&amp;"_"&amp;F2</f>
        <v>41003_1</v>
      </c>
      <c r="H2" s="14" t="str">
        <f ca="1">VLOOKUP($G2,OFFSET([2]stages!$A$1,0,0,COUNTA([2]stages!$A:$A),MATCH(H$1,[2]stages!$2:$2,0)-MATCH($G$1,[2]stages!$2:$2,0)+1),MATCH(H$1,[2]stages!$2:$2,0)-MATCH($G$1,[2]stages!$2:$2,0)+1,FALSE)</f>
        <v>【超絶級】ジャンヌ襲来</v>
      </c>
      <c r="I2" s="19">
        <v>1</v>
      </c>
      <c r="J2" s="11">
        <v>60</v>
      </c>
      <c r="K2" s="11">
        <v>60</v>
      </c>
    </row>
    <row r="3" spans="1:11" ht="21" customHeight="1" x14ac:dyDescent="0.15">
      <c r="A3" s="15" t="str">
        <f t="shared" ref="A3:A5" si="0">G3&amp;"-"&amp;I3</f>
        <v>41003_1-2</v>
      </c>
      <c r="B3" s="15" t="str">
        <f>IF(COUNTIF(enemy_habitats!$H:$H,A3),"OK","NG")</f>
        <v>OK</v>
      </c>
      <c r="C3" s="7">
        <v>41003</v>
      </c>
      <c r="D3" s="10" t="str">
        <f ca="1">VLOOKUP($C3,OFFSET([2]quests!$A$1,0,0,COUNTA([2]quests!$A:$A),MATCH(D$1,[2]quests!$1:$1,0)-MATCH($C$1,[2]quests!$1:$1,0)+1),MATCH(D$1,[2]quests!$1:$1,0)-MATCH($C$1,[2]quests!$1:$1,0)+1,FALSE)</f>
        <v>ジャンヌ襲来！</v>
      </c>
      <c r="E3" s="17" t="str">
        <f ca="1">VLOOKUP($C3,OFFSET([2]quests!$A$1,0,0,COUNTA([2]quests!$A:$A),MATCH(E$1,[2]quests!$1:$1,0)-MATCH($C$1,[2]quests!$1:$1,0)+1),MATCH(E$1,[2]quests!$1:$1,0)-MATCH($C$1,[2]quests!$1:$1,0)+1,FALSE)</f>
        <v>降臨1</v>
      </c>
      <c r="F3" s="19">
        <v>1</v>
      </c>
      <c r="G3" s="21" t="str">
        <f t="shared" ref="G3:G5" si="1">C3&amp;"_"&amp;F3</f>
        <v>41003_1</v>
      </c>
      <c r="H3" s="14" t="str">
        <f ca="1">VLOOKUP($G3,OFFSET([2]stages!$A$1,0,0,COUNTA([2]stages!$A:$A),MATCH(H$1,[2]stages!$2:$2,0)-MATCH($G$1,[2]stages!$2:$2,0)+1),MATCH(H$1,[2]stages!$2:$2,0)-MATCH($G$1,[2]stages!$2:$2,0)+1,FALSE)</f>
        <v>【超絶級】ジャンヌ襲来</v>
      </c>
      <c r="I3" s="19">
        <v>2</v>
      </c>
      <c r="J3" s="11">
        <v>60</v>
      </c>
      <c r="K3" s="11">
        <v>60</v>
      </c>
    </row>
    <row r="4" spans="1:11" ht="21" customHeight="1" x14ac:dyDescent="0.15">
      <c r="A4" s="15" t="str">
        <f t="shared" si="0"/>
        <v>41003_1-3</v>
      </c>
      <c r="B4" s="15" t="str">
        <f>IF(COUNTIF(enemy_habitats!$H:$H,A4),"OK","NG")</f>
        <v>OK</v>
      </c>
      <c r="C4" s="7">
        <v>41003</v>
      </c>
      <c r="D4" s="10" t="str">
        <f ca="1">VLOOKUP($C4,OFFSET([2]quests!$A$1,0,0,COUNTA([2]quests!$A:$A),MATCH(D$1,[2]quests!$1:$1,0)-MATCH($C$1,[2]quests!$1:$1,0)+1),MATCH(D$1,[2]quests!$1:$1,0)-MATCH($C$1,[2]quests!$1:$1,0)+1,FALSE)</f>
        <v>ジャンヌ襲来！</v>
      </c>
      <c r="E4" s="17" t="str">
        <f ca="1">VLOOKUP($C4,OFFSET([2]quests!$A$1,0,0,COUNTA([2]quests!$A:$A),MATCH(E$1,[2]quests!$1:$1,0)-MATCH($C$1,[2]quests!$1:$1,0)+1),MATCH(E$1,[2]quests!$1:$1,0)-MATCH($C$1,[2]quests!$1:$1,0)+1,FALSE)</f>
        <v>降臨1</v>
      </c>
      <c r="F4" s="19">
        <v>1</v>
      </c>
      <c r="G4" s="21" t="str">
        <f t="shared" si="1"/>
        <v>41003_1</v>
      </c>
      <c r="H4" s="14" t="str">
        <f ca="1">VLOOKUP($G4,OFFSET([2]stages!$A$1,0,0,COUNTA([2]stages!$A:$A),MATCH(H$1,[2]stages!$2:$2,0)-MATCH($G$1,[2]stages!$2:$2,0)+1),MATCH(H$1,[2]stages!$2:$2,0)-MATCH($G$1,[2]stages!$2:$2,0)+1,FALSE)</f>
        <v>【超絶級】ジャンヌ襲来</v>
      </c>
      <c r="I4" s="19">
        <v>3</v>
      </c>
      <c r="J4" s="11">
        <v>60</v>
      </c>
      <c r="K4" s="11">
        <v>60</v>
      </c>
    </row>
    <row r="5" spans="1:11" ht="21" customHeight="1" thickBot="1" x14ac:dyDescent="0.2">
      <c r="A5" s="15" t="str">
        <f t="shared" si="0"/>
        <v>41003_1-4</v>
      </c>
      <c r="B5" s="15" t="str">
        <f>IF(COUNTIF(enemy_habitats!$H:$H,A5),"OK","NG")</f>
        <v>OK</v>
      </c>
      <c r="C5" s="158">
        <v>41003</v>
      </c>
      <c r="D5" s="181" t="str">
        <f ca="1">VLOOKUP($C5,OFFSET([2]quests!$A$1,0,0,COUNTA([2]quests!$A:$A),MATCH(D$1,[2]quests!$1:$1,0)-MATCH($C$1,[2]quests!$1:$1,0)+1),MATCH(D$1,[2]quests!$1:$1,0)-MATCH($C$1,[2]quests!$1:$1,0)+1,FALSE)</f>
        <v>ジャンヌ襲来！</v>
      </c>
      <c r="E5" s="181" t="str">
        <f ca="1">VLOOKUP($C5,OFFSET([2]quests!$A$1,0,0,COUNTA([2]quests!$A:$A),MATCH(E$1,[2]quests!$1:$1,0)-MATCH($C$1,[2]quests!$1:$1,0)+1),MATCH(E$1,[2]quests!$1:$1,0)-MATCH($C$1,[2]quests!$1:$1,0)+1,FALSE)</f>
        <v>降臨1</v>
      </c>
      <c r="F5" s="147">
        <v>1</v>
      </c>
      <c r="G5" s="182" t="str">
        <f t="shared" si="1"/>
        <v>41003_1</v>
      </c>
      <c r="H5" s="148" t="str">
        <f ca="1">VLOOKUP($G5,OFFSET([2]stages!$A$1,0,0,COUNTA([2]stages!$A:$A),MATCH(H$1,[2]stages!$2:$2,0)-MATCH($G$1,[2]stages!$2:$2,0)+1),MATCH(H$1,[2]stages!$2:$2,0)-MATCH($G$1,[2]stages!$2:$2,0)+1,FALSE)</f>
        <v>【超絶級】ジャンヌ襲来</v>
      </c>
      <c r="I5" s="147">
        <v>4</v>
      </c>
      <c r="J5" s="150">
        <v>60</v>
      </c>
      <c r="K5" s="150">
        <v>60</v>
      </c>
    </row>
    <row r="6" spans="1:11" ht="21" customHeight="1" x14ac:dyDescent="0.15">
      <c r="A6" s="95" t="str">
        <f>G6&amp;"-"&amp;I6</f>
        <v>41003_2-1</v>
      </c>
      <c r="B6" s="185" t="str">
        <f>IF(COUNTIF(enemy_habitats!$H:$H,A6),"OK","NG")</f>
        <v>OK</v>
      </c>
      <c r="C6" s="106">
        <v>41003</v>
      </c>
      <c r="D6" s="186" t="str">
        <f ca="1">VLOOKUP($C6,OFFSET([2]quests!$A$1,0,0,COUNTA([2]quests!$A:$A),MATCH(D$1,[2]quests!$1:$1,0)-MATCH($C$1,[2]quests!$1:$1,0)+1),MATCH(D$1,[2]quests!$1:$1,0)-MATCH($C$1,[2]quests!$1:$1,0)+1,FALSE)</f>
        <v>ジャンヌ襲来！</v>
      </c>
      <c r="E6" s="186" t="str">
        <f ca="1">VLOOKUP($C6,OFFSET([2]quests!$A$1,0,0,COUNTA([2]quests!$A:$A),MATCH(E$1,[2]quests!$1:$1,0)-MATCH($C$1,[2]quests!$1:$1,0)+1),MATCH(E$1,[2]quests!$1:$1,0)-MATCH($C$1,[2]quests!$1:$1,0)+1,FALSE)</f>
        <v>降臨1</v>
      </c>
      <c r="F6" s="96">
        <v>2</v>
      </c>
      <c r="G6" s="187" t="str">
        <f>C6&amp;"_"&amp;F6</f>
        <v>41003_2</v>
      </c>
      <c r="H6" s="97" t="str">
        <f ca="1">VLOOKUP($G6,OFFSET([2]stages!$A$1,0,0,COUNTA([2]stages!$A:$A),MATCH(H$1,[2]stages!$2:$2,0)-MATCH($G$1,[2]stages!$2:$2,0)+1),MATCH(H$1,[2]stages!$2:$2,0)-MATCH($G$1,[2]stages!$2:$2,0)+1,FALSE)</f>
        <v>【ウィザード級】ジャンヌ襲来</v>
      </c>
      <c r="I6" s="96">
        <v>1</v>
      </c>
      <c r="J6" s="99">
        <v>60</v>
      </c>
      <c r="K6" s="188">
        <v>60</v>
      </c>
    </row>
    <row r="7" spans="1:11" ht="21" customHeight="1" x14ac:dyDescent="0.15">
      <c r="A7" s="109" t="str">
        <f t="shared" ref="A7:A9" si="2">G7&amp;"-"&amp;I7</f>
        <v>41003_2-2</v>
      </c>
      <c r="B7" s="189" t="str">
        <f>IF(COUNTIF(enemy_habitats!$H:$H,A7),"OK","NG")</f>
        <v>OK</v>
      </c>
      <c r="C7" s="112">
        <v>41003</v>
      </c>
      <c r="D7" s="17" t="str">
        <f ca="1">VLOOKUP($C7,OFFSET([2]quests!$A$1,0,0,COUNTA([2]quests!$A:$A),MATCH(D$1,[2]quests!$1:$1,0)-MATCH($C$1,[2]quests!$1:$1,0)+1),MATCH(D$1,[2]quests!$1:$1,0)-MATCH($C$1,[2]quests!$1:$1,0)+1,FALSE)</f>
        <v>ジャンヌ襲来！</v>
      </c>
      <c r="E7" s="17" t="str">
        <f ca="1">VLOOKUP($C7,OFFSET([2]quests!$A$1,0,0,COUNTA([2]quests!$A:$A),MATCH(E$1,[2]quests!$1:$1,0)-MATCH($C$1,[2]quests!$1:$1,0)+1),MATCH(E$1,[2]quests!$1:$1,0)-MATCH($C$1,[2]quests!$1:$1,0)+1,FALSE)</f>
        <v>降臨1</v>
      </c>
      <c r="F7" s="110">
        <v>2</v>
      </c>
      <c r="G7" s="21" t="str">
        <f t="shared" ref="G7:G9" si="3">C7&amp;"_"&amp;F7</f>
        <v>41003_2</v>
      </c>
      <c r="H7" s="14" t="str">
        <f ca="1">VLOOKUP($G7,OFFSET([2]stages!$A$1,0,0,COUNTA([2]stages!$A:$A),MATCH(H$1,[2]stages!$2:$2,0)-MATCH($G$1,[2]stages!$2:$2,0)+1),MATCH(H$1,[2]stages!$2:$2,0)-MATCH($G$1,[2]stages!$2:$2,0)+1,FALSE)</f>
        <v>【ウィザード級】ジャンヌ襲来</v>
      </c>
      <c r="I7" s="110">
        <v>2</v>
      </c>
      <c r="J7" s="26">
        <v>60</v>
      </c>
      <c r="K7" s="190">
        <v>60</v>
      </c>
    </row>
    <row r="8" spans="1:11" ht="21" customHeight="1" x14ac:dyDescent="0.15">
      <c r="A8" s="109" t="str">
        <f t="shared" si="2"/>
        <v>41003_2-3</v>
      </c>
      <c r="B8" s="189" t="str">
        <f>IF(COUNTIF(enemy_habitats!$H:$H,A8),"OK","NG")</f>
        <v>OK</v>
      </c>
      <c r="C8" s="112">
        <v>41003</v>
      </c>
      <c r="D8" s="17" t="str">
        <f ca="1">VLOOKUP($C8,OFFSET([2]quests!$A$1,0,0,COUNTA([2]quests!$A:$A),MATCH(D$1,[2]quests!$1:$1,0)-MATCH($C$1,[2]quests!$1:$1,0)+1),MATCH(D$1,[2]quests!$1:$1,0)-MATCH($C$1,[2]quests!$1:$1,0)+1,FALSE)</f>
        <v>ジャンヌ襲来！</v>
      </c>
      <c r="E8" s="17" t="str">
        <f ca="1">VLOOKUP($C8,OFFSET([2]quests!$A$1,0,0,COUNTA([2]quests!$A:$A),MATCH(E$1,[2]quests!$1:$1,0)-MATCH($C$1,[2]quests!$1:$1,0)+1),MATCH(E$1,[2]quests!$1:$1,0)-MATCH($C$1,[2]quests!$1:$1,0)+1,FALSE)</f>
        <v>降臨1</v>
      </c>
      <c r="F8" s="110">
        <v>2</v>
      </c>
      <c r="G8" s="21" t="str">
        <f t="shared" si="3"/>
        <v>41003_2</v>
      </c>
      <c r="H8" s="14" t="str">
        <f ca="1">VLOOKUP($G8,OFFSET([2]stages!$A$1,0,0,COUNTA([2]stages!$A:$A),MATCH(H$1,[2]stages!$2:$2,0)-MATCH($G$1,[2]stages!$2:$2,0)+1),MATCH(H$1,[2]stages!$2:$2,0)-MATCH($G$1,[2]stages!$2:$2,0)+1,FALSE)</f>
        <v>【ウィザード級】ジャンヌ襲来</v>
      </c>
      <c r="I8" s="110">
        <v>3</v>
      </c>
      <c r="J8" s="26">
        <v>60</v>
      </c>
      <c r="K8" s="190">
        <v>60</v>
      </c>
    </row>
    <row r="9" spans="1:11" ht="21" customHeight="1" thickBot="1" x14ac:dyDescent="0.2">
      <c r="A9" s="114" t="str">
        <f t="shared" si="2"/>
        <v>41003_2-4</v>
      </c>
      <c r="B9" s="191" t="str">
        <f>IF(COUNTIF(enemy_habitats!$H:$H,A9),"OK","NG")</f>
        <v>OK</v>
      </c>
      <c r="C9" s="124">
        <v>41003</v>
      </c>
      <c r="D9" s="192" t="str">
        <f ca="1">VLOOKUP($C9,OFFSET([2]quests!$A$1,0,0,COUNTA([2]quests!$A:$A),MATCH(D$1,[2]quests!$1:$1,0)-MATCH($C$1,[2]quests!$1:$1,0)+1),MATCH(D$1,[2]quests!$1:$1,0)-MATCH($C$1,[2]quests!$1:$1,0)+1,FALSE)</f>
        <v>ジャンヌ襲来！</v>
      </c>
      <c r="E9" s="192" t="str">
        <f ca="1">VLOOKUP($C9,OFFSET([2]quests!$A$1,0,0,COUNTA([2]quests!$A:$A),MATCH(E$1,[2]quests!$1:$1,0)-MATCH($C$1,[2]quests!$1:$1,0)+1),MATCH(E$1,[2]quests!$1:$1,0)-MATCH($C$1,[2]quests!$1:$1,0)+1,FALSE)</f>
        <v>降臨1</v>
      </c>
      <c r="F9" s="115">
        <v>2</v>
      </c>
      <c r="G9" s="193" t="str">
        <f t="shared" si="3"/>
        <v>41003_2</v>
      </c>
      <c r="H9" s="116" t="str">
        <f ca="1">VLOOKUP($G9,OFFSET([2]stages!$A$1,0,0,COUNTA([2]stages!$A:$A),MATCH(H$1,[2]stages!$2:$2,0)-MATCH($G$1,[2]stages!$2:$2,0)+1),MATCH(H$1,[2]stages!$2:$2,0)-MATCH($G$1,[2]stages!$2:$2,0)+1,FALSE)</f>
        <v>【ウィザード級】ジャンヌ襲来</v>
      </c>
      <c r="I9" s="115">
        <v>4</v>
      </c>
      <c r="J9" s="118">
        <v>60</v>
      </c>
      <c r="K9" s="194">
        <v>60</v>
      </c>
    </row>
    <row r="10" spans="1:11" ht="21" customHeight="1" x14ac:dyDescent="0.15">
      <c r="A10" s="15" t="str">
        <f>G10&amp;"-"&amp;I10</f>
        <v>41003_3-1</v>
      </c>
      <c r="B10" s="15" t="str">
        <f>IF(COUNTIF(enemy_habitats!$H:$H,A10),"OK","NG")</f>
        <v>OK</v>
      </c>
      <c r="C10" s="164">
        <v>41003</v>
      </c>
      <c r="D10" s="183" t="str">
        <f ca="1">VLOOKUP($C10,OFFSET([2]quests!$A$1,0,0,COUNTA([2]quests!$A:$A),MATCH(D$1,[2]quests!$1:$1,0)-MATCH($C$1,[2]quests!$1:$1,0)+1),MATCH(D$1,[2]quests!$1:$1,0)-MATCH($C$1,[2]quests!$1:$1,0)+1,FALSE)</f>
        <v>ジャンヌ襲来！</v>
      </c>
      <c r="E10" s="183" t="str">
        <f ca="1">VLOOKUP($C10,OFFSET([2]quests!$A$1,0,0,COUNTA([2]quests!$A:$A),MATCH(E$1,[2]quests!$1:$1,0)-MATCH($C$1,[2]quests!$1:$1,0)+1),MATCH(E$1,[2]quests!$1:$1,0)-MATCH($C$1,[2]quests!$1:$1,0)+1,FALSE)</f>
        <v>降臨1</v>
      </c>
      <c r="F10" s="161">
        <v>3</v>
      </c>
      <c r="G10" s="184" t="str">
        <f>C10&amp;"_"&amp;F10</f>
        <v>41003_3</v>
      </c>
      <c r="H10" s="162" t="str">
        <f ca="1">VLOOKUP($G10,OFFSET([2]stages!$A$1,0,0,COUNTA([2]stages!$A:$A),MATCH(H$1,[2]stages!$2:$2,0)-MATCH($G$1,[2]stages!$2:$2,0)+1),MATCH(H$1,[2]stages!$2:$2,0)-MATCH($G$1,[2]stages!$2:$2,0)+1,FALSE)</f>
        <v>【ノーコンテニュー】ジャンヌ襲来</v>
      </c>
      <c r="I10" s="161">
        <v>1</v>
      </c>
      <c r="J10" s="163">
        <v>60</v>
      </c>
      <c r="K10" s="163">
        <v>60</v>
      </c>
    </row>
    <row r="11" spans="1:11" ht="21" customHeight="1" x14ac:dyDescent="0.15">
      <c r="A11" s="15" t="str">
        <f t="shared" ref="A11:A13" si="4">G11&amp;"-"&amp;I11</f>
        <v>41003_3-2</v>
      </c>
      <c r="B11" s="15" t="str">
        <f>IF(COUNTIF(enemy_habitats!$H:$H,A11),"OK","NG")</f>
        <v>OK</v>
      </c>
      <c r="C11" s="7">
        <v>41003</v>
      </c>
      <c r="D11" s="10" t="str">
        <f ca="1">VLOOKUP($C11,OFFSET([2]quests!$A$1,0,0,COUNTA([2]quests!$A:$A),MATCH(D$1,[2]quests!$1:$1,0)-MATCH($C$1,[2]quests!$1:$1,0)+1),MATCH(D$1,[2]quests!$1:$1,0)-MATCH($C$1,[2]quests!$1:$1,0)+1,FALSE)</f>
        <v>ジャンヌ襲来！</v>
      </c>
      <c r="E11" s="17" t="str">
        <f ca="1">VLOOKUP($C11,OFFSET([2]quests!$A$1,0,0,COUNTA([2]quests!$A:$A),MATCH(E$1,[2]quests!$1:$1,0)-MATCH($C$1,[2]quests!$1:$1,0)+1),MATCH(E$1,[2]quests!$1:$1,0)-MATCH($C$1,[2]quests!$1:$1,0)+1,FALSE)</f>
        <v>降臨1</v>
      </c>
      <c r="F11" s="19">
        <v>3</v>
      </c>
      <c r="G11" s="21" t="str">
        <f t="shared" ref="G11:G13" si="5">C11&amp;"_"&amp;F11</f>
        <v>41003_3</v>
      </c>
      <c r="H11" s="14" t="str">
        <f ca="1">VLOOKUP($G11,OFFSET([2]stages!$A$1,0,0,COUNTA([2]stages!$A:$A),MATCH(H$1,[2]stages!$2:$2,0)-MATCH($G$1,[2]stages!$2:$2,0)+1),MATCH(H$1,[2]stages!$2:$2,0)-MATCH($G$1,[2]stages!$2:$2,0)+1,FALSE)</f>
        <v>【ノーコンテニュー】ジャンヌ襲来</v>
      </c>
      <c r="I11" s="19">
        <v>2</v>
      </c>
      <c r="J11" s="11">
        <v>60</v>
      </c>
      <c r="K11" s="11">
        <v>60</v>
      </c>
    </row>
    <row r="12" spans="1:11" ht="21" customHeight="1" x14ac:dyDescent="0.15">
      <c r="A12" s="15" t="str">
        <f t="shared" si="4"/>
        <v>41003_3-3</v>
      </c>
      <c r="B12" s="15" t="str">
        <f>IF(COUNTIF(enemy_habitats!$H:$H,A12),"OK","NG")</f>
        <v>OK</v>
      </c>
      <c r="C12" s="7">
        <v>41003</v>
      </c>
      <c r="D12" s="10" t="str">
        <f ca="1">VLOOKUP($C12,OFFSET([2]quests!$A$1,0,0,COUNTA([2]quests!$A:$A),MATCH(D$1,[2]quests!$1:$1,0)-MATCH($C$1,[2]quests!$1:$1,0)+1),MATCH(D$1,[2]quests!$1:$1,0)-MATCH($C$1,[2]quests!$1:$1,0)+1,FALSE)</f>
        <v>ジャンヌ襲来！</v>
      </c>
      <c r="E12" s="17" t="str">
        <f ca="1">VLOOKUP($C12,OFFSET([2]quests!$A$1,0,0,COUNTA([2]quests!$A:$A),MATCH(E$1,[2]quests!$1:$1,0)-MATCH($C$1,[2]quests!$1:$1,0)+1),MATCH(E$1,[2]quests!$1:$1,0)-MATCH($C$1,[2]quests!$1:$1,0)+1,FALSE)</f>
        <v>降臨1</v>
      </c>
      <c r="F12" s="19">
        <v>3</v>
      </c>
      <c r="G12" s="21" t="str">
        <f t="shared" si="5"/>
        <v>41003_3</v>
      </c>
      <c r="H12" s="14" t="str">
        <f ca="1">VLOOKUP($G12,OFFSET([2]stages!$A$1,0,0,COUNTA([2]stages!$A:$A),MATCH(H$1,[2]stages!$2:$2,0)-MATCH($G$1,[2]stages!$2:$2,0)+1),MATCH(H$1,[2]stages!$2:$2,0)-MATCH($G$1,[2]stages!$2:$2,0)+1,FALSE)</f>
        <v>【ノーコンテニュー】ジャンヌ襲来</v>
      </c>
      <c r="I12" s="19">
        <v>3</v>
      </c>
      <c r="J12" s="11">
        <v>60</v>
      </c>
      <c r="K12" s="11">
        <v>60</v>
      </c>
    </row>
    <row r="13" spans="1:11" ht="21" customHeight="1" x14ac:dyDescent="0.15">
      <c r="A13" s="15" t="str">
        <f t="shared" si="4"/>
        <v>41003_3-4</v>
      </c>
      <c r="B13" s="15" t="str">
        <f>IF(COUNTIF(enemy_habitats!$H:$H,A13),"OK","NG")</f>
        <v>OK</v>
      </c>
      <c r="C13" s="7">
        <v>41003</v>
      </c>
      <c r="D13" s="10" t="str">
        <f ca="1">VLOOKUP($C13,OFFSET([2]quests!$A$1,0,0,COUNTA([2]quests!$A:$A),MATCH(D$1,[2]quests!$1:$1,0)-MATCH($C$1,[2]quests!$1:$1,0)+1),MATCH(D$1,[2]quests!$1:$1,0)-MATCH($C$1,[2]quests!$1:$1,0)+1,FALSE)</f>
        <v>ジャンヌ襲来！</v>
      </c>
      <c r="E13" s="17" t="str">
        <f ca="1">VLOOKUP($C13,OFFSET([2]quests!$A$1,0,0,COUNTA([2]quests!$A:$A),MATCH(E$1,[2]quests!$1:$1,0)-MATCH($C$1,[2]quests!$1:$1,0)+1),MATCH(E$1,[2]quests!$1:$1,0)-MATCH($C$1,[2]quests!$1:$1,0)+1,FALSE)</f>
        <v>降臨1</v>
      </c>
      <c r="F13" s="19">
        <v>3</v>
      </c>
      <c r="G13" s="21" t="str">
        <f t="shared" si="5"/>
        <v>41003_3</v>
      </c>
      <c r="H13" s="14" t="str">
        <f ca="1">VLOOKUP($G13,OFFSET([2]stages!$A$1,0,0,COUNTA([2]stages!$A:$A),MATCH(H$1,[2]stages!$2:$2,0)-MATCH($G$1,[2]stages!$2:$2,0)+1),MATCH(H$1,[2]stages!$2:$2,0)-MATCH($G$1,[2]stages!$2:$2,0)+1,FALSE)</f>
        <v>【ノーコンテニュー】ジャンヌ襲来</v>
      </c>
      <c r="I13" s="19">
        <v>4</v>
      </c>
      <c r="J13" s="11">
        <v>60</v>
      </c>
      <c r="K13" s="11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25"/>
  <sheetViews>
    <sheetView showGridLines="0" workbookViewId="0">
      <pane xSplit="17" ySplit="1" topLeftCell="AF8" activePane="bottomRight" state="frozen"/>
      <selection pane="topRight" activeCell="N1" sqref="N1"/>
      <selection pane="bottomLeft" activeCell="A2" sqref="A2"/>
      <selection pane="bottomRight" activeCell="R13" sqref="R13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8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2" bestFit="1" customWidth="1" outlineLevel="1"/>
    <col min="30" max="30" width="8" style="13" bestFit="1" customWidth="1" outlineLevel="1"/>
    <col min="31" max="31" width="12" style="13" bestFit="1" customWidth="1" outlineLevel="1"/>
    <col min="32" max="32" width="15" style="9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25" customFormat="1" ht="21" customHeight="1" thickBot="1" x14ac:dyDescent="0.2">
      <c r="A1" s="23" t="s">
        <v>29</v>
      </c>
      <c r="B1" s="24" t="s">
        <v>0</v>
      </c>
      <c r="C1" s="24" t="s">
        <v>1</v>
      </c>
      <c r="D1" s="90" t="s">
        <v>28</v>
      </c>
      <c r="E1" s="90" t="s">
        <v>20</v>
      </c>
      <c r="F1" s="90" t="s">
        <v>20</v>
      </c>
      <c r="G1" s="24" t="s">
        <v>19</v>
      </c>
      <c r="H1" s="90" t="s">
        <v>35</v>
      </c>
      <c r="I1" s="90" t="s">
        <v>14</v>
      </c>
      <c r="J1" s="90" t="s">
        <v>15</v>
      </c>
      <c r="K1" s="91" t="s">
        <v>53</v>
      </c>
      <c r="L1" s="91" t="s">
        <v>2</v>
      </c>
      <c r="M1" s="92" t="s">
        <v>21</v>
      </c>
      <c r="N1" s="90" t="s">
        <v>24</v>
      </c>
      <c r="O1" s="90" t="s">
        <v>23</v>
      </c>
      <c r="P1" s="93" t="s">
        <v>26</v>
      </c>
      <c r="Q1" s="90" t="s">
        <v>25</v>
      </c>
      <c r="R1" s="24" t="s">
        <v>3</v>
      </c>
      <c r="S1" s="24" t="s">
        <v>48</v>
      </c>
      <c r="T1" s="24" t="s">
        <v>50</v>
      </c>
      <c r="U1" s="24" t="s">
        <v>52</v>
      </c>
      <c r="V1" s="90" t="s">
        <v>31</v>
      </c>
      <c r="W1" s="24" t="s">
        <v>4</v>
      </c>
      <c r="X1" s="24" t="s">
        <v>5</v>
      </c>
      <c r="Y1" s="24" t="s">
        <v>6</v>
      </c>
      <c r="Z1" s="24" t="s">
        <v>7</v>
      </c>
      <c r="AA1" s="24" t="s">
        <v>8</v>
      </c>
      <c r="AB1" s="24" t="s">
        <v>9</v>
      </c>
      <c r="AC1" s="94" t="s">
        <v>16</v>
      </c>
      <c r="AD1" s="94" t="s">
        <v>17</v>
      </c>
      <c r="AE1" s="94" t="s">
        <v>27</v>
      </c>
      <c r="AF1" s="24" t="s">
        <v>10</v>
      </c>
      <c r="AG1" s="24" t="s">
        <v>11</v>
      </c>
      <c r="AH1" s="24" t="s">
        <v>12</v>
      </c>
      <c r="AI1" s="24" t="s">
        <v>38</v>
      </c>
      <c r="AJ1" s="24" t="s">
        <v>40</v>
      </c>
      <c r="AK1" s="24" t="s">
        <v>42</v>
      </c>
      <c r="AL1" s="24" t="s">
        <v>44</v>
      </c>
      <c r="AM1" s="24" t="s">
        <v>46</v>
      </c>
      <c r="AN1" s="91" t="s">
        <v>178</v>
      </c>
    </row>
    <row r="2" spans="1:40" s="108" customFormat="1" ht="21" customHeight="1" x14ac:dyDescent="0.15">
      <c r="A2" s="95" t="str">
        <f>B2&amp;"_"&amp;C2&amp;"-"&amp;G2&amp;"/"&amp;L2&amp;"&lt;lv"&amp;R2&amp;"&gt;s"&amp;AA2</f>
        <v>41003_1-1/155&lt;lv60&gt;s2</v>
      </c>
      <c r="B2" s="129">
        <v>41003</v>
      </c>
      <c r="C2" s="96">
        <v>1</v>
      </c>
      <c r="D2" s="97" t="str">
        <f>B2&amp;"_"&amp;C2</f>
        <v>41003_1</v>
      </c>
      <c r="E2" s="98" t="str">
        <f ca="1">VLOOKUP($B2,OFFSET([2]quests!$A$1,0,0,COUNTA([2]quests!$A:$A),MATCH(E$1,[2]quests!$1:$1,0)-MATCH($B$1,[2]quests!$1:$1,0)+1),MATCH(E$1,[2]quests!$1:$1,0)-MATCH($B$1,[2]quests!$1:$1,0)+1,FALSE)</f>
        <v>ジャンヌ襲来！</v>
      </c>
      <c r="F2" s="98" t="str">
        <f ca="1">VLOOKUP($D2,OFFSET([2]stages!$A$1,0,0,COUNTA([2]stages!$A:$A),MATCH(F$1,[2]stages!$2:$2,0)-MATCH($D$1,[2]stages!$2:$2,0)+1),MATCH(F$1,[2]stages!$2:$2,0)-MATCH($D$1,[2]stages!$2:$2,0)+1,FALSE)</f>
        <v>【超絶級】ジャンヌ襲来</v>
      </c>
      <c r="G2" s="96">
        <v>1</v>
      </c>
      <c r="H2" s="97" t="str">
        <f>B2&amp;"_"&amp;C2&amp;"-"&amp;G2</f>
        <v>41003_1-1</v>
      </c>
      <c r="I2" s="98">
        <f ca="1">VLOOKUP($H2,OFFSET(floors!$A$1,0,0,COUNTA(floors!$A:$A),MATCH(I$1,floors!$1:$1,0)-MATCH($H$1,floors!$1:$1,0)+1),MATCH(I$1,floors!$1:$1,0)-MATCH($H$1,floors!$1:$1,0)+1,FALSE)</f>
        <v>60</v>
      </c>
      <c r="J2" s="98">
        <f ca="1">VLOOKUP($H2,OFFSET(floors!$A$1,0,0,COUNTA(floors!$A:$A),MATCH(J$1,floors!$1:$1,0)-MATCH($H$1,floors!$1:$1,0)+1),MATCH(J$1,floors!$1:$1,0)-MATCH($H$1,floors!$1:$1,0)+1,FALSE)</f>
        <v>60</v>
      </c>
      <c r="K2" s="99" t="s">
        <v>212</v>
      </c>
      <c r="L2" s="100">
        <v>155</v>
      </c>
      <c r="M2" s="101" t="str">
        <f ca="1">VLOOKUP($L2,OFFSET([3]enemies!$A$1,0,0,COUNTA([3]enemies!$A:$A),MATCH(M$1,[3]enemies!$1:$1,0)-MATCH($L$1,[3]enemies!$1:$1,0)+1),MATCH(M$1,[3]enemies!$1:$1,0)-MATCH($L$1,[3]enemies!$1:$1,0)+1,FALSE)</f>
        <v>隻眼の掃除屋 ハンナ</v>
      </c>
      <c r="N2" s="101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01" t="str">
        <f ca="1">VLOOKUP($L2,OFFSET([4]characters!$A$1,0,0,COUNTA([4]characters!$A:$A),MATCH(O$1,[4]characters!$1:$1,0)-MATCH($L$1,[4]characters!$1:$1,0)+1),MATCH(O$1,[4]characters!$1:$1,0)-MATCH($L$1,[4]characters!$1:$1,0)+1,FALSE)</f>
        <v>PremiumW</v>
      </c>
      <c r="P2" s="101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01">
        <f ca="1">VLOOKUP($L2,OFFSET([3]enemies!$A$1,0,0,COUNTA([3]enemies!$A:$A),MATCH(Q$1,[3]enemies!$1:$1,0)-MATCH($L$1,[3]enemies!$1:$1,0)+1),MATCH(Q$1,[3]enemies!$1:$1,0)-MATCH($L$1,[3]enemies!$1:$1,0)+1,FALSE)</f>
        <v>30</v>
      </c>
      <c r="R2" s="102">
        <v>60</v>
      </c>
      <c r="S2" s="103">
        <v>1.8</v>
      </c>
      <c r="T2" s="103">
        <v>1.1000000000000001</v>
      </c>
      <c r="U2" s="102">
        <v>0</v>
      </c>
      <c r="V2" s="98" t="str">
        <f ca="1">VLOOKUP($W2,OFFSET(enemy_skill_sets!$B$1,0,0,COUNTA(enemy_skill_sets!$B:$B),MATCH(M$1,enemy_skill_sets!$1:$1,0)-MATCH($W$1,enemy_skill_sets!$1:$1,0)+2),MATCH(M$1,enemy_skill_sets!$1:$1,0)-MATCH($W$1,enemy_skill_sets!$1:$1,0)+2,FALSE)</f>
        <v>1ターンの間回復力が50%DOWN＋攻撃</v>
      </c>
      <c r="W2" s="144">
        <v>41003001</v>
      </c>
      <c r="X2" s="104">
        <v>1</v>
      </c>
      <c r="Y2" s="104">
        <v>100</v>
      </c>
      <c r="Z2" s="104">
        <v>0</v>
      </c>
      <c r="AA2" s="101">
        <v>2</v>
      </c>
      <c r="AB2" s="105">
        <f>L2</f>
        <v>155</v>
      </c>
      <c r="AC2" s="98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隻眼の掃除屋 ハンナ</v>
      </c>
      <c r="AD2" s="98">
        <f ca="1">VLOOKUP($AB2,OFFSET([4]characters!$A$1,0,0,COUNTA([4]characters!$A:$A),MATCH(AD$1,[4]characters!$1:$1,0)-MATCH("character_id",[4]characters!$1:$1,0)+1),MATCH(AD$1,[4]characters!$1:$1,0)-MATCH("character_id",[4]characters!$1:$1,0)+1,FALSE)</f>
        <v>4</v>
      </c>
      <c r="AE2" s="98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2" s="106">
        <v>1</v>
      </c>
      <c r="AG2" s="105">
        <f ca="1">AD2</f>
        <v>4</v>
      </c>
      <c r="AH2" s="56">
        <v>0</v>
      </c>
      <c r="AI2" s="106">
        <v>0</v>
      </c>
      <c r="AJ2" s="106">
        <v>0</v>
      </c>
      <c r="AK2" s="106">
        <v>0</v>
      </c>
      <c r="AL2" s="106">
        <v>0</v>
      </c>
      <c r="AM2" s="106">
        <v>1</v>
      </c>
      <c r="AN2" s="107">
        <v>1</v>
      </c>
    </row>
    <row r="3" spans="1:40" s="113" customFormat="1" ht="21" customHeight="1" x14ac:dyDescent="0.15">
      <c r="A3" s="109" t="str">
        <f>B3&amp;"_"&amp;C3&amp;"-"&amp;G3&amp;"/"&amp;L3&amp;"&lt;lv"&amp;R3&amp;"&gt;s"&amp;AA3</f>
        <v>41003_1-1/92&lt;lv60&gt;s3</v>
      </c>
      <c r="B3" s="129">
        <v>41003</v>
      </c>
      <c r="C3" s="110">
        <v>1</v>
      </c>
      <c r="D3" s="14" t="str">
        <f>B3&amp;"_"&amp;C3</f>
        <v>41003_1</v>
      </c>
      <c r="E3" s="4" t="str">
        <f ca="1">VLOOKUP($B3,OFFSET([2]quests!$A$1,0,0,COUNTA([2]quests!$A:$A),MATCH(E$1,[2]quests!$1:$1,0)-MATCH($B$1,[2]quests!$1:$1,0)+1),MATCH(E$1,[2]quests!$1:$1,0)-MATCH($B$1,[2]quests!$1:$1,0)+1,FALSE)</f>
        <v>ジャンヌ襲来！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【超絶級】ジャンヌ襲来</v>
      </c>
      <c r="G3" s="110">
        <v>1</v>
      </c>
      <c r="H3" s="14" t="str">
        <f>B3&amp;"_"&amp;C3&amp;"-"&amp;G3</f>
        <v>41003_1-1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26" t="s">
        <v>212</v>
      </c>
      <c r="L3" s="84">
        <v>92</v>
      </c>
      <c r="M3" s="16" t="str">
        <f ca="1">VLOOKUP($L3,OFFSET([3]enemies!$A$1,0,0,COUNTA([3]enemies!$A:$A),MATCH(M$1,[3]enemies!$1:$1,0)-MATCH($L$1,[3]enemies!$1:$1,0)+1),MATCH(M$1,[3]enemies!$1:$1,0)-MATCH($L$1,[3]enemies!$1:$1,0)+1,FALSE)</f>
        <v>守護者 青龍</v>
      </c>
      <c r="N3" s="16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6" t="str">
        <f ca="1">VLOOKUP($L3,OFFSET([3]enemies!$A$1,0,0,COUNTA([3]enemies!$A:$A),MATCH(P$1,[3]enemies!$1:$1,0)-MATCH($L$1,[3]enemies!$1:$1,0)+1),MATCH(P$1,[3]enemies!$1:$1,0)-MATCH($L$1,[3]enemies!$1:$1,0)+1,FALSE)</f>
        <v>dragon</v>
      </c>
      <c r="Q3" s="16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60</v>
      </c>
      <c r="S3" s="89">
        <v>1.3</v>
      </c>
      <c r="T3" s="89">
        <v>0.8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全体攻撃</v>
      </c>
      <c r="W3" s="144">
        <v>41003002</v>
      </c>
      <c r="X3" s="6">
        <v>1</v>
      </c>
      <c r="Y3" s="6">
        <v>100</v>
      </c>
      <c r="Z3" s="6">
        <v>0</v>
      </c>
      <c r="AA3" s="16">
        <v>3</v>
      </c>
      <c r="AB3" s="111">
        <f>L3</f>
        <v>92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守護者 青龍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Drop2N</v>
      </c>
      <c r="AF3" s="112">
        <v>1</v>
      </c>
      <c r="AG3" s="111">
        <f ca="1">AD3</f>
        <v>4</v>
      </c>
      <c r="AH3" s="160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1</v>
      </c>
      <c r="AN3" s="56">
        <v>1</v>
      </c>
    </row>
    <row r="4" spans="1:40" s="113" customFormat="1" ht="21" customHeight="1" x14ac:dyDescent="0.15">
      <c r="A4" s="109" t="str">
        <f t="shared" ref="A4:A9" si="0">B4&amp;"_"&amp;C4&amp;"-"&amp;G4&amp;"/"&amp;L4&amp;"&lt;lv"&amp;R4&amp;"&gt;s"&amp;AA4</f>
        <v>41003_1-2/53&lt;lv50&gt;s2</v>
      </c>
      <c r="B4" s="129">
        <v>41003</v>
      </c>
      <c r="C4" s="110">
        <v>1</v>
      </c>
      <c r="D4" s="14" t="str">
        <f t="shared" ref="D4:D9" si="1">B4&amp;"_"&amp;C4</f>
        <v>41003_1</v>
      </c>
      <c r="E4" s="4" t="str">
        <f ca="1">VLOOKUP($B4,OFFSET([2]quests!$A$1,0,0,COUNTA([2]quests!$A:$A),MATCH(E$1,[2]quests!$1:$1,0)-MATCH($B$1,[2]quests!$1:$1,0)+1),MATCH(E$1,[2]quests!$1:$1,0)-MATCH($B$1,[2]quests!$1:$1,0)+1,FALSE)</f>
        <v>ジャンヌ襲来！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【超絶級】ジャンヌ襲来</v>
      </c>
      <c r="G4" s="110">
        <v>2</v>
      </c>
      <c r="H4" s="14" t="str">
        <f t="shared" ref="H4:H9" si="2">B4&amp;"_"&amp;C4&amp;"-"&amp;G4</f>
        <v>41003_1-2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26" t="s">
        <v>212</v>
      </c>
      <c r="L4" s="84">
        <v>53</v>
      </c>
      <c r="M4" s="16" t="str">
        <f ca="1">VLOOKUP($L4,OFFSET([3]enemies!$A$1,0,0,COUNTA([3]enemies!$A:$A),MATCH(M$1,[3]enemies!$1:$1,0)-MATCH($L$1,[3]enemies!$1:$1,0)+1),MATCH(M$1,[3]enemies!$1:$1,0)-MATCH($L$1,[3]enemies!$1:$1,0)+1,FALSE)</f>
        <v>ケンジ</v>
      </c>
      <c r="N4" s="16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6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6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50</v>
      </c>
      <c r="S4" s="89">
        <v>1</v>
      </c>
      <c r="T4" s="89">
        <v>1</v>
      </c>
      <c r="U4" s="5">
        <v>0</v>
      </c>
      <c r="V4" s="4" t="e">
        <f ca="1">VLOOKUP($W4,OFFSET(enemy_skill_sets!$B$1,0,0,COUNTA(enemy_skill_sets!$B:$B),MATCH(M$1,enemy_skill_sets!$1:$1,0)-MATCH($W$1,enemy_skill_sets!$1:$1,0)+2),MATCH(M$1,enemy_skill_sets!$1:$1,0)-MATCH($W$1,enemy_skill_sets!$1:$1,0)+2,FALSE)</f>
        <v>#N/A</v>
      </c>
      <c r="W4" s="144">
        <v>0</v>
      </c>
      <c r="X4" s="6">
        <v>1</v>
      </c>
      <c r="Y4" s="6">
        <v>100</v>
      </c>
      <c r="Z4" s="6">
        <v>0</v>
      </c>
      <c r="AA4" s="16">
        <v>2</v>
      </c>
      <c r="AB4" s="111">
        <f t="shared" ref="AB4:AB8" si="3">L4</f>
        <v>53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ケンジ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112">
        <v>1</v>
      </c>
      <c r="AG4" s="111">
        <f t="shared" ref="AG4:AG9" ca="1" si="4">AD4</f>
        <v>2</v>
      </c>
      <c r="AH4" s="56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1</v>
      </c>
      <c r="AN4" s="56">
        <v>1</v>
      </c>
    </row>
    <row r="5" spans="1:40" s="113" customFormat="1" ht="21" customHeight="1" x14ac:dyDescent="0.15">
      <c r="A5" s="109" t="str">
        <f t="shared" si="0"/>
        <v>41003_1-2/49&lt;lv50&gt;s3</v>
      </c>
      <c r="B5" s="129">
        <v>41003</v>
      </c>
      <c r="C5" s="110">
        <v>1</v>
      </c>
      <c r="D5" s="14" t="str">
        <f t="shared" si="1"/>
        <v>41003_1</v>
      </c>
      <c r="E5" s="4" t="str">
        <f ca="1">VLOOKUP($B5,OFFSET([2]quests!$A$1,0,0,COUNTA([2]quests!$A:$A),MATCH(E$1,[2]quests!$1:$1,0)-MATCH($B$1,[2]quests!$1:$1,0)+1),MATCH(E$1,[2]quests!$1:$1,0)-MATCH($B$1,[2]quests!$1:$1,0)+1,FALSE)</f>
        <v>ジャンヌ襲来！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【超絶級】ジャンヌ襲来</v>
      </c>
      <c r="G5" s="110">
        <v>2</v>
      </c>
      <c r="H5" s="14" t="str">
        <f t="shared" si="2"/>
        <v>41003_1-2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26" t="s">
        <v>212</v>
      </c>
      <c r="L5" s="84">
        <v>49</v>
      </c>
      <c r="M5" s="16" t="str">
        <f ca="1">VLOOKUP($L5,OFFSET([3]enemies!$A$1,0,0,COUNTA([3]enemies!$A:$A),MATCH(M$1,[3]enemies!$1:$1,0)-MATCH($L$1,[3]enemies!$1:$1,0)+1),MATCH(M$1,[3]enemies!$1:$1,0)-MATCH($L$1,[3]enemies!$1:$1,0)+1,FALSE)</f>
        <v>ヨシタカ</v>
      </c>
      <c r="N5" s="16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6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6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50</v>
      </c>
      <c r="S5" s="89">
        <v>1.8</v>
      </c>
      <c r="T5" s="89">
        <v>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赤パネルを時限式ダメージパネルに変換</v>
      </c>
      <c r="W5" s="144">
        <v>41003003</v>
      </c>
      <c r="X5" s="6">
        <v>1</v>
      </c>
      <c r="Y5" s="6">
        <v>100</v>
      </c>
      <c r="Z5" s="6">
        <v>0</v>
      </c>
      <c r="AA5" s="16">
        <v>3</v>
      </c>
      <c r="AB5" s="111">
        <f t="shared" si="3"/>
        <v>49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ヨシタカ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112">
        <v>1</v>
      </c>
      <c r="AG5" s="111">
        <f t="shared" ca="1" si="4"/>
        <v>2</v>
      </c>
      <c r="AH5" s="204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1</v>
      </c>
      <c r="AN5" s="56">
        <v>1</v>
      </c>
    </row>
    <row r="6" spans="1:40" s="113" customFormat="1" ht="21" customHeight="1" x14ac:dyDescent="0.15">
      <c r="A6" s="109" t="str">
        <f t="shared" si="0"/>
        <v>41003_1-2/51&lt;lv50&gt;s2</v>
      </c>
      <c r="B6" s="129">
        <v>41003</v>
      </c>
      <c r="C6" s="110">
        <v>1</v>
      </c>
      <c r="D6" s="14" t="str">
        <f t="shared" si="1"/>
        <v>41003_1</v>
      </c>
      <c r="E6" s="4" t="str">
        <f ca="1">VLOOKUP($B6,OFFSET([2]quests!$A$1,0,0,COUNTA([2]quests!$A:$A),MATCH(E$1,[2]quests!$1:$1,0)-MATCH($B$1,[2]quests!$1:$1,0)+1),MATCH(E$1,[2]quests!$1:$1,0)-MATCH($B$1,[2]quests!$1:$1,0)+1,FALSE)</f>
        <v>ジャンヌ襲来！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【超絶級】ジャンヌ襲来</v>
      </c>
      <c r="G6" s="110">
        <v>2</v>
      </c>
      <c r="H6" s="14" t="str">
        <f t="shared" si="2"/>
        <v>41003_1-2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26" t="s">
        <v>212</v>
      </c>
      <c r="L6" s="84">
        <v>51</v>
      </c>
      <c r="M6" s="16" t="str">
        <f ca="1">VLOOKUP($L6,OFFSET([3]enemies!$A$1,0,0,COUNTA([3]enemies!$A:$A),MATCH(M$1,[3]enemies!$1:$1,0)-MATCH($L$1,[3]enemies!$1:$1,0)+1),MATCH(M$1,[3]enemies!$1:$1,0)-MATCH($L$1,[3]enemies!$1:$1,0)+1,FALSE)</f>
        <v>マイ</v>
      </c>
      <c r="N6" s="16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6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6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50</v>
      </c>
      <c r="S6" s="89">
        <v>1.7</v>
      </c>
      <c r="T6" s="89">
        <v>0.7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緑パネルを時限式ダメージパネルに変換</v>
      </c>
      <c r="W6" s="145">
        <v>41003004</v>
      </c>
      <c r="X6" s="6">
        <v>1</v>
      </c>
      <c r="Y6" s="6">
        <v>100</v>
      </c>
      <c r="Z6" s="6">
        <v>0</v>
      </c>
      <c r="AA6" s="16">
        <v>2</v>
      </c>
      <c r="AB6" s="111">
        <f t="shared" si="3"/>
        <v>51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マイ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Drop1N</v>
      </c>
      <c r="AF6" s="112">
        <v>1</v>
      </c>
      <c r="AG6" s="111">
        <f t="shared" ca="1" si="4"/>
        <v>2</v>
      </c>
      <c r="AH6" s="56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1</v>
      </c>
      <c r="AN6" s="56">
        <v>1</v>
      </c>
    </row>
    <row r="7" spans="1:40" s="113" customFormat="1" ht="21" customHeight="1" x14ac:dyDescent="0.15">
      <c r="A7" s="109" t="str">
        <f t="shared" si="0"/>
        <v>41003_1-2/55&lt;lv50&gt;s3</v>
      </c>
      <c r="B7" s="129">
        <v>41003</v>
      </c>
      <c r="C7" s="110">
        <v>1</v>
      </c>
      <c r="D7" s="14" t="str">
        <f t="shared" si="1"/>
        <v>41003_1</v>
      </c>
      <c r="E7" s="4" t="str">
        <f ca="1">VLOOKUP($B7,OFFSET([2]quests!$A$1,0,0,COUNTA([2]quests!$A:$A),MATCH(E$1,[2]quests!$1:$1,0)-MATCH($B$1,[2]quests!$1:$1,0)+1),MATCH(E$1,[2]quests!$1:$1,0)-MATCH($B$1,[2]quests!$1:$1,0)+1,FALSE)</f>
        <v>ジャンヌ襲来！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【超絶級】ジャンヌ襲来</v>
      </c>
      <c r="G7" s="110">
        <v>2</v>
      </c>
      <c r="H7" s="14" t="str">
        <f t="shared" si="2"/>
        <v>41003_1-2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26" t="s">
        <v>212</v>
      </c>
      <c r="L7" s="84">
        <v>55</v>
      </c>
      <c r="M7" s="16" t="str">
        <f ca="1">VLOOKUP($L7,OFFSET([3]enemies!$A$1,0,0,COUNTA([3]enemies!$A:$A),MATCH(M$1,[3]enemies!$1:$1,0)-MATCH($L$1,[3]enemies!$1:$1,0)+1),MATCH(M$1,[3]enemies!$1:$1,0)-MATCH($L$1,[3]enemies!$1:$1,0)+1,FALSE)</f>
        <v>マミコ</v>
      </c>
      <c r="N7" s="16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6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6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50</v>
      </c>
      <c r="S7" s="89">
        <v>2</v>
      </c>
      <c r="T7" s="89">
        <v>0.6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黄パネルを時限式ダメージパネルに変換</v>
      </c>
      <c r="W7" s="144">
        <v>41003005</v>
      </c>
      <c r="X7" s="6">
        <v>1</v>
      </c>
      <c r="Y7" s="6">
        <v>100</v>
      </c>
      <c r="Z7" s="6">
        <v>0</v>
      </c>
      <c r="AA7" s="16">
        <v>3</v>
      </c>
      <c r="AB7" s="111">
        <f t="shared" si="3"/>
        <v>55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マミコ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Drop1N</v>
      </c>
      <c r="AF7" s="112">
        <v>1</v>
      </c>
      <c r="AG7" s="111">
        <f t="shared" ca="1" si="4"/>
        <v>2</v>
      </c>
      <c r="AH7" s="204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1</v>
      </c>
      <c r="AN7" s="56">
        <v>1</v>
      </c>
    </row>
    <row r="8" spans="1:40" s="113" customFormat="1" ht="21" customHeight="1" x14ac:dyDescent="0.15">
      <c r="A8" s="109" t="str">
        <f t="shared" si="0"/>
        <v>41003_1-3/258&lt;lv60&gt;s2</v>
      </c>
      <c r="B8" s="129">
        <v>41003</v>
      </c>
      <c r="C8" s="110">
        <v>1</v>
      </c>
      <c r="D8" s="14" t="str">
        <f t="shared" si="1"/>
        <v>41003_1</v>
      </c>
      <c r="E8" s="4" t="str">
        <f ca="1">VLOOKUP($B8,OFFSET([2]quests!$A$1,0,0,COUNTA([2]quests!$A:$A),MATCH(E$1,[2]quests!$1:$1,0)-MATCH($B$1,[2]quests!$1:$1,0)+1),MATCH(E$1,[2]quests!$1:$1,0)-MATCH($B$1,[2]quests!$1:$1,0)+1,FALSE)</f>
        <v>ジャンヌ襲来！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【超絶級】ジャンヌ襲来</v>
      </c>
      <c r="G8" s="110">
        <v>3</v>
      </c>
      <c r="H8" s="14" t="str">
        <f t="shared" si="2"/>
        <v>41003_1-3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26">
        <v>1</v>
      </c>
      <c r="L8" s="84">
        <v>258</v>
      </c>
      <c r="M8" s="16" t="str">
        <f ca="1">VLOOKUP($L8,OFFSET([3]enemies!$A$1,0,0,COUNTA([3]enemies!$A:$A),MATCH(M$1,[3]enemies!$1:$1,0)-MATCH($L$1,[3]enemies!$1:$1,0)+1),MATCH(M$1,[3]enemies!$1:$1,0)-MATCH($L$1,[3]enemies!$1:$1,0)+1,FALSE)</f>
        <v>色欲の源流 アスモデウス</v>
      </c>
      <c r="N8" s="16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6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6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6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60</v>
      </c>
      <c r="S8" s="89">
        <v>1.2</v>
      </c>
      <c r="T8" s="89">
        <v>0.8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攻撃力×1.2倍の攻撃</v>
      </c>
      <c r="W8" s="144">
        <v>41003006</v>
      </c>
      <c r="X8" s="6">
        <v>0</v>
      </c>
      <c r="Y8" s="6">
        <v>100</v>
      </c>
      <c r="Z8" s="6">
        <v>1</v>
      </c>
      <c r="AA8" s="16">
        <v>2</v>
      </c>
      <c r="AB8" s="111">
        <f t="shared" si="3"/>
        <v>258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色欲の源流 アスモデウス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5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8" s="112">
        <v>1</v>
      </c>
      <c r="AG8" s="111">
        <f t="shared" ca="1" si="4"/>
        <v>5</v>
      </c>
      <c r="AH8" s="56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1</v>
      </c>
      <c r="AN8" s="56">
        <v>1</v>
      </c>
    </row>
    <row r="9" spans="1:40" s="113" customFormat="1" ht="21" customHeight="1" thickBot="1" x14ac:dyDescent="0.2">
      <c r="A9" s="109" t="str">
        <f t="shared" si="0"/>
        <v>41003_1-4/315&lt;lv70&gt;s2</v>
      </c>
      <c r="B9" s="146">
        <v>41003</v>
      </c>
      <c r="C9" s="147">
        <v>1</v>
      </c>
      <c r="D9" s="148" t="str">
        <f t="shared" si="1"/>
        <v>41003_1</v>
      </c>
      <c r="E9" s="149" t="str">
        <f ca="1">VLOOKUP($B9,OFFSET([2]quests!$A$1,0,0,COUNTA([2]quests!$A:$A),MATCH(E$1,[2]quests!$1:$1,0)-MATCH($B$1,[2]quests!$1:$1,0)+1),MATCH(E$1,[2]quests!$1:$1,0)-MATCH($B$1,[2]quests!$1:$1,0)+1,FALSE)</f>
        <v>ジャンヌ襲来！</v>
      </c>
      <c r="F9" s="149" t="str">
        <f ca="1">VLOOKUP($D9,OFFSET([2]stages!$A$1,0,0,COUNTA([2]stages!$A:$A),MATCH(F$1,[2]stages!$2:$2,0)-MATCH($D$1,[2]stages!$2:$2,0)+1),MATCH(F$1,[2]stages!$2:$2,0)-MATCH($D$1,[2]stages!$2:$2,0)+1,FALSE)</f>
        <v>【超絶級】ジャンヌ襲来</v>
      </c>
      <c r="G9" s="147">
        <v>4</v>
      </c>
      <c r="H9" s="148" t="str">
        <f t="shared" si="2"/>
        <v>41003_1-4</v>
      </c>
      <c r="I9" s="149">
        <f ca="1">VLOOKUP($H9,OFFSET(floors!$A$1,0,0,COUNTA(floors!$A:$A),MATCH(I$1,floors!$1:$1,0)-MATCH($H$1,floors!$1:$1,0)+1),MATCH(I$1,floors!$1:$1,0)-MATCH($H$1,floors!$1:$1,0)+1,FALSE)</f>
        <v>60</v>
      </c>
      <c r="J9" s="149">
        <f ca="1">VLOOKUP($H9,OFFSET(floors!$A$1,0,0,COUNTA(floors!$A:$A),MATCH(J$1,floors!$1:$1,0)-MATCH($H$1,floors!$1:$1,0)+1),MATCH(J$1,floors!$1:$1,0)-MATCH($H$1,floors!$1:$1,0)+1,FALSE)</f>
        <v>60</v>
      </c>
      <c r="K9" s="150">
        <v>2</v>
      </c>
      <c r="L9" s="151">
        <v>315</v>
      </c>
      <c r="M9" s="152" t="str">
        <f ca="1">VLOOKUP($L9,OFFSET([3]enemies!$A$1,0,0,COUNTA([3]enemies!$A:$A),MATCH(M$1,[3]enemies!$1:$1,0)-MATCH($L$1,[3]enemies!$1:$1,0)+1),MATCH(M$1,[3]enemies!$1:$1,0)-MATCH($L$1,[3]enemies!$1:$1,0)+1,FALSE)</f>
        <v>鉄馬駆る聖女 ジャンヌ</v>
      </c>
      <c r="N9" s="152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52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52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52">
        <f ca="1">VLOOKUP($L9,OFFSET([3]enemies!$A$1,0,0,COUNTA([3]enemies!$A:$A),MATCH(Q$1,[3]enemies!$1:$1,0)-MATCH($L$1,[3]enemies!$1:$1,0)+1),MATCH(Q$1,[3]enemies!$1:$1,0)-MATCH($L$1,[3]enemies!$1:$1,0)+1,FALSE)</f>
        <v>60</v>
      </c>
      <c r="R9" s="153">
        <v>70</v>
      </c>
      <c r="S9" s="154">
        <v>1.7</v>
      </c>
      <c r="T9" s="154">
        <v>2</v>
      </c>
      <c r="U9" s="153">
        <v>0</v>
      </c>
      <c r="V9" s="149" t="str">
        <f ca="1">VLOOKUP($W9,OFFSET(enemy_skill_sets!$B$1,0,0,COUNTA(enemy_skill_sets!$B:$B),MATCH(M$1,enemy_skill_sets!$1:$1,0)-MATCH($W$1,enemy_skill_sets!$1:$1,0)+2),MATCH(M$1,enemy_skill_sets!$1:$1,0)-MATCH($W$1,enemy_skill_sets!$1:$1,0)+2,FALSE)</f>
        <v>5ターンの間Cパネル生成延長</v>
      </c>
      <c r="W9" s="155">
        <v>41003007</v>
      </c>
      <c r="X9" s="156">
        <v>0</v>
      </c>
      <c r="Y9" s="156">
        <v>100</v>
      </c>
      <c r="Z9" s="156">
        <v>1</v>
      </c>
      <c r="AA9" s="152">
        <v>2</v>
      </c>
      <c r="AB9" s="157">
        <v>314</v>
      </c>
      <c r="AC9" s="149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ジャンヌ</v>
      </c>
      <c r="AD9" s="149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149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9" s="158">
        <v>1</v>
      </c>
      <c r="AG9" s="157">
        <f t="shared" ca="1" si="4"/>
        <v>4</v>
      </c>
      <c r="AH9" s="159">
        <v>15</v>
      </c>
      <c r="AI9" s="158">
        <v>0</v>
      </c>
      <c r="AJ9" s="158">
        <v>0</v>
      </c>
      <c r="AK9" s="158">
        <v>0</v>
      </c>
      <c r="AL9" s="158">
        <v>0</v>
      </c>
      <c r="AM9" s="158">
        <v>1</v>
      </c>
      <c r="AN9" s="160">
        <v>1</v>
      </c>
    </row>
    <row r="10" spans="1:40" s="108" customFormat="1" ht="21" customHeight="1" x14ac:dyDescent="0.15">
      <c r="A10" s="95" t="str">
        <f>B10&amp;"_"&amp;C10&amp;"-"&amp;G10&amp;"/"&amp;L10&amp;"&lt;lv"&amp;R10&amp;"&gt;s"&amp;AA10</f>
        <v>41003_2-1/155&lt;lv70&gt;s2</v>
      </c>
      <c r="B10" s="165">
        <v>41003</v>
      </c>
      <c r="C10" s="96">
        <v>2</v>
      </c>
      <c r="D10" s="97" t="str">
        <f>B10&amp;"_"&amp;C10</f>
        <v>41003_2</v>
      </c>
      <c r="E10" s="98" t="str">
        <f ca="1">VLOOKUP($B10,OFFSET([2]quests!$A$1,0,0,COUNTA([2]quests!$A:$A),MATCH(E$1,[2]quests!$1:$1,0)-MATCH($B$1,[2]quests!$1:$1,0)+1),MATCH(E$1,[2]quests!$1:$1,0)-MATCH($B$1,[2]quests!$1:$1,0)+1,FALSE)</f>
        <v>ジャンヌ襲来！</v>
      </c>
      <c r="F10" s="98" t="str">
        <f ca="1">VLOOKUP($D10,OFFSET([2]stages!$A$1,0,0,COUNTA([2]stages!$A:$A),MATCH(F$1,[2]stages!$2:$2,0)-MATCH($D$1,[2]stages!$2:$2,0)+1),MATCH(F$1,[2]stages!$2:$2,0)-MATCH($D$1,[2]stages!$2:$2,0)+1,FALSE)</f>
        <v>【ウィザード級】ジャンヌ襲来</v>
      </c>
      <c r="G10" s="96">
        <v>1</v>
      </c>
      <c r="H10" s="97" t="str">
        <f>B10&amp;"_"&amp;C10&amp;"-"&amp;G10</f>
        <v>41003_2-1</v>
      </c>
      <c r="I10" s="98">
        <f ca="1">VLOOKUP($H10,OFFSET(floors!$A$1,0,0,COUNTA(floors!$A:$A),MATCH(I$1,floors!$1:$1,0)-MATCH($H$1,floors!$1:$1,0)+1),MATCH(I$1,floors!$1:$1,0)-MATCH($H$1,floors!$1:$1,0)+1,FALSE)</f>
        <v>60</v>
      </c>
      <c r="J10" s="98">
        <f ca="1">VLOOKUP($H10,OFFSET(floors!$A$1,0,0,COUNTA(floors!$A:$A),MATCH(J$1,floors!$1:$1,0)-MATCH($H$1,floors!$1:$1,0)+1),MATCH(J$1,floors!$1:$1,0)-MATCH($H$1,floors!$1:$1,0)+1,FALSE)</f>
        <v>60</v>
      </c>
      <c r="K10" s="99" t="s">
        <v>167</v>
      </c>
      <c r="L10" s="100">
        <v>155</v>
      </c>
      <c r="M10" s="101" t="str">
        <f ca="1">VLOOKUP($L10,OFFSET([3]enemies!$A$1,0,0,COUNTA([3]enemies!$A:$A),MATCH(M$1,[3]enemies!$1:$1,0)-MATCH($L$1,[3]enemies!$1:$1,0)+1),MATCH(M$1,[3]enemies!$1:$1,0)-MATCH($L$1,[3]enemies!$1:$1,0)+1,FALSE)</f>
        <v>隻眼の掃除屋 ハンナ</v>
      </c>
      <c r="N10" s="101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01" t="str">
        <f ca="1">VLOOKUP($L10,OFFSET([4]characters!$A$1,0,0,COUNTA([4]characters!$A:$A),MATCH(O$1,[4]characters!$1:$1,0)-MATCH($L$1,[4]characters!$1:$1,0)+1),MATCH(O$1,[4]characters!$1:$1,0)-MATCH($L$1,[4]characters!$1:$1,0)+1,FALSE)</f>
        <v>PremiumW</v>
      </c>
      <c r="P10" s="101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01">
        <f ca="1">VLOOKUP($L10,OFFSET([3]enemies!$A$1,0,0,COUNTA([3]enemies!$A:$A),MATCH(Q$1,[3]enemies!$1:$1,0)-MATCH($L$1,[3]enemies!$1:$1,0)+1),MATCH(Q$1,[3]enemies!$1:$1,0)-MATCH($L$1,[3]enemies!$1:$1,0)+1,FALSE)</f>
        <v>30</v>
      </c>
      <c r="R10" s="102">
        <v>70</v>
      </c>
      <c r="S10" s="103">
        <v>3</v>
      </c>
      <c r="T10" s="103">
        <v>1.2</v>
      </c>
      <c r="U10" s="102">
        <v>0</v>
      </c>
      <c r="V10" s="98" t="str">
        <f ca="1">VLOOKUP($W10,OFFSET(enemy_skill_sets!$B$1,0,0,COUNTA(enemy_skill_sets!$B:$B),MATCH(M$1,enemy_skill_sets!$1:$1,0)-MATCH($W$1,enemy_skill_sets!$1:$1,0)+2),MATCH(M$1,enemy_skill_sets!$1:$1,0)-MATCH($W$1,enemy_skill_sets!$1:$1,0)+2,FALSE)</f>
        <v>1ターンの間回復力が50%DOWN＋攻撃</v>
      </c>
      <c r="W10" s="166">
        <v>41003011</v>
      </c>
      <c r="X10" s="104">
        <v>1</v>
      </c>
      <c r="Y10" s="104">
        <v>100</v>
      </c>
      <c r="Z10" s="104">
        <v>0</v>
      </c>
      <c r="AA10" s="101">
        <v>2</v>
      </c>
      <c r="AB10" s="105">
        <f>L10</f>
        <v>155</v>
      </c>
      <c r="AC10" s="98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隻眼の掃除屋 ハンナ</v>
      </c>
      <c r="AD10" s="98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98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0" s="106">
        <v>1</v>
      </c>
      <c r="AG10" s="105">
        <f ca="1">AD10</f>
        <v>4</v>
      </c>
      <c r="AH10" s="5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1</v>
      </c>
      <c r="AN10" s="107">
        <v>1</v>
      </c>
    </row>
    <row r="11" spans="1:40" s="113" customFormat="1" ht="21" customHeight="1" x14ac:dyDescent="0.15">
      <c r="A11" s="109" t="str">
        <f>B11&amp;"_"&amp;C11&amp;"-"&amp;G11&amp;"/"&amp;L11&amp;"&lt;lv"&amp;R11&amp;"&gt;s"&amp;AA11</f>
        <v>41003_2-1/92&lt;lv70&gt;s3</v>
      </c>
      <c r="B11" s="129">
        <v>41003</v>
      </c>
      <c r="C11" s="110">
        <v>2</v>
      </c>
      <c r="D11" s="14" t="str">
        <f>B11&amp;"_"&amp;C11</f>
        <v>41003_2</v>
      </c>
      <c r="E11" s="4" t="str">
        <f ca="1">VLOOKUP($B11,OFFSET([2]quests!$A$1,0,0,COUNTA([2]quests!$A:$A),MATCH(E$1,[2]quests!$1:$1,0)-MATCH($B$1,[2]quests!$1:$1,0)+1),MATCH(E$1,[2]quests!$1:$1,0)-MATCH($B$1,[2]quests!$1:$1,0)+1,FALSE)</f>
        <v>ジャンヌ襲来！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【ウィザード級】ジャンヌ襲来</v>
      </c>
      <c r="G11" s="110">
        <v>1</v>
      </c>
      <c r="H11" s="14" t="str">
        <f>B11&amp;"_"&amp;C11&amp;"-"&amp;G11</f>
        <v>41003_2-1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26" t="s">
        <v>167</v>
      </c>
      <c r="L11" s="84">
        <v>92</v>
      </c>
      <c r="M11" s="16" t="str">
        <f ca="1">VLOOKUP($L11,OFFSET([3]enemies!$A$1,0,0,COUNTA([3]enemies!$A:$A),MATCH(M$1,[3]enemies!$1:$1,0)-MATCH($L$1,[3]enemies!$1:$1,0)+1),MATCH(M$1,[3]enemies!$1:$1,0)-MATCH($L$1,[3]enemies!$1:$1,0)+1,FALSE)</f>
        <v>守護者 青龍</v>
      </c>
      <c r="N11" s="16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6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6" t="str">
        <f ca="1">VLOOKUP($L11,OFFSET([3]enemies!$A$1,0,0,COUNTA([3]enemies!$A:$A),MATCH(P$1,[3]enemies!$1:$1,0)-MATCH($L$1,[3]enemies!$1:$1,0)+1),MATCH(P$1,[3]enemies!$1:$1,0)-MATCH($L$1,[3]enemies!$1:$1,0)+1,FALSE)</f>
        <v>dragon</v>
      </c>
      <c r="Q11" s="16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70</v>
      </c>
      <c r="S11" s="89">
        <v>1.9</v>
      </c>
      <c r="T11" s="89">
        <v>1.2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1" s="144">
        <v>41003012</v>
      </c>
      <c r="X11" s="6">
        <v>1</v>
      </c>
      <c r="Y11" s="6">
        <v>100</v>
      </c>
      <c r="Z11" s="6">
        <v>0</v>
      </c>
      <c r="AA11" s="16">
        <v>3</v>
      </c>
      <c r="AB11" s="111">
        <f>L11</f>
        <v>92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守護者 青龍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4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Drop2N</v>
      </c>
      <c r="AF11" s="112">
        <v>1</v>
      </c>
      <c r="AG11" s="111">
        <f ca="1">AD11</f>
        <v>4</v>
      </c>
      <c r="AH11" s="160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1</v>
      </c>
      <c r="AN11" s="56">
        <v>1</v>
      </c>
    </row>
    <row r="12" spans="1:40" s="113" customFormat="1" ht="21" customHeight="1" x14ac:dyDescent="0.15">
      <c r="A12" s="109" t="str">
        <f t="shared" ref="A12:A17" si="5">B12&amp;"_"&amp;C12&amp;"-"&amp;G12&amp;"/"&amp;L12&amp;"&lt;lv"&amp;R12&amp;"&gt;s"&amp;AA12</f>
        <v>41003_2-2/53&lt;lv60&gt;s2</v>
      </c>
      <c r="B12" s="129">
        <v>41003</v>
      </c>
      <c r="C12" s="110">
        <v>2</v>
      </c>
      <c r="D12" s="14" t="str">
        <f t="shared" ref="D12:D17" si="6">B12&amp;"_"&amp;C12</f>
        <v>41003_2</v>
      </c>
      <c r="E12" s="4" t="str">
        <f ca="1">VLOOKUP($B12,OFFSET([2]quests!$A$1,0,0,COUNTA([2]quests!$A:$A),MATCH(E$1,[2]quests!$1:$1,0)-MATCH($B$1,[2]quests!$1:$1,0)+1),MATCH(E$1,[2]quests!$1:$1,0)-MATCH($B$1,[2]quests!$1:$1,0)+1,FALSE)</f>
        <v>ジャンヌ襲来！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【ウィザード級】ジャンヌ襲来</v>
      </c>
      <c r="G12" s="110">
        <v>2</v>
      </c>
      <c r="H12" s="14" t="str">
        <f t="shared" ref="H12:H17" si="7">B12&amp;"_"&amp;C12&amp;"-"&amp;G12</f>
        <v>41003_2-2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26" t="s">
        <v>167</v>
      </c>
      <c r="L12" s="84">
        <v>53</v>
      </c>
      <c r="M12" s="16" t="str">
        <f ca="1">VLOOKUP($L12,OFFSET([3]enemies!$A$1,0,0,COUNTA([3]enemies!$A:$A),MATCH(M$1,[3]enemies!$1:$1,0)-MATCH($L$1,[3]enemies!$1:$1,0)+1),MATCH(M$1,[3]enemies!$1:$1,0)-MATCH($L$1,[3]enemies!$1:$1,0)+1,FALSE)</f>
        <v>ケンジ</v>
      </c>
      <c r="N12" s="16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6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6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6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60</v>
      </c>
      <c r="S12" s="89">
        <v>2</v>
      </c>
      <c r="T12" s="89">
        <v>1</v>
      </c>
      <c r="U12" s="5">
        <v>0</v>
      </c>
      <c r="V12" s="4" t="e">
        <f ca="1">VLOOKUP($W12,OFFSET(enemy_skill_sets!$B$1,0,0,COUNTA(enemy_skill_sets!$B:$B),MATCH(M$1,enemy_skill_sets!$1:$1,0)-MATCH($W$1,enemy_skill_sets!$1:$1,0)+2),MATCH(M$1,enemy_skill_sets!$1:$1,0)-MATCH($W$1,enemy_skill_sets!$1:$1,0)+2,FALSE)</f>
        <v>#N/A</v>
      </c>
      <c r="W12" s="144">
        <v>0</v>
      </c>
      <c r="X12" s="6">
        <v>1</v>
      </c>
      <c r="Y12" s="6">
        <v>100</v>
      </c>
      <c r="Z12" s="6">
        <v>0</v>
      </c>
      <c r="AA12" s="16">
        <v>2</v>
      </c>
      <c r="AB12" s="111">
        <f t="shared" ref="AB12:AB16" si="8">L12</f>
        <v>53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ケンジ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Drop1N</v>
      </c>
      <c r="AF12" s="112">
        <v>1</v>
      </c>
      <c r="AG12" s="111">
        <f t="shared" ref="AG12:AG17" ca="1" si="9">AD12</f>
        <v>2</v>
      </c>
      <c r="AH12" s="56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1</v>
      </c>
      <c r="AN12" s="56">
        <v>1</v>
      </c>
    </row>
    <row r="13" spans="1:40" s="113" customFormat="1" ht="21" customHeight="1" x14ac:dyDescent="0.15">
      <c r="A13" s="109" t="str">
        <f t="shared" si="5"/>
        <v>41003_2-2/49&lt;lv60&gt;s2</v>
      </c>
      <c r="B13" s="129">
        <v>41003</v>
      </c>
      <c r="C13" s="110">
        <v>2</v>
      </c>
      <c r="D13" s="14" t="str">
        <f t="shared" si="6"/>
        <v>41003_2</v>
      </c>
      <c r="E13" s="4" t="str">
        <f ca="1">VLOOKUP($B13,OFFSET([2]quests!$A$1,0,0,COUNTA([2]quests!$A:$A),MATCH(E$1,[2]quests!$1:$1,0)-MATCH($B$1,[2]quests!$1:$1,0)+1),MATCH(E$1,[2]quests!$1:$1,0)-MATCH($B$1,[2]quests!$1:$1,0)+1,FALSE)</f>
        <v>ジャンヌ襲来！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【ウィザード級】ジャンヌ襲来</v>
      </c>
      <c r="G13" s="110">
        <v>2</v>
      </c>
      <c r="H13" s="14" t="str">
        <f t="shared" si="7"/>
        <v>41003_2-2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26" t="s">
        <v>167</v>
      </c>
      <c r="L13" s="84">
        <v>49</v>
      </c>
      <c r="M13" s="16" t="str">
        <f ca="1">VLOOKUP($L13,OFFSET([3]enemies!$A$1,0,0,COUNTA([3]enemies!$A:$A),MATCH(M$1,[3]enemies!$1:$1,0)-MATCH($L$1,[3]enemies!$1:$1,0)+1),MATCH(M$1,[3]enemies!$1:$1,0)-MATCH($L$1,[3]enemies!$1:$1,0)+1,FALSE)</f>
        <v>ヨシタカ</v>
      </c>
      <c r="N13" s="16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6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6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6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60</v>
      </c>
      <c r="S13" s="89">
        <v>3.6</v>
      </c>
      <c r="T13" s="89">
        <v>1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赤パネルを時限式ダメージパネルに変換</v>
      </c>
      <c r="W13" s="144">
        <v>41003013</v>
      </c>
      <c r="X13" s="6">
        <v>1</v>
      </c>
      <c r="Y13" s="6">
        <v>100</v>
      </c>
      <c r="Z13" s="6">
        <v>0</v>
      </c>
      <c r="AA13" s="16">
        <v>2</v>
      </c>
      <c r="AB13" s="111">
        <f t="shared" si="8"/>
        <v>49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ヨシタカ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2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Drop1N</v>
      </c>
      <c r="AF13" s="112">
        <v>1</v>
      </c>
      <c r="AG13" s="111">
        <f t="shared" ca="1" si="9"/>
        <v>2</v>
      </c>
      <c r="AH13" s="204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1</v>
      </c>
      <c r="AN13" s="56">
        <v>1</v>
      </c>
    </row>
    <row r="14" spans="1:40" s="113" customFormat="1" ht="21" customHeight="1" x14ac:dyDescent="0.15">
      <c r="A14" s="109" t="str">
        <f t="shared" si="5"/>
        <v>41003_2-2/51&lt;lv60&gt;s2</v>
      </c>
      <c r="B14" s="129">
        <v>41003</v>
      </c>
      <c r="C14" s="110">
        <v>2</v>
      </c>
      <c r="D14" s="14" t="str">
        <f t="shared" si="6"/>
        <v>41003_2</v>
      </c>
      <c r="E14" s="4" t="str">
        <f ca="1">VLOOKUP($B14,OFFSET([2]quests!$A$1,0,0,COUNTA([2]quests!$A:$A),MATCH(E$1,[2]quests!$1:$1,0)-MATCH($B$1,[2]quests!$1:$1,0)+1),MATCH(E$1,[2]quests!$1:$1,0)-MATCH($B$1,[2]quests!$1:$1,0)+1,FALSE)</f>
        <v>ジャンヌ襲来！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【ウィザード級】ジャンヌ襲来</v>
      </c>
      <c r="G14" s="110">
        <v>2</v>
      </c>
      <c r="H14" s="14" t="str">
        <f t="shared" si="7"/>
        <v>41003_2-2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26" t="s">
        <v>167</v>
      </c>
      <c r="L14" s="84">
        <v>51</v>
      </c>
      <c r="M14" s="16" t="str">
        <f ca="1">VLOOKUP($L14,OFFSET([3]enemies!$A$1,0,0,COUNTA([3]enemies!$A:$A),MATCH(M$1,[3]enemies!$1:$1,0)-MATCH($L$1,[3]enemies!$1:$1,0)+1),MATCH(M$1,[3]enemies!$1:$1,0)-MATCH($L$1,[3]enemies!$1:$1,0)+1,FALSE)</f>
        <v>マイ</v>
      </c>
      <c r="N14" s="16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16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6" t="str">
        <f ca="1">VLOOKUP($L14,OFFSET([3]enemies!$A$1,0,0,COUNTA([3]enemies!$A:$A),MATCH(P$1,[3]enemies!$1:$1,0)-MATCH($L$1,[3]enemies!$1:$1,0)+1),MATCH(P$1,[3]enemies!$1:$1,0)-MATCH($L$1,[3]enemies!$1:$1,0)+1,FALSE)</f>
        <v>human</v>
      </c>
      <c r="Q14" s="16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60</v>
      </c>
      <c r="S14" s="89">
        <v>3.4</v>
      </c>
      <c r="T14" s="89">
        <v>0.7</v>
      </c>
      <c r="U14" s="5">
        <v>0</v>
      </c>
      <c r="V14" s="4" t="str">
        <f ca="1">VLOOKUP($W14,OFFSET(enemy_skill_sets!$B$1,0,0,COUNTA(enemy_skill_sets!$B:$B),MATCH(M$1,enemy_skill_sets!$1:$1,0)-MATCH($W$1,enemy_skill_sets!$1:$1,0)+2),MATCH(M$1,enemy_skill_sets!$1:$1,0)-MATCH($W$1,enemy_skill_sets!$1:$1,0)+2,FALSE)</f>
        <v>緑パネルを時限式ダメージパネルに変換</v>
      </c>
      <c r="W14" s="145">
        <v>41003014</v>
      </c>
      <c r="X14" s="6">
        <v>1</v>
      </c>
      <c r="Y14" s="6">
        <v>100</v>
      </c>
      <c r="Z14" s="6">
        <v>0</v>
      </c>
      <c r="AA14" s="16">
        <v>2</v>
      </c>
      <c r="AB14" s="111">
        <f t="shared" si="8"/>
        <v>51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マイ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2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Drop1N</v>
      </c>
      <c r="AF14" s="112">
        <v>1</v>
      </c>
      <c r="AG14" s="111">
        <f t="shared" ca="1" si="9"/>
        <v>2</v>
      </c>
      <c r="AH14" s="56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1</v>
      </c>
      <c r="AN14" s="56">
        <v>1</v>
      </c>
    </row>
    <row r="15" spans="1:40" s="113" customFormat="1" ht="21" customHeight="1" x14ac:dyDescent="0.15">
      <c r="A15" s="109" t="str">
        <f t="shared" si="5"/>
        <v>41003_2-2/55&lt;lv60&gt;s2</v>
      </c>
      <c r="B15" s="129">
        <v>41003</v>
      </c>
      <c r="C15" s="110">
        <v>2</v>
      </c>
      <c r="D15" s="14" t="str">
        <f t="shared" si="6"/>
        <v>41003_2</v>
      </c>
      <c r="E15" s="4" t="str">
        <f ca="1">VLOOKUP($B15,OFFSET([2]quests!$A$1,0,0,COUNTA([2]quests!$A:$A),MATCH(E$1,[2]quests!$1:$1,0)-MATCH($B$1,[2]quests!$1:$1,0)+1),MATCH(E$1,[2]quests!$1:$1,0)-MATCH($B$1,[2]quests!$1:$1,0)+1,FALSE)</f>
        <v>ジャンヌ襲来！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【ウィザード級】ジャンヌ襲来</v>
      </c>
      <c r="G15" s="110">
        <v>2</v>
      </c>
      <c r="H15" s="14" t="str">
        <f t="shared" si="7"/>
        <v>41003_2-2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26" t="s">
        <v>167</v>
      </c>
      <c r="L15" s="84">
        <v>55</v>
      </c>
      <c r="M15" s="16" t="str">
        <f ca="1">VLOOKUP($L15,OFFSET([3]enemies!$A$1,0,0,COUNTA([3]enemies!$A:$A),MATCH(M$1,[3]enemies!$1:$1,0)-MATCH($L$1,[3]enemies!$1:$1,0)+1),MATCH(M$1,[3]enemies!$1:$1,0)-MATCH($L$1,[3]enemies!$1:$1,0)+1,FALSE)</f>
        <v>マミコ</v>
      </c>
      <c r="N15" s="16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6" t="str">
        <f ca="1">VLOOKUP($L15,OFFSET([4]characters!$A$1,0,0,COUNTA([4]characters!$A:$A),MATCH(O$1,[4]characters!$1:$1,0)-MATCH($L$1,[4]characters!$1:$1,0)+1),MATCH(O$1,[4]characters!$1:$1,0)-MATCH($L$1,[4]characters!$1:$1,0)+1,FALSE)</f>
        <v>Drop1N</v>
      </c>
      <c r="P15" s="16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6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60</v>
      </c>
      <c r="S15" s="89">
        <v>4</v>
      </c>
      <c r="T15" s="89">
        <v>0.6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黄パネルを時限式ダメージパネルに変換</v>
      </c>
      <c r="W15" s="144">
        <v>41003015</v>
      </c>
      <c r="X15" s="6">
        <v>1</v>
      </c>
      <c r="Y15" s="6">
        <v>100</v>
      </c>
      <c r="Z15" s="6">
        <v>0</v>
      </c>
      <c r="AA15" s="16">
        <v>2</v>
      </c>
      <c r="AB15" s="111">
        <f t="shared" si="8"/>
        <v>55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マミコ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2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Drop1N</v>
      </c>
      <c r="AF15" s="112">
        <v>1</v>
      </c>
      <c r="AG15" s="111">
        <f t="shared" ca="1" si="9"/>
        <v>2</v>
      </c>
      <c r="AH15" s="204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1</v>
      </c>
      <c r="AN15" s="56">
        <v>1</v>
      </c>
    </row>
    <row r="16" spans="1:40" s="113" customFormat="1" ht="21" customHeight="1" x14ac:dyDescent="0.15">
      <c r="A16" s="109" t="str">
        <f t="shared" si="5"/>
        <v>41003_2-3/258&lt;lv52&gt;s2</v>
      </c>
      <c r="B16" s="129">
        <v>41003</v>
      </c>
      <c r="C16" s="110">
        <v>2</v>
      </c>
      <c r="D16" s="14" t="str">
        <f t="shared" si="6"/>
        <v>41003_2</v>
      </c>
      <c r="E16" s="4" t="str">
        <f ca="1">VLOOKUP($B16,OFFSET([2]quests!$A$1,0,0,COUNTA([2]quests!$A:$A),MATCH(E$1,[2]quests!$1:$1,0)-MATCH($B$1,[2]quests!$1:$1,0)+1),MATCH(E$1,[2]quests!$1:$1,0)-MATCH($B$1,[2]quests!$1:$1,0)+1,FALSE)</f>
        <v>ジャンヌ襲来！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【ウィザード級】ジャンヌ襲来</v>
      </c>
      <c r="G16" s="110">
        <v>3</v>
      </c>
      <c r="H16" s="14" t="str">
        <f t="shared" si="7"/>
        <v>41003_2-3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26">
        <v>3</v>
      </c>
      <c r="L16" s="84">
        <v>258</v>
      </c>
      <c r="M16" s="16" t="str">
        <f ca="1">VLOOKUP($L16,OFFSET([3]enemies!$A$1,0,0,COUNTA([3]enemies!$A:$A),MATCH(M$1,[3]enemies!$1:$1,0)-MATCH($L$1,[3]enemies!$1:$1,0)+1),MATCH(M$1,[3]enemies!$1:$1,0)-MATCH($L$1,[3]enemies!$1:$1,0)+1,FALSE)</f>
        <v>色欲の源流 アスモデウス</v>
      </c>
      <c r="N16" s="16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6" t="str">
        <f ca="1">VLOOKUP($L16,OFFSET([4]characters!$A$1,0,0,COUNTA([4]characters!$A:$A),MATCH(O$1,[4]characters!$1:$1,0)-MATCH($L$1,[4]characters!$1:$1,0)+1),MATCH(O$1,[4]characters!$1:$1,0)-MATCH($L$1,[4]characters!$1:$1,0)+1,FALSE)</f>
        <v>PremiumS</v>
      </c>
      <c r="P16" s="16" t="str">
        <f ca="1">VLOOKUP($L16,OFFSET([3]enemies!$A$1,0,0,COUNTA([3]enemies!$A:$A),MATCH(P$1,[3]enemies!$1:$1,0)-MATCH($L$1,[3]enemies!$1:$1,0)+1),MATCH(P$1,[3]enemies!$1:$1,0)-MATCH($L$1,[3]enemies!$1:$1,0)+1,FALSE)</f>
        <v>god</v>
      </c>
      <c r="Q16" s="16">
        <f ca="1">VLOOKUP($L16,OFFSET([3]enemies!$A$1,0,0,COUNTA([3]enemies!$A:$A),MATCH(Q$1,[3]enemies!$1:$1,0)-MATCH($L$1,[3]enemies!$1:$1,0)+1),MATCH(Q$1,[3]enemies!$1:$1,0)-MATCH($L$1,[3]enemies!$1:$1,0)+1,FALSE)</f>
        <v>60</v>
      </c>
      <c r="R16" s="5">
        <v>52</v>
      </c>
      <c r="S16" s="89">
        <v>2.5</v>
      </c>
      <c r="T16" s="89">
        <v>1.2</v>
      </c>
      <c r="U16" s="5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4ターンの間Cパネル生成延長</v>
      </c>
      <c r="W16" s="144">
        <v>41003016</v>
      </c>
      <c r="X16" s="6">
        <v>0</v>
      </c>
      <c r="Y16" s="6">
        <v>100</v>
      </c>
      <c r="Z16" s="6">
        <v>1</v>
      </c>
      <c r="AA16" s="16">
        <v>2</v>
      </c>
      <c r="AB16" s="111">
        <f t="shared" si="8"/>
        <v>258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色欲の源流 アスモデウス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5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6" s="112">
        <v>1</v>
      </c>
      <c r="AG16" s="111">
        <f t="shared" ca="1" si="9"/>
        <v>5</v>
      </c>
      <c r="AH16" s="56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1</v>
      </c>
      <c r="AN16" s="56">
        <v>1</v>
      </c>
    </row>
    <row r="17" spans="1:40" s="127" customFormat="1" ht="21" customHeight="1" thickBot="1" x14ac:dyDescent="0.2">
      <c r="A17" s="114" t="str">
        <f t="shared" si="5"/>
        <v>41003_2-4/315&lt;lv80&gt;s2</v>
      </c>
      <c r="B17" s="167">
        <v>41003</v>
      </c>
      <c r="C17" s="115">
        <v>2</v>
      </c>
      <c r="D17" s="116" t="str">
        <f t="shared" si="6"/>
        <v>41003_2</v>
      </c>
      <c r="E17" s="117" t="str">
        <f ca="1">VLOOKUP($B17,OFFSET([2]quests!$A$1,0,0,COUNTA([2]quests!$A:$A),MATCH(E$1,[2]quests!$1:$1,0)-MATCH($B$1,[2]quests!$1:$1,0)+1),MATCH(E$1,[2]quests!$1:$1,0)-MATCH($B$1,[2]quests!$1:$1,0)+1,FALSE)</f>
        <v>ジャンヌ襲来！</v>
      </c>
      <c r="F17" s="117" t="str">
        <f ca="1">VLOOKUP($D17,OFFSET([2]stages!$A$1,0,0,COUNTA([2]stages!$A:$A),MATCH(F$1,[2]stages!$2:$2,0)-MATCH($D$1,[2]stages!$2:$2,0)+1),MATCH(F$1,[2]stages!$2:$2,0)-MATCH($D$1,[2]stages!$2:$2,0)+1,FALSE)</f>
        <v>【ウィザード級】ジャンヌ襲来</v>
      </c>
      <c r="G17" s="115">
        <v>4</v>
      </c>
      <c r="H17" s="116" t="str">
        <f t="shared" si="7"/>
        <v>41003_2-4</v>
      </c>
      <c r="I17" s="117">
        <f ca="1">VLOOKUP($H17,OFFSET(floors!$A$1,0,0,COUNTA(floors!$A:$A),MATCH(I$1,floors!$1:$1,0)-MATCH($H$1,floors!$1:$1,0)+1),MATCH(I$1,floors!$1:$1,0)-MATCH($H$1,floors!$1:$1,0)+1,FALSE)</f>
        <v>60</v>
      </c>
      <c r="J17" s="117">
        <f ca="1">VLOOKUP($H17,OFFSET(floors!$A$1,0,0,COUNTA(floors!$A:$A),MATCH(J$1,floors!$1:$1,0)-MATCH($H$1,floors!$1:$1,0)+1),MATCH(J$1,floors!$1:$1,0)-MATCH($H$1,floors!$1:$1,0)+1,FALSE)</f>
        <v>60</v>
      </c>
      <c r="K17" s="118">
        <v>4</v>
      </c>
      <c r="L17" s="119">
        <v>315</v>
      </c>
      <c r="M17" s="120" t="str">
        <f ca="1">VLOOKUP($L17,OFFSET([3]enemies!$A$1,0,0,COUNTA([3]enemies!$A:$A),MATCH(M$1,[3]enemies!$1:$1,0)-MATCH($L$1,[3]enemies!$1:$1,0)+1),MATCH(M$1,[3]enemies!$1:$1,0)-MATCH($L$1,[3]enemies!$1:$1,0)+1,FALSE)</f>
        <v>鉄馬駆る聖女 ジャンヌ</v>
      </c>
      <c r="N17" s="120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20" t="str">
        <f ca="1">VLOOKUP($L17,OFFSET([4]characters!$A$1,0,0,COUNTA([4]characters!$A:$A),MATCH(O$1,[4]characters!$1:$1,0)-MATCH($L$1,[4]characters!$1:$1,0)+1),MATCH(O$1,[4]characters!$1:$1,0)-MATCH($L$1,[4]characters!$1:$1,0)+1,FALSE)</f>
        <v>DropWizS</v>
      </c>
      <c r="P17" s="120" t="str">
        <f ca="1">VLOOKUP($L17,OFFSET([3]enemies!$A$1,0,0,COUNTA([3]enemies!$A:$A),MATCH(P$1,[3]enemies!$1:$1,0)-MATCH($L$1,[3]enemies!$1:$1,0)+1),MATCH(P$1,[3]enemies!$1:$1,0)-MATCH($L$1,[3]enemies!$1:$1,0)+1,FALSE)</f>
        <v>human</v>
      </c>
      <c r="Q17" s="120">
        <f ca="1">VLOOKUP($L17,OFFSET([3]enemies!$A$1,0,0,COUNTA([3]enemies!$A:$A),MATCH(Q$1,[3]enemies!$1:$1,0)-MATCH($L$1,[3]enemies!$1:$1,0)+1),MATCH(Q$1,[3]enemies!$1:$1,0)-MATCH($L$1,[3]enemies!$1:$1,0)+1,FALSE)</f>
        <v>60</v>
      </c>
      <c r="R17" s="121">
        <v>80</v>
      </c>
      <c r="S17" s="122">
        <v>3.4</v>
      </c>
      <c r="T17" s="154">
        <v>2</v>
      </c>
      <c r="U17" s="121">
        <v>0</v>
      </c>
      <c r="V17" s="117" t="str">
        <f ca="1">VLOOKUP($W17,OFFSET(enemy_skill_sets!$B$1,0,0,COUNTA(enemy_skill_sets!$B:$B),MATCH(M$1,enemy_skill_sets!$1:$1,0)-MATCH($W$1,enemy_skill_sets!$1:$1,0)+2),MATCH(M$1,enemy_skill_sets!$1:$1,0)-MATCH($W$1,enemy_skill_sets!$1:$1,0)+2,FALSE)</f>
        <v>5ターンの間Cパネル生成延長</v>
      </c>
      <c r="W17" s="168">
        <v>41003017</v>
      </c>
      <c r="X17" s="156">
        <v>0</v>
      </c>
      <c r="Y17" s="156">
        <v>100</v>
      </c>
      <c r="Z17" s="156">
        <v>1</v>
      </c>
      <c r="AA17" s="152">
        <v>2</v>
      </c>
      <c r="AB17" s="157">
        <v>314</v>
      </c>
      <c r="AC17" s="117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ジャンヌ</v>
      </c>
      <c r="AD17" s="117">
        <f ca="1">VLOOKUP($AB17,OFFSET([4]characters!$A$1,0,0,COUNTA([4]characters!$A:$A),MATCH(AD$1,[4]characters!$1:$1,0)-MATCH("character_id",[4]characters!$1:$1,0)+1),MATCH(AD$1,[4]characters!$1:$1,0)-MATCH("character_id",[4]characters!$1:$1,0)+1,FALSE)</f>
        <v>4</v>
      </c>
      <c r="AE17" s="117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7" s="124">
        <v>1</v>
      </c>
      <c r="AG17" s="123">
        <f t="shared" ca="1" si="9"/>
        <v>4</v>
      </c>
      <c r="AH17" s="125">
        <v>30</v>
      </c>
      <c r="AI17" s="124">
        <v>0</v>
      </c>
      <c r="AJ17" s="124">
        <v>0</v>
      </c>
      <c r="AK17" s="124">
        <v>0</v>
      </c>
      <c r="AL17" s="124">
        <v>0</v>
      </c>
      <c r="AM17" s="124">
        <v>1</v>
      </c>
      <c r="AN17" s="126">
        <v>1</v>
      </c>
    </row>
    <row r="18" spans="1:40" s="108" customFormat="1" ht="21" customHeight="1" thickBot="1" x14ac:dyDescent="0.2">
      <c r="A18" s="95" t="str">
        <f>B18&amp;"_"&amp;C18&amp;"-"&amp;G18&amp;"/"&amp;L18&amp;"&lt;lv"&amp;R18&amp;"&gt;s"&amp;AA18</f>
        <v>41003_3-1/155&lt;lv70&gt;s2</v>
      </c>
      <c r="B18" s="165">
        <v>41003</v>
      </c>
      <c r="C18" s="96">
        <v>3</v>
      </c>
      <c r="D18" s="97" t="str">
        <f>B18&amp;"_"&amp;C18</f>
        <v>41003_3</v>
      </c>
      <c r="E18" s="98" t="str">
        <f ca="1">VLOOKUP($B18,OFFSET([2]quests!$A$1,0,0,COUNTA([2]quests!$A:$A),MATCH(E$1,[2]quests!$1:$1,0)-MATCH($B$1,[2]quests!$1:$1,0)+1),MATCH(E$1,[2]quests!$1:$1,0)-MATCH($B$1,[2]quests!$1:$1,0)+1,FALSE)</f>
        <v>ジャンヌ襲来！</v>
      </c>
      <c r="F18" s="98" t="str">
        <f ca="1">VLOOKUP($D18,OFFSET([2]stages!$A$1,0,0,COUNTA([2]stages!$A:$A),MATCH(F$1,[2]stages!$2:$2,0)-MATCH($D$1,[2]stages!$2:$2,0)+1),MATCH(F$1,[2]stages!$2:$2,0)-MATCH($D$1,[2]stages!$2:$2,0)+1,FALSE)</f>
        <v>【ノーコンテニュー】ジャンヌ襲来</v>
      </c>
      <c r="G18" s="96">
        <v>1</v>
      </c>
      <c r="H18" s="97" t="str">
        <f>B18&amp;"_"&amp;C18&amp;"-"&amp;G18</f>
        <v>41003_3-1</v>
      </c>
      <c r="I18" s="98">
        <f ca="1">VLOOKUP($H18,OFFSET(floors!$A$1,0,0,COUNTA(floors!$A:$A),MATCH(I$1,floors!$1:$1,0)-MATCH($H$1,floors!$1:$1,0)+1),MATCH(I$1,floors!$1:$1,0)-MATCH($H$1,floors!$1:$1,0)+1,FALSE)</f>
        <v>60</v>
      </c>
      <c r="J18" s="98">
        <f ca="1">VLOOKUP($H18,OFFSET(floors!$A$1,0,0,COUNTA(floors!$A:$A),MATCH(J$1,floors!$1:$1,0)-MATCH($H$1,floors!$1:$1,0)+1),MATCH(J$1,floors!$1:$1,0)-MATCH($H$1,floors!$1:$1,0)+1,FALSE)</f>
        <v>60</v>
      </c>
      <c r="K18" s="99" t="s">
        <v>167</v>
      </c>
      <c r="L18" s="100">
        <v>155</v>
      </c>
      <c r="M18" s="101" t="str">
        <f ca="1">VLOOKUP($L18,OFFSET([3]enemies!$A$1,0,0,COUNTA([3]enemies!$A:$A),MATCH(M$1,[3]enemies!$1:$1,0)-MATCH($L$1,[3]enemies!$1:$1,0)+1),MATCH(M$1,[3]enemies!$1:$1,0)-MATCH($L$1,[3]enemies!$1:$1,0)+1,FALSE)</f>
        <v>隻眼の掃除屋 ハンナ</v>
      </c>
      <c r="N18" s="101" t="str">
        <f ca="1">VLOOKUP($L18,OFFSET([3]enemies!$A$1,0,0,COUNTA([3]enemies!$A:$A),MATCH(N$1,[3]enemies!$1:$1,0)-MATCH($L$1,[3]enemies!$1:$1,0)+1),MATCH(N$1,[3]enemies!$1:$1,0)-MATCH($L$1,[3]enemies!$1:$1,0)+1,FALSE)</f>
        <v>blue</v>
      </c>
      <c r="O18" s="101" t="str">
        <f ca="1">VLOOKUP($L18,OFFSET([4]characters!$A$1,0,0,COUNTA([4]characters!$A:$A),MATCH(O$1,[4]characters!$1:$1,0)-MATCH($L$1,[4]characters!$1:$1,0)+1),MATCH(O$1,[4]characters!$1:$1,0)-MATCH($L$1,[4]characters!$1:$1,0)+1,FALSE)</f>
        <v>PremiumW</v>
      </c>
      <c r="P18" s="101" t="str">
        <f ca="1">VLOOKUP($L18,OFFSET([3]enemies!$A$1,0,0,COUNTA([3]enemies!$A:$A),MATCH(P$1,[3]enemies!$1:$1,0)-MATCH($L$1,[3]enemies!$1:$1,0)+1),MATCH(P$1,[3]enemies!$1:$1,0)-MATCH($L$1,[3]enemies!$1:$1,0)+1,FALSE)</f>
        <v>human</v>
      </c>
      <c r="Q18" s="101">
        <f ca="1">VLOOKUP($L18,OFFSET([3]enemies!$A$1,0,0,COUNTA([3]enemies!$A:$A),MATCH(Q$1,[3]enemies!$1:$1,0)-MATCH($L$1,[3]enemies!$1:$1,0)+1),MATCH(Q$1,[3]enemies!$1:$1,0)-MATCH($L$1,[3]enemies!$1:$1,0)+1,FALSE)</f>
        <v>30</v>
      </c>
      <c r="R18" s="102">
        <v>70</v>
      </c>
      <c r="S18" s="103">
        <v>3</v>
      </c>
      <c r="T18" s="103">
        <v>1.2</v>
      </c>
      <c r="U18" s="102">
        <v>0</v>
      </c>
      <c r="V18" s="98" t="str">
        <f ca="1">VLOOKUP($W18,OFFSET(enemy_skill_sets!$B$1,0,0,COUNTA(enemy_skill_sets!$B:$B),MATCH(M$1,enemy_skill_sets!$1:$1,0)-MATCH($W$1,enemy_skill_sets!$1:$1,0)+2),MATCH(M$1,enemy_skill_sets!$1:$1,0)-MATCH($W$1,enemy_skill_sets!$1:$1,0)+2,FALSE)</f>
        <v>1ターンの間回復力が50%DOWN＋攻撃</v>
      </c>
      <c r="W18" s="166">
        <v>41003011</v>
      </c>
      <c r="X18" s="195">
        <v>1</v>
      </c>
      <c r="Y18" s="196">
        <v>100</v>
      </c>
      <c r="Z18" s="196">
        <v>0</v>
      </c>
      <c r="AA18" s="101">
        <v>2</v>
      </c>
      <c r="AB18" s="105">
        <f>L18</f>
        <v>155</v>
      </c>
      <c r="AC18" s="98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隻眼の掃除屋 ハンナ</v>
      </c>
      <c r="AD18" s="98">
        <f ca="1">VLOOKUP($AB18,OFFSET([4]characters!$A$1,0,0,COUNTA([4]characters!$A:$A),MATCH(AD$1,[4]characters!$1:$1,0)-MATCH("character_id",[4]characters!$1:$1,0)+1),MATCH(AD$1,[4]characters!$1:$1,0)-MATCH("character_id",[4]characters!$1:$1,0)+1,FALSE)</f>
        <v>4</v>
      </c>
      <c r="AE18" s="98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8" s="106">
        <v>1</v>
      </c>
      <c r="AG18" s="105">
        <f ca="1">AD18</f>
        <v>4</v>
      </c>
      <c r="AH18" s="5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1</v>
      </c>
      <c r="AN18" s="107">
        <v>1</v>
      </c>
    </row>
    <row r="19" spans="1:40" s="113" customFormat="1" ht="21" customHeight="1" x14ac:dyDescent="0.15">
      <c r="A19" s="109" t="str">
        <f>B19&amp;"_"&amp;C19&amp;"-"&amp;G19&amp;"/"&amp;L19&amp;"&lt;lv"&amp;R19&amp;"&gt;s"&amp;AA19</f>
        <v>41003_3-1/92&lt;lv70&gt;s3</v>
      </c>
      <c r="B19" s="129">
        <v>41003</v>
      </c>
      <c r="C19" s="110">
        <v>3</v>
      </c>
      <c r="D19" s="14" t="str">
        <f>B19&amp;"_"&amp;C19</f>
        <v>41003_3</v>
      </c>
      <c r="E19" s="4" t="str">
        <f ca="1">VLOOKUP($B19,OFFSET([2]quests!$A$1,0,0,COUNTA([2]quests!$A:$A),MATCH(E$1,[2]quests!$1:$1,0)-MATCH($B$1,[2]quests!$1:$1,0)+1),MATCH(E$1,[2]quests!$1:$1,0)-MATCH($B$1,[2]quests!$1:$1,0)+1,FALSE)</f>
        <v>ジャンヌ襲来！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【ノーコンテニュー】ジャンヌ襲来</v>
      </c>
      <c r="G19" s="110">
        <v>1</v>
      </c>
      <c r="H19" s="14" t="str">
        <f>B19&amp;"_"&amp;C19&amp;"-"&amp;G19</f>
        <v>41003_3-1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26" t="s">
        <v>167</v>
      </c>
      <c r="L19" s="84">
        <v>92</v>
      </c>
      <c r="M19" s="16" t="str">
        <f ca="1">VLOOKUP($L19,OFFSET([3]enemies!$A$1,0,0,COUNTA([3]enemies!$A:$A),MATCH(M$1,[3]enemies!$1:$1,0)-MATCH($L$1,[3]enemies!$1:$1,0)+1),MATCH(M$1,[3]enemies!$1:$1,0)-MATCH($L$1,[3]enemies!$1:$1,0)+1,FALSE)</f>
        <v>守護者 青龍</v>
      </c>
      <c r="N19" s="16" t="str">
        <f ca="1">VLOOKUP($L19,OFFSET([3]enemies!$A$1,0,0,COUNTA([3]enemies!$A:$A),MATCH(N$1,[3]enemies!$1:$1,0)-MATCH($L$1,[3]enemies!$1:$1,0)+1),MATCH(N$1,[3]enemies!$1:$1,0)-MATCH($L$1,[3]enemies!$1:$1,0)+1,FALSE)</f>
        <v>blue</v>
      </c>
      <c r="O19" s="16" t="str">
        <f ca="1">VLOOKUP($L19,OFFSET([4]characters!$A$1,0,0,COUNTA([4]characters!$A:$A),MATCH(O$1,[4]characters!$1:$1,0)-MATCH($L$1,[4]characters!$1:$1,0)+1),MATCH(O$1,[4]characters!$1:$1,0)-MATCH($L$1,[4]characters!$1:$1,0)+1,FALSE)</f>
        <v>Drop2N</v>
      </c>
      <c r="P19" s="16" t="str">
        <f ca="1">VLOOKUP($L19,OFFSET([3]enemies!$A$1,0,0,COUNTA([3]enemies!$A:$A),MATCH(P$1,[3]enemies!$1:$1,0)-MATCH($L$1,[3]enemies!$1:$1,0)+1),MATCH(P$1,[3]enemies!$1:$1,0)-MATCH($L$1,[3]enemies!$1:$1,0)+1,FALSE)</f>
        <v>dragon</v>
      </c>
      <c r="Q19" s="16">
        <f ca="1">VLOOKUP($L19,OFFSET([3]enemies!$A$1,0,0,COUNTA([3]enemies!$A:$A),MATCH(Q$1,[3]enemies!$1:$1,0)-MATCH($L$1,[3]enemies!$1:$1,0)+1),MATCH(Q$1,[3]enemies!$1:$1,0)-MATCH($L$1,[3]enemies!$1:$1,0)+1,FALSE)</f>
        <v>30</v>
      </c>
      <c r="R19" s="5">
        <v>70</v>
      </c>
      <c r="S19" s="89">
        <v>1.9</v>
      </c>
      <c r="T19" s="103">
        <v>1.2</v>
      </c>
      <c r="U19" s="5">
        <v>0</v>
      </c>
      <c r="V19" s="4" t="str">
        <f ca="1">VLOOKUP($W19,OFFSET(enemy_skill_sets!$B$1,0,0,COUNTA(enemy_skill_sets!$B:$B),MATCH(M$1,enemy_skill_sets!$1:$1,0)-MATCH($W$1,enemy_skill_sets!$1:$1,0)+2),MATCH(M$1,enemy_skill_sets!$1:$1,0)-MATCH($W$1,enemy_skill_sets!$1:$1,0)+2,FALSE)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9" s="144">
        <v>41003012</v>
      </c>
      <c r="X19" s="197">
        <v>1</v>
      </c>
      <c r="Y19" s="198">
        <v>100</v>
      </c>
      <c r="Z19" s="198">
        <v>0</v>
      </c>
      <c r="AA19" s="16">
        <v>3</v>
      </c>
      <c r="AB19" s="111">
        <f>L19</f>
        <v>92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守護者 青龍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4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Drop2N</v>
      </c>
      <c r="AF19" s="112">
        <v>1</v>
      </c>
      <c r="AG19" s="111">
        <f ca="1">AD19</f>
        <v>4</v>
      </c>
      <c r="AH19" s="160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1</v>
      </c>
      <c r="AN19" s="56">
        <v>1</v>
      </c>
    </row>
    <row r="20" spans="1:40" s="113" customFormat="1" ht="21" customHeight="1" x14ac:dyDescent="0.15">
      <c r="A20" s="109" t="str">
        <f t="shared" ref="A20:A25" si="10">B20&amp;"_"&amp;C20&amp;"-"&amp;G20&amp;"/"&amp;L20&amp;"&lt;lv"&amp;R20&amp;"&gt;s"&amp;AA20</f>
        <v>41003_3-2/53&lt;lv60&gt;s2</v>
      </c>
      <c r="B20" s="129">
        <v>41003</v>
      </c>
      <c r="C20" s="110">
        <v>3</v>
      </c>
      <c r="D20" s="14" t="str">
        <f t="shared" ref="D20:D25" si="11">B20&amp;"_"&amp;C20</f>
        <v>41003_3</v>
      </c>
      <c r="E20" s="4" t="str">
        <f ca="1">VLOOKUP($B20,OFFSET([2]quests!$A$1,0,0,COUNTA([2]quests!$A:$A),MATCH(E$1,[2]quests!$1:$1,0)-MATCH($B$1,[2]quests!$1:$1,0)+1),MATCH(E$1,[2]quests!$1:$1,0)-MATCH($B$1,[2]quests!$1:$1,0)+1,FALSE)</f>
        <v>ジャンヌ襲来！</v>
      </c>
      <c r="F20" s="4" t="str">
        <f ca="1">VLOOKUP($D20,OFFSET([2]stages!$A$1,0,0,COUNTA([2]stages!$A:$A),MATCH(F$1,[2]stages!$2:$2,0)-MATCH($D$1,[2]stages!$2:$2,0)+1),MATCH(F$1,[2]stages!$2:$2,0)-MATCH($D$1,[2]stages!$2:$2,0)+1,FALSE)</f>
        <v>【ノーコンテニュー】ジャンヌ襲来</v>
      </c>
      <c r="G20" s="110">
        <v>2</v>
      </c>
      <c r="H20" s="14" t="str">
        <f t="shared" ref="H20:H25" si="12">B20&amp;"_"&amp;C20&amp;"-"&amp;G20</f>
        <v>41003_3-2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26" t="s">
        <v>167</v>
      </c>
      <c r="L20" s="84">
        <v>53</v>
      </c>
      <c r="M20" s="16" t="str">
        <f ca="1">VLOOKUP($L20,OFFSET([3]enemies!$A$1,0,0,COUNTA([3]enemies!$A:$A),MATCH(M$1,[3]enemies!$1:$1,0)-MATCH($L$1,[3]enemies!$1:$1,0)+1),MATCH(M$1,[3]enemies!$1:$1,0)-MATCH($L$1,[3]enemies!$1:$1,0)+1,FALSE)</f>
        <v>ケンジ</v>
      </c>
      <c r="N20" s="16" t="str">
        <f ca="1">VLOOKUP($L20,OFFSET([3]enemies!$A$1,0,0,COUNTA([3]enemies!$A:$A),MATCH(N$1,[3]enemies!$1:$1,0)-MATCH($L$1,[3]enemies!$1:$1,0)+1),MATCH(N$1,[3]enemies!$1:$1,0)-MATCH($L$1,[3]enemies!$1:$1,0)+1,FALSE)</f>
        <v>blue</v>
      </c>
      <c r="O20" s="16" t="str">
        <f ca="1">VLOOKUP($L20,OFFSET([4]characters!$A$1,0,0,COUNTA([4]characters!$A:$A),MATCH(O$1,[4]characters!$1:$1,0)-MATCH($L$1,[4]characters!$1:$1,0)+1),MATCH(O$1,[4]characters!$1:$1,0)-MATCH($L$1,[4]characters!$1:$1,0)+1,FALSE)</f>
        <v>Drop1N</v>
      </c>
      <c r="P20" s="16" t="str">
        <f ca="1">VLOOKUP($L20,OFFSET([3]enemies!$A$1,0,0,COUNTA([3]enemies!$A:$A),MATCH(P$1,[3]enemies!$1:$1,0)-MATCH($L$1,[3]enemies!$1:$1,0)+1),MATCH(P$1,[3]enemies!$1:$1,0)-MATCH($L$1,[3]enemies!$1:$1,0)+1,FALSE)</f>
        <v>human</v>
      </c>
      <c r="Q20" s="16">
        <f ca="1">VLOOKUP($L20,OFFSET([3]enemies!$A$1,0,0,COUNTA([3]enemies!$A:$A),MATCH(Q$1,[3]enemies!$1:$1,0)-MATCH($L$1,[3]enemies!$1:$1,0)+1),MATCH(Q$1,[3]enemies!$1:$1,0)-MATCH($L$1,[3]enemies!$1:$1,0)+1,FALSE)</f>
        <v>15</v>
      </c>
      <c r="R20" s="5">
        <v>60</v>
      </c>
      <c r="S20" s="89">
        <v>2</v>
      </c>
      <c r="T20" s="89">
        <v>1</v>
      </c>
      <c r="U20" s="5">
        <v>0</v>
      </c>
      <c r="V20" s="4" t="e">
        <f ca="1">VLOOKUP($W20,OFFSET(enemy_skill_sets!$B$1,0,0,COUNTA(enemy_skill_sets!$B:$B),MATCH(M$1,enemy_skill_sets!$1:$1,0)-MATCH($W$1,enemy_skill_sets!$1:$1,0)+2),MATCH(M$1,enemy_skill_sets!$1:$1,0)-MATCH($W$1,enemy_skill_sets!$1:$1,0)+2,FALSE)</f>
        <v>#N/A</v>
      </c>
      <c r="W20" s="144">
        <v>0</v>
      </c>
      <c r="X20" s="197">
        <v>1</v>
      </c>
      <c r="Y20" s="198">
        <v>100</v>
      </c>
      <c r="Z20" s="198">
        <v>0</v>
      </c>
      <c r="AA20" s="16">
        <v>2</v>
      </c>
      <c r="AB20" s="111">
        <f t="shared" ref="AB20:AB24" si="13">L20</f>
        <v>53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ケンジ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2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Drop1N</v>
      </c>
      <c r="AF20" s="112">
        <v>1</v>
      </c>
      <c r="AG20" s="111">
        <f t="shared" ref="AG20:AG25" ca="1" si="14">AD20</f>
        <v>2</v>
      </c>
      <c r="AH20" s="56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1</v>
      </c>
      <c r="AN20" s="56">
        <v>1</v>
      </c>
    </row>
    <row r="21" spans="1:40" s="113" customFormat="1" ht="21" customHeight="1" x14ac:dyDescent="0.15">
      <c r="A21" s="109" t="str">
        <f t="shared" si="10"/>
        <v>41003_3-2/49&lt;lv60&gt;s2</v>
      </c>
      <c r="B21" s="129">
        <v>41003</v>
      </c>
      <c r="C21" s="110">
        <v>3</v>
      </c>
      <c r="D21" s="14" t="str">
        <f t="shared" si="11"/>
        <v>41003_3</v>
      </c>
      <c r="E21" s="4" t="str">
        <f ca="1">VLOOKUP($B21,OFFSET([2]quests!$A$1,0,0,COUNTA([2]quests!$A:$A),MATCH(E$1,[2]quests!$1:$1,0)-MATCH($B$1,[2]quests!$1:$1,0)+1),MATCH(E$1,[2]quests!$1:$1,0)-MATCH($B$1,[2]quests!$1:$1,0)+1,FALSE)</f>
        <v>ジャンヌ襲来！</v>
      </c>
      <c r="F21" s="4" t="str">
        <f ca="1">VLOOKUP($D21,OFFSET([2]stages!$A$1,0,0,COUNTA([2]stages!$A:$A),MATCH(F$1,[2]stages!$2:$2,0)-MATCH($D$1,[2]stages!$2:$2,0)+1),MATCH(F$1,[2]stages!$2:$2,0)-MATCH($D$1,[2]stages!$2:$2,0)+1,FALSE)</f>
        <v>【ノーコンテニュー】ジャンヌ襲来</v>
      </c>
      <c r="G21" s="110">
        <v>2</v>
      </c>
      <c r="H21" s="14" t="str">
        <f t="shared" si="12"/>
        <v>41003_3-2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26" t="s">
        <v>167</v>
      </c>
      <c r="L21" s="84">
        <v>49</v>
      </c>
      <c r="M21" s="16" t="str">
        <f ca="1">VLOOKUP($L21,OFFSET([3]enemies!$A$1,0,0,COUNTA([3]enemies!$A:$A),MATCH(M$1,[3]enemies!$1:$1,0)-MATCH($L$1,[3]enemies!$1:$1,0)+1),MATCH(M$1,[3]enemies!$1:$1,0)-MATCH($L$1,[3]enemies!$1:$1,0)+1,FALSE)</f>
        <v>ヨシタカ</v>
      </c>
      <c r="N21" s="16" t="str">
        <f ca="1">VLOOKUP($L21,OFFSET([3]enemies!$A$1,0,0,COUNTA([3]enemies!$A:$A),MATCH(N$1,[3]enemies!$1:$1,0)-MATCH($L$1,[3]enemies!$1:$1,0)+1),MATCH(N$1,[3]enemies!$1:$1,0)-MATCH($L$1,[3]enemies!$1:$1,0)+1,FALSE)</f>
        <v>red</v>
      </c>
      <c r="O21" s="16" t="str">
        <f ca="1">VLOOKUP($L21,OFFSET([4]characters!$A$1,0,0,COUNTA([4]characters!$A:$A),MATCH(O$1,[4]characters!$1:$1,0)-MATCH($L$1,[4]characters!$1:$1,0)+1),MATCH(O$1,[4]characters!$1:$1,0)-MATCH($L$1,[4]characters!$1:$1,0)+1,FALSE)</f>
        <v>Drop1N</v>
      </c>
      <c r="P21" s="16" t="str">
        <f ca="1">VLOOKUP($L21,OFFSET([3]enemies!$A$1,0,0,COUNTA([3]enemies!$A:$A),MATCH(P$1,[3]enemies!$1:$1,0)-MATCH($L$1,[3]enemies!$1:$1,0)+1),MATCH(P$1,[3]enemies!$1:$1,0)-MATCH($L$1,[3]enemies!$1:$1,0)+1,FALSE)</f>
        <v>human</v>
      </c>
      <c r="Q21" s="16">
        <f ca="1">VLOOKUP($L21,OFFSET([3]enemies!$A$1,0,0,COUNTA([3]enemies!$A:$A),MATCH(Q$1,[3]enemies!$1:$1,0)-MATCH($L$1,[3]enemies!$1:$1,0)+1),MATCH(Q$1,[3]enemies!$1:$1,0)-MATCH($L$1,[3]enemies!$1:$1,0)+1,FALSE)</f>
        <v>15</v>
      </c>
      <c r="R21" s="5">
        <v>60</v>
      </c>
      <c r="S21" s="89">
        <v>3.6</v>
      </c>
      <c r="T21" s="89">
        <v>1</v>
      </c>
      <c r="U21" s="5">
        <v>0</v>
      </c>
      <c r="V21" s="4" t="str">
        <f ca="1">VLOOKUP($W21,OFFSET(enemy_skill_sets!$B$1,0,0,COUNTA(enemy_skill_sets!$B:$B),MATCH(M$1,enemy_skill_sets!$1:$1,0)-MATCH($W$1,enemy_skill_sets!$1:$1,0)+2),MATCH(M$1,enemy_skill_sets!$1:$1,0)-MATCH($W$1,enemy_skill_sets!$1:$1,0)+2,FALSE)</f>
        <v>赤パネルを時限式ダメージパネルに変換</v>
      </c>
      <c r="W21" s="144">
        <v>41003013</v>
      </c>
      <c r="X21" s="197">
        <v>1</v>
      </c>
      <c r="Y21" s="198">
        <v>100</v>
      </c>
      <c r="Z21" s="198">
        <v>0</v>
      </c>
      <c r="AA21" s="16">
        <v>2</v>
      </c>
      <c r="AB21" s="111">
        <f t="shared" si="13"/>
        <v>49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ヨシタカ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2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Drop1N</v>
      </c>
      <c r="AF21" s="112">
        <v>1</v>
      </c>
      <c r="AG21" s="111">
        <f t="shared" ca="1" si="14"/>
        <v>2</v>
      </c>
      <c r="AH21" s="204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1</v>
      </c>
      <c r="AN21" s="56">
        <v>1</v>
      </c>
    </row>
    <row r="22" spans="1:40" s="113" customFormat="1" ht="21" customHeight="1" x14ac:dyDescent="0.15">
      <c r="A22" s="109" t="str">
        <f t="shared" si="10"/>
        <v>41003_3-2/51&lt;lv60&gt;s2</v>
      </c>
      <c r="B22" s="129">
        <v>41003</v>
      </c>
      <c r="C22" s="110">
        <v>3</v>
      </c>
      <c r="D22" s="14" t="str">
        <f t="shared" si="11"/>
        <v>41003_3</v>
      </c>
      <c r="E22" s="4" t="str">
        <f ca="1">VLOOKUP($B22,OFFSET([2]quests!$A$1,0,0,COUNTA([2]quests!$A:$A),MATCH(E$1,[2]quests!$1:$1,0)-MATCH($B$1,[2]quests!$1:$1,0)+1),MATCH(E$1,[2]quests!$1:$1,0)-MATCH($B$1,[2]quests!$1:$1,0)+1,FALSE)</f>
        <v>ジャンヌ襲来！</v>
      </c>
      <c r="F22" s="4" t="str">
        <f ca="1">VLOOKUP($D22,OFFSET([2]stages!$A$1,0,0,COUNTA([2]stages!$A:$A),MATCH(F$1,[2]stages!$2:$2,0)-MATCH($D$1,[2]stages!$2:$2,0)+1),MATCH(F$1,[2]stages!$2:$2,0)-MATCH($D$1,[2]stages!$2:$2,0)+1,FALSE)</f>
        <v>【ノーコンテニュー】ジャンヌ襲来</v>
      </c>
      <c r="G22" s="110">
        <v>2</v>
      </c>
      <c r="H22" s="14" t="str">
        <f t="shared" si="12"/>
        <v>41003_3-2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26" t="s">
        <v>167</v>
      </c>
      <c r="L22" s="84">
        <v>51</v>
      </c>
      <c r="M22" s="16" t="str">
        <f ca="1">VLOOKUP($L22,OFFSET([3]enemies!$A$1,0,0,COUNTA([3]enemies!$A:$A),MATCH(M$1,[3]enemies!$1:$1,0)-MATCH($L$1,[3]enemies!$1:$1,0)+1),MATCH(M$1,[3]enemies!$1:$1,0)-MATCH($L$1,[3]enemies!$1:$1,0)+1,FALSE)</f>
        <v>マイ</v>
      </c>
      <c r="N22" s="16" t="str">
        <f ca="1">VLOOKUP($L22,OFFSET([3]enemies!$A$1,0,0,COUNTA([3]enemies!$A:$A),MATCH(N$1,[3]enemies!$1:$1,0)-MATCH($L$1,[3]enemies!$1:$1,0)+1),MATCH(N$1,[3]enemies!$1:$1,0)-MATCH($L$1,[3]enemies!$1:$1,0)+1,FALSE)</f>
        <v>green</v>
      </c>
      <c r="O22" s="16" t="str">
        <f ca="1">VLOOKUP($L22,OFFSET([4]characters!$A$1,0,0,COUNTA([4]characters!$A:$A),MATCH(O$1,[4]characters!$1:$1,0)-MATCH($L$1,[4]characters!$1:$1,0)+1),MATCH(O$1,[4]characters!$1:$1,0)-MATCH($L$1,[4]characters!$1:$1,0)+1,FALSE)</f>
        <v>Drop1N</v>
      </c>
      <c r="P22" s="16" t="str">
        <f ca="1">VLOOKUP($L22,OFFSET([3]enemies!$A$1,0,0,COUNTA([3]enemies!$A:$A),MATCH(P$1,[3]enemies!$1:$1,0)-MATCH($L$1,[3]enemies!$1:$1,0)+1),MATCH(P$1,[3]enemies!$1:$1,0)-MATCH($L$1,[3]enemies!$1:$1,0)+1,FALSE)</f>
        <v>human</v>
      </c>
      <c r="Q22" s="16">
        <f ca="1">VLOOKUP($L22,OFFSET([3]enemies!$A$1,0,0,COUNTA([3]enemies!$A:$A),MATCH(Q$1,[3]enemies!$1:$1,0)-MATCH($L$1,[3]enemies!$1:$1,0)+1),MATCH(Q$1,[3]enemies!$1:$1,0)-MATCH($L$1,[3]enemies!$1:$1,0)+1,FALSE)</f>
        <v>15</v>
      </c>
      <c r="R22" s="5">
        <v>60</v>
      </c>
      <c r="S22" s="89">
        <v>3.4</v>
      </c>
      <c r="T22" s="89">
        <v>0.7</v>
      </c>
      <c r="U22" s="5">
        <v>0</v>
      </c>
      <c r="V22" s="4" t="str">
        <f ca="1">VLOOKUP($W22,OFFSET(enemy_skill_sets!$B$1,0,0,COUNTA(enemy_skill_sets!$B:$B),MATCH(M$1,enemy_skill_sets!$1:$1,0)-MATCH($W$1,enemy_skill_sets!$1:$1,0)+2),MATCH(M$1,enemy_skill_sets!$1:$1,0)-MATCH($W$1,enemy_skill_sets!$1:$1,0)+2,FALSE)</f>
        <v>緑パネルを時限式ダメージパネルに変換</v>
      </c>
      <c r="W22" s="145">
        <v>41003014</v>
      </c>
      <c r="X22" s="197">
        <v>1</v>
      </c>
      <c r="Y22" s="198">
        <v>100</v>
      </c>
      <c r="Z22" s="198">
        <v>0</v>
      </c>
      <c r="AA22" s="16">
        <v>2</v>
      </c>
      <c r="AB22" s="111">
        <f t="shared" si="13"/>
        <v>51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マイ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2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2" s="112">
        <v>1</v>
      </c>
      <c r="AG22" s="111">
        <f t="shared" ca="1" si="14"/>
        <v>2</v>
      </c>
      <c r="AH22" s="56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1</v>
      </c>
      <c r="AN22" s="56">
        <v>1</v>
      </c>
    </row>
    <row r="23" spans="1:40" s="113" customFormat="1" ht="21" customHeight="1" x14ac:dyDescent="0.15">
      <c r="A23" s="109" t="str">
        <f t="shared" si="10"/>
        <v>41003_3-2/55&lt;lv60&gt;s2</v>
      </c>
      <c r="B23" s="129">
        <v>41003</v>
      </c>
      <c r="C23" s="110">
        <v>3</v>
      </c>
      <c r="D23" s="14" t="str">
        <f t="shared" si="11"/>
        <v>41003_3</v>
      </c>
      <c r="E23" s="4" t="str">
        <f ca="1">VLOOKUP($B23,OFFSET([2]quests!$A$1,0,0,COUNTA([2]quests!$A:$A),MATCH(E$1,[2]quests!$1:$1,0)-MATCH($B$1,[2]quests!$1:$1,0)+1),MATCH(E$1,[2]quests!$1:$1,0)-MATCH($B$1,[2]quests!$1:$1,0)+1,FALSE)</f>
        <v>ジャンヌ襲来！</v>
      </c>
      <c r="F23" s="4" t="str">
        <f ca="1">VLOOKUP($D23,OFFSET([2]stages!$A$1,0,0,COUNTA([2]stages!$A:$A),MATCH(F$1,[2]stages!$2:$2,0)-MATCH($D$1,[2]stages!$2:$2,0)+1),MATCH(F$1,[2]stages!$2:$2,0)-MATCH($D$1,[2]stages!$2:$2,0)+1,FALSE)</f>
        <v>【ノーコンテニュー】ジャンヌ襲来</v>
      </c>
      <c r="G23" s="110">
        <v>2</v>
      </c>
      <c r="H23" s="14" t="str">
        <f t="shared" si="12"/>
        <v>41003_3-2</v>
      </c>
      <c r="I23" s="4">
        <f ca="1">VLOOKUP($H23,OFFSET(floors!$A$1,0,0,COUNTA(floors!$A:$A),MATCH(I$1,floors!$1:$1,0)-MATCH($H$1,floors!$1:$1,0)+1),MATCH(I$1,floors!$1:$1,0)-MATCH($H$1,floors!$1:$1,0)+1,FALSE)</f>
        <v>60</v>
      </c>
      <c r="J23" s="4">
        <f ca="1">VLOOKUP($H23,OFFSET(floors!$A$1,0,0,COUNTA(floors!$A:$A),MATCH(J$1,floors!$1:$1,0)-MATCH($H$1,floors!$1:$1,0)+1),MATCH(J$1,floors!$1:$1,0)-MATCH($H$1,floors!$1:$1,0)+1,FALSE)</f>
        <v>60</v>
      </c>
      <c r="K23" s="26" t="s">
        <v>167</v>
      </c>
      <c r="L23" s="84">
        <v>55</v>
      </c>
      <c r="M23" s="16" t="str">
        <f ca="1">VLOOKUP($L23,OFFSET([3]enemies!$A$1,0,0,COUNTA([3]enemies!$A:$A),MATCH(M$1,[3]enemies!$1:$1,0)-MATCH($L$1,[3]enemies!$1:$1,0)+1),MATCH(M$1,[3]enemies!$1:$1,0)-MATCH($L$1,[3]enemies!$1:$1,0)+1,FALSE)</f>
        <v>マミコ</v>
      </c>
      <c r="N23" s="16" t="str">
        <f ca="1">VLOOKUP($L23,OFFSET([3]enemies!$A$1,0,0,COUNTA([3]enemies!$A:$A),MATCH(N$1,[3]enemies!$1:$1,0)-MATCH($L$1,[3]enemies!$1:$1,0)+1),MATCH(N$1,[3]enemies!$1:$1,0)-MATCH($L$1,[3]enemies!$1:$1,0)+1,FALSE)</f>
        <v>yellow</v>
      </c>
      <c r="O23" s="16" t="str">
        <f ca="1">VLOOKUP($L23,OFFSET([4]characters!$A$1,0,0,COUNTA([4]characters!$A:$A),MATCH(O$1,[4]characters!$1:$1,0)-MATCH($L$1,[4]characters!$1:$1,0)+1),MATCH(O$1,[4]characters!$1:$1,0)-MATCH($L$1,[4]characters!$1:$1,0)+1,FALSE)</f>
        <v>Drop1N</v>
      </c>
      <c r="P23" s="16" t="str">
        <f ca="1">VLOOKUP($L23,OFFSET([3]enemies!$A$1,0,0,COUNTA([3]enemies!$A:$A),MATCH(P$1,[3]enemies!$1:$1,0)-MATCH($L$1,[3]enemies!$1:$1,0)+1),MATCH(P$1,[3]enemies!$1:$1,0)-MATCH($L$1,[3]enemies!$1:$1,0)+1,FALSE)</f>
        <v>human</v>
      </c>
      <c r="Q23" s="16">
        <f ca="1">VLOOKUP($L23,OFFSET([3]enemies!$A$1,0,0,COUNTA([3]enemies!$A:$A),MATCH(Q$1,[3]enemies!$1:$1,0)-MATCH($L$1,[3]enemies!$1:$1,0)+1),MATCH(Q$1,[3]enemies!$1:$1,0)-MATCH($L$1,[3]enemies!$1:$1,0)+1,FALSE)</f>
        <v>15</v>
      </c>
      <c r="R23" s="5">
        <v>60</v>
      </c>
      <c r="S23" s="89">
        <v>4</v>
      </c>
      <c r="T23" s="89">
        <v>0.6</v>
      </c>
      <c r="U23" s="5">
        <v>0</v>
      </c>
      <c r="V23" s="4" t="str">
        <f ca="1">VLOOKUP($W23,OFFSET(enemy_skill_sets!$B$1,0,0,COUNTA(enemy_skill_sets!$B:$B),MATCH(M$1,enemy_skill_sets!$1:$1,0)-MATCH($W$1,enemy_skill_sets!$1:$1,0)+2),MATCH(M$1,enemy_skill_sets!$1:$1,0)-MATCH($W$1,enemy_skill_sets!$1:$1,0)+2,FALSE)</f>
        <v>黄パネルを時限式ダメージパネルに変換</v>
      </c>
      <c r="W23" s="144">
        <v>41003015</v>
      </c>
      <c r="X23" s="197">
        <v>1</v>
      </c>
      <c r="Y23" s="198">
        <v>100</v>
      </c>
      <c r="Z23" s="198">
        <v>0</v>
      </c>
      <c r="AA23" s="16">
        <v>2</v>
      </c>
      <c r="AB23" s="111">
        <f t="shared" si="13"/>
        <v>55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マミコ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2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Drop1N</v>
      </c>
      <c r="AF23" s="112">
        <v>1</v>
      </c>
      <c r="AG23" s="111">
        <f t="shared" ca="1" si="14"/>
        <v>2</v>
      </c>
      <c r="AH23" s="204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1</v>
      </c>
      <c r="AN23" s="56">
        <v>1</v>
      </c>
    </row>
    <row r="24" spans="1:40" s="113" customFormat="1" ht="21" customHeight="1" x14ac:dyDescent="0.15">
      <c r="A24" s="109" t="str">
        <f t="shared" si="10"/>
        <v>41003_3-3/258&lt;lv52&gt;s2</v>
      </c>
      <c r="B24" s="129">
        <v>41003</v>
      </c>
      <c r="C24" s="110">
        <v>3</v>
      </c>
      <c r="D24" s="14" t="str">
        <f t="shared" si="11"/>
        <v>41003_3</v>
      </c>
      <c r="E24" s="4" t="str">
        <f ca="1">VLOOKUP($B24,OFFSET([2]quests!$A$1,0,0,COUNTA([2]quests!$A:$A),MATCH(E$1,[2]quests!$1:$1,0)-MATCH($B$1,[2]quests!$1:$1,0)+1),MATCH(E$1,[2]quests!$1:$1,0)-MATCH($B$1,[2]quests!$1:$1,0)+1,FALSE)</f>
        <v>ジャンヌ襲来！</v>
      </c>
      <c r="F24" s="4" t="str">
        <f ca="1">VLOOKUP($D24,OFFSET([2]stages!$A$1,0,0,COUNTA([2]stages!$A:$A),MATCH(F$1,[2]stages!$2:$2,0)-MATCH($D$1,[2]stages!$2:$2,0)+1),MATCH(F$1,[2]stages!$2:$2,0)-MATCH($D$1,[2]stages!$2:$2,0)+1,FALSE)</f>
        <v>【ノーコンテニュー】ジャンヌ襲来</v>
      </c>
      <c r="G24" s="110">
        <v>3</v>
      </c>
      <c r="H24" s="14" t="str">
        <f t="shared" si="12"/>
        <v>41003_3-3</v>
      </c>
      <c r="I24" s="4">
        <f ca="1">VLOOKUP($H24,OFFSET(floors!$A$1,0,0,COUNTA(floors!$A:$A),MATCH(I$1,floors!$1:$1,0)-MATCH($H$1,floors!$1:$1,0)+1),MATCH(I$1,floors!$1:$1,0)-MATCH($H$1,floors!$1:$1,0)+1,FALSE)</f>
        <v>60</v>
      </c>
      <c r="J24" s="4">
        <f ca="1">VLOOKUP($H24,OFFSET(floors!$A$1,0,0,COUNTA(floors!$A:$A),MATCH(J$1,floors!$1:$1,0)-MATCH($H$1,floors!$1:$1,0)+1),MATCH(J$1,floors!$1:$1,0)-MATCH($H$1,floors!$1:$1,0)+1,FALSE)</f>
        <v>60</v>
      </c>
      <c r="K24" s="26">
        <v>5</v>
      </c>
      <c r="L24" s="84">
        <v>258</v>
      </c>
      <c r="M24" s="16" t="str">
        <f ca="1">VLOOKUP($L24,OFFSET([3]enemies!$A$1,0,0,COUNTA([3]enemies!$A:$A),MATCH(M$1,[3]enemies!$1:$1,0)-MATCH($L$1,[3]enemies!$1:$1,0)+1),MATCH(M$1,[3]enemies!$1:$1,0)-MATCH($L$1,[3]enemies!$1:$1,0)+1,FALSE)</f>
        <v>色欲の源流 アスモデウス</v>
      </c>
      <c r="N24" s="16" t="str">
        <f ca="1">VLOOKUP($L24,OFFSET([3]enemies!$A$1,0,0,COUNTA([3]enemies!$A:$A),MATCH(N$1,[3]enemies!$1:$1,0)-MATCH($L$1,[3]enemies!$1:$1,0)+1),MATCH(N$1,[3]enemies!$1:$1,0)-MATCH($L$1,[3]enemies!$1:$1,0)+1,FALSE)</f>
        <v>blue</v>
      </c>
      <c r="O24" s="16" t="str">
        <f ca="1">VLOOKUP($L24,OFFSET([4]characters!$A$1,0,0,COUNTA([4]characters!$A:$A),MATCH(O$1,[4]characters!$1:$1,0)-MATCH($L$1,[4]characters!$1:$1,0)+1),MATCH(O$1,[4]characters!$1:$1,0)-MATCH($L$1,[4]characters!$1:$1,0)+1,FALSE)</f>
        <v>PremiumS</v>
      </c>
      <c r="P24" s="16" t="str">
        <f ca="1">VLOOKUP($L24,OFFSET([3]enemies!$A$1,0,0,COUNTA([3]enemies!$A:$A),MATCH(P$1,[3]enemies!$1:$1,0)-MATCH($L$1,[3]enemies!$1:$1,0)+1),MATCH(P$1,[3]enemies!$1:$1,0)-MATCH($L$1,[3]enemies!$1:$1,0)+1,FALSE)</f>
        <v>god</v>
      </c>
      <c r="Q24" s="16">
        <f ca="1">VLOOKUP($L24,OFFSET([3]enemies!$A$1,0,0,COUNTA([3]enemies!$A:$A),MATCH(Q$1,[3]enemies!$1:$1,0)-MATCH($L$1,[3]enemies!$1:$1,0)+1),MATCH(Q$1,[3]enemies!$1:$1,0)-MATCH($L$1,[3]enemies!$1:$1,0)+1,FALSE)</f>
        <v>60</v>
      </c>
      <c r="R24" s="5">
        <v>52</v>
      </c>
      <c r="S24" s="89">
        <v>2.5</v>
      </c>
      <c r="T24" s="89">
        <v>1.2</v>
      </c>
      <c r="U24" s="5">
        <v>0</v>
      </c>
      <c r="V24" s="4" t="str">
        <f ca="1">VLOOKUP($W24,OFFSET(enemy_skill_sets!$B$1,0,0,COUNTA(enemy_skill_sets!$B:$B),MATCH(M$1,enemy_skill_sets!$1:$1,0)-MATCH($W$1,enemy_skill_sets!$1:$1,0)+2),MATCH(M$1,enemy_skill_sets!$1:$1,0)-MATCH($W$1,enemy_skill_sets!$1:$1,0)+2,FALSE)</f>
        <v>4ターンの間Cパネル生成延長</v>
      </c>
      <c r="W24" s="144">
        <v>41003016</v>
      </c>
      <c r="X24" s="197">
        <v>0</v>
      </c>
      <c r="Y24" s="198">
        <v>100</v>
      </c>
      <c r="Z24" s="198">
        <v>1</v>
      </c>
      <c r="AA24" s="16">
        <v>2</v>
      </c>
      <c r="AB24" s="111">
        <f t="shared" si="13"/>
        <v>258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色欲の源流 アスモデウス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5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4" s="112">
        <v>1</v>
      </c>
      <c r="AG24" s="111">
        <f t="shared" ca="1" si="14"/>
        <v>5</v>
      </c>
      <c r="AH24" s="56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1</v>
      </c>
      <c r="AN24" s="56">
        <v>1</v>
      </c>
    </row>
    <row r="25" spans="1:40" s="127" customFormat="1" ht="21" customHeight="1" thickBot="1" x14ac:dyDescent="0.2">
      <c r="A25" s="114" t="str">
        <f t="shared" si="10"/>
        <v>41003_3-4/315&lt;lv80&gt;s2</v>
      </c>
      <c r="B25" s="167">
        <v>41003</v>
      </c>
      <c r="C25" s="115">
        <v>3</v>
      </c>
      <c r="D25" s="116" t="str">
        <f t="shared" si="11"/>
        <v>41003_3</v>
      </c>
      <c r="E25" s="117" t="str">
        <f ca="1">VLOOKUP($B25,OFFSET([2]quests!$A$1,0,0,COUNTA([2]quests!$A:$A),MATCH(E$1,[2]quests!$1:$1,0)-MATCH($B$1,[2]quests!$1:$1,0)+1),MATCH(E$1,[2]quests!$1:$1,0)-MATCH($B$1,[2]quests!$1:$1,0)+1,FALSE)</f>
        <v>ジャンヌ襲来！</v>
      </c>
      <c r="F25" s="117" t="str">
        <f ca="1">VLOOKUP($D25,OFFSET([2]stages!$A$1,0,0,COUNTA([2]stages!$A:$A),MATCH(F$1,[2]stages!$2:$2,0)-MATCH($D$1,[2]stages!$2:$2,0)+1),MATCH(F$1,[2]stages!$2:$2,0)-MATCH($D$1,[2]stages!$2:$2,0)+1,FALSE)</f>
        <v>【ノーコンテニュー】ジャンヌ襲来</v>
      </c>
      <c r="G25" s="115">
        <v>4</v>
      </c>
      <c r="H25" s="116" t="str">
        <f t="shared" si="12"/>
        <v>41003_3-4</v>
      </c>
      <c r="I25" s="117">
        <f ca="1">VLOOKUP($H25,OFFSET(floors!$A$1,0,0,COUNTA(floors!$A:$A),MATCH(I$1,floors!$1:$1,0)-MATCH($H$1,floors!$1:$1,0)+1),MATCH(I$1,floors!$1:$1,0)-MATCH($H$1,floors!$1:$1,0)+1,FALSE)</f>
        <v>60</v>
      </c>
      <c r="J25" s="117">
        <f ca="1">VLOOKUP($H25,OFFSET(floors!$A$1,0,0,COUNTA(floors!$A:$A),MATCH(J$1,floors!$1:$1,0)-MATCH($H$1,floors!$1:$1,0)+1),MATCH(J$1,floors!$1:$1,0)-MATCH($H$1,floors!$1:$1,0)+1,FALSE)</f>
        <v>60</v>
      </c>
      <c r="K25" s="118">
        <v>6</v>
      </c>
      <c r="L25" s="119">
        <v>315</v>
      </c>
      <c r="M25" s="120" t="str">
        <f ca="1">VLOOKUP($L25,OFFSET([3]enemies!$A$1,0,0,COUNTA([3]enemies!$A:$A),MATCH(M$1,[3]enemies!$1:$1,0)-MATCH($L$1,[3]enemies!$1:$1,0)+1),MATCH(M$1,[3]enemies!$1:$1,0)-MATCH($L$1,[3]enemies!$1:$1,0)+1,FALSE)</f>
        <v>鉄馬駆る聖女 ジャンヌ</v>
      </c>
      <c r="N25" s="120" t="str">
        <f ca="1">VLOOKUP($L25,OFFSET([3]enemies!$A$1,0,0,COUNTA([3]enemies!$A:$A),MATCH(N$1,[3]enemies!$1:$1,0)-MATCH($L$1,[3]enemies!$1:$1,0)+1),MATCH(N$1,[3]enemies!$1:$1,0)-MATCH($L$1,[3]enemies!$1:$1,0)+1,FALSE)</f>
        <v>blue</v>
      </c>
      <c r="O25" s="120" t="str">
        <f ca="1">VLOOKUP($L25,OFFSET([4]characters!$A$1,0,0,COUNTA([4]characters!$A:$A),MATCH(O$1,[4]characters!$1:$1,0)-MATCH($L$1,[4]characters!$1:$1,0)+1),MATCH(O$1,[4]characters!$1:$1,0)-MATCH($L$1,[4]characters!$1:$1,0)+1,FALSE)</f>
        <v>DropWizS</v>
      </c>
      <c r="P25" s="120" t="str">
        <f ca="1">VLOOKUP($L25,OFFSET([3]enemies!$A$1,0,0,COUNTA([3]enemies!$A:$A),MATCH(P$1,[3]enemies!$1:$1,0)-MATCH($L$1,[3]enemies!$1:$1,0)+1),MATCH(P$1,[3]enemies!$1:$1,0)-MATCH($L$1,[3]enemies!$1:$1,0)+1,FALSE)</f>
        <v>human</v>
      </c>
      <c r="Q25" s="120">
        <f ca="1">VLOOKUP($L25,OFFSET([3]enemies!$A$1,0,0,COUNTA([3]enemies!$A:$A),MATCH(Q$1,[3]enemies!$1:$1,0)-MATCH($L$1,[3]enemies!$1:$1,0)+1),MATCH(Q$1,[3]enemies!$1:$1,0)-MATCH($L$1,[3]enemies!$1:$1,0)+1,FALSE)</f>
        <v>60</v>
      </c>
      <c r="R25" s="121">
        <v>80</v>
      </c>
      <c r="S25" s="201">
        <v>3.4</v>
      </c>
      <c r="T25" s="203">
        <v>2</v>
      </c>
      <c r="U25" s="202">
        <v>0</v>
      </c>
      <c r="V25" s="117" t="str">
        <f ca="1">VLOOKUP($W25,OFFSET(enemy_skill_sets!$B$1,0,0,COUNTA(enemy_skill_sets!$B:$B),MATCH(M$1,enemy_skill_sets!$1:$1,0)-MATCH($W$1,enemy_skill_sets!$1:$1,0)+2),MATCH(M$1,enemy_skill_sets!$1:$1,0)-MATCH($W$1,enemy_skill_sets!$1:$1,0)+2,FALSE)</f>
        <v>5ターンの間Cパネル生成延長</v>
      </c>
      <c r="W25" s="168">
        <v>41003017</v>
      </c>
      <c r="X25" s="199">
        <v>0</v>
      </c>
      <c r="Y25" s="200">
        <v>100</v>
      </c>
      <c r="Z25" s="200">
        <v>1</v>
      </c>
      <c r="AA25" s="152">
        <v>2</v>
      </c>
      <c r="AB25" s="157">
        <v>314</v>
      </c>
      <c r="AC25" s="117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ジャンヌ</v>
      </c>
      <c r="AD25" s="117">
        <f ca="1">VLOOKUP($AB25,OFFSET([4]characters!$A$1,0,0,COUNTA([4]characters!$A:$A),MATCH(AD$1,[4]characters!$1:$1,0)-MATCH("character_id",[4]characters!$1:$1,0)+1),MATCH(AD$1,[4]characters!$1:$1,0)-MATCH("character_id",[4]characters!$1:$1,0)+1,FALSE)</f>
        <v>4</v>
      </c>
      <c r="AE25" s="117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25" s="124">
        <v>1</v>
      </c>
      <c r="AG25" s="123">
        <f t="shared" ca="1" si="14"/>
        <v>4</v>
      </c>
      <c r="AH25" s="125">
        <v>100</v>
      </c>
      <c r="AI25" s="124">
        <v>0</v>
      </c>
      <c r="AJ25" s="124">
        <v>0</v>
      </c>
      <c r="AK25" s="124">
        <v>0</v>
      </c>
      <c r="AL25" s="124">
        <v>0</v>
      </c>
      <c r="AM25" s="124">
        <v>1</v>
      </c>
      <c r="AN25" s="126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10"/>
  <sheetViews>
    <sheetView showGridLines="0" workbookViewId="0">
      <pane xSplit="18" ySplit="1" topLeftCell="W2" activePane="bottomRight" state="frozen"/>
      <selection activeCell="E25" sqref="E25"/>
      <selection pane="topRight" activeCell="E25" sqref="E25"/>
      <selection pane="bottomLeft" activeCell="E25" sqref="E25"/>
      <selection pane="bottomRight" activeCell="T10" sqref="T10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1" style="3" bestFit="1" customWidth="1"/>
    <col min="13" max="13" width="13.5" style="8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113"/>
  </cols>
  <sheetData>
    <row r="1" spans="1:25" s="175" customFormat="1" ht="21" customHeight="1" thickBot="1" x14ac:dyDescent="0.2">
      <c r="A1" s="23" t="s">
        <v>29</v>
      </c>
      <c r="B1" s="24" t="s">
        <v>0</v>
      </c>
      <c r="C1" s="24" t="s">
        <v>1</v>
      </c>
      <c r="D1" s="90" t="s">
        <v>28</v>
      </c>
      <c r="E1" s="90" t="s">
        <v>16</v>
      </c>
      <c r="F1" s="90" t="s">
        <v>16</v>
      </c>
      <c r="G1" s="24" t="s">
        <v>19</v>
      </c>
      <c r="H1" s="90" t="s">
        <v>30</v>
      </c>
      <c r="I1" s="90" t="s">
        <v>14</v>
      </c>
      <c r="J1" s="90" t="s">
        <v>15</v>
      </c>
      <c r="K1" s="91" t="s">
        <v>53</v>
      </c>
      <c r="L1" s="91" t="s">
        <v>54</v>
      </c>
      <c r="M1" s="91" t="s">
        <v>2</v>
      </c>
      <c r="N1" s="92" t="s">
        <v>16</v>
      </c>
      <c r="O1" s="90" t="s">
        <v>24</v>
      </c>
      <c r="P1" s="90" t="s">
        <v>23</v>
      </c>
      <c r="Q1" s="93" t="s">
        <v>26</v>
      </c>
      <c r="R1" s="90" t="s">
        <v>25</v>
      </c>
      <c r="S1" s="24" t="s">
        <v>3</v>
      </c>
      <c r="T1" s="24" t="s">
        <v>48</v>
      </c>
      <c r="U1" s="24" t="s">
        <v>50</v>
      </c>
      <c r="V1" s="24" t="s">
        <v>52</v>
      </c>
      <c r="W1" s="24" t="s">
        <v>127</v>
      </c>
      <c r="X1" s="90" t="s">
        <v>126</v>
      </c>
      <c r="Y1" s="176" t="s">
        <v>8</v>
      </c>
    </row>
    <row r="2" spans="1:25" ht="21" customHeight="1" x14ac:dyDescent="0.15">
      <c r="A2" s="95" t="str">
        <f>B2&amp;"_"&amp;C2&amp;"-"&amp;G2&amp;"/"&amp;M2&amp;"&lt;lv"&amp;S2&amp;"&gt;sq"&amp;K2&amp;"st"&amp;L2</f>
        <v>41003_1-3/258&lt;lv60&gt;sq1st2</v>
      </c>
      <c r="B2" s="171">
        <v>41003</v>
      </c>
      <c r="C2" s="96">
        <v>1</v>
      </c>
      <c r="D2" s="97" t="str">
        <f>B2&amp;"_"&amp;C2</f>
        <v>41003_1</v>
      </c>
      <c r="E2" s="98" t="str">
        <f ca="1">VLOOKUP($B2,OFFSET([2]quests!$A$1,0,0,COUNTA([2]quests!$A:$A),MATCH(E$1,[2]quests!$1:$1,0)-MATCH($B$1,[2]quests!$1:$1,0)+1),MATCH(E$1,[2]quests!$1:$1,0)-MATCH($B$1,[2]quests!$1:$1,0)+1,FALSE)</f>
        <v>ジャンヌ襲来！</v>
      </c>
      <c r="F2" s="98" t="str">
        <f ca="1">VLOOKUP($D2,OFFSET([2]stages!$A$1,0,0,COUNTA([2]stages!$A:$A),MATCH(F$1,[2]stages!$2:$2,0)-MATCH($D$1,[2]stages!$2:$2,0)+1),MATCH(F$1,[2]stages!$2:$2,0)-MATCH($D$1,[2]stages!$2:$2,0)+1,FALSE)</f>
        <v>【超絶級】ジャンヌ襲来</v>
      </c>
      <c r="G2" s="96">
        <v>3</v>
      </c>
      <c r="H2" s="97" t="str">
        <f>B2&amp;"_"&amp;C2&amp;"-"&amp;G2</f>
        <v>41003_1-3</v>
      </c>
      <c r="I2" s="98">
        <f ca="1">VLOOKUP($H2,OFFSET(floors!$A$1,0,0,COUNTA(floors!$A:$A),MATCH(I$1,floors!$1:$1,0)-MATCH($H$1,floors!$1:$1,0)+1),MATCH(I$1,floors!$1:$1,0)-MATCH($H$1,floors!$1:$1,0)+1,FALSE)</f>
        <v>60</v>
      </c>
      <c r="J2" s="98">
        <f ca="1">VLOOKUP($H2,OFFSET(floors!$A$1,0,0,COUNTA(floors!$A:$A),MATCH(J$1,floors!$1:$1,0)-MATCH($H$1,floors!$1:$1,0)+1),MATCH(J$1,floors!$1:$1,0)-MATCH($H$1,floors!$1:$1,0)+1,FALSE)</f>
        <v>60</v>
      </c>
      <c r="K2" s="99">
        <v>1</v>
      </c>
      <c r="L2" s="99">
        <v>2</v>
      </c>
      <c r="M2" s="100">
        <v>258</v>
      </c>
      <c r="N2" s="101" t="str">
        <f ca="1">VLOOKUP($M2,OFFSET([3]enemies!$A$1,0,0,COUNTA([3]enemies!$A:$A),MATCH(N$1,[3]enemies!$1:$1,0)-MATCH($M$1,[3]enemies!$1:$1,0)+1),MATCH(N$1,[3]enemies!$1:$1,0)-MATCH($M$1,[3]enemies!$1:$1,0)+1,FALSE)</f>
        <v>色欲の源流 アスモデウス</v>
      </c>
      <c r="O2" s="101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01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01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01">
        <f ca="1">VLOOKUP($M2,OFFSET([3]enemies!$A$1,0,0,COUNTA([3]enemies!$A:$A),MATCH(R$1,[3]enemies!$1:$1,0)-MATCH($M$1,[3]enemies!$1:$1,0)+1),MATCH(R$1,[3]enemies!$1:$1,0)-MATCH($M$1,[3]enemies!$1:$1,0)+1,FALSE)</f>
        <v>60</v>
      </c>
      <c r="S2" s="102">
        <v>60</v>
      </c>
      <c r="T2" s="103">
        <v>1.8</v>
      </c>
      <c r="U2" s="103">
        <v>0.8</v>
      </c>
      <c r="V2" s="102">
        <v>0</v>
      </c>
      <c r="W2" s="98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172">
        <v>41003008</v>
      </c>
      <c r="Y2" s="177">
        <v>2</v>
      </c>
    </row>
    <row r="3" spans="1:25" ht="21" customHeight="1" x14ac:dyDescent="0.15">
      <c r="A3" s="109" t="str">
        <f t="shared" ref="A3:A4" si="0">B3&amp;"_"&amp;C3&amp;"-"&amp;G3&amp;"/"&amp;M3&amp;"&lt;lv"&amp;S3&amp;"&gt;sq"&amp;K3&amp;"st"&amp;L3</f>
        <v>41003_1-4/315&lt;lv70&gt;sq2st2</v>
      </c>
      <c r="B3" s="20">
        <v>41003</v>
      </c>
      <c r="C3" s="110">
        <v>1</v>
      </c>
      <c r="D3" s="14" t="str">
        <f t="shared" ref="D3:D4" si="1">B3&amp;"_"&amp;C3</f>
        <v>41003_1</v>
      </c>
      <c r="E3" s="4" t="str">
        <f ca="1">VLOOKUP($B3,OFFSET([2]quests!$A$1,0,0,COUNTA([2]quests!$A:$A),MATCH(E$1,[2]quests!$1:$1,0)-MATCH($B$1,[2]quests!$1:$1,0)+1),MATCH(E$1,[2]quests!$1:$1,0)-MATCH($B$1,[2]quests!$1:$1,0)+1,FALSE)</f>
        <v>ジャンヌ襲来！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【超絶級】ジャンヌ襲来</v>
      </c>
      <c r="G3" s="110">
        <v>4</v>
      </c>
      <c r="H3" s="14" t="str">
        <f t="shared" ref="H3:H4" si="2">B3&amp;"_"&amp;C3&amp;"-"&amp;G3</f>
        <v>41003_1-4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26">
        <v>2</v>
      </c>
      <c r="L3" s="26">
        <v>2</v>
      </c>
      <c r="M3" s="84">
        <v>315</v>
      </c>
      <c r="N3" s="16" t="str">
        <f ca="1">VLOOKUP($M3,OFFSET([3]enemies!$A$1,0,0,COUNTA([3]enemies!$A:$A),MATCH(N$1,[3]enemies!$1:$1,0)-MATCH($M$1,[3]enemies!$1:$1,0)+1),MATCH(N$1,[3]enemies!$1:$1,0)-MATCH($M$1,[3]enemies!$1:$1,0)+1,FALSE)</f>
        <v>鉄馬駆る聖女 ジャンヌ</v>
      </c>
      <c r="O3" s="16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6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70</v>
      </c>
      <c r="T3" s="22">
        <v>2.4</v>
      </c>
      <c r="U3" s="22">
        <v>2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112">
        <v>41003009</v>
      </c>
      <c r="Y3" s="178">
        <v>2</v>
      </c>
    </row>
    <row r="4" spans="1:25" ht="21" customHeight="1" thickBot="1" x14ac:dyDescent="0.2">
      <c r="A4" s="109" t="str">
        <f t="shared" si="0"/>
        <v>41003_1-4/315&lt;lv70&gt;sq2st3</v>
      </c>
      <c r="B4" s="169">
        <v>41003</v>
      </c>
      <c r="C4" s="147">
        <v>1</v>
      </c>
      <c r="D4" s="148" t="str">
        <f t="shared" si="1"/>
        <v>41003_1</v>
      </c>
      <c r="E4" s="149" t="str">
        <f ca="1">VLOOKUP($B4,OFFSET([2]quests!$A$1,0,0,COUNTA([2]quests!$A:$A),MATCH(E$1,[2]quests!$1:$1,0)-MATCH($B$1,[2]quests!$1:$1,0)+1),MATCH(E$1,[2]quests!$1:$1,0)-MATCH($B$1,[2]quests!$1:$1,0)+1,FALSE)</f>
        <v>ジャンヌ襲来！</v>
      </c>
      <c r="F4" s="149" t="str">
        <f ca="1">VLOOKUP($D4,OFFSET([2]stages!$A$1,0,0,COUNTA([2]stages!$A:$A),MATCH(F$1,[2]stages!$2:$2,0)-MATCH($D$1,[2]stages!$2:$2,0)+1),MATCH(F$1,[2]stages!$2:$2,0)-MATCH($D$1,[2]stages!$2:$2,0)+1,FALSE)</f>
        <v>【超絶級】ジャンヌ襲来</v>
      </c>
      <c r="G4" s="147">
        <v>4</v>
      </c>
      <c r="H4" s="148" t="str">
        <f t="shared" si="2"/>
        <v>41003_1-4</v>
      </c>
      <c r="I4" s="149">
        <f ca="1">VLOOKUP($H4,OFFSET(floors!$A$1,0,0,COUNTA(floors!$A:$A),MATCH(I$1,floors!$1:$1,0)-MATCH($H$1,floors!$1:$1,0)+1),MATCH(I$1,floors!$1:$1,0)-MATCH($H$1,floors!$1:$1,0)+1,FALSE)</f>
        <v>60</v>
      </c>
      <c r="J4" s="149">
        <f ca="1">VLOOKUP($H4,OFFSET(floors!$A$1,0,0,COUNTA(floors!$A:$A),MATCH(J$1,floors!$1:$1,0)-MATCH($H$1,floors!$1:$1,0)+1),MATCH(J$1,floors!$1:$1,0)-MATCH($H$1,floors!$1:$1,0)+1,FALSE)</f>
        <v>60</v>
      </c>
      <c r="K4" s="150">
        <v>2</v>
      </c>
      <c r="L4" s="150">
        <v>3</v>
      </c>
      <c r="M4" s="151">
        <v>315</v>
      </c>
      <c r="N4" s="152" t="str">
        <f ca="1">VLOOKUP($M4,OFFSET([3]enemies!$A$1,0,0,COUNTA([3]enemies!$A:$A),MATCH(N$1,[3]enemies!$1:$1,0)-MATCH($M$1,[3]enemies!$1:$1,0)+1),MATCH(N$1,[3]enemies!$1:$1,0)-MATCH($M$1,[3]enemies!$1:$1,0)+1,FALSE)</f>
        <v>鉄馬駆る聖女 ジャンヌ</v>
      </c>
      <c r="O4" s="152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52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52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52">
        <f ca="1">VLOOKUP($M4,OFFSET([3]enemies!$A$1,0,0,COUNTA([3]enemies!$A:$A),MATCH(R$1,[3]enemies!$1:$1,0)-MATCH($M$1,[3]enemies!$1:$1,0)+1),MATCH(R$1,[3]enemies!$1:$1,0)-MATCH($M$1,[3]enemies!$1:$1,0)+1,FALSE)</f>
        <v>60</v>
      </c>
      <c r="S4" s="153">
        <v>70</v>
      </c>
      <c r="T4" s="170">
        <v>3.5</v>
      </c>
      <c r="U4" s="170">
        <v>2.2000000000000002</v>
      </c>
      <c r="V4" s="153">
        <v>0</v>
      </c>
      <c r="W4" s="149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158">
        <v>41003010</v>
      </c>
      <c r="Y4" s="179">
        <v>2</v>
      </c>
    </row>
    <row r="5" spans="1:25" ht="21" customHeight="1" x14ac:dyDescent="0.15">
      <c r="A5" s="95" t="str">
        <f>B5&amp;"_"&amp;C5&amp;"-"&amp;G5&amp;"/"&amp;M5&amp;"&lt;lv"&amp;S5&amp;"&gt;sq"&amp;K5&amp;"st"&amp;L5</f>
        <v>41003_2-3/258&lt;lv52&gt;sq3st2</v>
      </c>
      <c r="B5" s="171">
        <v>41003</v>
      </c>
      <c r="C5" s="96">
        <v>2</v>
      </c>
      <c r="D5" s="97" t="str">
        <f>B5&amp;"_"&amp;C5</f>
        <v>41003_2</v>
      </c>
      <c r="E5" s="98" t="str">
        <f ca="1">VLOOKUP($B5,OFFSET([2]quests!$A$1,0,0,COUNTA([2]quests!$A:$A),MATCH(E$1,[2]quests!$1:$1,0)-MATCH($B$1,[2]quests!$1:$1,0)+1),MATCH(E$1,[2]quests!$1:$1,0)-MATCH($B$1,[2]quests!$1:$1,0)+1,FALSE)</f>
        <v>ジャンヌ襲来！</v>
      </c>
      <c r="F5" s="98" t="str">
        <f ca="1">VLOOKUP($D5,OFFSET([2]stages!$A$1,0,0,COUNTA([2]stages!$A:$A),MATCH(F$1,[2]stages!$2:$2,0)-MATCH($D$1,[2]stages!$2:$2,0)+1),MATCH(F$1,[2]stages!$2:$2,0)-MATCH($D$1,[2]stages!$2:$2,0)+1,FALSE)</f>
        <v>【ウィザード級】ジャンヌ襲来</v>
      </c>
      <c r="G5" s="96">
        <v>3</v>
      </c>
      <c r="H5" s="97" t="str">
        <f>B5&amp;"_"&amp;C5&amp;"-"&amp;G5</f>
        <v>41003_2-3</v>
      </c>
      <c r="I5" s="98">
        <f ca="1">VLOOKUP($H5,OFFSET(floors!$A$1,0,0,COUNTA(floors!$A:$A),MATCH(I$1,floors!$1:$1,0)-MATCH($H$1,floors!$1:$1,0)+1),MATCH(I$1,floors!$1:$1,0)-MATCH($H$1,floors!$1:$1,0)+1,FALSE)</f>
        <v>60</v>
      </c>
      <c r="J5" s="98">
        <f ca="1">VLOOKUP($H5,OFFSET(floors!$A$1,0,0,COUNTA(floors!$A:$A),MATCH(J$1,floors!$1:$1,0)-MATCH($H$1,floors!$1:$1,0)+1),MATCH(J$1,floors!$1:$1,0)-MATCH($H$1,floors!$1:$1,0)+1,FALSE)</f>
        <v>60</v>
      </c>
      <c r="K5" s="99">
        <v>3</v>
      </c>
      <c r="L5" s="99">
        <v>2</v>
      </c>
      <c r="M5" s="100">
        <v>258</v>
      </c>
      <c r="N5" s="101" t="str">
        <f ca="1">VLOOKUP($M5,OFFSET([3]enemies!$A$1,0,0,COUNTA([3]enemies!$A:$A),MATCH(N$1,[3]enemies!$1:$1,0)-MATCH($M$1,[3]enemies!$1:$1,0)+1),MATCH(N$1,[3]enemies!$1:$1,0)-MATCH($M$1,[3]enemies!$1:$1,0)+1,FALSE)</f>
        <v>色欲の源流 アスモデウス</v>
      </c>
      <c r="O5" s="101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01" t="str">
        <f ca="1">VLOOKUP($M5,OFFSET([4]characters!$A$1,0,0,COUNTA([4]characters!$A:$A),MATCH(P$1,[4]characters!$1:$1,0)-MATCH($M$1,[4]characters!$1:$1,0)+1),MATCH(P$1,[4]characters!$1:$1,0)-MATCH($M$1,[4]characters!$1:$1,0)+1,FALSE)</f>
        <v>PremiumS</v>
      </c>
      <c r="Q5" s="101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01">
        <f ca="1">VLOOKUP($M5,OFFSET([3]enemies!$A$1,0,0,COUNTA([3]enemies!$A:$A),MATCH(R$1,[3]enemies!$1:$1,0)-MATCH($M$1,[3]enemies!$1:$1,0)+1),MATCH(R$1,[3]enemies!$1:$1,0)-MATCH($M$1,[3]enemies!$1:$1,0)+1,FALSE)</f>
        <v>60</v>
      </c>
      <c r="S5" s="205">
        <v>52</v>
      </c>
      <c r="T5" s="207">
        <v>4</v>
      </c>
      <c r="U5" s="208">
        <v>1</v>
      </c>
      <c r="V5" s="206">
        <v>0</v>
      </c>
      <c r="W5" s="98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5" s="172">
        <v>41003018</v>
      </c>
      <c r="Y5" s="177">
        <v>2</v>
      </c>
    </row>
    <row r="6" spans="1:25" ht="21" customHeight="1" x14ac:dyDescent="0.15">
      <c r="A6" s="109" t="str">
        <f t="shared" ref="A6:A7" si="3">B6&amp;"_"&amp;C6&amp;"-"&amp;G6&amp;"/"&amp;M6&amp;"&lt;lv"&amp;S6&amp;"&gt;sq"&amp;K6&amp;"st"&amp;L6</f>
        <v>41003_2-4/814&lt;lv80&gt;sq4st2</v>
      </c>
      <c r="B6" s="20">
        <v>41003</v>
      </c>
      <c r="C6" s="110">
        <v>2</v>
      </c>
      <c r="D6" s="14" t="str">
        <f t="shared" ref="D6:D7" si="4">B6&amp;"_"&amp;C6</f>
        <v>41003_2</v>
      </c>
      <c r="E6" s="4" t="str">
        <f ca="1">VLOOKUP($B6,OFFSET([2]quests!$A$1,0,0,COUNTA([2]quests!$A:$A),MATCH(E$1,[2]quests!$1:$1,0)-MATCH($B$1,[2]quests!$1:$1,0)+1),MATCH(E$1,[2]quests!$1:$1,0)-MATCH($B$1,[2]quests!$1:$1,0)+1,FALSE)</f>
        <v>ジャンヌ襲来！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【ウィザード級】ジャンヌ襲来</v>
      </c>
      <c r="G6" s="110">
        <v>4</v>
      </c>
      <c r="H6" s="14" t="str">
        <f t="shared" ref="H6:H7" si="5">B6&amp;"_"&amp;C6&amp;"-"&amp;G6</f>
        <v>41003_2-4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26">
        <v>4</v>
      </c>
      <c r="L6" s="26">
        <v>2</v>
      </c>
      <c r="M6" s="84">
        <v>814</v>
      </c>
      <c r="N6" s="16" t="str">
        <f ca="1">VLOOKUP($M6,OFFSET([3]enemies!$A$1,0,0,COUNTA([3]enemies!$A:$A),MATCH(N$1,[3]enemies!$1:$1,0)-MATCH($M$1,[3]enemies!$1:$1,0)+1),MATCH(N$1,[3]enemies!$1:$1,0)-MATCH($M$1,[3]enemies!$1:$1,0)+1,FALSE)</f>
        <v>戦場疾駆の鋼蹄 ジャンヌ</v>
      </c>
      <c r="O6" s="16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6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6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6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80</v>
      </c>
      <c r="T6" s="22">
        <v>5</v>
      </c>
      <c r="U6" s="22">
        <v>2.1</v>
      </c>
      <c r="V6" s="5">
        <v>0</v>
      </c>
      <c r="W6" s="4" t="e">
        <f ca="1">VLOOKUP($X6,OFFSET([5]enemy_skill_sets!$B$1,0,0,COUNTA([5]enemy_skill_sets!$B:$B),MATCH(N$1,[5]enemy_skill_sets!$1:$1,0)-MATCH($X$1,[5]enemy_skill_sets!$1:$1,0)+2),MATCH(N$1,[5]enemy_skill_sets!$1:$1,0)-MATCH($X$1,[5]enemy_skill_sets!$1:$1,0)+2,FALSE)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6" s="112">
        <v>41003019</v>
      </c>
      <c r="Y6" s="178">
        <v>2</v>
      </c>
    </row>
    <row r="7" spans="1:25" ht="21" customHeight="1" thickBot="1" x14ac:dyDescent="0.2">
      <c r="A7" s="114" t="str">
        <f t="shared" si="3"/>
        <v>41003_2-4/814&lt;lv80&gt;sq4st3</v>
      </c>
      <c r="B7" s="173">
        <v>41003</v>
      </c>
      <c r="C7" s="115">
        <v>2</v>
      </c>
      <c r="D7" s="116" t="str">
        <f t="shared" si="4"/>
        <v>41003_2</v>
      </c>
      <c r="E7" s="117" t="str">
        <f ca="1">VLOOKUP($B7,OFFSET([2]quests!$A$1,0,0,COUNTA([2]quests!$A:$A),MATCH(E$1,[2]quests!$1:$1,0)-MATCH($B$1,[2]quests!$1:$1,0)+1),MATCH(E$1,[2]quests!$1:$1,0)-MATCH($B$1,[2]quests!$1:$1,0)+1,FALSE)</f>
        <v>ジャンヌ襲来！</v>
      </c>
      <c r="F7" s="117" t="str">
        <f ca="1">VLOOKUP($D7,OFFSET([2]stages!$A$1,0,0,COUNTA([2]stages!$A:$A),MATCH(F$1,[2]stages!$2:$2,0)-MATCH($D$1,[2]stages!$2:$2,0)+1),MATCH(F$1,[2]stages!$2:$2,0)-MATCH($D$1,[2]stages!$2:$2,0)+1,FALSE)</f>
        <v>【ウィザード級】ジャンヌ襲来</v>
      </c>
      <c r="G7" s="115">
        <v>4</v>
      </c>
      <c r="H7" s="116" t="str">
        <f t="shared" si="5"/>
        <v>41003_2-4</v>
      </c>
      <c r="I7" s="117">
        <f ca="1">VLOOKUP($H7,OFFSET(floors!$A$1,0,0,COUNTA(floors!$A:$A),MATCH(I$1,floors!$1:$1,0)-MATCH($H$1,floors!$1:$1,0)+1),MATCH(I$1,floors!$1:$1,0)-MATCH($H$1,floors!$1:$1,0)+1,FALSE)</f>
        <v>60</v>
      </c>
      <c r="J7" s="117">
        <f ca="1">VLOOKUP($H7,OFFSET(floors!$A$1,0,0,COUNTA(floors!$A:$A),MATCH(J$1,floors!$1:$1,0)-MATCH($H$1,floors!$1:$1,0)+1),MATCH(J$1,floors!$1:$1,0)-MATCH($H$1,floors!$1:$1,0)+1,FALSE)</f>
        <v>60</v>
      </c>
      <c r="K7" s="118">
        <v>4</v>
      </c>
      <c r="L7" s="118">
        <v>3</v>
      </c>
      <c r="M7" s="119">
        <v>814</v>
      </c>
      <c r="N7" s="120" t="str">
        <f ca="1">VLOOKUP($M7,OFFSET([3]enemies!$A$1,0,0,COUNTA([3]enemies!$A:$A),MATCH(N$1,[3]enemies!$1:$1,0)-MATCH($M$1,[3]enemies!$1:$1,0)+1),MATCH(N$1,[3]enemies!$1:$1,0)-MATCH($M$1,[3]enemies!$1:$1,0)+1,FALSE)</f>
        <v>戦場疾駆の鋼蹄 ジャンヌ</v>
      </c>
      <c r="O7" s="120" t="str">
        <f ca="1">VLOOKUP($M7,OFFSET([3]enemies!$A$1,0,0,COUNTA([3]enemies!$A:$A),MATCH(O$1,[3]enemies!$1:$1,0)-MATCH($M$1,[3]enemies!$1:$1,0)+1),MATCH(O$1,[3]enemies!$1:$1,0)-MATCH($M$1,[3]enemies!$1:$1,0)+1,FALSE)</f>
        <v>blue</v>
      </c>
      <c r="P7" s="120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20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20">
        <f ca="1">VLOOKUP($M7,OFFSET([3]enemies!$A$1,0,0,COUNTA([3]enemies!$A:$A),MATCH(R$1,[3]enemies!$1:$1,0)-MATCH($M$1,[3]enemies!$1:$1,0)+1),MATCH(R$1,[3]enemies!$1:$1,0)-MATCH($M$1,[3]enemies!$1:$1,0)+1,FALSE)</f>
        <v>60</v>
      </c>
      <c r="S7" s="121">
        <v>80</v>
      </c>
      <c r="T7" s="174">
        <v>7</v>
      </c>
      <c r="U7" s="170">
        <v>2.2000000000000002</v>
      </c>
      <c r="V7" s="121">
        <v>0</v>
      </c>
      <c r="W7" s="117" t="e">
        <f ca="1">VLOOKUP($X7,OFFSET([5]enemy_skill_sets!$B$1,0,0,COUNTA([5]enemy_skill_sets!$B:$B),MATCH(N$1,[5]enemy_skill_sets!$1:$1,0)-MATCH($X$1,[5]enemy_skill_sets!$1:$1,0)+2),MATCH(N$1,[5]enemy_skill_sets!$1:$1,0)-MATCH($X$1,[5]enemy_skill_sets!$1:$1,0)+2,FALSE)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7" s="124">
        <v>41003020</v>
      </c>
      <c r="Y7" s="180">
        <v>2</v>
      </c>
    </row>
    <row r="8" spans="1:25" ht="21" customHeight="1" x14ac:dyDescent="0.15">
      <c r="A8" s="95" t="str">
        <f>B8&amp;"_"&amp;C8&amp;"-"&amp;G8&amp;"/"&amp;M8&amp;"&lt;lv"&amp;S8&amp;"&gt;sq"&amp;K8&amp;"st"&amp;L8</f>
        <v>41003_3-3/258&lt;lv52&gt;sq5st2</v>
      </c>
      <c r="B8" s="171">
        <v>41003</v>
      </c>
      <c r="C8" s="96">
        <v>3</v>
      </c>
      <c r="D8" s="97" t="str">
        <f>B8&amp;"_"&amp;C8</f>
        <v>41003_3</v>
      </c>
      <c r="E8" s="98" t="str">
        <f ca="1">VLOOKUP($B8,OFFSET([2]quests!$A$1,0,0,COUNTA([2]quests!$A:$A),MATCH(E$1,[2]quests!$1:$1,0)-MATCH($B$1,[2]quests!$1:$1,0)+1),MATCH(E$1,[2]quests!$1:$1,0)-MATCH($B$1,[2]quests!$1:$1,0)+1,FALSE)</f>
        <v>ジャンヌ襲来！</v>
      </c>
      <c r="F8" s="98" t="str">
        <f ca="1">VLOOKUP($D8,OFFSET([2]stages!$A$1,0,0,COUNTA([2]stages!$A:$A),MATCH(F$1,[2]stages!$2:$2,0)-MATCH($D$1,[2]stages!$2:$2,0)+1),MATCH(F$1,[2]stages!$2:$2,0)-MATCH($D$1,[2]stages!$2:$2,0)+1,FALSE)</f>
        <v>【ノーコンテニュー】ジャンヌ襲来</v>
      </c>
      <c r="G8" s="96">
        <v>3</v>
      </c>
      <c r="H8" s="97" t="str">
        <f>B8&amp;"_"&amp;C8&amp;"-"&amp;G8</f>
        <v>41003_3-3</v>
      </c>
      <c r="I8" s="98">
        <f ca="1">VLOOKUP($H8,OFFSET(floors!$A$1,0,0,COUNTA(floors!$A:$A),MATCH(I$1,floors!$1:$1,0)-MATCH($H$1,floors!$1:$1,0)+1),MATCH(I$1,floors!$1:$1,0)-MATCH($H$1,floors!$1:$1,0)+1,FALSE)</f>
        <v>60</v>
      </c>
      <c r="J8" s="98">
        <f ca="1">VLOOKUP($H8,OFFSET(floors!$A$1,0,0,COUNTA(floors!$A:$A),MATCH(J$1,floors!$1:$1,0)-MATCH($H$1,floors!$1:$1,0)+1),MATCH(J$1,floors!$1:$1,0)-MATCH($H$1,floors!$1:$1,0)+1,FALSE)</f>
        <v>60</v>
      </c>
      <c r="K8" s="99">
        <v>5</v>
      </c>
      <c r="L8" s="99">
        <v>2</v>
      </c>
      <c r="M8" s="100">
        <v>258</v>
      </c>
      <c r="N8" s="101" t="str">
        <f ca="1">VLOOKUP($M8,OFFSET([3]enemies!$A$1,0,0,COUNTA([3]enemies!$A:$A),MATCH(N$1,[3]enemies!$1:$1,0)-MATCH($M$1,[3]enemies!$1:$1,0)+1),MATCH(N$1,[3]enemies!$1:$1,0)-MATCH($M$1,[3]enemies!$1:$1,0)+1,FALSE)</f>
        <v>色欲の源流 アスモデウス</v>
      </c>
      <c r="O8" s="101" t="str">
        <f ca="1">VLOOKUP($M8,OFFSET([3]enemies!$A$1,0,0,COUNTA([3]enemies!$A:$A),MATCH(O$1,[3]enemies!$1:$1,0)-MATCH($M$1,[3]enemies!$1:$1,0)+1),MATCH(O$1,[3]enemies!$1:$1,0)-MATCH($M$1,[3]enemies!$1:$1,0)+1,FALSE)</f>
        <v>blue</v>
      </c>
      <c r="P8" s="101" t="str">
        <f ca="1">VLOOKUP($M8,OFFSET([4]characters!$A$1,0,0,COUNTA([4]characters!$A:$A),MATCH(P$1,[4]characters!$1:$1,0)-MATCH($M$1,[4]characters!$1:$1,0)+1),MATCH(P$1,[4]characters!$1:$1,0)-MATCH($M$1,[4]characters!$1:$1,0)+1,FALSE)</f>
        <v>PremiumS</v>
      </c>
      <c r="Q8" s="101" t="str">
        <f ca="1">VLOOKUP($M8,OFFSET([3]enemies!$A$1,0,0,COUNTA([3]enemies!$A:$A),MATCH(Q$1,[3]enemies!$1:$1,0)-MATCH($M$1,[3]enemies!$1:$1,0)+1),MATCH(Q$1,[3]enemies!$1:$1,0)-MATCH($M$1,[3]enemies!$1:$1,0)+1,FALSE)</f>
        <v>god</v>
      </c>
      <c r="R8" s="101">
        <f ca="1">VLOOKUP($M8,OFFSET([3]enemies!$A$1,0,0,COUNTA([3]enemies!$A:$A),MATCH(R$1,[3]enemies!$1:$1,0)-MATCH($M$1,[3]enemies!$1:$1,0)+1),MATCH(R$1,[3]enemies!$1:$1,0)-MATCH($M$1,[3]enemies!$1:$1,0)+1,FALSE)</f>
        <v>60</v>
      </c>
      <c r="S8" s="205">
        <v>52</v>
      </c>
      <c r="T8" s="207">
        <v>4</v>
      </c>
      <c r="U8" s="208">
        <v>1</v>
      </c>
      <c r="V8" s="102">
        <v>0</v>
      </c>
      <c r="W8" s="98" t="e">
        <f ca="1">VLOOKUP($X8,OFFSET([5]enemy_skill_sets!$B$1,0,0,COUNTA([5]enemy_skill_sets!$B:$B),MATCH(N$1,[5]enemy_skill_sets!$1:$1,0)-MATCH($X$1,[5]enemy_skill_sets!$1:$1,0)+2),MATCH(N$1,[5]enemy_skill_sets!$1:$1,0)-MATCH($X$1,[5]enemy_skill_sets!$1:$1,0)+2,FALSE)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8" s="172">
        <v>41003018</v>
      </c>
      <c r="Y8" s="177">
        <v>2</v>
      </c>
    </row>
    <row r="9" spans="1:25" ht="21" customHeight="1" x14ac:dyDescent="0.15">
      <c r="A9" s="109" t="str">
        <f t="shared" ref="A9:A10" si="6">B9&amp;"_"&amp;C9&amp;"-"&amp;G9&amp;"/"&amp;M9&amp;"&lt;lv"&amp;S9&amp;"&gt;sq"&amp;K9&amp;"st"&amp;L9</f>
        <v>41003_3-4/814&lt;lv80&gt;sq6st2</v>
      </c>
      <c r="B9" s="20">
        <v>41003</v>
      </c>
      <c r="C9" s="110">
        <v>3</v>
      </c>
      <c r="D9" s="14" t="str">
        <f t="shared" ref="D9:D10" si="7">B9&amp;"_"&amp;C9</f>
        <v>41003_3</v>
      </c>
      <c r="E9" s="4" t="str">
        <f ca="1">VLOOKUP($B9,OFFSET([2]quests!$A$1,0,0,COUNTA([2]quests!$A:$A),MATCH(E$1,[2]quests!$1:$1,0)-MATCH($B$1,[2]quests!$1:$1,0)+1),MATCH(E$1,[2]quests!$1:$1,0)-MATCH($B$1,[2]quests!$1:$1,0)+1,FALSE)</f>
        <v>ジャンヌ襲来！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【ノーコンテニュー】ジャンヌ襲来</v>
      </c>
      <c r="G9" s="110">
        <v>4</v>
      </c>
      <c r="H9" s="14" t="str">
        <f t="shared" ref="H9:H10" si="8">B9&amp;"_"&amp;C9&amp;"-"&amp;G9</f>
        <v>41003_3-4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26">
        <v>6</v>
      </c>
      <c r="L9" s="26">
        <v>2</v>
      </c>
      <c r="M9" s="84">
        <v>814</v>
      </c>
      <c r="N9" s="16" t="str">
        <f ca="1">VLOOKUP($M9,OFFSET([3]enemies!$A$1,0,0,COUNTA([3]enemies!$A:$A),MATCH(N$1,[3]enemies!$1:$1,0)-MATCH($M$1,[3]enemies!$1:$1,0)+1),MATCH(N$1,[3]enemies!$1:$1,0)-MATCH($M$1,[3]enemies!$1:$1,0)+1,FALSE)</f>
        <v>戦場疾駆の鋼蹄 ジャンヌ</v>
      </c>
      <c r="O9" s="16" t="str">
        <f ca="1">VLOOKUP($M9,OFFSET([3]enemies!$A$1,0,0,COUNTA([3]enemies!$A:$A),MATCH(O$1,[3]enemies!$1:$1,0)-MATCH($M$1,[3]enemies!$1:$1,0)+1),MATCH(O$1,[3]enemies!$1:$1,0)-MATCH($M$1,[3]enemies!$1:$1,0)+1,FALSE)</f>
        <v>blue</v>
      </c>
      <c r="P9" s="16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16" t="str">
        <f ca="1">VLOOKUP($M9,OFFSET([3]enemies!$A$1,0,0,COUNTA([3]enemies!$A:$A),MATCH(Q$1,[3]enemies!$1:$1,0)-MATCH($M$1,[3]enemies!$1:$1,0)+1),MATCH(Q$1,[3]enemies!$1:$1,0)-MATCH($M$1,[3]enemies!$1:$1,0)+1,FALSE)</f>
        <v>human</v>
      </c>
      <c r="R9" s="16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80</v>
      </c>
      <c r="T9" s="22">
        <v>5</v>
      </c>
      <c r="U9" s="22">
        <v>2.1</v>
      </c>
      <c r="V9" s="5">
        <v>0</v>
      </c>
      <c r="W9" s="4" t="e">
        <f ca="1">VLOOKUP($X9,OFFSET([5]enemy_skill_sets!$B$1,0,0,COUNTA([5]enemy_skill_sets!$B:$B),MATCH(N$1,[5]enemy_skill_sets!$1:$1,0)-MATCH($X$1,[5]enemy_skill_sets!$1:$1,0)+2),MATCH(N$1,[5]enemy_skill_sets!$1:$1,0)-MATCH($X$1,[5]enemy_skill_sets!$1:$1,0)+2,FALSE)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9" s="112">
        <v>41003019</v>
      </c>
      <c r="Y9" s="178">
        <v>2</v>
      </c>
    </row>
    <row r="10" spans="1:25" ht="21" customHeight="1" thickBot="1" x14ac:dyDescent="0.2">
      <c r="A10" s="114" t="str">
        <f t="shared" si="6"/>
        <v>41003_3-4/814&lt;lv80&gt;sq6st3</v>
      </c>
      <c r="B10" s="173">
        <v>41003</v>
      </c>
      <c r="C10" s="115">
        <v>3</v>
      </c>
      <c r="D10" s="116" t="str">
        <f t="shared" si="7"/>
        <v>41003_3</v>
      </c>
      <c r="E10" s="117" t="str">
        <f ca="1">VLOOKUP($B10,OFFSET([2]quests!$A$1,0,0,COUNTA([2]quests!$A:$A),MATCH(E$1,[2]quests!$1:$1,0)-MATCH($B$1,[2]quests!$1:$1,0)+1),MATCH(E$1,[2]quests!$1:$1,0)-MATCH($B$1,[2]quests!$1:$1,0)+1,FALSE)</f>
        <v>ジャンヌ襲来！</v>
      </c>
      <c r="F10" s="117" t="str">
        <f ca="1">VLOOKUP($D10,OFFSET([2]stages!$A$1,0,0,COUNTA([2]stages!$A:$A),MATCH(F$1,[2]stages!$2:$2,0)-MATCH($D$1,[2]stages!$2:$2,0)+1),MATCH(F$1,[2]stages!$2:$2,0)-MATCH($D$1,[2]stages!$2:$2,0)+1,FALSE)</f>
        <v>【ノーコンテニュー】ジャンヌ襲来</v>
      </c>
      <c r="G10" s="115">
        <v>4</v>
      </c>
      <c r="H10" s="116" t="str">
        <f t="shared" si="8"/>
        <v>41003_3-4</v>
      </c>
      <c r="I10" s="117">
        <f ca="1">VLOOKUP($H10,OFFSET(floors!$A$1,0,0,COUNTA(floors!$A:$A),MATCH(I$1,floors!$1:$1,0)-MATCH($H$1,floors!$1:$1,0)+1),MATCH(I$1,floors!$1:$1,0)-MATCH($H$1,floors!$1:$1,0)+1,FALSE)</f>
        <v>60</v>
      </c>
      <c r="J10" s="117">
        <f ca="1">VLOOKUP($H10,OFFSET(floors!$A$1,0,0,COUNTA(floors!$A:$A),MATCH(J$1,floors!$1:$1,0)-MATCH($H$1,floors!$1:$1,0)+1),MATCH(J$1,floors!$1:$1,0)-MATCH($H$1,floors!$1:$1,0)+1,FALSE)</f>
        <v>60</v>
      </c>
      <c r="K10" s="118">
        <v>6</v>
      </c>
      <c r="L10" s="118">
        <v>3</v>
      </c>
      <c r="M10" s="119">
        <v>814</v>
      </c>
      <c r="N10" s="120" t="str">
        <f ca="1">VLOOKUP($M10,OFFSET([3]enemies!$A$1,0,0,COUNTA([3]enemies!$A:$A),MATCH(N$1,[3]enemies!$1:$1,0)-MATCH($M$1,[3]enemies!$1:$1,0)+1),MATCH(N$1,[3]enemies!$1:$1,0)-MATCH($M$1,[3]enemies!$1:$1,0)+1,FALSE)</f>
        <v>戦場疾駆の鋼蹄 ジャンヌ</v>
      </c>
      <c r="O10" s="120" t="str">
        <f ca="1">VLOOKUP($M10,OFFSET([3]enemies!$A$1,0,0,COUNTA([3]enemies!$A:$A),MATCH(O$1,[3]enemies!$1:$1,0)-MATCH($M$1,[3]enemies!$1:$1,0)+1),MATCH(O$1,[3]enemies!$1:$1,0)-MATCH($M$1,[3]enemies!$1:$1,0)+1,FALSE)</f>
        <v>blue</v>
      </c>
      <c r="P10" s="120" t="str">
        <f ca="1">VLOOKUP($M10,OFFSET([4]characters!$A$1,0,0,COUNTA([4]characters!$A:$A),MATCH(P$1,[4]characters!$1:$1,0)-MATCH($M$1,[4]characters!$1:$1,0)+1),MATCH(P$1,[4]characters!$1:$1,0)-MATCH($M$1,[4]characters!$1:$1,0)+1,FALSE)</f>
        <v>DropWizS</v>
      </c>
      <c r="Q10" s="120" t="str">
        <f ca="1">VLOOKUP($M10,OFFSET([3]enemies!$A$1,0,0,COUNTA([3]enemies!$A:$A),MATCH(Q$1,[3]enemies!$1:$1,0)-MATCH($M$1,[3]enemies!$1:$1,0)+1),MATCH(Q$1,[3]enemies!$1:$1,0)-MATCH($M$1,[3]enemies!$1:$1,0)+1,FALSE)</f>
        <v>human</v>
      </c>
      <c r="R10" s="120">
        <f ca="1">VLOOKUP($M10,OFFSET([3]enemies!$A$1,0,0,COUNTA([3]enemies!$A:$A),MATCH(R$1,[3]enemies!$1:$1,0)-MATCH($M$1,[3]enemies!$1:$1,0)+1),MATCH(R$1,[3]enemies!$1:$1,0)-MATCH($M$1,[3]enemies!$1:$1,0)+1,FALSE)</f>
        <v>60</v>
      </c>
      <c r="S10" s="121">
        <v>80</v>
      </c>
      <c r="T10" s="174">
        <v>7</v>
      </c>
      <c r="U10" s="174">
        <v>2.2000000000000002</v>
      </c>
      <c r="V10" s="121">
        <v>0</v>
      </c>
      <c r="W10" s="117" t="e">
        <f ca="1">VLOOKUP($X10,OFFSET([5]enemy_skill_sets!$B$1,0,0,COUNTA([5]enemy_skill_sets!$B:$B),MATCH(N$1,[5]enemy_skill_sets!$1:$1,0)-MATCH($X$1,[5]enemy_skill_sets!$1:$1,0)+2),MATCH(N$1,[5]enemy_skill_sets!$1:$1,0)-MATCH($X$1,[5]enemy_skill_sets!$1:$1,0)+2,FALSE)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0" s="124">
        <v>41003020</v>
      </c>
      <c r="Y10" s="180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7"/>
  <sheetViews>
    <sheetView showGridLines="0" workbookViewId="0">
      <pane xSplit="5" ySplit="1" topLeftCell="O29" activePane="bottomRight" state="frozen"/>
      <selection pane="topRight"/>
      <selection pane="bottomLeft"/>
      <selection pane="bottomRight" activeCell="A46" sqref="A46:XFD46"/>
    </sheetView>
  </sheetViews>
  <sheetFormatPr baseColWidth="12" defaultColWidth="12.83203125" defaultRowHeight="21" customHeight="1" outlineLevelCol="1" x14ac:dyDescent="0.15"/>
  <cols>
    <col min="1" max="1" width="11.33203125" style="27" bestFit="1" customWidth="1"/>
    <col min="2" max="2" width="9.5" style="36" bestFit="1" customWidth="1"/>
    <col min="3" max="3" width="9.6640625" style="36" customWidth="1"/>
    <col min="4" max="4" width="18.5" style="36" customWidth="1" outlineLevel="1"/>
    <col min="5" max="5" width="44.1640625" style="36" bestFit="1" customWidth="1" outlineLevel="1"/>
    <col min="6" max="6" width="10.83203125" style="36" bestFit="1" customWidth="1"/>
    <col min="7" max="7" width="8.33203125" style="36" bestFit="1" customWidth="1" outlineLevel="1"/>
    <col min="8" max="9" width="12.83203125" style="36" outlineLevel="1"/>
    <col min="10" max="10" width="17.6640625" style="36" bestFit="1" customWidth="1" outlineLevel="1"/>
    <col min="11" max="15" width="12.83203125" style="36" outlineLevel="1"/>
    <col min="16" max="16" width="8.33203125" style="32" bestFit="1" customWidth="1"/>
    <col min="17" max="17" width="9.6640625" style="32" customWidth="1"/>
    <col min="18" max="18" width="56.5" style="32" bestFit="1" customWidth="1"/>
    <col min="19" max="16384" width="12.83203125" style="32"/>
  </cols>
  <sheetData>
    <row r="1" spans="1:18" ht="21" customHeight="1" thickBot="1" x14ac:dyDescent="0.2">
      <c r="A1" s="27" t="s">
        <v>59</v>
      </c>
      <c r="B1" s="130" t="s">
        <v>60</v>
      </c>
      <c r="C1" s="130" t="s">
        <v>61</v>
      </c>
      <c r="D1" s="131" t="s">
        <v>62</v>
      </c>
      <c r="E1" s="131" t="s">
        <v>63</v>
      </c>
      <c r="F1" s="40" t="s">
        <v>64</v>
      </c>
      <c r="G1" s="31" t="s">
        <v>65</v>
      </c>
      <c r="H1" s="31" t="s">
        <v>67</v>
      </c>
      <c r="I1" s="31" t="s">
        <v>68</v>
      </c>
      <c r="J1" s="31" t="s">
        <v>69</v>
      </c>
      <c r="K1" s="31" t="s">
        <v>70</v>
      </c>
      <c r="L1" s="31" t="s">
        <v>71</v>
      </c>
      <c r="M1" s="31" t="s">
        <v>72</v>
      </c>
      <c r="N1" s="31" t="s">
        <v>73</v>
      </c>
      <c r="O1" s="31" t="s">
        <v>74</v>
      </c>
      <c r="P1" s="131" t="s">
        <v>75</v>
      </c>
      <c r="Q1" s="131" t="s">
        <v>76</v>
      </c>
      <c r="R1" s="131" t="s">
        <v>77</v>
      </c>
    </row>
    <row r="2" spans="1:18" s="136" customFormat="1" ht="21" customHeight="1" x14ac:dyDescent="0.15">
      <c r="A2" s="132" t="str">
        <f t="shared" ref="A2" si="0">B2&amp;"_"&amp;C2</f>
        <v>41003001_41003001</v>
      </c>
      <c r="B2" s="133">
        <v>41003001</v>
      </c>
      <c r="C2" s="133">
        <v>41003001</v>
      </c>
      <c r="D2" s="134" t="str">
        <f ca="1">VLOOKUP($C2,OFFSET(enemy_skills!$A$1,0,0,COUNTA(enemy_skills!$A:$A),MATCH(D$1,enemy_skills!$1:$1,0)-MATCH("enemy_skill_id",enemy_skills!$1:$1,0)+1),MATCH(D$1,enemy_skills!$1:$1,0)-MATCH("enemy_skill_id",enemy_skills!$1:$1,0)+1,FALSE)</f>
        <v>衰弱ウィルス</v>
      </c>
      <c r="E2" s="134" t="str">
        <f ca="1">VLOOKUP($C2,OFFSET(enemy_skills!$A$1,0,0,COUNTA(enemy_skills!$A:$A),MATCH(E$1,enemy_skills!$1:$1,0)-MATCH("enemy_skill_id",enemy_skills!$1:$1,0)+1),MATCH(E$1,enemy_skills!$1:$1,0)-MATCH("enemy_skill_id",enemy_skills!$1:$1,0)+1,FALSE)</f>
        <v>1ターンの間回復力が50%DOWN＋攻撃</v>
      </c>
      <c r="F2" s="133">
        <v>41003001</v>
      </c>
      <c r="G2" s="135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135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135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" s="135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135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135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135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135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135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" s="133"/>
      <c r="Q2" s="133"/>
      <c r="R2" s="133" t="s">
        <v>265</v>
      </c>
    </row>
    <row r="3" spans="1:18" s="138" customFormat="1" ht="21" customHeight="1" x14ac:dyDescent="0.15">
      <c r="A3" s="137" t="str">
        <f t="shared" ref="A3:A28" si="1">B3&amp;"_"&amp;C3</f>
        <v>41003001_41003002</v>
      </c>
      <c r="B3" s="34">
        <v>41003001</v>
      </c>
      <c r="C3" s="34">
        <v>41003002</v>
      </c>
      <c r="D3" s="33" t="str">
        <f ca="1">VLOOKUP($C3,OFFSET(enemy_skills!$A$1,0,0,COUNTA(enemy_skills!$A:$A),MATCH(D$1,enemy_skills!$1:$1,0)-MATCH("enemy_skill_id",enemy_skills!$1:$1,0)+1),MATCH(D$1,enemy_skills!$1:$1,0)-MATCH("enemy_skill_id",enemy_skills!$1:$1,0)+1,FALSE)</f>
        <v>脱力カプセル</v>
      </c>
      <c r="E3" s="33" t="str">
        <f ca="1">VLOOKUP($C3,OFFSET(enemy_skills!$A$1,0,0,COUNTA(enemy_skills!$A:$A),MATCH(E$1,enemy_skills!$1:$1,0)-MATCH("enemy_skill_id",enemy_skills!$1:$1,0)+1),MATCH(E$1,enemy_skills!$1:$1,0)-MATCH("enemy_skill_id",enemy_skills!$1:$1,0)+1,FALSE)</f>
        <v>1ターンの間攻撃力が50%DOWN＋攻撃</v>
      </c>
      <c r="F3" s="34">
        <v>41003002</v>
      </c>
      <c r="G3" s="35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35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35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" s="35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35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35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" s="35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35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35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" s="34"/>
      <c r="Q3" s="34"/>
      <c r="R3" s="34" t="s">
        <v>265</v>
      </c>
    </row>
    <row r="4" spans="1:18" s="138" customFormat="1" ht="21" customHeight="1" x14ac:dyDescent="0.15">
      <c r="A4" s="137" t="str">
        <f t="shared" si="1"/>
        <v>41003001_41003003</v>
      </c>
      <c r="B4" s="34">
        <v>41003001</v>
      </c>
      <c r="C4" s="34">
        <v>41003003</v>
      </c>
      <c r="D4" s="33" t="str">
        <f ca="1">VLOOKUP($C4,OFFSET(enemy_skills!$A$1,0,0,COUNTA(enemy_skills!$A:$A),MATCH(D$1,enemy_skills!$1:$1,0)-MATCH("enemy_skill_id",enemy_skills!$1:$1,0)+1),MATCH(D$1,enemy_skills!$1:$1,0)-MATCH("enemy_skill_id",enemy_skills!$1:$1,0)+1,FALSE)</f>
        <v>青龍摘出液ワクチン</v>
      </c>
      <c r="E4" s="33" t="str">
        <f ca="1">VLOOKUP($C4,OFFSET(enemy_skills!$A$1,0,0,COUNTA(enemy_skills!$A:$A),MATCH(E$1,enemy_skills!$1:$1,0)-MATCH("enemy_skill_id",enemy_skills!$1:$1,0)+1),MATCH(E$1,enemy_skills!$1:$1,0)-MATCH("enemy_skill_id",enemy_skills!$1:$1,0)+1,FALSE)</f>
        <v>4ターンの間ウィルス＋味方一体に4ターンスリープ</v>
      </c>
      <c r="F4" s="34">
        <v>41003012</v>
      </c>
      <c r="G4" s="35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35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35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35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" s="35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35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35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35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35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34"/>
      <c r="Q4" s="34"/>
      <c r="R4" s="34" t="s">
        <v>265</v>
      </c>
    </row>
    <row r="5" spans="1:18" s="138" customFormat="1" ht="21" customHeight="1" x14ac:dyDescent="0.15">
      <c r="A5" s="137" t="str">
        <f t="shared" si="1"/>
        <v>41003002_41003004</v>
      </c>
      <c r="B5" s="34">
        <v>41003002</v>
      </c>
      <c r="C5" s="34">
        <v>41003004</v>
      </c>
      <c r="D5" s="33" t="str">
        <f ca="1">VLOOKUP($C5,OFFSET(enemy_skills!$A$1,0,0,COUNTA(enemy_skills!$A:$A),MATCH(D$1,enemy_skills!$1:$1,0)-MATCH("enemy_skill_id",enemy_skills!$1:$1,0)+1),MATCH(D$1,enemy_skills!$1:$1,0)-MATCH("enemy_skill_id",enemy_skills!$1:$1,0)+1,FALSE)</f>
        <v>神海の咆哮</v>
      </c>
      <c r="E5" s="33" t="str">
        <f ca="1">VLOOKUP($C5,OFFSET(enemy_skills!$A$1,0,0,COUNTA(enemy_skills!$A:$A),MATCH(E$1,enemy_skills!$1:$1,0)-MATCH("enemy_skill_id",enemy_skills!$1:$1,0)+1),MATCH(E$1,enemy_skills!$1:$1,0)-MATCH("enemy_skill_id",enemy_skills!$1:$1,0)+1,FALSE)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" s="34">
        <v>41003004</v>
      </c>
      <c r="G5" s="35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35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35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" s="35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35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35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35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35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35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" s="34"/>
      <c r="Q5" s="34"/>
      <c r="R5" s="34" t="s">
        <v>265</v>
      </c>
    </row>
    <row r="6" spans="1:18" s="138" customFormat="1" ht="21" customHeight="1" x14ac:dyDescent="0.15">
      <c r="A6" s="137" t="str">
        <f t="shared" si="1"/>
        <v>41003003_41003005</v>
      </c>
      <c r="B6" s="34">
        <v>41003003</v>
      </c>
      <c r="C6" s="34">
        <v>41003005</v>
      </c>
      <c r="D6" s="33" t="str">
        <f ca="1">VLOOKUP($C6,OFFSET(enemy_skills!$A$1,0,0,COUNTA(enemy_skills!$A:$A),MATCH(D$1,enemy_skills!$1:$1,0)-MATCH("enemy_skill_id",enemy_skills!$1:$1,0)+1),MATCH(D$1,enemy_skills!$1:$1,0)-MATCH("enemy_skill_id",enemy_skills!$1:$1,0)+1,FALSE)</f>
        <v>仏式真紅爆弾</v>
      </c>
      <c r="E6" s="33" t="str">
        <f ca="1">VLOOKUP($C6,OFFSET(enemy_skills!$A$1,0,0,COUNTA(enemy_skills!$A:$A),MATCH(E$1,enemy_skills!$1:$1,0)-MATCH("enemy_skill_id",enemy_skills!$1:$1,0)+1),MATCH(E$1,enemy_skills!$1:$1,0)-MATCH("enemy_skill_id",enemy_skills!$1:$1,0)+1,FALSE)</f>
        <v>赤パネルを時限式ダメージパネルに変換</v>
      </c>
      <c r="F6" s="34">
        <v>41003005</v>
      </c>
      <c r="G6" s="35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35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35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35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35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35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35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35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35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34"/>
      <c r="Q6" s="34"/>
      <c r="R6" s="34" t="s">
        <v>265</v>
      </c>
    </row>
    <row r="7" spans="1:18" s="138" customFormat="1" ht="21" customHeight="1" x14ac:dyDescent="0.15">
      <c r="A7" s="137" t="str">
        <f t="shared" si="1"/>
        <v>41003004_41003006</v>
      </c>
      <c r="B7" s="34">
        <v>41003004</v>
      </c>
      <c r="C7" s="34">
        <v>41003006</v>
      </c>
      <c r="D7" s="33" t="str">
        <f ca="1">VLOOKUP($C7,OFFSET(enemy_skills!$A$1,0,0,COUNTA(enemy_skills!$A:$A),MATCH(D$1,enemy_skills!$1:$1,0)-MATCH("enemy_skill_id",enemy_skills!$1:$1,0)+1),MATCH(D$1,enemy_skills!$1:$1,0)-MATCH("enemy_skill_id",enemy_skills!$1:$1,0)+1,FALSE)</f>
        <v>仏式翡翠爆弾</v>
      </c>
      <c r="E7" s="33" t="str">
        <f ca="1">VLOOKUP($C7,OFFSET(enemy_skills!$A$1,0,0,COUNTA(enemy_skills!$A:$A),MATCH(E$1,enemy_skills!$1:$1,0)-MATCH("enemy_skill_id",enemy_skills!$1:$1,0)+1),MATCH(E$1,enemy_skills!$1:$1,0)-MATCH("enemy_skill_id",enemy_skills!$1:$1,0)+1,FALSE)</f>
        <v>緑パネルを時限式ダメージパネルに変換</v>
      </c>
      <c r="F7" s="34">
        <v>41003005</v>
      </c>
      <c r="G7" s="35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35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35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35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35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35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35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35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35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34"/>
      <c r="Q7" s="34"/>
      <c r="R7" s="34" t="s">
        <v>265</v>
      </c>
    </row>
    <row r="8" spans="1:18" s="138" customFormat="1" ht="21" customHeight="1" x14ac:dyDescent="0.15">
      <c r="A8" s="137" t="str">
        <f t="shared" si="1"/>
        <v>41003005_41003007</v>
      </c>
      <c r="B8" s="34">
        <v>41003005</v>
      </c>
      <c r="C8" s="128">
        <v>41003007</v>
      </c>
      <c r="D8" s="33" t="str">
        <f ca="1">VLOOKUP($C8,OFFSET(enemy_skills!$A$1,0,0,COUNTA(enemy_skills!$A:$A),MATCH(D$1,enemy_skills!$1:$1,0)-MATCH("enemy_skill_id",enemy_skills!$1:$1,0)+1),MATCH(D$1,enemy_skills!$1:$1,0)-MATCH("enemy_skill_id",enemy_skills!$1:$1,0)+1,FALSE)</f>
        <v>仏式黄金爆弾</v>
      </c>
      <c r="E8" s="33" t="str">
        <f ca="1">VLOOKUP($C8,OFFSET(enemy_skills!$A$1,0,0,COUNTA(enemy_skills!$A:$A),MATCH(E$1,enemy_skills!$1:$1,0)-MATCH("enemy_skill_id",enemy_skills!$1:$1,0)+1),MATCH(E$1,enemy_skills!$1:$1,0)-MATCH("enemy_skill_id",enemy_skills!$1:$1,0)+1,FALSE)</f>
        <v>黄パネルを時限式ダメージパネルに変換</v>
      </c>
      <c r="F8" s="34">
        <v>41003005</v>
      </c>
      <c r="G8" s="35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35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35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35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35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35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35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35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35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34"/>
      <c r="Q8" s="34"/>
      <c r="R8" s="34" t="s">
        <v>265</v>
      </c>
    </row>
    <row r="9" spans="1:18" s="138" customFormat="1" ht="21" customHeight="1" x14ac:dyDescent="0.15">
      <c r="A9" s="137" t="str">
        <f t="shared" si="1"/>
        <v>41003006_41003011</v>
      </c>
      <c r="B9" s="34">
        <v>41003006</v>
      </c>
      <c r="C9" s="34">
        <v>41003011</v>
      </c>
      <c r="D9" s="33" t="str">
        <f ca="1">VLOOKUP($C9,OFFSET(enemy_skills!$A$1,0,0,COUNTA(enemy_skills!$A:$A),MATCH(D$1,enemy_skills!$1:$1,0)-MATCH("enemy_skill_id",enemy_skills!$1:$1,0)+1),MATCH(D$1,enemy_skills!$1:$1,0)-MATCH("enemy_skill_id",enemy_skills!$1:$1,0)+1,FALSE)</f>
        <v>破壊する一撃</v>
      </c>
      <c r="E9" s="33" t="str">
        <f ca="1">VLOOKUP($C9,OFFSET(enemy_skills!$A$1,0,0,COUNTA(enemy_skills!$A:$A),MATCH(E$1,enemy_skills!$1:$1,0)-MATCH("enemy_skill_id",enemy_skills!$1:$1,0)+1),MATCH(E$1,enemy_skills!$1:$1,0)-MATCH("enemy_skill_id",enemy_skills!$1:$1,0)+1,FALSE)</f>
        <v>攻撃力×1.2倍の攻撃</v>
      </c>
      <c r="F9" s="34">
        <v>41003004</v>
      </c>
      <c r="G9" s="35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35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35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" s="35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35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35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35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35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35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" s="34"/>
      <c r="Q9" s="34"/>
      <c r="R9" s="34" t="s">
        <v>265</v>
      </c>
    </row>
    <row r="10" spans="1:18" s="138" customFormat="1" ht="21" customHeight="1" x14ac:dyDescent="0.15">
      <c r="A10" s="137" t="str">
        <f t="shared" si="1"/>
        <v>41003008_41003012</v>
      </c>
      <c r="B10" s="34">
        <v>41003008</v>
      </c>
      <c r="C10" s="34">
        <v>41003012</v>
      </c>
      <c r="D10" s="33" t="str">
        <f ca="1">VLOOKUP($C10,OFFSET(enemy_skills!$A$1,0,0,COUNTA(enemy_skills!$A:$A),MATCH(D$1,enemy_skills!$1:$1,0)-MATCH("enemy_skill_id",enemy_skills!$1:$1,0)+1),MATCH(D$1,enemy_skills!$1:$1,0)-MATCH("enemy_skill_id",enemy_skills!$1:$1,0)+1,FALSE)</f>
        <v>限界突破</v>
      </c>
      <c r="E10" s="33" t="str">
        <f ca="1">VLOOKUP($C10,OFFSET(enemy_skills!$A$1,0,0,COUNTA(enemy_skills!$A:$A),MATCH(E$1,enemy_skills!$1:$1,0)-MATCH("enemy_skill_id",enemy_skills!$1:$1,0)+1),MATCH(E$1,enemy_skills!$1:$1,0)-MATCH("enemy_skill_id",enemy_skills!$1:$1,0)+1,FALSE)</f>
        <v>体力が減るほど強くなる</v>
      </c>
      <c r="F10" s="34">
        <v>41003005</v>
      </c>
      <c r="G10" s="35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35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35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35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35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35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35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35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35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34"/>
      <c r="Q10" s="34"/>
      <c r="R10" s="34" t="s">
        <v>265</v>
      </c>
    </row>
    <row r="11" spans="1:18" s="138" customFormat="1" ht="21" customHeight="1" x14ac:dyDescent="0.15">
      <c r="A11" s="137" t="str">
        <f t="shared" si="1"/>
        <v>41003008_41003008</v>
      </c>
      <c r="B11" s="34">
        <v>41003008</v>
      </c>
      <c r="C11" s="34">
        <v>41003008</v>
      </c>
      <c r="D11" s="33" t="str">
        <f ca="1">VLOOKUP($C11,OFFSET(enemy_skills!$A$1,0,0,COUNTA(enemy_skills!$A:$A),MATCH(D$1,enemy_skills!$1:$1,0)-MATCH("enemy_skill_id",enemy_skills!$1:$1,0)+1),MATCH(D$1,enemy_skills!$1:$1,0)-MATCH("enemy_skill_id",enemy_skills!$1:$1,0)+1,FALSE)</f>
        <v>神をも滅する衝撃</v>
      </c>
      <c r="E11" s="33" t="str">
        <f ca="1">VLOOKUP($C11,OFFSET(enemy_skills!$A$1,0,0,COUNTA(enemy_skills!$A:$A),MATCH(E$1,enemy_skills!$1:$1,0)-MATCH("enemy_skill_id",enemy_skills!$1:$1,0)+1),MATCH(E$1,enemy_skills!$1:$1,0)-MATCH("enemy_skill_id",enemy_skills!$1:$1,0)+1,FALSE)</f>
        <v>攻撃力×3.0倍の攻撃＋防御力UP</v>
      </c>
      <c r="F11" s="34">
        <v>41003006</v>
      </c>
      <c r="G11" s="35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35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35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35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" s="35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35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35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35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35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34"/>
      <c r="Q11" s="34"/>
      <c r="R11" s="34" t="s">
        <v>265</v>
      </c>
    </row>
    <row r="12" spans="1:18" s="138" customFormat="1" ht="21" customHeight="1" x14ac:dyDescent="0.15">
      <c r="A12" s="137" t="str">
        <f t="shared" si="1"/>
        <v>41003008_41003009</v>
      </c>
      <c r="B12" s="34">
        <v>41003008</v>
      </c>
      <c r="C12" s="34">
        <v>41003009</v>
      </c>
      <c r="D12" s="33" t="str">
        <f ca="1">VLOOKUP($C12,OFFSET(enemy_skills!$A$1,0,0,COUNTA(enemy_skills!$A:$A),MATCH(D$1,enemy_skills!$1:$1,0)-MATCH("enemy_skill_id",enemy_skills!$1:$1,0)+1),MATCH(D$1,enemy_skills!$1:$1,0)-MATCH("enemy_skill_id",enemy_skills!$1:$1,0)+1,FALSE)</f>
        <v>滅する一撃</v>
      </c>
      <c r="E12" s="33" t="str">
        <f ca="1">VLOOKUP($C12,OFFSET(enemy_skills!$A$1,0,0,COUNTA(enemy_skills!$A:$A),MATCH(E$1,enemy_skills!$1:$1,0)-MATCH("enemy_skill_id",enemy_skills!$1:$1,0)+1),MATCH(E$1,enemy_skills!$1:$1,0)-MATCH("enemy_skill_id",enemy_skills!$1:$1,0)+1,FALSE)</f>
        <v>攻撃力×2.0倍の攻撃＋防御力UP</v>
      </c>
      <c r="F12" s="34">
        <v>41003007</v>
      </c>
      <c r="G12" s="35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35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35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35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2" s="35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35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35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35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35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34"/>
      <c r="Q12" s="34"/>
      <c r="R12" s="34" t="s">
        <v>265</v>
      </c>
    </row>
    <row r="13" spans="1:18" s="138" customFormat="1" ht="21" customHeight="1" x14ac:dyDescent="0.15">
      <c r="A13" s="137" t="str">
        <f t="shared" si="1"/>
        <v>41003008_41003010</v>
      </c>
      <c r="B13" s="34">
        <v>41003008</v>
      </c>
      <c r="C13" s="34">
        <v>41003010</v>
      </c>
      <c r="D13" s="33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破壊する衝撃</v>
      </c>
      <c r="E13" s="33" t="str">
        <f ca="1">VLOOKUP($C13,OFFSET(enemy_skills!$A$1,0,0,COUNTA(enemy_skills!$A:$A),MATCH(E$1,enemy_skills!$1:$1,0)-MATCH("enemy_skill_id",enemy_skills!$1:$1,0)+1),MATCH(E$1,enemy_skills!$1:$1,0)-MATCH("enemy_skill_id",enemy_skills!$1:$1,0)+1,FALSE)</f>
        <v>攻撃力×1.5倍の攻撃＋防御力UP</v>
      </c>
      <c r="F13" s="34">
        <v>41003008</v>
      </c>
      <c r="G13" s="35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35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35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35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13" s="35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35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35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35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35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34"/>
      <c r="Q13" s="34"/>
      <c r="R13" s="34" t="s">
        <v>265</v>
      </c>
    </row>
    <row r="14" spans="1:18" s="138" customFormat="1" ht="21" customHeight="1" x14ac:dyDescent="0.15">
      <c r="A14" s="137" t="str">
        <f t="shared" si="1"/>
        <v>41003008_41003011</v>
      </c>
      <c r="B14" s="34">
        <v>41003008</v>
      </c>
      <c r="C14" s="34">
        <v>41003011</v>
      </c>
      <c r="D14" s="33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破壊する一撃</v>
      </c>
      <c r="E14" s="33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攻撃力×1.2倍の攻撃</v>
      </c>
      <c r="F14" s="34">
        <v>41003004</v>
      </c>
      <c r="G14" s="35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35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35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4" s="35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35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35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35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35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35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4" s="34"/>
      <c r="Q14" s="34"/>
      <c r="R14" s="34" t="s">
        <v>265</v>
      </c>
    </row>
    <row r="15" spans="1:18" s="138" customFormat="1" ht="21" customHeight="1" x14ac:dyDescent="0.15">
      <c r="A15" s="137" t="str">
        <f t="shared" ref="A15" si="2">B15&amp;"_"&amp;C15</f>
        <v>41003007_41003024</v>
      </c>
      <c r="B15" s="112">
        <v>41003007</v>
      </c>
      <c r="C15" s="34">
        <v>41003024</v>
      </c>
      <c r="D15" s="33" t="str">
        <f ca="1">VLOOKUP($C15,OFFSET(enemy_skills!$A$1,0,0,COUNTA(enemy_skills!$A:$A),MATCH(D$1,enemy_skills!$1:$1,0)-MATCH("enemy_skill_id",enemy_skills!$1:$1,0)+1),MATCH(D$1,enemy_skills!$1:$1,0)-MATCH("enemy_skill_id",enemy_skills!$1:$1,0)+1,FALSE)</f>
        <v>今こそ審判の刻だ…</v>
      </c>
      <c r="E15" s="33" t="str">
        <f ca="1">VLOOKUP($C15,OFFSET(enemy_skills!$A$1,0,0,COUNTA(enemy_skills!$A:$A),MATCH(E$1,enemy_skills!$1:$1,0)-MATCH("enemy_skill_id",enemy_skills!$1:$1,0)+1),MATCH(E$1,enemy_skills!$1:$1,0)-MATCH("enemy_skill_id",enemy_skills!$1:$1,0)+1,FALSE)</f>
        <v>5ターンの間Cパネル生成延長</v>
      </c>
      <c r="F15" s="34">
        <v>41003005</v>
      </c>
      <c r="G15" s="35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35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35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35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35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35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35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35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35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34"/>
      <c r="Q15" s="34"/>
      <c r="R15" s="34" t="s">
        <v>265</v>
      </c>
    </row>
    <row r="16" spans="1:18" s="138" customFormat="1" ht="21" customHeight="1" x14ac:dyDescent="0.15">
      <c r="A16" s="137" t="str">
        <f t="shared" si="1"/>
        <v>41003007_41003013</v>
      </c>
      <c r="B16" s="112">
        <v>41003007</v>
      </c>
      <c r="C16" s="34">
        <v>41003013</v>
      </c>
      <c r="D16" s="33" t="str">
        <f ca="1">VLOOKUP($C16,OFFSET(enemy_skills!$A$1,0,0,COUNTA(enemy_skills!$A:$A),MATCH(D$1,enemy_skills!$1:$1,0)-MATCH("enemy_skill_id",enemy_skills!$1:$1,0)+1),MATCH(D$1,enemy_skills!$1:$1,0)-MATCH("enemy_skill_id",enemy_skills!$1:$1,0)+1,FALSE)</f>
        <v>運命を受け入れなさい！</v>
      </c>
      <c r="E16" s="33" t="str">
        <f ca="1">VLOOKUP($C16,OFFSET(enemy_skills!$A$1,0,0,COUNTA(enemy_skills!$A:$A),MATCH(E$1,enemy_skills!$1:$1,0)-MATCH("enemy_skill_id",enemy_skills!$1:$1,0)+1),MATCH(E$1,enemy_skills!$1:$1,0)-MATCH("enemy_skill_id",enemy_skills!$1:$1,0)+1,FALSE)</f>
        <v>7ターンの間ハートパネルが使えない！</v>
      </c>
      <c r="F16" s="34">
        <v>41003011</v>
      </c>
      <c r="G16" s="35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35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35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6" s="35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35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35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35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35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35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6" s="34"/>
      <c r="Q16" s="34"/>
      <c r="R16" s="34" t="s">
        <v>265</v>
      </c>
    </row>
    <row r="17" spans="1:18" s="143" customFormat="1" ht="21" customHeight="1" thickBot="1" x14ac:dyDescent="0.2">
      <c r="A17" s="139" t="str">
        <f t="shared" ref="A17" si="3">B17&amp;"_"&amp;C17</f>
        <v>41003007_41003022</v>
      </c>
      <c r="B17" s="112">
        <v>41003007</v>
      </c>
      <c r="C17" s="34">
        <v>41003022</v>
      </c>
      <c r="D17" s="33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クレイジーダンス</v>
      </c>
      <c r="E17" s="33" t="str">
        <f ca="1">VLOOKUP($C17,OFFSET(enemy_skills!$A$1,0,0,COUNTA(enemy_skills!$A:$A),MATCH(E$1,enemy_skills!$1:$1,0)-MATCH("enemy_skill_id",enemy_skills!$1:$1,0)+1),MATCH(E$1,enemy_skills!$1:$1,0)-MATCH("enemy_skill_id",enemy_skills!$1:$1,0)+1,FALSE)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17" s="34">
        <v>41003001</v>
      </c>
      <c r="G17" s="35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35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35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7" s="35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35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35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35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35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35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7" s="34"/>
      <c r="Q17" s="34"/>
      <c r="R17" s="34" t="s">
        <v>265</v>
      </c>
    </row>
    <row r="18" spans="1:18" s="138" customFormat="1" ht="21" customHeight="1" x14ac:dyDescent="0.15">
      <c r="A18" s="137" t="str">
        <f t="shared" si="1"/>
        <v>41003009_41003014</v>
      </c>
      <c r="B18" s="164">
        <v>41003009</v>
      </c>
      <c r="C18" s="215">
        <v>41003014</v>
      </c>
      <c r="D18" s="21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加速装置オーバーヒート</v>
      </c>
      <c r="E18" s="21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この戦闘の間攻撃頻度が1ターンにUP</v>
      </c>
      <c r="F18" s="215">
        <v>41003012</v>
      </c>
      <c r="G18" s="21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21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" s="21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217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8" s="21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21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21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21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21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215"/>
      <c r="Q18" s="215"/>
      <c r="R18" s="215" t="s">
        <v>265</v>
      </c>
    </row>
    <row r="19" spans="1:18" s="143" customFormat="1" ht="21" customHeight="1" thickBot="1" x14ac:dyDescent="0.2">
      <c r="A19" s="139" t="str">
        <f t="shared" ref="A19" si="4">B19&amp;"_"&amp;C19</f>
        <v>41003009_41003022</v>
      </c>
      <c r="B19" s="112">
        <v>41003009</v>
      </c>
      <c r="C19" s="34">
        <v>41003022</v>
      </c>
      <c r="D19" s="33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クレイジーダンス</v>
      </c>
      <c r="E19" s="33" t="str">
        <f ca="1">VLOOKUP($C19,OFFSET(enemy_skills!$A$1,0,0,COUNTA(enemy_skills!$A:$A),MATCH(E$1,enemy_skills!$1:$1,0)-MATCH("enemy_skill_id",enemy_skills!$1:$1,0)+1),MATCH(E$1,enemy_skills!$1:$1,0)-MATCH("enemy_skill_id",enemy_skills!$1:$1,0)+1,FALSE)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19" s="34">
        <v>41003001</v>
      </c>
      <c r="G19" s="35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35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35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9" s="35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35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35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35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35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35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9" s="34"/>
      <c r="Q19" s="34"/>
      <c r="R19" s="34" t="s">
        <v>265</v>
      </c>
    </row>
    <row r="20" spans="1:18" s="138" customFormat="1" ht="21" customHeight="1" x14ac:dyDescent="0.15">
      <c r="A20" s="137" t="str">
        <f t="shared" si="1"/>
        <v>41003009_41003015</v>
      </c>
      <c r="B20" s="164">
        <v>41003009</v>
      </c>
      <c r="C20" s="215">
        <v>41003015</v>
      </c>
      <c r="D20" s="21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自分の罪の数を数えた事はある?</v>
      </c>
      <c r="E20" s="21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5ターンの間タップ回数を1にする</v>
      </c>
      <c r="F20" s="215">
        <v>41003005</v>
      </c>
      <c r="G20" s="21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217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21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21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21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21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21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21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21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215"/>
      <c r="Q20" s="215"/>
      <c r="R20" s="215" t="s">
        <v>265</v>
      </c>
    </row>
    <row r="21" spans="1:18" s="138" customFormat="1" ht="21" customHeight="1" x14ac:dyDescent="0.15">
      <c r="A21" s="137" t="str">
        <f>B21&amp;"_"&amp;C21</f>
        <v>41003010_41003023</v>
      </c>
      <c r="B21" s="112">
        <v>41003010</v>
      </c>
      <c r="C21" s="34">
        <v>41003023</v>
      </c>
      <c r="D21" s="33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弾丸装填</v>
      </c>
      <c r="E21" s="33" t="str">
        <f ca="1">VLOOKUP($C21,OFFSET(enemy_skills!$A$1,0,0,COUNTA(enemy_skills!$A:$A),MATCH(E$1,enemy_skills!$1:$1,0)-MATCH("enemy_skill_id",enemy_skills!$1:$1,0)+1),MATCH(E$1,enemy_skills!$1:$1,0)-MATCH("enemy_skill_id",enemy_skills!$1:$1,0)+1,FALSE)</f>
        <v>次のターン強力な一撃</v>
      </c>
      <c r="F21" s="34">
        <v>41003005</v>
      </c>
      <c r="G21" s="35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35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35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35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35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35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35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35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35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34"/>
      <c r="Q21" s="34"/>
      <c r="R21" s="34" t="s">
        <v>265</v>
      </c>
    </row>
    <row r="22" spans="1:18" s="138" customFormat="1" ht="21" customHeight="1" x14ac:dyDescent="0.15">
      <c r="A22" s="137" t="str">
        <f t="shared" si="1"/>
        <v>41003010_41003016</v>
      </c>
      <c r="B22" s="112">
        <v>41003010</v>
      </c>
      <c r="C22" s="34">
        <v>41003016</v>
      </c>
      <c r="D22" s="33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ギルティブレイク</v>
      </c>
      <c r="E22" s="33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クリティカル攻撃</v>
      </c>
      <c r="F22" s="34">
        <v>41003022</v>
      </c>
      <c r="G22" s="35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35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2" s="35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35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35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35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35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35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35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34"/>
      <c r="Q22" s="34"/>
      <c r="R22" s="34" t="s">
        <v>265</v>
      </c>
    </row>
    <row r="23" spans="1:18" s="138" customFormat="1" ht="21" customHeight="1" x14ac:dyDescent="0.15">
      <c r="A23" s="137" t="str">
        <f t="shared" si="1"/>
        <v>41003010_41003017</v>
      </c>
      <c r="B23" s="112">
        <v>41003010</v>
      </c>
      <c r="C23" s="34">
        <v>41003017</v>
      </c>
      <c r="D23" s="33" t="str">
        <f ca="1">VLOOKUP($C23,OFFSET(enemy_skills!$A$1,0,0,COUNTA(enemy_skills!$A:$A),MATCH(D$1,enemy_skills!$1:$1,0)-MATCH("enemy_skill_id",enemy_skills!$1:$1,0)+1),MATCH(D$1,enemy_skills!$1:$1,0)-MATCH("enemy_skill_id",enemy_skills!$1:$1,0)+1,FALSE)</f>
        <v>断罪の紅</v>
      </c>
      <c r="E23" s="33" t="str">
        <f ca="1">VLOOKUP($C23,OFFSET(enemy_skills!$A$1,0,0,COUNTA(enemy_skills!$A:$A),MATCH(E$1,enemy_skills!$1:$1,0)-MATCH("enemy_skill_id",enemy_skills!$1:$1,0)+1),MATCH(E$1,enemy_skills!$1:$1,0)-MATCH("enemy_skill_id",enemy_skills!$1:$1,0)+1,FALSE)</f>
        <v>2ターンの間赤パネルが使えない！</v>
      </c>
      <c r="F23" s="34">
        <v>41003013</v>
      </c>
      <c r="G23" s="35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35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35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35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35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35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35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35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35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34"/>
      <c r="Q23" s="34"/>
      <c r="R23" s="34" t="s">
        <v>265</v>
      </c>
    </row>
    <row r="24" spans="1:18" s="138" customFormat="1" ht="21" customHeight="1" x14ac:dyDescent="0.15">
      <c r="A24" s="137" t="str">
        <f t="shared" si="1"/>
        <v>41003010_41003018</v>
      </c>
      <c r="B24" s="112">
        <v>41003010</v>
      </c>
      <c r="C24" s="34">
        <v>41003018</v>
      </c>
      <c r="D24" s="33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断罪の金</v>
      </c>
      <c r="E24" s="33" t="str">
        <f ca="1">VLOOKUP($C24,OFFSET(enemy_skills!$A$1,0,0,COUNTA(enemy_skills!$A:$A),MATCH(E$1,enemy_skills!$1:$1,0)-MATCH("enemy_skill_id",enemy_skills!$1:$1,0)+1),MATCH(E$1,enemy_skills!$1:$1,0)-MATCH("enemy_skill_id",enemy_skills!$1:$1,0)+1,FALSE)</f>
        <v>2ターンの間黄パネルが使えない！</v>
      </c>
      <c r="F24" s="34">
        <v>41003013</v>
      </c>
      <c r="G24" s="35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35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35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35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35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35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35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35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35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34"/>
      <c r="Q24" s="34"/>
      <c r="R24" s="34" t="s">
        <v>265</v>
      </c>
    </row>
    <row r="25" spans="1:18" s="138" customFormat="1" ht="21" customHeight="1" x14ac:dyDescent="0.15">
      <c r="A25" s="137" t="str">
        <f t="shared" si="1"/>
        <v>41003010_41003019</v>
      </c>
      <c r="B25" s="112">
        <v>41003010</v>
      </c>
      <c r="C25" s="34">
        <v>41003019</v>
      </c>
      <c r="D25" s="33" t="str">
        <f ca="1">VLOOKUP($C25,OFFSET(enemy_skills!$A$1,0,0,COUNTA(enemy_skills!$A:$A),MATCH(D$1,enemy_skills!$1:$1,0)-MATCH("enemy_skill_id",enemy_skills!$1:$1,0)+1),MATCH(D$1,enemy_skills!$1:$1,0)-MATCH("enemy_skill_id",enemy_skills!$1:$1,0)+1,FALSE)</f>
        <v>断罪の翠</v>
      </c>
      <c r="E25" s="33" t="str">
        <f ca="1">VLOOKUP($C25,OFFSET(enemy_skills!$A$1,0,0,COUNTA(enemy_skills!$A:$A),MATCH(E$1,enemy_skills!$1:$1,0)-MATCH("enemy_skill_id",enemy_skills!$1:$1,0)+1),MATCH(E$1,enemy_skills!$1:$1,0)-MATCH("enemy_skill_id",enemy_skills!$1:$1,0)+1,FALSE)</f>
        <v>2ターンの間緑パネルが使えない！</v>
      </c>
      <c r="F25" s="34">
        <v>41003013</v>
      </c>
      <c r="G25" s="35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35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35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35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35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35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35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35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35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34"/>
      <c r="Q25" s="34"/>
      <c r="R25" s="34" t="s">
        <v>265</v>
      </c>
    </row>
    <row r="26" spans="1:18" s="138" customFormat="1" ht="21" customHeight="1" x14ac:dyDescent="0.15">
      <c r="A26" s="137" t="str">
        <f t="shared" si="1"/>
        <v>41003010_41003020</v>
      </c>
      <c r="B26" s="112">
        <v>41003010</v>
      </c>
      <c r="C26" s="34">
        <v>41003020</v>
      </c>
      <c r="D26" s="33" t="str">
        <f ca="1">VLOOKUP($C26,OFFSET(enemy_skills!$A$1,0,0,COUNTA(enemy_skills!$A:$A),MATCH(D$1,enemy_skills!$1:$1,0)-MATCH("enemy_skill_id",enemy_skills!$1:$1,0)+1),MATCH(D$1,enemy_skills!$1:$1,0)-MATCH("enemy_skill_id",enemy_skills!$1:$1,0)+1,FALSE)</f>
        <v>断罪の蒼</v>
      </c>
      <c r="E26" s="33" t="str">
        <f ca="1">VLOOKUP($C26,OFFSET(enemy_skills!$A$1,0,0,COUNTA(enemy_skills!$A:$A),MATCH(E$1,enemy_skills!$1:$1,0)-MATCH("enemy_skill_id",enemy_skills!$1:$1,0)+1),MATCH(E$1,enemy_skills!$1:$1,0)-MATCH("enemy_skill_id",enemy_skills!$1:$1,0)+1,FALSE)</f>
        <v>2ターンの間青パネルが使えない！</v>
      </c>
      <c r="F26" s="34">
        <v>41003013</v>
      </c>
      <c r="G26" s="35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35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35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35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35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35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35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35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35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34"/>
      <c r="Q26" s="34"/>
      <c r="R26" s="34" t="s">
        <v>265</v>
      </c>
    </row>
    <row r="27" spans="1:18" s="143" customFormat="1" ht="21" customHeight="1" thickBot="1" x14ac:dyDescent="0.2">
      <c r="A27" s="139" t="str">
        <f t="shared" si="1"/>
        <v>41003010_41003022</v>
      </c>
      <c r="B27" s="124">
        <v>41003010</v>
      </c>
      <c r="C27" s="140">
        <v>41003022</v>
      </c>
      <c r="D27" s="141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クレイジーダンス</v>
      </c>
      <c r="E27" s="141" t="str">
        <f ca="1">VLOOKUP($C27,OFFSET(enemy_skills!$A$1,0,0,COUNTA(enemy_skills!$A:$A),MATCH(E$1,enemy_skills!$1:$1,0)-MATCH("enemy_skill_id",enemy_skills!$1:$1,0)+1),MATCH(E$1,enemy_skills!$1:$1,0)-MATCH("enemy_skill_id",enemy_skills!$1:$1,0)+1,FALSE)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27" s="140">
        <v>41003001</v>
      </c>
      <c r="G27" s="142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142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142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7" s="142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142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142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142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142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142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7" s="140"/>
      <c r="Q27" s="140"/>
      <c r="R27" s="140" t="s">
        <v>265</v>
      </c>
    </row>
    <row r="28" spans="1:18" s="136" customFormat="1" ht="21" customHeight="1" x14ac:dyDescent="0.15">
      <c r="A28" s="132" t="str">
        <f t="shared" si="1"/>
        <v>41003011_41003001</v>
      </c>
      <c r="B28" s="133">
        <v>41003011</v>
      </c>
      <c r="C28" s="133">
        <v>41003001</v>
      </c>
      <c r="D28" s="134" t="str">
        <f ca="1">VLOOKUP($C28,OFFSET(enemy_skills!$A$1,0,0,COUNTA(enemy_skills!$A:$A),MATCH(D$1,enemy_skills!$1:$1,0)-MATCH("enemy_skill_id",enemy_skills!$1:$1,0)+1),MATCH(D$1,enemy_skills!$1:$1,0)-MATCH("enemy_skill_id",enemy_skills!$1:$1,0)+1,FALSE)</f>
        <v>衰弱ウィルス</v>
      </c>
      <c r="E28" s="134" t="str">
        <f ca="1">VLOOKUP($C28,OFFSET(enemy_skills!$A$1,0,0,COUNTA(enemy_skills!$A:$A),MATCH(E$1,enemy_skills!$1:$1,0)-MATCH("enemy_skill_id",enemy_skills!$1:$1,0)+1),MATCH(E$1,enemy_skills!$1:$1,0)-MATCH("enemy_skill_id",enemy_skills!$1:$1,0)+1,FALSE)</f>
        <v>1ターンの間回復力が50%DOWN＋攻撃</v>
      </c>
      <c r="F28" s="133">
        <v>41003001</v>
      </c>
      <c r="G28" s="135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135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135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8" s="135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135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135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135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135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135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8" s="133"/>
      <c r="Q28" s="133"/>
      <c r="R28" s="133" t="s">
        <v>266</v>
      </c>
    </row>
    <row r="29" spans="1:18" s="138" customFormat="1" ht="21" customHeight="1" x14ac:dyDescent="0.15">
      <c r="A29" s="137" t="str">
        <f t="shared" ref="A29:A56" si="5">B29&amp;"_"&amp;C29</f>
        <v>41003011_41003002</v>
      </c>
      <c r="B29" s="34">
        <v>41003011</v>
      </c>
      <c r="C29" s="34">
        <v>41003002</v>
      </c>
      <c r="D29" s="33" t="str">
        <f ca="1">VLOOKUP($C29,OFFSET(enemy_skills!$A$1,0,0,COUNTA(enemy_skills!$A:$A),MATCH(D$1,enemy_skills!$1:$1,0)-MATCH("enemy_skill_id",enemy_skills!$1:$1,0)+1),MATCH(D$1,enemy_skills!$1:$1,0)-MATCH("enemy_skill_id",enemy_skills!$1:$1,0)+1,FALSE)</f>
        <v>脱力カプセル</v>
      </c>
      <c r="E29" s="33" t="str">
        <f ca="1">VLOOKUP($C29,OFFSET(enemy_skills!$A$1,0,0,COUNTA(enemy_skills!$A:$A),MATCH(E$1,enemy_skills!$1:$1,0)-MATCH("enemy_skill_id",enemy_skills!$1:$1,0)+1),MATCH(E$1,enemy_skills!$1:$1,0)-MATCH("enemy_skill_id",enemy_skills!$1:$1,0)+1,FALSE)</f>
        <v>1ターンの間攻撃力が50%DOWN＋攻撃</v>
      </c>
      <c r="F29" s="34">
        <v>41003002</v>
      </c>
      <c r="G29" s="35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35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35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9" s="35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35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35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9" s="35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35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35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9" s="34"/>
      <c r="Q29" s="34"/>
      <c r="R29" s="34" t="s">
        <v>266</v>
      </c>
    </row>
    <row r="30" spans="1:18" s="138" customFormat="1" ht="21" customHeight="1" x14ac:dyDescent="0.15">
      <c r="A30" s="137" t="str">
        <f t="shared" si="5"/>
        <v>41003011_41003003</v>
      </c>
      <c r="B30" s="34">
        <v>41003011</v>
      </c>
      <c r="C30" s="34">
        <v>41003003</v>
      </c>
      <c r="D30" s="33" t="str">
        <f ca="1">VLOOKUP($C30,OFFSET(enemy_skills!$A$1,0,0,COUNTA(enemy_skills!$A:$A),MATCH(D$1,enemy_skills!$1:$1,0)-MATCH("enemy_skill_id",enemy_skills!$1:$1,0)+1),MATCH(D$1,enemy_skills!$1:$1,0)-MATCH("enemy_skill_id",enemy_skills!$1:$1,0)+1,FALSE)</f>
        <v>青龍摘出液ワクチン</v>
      </c>
      <c r="E30" s="33" t="str">
        <f ca="1">VLOOKUP($C30,OFFSET(enemy_skills!$A$1,0,0,COUNTA(enemy_skills!$A:$A),MATCH(E$1,enemy_skills!$1:$1,0)-MATCH("enemy_skill_id",enemy_skills!$1:$1,0)+1),MATCH(E$1,enemy_skills!$1:$1,0)-MATCH("enemy_skill_id",enemy_skills!$1:$1,0)+1,FALSE)</f>
        <v>4ターンの間ウィルス＋味方一体に4ターンスリープ</v>
      </c>
      <c r="F30" s="34">
        <v>41003012</v>
      </c>
      <c r="G30" s="35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35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" s="35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35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0" s="35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35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35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35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35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34"/>
      <c r="Q30" s="34"/>
      <c r="R30" s="34" t="s">
        <v>266</v>
      </c>
    </row>
    <row r="31" spans="1:18" s="138" customFormat="1" ht="21" customHeight="1" x14ac:dyDescent="0.15">
      <c r="A31" s="137" t="str">
        <f t="shared" si="5"/>
        <v>41003012_41003004</v>
      </c>
      <c r="B31" s="34">
        <v>41003012</v>
      </c>
      <c r="C31" s="34">
        <v>41003004</v>
      </c>
      <c r="D31" s="33" t="str">
        <f ca="1">VLOOKUP($C31,OFFSET(enemy_skills!$A$1,0,0,COUNTA(enemy_skills!$A:$A),MATCH(D$1,enemy_skills!$1:$1,0)-MATCH("enemy_skill_id",enemy_skills!$1:$1,0)+1),MATCH(D$1,enemy_skills!$1:$1,0)-MATCH("enemy_skill_id",enemy_skills!$1:$1,0)+1,FALSE)</f>
        <v>神海の咆哮</v>
      </c>
      <c r="E31" s="33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1" s="34">
        <v>41003004</v>
      </c>
      <c r="G31" s="35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35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35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1" s="35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35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35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35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35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35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1" s="34"/>
      <c r="Q31" s="34"/>
      <c r="R31" s="34" t="s">
        <v>266</v>
      </c>
    </row>
    <row r="32" spans="1:18" s="138" customFormat="1" ht="21" customHeight="1" x14ac:dyDescent="0.15">
      <c r="A32" s="137" t="str">
        <f t="shared" si="5"/>
        <v>41003013_41003005</v>
      </c>
      <c r="B32" s="34">
        <v>41003013</v>
      </c>
      <c r="C32" s="34">
        <v>41003005</v>
      </c>
      <c r="D32" s="33" t="str">
        <f ca="1">VLOOKUP($C32,OFFSET(enemy_skills!$A$1,0,0,COUNTA(enemy_skills!$A:$A),MATCH(D$1,enemy_skills!$1:$1,0)-MATCH("enemy_skill_id",enemy_skills!$1:$1,0)+1),MATCH(D$1,enemy_skills!$1:$1,0)-MATCH("enemy_skill_id",enemy_skills!$1:$1,0)+1,FALSE)</f>
        <v>仏式真紅爆弾</v>
      </c>
      <c r="E32" s="33" t="str">
        <f ca="1">VLOOKUP($C32,OFFSET(enemy_skills!$A$1,0,0,COUNTA(enemy_skills!$A:$A),MATCH(E$1,enemy_skills!$1:$1,0)-MATCH("enemy_skill_id",enemy_skills!$1:$1,0)+1),MATCH(E$1,enemy_skills!$1:$1,0)-MATCH("enemy_skill_id",enemy_skills!$1:$1,0)+1,FALSE)</f>
        <v>赤パネルを時限式ダメージパネルに変換</v>
      </c>
      <c r="F32" s="34">
        <v>41003005</v>
      </c>
      <c r="G32" s="35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35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35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35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35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35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35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35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35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34"/>
      <c r="Q32" s="34"/>
      <c r="R32" s="34" t="s">
        <v>266</v>
      </c>
    </row>
    <row r="33" spans="1:18" s="138" customFormat="1" ht="21" customHeight="1" x14ac:dyDescent="0.15">
      <c r="A33" s="137" t="str">
        <f t="shared" si="5"/>
        <v>41003014_41003006</v>
      </c>
      <c r="B33" s="34">
        <v>41003014</v>
      </c>
      <c r="C33" s="34">
        <v>41003006</v>
      </c>
      <c r="D33" s="33" t="str">
        <f ca="1">VLOOKUP($C33,OFFSET(enemy_skills!$A$1,0,0,COUNTA(enemy_skills!$A:$A),MATCH(D$1,enemy_skills!$1:$1,0)-MATCH("enemy_skill_id",enemy_skills!$1:$1,0)+1),MATCH(D$1,enemy_skills!$1:$1,0)-MATCH("enemy_skill_id",enemy_skills!$1:$1,0)+1,FALSE)</f>
        <v>仏式翡翠爆弾</v>
      </c>
      <c r="E33" s="33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緑パネルを時限式ダメージパネルに変換</v>
      </c>
      <c r="F33" s="34">
        <v>41003005</v>
      </c>
      <c r="G33" s="35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35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35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35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35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35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35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35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35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34"/>
      <c r="Q33" s="34"/>
      <c r="R33" s="34" t="s">
        <v>266</v>
      </c>
    </row>
    <row r="34" spans="1:18" s="138" customFormat="1" ht="21" customHeight="1" x14ac:dyDescent="0.15">
      <c r="A34" s="137" t="str">
        <f t="shared" si="5"/>
        <v>41003015_41003007</v>
      </c>
      <c r="B34" s="34">
        <v>41003015</v>
      </c>
      <c r="C34" s="34">
        <v>41003007</v>
      </c>
      <c r="D34" s="33" t="str">
        <f ca="1">VLOOKUP($C34,OFFSET(enemy_skills!$A$1,0,0,COUNTA(enemy_skills!$A:$A),MATCH(D$1,enemy_skills!$1:$1,0)-MATCH("enemy_skill_id",enemy_skills!$1:$1,0)+1),MATCH(D$1,enemy_skills!$1:$1,0)-MATCH("enemy_skill_id",enemy_skills!$1:$1,0)+1,FALSE)</f>
        <v>仏式黄金爆弾</v>
      </c>
      <c r="E34" s="33" t="str">
        <f ca="1">VLOOKUP($C34,OFFSET(enemy_skills!$A$1,0,0,COUNTA(enemy_skills!$A:$A),MATCH(E$1,enemy_skills!$1:$1,0)-MATCH("enemy_skill_id",enemy_skills!$1:$1,0)+1),MATCH(E$1,enemy_skills!$1:$1,0)-MATCH("enemy_skill_id",enemy_skills!$1:$1,0)+1,FALSE)</f>
        <v>黄パネルを時限式ダメージパネルに変換</v>
      </c>
      <c r="F34" s="34">
        <v>41003005</v>
      </c>
      <c r="G34" s="35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35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35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35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35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35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35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35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35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34"/>
      <c r="Q34" s="34"/>
      <c r="R34" s="34" t="s">
        <v>266</v>
      </c>
    </row>
    <row r="35" spans="1:18" s="138" customFormat="1" ht="21" customHeight="1" x14ac:dyDescent="0.15">
      <c r="A35" s="137" t="str">
        <f t="shared" ref="A35" si="6">B35&amp;"_"&amp;C35</f>
        <v>41003016_41003025</v>
      </c>
      <c r="B35" s="34">
        <v>41003016</v>
      </c>
      <c r="C35" s="34">
        <v>41003025</v>
      </c>
      <c r="D35" s="33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さぁ、宴の時間よ…</v>
      </c>
      <c r="E35" s="33" t="str">
        <f ca="1">VLOOKUP($C35,OFFSET(enemy_skills!$A$1,0,0,COUNTA(enemy_skills!$A:$A),MATCH(E$1,enemy_skills!$1:$1,0)-MATCH("enemy_skill_id",enemy_skills!$1:$1,0)+1),MATCH(E$1,enemy_skills!$1:$1,0)-MATCH("enemy_skill_id",enemy_skills!$1:$1,0)+1,FALSE)</f>
        <v>4ターンの間Cパネル生成延長</v>
      </c>
      <c r="F35" s="34">
        <v>41003005</v>
      </c>
      <c r="G35" s="35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35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35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35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35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35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35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35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35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34"/>
      <c r="Q35" s="34"/>
      <c r="R35" s="34" t="s">
        <v>266</v>
      </c>
    </row>
    <row r="36" spans="1:18" s="138" customFormat="1" ht="21" customHeight="1" x14ac:dyDescent="0.15">
      <c r="A36" s="137" t="str">
        <f t="shared" si="5"/>
        <v>41003016_41003011</v>
      </c>
      <c r="B36" s="34">
        <v>41003016</v>
      </c>
      <c r="C36" s="34">
        <v>41003011</v>
      </c>
      <c r="D36" s="33" t="str">
        <f ca="1">VLOOKUP($C36,OFFSET(enemy_skills!$A$1,0,0,COUNTA(enemy_skills!$A:$A),MATCH(D$1,enemy_skills!$1:$1,0)-MATCH("enemy_skill_id",enemy_skills!$1:$1,0)+1),MATCH(D$1,enemy_skills!$1:$1,0)-MATCH("enemy_skill_id",enemy_skills!$1:$1,0)+1,FALSE)</f>
        <v>破壊する一撃</v>
      </c>
      <c r="E36" s="33" t="str">
        <f ca="1">VLOOKUP($C36,OFFSET(enemy_skills!$A$1,0,0,COUNTA(enemy_skills!$A:$A),MATCH(E$1,enemy_skills!$1:$1,0)-MATCH("enemy_skill_id",enemy_skills!$1:$1,0)+1),MATCH(E$1,enemy_skills!$1:$1,0)-MATCH("enemy_skill_id",enemy_skills!$1:$1,0)+1,FALSE)</f>
        <v>攻撃力×1.2倍の攻撃</v>
      </c>
      <c r="F36" s="34">
        <v>41003004</v>
      </c>
      <c r="G36" s="35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35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35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6" s="35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35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35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35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35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35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6" s="34"/>
      <c r="Q36" s="34"/>
      <c r="R36" s="34" t="s">
        <v>266</v>
      </c>
    </row>
    <row r="37" spans="1:18" s="138" customFormat="1" ht="21" customHeight="1" x14ac:dyDescent="0.15">
      <c r="A37" s="137" t="str">
        <f t="shared" si="5"/>
        <v>41003018_41003012</v>
      </c>
      <c r="B37" s="34">
        <v>41003018</v>
      </c>
      <c r="C37" s="34">
        <v>41003012</v>
      </c>
      <c r="D37" s="33" t="str">
        <f ca="1">VLOOKUP($C37,OFFSET(enemy_skills!$A$1,0,0,COUNTA(enemy_skills!$A:$A),MATCH(D$1,enemy_skills!$1:$1,0)-MATCH("enemy_skill_id",enemy_skills!$1:$1,0)+1),MATCH(D$1,enemy_skills!$1:$1,0)-MATCH("enemy_skill_id",enemy_skills!$1:$1,0)+1,FALSE)</f>
        <v>限界突破</v>
      </c>
      <c r="E37" s="33" t="str">
        <f ca="1">VLOOKUP($C37,OFFSET(enemy_skills!$A$1,0,0,COUNTA(enemy_skills!$A:$A),MATCH(E$1,enemy_skills!$1:$1,0)-MATCH("enemy_skill_id",enemy_skills!$1:$1,0)+1),MATCH(E$1,enemy_skills!$1:$1,0)-MATCH("enemy_skill_id",enemy_skills!$1:$1,0)+1,FALSE)</f>
        <v>体力が減るほど強くなる</v>
      </c>
      <c r="F37" s="34">
        <v>41003005</v>
      </c>
      <c r="G37" s="35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35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35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35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35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35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35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35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35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34"/>
      <c r="Q37" s="34"/>
      <c r="R37" s="34" t="s">
        <v>266</v>
      </c>
    </row>
    <row r="38" spans="1:18" s="138" customFormat="1" ht="21" customHeight="1" x14ac:dyDescent="0.15">
      <c r="A38" s="137" t="str">
        <f t="shared" si="5"/>
        <v>41003018_41003008</v>
      </c>
      <c r="B38" s="34">
        <v>41003018</v>
      </c>
      <c r="C38" s="34">
        <v>41003008</v>
      </c>
      <c r="D38" s="33" t="str">
        <f ca="1">VLOOKUP($C38,OFFSET(enemy_skills!$A$1,0,0,COUNTA(enemy_skills!$A:$A),MATCH(D$1,enemy_skills!$1:$1,0)-MATCH("enemy_skill_id",enemy_skills!$1:$1,0)+1),MATCH(D$1,enemy_skills!$1:$1,0)-MATCH("enemy_skill_id",enemy_skills!$1:$1,0)+1,FALSE)</f>
        <v>神をも滅する衝撃</v>
      </c>
      <c r="E38" s="33" t="str">
        <f ca="1">VLOOKUP($C38,OFFSET(enemy_skills!$A$1,0,0,COUNTA(enemy_skills!$A:$A),MATCH(E$1,enemy_skills!$1:$1,0)-MATCH("enemy_skill_id",enemy_skills!$1:$1,0)+1),MATCH(E$1,enemy_skills!$1:$1,0)-MATCH("enemy_skill_id",enemy_skills!$1:$1,0)+1,FALSE)</f>
        <v>攻撃力×3.0倍の攻撃＋防御力UP</v>
      </c>
      <c r="F38" s="34">
        <v>41003006</v>
      </c>
      <c r="G38" s="35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35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35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35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8" s="35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35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35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35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35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34"/>
      <c r="Q38" s="34"/>
      <c r="R38" s="34" t="s">
        <v>266</v>
      </c>
    </row>
    <row r="39" spans="1:18" s="138" customFormat="1" ht="21" customHeight="1" x14ac:dyDescent="0.15">
      <c r="A39" s="137" t="str">
        <f t="shared" si="5"/>
        <v>41003018_41003009</v>
      </c>
      <c r="B39" s="34">
        <v>41003018</v>
      </c>
      <c r="C39" s="34">
        <v>41003009</v>
      </c>
      <c r="D39" s="33" t="str">
        <f ca="1">VLOOKUP($C39,OFFSET(enemy_skills!$A$1,0,0,COUNTA(enemy_skills!$A:$A),MATCH(D$1,enemy_skills!$1:$1,0)-MATCH("enemy_skill_id",enemy_skills!$1:$1,0)+1),MATCH(D$1,enemy_skills!$1:$1,0)-MATCH("enemy_skill_id",enemy_skills!$1:$1,0)+1,FALSE)</f>
        <v>滅する一撃</v>
      </c>
      <c r="E39" s="33" t="str">
        <f ca="1">VLOOKUP($C39,OFFSET(enemy_skills!$A$1,0,0,COUNTA(enemy_skills!$A:$A),MATCH(E$1,enemy_skills!$1:$1,0)-MATCH("enemy_skill_id",enemy_skills!$1:$1,0)+1),MATCH(E$1,enemy_skills!$1:$1,0)-MATCH("enemy_skill_id",enemy_skills!$1:$1,0)+1,FALSE)</f>
        <v>攻撃力×2.0倍の攻撃＋防御力UP</v>
      </c>
      <c r="F39" s="34">
        <v>41003007</v>
      </c>
      <c r="G39" s="35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35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35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35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39" s="35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35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35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35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35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34"/>
      <c r="Q39" s="34"/>
      <c r="R39" s="34" t="s">
        <v>266</v>
      </c>
    </row>
    <row r="40" spans="1:18" s="138" customFormat="1" ht="21" customHeight="1" x14ac:dyDescent="0.15">
      <c r="A40" s="137" t="str">
        <f t="shared" si="5"/>
        <v>41003018_41003010</v>
      </c>
      <c r="B40" s="34">
        <v>41003018</v>
      </c>
      <c r="C40" s="34">
        <v>41003010</v>
      </c>
      <c r="D40" s="33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破壊する衝撃</v>
      </c>
      <c r="E40" s="33" t="str">
        <f ca="1">VLOOKUP($C40,OFFSET(enemy_skills!$A$1,0,0,COUNTA(enemy_skills!$A:$A),MATCH(E$1,enemy_skills!$1:$1,0)-MATCH("enemy_skill_id",enemy_skills!$1:$1,0)+1),MATCH(E$1,enemy_skills!$1:$1,0)-MATCH("enemy_skill_id",enemy_skills!$1:$1,0)+1,FALSE)</f>
        <v>攻撃力×1.5倍の攻撃＋防御力UP</v>
      </c>
      <c r="F40" s="34">
        <v>41003008</v>
      </c>
      <c r="G40" s="35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35" t="str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0" s="35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35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40" s="35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35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35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35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35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34"/>
      <c r="Q40" s="34"/>
      <c r="R40" s="34" t="s">
        <v>266</v>
      </c>
    </row>
    <row r="41" spans="1:18" s="138" customFormat="1" ht="21" customHeight="1" x14ac:dyDescent="0.15">
      <c r="A41" s="137" t="str">
        <f t="shared" si="5"/>
        <v>41003018_41003011</v>
      </c>
      <c r="B41" s="34">
        <v>41003018</v>
      </c>
      <c r="C41" s="34">
        <v>41003011</v>
      </c>
      <c r="D41" s="33" t="str">
        <f ca="1">VLOOKUP($C41,OFFSET(enemy_skills!$A$1,0,0,COUNTA(enemy_skills!$A:$A),MATCH(D$1,enemy_skills!$1:$1,0)-MATCH("enemy_skill_id",enemy_skills!$1:$1,0)+1),MATCH(D$1,enemy_skills!$1:$1,0)-MATCH("enemy_skill_id",enemy_skills!$1:$1,0)+1,FALSE)</f>
        <v>破壊する一撃</v>
      </c>
      <c r="E41" s="33" t="str">
        <f ca="1">VLOOKUP($C41,OFFSET(enemy_skills!$A$1,0,0,COUNTA(enemy_skills!$A:$A),MATCH(E$1,enemy_skills!$1:$1,0)-MATCH("enemy_skill_id",enemy_skills!$1:$1,0)+1),MATCH(E$1,enemy_skills!$1:$1,0)-MATCH("enemy_skill_id",enemy_skills!$1:$1,0)+1,FALSE)</f>
        <v>攻撃力×1.2倍の攻撃</v>
      </c>
      <c r="F41" s="34">
        <v>41003004</v>
      </c>
      <c r="G41" s="35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35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35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1" s="35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35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35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35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35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35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1" s="34"/>
      <c r="Q41" s="34"/>
      <c r="R41" s="34" t="s">
        <v>266</v>
      </c>
    </row>
    <row r="42" spans="1:18" s="138" customFormat="1" ht="21" customHeight="1" x14ac:dyDescent="0.15">
      <c r="A42" s="137" t="str">
        <f t="shared" si="5"/>
        <v>41003017_41003024</v>
      </c>
      <c r="B42" s="112">
        <v>41003017</v>
      </c>
      <c r="C42" s="34">
        <v>41003024</v>
      </c>
      <c r="D42" s="33" t="str">
        <f ca="1">VLOOKUP($C42,OFFSET(enemy_skills!$A$1,0,0,COUNTA(enemy_skills!$A:$A),MATCH(D$1,enemy_skills!$1:$1,0)-MATCH("enemy_skill_id",enemy_skills!$1:$1,0)+1),MATCH(D$1,enemy_skills!$1:$1,0)-MATCH("enemy_skill_id",enemy_skills!$1:$1,0)+1,FALSE)</f>
        <v>今こそ審判の刻だ…</v>
      </c>
      <c r="E42" s="33" t="str">
        <f ca="1">VLOOKUP($C42,OFFSET(enemy_skills!$A$1,0,0,COUNTA(enemy_skills!$A:$A),MATCH(E$1,enemy_skills!$1:$1,0)-MATCH("enemy_skill_id",enemy_skills!$1:$1,0)+1),MATCH(E$1,enemy_skills!$1:$1,0)-MATCH("enemy_skill_id",enemy_skills!$1:$1,0)+1,FALSE)</f>
        <v>5ターンの間Cパネル生成延長</v>
      </c>
      <c r="F42" s="34">
        <v>41003005</v>
      </c>
      <c r="G42" s="35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35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35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35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35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35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35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35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35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34"/>
      <c r="Q42" s="34"/>
      <c r="R42" s="34" t="s">
        <v>265</v>
      </c>
    </row>
    <row r="43" spans="1:18" s="138" customFormat="1" ht="21" customHeight="1" x14ac:dyDescent="0.15">
      <c r="A43" s="137" t="str">
        <f t="shared" si="5"/>
        <v>41003017_41003013</v>
      </c>
      <c r="B43" s="112">
        <v>41003017</v>
      </c>
      <c r="C43" s="34">
        <v>41003013</v>
      </c>
      <c r="D43" s="33" t="str">
        <f ca="1">VLOOKUP($C43,OFFSET(enemy_skills!$A$1,0,0,COUNTA(enemy_skills!$A:$A),MATCH(D$1,enemy_skills!$1:$1,0)-MATCH("enemy_skill_id",enemy_skills!$1:$1,0)+1),MATCH(D$1,enemy_skills!$1:$1,0)-MATCH("enemy_skill_id",enemy_skills!$1:$1,0)+1,FALSE)</f>
        <v>運命を受け入れなさい！</v>
      </c>
      <c r="E43" s="33" t="str">
        <f ca="1">VLOOKUP($C43,OFFSET(enemy_skills!$A$1,0,0,COUNTA(enemy_skills!$A:$A),MATCH(E$1,enemy_skills!$1:$1,0)-MATCH("enemy_skill_id",enemy_skills!$1:$1,0)+1),MATCH(E$1,enemy_skills!$1:$1,0)-MATCH("enemy_skill_id",enemy_skills!$1:$1,0)+1,FALSE)</f>
        <v>7ターンの間ハートパネルが使えない！</v>
      </c>
      <c r="F43" s="34">
        <v>41003011</v>
      </c>
      <c r="G43" s="35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35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35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3" s="35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35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35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35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35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35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3" s="34"/>
      <c r="Q43" s="34"/>
      <c r="R43" s="34" t="s">
        <v>266</v>
      </c>
    </row>
    <row r="44" spans="1:18" s="222" customFormat="1" ht="21" customHeight="1" x14ac:dyDescent="0.15">
      <c r="A44" s="221" t="str">
        <f t="shared" ref="A44" si="7">B44&amp;"_"&amp;C44</f>
        <v>41003017_41003022</v>
      </c>
      <c r="B44" s="112">
        <v>41003017</v>
      </c>
      <c r="C44" s="34">
        <v>41003022</v>
      </c>
      <c r="D44" s="33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クレイジーダンス</v>
      </c>
      <c r="E44" s="33" t="str">
        <f ca="1">VLOOKUP($C44,OFFSET(enemy_skills!$A$1,0,0,COUNTA(enemy_skills!$A:$A),MATCH(E$1,enemy_skills!$1:$1,0)-MATCH("enemy_skill_id",enemy_skills!$1:$1,0)+1),MATCH(E$1,enemy_skills!$1:$1,0)-MATCH("enemy_skill_id",enemy_skills!$1:$1,0)+1,FALSE)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44" s="34">
        <v>41003001</v>
      </c>
      <c r="G44" s="35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35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35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4" s="35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35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35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35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35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35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4" s="34"/>
      <c r="Q44" s="34"/>
      <c r="R44" s="34" t="s">
        <v>266</v>
      </c>
    </row>
    <row r="45" spans="1:18" s="138" customFormat="1" ht="21" customHeight="1" x14ac:dyDescent="0.15">
      <c r="A45" s="137" t="str">
        <f t="shared" si="5"/>
        <v>41003019_41003014</v>
      </c>
      <c r="B45" s="112">
        <v>41003019</v>
      </c>
      <c r="C45" s="34">
        <v>41003014</v>
      </c>
      <c r="D45" s="33" t="str">
        <f ca="1">VLOOKUP($C45,OFFSET(enemy_skills!$A$1,0,0,COUNTA(enemy_skills!$A:$A),MATCH(D$1,enemy_skills!$1:$1,0)-MATCH("enemy_skill_id",enemy_skills!$1:$1,0)+1),MATCH(D$1,enemy_skills!$1:$1,0)-MATCH("enemy_skill_id",enemy_skills!$1:$1,0)+1,FALSE)</f>
        <v>加速装置オーバーヒート</v>
      </c>
      <c r="E45" s="33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この戦闘の間攻撃頻度が1ターンにUP</v>
      </c>
      <c r="F45" s="34">
        <v>41003012</v>
      </c>
      <c r="G45" s="35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35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5" s="35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35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5" s="35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35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35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35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35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34"/>
      <c r="Q45" s="34"/>
      <c r="R45" s="34" t="s">
        <v>266</v>
      </c>
    </row>
    <row r="46" spans="1:18" s="138" customFormat="1" ht="21" customHeight="1" x14ac:dyDescent="0.15">
      <c r="A46" s="137" t="str">
        <f t="shared" ref="A46" si="8">B46&amp;"_"&amp;C46</f>
        <v>41003019_41003027</v>
      </c>
      <c r="B46" s="112">
        <v>41003019</v>
      </c>
      <c r="C46" s="34">
        <v>41003027</v>
      </c>
      <c r="D46" s="33" t="str">
        <f ca="1">VLOOKUP($C46,OFFSET(enemy_skills!$A$1,0,0,COUNTA(enemy_skills!$A:$A),MATCH(D$1,enemy_skills!$1:$1,0)-MATCH("enemy_skill_id",enemy_skills!$1:$1,0)+1),MATCH(D$1,enemy_skills!$1:$1,0)-MATCH("enemy_skill_id",enemy_skills!$1:$1,0)+1,FALSE)</f>
        <v>裁きまでのカウントダウンよ</v>
      </c>
      <c r="E46" s="33" t="str">
        <f ca="1">VLOOKUP($C46,OFFSET(enemy_skills!$A$1,0,0,COUNTA(enemy_skills!$A:$A),MATCH(E$1,enemy_skills!$1:$1,0)-MATCH("enemy_skill_id",enemy_skills!$1:$1,0)+1),MATCH(E$1,enemy_skills!$1:$1,0)-MATCH("enemy_skill_id",enemy_skills!$1:$1,0)+1,FALSE)</f>
        <v>青パネルを時限パネルに変換＋攻撃</v>
      </c>
      <c r="F46" s="34">
        <v>41003016</v>
      </c>
      <c r="G46" s="35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35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35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35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35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35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35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6" s="35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35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34"/>
      <c r="Q46" s="34"/>
      <c r="R46" s="34" t="s">
        <v>266</v>
      </c>
    </row>
    <row r="47" spans="1:18" s="138" customFormat="1" ht="21" customHeight="1" x14ac:dyDescent="0.15">
      <c r="A47" s="137" t="str">
        <f t="shared" si="5"/>
        <v>41003019_41003026</v>
      </c>
      <c r="B47" s="112">
        <v>41003019</v>
      </c>
      <c r="C47" s="34">
        <v>41003026</v>
      </c>
      <c r="D47" s="33" t="str">
        <f ca="1">VLOOKUP($C47,OFFSET(enemy_skills!$A$1,0,0,COUNTA(enemy_skills!$A:$A),MATCH(D$1,enemy_skills!$1:$1,0)-MATCH("enemy_skill_id",enemy_skills!$1:$1,0)+1),MATCH(D$1,enemy_skills!$1:$1,0)-MATCH("enemy_skill_id",enemy_skills!$1:$1,0)+1,FALSE)</f>
        <v>自分の罪の数を数えた事はある?</v>
      </c>
      <c r="E47" s="33" t="str">
        <f ca="1">VLOOKUP($C47,OFFSET(enemy_skills!$A$1,0,0,COUNTA(enemy_skills!$A:$A),MATCH(E$1,enemy_skills!$1:$1,0)-MATCH("enemy_skill_id",enemy_skills!$1:$1,0)+1),MATCH(E$1,enemy_skills!$1:$1,0)-MATCH("enemy_skill_id",enemy_skills!$1:$1,0)+1,FALSE)</f>
        <v>5ターンの間タップ回数を1にする＋味方一体にスキルバインド</v>
      </c>
      <c r="F47" s="34">
        <v>41003005</v>
      </c>
      <c r="G47" s="35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35" t="str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7" s="35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35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35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35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35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35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35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34"/>
      <c r="Q47" s="34"/>
      <c r="R47" s="34" t="s">
        <v>266</v>
      </c>
    </row>
    <row r="48" spans="1:18" s="222" customFormat="1" ht="21" customHeight="1" x14ac:dyDescent="0.15">
      <c r="A48" s="221" t="str">
        <f t="shared" si="5"/>
        <v>41003019_41003022</v>
      </c>
      <c r="B48" s="112">
        <v>41003019</v>
      </c>
      <c r="C48" s="34">
        <v>41003022</v>
      </c>
      <c r="D48" s="33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クレイジーダンス</v>
      </c>
      <c r="E48" s="33" t="str">
        <f ca="1">VLOOKUP($C48,OFFSET(enemy_skills!$A$1,0,0,COUNTA(enemy_skills!$A:$A),MATCH(E$1,enemy_skills!$1:$1,0)-MATCH("enemy_skill_id",enemy_skills!$1:$1,0)+1),MATCH(E$1,enemy_skills!$1:$1,0)-MATCH("enemy_skill_id",enemy_skills!$1:$1,0)+1,FALSE)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48" s="34">
        <v>41003001</v>
      </c>
      <c r="G48" s="35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35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35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8" s="35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35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35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35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35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35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8" s="34"/>
      <c r="Q48" s="34"/>
      <c r="R48" s="34" t="s">
        <v>266</v>
      </c>
    </row>
    <row r="49" spans="1:18" s="138" customFormat="1" ht="21" customHeight="1" x14ac:dyDescent="0.15">
      <c r="A49" s="137" t="str">
        <f>B49&amp;"_"&amp;C49</f>
        <v>41003020_41003023</v>
      </c>
      <c r="B49" s="112">
        <v>41003020</v>
      </c>
      <c r="C49" s="34">
        <v>41003023</v>
      </c>
      <c r="D49" s="33" t="str">
        <f ca="1">VLOOKUP($C49,OFFSET(enemy_skills!$A$1,0,0,COUNTA(enemy_skills!$A:$A),MATCH(D$1,enemy_skills!$1:$1,0)-MATCH("enemy_skill_id",enemy_skills!$1:$1,0)+1),MATCH(D$1,enemy_skills!$1:$1,0)-MATCH("enemy_skill_id",enemy_skills!$1:$1,0)+1,FALSE)</f>
        <v>弾丸装填</v>
      </c>
      <c r="E49" s="33" t="str">
        <f ca="1">VLOOKUP($C49,OFFSET(enemy_skills!$A$1,0,0,COUNTA(enemy_skills!$A:$A),MATCH(E$1,enemy_skills!$1:$1,0)-MATCH("enemy_skill_id",enemy_skills!$1:$1,0)+1),MATCH(E$1,enemy_skills!$1:$1,0)-MATCH("enemy_skill_id",enemy_skills!$1:$1,0)+1,FALSE)</f>
        <v>次のターン強力な一撃</v>
      </c>
      <c r="F49" s="34">
        <v>41003005</v>
      </c>
      <c r="G49" s="35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35" t="str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9" s="35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35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35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35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35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35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35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34"/>
      <c r="Q49" s="34"/>
      <c r="R49" s="34" t="s">
        <v>266</v>
      </c>
    </row>
    <row r="50" spans="1:18" s="138" customFormat="1" ht="21" customHeight="1" x14ac:dyDescent="0.15">
      <c r="A50" s="137" t="str">
        <f t="shared" si="5"/>
        <v>41003020_41003029</v>
      </c>
      <c r="B50" s="112">
        <v>41003020</v>
      </c>
      <c r="C50" s="34">
        <v>41003029</v>
      </c>
      <c r="D50" s="33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ギルティブレイク</v>
      </c>
      <c r="E50" s="33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クリティカル攻撃</v>
      </c>
      <c r="F50" s="34">
        <v>41003022</v>
      </c>
      <c r="G50" s="35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35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0" s="35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35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35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35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35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35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35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34"/>
      <c r="Q50" s="34"/>
      <c r="R50" s="34" t="s">
        <v>266</v>
      </c>
    </row>
    <row r="51" spans="1:18" s="138" customFormat="1" ht="21" customHeight="1" x14ac:dyDescent="0.15">
      <c r="A51" s="137" t="str">
        <f t="shared" si="5"/>
        <v>41003020_41003017</v>
      </c>
      <c r="B51" s="112">
        <v>41003020</v>
      </c>
      <c r="C51" s="34">
        <v>41003017</v>
      </c>
      <c r="D51" s="33" t="str">
        <f ca="1">VLOOKUP($C51,OFFSET(enemy_skills!$A$1,0,0,COUNTA(enemy_skills!$A:$A),MATCH(D$1,enemy_skills!$1:$1,0)-MATCH("enemy_skill_id",enemy_skills!$1:$1,0)+1),MATCH(D$1,enemy_skills!$1:$1,0)-MATCH("enemy_skill_id",enemy_skills!$1:$1,0)+1,FALSE)</f>
        <v>断罪の紅</v>
      </c>
      <c r="E51" s="33" t="str">
        <f ca="1">VLOOKUP($C51,OFFSET(enemy_skills!$A$1,0,0,COUNTA(enemy_skills!$A:$A),MATCH(E$1,enemy_skills!$1:$1,0)-MATCH("enemy_skill_id",enemy_skills!$1:$1,0)+1),MATCH(E$1,enemy_skills!$1:$1,0)-MATCH("enemy_skill_id",enemy_skills!$1:$1,0)+1,FALSE)</f>
        <v>2ターンの間赤パネルが使えない！</v>
      </c>
      <c r="F51" s="34">
        <v>41003018</v>
      </c>
      <c r="G51" s="35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35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1" s="35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35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35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35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35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35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35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34"/>
      <c r="Q51" s="34"/>
      <c r="R51" s="34" t="s">
        <v>266</v>
      </c>
    </row>
    <row r="52" spans="1:18" s="138" customFormat="1" ht="21" customHeight="1" x14ac:dyDescent="0.15">
      <c r="A52" s="137" t="str">
        <f t="shared" si="5"/>
        <v>41003020_41003018</v>
      </c>
      <c r="B52" s="112">
        <v>41003020</v>
      </c>
      <c r="C52" s="34">
        <v>41003018</v>
      </c>
      <c r="D52" s="33" t="str">
        <f ca="1">VLOOKUP($C52,OFFSET(enemy_skills!$A$1,0,0,COUNTA(enemy_skills!$A:$A),MATCH(D$1,enemy_skills!$1:$1,0)-MATCH("enemy_skill_id",enemy_skills!$1:$1,0)+1),MATCH(D$1,enemy_skills!$1:$1,0)-MATCH("enemy_skill_id",enemy_skills!$1:$1,0)+1,FALSE)</f>
        <v>断罪の金</v>
      </c>
      <c r="E52" s="33" t="str">
        <f ca="1">VLOOKUP($C52,OFFSET(enemy_skills!$A$1,0,0,COUNTA(enemy_skills!$A:$A),MATCH(E$1,enemy_skills!$1:$1,0)-MATCH("enemy_skill_id",enemy_skills!$1:$1,0)+1),MATCH(E$1,enemy_skills!$1:$1,0)-MATCH("enemy_skill_id",enemy_skills!$1:$1,0)+1,FALSE)</f>
        <v>2ターンの間黄パネルが使えない！</v>
      </c>
      <c r="F52" s="34">
        <v>41003019</v>
      </c>
      <c r="G52" s="35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35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2" s="35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35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35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35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35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35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35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34"/>
      <c r="Q52" s="34"/>
      <c r="R52" s="34" t="s">
        <v>266</v>
      </c>
    </row>
    <row r="53" spans="1:18" s="138" customFormat="1" ht="21" customHeight="1" x14ac:dyDescent="0.15">
      <c r="A53" s="137" t="str">
        <f t="shared" si="5"/>
        <v>41003020_41003019</v>
      </c>
      <c r="B53" s="112">
        <v>41003020</v>
      </c>
      <c r="C53" s="34">
        <v>41003019</v>
      </c>
      <c r="D53" s="33" t="str">
        <f ca="1">VLOOKUP($C53,OFFSET(enemy_skills!$A$1,0,0,COUNTA(enemy_skills!$A:$A),MATCH(D$1,enemy_skills!$1:$1,0)-MATCH("enemy_skill_id",enemy_skills!$1:$1,0)+1),MATCH(D$1,enemy_skills!$1:$1,0)-MATCH("enemy_skill_id",enemy_skills!$1:$1,0)+1,FALSE)</f>
        <v>断罪の翠</v>
      </c>
      <c r="E53" s="33" t="str">
        <f ca="1">VLOOKUP($C53,OFFSET(enemy_skills!$A$1,0,0,COUNTA(enemy_skills!$A:$A),MATCH(E$1,enemy_skills!$1:$1,0)-MATCH("enemy_skill_id",enemy_skills!$1:$1,0)+1),MATCH(E$1,enemy_skills!$1:$1,0)-MATCH("enemy_skill_id",enemy_skills!$1:$1,0)+1,FALSE)</f>
        <v>2ターンの間緑パネルが使えない！</v>
      </c>
      <c r="F53" s="34">
        <v>41003020</v>
      </c>
      <c r="G53" s="35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35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3" s="35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35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35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35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35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35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35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34"/>
      <c r="Q53" s="34"/>
      <c r="R53" s="34" t="s">
        <v>266</v>
      </c>
    </row>
    <row r="54" spans="1:18" s="138" customFormat="1" ht="21" customHeight="1" x14ac:dyDescent="0.15">
      <c r="A54" s="137" t="str">
        <f t="shared" si="5"/>
        <v>41003020_41003020</v>
      </c>
      <c r="B54" s="112">
        <v>41003020</v>
      </c>
      <c r="C54" s="34">
        <v>41003020</v>
      </c>
      <c r="D54" s="33" t="str">
        <f ca="1">VLOOKUP($C54,OFFSET(enemy_skills!$A$1,0,0,COUNTA(enemy_skills!$A:$A),MATCH(D$1,enemy_skills!$1:$1,0)-MATCH("enemy_skill_id",enemy_skills!$1:$1,0)+1),MATCH(D$1,enemy_skills!$1:$1,0)-MATCH("enemy_skill_id",enemy_skills!$1:$1,0)+1,FALSE)</f>
        <v>断罪の蒼</v>
      </c>
      <c r="E54" s="33" t="str">
        <f ca="1">VLOOKUP($C54,OFFSET(enemy_skills!$A$1,0,0,COUNTA(enemy_skills!$A:$A),MATCH(E$1,enemy_skills!$1:$1,0)-MATCH("enemy_skill_id",enemy_skills!$1:$1,0)+1),MATCH(E$1,enemy_skills!$1:$1,0)-MATCH("enemy_skill_id",enemy_skills!$1:$1,0)+1,FALSE)</f>
        <v>2ターンの間青パネルが使えない！</v>
      </c>
      <c r="F54" s="34">
        <v>41003021</v>
      </c>
      <c r="G54" s="35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35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4" s="35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35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35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35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35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35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35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34"/>
      <c r="Q54" s="34"/>
      <c r="R54" s="34" t="s">
        <v>266</v>
      </c>
    </row>
    <row r="55" spans="1:18" s="138" customFormat="1" ht="21" customHeight="1" x14ac:dyDescent="0.15">
      <c r="A55" s="137" t="str">
        <f t="shared" si="5"/>
        <v>41003020_41003021</v>
      </c>
      <c r="B55" s="158">
        <v>41003020</v>
      </c>
      <c r="C55" s="210">
        <v>41003021</v>
      </c>
      <c r="D55" s="211" t="str">
        <f ca="1">VLOOKUP($C55,OFFSET(enemy_skills!$A$1,0,0,COUNTA(enemy_skills!$A:$A),MATCH(D$1,enemy_skills!$1:$1,0)-MATCH("enemy_skill_id",enemy_skills!$1:$1,0)+1),MATCH(D$1,enemy_skills!$1:$1,0)-MATCH("enemy_skill_id",enemy_skills!$1:$1,0)+1,FALSE)</f>
        <v>裁きの鉄槌</v>
      </c>
      <c r="E55" s="211" t="str">
        <f ca="1">VLOOKUP($C55,OFFSET(enemy_skills!$A$1,0,0,COUNTA(enemy_skills!$A:$A),MATCH(E$1,enemy_skills!$1:$1,0)-MATCH("enemy_skill_id",enemy_skills!$1:$1,0)+1),MATCH(E$1,enemy_skills!$1:$1,0)-MATCH("enemy_skill_id",enemy_skills!$1:$1,0)+1,FALSE)</f>
        <v>Cパネル吸収攻撃</v>
      </c>
      <c r="F55" s="210">
        <v>41003023</v>
      </c>
      <c r="G55" s="212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212" t="str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5" s="212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212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212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212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212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5" s="212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212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210"/>
      <c r="Q55" s="210"/>
      <c r="R55" s="210" t="s">
        <v>266</v>
      </c>
    </row>
    <row r="56" spans="1:18" s="222" customFormat="1" ht="21" customHeight="1" x14ac:dyDescent="0.15">
      <c r="A56" s="221" t="str">
        <f t="shared" si="5"/>
        <v>41003020_41003022</v>
      </c>
      <c r="B56" s="112">
        <v>41003020</v>
      </c>
      <c r="C56" s="34">
        <v>41003022</v>
      </c>
      <c r="D56" s="33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クレイジーダンス</v>
      </c>
      <c r="E56" s="33" t="str">
        <f ca="1">VLOOKUP($C56,OFFSET(enemy_skills!$A$1,0,0,COUNTA(enemy_skills!$A:$A),MATCH(E$1,enemy_skills!$1:$1,0)-MATCH("enemy_skill_id",enemy_skills!$1:$1,0)+1),MATCH(E$1,enemy_skills!$1:$1,0)-MATCH("enemy_skill_id",enemy_skills!$1:$1,0)+1,FALSE)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56" s="34">
        <v>41003001</v>
      </c>
      <c r="G56" s="35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35" t="str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6" s="35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56" s="35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35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35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35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35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35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56" s="34"/>
      <c r="Q56" s="34"/>
      <c r="R56" s="34" t="s">
        <v>266</v>
      </c>
    </row>
    <row r="57" spans="1:18" s="143" customFormat="1" ht="21" customHeight="1" thickBot="1" x14ac:dyDescent="0.2">
      <c r="A57" s="139" t="str">
        <f t="shared" ref="A57" si="9">B57&amp;"_"&amp;C57</f>
        <v>41003020_41003028</v>
      </c>
      <c r="B57" s="164">
        <v>41003020</v>
      </c>
      <c r="C57" s="218">
        <v>41003028</v>
      </c>
      <c r="D57" s="219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さぁフィナーレよ！</v>
      </c>
      <c r="E57" s="219" t="str">
        <f ca="1">VLOOKUP($C57,OFFSET(enemy_skills!$A$1,0,0,COUNTA(enemy_skills!$A:$A),MATCH(E$1,enemy_skills!$1:$1,0)-MATCH("enemy_skill_id",enemy_skills!$1:$1,0)+1),MATCH(E$1,enemy_skills!$1:$1,0)-MATCH("enemy_skill_id",enemy_skills!$1:$1,0)+1,FALSE)</f>
        <v>4ターンの間攻撃力UP</v>
      </c>
      <c r="F57" s="218">
        <v>41003017</v>
      </c>
      <c r="G57" s="220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220" t="str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7" s="220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220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7" s="220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220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220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220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220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218"/>
      <c r="Q57" s="218"/>
      <c r="R57" s="218" t="s">
        <v>266</v>
      </c>
    </row>
  </sheetData>
  <autoFilter ref="A1:R56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0"/>
  <sheetViews>
    <sheetView showGridLines="0" topLeftCell="G1" zoomScale="125" zoomScaleNormal="125" zoomScalePageLayoutView="125" workbookViewId="0">
      <pane ySplit="1" topLeftCell="A2" activePane="bottomLeft" state="frozenSplit"/>
      <selection pane="bottomLeft" activeCell="C2" sqref="C2:C30"/>
    </sheetView>
  </sheetViews>
  <sheetFormatPr baseColWidth="12" defaultColWidth="12.83203125" defaultRowHeight="21" customHeight="1" outlineLevelCol="1" x14ac:dyDescent="0.15"/>
  <cols>
    <col min="1" max="1" width="12.83203125" style="36"/>
    <col min="2" max="2" width="67.1640625" style="36" customWidth="1"/>
    <col min="3" max="4" width="12.83203125" style="36"/>
    <col min="5" max="5" width="23.6640625" style="36" bestFit="1" customWidth="1"/>
    <col min="6" max="6" width="44.1640625" style="36" customWidth="1"/>
    <col min="7" max="7" width="52" style="36" customWidth="1" outlineLevel="1"/>
    <col min="8" max="8" width="18.33203125" style="36" customWidth="1" outlineLevel="1"/>
    <col min="9" max="11" width="18.6640625" style="36" customWidth="1" outlineLevel="1"/>
    <col min="12" max="12" width="23.6640625" style="36" customWidth="1"/>
    <col min="13" max="18" width="23.6640625" style="36" hidden="1" customWidth="1" outlineLevel="1"/>
    <col min="19" max="19" width="23.6640625" style="36" customWidth="1" collapsed="1"/>
    <col min="20" max="24" width="23.6640625" style="36" hidden="1" customWidth="1" outlineLevel="1"/>
    <col min="25" max="25" width="23.6640625" style="36" customWidth="1" collapsed="1"/>
    <col min="26" max="27" width="12.83203125" style="36"/>
    <col min="28" max="28" width="44.5" style="36" customWidth="1"/>
    <col min="29" max="16384" width="12.83203125" style="36"/>
  </cols>
  <sheetData>
    <row r="1" spans="1:28" ht="21" customHeight="1" x14ac:dyDescent="0.15">
      <c r="A1" s="28" t="s">
        <v>78</v>
      </c>
      <c r="B1" s="28" t="s">
        <v>79</v>
      </c>
      <c r="C1" s="28" t="s">
        <v>80</v>
      </c>
      <c r="D1" s="28" t="s">
        <v>124</v>
      </c>
      <c r="E1" s="28" t="s">
        <v>81</v>
      </c>
      <c r="F1" s="28" t="s">
        <v>82</v>
      </c>
      <c r="G1" s="29" t="s">
        <v>130</v>
      </c>
      <c r="H1" s="29" t="s">
        <v>136</v>
      </c>
      <c r="I1" s="29" t="s">
        <v>138</v>
      </c>
      <c r="J1" s="29" t="s">
        <v>137</v>
      </c>
      <c r="K1" s="29" t="s">
        <v>139</v>
      </c>
      <c r="L1" s="29" t="s">
        <v>131</v>
      </c>
      <c r="M1" s="29" t="s">
        <v>129</v>
      </c>
      <c r="N1" s="29" t="s">
        <v>132</v>
      </c>
      <c r="O1" s="29" t="s">
        <v>140</v>
      </c>
      <c r="P1" s="29" t="s">
        <v>141</v>
      </c>
      <c r="Q1" s="29" t="s">
        <v>142</v>
      </c>
      <c r="R1" s="29" t="s">
        <v>143</v>
      </c>
      <c r="S1" s="29" t="s">
        <v>133</v>
      </c>
      <c r="T1" s="29" t="s">
        <v>134</v>
      </c>
      <c r="U1" s="29" t="s">
        <v>144</v>
      </c>
      <c r="V1" s="29" t="s">
        <v>145</v>
      </c>
      <c r="W1" s="29" t="s">
        <v>146</v>
      </c>
      <c r="X1" s="29" t="s">
        <v>147</v>
      </c>
      <c r="Y1" s="29" t="s">
        <v>135</v>
      </c>
      <c r="Z1" s="29" t="s">
        <v>75</v>
      </c>
      <c r="AA1" s="29" t="s">
        <v>76</v>
      </c>
      <c r="AB1" s="29" t="s">
        <v>77</v>
      </c>
    </row>
    <row r="2" spans="1:28" ht="21" customHeight="1" x14ac:dyDescent="0.15">
      <c r="A2" s="34">
        <v>41003001</v>
      </c>
      <c r="B2" s="34" t="s">
        <v>289</v>
      </c>
      <c r="C2" s="37">
        <v>3</v>
      </c>
      <c r="D2" s="37" t="s">
        <v>125</v>
      </c>
      <c r="E2" s="38" t="s">
        <v>213</v>
      </c>
      <c r="F2" s="38" t="s">
        <v>313</v>
      </c>
      <c r="G2" s="50" t="str">
        <f>IFERROR(LEFT(B2,FIND("],",B2)),B2)</f>
        <v>[effect:degrade_unit, target:unit_all, turn:1, status:heal, val:0.5, calc:mul, animation:degrade_unit_all_heal]</v>
      </c>
      <c r="H2" s="50">
        <f>FIND("effect:",G2)+7</f>
        <v>9</v>
      </c>
      <c r="I2" s="50">
        <f>IFERROR(FIND(",",G2),LEN(G2))</f>
        <v>21</v>
      </c>
      <c r="J2" s="50">
        <f>FIND("target:",G2)+7</f>
        <v>30</v>
      </c>
      <c r="K2" s="50">
        <f>FIND(",",G2,I2+1)</f>
        <v>38</v>
      </c>
      <c r="L2" s="50" t="str">
        <f>IFERROR(VLOOKUP(MID(G2,J2,K2-J2),[6]skilldef!$C:$D,2,FALSE),"-") &amp; " / " &amp; IFERROR(VLOOKUP(MID(G2,H2,I2-H2),[6]skilldef!$A:$B,2,FALSE),"-")</f>
        <v>味方全体に / ステータスDOWN</v>
      </c>
      <c r="M2" s="50" t="str">
        <f>IFERROR(RIGHT(B2,LEN(B2)-FIND("],",B2)-1),"none")</f>
        <v>[effect:rush, count:1, val:0.9]</v>
      </c>
      <c r="N2" s="35" t="str">
        <f>IFERROR(LEFT(M2,FIND("],",M2)+S12),M2)</f>
        <v>[effect:rush, count:1, val:0.9]</v>
      </c>
      <c r="O2" s="50">
        <f>FIND("effect:",N2)+7</f>
        <v>9</v>
      </c>
      <c r="P2" s="50">
        <f>IFERROR(FIND(",",N2),LEN(N2))</f>
        <v>13</v>
      </c>
      <c r="Q2" s="50" t="e">
        <f>FIND("target:",N2)+7</f>
        <v>#VALUE!</v>
      </c>
      <c r="R2" s="50">
        <f>FIND(",",N2,P2+1)</f>
        <v>22</v>
      </c>
      <c r="S2" s="50" t="str">
        <f>IFERROR(VLOOKUP(MID(N2,Q2,R2-Q2),[6]skilldef!$C:$D,2,FALSE),"-") &amp; " / " &amp; IFERROR(VLOOKUP(MID(N2,O2,P2-O2),[6]skilldef!$A:$B,2,FALSE),"-")</f>
        <v>- / 連続攻撃</v>
      </c>
      <c r="T2" s="35" t="str">
        <f>IFERROR(RIGHT(M2,LEN(M2)-FIND("],",M2)-1),"none")</f>
        <v>none</v>
      </c>
      <c r="U2" s="50" t="e">
        <f>FIND("effect:",T2)+7</f>
        <v>#VALUE!</v>
      </c>
      <c r="V2" s="50">
        <f>IFERROR(FIND(",",T2),LEN(T2))</f>
        <v>4</v>
      </c>
      <c r="W2" s="50" t="e">
        <f>FIND("target:",T2)+7</f>
        <v>#VALUE!</v>
      </c>
      <c r="X2" s="50" t="e">
        <f>FIND(",",T2,V2+1)</f>
        <v>#VALUE!</v>
      </c>
      <c r="Y2" s="50" t="str">
        <f>IFERROR(VLOOKUP(MID(T2,W2,X2-W2),[6]skilldef!$C:$D,2,FALSE),"-") &amp; " / " &amp; IFERROR(VLOOKUP(MID(T2,U2,V2-U2),[6]skilldef!$A:$B,2,FALSE),"-")</f>
        <v>- / -</v>
      </c>
      <c r="Z2" s="37"/>
      <c r="AA2" s="39"/>
      <c r="AB2" s="37"/>
    </row>
    <row r="3" spans="1:28" ht="21" customHeight="1" x14ac:dyDescent="0.15">
      <c r="A3" s="34">
        <f t="shared" ref="A3:A29" si="0">A2+1</f>
        <v>41003002</v>
      </c>
      <c r="B3" s="34" t="s">
        <v>214</v>
      </c>
      <c r="C3" s="37">
        <v>3</v>
      </c>
      <c r="D3" s="37" t="s">
        <v>230</v>
      </c>
      <c r="E3" s="34" t="s">
        <v>215</v>
      </c>
      <c r="F3" s="34" t="s">
        <v>312</v>
      </c>
      <c r="G3" s="50" t="str">
        <f t="shared" ref="G3:G25" si="1">IFERROR(LEFT(B3,FIND("],",B3)),B3)</f>
        <v>[effect:degrade_unit, target:unit_all, turn:1, status:attack, val:0.5, calc:mul]</v>
      </c>
      <c r="H3" s="50">
        <f t="shared" ref="H3:H25" si="2">FIND("effect:",G3)+7</f>
        <v>9</v>
      </c>
      <c r="I3" s="50">
        <f t="shared" ref="I3:I25" si="3">IFERROR(FIND(",",G3),LEN(G3))</f>
        <v>21</v>
      </c>
      <c r="J3" s="50">
        <f t="shared" ref="J3:J25" si="4">FIND("target:",G3)+7</f>
        <v>30</v>
      </c>
      <c r="K3" s="50">
        <f t="shared" ref="K3:K25" si="5">FIND(",",G3,I3+1)</f>
        <v>38</v>
      </c>
      <c r="L3" s="50" t="str">
        <f>IFERROR(VLOOKUP(MID(G3,J3,K3-J3),[6]skilldef!$C:$D,2,FALSE),"-") &amp; " / " &amp; IFERROR(VLOOKUP(MID(G3,H3,I3-H3),[6]skilldef!$A:$B,2,FALSE),"-")</f>
        <v>味方全体に / ステータスDOWN</v>
      </c>
      <c r="M3" s="50" t="str">
        <f t="shared" ref="M3:M25" si="6">IFERROR(RIGHT(B3,LEN(B3)-FIND("],",B3)-1),"none")</f>
        <v>[effect:rush, count:1, val:0.9]</v>
      </c>
      <c r="N3" s="35" t="str">
        <f>IFERROR(LEFT(M3,FIND("],",M3)+S13),M3)</f>
        <v>[effect:rush, count:1, val:0.9]</v>
      </c>
      <c r="O3" s="50">
        <f t="shared" ref="O3:O25" si="7">FIND("effect:",N3)+7</f>
        <v>9</v>
      </c>
      <c r="P3" s="50">
        <f t="shared" ref="P3:P25" si="8">IFERROR(FIND(",",N3),LEN(N3))</f>
        <v>13</v>
      </c>
      <c r="Q3" s="50" t="e">
        <f t="shared" ref="Q3:Q25" si="9">FIND("target:",N3)+7</f>
        <v>#VALUE!</v>
      </c>
      <c r="R3" s="50">
        <f t="shared" ref="R3:R25" si="10">FIND(",",N3,P3+1)</f>
        <v>22</v>
      </c>
      <c r="S3" s="50" t="str">
        <f>IFERROR(VLOOKUP(MID(N3,Q3,R3-Q3),[6]skilldef!$C:$D,2,FALSE),"-") &amp; " / " &amp; IFERROR(VLOOKUP(MID(N3,O3,P3-O3),[6]skilldef!$A:$B,2,FALSE),"-")</f>
        <v>- / 連続攻撃</v>
      </c>
      <c r="T3" s="35" t="str">
        <f t="shared" ref="T3:T25" si="11">IFERROR(RIGHT(M3,LEN(M3)-FIND("],",M3)-1),"none")</f>
        <v>none</v>
      </c>
      <c r="U3" s="50" t="e">
        <f t="shared" ref="U3:U25" si="12">FIND("effect:",T3)+7</f>
        <v>#VALUE!</v>
      </c>
      <c r="V3" s="50">
        <f t="shared" ref="V3:V25" si="13">IFERROR(FIND(",",T3),LEN(T3))</f>
        <v>4</v>
      </c>
      <c r="W3" s="50" t="e">
        <f t="shared" ref="W3:W25" si="14">FIND("target:",T3)+7</f>
        <v>#VALUE!</v>
      </c>
      <c r="X3" s="50" t="e">
        <f t="shared" ref="X3:X25" si="15">FIND(",",T3,V3+1)</f>
        <v>#VALUE!</v>
      </c>
      <c r="Y3" s="50" t="str">
        <f>IFERROR(VLOOKUP(MID(T3,W3,X3-W3),[6]skilldef!$C:$D,2,FALSE),"-") &amp; " / " &amp; IFERROR(VLOOKUP(MID(T3,U3,V3-U3),[6]skilldef!$A:$B,2,FALSE),"-")</f>
        <v>- / -</v>
      </c>
      <c r="Z3" s="37"/>
      <c r="AA3" s="39"/>
      <c r="AB3" s="37"/>
    </row>
    <row r="4" spans="1:28" ht="21" customHeight="1" x14ac:dyDescent="0.15">
      <c r="A4" s="34">
        <f t="shared" si="0"/>
        <v>41003003</v>
      </c>
      <c r="B4" s="34" t="s">
        <v>299</v>
      </c>
      <c r="C4" s="37">
        <v>3</v>
      </c>
      <c r="D4" s="37" t="s">
        <v>230</v>
      </c>
      <c r="E4" s="34" t="s">
        <v>216</v>
      </c>
      <c r="F4" s="34" t="s">
        <v>305</v>
      </c>
      <c r="G4" s="50" t="str">
        <f t="shared" si="1"/>
        <v>[effect:sleep, target:unit_one, turn:4, rate:1.0, animation:enemy_sleep]</v>
      </c>
      <c r="H4" s="50">
        <f t="shared" si="2"/>
        <v>9</v>
      </c>
      <c r="I4" s="50">
        <f t="shared" si="3"/>
        <v>14</v>
      </c>
      <c r="J4" s="50">
        <f t="shared" si="4"/>
        <v>23</v>
      </c>
      <c r="K4" s="50">
        <f t="shared" si="5"/>
        <v>31</v>
      </c>
      <c r="L4" s="50" t="str">
        <f>IFERROR(VLOOKUP(MID(G4,J4,K4-J4),[6]skilldef!$C:$D,2,FALSE),"-") &amp; " / " &amp; IFERROR(VLOOKUP(MID(G4,H4,I4-H4),[6]skilldef!$A:$B,2,FALSE),"-")</f>
        <v>味方単体に / スリープ</v>
      </c>
      <c r="M4" s="50" t="str">
        <f t="shared" si="6"/>
        <v>[effect:virus, turn:4, rate:1.0, val:0.17, animation:enemy_virus]</v>
      </c>
      <c r="N4" s="35" t="str">
        <f>IFERROR(LEFT(M4,FIND("],",M4)+S14),M4)</f>
        <v>[effect:virus, turn:4, rate:1.0, val:0.17, animation:enemy_virus]</v>
      </c>
      <c r="O4" s="50">
        <f t="shared" si="7"/>
        <v>9</v>
      </c>
      <c r="P4" s="50">
        <f t="shared" si="8"/>
        <v>14</v>
      </c>
      <c r="Q4" s="50" t="e">
        <f t="shared" si="9"/>
        <v>#VALUE!</v>
      </c>
      <c r="R4" s="50">
        <f t="shared" si="10"/>
        <v>22</v>
      </c>
      <c r="S4" s="50" t="str">
        <f>IFERROR(VLOOKUP(MID(N4,Q4,R4-Q4),[6]skilldef!$C:$D,2,FALSE),"-") &amp; " / " &amp; IFERROR(VLOOKUP(MID(N4,O4,P4-O4),[6]skilldef!$A:$B,2,FALSE),"-")</f>
        <v>- / ウィルス</v>
      </c>
      <c r="T4" s="35" t="str">
        <f t="shared" si="11"/>
        <v>none</v>
      </c>
      <c r="U4" s="50" t="e">
        <f t="shared" si="12"/>
        <v>#VALUE!</v>
      </c>
      <c r="V4" s="50">
        <f t="shared" si="13"/>
        <v>4</v>
      </c>
      <c r="W4" s="50" t="e">
        <f t="shared" si="14"/>
        <v>#VALUE!</v>
      </c>
      <c r="X4" s="50" t="e">
        <f t="shared" si="15"/>
        <v>#VALUE!</v>
      </c>
      <c r="Y4" s="50" t="str">
        <f>IFERROR(VLOOKUP(MID(T4,W4,X4-W4),[6]skilldef!$C:$D,2,FALSE),"-") &amp; " / " &amp; IFERROR(VLOOKUP(MID(T4,U4,V4-U4),[6]skilldef!$A:$B,2,FALSE),"-")</f>
        <v>- / -</v>
      </c>
      <c r="Z4" s="37"/>
      <c r="AA4" s="39"/>
      <c r="AB4" s="37"/>
    </row>
    <row r="5" spans="1:28" ht="21" customHeight="1" x14ac:dyDescent="0.15">
      <c r="A5" s="34">
        <f t="shared" si="0"/>
        <v>41003004</v>
      </c>
      <c r="B5" s="34" t="s">
        <v>300</v>
      </c>
      <c r="C5" s="37">
        <v>3</v>
      </c>
      <c r="D5" s="37" t="s">
        <v>230</v>
      </c>
      <c r="E5" s="38" t="s">
        <v>217</v>
      </c>
      <c r="F5" s="38" t="s">
        <v>218</v>
      </c>
      <c r="G5" s="50" t="str">
        <f t="shared" si="1"/>
        <v>[effect:spread, val:0.31, animation:enemy_spread]</v>
      </c>
      <c r="H5" s="50">
        <f t="shared" si="2"/>
        <v>9</v>
      </c>
      <c r="I5" s="50">
        <f t="shared" si="3"/>
        <v>15</v>
      </c>
      <c r="J5" s="50" t="e">
        <f t="shared" si="4"/>
        <v>#VALUE!</v>
      </c>
      <c r="K5" s="50">
        <f t="shared" si="5"/>
        <v>25</v>
      </c>
      <c r="L5" s="50" t="str">
        <f>IFERROR(VLOOKUP(MID(G5,J5,K5-J5),[6]skilldef!$C:$D,2,FALSE),"-") &amp; " / " &amp; IFERROR(VLOOKUP(MID(G5,H5,I5-H5),[6]skilldef!$A:$B,2,FALSE),"-")</f>
        <v>- / 全体攻撃</v>
      </c>
      <c r="M5" s="50" t="str">
        <f t="shared" si="6"/>
        <v>none</v>
      </c>
      <c r="N5" s="35" t="str">
        <f>IFERROR(LEFT(M5,FIND("],",M5)+S15),M5)</f>
        <v>none</v>
      </c>
      <c r="O5" s="50" t="e">
        <f t="shared" si="7"/>
        <v>#VALUE!</v>
      </c>
      <c r="P5" s="50">
        <f t="shared" si="8"/>
        <v>4</v>
      </c>
      <c r="Q5" s="50" t="e">
        <f t="shared" si="9"/>
        <v>#VALUE!</v>
      </c>
      <c r="R5" s="50" t="e">
        <f t="shared" si="10"/>
        <v>#VALUE!</v>
      </c>
      <c r="S5" s="50" t="str">
        <f>IFERROR(VLOOKUP(MID(N5,Q5,R5-Q5),[6]skilldef!$C:$D,2,FALSE),"-") &amp; " / " &amp; IFERROR(VLOOKUP(MID(N5,O5,P5-O5),[6]skilldef!$A:$B,2,FALSE),"-")</f>
        <v>- / -</v>
      </c>
      <c r="T5" s="35" t="str">
        <f t="shared" si="11"/>
        <v>none</v>
      </c>
      <c r="U5" s="50" t="e">
        <f t="shared" si="12"/>
        <v>#VALUE!</v>
      </c>
      <c r="V5" s="50">
        <f t="shared" si="13"/>
        <v>4</v>
      </c>
      <c r="W5" s="50" t="e">
        <f t="shared" si="14"/>
        <v>#VALUE!</v>
      </c>
      <c r="X5" s="50" t="e">
        <f t="shared" si="15"/>
        <v>#VALUE!</v>
      </c>
      <c r="Y5" s="50" t="str">
        <f>IFERROR(VLOOKUP(MID(T5,W5,X5-W5),[6]skilldef!$C:$D,2,FALSE),"-") &amp; " / " &amp; IFERROR(VLOOKUP(MID(T5,U5,V5-U5),[6]skilldef!$A:$B,2,FALSE),"-")</f>
        <v>- / -</v>
      </c>
      <c r="Z5" s="37"/>
      <c r="AA5" s="39"/>
      <c r="AB5" s="37"/>
    </row>
    <row r="6" spans="1:28" ht="21" customHeight="1" x14ac:dyDescent="0.15">
      <c r="A6" s="34">
        <f t="shared" si="0"/>
        <v>41003005</v>
      </c>
      <c r="B6" s="34" t="s">
        <v>245</v>
      </c>
      <c r="C6" s="37">
        <v>3</v>
      </c>
      <c r="D6" s="37" t="s">
        <v>230</v>
      </c>
      <c r="E6" s="38" t="s">
        <v>219</v>
      </c>
      <c r="F6" s="38" t="s">
        <v>220</v>
      </c>
      <c r="G6" s="50" t="str">
        <f t="shared" si="1"/>
        <v>[effect:change_block, new_block:time_bomb, target:block_red, count:0, val:0.1, animation:change_block]</v>
      </c>
      <c r="H6" s="50">
        <f t="shared" si="2"/>
        <v>9</v>
      </c>
      <c r="I6" s="50">
        <f t="shared" si="3"/>
        <v>21</v>
      </c>
      <c r="J6" s="50">
        <f t="shared" si="4"/>
        <v>51</v>
      </c>
      <c r="K6" s="50">
        <f t="shared" si="5"/>
        <v>42</v>
      </c>
      <c r="L6" s="50" t="str">
        <f>IFERROR(VLOOKUP(MID(G6,J6,K6-J6),[6]skilldef!$C:$D,2,FALSE),"-") &amp; " / " &amp; IFERROR(VLOOKUP(MID(G6,H6,I6-H6),[6]skilldef!$A:$B,2,FALSE),"-")</f>
        <v>- / ブロック変換</v>
      </c>
      <c r="M6" s="50" t="str">
        <f t="shared" si="6"/>
        <v>none</v>
      </c>
      <c r="N6" s="35" t="str">
        <f>IFERROR(LEFT(M6,FIND("],",M6)+S27),M6)</f>
        <v>none</v>
      </c>
      <c r="O6" s="50" t="e">
        <f t="shared" si="7"/>
        <v>#VALUE!</v>
      </c>
      <c r="P6" s="50">
        <f t="shared" si="8"/>
        <v>4</v>
      </c>
      <c r="Q6" s="50" t="e">
        <f t="shared" si="9"/>
        <v>#VALUE!</v>
      </c>
      <c r="R6" s="50" t="e">
        <f t="shared" si="10"/>
        <v>#VALUE!</v>
      </c>
      <c r="S6" s="50" t="str">
        <f>IFERROR(VLOOKUP(MID(N6,Q6,R6-Q6),[6]skilldef!$C:$D,2,FALSE),"-") &amp; " / " &amp; IFERROR(VLOOKUP(MID(N6,O6,P6-O6),[6]skilldef!$A:$B,2,FALSE),"-")</f>
        <v>- / -</v>
      </c>
      <c r="T6" s="35" t="str">
        <f t="shared" si="11"/>
        <v>none</v>
      </c>
      <c r="U6" s="50" t="e">
        <f t="shared" si="12"/>
        <v>#VALUE!</v>
      </c>
      <c r="V6" s="50">
        <f t="shared" si="13"/>
        <v>4</v>
      </c>
      <c r="W6" s="50" t="e">
        <f t="shared" si="14"/>
        <v>#VALUE!</v>
      </c>
      <c r="X6" s="50" t="e">
        <f t="shared" si="15"/>
        <v>#VALUE!</v>
      </c>
      <c r="Y6" s="50" t="str">
        <f>IFERROR(VLOOKUP(MID(T6,W6,X6-W6),[6]skilldef!$C:$D,2,FALSE),"-") &amp; " / " &amp; IFERROR(VLOOKUP(MID(T6,U6,V6-U6),[6]skilldef!$A:$B,2,FALSE),"-")</f>
        <v>- / -</v>
      </c>
      <c r="Z6" s="37"/>
      <c r="AA6" s="39"/>
      <c r="AB6" s="37"/>
    </row>
    <row r="7" spans="1:28" ht="21" customHeight="1" x14ac:dyDescent="0.15">
      <c r="A7" s="34">
        <f t="shared" si="0"/>
        <v>41003006</v>
      </c>
      <c r="B7" s="34" t="s">
        <v>221</v>
      </c>
      <c r="C7" s="37">
        <v>3</v>
      </c>
      <c r="D7" s="37" t="s">
        <v>230</v>
      </c>
      <c r="E7" s="38" t="s">
        <v>222</v>
      </c>
      <c r="F7" s="38" t="s">
        <v>223</v>
      </c>
      <c r="G7" s="50" t="str">
        <f t="shared" si="1"/>
        <v>[effect:change_block, new_block:time_bomb, target:block_green, count:0, val:0.2, animation:change_block]</v>
      </c>
      <c r="H7" s="50">
        <f t="shared" si="2"/>
        <v>9</v>
      </c>
      <c r="I7" s="50">
        <f t="shared" si="3"/>
        <v>21</v>
      </c>
      <c r="J7" s="50">
        <f t="shared" si="4"/>
        <v>51</v>
      </c>
      <c r="K7" s="50">
        <f t="shared" si="5"/>
        <v>42</v>
      </c>
      <c r="L7" s="50" t="str">
        <f>IFERROR(VLOOKUP(MID(G7,J7,K7-J7),[6]skilldef!$C:$D,2,FALSE),"-") &amp; " / " &amp; IFERROR(VLOOKUP(MID(G7,H7,I7-H7),[6]skilldef!$A:$B,2,FALSE),"-")</f>
        <v>- / ブロック変換</v>
      </c>
      <c r="M7" s="50" t="str">
        <f t="shared" si="6"/>
        <v>none</v>
      </c>
      <c r="N7" s="35" t="str">
        <f>IFERROR(LEFT(M7,FIND("],",M7)+S17),M7)</f>
        <v>none</v>
      </c>
      <c r="O7" s="50" t="e">
        <f t="shared" si="7"/>
        <v>#VALUE!</v>
      </c>
      <c r="P7" s="50">
        <f t="shared" si="8"/>
        <v>4</v>
      </c>
      <c r="Q7" s="50" t="e">
        <f t="shared" si="9"/>
        <v>#VALUE!</v>
      </c>
      <c r="R7" s="50" t="e">
        <f t="shared" si="10"/>
        <v>#VALUE!</v>
      </c>
      <c r="S7" s="50" t="str">
        <f>IFERROR(VLOOKUP(MID(N7,Q7,R7-Q7),[6]skilldef!$C:$D,2,FALSE),"-") &amp; " / " &amp; IFERROR(VLOOKUP(MID(N7,O7,P7-O7),[6]skilldef!$A:$B,2,FALSE),"-")</f>
        <v>- / -</v>
      </c>
      <c r="T7" s="35" t="str">
        <f t="shared" si="11"/>
        <v>none</v>
      </c>
      <c r="U7" s="50" t="e">
        <f t="shared" si="12"/>
        <v>#VALUE!</v>
      </c>
      <c r="V7" s="50">
        <f t="shared" si="13"/>
        <v>4</v>
      </c>
      <c r="W7" s="50" t="e">
        <f t="shared" si="14"/>
        <v>#VALUE!</v>
      </c>
      <c r="X7" s="50" t="e">
        <f t="shared" si="15"/>
        <v>#VALUE!</v>
      </c>
      <c r="Y7" s="50" t="str">
        <f>IFERROR(VLOOKUP(MID(T7,W7,X7-W7),[6]skilldef!$C:$D,2,FALSE),"-") &amp; " / " &amp; IFERROR(VLOOKUP(MID(T7,U7,V7-U7),[6]skilldef!$A:$B,2,FALSE),"-")</f>
        <v>- / -</v>
      </c>
      <c r="Z7" s="37"/>
      <c r="AA7" s="39"/>
      <c r="AB7" s="37"/>
    </row>
    <row r="8" spans="1:28" ht="21" customHeight="1" x14ac:dyDescent="0.15">
      <c r="A8" s="34">
        <f t="shared" si="0"/>
        <v>41003007</v>
      </c>
      <c r="B8" s="34" t="s">
        <v>246</v>
      </c>
      <c r="C8" s="37">
        <v>3</v>
      </c>
      <c r="D8" s="37" t="s">
        <v>230</v>
      </c>
      <c r="E8" s="38" t="s">
        <v>224</v>
      </c>
      <c r="F8" s="38" t="s">
        <v>225</v>
      </c>
      <c r="G8" s="50" t="str">
        <f t="shared" si="1"/>
        <v>[effect:change_block, new_block:time_bomb, target:block_yellow, count:0, val:0.1, animation:change_block]</v>
      </c>
      <c r="H8" s="50">
        <f t="shared" si="2"/>
        <v>9</v>
      </c>
      <c r="I8" s="50">
        <f t="shared" si="3"/>
        <v>21</v>
      </c>
      <c r="J8" s="50">
        <f t="shared" si="4"/>
        <v>51</v>
      </c>
      <c r="K8" s="50">
        <f t="shared" si="5"/>
        <v>42</v>
      </c>
      <c r="L8" s="50" t="str">
        <f>IFERROR(VLOOKUP(MID(G8,J8,K8-J8),[6]skilldef!$C:$D,2,FALSE),"-") &amp; " / " &amp; IFERROR(VLOOKUP(MID(G8,H8,I8-H8),[6]skilldef!$A:$B,2,FALSE),"-")</f>
        <v>- / ブロック変換</v>
      </c>
      <c r="M8" s="50" t="str">
        <f t="shared" si="6"/>
        <v>none</v>
      </c>
      <c r="N8" s="35" t="str">
        <f>IFERROR(LEFT(M8,FIND("],",M8)+S18),M8)</f>
        <v>none</v>
      </c>
      <c r="O8" s="50" t="e">
        <f t="shared" si="7"/>
        <v>#VALUE!</v>
      </c>
      <c r="P8" s="50">
        <f t="shared" si="8"/>
        <v>4</v>
      </c>
      <c r="Q8" s="50" t="e">
        <f t="shared" si="9"/>
        <v>#VALUE!</v>
      </c>
      <c r="R8" s="50" t="e">
        <f t="shared" si="10"/>
        <v>#VALUE!</v>
      </c>
      <c r="S8" s="50" t="str">
        <f>IFERROR(VLOOKUP(MID(N8,Q8,R8-Q8),[6]skilldef!$C:$D,2,FALSE),"-") &amp; " / " &amp; IFERROR(VLOOKUP(MID(N8,O8,P8-O8),[6]skilldef!$A:$B,2,FALSE),"-")</f>
        <v>- / -</v>
      </c>
      <c r="T8" s="35" t="str">
        <f t="shared" si="11"/>
        <v>none</v>
      </c>
      <c r="U8" s="50" t="e">
        <f t="shared" si="12"/>
        <v>#VALUE!</v>
      </c>
      <c r="V8" s="50">
        <f t="shared" si="13"/>
        <v>4</v>
      </c>
      <c r="W8" s="50" t="e">
        <f t="shared" si="14"/>
        <v>#VALUE!</v>
      </c>
      <c r="X8" s="50" t="e">
        <f t="shared" si="15"/>
        <v>#VALUE!</v>
      </c>
      <c r="Y8" s="50" t="str">
        <f>IFERROR(VLOOKUP(MID(T8,W8,X8-W8),[6]skilldef!$C:$D,2,FALSE),"-") &amp; " / " &amp; IFERROR(VLOOKUP(MID(T8,U8,V8-U8),[6]skilldef!$A:$B,2,FALSE),"-")</f>
        <v>- / -</v>
      </c>
      <c r="Z8" s="37"/>
      <c r="AA8" s="39"/>
      <c r="AB8" s="37"/>
    </row>
    <row r="9" spans="1:28" ht="21" customHeight="1" x14ac:dyDescent="0.15">
      <c r="A9" s="34">
        <f t="shared" si="0"/>
        <v>41003008</v>
      </c>
      <c r="B9" s="34" t="s">
        <v>247</v>
      </c>
      <c r="C9" s="37">
        <v>3</v>
      </c>
      <c r="D9" s="37" t="s">
        <v>230</v>
      </c>
      <c r="E9" s="34" t="s">
        <v>226</v>
      </c>
      <c r="F9" s="38" t="s">
        <v>227</v>
      </c>
      <c r="G9" s="50" t="str">
        <f t="shared" si="1"/>
        <v>[effect:critical, val:3.0.0, animation:enemy_critical]</v>
      </c>
      <c r="H9" s="50">
        <f t="shared" si="2"/>
        <v>9</v>
      </c>
      <c r="I9" s="50">
        <f t="shared" si="3"/>
        <v>17</v>
      </c>
      <c r="J9" s="50" t="e">
        <f t="shared" si="4"/>
        <v>#VALUE!</v>
      </c>
      <c r="K9" s="50">
        <f t="shared" si="5"/>
        <v>28</v>
      </c>
      <c r="L9" s="50" t="str">
        <f>IFERROR(VLOOKUP(MID(G9,J9,K9-J9),[6]skilldef!$C:$D,2,FALSE),"-") &amp; " / " &amp; IFERROR(VLOOKUP(MID(G9,H9,I9-H9),[6]skilldef!$A:$B,2,FALSE),"-")</f>
        <v>- / 大攻撃</v>
      </c>
      <c r="M9" s="50" t="str">
        <f t="shared" si="6"/>
        <v>[effect:enhance_enemy, target:enemy_all, turn:-1, status:defense, val:5000, calc:add, animation:enemy_enhance_enemy]</v>
      </c>
      <c r="N9" s="35" t="str">
        <f>IFERROR(LEFT(M9,FIND("],",M9)+S19),M9)</f>
        <v>[effect:enhance_enemy, target:enemy_all, turn:-1, status:defense, val:5000, calc:add, animation:enemy_enhance_enemy]</v>
      </c>
      <c r="O9" s="50">
        <f t="shared" si="7"/>
        <v>9</v>
      </c>
      <c r="P9" s="50">
        <f t="shared" si="8"/>
        <v>22</v>
      </c>
      <c r="Q9" s="50">
        <f t="shared" si="9"/>
        <v>31</v>
      </c>
      <c r="R9" s="50">
        <f t="shared" si="10"/>
        <v>40</v>
      </c>
      <c r="S9" s="50" t="str">
        <f>IFERROR(VLOOKUP(MID(N9,Q9,R9-Q9),[6]skilldef!$C:$D,2,FALSE),"-") &amp; " / " &amp; IFERROR(VLOOKUP(MID(N9,O9,P9-O9),[6]skilldef!$A:$B,2,FALSE),"-")</f>
        <v>敵全体に / ステータス強化</v>
      </c>
      <c r="T9" s="35" t="str">
        <f t="shared" si="11"/>
        <v>none</v>
      </c>
      <c r="U9" s="50" t="e">
        <f t="shared" si="12"/>
        <v>#VALUE!</v>
      </c>
      <c r="V9" s="50">
        <f t="shared" si="13"/>
        <v>4</v>
      </c>
      <c r="W9" s="50" t="e">
        <f t="shared" si="14"/>
        <v>#VALUE!</v>
      </c>
      <c r="X9" s="50" t="e">
        <f t="shared" si="15"/>
        <v>#VALUE!</v>
      </c>
      <c r="Y9" s="50" t="str">
        <f>IFERROR(VLOOKUP(MID(T9,W9,X9-W9),[6]skilldef!$C:$D,2,FALSE),"-") &amp; " / " &amp; IFERROR(VLOOKUP(MID(T9,U9,V9-U9),[6]skilldef!$A:$B,2,FALSE),"-")</f>
        <v>- / -</v>
      </c>
      <c r="Z9" s="37"/>
      <c r="AA9" s="39"/>
      <c r="AB9" s="37"/>
    </row>
    <row r="10" spans="1:28" ht="21" customHeight="1" x14ac:dyDescent="0.15">
      <c r="A10" s="34">
        <f t="shared" si="0"/>
        <v>41003009</v>
      </c>
      <c r="B10" s="34" t="s">
        <v>248</v>
      </c>
      <c r="C10" s="37">
        <v>3</v>
      </c>
      <c r="D10" s="37" t="s">
        <v>230</v>
      </c>
      <c r="E10" s="34" t="s">
        <v>228</v>
      </c>
      <c r="F10" s="38" t="s">
        <v>249</v>
      </c>
      <c r="G10" s="50" t="str">
        <f t="shared" si="1"/>
        <v>[effect:critical, val:2.0.0, animation:enemy_critical]</v>
      </c>
      <c r="H10" s="50">
        <f t="shared" si="2"/>
        <v>9</v>
      </c>
      <c r="I10" s="50">
        <f t="shared" si="3"/>
        <v>17</v>
      </c>
      <c r="J10" s="50" t="e">
        <f t="shared" si="4"/>
        <v>#VALUE!</v>
      </c>
      <c r="K10" s="50">
        <f t="shared" si="5"/>
        <v>28</v>
      </c>
      <c r="L10" s="50" t="str">
        <f>IFERROR(VLOOKUP(MID(G10,J10,K10-J10),[6]skilldef!$C:$D,2,FALSE),"-") &amp; " / " &amp; IFERROR(VLOOKUP(MID(G10,H10,I10-H10),[6]skilldef!$A:$B,2,FALSE),"-")</f>
        <v>- / 大攻撃</v>
      </c>
      <c r="M10" s="50" t="str">
        <f t="shared" si="6"/>
        <v>[effect:enhance_enemy, target:enemy_all, turn:-1, status:defense, val:3000, calc:add, animation:enemy_enhance_enemy]</v>
      </c>
      <c r="N10" s="35" t="str">
        <f>IFERROR(LEFT(M10,FIND("],",M10)+S20),M10)</f>
        <v>[effect:enhance_enemy, target:enemy_all, turn:-1, status:defense, val:3000, calc:add, animation:enemy_enhance_enemy]</v>
      </c>
      <c r="O10" s="50">
        <f t="shared" si="7"/>
        <v>9</v>
      </c>
      <c r="P10" s="50">
        <f t="shared" si="8"/>
        <v>22</v>
      </c>
      <c r="Q10" s="50">
        <f t="shared" si="9"/>
        <v>31</v>
      </c>
      <c r="R10" s="50">
        <f t="shared" si="10"/>
        <v>40</v>
      </c>
      <c r="S10" s="50" t="str">
        <f>IFERROR(VLOOKUP(MID(N10,Q10,R10-Q10),[6]skilldef!$C:$D,2,FALSE),"-") &amp; " / " &amp; IFERROR(VLOOKUP(MID(N10,O10,P10-O10),[6]skilldef!$A:$B,2,FALSE),"-")</f>
        <v>敵全体に / ステータス強化</v>
      </c>
      <c r="T10" s="35" t="str">
        <f t="shared" si="11"/>
        <v>none</v>
      </c>
      <c r="U10" s="50" t="e">
        <f t="shared" si="12"/>
        <v>#VALUE!</v>
      </c>
      <c r="V10" s="50">
        <f t="shared" si="13"/>
        <v>4</v>
      </c>
      <c r="W10" s="50" t="e">
        <f t="shared" si="14"/>
        <v>#VALUE!</v>
      </c>
      <c r="X10" s="50" t="e">
        <f t="shared" si="15"/>
        <v>#VALUE!</v>
      </c>
      <c r="Y10" s="50" t="str">
        <f>IFERROR(VLOOKUP(MID(T10,W10,X10-W10),[6]skilldef!$C:$D,2,FALSE),"-") &amp; " / " &amp; IFERROR(VLOOKUP(MID(T10,U10,V10-U10),[6]skilldef!$A:$B,2,FALSE),"-")</f>
        <v>- / -</v>
      </c>
      <c r="Z10" s="37"/>
      <c r="AA10" s="39"/>
      <c r="AB10" s="37"/>
    </row>
    <row r="11" spans="1:28" ht="21" customHeight="1" x14ac:dyDescent="0.15">
      <c r="A11" s="34">
        <f t="shared" si="0"/>
        <v>41003010</v>
      </c>
      <c r="B11" s="34" t="s">
        <v>250</v>
      </c>
      <c r="C11" s="37">
        <v>3</v>
      </c>
      <c r="D11" s="37" t="s">
        <v>230</v>
      </c>
      <c r="E11" s="34" t="s">
        <v>229</v>
      </c>
      <c r="F11" s="38" t="s">
        <v>251</v>
      </c>
      <c r="G11" s="50" t="str">
        <f t="shared" si="1"/>
        <v>[effect:critical, val:1.5.0, animation:enemy_critical]</v>
      </c>
      <c r="H11" s="50">
        <f t="shared" si="2"/>
        <v>9</v>
      </c>
      <c r="I11" s="50">
        <f t="shared" si="3"/>
        <v>17</v>
      </c>
      <c r="J11" s="50" t="e">
        <f>FIND("target:",G11)+7</f>
        <v>#VALUE!</v>
      </c>
      <c r="K11" s="50">
        <f t="shared" si="5"/>
        <v>28</v>
      </c>
      <c r="L11" s="50" t="str">
        <f>IFERROR(VLOOKUP(MID(G11,J11,K11-J11),[6]skilldef!$C:$D,2,FALSE),"-") &amp; " / " &amp; IFERROR(VLOOKUP(MID(G11,H11,I11-H11),[6]skilldef!$A:$B,2,FALSE),"-")</f>
        <v>- / 大攻撃</v>
      </c>
      <c r="M11" s="50" t="str">
        <f t="shared" si="6"/>
        <v>[effect:enhance_enemy, target:enemy_all, turn:-1, status:defense, val:1000, calc:add, animation:enemy_enhance_enemy]</v>
      </c>
      <c r="N11" s="35" t="str">
        <f>IFERROR(LEFT(M11,FIND("],",M11)+S21),M11)</f>
        <v>[effect:enhance_enemy, target:enemy_all, turn:-1, status:defense, val:1000, calc:add, animation:enemy_enhance_enemy]</v>
      </c>
      <c r="O11" s="50">
        <f t="shared" si="7"/>
        <v>9</v>
      </c>
      <c r="P11" s="50">
        <f t="shared" si="8"/>
        <v>22</v>
      </c>
      <c r="Q11" s="50">
        <f t="shared" si="9"/>
        <v>31</v>
      </c>
      <c r="R11" s="50">
        <f t="shared" si="10"/>
        <v>40</v>
      </c>
      <c r="S11" s="50" t="str">
        <f>IFERROR(VLOOKUP(MID(N11,Q11,R11-Q11),[6]skilldef!$C:$D,2,FALSE),"-") &amp; " / " &amp; IFERROR(VLOOKUP(MID(N11,O11,P11-O11),[6]skilldef!$A:$B,2,FALSE),"-")</f>
        <v>敵全体に / ステータス強化</v>
      </c>
      <c r="T11" s="35" t="str">
        <f t="shared" si="11"/>
        <v>none</v>
      </c>
      <c r="U11" s="50" t="e">
        <f t="shared" si="12"/>
        <v>#VALUE!</v>
      </c>
      <c r="V11" s="50">
        <f t="shared" si="13"/>
        <v>4</v>
      </c>
      <c r="W11" s="50" t="e">
        <f t="shared" si="14"/>
        <v>#VALUE!</v>
      </c>
      <c r="X11" s="50" t="e">
        <f t="shared" si="15"/>
        <v>#VALUE!</v>
      </c>
      <c r="Y11" s="50" t="str">
        <f>IFERROR(VLOOKUP(MID(T11,W11,X11-W11),[6]skilldef!$C:$D,2,FALSE),"-") &amp; " / " &amp; IFERROR(VLOOKUP(MID(T11,U11,V11-U11),[6]skilldef!$A:$B,2,FALSE),"-")</f>
        <v>- / -</v>
      </c>
      <c r="Z11" s="37"/>
      <c r="AA11" s="39"/>
      <c r="AB11" s="37"/>
    </row>
    <row r="12" spans="1:28" ht="21" customHeight="1" x14ac:dyDescent="0.15">
      <c r="A12" s="34">
        <f t="shared" si="0"/>
        <v>41003011</v>
      </c>
      <c r="B12" s="34" t="s">
        <v>301</v>
      </c>
      <c r="C12" s="37">
        <v>3</v>
      </c>
      <c r="D12" s="37" t="s">
        <v>230</v>
      </c>
      <c r="E12" s="34" t="s">
        <v>231</v>
      </c>
      <c r="F12" s="38" t="s">
        <v>252</v>
      </c>
      <c r="G12" s="50" t="str">
        <f t="shared" si="1"/>
        <v>[effect:critical, val:1.2.0, animation:enemy_critical]</v>
      </c>
      <c r="H12" s="50">
        <f t="shared" si="2"/>
        <v>9</v>
      </c>
      <c r="I12" s="50">
        <f t="shared" si="3"/>
        <v>17</v>
      </c>
      <c r="J12" s="50" t="e">
        <f t="shared" si="4"/>
        <v>#VALUE!</v>
      </c>
      <c r="K12" s="50">
        <f t="shared" si="5"/>
        <v>28</v>
      </c>
      <c r="L12" s="50" t="str">
        <f>IFERROR(VLOOKUP(MID(G12,J12,K12-J12),[6]skilldef!$C:$D,2,FALSE),"-") &amp; " / " &amp; IFERROR(VLOOKUP(MID(G12,H12,I12-H12),[6]skilldef!$A:$B,2,FALSE),"-")</f>
        <v>- / 大攻撃</v>
      </c>
      <c r="M12" s="50" t="str">
        <f t="shared" si="6"/>
        <v>none</v>
      </c>
      <c r="N12" s="35" t="str">
        <f>IFERROR(LEFT(M12,FIND("],",M12)+S23),M12)</f>
        <v>none</v>
      </c>
      <c r="O12" s="50" t="e">
        <f t="shared" si="7"/>
        <v>#VALUE!</v>
      </c>
      <c r="P12" s="50">
        <f t="shared" si="8"/>
        <v>4</v>
      </c>
      <c r="Q12" s="50" t="e">
        <f t="shared" si="9"/>
        <v>#VALUE!</v>
      </c>
      <c r="R12" s="50" t="e">
        <f t="shared" si="10"/>
        <v>#VALUE!</v>
      </c>
      <c r="S12" s="50" t="str">
        <f>IFERROR(VLOOKUP(MID(N12,Q12,R12-Q12),[6]skilldef!$C:$D,2,FALSE),"-") &amp; " / " &amp; IFERROR(VLOOKUP(MID(N12,O12,P12-O12),[6]skilldef!$A:$B,2,FALSE),"-")</f>
        <v>- / -</v>
      </c>
      <c r="T12" s="35" t="str">
        <f t="shared" si="11"/>
        <v>none</v>
      </c>
      <c r="U12" s="50" t="e">
        <f t="shared" si="12"/>
        <v>#VALUE!</v>
      </c>
      <c r="V12" s="50">
        <f t="shared" si="13"/>
        <v>4</v>
      </c>
      <c r="W12" s="50" t="e">
        <f t="shared" si="14"/>
        <v>#VALUE!</v>
      </c>
      <c r="X12" s="50" t="e">
        <f t="shared" si="15"/>
        <v>#VALUE!</v>
      </c>
      <c r="Y12" s="50" t="str">
        <f>IFERROR(VLOOKUP(MID(T12,W12,X12-W12),[6]skilldef!$C:$D,2,FALSE),"-") &amp; " / " &amp; IFERROR(VLOOKUP(MID(T12,U12,V12-U12),[6]skilldef!$A:$B,2,FALSE),"-")</f>
        <v>- / -</v>
      </c>
      <c r="Z12" s="37"/>
      <c r="AA12" s="39"/>
      <c r="AB12" s="37"/>
    </row>
    <row r="13" spans="1:28" ht="21" customHeight="1" x14ac:dyDescent="0.15">
      <c r="A13" s="34">
        <f t="shared" si="0"/>
        <v>41003012</v>
      </c>
      <c r="B13" s="34" t="s">
        <v>232</v>
      </c>
      <c r="C13" s="37">
        <v>3</v>
      </c>
      <c r="D13" s="37" t="s">
        <v>230</v>
      </c>
      <c r="E13" s="34" t="s">
        <v>233</v>
      </c>
      <c r="F13" s="38" t="s">
        <v>234</v>
      </c>
      <c r="G13" s="50" t="str">
        <f t="shared" si="1"/>
        <v>[effect:nothing]</v>
      </c>
      <c r="H13" s="50">
        <f t="shared" si="2"/>
        <v>9</v>
      </c>
      <c r="I13" s="50">
        <f t="shared" si="3"/>
        <v>16</v>
      </c>
      <c r="J13" s="50" t="e">
        <f t="shared" si="4"/>
        <v>#VALUE!</v>
      </c>
      <c r="K13" s="50" t="e">
        <f t="shared" si="5"/>
        <v>#VALUE!</v>
      </c>
      <c r="L13" s="50" t="str">
        <f>IFERROR(VLOOKUP(MID(G13,J13,K13-J13),[6]skilldef!$C:$D,2,FALSE),"-") &amp; " / " &amp; IFERROR(VLOOKUP(MID(G13,H13,I13-H13),[6]skilldef!$A:$B,2,FALSE),"-")</f>
        <v>- / 何もしない</v>
      </c>
      <c r="M13" s="50" t="str">
        <f t="shared" si="6"/>
        <v>none</v>
      </c>
      <c r="N13" s="35" t="str">
        <f>IFERROR(LEFT(M13,FIND("],",M13)+S24),M13)</f>
        <v>none</v>
      </c>
      <c r="O13" s="50" t="e">
        <f t="shared" si="7"/>
        <v>#VALUE!</v>
      </c>
      <c r="P13" s="50">
        <f t="shared" si="8"/>
        <v>4</v>
      </c>
      <c r="Q13" s="50" t="e">
        <f t="shared" si="9"/>
        <v>#VALUE!</v>
      </c>
      <c r="R13" s="50" t="e">
        <f t="shared" si="10"/>
        <v>#VALUE!</v>
      </c>
      <c r="S13" s="50" t="str">
        <f>IFERROR(VLOOKUP(MID(N13,Q13,R13-Q13),[6]skilldef!$C:$D,2,FALSE),"-") &amp; " / " &amp; IFERROR(VLOOKUP(MID(N13,O13,P13-O13),[6]skilldef!$A:$B,2,FALSE),"-")</f>
        <v>- / -</v>
      </c>
      <c r="T13" s="35" t="str">
        <f t="shared" si="11"/>
        <v>none</v>
      </c>
      <c r="U13" s="50" t="e">
        <f t="shared" si="12"/>
        <v>#VALUE!</v>
      </c>
      <c r="V13" s="50">
        <f t="shared" si="13"/>
        <v>4</v>
      </c>
      <c r="W13" s="50" t="e">
        <f t="shared" si="14"/>
        <v>#VALUE!</v>
      </c>
      <c r="X13" s="50" t="e">
        <f t="shared" si="15"/>
        <v>#VALUE!</v>
      </c>
      <c r="Y13" s="50" t="str">
        <f>IFERROR(VLOOKUP(MID(T13,W13,X13-W13),[6]skilldef!$C:$D,2,FALSE),"-") &amp; " / " &amp; IFERROR(VLOOKUP(MID(T13,U13,V13-U13),[6]skilldef!$A:$B,2,FALSE),"-")</f>
        <v>- / -</v>
      </c>
      <c r="Z13" s="37"/>
      <c r="AA13" s="39"/>
      <c r="AB13" s="37"/>
    </row>
    <row r="14" spans="1:28" ht="21" customHeight="1" x14ac:dyDescent="0.15">
      <c r="A14" s="34">
        <f t="shared" si="0"/>
        <v>41003013</v>
      </c>
      <c r="B14" s="86" t="s">
        <v>253</v>
      </c>
      <c r="C14" s="37">
        <v>3</v>
      </c>
      <c r="D14" s="37" t="s">
        <v>230</v>
      </c>
      <c r="E14" s="34" t="s">
        <v>274</v>
      </c>
      <c r="F14" s="34" t="s">
        <v>302</v>
      </c>
      <c r="G14" s="50" t="str">
        <f t="shared" si="1"/>
        <v>[effect:dis_heart, turn:7, rate:1.0, animation:enemy_dis_heart]</v>
      </c>
      <c r="H14" s="50">
        <f t="shared" si="2"/>
        <v>9</v>
      </c>
      <c r="I14" s="50">
        <f t="shared" si="3"/>
        <v>18</v>
      </c>
      <c r="J14" s="50" t="e">
        <f t="shared" si="4"/>
        <v>#VALUE!</v>
      </c>
      <c r="K14" s="50">
        <f t="shared" si="5"/>
        <v>26</v>
      </c>
      <c r="L14" s="50" t="str">
        <f>IFERROR(VLOOKUP(MID(G14,J14,K14-J14),[6]skilldef!$C:$D,2,FALSE),"-") &amp; " / " &amp; IFERROR(VLOOKUP(MID(G14,H14,I14-H14),[6]skilldef!$A:$B,2,FALSE),"-")</f>
        <v>- / ディスハート</v>
      </c>
      <c r="M14" s="50" t="str">
        <f t="shared" si="6"/>
        <v>[effect:rush, count:1, val:0.5]</v>
      </c>
      <c r="N14" s="35" t="str">
        <f>IFERROR(LEFT(M14,FIND("],",M14)+S25),M14)</f>
        <v>[effect:rush, count:1, val:0.5]</v>
      </c>
      <c r="O14" s="50">
        <f t="shared" si="7"/>
        <v>9</v>
      </c>
      <c r="P14" s="50">
        <f t="shared" si="8"/>
        <v>13</v>
      </c>
      <c r="Q14" s="50" t="e">
        <f t="shared" si="9"/>
        <v>#VALUE!</v>
      </c>
      <c r="R14" s="50">
        <f t="shared" si="10"/>
        <v>22</v>
      </c>
      <c r="S14" s="50" t="str">
        <f>IFERROR(VLOOKUP(MID(N14,Q14,R14-Q14),[6]skilldef!$C:$D,2,FALSE),"-") &amp; " / " &amp; IFERROR(VLOOKUP(MID(N14,O14,P14-O14),[6]skilldef!$A:$B,2,FALSE),"-")</f>
        <v>- / 連続攻撃</v>
      </c>
      <c r="T14" s="35" t="str">
        <f t="shared" si="11"/>
        <v>none</v>
      </c>
      <c r="U14" s="50" t="e">
        <f t="shared" si="12"/>
        <v>#VALUE!</v>
      </c>
      <c r="V14" s="50">
        <f t="shared" si="13"/>
        <v>4</v>
      </c>
      <c r="W14" s="50" t="e">
        <f t="shared" si="14"/>
        <v>#VALUE!</v>
      </c>
      <c r="X14" s="50" t="e">
        <f t="shared" si="15"/>
        <v>#VALUE!</v>
      </c>
      <c r="Y14" s="50" t="str">
        <f>IFERROR(VLOOKUP(MID(T14,W14,X14-W14),[6]skilldef!$C:$D,2,FALSE),"-") &amp; " / " &amp; IFERROR(VLOOKUP(MID(T14,U14,V14-U14),[6]skilldef!$A:$B,2,FALSE),"-")</f>
        <v>- / -</v>
      </c>
      <c r="Z14" s="37"/>
      <c r="AA14" s="39"/>
      <c r="AB14" s="37"/>
    </row>
    <row r="15" spans="1:28" ht="21" customHeight="1" x14ac:dyDescent="0.15">
      <c r="A15" s="34">
        <f t="shared" si="0"/>
        <v>41003014</v>
      </c>
      <c r="B15" s="34" t="s">
        <v>254</v>
      </c>
      <c r="C15" s="37">
        <v>3</v>
      </c>
      <c r="D15" s="37" t="s">
        <v>230</v>
      </c>
      <c r="E15" s="34" t="s">
        <v>235</v>
      </c>
      <c r="F15" s="38" t="s">
        <v>255</v>
      </c>
      <c r="G15" s="50" t="str">
        <f t="shared" si="1"/>
        <v>[effect:freq_turn, target:enemy_all, turn:-1, val:1, animation:enemy_freq_turn]</v>
      </c>
      <c r="H15" s="50">
        <f t="shared" si="2"/>
        <v>9</v>
      </c>
      <c r="I15" s="50">
        <f t="shared" si="3"/>
        <v>18</v>
      </c>
      <c r="J15" s="50">
        <f t="shared" si="4"/>
        <v>27</v>
      </c>
      <c r="K15" s="50">
        <f t="shared" si="5"/>
        <v>36</v>
      </c>
      <c r="L15" s="50" t="str">
        <f>IFERROR(VLOOKUP(MID(G15,J15,K15-J15),[6]skilldef!$C:$D,2,FALSE),"-") &amp; " / " &amp; IFERROR(VLOOKUP(MID(G15,H15,I15-H15),[6]skilldef!$A:$B,2,FALSE),"-")</f>
        <v>敵全体に / 攻撃頻度がUP</v>
      </c>
      <c r="M15" s="50" t="str">
        <f t="shared" si="6"/>
        <v>none</v>
      </c>
      <c r="N15" s="35" t="str">
        <f>IFERROR(LEFT(M15,FIND("],",M15)+#REF!),M15)</f>
        <v>none</v>
      </c>
      <c r="O15" s="50" t="e">
        <f t="shared" si="7"/>
        <v>#VALUE!</v>
      </c>
      <c r="P15" s="50">
        <f t="shared" si="8"/>
        <v>4</v>
      </c>
      <c r="Q15" s="50" t="e">
        <f t="shared" si="9"/>
        <v>#VALUE!</v>
      </c>
      <c r="R15" s="50" t="e">
        <f t="shared" si="10"/>
        <v>#VALUE!</v>
      </c>
      <c r="S15" s="50" t="str">
        <f>IFERROR(VLOOKUP(MID(N15,Q15,R15-Q15),[6]skilldef!$C:$D,2,FALSE),"-") &amp; " / " &amp; IFERROR(VLOOKUP(MID(N15,O15,P15-O15),[6]skilldef!$A:$B,2,FALSE),"-")</f>
        <v>- / -</v>
      </c>
      <c r="T15" s="35" t="str">
        <f t="shared" si="11"/>
        <v>none</v>
      </c>
      <c r="U15" s="50" t="e">
        <f t="shared" si="12"/>
        <v>#VALUE!</v>
      </c>
      <c r="V15" s="50">
        <f t="shared" si="13"/>
        <v>4</v>
      </c>
      <c r="W15" s="50" t="e">
        <f t="shared" si="14"/>
        <v>#VALUE!</v>
      </c>
      <c r="X15" s="50" t="e">
        <f t="shared" si="15"/>
        <v>#VALUE!</v>
      </c>
      <c r="Y15" s="50" t="str">
        <f>IFERROR(VLOOKUP(MID(T15,W15,X15-W15),[6]skilldef!$C:$D,2,FALSE),"-") &amp; " / " &amp; IFERROR(VLOOKUP(MID(T15,U15,V15-U15),[6]skilldef!$A:$B,2,FALSE),"-")</f>
        <v>- / -</v>
      </c>
      <c r="Z15" s="37"/>
      <c r="AA15" s="39"/>
      <c r="AB15" s="37"/>
    </row>
    <row r="16" spans="1:28" ht="21" customHeight="1" x14ac:dyDescent="0.15">
      <c r="A16" s="34">
        <f t="shared" si="0"/>
        <v>41003015</v>
      </c>
      <c r="B16" s="87" t="s">
        <v>284</v>
      </c>
      <c r="C16" s="37">
        <v>3</v>
      </c>
      <c r="D16" s="37" t="s">
        <v>230</v>
      </c>
      <c r="E16" s="88" t="s">
        <v>268</v>
      </c>
      <c r="F16" s="38" t="s">
        <v>314</v>
      </c>
      <c r="G16" s="50" t="str">
        <f>IFERROR(LEFT(B16,FIND("],",B16)),B16)</f>
        <v>[effect:degrade_unit, target:unit_all, turn:5, status:action, val:2.0,animation:enemy_tap_down]</v>
      </c>
      <c r="H16" s="50">
        <f>FIND("effect:",G16)+7</f>
        <v>9</v>
      </c>
      <c r="I16" s="50">
        <f>IFERROR(FIND(",",G16),LEN(G16))</f>
        <v>21</v>
      </c>
      <c r="J16" s="50">
        <f>FIND("target:",G16)+7</f>
        <v>30</v>
      </c>
      <c r="K16" s="50">
        <f>FIND(",",G16,I16+1)</f>
        <v>38</v>
      </c>
      <c r="L16" s="50" t="str">
        <f>IFERROR(VLOOKUP(MID(G16,J16,K16-J16),[6]skilldef!$C:$D,2,FALSE),"-") &amp; " / " &amp; IFERROR(VLOOKUP(MID(G16,H16,I16-H16),[6]skilldef!$A:$B,2,FALSE),"-")</f>
        <v>味方全体に / ステータスDOWN</v>
      </c>
      <c r="M16" s="50" t="str">
        <f t="shared" ref="M16" si="16">IFERROR(RIGHT(B16,LEN(B16)-FIND("],",B16)-1),"none")</f>
        <v>none</v>
      </c>
      <c r="N16" s="35" t="str">
        <f>IFERROR(LEFT(M16,FIND("],",M16)+#REF!),M16)</f>
        <v>none</v>
      </c>
      <c r="O16" s="50" t="e">
        <f t="shared" ref="O16" si="17">FIND("effect:",N16)+7</f>
        <v>#VALUE!</v>
      </c>
      <c r="P16" s="50">
        <f t="shared" ref="P16" si="18">IFERROR(FIND(",",N16),LEN(N16))</f>
        <v>4</v>
      </c>
      <c r="Q16" s="50" t="e">
        <f t="shared" ref="Q16" si="19">FIND("target:",N16)+7</f>
        <v>#VALUE!</v>
      </c>
      <c r="R16" s="50" t="e">
        <f t="shared" ref="R16" si="20">FIND(",",N16,P16+1)</f>
        <v>#VALUE!</v>
      </c>
      <c r="S16" s="50" t="str">
        <f>IFERROR(VLOOKUP(MID(N16,Q16,R16-Q16),[6]skilldef!$C:$D,2,FALSE),"-") &amp; " / " &amp; IFERROR(VLOOKUP(MID(N16,O16,P16-O16),[6]skilldef!$A:$B,2,FALSE),"-")</f>
        <v>- / -</v>
      </c>
      <c r="T16" s="35" t="str">
        <f t="shared" ref="T16" si="21">IFERROR(RIGHT(M16,LEN(M16)-FIND("],",M16)-1),"none")</f>
        <v>none</v>
      </c>
      <c r="U16" s="50" t="e">
        <f t="shared" ref="U16" si="22">FIND("effect:",T16)+7</f>
        <v>#VALUE!</v>
      </c>
      <c r="V16" s="50">
        <f t="shared" ref="V16" si="23">IFERROR(FIND(",",T16),LEN(T16))</f>
        <v>4</v>
      </c>
      <c r="W16" s="50" t="e">
        <f t="shared" ref="W16" si="24">FIND("target:",T16)+7</f>
        <v>#VALUE!</v>
      </c>
      <c r="X16" s="50" t="e">
        <f t="shared" ref="X16" si="25">FIND(",",T16,V16+1)</f>
        <v>#VALUE!</v>
      </c>
      <c r="Y16" s="50" t="str">
        <f>IFERROR(VLOOKUP(MID(T16,W16,X16-W16),[6]skilldef!$C:$D,2,FALSE),"-") &amp; " / " &amp; IFERROR(VLOOKUP(MID(T16,U16,V16-U16),[6]skilldef!$A:$B,2,FALSE),"-")</f>
        <v>- / -</v>
      </c>
      <c r="Z16" s="37"/>
      <c r="AA16" s="39"/>
      <c r="AB16" s="37"/>
    </row>
    <row r="17" spans="1:28" ht="21" customHeight="1" x14ac:dyDescent="0.15">
      <c r="A17" s="34">
        <f>A16+1</f>
        <v>41003016</v>
      </c>
      <c r="B17" s="34" t="s">
        <v>285</v>
      </c>
      <c r="C17" s="37">
        <v>3</v>
      </c>
      <c r="D17" s="37" t="s">
        <v>230</v>
      </c>
      <c r="E17" s="38" t="s">
        <v>256</v>
      </c>
      <c r="F17" s="38" t="s">
        <v>236</v>
      </c>
      <c r="G17" s="50" t="str">
        <f t="shared" si="1"/>
        <v>[effect:critical, val:2.4, animation:enemy_critical]</v>
      </c>
      <c r="H17" s="50">
        <f t="shared" si="2"/>
        <v>9</v>
      </c>
      <c r="I17" s="50">
        <f t="shared" si="3"/>
        <v>17</v>
      </c>
      <c r="J17" s="50" t="e">
        <f t="shared" si="4"/>
        <v>#VALUE!</v>
      </c>
      <c r="K17" s="50">
        <f t="shared" si="5"/>
        <v>26</v>
      </c>
      <c r="L17" s="50" t="str">
        <f>IFERROR(VLOOKUP(MID(G17,J17,K17-J17),[6]skilldef!$C:$D,2,FALSE),"-") &amp; " / " &amp; IFERROR(VLOOKUP(MID(G17,H17,I17-H17),[6]skilldef!$A:$B,2,FALSE),"-")</f>
        <v>- / 大攻撃</v>
      </c>
      <c r="M17" s="50" t="str">
        <f t="shared" si="6"/>
        <v>none</v>
      </c>
      <c r="N17" s="35" t="str">
        <f>IFERROR(LEFT(M17,FIND("],",M17)+S32),M17)</f>
        <v>none</v>
      </c>
      <c r="O17" s="50" t="e">
        <f t="shared" si="7"/>
        <v>#VALUE!</v>
      </c>
      <c r="P17" s="50">
        <f t="shared" si="8"/>
        <v>4</v>
      </c>
      <c r="Q17" s="50" t="e">
        <f t="shared" si="9"/>
        <v>#VALUE!</v>
      </c>
      <c r="R17" s="50" t="e">
        <f t="shared" si="10"/>
        <v>#VALUE!</v>
      </c>
      <c r="S17" s="50" t="str">
        <f>IFERROR(VLOOKUP(MID(N17,Q17,R17-Q17),[6]skilldef!$C:$D,2,FALSE),"-") &amp; " / " &amp; IFERROR(VLOOKUP(MID(N17,O17,P17-O17),[6]skilldef!$A:$B,2,FALSE),"-")</f>
        <v>- / -</v>
      </c>
      <c r="T17" s="35" t="str">
        <f t="shared" si="11"/>
        <v>none</v>
      </c>
      <c r="U17" s="50" t="e">
        <f t="shared" si="12"/>
        <v>#VALUE!</v>
      </c>
      <c r="V17" s="50">
        <f t="shared" si="13"/>
        <v>4</v>
      </c>
      <c r="W17" s="50" t="e">
        <f t="shared" si="14"/>
        <v>#VALUE!</v>
      </c>
      <c r="X17" s="50" t="e">
        <f t="shared" si="15"/>
        <v>#VALUE!</v>
      </c>
      <c r="Y17" s="50" t="str">
        <f>IFERROR(VLOOKUP(MID(T17,W17,X17-W17),[6]skilldef!$C:$D,2,FALSE),"-") &amp; " / " &amp; IFERROR(VLOOKUP(MID(T17,U17,V17-U17),[6]skilldef!$A:$B,2,FALSE),"-")</f>
        <v>- / -</v>
      </c>
      <c r="Z17" s="37"/>
      <c r="AA17" s="39"/>
      <c r="AB17" s="37"/>
    </row>
    <row r="18" spans="1:28" ht="21" customHeight="1" x14ac:dyDescent="0.15">
      <c r="A18" s="34">
        <f t="shared" si="0"/>
        <v>41003017</v>
      </c>
      <c r="B18" s="34" t="s">
        <v>315</v>
      </c>
      <c r="C18" s="37">
        <v>3</v>
      </c>
      <c r="D18" s="37" t="s">
        <v>230</v>
      </c>
      <c r="E18" s="38" t="s">
        <v>237</v>
      </c>
      <c r="F18" s="38" t="s">
        <v>307</v>
      </c>
      <c r="G18" s="50" t="str">
        <f t="shared" si="1"/>
        <v>[effect:dis_panel, target:block_red, turn:2,animation:enemy_dis_red]</v>
      </c>
      <c r="H18" s="50">
        <f t="shared" si="2"/>
        <v>9</v>
      </c>
      <c r="I18" s="50">
        <f t="shared" si="3"/>
        <v>18</v>
      </c>
      <c r="J18" s="50">
        <f t="shared" si="4"/>
        <v>27</v>
      </c>
      <c r="K18" s="50">
        <f t="shared" si="5"/>
        <v>36</v>
      </c>
      <c r="L18" s="50" t="str">
        <f>IFERROR(VLOOKUP(MID(G18,J18,K18-J18),[6]skilldef!$C:$D,2,FALSE),"-") &amp; " / " &amp; IFERROR(VLOOKUP(MID(G18,H18,I18-H18),[6]skilldef!$A:$B,2,FALSE),"-")</f>
        <v>赤パネルを / ディスパネル</v>
      </c>
      <c r="M18" s="50" t="str">
        <f t="shared" si="6"/>
        <v>[effect:rush, count:1, val:1.1]</v>
      </c>
      <c r="N18" s="35" t="str">
        <f>IFERROR(LEFT(M18,FIND("],",M18)+S33),M18)</f>
        <v>[effect:rush, count:1, val:1.1]</v>
      </c>
      <c r="O18" s="50">
        <f t="shared" si="7"/>
        <v>9</v>
      </c>
      <c r="P18" s="50">
        <f t="shared" si="8"/>
        <v>13</v>
      </c>
      <c r="Q18" s="50" t="e">
        <f t="shared" si="9"/>
        <v>#VALUE!</v>
      </c>
      <c r="R18" s="50">
        <f t="shared" si="10"/>
        <v>22</v>
      </c>
      <c r="S18" s="50" t="str">
        <f>IFERROR(VLOOKUP(MID(N18,Q18,R18-Q18),[6]skilldef!$C:$D,2,FALSE),"-") &amp; " / " &amp; IFERROR(VLOOKUP(MID(N18,O18,P18-O18),[6]skilldef!$A:$B,2,FALSE),"-")</f>
        <v>- / 連続攻撃</v>
      </c>
      <c r="T18" s="35" t="str">
        <f t="shared" si="11"/>
        <v>none</v>
      </c>
      <c r="U18" s="50" t="e">
        <f t="shared" si="12"/>
        <v>#VALUE!</v>
      </c>
      <c r="V18" s="50">
        <f t="shared" si="13"/>
        <v>4</v>
      </c>
      <c r="W18" s="50" t="e">
        <f t="shared" si="14"/>
        <v>#VALUE!</v>
      </c>
      <c r="X18" s="50" t="e">
        <f t="shared" si="15"/>
        <v>#VALUE!</v>
      </c>
      <c r="Y18" s="50" t="str">
        <f>IFERROR(VLOOKUP(MID(T18,W18,X18-W18),[6]skilldef!$C:$D,2,FALSE),"-") &amp; " / " &amp; IFERROR(VLOOKUP(MID(T18,U18,V18-U18),[6]skilldef!$A:$B,2,FALSE),"-")</f>
        <v>- / -</v>
      </c>
      <c r="Z18" s="37"/>
      <c r="AA18" s="39"/>
      <c r="AB18" s="37"/>
    </row>
    <row r="19" spans="1:28" ht="21" customHeight="1" x14ac:dyDescent="0.15">
      <c r="A19" s="34">
        <f t="shared" si="0"/>
        <v>41003018</v>
      </c>
      <c r="B19" s="34" t="s">
        <v>316</v>
      </c>
      <c r="C19" s="37">
        <v>3</v>
      </c>
      <c r="D19" s="37" t="s">
        <v>230</v>
      </c>
      <c r="E19" s="38" t="s">
        <v>238</v>
      </c>
      <c r="F19" s="38" t="s">
        <v>308</v>
      </c>
      <c r="G19" s="50" t="str">
        <f t="shared" si="1"/>
        <v>[effect:dis_panel, target:block_yellow, turn:2,animation:enemy_dis_yellow]</v>
      </c>
      <c r="H19" s="50">
        <f t="shared" si="2"/>
        <v>9</v>
      </c>
      <c r="I19" s="50">
        <f t="shared" si="3"/>
        <v>18</v>
      </c>
      <c r="J19" s="50">
        <f t="shared" si="4"/>
        <v>27</v>
      </c>
      <c r="K19" s="50">
        <f t="shared" si="5"/>
        <v>39</v>
      </c>
      <c r="L19" s="50" t="str">
        <f>IFERROR(VLOOKUP(MID(G19,J19,K19-J19),[6]skilldef!$C:$D,2,FALSE),"-") &amp; " / " &amp; IFERROR(VLOOKUP(MID(G19,H19,I19-H19),[6]skilldef!$A:$B,2,FALSE),"-")</f>
        <v>黄色パネルを / ディスパネル</v>
      </c>
      <c r="M19" s="50" t="str">
        <f t="shared" si="6"/>
        <v>[effect:rush, count:1, val:1.1]</v>
      </c>
      <c r="N19" s="35" t="str">
        <f>IFERROR(LEFT(M19,FIND("],",M19)+S34),M19)</f>
        <v>[effect:rush, count:1, val:1.1]</v>
      </c>
      <c r="O19" s="50">
        <f t="shared" si="7"/>
        <v>9</v>
      </c>
      <c r="P19" s="50">
        <f t="shared" si="8"/>
        <v>13</v>
      </c>
      <c r="Q19" s="50" t="e">
        <f t="shared" si="9"/>
        <v>#VALUE!</v>
      </c>
      <c r="R19" s="50">
        <f t="shared" si="10"/>
        <v>22</v>
      </c>
      <c r="S19" s="50" t="str">
        <f>IFERROR(VLOOKUP(MID(N19,Q19,R19-Q19),[6]skilldef!$C:$D,2,FALSE),"-") &amp; " / " &amp; IFERROR(VLOOKUP(MID(N19,O19,P19-O19),[6]skilldef!$A:$B,2,FALSE),"-")</f>
        <v>- / 連続攻撃</v>
      </c>
      <c r="T19" s="35" t="str">
        <f t="shared" si="11"/>
        <v>none</v>
      </c>
      <c r="U19" s="50" t="e">
        <f t="shared" si="12"/>
        <v>#VALUE!</v>
      </c>
      <c r="V19" s="50">
        <f t="shared" si="13"/>
        <v>4</v>
      </c>
      <c r="W19" s="50" t="e">
        <f t="shared" si="14"/>
        <v>#VALUE!</v>
      </c>
      <c r="X19" s="50" t="e">
        <f t="shared" si="15"/>
        <v>#VALUE!</v>
      </c>
      <c r="Y19" s="50" t="str">
        <f>IFERROR(VLOOKUP(MID(T19,W19,X19-W19),[6]skilldef!$C:$D,2,FALSE),"-") &amp; " / " &amp; IFERROR(VLOOKUP(MID(T19,U19,V19-U19),[6]skilldef!$A:$B,2,FALSE),"-")</f>
        <v>- / -</v>
      </c>
      <c r="Z19" s="37"/>
      <c r="AA19" s="39"/>
      <c r="AB19" s="37"/>
    </row>
    <row r="20" spans="1:28" ht="21" customHeight="1" x14ac:dyDescent="0.15">
      <c r="A20" s="34">
        <f t="shared" si="0"/>
        <v>41003019</v>
      </c>
      <c r="B20" s="34" t="s">
        <v>317</v>
      </c>
      <c r="C20" s="37">
        <v>3</v>
      </c>
      <c r="D20" s="37" t="s">
        <v>230</v>
      </c>
      <c r="E20" s="38" t="s">
        <v>239</v>
      </c>
      <c r="F20" s="38" t="s">
        <v>309</v>
      </c>
      <c r="G20" s="50" t="str">
        <f t="shared" si="1"/>
        <v>[effect:dis_panel, target:block_green, turn:2,animation:enemy_dis_green]</v>
      </c>
      <c r="H20" s="50">
        <f t="shared" si="2"/>
        <v>9</v>
      </c>
      <c r="I20" s="50">
        <f t="shared" si="3"/>
        <v>18</v>
      </c>
      <c r="J20" s="50">
        <f t="shared" si="4"/>
        <v>27</v>
      </c>
      <c r="K20" s="50">
        <f t="shared" si="5"/>
        <v>38</v>
      </c>
      <c r="L20" s="50" t="str">
        <f>IFERROR(VLOOKUP(MID(G20,J20,K20-J20),[6]skilldef!$C:$D,2,FALSE),"-") &amp; " / " &amp; IFERROR(VLOOKUP(MID(G20,H20,I20-H20),[6]skilldef!$A:$B,2,FALSE),"-")</f>
        <v>緑パネルを / ディスパネル</v>
      </c>
      <c r="M20" s="50" t="str">
        <f t="shared" si="6"/>
        <v>[effect:rush, count:1, val:1.1]</v>
      </c>
      <c r="N20" s="35" t="str">
        <f>IFERROR(LEFT(M20,FIND("],",M20)+S35),M20)</f>
        <v>[effect:rush, count:1, val:1.1]</v>
      </c>
      <c r="O20" s="50">
        <f t="shared" si="7"/>
        <v>9</v>
      </c>
      <c r="P20" s="50">
        <f t="shared" si="8"/>
        <v>13</v>
      </c>
      <c r="Q20" s="50" t="e">
        <f t="shared" si="9"/>
        <v>#VALUE!</v>
      </c>
      <c r="R20" s="50">
        <f t="shared" si="10"/>
        <v>22</v>
      </c>
      <c r="S20" s="50" t="str">
        <f>IFERROR(VLOOKUP(MID(N20,Q20,R20-Q20),[6]skilldef!$C:$D,2,FALSE),"-") &amp; " / " &amp; IFERROR(VLOOKUP(MID(N20,O20,P20-O20),[6]skilldef!$A:$B,2,FALSE),"-")</f>
        <v>- / 連続攻撃</v>
      </c>
      <c r="T20" s="35" t="str">
        <f t="shared" si="11"/>
        <v>none</v>
      </c>
      <c r="U20" s="50" t="e">
        <f t="shared" si="12"/>
        <v>#VALUE!</v>
      </c>
      <c r="V20" s="50">
        <f t="shared" si="13"/>
        <v>4</v>
      </c>
      <c r="W20" s="50" t="e">
        <f t="shared" si="14"/>
        <v>#VALUE!</v>
      </c>
      <c r="X20" s="50" t="e">
        <f t="shared" si="15"/>
        <v>#VALUE!</v>
      </c>
      <c r="Y20" s="50" t="str">
        <f>IFERROR(VLOOKUP(MID(T20,W20,X20-W20),[6]skilldef!$C:$D,2,FALSE),"-") &amp; " / " &amp; IFERROR(VLOOKUP(MID(T20,U20,V20-U20),[6]skilldef!$A:$B,2,FALSE),"-")</f>
        <v>- / -</v>
      </c>
      <c r="Z20" s="37"/>
      <c r="AA20" s="39"/>
      <c r="AB20" s="37"/>
    </row>
    <row r="21" spans="1:28" ht="21" customHeight="1" x14ac:dyDescent="0.15">
      <c r="A21" s="34">
        <f t="shared" si="0"/>
        <v>41003020</v>
      </c>
      <c r="B21" s="34" t="s">
        <v>318</v>
      </c>
      <c r="C21" s="37">
        <v>3</v>
      </c>
      <c r="D21" s="37" t="s">
        <v>230</v>
      </c>
      <c r="E21" s="38" t="s">
        <v>240</v>
      </c>
      <c r="F21" s="38" t="s">
        <v>310</v>
      </c>
      <c r="G21" s="50" t="str">
        <f t="shared" si="1"/>
        <v>[effect:dis_panel, target:block_blue, turn:2,animation:enemy_dis_blue]</v>
      </c>
      <c r="H21" s="50">
        <f t="shared" si="2"/>
        <v>9</v>
      </c>
      <c r="I21" s="50">
        <f t="shared" si="3"/>
        <v>18</v>
      </c>
      <c r="J21" s="50">
        <f t="shared" si="4"/>
        <v>27</v>
      </c>
      <c r="K21" s="50">
        <f t="shared" si="5"/>
        <v>37</v>
      </c>
      <c r="L21" s="50" t="str">
        <f>IFERROR(VLOOKUP(MID(G21,J21,K21-J21),[6]skilldef!$C:$D,2,FALSE),"-") &amp; " / " &amp; IFERROR(VLOOKUP(MID(G21,H21,I21-H21),[6]skilldef!$A:$B,2,FALSE),"-")</f>
        <v>青パネルを / ディスパネル</v>
      </c>
      <c r="M21" s="50" t="str">
        <f t="shared" si="6"/>
        <v>[effect:rush, count:1, val:1.1]</v>
      </c>
      <c r="N21" s="35" t="str">
        <f>IFERROR(LEFT(M21,FIND("],",M21)+S36),M21)</f>
        <v>[effect:rush, count:1, val:1.1]</v>
      </c>
      <c r="O21" s="50">
        <f t="shared" si="7"/>
        <v>9</v>
      </c>
      <c r="P21" s="50">
        <f t="shared" si="8"/>
        <v>13</v>
      </c>
      <c r="Q21" s="50" t="e">
        <f t="shared" si="9"/>
        <v>#VALUE!</v>
      </c>
      <c r="R21" s="50">
        <f t="shared" si="10"/>
        <v>22</v>
      </c>
      <c r="S21" s="50" t="str">
        <f>IFERROR(VLOOKUP(MID(N21,Q21,R21-Q21),[6]skilldef!$C:$D,2,FALSE),"-") &amp; " / " &amp; IFERROR(VLOOKUP(MID(N21,O21,P21-O21),[6]skilldef!$A:$B,2,FALSE),"-")</f>
        <v>- / 連続攻撃</v>
      </c>
      <c r="T21" s="35" t="str">
        <f t="shared" si="11"/>
        <v>none</v>
      </c>
      <c r="U21" s="50" t="e">
        <f t="shared" si="12"/>
        <v>#VALUE!</v>
      </c>
      <c r="V21" s="50">
        <f t="shared" si="13"/>
        <v>4</v>
      </c>
      <c r="W21" s="50" t="e">
        <f t="shared" si="14"/>
        <v>#VALUE!</v>
      </c>
      <c r="X21" s="50" t="e">
        <f t="shared" si="15"/>
        <v>#VALUE!</v>
      </c>
      <c r="Y21" s="50" t="str">
        <f>IFERROR(VLOOKUP(MID(T21,W21,X21-W21),[6]skilldef!$C:$D,2,FALSE),"-") &amp; " / " &amp; IFERROR(VLOOKUP(MID(T21,U21,V21-U21),[6]skilldef!$A:$B,2,FALSE),"-")</f>
        <v>- / -</v>
      </c>
      <c r="Z21" s="37"/>
      <c r="AA21" s="39"/>
      <c r="AB21" s="37"/>
    </row>
    <row r="22" spans="1:28" ht="21" customHeight="1" x14ac:dyDescent="0.15">
      <c r="A22" s="34">
        <f t="shared" si="0"/>
        <v>41003021</v>
      </c>
      <c r="B22" s="34" t="s">
        <v>298</v>
      </c>
      <c r="C22" s="37">
        <v>3</v>
      </c>
      <c r="D22" s="37" t="s">
        <v>230</v>
      </c>
      <c r="E22" s="38" t="s">
        <v>271</v>
      </c>
      <c r="F22" s="38" t="s">
        <v>272</v>
      </c>
      <c r="G22" s="50" t="str">
        <f>IFERROR(LEFT(B22,FIND("],",B22)),B22)</f>
        <v xml:space="preserve">[effect:break_attack, val:0.2, lowest_val:7000, count:-1, block:crash, target:unit_one]    </v>
      </c>
      <c r="H22" s="50">
        <f>FIND("effect:",G22)+7</f>
        <v>9</v>
      </c>
      <c r="I22" s="50">
        <f>IFERROR(FIND(",",G22),LEN(G22))</f>
        <v>21</v>
      </c>
      <c r="J22" s="50">
        <f>FIND("target:",G22)+7</f>
        <v>79</v>
      </c>
      <c r="K22" s="50">
        <f>FIND(",",G22,I22+1)</f>
        <v>30</v>
      </c>
      <c r="L22" s="50" t="str">
        <f>IFERROR(VLOOKUP(MID(G22,J22,K22-J22),[6]skilldef!$C:$D,2,FALSE),"-") &amp; " / " &amp; IFERROR(VLOOKUP(MID(G22,H22,I22-H22),[6]skilldef!$A:$B,2,FALSE),"-")</f>
        <v>- / -</v>
      </c>
      <c r="M22" s="50" t="str">
        <f t="shared" ref="M22" si="26">IFERROR(RIGHT(B22,LEN(B22)-FIND("],",B22)-1),"none")</f>
        <v>none</v>
      </c>
      <c r="N22" s="35" t="str">
        <f>IFERROR(LEFT(M22,FIND("],",M22)+S36),M22)</f>
        <v>none</v>
      </c>
      <c r="O22" s="50" t="e">
        <f t="shared" ref="O22" si="27">FIND("effect:",N22)+7</f>
        <v>#VALUE!</v>
      </c>
      <c r="P22" s="50">
        <f t="shared" ref="P22" si="28">IFERROR(FIND(",",N22),LEN(N22))</f>
        <v>4</v>
      </c>
      <c r="Q22" s="50" t="e">
        <f t="shared" ref="Q22" si="29">FIND("target:",N22)+7</f>
        <v>#VALUE!</v>
      </c>
      <c r="R22" s="50" t="e">
        <f t="shared" ref="R22" si="30">FIND(",",N22,P22+1)</f>
        <v>#VALUE!</v>
      </c>
      <c r="S22" s="50" t="str">
        <f>IFERROR(VLOOKUP(MID(N22,Q22,R22-Q22),[6]skilldef!$C:$D,2,FALSE),"-") &amp; " / " &amp; IFERROR(VLOOKUP(MID(N22,O22,P22-O22),[6]skilldef!$A:$B,2,FALSE),"-")</f>
        <v>- / -</v>
      </c>
      <c r="T22" s="35" t="str">
        <f t="shared" ref="T22" si="31">IFERROR(RIGHT(M22,LEN(M22)-FIND("],",M22)-1),"none")</f>
        <v>none</v>
      </c>
      <c r="U22" s="50" t="e">
        <f t="shared" ref="U22" si="32">FIND("effect:",T22)+7</f>
        <v>#VALUE!</v>
      </c>
      <c r="V22" s="50">
        <f t="shared" ref="V22" si="33">IFERROR(FIND(",",T22),LEN(T22))</f>
        <v>4</v>
      </c>
      <c r="W22" s="50" t="e">
        <f t="shared" ref="W22" si="34">FIND("target:",T22)+7</f>
        <v>#VALUE!</v>
      </c>
      <c r="X22" s="50" t="e">
        <f t="shared" ref="X22" si="35">FIND(",",T22,V22+1)</f>
        <v>#VALUE!</v>
      </c>
      <c r="Y22" s="50" t="str">
        <f>IFERROR(VLOOKUP(MID(T22,W22,X22-W22),[6]skilldef!$C:$D,2,FALSE),"-") &amp; " / " &amp; IFERROR(VLOOKUP(MID(T22,U22,V22-U22),[6]skilldef!$A:$B,2,FALSE),"-")</f>
        <v>- / -</v>
      </c>
      <c r="Z22" s="37"/>
      <c r="AA22" s="39"/>
      <c r="AB22" s="37"/>
    </row>
    <row r="23" spans="1:28" ht="21" customHeight="1" x14ac:dyDescent="0.15">
      <c r="A23" s="34">
        <f t="shared" si="0"/>
        <v>41003022</v>
      </c>
      <c r="B23" s="34" t="s">
        <v>257</v>
      </c>
      <c r="C23" s="37">
        <v>3</v>
      </c>
      <c r="D23" s="37" t="s">
        <v>258</v>
      </c>
      <c r="E23" s="38" t="s">
        <v>259</v>
      </c>
      <c r="F23" s="38" t="s">
        <v>241</v>
      </c>
      <c r="G23" s="50" t="str">
        <f t="shared" si="1"/>
        <v>[effect:rush, count:6, val:0.3]</v>
      </c>
      <c r="H23" s="50">
        <f t="shared" si="2"/>
        <v>9</v>
      </c>
      <c r="I23" s="50">
        <f t="shared" si="3"/>
        <v>13</v>
      </c>
      <c r="J23" s="50" t="e">
        <f>FIND("target:",G23)+7</f>
        <v>#VALUE!</v>
      </c>
      <c r="K23" s="50">
        <f t="shared" si="5"/>
        <v>22</v>
      </c>
      <c r="L23" s="50" t="str">
        <f>IFERROR(VLOOKUP(MID(G23,J23,K23-J23),[6]skilldef!$C:$D,2,FALSE),"-") &amp; " / " &amp; IFERROR(VLOOKUP(MID(G23,H23,I23-H23),[6]skilldef!$A:$B,2,FALSE),"-")</f>
        <v>- / 連続攻撃</v>
      </c>
      <c r="M23" s="50" t="str">
        <f t="shared" si="6"/>
        <v>none</v>
      </c>
      <c r="N23" s="35" t="str">
        <f>IFERROR(LEFT(M23,FIND("],",M23)+S37),M23)</f>
        <v>none</v>
      </c>
      <c r="O23" s="50" t="e">
        <f t="shared" si="7"/>
        <v>#VALUE!</v>
      </c>
      <c r="P23" s="50">
        <f t="shared" si="8"/>
        <v>4</v>
      </c>
      <c r="Q23" s="50" t="e">
        <f t="shared" si="9"/>
        <v>#VALUE!</v>
      </c>
      <c r="R23" s="50" t="e">
        <f t="shared" si="10"/>
        <v>#VALUE!</v>
      </c>
      <c r="S23" s="50" t="str">
        <f>IFERROR(VLOOKUP(MID(N23,Q23,R23-Q23),[6]skilldef!$C:$D,2,FALSE),"-") &amp; " / " &amp; IFERROR(VLOOKUP(MID(N23,O23,P23-O23),[6]skilldef!$A:$B,2,FALSE),"-")</f>
        <v>- / -</v>
      </c>
      <c r="T23" s="35" t="str">
        <f t="shared" si="11"/>
        <v>none</v>
      </c>
      <c r="U23" s="50" t="e">
        <f t="shared" si="12"/>
        <v>#VALUE!</v>
      </c>
      <c r="V23" s="50">
        <f t="shared" si="13"/>
        <v>4</v>
      </c>
      <c r="W23" s="50" t="e">
        <f t="shared" si="14"/>
        <v>#VALUE!</v>
      </c>
      <c r="X23" s="50" t="e">
        <f t="shared" si="15"/>
        <v>#VALUE!</v>
      </c>
      <c r="Y23" s="50" t="str">
        <f>IFERROR(VLOOKUP(MID(T23,W23,X23-W23),[6]skilldef!$C:$D,2,FALSE),"-") &amp; " / " &amp; IFERROR(VLOOKUP(MID(T23,U23,V23-U23),[6]skilldef!$A:$B,2,FALSE),"-")</f>
        <v>- / -</v>
      </c>
      <c r="Z23" s="37"/>
      <c r="AA23" s="39"/>
      <c r="AB23" s="37"/>
    </row>
    <row r="24" spans="1:28" ht="21" customHeight="1" x14ac:dyDescent="0.15">
      <c r="A24" s="34">
        <f t="shared" si="0"/>
        <v>41003023</v>
      </c>
      <c r="B24" s="34" t="s">
        <v>232</v>
      </c>
      <c r="C24" s="37">
        <v>3</v>
      </c>
      <c r="D24" s="37" t="s">
        <v>260</v>
      </c>
      <c r="E24" s="34" t="s">
        <v>242</v>
      </c>
      <c r="F24" s="38" t="s">
        <v>243</v>
      </c>
      <c r="G24" s="50" t="str">
        <f t="shared" si="1"/>
        <v>[effect:nothing]</v>
      </c>
      <c r="H24" s="50">
        <f t="shared" si="2"/>
        <v>9</v>
      </c>
      <c r="I24" s="50">
        <f t="shared" si="3"/>
        <v>16</v>
      </c>
      <c r="J24" s="50" t="e">
        <f>FIND("target:",G24)+7</f>
        <v>#VALUE!</v>
      </c>
      <c r="K24" s="50" t="e">
        <f>FIND(",",G24,I24+1)</f>
        <v>#VALUE!</v>
      </c>
      <c r="L24" s="50" t="str">
        <f>IFERROR(VLOOKUP(MID(G24,J24,K24-J24),[6]skilldef!$C:$D,2,FALSE),"-") &amp; " / " &amp; IFERROR(VLOOKUP(MID(G24,H24,I24-H24),[6]skilldef!$A:$B,2,FALSE),"-")</f>
        <v>- / 何もしない</v>
      </c>
      <c r="M24" s="50" t="str">
        <f t="shared" si="6"/>
        <v>none</v>
      </c>
      <c r="N24" s="35" t="str">
        <f>IFERROR(LEFT(M24,FIND("],",M24)+S38),M24)</f>
        <v>none</v>
      </c>
      <c r="O24" s="50" t="e">
        <f t="shared" si="7"/>
        <v>#VALUE!</v>
      </c>
      <c r="P24" s="50">
        <f t="shared" si="8"/>
        <v>4</v>
      </c>
      <c r="Q24" s="50" t="e">
        <f t="shared" si="9"/>
        <v>#VALUE!</v>
      </c>
      <c r="R24" s="50" t="e">
        <f t="shared" si="10"/>
        <v>#VALUE!</v>
      </c>
      <c r="S24" s="50" t="str">
        <f>IFERROR(VLOOKUP(MID(N24,Q24,R24-Q24),[6]skilldef!$C:$D,2,FALSE),"-") &amp; " / " &amp; IFERROR(VLOOKUP(MID(N24,O24,P24-O24),[6]skilldef!$A:$B,2,FALSE),"-")</f>
        <v>- / -</v>
      </c>
      <c r="T24" s="35" t="str">
        <f t="shared" si="11"/>
        <v>none</v>
      </c>
      <c r="U24" s="50" t="e">
        <f t="shared" si="12"/>
        <v>#VALUE!</v>
      </c>
      <c r="V24" s="50">
        <f t="shared" si="13"/>
        <v>4</v>
      </c>
      <c r="W24" s="50" t="e">
        <f t="shared" si="14"/>
        <v>#VALUE!</v>
      </c>
      <c r="X24" s="50" t="e">
        <f t="shared" si="15"/>
        <v>#VALUE!</v>
      </c>
      <c r="Y24" s="50" t="str">
        <f>IFERROR(VLOOKUP(MID(T24,W24,X24-W24),[6]skilldef!$C:$D,2,FALSE),"-") &amp; " / " &amp; IFERROR(VLOOKUP(MID(T24,U24,V24-U24),[6]skilldef!$A:$B,2,FALSE),"-")</f>
        <v>- / -</v>
      </c>
      <c r="Z24" s="37"/>
      <c r="AA24" s="39"/>
      <c r="AB24" s="37"/>
    </row>
    <row r="25" spans="1:28" ht="21" customHeight="1" x14ac:dyDescent="0.15">
      <c r="A25" s="34">
        <f t="shared" si="0"/>
        <v>41003024</v>
      </c>
      <c r="B25" s="34" t="s">
        <v>261</v>
      </c>
      <c r="C25" s="37">
        <v>3</v>
      </c>
      <c r="D25" s="37" t="s">
        <v>262</v>
      </c>
      <c r="E25" s="37" t="s">
        <v>244</v>
      </c>
      <c r="F25" s="37" t="s">
        <v>303</v>
      </c>
      <c r="G25" s="50" t="str">
        <f t="shared" si="1"/>
        <v>[effect:crash_condition, target:unit_all, val:4, turn:5, animation:enemy_crash_extend]</v>
      </c>
      <c r="H25" s="50">
        <f t="shared" si="2"/>
        <v>9</v>
      </c>
      <c r="I25" s="50">
        <f t="shared" si="3"/>
        <v>24</v>
      </c>
      <c r="J25" s="50">
        <f t="shared" si="4"/>
        <v>33</v>
      </c>
      <c r="K25" s="50">
        <f t="shared" si="5"/>
        <v>41</v>
      </c>
      <c r="L25" s="50" t="str">
        <f>IFERROR(VLOOKUP(MID(G25,J25,K25-J25),[6]skilldef!$C:$D,2,FALSE),"-") &amp; " / " &amp; IFERROR(VLOOKUP(MID(G25,H25,I25-H25),[6]skilldef!$A:$B,2,FALSE),"-")</f>
        <v>味方全体に / -</v>
      </c>
      <c r="M25" s="50" t="str">
        <f t="shared" si="6"/>
        <v>none</v>
      </c>
      <c r="N25" s="35" t="str">
        <f>IFERROR(LEFT(M25,FIND("],",M25)+S39),M25)</f>
        <v>none</v>
      </c>
      <c r="O25" s="50" t="e">
        <f t="shared" si="7"/>
        <v>#VALUE!</v>
      </c>
      <c r="P25" s="50">
        <f t="shared" si="8"/>
        <v>4</v>
      </c>
      <c r="Q25" s="50" t="e">
        <f t="shared" si="9"/>
        <v>#VALUE!</v>
      </c>
      <c r="R25" s="50" t="e">
        <f t="shared" si="10"/>
        <v>#VALUE!</v>
      </c>
      <c r="S25" s="50" t="str">
        <f>IFERROR(VLOOKUP(MID(N25,Q25,R25-Q25),[6]skilldef!$C:$D,2,FALSE),"-") &amp; " / " &amp; IFERROR(VLOOKUP(MID(N25,O25,P25-O25),[6]skilldef!$A:$B,2,FALSE),"-")</f>
        <v>- / -</v>
      </c>
      <c r="T25" s="35" t="str">
        <f t="shared" si="11"/>
        <v>none</v>
      </c>
      <c r="U25" s="50" t="e">
        <f t="shared" si="12"/>
        <v>#VALUE!</v>
      </c>
      <c r="V25" s="50">
        <f t="shared" si="13"/>
        <v>4</v>
      </c>
      <c r="W25" s="50" t="e">
        <f t="shared" si="14"/>
        <v>#VALUE!</v>
      </c>
      <c r="X25" s="50" t="e">
        <f t="shared" si="15"/>
        <v>#VALUE!</v>
      </c>
      <c r="Y25" s="50" t="str">
        <f>IFERROR(VLOOKUP(MID(T25,W25,X25-W25),[6]skilldef!$C:$D,2,FALSE),"-") &amp; " / " &amp; IFERROR(VLOOKUP(MID(T25,U25,V25-U25),[6]skilldef!$A:$B,2,FALSE),"-")</f>
        <v>- / -</v>
      </c>
      <c r="Z25" s="37"/>
      <c r="AA25" s="39"/>
      <c r="AB25" s="37"/>
    </row>
    <row r="26" spans="1:28" ht="21" customHeight="1" x14ac:dyDescent="0.15">
      <c r="A26" s="209">
        <f t="shared" si="0"/>
        <v>41003025</v>
      </c>
      <c r="B26" s="34" t="s">
        <v>290</v>
      </c>
      <c r="C26" s="37">
        <v>3</v>
      </c>
      <c r="D26" s="37" t="s">
        <v>230</v>
      </c>
      <c r="E26" s="34" t="s">
        <v>267</v>
      </c>
      <c r="F26" s="37" t="s">
        <v>304</v>
      </c>
      <c r="G26" s="50" t="str">
        <f t="shared" ref="G26" si="36">IFERROR(LEFT(B26,FIND("],",B26)),B26)</f>
        <v>[effect:crash_condition, target:unit_all, val:4, turn:4, animation:enemy_crash_extend]</v>
      </c>
      <c r="H26" s="50">
        <f t="shared" ref="H26" si="37">FIND("effect:",G26)+7</f>
        <v>9</v>
      </c>
      <c r="I26" s="50">
        <f t="shared" ref="I26" si="38">IFERROR(FIND(",",G26),LEN(G26))</f>
        <v>24</v>
      </c>
      <c r="J26" s="50">
        <f t="shared" ref="J26" si="39">FIND("target:",G26)+7</f>
        <v>33</v>
      </c>
      <c r="K26" s="50">
        <f t="shared" ref="K26" si="40">FIND(",",G26,I26+1)</f>
        <v>41</v>
      </c>
      <c r="L26" s="50" t="str">
        <f>IFERROR(VLOOKUP(MID(G26,J26,K26-J26),[6]skilldef!$C:$D,2,FALSE),"-") &amp; " / " &amp; IFERROR(VLOOKUP(MID(G26,H26,I26-H26),[6]skilldef!$A:$B,2,FALSE),"-")</f>
        <v>味方全体に / -</v>
      </c>
      <c r="M26" s="50" t="str">
        <f t="shared" ref="M26" si="41">IFERROR(RIGHT(B26,LEN(B26)-FIND("],",B26)-1),"none")</f>
        <v>none</v>
      </c>
      <c r="N26" s="35" t="str">
        <f>IFERROR(LEFT(M26,FIND("],",M26)+S18),M26)</f>
        <v>none</v>
      </c>
      <c r="O26" s="50" t="e">
        <f t="shared" ref="O26" si="42">FIND("effect:",N26)+7</f>
        <v>#VALUE!</v>
      </c>
      <c r="P26" s="50">
        <f t="shared" ref="P26" si="43">IFERROR(FIND(",",N26),LEN(N26))</f>
        <v>4</v>
      </c>
      <c r="Q26" s="50" t="e">
        <f t="shared" ref="Q26" si="44">FIND("target:",N26)+7</f>
        <v>#VALUE!</v>
      </c>
      <c r="R26" s="50" t="e">
        <f t="shared" ref="R26" si="45">FIND(",",N26,P26+1)</f>
        <v>#VALUE!</v>
      </c>
      <c r="S26" s="50" t="str">
        <f>IFERROR(VLOOKUP(MID(N26,Q26,R26-Q26),[6]skilldef!$C:$D,2,FALSE),"-") &amp; " / " &amp; IFERROR(VLOOKUP(MID(N26,O26,P26-O26),[6]skilldef!$A:$B,2,FALSE),"-")</f>
        <v>- / -</v>
      </c>
      <c r="T26" s="35" t="str">
        <f t="shared" ref="T26" si="46">IFERROR(RIGHT(M26,LEN(M26)-FIND("],",M26)-1),"none")</f>
        <v>none</v>
      </c>
      <c r="U26" s="50" t="e">
        <f t="shared" ref="U26" si="47">FIND("effect:",T26)+7</f>
        <v>#VALUE!</v>
      </c>
      <c r="V26" s="50">
        <f t="shared" ref="V26" si="48">IFERROR(FIND(",",T26),LEN(T26))</f>
        <v>4</v>
      </c>
      <c r="W26" s="50" t="e">
        <f t="shared" ref="W26" si="49">FIND("target:",T26)+7</f>
        <v>#VALUE!</v>
      </c>
      <c r="X26" s="50" t="e">
        <f t="shared" ref="X26" si="50">FIND(",",T26,V26+1)</f>
        <v>#VALUE!</v>
      </c>
      <c r="Y26" s="50" t="str">
        <f>IFERROR(VLOOKUP(MID(T26,W26,X26-W26),[6]skilldef!$C:$D,2,FALSE),"-") &amp; " / " &amp; IFERROR(VLOOKUP(MID(T26,U26,V26-U26),[6]skilldef!$A:$B,2,FALSE),"-")</f>
        <v>- / -</v>
      </c>
      <c r="Z26" s="37"/>
      <c r="AA26" s="39"/>
      <c r="AB26" s="37"/>
    </row>
    <row r="27" spans="1:28" ht="21" customHeight="1" x14ac:dyDescent="0.15">
      <c r="A27" s="209">
        <f t="shared" si="0"/>
        <v>41003026</v>
      </c>
      <c r="B27" s="87" t="s">
        <v>283</v>
      </c>
      <c r="C27" s="37">
        <v>3</v>
      </c>
      <c r="D27" s="37" t="s">
        <v>230</v>
      </c>
      <c r="E27" s="88" t="s">
        <v>268</v>
      </c>
      <c r="F27" s="38" t="s">
        <v>306</v>
      </c>
      <c r="G27" s="50" t="str">
        <f>IFERROR(LEFT(B27,FIND("],",B27)),B27)</f>
        <v>[effect:degrade_unit, target:unit_all, turn:5, status:action, val:2.0,animation:enemy_tap_down]</v>
      </c>
      <c r="H27" s="50">
        <f>FIND("effect:",G27)+7</f>
        <v>9</v>
      </c>
      <c r="I27" s="50">
        <f>IFERROR(FIND(",",G27),LEN(G27))</f>
        <v>21</v>
      </c>
      <c r="J27" s="50">
        <f>FIND("target:",G27)+7</f>
        <v>30</v>
      </c>
      <c r="K27" s="50">
        <f>FIND(",",G27,I27+1)</f>
        <v>38</v>
      </c>
      <c r="L27" s="50" t="str">
        <f>IFERROR(VLOOKUP(MID(G27,J27,K27-J27),[6]skilldef!$C:$D,2,FALSE),"-") &amp; " / " &amp; IFERROR(VLOOKUP(MID(G27,H27,I27-H27),[6]skilldef!$A:$B,2,FALSE),"-")</f>
        <v>味方全体に / ステータスDOWN</v>
      </c>
      <c r="M27" s="50" t="str">
        <f>IFERROR(RIGHT(B27,LEN(B27)-FIND("],",B27)-1),"none")</f>
        <v xml:space="preserve">[effect:hungup, target:unit_one, turn:3, rate:1, animation:hungup03]    </v>
      </c>
      <c r="N27" s="35" t="str">
        <f>IFERROR(LEFT(M27,FIND("],",M27)+S31),M27)</f>
        <v xml:space="preserve">[effect:hungup, target:unit_one, turn:3, rate:1, animation:hungup03]    </v>
      </c>
      <c r="O27" s="50">
        <f>FIND("effect:",N27)+7</f>
        <v>9</v>
      </c>
      <c r="P27" s="50">
        <f>IFERROR(FIND(",",N27),LEN(N27))</f>
        <v>15</v>
      </c>
      <c r="Q27" s="50">
        <f>FIND("target:",N27)+7</f>
        <v>24</v>
      </c>
      <c r="R27" s="50">
        <f>FIND(",",N27,P27+1)</f>
        <v>32</v>
      </c>
      <c r="S27" s="50" t="str">
        <f>IFERROR(VLOOKUP(MID(N27,Q27,R27-Q27),[6]skilldef!$C:$D,2,FALSE),"-") &amp; " / " &amp; IFERROR(VLOOKUP(MID(N27,O27,P27-O27),[6]skilldef!$A:$B,2,FALSE),"-")</f>
        <v>味方単体に / ハングアップ</v>
      </c>
      <c r="T27" s="35" t="str">
        <f>IFERROR(RIGHT(M27,LEN(M27)-FIND("],",M27)-1),"none")</f>
        <v>none</v>
      </c>
      <c r="U27" s="50" t="e">
        <f>FIND("effect:",T27)+7</f>
        <v>#VALUE!</v>
      </c>
      <c r="V27" s="50">
        <f>IFERROR(FIND(",",T27),LEN(T27))</f>
        <v>4</v>
      </c>
      <c r="W27" s="50" t="e">
        <f>FIND("target:",T27)+7</f>
        <v>#VALUE!</v>
      </c>
      <c r="X27" s="50" t="e">
        <f>FIND(",",T27,V27+1)</f>
        <v>#VALUE!</v>
      </c>
      <c r="Y27" s="50" t="str">
        <f>IFERROR(VLOOKUP(MID(T27,W27,X27-W27),[6]skilldef!$C:$D,2,FALSE),"-") &amp; " / " &amp; IFERROR(VLOOKUP(MID(T27,U27,V27-U27),[6]skilldef!$A:$B,2,FALSE),"-")</f>
        <v>- / -</v>
      </c>
      <c r="Z27" s="37"/>
      <c r="AA27" s="39"/>
      <c r="AB27" s="37"/>
    </row>
    <row r="28" spans="1:28" ht="21" customHeight="1" x14ac:dyDescent="0.15">
      <c r="A28" s="209">
        <f t="shared" si="0"/>
        <v>41003027</v>
      </c>
      <c r="B28" s="34" t="s">
        <v>287</v>
      </c>
      <c r="C28" s="37">
        <v>3</v>
      </c>
      <c r="D28" s="37" t="s">
        <v>230</v>
      </c>
      <c r="E28" s="38" t="s">
        <v>270</v>
      </c>
      <c r="F28" s="38" t="s">
        <v>269</v>
      </c>
      <c r="G28" s="50" t="str">
        <f>IFERROR(LEFT(B28,FIND("],",B28)),B28)</f>
        <v>[effect:force_change_block, new_block:time_bomb, target:block_blue, count:0, val:0.3, animation:change_block]</v>
      </c>
      <c r="H28" s="50">
        <f t="shared" ref="H28" si="51">FIND("effect:",G28)+7</f>
        <v>9</v>
      </c>
      <c r="I28" s="50">
        <f>IFERROR(FIND(",",G28),LEN(G28))</f>
        <v>27</v>
      </c>
      <c r="J28" s="50">
        <f>FIND("target:",G28)+7</f>
        <v>57</v>
      </c>
      <c r="K28" s="50">
        <f>FIND(",",G28,I28+1)</f>
        <v>48</v>
      </c>
      <c r="L28" s="50" t="str">
        <f>IFERROR(VLOOKUP(MID(G28,J28,K28-J28),[6]skilldef!$C:$D,2,FALSE),"-") &amp; " / " &amp; IFERROR(VLOOKUP(MID(G28,H28,I28-H28),[6]skilldef!$A:$B,2,FALSE),"-")</f>
        <v>- / -</v>
      </c>
      <c r="M28" s="50" t="str">
        <f t="shared" ref="M28" si="52">IFERROR(RIGHT(B28,LEN(B28)-FIND("],",B28)-1),"none")</f>
        <v xml:space="preserve">[effect:rush, count:1, val:1]  </v>
      </c>
      <c r="N28" s="35" t="str">
        <f>IFERROR(LEFT(M28,FIND("],",M28)+S31),M28)</f>
        <v xml:space="preserve">[effect:rush, count:1, val:1]  </v>
      </c>
      <c r="O28" s="50">
        <f t="shared" ref="O28" si="53">FIND("effect:",N28)+7</f>
        <v>9</v>
      </c>
      <c r="P28" s="50">
        <f t="shared" ref="P28" si="54">IFERROR(FIND(",",N28),LEN(N28))</f>
        <v>13</v>
      </c>
      <c r="Q28" s="50" t="e">
        <f t="shared" ref="Q28" si="55">FIND("target:",N28)+7</f>
        <v>#VALUE!</v>
      </c>
      <c r="R28" s="50">
        <f t="shared" ref="R28" si="56">FIND(",",N28,P28+1)</f>
        <v>22</v>
      </c>
      <c r="S28" s="50" t="str">
        <f>IFERROR(VLOOKUP(MID(N28,Q28,R28-Q28),[6]skilldef!$C:$D,2,FALSE),"-") &amp; " / " &amp; IFERROR(VLOOKUP(MID(N28,O28,P28-O28),[6]skilldef!$A:$B,2,FALSE),"-")</f>
        <v>- / 連続攻撃</v>
      </c>
      <c r="T28" s="35" t="str">
        <f t="shared" ref="T28" si="57">IFERROR(RIGHT(M28,LEN(M28)-FIND("],",M28)-1),"none")</f>
        <v>none</v>
      </c>
      <c r="U28" s="50" t="e">
        <f t="shared" ref="U28" si="58">FIND("effect:",T28)+7</f>
        <v>#VALUE!</v>
      </c>
      <c r="V28" s="50">
        <f t="shared" ref="V28" si="59">IFERROR(FIND(",",T28),LEN(T28))</f>
        <v>4</v>
      </c>
      <c r="W28" s="50" t="e">
        <f t="shared" ref="W28" si="60">FIND("target:",T28)+7</f>
        <v>#VALUE!</v>
      </c>
      <c r="X28" s="50" t="e">
        <f t="shared" ref="X28" si="61">FIND(",",T28,V28+1)</f>
        <v>#VALUE!</v>
      </c>
      <c r="Y28" s="50" t="str">
        <f>IFERROR(VLOOKUP(MID(T28,W28,X28-W28),[6]skilldef!$C:$D,2,FALSE),"-") &amp; " / " &amp; IFERROR(VLOOKUP(MID(T28,U28,V28-U28),[6]skilldef!$A:$B,2,FALSE),"-")</f>
        <v>- / -</v>
      </c>
      <c r="Z28" s="37"/>
      <c r="AA28" s="39"/>
      <c r="AB28" s="37"/>
    </row>
    <row r="29" spans="1:28" ht="21" customHeight="1" x14ac:dyDescent="0.15">
      <c r="A29" s="209">
        <f t="shared" si="0"/>
        <v>41003028</v>
      </c>
      <c r="B29" s="34" t="s">
        <v>288</v>
      </c>
      <c r="C29" s="37">
        <v>3</v>
      </c>
      <c r="D29" s="37" t="s">
        <v>230</v>
      </c>
      <c r="E29" s="34" t="s">
        <v>273</v>
      </c>
      <c r="F29" s="38" t="s">
        <v>311</v>
      </c>
      <c r="G29" s="50" t="str">
        <f>IFERROR(LEFT(B29,FIND("],",B29)),B29)</f>
        <v xml:space="preserve">[effect:enhance_enemy, target:enemy_one, turn:4, status:attack, val:5000, calc:add, animation:enemy_enhance_attack]    </v>
      </c>
      <c r="H29" s="50">
        <f>FIND("effect:",G29)+7</f>
        <v>9</v>
      </c>
      <c r="I29" s="50">
        <f>IFERROR(FIND(",",G29),LEN(G29))</f>
        <v>22</v>
      </c>
      <c r="J29" s="50">
        <f>FIND("target:",G29)+7</f>
        <v>31</v>
      </c>
      <c r="K29" s="50">
        <f>FIND(",",G29,I29+1)</f>
        <v>40</v>
      </c>
      <c r="L29" s="50" t="str">
        <f>IFERROR(VLOOKUP(MID(G29,J29,K29-J29),[6]skilldef!$C:$D,2,FALSE),"-") &amp; " / " &amp; IFERROR(VLOOKUP(MID(G29,H29,I29-H29),[6]skilldef!$A:$B,2,FALSE),"-")</f>
        <v>敵単体に / ステータス強化</v>
      </c>
      <c r="M29" s="50" t="str">
        <f t="shared" ref="M29:M30" si="62">IFERROR(RIGHT(B29,LEN(B29)-FIND("],",B29)-1),"none")</f>
        <v>none</v>
      </c>
      <c r="N29" s="35" t="str">
        <f>IFERROR(LEFT(M29,FIND("],",M29)+S37),M29)</f>
        <v>none</v>
      </c>
      <c r="O29" s="50" t="e">
        <f t="shared" ref="O29:O30" si="63">FIND("effect:",N29)+7</f>
        <v>#VALUE!</v>
      </c>
      <c r="P29" s="50">
        <f t="shared" ref="P29:P30" si="64">IFERROR(FIND(",",N29),LEN(N29))</f>
        <v>4</v>
      </c>
      <c r="Q29" s="50" t="e">
        <f t="shared" ref="Q29:Q30" si="65">FIND("target:",N29)+7</f>
        <v>#VALUE!</v>
      </c>
      <c r="R29" s="50" t="e">
        <f t="shared" ref="R29:R30" si="66">FIND(",",N29,P29+1)</f>
        <v>#VALUE!</v>
      </c>
      <c r="S29" s="50" t="str">
        <f>IFERROR(VLOOKUP(MID(N29,Q29,R29-Q29),[6]skilldef!$C:$D,2,FALSE),"-") &amp; " / " &amp; IFERROR(VLOOKUP(MID(N29,O29,P29-O29),[6]skilldef!$A:$B,2,FALSE),"-")</f>
        <v>- / -</v>
      </c>
      <c r="T29" s="35" t="str">
        <f t="shared" ref="T29:T30" si="67">IFERROR(RIGHT(M29,LEN(M29)-FIND("],",M29)-1),"none")</f>
        <v>none</v>
      </c>
      <c r="U29" s="50" t="e">
        <f t="shared" ref="U29:U30" si="68">FIND("effect:",T29)+7</f>
        <v>#VALUE!</v>
      </c>
      <c r="V29" s="50">
        <f t="shared" ref="V29:V30" si="69">IFERROR(FIND(",",T29),LEN(T29))</f>
        <v>4</v>
      </c>
      <c r="W29" s="50" t="e">
        <f t="shared" ref="W29:W30" si="70">FIND("target:",T29)+7</f>
        <v>#VALUE!</v>
      </c>
      <c r="X29" s="50" t="e">
        <f t="shared" ref="X29:X30" si="71">FIND(",",T29,V29+1)</f>
        <v>#VALUE!</v>
      </c>
      <c r="Y29" s="50" t="str">
        <f>IFERROR(VLOOKUP(MID(T29,W29,X29-W29),[6]skilldef!$C:$D,2,FALSE),"-") &amp; " / " &amp; IFERROR(VLOOKUP(MID(T29,U29,V29-U29),[6]skilldef!$A:$B,2,FALSE),"-")</f>
        <v>- / -</v>
      </c>
      <c r="Z29" s="37"/>
      <c r="AA29" s="39"/>
      <c r="AB29" s="37"/>
    </row>
    <row r="30" spans="1:28" ht="21" customHeight="1" x14ac:dyDescent="0.15">
      <c r="A30" s="209">
        <f>A29+1</f>
        <v>41003029</v>
      </c>
      <c r="B30" s="34" t="s">
        <v>286</v>
      </c>
      <c r="C30" s="37">
        <v>3</v>
      </c>
      <c r="D30" s="37" t="s">
        <v>230</v>
      </c>
      <c r="E30" s="38" t="s">
        <v>256</v>
      </c>
      <c r="F30" s="38" t="s">
        <v>236</v>
      </c>
      <c r="G30" s="50" t="str">
        <f t="shared" ref="G30" si="72">IFERROR(LEFT(B30,FIND("],",B30)),B30)</f>
        <v>[effect:critical, val:2.5, animation:enemy_critical]</v>
      </c>
      <c r="H30" s="50">
        <f t="shared" ref="H30" si="73">FIND("effect:",G30)+7</f>
        <v>9</v>
      </c>
      <c r="I30" s="50">
        <f t="shared" ref="I30" si="74">IFERROR(FIND(",",G30),LEN(G30))</f>
        <v>17</v>
      </c>
      <c r="J30" s="50" t="e">
        <f t="shared" ref="J30" si="75">FIND("target:",G30)+7</f>
        <v>#VALUE!</v>
      </c>
      <c r="K30" s="50">
        <f t="shared" ref="K30" si="76">FIND(",",G30,I30+1)</f>
        <v>26</v>
      </c>
      <c r="L30" s="50" t="str">
        <f>IFERROR(VLOOKUP(MID(G30,J30,K30-J30),[6]skilldef!$C:$D,2,FALSE),"-") &amp; " / " &amp; IFERROR(VLOOKUP(MID(G30,H30,I30-H30),[6]skilldef!$A:$B,2,FALSE),"-")</f>
        <v>- / 大攻撃</v>
      </c>
      <c r="M30" s="50" t="str">
        <f t="shared" si="62"/>
        <v>none</v>
      </c>
      <c r="N30" s="35" t="str">
        <f>IFERROR(LEFT(M30,FIND("],",M30)+S45),M30)</f>
        <v>none</v>
      </c>
      <c r="O30" s="50" t="e">
        <f t="shared" si="63"/>
        <v>#VALUE!</v>
      </c>
      <c r="P30" s="50">
        <f t="shared" si="64"/>
        <v>4</v>
      </c>
      <c r="Q30" s="50" t="e">
        <f t="shared" si="65"/>
        <v>#VALUE!</v>
      </c>
      <c r="R30" s="50" t="e">
        <f t="shared" si="66"/>
        <v>#VALUE!</v>
      </c>
      <c r="S30" s="50" t="str">
        <f>IFERROR(VLOOKUP(MID(N30,Q30,R30-Q30),[6]skilldef!$C:$D,2,FALSE),"-") &amp; " / " &amp; IFERROR(VLOOKUP(MID(N30,O30,P30-O30),[6]skilldef!$A:$B,2,FALSE),"-")</f>
        <v>- / -</v>
      </c>
      <c r="T30" s="35" t="str">
        <f t="shared" si="67"/>
        <v>none</v>
      </c>
      <c r="U30" s="50" t="e">
        <f t="shared" si="68"/>
        <v>#VALUE!</v>
      </c>
      <c r="V30" s="50">
        <f t="shared" si="69"/>
        <v>4</v>
      </c>
      <c r="W30" s="50" t="e">
        <f t="shared" si="70"/>
        <v>#VALUE!</v>
      </c>
      <c r="X30" s="50" t="e">
        <f t="shared" si="71"/>
        <v>#VALUE!</v>
      </c>
      <c r="Y30" s="50" t="str">
        <f>IFERROR(VLOOKUP(MID(T30,W30,X30-W30),[6]skilldef!$C:$D,2,FALSE),"-") &amp; " / " &amp; IFERROR(VLOOKUP(MID(T30,U30,V30-U30),[6]skilldef!$A:$B,2,FALSE),"-")</f>
        <v>- / -</v>
      </c>
      <c r="Z30" s="37"/>
      <c r="AA30" s="39"/>
      <c r="AB30" s="37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4"/>
  <sheetViews>
    <sheetView showGridLines="0" topLeftCell="B1" zoomScale="125" zoomScaleNormal="125" zoomScalePageLayoutView="125" workbookViewId="0">
      <pane ySplit="1" topLeftCell="A2" activePane="bottomLeft" state="frozenSplit"/>
      <selection pane="bottomLeft" activeCell="I10" sqref="I10"/>
    </sheetView>
  </sheetViews>
  <sheetFormatPr baseColWidth="12" defaultColWidth="12.83203125" defaultRowHeight="21" customHeight="1" x14ac:dyDescent="0.15"/>
  <cols>
    <col min="1" max="1" width="16.1640625" style="36" bestFit="1" customWidth="1"/>
    <col min="2" max="2" width="13.33203125" style="36" bestFit="1" customWidth="1"/>
    <col min="3" max="3" width="11.83203125" style="36" bestFit="1" customWidth="1"/>
    <col min="4" max="4" width="14.6640625" style="36" bestFit="1" customWidth="1"/>
    <col min="5" max="5" width="15.6640625" style="36" bestFit="1" customWidth="1"/>
    <col min="6" max="6" width="17" style="36" bestFit="1" customWidth="1"/>
    <col min="7" max="7" width="15.6640625" style="36" bestFit="1" customWidth="1"/>
    <col min="8" max="9" width="14.6640625" style="36" customWidth="1"/>
    <col min="10" max="10" width="14.6640625" style="36" bestFit="1" customWidth="1"/>
    <col min="11" max="11" width="22.83203125" style="27" bestFit="1" customWidth="1"/>
    <col min="12" max="16384" width="12.83203125" style="32"/>
  </cols>
  <sheetData>
    <row r="1" spans="1:11" ht="21" customHeight="1" x14ac:dyDescent="0.15">
      <c r="A1" s="30" t="s">
        <v>83</v>
      </c>
      <c r="B1" s="30" t="s">
        <v>84</v>
      </c>
      <c r="C1" s="30" t="s">
        <v>85</v>
      </c>
      <c r="D1" s="30" t="s">
        <v>86</v>
      </c>
      <c r="E1" s="30" t="s">
        <v>69</v>
      </c>
      <c r="F1" s="40" t="s">
        <v>70</v>
      </c>
      <c r="G1" s="40" t="s">
        <v>71</v>
      </c>
      <c r="H1" s="30" t="s">
        <v>72</v>
      </c>
      <c r="I1" s="30" t="s">
        <v>73</v>
      </c>
      <c r="J1" s="30" t="s">
        <v>74</v>
      </c>
      <c r="K1" s="41" t="s">
        <v>87</v>
      </c>
    </row>
    <row r="2" spans="1:11" ht="21" customHeight="1" x14ac:dyDescent="0.15">
      <c r="A2" s="34">
        <v>41003001</v>
      </c>
      <c r="B2" s="34">
        <v>0</v>
      </c>
      <c r="C2" s="34" t="s">
        <v>263</v>
      </c>
      <c r="D2" s="34">
        <v>40</v>
      </c>
      <c r="E2" s="34" t="s">
        <v>263</v>
      </c>
      <c r="F2" s="34" t="s">
        <v>263</v>
      </c>
      <c r="G2" s="34" t="s">
        <v>263</v>
      </c>
      <c r="H2" s="34" t="s">
        <v>263</v>
      </c>
      <c r="I2" s="34" t="s">
        <v>263</v>
      </c>
      <c r="J2" s="34">
        <f>D2</f>
        <v>40</v>
      </c>
    </row>
    <row r="3" spans="1:11" ht="21" customHeight="1" x14ac:dyDescent="0.15">
      <c r="A3" s="34">
        <v>41003002</v>
      </c>
      <c r="B3" s="34">
        <v>0</v>
      </c>
      <c r="C3" s="34" t="s">
        <v>263</v>
      </c>
      <c r="D3" s="34">
        <v>50</v>
      </c>
      <c r="E3" s="34" t="s">
        <v>263</v>
      </c>
      <c r="F3" s="34" t="s">
        <v>263</v>
      </c>
      <c r="G3" s="34">
        <v>2</v>
      </c>
      <c r="H3" s="34" t="s">
        <v>263</v>
      </c>
      <c r="I3" s="34" t="s">
        <v>263</v>
      </c>
      <c r="J3" s="34">
        <f>D3</f>
        <v>50</v>
      </c>
    </row>
    <row r="4" spans="1:11" ht="21" customHeight="1" x14ac:dyDescent="0.15">
      <c r="A4" s="34">
        <v>41003003</v>
      </c>
      <c r="B4" s="34">
        <v>0</v>
      </c>
      <c r="C4" s="34" t="s">
        <v>263</v>
      </c>
      <c r="D4" s="34">
        <v>100</v>
      </c>
      <c r="E4" s="34">
        <v>10</v>
      </c>
      <c r="F4" s="34" t="s">
        <v>263</v>
      </c>
      <c r="G4" s="34">
        <v>1</v>
      </c>
      <c r="H4" s="34" t="s">
        <v>263</v>
      </c>
      <c r="I4" s="34" t="s">
        <v>263</v>
      </c>
      <c r="J4" s="34">
        <f>D4</f>
        <v>100</v>
      </c>
    </row>
    <row r="5" spans="1:11" ht="21" customHeight="1" x14ac:dyDescent="0.15">
      <c r="A5" s="34">
        <v>41003004</v>
      </c>
      <c r="B5" s="34">
        <v>0</v>
      </c>
      <c r="C5" s="34" t="s">
        <v>263</v>
      </c>
      <c r="D5" s="34">
        <v>50</v>
      </c>
      <c r="E5" s="34" t="s">
        <v>263</v>
      </c>
      <c r="F5" s="34" t="s">
        <v>263</v>
      </c>
      <c r="G5" s="34" t="s">
        <v>263</v>
      </c>
      <c r="H5" s="34" t="s">
        <v>263</v>
      </c>
      <c r="I5" s="34" t="s">
        <v>263</v>
      </c>
      <c r="J5" s="34">
        <f t="shared" ref="J5:J22" si="0">D5</f>
        <v>50</v>
      </c>
    </row>
    <row r="6" spans="1:11" ht="21" customHeight="1" x14ac:dyDescent="0.15">
      <c r="A6" s="34">
        <v>41003005</v>
      </c>
      <c r="B6" s="34">
        <v>1</v>
      </c>
      <c r="C6" s="34" t="s">
        <v>263</v>
      </c>
      <c r="D6" s="34">
        <v>100</v>
      </c>
      <c r="E6" s="34" t="s">
        <v>263</v>
      </c>
      <c r="F6" s="34" t="s">
        <v>263</v>
      </c>
      <c r="G6" s="34">
        <v>1</v>
      </c>
      <c r="H6" s="34" t="s">
        <v>263</v>
      </c>
      <c r="I6" s="34" t="s">
        <v>263</v>
      </c>
      <c r="J6" s="34">
        <f t="shared" si="0"/>
        <v>100</v>
      </c>
    </row>
    <row r="7" spans="1:11" ht="21" customHeight="1" x14ac:dyDescent="0.15">
      <c r="A7" s="34">
        <v>41003006</v>
      </c>
      <c r="B7" s="34">
        <v>0</v>
      </c>
      <c r="C7" s="34" t="s">
        <v>263</v>
      </c>
      <c r="D7" s="34">
        <v>100</v>
      </c>
      <c r="E7" s="34">
        <v>50</v>
      </c>
      <c r="F7" s="34" t="s">
        <v>263</v>
      </c>
      <c r="G7" s="34" t="s">
        <v>167</v>
      </c>
      <c r="H7" s="34" t="s">
        <v>263</v>
      </c>
      <c r="I7" s="34" t="s">
        <v>263</v>
      </c>
      <c r="J7" s="34">
        <f t="shared" si="0"/>
        <v>100</v>
      </c>
    </row>
    <row r="8" spans="1:11" ht="21" customHeight="1" x14ac:dyDescent="0.15">
      <c r="A8" s="34">
        <v>41003007</v>
      </c>
      <c r="B8" s="34">
        <v>0</v>
      </c>
      <c r="C8" s="34" t="s">
        <v>263</v>
      </c>
      <c r="D8" s="34">
        <v>100</v>
      </c>
      <c r="E8" s="34">
        <v>70</v>
      </c>
      <c r="F8" s="34" t="s">
        <v>263</v>
      </c>
      <c r="G8" s="34" t="s">
        <v>263</v>
      </c>
      <c r="H8" s="34" t="s">
        <v>263</v>
      </c>
      <c r="I8" s="34" t="s">
        <v>263</v>
      </c>
      <c r="J8" s="34">
        <f t="shared" si="0"/>
        <v>100</v>
      </c>
    </row>
    <row r="9" spans="1:11" ht="21" customHeight="1" x14ac:dyDescent="0.15">
      <c r="A9" s="34">
        <v>41003008</v>
      </c>
      <c r="B9" s="34">
        <v>0</v>
      </c>
      <c r="C9" s="34" t="s">
        <v>263</v>
      </c>
      <c r="D9" s="34">
        <v>100</v>
      </c>
      <c r="E9" s="34">
        <v>90</v>
      </c>
      <c r="F9" s="34" t="s">
        <v>263</v>
      </c>
      <c r="G9" s="34" t="s">
        <v>263</v>
      </c>
      <c r="H9" s="34" t="s">
        <v>263</v>
      </c>
      <c r="I9" s="34" t="s">
        <v>263</v>
      </c>
      <c r="J9" s="34">
        <f t="shared" si="0"/>
        <v>100</v>
      </c>
    </row>
    <row r="10" spans="1:11" ht="21" customHeight="1" x14ac:dyDescent="0.15">
      <c r="A10" s="34">
        <v>41003009</v>
      </c>
      <c r="B10" s="34">
        <v>0</v>
      </c>
      <c r="C10" s="34" t="s">
        <v>263</v>
      </c>
      <c r="D10" s="34">
        <v>100</v>
      </c>
      <c r="E10" s="34">
        <v>45</v>
      </c>
      <c r="F10" s="34" t="s">
        <v>263</v>
      </c>
      <c r="G10" s="34" t="s">
        <v>263</v>
      </c>
      <c r="H10" s="34" t="s">
        <v>263</v>
      </c>
      <c r="I10" s="34" t="s">
        <v>263</v>
      </c>
      <c r="J10" s="34">
        <f t="shared" si="0"/>
        <v>100</v>
      </c>
    </row>
    <row r="11" spans="1:11" ht="21" customHeight="1" x14ac:dyDescent="0.15">
      <c r="A11" s="34">
        <v>41003010</v>
      </c>
      <c r="B11" s="34">
        <v>0</v>
      </c>
      <c r="C11" s="34" t="s">
        <v>263</v>
      </c>
      <c r="D11" s="34">
        <v>100</v>
      </c>
      <c r="E11" s="34">
        <v>30</v>
      </c>
      <c r="F11" s="34" t="s">
        <v>263</v>
      </c>
      <c r="G11" s="34" t="s">
        <v>263</v>
      </c>
      <c r="H11" s="34" t="s">
        <v>263</v>
      </c>
      <c r="I11" s="34" t="s">
        <v>263</v>
      </c>
      <c r="J11" s="34">
        <f t="shared" si="0"/>
        <v>100</v>
      </c>
    </row>
    <row r="12" spans="1:11" ht="21" customHeight="1" x14ac:dyDescent="0.15">
      <c r="A12" s="34">
        <v>41003011</v>
      </c>
      <c r="B12" s="34">
        <v>0</v>
      </c>
      <c r="C12" s="34" t="s">
        <v>263</v>
      </c>
      <c r="D12" s="34">
        <v>40</v>
      </c>
      <c r="E12" s="34" t="s">
        <v>263</v>
      </c>
      <c r="F12" s="34" t="s">
        <v>263</v>
      </c>
      <c r="G12" s="34">
        <v>1</v>
      </c>
      <c r="H12" s="34" t="s">
        <v>263</v>
      </c>
      <c r="I12" s="34" t="s">
        <v>263</v>
      </c>
      <c r="J12" s="34">
        <f t="shared" si="0"/>
        <v>40</v>
      </c>
    </row>
    <row r="13" spans="1:11" ht="21" customHeight="1" x14ac:dyDescent="0.15">
      <c r="A13" s="34">
        <v>41003012</v>
      </c>
      <c r="B13" s="34">
        <v>0</v>
      </c>
      <c r="C13" s="34">
        <v>100</v>
      </c>
      <c r="D13" s="34">
        <v>100</v>
      </c>
      <c r="E13" s="34">
        <v>50</v>
      </c>
      <c r="F13" s="34" t="s">
        <v>263</v>
      </c>
      <c r="G13" s="34">
        <v>1</v>
      </c>
      <c r="H13" s="34" t="s">
        <v>263</v>
      </c>
      <c r="I13" s="34" t="s">
        <v>263</v>
      </c>
      <c r="J13" s="34">
        <f t="shared" si="0"/>
        <v>100</v>
      </c>
    </row>
    <row r="14" spans="1:11" ht="21" customHeight="1" x14ac:dyDescent="0.15">
      <c r="A14" s="34">
        <v>41003013</v>
      </c>
      <c r="B14" s="34">
        <v>0</v>
      </c>
      <c r="C14" s="34" t="s">
        <v>263</v>
      </c>
      <c r="D14" s="34">
        <v>100</v>
      </c>
      <c r="E14" s="34" t="s">
        <v>263</v>
      </c>
      <c r="F14" s="34" t="s">
        <v>263</v>
      </c>
      <c r="G14" s="34">
        <v>1</v>
      </c>
      <c r="H14" s="34" t="s">
        <v>263</v>
      </c>
      <c r="I14" s="34" t="s">
        <v>263</v>
      </c>
      <c r="J14" s="34">
        <f t="shared" si="0"/>
        <v>100</v>
      </c>
    </row>
    <row r="15" spans="1:11" ht="21" customHeight="1" x14ac:dyDescent="0.15">
      <c r="A15" s="34">
        <v>41003014</v>
      </c>
      <c r="B15" s="34">
        <v>0</v>
      </c>
      <c r="C15" s="34" t="s">
        <v>263</v>
      </c>
      <c r="D15" s="34">
        <v>100</v>
      </c>
      <c r="E15" s="34">
        <v>70</v>
      </c>
      <c r="F15" s="34" t="s">
        <v>263</v>
      </c>
      <c r="G15" s="34">
        <v>1</v>
      </c>
      <c r="H15" s="34" t="s">
        <v>263</v>
      </c>
      <c r="I15" s="34" t="s">
        <v>263</v>
      </c>
      <c r="J15" s="34">
        <f t="shared" si="0"/>
        <v>100</v>
      </c>
    </row>
    <row r="16" spans="1:11" ht="21" customHeight="1" x14ac:dyDescent="0.15">
      <c r="A16" s="34">
        <v>41003015</v>
      </c>
      <c r="B16" s="34">
        <v>0</v>
      </c>
      <c r="C16" s="34" t="s">
        <v>263</v>
      </c>
      <c r="D16" s="34">
        <v>100</v>
      </c>
      <c r="E16" s="34">
        <v>50</v>
      </c>
      <c r="F16" s="34" t="s">
        <v>263</v>
      </c>
      <c r="G16" s="34">
        <v>1</v>
      </c>
      <c r="H16" s="34" t="s">
        <v>263</v>
      </c>
      <c r="I16" s="34" t="s">
        <v>263</v>
      </c>
      <c r="J16" s="34">
        <f t="shared" si="0"/>
        <v>100</v>
      </c>
    </row>
    <row r="17" spans="1:10" ht="21" customHeight="1" x14ac:dyDescent="0.15">
      <c r="A17" s="34">
        <v>41003016</v>
      </c>
      <c r="B17" s="34">
        <v>0</v>
      </c>
      <c r="C17" s="34" t="s">
        <v>263</v>
      </c>
      <c r="D17" s="34">
        <v>100</v>
      </c>
      <c r="E17" s="34" t="s">
        <v>167</v>
      </c>
      <c r="F17" s="34" t="s">
        <v>263</v>
      </c>
      <c r="G17" s="34" t="s">
        <v>275</v>
      </c>
      <c r="H17" s="34">
        <v>5</v>
      </c>
      <c r="I17" s="34" t="s">
        <v>263</v>
      </c>
      <c r="J17" s="34">
        <f t="shared" si="0"/>
        <v>100</v>
      </c>
    </row>
    <row r="18" spans="1:10" ht="21" customHeight="1" x14ac:dyDescent="0.15">
      <c r="A18" s="34">
        <v>41003017</v>
      </c>
      <c r="B18" s="34">
        <v>0</v>
      </c>
      <c r="C18" s="34" t="s">
        <v>263</v>
      </c>
      <c r="D18" s="34">
        <v>100</v>
      </c>
      <c r="E18" s="34">
        <v>30</v>
      </c>
      <c r="F18" s="34" t="s">
        <v>263</v>
      </c>
      <c r="G18" s="34">
        <v>1</v>
      </c>
      <c r="H18" s="34" t="s">
        <v>263</v>
      </c>
      <c r="I18" s="34" t="s">
        <v>263</v>
      </c>
      <c r="J18" s="34">
        <f t="shared" si="0"/>
        <v>100</v>
      </c>
    </row>
    <row r="19" spans="1:10" ht="21" customHeight="1" x14ac:dyDescent="0.15">
      <c r="A19" s="34">
        <v>41003018</v>
      </c>
      <c r="B19" s="34">
        <v>0</v>
      </c>
      <c r="C19" s="34">
        <v>100</v>
      </c>
      <c r="D19" s="34">
        <v>100</v>
      </c>
      <c r="E19" s="34" t="s">
        <v>275</v>
      </c>
      <c r="F19" s="34" t="s">
        <v>263</v>
      </c>
      <c r="G19" s="34">
        <v>1</v>
      </c>
      <c r="H19" s="34" t="s">
        <v>263</v>
      </c>
      <c r="I19" s="34" t="s">
        <v>263</v>
      </c>
      <c r="J19" s="34">
        <f t="shared" si="0"/>
        <v>100</v>
      </c>
    </row>
    <row r="20" spans="1:10" ht="21" customHeight="1" x14ac:dyDescent="0.15">
      <c r="A20" s="34">
        <v>41003019</v>
      </c>
      <c r="B20" s="34">
        <v>0</v>
      </c>
      <c r="C20" s="34">
        <v>90</v>
      </c>
      <c r="D20" s="34">
        <v>100</v>
      </c>
      <c r="E20" s="34" t="s">
        <v>275</v>
      </c>
      <c r="F20" s="34" t="s">
        <v>263</v>
      </c>
      <c r="G20" s="34">
        <v>1</v>
      </c>
      <c r="H20" s="34" t="s">
        <v>263</v>
      </c>
      <c r="I20" s="34" t="s">
        <v>263</v>
      </c>
      <c r="J20" s="34">
        <f t="shared" si="0"/>
        <v>100</v>
      </c>
    </row>
    <row r="21" spans="1:10" ht="21" customHeight="1" x14ac:dyDescent="0.15">
      <c r="A21" s="34">
        <v>41003020</v>
      </c>
      <c r="B21" s="34">
        <v>0</v>
      </c>
      <c r="C21" s="34">
        <v>80</v>
      </c>
      <c r="D21" s="34">
        <v>100</v>
      </c>
      <c r="E21" s="34" t="s">
        <v>275</v>
      </c>
      <c r="F21" s="34" t="s">
        <v>263</v>
      </c>
      <c r="G21" s="34">
        <v>1</v>
      </c>
      <c r="H21" s="34" t="s">
        <v>263</v>
      </c>
      <c r="I21" s="34" t="s">
        <v>263</v>
      </c>
      <c r="J21" s="34">
        <f t="shared" si="0"/>
        <v>100</v>
      </c>
    </row>
    <row r="22" spans="1:10" ht="21" customHeight="1" x14ac:dyDescent="0.15">
      <c r="A22" s="34">
        <v>41003021</v>
      </c>
      <c r="B22" s="34">
        <v>0</v>
      </c>
      <c r="C22" s="34">
        <v>70</v>
      </c>
      <c r="D22" s="34">
        <v>100</v>
      </c>
      <c r="E22" s="34" t="s">
        <v>275</v>
      </c>
      <c r="F22" s="34" t="s">
        <v>263</v>
      </c>
      <c r="G22" s="34">
        <v>1</v>
      </c>
      <c r="H22" s="34" t="s">
        <v>263</v>
      </c>
      <c r="I22" s="34" t="s">
        <v>263</v>
      </c>
      <c r="J22" s="34">
        <f t="shared" si="0"/>
        <v>100</v>
      </c>
    </row>
    <row r="23" spans="1:10" ht="21" customHeight="1" x14ac:dyDescent="0.15">
      <c r="A23" s="34">
        <v>41003022</v>
      </c>
      <c r="B23" s="34">
        <v>0</v>
      </c>
      <c r="C23" s="34">
        <v>110</v>
      </c>
      <c r="D23" s="34">
        <v>100</v>
      </c>
      <c r="E23" s="34" t="s">
        <v>275</v>
      </c>
      <c r="F23" s="34" t="s">
        <v>263</v>
      </c>
      <c r="G23" s="34">
        <v>1</v>
      </c>
      <c r="H23" s="34" t="s">
        <v>263</v>
      </c>
      <c r="I23" s="34" t="s">
        <v>263</v>
      </c>
      <c r="J23" s="34">
        <f t="shared" ref="J23" si="1">D23</f>
        <v>100</v>
      </c>
    </row>
    <row r="24" spans="1:10" ht="21" customHeight="1" x14ac:dyDescent="0.15">
      <c r="A24" s="34">
        <v>41003023</v>
      </c>
      <c r="B24" s="34">
        <v>0</v>
      </c>
      <c r="C24" s="34" t="s">
        <v>281</v>
      </c>
      <c r="D24" s="34">
        <v>100</v>
      </c>
      <c r="E24" s="34" t="s">
        <v>275</v>
      </c>
      <c r="F24" s="34" t="s">
        <v>263</v>
      </c>
      <c r="G24" s="34" t="s">
        <v>282</v>
      </c>
      <c r="H24" s="34">
        <v>4</v>
      </c>
      <c r="I24" s="34" t="s">
        <v>263</v>
      </c>
      <c r="J24" s="34">
        <f t="shared" ref="J24" si="2">D24</f>
        <v>100</v>
      </c>
    </row>
  </sheetData>
  <autoFilter ref="A1:G1"/>
  <phoneticPr fontId="5"/>
  <conditionalFormatting sqref="K25:K1048576 K1:K15">
    <cfRule type="duplicateValues" dxfId="9" priority="10"/>
  </conditionalFormatting>
  <conditionalFormatting sqref="K16">
    <cfRule type="duplicateValues" dxfId="8" priority="9"/>
  </conditionalFormatting>
  <conditionalFormatting sqref="K17">
    <cfRule type="duplicateValues" dxfId="7" priority="8"/>
  </conditionalFormatting>
  <conditionalFormatting sqref="K18">
    <cfRule type="duplicateValues" dxfId="6" priority="7"/>
  </conditionalFormatting>
  <conditionalFormatting sqref="K19">
    <cfRule type="duplicateValues" dxfId="5" priority="6"/>
  </conditionalFormatting>
  <conditionalFormatting sqref="K20">
    <cfRule type="duplicateValues" dxfId="4" priority="5"/>
  </conditionalFormatting>
  <conditionalFormatting sqref="K21">
    <cfRule type="duplicateValues" dxfId="3" priority="4"/>
  </conditionalFormatting>
  <conditionalFormatting sqref="K22">
    <cfRule type="duplicateValues" dxfId="2" priority="3"/>
  </conditionalFormatting>
  <conditionalFormatting sqref="K23">
    <cfRule type="duplicateValues" dxfId="1" priority="2"/>
  </conditionalFormatting>
  <conditionalFormatting sqref="K24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9"/>
  <sheetViews>
    <sheetView tabSelected="1" workbookViewId="0">
      <selection activeCell="P19" sqref="P19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51" t="s">
        <v>148</v>
      </c>
      <c r="B1" s="51" t="s">
        <v>149</v>
      </c>
      <c r="C1" s="52" t="s">
        <v>150</v>
      </c>
      <c r="D1" s="58" t="s">
        <v>151</v>
      </c>
      <c r="E1" s="53" t="s">
        <v>152</v>
      </c>
      <c r="F1" s="51" t="s">
        <v>153</v>
      </c>
      <c r="G1" s="51" t="s">
        <v>154</v>
      </c>
      <c r="H1" s="51" t="s">
        <v>155</v>
      </c>
      <c r="I1" s="51" t="s">
        <v>156</v>
      </c>
      <c r="J1" s="51" t="s">
        <v>157</v>
      </c>
      <c r="K1" s="51" t="s">
        <v>158</v>
      </c>
      <c r="L1" s="51" t="s">
        <v>159</v>
      </c>
      <c r="M1" s="51" t="s">
        <v>160</v>
      </c>
      <c r="N1" s="51" t="s">
        <v>161</v>
      </c>
      <c r="O1" s="51" t="s">
        <v>162</v>
      </c>
      <c r="P1" s="51" t="s">
        <v>163</v>
      </c>
      <c r="Q1" s="51" t="s">
        <v>164</v>
      </c>
      <c r="R1" s="51" t="s">
        <v>165</v>
      </c>
    </row>
    <row r="2" spans="1:18" x14ac:dyDescent="0.15">
      <c r="A2" s="44">
        <v>41003</v>
      </c>
      <c r="B2" s="68">
        <v>1</v>
      </c>
      <c r="C2" s="57" t="str">
        <f>A2&amp; "_"&amp;B2</f>
        <v>41003_1</v>
      </c>
      <c r="D2" s="17" t="str">
        <f ca="1">VLOOKUP($C2,OFFSET([2]stages!$A$1,0,0,COUNTA([2]stages!$A:$A),MATCH(D$1,[2]stages!$2:$2,0)-MATCH($C$1,[2]stages!$2:$2,0)+1),MATCH(D$1,[2]stages!$2:$2,0)-MATCH($C$1,[2]stages!$2:$2,0)+1,FALSE)</f>
        <v>everyone</v>
      </c>
      <c r="E2" s="68">
        <v>1</v>
      </c>
      <c r="F2" s="68" t="s">
        <v>166</v>
      </c>
      <c r="G2" s="68">
        <v>40000</v>
      </c>
      <c r="H2" s="68" t="s">
        <v>167</v>
      </c>
      <c r="I2" s="68">
        <v>1</v>
      </c>
      <c r="J2" s="68">
        <v>1</v>
      </c>
      <c r="K2" s="68">
        <v>0</v>
      </c>
      <c r="L2" s="68">
        <v>0</v>
      </c>
      <c r="M2" s="68">
        <v>0</v>
      </c>
      <c r="N2" s="68">
        <v>0</v>
      </c>
      <c r="O2" s="68">
        <v>1</v>
      </c>
      <c r="P2" s="68">
        <v>150</v>
      </c>
      <c r="Q2" s="68" t="s">
        <v>168</v>
      </c>
      <c r="R2" s="68" t="s">
        <v>169</v>
      </c>
    </row>
    <row r="3" spans="1:18" x14ac:dyDescent="0.15">
      <c r="A3" s="44">
        <v>41003</v>
      </c>
      <c r="B3" s="68">
        <v>1</v>
      </c>
      <c r="C3" s="57" t="str">
        <f t="shared" ref="C3:C26" si="0">A3&amp; "_"&amp;B3</f>
        <v>41003_1</v>
      </c>
      <c r="D3" s="17" t="str">
        <f ca="1">VLOOKUP($C3,OFFSET([2]stages!$A$1,0,0,COUNTA([2]stages!$A:$A),MATCH(D$1,[2]stages!$2:$2,0)-MATCH($C$1,[2]stages!$2:$2,0)+1),MATCH(D$1,[2]stages!$2:$2,0)-MATCH($C$1,[2]stages!$2:$2,0)+1,FALSE)</f>
        <v>everyone</v>
      </c>
      <c r="E3" s="68">
        <v>2</v>
      </c>
      <c r="F3" s="68" t="s">
        <v>276</v>
      </c>
      <c r="G3" s="68">
        <v>30</v>
      </c>
      <c r="H3" s="68" t="s">
        <v>167</v>
      </c>
      <c r="I3" s="68">
        <v>1</v>
      </c>
      <c r="J3" s="68">
        <v>1</v>
      </c>
      <c r="K3" s="68">
        <v>0</v>
      </c>
      <c r="L3" s="68">
        <v>0</v>
      </c>
      <c r="M3" s="68">
        <v>0</v>
      </c>
      <c r="N3" s="68">
        <v>0</v>
      </c>
      <c r="O3" s="68">
        <v>1</v>
      </c>
      <c r="P3" s="68">
        <v>150</v>
      </c>
      <c r="Q3" s="68" t="s">
        <v>168</v>
      </c>
      <c r="R3" s="68" t="s">
        <v>169</v>
      </c>
    </row>
    <row r="4" spans="1:18" x14ac:dyDescent="0.15">
      <c r="A4" s="44">
        <v>41003</v>
      </c>
      <c r="B4" s="68">
        <v>1</v>
      </c>
      <c r="C4" s="57" t="str">
        <f t="shared" si="0"/>
        <v>41003_1</v>
      </c>
      <c r="D4" s="17" t="str">
        <f ca="1">VLOOKUP($C4,OFFSET([2]stages!$A$1,0,0,COUNTA([2]stages!$A:$A),MATCH(D$1,[2]stages!$2:$2,0)-MATCH($C$1,[2]stages!$2:$2,0)+1),MATCH(D$1,[2]stages!$2:$2,0)-MATCH($C$1,[2]stages!$2:$2,0)+1,FALSE)</f>
        <v>everyone</v>
      </c>
      <c r="E4" s="68">
        <v>3</v>
      </c>
      <c r="F4" s="68" t="s">
        <v>277</v>
      </c>
      <c r="G4" s="213">
        <v>341</v>
      </c>
      <c r="H4" s="68">
        <v>1</v>
      </c>
      <c r="I4" s="68">
        <v>1</v>
      </c>
      <c r="J4" s="68">
        <v>1</v>
      </c>
      <c r="K4" s="68">
        <v>0</v>
      </c>
      <c r="L4" s="68">
        <v>0</v>
      </c>
      <c r="M4" s="68">
        <v>0</v>
      </c>
      <c r="N4" s="68">
        <v>0</v>
      </c>
      <c r="O4" s="68">
        <v>1</v>
      </c>
      <c r="P4" s="68">
        <v>28</v>
      </c>
      <c r="Q4" s="68" t="s">
        <v>168</v>
      </c>
      <c r="R4" s="68" t="s">
        <v>169</v>
      </c>
    </row>
    <row r="5" spans="1:18" x14ac:dyDescent="0.15">
      <c r="A5" s="44">
        <v>41003</v>
      </c>
      <c r="B5" s="68">
        <v>1</v>
      </c>
      <c r="C5" s="57" t="str">
        <f t="shared" si="0"/>
        <v>41003_1</v>
      </c>
      <c r="D5" s="17" t="str">
        <f ca="1">VLOOKUP($C5,OFFSET([2]stages!$A$1,0,0,COUNTA([2]stages!$A:$A),MATCH(D$1,[2]stages!$2:$2,0)-MATCH($C$1,[2]stages!$2:$2,0)+1),MATCH(D$1,[2]stages!$2:$2,0)-MATCH($C$1,[2]stages!$2:$2,0)+1,FALSE)</f>
        <v>everyone</v>
      </c>
      <c r="E5" s="68">
        <v>4</v>
      </c>
      <c r="F5" s="68" t="s">
        <v>278</v>
      </c>
      <c r="G5" s="213">
        <v>342</v>
      </c>
      <c r="H5" s="68">
        <v>1</v>
      </c>
      <c r="I5" s="68">
        <v>1</v>
      </c>
      <c r="J5" s="68">
        <v>1</v>
      </c>
      <c r="K5" s="68">
        <v>0</v>
      </c>
      <c r="L5" s="68">
        <v>0</v>
      </c>
      <c r="M5" s="68">
        <v>0</v>
      </c>
      <c r="N5" s="68">
        <v>0</v>
      </c>
      <c r="O5" s="68">
        <v>1</v>
      </c>
      <c r="P5" s="68">
        <v>112</v>
      </c>
      <c r="Q5" s="68" t="s">
        <v>168</v>
      </c>
      <c r="R5" s="68" t="s">
        <v>169</v>
      </c>
    </row>
    <row r="6" spans="1:18" x14ac:dyDescent="0.15">
      <c r="A6" s="44">
        <v>41003</v>
      </c>
      <c r="B6" s="68">
        <v>1</v>
      </c>
      <c r="C6" s="57" t="str">
        <f t="shared" si="0"/>
        <v>41003_1</v>
      </c>
      <c r="D6" s="17" t="str">
        <f ca="1">VLOOKUP($C6,OFFSET([2]stages!$A$1,0,0,COUNTA([2]stages!$A:$A),MATCH(D$1,[2]stages!$2:$2,0)-MATCH($C$1,[2]stages!$2:$2,0)+1),MATCH(D$1,[2]stages!$2:$2,0)-MATCH($C$1,[2]stages!$2:$2,0)+1,FALSE)</f>
        <v>everyone</v>
      </c>
      <c r="E6" s="68">
        <v>5</v>
      </c>
      <c r="F6" s="68" t="s">
        <v>279</v>
      </c>
      <c r="G6" s="68">
        <v>121</v>
      </c>
      <c r="H6" s="68">
        <v>1</v>
      </c>
      <c r="I6" s="68">
        <v>1</v>
      </c>
      <c r="J6" s="68">
        <v>1</v>
      </c>
      <c r="K6" s="68">
        <v>0</v>
      </c>
      <c r="L6" s="68">
        <v>0</v>
      </c>
      <c r="M6" s="68">
        <v>0</v>
      </c>
      <c r="N6" s="68">
        <v>0</v>
      </c>
      <c r="O6" s="68">
        <v>1</v>
      </c>
      <c r="P6" s="68">
        <v>100</v>
      </c>
      <c r="Q6" s="68" t="s">
        <v>168</v>
      </c>
      <c r="R6" s="68" t="s">
        <v>169</v>
      </c>
    </row>
    <row r="7" spans="1:18" x14ac:dyDescent="0.15">
      <c r="A7" s="44">
        <v>41003</v>
      </c>
      <c r="B7" s="68">
        <v>1</v>
      </c>
      <c r="C7" s="57" t="str">
        <f t="shared" si="0"/>
        <v>41003_1</v>
      </c>
      <c r="D7" s="17" t="str">
        <f ca="1">VLOOKUP($C7,OFFSET([2]stages!$A$1,0,0,COUNTA([2]stages!$A:$A),MATCH(D$1,[2]stages!$2:$2,0)-MATCH($C$1,[2]stages!$2:$2,0)+1),MATCH(D$1,[2]stages!$2:$2,0)-MATCH($C$1,[2]stages!$2:$2,0)+1,FALSE)</f>
        <v>everyone</v>
      </c>
      <c r="E7" s="68">
        <v>6</v>
      </c>
      <c r="F7" s="68" t="s">
        <v>280</v>
      </c>
      <c r="G7" s="68">
        <v>122</v>
      </c>
      <c r="H7" s="68">
        <v>1</v>
      </c>
      <c r="I7" s="68">
        <v>1</v>
      </c>
      <c r="J7" s="68">
        <v>1</v>
      </c>
      <c r="K7" s="68">
        <v>0</v>
      </c>
      <c r="L7" s="68">
        <v>0</v>
      </c>
      <c r="M7" s="68">
        <v>0</v>
      </c>
      <c r="N7" s="68">
        <v>0</v>
      </c>
      <c r="O7" s="68">
        <v>1</v>
      </c>
      <c r="P7" s="68">
        <v>100</v>
      </c>
      <c r="Q7" s="68" t="s">
        <v>168</v>
      </c>
      <c r="R7" s="68" t="s">
        <v>169</v>
      </c>
    </row>
    <row r="8" spans="1:18" x14ac:dyDescent="0.15">
      <c r="A8" s="44">
        <v>41003</v>
      </c>
      <c r="B8" s="68">
        <v>1</v>
      </c>
      <c r="C8" s="57" t="str">
        <f t="shared" si="0"/>
        <v>41003_1</v>
      </c>
      <c r="D8" s="17" t="str">
        <f ca="1">VLOOKUP($C8,OFFSET([2]stages!$A$1,0,0,COUNTA([2]stages!$A:$A),MATCH(D$1,[2]stages!$2:$2,0)-MATCH($C$1,[2]stages!$2:$2,0)+1),MATCH(D$1,[2]stages!$2:$2,0)-MATCH($C$1,[2]stages!$2:$2,0)+1,FALSE)</f>
        <v>everyone</v>
      </c>
      <c r="E8" s="68">
        <v>7</v>
      </c>
      <c r="F8" s="68" t="s">
        <v>277</v>
      </c>
      <c r="G8" s="68">
        <v>123</v>
      </c>
      <c r="H8" s="68">
        <v>1</v>
      </c>
      <c r="I8" s="68">
        <v>1</v>
      </c>
      <c r="J8" s="68">
        <v>1</v>
      </c>
      <c r="K8" s="68">
        <v>0</v>
      </c>
      <c r="L8" s="68">
        <v>0</v>
      </c>
      <c r="M8" s="68">
        <v>0</v>
      </c>
      <c r="N8" s="68">
        <v>0</v>
      </c>
      <c r="O8" s="68">
        <v>1</v>
      </c>
      <c r="P8" s="68">
        <v>100</v>
      </c>
      <c r="Q8" s="68" t="s">
        <v>168</v>
      </c>
      <c r="R8" s="68" t="s">
        <v>169</v>
      </c>
    </row>
    <row r="9" spans="1:18" x14ac:dyDescent="0.15">
      <c r="A9" s="44">
        <v>41003</v>
      </c>
      <c r="B9" s="68">
        <v>1</v>
      </c>
      <c r="C9" s="57" t="str">
        <f t="shared" si="0"/>
        <v>41003_1</v>
      </c>
      <c r="D9" s="17" t="str">
        <f ca="1">VLOOKUP($C9,OFFSET([2]stages!$A$1,0,0,COUNTA([2]stages!$A:$A),MATCH(D$1,[2]stages!$2:$2,0)-MATCH($C$1,[2]stages!$2:$2,0)+1),MATCH(D$1,[2]stages!$2:$2,0)-MATCH($C$1,[2]stages!$2:$2,0)+1,FALSE)</f>
        <v>everyone</v>
      </c>
      <c r="E9" s="68">
        <v>8</v>
      </c>
      <c r="F9" s="68" t="s">
        <v>277</v>
      </c>
      <c r="G9" s="68">
        <v>125</v>
      </c>
      <c r="H9" s="68">
        <v>1</v>
      </c>
      <c r="I9" s="68">
        <v>1</v>
      </c>
      <c r="J9" s="68">
        <v>1</v>
      </c>
      <c r="K9" s="68">
        <v>0</v>
      </c>
      <c r="L9" s="68">
        <v>0</v>
      </c>
      <c r="M9" s="68">
        <v>0</v>
      </c>
      <c r="N9" s="68">
        <v>0</v>
      </c>
      <c r="O9" s="68">
        <v>1</v>
      </c>
      <c r="P9" s="68">
        <v>10</v>
      </c>
      <c r="Q9" s="68" t="s">
        <v>168</v>
      </c>
      <c r="R9" s="68" t="s">
        <v>169</v>
      </c>
    </row>
    <row r="10" spans="1:18" x14ac:dyDescent="0.15">
      <c r="A10" s="44">
        <v>41003</v>
      </c>
      <c r="B10" s="68">
        <v>1</v>
      </c>
      <c r="C10" s="57" t="str">
        <f t="shared" si="0"/>
        <v>41003_1</v>
      </c>
      <c r="D10" s="17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68">
        <v>9</v>
      </c>
      <c r="F10" s="68" t="s">
        <v>277</v>
      </c>
      <c r="G10" s="68">
        <v>314</v>
      </c>
      <c r="H10" s="68">
        <v>1</v>
      </c>
      <c r="I10" s="68">
        <v>1</v>
      </c>
      <c r="J10" s="68">
        <v>1</v>
      </c>
      <c r="K10" s="68">
        <v>0</v>
      </c>
      <c r="L10" s="68">
        <v>0</v>
      </c>
      <c r="M10" s="68">
        <v>0</v>
      </c>
      <c r="N10" s="68">
        <v>0</v>
      </c>
      <c r="O10" s="68">
        <v>1</v>
      </c>
      <c r="P10" s="68">
        <v>100</v>
      </c>
      <c r="Q10" s="68" t="s">
        <v>168</v>
      </c>
      <c r="R10" s="68" t="s">
        <v>169</v>
      </c>
    </row>
    <row r="11" spans="1:18" ht="16" thickBot="1" x14ac:dyDescent="0.2">
      <c r="A11" s="44">
        <v>41003</v>
      </c>
      <c r="B11" s="214">
        <v>1</v>
      </c>
      <c r="C11" s="57" t="str">
        <f t="shared" si="0"/>
        <v>41003_1</v>
      </c>
      <c r="D11" s="192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214">
        <v>10</v>
      </c>
      <c r="F11" s="214" t="s">
        <v>277</v>
      </c>
      <c r="G11" s="214">
        <v>352</v>
      </c>
      <c r="H11" s="214">
        <v>1</v>
      </c>
      <c r="I11" s="214">
        <v>1</v>
      </c>
      <c r="J11" s="214">
        <v>1</v>
      </c>
      <c r="K11" s="214">
        <v>0</v>
      </c>
      <c r="L11" s="214">
        <v>0</v>
      </c>
      <c r="M11" s="214">
        <v>0</v>
      </c>
      <c r="N11" s="214">
        <v>0</v>
      </c>
      <c r="O11" s="214">
        <v>1</v>
      </c>
      <c r="P11" s="214">
        <v>150</v>
      </c>
      <c r="Q11" s="214" t="s">
        <v>168</v>
      </c>
      <c r="R11" s="214" t="s">
        <v>169</v>
      </c>
    </row>
    <row r="12" spans="1:18" x14ac:dyDescent="0.15">
      <c r="A12" s="44">
        <v>41003</v>
      </c>
      <c r="B12" s="68">
        <v>2</v>
      </c>
      <c r="C12" s="57" t="str">
        <f t="shared" si="0"/>
        <v>41003_2</v>
      </c>
      <c r="D12" s="17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68">
        <v>1</v>
      </c>
      <c r="F12" s="68" t="s">
        <v>278</v>
      </c>
      <c r="G12" s="68">
        <v>342</v>
      </c>
      <c r="H12" s="68">
        <v>1</v>
      </c>
      <c r="I12" s="68">
        <v>1</v>
      </c>
      <c r="J12" s="68">
        <v>1</v>
      </c>
      <c r="K12" s="68">
        <v>0</v>
      </c>
      <c r="L12" s="68">
        <v>0</v>
      </c>
      <c r="M12" s="68">
        <v>0</v>
      </c>
      <c r="N12" s="68">
        <v>0</v>
      </c>
      <c r="O12" s="68">
        <v>1</v>
      </c>
      <c r="P12" s="68">
        <v>50</v>
      </c>
      <c r="Q12" s="68" t="s">
        <v>168</v>
      </c>
      <c r="R12" s="68" t="s">
        <v>169</v>
      </c>
    </row>
    <row r="13" spans="1:18" x14ac:dyDescent="0.15">
      <c r="A13" s="44">
        <v>41003</v>
      </c>
      <c r="B13" s="68">
        <v>2</v>
      </c>
      <c r="C13" s="57" t="str">
        <f t="shared" si="0"/>
        <v>41003_2</v>
      </c>
      <c r="D13" s="17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68">
        <v>2</v>
      </c>
      <c r="F13" s="68" t="s">
        <v>278</v>
      </c>
      <c r="G13" s="213">
        <v>352</v>
      </c>
      <c r="H13" s="68">
        <v>1</v>
      </c>
      <c r="I13" s="68">
        <v>1</v>
      </c>
      <c r="J13" s="68">
        <v>1</v>
      </c>
      <c r="K13" s="68">
        <v>0</v>
      </c>
      <c r="L13" s="68">
        <v>0</v>
      </c>
      <c r="M13" s="68">
        <v>0</v>
      </c>
      <c r="N13" s="68">
        <v>0</v>
      </c>
      <c r="O13" s="68">
        <v>1</v>
      </c>
      <c r="P13" s="68">
        <v>120</v>
      </c>
      <c r="Q13" s="68" t="s">
        <v>168</v>
      </c>
      <c r="R13" s="68" t="s">
        <v>169</v>
      </c>
    </row>
    <row r="14" spans="1:18" x14ac:dyDescent="0.15">
      <c r="A14" s="44">
        <v>41003</v>
      </c>
      <c r="B14" s="68">
        <v>2</v>
      </c>
      <c r="C14" s="57" t="str">
        <f t="shared" si="0"/>
        <v>41003_2</v>
      </c>
      <c r="D14" s="17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68">
        <v>3</v>
      </c>
      <c r="F14" s="68" t="s">
        <v>278</v>
      </c>
      <c r="G14" s="68">
        <v>607</v>
      </c>
      <c r="H14" s="68">
        <v>1</v>
      </c>
      <c r="I14" s="68">
        <v>1</v>
      </c>
      <c r="J14" s="68">
        <v>1</v>
      </c>
      <c r="K14" s="68">
        <v>0</v>
      </c>
      <c r="L14" s="68">
        <v>0</v>
      </c>
      <c r="M14" s="68">
        <v>0</v>
      </c>
      <c r="N14" s="68">
        <v>0</v>
      </c>
      <c r="O14" s="68">
        <v>1</v>
      </c>
      <c r="P14" s="68">
        <v>100</v>
      </c>
      <c r="Q14" s="68" t="s">
        <v>168</v>
      </c>
      <c r="R14" s="68" t="s">
        <v>169</v>
      </c>
    </row>
    <row r="15" spans="1:18" x14ac:dyDescent="0.15">
      <c r="A15" s="44">
        <v>41003</v>
      </c>
      <c r="B15" s="68">
        <v>2</v>
      </c>
      <c r="C15" s="57" t="str">
        <f t="shared" si="0"/>
        <v>41003_2</v>
      </c>
      <c r="D15" s="17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68">
        <v>4</v>
      </c>
      <c r="F15" s="68" t="s">
        <v>278</v>
      </c>
      <c r="G15" s="68">
        <v>608</v>
      </c>
      <c r="H15" s="68">
        <v>1</v>
      </c>
      <c r="I15" s="68">
        <v>1</v>
      </c>
      <c r="J15" s="68">
        <v>1</v>
      </c>
      <c r="K15" s="68">
        <v>0</v>
      </c>
      <c r="L15" s="68">
        <v>0</v>
      </c>
      <c r="M15" s="68">
        <v>0</v>
      </c>
      <c r="N15" s="68">
        <v>0</v>
      </c>
      <c r="O15" s="68">
        <v>1</v>
      </c>
      <c r="P15" s="68">
        <v>100</v>
      </c>
      <c r="Q15" s="68" t="s">
        <v>168</v>
      </c>
      <c r="R15" s="68" t="s">
        <v>169</v>
      </c>
    </row>
    <row r="16" spans="1:18" x14ac:dyDescent="0.15">
      <c r="A16" s="44">
        <v>41003</v>
      </c>
      <c r="B16" s="68">
        <v>2</v>
      </c>
      <c r="C16" s="57" t="str">
        <f t="shared" si="0"/>
        <v>41003_2</v>
      </c>
      <c r="D16" s="17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68">
        <v>5</v>
      </c>
      <c r="F16" s="68" t="s">
        <v>278</v>
      </c>
      <c r="G16" s="68">
        <v>609</v>
      </c>
      <c r="H16" s="68">
        <v>1</v>
      </c>
      <c r="I16" s="68">
        <v>1</v>
      </c>
      <c r="J16" s="68">
        <v>1</v>
      </c>
      <c r="K16" s="68">
        <v>0</v>
      </c>
      <c r="L16" s="68">
        <v>0</v>
      </c>
      <c r="M16" s="68">
        <v>0</v>
      </c>
      <c r="N16" s="68">
        <v>0</v>
      </c>
      <c r="O16" s="68">
        <v>1</v>
      </c>
      <c r="P16" s="68">
        <v>100</v>
      </c>
      <c r="Q16" s="68" t="s">
        <v>168</v>
      </c>
      <c r="R16" s="68" t="s">
        <v>169</v>
      </c>
    </row>
    <row r="17" spans="1:18" x14ac:dyDescent="0.15">
      <c r="A17" s="44">
        <v>41003</v>
      </c>
      <c r="B17" s="68">
        <v>2</v>
      </c>
      <c r="C17" s="57" t="str">
        <f t="shared" si="0"/>
        <v>41003_2</v>
      </c>
      <c r="D17" s="17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68">
        <v>6</v>
      </c>
      <c r="F17" s="68" t="s">
        <v>278</v>
      </c>
      <c r="G17" s="68">
        <v>125</v>
      </c>
      <c r="H17" s="68">
        <v>1</v>
      </c>
      <c r="I17" s="68">
        <v>1</v>
      </c>
      <c r="J17" s="68">
        <v>1</v>
      </c>
      <c r="K17" s="68">
        <v>0</v>
      </c>
      <c r="L17" s="68">
        <v>0</v>
      </c>
      <c r="M17" s="68">
        <v>0</v>
      </c>
      <c r="N17" s="68">
        <v>0</v>
      </c>
      <c r="O17" s="68">
        <v>1</v>
      </c>
      <c r="P17" s="68">
        <v>30</v>
      </c>
      <c r="Q17" s="68" t="s">
        <v>168</v>
      </c>
      <c r="R17" s="68" t="s">
        <v>169</v>
      </c>
    </row>
    <row r="18" spans="1:18" ht="16" thickBot="1" x14ac:dyDescent="0.2">
      <c r="A18" s="44">
        <v>41003</v>
      </c>
      <c r="B18" s="68">
        <v>2</v>
      </c>
      <c r="C18" s="57" t="str">
        <f t="shared" si="0"/>
        <v>41003_2</v>
      </c>
      <c r="D18" s="17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214">
        <v>7</v>
      </c>
      <c r="F18" s="214" t="s">
        <v>278</v>
      </c>
      <c r="G18" s="239">
        <v>314</v>
      </c>
      <c r="H18" s="214">
        <v>1</v>
      </c>
      <c r="I18" s="214">
        <v>1</v>
      </c>
      <c r="J18" s="214">
        <v>1</v>
      </c>
      <c r="K18" s="214">
        <v>0</v>
      </c>
      <c r="L18" s="214">
        <v>0</v>
      </c>
      <c r="M18" s="214">
        <v>0</v>
      </c>
      <c r="N18" s="214">
        <v>0</v>
      </c>
      <c r="O18" s="214">
        <v>1</v>
      </c>
      <c r="P18" s="214">
        <v>500</v>
      </c>
      <c r="Q18" s="68" t="s">
        <v>168</v>
      </c>
      <c r="R18" s="68" t="s">
        <v>169</v>
      </c>
    </row>
    <row r="19" spans="1:18" x14ac:dyDescent="0.15">
      <c r="A19" s="44">
        <v>41003</v>
      </c>
      <c r="B19" s="68">
        <v>3</v>
      </c>
      <c r="C19" s="57" t="str">
        <f t="shared" si="0"/>
        <v>41003_3</v>
      </c>
      <c r="D19" s="17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68">
        <v>1</v>
      </c>
      <c r="F19" s="68" t="s">
        <v>166</v>
      </c>
      <c r="G19" s="68">
        <v>40000</v>
      </c>
      <c r="H19" s="68" t="s">
        <v>167</v>
      </c>
      <c r="I19" s="68">
        <v>1</v>
      </c>
      <c r="J19" s="68">
        <v>1</v>
      </c>
      <c r="K19" s="68">
        <v>0</v>
      </c>
      <c r="L19" s="68">
        <v>0</v>
      </c>
      <c r="M19" s="68">
        <v>0</v>
      </c>
      <c r="N19" s="68">
        <v>0</v>
      </c>
      <c r="O19" s="68">
        <v>1</v>
      </c>
      <c r="P19" s="68">
        <v>150</v>
      </c>
      <c r="Q19" s="68" t="s">
        <v>168</v>
      </c>
      <c r="R19" s="68" t="s">
        <v>169</v>
      </c>
    </row>
    <row r="20" spans="1:18" x14ac:dyDescent="0.15">
      <c r="A20" s="44">
        <v>41003</v>
      </c>
      <c r="B20" s="68">
        <v>3</v>
      </c>
      <c r="C20" s="57" t="str">
        <f t="shared" si="0"/>
        <v>41003_3</v>
      </c>
      <c r="D20" s="17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68">
        <v>2</v>
      </c>
      <c r="F20" s="68" t="s">
        <v>277</v>
      </c>
      <c r="G20" s="68">
        <v>342</v>
      </c>
      <c r="H20" s="68">
        <v>1</v>
      </c>
      <c r="I20" s="68">
        <v>1</v>
      </c>
      <c r="J20" s="68">
        <v>1</v>
      </c>
      <c r="K20" s="68">
        <v>0</v>
      </c>
      <c r="L20" s="68">
        <v>0</v>
      </c>
      <c r="M20" s="68">
        <v>0</v>
      </c>
      <c r="N20" s="68">
        <v>0</v>
      </c>
      <c r="O20" s="68">
        <v>1</v>
      </c>
      <c r="P20" s="68">
        <v>150</v>
      </c>
      <c r="Q20" s="68" t="s">
        <v>168</v>
      </c>
      <c r="R20" s="68" t="s">
        <v>169</v>
      </c>
    </row>
    <row r="21" spans="1:18" x14ac:dyDescent="0.15">
      <c r="A21" s="44">
        <v>41003</v>
      </c>
      <c r="B21" s="68">
        <v>3</v>
      </c>
      <c r="C21" s="57" t="str">
        <f t="shared" si="0"/>
        <v>41003_3</v>
      </c>
      <c r="D21" s="17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68">
        <v>3</v>
      </c>
      <c r="F21" s="68" t="s">
        <v>277</v>
      </c>
      <c r="G21" s="213">
        <v>352</v>
      </c>
      <c r="H21" s="68">
        <v>1</v>
      </c>
      <c r="I21" s="68">
        <v>1</v>
      </c>
      <c r="J21" s="68">
        <v>1</v>
      </c>
      <c r="K21" s="68">
        <v>0</v>
      </c>
      <c r="L21" s="68">
        <v>0</v>
      </c>
      <c r="M21" s="68">
        <v>0</v>
      </c>
      <c r="N21" s="68">
        <v>0</v>
      </c>
      <c r="O21" s="68">
        <v>1</v>
      </c>
      <c r="P21" s="68">
        <v>120</v>
      </c>
      <c r="Q21" s="68" t="s">
        <v>168</v>
      </c>
      <c r="R21" s="68" t="s">
        <v>169</v>
      </c>
    </row>
    <row r="22" spans="1:18" x14ac:dyDescent="0.15">
      <c r="A22" s="44">
        <v>41003</v>
      </c>
      <c r="B22" s="68">
        <v>3</v>
      </c>
      <c r="C22" s="57" t="str">
        <f t="shared" si="0"/>
        <v>41003_3</v>
      </c>
      <c r="D22" s="17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68">
        <v>4</v>
      </c>
      <c r="F22" s="68" t="s">
        <v>277</v>
      </c>
      <c r="G22" s="68">
        <v>607</v>
      </c>
      <c r="H22" s="68">
        <v>1</v>
      </c>
      <c r="I22" s="68">
        <v>1</v>
      </c>
      <c r="J22" s="68">
        <v>1</v>
      </c>
      <c r="K22" s="68">
        <v>0</v>
      </c>
      <c r="L22" s="68">
        <v>0</v>
      </c>
      <c r="M22" s="68">
        <v>0</v>
      </c>
      <c r="N22" s="68">
        <v>0</v>
      </c>
      <c r="O22" s="68">
        <v>1</v>
      </c>
      <c r="P22" s="68">
        <v>100</v>
      </c>
      <c r="Q22" s="68" t="s">
        <v>168</v>
      </c>
      <c r="R22" s="68" t="s">
        <v>169</v>
      </c>
    </row>
    <row r="23" spans="1:18" x14ac:dyDescent="0.15">
      <c r="A23" s="44">
        <v>41003</v>
      </c>
      <c r="B23" s="68">
        <v>3</v>
      </c>
      <c r="C23" s="57" t="str">
        <f t="shared" si="0"/>
        <v>41003_3</v>
      </c>
      <c r="D23" s="17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68">
        <v>5</v>
      </c>
      <c r="F23" s="68" t="s">
        <v>277</v>
      </c>
      <c r="G23" s="68">
        <v>608</v>
      </c>
      <c r="H23" s="68">
        <v>1</v>
      </c>
      <c r="I23" s="68">
        <v>1</v>
      </c>
      <c r="J23" s="68">
        <v>1</v>
      </c>
      <c r="K23" s="68">
        <v>0</v>
      </c>
      <c r="L23" s="68">
        <v>0</v>
      </c>
      <c r="M23" s="68">
        <v>0</v>
      </c>
      <c r="N23" s="68">
        <v>0</v>
      </c>
      <c r="O23" s="68">
        <v>1</v>
      </c>
      <c r="P23" s="68">
        <v>100</v>
      </c>
      <c r="Q23" s="68" t="s">
        <v>168</v>
      </c>
      <c r="R23" s="68" t="s">
        <v>169</v>
      </c>
    </row>
    <row r="24" spans="1:18" x14ac:dyDescent="0.15">
      <c r="A24" s="44">
        <v>41003</v>
      </c>
      <c r="B24" s="68">
        <v>3</v>
      </c>
      <c r="C24" s="57" t="str">
        <f t="shared" si="0"/>
        <v>41003_3</v>
      </c>
      <c r="D24" s="17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68">
        <v>6</v>
      </c>
      <c r="F24" s="68" t="s">
        <v>277</v>
      </c>
      <c r="G24" s="68">
        <v>609</v>
      </c>
      <c r="H24" s="68">
        <v>1</v>
      </c>
      <c r="I24" s="68">
        <v>1</v>
      </c>
      <c r="J24" s="68">
        <v>1</v>
      </c>
      <c r="K24" s="68">
        <v>0</v>
      </c>
      <c r="L24" s="68">
        <v>0</v>
      </c>
      <c r="M24" s="68">
        <v>0</v>
      </c>
      <c r="N24" s="68">
        <v>0</v>
      </c>
      <c r="O24" s="68">
        <v>1</v>
      </c>
      <c r="P24" s="68">
        <v>100</v>
      </c>
      <c r="Q24" s="68" t="s">
        <v>168</v>
      </c>
      <c r="R24" s="68" t="s">
        <v>169</v>
      </c>
    </row>
    <row r="25" spans="1:18" x14ac:dyDescent="0.15">
      <c r="A25" s="44">
        <v>41003</v>
      </c>
      <c r="B25" s="68">
        <v>3</v>
      </c>
      <c r="C25" s="57" t="str">
        <f t="shared" si="0"/>
        <v>41003_3</v>
      </c>
      <c r="D25" s="17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68">
        <v>7</v>
      </c>
      <c r="F25" s="68" t="s">
        <v>277</v>
      </c>
      <c r="G25" s="68">
        <v>125</v>
      </c>
      <c r="H25" s="68">
        <v>1</v>
      </c>
      <c r="I25" s="68">
        <v>1</v>
      </c>
      <c r="J25" s="68">
        <v>1</v>
      </c>
      <c r="K25" s="68">
        <v>0</v>
      </c>
      <c r="L25" s="68">
        <v>0</v>
      </c>
      <c r="M25" s="68">
        <v>0</v>
      </c>
      <c r="N25" s="68">
        <v>0</v>
      </c>
      <c r="O25" s="68">
        <v>1</v>
      </c>
      <c r="P25" s="68">
        <v>30</v>
      </c>
      <c r="Q25" s="68" t="s">
        <v>168</v>
      </c>
      <c r="R25" s="68" t="s">
        <v>169</v>
      </c>
    </row>
    <row r="26" spans="1:18" ht="16" thickBot="1" x14ac:dyDescent="0.2">
      <c r="A26" s="44">
        <v>41003</v>
      </c>
      <c r="B26" s="68">
        <v>3</v>
      </c>
      <c r="C26" s="57" t="str">
        <f t="shared" si="0"/>
        <v>41003_3</v>
      </c>
      <c r="D26" s="17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68">
        <v>8</v>
      </c>
      <c r="F26" s="214" t="s">
        <v>277</v>
      </c>
      <c r="G26" s="239">
        <v>314</v>
      </c>
      <c r="H26" s="214">
        <v>1</v>
      </c>
      <c r="I26" s="214">
        <v>1</v>
      </c>
      <c r="J26" s="214">
        <v>1</v>
      </c>
      <c r="K26" s="214">
        <v>0</v>
      </c>
      <c r="L26" s="214">
        <v>0</v>
      </c>
      <c r="M26" s="214">
        <v>0</v>
      </c>
      <c r="N26" s="214">
        <v>0</v>
      </c>
      <c r="O26" s="214">
        <v>1</v>
      </c>
      <c r="P26" s="214">
        <v>250</v>
      </c>
      <c r="Q26" s="68" t="s">
        <v>168</v>
      </c>
      <c r="R26" s="68" t="s">
        <v>169</v>
      </c>
    </row>
    <row r="27" spans="1:18" x14ac:dyDescent="0.15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</row>
    <row r="28" spans="1:18" x14ac:dyDescent="0.15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</row>
    <row r="29" spans="1:18" x14ac:dyDescent="0.15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</row>
  </sheetData>
  <phoneticPr fontId="5"/>
  <dataValidations count="1">
    <dataValidation type="list" allowBlank="1" showInputMessage="1" showErrorMessage="1" sqref="F2:F26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40"/>
  <sheetViews>
    <sheetView showGridLines="0" workbookViewId="0">
      <pane ySplit="1" topLeftCell="A22" activePane="bottomLeft" state="frozen"/>
      <selection pane="bottomLeft" activeCell="J43" sqref="J43"/>
    </sheetView>
  </sheetViews>
  <sheetFormatPr baseColWidth="12" defaultColWidth="13" defaultRowHeight="15" outlineLevelCol="1" x14ac:dyDescent="0.15"/>
  <cols>
    <col min="1" max="1" width="13" style="7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63" t="s">
        <v>186</v>
      </c>
      <c r="B1" s="59" t="s">
        <v>187</v>
      </c>
      <c r="C1" s="64" t="s">
        <v>188</v>
      </c>
      <c r="D1" s="64" t="s">
        <v>33</v>
      </c>
      <c r="E1" s="59" t="s">
        <v>189</v>
      </c>
      <c r="F1" s="64" t="s">
        <v>190</v>
      </c>
      <c r="G1" s="64" t="s">
        <v>33</v>
      </c>
      <c r="H1" s="59" t="s">
        <v>191</v>
      </c>
      <c r="I1" s="78" t="s">
        <v>193</v>
      </c>
      <c r="J1" s="66" t="s">
        <v>124</v>
      </c>
      <c r="K1" s="65" t="s">
        <v>185</v>
      </c>
      <c r="L1" s="79" t="s">
        <v>184</v>
      </c>
      <c r="M1" s="67" t="s">
        <v>194</v>
      </c>
    </row>
    <row r="2" spans="1:13" x14ac:dyDescent="0.15">
      <c r="A2" s="68" t="s">
        <v>199</v>
      </c>
      <c r="B2" s="69">
        <v>41003</v>
      </c>
      <c r="C2" s="70" t="str">
        <f ca="1">VLOOKUP($B2,OFFSET([2]quests!$A$1,0,0,COUNTA([2]quests!$A:$A),MATCH(C$1,[2]quests!$1:$1,0)-MATCH($B$1,[2]quests!$1:$1,0)+1),MATCH(C$1,[2]quests!$1:$1,0)-MATCH($B$1,[2]quests!$1:$1,0)+1,FALSE)</f>
        <v>ジャンヌ襲来！</v>
      </c>
      <c r="D2" s="70" t="str">
        <f ca="1">VLOOKUP($B2,OFFSET([2]quests!$A$1,0,0,COUNTA([2]quests!$A:$A),MATCH(D$1,[2]quests!$1:$1,0)-MATCH($B$1,[2]quests!$1:$1,0)+1),MATCH(D$1,[2]quests!$1:$1,0)-MATCH($B$1,[2]quests!$1:$1,0)+1,FALSE)</f>
        <v>降臨1</v>
      </c>
      <c r="E2" s="74">
        <v>1</v>
      </c>
      <c r="F2" s="70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【超絶級】ジャンヌ襲来</v>
      </c>
      <c r="G2" s="70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72">
        <v>0</v>
      </c>
      <c r="I2">
        <v>12</v>
      </c>
      <c r="J2" s="71" t="s">
        <v>196</v>
      </c>
      <c r="K2" s="80" t="str">
        <f>VLOOKUP(I2,[7]stage_hints!$A:$C,3,FALSE)</f>
        <v>ユニットのお気に入り登録</v>
      </c>
      <c r="L2" s="81" t="str">
        <f>VLOOKUP(I2,[7]stage_hints!$A:$D,4,FALSE)</f>
        <v>大事なユニットを誤って消さないように_x000D_フォルダから「お気に入り登録」しましょう</v>
      </c>
      <c r="M2" s="44" t="s">
        <v>209</v>
      </c>
    </row>
    <row r="3" spans="1:13" x14ac:dyDescent="0.15">
      <c r="A3" s="68" t="s">
        <v>199</v>
      </c>
      <c r="B3" s="69">
        <v>41003</v>
      </c>
      <c r="C3" s="70" t="str">
        <f ca="1">VLOOKUP($B3,OFFSET([2]quests!$A$1,0,0,COUNTA([2]quests!$A:$A),MATCH(C$1,[2]quests!$1:$1,0)-MATCH($B$1,[2]quests!$1:$1,0)+1),MATCH(C$1,[2]quests!$1:$1,0)-MATCH($B$1,[2]quests!$1:$1,0)+1,FALSE)</f>
        <v>ジャンヌ襲来！</v>
      </c>
      <c r="D3" s="70" t="str">
        <f ca="1">VLOOKUP($B3,OFFSET([2]quests!$A$1,0,0,COUNTA([2]quests!$A:$A),MATCH(D$1,[2]quests!$1:$1,0)-MATCH($B$1,[2]quests!$1:$1,0)+1),MATCH(D$1,[2]quests!$1:$1,0)-MATCH($B$1,[2]quests!$1:$1,0)+1,FALSE)</f>
        <v>降臨1</v>
      </c>
      <c r="E3" s="74">
        <v>1</v>
      </c>
      <c r="F3" s="70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【超絶級】ジャンヌ襲来</v>
      </c>
      <c r="G3" s="70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72">
        <v>0</v>
      </c>
      <c r="I3">
        <v>17</v>
      </c>
      <c r="J3" s="71" t="s">
        <v>196</v>
      </c>
      <c r="K3" s="80" t="str">
        <f>VLOOKUP(I3,[7]stage_hints!$A:$C,3,FALSE)</f>
        <v>リンクガチャ</v>
      </c>
      <c r="L3" s="81" t="str">
        <f>VLOOKUP(I3,[7]stage_hints!$A:$D,4,FALSE)</f>
        <v>無料のリンクガチャを回して_x000D_経験値素材や売却素材を獲得しましょう</v>
      </c>
      <c r="M3" s="44" t="s">
        <v>209</v>
      </c>
    </row>
    <row r="4" spans="1:13" x14ac:dyDescent="0.15">
      <c r="A4" s="68" t="s">
        <v>199</v>
      </c>
      <c r="B4" s="69">
        <v>41003</v>
      </c>
      <c r="C4" s="70" t="str">
        <f ca="1">VLOOKUP($B4,OFFSET([2]quests!$A$1,0,0,COUNTA([2]quests!$A:$A),MATCH(C$1,[2]quests!$1:$1,0)-MATCH($B$1,[2]quests!$1:$1,0)+1),MATCH(C$1,[2]quests!$1:$1,0)-MATCH($B$1,[2]quests!$1:$1,0)+1,FALSE)</f>
        <v>ジャンヌ襲来！</v>
      </c>
      <c r="D4" s="70" t="str">
        <f ca="1">VLOOKUP($B4,OFFSET([2]quests!$A$1,0,0,COUNTA([2]quests!$A:$A),MATCH(D$1,[2]quests!$1:$1,0)-MATCH($B$1,[2]quests!$1:$1,0)+1),MATCH(D$1,[2]quests!$1:$1,0)-MATCH($B$1,[2]quests!$1:$1,0)+1,FALSE)</f>
        <v>降臨1</v>
      </c>
      <c r="E4" s="74">
        <v>1</v>
      </c>
      <c r="F4" s="70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【超絶級】ジャンヌ襲来</v>
      </c>
      <c r="G4" s="70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72">
        <v>0</v>
      </c>
      <c r="I4">
        <v>19</v>
      </c>
      <c r="J4" s="71" t="s">
        <v>196</v>
      </c>
      <c r="K4" s="80" t="str">
        <f>VLOOKUP(I4,[7]stage_hints!$A:$C,3,FALSE)</f>
        <v>ソロ専用チャレンジタワー</v>
      </c>
      <c r="L4" s="81" t="str">
        <f>VLOOKUP(I4,[7]stage_hints!$A:$D,4,FALSE)</f>
        <v>ソロ専用の「チャレンジタワー」では_x000D_各フロアごとにクリア報酬がもらえます</v>
      </c>
      <c r="M4" s="44" t="s">
        <v>209</v>
      </c>
    </row>
    <row r="5" spans="1:13" x14ac:dyDescent="0.15">
      <c r="A5" s="68" t="s">
        <v>199</v>
      </c>
      <c r="B5" s="69">
        <v>41003</v>
      </c>
      <c r="C5" s="70" t="str">
        <f ca="1">VLOOKUP($B5,OFFSET([2]quests!$A$1,0,0,COUNTA([2]quests!$A:$A),MATCH(C$1,[2]quests!$1:$1,0)-MATCH($B$1,[2]quests!$1:$1,0)+1),MATCH(C$1,[2]quests!$1:$1,0)-MATCH($B$1,[2]quests!$1:$1,0)+1,FALSE)</f>
        <v>ジャンヌ襲来！</v>
      </c>
      <c r="D5" s="70" t="str">
        <f ca="1">VLOOKUP($B5,OFFSET([2]quests!$A$1,0,0,COUNTA([2]quests!$A:$A),MATCH(D$1,[2]quests!$1:$1,0)-MATCH($B$1,[2]quests!$1:$1,0)+1),MATCH(D$1,[2]quests!$1:$1,0)-MATCH($B$1,[2]quests!$1:$1,0)+1,FALSE)</f>
        <v>降臨1</v>
      </c>
      <c r="E5" s="74">
        <v>1</v>
      </c>
      <c r="F5" s="70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【超絶級】ジャンヌ襲来</v>
      </c>
      <c r="G5" s="70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72">
        <v>0</v>
      </c>
      <c r="I5">
        <v>21</v>
      </c>
      <c r="J5" s="71" t="s">
        <v>196</v>
      </c>
      <c r="K5" s="80" t="str">
        <f>VLOOKUP(I5,[7]stage_hints!$A:$C,3,FALSE)</f>
        <v>スキルを有効に</v>
      </c>
      <c r="L5" s="81" t="str">
        <f>VLOOKUP(I5,[7]stage_hints!$A:$D,4,FALSE)</f>
        <v>ターン経過でユニットのスキルが使えます_x000D_強力スキルでバトルを有利に進めましょう</v>
      </c>
      <c r="M5" s="44" t="s">
        <v>209</v>
      </c>
    </row>
    <row r="6" spans="1:13" x14ac:dyDescent="0.15">
      <c r="A6" s="68" t="s">
        <v>199</v>
      </c>
      <c r="B6" s="69">
        <v>41003</v>
      </c>
      <c r="C6" s="70" t="str">
        <f ca="1">VLOOKUP($B6,OFFSET([2]quests!$A$1,0,0,COUNTA([2]quests!$A:$A),MATCH(C$1,[2]quests!$1:$1,0)-MATCH($B$1,[2]quests!$1:$1,0)+1),MATCH(C$1,[2]quests!$1:$1,0)-MATCH($B$1,[2]quests!$1:$1,0)+1,FALSE)</f>
        <v>ジャンヌ襲来！</v>
      </c>
      <c r="D6" s="70" t="str">
        <f ca="1">VLOOKUP($B6,OFFSET([2]quests!$A$1,0,0,COUNTA([2]quests!$A:$A),MATCH(D$1,[2]quests!$1:$1,0)-MATCH($B$1,[2]quests!$1:$1,0)+1),MATCH(D$1,[2]quests!$1:$1,0)-MATCH($B$1,[2]quests!$1:$1,0)+1,FALSE)</f>
        <v>降臨1</v>
      </c>
      <c r="E6" s="74">
        <v>1</v>
      </c>
      <c r="F6" s="70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【超絶級】ジャンヌ襲来</v>
      </c>
      <c r="G6" s="70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72">
        <v>0</v>
      </c>
      <c r="I6">
        <v>29</v>
      </c>
      <c r="J6" s="71" t="s">
        <v>196</v>
      </c>
      <c r="K6" s="80" t="str">
        <f>VLOOKUP(I6,[7]stage_hints!$A:$C,3,FALSE)</f>
        <v>「バグ」のメリット</v>
      </c>
      <c r="L6" s="81" t="str">
        <f>VLOOKUP(I6,[7]stage_hints!$A:$D,4,FALSE)</f>
        <v>ユニットの「バグ」を増やすと_x000D_報酬をもらえる確率がアップします</v>
      </c>
      <c r="M6" s="44" t="s">
        <v>209</v>
      </c>
    </row>
    <row r="7" spans="1:13" x14ac:dyDescent="0.15">
      <c r="A7" s="68" t="s">
        <v>199</v>
      </c>
      <c r="B7" s="69">
        <v>41003</v>
      </c>
      <c r="C7" s="70" t="str">
        <f ca="1">VLOOKUP($B7,OFFSET([2]quests!$A$1,0,0,COUNTA([2]quests!$A:$A),MATCH(C$1,[2]quests!$1:$1,0)-MATCH($B$1,[2]quests!$1:$1,0)+1),MATCH(C$1,[2]quests!$1:$1,0)-MATCH($B$1,[2]quests!$1:$1,0)+1,FALSE)</f>
        <v>ジャンヌ襲来！</v>
      </c>
      <c r="D7" s="70" t="str">
        <f ca="1">VLOOKUP($B7,OFFSET([2]quests!$A$1,0,0,COUNTA([2]quests!$A:$A),MATCH(D$1,[2]quests!$1:$1,0)-MATCH($B$1,[2]quests!$1:$1,0)+1),MATCH(D$1,[2]quests!$1:$1,0)-MATCH($B$1,[2]quests!$1:$1,0)+1,FALSE)</f>
        <v>降臨1</v>
      </c>
      <c r="E7" s="74">
        <v>1</v>
      </c>
      <c r="F7" s="70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【超絶級】ジャンヌ襲来</v>
      </c>
      <c r="G7" s="70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72">
        <v>0</v>
      </c>
      <c r="I7">
        <v>30</v>
      </c>
      <c r="J7" s="71" t="s">
        <v>196</v>
      </c>
      <c r="K7" s="80" t="str">
        <f>VLOOKUP(I7,[7]stage_hints!$A:$C,3,FALSE)</f>
        <v>「バグ」の増やし方</v>
      </c>
      <c r="L7" s="81" t="str">
        <f>VLOOKUP(I7,[7]stage_hints!$A:$D,4,FALSE)</f>
        <v>同じユニット同士を強化で合成すると_x000D_「バグ」を増やすことができます</v>
      </c>
      <c r="M7" s="44" t="s">
        <v>209</v>
      </c>
    </row>
    <row r="8" spans="1:13" x14ac:dyDescent="0.15">
      <c r="A8" s="68" t="s">
        <v>199</v>
      </c>
      <c r="B8" s="69">
        <v>41003</v>
      </c>
      <c r="C8" s="70" t="str">
        <f ca="1">VLOOKUP($B8,OFFSET([2]quests!$A$1,0,0,COUNTA([2]quests!$A:$A),MATCH(C$1,[2]quests!$1:$1,0)-MATCH($B$1,[2]quests!$1:$1,0)+1),MATCH(C$1,[2]quests!$1:$1,0)-MATCH($B$1,[2]quests!$1:$1,0)+1,FALSE)</f>
        <v>ジャンヌ襲来！</v>
      </c>
      <c r="D8" s="70" t="str">
        <f ca="1">VLOOKUP($B8,OFFSET([2]quests!$A$1,0,0,COUNTA([2]quests!$A:$A),MATCH(D$1,[2]quests!$1:$1,0)-MATCH($B$1,[2]quests!$1:$1,0)+1),MATCH(D$1,[2]quests!$1:$1,0)-MATCH($B$1,[2]quests!$1:$1,0)+1,FALSE)</f>
        <v>降臨1</v>
      </c>
      <c r="E8" s="74">
        <v>1</v>
      </c>
      <c r="F8" s="70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【超絶級】ジャンヌ襲来</v>
      </c>
      <c r="G8" s="70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72">
        <v>0</v>
      </c>
      <c r="I8">
        <v>32</v>
      </c>
      <c r="J8" s="71" t="s">
        <v>196</v>
      </c>
      <c r="K8" s="80" t="str">
        <f>VLOOKUP(I8,[7]stage_hints!$A:$C,3,FALSE)</f>
        <v>敵の連続攻撃には</v>
      </c>
      <c r="L8" s="81" t="str">
        <f>VLOOKUP(I8,[7]stage_hints!$A:$D,4,FALSE)</f>
        <v>カウンタースキルを持つユニットがいれば_x000D_ダメージ回数分の反撃ができます</v>
      </c>
      <c r="M8" s="44" t="s">
        <v>209</v>
      </c>
    </row>
    <row r="9" spans="1:13" x14ac:dyDescent="0.15">
      <c r="A9" s="68" t="s">
        <v>199</v>
      </c>
      <c r="B9" s="69">
        <v>41003</v>
      </c>
      <c r="C9" s="70" t="str">
        <f ca="1">VLOOKUP($B9,OFFSET([2]quests!$A$1,0,0,COUNTA([2]quests!$A:$A),MATCH(C$1,[2]quests!$1:$1,0)-MATCH($B$1,[2]quests!$1:$1,0)+1),MATCH(C$1,[2]quests!$1:$1,0)-MATCH($B$1,[2]quests!$1:$1,0)+1,FALSE)</f>
        <v>ジャンヌ襲来！</v>
      </c>
      <c r="D9" s="70" t="str">
        <f ca="1">VLOOKUP($B9,OFFSET([2]quests!$A$1,0,0,COUNTA([2]quests!$A:$A),MATCH(D$1,[2]quests!$1:$1,0)-MATCH($B$1,[2]quests!$1:$1,0)+1),MATCH(D$1,[2]quests!$1:$1,0)-MATCH($B$1,[2]quests!$1:$1,0)+1,FALSE)</f>
        <v>降臨1</v>
      </c>
      <c r="E9" s="74">
        <v>1</v>
      </c>
      <c r="F9" s="70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【超絶級】ジャンヌ襲来</v>
      </c>
      <c r="G9" s="70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72">
        <v>0</v>
      </c>
      <c r="I9">
        <v>33</v>
      </c>
      <c r="J9" s="71" t="s">
        <v>196</v>
      </c>
      <c r="K9" s="80" t="str">
        <f>VLOOKUP(I9,[7]stage_hints!$A:$C,3,FALSE)</f>
        <v>敵のカウンター攻撃には</v>
      </c>
      <c r="L9" s="81" t="str">
        <f>VLOOKUP(I9,[7]stage_hints!$A:$D,4,FALSE)</f>
        <v>カウンターブレイクスキルを持っていれば_x000D_敵のカウンターを解除して攻撃ができます</v>
      </c>
      <c r="M9" s="44" t="s">
        <v>209</v>
      </c>
    </row>
    <row r="10" spans="1:13" x14ac:dyDescent="0.15">
      <c r="A10" s="68" t="s">
        <v>199</v>
      </c>
      <c r="B10" s="69">
        <v>41003</v>
      </c>
      <c r="C10" s="70" t="str">
        <f ca="1">VLOOKUP($B10,OFFSET([2]quests!$A$1,0,0,COUNTA([2]quests!$A:$A),MATCH(C$1,[2]quests!$1:$1,0)-MATCH($B$1,[2]quests!$1:$1,0)+1),MATCH(C$1,[2]quests!$1:$1,0)-MATCH($B$1,[2]quests!$1:$1,0)+1,FALSE)</f>
        <v>ジャンヌ襲来！</v>
      </c>
      <c r="D10" s="70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74">
        <v>1</v>
      </c>
      <c r="F10" s="70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【超絶級】ジャンヌ襲来</v>
      </c>
      <c r="G10" s="70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72">
        <v>0</v>
      </c>
      <c r="I10">
        <v>34</v>
      </c>
      <c r="J10" s="71" t="s">
        <v>196</v>
      </c>
      <c r="K10" s="80" t="str">
        <f>VLOOKUP(I10,[7]stage_hints!$A:$C,3,FALSE)</f>
        <v>ステータスをスキルで下げられたら</v>
      </c>
      <c r="L10" s="81" t="str">
        <f>VLOOKUP(I10,[7]stage_hints!$A:$D,4,FALSE)</f>
        <v>ステータスダウンのスキルを受けたら_x000D_ステータスアップスキルで上書きしましょう</v>
      </c>
      <c r="M10" s="44" t="s">
        <v>209</v>
      </c>
    </row>
    <row r="11" spans="1:13" x14ac:dyDescent="0.15">
      <c r="A11" s="68" t="s">
        <v>199</v>
      </c>
      <c r="B11" s="69">
        <v>41003</v>
      </c>
      <c r="C11" s="70" t="str">
        <f ca="1">VLOOKUP($B11,OFFSET([2]quests!$A$1,0,0,COUNTA([2]quests!$A:$A),MATCH(C$1,[2]quests!$1:$1,0)-MATCH($B$1,[2]quests!$1:$1,0)+1),MATCH(C$1,[2]quests!$1:$1,0)-MATCH($B$1,[2]quests!$1:$1,0)+1,FALSE)</f>
        <v>ジャンヌ襲来！</v>
      </c>
      <c r="D11" s="70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74">
        <v>1</v>
      </c>
      <c r="F11" s="70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【超絶級】ジャンヌ襲来</v>
      </c>
      <c r="G11" s="70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72">
        <v>0</v>
      </c>
      <c r="I11">
        <v>35</v>
      </c>
      <c r="J11" s="71" t="s">
        <v>196</v>
      </c>
      <c r="K11" s="80" t="str">
        <f>VLOOKUP(I11,[7]stage_hints!$A:$C,3,FALSE)</f>
        <v>敵のステータスがスキルで上がったら</v>
      </c>
      <c r="L11" s="81" t="str">
        <f>VLOOKUP(I11,[7]stage_hints!$A:$D,4,FALSE)</f>
        <v>敵のステータスがスキルでアップしたときは_x000D_ステータスダウンスキルで上書きしましょう</v>
      </c>
      <c r="M11" s="44" t="s">
        <v>209</v>
      </c>
    </row>
    <row r="12" spans="1:13" x14ac:dyDescent="0.15">
      <c r="A12" s="68" t="s">
        <v>199</v>
      </c>
      <c r="B12" s="69">
        <v>41003</v>
      </c>
      <c r="C12" s="70" t="str">
        <f ca="1">VLOOKUP($B12,OFFSET([2]quests!$A$1,0,0,COUNTA([2]quests!$A:$A),MATCH(C$1,[2]quests!$1:$1,0)-MATCH($B$1,[2]quests!$1:$1,0)+1),MATCH(C$1,[2]quests!$1:$1,0)-MATCH($B$1,[2]quests!$1:$1,0)+1,FALSE)</f>
        <v>ジャンヌ襲来！</v>
      </c>
      <c r="D12" s="70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74">
        <v>1</v>
      </c>
      <c r="F12" s="70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【超絶級】ジャンヌ襲来</v>
      </c>
      <c r="G12" s="70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72">
        <v>0</v>
      </c>
      <c r="I12">
        <v>36</v>
      </c>
      <c r="J12" s="71" t="s">
        <v>196</v>
      </c>
      <c r="K12" s="80" t="str">
        <f>VLOOKUP(I12,[7]stage_hints!$A:$C,3,FALSE)</f>
        <v>チャレンジタワーのボス</v>
      </c>
      <c r="L12" s="81" t="str">
        <f>VLOOKUP(I12,[7]stage_hints!$A:$D,4,FALSE)</f>
        <v>チャレンジタワーでのみ登場するボスは_x000D_一定確率で獲得することができます</v>
      </c>
      <c r="M12" s="44" t="s">
        <v>209</v>
      </c>
    </row>
    <row r="13" spans="1:13" x14ac:dyDescent="0.15">
      <c r="A13" s="68" t="s">
        <v>199</v>
      </c>
      <c r="B13" s="69">
        <v>41003</v>
      </c>
      <c r="C13" s="70" t="str">
        <f ca="1">VLOOKUP($B13,OFFSET([2]quests!$A$1,0,0,COUNTA([2]quests!$A:$A),MATCH(C$1,[2]quests!$1:$1,0)-MATCH($B$1,[2]quests!$1:$1,0)+1),MATCH(C$1,[2]quests!$1:$1,0)-MATCH($B$1,[2]quests!$1:$1,0)+1,FALSE)</f>
        <v>ジャンヌ襲来！</v>
      </c>
      <c r="D13" s="70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74">
        <v>1</v>
      </c>
      <c r="F13" s="70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【超絶級】ジャンヌ襲来</v>
      </c>
      <c r="G13" s="70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72">
        <v>0</v>
      </c>
      <c r="I13">
        <v>37</v>
      </c>
      <c r="J13" s="71" t="s">
        <v>196</v>
      </c>
      <c r="K13" s="80" t="str">
        <f>VLOOKUP(I13,[7]stage_hints!$A:$C,3,FALSE)</f>
        <v>限界突破値の引き継ぎ</v>
      </c>
      <c r="L13" s="81" t="str">
        <f>VLOOKUP(I13,[7]stage_hints!$A:$D,4,FALSE)</f>
        <v>同じユニットを強化で合成すると_x000D_限界突破値を引き継げます（覚醒前後も可）</v>
      </c>
      <c r="M13" s="44" t="s">
        <v>209</v>
      </c>
    </row>
    <row r="14" spans="1:13" x14ac:dyDescent="0.15">
      <c r="A14" s="68" t="s">
        <v>199</v>
      </c>
      <c r="B14" s="69">
        <v>41003</v>
      </c>
      <c r="C14" s="70" t="str">
        <f ca="1">VLOOKUP($B14,OFFSET([2]quests!$A$1,0,0,COUNTA([2]quests!$A:$A),MATCH(C$1,[2]quests!$1:$1,0)-MATCH($B$1,[2]quests!$1:$1,0)+1),MATCH(C$1,[2]quests!$1:$1,0)-MATCH($B$1,[2]quests!$1:$1,0)+1,FALSE)</f>
        <v>ジャンヌ襲来！</v>
      </c>
      <c r="D14" s="70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74">
        <v>1</v>
      </c>
      <c r="F14" s="70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【超絶級】ジャンヌ襲来</v>
      </c>
      <c r="G14" s="70" t="str">
        <f ca="1">VLOOKUP($B14&amp;"_"&amp;$E14,OFFSET([2]stages!$A$1,0,0,COUNTA([2]stages!$A:$A),MATCH(G$1,[2]stages!$2:$2,0)-MATCH("temp_stage",[2]stages!$2:$2,0)+1),MATCH(G$1,[2]stages!$2:$2,0)-MATCH("temp_stage",[2]stages!$2:$2,0)+1,FALSE)</f>
        <v>降臨1</v>
      </c>
      <c r="H14" s="72">
        <v>0</v>
      </c>
      <c r="I14">
        <v>39</v>
      </c>
      <c r="J14" s="71" t="s">
        <v>196</v>
      </c>
      <c r="K14" s="80" t="str">
        <f>VLOOKUP(I14,[7]stage_hints!$A:$C,3,FALSE)</f>
        <v>システム適合者を確認</v>
      </c>
      <c r="L14" s="81" t="str">
        <f>VLOOKUP(I14,[7]stage_hints!$A:$D,4,FALSE)</f>
        <v>ALICEが「アナタ」を呼んでいます</v>
      </c>
      <c r="M14" s="44" t="s">
        <v>209</v>
      </c>
    </row>
    <row r="15" spans="1:13" x14ac:dyDescent="0.15">
      <c r="A15" s="68" t="s">
        <v>199</v>
      </c>
      <c r="B15" s="69">
        <v>41003</v>
      </c>
      <c r="C15" s="70" t="str">
        <f ca="1">VLOOKUP($B15,OFFSET([2]quests!$A$1,0,0,COUNTA([2]quests!$A:$A),MATCH(C$1,[2]quests!$1:$1,0)-MATCH($B$1,[2]quests!$1:$1,0)+1),MATCH(C$1,[2]quests!$1:$1,0)-MATCH($B$1,[2]quests!$1:$1,0)+1,FALSE)</f>
        <v>ジャンヌ襲来！</v>
      </c>
      <c r="D15" s="70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74">
        <v>2</v>
      </c>
      <c r="F15" s="70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15" s="70" t="str">
        <f ca="1">VLOOKUP($B15&amp;"_"&amp;$E15,OFFSET([2]stages!$A$1,0,0,COUNTA([2]stages!$A:$A),MATCH(G$1,[2]stages!$2:$2,0)-MATCH("temp_stage",[2]stages!$2:$2,0)+1),MATCH(G$1,[2]stages!$2:$2,0)-MATCH("temp_stage",[2]stages!$2:$2,0)+1,FALSE)</f>
        <v>降臨1</v>
      </c>
      <c r="H15" s="72">
        <v>0</v>
      </c>
      <c r="I15">
        <v>12</v>
      </c>
      <c r="J15" s="71" t="s">
        <v>196</v>
      </c>
      <c r="K15" s="80" t="str">
        <f>VLOOKUP(I15,[7]stage_hints!$A:$C,3,FALSE)</f>
        <v>ユニットのお気に入り登録</v>
      </c>
      <c r="L15" s="81" t="str">
        <f>VLOOKUP(I15,[7]stage_hints!$A:$D,4,FALSE)</f>
        <v>大事なユニットを誤って消さないように_x000D_フォルダから「お気に入り登録」しましょう</v>
      </c>
      <c r="M15" s="44" t="s">
        <v>209</v>
      </c>
    </row>
    <row r="16" spans="1:13" x14ac:dyDescent="0.15">
      <c r="A16" s="68" t="s">
        <v>199</v>
      </c>
      <c r="B16" s="69">
        <v>41003</v>
      </c>
      <c r="C16" s="70" t="str">
        <f ca="1">VLOOKUP($B16,OFFSET([2]quests!$A$1,0,0,COUNTA([2]quests!$A:$A),MATCH(C$1,[2]quests!$1:$1,0)-MATCH($B$1,[2]quests!$1:$1,0)+1),MATCH(C$1,[2]quests!$1:$1,0)-MATCH($B$1,[2]quests!$1:$1,0)+1,FALSE)</f>
        <v>ジャンヌ襲来！</v>
      </c>
      <c r="D16" s="70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74">
        <v>2</v>
      </c>
      <c r="F16" s="70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16" s="70" t="str">
        <f ca="1">VLOOKUP($B16&amp;"_"&amp;$E16,OFFSET([2]stages!$A$1,0,0,COUNTA([2]stages!$A:$A),MATCH(G$1,[2]stages!$2:$2,0)-MATCH("temp_stage",[2]stages!$2:$2,0)+1),MATCH(G$1,[2]stages!$2:$2,0)-MATCH("temp_stage",[2]stages!$2:$2,0)+1,FALSE)</f>
        <v>降臨1</v>
      </c>
      <c r="H16" s="72">
        <v>0</v>
      </c>
      <c r="I16">
        <v>17</v>
      </c>
      <c r="J16" s="71" t="s">
        <v>196</v>
      </c>
      <c r="K16" s="80" t="str">
        <f>VLOOKUP(I16,[7]stage_hints!$A:$C,3,FALSE)</f>
        <v>リンクガチャ</v>
      </c>
      <c r="L16" s="81" t="str">
        <f>VLOOKUP(I16,[7]stage_hints!$A:$D,4,FALSE)</f>
        <v>無料のリンクガチャを回して_x000D_経験値素材や売却素材を獲得しましょう</v>
      </c>
      <c r="M16" s="44" t="s">
        <v>209</v>
      </c>
    </row>
    <row r="17" spans="1:13" x14ac:dyDescent="0.15">
      <c r="A17" s="68" t="s">
        <v>199</v>
      </c>
      <c r="B17" s="69">
        <v>41003</v>
      </c>
      <c r="C17" s="70" t="str">
        <f ca="1">VLOOKUP($B17,OFFSET([2]quests!$A$1,0,0,COUNTA([2]quests!$A:$A),MATCH(C$1,[2]quests!$1:$1,0)-MATCH($B$1,[2]quests!$1:$1,0)+1),MATCH(C$1,[2]quests!$1:$1,0)-MATCH($B$1,[2]quests!$1:$1,0)+1,FALSE)</f>
        <v>ジャンヌ襲来！</v>
      </c>
      <c r="D17" s="70" t="str">
        <f ca="1">VLOOKUP($B17,OFFSET([2]quests!$A$1,0,0,COUNTA([2]quests!$A:$A),MATCH(D$1,[2]quests!$1:$1,0)-MATCH($B$1,[2]quests!$1:$1,0)+1),MATCH(D$1,[2]quests!$1:$1,0)-MATCH($B$1,[2]quests!$1:$1,0)+1,FALSE)</f>
        <v>降臨1</v>
      </c>
      <c r="E17" s="74">
        <v>2</v>
      </c>
      <c r="F17" s="70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17" s="70" t="str">
        <f ca="1">VLOOKUP($B17&amp;"_"&amp;$E17,OFFSET([2]stages!$A$1,0,0,COUNTA([2]stages!$A:$A),MATCH(G$1,[2]stages!$2:$2,0)-MATCH("temp_stage",[2]stages!$2:$2,0)+1),MATCH(G$1,[2]stages!$2:$2,0)-MATCH("temp_stage",[2]stages!$2:$2,0)+1,FALSE)</f>
        <v>降臨1</v>
      </c>
      <c r="H17" s="72">
        <v>0</v>
      </c>
      <c r="I17">
        <v>19</v>
      </c>
      <c r="J17" s="71" t="s">
        <v>196</v>
      </c>
      <c r="K17" s="80" t="str">
        <f>VLOOKUP(I17,[7]stage_hints!$A:$C,3,FALSE)</f>
        <v>ソロ専用チャレンジタワー</v>
      </c>
      <c r="L17" s="81" t="str">
        <f>VLOOKUP(I17,[7]stage_hints!$A:$D,4,FALSE)</f>
        <v>ソロ専用の「チャレンジタワー」では_x000D_各フロアごとにクリア報酬がもらえます</v>
      </c>
      <c r="M17" s="44" t="s">
        <v>209</v>
      </c>
    </row>
    <row r="18" spans="1:13" x14ac:dyDescent="0.15">
      <c r="A18" s="68" t="s">
        <v>199</v>
      </c>
      <c r="B18" s="69">
        <v>41003</v>
      </c>
      <c r="C18" s="70" t="str">
        <f ca="1">VLOOKUP($B18,OFFSET([2]quests!$A$1,0,0,COUNTA([2]quests!$A:$A),MATCH(C$1,[2]quests!$1:$1,0)-MATCH($B$1,[2]quests!$1:$1,0)+1),MATCH(C$1,[2]quests!$1:$1,0)-MATCH($B$1,[2]quests!$1:$1,0)+1,FALSE)</f>
        <v>ジャンヌ襲来！</v>
      </c>
      <c r="D18" s="70" t="str">
        <f ca="1">VLOOKUP($B18,OFFSET([2]quests!$A$1,0,0,COUNTA([2]quests!$A:$A),MATCH(D$1,[2]quests!$1:$1,0)-MATCH($B$1,[2]quests!$1:$1,0)+1),MATCH(D$1,[2]quests!$1:$1,0)-MATCH($B$1,[2]quests!$1:$1,0)+1,FALSE)</f>
        <v>降臨1</v>
      </c>
      <c r="E18" s="74">
        <v>2</v>
      </c>
      <c r="F18" s="70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18" s="70" t="str">
        <f ca="1">VLOOKUP($B18&amp;"_"&amp;$E18,OFFSET([2]stages!$A$1,0,0,COUNTA([2]stages!$A:$A),MATCH(G$1,[2]stages!$2:$2,0)-MATCH("temp_stage",[2]stages!$2:$2,0)+1),MATCH(G$1,[2]stages!$2:$2,0)-MATCH("temp_stage",[2]stages!$2:$2,0)+1,FALSE)</f>
        <v>降臨1</v>
      </c>
      <c r="H18" s="72">
        <v>0</v>
      </c>
      <c r="I18">
        <v>21</v>
      </c>
      <c r="J18" s="71" t="s">
        <v>196</v>
      </c>
      <c r="K18" s="80" t="str">
        <f>VLOOKUP(I18,[7]stage_hints!$A:$C,3,FALSE)</f>
        <v>スキルを有効に</v>
      </c>
      <c r="L18" s="81" t="str">
        <f>VLOOKUP(I18,[7]stage_hints!$A:$D,4,FALSE)</f>
        <v>ターン経過でユニットのスキルが使えます_x000D_強力スキルでバトルを有利に進めましょう</v>
      </c>
      <c r="M18" s="44" t="s">
        <v>209</v>
      </c>
    </row>
    <row r="19" spans="1:13" x14ac:dyDescent="0.15">
      <c r="A19" s="68" t="s">
        <v>199</v>
      </c>
      <c r="B19" s="69">
        <v>41003</v>
      </c>
      <c r="C19" s="70" t="str">
        <f ca="1">VLOOKUP($B19,OFFSET([2]quests!$A$1,0,0,COUNTA([2]quests!$A:$A),MATCH(C$1,[2]quests!$1:$1,0)-MATCH($B$1,[2]quests!$1:$1,0)+1),MATCH(C$1,[2]quests!$1:$1,0)-MATCH($B$1,[2]quests!$1:$1,0)+1,FALSE)</f>
        <v>ジャンヌ襲来！</v>
      </c>
      <c r="D19" s="70" t="str">
        <f ca="1">VLOOKUP($B19,OFFSET([2]quests!$A$1,0,0,COUNTA([2]quests!$A:$A),MATCH(D$1,[2]quests!$1:$1,0)-MATCH($B$1,[2]quests!$1:$1,0)+1),MATCH(D$1,[2]quests!$1:$1,0)-MATCH($B$1,[2]quests!$1:$1,0)+1,FALSE)</f>
        <v>降臨1</v>
      </c>
      <c r="E19" s="74">
        <v>2</v>
      </c>
      <c r="F19" s="70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19" s="70" t="str">
        <f ca="1">VLOOKUP($B19&amp;"_"&amp;$E19,OFFSET([2]stages!$A$1,0,0,COUNTA([2]stages!$A:$A),MATCH(G$1,[2]stages!$2:$2,0)-MATCH("temp_stage",[2]stages!$2:$2,0)+1),MATCH(G$1,[2]stages!$2:$2,0)-MATCH("temp_stage",[2]stages!$2:$2,0)+1,FALSE)</f>
        <v>降臨1</v>
      </c>
      <c r="H19" s="72">
        <v>0</v>
      </c>
      <c r="I19">
        <v>29</v>
      </c>
      <c r="J19" s="71" t="s">
        <v>196</v>
      </c>
      <c r="K19" s="80" t="str">
        <f>VLOOKUP(I19,[7]stage_hints!$A:$C,3,FALSE)</f>
        <v>「バグ」のメリット</v>
      </c>
      <c r="L19" s="81" t="str">
        <f>VLOOKUP(I19,[7]stage_hints!$A:$D,4,FALSE)</f>
        <v>ユニットの「バグ」を増やすと_x000D_報酬をもらえる確率がアップします</v>
      </c>
      <c r="M19" s="44" t="s">
        <v>209</v>
      </c>
    </row>
    <row r="20" spans="1:13" x14ac:dyDescent="0.15">
      <c r="A20" s="68" t="s">
        <v>199</v>
      </c>
      <c r="B20" s="69">
        <v>41003</v>
      </c>
      <c r="C20" s="70" t="str">
        <f ca="1">VLOOKUP($B20,OFFSET([2]quests!$A$1,0,0,COUNTA([2]quests!$A:$A),MATCH(C$1,[2]quests!$1:$1,0)-MATCH($B$1,[2]quests!$1:$1,0)+1),MATCH(C$1,[2]quests!$1:$1,0)-MATCH($B$1,[2]quests!$1:$1,0)+1,FALSE)</f>
        <v>ジャンヌ襲来！</v>
      </c>
      <c r="D20" s="70" t="str">
        <f ca="1">VLOOKUP($B20,OFFSET([2]quests!$A$1,0,0,COUNTA([2]quests!$A:$A),MATCH(D$1,[2]quests!$1:$1,0)-MATCH($B$1,[2]quests!$1:$1,0)+1),MATCH(D$1,[2]quests!$1:$1,0)-MATCH($B$1,[2]quests!$1:$1,0)+1,FALSE)</f>
        <v>降臨1</v>
      </c>
      <c r="E20" s="74">
        <v>2</v>
      </c>
      <c r="F20" s="70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20" s="70" t="str">
        <f ca="1">VLOOKUP($B20&amp;"_"&amp;$E20,OFFSET([2]stages!$A$1,0,0,COUNTA([2]stages!$A:$A),MATCH(G$1,[2]stages!$2:$2,0)-MATCH("temp_stage",[2]stages!$2:$2,0)+1),MATCH(G$1,[2]stages!$2:$2,0)-MATCH("temp_stage",[2]stages!$2:$2,0)+1,FALSE)</f>
        <v>降臨1</v>
      </c>
      <c r="H20" s="72">
        <v>0</v>
      </c>
      <c r="I20">
        <v>30</v>
      </c>
      <c r="J20" s="71" t="s">
        <v>196</v>
      </c>
      <c r="K20" s="80" t="str">
        <f>VLOOKUP(I20,[7]stage_hints!$A:$C,3,FALSE)</f>
        <v>「バグ」の増やし方</v>
      </c>
      <c r="L20" s="81" t="str">
        <f>VLOOKUP(I20,[7]stage_hints!$A:$D,4,FALSE)</f>
        <v>同じユニット同士を強化で合成すると_x000D_「バグ」を増やすことができます</v>
      </c>
      <c r="M20" s="44" t="s">
        <v>209</v>
      </c>
    </row>
    <row r="21" spans="1:13" x14ac:dyDescent="0.15">
      <c r="A21" s="68" t="s">
        <v>199</v>
      </c>
      <c r="B21" s="69">
        <v>41003</v>
      </c>
      <c r="C21" s="70" t="str">
        <f ca="1">VLOOKUP($B21,OFFSET([2]quests!$A$1,0,0,COUNTA([2]quests!$A:$A),MATCH(C$1,[2]quests!$1:$1,0)-MATCH($B$1,[2]quests!$1:$1,0)+1),MATCH(C$1,[2]quests!$1:$1,0)-MATCH($B$1,[2]quests!$1:$1,0)+1,FALSE)</f>
        <v>ジャンヌ襲来！</v>
      </c>
      <c r="D21" s="70" t="str">
        <f ca="1">VLOOKUP($B21,OFFSET([2]quests!$A$1,0,0,COUNTA([2]quests!$A:$A),MATCH(D$1,[2]quests!$1:$1,0)-MATCH($B$1,[2]quests!$1:$1,0)+1),MATCH(D$1,[2]quests!$1:$1,0)-MATCH($B$1,[2]quests!$1:$1,0)+1,FALSE)</f>
        <v>降臨1</v>
      </c>
      <c r="E21" s="74">
        <v>2</v>
      </c>
      <c r="F21" s="70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21" s="70" t="str">
        <f ca="1">VLOOKUP($B21&amp;"_"&amp;$E21,OFFSET([2]stages!$A$1,0,0,COUNTA([2]stages!$A:$A),MATCH(G$1,[2]stages!$2:$2,0)-MATCH("temp_stage",[2]stages!$2:$2,0)+1),MATCH(G$1,[2]stages!$2:$2,0)-MATCH("temp_stage",[2]stages!$2:$2,0)+1,FALSE)</f>
        <v>降臨1</v>
      </c>
      <c r="H21" s="72">
        <v>0</v>
      </c>
      <c r="I21">
        <v>32</v>
      </c>
      <c r="J21" s="71" t="s">
        <v>196</v>
      </c>
      <c r="K21" s="80" t="str">
        <f>VLOOKUP(I21,[7]stage_hints!$A:$C,3,FALSE)</f>
        <v>敵の連続攻撃には</v>
      </c>
      <c r="L21" s="81" t="str">
        <f>VLOOKUP(I21,[7]stage_hints!$A:$D,4,FALSE)</f>
        <v>カウンタースキルを持つユニットがいれば_x000D_ダメージ回数分の反撃ができます</v>
      </c>
      <c r="M21" s="44" t="s">
        <v>209</v>
      </c>
    </row>
    <row r="22" spans="1:13" x14ac:dyDescent="0.15">
      <c r="A22" s="68" t="s">
        <v>199</v>
      </c>
      <c r="B22" s="69">
        <v>41003</v>
      </c>
      <c r="C22" s="70" t="str">
        <f ca="1">VLOOKUP($B22,OFFSET([2]quests!$A$1,0,0,COUNTA([2]quests!$A:$A),MATCH(C$1,[2]quests!$1:$1,0)-MATCH($B$1,[2]quests!$1:$1,0)+1),MATCH(C$1,[2]quests!$1:$1,0)-MATCH($B$1,[2]quests!$1:$1,0)+1,FALSE)</f>
        <v>ジャンヌ襲来！</v>
      </c>
      <c r="D22" s="70" t="str">
        <f ca="1">VLOOKUP($B22,OFFSET([2]quests!$A$1,0,0,COUNTA([2]quests!$A:$A),MATCH(D$1,[2]quests!$1:$1,0)-MATCH($B$1,[2]quests!$1:$1,0)+1),MATCH(D$1,[2]quests!$1:$1,0)-MATCH($B$1,[2]quests!$1:$1,0)+1,FALSE)</f>
        <v>降臨1</v>
      </c>
      <c r="E22" s="74">
        <v>2</v>
      </c>
      <c r="F22" s="70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22" s="70" t="str">
        <f ca="1">VLOOKUP($B22&amp;"_"&amp;$E22,OFFSET([2]stages!$A$1,0,0,COUNTA([2]stages!$A:$A),MATCH(G$1,[2]stages!$2:$2,0)-MATCH("temp_stage",[2]stages!$2:$2,0)+1),MATCH(G$1,[2]stages!$2:$2,0)-MATCH("temp_stage",[2]stages!$2:$2,0)+1,FALSE)</f>
        <v>降臨1</v>
      </c>
      <c r="H22" s="72">
        <v>0</v>
      </c>
      <c r="I22">
        <v>33</v>
      </c>
      <c r="J22" s="71" t="s">
        <v>196</v>
      </c>
      <c r="K22" s="80" t="str">
        <f>VLOOKUP(I22,[7]stage_hints!$A:$C,3,FALSE)</f>
        <v>敵のカウンター攻撃には</v>
      </c>
      <c r="L22" s="81" t="str">
        <f>VLOOKUP(I22,[7]stage_hints!$A:$D,4,FALSE)</f>
        <v>カウンターブレイクスキルを持っていれば_x000D_敵のカウンターを解除して攻撃ができます</v>
      </c>
      <c r="M22" s="44" t="s">
        <v>209</v>
      </c>
    </row>
    <row r="23" spans="1:13" x14ac:dyDescent="0.15">
      <c r="A23" s="68" t="s">
        <v>199</v>
      </c>
      <c r="B23" s="69">
        <v>41003</v>
      </c>
      <c r="C23" s="70" t="str">
        <f ca="1">VLOOKUP($B23,OFFSET([2]quests!$A$1,0,0,COUNTA([2]quests!$A:$A),MATCH(C$1,[2]quests!$1:$1,0)-MATCH($B$1,[2]quests!$1:$1,0)+1),MATCH(C$1,[2]quests!$1:$1,0)-MATCH($B$1,[2]quests!$1:$1,0)+1,FALSE)</f>
        <v>ジャンヌ襲来！</v>
      </c>
      <c r="D23" s="70" t="str">
        <f ca="1">VLOOKUP($B23,OFFSET([2]quests!$A$1,0,0,COUNTA([2]quests!$A:$A),MATCH(D$1,[2]quests!$1:$1,0)-MATCH($B$1,[2]quests!$1:$1,0)+1),MATCH(D$1,[2]quests!$1:$1,0)-MATCH($B$1,[2]quests!$1:$1,0)+1,FALSE)</f>
        <v>降臨1</v>
      </c>
      <c r="E23" s="74">
        <v>2</v>
      </c>
      <c r="F23" s="70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23" s="70" t="str">
        <f ca="1">VLOOKUP($B23&amp;"_"&amp;$E23,OFFSET([2]stages!$A$1,0,0,COUNTA([2]stages!$A:$A),MATCH(G$1,[2]stages!$2:$2,0)-MATCH("temp_stage",[2]stages!$2:$2,0)+1),MATCH(G$1,[2]stages!$2:$2,0)-MATCH("temp_stage",[2]stages!$2:$2,0)+1,FALSE)</f>
        <v>降臨1</v>
      </c>
      <c r="H23" s="72">
        <v>0</v>
      </c>
      <c r="I23">
        <v>34</v>
      </c>
      <c r="J23" s="71" t="s">
        <v>196</v>
      </c>
      <c r="K23" s="80" t="str">
        <f>VLOOKUP(I23,[7]stage_hints!$A:$C,3,FALSE)</f>
        <v>ステータスをスキルで下げられたら</v>
      </c>
      <c r="L23" s="81" t="str">
        <f>VLOOKUP(I23,[7]stage_hints!$A:$D,4,FALSE)</f>
        <v>ステータスダウンのスキルを受けたら_x000D_ステータスアップスキルで上書きしましょう</v>
      </c>
      <c r="M23" s="44" t="s">
        <v>209</v>
      </c>
    </row>
    <row r="24" spans="1:13" x14ac:dyDescent="0.15">
      <c r="A24" s="68" t="s">
        <v>199</v>
      </c>
      <c r="B24" s="69">
        <v>41003</v>
      </c>
      <c r="C24" s="70" t="str">
        <f ca="1">VLOOKUP($B24,OFFSET([2]quests!$A$1,0,0,COUNTA([2]quests!$A:$A),MATCH(C$1,[2]quests!$1:$1,0)-MATCH($B$1,[2]quests!$1:$1,0)+1),MATCH(C$1,[2]quests!$1:$1,0)-MATCH($B$1,[2]quests!$1:$1,0)+1,FALSE)</f>
        <v>ジャンヌ襲来！</v>
      </c>
      <c r="D24" s="70" t="str">
        <f ca="1">VLOOKUP($B24,OFFSET([2]quests!$A$1,0,0,COUNTA([2]quests!$A:$A),MATCH(D$1,[2]quests!$1:$1,0)-MATCH($B$1,[2]quests!$1:$1,0)+1),MATCH(D$1,[2]quests!$1:$1,0)-MATCH($B$1,[2]quests!$1:$1,0)+1,FALSE)</f>
        <v>降臨1</v>
      </c>
      <c r="E24" s="74">
        <v>2</v>
      </c>
      <c r="F24" s="70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24" s="70" t="str">
        <f ca="1">VLOOKUP($B24&amp;"_"&amp;$E24,OFFSET([2]stages!$A$1,0,0,COUNTA([2]stages!$A:$A),MATCH(G$1,[2]stages!$2:$2,0)-MATCH("temp_stage",[2]stages!$2:$2,0)+1),MATCH(G$1,[2]stages!$2:$2,0)-MATCH("temp_stage",[2]stages!$2:$2,0)+1,FALSE)</f>
        <v>降臨1</v>
      </c>
      <c r="H24" s="72">
        <v>0</v>
      </c>
      <c r="I24">
        <v>35</v>
      </c>
      <c r="J24" s="71" t="s">
        <v>196</v>
      </c>
      <c r="K24" s="80" t="str">
        <f>VLOOKUP(I24,[7]stage_hints!$A:$C,3,FALSE)</f>
        <v>敵のステータスがスキルで上がったら</v>
      </c>
      <c r="L24" s="81" t="str">
        <f>VLOOKUP(I24,[7]stage_hints!$A:$D,4,FALSE)</f>
        <v>敵のステータスがスキルでアップしたときは_x000D_ステータスダウンスキルで上書きしましょう</v>
      </c>
      <c r="M24" s="44" t="s">
        <v>209</v>
      </c>
    </row>
    <row r="25" spans="1:13" x14ac:dyDescent="0.15">
      <c r="A25" s="68" t="s">
        <v>199</v>
      </c>
      <c r="B25" s="69">
        <v>41003</v>
      </c>
      <c r="C25" s="70" t="str">
        <f ca="1">VLOOKUP($B25,OFFSET([2]quests!$A$1,0,0,COUNTA([2]quests!$A:$A),MATCH(C$1,[2]quests!$1:$1,0)-MATCH($B$1,[2]quests!$1:$1,0)+1),MATCH(C$1,[2]quests!$1:$1,0)-MATCH($B$1,[2]quests!$1:$1,0)+1,FALSE)</f>
        <v>ジャンヌ襲来！</v>
      </c>
      <c r="D25" s="70" t="str">
        <f ca="1">VLOOKUP($B25,OFFSET([2]quests!$A$1,0,0,COUNTA([2]quests!$A:$A),MATCH(D$1,[2]quests!$1:$1,0)-MATCH($B$1,[2]quests!$1:$1,0)+1),MATCH(D$1,[2]quests!$1:$1,0)-MATCH($B$1,[2]quests!$1:$1,0)+1,FALSE)</f>
        <v>降臨1</v>
      </c>
      <c r="E25" s="74">
        <v>2</v>
      </c>
      <c r="F25" s="70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25" s="70" t="str">
        <f ca="1">VLOOKUP($B25&amp;"_"&amp;$E25,OFFSET([2]stages!$A$1,0,0,COUNTA([2]stages!$A:$A),MATCH(G$1,[2]stages!$2:$2,0)-MATCH("temp_stage",[2]stages!$2:$2,0)+1),MATCH(G$1,[2]stages!$2:$2,0)-MATCH("temp_stage",[2]stages!$2:$2,0)+1,FALSE)</f>
        <v>降臨1</v>
      </c>
      <c r="H25" s="72">
        <v>0</v>
      </c>
      <c r="I25">
        <v>36</v>
      </c>
      <c r="J25" s="71" t="s">
        <v>196</v>
      </c>
      <c r="K25" s="80" t="str">
        <f>VLOOKUP(I25,[7]stage_hints!$A:$C,3,FALSE)</f>
        <v>チャレンジタワーのボス</v>
      </c>
      <c r="L25" s="81" t="str">
        <f>VLOOKUP(I25,[7]stage_hints!$A:$D,4,FALSE)</f>
        <v>チャレンジタワーでのみ登場するボスは_x000D_一定確率で獲得することができます</v>
      </c>
      <c r="M25" s="44" t="s">
        <v>209</v>
      </c>
    </row>
    <row r="26" spans="1:13" x14ac:dyDescent="0.15">
      <c r="A26" s="68" t="s">
        <v>199</v>
      </c>
      <c r="B26" s="69">
        <v>41003</v>
      </c>
      <c r="C26" s="70" t="str">
        <f ca="1">VLOOKUP($B26,OFFSET([2]quests!$A$1,0,0,COUNTA([2]quests!$A:$A),MATCH(C$1,[2]quests!$1:$1,0)-MATCH($B$1,[2]quests!$1:$1,0)+1),MATCH(C$1,[2]quests!$1:$1,0)-MATCH($B$1,[2]quests!$1:$1,0)+1,FALSE)</f>
        <v>ジャンヌ襲来！</v>
      </c>
      <c r="D26" s="70" t="str">
        <f ca="1">VLOOKUP($B26,OFFSET([2]quests!$A$1,0,0,COUNTA([2]quests!$A:$A),MATCH(D$1,[2]quests!$1:$1,0)-MATCH($B$1,[2]quests!$1:$1,0)+1),MATCH(D$1,[2]quests!$1:$1,0)-MATCH($B$1,[2]quests!$1:$1,0)+1,FALSE)</f>
        <v>降臨1</v>
      </c>
      <c r="E26" s="74">
        <v>2</v>
      </c>
      <c r="F26" s="70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26" s="70" t="str">
        <f ca="1">VLOOKUP($B26&amp;"_"&amp;$E26,OFFSET([2]stages!$A$1,0,0,COUNTA([2]stages!$A:$A),MATCH(G$1,[2]stages!$2:$2,0)-MATCH("temp_stage",[2]stages!$2:$2,0)+1),MATCH(G$1,[2]stages!$2:$2,0)-MATCH("temp_stage",[2]stages!$2:$2,0)+1,FALSE)</f>
        <v>降臨1</v>
      </c>
      <c r="H26" s="72">
        <v>0</v>
      </c>
      <c r="I26">
        <v>37</v>
      </c>
      <c r="J26" s="71" t="s">
        <v>196</v>
      </c>
      <c r="K26" s="80" t="str">
        <f>VLOOKUP(I26,[7]stage_hints!$A:$C,3,FALSE)</f>
        <v>限界突破値の引き継ぎ</v>
      </c>
      <c r="L26" s="81" t="str">
        <f>VLOOKUP(I26,[7]stage_hints!$A:$D,4,FALSE)</f>
        <v>同じユニットを強化で合成すると_x000D_限界突破値を引き継げます（覚醒前後も可）</v>
      </c>
      <c r="M26" s="44" t="s">
        <v>209</v>
      </c>
    </row>
    <row r="27" spans="1:13" x14ac:dyDescent="0.15">
      <c r="A27" s="68" t="s">
        <v>199</v>
      </c>
      <c r="B27" s="69">
        <v>41003</v>
      </c>
      <c r="C27" s="70" t="str">
        <f ca="1">VLOOKUP($B27,OFFSET([2]quests!$A$1,0,0,COUNTA([2]quests!$A:$A),MATCH(C$1,[2]quests!$1:$1,0)-MATCH($B$1,[2]quests!$1:$1,0)+1),MATCH(C$1,[2]quests!$1:$1,0)-MATCH($B$1,[2]quests!$1:$1,0)+1,FALSE)</f>
        <v>ジャンヌ襲来！</v>
      </c>
      <c r="D27" s="70" t="str">
        <f ca="1">VLOOKUP($B27,OFFSET([2]quests!$A$1,0,0,COUNTA([2]quests!$A:$A),MATCH(D$1,[2]quests!$1:$1,0)-MATCH($B$1,[2]quests!$1:$1,0)+1),MATCH(D$1,[2]quests!$1:$1,0)-MATCH($B$1,[2]quests!$1:$1,0)+1,FALSE)</f>
        <v>降臨1</v>
      </c>
      <c r="E27" s="74">
        <v>2</v>
      </c>
      <c r="F27" s="70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27" s="70" t="str">
        <f ca="1">VLOOKUP($B27&amp;"_"&amp;$E27,OFFSET([2]stages!$A$1,0,0,COUNTA([2]stages!$A:$A),MATCH(G$1,[2]stages!$2:$2,0)-MATCH("temp_stage",[2]stages!$2:$2,0)+1),MATCH(G$1,[2]stages!$2:$2,0)-MATCH("temp_stage",[2]stages!$2:$2,0)+1,FALSE)</f>
        <v>降臨1</v>
      </c>
      <c r="H27" s="72">
        <v>0</v>
      </c>
      <c r="I27">
        <v>39</v>
      </c>
      <c r="J27" s="71" t="s">
        <v>196</v>
      </c>
      <c r="K27" s="80" t="str">
        <f>VLOOKUP(I27,[7]stage_hints!$A:$C,3,FALSE)</f>
        <v>システム適合者を確認</v>
      </c>
      <c r="L27" s="81" t="str">
        <f>VLOOKUP(I27,[7]stage_hints!$A:$D,4,FALSE)</f>
        <v>ALICEが「アナタ」を呼んでいます</v>
      </c>
      <c r="M27" s="44" t="s">
        <v>209</v>
      </c>
    </row>
    <row r="28" spans="1:13" x14ac:dyDescent="0.15">
      <c r="A28" s="68" t="s">
        <v>199</v>
      </c>
      <c r="B28" s="69">
        <v>41003</v>
      </c>
      <c r="C28" s="70" t="str">
        <f ca="1">VLOOKUP($B28,OFFSET([2]quests!$A$1,0,0,COUNTA([2]quests!$A:$A),MATCH(C$1,[2]quests!$1:$1,0)-MATCH($B$1,[2]quests!$1:$1,0)+1),MATCH(C$1,[2]quests!$1:$1,0)-MATCH($B$1,[2]quests!$1:$1,0)+1,FALSE)</f>
        <v>ジャンヌ襲来！</v>
      </c>
      <c r="D28" s="70" t="str">
        <f ca="1">VLOOKUP($B28,OFFSET([2]quests!$A$1,0,0,COUNTA([2]quests!$A:$A),MATCH(D$1,[2]quests!$1:$1,0)-MATCH($B$1,[2]quests!$1:$1,0)+1),MATCH(D$1,[2]quests!$1:$1,0)-MATCH($B$1,[2]quests!$1:$1,0)+1,FALSE)</f>
        <v>降臨1</v>
      </c>
      <c r="E28" s="74">
        <v>3</v>
      </c>
      <c r="F28" s="70" t="str">
        <f ca="1">VLOOKUP($B28&amp;"_"&amp;$E28,OFFSET([2]stages!$A$1,0,0,COUNTA([2]stages!$A:$A),MATCH(F$1,[2]stages!$2:$2,0)-MATCH("temp_stage",[2]stages!$2:$2,0)+1),MATCH(F$1,[2]stages!$2:$2,0)-MATCH("temp_stage",[2]stages!$2:$2,0)+1,FALSE)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28" s="70" t="str">
        <f ca="1">VLOOKUP($B28&amp;"_"&amp;$E28,OFFSET([2]stages!$A$1,0,0,COUNTA([2]stages!$A:$A),MATCH(G$1,[2]stages!$2:$2,0)-MATCH("temp_stage",[2]stages!$2:$2,0)+1),MATCH(G$1,[2]stages!$2:$2,0)-MATCH("temp_stage",[2]stages!$2:$2,0)+1,FALSE)</f>
        <v>降臨1</v>
      </c>
      <c r="H28" s="72">
        <v>0</v>
      </c>
      <c r="I28">
        <v>12</v>
      </c>
      <c r="J28" s="71" t="s">
        <v>125</v>
      </c>
      <c r="K28" s="80" t="str">
        <f>VLOOKUP(I28,[7]stage_hints!$A:$C,3,FALSE)</f>
        <v>ユニットのお気に入り登録</v>
      </c>
      <c r="L28" s="81" t="str">
        <f>VLOOKUP(I28,[7]stage_hints!$A:$D,4,FALSE)</f>
        <v>大事なユニットを誤って消さないように_x000D_フォルダから「お気に入り登録」しましょう</v>
      </c>
      <c r="M28" s="44" t="s">
        <v>198</v>
      </c>
    </row>
    <row r="29" spans="1:13" x14ac:dyDescent="0.15">
      <c r="A29" s="68" t="s">
        <v>199</v>
      </c>
      <c r="B29" s="69">
        <v>41003</v>
      </c>
      <c r="C29" s="70" t="str">
        <f ca="1">VLOOKUP($B29,OFFSET([2]quests!$A$1,0,0,COUNTA([2]quests!$A:$A),MATCH(C$1,[2]quests!$1:$1,0)-MATCH($B$1,[2]quests!$1:$1,0)+1),MATCH(C$1,[2]quests!$1:$1,0)-MATCH($B$1,[2]quests!$1:$1,0)+1,FALSE)</f>
        <v>ジャンヌ襲来！</v>
      </c>
      <c r="D29" s="70" t="str">
        <f ca="1">VLOOKUP($B29,OFFSET([2]quests!$A$1,0,0,COUNTA([2]quests!$A:$A),MATCH(D$1,[2]quests!$1:$1,0)-MATCH($B$1,[2]quests!$1:$1,0)+1),MATCH(D$1,[2]quests!$1:$1,0)-MATCH($B$1,[2]quests!$1:$1,0)+1,FALSE)</f>
        <v>降臨1</v>
      </c>
      <c r="E29" s="74">
        <v>3</v>
      </c>
      <c r="F29" s="70" t="str">
        <f ca="1">VLOOKUP($B29&amp;"_"&amp;$E29,OFFSET([2]stages!$A$1,0,0,COUNTA([2]stages!$A:$A),MATCH(F$1,[2]stages!$2:$2,0)-MATCH("temp_stage",[2]stages!$2:$2,0)+1),MATCH(F$1,[2]stages!$2:$2,0)-MATCH("temp_stage",[2]stages!$2:$2,0)+1,FALSE)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29" s="70" t="str">
        <f ca="1">VLOOKUP($B29&amp;"_"&amp;$E29,OFFSET([2]stages!$A$1,0,0,COUNTA([2]stages!$A:$A),MATCH(G$1,[2]stages!$2:$2,0)-MATCH("temp_stage",[2]stages!$2:$2,0)+1),MATCH(G$1,[2]stages!$2:$2,0)-MATCH("temp_stage",[2]stages!$2:$2,0)+1,FALSE)</f>
        <v>降臨1</v>
      </c>
      <c r="H29" s="72">
        <v>0</v>
      </c>
      <c r="I29">
        <v>17</v>
      </c>
      <c r="J29" s="71" t="s">
        <v>125</v>
      </c>
      <c r="K29" s="80" t="str">
        <f>VLOOKUP(I29,[7]stage_hints!$A:$C,3,FALSE)</f>
        <v>リンクガチャ</v>
      </c>
      <c r="L29" s="81" t="str">
        <f>VLOOKUP(I29,[7]stage_hints!$A:$D,4,FALSE)</f>
        <v>無料のリンクガチャを回して_x000D_経験値素材や売却素材を獲得しましょう</v>
      </c>
      <c r="M29" s="44" t="s">
        <v>198</v>
      </c>
    </row>
    <row r="30" spans="1:13" x14ac:dyDescent="0.15">
      <c r="A30" s="68" t="s">
        <v>199</v>
      </c>
      <c r="B30" s="69">
        <v>41003</v>
      </c>
      <c r="C30" s="70" t="str">
        <f ca="1">VLOOKUP($B30,OFFSET([2]quests!$A$1,0,0,COUNTA([2]quests!$A:$A),MATCH(C$1,[2]quests!$1:$1,0)-MATCH($B$1,[2]quests!$1:$1,0)+1),MATCH(C$1,[2]quests!$1:$1,0)-MATCH($B$1,[2]quests!$1:$1,0)+1,FALSE)</f>
        <v>ジャンヌ襲来！</v>
      </c>
      <c r="D30" s="70" t="str">
        <f ca="1">VLOOKUP($B30,OFFSET([2]quests!$A$1,0,0,COUNTA([2]quests!$A:$A),MATCH(D$1,[2]quests!$1:$1,0)-MATCH($B$1,[2]quests!$1:$1,0)+1),MATCH(D$1,[2]quests!$1:$1,0)-MATCH($B$1,[2]quests!$1:$1,0)+1,FALSE)</f>
        <v>降臨1</v>
      </c>
      <c r="E30" s="74">
        <v>3</v>
      </c>
      <c r="F30" s="70" t="str">
        <f ca="1">VLOOKUP($B30&amp;"_"&amp;$E30,OFFSET([2]stages!$A$1,0,0,COUNTA([2]stages!$A:$A),MATCH(F$1,[2]stages!$2:$2,0)-MATCH("temp_stage",[2]stages!$2:$2,0)+1),MATCH(F$1,[2]stages!$2:$2,0)-MATCH("temp_stage",[2]stages!$2:$2,0)+1,FALSE)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30" s="70" t="str">
        <f ca="1">VLOOKUP($B30&amp;"_"&amp;$E30,OFFSET([2]stages!$A$1,0,0,COUNTA([2]stages!$A:$A),MATCH(G$1,[2]stages!$2:$2,0)-MATCH("temp_stage",[2]stages!$2:$2,0)+1),MATCH(G$1,[2]stages!$2:$2,0)-MATCH("temp_stage",[2]stages!$2:$2,0)+1,FALSE)</f>
        <v>降臨1</v>
      </c>
      <c r="H30" s="72">
        <v>0</v>
      </c>
      <c r="I30">
        <v>19</v>
      </c>
      <c r="J30" s="71" t="s">
        <v>125</v>
      </c>
      <c r="K30" s="80" t="str">
        <f>VLOOKUP(I30,[7]stage_hints!$A:$C,3,FALSE)</f>
        <v>ソロ専用チャレンジタワー</v>
      </c>
      <c r="L30" s="81" t="str">
        <f>VLOOKUP(I30,[7]stage_hints!$A:$D,4,FALSE)</f>
        <v>ソロ専用の「チャレンジタワー」では_x000D_各フロアごとにクリア報酬がもらえます</v>
      </c>
      <c r="M30" s="44" t="s">
        <v>198</v>
      </c>
    </row>
    <row r="31" spans="1:13" x14ac:dyDescent="0.15">
      <c r="A31" s="68" t="s">
        <v>199</v>
      </c>
      <c r="B31" s="69">
        <v>41003</v>
      </c>
      <c r="C31" s="70" t="str">
        <f ca="1">VLOOKUP($B31,OFFSET([2]quests!$A$1,0,0,COUNTA([2]quests!$A:$A),MATCH(C$1,[2]quests!$1:$1,0)-MATCH($B$1,[2]quests!$1:$1,0)+1),MATCH(C$1,[2]quests!$1:$1,0)-MATCH($B$1,[2]quests!$1:$1,0)+1,FALSE)</f>
        <v>ジャンヌ襲来！</v>
      </c>
      <c r="D31" s="70" t="str">
        <f ca="1">VLOOKUP($B31,OFFSET([2]quests!$A$1,0,0,COUNTA([2]quests!$A:$A),MATCH(D$1,[2]quests!$1:$1,0)-MATCH($B$1,[2]quests!$1:$1,0)+1),MATCH(D$1,[2]quests!$1:$1,0)-MATCH($B$1,[2]quests!$1:$1,0)+1,FALSE)</f>
        <v>降臨1</v>
      </c>
      <c r="E31" s="74">
        <v>3</v>
      </c>
      <c r="F31" s="70" t="str">
        <f ca="1">VLOOKUP($B31&amp;"_"&amp;$E31,OFFSET([2]stages!$A$1,0,0,COUNTA([2]stages!$A:$A),MATCH(F$1,[2]stages!$2:$2,0)-MATCH("temp_stage",[2]stages!$2:$2,0)+1),MATCH(F$1,[2]stages!$2:$2,0)-MATCH("temp_stage",[2]stages!$2:$2,0)+1,FALSE)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31" s="70" t="str">
        <f ca="1">VLOOKUP($B31&amp;"_"&amp;$E31,OFFSET([2]stages!$A$1,0,0,COUNTA([2]stages!$A:$A),MATCH(G$1,[2]stages!$2:$2,0)-MATCH("temp_stage",[2]stages!$2:$2,0)+1),MATCH(G$1,[2]stages!$2:$2,0)-MATCH("temp_stage",[2]stages!$2:$2,0)+1,FALSE)</f>
        <v>降臨1</v>
      </c>
      <c r="H31" s="72">
        <v>0</v>
      </c>
      <c r="I31">
        <v>21</v>
      </c>
      <c r="J31" s="71" t="s">
        <v>125</v>
      </c>
      <c r="K31" s="80" t="str">
        <f>VLOOKUP(I31,[7]stage_hints!$A:$C,3,FALSE)</f>
        <v>スキルを有効に</v>
      </c>
      <c r="L31" s="81" t="str">
        <f>VLOOKUP(I31,[7]stage_hints!$A:$D,4,FALSE)</f>
        <v>ターン経過でユニットのスキルが使えます_x000D_強力スキルでバトルを有利に進めましょう</v>
      </c>
      <c r="M31" s="44" t="s">
        <v>198</v>
      </c>
    </row>
    <row r="32" spans="1:13" x14ac:dyDescent="0.15">
      <c r="A32" s="68" t="s">
        <v>199</v>
      </c>
      <c r="B32" s="69">
        <v>41003</v>
      </c>
      <c r="C32" s="70" t="str">
        <f ca="1">VLOOKUP($B32,OFFSET([2]quests!$A$1,0,0,COUNTA([2]quests!$A:$A),MATCH(C$1,[2]quests!$1:$1,0)-MATCH($B$1,[2]quests!$1:$1,0)+1),MATCH(C$1,[2]quests!$1:$1,0)-MATCH($B$1,[2]quests!$1:$1,0)+1,FALSE)</f>
        <v>ジャンヌ襲来！</v>
      </c>
      <c r="D32" s="70" t="str">
        <f ca="1">VLOOKUP($B32,OFFSET([2]quests!$A$1,0,0,COUNTA([2]quests!$A:$A),MATCH(D$1,[2]quests!$1:$1,0)-MATCH($B$1,[2]quests!$1:$1,0)+1),MATCH(D$1,[2]quests!$1:$1,0)-MATCH($B$1,[2]quests!$1:$1,0)+1,FALSE)</f>
        <v>降臨1</v>
      </c>
      <c r="E32" s="74">
        <v>3</v>
      </c>
      <c r="F32" s="70" t="str">
        <f ca="1">VLOOKUP($B32&amp;"_"&amp;$E32,OFFSET([2]stages!$A$1,0,0,COUNTA([2]stages!$A:$A),MATCH(F$1,[2]stages!$2:$2,0)-MATCH("temp_stage",[2]stages!$2:$2,0)+1),MATCH(F$1,[2]stages!$2:$2,0)-MATCH("temp_stage",[2]stages!$2:$2,0)+1,FALSE)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32" s="70" t="str">
        <f ca="1">VLOOKUP($B32&amp;"_"&amp;$E32,OFFSET([2]stages!$A$1,0,0,COUNTA([2]stages!$A:$A),MATCH(G$1,[2]stages!$2:$2,0)-MATCH("temp_stage",[2]stages!$2:$2,0)+1),MATCH(G$1,[2]stages!$2:$2,0)-MATCH("temp_stage",[2]stages!$2:$2,0)+1,FALSE)</f>
        <v>降臨1</v>
      </c>
      <c r="H32" s="72">
        <v>0</v>
      </c>
      <c r="I32">
        <v>29</v>
      </c>
      <c r="J32" s="71" t="s">
        <v>125</v>
      </c>
      <c r="K32" s="80" t="str">
        <f>VLOOKUP(I32,[7]stage_hints!$A:$C,3,FALSE)</f>
        <v>「バグ」のメリット</v>
      </c>
      <c r="L32" s="81" t="str">
        <f>VLOOKUP(I32,[7]stage_hints!$A:$D,4,FALSE)</f>
        <v>ユニットの「バグ」を増やすと_x000D_報酬をもらえる確率がアップします</v>
      </c>
      <c r="M32" s="44" t="s">
        <v>198</v>
      </c>
    </row>
    <row r="33" spans="1:13" x14ac:dyDescent="0.15">
      <c r="A33" s="68" t="s">
        <v>199</v>
      </c>
      <c r="B33" s="69">
        <v>41003</v>
      </c>
      <c r="C33" s="70" t="str">
        <f ca="1">VLOOKUP($B33,OFFSET([2]quests!$A$1,0,0,COUNTA([2]quests!$A:$A),MATCH(C$1,[2]quests!$1:$1,0)-MATCH($B$1,[2]quests!$1:$1,0)+1),MATCH(C$1,[2]quests!$1:$1,0)-MATCH($B$1,[2]quests!$1:$1,0)+1,FALSE)</f>
        <v>ジャンヌ襲来！</v>
      </c>
      <c r="D33" s="70" t="str">
        <f ca="1">VLOOKUP($B33,OFFSET([2]quests!$A$1,0,0,COUNTA([2]quests!$A:$A),MATCH(D$1,[2]quests!$1:$1,0)-MATCH($B$1,[2]quests!$1:$1,0)+1),MATCH(D$1,[2]quests!$1:$1,0)-MATCH($B$1,[2]quests!$1:$1,0)+1,FALSE)</f>
        <v>降臨1</v>
      </c>
      <c r="E33" s="74">
        <v>3</v>
      </c>
      <c r="F33" s="70" t="str">
        <f ca="1">VLOOKUP($B33&amp;"_"&amp;$E33,OFFSET([2]stages!$A$1,0,0,COUNTA([2]stages!$A:$A),MATCH(F$1,[2]stages!$2:$2,0)-MATCH("temp_stage",[2]stages!$2:$2,0)+1),MATCH(F$1,[2]stages!$2:$2,0)-MATCH("temp_stage",[2]stages!$2:$2,0)+1,FALSE)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33" s="70" t="str">
        <f ca="1">VLOOKUP($B33&amp;"_"&amp;$E33,OFFSET([2]stages!$A$1,0,0,COUNTA([2]stages!$A:$A),MATCH(G$1,[2]stages!$2:$2,0)-MATCH("temp_stage",[2]stages!$2:$2,0)+1),MATCH(G$1,[2]stages!$2:$2,0)-MATCH("temp_stage",[2]stages!$2:$2,0)+1,FALSE)</f>
        <v>降臨1</v>
      </c>
      <c r="H33" s="72">
        <v>0</v>
      </c>
      <c r="I33">
        <v>30</v>
      </c>
      <c r="J33" s="71" t="s">
        <v>125</v>
      </c>
      <c r="K33" s="80" t="str">
        <f>VLOOKUP(I33,[7]stage_hints!$A:$C,3,FALSE)</f>
        <v>「バグ」の増やし方</v>
      </c>
      <c r="L33" s="81" t="str">
        <f>VLOOKUP(I33,[7]stage_hints!$A:$D,4,FALSE)</f>
        <v>同じユニット同士を強化で合成すると_x000D_「バグ」を増やすことができます</v>
      </c>
      <c r="M33" s="44" t="s">
        <v>198</v>
      </c>
    </row>
    <row r="34" spans="1:13" x14ac:dyDescent="0.15">
      <c r="A34" s="68" t="s">
        <v>199</v>
      </c>
      <c r="B34" s="69">
        <v>41003</v>
      </c>
      <c r="C34" s="70" t="str">
        <f ca="1">VLOOKUP($B34,OFFSET([2]quests!$A$1,0,0,COUNTA([2]quests!$A:$A),MATCH(C$1,[2]quests!$1:$1,0)-MATCH($B$1,[2]quests!$1:$1,0)+1),MATCH(C$1,[2]quests!$1:$1,0)-MATCH($B$1,[2]quests!$1:$1,0)+1,FALSE)</f>
        <v>ジャンヌ襲来！</v>
      </c>
      <c r="D34" s="70" t="str">
        <f ca="1">VLOOKUP($B34,OFFSET([2]quests!$A$1,0,0,COUNTA([2]quests!$A:$A),MATCH(D$1,[2]quests!$1:$1,0)-MATCH($B$1,[2]quests!$1:$1,0)+1),MATCH(D$1,[2]quests!$1:$1,0)-MATCH($B$1,[2]quests!$1:$1,0)+1,FALSE)</f>
        <v>降臨1</v>
      </c>
      <c r="E34" s="74">
        <v>3</v>
      </c>
      <c r="F34" s="70" t="str">
        <f ca="1">VLOOKUP($B34&amp;"_"&amp;$E34,OFFSET([2]stages!$A$1,0,0,COUNTA([2]stages!$A:$A),MATCH(F$1,[2]stages!$2:$2,0)-MATCH("temp_stage",[2]stages!$2:$2,0)+1),MATCH(F$1,[2]stages!$2:$2,0)-MATCH("temp_stage",[2]stages!$2:$2,0)+1,FALSE)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34" s="70" t="str">
        <f ca="1">VLOOKUP($B34&amp;"_"&amp;$E34,OFFSET([2]stages!$A$1,0,0,COUNTA([2]stages!$A:$A),MATCH(G$1,[2]stages!$2:$2,0)-MATCH("temp_stage",[2]stages!$2:$2,0)+1),MATCH(G$1,[2]stages!$2:$2,0)-MATCH("temp_stage",[2]stages!$2:$2,0)+1,FALSE)</f>
        <v>降臨1</v>
      </c>
      <c r="H34" s="72">
        <v>0</v>
      </c>
      <c r="I34">
        <v>32</v>
      </c>
      <c r="J34" s="71" t="s">
        <v>125</v>
      </c>
      <c r="K34" s="80" t="str">
        <f>VLOOKUP(I34,[7]stage_hints!$A:$C,3,FALSE)</f>
        <v>敵の連続攻撃には</v>
      </c>
      <c r="L34" s="81" t="str">
        <f>VLOOKUP(I34,[7]stage_hints!$A:$D,4,FALSE)</f>
        <v>カウンタースキルを持つユニットがいれば_x000D_ダメージ回数分の反撃ができます</v>
      </c>
      <c r="M34" s="44" t="s">
        <v>198</v>
      </c>
    </row>
    <row r="35" spans="1:13" x14ac:dyDescent="0.15">
      <c r="A35" s="68" t="s">
        <v>199</v>
      </c>
      <c r="B35" s="69">
        <v>41003</v>
      </c>
      <c r="C35" s="70" t="str">
        <f ca="1">VLOOKUP($B35,OFFSET([2]quests!$A$1,0,0,COUNTA([2]quests!$A:$A),MATCH(C$1,[2]quests!$1:$1,0)-MATCH($B$1,[2]quests!$1:$1,0)+1),MATCH(C$1,[2]quests!$1:$1,0)-MATCH($B$1,[2]quests!$1:$1,0)+1,FALSE)</f>
        <v>ジャンヌ襲来！</v>
      </c>
      <c r="D35" s="70" t="str">
        <f ca="1">VLOOKUP($B35,OFFSET([2]quests!$A$1,0,0,COUNTA([2]quests!$A:$A),MATCH(D$1,[2]quests!$1:$1,0)-MATCH($B$1,[2]quests!$1:$1,0)+1),MATCH(D$1,[2]quests!$1:$1,0)-MATCH($B$1,[2]quests!$1:$1,0)+1,FALSE)</f>
        <v>降臨1</v>
      </c>
      <c r="E35" s="74">
        <v>3</v>
      </c>
      <c r="F35" s="70" t="str">
        <f ca="1">VLOOKUP($B35&amp;"_"&amp;$E35,OFFSET([2]stages!$A$1,0,0,COUNTA([2]stages!$A:$A),MATCH(F$1,[2]stages!$2:$2,0)-MATCH("temp_stage",[2]stages!$2:$2,0)+1),MATCH(F$1,[2]stages!$2:$2,0)-MATCH("temp_stage",[2]stages!$2:$2,0)+1,FALSE)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35" s="70" t="str">
        <f ca="1">VLOOKUP($B35&amp;"_"&amp;$E35,OFFSET([2]stages!$A$1,0,0,COUNTA([2]stages!$A:$A),MATCH(G$1,[2]stages!$2:$2,0)-MATCH("temp_stage",[2]stages!$2:$2,0)+1),MATCH(G$1,[2]stages!$2:$2,0)-MATCH("temp_stage",[2]stages!$2:$2,0)+1,FALSE)</f>
        <v>降臨1</v>
      </c>
      <c r="H35" s="72">
        <v>0</v>
      </c>
      <c r="I35">
        <v>33</v>
      </c>
      <c r="J35" s="71" t="s">
        <v>125</v>
      </c>
      <c r="K35" s="80" t="str">
        <f>VLOOKUP(I35,[7]stage_hints!$A:$C,3,FALSE)</f>
        <v>敵のカウンター攻撃には</v>
      </c>
      <c r="L35" s="81" t="str">
        <f>VLOOKUP(I35,[7]stage_hints!$A:$D,4,FALSE)</f>
        <v>カウンターブレイクスキルを持っていれば_x000D_敵のカウンターを解除して攻撃ができます</v>
      </c>
      <c r="M35" s="44" t="s">
        <v>198</v>
      </c>
    </row>
    <row r="36" spans="1:13" x14ac:dyDescent="0.15">
      <c r="A36" s="68" t="s">
        <v>199</v>
      </c>
      <c r="B36" s="69">
        <v>41003</v>
      </c>
      <c r="C36" s="70" t="str">
        <f ca="1">VLOOKUP($B36,OFFSET([2]quests!$A$1,0,0,COUNTA([2]quests!$A:$A),MATCH(C$1,[2]quests!$1:$1,0)-MATCH($B$1,[2]quests!$1:$1,0)+1),MATCH(C$1,[2]quests!$1:$1,0)-MATCH($B$1,[2]quests!$1:$1,0)+1,FALSE)</f>
        <v>ジャンヌ襲来！</v>
      </c>
      <c r="D36" s="70" t="str">
        <f ca="1">VLOOKUP($B36,OFFSET([2]quests!$A$1,0,0,COUNTA([2]quests!$A:$A),MATCH(D$1,[2]quests!$1:$1,0)-MATCH($B$1,[2]quests!$1:$1,0)+1),MATCH(D$1,[2]quests!$1:$1,0)-MATCH($B$1,[2]quests!$1:$1,0)+1,FALSE)</f>
        <v>降臨1</v>
      </c>
      <c r="E36" s="74">
        <v>3</v>
      </c>
      <c r="F36" s="70" t="str">
        <f ca="1">VLOOKUP($B36&amp;"_"&amp;$E36,OFFSET([2]stages!$A$1,0,0,COUNTA([2]stages!$A:$A),MATCH(F$1,[2]stages!$2:$2,0)-MATCH("temp_stage",[2]stages!$2:$2,0)+1),MATCH(F$1,[2]stages!$2:$2,0)-MATCH("temp_stage",[2]stages!$2:$2,0)+1,FALSE)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36" s="70" t="str">
        <f ca="1">VLOOKUP($B36&amp;"_"&amp;$E36,OFFSET([2]stages!$A$1,0,0,COUNTA([2]stages!$A:$A),MATCH(G$1,[2]stages!$2:$2,0)-MATCH("temp_stage",[2]stages!$2:$2,0)+1),MATCH(G$1,[2]stages!$2:$2,0)-MATCH("temp_stage",[2]stages!$2:$2,0)+1,FALSE)</f>
        <v>降臨1</v>
      </c>
      <c r="H36" s="72">
        <v>0</v>
      </c>
      <c r="I36">
        <v>34</v>
      </c>
      <c r="J36" s="71" t="s">
        <v>125</v>
      </c>
      <c r="K36" s="80" t="str">
        <f>VLOOKUP(I36,[7]stage_hints!$A:$C,3,FALSE)</f>
        <v>ステータスをスキルで下げられたら</v>
      </c>
      <c r="L36" s="81" t="str">
        <f>VLOOKUP(I36,[7]stage_hints!$A:$D,4,FALSE)</f>
        <v>ステータスダウンのスキルを受けたら_x000D_ステータスアップスキルで上書きしましょう</v>
      </c>
      <c r="M36" s="44" t="s">
        <v>198</v>
      </c>
    </row>
    <row r="37" spans="1:13" x14ac:dyDescent="0.15">
      <c r="A37" s="68" t="s">
        <v>199</v>
      </c>
      <c r="B37" s="69">
        <v>41003</v>
      </c>
      <c r="C37" s="70" t="str">
        <f ca="1">VLOOKUP($B37,OFFSET([2]quests!$A$1,0,0,COUNTA([2]quests!$A:$A),MATCH(C$1,[2]quests!$1:$1,0)-MATCH($B$1,[2]quests!$1:$1,0)+1),MATCH(C$1,[2]quests!$1:$1,0)-MATCH($B$1,[2]quests!$1:$1,0)+1,FALSE)</f>
        <v>ジャンヌ襲来！</v>
      </c>
      <c r="D37" s="70" t="str">
        <f ca="1">VLOOKUP($B37,OFFSET([2]quests!$A$1,0,0,COUNTA([2]quests!$A:$A),MATCH(D$1,[2]quests!$1:$1,0)-MATCH($B$1,[2]quests!$1:$1,0)+1),MATCH(D$1,[2]quests!$1:$1,0)-MATCH($B$1,[2]quests!$1:$1,0)+1,FALSE)</f>
        <v>降臨1</v>
      </c>
      <c r="E37" s="74">
        <v>3</v>
      </c>
      <c r="F37" s="70" t="str">
        <f ca="1">VLOOKUP($B37&amp;"_"&amp;$E37,OFFSET([2]stages!$A$1,0,0,COUNTA([2]stages!$A:$A),MATCH(F$1,[2]stages!$2:$2,0)-MATCH("temp_stage",[2]stages!$2:$2,0)+1),MATCH(F$1,[2]stages!$2:$2,0)-MATCH("temp_stage",[2]stages!$2:$2,0)+1,FALSE)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37" s="70" t="str">
        <f ca="1">VLOOKUP($B37&amp;"_"&amp;$E37,OFFSET([2]stages!$A$1,0,0,COUNTA([2]stages!$A:$A),MATCH(G$1,[2]stages!$2:$2,0)-MATCH("temp_stage",[2]stages!$2:$2,0)+1),MATCH(G$1,[2]stages!$2:$2,0)-MATCH("temp_stage",[2]stages!$2:$2,0)+1,FALSE)</f>
        <v>降臨1</v>
      </c>
      <c r="H37" s="72">
        <v>0</v>
      </c>
      <c r="I37">
        <v>35</v>
      </c>
      <c r="J37" s="71" t="s">
        <v>125</v>
      </c>
      <c r="K37" s="80" t="str">
        <f>VLOOKUP(I37,[7]stage_hints!$A:$C,3,FALSE)</f>
        <v>敵のステータスがスキルで上がったら</v>
      </c>
      <c r="L37" s="81" t="str">
        <f>VLOOKUP(I37,[7]stage_hints!$A:$D,4,FALSE)</f>
        <v>敵のステータスがスキルでアップしたときは_x000D_ステータスダウンスキルで上書きしましょう</v>
      </c>
      <c r="M37" s="44" t="s">
        <v>198</v>
      </c>
    </row>
    <row r="38" spans="1:13" x14ac:dyDescent="0.15">
      <c r="A38" s="68" t="s">
        <v>199</v>
      </c>
      <c r="B38" s="69">
        <v>41003</v>
      </c>
      <c r="C38" s="70" t="str">
        <f ca="1">VLOOKUP($B38,OFFSET([2]quests!$A$1,0,0,COUNTA([2]quests!$A:$A),MATCH(C$1,[2]quests!$1:$1,0)-MATCH($B$1,[2]quests!$1:$1,0)+1),MATCH(C$1,[2]quests!$1:$1,0)-MATCH($B$1,[2]quests!$1:$1,0)+1,FALSE)</f>
        <v>ジャンヌ襲来！</v>
      </c>
      <c r="D38" s="70" t="str">
        <f ca="1">VLOOKUP($B38,OFFSET([2]quests!$A$1,0,0,COUNTA([2]quests!$A:$A),MATCH(D$1,[2]quests!$1:$1,0)-MATCH($B$1,[2]quests!$1:$1,0)+1),MATCH(D$1,[2]quests!$1:$1,0)-MATCH($B$1,[2]quests!$1:$1,0)+1,FALSE)</f>
        <v>降臨1</v>
      </c>
      <c r="E38" s="74">
        <v>3</v>
      </c>
      <c r="F38" s="70" t="str">
        <f ca="1">VLOOKUP($B38&amp;"_"&amp;$E38,OFFSET([2]stages!$A$1,0,0,COUNTA([2]stages!$A:$A),MATCH(F$1,[2]stages!$2:$2,0)-MATCH("temp_stage",[2]stages!$2:$2,0)+1),MATCH(F$1,[2]stages!$2:$2,0)-MATCH("temp_stage",[2]stages!$2:$2,0)+1,FALSE)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38" s="70" t="str">
        <f ca="1">VLOOKUP($B38&amp;"_"&amp;$E38,OFFSET([2]stages!$A$1,0,0,COUNTA([2]stages!$A:$A),MATCH(G$1,[2]stages!$2:$2,0)-MATCH("temp_stage",[2]stages!$2:$2,0)+1),MATCH(G$1,[2]stages!$2:$2,0)-MATCH("temp_stage",[2]stages!$2:$2,0)+1,FALSE)</f>
        <v>降臨1</v>
      </c>
      <c r="H38" s="72">
        <v>0</v>
      </c>
      <c r="I38">
        <v>36</v>
      </c>
      <c r="J38" s="71" t="s">
        <v>125</v>
      </c>
      <c r="K38" s="80" t="str">
        <f>VLOOKUP(I38,[7]stage_hints!$A:$C,3,FALSE)</f>
        <v>チャレンジタワーのボス</v>
      </c>
      <c r="L38" s="81" t="str">
        <f>VLOOKUP(I38,[7]stage_hints!$A:$D,4,FALSE)</f>
        <v>チャレンジタワーでのみ登場するボスは_x000D_一定確率で獲得することができます</v>
      </c>
      <c r="M38" s="44" t="s">
        <v>198</v>
      </c>
    </row>
    <row r="39" spans="1:13" x14ac:dyDescent="0.15">
      <c r="A39" s="68" t="s">
        <v>199</v>
      </c>
      <c r="B39" s="69">
        <v>41003</v>
      </c>
      <c r="C39" s="70" t="str">
        <f ca="1">VLOOKUP($B39,OFFSET([2]quests!$A$1,0,0,COUNTA([2]quests!$A:$A),MATCH(C$1,[2]quests!$1:$1,0)-MATCH($B$1,[2]quests!$1:$1,0)+1),MATCH(C$1,[2]quests!$1:$1,0)-MATCH($B$1,[2]quests!$1:$1,0)+1,FALSE)</f>
        <v>ジャンヌ襲来！</v>
      </c>
      <c r="D39" s="70" t="str">
        <f ca="1">VLOOKUP($B39,OFFSET([2]quests!$A$1,0,0,COUNTA([2]quests!$A:$A),MATCH(D$1,[2]quests!$1:$1,0)-MATCH($B$1,[2]quests!$1:$1,0)+1),MATCH(D$1,[2]quests!$1:$1,0)-MATCH($B$1,[2]quests!$1:$1,0)+1,FALSE)</f>
        <v>降臨1</v>
      </c>
      <c r="E39" s="74">
        <v>3</v>
      </c>
      <c r="F39" s="70" t="str">
        <f ca="1">VLOOKUP($B39&amp;"_"&amp;$E39,OFFSET([2]stages!$A$1,0,0,COUNTA([2]stages!$A:$A),MATCH(F$1,[2]stages!$2:$2,0)-MATCH("temp_stage",[2]stages!$2:$2,0)+1),MATCH(F$1,[2]stages!$2:$2,0)-MATCH("temp_stage",[2]stages!$2:$2,0)+1,FALSE)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39" s="70" t="str">
        <f ca="1">VLOOKUP($B39&amp;"_"&amp;$E39,OFFSET([2]stages!$A$1,0,0,COUNTA([2]stages!$A:$A),MATCH(G$1,[2]stages!$2:$2,0)-MATCH("temp_stage",[2]stages!$2:$2,0)+1),MATCH(G$1,[2]stages!$2:$2,0)-MATCH("temp_stage",[2]stages!$2:$2,0)+1,FALSE)</f>
        <v>降臨1</v>
      </c>
      <c r="H39" s="72">
        <v>0</v>
      </c>
      <c r="I39">
        <v>37</v>
      </c>
      <c r="J39" s="71" t="s">
        <v>125</v>
      </c>
      <c r="K39" s="80" t="str">
        <f>VLOOKUP(I39,[7]stage_hints!$A:$C,3,FALSE)</f>
        <v>限界突破値の引き継ぎ</v>
      </c>
      <c r="L39" s="81" t="str">
        <f>VLOOKUP(I39,[7]stage_hints!$A:$D,4,FALSE)</f>
        <v>同じユニットを強化で合成すると_x000D_限界突破値を引き継げます（覚醒前後も可）</v>
      </c>
      <c r="M39" s="44" t="s">
        <v>198</v>
      </c>
    </row>
    <row r="40" spans="1:13" x14ac:dyDescent="0.15">
      <c r="A40" s="68" t="s">
        <v>199</v>
      </c>
      <c r="B40" s="69">
        <v>41003</v>
      </c>
      <c r="C40" s="70" t="str">
        <f ca="1">VLOOKUP($B40,OFFSET([2]quests!$A$1,0,0,COUNTA([2]quests!$A:$A),MATCH(C$1,[2]quests!$1:$1,0)-MATCH($B$1,[2]quests!$1:$1,0)+1),MATCH(C$1,[2]quests!$1:$1,0)-MATCH($B$1,[2]quests!$1:$1,0)+1,FALSE)</f>
        <v>ジャンヌ襲来！</v>
      </c>
      <c r="D40" s="70" t="str">
        <f ca="1">VLOOKUP($B40,OFFSET([2]quests!$A$1,0,0,COUNTA([2]quests!$A:$A),MATCH(D$1,[2]quests!$1:$1,0)-MATCH($B$1,[2]quests!$1:$1,0)+1),MATCH(D$1,[2]quests!$1:$1,0)-MATCH($B$1,[2]quests!$1:$1,0)+1,FALSE)</f>
        <v>降臨1</v>
      </c>
      <c r="E40" s="74">
        <v>3</v>
      </c>
      <c r="F40" s="70" t="str">
        <f ca="1">VLOOKUP($B40&amp;"_"&amp;$E40,OFFSET([2]stages!$A$1,0,0,COUNTA([2]stages!$A:$A),MATCH(F$1,[2]stages!$2:$2,0)-MATCH("temp_stage",[2]stages!$2:$2,0)+1),MATCH(F$1,[2]stages!$2:$2,0)-MATCH("temp_stage",[2]stages!$2:$2,0)+1,FALSE)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40" s="70" t="str">
        <f ca="1">VLOOKUP($B40&amp;"_"&amp;$E40,OFFSET([2]stages!$A$1,0,0,COUNTA([2]stages!$A:$A),MATCH(G$1,[2]stages!$2:$2,0)-MATCH("temp_stage",[2]stages!$2:$2,0)+1),MATCH(G$1,[2]stages!$2:$2,0)-MATCH("temp_stage",[2]stages!$2:$2,0)+1,FALSE)</f>
        <v>降臨1</v>
      </c>
      <c r="H40" s="72">
        <v>0</v>
      </c>
      <c r="I40">
        <v>39</v>
      </c>
      <c r="J40" s="71" t="s">
        <v>125</v>
      </c>
      <c r="K40" s="80" t="str">
        <f>VLOOKUP(I40,[7]stage_hints!$A:$C,3,FALSE)</f>
        <v>システム適合者を確認</v>
      </c>
      <c r="L40" s="81" t="str">
        <f>VLOOKUP(I40,[7]stage_hints!$A:$D,4,FALSE)</f>
        <v>ALICEが「アナタ」を呼んでいます</v>
      </c>
      <c r="M40" s="44" t="s">
        <v>198</v>
      </c>
    </row>
  </sheetData>
  <phoneticPr fontId="5"/>
  <dataValidations count="1">
    <dataValidation type="list" allowBlank="1" showInputMessage="1" showErrorMessage="1" sqref="A2:A4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9"/>
  <sheetViews>
    <sheetView showGridLines="0" workbookViewId="0">
      <pane ySplit="1" topLeftCell="A9" activePane="bottomLeft" state="frozen"/>
      <selection pane="bottomLeft" activeCell="M15" sqref="M15"/>
    </sheetView>
  </sheetViews>
  <sheetFormatPr baseColWidth="12" defaultColWidth="13" defaultRowHeight="15" outlineLevelCol="1" x14ac:dyDescent="0.15"/>
  <cols>
    <col min="1" max="1" width="13" style="7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63" t="s">
        <v>186</v>
      </c>
      <c r="B1" s="59" t="s">
        <v>148</v>
      </c>
      <c r="C1" s="64" t="s">
        <v>188</v>
      </c>
      <c r="D1" s="64" t="s">
        <v>33</v>
      </c>
      <c r="E1" s="59" t="s">
        <v>189</v>
      </c>
      <c r="F1" s="64" t="s">
        <v>18</v>
      </c>
      <c r="G1" s="64" t="s">
        <v>33</v>
      </c>
      <c r="H1" s="59" t="s">
        <v>191</v>
      </c>
      <c r="I1" s="76" t="s">
        <v>192</v>
      </c>
      <c r="J1" s="78" t="s">
        <v>193</v>
      </c>
      <c r="K1" s="66" t="s">
        <v>124</v>
      </c>
      <c r="L1" s="65" t="s">
        <v>185</v>
      </c>
      <c r="M1" s="79" t="s">
        <v>184</v>
      </c>
      <c r="N1" s="67" t="s">
        <v>194</v>
      </c>
    </row>
    <row r="2" spans="1:14" ht="56" x14ac:dyDescent="0.15">
      <c r="A2" s="68" t="s">
        <v>195</v>
      </c>
      <c r="B2" s="69">
        <f>floors!$C$2</f>
        <v>41003</v>
      </c>
      <c r="C2" s="70" t="str">
        <f ca="1">VLOOKUP($B2,OFFSET([2]quests!$A$1,0,0,COUNTA([2]quests!$A:$A),MATCH(C$1,[2]quests!$1:$1,0)-MATCH($B$1,[2]quests!$1:$1,0)+1),MATCH(C$1,[2]quests!$1:$1,0)-MATCH($B$1,[2]quests!$1:$1,0)+1,FALSE)</f>
        <v>ジャンヌ襲来！</v>
      </c>
      <c r="D2" s="70" t="str">
        <f ca="1">VLOOKUP($B2,OFFSET([2]quests!$A$1,0,0,COUNTA([2]quests!$A:$A),MATCH(D$1,[2]quests!$1:$1,0)-MATCH($B$1,[2]quests!$1:$1,0)+1),MATCH(D$1,[2]quests!$1:$1,0)-MATCH($B$1,[2]quests!$1:$1,0)+1,FALSE)</f>
        <v>降臨1</v>
      </c>
      <c r="E2" s="71">
        <v>1</v>
      </c>
      <c r="F2" s="70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【超絶級】ジャンヌ襲来</v>
      </c>
      <c r="G2" s="70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72">
        <v>1</v>
      </c>
      <c r="I2" s="77">
        <v>1</v>
      </c>
      <c r="J2" s="73" t="str">
        <f>B2&amp;TEXT(I2,"00")</f>
        <v>4100301</v>
      </c>
      <c r="K2" s="71" t="s">
        <v>196</v>
      </c>
      <c r="L2" s="74" t="s">
        <v>197</v>
      </c>
      <c r="M2" s="223" t="s">
        <v>293</v>
      </c>
      <c r="N2" s="44" t="s">
        <v>198</v>
      </c>
    </row>
    <row r="3" spans="1:14" ht="56" x14ac:dyDescent="0.15">
      <c r="A3" s="68" t="s">
        <v>195</v>
      </c>
      <c r="B3" s="69">
        <f>floors!$C$2</f>
        <v>41003</v>
      </c>
      <c r="C3" s="70" t="str">
        <f ca="1">VLOOKUP($B3,OFFSET([2]quests!$A$1,0,0,COUNTA([2]quests!$A:$A),MATCH(C$1,[2]quests!$1:$1,0)-MATCH($B$1,[2]quests!$1:$1,0)+1),MATCH(C$1,[2]quests!$1:$1,0)-MATCH($B$1,[2]quests!$1:$1,0)+1,FALSE)</f>
        <v>ジャンヌ襲来！</v>
      </c>
      <c r="D3" s="70" t="str">
        <f ca="1">VLOOKUP($B3,OFFSET([2]quests!$A$1,0,0,COUNTA([2]quests!$A:$A),MATCH(D$1,[2]quests!$1:$1,0)-MATCH($B$1,[2]quests!$1:$1,0)+1),MATCH(D$1,[2]quests!$1:$1,0)-MATCH($B$1,[2]quests!$1:$1,0)+1,FALSE)</f>
        <v>降臨1</v>
      </c>
      <c r="E3" s="71">
        <v>1</v>
      </c>
      <c r="F3" s="70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【超絶級】ジャンヌ襲来</v>
      </c>
      <c r="G3" s="70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72">
        <v>2</v>
      </c>
      <c r="I3" s="77">
        <f>ROW()-1</f>
        <v>2</v>
      </c>
      <c r="J3" s="73" t="str">
        <f t="shared" ref="J3:J12" si="0">B3&amp;TEXT(I3,"00")</f>
        <v>4100302</v>
      </c>
      <c r="K3" s="71" t="s">
        <v>291</v>
      </c>
      <c r="L3" s="74" t="s">
        <v>197</v>
      </c>
      <c r="M3" s="223" t="s">
        <v>319</v>
      </c>
      <c r="N3" s="44" t="s">
        <v>292</v>
      </c>
    </row>
    <row r="4" spans="1:14" ht="56" x14ac:dyDescent="0.15">
      <c r="A4" s="68" t="s">
        <v>195</v>
      </c>
      <c r="B4" s="69">
        <f>floors!$C$2</f>
        <v>41003</v>
      </c>
      <c r="C4" s="70" t="str">
        <f ca="1">VLOOKUP($B4,OFFSET([2]quests!$A$1,0,0,COUNTA([2]quests!$A:$A),MATCH(C$1,[2]quests!$1:$1,0)-MATCH($B$1,[2]quests!$1:$1,0)+1),MATCH(C$1,[2]quests!$1:$1,0)-MATCH($B$1,[2]quests!$1:$1,0)+1,FALSE)</f>
        <v>ジャンヌ襲来！</v>
      </c>
      <c r="D4" s="70" t="str">
        <f ca="1">VLOOKUP($B4,OFFSET([2]quests!$A$1,0,0,COUNTA([2]quests!$A:$A),MATCH(D$1,[2]quests!$1:$1,0)-MATCH($B$1,[2]quests!$1:$1,0)+1),MATCH(D$1,[2]quests!$1:$1,0)-MATCH($B$1,[2]quests!$1:$1,0)+1,FALSE)</f>
        <v>降臨1</v>
      </c>
      <c r="E4" s="71">
        <v>1</v>
      </c>
      <c r="F4" s="70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【超絶級】ジャンヌ襲来</v>
      </c>
      <c r="G4" s="70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72">
        <v>3</v>
      </c>
      <c r="I4" s="77">
        <f t="shared" ref="I4:I18" si="1">ROW()-1</f>
        <v>3</v>
      </c>
      <c r="J4" s="73" t="str">
        <f t="shared" si="0"/>
        <v>4100303</v>
      </c>
      <c r="K4" s="71" t="s">
        <v>196</v>
      </c>
      <c r="L4" s="74" t="s">
        <v>197</v>
      </c>
      <c r="M4" s="224" t="s">
        <v>294</v>
      </c>
      <c r="N4" s="44" t="s">
        <v>198</v>
      </c>
    </row>
    <row r="5" spans="1:14" ht="42" x14ac:dyDescent="0.15">
      <c r="A5" s="68" t="s">
        <v>195</v>
      </c>
      <c r="B5" s="69">
        <f>floors!$C$2</f>
        <v>41003</v>
      </c>
      <c r="C5" s="70" t="str">
        <f ca="1">VLOOKUP($B5,OFFSET([2]quests!$A$1,0,0,COUNTA([2]quests!$A:$A),MATCH(C$1,[2]quests!$1:$1,0)-MATCH($B$1,[2]quests!$1:$1,0)+1),MATCH(C$1,[2]quests!$1:$1,0)-MATCH($B$1,[2]quests!$1:$1,0)+1,FALSE)</f>
        <v>ジャンヌ襲来！</v>
      </c>
      <c r="D5" s="70" t="str">
        <f ca="1">VLOOKUP($B5,OFFSET([2]quests!$A$1,0,0,COUNTA([2]quests!$A:$A),MATCH(D$1,[2]quests!$1:$1,0)-MATCH($B$1,[2]quests!$1:$1,0)+1),MATCH(D$1,[2]quests!$1:$1,0)-MATCH($B$1,[2]quests!$1:$1,0)+1,FALSE)</f>
        <v>降臨1</v>
      </c>
      <c r="E5" s="71">
        <v>1</v>
      </c>
      <c r="F5" s="70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【超絶級】ジャンヌ襲来</v>
      </c>
      <c r="G5" s="70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72">
        <v>4</v>
      </c>
      <c r="I5" s="77">
        <f t="shared" si="1"/>
        <v>4</v>
      </c>
      <c r="J5" s="73" t="str">
        <f>B5&amp;TEXT(I5,"00")</f>
        <v>4100304</v>
      </c>
      <c r="K5" s="71" t="s">
        <v>196</v>
      </c>
      <c r="L5" s="74" t="s">
        <v>197</v>
      </c>
      <c r="M5" s="224" t="s">
        <v>295</v>
      </c>
      <c r="N5" s="44" t="s">
        <v>198</v>
      </c>
    </row>
    <row r="6" spans="1:14" ht="56" x14ac:dyDescent="0.15">
      <c r="A6" s="68" t="s">
        <v>195</v>
      </c>
      <c r="B6" s="69">
        <f>floors!$C$2</f>
        <v>41003</v>
      </c>
      <c r="C6" s="70" t="str">
        <f ca="1">VLOOKUP($B6,OFFSET([2]quests!$A$1,0,0,COUNTA([2]quests!$A:$A),MATCH(C$1,[2]quests!$1:$1,0)-MATCH($B$1,[2]quests!$1:$1,0)+1),MATCH(C$1,[2]quests!$1:$1,0)-MATCH($B$1,[2]quests!$1:$1,0)+1,FALSE)</f>
        <v>ジャンヌ襲来！</v>
      </c>
      <c r="D6" s="70" t="str">
        <f ca="1">VLOOKUP($B6,OFFSET([2]quests!$A$1,0,0,COUNTA([2]quests!$A:$A),MATCH(D$1,[2]quests!$1:$1,0)-MATCH($B$1,[2]quests!$1:$1,0)+1),MATCH(D$1,[2]quests!$1:$1,0)-MATCH($B$1,[2]quests!$1:$1,0)+1,FALSE)</f>
        <v>降臨1</v>
      </c>
      <c r="E6" s="71">
        <v>1</v>
      </c>
      <c r="F6" s="70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【超絶級】ジャンヌ襲来</v>
      </c>
      <c r="G6" s="70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72">
        <v>4</v>
      </c>
      <c r="I6" s="77">
        <f t="shared" si="1"/>
        <v>5</v>
      </c>
      <c r="J6" s="73" t="str">
        <f t="shared" si="0"/>
        <v>4100305</v>
      </c>
      <c r="K6" s="71" t="s">
        <v>196</v>
      </c>
      <c r="L6" s="74" t="s">
        <v>197</v>
      </c>
      <c r="M6" s="223" t="s">
        <v>296</v>
      </c>
      <c r="N6" s="44" t="s">
        <v>198</v>
      </c>
    </row>
    <row r="7" spans="1:14" ht="57" thickBot="1" x14ac:dyDescent="0.2">
      <c r="A7" s="214" t="s">
        <v>195</v>
      </c>
      <c r="B7" s="69">
        <f>floors!$C$2</f>
        <v>41003</v>
      </c>
      <c r="C7" s="225" t="str">
        <f ca="1">VLOOKUP($B7,OFFSET([2]quests!$A$1,0,0,COUNTA([2]quests!$A:$A),MATCH(C$1,[2]quests!$1:$1,0)-MATCH($B$1,[2]quests!$1:$1,0)+1),MATCH(C$1,[2]quests!$1:$1,0)-MATCH($B$1,[2]quests!$1:$1,0)+1,FALSE)</f>
        <v>ジャンヌ襲来！</v>
      </c>
      <c r="D7" s="225" t="str">
        <f ca="1">VLOOKUP($B7,OFFSET([2]quests!$A$1,0,0,COUNTA([2]quests!$A:$A),MATCH(D$1,[2]quests!$1:$1,0)-MATCH($B$1,[2]quests!$1:$1,0)+1),MATCH(D$1,[2]quests!$1:$1,0)-MATCH($B$1,[2]quests!$1:$1,0)+1,FALSE)</f>
        <v>降臨1</v>
      </c>
      <c r="E7" s="226">
        <v>1</v>
      </c>
      <c r="F7" s="225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【超絶級】ジャンヌ襲来</v>
      </c>
      <c r="G7" s="225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227">
        <v>4</v>
      </c>
      <c r="I7" s="228">
        <f t="shared" si="1"/>
        <v>6</v>
      </c>
      <c r="J7" s="73" t="str">
        <f t="shared" si="0"/>
        <v>4100306</v>
      </c>
      <c r="K7" s="226" t="s">
        <v>196</v>
      </c>
      <c r="L7" s="229" t="s">
        <v>197</v>
      </c>
      <c r="M7" s="230" t="s">
        <v>297</v>
      </c>
      <c r="N7" s="231" t="s">
        <v>198</v>
      </c>
    </row>
    <row r="8" spans="1:14" ht="56" x14ac:dyDescent="0.15">
      <c r="A8" s="232" t="s">
        <v>195</v>
      </c>
      <c r="B8" s="69">
        <f>floors!$C$2</f>
        <v>41003</v>
      </c>
      <c r="C8" s="233" t="str">
        <f ca="1">VLOOKUP($B8,OFFSET([2]quests!$A$1,0,0,COUNTA([2]quests!$A:$A),MATCH(C$1,[2]quests!$1:$1,0)-MATCH($B$1,[2]quests!$1:$1,0)+1),MATCH(C$1,[2]quests!$1:$1,0)-MATCH($B$1,[2]quests!$1:$1,0)+1,FALSE)</f>
        <v>ジャンヌ襲来！</v>
      </c>
      <c r="D8" s="233" t="str">
        <f ca="1">VLOOKUP($B8,OFFSET([2]quests!$A$1,0,0,COUNTA([2]quests!$A:$A),MATCH(D$1,[2]quests!$1:$1,0)-MATCH($B$1,[2]quests!$1:$1,0)+1),MATCH(D$1,[2]quests!$1:$1,0)-MATCH($B$1,[2]quests!$1:$1,0)+1,FALSE)</f>
        <v>降臨1</v>
      </c>
      <c r="E8" s="234">
        <v>2</v>
      </c>
      <c r="F8" s="233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8" s="233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235">
        <v>1</v>
      </c>
      <c r="I8" s="236">
        <f t="shared" si="1"/>
        <v>7</v>
      </c>
      <c r="J8" s="73" t="str">
        <f t="shared" si="0"/>
        <v>4100307</v>
      </c>
      <c r="K8" s="234" t="s">
        <v>196</v>
      </c>
      <c r="L8" s="237" t="s">
        <v>197</v>
      </c>
      <c r="M8" s="223" t="s">
        <v>293</v>
      </c>
      <c r="N8" s="238" t="s">
        <v>198</v>
      </c>
    </row>
    <row r="9" spans="1:14" ht="56" x14ac:dyDescent="0.15">
      <c r="A9" s="68" t="s">
        <v>195</v>
      </c>
      <c r="B9" s="69">
        <f>floors!$C$2</f>
        <v>41003</v>
      </c>
      <c r="C9" s="70" t="str">
        <f ca="1">VLOOKUP($B9,OFFSET([2]quests!$A$1,0,0,COUNTA([2]quests!$A:$A),MATCH(C$1,[2]quests!$1:$1,0)-MATCH($B$1,[2]quests!$1:$1,0)+1),MATCH(C$1,[2]quests!$1:$1,0)-MATCH($B$1,[2]quests!$1:$1,0)+1,FALSE)</f>
        <v>ジャンヌ襲来！</v>
      </c>
      <c r="D9" s="70" t="str">
        <f ca="1">VLOOKUP($B9,OFFSET([2]quests!$A$1,0,0,COUNTA([2]quests!$A:$A),MATCH(D$1,[2]quests!$1:$1,0)-MATCH($B$1,[2]quests!$1:$1,0)+1),MATCH(D$1,[2]quests!$1:$1,0)-MATCH($B$1,[2]quests!$1:$1,0)+1,FALSE)</f>
        <v>降臨1</v>
      </c>
      <c r="E9" s="71">
        <v>2</v>
      </c>
      <c r="F9" s="70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9" s="70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72">
        <v>2</v>
      </c>
      <c r="I9" s="77">
        <f t="shared" si="1"/>
        <v>8</v>
      </c>
      <c r="J9" s="73" t="str">
        <f t="shared" si="0"/>
        <v>4100308</v>
      </c>
      <c r="K9" s="71" t="s">
        <v>196</v>
      </c>
      <c r="L9" s="74" t="s">
        <v>197</v>
      </c>
      <c r="M9" s="223" t="s">
        <v>319</v>
      </c>
      <c r="N9" s="44" t="s">
        <v>198</v>
      </c>
    </row>
    <row r="10" spans="1:14" ht="56" x14ac:dyDescent="0.15">
      <c r="A10" s="68" t="s">
        <v>195</v>
      </c>
      <c r="B10" s="69">
        <f>floors!$C$2</f>
        <v>41003</v>
      </c>
      <c r="C10" s="70" t="str">
        <f ca="1">VLOOKUP($B10,OFFSET([2]quests!$A$1,0,0,COUNTA([2]quests!$A:$A),MATCH(C$1,[2]quests!$1:$1,0)-MATCH($B$1,[2]quests!$1:$1,0)+1),MATCH(C$1,[2]quests!$1:$1,0)-MATCH($B$1,[2]quests!$1:$1,0)+1,FALSE)</f>
        <v>ジャンヌ襲来！</v>
      </c>
      <c r="D10" s="70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71">
        <v>2</v>
      </c>
      <c r="F10" s="70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10" s="70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72">
        <v>3</v>
      </c>
      <c r="I10" s="77">
        <f t="shared" si="1"/>
        <v>9</v>
      </c>
      <c r="J10" s="73" t="str">
        <f t="shared" si="0"/>
        <v>4100309</v>
      </c>
      <c r="K10" s="71" t="s">
        <v>196</v>
      </c>
      <c r="L10" s="74" t="s">
        <v>197</v>
      </c>
      <c r="M10" s="224" t="s">
        <v>294</v>
      </c>
      <c r="N10" s="44" t="s">
        <v>198</v>
      </c>
    </row>
    <row r="11" spans="1:14" ht="42" x14ac:dyDescent="0.15">
      <c r="A11" s="68" t="s">
        <v>195</v>
      </c>
      <c r="B11" s="69">
        <f>floors!$C$2</f>
        <v>41003</v>
      </c>
      <c r="C11" s="70" t="str">
        <f ca="1">VLOOKUP($B11,OFFSET([2]quests!$A$1,0,0,COUNTA([2]quests!$A:$A),MATCH(C$1,[2]quests!$1:$1,0)-MATCH($B$1,[2]quests!$1:$1,0)+1),MATCH(C$1,[2]quests!$1:$1,0)-MATCH($B$1,[2]quests!$1:$1,0)+1,FALSE)</f>
        <v>ジャンヌ襲来！</v>
      </c>
      <c r="D11" s="70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71">
        <v>2</v>
      </c>
      <c r="F11" s="70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11" s="70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72">
        <v>3</v>
      </c>
      <c r="I11" s="77">
        <f t="shared" si="1"/>
        <v>10</v>
      </c>
      <c r="J11" s="73" t="str">
        <f t="shared" si="0"/>
        <v>4100310</v>
      </c>
      <c r="K11" s="71" t="s">
        <v>196</v>
      </c>
      <c r="L11" s="74" t="s">
        <v>197</v>
      </c>
      <c r="M11" s="224" t="s">
        <v>295</v>
      </c>
      <c r="N11" s="44" t="s">
        <v>198</v>
      </c>
    </row>
    <row r="12" spans="1:14" ht="56" x14ac:dyDescent="0.15">
      <c r="A12" s="68" t="s">
        <v>195</v>
      </c>
      <c r="B12" s="69">
        <f>floors!$C$2</f>
        <v>41003</v>
      </c>
      <c r="C12" s="70" t="str">
        <f ca="1">VLOOKUP($B12,OFFSET([2]quests!$A$1,0,0,COUNTA([2]quests!$A:$A),MATCH(C$1,[2]quests!$1:$1,0)-MATCH($B$1,[2]quests!$1:$1,0)+1),MATCH(C$1,[2]quests!$1:$1,0)-MATCH($B$1,[2]quests!$1:$1,0)+1,FALSE)</f>
        <v>ジャンヌ襲来！</v>
      </c>
      <c r="D12" s="70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71">
        <v>2</v>
      </c>
      <c r="F12" s="70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12" s="70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72">
        <v>4</v>
      </c>
      <c r="I12" s="77">
        <f t="shared" si="1"/>
        <v>11</v>
      </c>
      <c r="J12" s="73" t="str">
        <f t="shared" si="0"/>
        <v>4100311</v>
      </c>
      <c r="K12" s="71" t="s">
        <v>196</v>
      </c>
      <c r="L12" s="74" t="s">
        <v>197</v>
      </c>
      <c r="M12" s="223" t="s">
        <v>296</v>
      </c>
      <c r="N12" s="44" t="s">
        <v>198</v>
      </c>
    </row>
    <row r="13" spans="1:14" ht="57" thickBot="1" x14ac:dyDescent="0.2">
      <c r="A13" s="68" t="s">
        <v>195</v>
      </c>
      <c r="B13" s="69">
        <f>floors!$C$2</f>
        <v>41003</v>
      </c>
      <c r="C13" s="70" t="str">
        <f ca="1">VLOOKUP($B13,OFFSET([2]quests!$A$1,0,0,COUNTA([2]quests!$A:$A),MATCH(C$1,[2]quests!$1:$1,0)-MATCH($B$1,[2]quests!$1:$1,0)+1),MATCH(C$1,[2]quests!$1:$1,0)-MATCH($B$1,[2]quests!$1:$1,0)+1,FALSE)</f>
        <v>ジャンヌ襲来！</v>
      </c>
      <c r="D13" s="70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71">
        <v>2</v>
      </c>
      <c r="F13" s="70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【ウィザード級】ジャンヌ襲来</v>
      </c>
      <c r="G13" s="70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72">
        <v>4</v>
      </c>
      <c r="I13" s="77">
        <f>ROW()-1</f>
        <v>12</v>
      </c>
      <c r="J13" s="73" t="str">
        <f>B13&amp;TEXT(I13,"00")</f>
        <v>4100312</v>
      </c>
      <c r="K13" s="71" t="s">
        <v>196</v>
      </c>
      <c r="L13" s="74" t="s">
        <v>197</v>
      </c>
      <c r="M13" s="230" t="s">
        <v>297</v>
      </c>
      <c r="N13" s="44" t="s">
        <v>198</v>
      </c>
    </row>
    <row r="14" spans="1:14" ht="56" x14ac:dyDescent="0.15">
      <c r="A14" s="232" t="s">
        <v>195</v>
      </c>
      <c r="B14" s="69">
        <f>floors!$C$2</f>
        <v>41003</v>
      </c>
      <c r="C14" s="233" t="str">
        <f ca="1">VLOOKUP($B14,OFFSET([2]quests!$A$1,0,0,COUNTA([2]quests!$A:$A),MATCH(C$1,[2]quests!$1:$1,0)-MATCH($B$1,[2]quests!$1:$1,0)+1),MATCH(C$1,[2]quests!$1:$1,0)-MATCH($B$1,[2]quests!$1:$1,0)+1,FALSE)</f>
        <v>ジャンヌ襲来！</v>
      </c>
      <c r="D14" s="233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234">
        <v>3</v>
      </c>
      <c r="F14" s="233" t="str">
        <f ca="1">VLOOKUP($B14&amp;"_"&amp;$E14,OFFSET([2]stages!$A$1,0,0,COUNTA([2]stages!$A:$A),MATCH(F$1,[2]stages!$2:$2,0)-MATCH("temp_stage",[2]stages!$2:$2,0)+1),MATCH(F$1,[2]stages!$2:$2,0)-MATCH("temp_stage",[2]stages!$2:$2,0)+1,FALSE)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14" s="233" t="str">
        <f ca="1">VLOOKUP($B14&amp;"_"&amp;$E14,OFFSET([2]stages!$A$1,0,0,COUNTA([2]stages!$A:$A),MATCH(G$1,[2]stages!$2:$2,0)-MATCH("temp_stage",[2]stages!$2:$2,0)+1),MATCH(G$1,[2]stages!$2:$2,0)-MATCH("temp_stage",[2]stages!$2:$2,0)+1,FALSE)</f>
        <v>降臨1</v>
      </c>
      <c r="H14" s="235">
        <v>1</v>
      </c>
      <c r="I14" s="236">
        <f>ROW()-1</f>
        <v>13</v>
      </c>
      <c r="J14" s="73" t="str">
        <f t="shared" ref="J14:J18" si="2">B14&amp;TEXT(I14,"00")</f>
        <v>4100313</v>
      </c>
      <c r="K14" s="234" t="s">
        <v>196</v>
      </c>
      <c r="L14" s="237" t="s">
        <v>197</v>
      </c>
      <c r="M14" s="223" t="s">
        <v>293</v>
      </c>
      <c r="N14" s="238" t="s">
        <v>198</v>
      </c>
    </row>
    <row r="15" spans="1:14" ht="56" x14ac:dyDescent="0.15">
      <c r="A15" s="68" t="s">
        <v>195</v>
      </c>
      <c r="B15" s="69">
        <f>floors!$C$2</f>
        <v>41003</v>
      </c>
      <c r="C15" s="70" t="str">
        <f ca="1">VLOOKUP($B15,OFFSET([2]quests!$A$1,0,0,COUNTA([2]quests!$A:$A),MATCH(C$1,[2]quests!$1:$1,0)-MATCH($B$1,[2]quests!$1:$1,0)+1),MATCH(C$1,[2]quests!$1:$1,0)-MATCH($B$1,[2]quests!$1:$1,0)+1,FALSE)</f>
        <v>ジャンヌ襲来！</v>
      </c>
      <c r="D15" s="70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71">
        <v>3</v>
      </c>
      <c r="F15" s="70" t="str">
        <f ca="1">VLOOKUP($B15&amp;"_"&amp;$E15,OFFSET([2]stages!$A$1,0,0,COUNTA([2]stages!$A:$A),MATCH(F$1,[2]stages!$2:$2,0)-MATCH("temp_stage",[2]stages!$2:$2,0)+1),MATCH(F$1,[2]stages!$2:$2,0)-MATCH("temp_stage",[2]stages!$2:$2,0)+1,FALSE)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15" s="70" t="str">
        <f ca="1">VLOOKUP($B15&amp;"_"&amp;$E15,OFFSET([2]stages!$A$1,0,0,COUNTA([2]stages!$A:$A),MATCH(G$1,[2]stages!$2:$2,0)-MATCH("temp_stage",[2]stages!$2:$2,0)+1),MATCH(G$1,[2]stages!$2:$2,0)-MATCH("temp_stage",[2]stages!$2:$2,0)+1,FALSE)</f>
        <v>降臨1</v>
      </c>
      <c r="H15" s="72">
        <v>2</v>
      </c>
      <c r="I15" s="77">
        <f t="shared" si="1"/>
        <v>14</v>
      </c>
      <c r="J15" s="73" t="str">
        <f t="shared" si="2"/>
        <v>4100314</v>
      </c>
      <c r="K15" s="71" t="s">
        <v>196</v>
      </c>
      <c r="L15" s="74" t="s">
        <v>197</v>
      </c>
      <c r="M15" s="223" t="s">
        <v>319</v>
      </c>
      <c r="N15" s="44" t="s">
        <v>198</v>
      </c>
    </row>
    <row r="16" spans="1:14" ht="56" x14ac:dyDescent="0.15">
      <c r="A16" s="68" t="s">
        <v>195</v>
      </c>
      <c r="B16" s="69">
        <f>floors!$C$2</f>
        <v>41003</v>
      </c>
      <c r="C16" s="70" t="str">
        <f ca="1">VLOOKUP($B16,OFFSET([2]quests!$A$1,0,0,COUNTA([2]quests!$A:$A),MATCH(C$1,[2]quests!$1:$1,0)-MATCH($B$1,[2]quests!$1:$1,0)+1),MATCH(C$1,[2]quests!$1:$1,0)-MATCH($B$1,[2]quests!$1:$1,0)+1,FALSE)</f>
        <v>ジャンヌ襲来！</v>
      </c>
      <c r="D16" s="70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71">
        <v>3</v>
      </c>
      <c r="F16" s="70" t="str">
        <f ca="1">VLOOKUP($B16&amp;"_"&amp;$E16,OFFSET([2]stages!$A$1,0,0,COUNTA([2]stages!$A:$A),MATCH(F$1,[2]stages!$2:$2,0)-MATCH("temp_stage",[2]stages!$2:$2,0)+1),MATCH(F$1,[2]stages!$2:$2,0)-MATCH("temp_stage",[2]stages!$2:$2,0)+1,FALSE)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16" s="70" t="str">
        <f ca="1">VLOOKUP($B16&amp;"_"&amp;$E16,OFFSET([2]stages!$A$1,0,0,COUNTA([2]stages!$A:$A),MATCH(G$1,[2]stages!$2:$2,0)-MATCH("temp_stage",[2]stages!$2:$2,0)+1),MATCH(G$1,[2]stages!$2:$2,0)-MATCH("temp_stage",[2]stages!$2:$2,0)+1,FALSE)</f>
        <v>降臨1</v>
      </c>
      <c r="H16" s="72">
        <v>3</v>
      </c>
      <c r="I16" s="77">
        <f t="shared" si="1"/>
        <v>15</v>
      </c>
      <c r="J16" s="73" t="str">
        <f t="shared" si="2"/>
        <v>4100315</v>
      </c>
      <c r="K16" s="71" t="s">
        <v>196</v>
      </c>
      <c r="L16" s="74" t="s">
        <v>197</v>
      </c>
      <c r="M16" s="224" t="s">
        <v>294</v>
      </c>
      <c r="N16" s="44" t="s">
        <v>198</v>
      </c>
    </row>
    <row r="17" spans="1:14" ht="42" x14ac:dyDescent="0.15">
      <c r="A17" s="68" t="s">
        <v>195</v>
      </c>
      <c r="B17" s="69">
        <f>floors!$C$2</f>
        <v>41003</v>
      </c>
      <c r="C17" s="70" t="str">
        <f ca="1">VLOOKUP($B17,OFFSET([2]quests!$A$1,0,0,COUNTA([2]quests!$A:$A),MATCH(C$1,[2]quests!$1:$1,0)-MATCH($B$1,[2]quests!$1:$1,0)+1),MATCH(C$1,[2]quests!$1:$1,0)-MATCH($B$1,[2]quests!$1:$1,0)+1,FALSE)</f>
        <v>ジャンヌ襲来！</v>
      </c>
      <c r="D17" s="70" t="str">
        <f ca="1">VLOOKUP($B17,OFFSET([2]quests!$A$1,0,0,COUNTA([2]quests!$A:$A),MATCH(D$1,[2]quests!$1:$1,0)-MATCH($B$1,[2]quests!$1:$1,0)+1),MATCH(D$1,[2]quests!$1:$1,0)-MATCH($B$1,[2]quests!$1:$1,0)+1,FALSE)</f>
        <v>降臨1</v>
      </c>
      <c r="E17" s="71">
        <v>3</v>
      </c>
      <c r="F17" s="70" t="str">
        <f ca="1">VLOOKUP($B17&amp;"_"&amp;$E17,OFFSET([2]stages!$A$1,0,0,COUNTA([2]stages!$A:$A),MATCH(F$1,[2]stages!$2:$2,0)-MATCH("temp_stage",[2]stages!$2:$2,0)+1),MATCH(F$1,[2]stages!$2:$2,0)-MATCH("temp_stage",[2]stages!$2:$2,0)+1,FALSE)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17" s="70" t="str">
        <f ca="1">VLOOKUP($B17&amp;"_"&amp;$E17,OFFSET([2]stages!$A$1,0,0,COUNTA([2]stages!$A:$A),MATCH(G$1,[2]stages!$2:$2,0)-MATCH("temp_stage",[2]stages!$2:$2,0)+1),MATCH(G$1,[2]stages!$2:$2,0)-MATCH("temp_stage",[2]stages!$2:$2,0)+1,FALSE)</f>
        <v>降臨1</v>
      </c>
      <c r="H17" s="72">
        <v>3</v>
      </c>
      <c r="I17" s="77">
        <f t="shared" si="1"/>
        <v>16</v>
      </c>
      <c r="J17" s="73" t="str">
        <f t="shared" si="2"/>
        <v>4100316</v>
      </c>
      <c r="K17" s="71" t="s">
        <v>196</v>
      </c>
      <c r="L17" s="74" t="s">
        <v>197</v>
      </c>
      <c r="M17" s="224" t="s">
        <v>295</v>
      </c>
      <c r="N17" s="44" t="s">
        <v>198</v>
      </c>
    </row>
    <row r="18" spans="1:14" ht="56" x14ac:dyDescent="0.15">
      <c r="A18" s="68" t="s">
        <v>195</v>
      </c>
      <c r="B18" s="69">
        <f>floors!$C$2</f>
        <v>41003</v>
      </c>
      <c r="C18" s="70" t="str">
        <f ca="1">VLOOKUP($B18,OFFSET([2]quests!$A$1,0,0,COUNTA([2]quests!$A:$A),MATCH(C$1,[2]quests!$1:$1,0)-MATCH($B$1,[2]quests!$1:$1,0)+1),MATCH(C$1,[2]quests!$1:$1,0)-MATCH($B$1,[2]quests!$1:$1,0)+1,FALSE)</f>
        <v>ジャンヌ襲来！</v>
      </c>
      <c r="D18" s="70" t="str">
        <f ca="1">VLOOKUP($B18,OFFSET([2]quests!$A$1,0,0,COUNTA([2]quests!$A:$A),MATCH(D$1,[2]quests!$1:$1,0)-MATCH($B$1,[2]quests!$1:$1,0)+1),MATCH(D$1,[2]quests!$1:$1,0)-MATCH($B$1,[2]quests!$1:$1,0)+1,FALSE)</f>
        <v>降臨1</v>
      </c>
      <c r="E18" s="71">
        <v>3</v>
      </c>
      <c r="F18" s="70" t="str">
        <f ca="1">VLOOKUP($B18&amp;"_"&amp;$E18,OFFSET([2]stages!$A$1,0,0,COUNTA([2]stages!$A:$A),MATCH(F$1,[2]stages!$2:$2,0)-MATCH("temp_stage",[2]stages!$2:$2,0)+1),MATCH(F$1,[2]stages!$2:$2,0)-MATCH("temp_stage",[2]stages!$2:$2,0)+1,FALSE)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18" s="70" t="str">
        <f ca="1">VLOOKUP($B18&amp;"_"&amp;$E18,OFFSET([2]stages!$A$1,0,0,COUNTA([2]stages!$A:$A),MATCH(G$1,[2]stages!$2:$2,0)-MATCH("temp_stage",[2]stages!$2:$2,0)+1),MATCH(G$1,[2]stages!$2:$2,0)-MATCH("temp_stage",[2]stages!$2:$2,0)+1,FALSE)</f>
        <v>降臨1</v>
      </c>
      <c r="H18" s="72">
        <v>4</v>
      </c>
      <c r="I18" s="77">
        <f t="shared" si="1"/>
        <v>17</v>
      </c>
      <c r="J18" s="73" t="str">
        <f t="shared" si="2"/>
        <v>4100317</v>
      </c>
      <c r="K18" s="71" t="s">
        <v>196</v>
      </c>
      <c r="L18" s="74" t="s">
        <v>197</v>
      </c>
      <c r="M18" s="223" t="s">
        <v>296</v>
      </c>
      <c r="N18" s="44" t="s">
        <v>198</v>
      </c>
    </row>
    <row r="19" spans="1:14" ht="57" thickBot="1" x14ac:dyDescent="0.2">
      <c r="A19" s="68" t="s">
        <v>195</v>
      </c>
      <c r="B19" s="69">
        <f>floors!$C$2</f>
        <v>41003</v>
      </c>
      <c r="C19" s="70" t="str">
        <f ca="1">VLOOKUP($B19,OFFSET([2]quests!$A$1,0,0,COUNTA([2]quests!$A:$A),MATCH(C$1,[2]quests!$1:$1,0)-MATCH($B$1,[2]quests!$1:$1,0)+1),MATCH(C$1,[2]quests!$1:$1,0)-MATCH($B$1,[2]quests!$1:$1,0)+1,FALSE)</f>
        <v>ジャンヌ襲来！</v>
      </c>
      <c r="D19" s="70" t="str">
        <f ca="1">VLOOKUP($B19,OFFSET([2]quests!$A$1,0,0,COUNTA([2]quests!$A:$A),MATCH(D$1,[2]quests!$1:$1,0)-MATCH($B$1,[2]quests!$1:$1,0)+1),MATCH(D$1,[2]quests!$1:$1,0)-MATCH($B$1,[2]quests!$1:$1,0)+1,FALSE)</f>
        <v>降臨1</v>
      </c>
      <c r="E19" s="71">
        <v>3</v>
      </c>
      <c r="F19" s="70" t="str">
        <f ca="1">VLOOKUP($B19&amp;"_"&amp;$E19,OFFSET([2]stages!$A$1,0,0,COUNTA([2]stages!$A:$A),MATCH(F$1,[2]stages!$2:$2,0)-MATCH("temp_stage",[2]stages!$2:$2,0)+1),MATCH(F$1,[2]stages!$2:$2,0)-MATCH("temp_stage",[2]stages!$2:$2,0)+1,FALSE)</f>
        <v>【ノーコンテニュー】ジャンヌ襲来</v>
      </c>
      <c r="G19" s="70" t="str">
        <f ca="1">VLOOKUP($B19&amp;"_"&amp;$E19,OFFSET([2]stages!$A$1,0,0,COUNTA([2]stages!$A:$A),MATCH(G$1,[2]stages!$2:$2,0)-MATCH("temp_stage",[2]stages!$2:$2,0)+1),MATCH(G$1,[2]stages!$2:$2,0)-MATCH("temp_stage",[2]stages!$2:$2,0)+1,FALSE)</f>
        <v>降臨1</v>
      </c>
      <c r="H19" s="72">
        <v>4</v>
      </c>
      <c r="I19" s="77">
        <f>ROW()-1</f>
        <v>18</v>
      </c>
      <c r="J19" s="73" t="str">
        <f>B19&amp;TEXT(I19,"00")</f>
        <v>4100318</v>
      </c>
      <c r="K19" s="71" t="s">
        <v>196</v>
      </c>
      <c r="L19" s="74" t="s">
        <v>197</v>
      </c>
      <c r="M19" s="230" t="s">
        <v>297</v>
      </c>
      <c r="N19" s="44" t="s">
        <v>198</v>
      </c>
    </row>
  </sheetData>
  <phoneticPr fontId="5"/>
  <dataValidations count="1">
    <dataValidation type="list" allowBlank="1" showInputMessage="1" showErrorMessage="1" sqref="A2:A1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2016-07-21T11:37:53Z</dcterms:modified>
</cp:coreProperties>
</file>