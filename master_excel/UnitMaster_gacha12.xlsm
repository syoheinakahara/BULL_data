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3680" yWindow="460" windowWidth="25120" windowHeight="1520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unit_serifs_i18n" sheetId="55" r:id="rId6"/>
    <sheet name="awake_materials" sheetId="3" r:id="rId7"/>
    <sheet name="→base値" sheetId="51" r:id="rId8"/>
    <sheet name="ghosts_label" sheetId="56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</sheets>
  <externalReferences>
    <externalReference r:id="rId15"/>
    <externalReference r:id="rId16"/>
    <externalReference r:id="rId17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E3" i="54"/>
  <c r="C2" i="55"/>
  <c r="C3" i="55"/>
  <c r="G3" i="54"/>
  <c r="E4" i="54"/>
  <c r="C4" i="55"/>
  <c r="G4" i="54"/>
  <c r="E5" i="54"/>
  <c r="C5" i="55"/>
  <c r="G5" i="54"/>
  <c r="E6" i="54"/>
  <c r="C6" i="55"/>
  <c r="G6" i="54"/>
  <c r="E7" i="54"/>
  <c r="G7" i="54"/>
  <c r="E8" i="54"/>
  <c r="G8" i="54"/>
  <c r="E9" i="54"/>
  <c r="C7" i="55"/>
  <c r="G9" i="54"/>
  <c r="E10" i="54"/>
  <c r="C8" i="55"/>
  <c r="G10" i="54"/>
  <c r="E11" i="54"/>
  <c r="C9" i="55"/>
  <c r="G11" i="54"/>
  <c r="E12" i="54"/>
  <c r="C10" i="55"/>
  <c r="G12" i="54"/>
  <c r="E13" i="54"/>
  <c r="G13" i="54"/>
  <c r="E14" i="54"/>
  <c r="C11" i="55"/>
  <c r="G14" i="54"/>
  <c r="E15" i="54"/>
  <c r="C12" i="55"/>
  <c r="G15" i="54"/>
  <c r="E16" i="54"/>
  <c r="G16" i="54"/>
  <c r="E17" i="54"/>
  <c r="G17" i="54"/>
  <c r="E18" i="54"/>
  <c r="C13" i="55"/>
  <c r="G18" i="54"/>
  <c r="E19" i="54"/>
  <c r="C14" i="55"/>
  <c r="G19" i="54"/>
  <c r="E20" i="54"/>
  <c r="C15" i="55"/>
  <c r="G20" i="54"/>
  <c r="E21" i="54"/>
  <c r="C16" i="55"/>
  <c r="G21" i="54"/>
  <c r="E22" i="54"/>
  <c r="G22" i="54"/>
  <c r="E23" i="54"/>
  <c r="C17" i="55"/>
  <c r="G23" i="54"/>
  <c r="E24" i="54"/>
  <c r="C18" i="55"/>
  <c r="G24" i="54"/>
  <c r="E25" i="54"/>
  <c r="G25" i="54"/>
  <c r="E26" i="54"/>
  <c r="G26" i="54"/>
  <c r="E27" i="54"/>
  <c r="C19" i="55"/>
  <c r="G27" i="54"/>
  <c r="E28" i="54"/>
  <c r="C20" i="55"/>
  <c r="G28" i="54"/>
  <c r="E29" i="54"/>
  <c r="C21" i="55"/>
  <c r="G29" i="54"/>
  <c r="E30" i="54"/>
  <c r="C22" i="55"/>
  <c r="G30" i="54"/>
  <c r="E31" i="54"/>
  <c r="C23" i="55"/>
  <c r="G31" i="54"/>
  <c r="E32" i="54"/>
  <c r="G32" i="54"/>
  <c r="E33" i="54"/>
  <c r="G33" i="54"/>
  <c r="E2" i="54"/>
  <c r="G2" i="54"/>
  <c r="B12" i="54"/>
  <c r="H12" i="54"/>
  <c r="B6" i="54"/>
  <c r="H6" i="54"/>
  <c r="H3" i="54"/>
  <c r="H4" i="54"/>
  <c r="H5" i="54"/>
  <c r="H7" i="54"/>
  <c r="H8" i="54"/>
  <c r="H9" i="54"/>
  <c r="H10" i="54"/>
  <c r="H11" i="54"/>
  <c r="H13" i="54"/>
  <c r="H14" i="54"/>
  <c r="H15" i="54"/>
  <c r="H16" i="54"/>
  <c r="H17" i="54"/>
  <c r="H18" i="54"/>
  <c r="H19" i="54"/>
  <c r="H20" i="54"/>
  <c r="H21" i="54"/>
  <c r="H22" i="54"/>
  <c r="H23" i="54"/>
  <c r="H24" i="54"/>
  <c r="H25" i="54"/>
  <c r="H26" i="54"/>
  <c r="H27" i="54"/>
  <c r="H28" i="54"/>
  <c r="H29" i="54"/>
  <c r="H30" i="54"/>
  <c r="H31" i="54"/>
  <c r="H32" i="54"/>
  <c r="H33" i="54"/>
  <c r="H2" i="54"/>
  <c r="B23" i="55"/>
  <c r="B22" i="55"/>
  <c r="B21" i="55"/>
  <c r="B20" i="55"/>
  <c r="B19" i="55"/>
  <c r="B18" i="55"/>
  <c r="B17" i="55"/>
  <c r="B16" i="55"/>
  <c r="B15" i="55"/>
  <c r="B14" i="55"/>
  <c r="B13" i="55"/>
  <c r="B12" i="55"/>
  <c r="B11" i="55"/>
  <c r="B10" i="55"/>
  <c r="B9" i="55"/>
  <c r="B8" i="55"/>
  <c r="B7" i="55"/>
  <c r="B6" i="55"/>
  <c r="B5" i="55"/>
  <c r="B4" i="55"/>
  <c r="B3" i="55"/>
  <c r="B2" i="55"/>
  <c r="B33" i="54"/>
  <c r="B32" i="54"/>
  <c r="B31" i="54"/>
  <c r="B30" i="54"/>
  <c r="B29" i="54"/>
  <c r="B28" i="54"/>
  <c r="B27" i="54"/>
  <c r="B26" i="54"/>
  <c r="B25" i="54"/>
  <c r="B24" i="54"/>
  <c r="B23" i="54"/>
  <c r="B22" i="54"/>
  <c r="B21" i="54"/>
  <c r="B20" i="54"/>
  <c r="B19" i="54"/>
  <c r="B18" i="54"/>
  <c r="B17" i="54"/>
  <c r="B16" i="54"/>
  <c r="B15" i="54"/>
  <c r="B14" i="54"/>
  <c r="B13" i="54"/>
  <c r="B11" i="54"/>
  <c r="B10" i="54"/>
  <c r="B9" i="54"/>
  <c r="B8" i="54"/>
  <c r="B7" i="54"/>
  <c r="B5" i="54"/>
  <c r="B4" i="54"/>
  <c r="B3" i="54"/>
  <c r="B2" i="54"/>
  <c r="G19" i="3"/>
  <c r="E19" i="3"/>
  <c r="D19" i="3"/>
  <c r="C19" i="3"/>
  <c r="A19" i="3"/>
  <c r="G18" i="3"/>
  <c r="E18" i="3"/>
  <c r="D18" i="3"/>
  <c r="C18" i="3"/>
  <c r="A18" i="3"/>
  <c r="G17" i="3"/>
  <c r="E17" i="3"/>
  <c r="D17" i="3"/>
  <c r="C17" i="3"/>
  <c r="A17" i="3"/>
  <c r="G16" i="3"/>
  <c r="E16" i="3"/>
  <c r="D16" i="3"/>
  <c r="C16" i="3"/>
  <c r="A16" i="3"/>
  <c r="G15" i="3"/>
  <c r="E15" i="3"/>
  <c r="D15" i="3"/>
  <c r="C15" i="3"/>
  <c r="A15" i="3"/>
  <c r="G14" i="3"/>
  <c r="E14" i="3"/>
  <c r="D14" i="3"/>
  <c r="C14" i="3"/>
  <c r="A14" i="3"/>
  <c r="G13" i="3"/>
  <c r="E13" i="3"/>
  <c r="D13" i="3"/>
  <c r="C13" i="3"/>
  <c r="A13" i="3"/>
  <c r="G12" i="3"/>
  <c r="E12" i="3"/>
  <c r="D12" i="3"/>
  <c r="C12" i="3"/>
  <c r="A12" i="3"/>
  <c r="G11" i="3"/>
  <c r="E11" i="3"/>
  <c r="D11" i="3"/>
  <c r="C11" i="3"/>
  <c r="A11" i="3"/>
  <c r="G10" i="3"/>
  <c r="E10" i="3"/>
  <c r="D10" i="3"/>
  <c r="C10" i="3"/>
  <c r="A10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G2" i="3"/>
  <c r="E2" i="3"/>
  <c r="D2" i="3"/>
  <c r="C2" i="3"/>
  <c r="A2" i="3"/>
  <c r="G10" i="23"/>
  <c r="BC10" i="23"/>
  <c r="AJ10" i="23"/>
  <c r="BD10" i="23"/>
  <c r="Q10" i="23"/>
  <c r="T10" i="23"/>
  <c r="W10" i="23"/>
  <c r="AB10" i="23"/>
  <c r="I10" i="23"/>
  <c r="K10" i="23"/>
  <c r="BL10" i="23"/>
  <c r="G11" i="23"/>
  <c r="BC11" i="23"/>
  <c r="AJ11" i="23"/>
  <c r="BD11" i="23"/>
  <c r="Q11" i="23"/>
  <c r="T11" i="23"/>
  <c r="W11" i="23"/>
  <c r="AB11" i="23"/>
  <c r="I11" i="23"/>
  <c r="K11" i="23"/>
  <c r="BL11" i="23"/>
  <c r="E9" i="52"/>
  <c r="E4" i="52"/>
  <c r="E3" i="52"/>
  <c r="E2" i="52"/>
  <c r="V11" i="23"/>
  <c r="AD11" i="23"/>
  <c r="M11" i="23"/>
  <c r="BN11" i="23"/>
  <c r="G9" i="23"/>
  <c r="BC9" i="23"/>
  <c r="AJ9" i="23"/>
  <c r="BD9" i="23"/>
  <c r="Q9" i="23"/>
  <c r="T9" i="23"/>
  <c r="W9" i="23"/>
  <c r="AB9" i="23"/>
  <c r="I9" i="23"/>
  <c r="K9" i="23"/>
  <c r="BL9" i="23"/>
  <c r="G6" i="23"/>
  <c r="BC6" i="23"/>
  <c r="AJ6" i="23"/>
  <c r="BD6" i="23"/>
  <c r="Q6" i="23"/>
  <c r="S6" i="23"/>
  <c r="W6" i="23"/>
  <c r="AA6" i="23"/>
  <c r="I6" i="23"/>
  <c r="J6" i="23"/>
  <c r="BK6" i="23"/>
  <c r="G5" i="23"/>
  <c r="BC5" i="23"/>
  <c r="AJ5" i="23"/>
  <c r="BD5" i="23"/>
  <c r="Q5" i="23"/>
  <c r="T5" i="23"/>
  <c r="W5" i="23"/>
  <c r="AB5" i="23"/>
  <c r="I5" i="23"/>
  <c r="K5" i="23"/>
  <c r="BL5" i="23"/>
  <c r="T6" i="23"/>
  <c r="AB6" i="23"/>
  <c r="K6" i="23"/>
  <c r="BL6" i="23"/>
  <c r="G3" i="23"/>
  <c r="BC3" i="23"/>
  <c r="AJ3" i="23"/>
  <c r="BD3" i="23"/>
  <c r="Q3" i="23"/>
  <c r="V3" i="23"/>
  <c r="W3" i="23"/>
  <c r="AD3" i="23"/>
  <c r="I3" i="23"/>
  <c r="M3" i="23"/>
  <c r="BN3" i="23"/>
  <c r="G10" i="53"/>
  <c r="AE4" i="23"/>
  <c r="AE5" i="23"/>
  <c r="AE7" i="23"/>
  <c r="AE8" i="23"/>
  <c r="AE2" i="23"/>
  <c r="AE10" i="23"/>
  <c r="B8" i="23"/>
  <c r="B9" i="23"/>
  <c r="B5" i="23"/>
  <c r="B6" i="23"/>
  <c r="B3" i="23"/>
  <c r="B2" i="23"/>
  <c r="G3" i="53"/>
  <c r="E3" i="53"/>
  <c r="G4" i="53"/>
  <c r="E4" i="53"/>
  <c r="G5" i="53"/>
  <c r="E5" i="53"/>
  <c r="G6" i="53"/>
  <c r="E6" i="53"/>
  <c r="G7" i="53"/>
  <c r="E7" i="53"/>
  <c r="G8" i="53"/>
  <c r="E8" i="53"/>
  <c r="G9" i="53"/>
  <c r="E9" i="53"/>
  <c r="E10" i="53"/>
  <c r="G11" i="53"/>
  <c r="E11" i="53"/>
  <c r="G2" i="53"/>
  <c r="E2" i="53"/>
  <c r="J3" i="52"/>
  <c r="G3" i="52"/>
  <c r="H3" i="52"/>
  <c r="J4" i="52"/>
  <c r="G4" i="52"/>
  <c r="H4" i="52"/>
  <c r="J5" i="52"/>
  <c r="E5" i="52"/>
  <c r="G5" i="52"/>
  <c r="H5" i="52"/>
  <c r="J6" i="52"/>
  <c r="E6" i="52"/>
  <c r="G6" i="52"/>
  <c r="H6" i="52"/>
  <c r="J7" i="52"/>
  <c r="E7" i="52"/>
  <c r="F7" i="52"/>
  <c r="G7" i="52"/>
  <c r="H7" i="52"/>
  <c r="J8" i="52"/>
  <c r="E8" i="52"/>
  <c r="F8" i="52"/>
  <c r="G8" i="52"/>
  <c r="H8" i="52"/>
  <c r="J9" i="52"/>
  <c r="G9" i="52"/>
  <c r="H9" i="52"/>
  <c r="J10" i="52"/>
  <c r="E10" i="52"/>
  <c r="G10" i="52"/>
  <c r="H10" i="52"/>
  <c r="J11" i="52"/>
  <c r="E11" i="52"/>
  <c r="G11" i="52"/>
  <c r="H11" i="52"/>
  <c r="J2" i="52"/>
  <c r="H2" i="52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J2" i="23"/>
  <c r="AK2" i="23"/>
  <c r="AL2" i="23"/>
  <c r="AM2" i="23"/>
  <c r="AN2" i="23"/>
  <c r="AP2" i="23"/>
  <c r="AQ2" i="23"/>
  <c r="AR2" i="23"/>
  <c r="AS2" i="23"/>
  <c r="AT2" i="23"/>
  <c r="AU2" i="23"/>
  <c r="AV2" i="23"/>
  <c r="AW2" i="23"/>
  <c r="AX2" i="23"/>
  <c r="BA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O2" i="23"/>
  <c r="BP2" i="23"/>
  <c r="C3" i="23"/>
  <c r="D3" i="23"/>
  <c r="E3" i="23"/>
  <c r="F3" i="23"/>
  <c r="J3" i="23"/>
  <c r="K3" i="23"/>
  <c r="L3" i="23"/>
  <c r="N3" i="23"/>
  <c r="O3" i="23"/>
  <c r="P3" i="23"/>
  <c r="R3" i="23"/>
  <c r="S3" i="23"/>
  <c r="T3" i="23"/>
  <c r="U3" i="23"/>
  <c r="X3" i="23"/>
  <c r="Y3" i="23"/>
  <c r="Z3" i="23"/>
  <c r="AA3" i="23"/>
  <c r="AB3" i="23"/>
  <c r="AC3" i="23"/>
  <c r="AF3" i="23"/>
  <c r="AG3" i="23"/>
  <c r="AH3" i="23"/>
  <c r="AI3" i="23"/>
  <c r="AK3" i="23"/>
  <c r="AL3" i="23"/>
  <c r="AM3" i="23"/>
  <c r="AN3" i="23"/>
  <c r="AP3" i="23"/>
  <c r="AQ3" i="23"/>
  <c r="AR3" i="23"/>
  <c r="AS3" i="23"/>
  <c r="AT3" i="23"/>
  <c r="AU3" i="23"/>
  <c r="AV3" i="23"/>
  <c r="AW3" i="23"/>
  <c r="AX3" i="23"/>
  <c r="BA3" i="23"/>
  <c r="BE3" i="23"/>
  <c r="BF3" i="23"/>
  <c r="BK3" i="23"/>
  <c r="BG3" i="23"/>
  <c r="BL3" i="23"/>
  <c r="BH3" i="23"/>
  <c r="BM3" i="23"/>
  <c r="BI3" i="23"/>
  <c r="BJ3" i="23"/>
  <c r="BO3" i="23"/>
  <c r="BP3" i="2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J4" i="23"/>
  <c r="AK4" i="23"/>
  <c r="AL4" i="23"/>
  <c r="AM4" i="23"/>
  <c r="AN4" i="23"/>
  <c r="AP4" i="23"/>
  <c r="AQ4" i="23"/>
  <c r="AR4" i="23"/>
  <c r="AS4" i="23"/>
  <c r="AT4" i="23"/>
  <c r="AU4" i="23"/>
  <c r="AV4" i="23"/>
  <c r="AW4" i="23"/>
  <c r="AX4" i="23"/>
  <c r="BA4" i="23"/>
  <c r="BB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O4" i="23"/>
  <c r="BP4" i="23"/>
  <c r="C5" i="23"/>
  <c r="D5" i="23"/>
  <c r="E5" i="23"/>
  <c r="F5" i="23"/>
  <c r="J5" i="23"/>
  <c r="L5" i="23"/>
  <c r="M5" i="23"/>
  <c r="N5" i="23"/>
  <c r="O5" i="23"/>
  <c r="P5" i="23"/>
  <c r="R5" i="23"/>
  <c r="S5" i="23"/>
  <c r="U5" i="23"/>
  <c r="V5" i="23"/>
  <c r="X5" i="23"/>
  <c r="Y5" i="23"/>
  <c r="Z5" i="23"/>
  <c r="AA5" i="23"/>
  <c r="AC5" i="23"/>
  <c r="AD5" i="23"/>
  <c r="AF5" i="23"/>
  <c r="AG5" i="23"/>
  <c r="AH5" i="23"/>
  <c r="AI5" i="23"/>
  <c r="AK5" i="23"/>
  <c r="AL5" i="23"/>
  <c r="AM5" i="23"/>
  <c r="AN5" i="23"/>
  <c r="AP5" i="23"/>
  <c r="AQ5" i="23"/>
  <c r="AR5" i="23"/>
  <c r="AS5" i="23"/>
  <c r="AT5" i="23"/>
  <c r="AU5" i="23"/>
  <c r="AV5" i="23"/>
  <c r="AW5" i="23"/>
  <c r="AX5" i="23"/>
  <c r="BA5" i="23"/>
  <c r="BB5" i="23"/>
  <c r="BE5" i="23"/>
  <c r="BF5" i="23"/>
  <c r="BK5" i="23"/>
  <c r="BG5" i="23"/>
  <c r="BH5" i="23"/>
  <c r="BM5" i="23"/>
  <c r="BI5" i="23"/>
  <c r="BN5" i="23"/>
  <c r="BJ5" i="23"/>
  <c r="BO5" i="23"/>
  <c r="BP5" i="23"/>
  <c r="C6" i="23"/>
  <c r="D6" i="23"/>
  <c r="E6" i="23"/>
  <c r="F6" i="23"/>
  <c r="L6" i="23"/>
  <c r="M6" i="23"/>
  <c r="N6" i="23"/>
  <c r="O6" i="23"/>
  <c r="P6" i="23"/>
  <c r="R6" i="23"/>
  <c r="U6" i="23"/>
  <c r="V6" i="23"/>
  <c r="X6" i="23"/>
  <c r="Y6" i="23"/>
  <c r="Z6" i="23"/>
  <c r="AC6" i="23"/>
  <c r="AD6" i="23"/>
  <c r="AF6" i="23"/>
  <c r="AG6" i="23"/>
  <c r="AH6" i="23"/>
  <c r="AI6" i="23"/>
  <c r="AK6" i="23"/>
  <c r="AL6" i="23"/>
  <c r="AM6" i="23"/>
  <c r="AN6" i="23"/>
  <c r="AP6" i="23"/>
  <c r="AQ6" i="23"/>
  <c r="AR6" i="23"/>
  <c r="AS6" i="23"/>
  <c r="AT6" i="23"/>
  <c r="AU6" i="23"/>
  <c r="AV6" i="23"/>
  <c r="AW6" i="23"/>
  <c r="AX6" i="23"/>
  <c r="BB6" i="23"/>
  <c r="BE6" i="23"/>
  <c r="BF6" i="23"/>
  <c r="BG6" i="23"/>
  <c r="BH6" i="23"/>
  <c r="BM6" i="23"/>
  <c r="BI6" i="23"/>
  <c r="BN6" i="23"/>
  <c r="BJ6" i="23"/>
  <c r="BO6" i="23"/>
  <c r="BP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J7" i="23"/>
  <c r="AK7" i="23"/>
  <c r="AL7" i="23"/>
  <c r="AM7" i="23"/>
  <c r="AN7" i="23"/>
  <c r="AP7" i="23"/>
  <c r="AQ7" i="23"/>
  <c r="AR7" i="23"/>
  <c r="AS7" i="23"/>
  <c r="AT7" i="23"/>
  <c r="AU7" i="23"/>
  <c r="AV7" i="23"/>
  <c r="AW7" i="23"/>
  <c r="AX7" i="23"/>
  <c r="AY7" i="23"/>
  <c r="BA7" i="23"/>
  <c r="BB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O7" i="23"/>
  <c r="BP7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J8" i="23"/>
  <c r="AK8" i="23"/>
  <c r="AL8" i="23"/>
  <c r="AM8" i="23"/>
  <c r="AN8" i="23"/>
  <c r="AP8" i="23"/>
  <c r="AQ8" i="23"/>
  <c r="AR8" i="23"/>
  <c r="AS8" i="23"/>
  <c r="AT8" i="23"/>
  <c r="AU8" i="23"/>
  <c r="AV8" i="23"/>
  <c r="AW8" i="23"/>
  <c r="AX8" i="23"/>
  <c r="AY8" i="23"/>
  <c r="BA8" i="23"/>
  <c r="BB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O8" i="23"/>
  <c r="BP8" i="23"/>
  <c r="C9" i="23"/>
  <c r="D9" i="23"/>
  <c r="E9" i="23"/>
  <c r="F9" i="23"/>
  <c r="J9" i="23"/>
  <c r="L9" i="23"/>
  <c r="M9" i="23"/>
  <c r="N9" i="23"/>
  <c r="O9" i="23"/>
  <c r="P9" i="23"/>
  <c r="R9" i="23"/>
  <c r="S9" i="23"/>
  <c r="U9" i="23"/>
  <c r="V9" i="23"/>
  <c r="X9" i="23"/>
  <c r="Y9" i="23"/>
  <c r="Z9" i="23"/>
  <c r="AA9" i="23"/>
  <c r="AC9" i="23"/>
  <c r="AD9" i="23"/>
  <c r="AF9" i="23"/>
  <c r="AG9" i="23"/>
  <c r="AH9" i="23"/>
  <c r="AI9" i="23"/>
  <c r="AK9" i="23"/>
  <c r="AL9" i="23"/>
  <c r="AM9" i="23"/>
  <c r="AN9" i="23"/>
  <c r="AP9" i="23"/>
  <c r="AQ9" i="23"/>
  <c r="AR9" i="23"/>
  <c r="AS9" i="23"/>
  <c r="AT9" i="23"/>
  <c r="AU9" i="23"/>
  <c r="AV9" i="23"/>
  <c r="AW9" i="23"/>
  <c r="AX9" i="23"/>
  <c r="AY9" i="23"/>
  <c r="BA9" i="23"/>
  <c r="BB9" i="23"/>
  <c r="BE9" i="23"/>
  <c r="BF9" i="23"/>
  <c r="BK9" i="23"/>
  <c r="BG9" i="23"/>
  <c r="BH9" i="23"/>
  <c r="BM9" i="23"/>
  <c r="BI9" i="23"/>
  <c r="BN9" i="23"/>
  <c r="BJ9" i="23"/>
  <c r="BO9" i="23"/>
  <c r="BP9" i="23"/>
  <c r="B10" i="23"/>
  <c r="C10" i="23"/>
  <c r="D10" i="23"/>
  <c r="E10" i="23"/>
  <c r="F10" i="23"/>
  <c r="J10" i="23"/>
  <c r="L10" i="23"/>
  <c r="M10" i="23"/>
  <c r="N10" i="23"/>
  <c r="O10" i="23"/>
  <c r="P10" i="23"/>
  <c r="R10" i="23"/>
  <c r="S10" i="23"/>
  <c r="U10" i="23"/>
  <c r="V10" i="23"/>
  <c r="X10" i="23"/>
  <c r="Y10" i="23"/>
  <c r="Z10" i="23"/>
  <c r="AA10" i="23"/>
  <c r="AC10" i="23"/>
  <c r="AD10" i="23"/>
  <c r="AF10" i="23"/>
  <c r="AG10" i="23"/>
  <c r="AH10" i="23"/>
  <c r="AI10" i="23"/>
  <c r="AK10" i="23"/>
  <c r="AL10" i="23"/>
  <c r="AM10" i="23"/>
  <c r="AN10" i="23"/>
  <c r="AP10" i="23"/>
  <c r="AQ10" i="23"/>
  <c r="AR10" i="23"/>
  <c r="AS10" i="23"/>
  <c r="AT10" i="23"/>
  <c r="AU10" i="23"/>
  <c r="AV10" i="23"/>
  <c r="AW10" i="23"/>
  <c r="AX10" i="23"/>
  <c r="AY10" i="23"/>
  <c r="BA10" i="23"/>
  <c r="BE10" i="23"/>
  <c r="BF10" i="23"/>
  <c r="BK10" i="23"/>
  <c r="BG10" i="23"/>
  <c r="BH10" i="23"/>
  <c r="BM10" i="23"/>
  <c r="BI10" i="23"/>
  <c r="BN10" i="23"/>
  <c r="BJ10" i="23"/>
  <c r="BO10" i="23"/>
  <c r="BP10" i="23"/>
  <c r="B11" i="23"/>
  <c r="C11" i="23"/>
  <c r="D11" i="23"/>
  <c r="E11" i="23"/>
  <c r="F11" i="23"/>
  <c r="J11" i="23"/>
  <c r="L11" i="23"/>
  <c r="N11" i="23"/>
  <c r="O11" i="23"/>
  <c r="P11" i="23"/>
  <c r="R11" i="23"/>
  <c r="S11" i="23"/>
  <c r="U11" i="23"/>
  <c r="X11" i="23"/>
  <c r="Y11" i="23"/>
  <c r="Z11" i="23"/>
  <c r="AA11" i="23"/>
  <c r="AC11" i="23"/>
  <c r="AF11" i="23"/>
  <c r="AG11" i="23"/>
  <c r="AH11" i="23"/>
  <c r="AI11" i="23"/>
  <c r="AK11" i="23"/>
  <c r="AL11" i="23"/>
  <c r="AM11" i="23"/>
  <c r="AN11" i="23"/>
  <c r="AP11" i="23"/>
  <c r="AQ11" i="23"/>
  <c r="AR11" i="23"/>
  <c r="AS11" i="23"/>
  <c r="AT11" i="23"/>
  <c r="AU11" i="23"/>
  <c r="AV11" i="23"/>
  <c r="AW11" i="23"/>
  <c r="AX11" i="23"/>
  <c r="AY11" i="23"/>
  <c r="BA11" i="23"/>
  <c r="BE11" i="23"/>
  <c r="BF11" i="23"/>
  <c r="BK11" i="23"/>
  <c r="BG11" i="23"/>
  <c r="BH11" i="23"/>
  <c r="BM11" i="23"/>
  <c r="BI11" i="23"/>
  <c r="BJ11" i="23"/>
  <c r="BO11" i="23"/>
  <c r="BP11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<sst xmlns="http://schemas.openxmlformats.org/spreadsheetml/2006/main" count="881" uniqueCount="367">
  <si>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</si>
  <si>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</si>
  <si>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</si>
  <si>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</si>
  <si>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</si>
  <si>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</si>
  <si>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</si>
  <si>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</si>
  <si>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</si>
  <si>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</si>
  <si>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</si>
  <si>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</si>
  <si>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</si>
  <si>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</si>
  <si>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</si>
  <si>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</si>
  <si>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</si>
  <si>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</si>
  <si>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</si>
  <si>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</si>
  <si>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</si>
  <si>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</si>
  <si>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</si>
  <si>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</si>
  <si>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</si>
  <si>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</si>
  <si>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</si>
  <si>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</si>
  <si>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</si>
  <si>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</si>
  <si>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</si>
  <si>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</si>
  <si>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</si>
  <si>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</si>
  <si>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</si>
  <si>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</si>
  <si>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</si>
  <si>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</si>
  <si>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</si>
  <si>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</si>
  <si>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</si>
  <si>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</si>
  <si>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</si>
  <si>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</si>
  <si>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</si>
  <si>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</si>
  <si>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</si>
  <si>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</si>
  <si>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</si>
  <si>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</si>
  <si>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</si>
  <si>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</si>
  <si>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</si>
  <si>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</si>
  <si>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</si>
  <si>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</si>
  <si>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</si>
  <si>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</si>
  <si>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</si>
  <si>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</si>
  <si>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</si>
  <si>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</si>
  <si>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</si>
  <si>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</si>
  <si>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</si>
  <si>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</si>
  <si>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</si>
  <si>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</si>
  <si>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</si>
  <si>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</si>
  <si>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</si>
  <si>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</si>
  <si>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</si>
  <si>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</si>
  <si>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</si>
  <si>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</si>
  <si>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</si>
  <si>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</si>
  <si>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</si>
  <si>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</si>
  <si>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</si>
  <si>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</si>
  <si>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</si>
  <si>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</si>
  <si>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</si>
  <si>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</si>
  <si>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</si>
  <si>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</si>
  <si>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</si>
  <si>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</si>
  <si>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</si>
  <si>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</si>
  <si>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</si>
  <si>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</si>
  <si>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</si>
  <si>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</si>
  <si>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</si>
  <si>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</si>
  <si>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</si>
  <si>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</si>
  <si>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</si>
  <si>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</si>
  <si>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</si>
  <si>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</si>
  <si>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</si>
  <si>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</si>
  <si>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</si>
  <si>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</si>
  <si>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</si>
  <si>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</si>
  <si>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</si>
  <si>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</si>
  <si>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</si>
  <si>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</si>
  <si>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</si>
  <si>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</si>
  <si>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</si>
  <si>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</si>
  <si>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</si>
  <si>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</si>
  <si>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</si>
  <si>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</si>
  <si>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</si>
  <si>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</si>
  <si>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</si>
  <si>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</si>
  <si>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</si>
  <si>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</si>
  <si>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</si>
  <si>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</si>
  <si>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</si>
  <si>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</si>
  <si>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</si>
  <si>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</si>
  <si>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</si>
  <si>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</si>
  <si>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</si>
  <si>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</si>
  <si>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</si>
  <si>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</si>
  <si>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</si>
  <si>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</si>
  <si>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</si>
  <si>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</si>
  <si>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</si>
  <si>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</si>
  <si>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</si>
  <si>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</si>
  <si>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</si>
  <si>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</si>
  <si>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</si>
  <si>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</si>
  <si>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</si>
  <si>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</si>
  <si>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</si>
  <si>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</si>
  <si>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</si>
  <si>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</si>
  <si>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</si>
  <si>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</si>
  <si>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</si>
  <si>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</si>
  <si>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</si>
  <si>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</si>
  <si>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</si>
  <si>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</si>
  <si>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</si>
  <si>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</si>
  <si>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</si>
  <si>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</si>
  <si>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</si>
  <si>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</si>
  <si>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</si>
  <si>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</si>
  <si>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</si>
  <si>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</si>
  <si>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</si>
  <si>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</si>
  <si>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</si>
  <si>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</si>
  <si>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</si>
  <si>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</si>
  <si>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</si>
  <si>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</si>
  <si>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</si>
  <si>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</si>
  <si>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</si>
  <si>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</si>
  <si>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</si>
  <si>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</si>
  <si>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</si>
  <si>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</si>
  <si>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</si>
  <si>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</si>
  <si>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</si>
  <si>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</si>
  <si>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</si>
  <si>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</si>
  <si>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</si>
  <si>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</si>
  <si>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</si>
  <si>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</si>
  <si>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</si>
  <si>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</si>
  <si>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</si>
  <si>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</si>
  <si>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</si>
  <si>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</si>
  <si>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</si>
  <si>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</si>
  <si>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</si>
  <si>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</si>
  <si>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</si>
  <si>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</si>
  <si>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</si>
  <si>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</si>
  <si>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</si>
  <si>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</si>
  <si>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</si>
  <si>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</si>
  <si>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</si>
  <si>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</si>
  <si>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</si>
  <si>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</si>
  <si>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</si>
  <si>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</si>
  <si>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</si>
  <si>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</si>
  <si>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1体に大ダメージ</t>
    <rPh sb="1" eb="8">
      <t>タ</t>
    </rPh>
    <phoneticPr fontId="22"/>
  </si>
  <si>
    <t>gacha12</t>
  </si>
  <si>
    <t>gacha12</t>
    <phoneticPr fontId="22"/>
  </si>
  <si>
    <t>gacha12</t>
    <phoneticPr fontId="22"/>
  </si>
  <si>
    <t>old</t>
  </si>
  <si>
    <t>old</t>
    <phoneticPr fontId="22"/>
  </si>
  <si>
    <t>単体に大ダメージ</t>
    <rPh sb="0" eb="2">
      <t>タンタ</t>
    </rPh>
    <rPh sb="3" eb="8">
      <t>ダイダメーj</t>
    </rPh>
    <phoneticPr fontId="22"/>
  </si>
  <si>
    <t>神域の無龍光</t>
    <rPh sb="1" eb="2">
      <t>イキ</t>
    </rPh>
    <phoneticPr fontId="22"/>
  </si>
  <si>
    <t>アルバドラコ・ブロト</t>
  </si>
  <si>
    <t>3ターン緑属性の攻撃力をUP(黄パネルを吸収して効果UP)+防御力大UP</t>
    <rPh sb="4" eb="5">
      <t>ミドr</t>
    </rPh>
    <rPh sb="15" eb="16">
      <t>キ</t>
    </rPh>
    <rPh sb="30" eb="33">
      <t>ボウgy</t>
    </rPh>
    <rPh sb="33" eb="34">
      <t>ダ</t>
    </rPh>
    <phoneticPr fontId="22"/>
  </si>
  <si>
    <t>3ターン緑属性の攻撃力をUP(黄パネルを吸収して効果UP)+防御力特大UP</t>
    <rPh sb="4" eb="5">
      <t>ミドr</t>
    </rPh>
    <rPh sb="15" eb="16">
      <t>キ</t>
    </rPh>
    <rPh sb="30" eb="33">
      <t>ボウgy</t>
    </rPh>
    <rPh sb="33" eb="35">
      <t>トk</t>
    </rPh>
    <phoneticPr fontId="22"/>
  </si>
  <si>
    <t>敵をウィルス状態にし5ターンの間防御力無視の大ダメージを与える+全体に大ダメージ</t>
    <rPh sb="32" eb="35">
      <t>ゼン</t>
    </rPh>
    <rPh sb="35" eb="40">
      <t>ダイダメーj</t>
    </rPh>
    <phoneticPr fontId="22"/>
  </si>
  <si>
    <t>敵をウィルス状態にし5ターンの間防御力無視の特大ダメージを与える+全体に大ダメージ</t>
    <rPh sb="36" eb="37">
      <t>トk</t>
    </rPh>
    <phoneticPr fontId="22"/>
  </si>
  <si>
    <t>[effect:virus, target:enemy_all, turn:5, rate:1.0, val:1.0, animation:virus03],[effect:damage, target:enemy_all, color:blue, val:3.0, animation:damage_all_blue04]</t>
    <phoneticPr fontId="22"/>
  </si>
  <si>
    <t>[effect:virus, target:enemy_all, turn:5, rate:1.0, val:1.2, animation:virus04],[effect:damage, target:enemy_all, color:blue, val:3.0, animation:damage_all_blue04]</t>
    <phoneticPr fontId="22"/>
  </si>
  <si>
    <t>[effect:damage, target:enemy_one, color:yellow, val:2.0, animation:damage_one_yellow04]</t>
    <phoneticPr fontId="22"/>
  </si>
  <si>
    <t>[effect:damage, target:enemy_one, color:red, val:2.0, animation:damage_one_red04]</t>
    <phoneticPr fontId="22"/>
  </si>
  <si>
    <t>[effect:damage_anti_tribe, target:enemy_one, tribe:machine, val1:3.0, val2:1.13,  animation:damage_one_green04]</t>
    <phoneticPr fontId="22"/>
  </si>
  <si>
    <t>[effect:damage_anti_tribe, target:enemy_one, tribe:machine, val1:2.63, val2:0.94,  animation:damage_one_green03]</t>
    <phoneticPr fontId="22"/>
  </si>
  <si>
    <t>ダス・ラインゴルト</t>
    <phoneticPr fontId="22"/>
  </si>
  <si>
    <t>ラインゴルト・クラフト</t>
    <phoneticPr fontId="22"/>
  </si>
  <si>
    <t>エイクトキシックブレス</t>
    <phoneticPr fontId="22"/>
  </si>
  <si>
    <t>エイクトキシックブレス</t>
    <phoneticPr fontId="22"/>
  </si>
  <si>
    <t>カーストキシックブレス</t>
  </si>
  <si>
    <t>コールアウト</t>
    <phoneticPr fontId="22"/>
  </si>
  <si>
    <t>コールアウト・ユミル</t>
    <phoneticPr fontId="22"/>
  </si>
  <si>
    <t>アンリタンド・ピース</t>
    <phoneticPr fontId="22"/>
  </si>
  <si>
    <t>アンリタンド・ピース</t>
    <phoneticPr fontId="22"/>
  </si>
  <si>
    <t>リタンエンド・ピース</t>
    <phoneticPr fontId="22"/>
  </si>
  <si>
    <t>漏洩する強欲</t>
    <phoneticPr fontId="22"/>
  </si>
  <si>
    <t>漏洩する強欲</t>
    <phoneticPr fontId="22"/>
  </si>
  <si>
    <t>氾濫する強欲</t>
    <phoneticPr fontId="22"/>
  </si>
  <si>
    <t>単体に特大ダメージ＋3ターンの間敵からダメージを受けたとき大ダメージを与える</t>
    <rPh sb="0" eb="3">
      <t>タンタ</t>
    </rPh>
    <rPh sb="3" eb="5">
      <t>トクダ</t>
    </rPh>
    <phoneticPr fontId="22"/>
  </si>
  <si>
    <t>単体に大ダメージ＋3ターンの間敵からダメージを受けたとき大ダメージを与える</t>
    <rPh sb="0" eb="3">
      <t>タンタ</t>
    </rPh>
    <rPh sb="3" eb="4">
      <t>トクダ</t>
    </rPh>
    <phoneticPr fontId="22"/>
  </si>
  <si>
    <t>[effect:counter_new, target:unit_all, invoke_condition:enemy_all, counter_target:attacker, turn:3, val:2.0],[effect:damage, target:enemy_one, color:red, val:5.95, animation:damage_one_red04]</t>
    <phoneticPr fontId="22"/>
  </si>
  <si>
    <t>[effect:break_enchance_unit, val:0.005, lowest_val:0.2, count :-1, status:attack, turn:3, block:block_yellow, target:unit_green, calc:mul, animation:enhance_unit_all_attack04],[effect:enhance_unit, target:unit_green, turn:3, status:defense, val:960, calc:add, animation:enhance_unit_all_defense03_unit01]</t>
    <phoneticPr fontId="22"/>
  </si>
  <si>
    <t>[effect:break_enchance_unit, val:0.005, lowest_val:0.2, count :-1, status:attack, turn:3, block:block_yellow, target:unit_green, calc:mul, animation:enhance_unit_all_attack04],[effect:enhance_unit, target:unit_green, turn:3, status:defense, val:960, calc:add, animation:enhance_unit_all_defense03_unit01]</t>
    <phoneticPr fontId="22"/>
  </si>
  <si>
    <t>[effect:break_enchance_unit, val:0.005, lowest_val:0.2, count :-1, status:attack, turn:3, block:block_yellow, target:unit_green, calc:mul, animation:enhance_unit_all_attack04],[effect:enhance_unit, target:unit_green, turn:3, status:defense, val:1440, calc:add, animation:enhance_unit_all_defense03_unit01]</t>
    <phoneticPr fontId="22"/>
  </si>
  <si>
    <t>1体に特大ダメージ</t>
    <rPh sb="3" eb="4">
      <t>トク</t>
    </rPh>
    <phoneticPr fontId="22"/>
  </si>
  <si>
    <t>[effect:damage, target:enemy_one, color:red, val:2.25, animation:damage_one_red04]</t>
    <phoneticPr fontId="22"/>
  </si>
  <si>
    <t>skill</t>
    <phoneticPr fontId="22"/>
  </si>
  <si>
    <t>skill</t>
    <phoneticPr fontId="22"/>
  </si>
  <si>
    <t>maru</t>
    <phoneticPr fontId="22"/>
  </si>
  <si>
    <t>破壊セヨ…破壊セヨ…</t>
    <rPh sb="0" eb="2">
      <t>ハk</t>
    </rPh>
    <rPh sb="5" eb="7">
      <t>ハk</t>
    </rPh>
    <phoneticPr fontId="22"/>
  </si>
  <si>
    <t>cskill</t>
    <phoneticPr fontId="22"/>
  </si>
  <si>
    <t>音撃起動…！</t>
    <rPh sb="0" eb="2">
      <t>オンゲk</t>
    </rPh>
    <rPh sb="2" eb="4">
      <t>キド</t>
    </rPh>
    <phoneticPr fontId="22"/>
  </si>
  <si>
    <t>cskill</t>
    <phoneticPr fontId="22"/>
  </si>
  <si>
    <t>ja</t>
    <phoneticPr fontId="22"/>
  </si>
  <si>
    <t>maru</t>
    <phoneticPr fontId="22"/>
  </si>
  <si>
    <t>妨害措置ヲ行ウ</t>
    <rPh sb="0" eb="4">
      <t>ボ</t>
    </rPh>
    <rPh sb="5" eb="6">
      <t>オコン</t>
    </rPh>
    <phoneticPr fontId="22"/>
  </si>
  <si>
    <t>skill</t>
    <phoneticPr fontId="22"/>
  </si>
  <si>
    <t>giza</t>
    <phoneticPr fontId="22"/>
  </si>
  <si>
    <t>迎撃モード起動…圧砕スル！</t>
    <rPh sb="0" eb="5">
      <t>ゲイゲk</t>
    </rPh>
    <rPh sb="5" eb="7">
      <t>キド</t>
    </rPh>
    <rPh sb="8" eb="10">
      <t>アッサ</t>
    </rPh>
    <phoneticPr fontId="22"/>
  </si>
  <si>
    <t>cskill</t>
    <phoneticPr fontId="22"/>
  </si>
  <si>
    <t>ja</t>
    <phoneticPr fontId="22"/>
  </si>
  <si>
    <t>giza</t>
    <phoneticPr fontId="22"/>
  </si>
  <si>
    <t>ガアアアアアアッ！！</t>
    <phoneticPr fontId="22"/>
  </si>
  <si>
    <t>ja</t>
    <phoneticPr fontId="22"/>
  </si>
  <si>
    <t>maru</t>
    <phoneticPr fontId="22"/>
  </si>
  <si>
    <t>私が役に立つのなら…</t>
    <rPh sb="0" eb="2">
      <t>ワタs</t>
    </rPh>
    <rPh sb="2" eb="4">
      <t>ヤk</t>
    </rPh>
    <rPh sb="4" eb="9">
      <t>タツン</t>
    </rPh>
    <phoneticPr fontId="22"/>
  </si>
  <si>
    <t>もう元に戻らない</t>
    <rPh sb="2" eb="4">
      <t>モt</t>
    </rPh>
    <rPh sb="4" eb="8">
      <t>モドラン</t>
    </rPh>
    <phoneticPr fontId="22"/>
  </si>
  <si>
    <t>力を上げるわ…</t>
    <rPh sb="0" eb="2">
      <t>チカr</t>
    </rPh>
    <rPh sb="2" eb="6">
      <t>アg</t>
    </rPh>
    <phoneticPr fontId="22"/>
  </si>
  <si>
    <t>直にガタがくるわ…</t>
    <rPh sb="0" eb="2">
      <t>ziki</t>
    </rPh>
    <phoneticPr fontId="22"/>
  </si>
  <si>
    <t>これが、支配する力よ…！</t>
    <rPh sb="4" eb="6">
      <t>シh</t>
    </rPh>
    <rPh sb="8" eb="10">
      <t>チカr</t>
    </rPh>
    <phoneticPr fontId="22"/>
  </si>
  <si>
    <t>cskill</t>
    <phoneticPr fontId="22"/>
  </si>
  <si>
    <t>ja</t>
    <phoneticPr fontId="22"/>
  </si>
  <si>
    <t>cskill</t>
    <phoneticPr fontId="22"/>
  </si>
  <si>
    <t>何もかも終わりなのよ！</t>
    <rPh sb="0" eb="10">
      <t>ナン</t>
    </rPh>
    <phoneticPr fontId="22"/>
  </si>
  <si>
    <t>宝はやらん、オレの物だ</t>
    <rPh sb="0" eb="2">
      <t>タカr</t>
    </rPh>
    <rPh sb="9" eb="10">
      <t>モノ</t>
    </rPh>
    <phoneticPr fontId="22"/>
  </si>
  <si>
    <t>ja</t>
    <phoneticPr fontId="22"/>
  </si>
  <si>
    <t>giza</t>
    <phoneticPr fontId="22"/>
  </si>
  <si>
    <t>素晴らしい！</t>
    <rPh sb="0" eb="5">
      <t>スバラs</t>
    </rPh>
    <phoneticPr fontId="22"/>
  </si>
  <si>
    <t>ja</t>
    <phoneticPr fontId="22"/>
  </si>
  <si>
    <t>maru</t>
    <phoneticPr fontId="22"/>
  </si>
  <si>
    <t>cskill</t>
    <phoneticPr fontId="22"/>
  </si>
  <si>
    <t>美しい輝きだ！</t>
    <rPh sb="0" eb="3">
      <t>ウt</t>
    </rPh>
    <rPh sb="3" eb="6">
      <t>カガヤk</t>
    </rPh>
    <phoneticPr fontId="22"/>
  </si>
  <si>
    <t>skill</t>
    <phoneticPr fontId="22"/>
  </si>
  <si>
    <t>cskill</t>
    <phoneticPr fontId="22"/>
  </si>
  <si>
    <t>ja</t>
    <phoneticPr fontId="22"/>
  </si>
  <si>
    <t>ja</t>
    <phoneticPr fontId="22"/>
  </si>
  <si>
    <t>giza</t>
    <phoneticPr fontId="22"/>
  </si>
  <si>
    <t>もっと欲しい！</t>
    <rPh sb="3" eb="6">
      <t>ホシ</t>
    </rPh>
    <phoneticPr fontId="22"/>
  </si>
  <si>
    <t>skill</t>
    <phoneticPr fontId="22"/>
  </si>
  <si>
    <t>祀れ、さすれば力を貸そう</t>
    <rPh sb="0" eb="2">
      <t>マt</t>
    </rPh>
    <rPh sb="7" eb="9">
      <t>チカr</t>
    </rPh>
    <rPh sb="9" eb="12">
      <t>カソ</t>
    </rPh>
    <phoneticPr fontId="22"/>
  </si>
  <si>
    <t>cskill</t>
    <phoneticPr fontId="22"/>
  </si>
  <si>
    <t>ja</t>
    <phoneticPr fontId="22"/>
  </si>
  <si>
    <t>maru</t>
    <phoneticPr fontId="22"/>
  </si>
  <si>
    <t>阻むことはできぬぞ</t>
    <rPh sb="0" eb="5">
      <t>ハb</t>
    </rPh>
    <phoneticPr fontId="22"/>
  </si>
  <si>
    <t>cskill</t>
    <phoneticPr fontId="22"/>
  </si>
  <si>
    <t>maru</t>
    <phoneticPr fontId="22"/>
  </si>
  <si>
    <t>触れることも許さぬ</t>
    <rPh sb="0" eb="6">
      <t>フr</t>
    </rPh>
    <rPh sb="6" eb="9">
      <t>ユルサン</t>
    </rPh>
    <phoneticPr fontId="22"/>
  </si>
  <si>
    <t>ja</t>
    <phoneticPr fontId="22"/>
  </si>
  <si>
    <t>maru</t>
    <phoneticPr fontId="22"/>
  </si>
  <si>
    <t>神域の光、受けるがよい</t>
    <rPh sb="0" eb="3">
      <t>シン</t>
    </rPh>
    <rPh sb="3" eb="5">
      <t>ヒカリ</t>
    </rPh>
    <rPh sb="5" eb="9">
      <t>ウk</t>
    </rPh>
    <phoneticPr fontId="22"/>
  </si>
  <si>
    <t>cskill</t>
    <phoneticPr fontId="22"/>
  </si>
  <si>
    <t>cskill</t>
    <phoneticPr fontId="22"/>
  </si>
  <si>
    <t>雲霞に消えよ</t>
    <rPh sb="0" eb="1">
      <t>クm</t>
    </rPh>
    <rPh sb="1" eb="2">
      <t>カスm</t>
    </rPh>
    <rPh sb="3" eb="6">
      <t>キ</t>
    </rPh>
    <phoneticPr fontId="22"/>
  </si>
  <si>
    <t>unit_serifs_i18n</t>
    <phoneticPr fontId="22"/>
  </si>
  <si>
    <t>frame_type</t>
    <phoneticPr fontId="22"/>
  </si>
  <si>
    <t>serif</t>
    <phoneticPr fontId="22"/>
  </si>
  <si>
    <t>cskill</t>
    <phoneticPr fontId="22"/>
  </si>
  <si>
    <t>1体に小ダメージ
マシンに効果大</t>
    <rPh sb="3" eb="4">
      <t>ショウ</t>
    </rPh>
    <phoneticPr fontId="22"/>
  </si>
  <si>
    <t>1体に小ダメージ
マシンに効果大</t>
    <rPh sb="3" eb="4">
      <t>ショ</t>
    </rPh>
    <phoneticPr fontId="22"/>
  </si>
  <si>
    <t>1体に中ダメージ
マシンに効果大</t>
    <rPh sb="3" eb="4">
      <t>チュ</t>
    </rPh>
    <phoneticPr fontId="22"/>
  </si>
  <si>
    <t>1体に小ダメージ
unknownに効果大</t>
    <rPh sb="3" eb="4">
      <t>ショ</t>
    </rPh>
    <phoneticPr fontId="22"/>
  </si>
  <si>
    <t>1体に中ダメージ
unknownに効果大</t>
    <rPh sb="3" eb="4">
      <t>チュ</t>
    </rPh>
    <phoneticPr fontId="22"/>
  </si>
  <si>
    <t>[effect:break_attack, val:0.43, lowest_val:0, count:-1, 
block01:block_blue, 
block02:block_green,
block03:block_red,
color:yellow, target:enemy_one, animation:damage_one_yellow05]</t>
    <phoneticPr fontId="22"/>
  </si>
  <si>
    <t>[effect:damage_anti_tribe, target:enemy_one, tribe:unknown, val1:3.0, val2:1.13,  animation:damage_one_blue04]</t>
    <phoneticPr fontId="22"/>
  </si>
  <si>
    <t>[effect:damage_anti_tribe, target:enemy_one, tribe:unknown, val1:2.63, val2:0.94,  animation:damage_one_blue03]</t>
    <phoneticPr fontId="22"/>
  </si>
  <si>
    <t>[effect:damage_anti_tribe, target:enemy_one, tribe:unknown, val1:2.63, val2:0.94,  animation:damage_one_blue03]</t>
    <phoneticPr fontId="22"/>
  </si>
  <si>
    <t>B・Fブレード 地砕</t>
    <phoneticPr fontId="22"/>
  </si>
  <si>
    <t>B・Fブレード 地鳴</t>
    <phoneticPr fontId="22"/>
  </si>
  <si>
    <t>[effect:break_attack, val:0.43, lowest_val:0, count:-1, 
block01:block_blue, 
block02:block_green,
block03:block_red,
color:yellow, target:enemy_one, animation:damage_one_yellow05]</t>
    <phoneticPr fontId="22"/>
  </si>
  <si>
    <t>[effect:counter_new, target:unit_all, invoke_condition:enemy_all, counter_target:attacker, turn:3, val:2.0],[effect:damage, target:enemy_one, color:red, val:8.16, animation:damage_one_red04]</t>
    <phoneticPr fontId="22"/>
  </si>
  <si>
    <t>赤・青・緑パネルを全て破壊し、破壊したパネルの数に応じて単体に特大ダメージ</t>
    <rPh sb="0" eb="1">
      <t>アk</t>
    </rPh>
    <rPh sb="2" eb="3">
      <t>ア</t>
    </rPh>
    <rPh sb="4" eb="5">
      <t>ミドr</t>
    </rPh>
    <rPh sb="25" eb="28">
      <t>オウj</t>
    </rPh>
    <rPh sb="28" eb="29">
      <t>タン</t>
    </rPh>
    <rPh sb="31" eb="32">
      <t>トk</t>
    </rPh>
    <phoneticPr fontId="22"/>
  </si>
  <si>
    <t>宝に触れるな！近づくな！</t>
    <rPh sb="0" eb="2">
      <t>タカr</t>
    </rPh>
    <rPh sb="2" eb="6">
      <t>フr</t>
    </rPh>
    <rPh sb="7" eb="10">
      <t>チカヅk</t>
    </rPh>
    <phoneticPr fontId="22"/>
  </si>
  <si>
    <t>二度と近づくんじゃない！</t>
    <rPh sb="0" eb="3">
      <t>ニd</t>
    </rPh>
    <rPh sb="3" eb="11">
      <t>チk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</si>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</sst>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730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5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5" fillId="0" borderId="7" xfId="0" applyFont="1" applyFill="1" applyBorder="1" applyAlignment="1">
      <alignment vertical="center" wrapText="1"/>
    </xf>
    <xf numFmtId="0" fontId="16" fillId="0" borderId="23" xfId="0" applyFont="1" applyFill="1" applyBorder="1" applyAlignment="1">
      <alignment horizontal="right" vertical="center"/>
    </xf>
    <xf numFmtId="0" fontId="29" fillId="0" borderId="7" xfId="0" applyFont="1" applyFill="1" applyBorder="1"/>
    <xf numFmtId="0" fontId="0" fillId="0" borderId="4" xfId="0" applyNumberFormat="1" applyFill="1" applyBorder="1"/>
    <xf numFmtId="0" fontId="28" fillId="0" borderId="4" xfId="0" applyNumberFormat="1" applyFont="1" applyFill="1" applyBorder="1"/>
    <xf numFmtId="0" fontId="13" fillId="24" borderId="4" xfId="0" applyFont="1" applyFill="1" applyBorder="1" applyAlignment="1">
      <alignment horizontal="left" vertical="center" wrapText="1"/>
    </xf>
    <xf numFmtId="0" fontId="16" fillId="20" borderId="4" xfId="0" applyFont="1" applyFill="1" applyBorder="1" applyAlignment="1">
      <alignment horizontal="right" vertical="center"/>
    </xf>
  </cellXfs>
  <cellStyles count="4730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赤字強調" xfId="4"/>
    <cellStyle name="青字強調" xfId="3"/>
  </cellStyles>
  <dxfs count="2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magai/Documents/Character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</sheetData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G1" workbookViewId="0">
      <selection activeCell="P23" sqref="P2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233</v>
      </c>
      <c r="B2" s="115" t="s">
        <v>162</v>
      </c>
      <c r="C2" s="115" t="s">
        <v>230</v>
      </c>
      <c r="D2" s="115" t="s">
        <v>161</v>
      </c>
      <c r="E2" s="114" t="str">
        <f>B2&amp;C2&amp;D2</f>
        <v>units_gacha12.tmp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365</v>
      </c>
      <c r="S2" s="115"/>
      <c r="T2" s="115"/>
      <c r="U2" s="115"/>
      <c r="V2" s="115"/>
      <c r="W2" s="115"/>
    </row>
    <row r="3" spans="1:23" x14ac:dyDescent="0.15">
      <c r="A3" s="115" t="s">
        <v>232</v>
      </c>
      <c r="B3" s="115" t="s">
        <v>163</v>
      </c>
      <c r="C3" s="115" t="s">
        <v>231</v>
      </c>
      <c r="D3" s="115" t="s">
        <v>161</v>
      </c>
      <c r="E3" s="114" t="str">
        <f>B3&amp;C3&amp;D3</f>
        <v>awake_materials_gacha12.tmp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233</v>
      </c>
      <c r="B4" s="115" t="s">
        <v>164</v>
      </c>
      <c r="C4" s="115" t="s">
        <v>229</v>
      </c>
      <c r="D4" s="115" t="s">
        <v>165</v>
      </c>
      <c r="E4" s="114" t="str">
        <f t="shared" ref="E4" si="0">B4&amp;C4&amp;D4</f>
        <v>unit_levels_calc_gacha12.tmp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232</v>
      </c>
      <c r="B5" s="115" t="s">
        <v>176</v>
      </c>
      <c r="C5" s="115" t="s">
        <v>229</v>
      </c>
      <c r="D5" s="115" t="s">
        <v>177</v>
      </c>
      <c r="E5" s="114" t="str">
        <f>B5&amp;C5&amp;D5</f>
        <v>unit_skills_data_gacha12.tmp</v>
      </c>
      <c r="F5" s="115" t="s">
        <v>178</v>
      </c>
      <c r="G5" s="124" t="s">
        <v>21</v>
      </c>
      <c r="H5" s="124" t="s">
        <v>179</v>
      </c>
      <c r="I5" s="124" t="s">
        <v>2</v>
      </c>
      <c r="J5" s="124" t="s">
        <v>180</v>
      </c>
      <c r="K5" s="124" t="s">
        <v>181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233</v>
      </c>
      <c r="B6" s="115" t="s">
        <v>182</v>
      </c>
      <c r="C6" s="115" t="s">
        <v>229</v>
      </c>
      <c r="D6" s="115" t="s">
        <v>161</v>
      </c>
      <c r="E6" s="114" t="str">
        <f>B6&amp;C6&amp;D6</f>
        <v>unit_skills_i18n_gacha12.tmp</v>
      </c>
      <c r="F6" s="115" t="s">
        <v>178</v>
      </c>
      <c r="G6" s="124" t="s">
        <v>183</v>
      </c>
      <c r="H6" s="124" t="s">
        <v>167</v>
      </c>
      <c r="I6" s="124" t="s">
        <v>184</v>
      </c>
      <c r="J6" s="124" t="s">
        <v>185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232</v>
      </c>
      <c r="B7" s="115" t="s">
        <v>186</v>
      </c>
      <c r="C7" s="115" t="s">
        <v>229</v>
      </c>
      <c r="D7" s="115" t="s">
        <v>187</v>
      </c>
      <c r="E7" s="114" t="str">
        <f>B7&amp;C7&amp;D7</f>
        <v>crash_skills_data_gacha12.tmp</v>
      </c>
      <c r="F7" s="115" t="s">
        <v>188</v>
      </c>
      <c r="G7" s="124" t="s">
        <v>189</v>
      </c>
      <c r="H7" s="124" t="s">
        <v>181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233</v>
      </c>
      <c r="B8" s="115" t="s">
        <v>190</v>
      </c>
      <c r="C8" s="115" t="s">
        <v>229</v>
      </c>
      <c r="D8" s="115" t="s">
        <v>191</v>
      </c>
      <c r="E8" s="114" t="str">
        <f t="shared" ref="E8" si="1">B8&amp;C8&amp;D8</f>
        <v>crash_skills_i18n_gacha12.tmp</v>
      </c>
      <c r="F8" s="115" t="s">
        <v>188</v>
      </c>
      <c r="G8" s="124" t="s">
        <v>192</v>
      </c>
      <c r="H8" s="124" t="s">
        <v>193</v>
      </c>
      <c r="I8" s="124" t="s">
        <v>194</v>
      </c>
      <c r="J8" s="124" t="s">
        <v>195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232</v>
      </c>
      <c r="B9" s="118" t="s">
        <v>168</v>
      </c>
      <c r="C9" s="115" t="s">
        <v>229</v>
      </c>
      <c r="D9" s="115" t="s">
        <v>191</v>
      </c>
      <c r="E9" s="114" t="str">
        <f t="shared" ref="E9:E10" si="2">B9&amp;C9&amp;D9</f>
        <v>unit_serifs_data_gacha12.tmp</v>
      </c>
      <c r="F9" s="118" t="s">
        <v>170</v>
      </c>
      <c r="G9" s="123" t="s">
        <v>171</v>
      </c>
      <c r="H9" s="124" t="s">
        <v>172</v>
      </c>
      <c r="I9" s="124" t="s">
        <v>166</v>
      </c>
      <c r="J9" s="122" t="s">
        <v>223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233</v>
      </c>
      <c r="B10" s="118" t="s">
        <v>169</v>
      </c>
      <c r="C10" s="115" t="s">
        <v>229</v>
      </c>
      <c r="D10" s="115" t="s">
        <v>191</v>
      </c>
      <c r="E10" s="114" t="str">
        <f t="shared" si="2"/>
        <v>unit_serifs_i18n_gacha12.tmp</v>
      </c>
      <c r="F10" s="118" t="s">
        <v>325</v>
      </c>
      <c r="G10" s="123" t="s">
        <v>173</v>
      </c>
      <c r="H10" s="124" t="s">
        <v>174</v>
      </c>
      <c r="I10" s="124" t="s">
        <v>175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O2" activePane="bottomRight" state="frozen"/>
      <selection pane="topRight" activeCell="J1" sqref="J1"/>
      <selection pane="bottomLeft" activeCell="A3" sqref="A3"/>
      <selection pane="bottomRight" activeCell="BV12" sqref="BV1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366</v>
      </c>
    </row>
    <row r="2" spans="1:70" ht="21" customHeight="1" x14ac:dyDescent="0.15">
      <c r="A2" s="140">
        <v>586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ユミル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ガチャ:北欧01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25</v>
      </c>
      <c r="O2" s="11">
        <f ca="1">INDEX(レベル!$A$1:$I$16,MATCH(H2,レベル!$A$1:$A$16,FALSE),MATCH(G2,レベル!$A$1:$I$1,FALSE))</f>
        <v>60</v>
      </c>
      <c r="P2" s="49">
        <f t="shared" ref="P2:P11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machine</v>
      </c>
      <c r="X2" s="5" t="str">
        <f ca="1">VLOOKUP(W2,[1]character_tribe_i18n!$A:$H,3,FALSE)</f>
        <v>マシン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>
        <f>A3</f>
        <v>587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原初の煉鋼巨刃 ユミル</v>
      </c>
      <c r="AG2" s="5">
        <f t="shared" ref="AG2:AG11" ca="1" si="1">IF(ISNA(MATCH(A2,AE:AE,0)),A2,INDIRECT(ADDRESS(MATCH(A2,AE:AE,0),COLUMN())))</f>
        <v>586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ユミル</v>
      </c>
      <c r="AI2" s="11">
        <f ca="1">IF(AE2="NULL","NULL",VLOOKUP(G2,ビット!$A$2:$B$7,2))</f>
        <v>50000</v>
      </c>
      <c r="AJ2" s="6">
        <f>2</f>
        <v>2</v>
      </c>
      <c r="AK2" s="7" t="str">
        <f t="shared" ref="AK2:AK11" si="2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6"/>
      <c r="AP2" s="69">
        <f t="shared" ref="AP2:AP11" si="3">A2</f>
        <v>586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B・Fブレード 地鳴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単体に大ダメージ＋3ターンの間敵からダメージを受けたとき大ダメージを与える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 t="shared" ref="AT2:AT11" si="4">A2</f>
        <v>586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コールアウト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1.1000000000000001</v>
      </c>
      <c r="AZ2" s="70">
        <v>1.05</v>
      </c>
      <c r="BA2" s="70">
        <f>0</f>
        <v>0</v>
      </c>
      <c r="BB2" s="70">
        <v>0.95</v>
      </c>
      <c r="BC2" s="11">
        <f ca="1">INDEX('RC6SV'!$A$1:$G$15,MATCH(H2,'RC6SV'!$A$1:$A$15,FALSE),MATCH(G2,'RC6SV'!$A$1:$G$1,FALSE))</f>
        <v>7500</v>
      </c>
      <c r="BD2" s="49">
        <f t="shared" ref="BD2:BD11" ca="1" si="5">ROUND(BC2*IF(AJ2=1,0.95,IF(AJ2=2,1,IF(AJ2,1.05,0))),0)</f>
        <v>7500</v>
      </c>
      <c r="BE2" s="11">
        <f t="shared" ref="BE2:BE11" ca="1" si="6">ROUND(IFERROR(INDIRECT(ADDRESS(MATCH($A2,$AE:$AE,0),MATCH($BC$1,$1:$1,0))),0),0)</f>
        <v>0</v>
      </c>
      <c r="BF2" s="11">
        <f t="shared" ref="BF2:BF11" ca="1" si="7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2991</v>
      </c>
      <c r="BH2" s="16">
        <f ca="1">IF($BE2&lt;=0,ROUND(BL2*0.5,0), ROUND($BE2*T2*AB2*K2*AZ2*0.8*[1]ステータス!$C$2,0))</f>
        <v>1024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611</v>
      </c>
      <c r="BK2" s="11">
        <f ca="1">ROUND(BD2*S2*AA2*J2*AY2*[1]ステータス!$B$2,0)</f>
        <v>5981</v>
      </c>
      <c r="BL2" s="11">
        <f ca="1">ROUND(BD2*T2*AB2*K2*AZ2*[1]ステータス!$C$2,0)</f>
        <v>2048</v>
      </c>
      <c r="BM2" s="11">
        <f ca="1">ROUND(BD2*U2*AC2*L2*BA2*[1]ステータス!$D$2,0)</f>
        <v>0</v>
      </c>
      <c r="BN2" s="11">
        <f ca="1">ROUND(BD2*V2*AD2*M2*BB2*[1]ステータス!$E$2,0)</f>
        <v>1222</v>
      </c>
      <c r="BO2" s="10">
        <f>0</f>
        <v>0</v>
      </c>
      <c r="BP2" s="10">
        <f>1</f>
        <v>1</v>
      </c>
      <c r="BQ2" s="10" t="s">
        <v>73</v>
      </c>
      <c r="BR2" s="10">
        <f ca="1">VLOOKUP(H2,ghosts_label!$A$2:$B$19,2,FALSE)</f>
        <v>5500</v>
      </c>
    </row>
    <row r="3" spans="1:70" ht="21" customHeight="1" x14ac:dyDescent="0.15">
      <c r="A3" s="140">
        <v>587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原初の煉鋼巨刃 ユミル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ガチャ:北欧01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35</v>
      </c>
      <c r="O3" s="11">
        <f ca="1">INDEX(レベル!$A$1:$I$16,MATCH(H3,レベル!$A$1:$A$16,FALSE),MATCH(G3,レベル!$A$1:$I$1,FALSE))</f>
        <v>80</v>
      </c>
      <c r="P3" s="49">
        <f t="shared" ca="1" si="0"/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machine</v>
      </c>
      <c r="X3" s="5" t="str">
        <f ca="1">VLOOKUP(W3,[1]character_tribe_i18n!$A:$H,3,FALSE)</f>
        <v>マシン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216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586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ユミル</v>
      </c>
      <c r="AI3" s="11" t="str">
        <f>IF(AE3="NULL","NULL",VLOOKUP(G3,ビット!$A$2:$B$7,2))</f>
        <v>NULL</v>
      </c>
      <c r="AJ3" s="6">
        <f>2</f>
        <v>2</v>
      </c>
      <c r="AK3" s="7" t="str">
        <f t="shared" si="2"/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6"/>
      <c r="AP3" s="69">
        <f t="shared" si="3"/>
        <v>587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B・Fブレード 地砕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単体に特大ダメージ＋3ターンの間敵からダメージを受けたとき大ダメージを与える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f t="shared" si="4"/>
        <v>587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コールアウト・ユミル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1.1000000000000001</v>
      </c>
      <c r="AZ3" s="70">
        <v>1.05</v>
      </c>
      <c r="BA3" s="70">
        <f>0</f>
        <v>0</v>
      </c>
      <c r="BB3" s="70">
        <v>0.95</v>
      </c>
      <c r="BC3" s="11">
        <f ca="1">INDEX('RC6SV'!$A$1:$G$15,MATCH(H3,'RC6SV'!$A$1:$A$15,FALSE),MATCH(G3,'RC6SV'!$A$1:$G$1,FALSE))</f>
        <v>9500</v>
      </c>
      <c r="BD3" s="49">
        <f t="shared" ca="1" si="5"/>
        <v>9500</v>
      </c>
      <c r="BE3" s="11">
        <f t="shared" ca="1" si="6"/>
        <v>7500</v>
      </c>
      <c r="BF3" s="11">
        <f t="shared" ca="1" si="7"/>
        <v>1</v>
      </c>
      <c r="BG3" s="16">
        <f ca="1">IF($BE3&lt;=0,ROUND(BK3*0.5,0), ROUND($BE3*S3*AA3*J3*AY3*0.8*[1]ステータス!$B$2,0))</f>
        <v>4785</v>
      </c>
      <c r="BH3" s="16">
        <f ca="1">IF($BE3&lt;=0,ROUND(BL3*0.5,0), ROUND($BE3*T3*AB3*K3*AZ3*0.8*[1]ステータス!$C$2,0))</f>
        <v>1639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978</v>
      </c>
      <c r="BK3" s="11">
        <f ca="1">ROUND(BD3*S3*AA3*J3*AY3*[1]ステータス!$B$2,0)</f>
        <v>7576</v>
      </c>
      <c r="BL3" s="11">
        <f ca="1">ROUND(BD3*T3*AB3*K3*AZ3*[1]ステータス!$C$2,0)</f>
        <v>2594</v>
      </c>
      <c r="BM3" s="11">
        <f ca="1">ROUND(BD3*U3*AC3*L3*BA3*[1]ステータス!$D$2,0)</f>
        <v>0</v>
      </c>
      <c r="BN3" s="11">
        <f ca="1">ROUND(BD3*V3*AD3*M3*BB3*[1]ステータス!$E$2,0)</f>
        <v>1548</v>
      </c>
      <c r="BO3" s="10">
        <f>0</f>
        <v>0</v>
      </c>
      <c r="BP3" s="10">
        <f>1</f>
        <v>1</v>
      </c>
      <c r="BQ3" s="10" t="s">
        <v>73</v>
      </c>
      <c r="BR3" s="10">
        <f ca="1">VLOOKUP(H3,ghosts_label!$A$2:$B$19,2,FALSE)</f>
        <v>5500</v>
      </c>
    </row>
    <row r="4" spans="1:70" ht="21" customHeight="1" x14ac:dyDescent="0.15">
      <c r="A4" s="140">
        <v>588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ニーベルゲン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ガチャ:北欧01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3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10</v>
      </c>
      <c r="O4" s="11">
        <f ca="1">INDEX(レベル!$A$1:$I$16,MATCH(H4,レベル!$A$1:$A$16,FALSE),MATCH(G4,レベル!$A$1:$I$1,FALSE))</f>
        <v>40</v>
      </c>
      <c r="P4" s="49">
        <f t="shared" ca="1" si="0"/>
        <v>45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 t="shared" ref="AE4:AE5" si="8">A5</f>
        <v>589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不幸の円環 ニーベルゲン</v>
      </c>
      <c r="AG4" s="5">
        <f t="shared" ca="1" si="1"/>
        <v>588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ニーベルゲン</v>
      </c>
      <c r="AI4" s="11">
        <f ca="1">IF(AE4="NULL","NULL",VLOOKUP(G4,ビット!$A$2:$B$7,2))</f>
        <v>20000</v>
      </c>
      <c r="AJ4" s="6">
        <f>2</f>
        <v>2</v>
      </c>
      <c r="AK4" s="7" t="str">
        <f t="shared" si="2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1500</v>
      </c>
      <c r="AN4" s="17">
        <f ca="1">VLOOKUP(G4,ビット!$G$2:$H$7,2)</f>
        <v>300</v>
      </c>
      <c r="AO4" s="46"/>
      <c r="AP4" s="69">
        <f t="shared" si="3"/>
        <v>588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ダス・ラインゴルト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3ターン緑属性の攻撃力をUP(黄パネルを吸収して効果UP)+防御力大UP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f t="shared" si="4"/>
        <v>588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アンリタンド・ピース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1体に小ダメージ_x000D_マシンに効果大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1.1000000000000001</v>
      </c>
      <c r="BA4" s="70">
        <f>0</f>
        <v>0</v>
      </c>
      <c r="BB4" s="70">
        <f>1</f>
        <v>1</v>
      </c>
      <c r="BC4" s="11">
        <f ca="1">INDEX('RC6SV'!$A$1:$G$15,MATCH(H4,'RC6SV'!$A$1:$A$15,FALSE),MATCH(G4,'RC6SV'!$A$1:$G$1,FALSE))</f>
        <v>5000</v>
      </c>
      <c r="BD4" s="49">
        <f t="shared" ca="1" si="5"/>
        <v>5000</v>
      </c>
      <c r="BE4" s="11">
        <f t="shared" ca="1" si="6"/>
        <v>0</v>
      </c>
      <c r="BF4" s="11">
        <f t="shared" ca="1" si="7"/>
        <v>1</v>
      </c>
      <c r="BG4" s="16">
        <f ca="1">IF($BE4&lt;=0,ROUND(BK4*0.5,0), ROUND($BE4*S4*AA4*J4*AY4*0.8*[1]ステータス!$B$2,0))</f>
        <v>1275</v>
      </c>
      <c r="BH4" s="16">
        <f ca="1">IF($BE4&lt;=0,ROUND(BL4*0.5,0), ROUND($BE4*T4*AB4*K4*AZ4*0.8*[1]ステータス!$C$2,0))</f>
        <v>809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625</v>
      </c>
      <c r="BK4" s="11">
        <f ca="1">ROUND(BD4*S4*AA4*J4*AY4*[1]ステータス!$B$2,0)</f>
        <v>2550</v>
      </c>
      <c r="BL4" s="11">
        <f ca="1">ROUND(BD4*T4*AB4*K4*AZ4*[1]ステータス!$C$2,0)</f>
        <v>1617</v>
      </c>
      <c r="BM4" s="11">
        <f ca="1">ROUND(BD4*U4*AC4*L4*BA4*[1]ステータス!$D$2,0)</f>
        <v>0</v>
      </c>
      <c r="BN4" s="11">
        <f ca="1">ROUND(BD4*V4*AD4*M4*BB4*[1]ステータス!$E$2,0)</f>
        <v>1250</v>
      </c>
      <c r="BO4" s="10">
        <f>0</f>
        <v>0</v>
      </c>
      <c r="BP4" s="10">
        <f>1</f>
        <v>1</v>
      </c>
      <c r="BQ4" s="10" t="s">
        <v>73</v>
      </c>
      <c r="BR4" s="10">
        <f ca="1">VLOOKUP(H4,ghosts_label!$A$2:$B$19,2,FALSE)</f>
        <v>700</v>
      </c>
    </row>
    <row r="5" spans="1:70" ht="21" customHeight="1" x14ac:dyDescent="0.15">
      <c r="A5" s="140">
        <v>589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不幸の円環 ニーベルゲン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ガチャ:北欧01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4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20</v>
      </c>
      <c r="O5" s="11">
        <f ca="1">INDEX(レベル!$A$1:$I$16,MATCH(H5,レベル!$A$1:$A$16,FALSE),MATCH(G5,レベル!$A$1:$I$1,FALSE))</f>
        <v>60</v>
      </c>
      <c r="P5" s="49">
        <f t="shared" ca="1" si="0"/>
        <v>60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>
        <f t="shared" si="8"/>
        <v>590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>永遠を廻る呪い ニーベルゲン</v>
      </c>
      <c r="AG5" s="5">
        <f t="shared" ca="1" si="1"/>
        <v>588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ニーベルゲン</v>
      </c>
      <c r="AI5" s="11">
        <f ca="1">IF(AE5="NULL","NULL",VLOOKUP(G5,ビット!$A$2:$B$7,2))</f>
        <v>50000</v>
      </c>
      <c r="AJ5" s="6">
        <f>2</f>
        <v>2</v>
      </c>
      <c r="AK5" s="7" t="str">
        <f t="shared" si="2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3400</v>
      </c>
      <c r="AN5" s="17">
        <f ca="1">VLOOKUP(G5,ビット!$G$2:$H$7,2)</f>
        <v>600</v>
      </c>
      <c r="AO5" s="46"/>
      <c r="AP5" s="69">
        <f t="shared" si="3"/>
        <v>589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ダス・ラインゴルト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3ターン緑属性の攻撃力をUP(黄パネルを吸収して効果UP)+防御力大UP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f t="shared" si="4"/>
        <v>589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アンリタンド・ピース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1体に小ダメージ_x000D_マシンに効果大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</v>
      </c>
      <c r="AZ5" s="70">
        <v>1.1000000000000001</v>
      </c>
      <c r="BA5" s="70">
        <f>0</f>
        <v>0</v>
      </c>
      <c r="BB5" s="70">
        <f>1</f>
        <v>1</v>
      </c>
      <c r="BC5" s="11">
        <f ca="1">INDEX('RC6SV'!$A$1:$G$15,MATCH(H5,'RC6SV'!$A$1:$A$15,FALSE),MATCH(G5,'RC6SV'!$A$1:$G$1,FALSE))</f>
        <v>7000</v>
      </c>
      <c r="BD5" s="49">
        <f t="shared" ca="1" si="5"/>
        <v>7000</v>
      </c>
      <c r="BE5" s="11">
        <f t="shared" ca="1" si="6"/>
        <v>5000</v>
      </c>
      <c r="BF5" s="11">
        <f t="shared" ca="1" si="7"/>
        <v>1</v>
      </c>
      <c r="BG5" s="16">
        <f ca="1">IF($BE5&lt;=0,ROUND(BK5*0.5,0), ROUND($BE5*S5*AA5*J5*AY5*0.8*[1]ステータス!$B$2,0))</f>
        <v>2040</v>
      </c>
      <c r="BH5" s="16">
        <f ca="1">IF($BE5&lt;=0,ROUND(BL5*0.5,0), ROUND($BE5*T5*AB5*K5*AZ5*0.8*[1]ステータス!$C$2,0))</f>
        <v>1294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1000</v>
      </c>
      <c r="BK5" s="11">
        <f ca="1">ROUND(BD5*S5*AA5*J5*AY5*[1]ステータス!$B$2,0)</f>
        <v>3570</v>
      </c>
      <c r="BL5" s="11">
        <f ca="1">ROUND(BD5*T5*AB5*K5*AZ5*[1]ステータス!$C$2,0)</f>
        <v>2264</v>
      </c>
      <c r="BM5" s="11">
        <f ca="1">ROUND(BD5*U5*AC5*L5*BA5*[1]ステータス!$D$2,0)</f>
        <v>0</v>
      </c>
      <c r="BN5" s="11">
        <f ca="1">ROUND(BD5*V5*AD5*M5*BB5*[1]ステータス!$E$2,0)</f>
        <v>1750</v>
      </c>
      <c r="BO5" s="10">
        <f>0</f>
        <v>0</v>
      </c>
      <c r="BP5" s="10">
        <f>1</f>
        <v>1</v>
      </c>
      <c r="BQ5" s="10" t="s">
        <v>73</v>
      </c>
      <c r="BR5" s="10">
        <f ca="1">VLOOKUP(H5,ghosts_label!$A$2:$B$19,2,FALSE)</f>
        <v>700</v>
      </c>
    </row>
    <row r="6" spans="1:70" ht="21" customHeight="1" x14ac:dyDescent="0.15">
      <c r="A6" s="140">
        <v>590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永遠を廻る呪い ニーベルゲン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ガチャ:北欧01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INDEX(コスト!$A$1:$I$15,MATCH(H6,コスト!$A$1:$A$15,FALSE),MATCH(G6,コスト!$A$1:$I$1,FALSE))</f>
        <v>30</v>
      </c>
      <c r="O6" s="11">
        <f ca="1">INDEX(レベル!$A$1:$I$16,MATCH(H6,レベル!$A$1:$A$16,FALSE),MATCH(G6,レベル!$A$1:$I$1,FALSE))</f>
        <v>80</v>
      </c>
      <c r="P6" s="49">
        <f t="shared" ca="1" si="0"/>
        <v>75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216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1"/>
        <v>588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ニーベルゲン</v>
      </c>
      <c r="AI6" s="11" t="str">
        <f>IF(AE6="NULL","NULL",VLOOKUP(G6,ビット!$A$2:$B$7,2))</f>
        <v>NULL</v>
      </c>
      <c r="AJ6" s="6">
        <f>2</f>
        <v>2</v>
      </c>
      <c r="AK6" s="7" t="str">
        <f t="shared" si="2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6400</v>
      </c>
      <c r="AN6" s="17">
        <f ca="1">VLOOKUP(G6,ビット!$G$2:$H$7,2)</f>
        <v>900</v>
      </c>
      <c r="AO6" s="46"/>
      <c r="AP6" s="69">
        <f t="shared" si="3"/>
        <v>590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ラインゴルト・クラフト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3ターン緑属性の攻撃力をUP(黄パネルを吸収して効果UP)+防御力特大UP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f t="shared" si="4"/>
        <v>590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リタンエンド・ピース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1体に中ダメージ_x000D_マシンに効果大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</v>
      </c>
      <c r="AZ6" s="70">
        <v>1.1000000000000001</v>
      </c>
      <c r="BA6" s="70">
        <v>0</v>
      </c>
      <c r="BB6" s="70">
        <f>1</f>
        <v>1</v>
      </c>
      <c r="BC6" s="11">
        <f ca="1">INDEX('RC6SV'!$A$1:$G$15,MATCH(H6,'RC6SV'!$A$1:$A$15,FALSE),MATCH(G6,'RC6SV'!$A$1:$G$1,FALSE))</f>
        <v>9000</v>
      </c>
      <c r="BD6" s="49">
        <f t="shared" ca="1" si="5"/>
        <v>9000</v>
      </c>
      <c r="BE6" s="11">
        <f t="shared" ca="1" si="6"/>
        <v>7000</v>
      </c>
      <c r="BF6" s="11">
        <f t="shared" ca="1" si="7"/>
        <v>1</v>
      </c>
      <c r="BG6" s="16">
        <f ca="1">IF($BE6&lt;=0,ROUND(BK6*0.5,0), ROUND($BE6*S6*AA6*J6*AY6*0.8*[1]ステータス!$B$2,0))</f>
        <v>2856</v>
      </c>
      <c r="BH6" s="16">
        <f ca="1">IF($BE6&lt;=0,ROUND(BL6*0.5,0), ROUND($BE6*T6*AB6*K6*AZ6*0.8*[1]ステータス!$C$2,0))</f>
        <v>1811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1400</v>
      </c>
      <c r="BK6" s="11">
        <f ca="1">ROUND(BD6*S6*AA6*J6*AY6*[1]ステータス!$B$2,0)</f>
        <v>4590</v>
      </c>
      <c r="BL6" s="11">
        <f ca="1">ROUND(BD6*T6*AB6*K6*AZ6*[1]ステータス!$C$2,0)</f>
        <v>2911</v>
      </c>
      <c r="BM6" s="11">
        <f ca="1">ROUND(BD6*U6*AC6*L6*BA6*[1]ステータス!$D$2,0)</f>
        <v>0</v>
      </c>
      <c r="BN6" s="11">
        <f ca="1">ROUND(BD6*V6*AD6*M6*BB6*[1]ステータス!$E$2,0)</f>
        <v>2250</v>
      </c>
      <c r="BO6" s="10">
        <f>0</f>
        <v>0</v>
      </c>
      <c r="BP6" s="10">
        <f>1</f>
        <v>1</v>
      </c>
      <c r="BQ6" s="10" t="s">
        <v>73</v>
      </c>
      <c r="BR6" s="10">
        <f ca="1">VLOOKUP(H6,ghosts_label!$A$2:$B$19,2,FALSE)</f>
        <v>700</v>
      </c>
    </row>
    <row r="7" spans="1:70" ht="21" customHeight="1" x14ac:dyDescent="0.15">
      <c r="A7" s="140">
        <v>591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ファフニール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ガチャ:北欧01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3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10</v>
      </c>
      <c r="O7" s="11">
        <f ca="1">INDEX(レベル!$A$1:$I$16,MATCH(H7,レベル!$A$1:$A$16,FALSE),MATCH(G7,レベル!$A$1:$I$1,FALSE))</f>
        <v>40</v>
      </c>
      <c r="P7" s="49">
        <f t="shared" ca="1" si="0"/>
        <v>45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>
        <f t="shared" ref="AE7:AE8" si="9">A8</f>
        <v>592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財宝への執着 ファフニール</v>
      </c>
      <c r="AG7" s="5">
        <f t="shared" ca="1" si="1"/>
        <v>591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ファフニール</v>
      </c>
      <c r="AI7" s="11">
        <f ca="1">IF(AE7="NULL","NULL",VLOOKUP(G7,ビット!$A$2:$B$7,2))</f>
        <v>20000</v>
      </c>
      <c r="AJ7" s="6">
        <f>2</f>
        <v>2</v>
      </c>
      <c r="AK7" s="7" t="str">
        <f t="shared" si="2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1500</v>
      </c>
      <c r="AN7" s="17">
        <f ca="1">VLOOKUP(G7,ビット!$G$2:$H$7,2)</f>
        <v>300</v>
      </c>
      <c r="AO7" s="46"/>
      <c r="AP7" s="69">
        <f t="shared" si="3"/>
        <v>591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エイクトキシックブレス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敵をウィルス状態にし5ターンの間防御力無視の大ダメージを与える+全体に大ダメージ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f t="shared" si="4"/>
        <v>591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漏洩する強欲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1体に小ダメージ_x000D_unknownに効果大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f>1</f>
        <v>1</v>
      </c>
      <c r="AZ7" s="70">
        <v>1.1000000000000001</v>
      </c>
      <c r="BA7" s="70">
        <f>0</f>
        <v>0</v>
      </c>
      <c r="BB7" s="70">
        <f>1</f>
        <v>1</v>
      </c>
      <c r="BC7" s="11">
        <f ca="1">INDEX('RC6SV'!$A$1:$G$15,MATCH(H7,'RC6SV'!$A$1:$A$15,FALSE),MATCH(G7,'RC6SV'!$A$1:$G$1,FALSE))</f>
        <v>5000</v>
      </c>
      <c r="BD7" s="49">
        <f t="shared" ca="1" si="5"/>
        <v>5000</v>
      </c>
      <c r="BE7" s="11">
        <f t="shared" ca="1" si="6"/>
        <v>0</v>
      </c>
      <c r="BF7" s="11">
        <f t="shared" ca="1" si="7"/>
        <v>1</v>
      </c>
      <c r="BG7" s="16">
        <f ca="1">IF($BE7&lt;=0,ROUND(BK7*0.5,0), ROUND($BE7*S7*AA7*J7*AY7*0.8*[1]ステータス!$B$2,0))</f>
        <v>1294</v>
      </c>
      <c r="BH7" s="16">
        <f ca="1">IF($BE7&lt;=0,ROUND(BL7*0.5,0), ROUND($BE7*T7*AB7*K7*AZ7*0.8*[1]ステータス!$C$2,0))</f>
        <v>801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431</v>
      </c>
      <c r="BK7" s="11">
        <f ca="1">ROUND(BD7*S7*AA7*J7*AY7*[1]ステータス!$B$2,0)</f>
        <v>2588</v>
      </c>
      <c r="BL7" s="11">
        <f ca="1">ROUND(BD7*T7*AB7*K7*AZ7*[1]ステータス!$C$2,0)</f>
        <v>1601</v>
      </c>
      <c r="BM7" s="11">
        <f ca="1">ROUND(BD7*U7*AC7*L7*BA7*[1]ステータス!$D$2,0)</f>
        <v>0</v>
      </c>
      <c r="BN7" s="11">
        <f ca="1">ROUND(BD7*V7*AD7*M7*BB7*[1]ステータス!$E$2,0)</f>
        <v>861</v>
      </c>
      <c r="BO7" s="10">
        <f>0</f>
        <v>0</v>
      </c>
      <c r="BP7" s="10">
        <f>1</f>
        <v>1</v>
      </c>
      <c r="BQ7" s="10" t="s">
        <v>73</v>
      </c>
      <c r="BR7" s="10">
        <f ca="1">VLOOKUP(H7,ghosts_label!$A$2:$B$19,2,FALSE)</f>
        <v>700</v>
      </c>
    </row>
    <row r="8" spans="1:70" ht="21" customHeight="1" x14ac:dyDescent="0.15">
      <c r="A8" s="140">
        <v>592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財宝への執着 ファフニール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ガチャ:北欧01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20</v>
      </c>
      <c r="O8" s="11">
        <f ca="1">INDEX(レベル!$A$1:$I$16,MATCH(H8,レベル!$A$1:$A$16,FALSE),MATCH(G8,レベル!$A$1:$I$1,FALSE))</f>
        <v>60</v>
      </c>
      <c r="P8" s="49">
        <f t="shared" ca="1" si="0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dragon</v>
      </c>
      <c r="X8" s="5" t="str">
        <f ca="1">VLOOKUP(W8,[1]character_tribe_i18n!$A:$H,3,FALSE)</f>
        <v>ドラゴン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1.1499999999999999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0.75</v>
      </c>
      <c r="AE8" s="9">
        <f t="shared" si="9"/>
        <v>593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妄執する邪毒龍 ファフニール</v>
      </c>
      <c r="AG8" s="5">
        <f t="shared" ca="1" si="1"/>
        <v>591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ファフニール</v>
      </c>
      <c r="AI8" s="11">
        <f ca="1">IF(AE8="NULL","NULL",VLOOKUP(G8,ビット!$A$2:$B$7,2))</f>
        <v>50000</v>
      </c>
      <c r="AJ8" s="6">
        <f>2</f>
        <v>2</v>
      </c>
      <c r="AK8" s="7" t="str">
        <f t="shared" si="2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3400</v>
      </c>
      <c r="AN8" s="17">
        <f ca="1">VLOOKUP(G8,ビット!$G$2:$H$7,2)</f>
        <v>600</v>
      </c>
      <c r="AO8" s="46"/>
      <c r="AP8" s="69">
        <f t="shared" si="3"/>
        <v>592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エイクトキシックブレス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敵をウィルス状態にし5ターンの間防御力無視の大ダメージを与える+全体に大ダメージ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f t="shared" si="4"/>
        <v>592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漏洩する強欲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1体に小ダメージ_x000D_unknownに効果大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f>1</f>
        <v>1</v>
      </c>
      <c r="AZ8" s="70">
        <v>1.1000000000000001</v>
      </c>
      <c r="BA8" s="70">
        <f>0</f>
        <v>0</v>
      </c>
      <c r="BB8" s="70">
        <f>1</f>
        <v>1</v>
      </c>
      <c r="BC8" s="11">
        <f ca="1">INDEX('RC6SV'!$A$1:$G$15,MATCH(H8,'RC6SV'!$A$1:$A$15,FALSE),MATCH(G8,'RC6SV'!$A$1:$G$1,FALSE))</f>
        <v>7000</v>
      </c>
      <c r="BD8" s="49">
        <f t="shared" ca="1" si="5"/>
        <v>7000</v>
      </c>
      <c r="BE8" s="11">
        <f t="shared" ca="1" si="6"/>
        <v>5000</v>
      </c>
      <c r="BF8" s="11">
        <f t="shared" ca="1" si="7"/>
        <v>1</v>
      </c>
      <c r="BG8" s="16">
        <f ca="1">IF($BE8&lt;=0,ROUND(BK8*0.5,0), ROUND($BE8*S8*AA8*J8*AY8*0.8*[1]ステータス!$B$2,0))</f>
        <v>2070</v>
      </c>
      <c r="BH8" s="16">
        <f ca="1">IF($BE8&lt;=0,ROUND(BL8*0.5,0), ROUND($BE8*T8*AB8*K8*AZ8*0.8*[1]ステータス!$C$2,0))</f>
        <v>1281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689</v>
      </c>
      <c r="BK8" s="11">
        <f ca="1">ROUND(BD8*S8*AA8*J8*AY8*[1]ステータス!$B$2,0)</f>
        <v>3623</v>
      </c>
      <c r="BL8" s="11">
        <f ca="1">ROUND(BD8*T8*AB8*K8*AZ8*[1]ステータス!$C$2,0)</f>
        <v>2241</v>
      </c>
      <c r="BM8" s="11">
        <f ca="1">ROUND(BD8*U8*AC8*L8*BA8*[1]ステータス!$D$2,0)</f>
        <v>0</v>
      </c>
      <c r="BN8" s="11">
        <f ca="1">ROUND(BD8*V8*AD8*M8*BB8*[1]ステータス!$E$2,0)</f>
        <v>1205</v>
      </c>
      <c r="BO8" s="10">
        <f>0</f>
        <v>0</v>
      </c>
      <c r="BP8" s="10">
        <f>1</f>
        <v>1</v>
      </c>
      <c r="BQ8" s="10" t="s">
        <v>73</v>
      </c>
      <c r="BR8" s="10">
        <f ca="1">VLOOKUP(H8,ghosts_label!$A$2:$B$19,2,FALSE)</f>
        <v>700</v>
      </c>
    </row>
    <row r="9" spans="1:70" ht="21" customHeight="1" x14ac:dyDescent="0.15">
      <c r="A9" s="140">
        <v>593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妄執する邪毒龍 ファフニール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ガチャ:北欧01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INDEX(コスト!$A$1:$I$15,MATCH(H9,コスト!$A$1:$A$15,FALSE),MATCH(G9,コスト!$A$1:$I$1,FALSE))</f>
        <v>30</v>
      </c>
      <c r="O9" s="11">
        <f ca="1">INDEX(レベル!$A$1:$I$16,MATCH(H9,レベル!$A$1:$A$16,FALSE),MATCH(G9,レベル!$A$1:$I$1,FALSE))</f>
        <v>80</v>
      </c>
      <c r="P9" s="49">
        <f t="shared" ca="1" si="0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dragon</v>
      </c>
      <c r="X9" s="5" t="str">
        <f ca="1">VLOOKUP(W9,[1]character_tribe_i18n!$A:$H,3,FALSE)</f>
        <v>ドラゴン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1.1499999999999999</v>
      </c>
      <c r="AB9" s="11">
        <f ca="1">VLOOKUP(W9,[1]character_tribe_i18n!$A:$H,5,FALSE)</f>
        <v>1.1000000000000001</v>
      </c>
      <c r="AC9" s="11">
        <f ca="1">VLOOKUP(W9,[1]character_tribe_i18n!$A:$H,6,FALSE)</f>
        <v>1</v>
      </c>
      <c r="AD9" s="11">
        <f ca="1">VLOOKUP(W9,[1]character_tribe_i18n!$A:$H,7,FALSE)</f>
        <v>0.75</v>
      </c>
      <c r="AE9" s="9" t="s">
        <v>216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591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ファフニール</v>
      </c>
      <c r="AI9" s="11" t="str">
        <f>IF(AE9="NULL","NULL",VLOOKUP(G9,ビット!$A$2:$B$7,2))</f>
        <v>NULL</v>
      </c>
      <c r="AJ9" s="6">
        <f>2</f>
        <v>2</v>
      </c>
      <c r="AK9" s="7" t="str">
        <f t="shared" si="2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6400</v>
      </c>
      <c r="AN9" s="17">
        <f ca="1">VLOOKUP(G9,ビット!$G$2:$H$7,2)</f>
        <v>900</v>
      </c>
      <c r="AO9" s="46"/>
      <c r="AP9" s="69">
        <f t="shared" si="3"/>
        <v>593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カーストキシックブレス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敵をウィルス状態にし5ターンの間防御力無視の特大ダメージを与える+全体に大ダメージ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f t="shared" si="4"/>
        <v>593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氾濫する強欲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1体に中ダメージ_x000D_unknownに効果大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f>1</f>
        <v>1</v>
      </c>
      <c r="AZ9" s="70">
        <v>1.1000000000000001</v>
      </c>
      <c r="BA9" s="70">
        <f>0</f>
        <v>0</v>
      </c>
      <c r="BB9" s="70">
        <f>1</f>
        <v>1</v>
      </c>
      <c r="BC9" s="11">
        <f ca="1">INDEX('RC6SV'!$A$1:$G$15,MATCH(H9,'RC6SV'!$A$1:$A$15,FALSE),MATCH(G9,'RC6SV'!$A$1:$G$1,FALSE))</f>
        <v>9000</v>
      </c>
      <c r="BD9" s="49">
        <f t="shared" ca="1" si="5"/>
        <v>9000</v>
      </c>
      <c r="BE9" s="11">
        <f t="shared" ca="1" si="6"/>
        <v>7000</v>
      </c>
      <c r="BF9" s="11">
        <f t="shared" ca="1" si="7"/>
        <v>1</v>
      </c>
      <c r="BG9" s="16">
        <f ca="1">IF($BE9&lt;=0,ROUND(BK9*0.5,0), ROUND($BE9*S9*AA9*J9*AY9*0.8*[1]ステータス!$B$2,0))</f>
        <v>2898</v>
      </c>
      <c r="BH9" s="16">
        <f ca="1">IF($BE9&lt;=0,ROUND(BL9*0.5,0), ROUND($BE9*T9*AB9*K9*AZ9*0.8*[1]ステータス!$C$2,0))</f>
        <v>1793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964</v>
      </c>
      <c r="BK9" s="11">
        <f ca="1">ROUND(BD9*S9*AA9*J9*AY9*[1]ステータス!$B$2,0)</f>
        <v>4658</v>
      </c>
      <c r="BL9" s="11">
        <f ca="1">ROUND(BD9*T9*AB9*K9*AZ9*[1]ステータス!$C$2,0)</f>
        <v>2881</v>
      </c>
      <c r="BM9" s="11">
        <f ca="1">ROUND(BD9*U9*AC9*L9*BA9*[1]ステータス!$D$2,0)</f>
        <v>0</v>
      </c>
      <c r="BN9" s="11">
        <f ca="1">ROUND(BD9*V9*AD9*M9*BB9*[1]ステータス!$E$2,0)</f>
        <v>1549</v>
      </c>
      <c r="BO9" s="10">
        <f>0</f>
        <v>0</v>
      </c>
      <c r="BP9" s="10">
        <f>1</f>
        <v>1</v>
      </c>
      <c r="BQ9" s="10" t="s">
        <v>73</v>
      </c>
      <c r="BR9" s="10">
        <f ca="1">VLOOKUP(H9,ghosts_label!$A$2:$B$19,2,FALSE)</f>
        <v>700</v>
      </c>
    </row>
    <row r="10" spans="1:70" ht="21" customHeight="1" x14ac:dyDescent="0.15">
      <c r="A10" s="140">
        <v>594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アルフヘイム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ガチャ:北欧01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25</v>
      </c>
      <c r="O10" s="11">
        <f ca="1">INDEX(レベル!$A$1:$I$16,MATCH(H10,レベル!$A$1:$A$16,FALSE),MATCH(G10,レベル!$A$1:$I$1,FALSE))</f>
        <v>60</v>
      </c>
      <c r="P10" s="49">
        <f t="shared" ca="1" si="0"/>
        <v>60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dragon</v>
      </c>
      <c r="X10" s="5" t="str">
        <f ca="1">VLOOKUP(W10,[1]character_tribe_i18n!$A:$H,3,FALSE)</f>
        <v>ドラゴン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1.1499999999999999</v>
      </c>
      <c r="AB10" s="11">
        <f ca="1">VLOOKUP(W10,[1]character_tribe_i18n!$A:$H,5,FALSE)</f>
        <v>1.1000000000000001</v>
      </c>
      <c r="AC10" s="11">
        <f ca="1">VLOOKUP(W10,[1]character_tribe_i18n!$A:$H,6,FALSE)</f>
        <v>1</v>
      </c>
      <c r="AD10" s="11">
        <f ca="1">VLOOKUP(W10,[1]character_tribe_i18n!$A:$H,7,FALSE)</f>
        <v>0.75</v>
      </c>
      <c r="AE10" s="9">
        <f>A11</f>
        <v>595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光華なる神域 アルフヘイム</v>
      </c>
      <c r="AG10" s="5">
        <f t="shared" ca="1" si="1"/>
        <v>594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アルフヘイム</v>
      </c>
      <c r="AI10" s="11">
        <f ca="1">IF(AE10="NULL","NULL",VLOOKUP(G10,ビット!$A$2:$B$7,2))</f>
        <v>50000</v>
      </c>
      <c r="AJ10" s="6">
        <f>2</f>
        <v>2</v>
      </c>
      <c r="AK10" s="7" t="str">
        <f t="shared" si="2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3400</v>
      </c>
      <c r="AN10" s="17">
        <f ca="1">VLOOKUP(G10,ビット!$G$2:$H$7,2)</f>
        <v>600</v>
      </c>
      <c r="AO10" s="46"/>
      <c r="AP10" s="69">
        <f t="shared" si="3"/>
        <v>594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アルバドラコ・ブロト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赤・青・緑パネルを全て破壊し、破壊したパネルの数に応じて単体に特大ダメージ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f t="shared" si="4"/>
        <v>594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神域の無龍光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単体に大ダメージ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f>1</f>
        <v>1</v>
      </c>
      <c r="AZ10" s="70">
        <v>0.98</v>
      </c>
      <c r="BA10" s="70">
        <f>0</f>
        <v>0</v>
      </c>
      <c r="BB10" s="70">
        <v>1.1000000000000001</v>
      </c>
      <c r="BC10" s="11">
        <f ca="1">INDEX('RC6SV'!$A$1:$G$15,MATCH(H10,'RC6SV'!$A$1:$A$15,FALSE),MATCH(G10,'RC6SV'!$A$1:$G$1,FALSE))</f>
        <v>7500</v>
      </c>
      <c r="BD10" s="49">
        <f t="shared" ca="1" si="5"/>
        <v>7500</v>
      </c>
      <c r="BE10" s="11">
        <f t="shared" ca="1" si="6"/>
        <v>0</v>
      </c>
      <c r="BF10" s="11">
        <f t="shared" ca="1" si="7"/>
        <v>1</v>
      </c>
      <c r="BG10" s="16">
        <f ca="1">IF($BE10&lt;=0,ROUND(BK10*0.5,0), ROUND($BE10*S10*AA10*J10*AY10*0.8*[1]ステータス!$B$2,0))</f>
        <v>2113</v>
      </c>
      <c r="BH10" s="16">
        <f ca="1">IF($BE10&lt;=0,ROUND(BL10*0.5,0), ROUND($BE10*T10*AB10*K10*AZ10*0.8*[1]ステータス!$C$2,0))</f>
        <v>1629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524</v>
      </c>
      <c r="BK10" s="11">
        <f ca="1">ROUND(BD10*S10*AA10*J10*AY10*[1]ステータス!$B$2,0)</f>
        <v>4226</v>
      </c>
      <c r="BL10" s="11">
        <f ca="1">ROUND(BD10*T10*AB10*K10*AZ10*[1]ステータス!$C$2,0)</f>
        <v>3258</v>
      </c>
      <c r="BM10" s="11">
        <f ca="1">ROUND(BD10*U10*AC10*L10*BA10*[1]ステータス!$D$2,0)</f>
        <v>0</v>
      </c>
      <c r="BN10" s="11">
        <f ca="1">ROUND(BD10*V10*AD10*M10*BB10*[1]ステータス!$E$2,0)</f>
        <v>1047</v>
      </c>
      <c r="BO10" s="10">
        <f>0</f>
        <v>0</v>
      </c>
      <c r="BP10" s="10">
        <f>1</f>
        <v>1</v>
      </c>
      <c r="BQ10" s="10" t="s">
        <v>73</v>
      </c>
      <c r="BR10" s="10">
        <f ca="1">VLOOKUP(H10,ghosts_label!$A$2:$B$19,2,FALSE)</f>
        <v>5500</v>
      </c>
    </row>
    <row r="11" spans="1:70" ht="21" customHeight="1" x14ac:dyDescent="0.15">
      <c r="A11" s="140">
        <v>595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光華なる神域 アルフヘイム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ガチャ:北欧01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35</v>
      </c>
      <c r="O11" s="11">
        <f ca="1">INDEX(レベル!$A$1:$I$16,MATCH(H11,レベル!$A$1:$A$16,FALSE),MATCH(G11,レベル!$A$1:$I$1,FALSE))</f>
        <v>80</v>
      </c>
      <c r="P11" s="49">
        <f t="shared" ca="1" si="0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1">
        <f ca="1">VLOOKUP(Q11,[1]character_type_i18n!$A:$H,4,FALSE)</f>
        <v>1</v>
      </c>
      <c r="T11" s="11">
        <f ca="1">VLOOKUP(Q11,[1]character_type_i18n!$A:$H,5,FALSE)</f>
        <v>1.33</v>
      </c>
      <c r="U11" s="11">
        <f ca="1">VLOOKUP(Q11,[1]character_type_i18n!$A:$H,6,FALSE)</f>
        <v>1</v>
      </c>
      <c r="V11" s="11">
        <f ca="1">VLOOKUP(Q11,[1]character_type_i18n!$A:$H,7,FALSE)</f>
        <v>0.67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dragon</v>
      </c>
      <c r="X11" s="5" t="str">
        <f ca="1">VLOOKUP(W11,[1]character_tribe_i18n!$A:$H,3,FALSE)</f>
        <v>ドラゴン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1.1499999999999999</v>
      </c>
      <c r="AB11" s="11">
        <f ca="1">VLOOKUP(W11,[1]character_tribe_i18n!$A:$H,5,FALSE)</f>
        <v>1.1000000000000001</v>
      </c>
      <c r="AC11" s="11">
        <f ca="1">VLOOKUP(W11,[1]character_tribe_i18n!$A:$H,6,FALSE)</f>
        <v>1</v>
      </c>
      <c r="AD11" s="11">
        <f ca="1">VLOOKUP(W11,[1]character_tribe_i18n!$A:$H,7,FALSE)</f>
        <v>0.75</v>
      </c>
      <c r="AE11" s="9" t="s">
        <v>216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594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アルフヘイム</v>
      </c>
      <c r="AI11" s="11" t="str">
        <f>IF(AE11="NULL","NULL",VLOOKUP(G11,ビット!$A$2:$B$7,2))</f>
        <v>NULL</v>
      </c>
      <c r="AJ11" s="6">
        <f>2</f>
        <v>2</v>
      </c>
      <c r="AK11" s="7" t="str">
        <f t="shared" si="2"/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6"/>
      <c r="AP11" s="69">
        <f t="shared" si="3"/>
        <v>595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アルバドラコ・ブロト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赤・青・緑パネルを全て破壊し、破壊したパネルの数に応じて単体に特大ダメージ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f t="shared" si="4"/>
        <v>595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神域の無龍光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単体に大ダメージ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f>1</f>
        <v>1</v>
      </c>
      <c r="AZ11" s="70">
        <v>0.98</v>
      </c>
      <c r="BA11" s="70">
        <f>0</f>
        <v>0</v>
      </c>
      <c r="BB11" s="70">
        <v>1.1000000000000001</v>
      </c>
      <c r="BC11" s="11">
        <f ca="1">INDEX('RC6SV'!$A$1:$G$15,MATCH(H11,'RC6SV'!$A$1:$A$15,FALSE),MATCH(G11,'RC6SV'!$A$1:$G$1,FALSE))</f>
        <v>9500</v>
      </c>
      <c r="BD11" s="49">
        <f t="shared" ca="1" si="5"/>
        <v>9500</v>
      </c>
      <c r="BE11" s="11">
        <f t="shared" ca="1" si="6"/>
        <v>7500</v>
      </c>
      <c r="BF11" s="11">
        <f t="shared" ca="1" si="7"/>
        <v>1</v>
      </c>
      <c r="BG11" s="16">
        <f ca="1">IF($BE11&lt;=0,ROUND(BK11*0.5,0), ROUND($BE11*S11*AA11*J11*AY11*0.8*[1]ステータス!$B$2,0))</f>
        <v>3381</v>
      </c>
      <c r="BH11" s="16">
        <f ca="1">IF($BE11&lt;=0,ROUND(BL11*0.5,0), ROUND($BE11*T11*AB11*K11*AZ11*0.8*[1]ステータス!$C$2,0))</f>
        <v>2607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837</v>
      </c>
      <c r="BK11" s="11">
        <f ca="1">ROUND(BD11*S11*AA11*J11*AY11*[1]ステータス!$B$2,0)</f>
        <v>5353</v>
      </c>
      <c r="BL11" s="11">
        <f ca="1">ROUND(BD11*T11*AB11*K11*AZ11*[1]ステータス!$C$2,0)</f>
        <v>4127</v>
      </c>
      <c r="BM11" s="11">
        <f ca="1">ROUND(BD11*U11*AC11*L11*BA11*[1]ステータス!$D$2,0)</f>
        <v>0</v>
      </c>
      <c r="BN11" s="11">
        <f ca="1">ROUND(BD11*V11*AD11*M11*BB11*[1]ステータス!$E$2,0)</f>
        <v>1326</v>
      </c>
      <c r="BO11" s="10">
        <f>0</f>
        <v>0</v>
      </c>
      <c r="BP11" s="10">
        <f>1</f>
        <v>1</v>
      </c>
      <c r="BQ11" s="10" t="s">
        <v>73</v>
      </c>
      <c r="BR11" s="10">
        <f ca="1">VLOOKUP(H11,ghosts_label!$A$2:$B$19,2,FALSE)</f>
        <v>5500</v>
      </c>
    </row>
  </sheetData>
  <autoFilter ref="A1:BQ1"/>
  <phoneticPr fontId="10"/>
  <conditionalFormatting sqref="BO1">
    <cfRule type="cellIs" dxfId="20" priority="120" stopIfTrue="1" operator="equal">
      <formula>1</formula>
    </cfRule>
  </conditionalFormatting>
  <conditionalFormatting sqref="BQ1">
    <cfRule type="cellIs" dxfId="1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167</v>
      </c>
      <c r="C1" s="128" t="s">
        <v>66</v>
      </c>
      <c r="D1" s="129" t="s">
        <v>196</v>
      </c>
      <c r="E1" s="129" t="s">
        <v>197</v>
      </c>
      <c r="F1" s="126" t="s">
        <v>179</v>
      </c>
      <c r="G1" s="130" t="s">
        <v>2</v>
      </c>
      <c r="H1" s="130" t="s">
        <v>198</v>
      </c>
      <c r="I1" s="130" t="s">
        <v>199</v>
      </c>
      <c r="J1" s="131" t="s">
        <v>217</v>
      </c>
      <c r="K1" s="130" t="s">
        <v>4</v>
      </c>
      <c r="L1" s="132" t="s">
        <v>200</v>
      </c>
      <c r="M1" s="133" t="s">
        <v>201</v>
      </c>
      <c r="N1" s="133" t="s">
        <v>202</v>
      </c>
      <c r="O1" s="133" t="s">
        <v>203</v>
      </c>
      <c r="P1" s="133" t="s">
        <v>204</v>
      </c>
      <c r="Q1" s="134" t="s">
        <v>205</v>
      </c>
      <c r="R1" s="135" t="s">
        <v>206</v>
      </c>
      <c r="S1" s="136" t="s">
        <v>207</v>
      </c>
    </row>
    <row r="2" spans="1:19" ht="21" customHeight="1" x14ac:dyDescent="0.15">
      <c r="A2" s="12">
        <v>586</v>
      </c>
      <c r="B2" s="141" t="s">
        <v>218</v>
      </c>
      <c r="C2" s="142" t="s">
        <v>339</v>
      </c>
      <c r="D2" s="142" t="s">
        <v>261</v>
      </c>
      <c r="E2" s="143">
        <f>LEN(D2)</f>
        <v>37</v>
      </c>
      <c r="F2" s="125">
        <v>12</v>
      </c>
      <c r="G2" s="125">
        <v>5</v>
      </c>
      <c r="H2" s="144">
        <f>2001</f>
        <v>2001</v>
      </c>
      <c r="I2" s="144" t="s">
        <v>262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ユミル</v>
      </c>
      <c r="K2" s="145">
        <v>3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587</v>
      </c>
      <c r="B3" s="141" t="s">
        <v>218</v>
      </c>
      <c r="C3" s="142" t="s">
        <v>338</v>
      </c>
      <c r="D3" s="142" t="s">
        <v>260</v>
      </c>
      <c r="E3" s="143">
        <f>LEN(D3)</f>
        <v>38</v>
      </c>
      <c r="F3" s="125">
        <v>13</v>
      </c>
      <c r="G3" s="125">
        <f t="shared" ref="G3:G11" si="0">G2</f>
        <v>5</v>
      </c>
      <c r="H3" s="144">
        <f>2001</f>
        <v>2001</v>
      </c>
      <c r="I3" s="144" t="s">
        <v>341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原初の煉鋼巨刃 ユミル</v>
      </c>
      <c r="K3" s="145"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588</v>
      </c>
      <c r="B4" s="141" t="s">
        <v>218</v>
      </c>
      <c r="C4" s="142" t="s">
        <v>247</v>
      </c>
      <c r="D4" s="142" t="s">
        <v>237</v>
      </c>
      <c r="E4" s="143">
        <f>LEN(D4)</f>
        <v>36</v>
      </c>
      <c r="F4" s="125">
        <v>10</v>
      </c>
      <c r="G4" s="125">
        <f t="shared" si="0"/>
        <v>5</v>
      </c>
      <c r="H4" s="144">
        <f>2001</f>
        <v>2001</v>
      </c>
      <c r="I4" s="144" t="s">
        <v>263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ニーベルゲン</v>
      </c>
      <c r="K4" s="145"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589</v>
      </c>
      <c r="B5" s="141" t="s">
        <v>218</v>
      </c>
      <c r="C5" s="142" t="s">
        <v>247</v>
      </c>
      <c r="D5" s="142" t="s">
        <v>237</v>
      </c>
      <c r="E5" s="143">
        <f t="shared" ref="E5:E11" si="1">LEN(D5)</f>
        <v>36</v>
      </c>
      <c r="F5" s="125">
        <v>10</v>
      </c>
      <c r="G5" s="125">
        <f t="shared" si="0"/>
        <v>5</v>
      </c>
      <c r="H5" s="144">
        <f>2001</f>
        <v>2001</v>
      </c>
      <c r="I5" s="144" t="s">
        <v>264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不幸の円環 ニーベルゲン</v>
      </c>
      <c r="K5" s="145">
        <v>3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590</v>
      </c>
      <c r="B6" s="141" t="s">
        <v>218</v>
      </c>
      <c r="C6" s="142" t="s">
        <v>248</v>
      </c>
      <c r="D6" s="142" t="s">
        <v>238</v>
      </c>
      <c r="E6" s="143">
        <f t="shared" si="1"/>
        <v>37</v>
      </c>
      <c r="F6" s="125">
        <v>12</v>
      </c>
      <c r="G6" s="125">
        <f t="shared" si="0"/>
        <v>5</v>
      </c>
      <c r="H6" s="144">
        <f>2001</f>
        <v>2001</v>
      </c>
      <c r="I6" s="144" t="s">
        <v>265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永遠を廻る呪い ニーベルゲン</v>
      </c>
      <c r="K6" s="145">
        <v>3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591</v>
      </c>
      <c r="B7" s="141" t="s">
        <v>218</v>
      </c>
      <c r="C7" s="142" t="s">
        <v>249</v>
      </c>
      <c r="D7" s="142" t="s">
        <v>239</v>
      </c>
      <c r="E7" s="143">
        <f t="shared" si="1"/>
        <v>40</v>
      </c>
      <c r="F7" s="125">
        <f t="shared" ref="F7:F8" si="2">F6</f>
        <v>12</v>
      </c>
      <c r="G7" s="125">
        <f t="shared" si="0"/>
        <v>5</v>
      </c>
      <c r="H7" s="144">
        <f>2001</f>
        <v>2001</v>
      </c>
      <c r="I7" s="144" t="s">
        <v>241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ファフニール</v>
      </c>
      <c r="K7" s="145">
        <v>3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592</v>
      </c>
      <c r="B8" s="141" t="s">
        <v>218</v>
      </c>
      <c r="C8" s="142" t="s">
        <v>250</v>
      </c>
      <c r="D8" s="142" t="s">
        <v>239</v>
      </c>
      <c r="E8" s="143">
        <f t="shared" si="1"/>
        <v>40</v>
      </c>
      <c r="F8" s="125">
        <f t="shared" si="2"/>
        <v>12</v>
      </c>
      <c r="G8" s="125">
        <f t="shared" si="0"/>
        <v>5</v>
      </c>
      <c r="H8" s="144">
        <f>2001</f>
        <v>2001</v>
      </c>
      <c r="I8" s="144" t="s">
        <v>241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財宝への執着 ファフニール</v>
      </c>
      <c r="K8" s="145">
        <v>3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593</v>
      </c>
      <c r="B9" s="141" t="s">
        <v>218</v>
      </c>
      <c r="C9" s="142" t="s">
        <v>251</v>
      </c>
      <c r="D9" s="142" t="s">
        <v>240</v>
      </c>
      <c r="E9" s="143">
        <f>LEN(D9)</f>
        <v>41</v>
      </c>
      <c r="F9" s="125">
        <v>13</v>
      </c>
      <c r="G9" s="125">
        <f t="shared" si="0"/>
        <v>5</v>
      </c>
      <c r="H9" s="144">
        <f>2001</f>
        <v>2001</v>
      </c>
      <c r="I9" s="144" t="s">
        <v>242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妄執する邪毒龍 ファフニール</v>
      </c>
      <c r="K9" s="145">
        <v>3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2">
        <v>594</v>
      </c>
      <c r="B10" s="141" t="s">
        <v>218</v>
      </c>
      <c r="C10" s="142" t="s">
        <v>236</v>
      </c>
      <c r="D10" s="142" t="s">
        <v>342</v>
      </c>
      <c r="E10" s="143">
        <f t="shared" si="1"/>
        <v>37</v>
      </c>
      <c r="F10" s="125">
        <v>11</v>
      </c>
      <c r="G10" s="125">
        <f t="shared" si="0"/>
        <v>5</v>
      </c>
      <c r="H10" s="144">
        <f>2001</f>
        <v>2001</v>
      </c>
      <c r="I10" s="144" t="s">
        <v>340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アルフヘイム</v>
      </c>
      <c r="K10" s="145">
        <v>3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2">
        <v>595</v>
      </c>
      <c r="B11" s="141" t="s">
        <v>218</v>
      </c>
      <c r="C11" s="142" t="s">
        <v>236</v>
      </c>
      <c r="D11" s="142" t="s">
        <v>342</v>
      </c>
      <c r="E11" s="143">
        <f t="shared" si="1"/>
        <v>37</v>
      </c>
      <c r="F11" s="125">
        <v>11</v>
      </c>
      <c r="G11" s="125">
        <f t="shared" si="0"/>
        <v>5</v>
      </c>
      <c r="H11" s="144">
        <f>2001</f>
        <v>2001</v>
      </c>
      <c r="I11" s="144" t="s">
        <v>334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光華なる神域 アルフヘイム</v>
      </c>
      <c r="K11" s="145">
        <v>3</v>
      </c>
      <c r="L11" s="146"/>
      <c r="M11" s="147"/>
      <c r="N11" s="147"/>
      <c r="O11" s="147"/>
      <c r="P11" s="147"/>
      <c r="Q11" s="147"/>
      <c r="R11" s="142"/>
      <c r="S11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:E1048576">
    <cfRule type="cellIs" dxfId="18" priority="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6" sqref="F6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215</v>
      </c>
      <c r="B1" s="127" t="s">
        <v>214</v>
      </c>
      <c r="C1" s="128" t="s">
        <v>213</v>
      </c>
      <c r="D1" s="129" t="s">
        <v>212</v>
      </c>
      <c r="E1" s="129" t="s">
        <v>211</v>
      </c>
      <c r="F1" s="130" t="s">
        <v>210</v>
      </c>
      <c r="G1" s="131" t="s">
        <v>217</v>
      </c>
      <c r="H1" s="130" t="s">
        <v>209</v>
      </c>
      <c r="I1" s="131" t="s">
        <v>208</v>
      </c>
      <c r="J1" s="135" t="s">
        <v>207</v>
      </c>
    </row>
    <row r="2" spans="1:19" ht="21" customHeight="1" x14ac:dyDescent="0.15">
      <c r="A2" s="12">
        <v>586</v>
      </c>
      <c r="B2" s="141" t="s">
        <v>219</v>
      </c>
      <c r="C2" s="142" t="s">
        <v>252</v>
      </c>
      <c r="D2" s="142" t="s">
        <v>228</v>
      </c>
      <c r="E2" s="143">
        <f t="shared" ref="E2" si="0">LEN(D2)</f>
        <v>8</v>
      </c>
      <c r="F2" s="152" t="s">
        <v>244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ユミル</v>
      </c>
      <c r="H2" s="144">
        <v>3</v>
      </c>
      <c r="I2" s="144"/>
      <c r="J2" s="149"/>
      <c r="K2" s="145">
        <v>2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587</v>
      </c>
      <c r="B3" s="141" t="s">
        <v>219</v>
      </c>
      <c r="C3" s="142" t="s">
        <v>253</v>
      </c>
      <c r="D3" s="142" t="s">
        <v>266</v>
      </c>
      <c r="E3" s="143">
        <f t="shared" ref="E3:E11" si="1">LEN(D3)</f>
        <v>9</v>
      </c>
      <c r="F3" s="152" t="s">
        <v>267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原初の煉鋼巨刃 ユミル</v>
      </c>
      <c r="H3" s="144">
        <v>3</v>
      </c>
      <c r="I3" s="144"/>
      <c r="J3" s="149"/>
      <c r="K3" s="145"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588</v>
      </c>
      <c r="B4" s="141" t="s">
        <v>219</v>
      </c>
      <c r="C4" s="142" t="s">
        <v>254</v>
      </c>
      <c r="D4" s="142" t="s">
        <v>329</v>
      </c>
      <c r="E4" s="143">
        <f t="shared" si="1"/>
        <v>16</v>
      </c>
      <c r="F4" s="125" t="s">
        <v>246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ニーベルゲン</v>
      </c>
      <c r="H4" s="144">
        <v>3</v>
      </c>
      <c r="I4" s="144"/>
      <c r="J4" s="149"/>
      <c r="K4" s="145">
        <v>4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589</v>
      </c>
      <c r="B5" s="141" t="s">
        <v>219</v>
      </c>
      <c r="C5" s="142" t="s">
        <v>255</v>
      </c>
      <c r="D5" s="142" t="s">
        <v>330</v>
      </c>
      <c r="E5" s="143">
        <f t="shared" si="1"/>
        <v>16</v>
      </c>
      <c r="F5" s="125" t="s">
        <v>246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不幸の円環 ニーベルゲン</v>
      </c>
      <c r="H5" s="144">
        <v>3</v>
      </c>
      <c r="I5" s="144"/>
      <c r="J5" s="149"/>
      <c r="K5" s="145">
        <v>5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590</v>
      </c>
      <c r="B6" s="141" t="s">
        <v>219</v>
      </c>
      <c r="C6" s="142" t="s">
        <v>256</v>
      </c>
      <c r="D6" s="142" t="s">
        <v>331</v>
      </c>
      <c r="E6" s="143">
        <f t="shared" si="1"/>
        <v>16</v>
      </c>
      <c r="F6" s="125" t="s">
        <v>245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永遠を廻る呪い ニーベルゲン</v>
      </c>
      <c r="H6" s="144">
        <v>3</v>
      </c>
      <c r="I6" s="144"/>
      <c r="J6" s="149"/>
      <c r="K6" s="145">
        <v>6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591</v>
      </c>
      <c r="B7" s="141" t="s">
        <v>219</v>
      </c>
      <c r="C7" s="142" t="s">
        <v>257</v>
      </c>
      <c r="D7" s="142" t="s">
        <v>332</v>
      </c>
      <c r="E7" s="143">
        <f t="shared" si="1"/>
        <v>20</v>
      </c>
      <c r="F7" s="125" t="s">
        <v>337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ファフニール</v>
      </c>
      <c r="H7" s="144">
        <v>3</v>
      </c>
      <c r="I7" s="144"/>
      <c r="J7" s="149"/>
      <c r="K7" s="145">
        <v>7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592</v>
      </c>
      <c r="B8" s="141" t="s">
        <v>219</v>
      </c>
      <c r="C8" s="142" t="s">
        <v>258</v>
      </c>
      <c r="D8" s="142" t="s">
        <v>332</v>
      </c>
      <c r="E8" s="143">
        <f t="shared" si="1"/>
        <v>20</v>
      </c>
      <c r="F8" s="125" t="s">
        <v>336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財宝への執着 ファフニール</v>
      </c>
      <c r="H8" s="144">
        <v>3</v>
      </c>
      <c r="I8" s="144"/>
      <c r="J8" s="149"/>
      <c r="K8" s="145">
        <v>8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593</v>
      </c>
      <c r="B9" s="141" t="s">
        <v>219</v>
      </c>
      <c r="C9" s="142" t="s">
        <v>259</v>
      </c>
      <c r="D9" s="142" t="s">
        <v>333</v>
      </c>
      <c r="E9" s="143">
        <f t="shared" si="1"/>
        <v>20</v>
      </c>
      <c r="F9" s="125" t="s">
        <v>335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妄執する邪毒龍 ファフニール</v>
      </c>
      <c r="H9" s="144">
        <v>3</v>
      </c>
      <c r="I9" s="144"/>
      <c r="J9" s="149"/>
      <c r="K9" s="145">
        <v>9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2">
        <v>594</v>
      </c>
      <c r="B10" s="141" t="s">
        <v>219</v>
      </c>
      <c r="C10" s="142" t="s">
        <v>235</v>
      </c>
      <c r="D10" s="142" t="s">
        <v>234</v>
      </c>
      <c r="E10" s="143">
        <f t="shared" si="1"/>
        <v>8</v>
      </c>
      <c r="F10" s="152" t="s">
        <v>243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アルフヘイム</v>
      </c>
      <c r="H10" s="144">
        <v>3</v>
      </c>
      <c r="I10" s="144"/>
      <c r="J10" s="149"/>
      <c r="K10" s="145">
        <v>10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2">
        <v>595</v>
      </c>
      <c r="B11" s="141" t="s">
        <v>219</v>
      </c>
      <c r="C11" s="142" t="s">
        <v>235</v>
      </c>
      <c r="D11" s="142" t="s">
        <v>234</v>
      </c>
      <c r="E11" s="143">
        <f t="shared" si="1"/>
        <v>8</v>
      </c>
      <c r="F11" s="152" t="s">
        <v>243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光華なる神域 アルフヘイム</v>
      </c>
      <c r="H11" s="144">
        <v>3</v>
      </c>
      <c r="I11" s="144"/>
      <c r="J11" s="149"/>
      <c r="K11" s="145">
        <v>11</v>
      </c>
      <c r="L11" s="146"/>
      <c r="M11" s="147"/>
      <c r="N11" s="147"/>
      <c r="O11" s="147"/>
      <c r="P11" s="147"/>
      <c r="Q11" s="147"/>
      <c r="R11" s="142"/>
      <c r="S11" s="148"/>
    </row>
  </sheetData>
  <sheetProtection selectLockedCells="1" selectUnlockedCells="1"/>
  <autoFilter ref="A1:J1"/>
  <phoneticPr fontId="22"/>
  <conditionalFormatting sqref="E2:E11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3"/>
  <sheetViews>
    <sheetView workbookViewId="0">
      <selection activeCell="J16" sqref="J16"/>
    </sheetView>
  </sheetViews>
  <sheetFormatPr baseColWidth="12" defaultRowHeight="15" outlineLevelCol="1" x14ac:dyDescent="0.15"/>
  <cols>
    <col min="1" max="1" width="11.6640625" bestFit="1" customWidth="1"/>
    <col min="2" max="2" width="12.83203125" style="151"/>
    <col min="4" max="4" width="12.83203125" style="151" customWidth="1" outlineLevel="1"/>
    <col min="5" max="5" width="12.83203125" style="151"/>
    <col min="8" max="8" width="31" bestFit="1" customWidth="1"/>
  </cols>
  <sheetData>
    <row r="1" spans="1:8" x14ac:dyDescent="0.15">
      <c r="A1" s="122" t="s">
        <v>220</v>
      </c>
      <c r="B1" s="150" t="s">
        <v>221</v>
      </c>
      <c r="C1" s="122" t="s">
        <v>222</v>
      </c>
      <c r="D1" s="150" t="s">
        <v>224</v>
      </c>
      <c r="E1" s="150" t="s">
        <v>225</v>
      </c>
      <c r="F1" s="119" t="s">
        <v>226</v>
      </c>
      <c r="G1" s="122" t="s">
        <v>223</v>
      </c>
      <c r="H1" s="119" t="s">
        <v>227</v>
      </c>
    </row>
    <row r="2" spans="1:8" x14ac:dyDescent="0.15">
      <c r="A2" s="153">
        <v>586</v>
      </c>
      <c r="B2" s="118" t="str">
        <f>VLOOKUP(A2,[2]characters!$A:$C,3,FALSE)</f>
        <v>ユミル</v>
      </c>
      <c r="C2" s="154" t="s">
        <v>269</v>
      </c>
      <c r="D2" s="155"/>
      <c r="E2" s="155" t="str">
        <f>A2&amp;+(COUNTIF(A$2:A2,A2)-1)</f>
        <v>5860</v>
      </c>
      <c r="F2" s="144" t="s">
        <v>218</v>
      </c>
      <c r="G2" s="144" t="str">
        <f>VLOOKUP(E2,unit_serifs_i18n!C:F,3,FALSE)</f>
        <v>maru</v>
      </c>
      <c r="H2" s="157" t="str">
        <f>VLOOKUP(E2,unit_serifs_i18n!C:F,4,FALSE)</f>
        <v>破壊セヨ…破壊セヨ…</v>
      </c>
    </row>
    <row r="3" spans="1:8" x14ac:dyDescent="0.15">
      <c r="A3" s="153">
        <v>586</v>
      </c>
      <c r="B3" s="118" t="str">
        <f>VLOOKUP(A3,[2]characters!$A:$C,3,FALSE)</f>
        <v>ユミル</v>
      </c>
      <c r="C3" s="154" t="s">
        <v>272</v>
      </c>
      <c r="D3" s="155"/>
      <c r="E3" s="155" t="str">
        <f>A3&amp;+(COUNTIF(A$2:A3,A3)-1)</f>
        <v>5861</v>
      </c>
      <c r="F3" s="144" t="s">
        <v>218</v>
      </c>
      <c r="G3" s="144" t="str">
        <f>VLOOKUP(E3,unit_serifs_i18n!C:F,3,FALSE)</f>
        <v>maru</v>
      </c>
      <c r="H3" s="157" t="str">
        <f>VLOOKUP(E3,unit_serifs_i18n!C:F,4,FALSE)</f>
        <v>音撃起動…！</v>
      </c>
    </row>
    <row r="4" spans="1:8" x14ac:dyDescent="0.15">
      <c r="A4" s="153">
        <v>586</v>
      </c>
      <c r="B4" s="118" t="str">
        <f>VLOOKUP(A4,[2]characters!$A:$C,3,FALSE)</f>
        <v>ユミル</v>
      </c>
      <c r="C4" s="154" t="s">
        <v>274</v>
      </c>
      <c r="D4" s="155"/>
      <c r="E4" s="155" t="str">
        <f>A4&amp;+(COUNTIF(A$2:A4,A4)-1)</f>
        <v>5862</v>
      </c>
      <c r="F4" s="144" t="s">
        <v>275</v>
      </c>
      <c r="G4" s="144" t="str">
        <f>VLOOKUP(E4,unit_serifs_i18n!C:F,3,FALSE)</f>
        <v>maru</v>
      </c>
      <c r="H4" s="157" t="str">
        <f>VLOOKUP(E4,unit_serifs_i18n!C:F,4,FALSE)</f>
        <v>妨害措置ヲ行ウ</v>
      </c>
    </row>
    <row r="5" spans="1:8" x14ac:dyDescent="0.15">
      <c r="A5" s="153">
        <v>587</v>
      </c>
      <c r="B5" s="118" t="str">
        <f>VLOOKUP(A5,[2]characters!$A:$C,3,FALSE)</f>
        <v>原初の煉鋼巨刃ユミル</v>
      </c>
      <c r="C5" s="154" t="s">
        <v>278</v>
      </c>
      <c r="D5" s="155"/>
      <c r="E5" s="155" t="str">
        <f>A5&amp;+(COUNTIF(A$2:A5,A5)-1)</f>
        <v>5870</v>
      </c>
      <c r="F5" s="144" t="s">
        <v>218</v>
      </c>
      <c r="G5" s="144" t="str">
        <f>VLOOKUP(E5,unit_serifs_i18n!C:F,3,FALSE)</f>
        <v>giza</v>
      </c>
      <c r="H5" s="157" t="str">
        <f>VLOOKUP(E5,unit_serifs_i18n!C:F,4,FALSE)</f>
        <v>迎撃モード起動…圧砕スル！</v>
      </c>
    </row>
    <row r="6" spans="1:8" x14ac:dyDescent="0.15">
      <c r="A6" s="153">
        <v>587</v>
      </c>
      <c r="B6" s="118" t="str">
        <f>VLOOKUP(A6,[2]characters!$A:$C,3,FALSE)</f>
        <v>原初の煉鋼巨刃ユミル</v>
      </c>
      <c r="C6" s="154" t="s">
        <v>328</v>
      </c>
      <c r="D6" s="155"/>
      <c r="E6" s="155" t="str">
        <f>A6&amp;+(COUNTIF(A$2:A6,A6)-1)</f>
        <v>5871</v>
      </c>
      <c r="F6" s="144" t="s">
        <v>218</v>
      </c>
      <c r="G6" s="144" t="str">
        <f>VLOOKUP(E6,unit_serifs_i18n!C:F,3,FALSE)</f>
        <v>giza</v>
      </c>
      <c r="H6" s="157" t="str">
        <f>VLOOKUP(E6,unit_serifs_i18n!C:F,4,FALSE)</f>
        <v>ガアアアアアアッ！！</v>
      </c>
    </row>
    <row r="7" spans="1:8" x14ac:dyDescent="0.15">
      <c r="A7" s="153">
        <v>587</v>
      </c>
      <c r="B7" s="118" t="str">
        <f>VLOOKUP(A7,[2]characters!$A:$C,3,FALSE)</f>
        <v>原初の煉鋼巨刃ユミル</v>
      </c>
      <c r="C7" s="154" t="s">
        <v>272</v>
      </c>
      <c r="D7" s="155"/>
      <c r="E7" s="156" t="str">
        <f>E3</f>
        <v>5861</v>
      </c>
      <c r="F7" s="144" t="s">
        <v>218</v>
      </c>
      <c r="G7" s="144" t="str">
        <f>VLOOKUP(E7,unit_serifs_i18n!C:F,3,FALSE)</f>
        <v>maru</v>
      </c>
      <c r="H7" s="157" t="str">
        <f>VLOOKUP(E7,unit_serifs_i18n!C:F,4,FALSE)</f>
        <v>音撃起動…！</v>
      </c>
    </row>
    <row r="8" spans="1:8" x14ac:dyDescent="0.15">
      <c r="A8" s="153">
        <v>587</v>
      </c>
      <c r="B8" s="118" t="str">
        <f>VLOOKUP(A8,[2]characters!$A:$C,3,FALSE)</f>
        <v>原初の煉鋼巨刃ユミル</v>
      </c>
      <c r="C8" s="154" t="s">
        <v>272</v>
      </c>
      <c r="D8" s="155"/>
      <c r="E8" s="156" t="str">
        <f>E4</f>
        <v>5862</v>
      </c>
      <c r="F8" s="144" t="s">
        <v>218</v>
      </c>
      <c r="G8" s="144" t="str">
        <f>VLOOKUP(E8,unit_serifs_i18n!C:F,3,FALSE)</f>
        <v>maru</v>
      </c>
      <c r="H8" s="157" t="str">
        <f>VLOOKUP(E8,unit_serifs_i18n!C:F,4,FALSE)</f>
        <v>妨害措置ヲ行ウ</v>
      </c>
    </row>
    <row r="9" spans="1:8" x14ac:dyDescent="0.15">
      <c r="A9" s="153">
        <v>588</v>
      </c>
      <c r="B9" s="118" t="str">
        <f>VLOOKUP(A9,[2]characters!$A:$C,3,FALSE)</f>
        <v>ニーベルゲン</v>
      </c>
      <c r="C9" s="154" t="s">
        <v>278</v>
      </c>
      <c r="D9" s="155"/>
      <c r="E9" s="155" t="str">
        <f>A9&amp;+(COUNTIF(A$2:A9,A9)-1)</f>
        <v>5880</v>
      </c>
      <c r="F9" s="144" t="s">
        <v>285</v>
      </c>
      <c r="G9" s="144" t="str">
        <f>VLOOKUP(E9,unit_serifs_i18n!C:F,3,FALSE)</f>
        <v>maru</v>
      </c>
      <c r="H9" s="157" t="str">
        <f>VLOOKUP(E9,unit_serifs_i18n!C:F,4,FALSE)</f>
        <v>私が役に立つのなら…</v>
      </c>
    </row>
    <row r="10" spans="1:8" x14ac:dyDescent="0.15">
      <c r="A10" s="153">
        <v>588</v>
      </c>
      <c r="B10" s="118" t="str">
        <f>VLOOKUP(A10,[2]characters!$A:$C,3,FALSE)</f>
        <v>ニーベルゲン</v>
      </c>
      <c r="C10" s="154" t="s">
        <v>272</v>
      </c>
      <c r="D10" s="155"/>
      <c r="E10" s="155" t="str">
        <f>A10&amp;+(COUNTIF(A$2:A10,A10)-1)</f>
        <v>5881</v>
      </c>
      <c r="F10" s="144" t="s">
        <v>218</v>
      </c>
      <c r="G10" s="144" t="str">
        <f>VLOOKUP(E10,unit_serifs_i18n!C:F,3,FALSE)</f>
        <v>maru</v>
      </c>
      <c r="H10" s="157" t="str">
        <f>VLOOKUP(E10,unit_serifs_i18n!C:F,4,FALSE)</f>
        <v>もう元に戻らない</v>
      </c>
    </row>
    <row r="11" spans="1:8" x14ac:dyDescent="0.15">
      <c r="A11" s="153">
        <v>589</v>
      </c>
      <c r="B11" s="118" t="str">
        <f>VLOOKUP(A11,[2]characters!$A:$C,3,FALSE)</f>
        <v>不幸の円環ニーベルゲン</v>
      </c>
      <c r="C11" s="154" t="s">
        <v>278</v>
      </c>
      <c r="D11" s="155"/>
      <c r="E11" s="155" t="str">
        <f>A11&amp;+(COUNTIF(A$2:A11,A11)-1)</f>
        <v>5890</v>
      </c>
      <c r="F11" s="144" t="s">
        <v>218</v>
      </c>
      <c r="G11" s="144" t="str">
        <f>VLOOKUP(E11,unit_serifs_i18n!C:F,3,FALSE)</f>
        <v>maru</v>
      </c>
      <c r="H11" s="157" t="str">
        <f>VLOOKUP(E11,unit_serifs_i18n!C:F,4,FALSE)</f>
        <v>力を上げるわ…</v>
      </c>
    </row>
    <row r="12" spans="1:8" x14ac:dyDescent="0.15">
      <c r="A12" s="153">
        <v>589</v>
      </c>
      <c r="B12" s="118" t="str">
        <f>VLOOKUP(A12,[2]characters!$A:$C,3,FALSE)</f>
        <v>不幸の円環ニーベルゲン</v>
      </c>
      <c r="C12" s="154" t="s">
        <v>328</v>
      </c>
      <c r="D12" s="155"/>
      <c r="E12" s="155" t="str">
        <f>A12&amp;+(COUNTIF(A$2:A12,A12)-1)</f>
        <v>5891</v>
      </c>
      <c r="F12" s="144" t="s">
        <v>218</v>
      </c>
      <c r="G12" s="144" t="str">
        <f>VLOOKUP(E12,unit_serifs_i18n!C:F,3,FALSE)</f>
        <v>maru</v>
      </c>
      <c r="H12" s="157" t="str">
        <f>VLOOKUP(E12,unit_serifs_i18n!C:F,4,FALSE)</f>
        <v>直にガタがくるわ…</v>
      </c>
    </row>
    <row r="13" spans="1:8" x14ac:dyDescent="0.15">
      <c r="A13" s="153">
        <v>589</v>
      </c>
      <c r="B13" s="118" t="str">
        <f>VLOOKUP(A13,[2]characters!$A:$C,3,FALSE)</f>
        <v>不幸の円環ニーベルゲン</v>
      </c>
      <c r="C13" s="154" t="s">
        <v>274</v>
      </c>
      <c r="D13" s="155"/>
      <c r="E13" s="156" t="str">
        <f>E10</f>
        <v>5881</v>
      </c>
      <c r="F13" s="144" t="s">
        <v>218</v>
      </c>
      <c r="G13" s="144" t="str">
        <f>VLOOKUP(E13,unit_serifs_i18n!C:F,3,FALSE)</f>
        <v>maru</v>
      </c>
      <c r="H13" s="157" t="str">
        <f>VLOOKUP(E13,unit_serifs_i18n!C:F,4,FALSE)</f>
        <v>もう元に戻らない</v>
      </c>
    </row>
    <row r="14" spans="1:8" x14ac:dyDescent="0.15">
      <c r="A14" s="153">
        <v>590</v>
      </c>
      <c r="B14" s="118" t="str">
        <f>VLOOKUP(A14,[2]characters!$A:$C,3,FALSE)</f>
        <v>永遠を廻る呪いニーベルゲン</v>
      </c>
      <c r="C14" s="154" t="s">
        <v>268</v>
      </c>
      <c r="D14" s="155"/>
      <c r="E14" s="155" t="str">
        <f>A14&amp;+(COUNTIF(A$2:A14,A14)-1)</f>
        <v>5900</v>
      </c>
      <c r="F14" s="144" t="s">
        <v>218</v>
      </c>
      <c r="G14" s="144" t="str">
        <f>VLOOKUP(E14,unit_serifs_i18n!C:F,3,FALSE)</f>
        <v>maru</v>
      </c>
      <c r="H14" s="157" t="str">
        <f>VLOOKUP(E14,unit_serifs_i18n!C:F,4,FALSE)</f>
        <v>これが、支配する力よ…！</v>
      </c>
    </row>
    <row r="15" spans="1:8" x14ac:dyDescent="0.15">
      <c r="A15" s="153">
        <v>590</v>
      </c>
      <c r="B15" s="118" t="str">
        <f>VLOOKUP(A15,[2]characters!$A:$C,3,FALSE)</f>
        <v>永遠を廻る呪いニーベルゲン</v>
      </c>
      <c r="C15" s="154" t="s">
        <v>292</v>
      </c>
      <c r="D15" s="155"/>
      <c r="E15" s="155" t="str">
        <f>A15&amp;+(COUNTIF(A$2:A15,A15)-1)</f>
        <v>5901</v>
      </c>
      <c r="F15" s="144" t="s">
        <v>293</v>
      </c>
      <c r="G15" s="144" t="str">
        <f>VLOOKUP(E15,unit_serifs_i18n!C:F,3,FALSE)</f>
        <v>giza</v>
      </c>
      <c r="H15" s="157" t="str">
        <f>VLOOKUP(E15,unit_serifs_i18n!C:F,4,FALSE)</f>
        <v>何もかも終わりなのよ！</v>
      </c>
    </row>
    <row r="16" spans="1:8" x14ac:dyDescent="0.15">
      <c r="A16" s="153">
        <v>590</v>
      </c>
      <c r="B16" s="118" t="str">
        <f>VLOOKUP(A16,[2]characters!$A:$C,3,FALSE)</f>
        <v>永遠を廻る呪いニーベルゲン</v>
      </c>
      <c r="C16" s="154" t="s">
        <v>294</v>
      </c>
      <c r="D16" s="155"/>
      <c r="E16" s="156" t="str">
        <f>E10</f>
        <v>5881</v>
      </c>
      <c r="F16" s="144" t="s">
        <v>218</v>
      </c>
      <c r="G16" s="144" t="str">
        <f>VLOOKUP(E16,unit_serifs_i18n!C:F,3,FALSE)</f>
        <v>maru</v>
      </c>
      <c r="H16" s="157" t="str">
        <f>VLOOKUP(E16,unit_serifs_i18n!C:F,4,FALSE)</f>
        <v>もう元に戻らない</v>
      </c>
    </row>
    <row r="17" spans="1:8" x14ac:dyDescent="0.15">
      <c r="A17" s="153">
        <v>590</v>
      </c>
      <c r="B17" s="118" t="str">
        <f>VLOOKUP(A17,[2]characters!$A:$C,3,FALSE)</f>
        <v>永遠を廻る呪いニーベルゲン</v>
      </c>
      <c r="C17" s="154" t="s">
        <v>272</v>
      </c>
      <c r="D17" s="155"/>
      <c r="E17" s="156" t="str">
        <f>E12</f>
        <v>5891</v>
      </c>
      <c r="F17" s="144" t="s">
        <v>218</v>
      </c>
      <c r="G17" s="144" t="str">
        <f>VLOOKUP(E17,unit_serifs_i18n!C:F,3,FALSE)</f>
        <v>maru</v>
      </c>
      <c r="H17" s="157" t="str">
        <f>VLOOKUP(E17,unit_serifs_i18n!C:F,4,FALSE)</f>
        <v>直にガタがくるわ…</v>
      </c>
    </row>
    <row r="18" spans="1:8" x14ac:dyDescent="0.15">
      <c r="A18" s="153">
        <v>591</v>
      </c>
      <c r="B18" s="118" t="str">
        <f>VLOOKUP(A18,[2]characters!$A:$C,3,FALSE)</f>
        <v>ファフニール</v>
      </c>
      <c r="C18" s="154" t="s">
        <v>268</v>
      </c>
      <c r="D18" s="155"/>
      <c r="E18" s="155" t="str">
        <f>A18&amp;+(COUNTIF(A$2:A18,A18)-1)</f>
        <v>5910</v>
      </c>
      <c r="F18" s="144" t="s">
        <v>218</v>
      </c>
      <c r="G18" s="144" t="str">
        <f>VLOOKUP(E18,unit_serifs_i18n!C:F,3,FALSE)</f>
        <v>maru</v>
      </c>
      <c r="H18" s="157" t="str">
        <f>VLOOKUP(E18,unit_serifs_i18n!C:F,4,FALSE)</f>
        <v>宝はやらん、オレの物だ</v>
      </c>
    </row>
    <row r="19" spans="1:8" x14ac:dyDescent="0.15">
      <c r="A19" s="153">
        <v>591</v>
      </c>
      <c r="B19" s="118" t="str">
        <f>VLOOKUP(A19,[2]characters!$A:$C,3,FALSE)</f>
        <v>ファフニール</v>
      </c>
      <c r="C19" s="154" t="s">
        <v>272</v>
      </c>
      <c r="D19" s="155"/>
      <c r="E19" s="155" t="str">
        <f>A19&amp;+(COUNTIF(A$2:A19,A19)-1)</f>
        <v>5911</v>
      </c>
      <c r="F19" s="144" t="s">
        <v>297</v>
      </c>
      <c r="G19" s="144" t="str">
        <f>VLOOKUP(E19,unit_serifs_i18n!C:F,3,FALSE)</f>
        <v>giza</v>
      </c>
      <c r="H19" s="157" t="str">
        <f>VLOOKUP(E19,unit_serifs_i18n!C:F,4,FALSE)</f>
        <v>素晴らしい！</v>
      </c>
    </row>
    <row r="20" spans="1:8" x14ac:dyDescent="0.15">
      <c r="A20" s="153">
        <v>592</v>
      </c>
      <c r="B20" s="118" t="str">
        <f>VLOOKUP(A20,[2]characters!$A:$C,3,FALSE)</f>
        <v>財宝への執着ファフニール</v>
      </c>
      <c r="C20" s="154" t="s">
        <v>268</v>
      </c>
      <c r="D20" s="155"/>
      <c r="E20" s="155" t="str">
        <f>A20&amp;+(COUNTIF(A$2:A20,A20)-1)</f>
        <v>5920</v>
      </c>
      <c r="F20" s="144" t="s">
        <v>300</v>
      </c>
      <c r="G20" s="144" t="str">
        <f>VLOOKUP(E20,unit_serifs_i18n!C:F,3,FALSE)</f>
        <v>maru</v>
      </c>
      <c r="H20" s="157" t="str">
        <f>VLOOKUP(E20,unit_serifs_i18n!C:F,4,FALSE)</f>
        <v>二度と近づくんじゃない！</v>
      </c>
    </row>
    <row r="21" spans="1:8" x14ac:dyDescent="0.15">
      <c r="A21" s="153">
        <v>592</v>
      </c>
      <c r="B21" s="118" t="str">
        <f>VLOOKUP(A21,[2]characters!$A:$C,3,FALSE)</f>
        <v>財宝への執着ファフニール</v>
      </c>
      <c r="C21" s="154" t="s">
        <v>302</v>
      </c>
      <c r="D21" s="155"/>
      <c r="E21" s="155" t="str">
        <f>A21&amp;+(COUNTIF(A$2:A21,A21)-1)</f>
        <v>5921</v>
      </c>
      <c r="F21" s="144" t="s">
        <v>218</v>
      </c>
      <c r="G21" s="144" t="str">
        <f>VLOOKUP(E21,unit_serifs_i18n!C:F,3,FALSE)</f>
        <v>giza</v>
      </c>
      <c r="H21" s="157" t="str">
        <f>VLOOKUP(E21,unit_serifs_i18n!C:F,4,FALSE)</f>
        <v>美しい輝きだ！</v>
      </c>
    </row>
    <row r="22" spans="1:8" x14ac:dyDescent="0.15">
      <c r="A22" s="153">
        <v>592</v>
      </c>
      <c r="B22" s="118" t="str">
        <f>VLOOKUP(A22,[2]characters!$A:$C,3,FALSE)</f>
        <v>財宝への執着ファフニール</v>
      </c>
      <c r="C22" s="154" t="s">
        <v>272</v>
      </c>
      <c r="D22" s="155"/>
      <c r="E22" s="156" t="str">
        <f>E19</f>
        <v>5911</v>
      </c>
      <c r="F22" s="144" t="s">
        <v>218</v>
      </c>
      <c r="G22" s="144" t="str">
        <f>VLOOKUP(E22,unit_serifs_i18n!C:F,3,FALSE)</f>
        <v>giza</v>
      </c>
      <c r="H22" s="157" t="str">
        <f>VLOOKUP(E22,unit_serifs_i18n!C:F,4,FALSE)</f>
        <v>素晴らしい！</v>
      </c>
    </row>
    <row r="23" spans="1:8" x14ac:dyDescent="0.15">
      <c r="A23" s="153">
        <v>593</v>
      </c>
      <c r="B23" s="118" t="str">
        <f>VLOOKUP(A23,[2]characters!$A:$C,3,FALSE)</f>
        <v>妄執する邪毒龍ファフニール</v>
      </c>
      <c r="C23" s="154" t="s">
        <v>304</v>
      </c>
      <c r="D23" s="155"/>
      <c r="E23" s="155" t="str">
        <f>A23&amp;+(COUNTIF(A$2:A23,A23)-1)</f>
        <v>5930</v>
      </c>
      <c r="F23" s="144" t="s">
        <v>218</v>
      </c>
      <c r="G23" s="144" t="str">
        <f>VLOOKUP(E23,unit_serifs_i18n!C:F,3,FALSE)</f>
        <v>giza</v>
      </c>
      <c r="H23" s="157" t="str">
        <f>VLOOKUP(E23,unit_serifs_i18n!C:F,4,FALSE)</f>
        <v>宝に触れるな！近づくな！</v>
      </c>
    </row>
    <row r="24" spans="1:8" x14ac:dyDescent="0.15">
      <c r="A24" s="153">
        <v>593</v>
      </c>
      <c r="B24" s="118" t="str">
        <f>VLOOKUP(A24,[2]characters!$A:$C,3,FALSE)</f>
        <v>妄執する邪毒龍ファフニール</v>
      </c>
      <c r="C24" s="154" t="s">
        <v>305</v>
      </c>
      <c r="D24" s="155"/>
      <c r="E24" s="155" t="str">
        <f>A24&amp;+(COUNTIF(A$2:A24,A24)-1)</f>
        <v>5931</v>
      </c>
      <c r="F24" s="144" t="s">
        <v>218</v>
      </c>
      <c r="G24" s="144" t="str">
        <f>VLOOKUP(E24,unit_serifs_i18n!C:F,3,FALSE)</f>
        <v>giza</v>
      </c>
      <c r="H24" s="157" t="str">
        <f>VLOOKUP(E24,unit_serifs_i18n!C:F,4,FALSE)</f>
        <v>もっと欲しい！</v>
      </c>
    </row>
    <row r="25" spans="1:8" x14ac:dyDescent="0.15">
      <c r="A25" s="153">
        <v>593</v>
      </c>
      <c r="B25" s="118" t="str">
        <f>VLOOKUP(A25,[2]characters!$A:$C,3,FALSE)</f>
        <v>妄執する邪毒龍ファフニール</v>
      </c>
      <c r="C25" s="154" t="s">
        <v>272</v>
      </c>
      <c r="D25" s="155"/>
      <c r="E25" s="156" t="str">
        <f>E19</f>
        <v>5911</v>
      </c>
      <c r="F25" s="144" t="s">
        <v>306</v>
      </c>
      <c r="G25" s="144" t="str">
        <f>VLOOKUP(E25,unit_serifs_i18n!C:F,3,FALSE)</f>
        <v>giza</v>
      </c>
      <c r="H25" s="157" t="str">
        <f>VLOOKUP(E25,unit_serifs_i18n!C:F,4,FALSE)</f>
        <v>素晴らしい！</v>
      </c>
    </row>
    <row r="26" spans="1:8" x14ac:dyDescent="0.15">
      <c r="A26" s="153">
        <v>593</v>
      </c>
      <c r="B26" s="118" t="str">
        <f>VLOOKUP(A26,[2]characters!$A:$C,3,FALSE)</f>
        <v>妄執する邪毒龍ファフニール</v>
      </c>
      <c r="C26" s="154" t="s">
        <v>281</v>
      </c>
      <c r="D26" s="155"/>
      <c r="E26" s="156" t="str">
        <f>E21</f>
        <v>5921</v>
      </c>
      <c r="F26" s="144" t="s">
        <v>307</v>
      </c>
      <c r="G26" s="144" t="str">
        <f>VLOOKUP(E26,unit_serifs_i18n!C:F,3,FALSE)</f>
        <v>giza</v>
      </c>
      <c r="H26" s="157" t="str">
        <f>VLOOKUP(E26,unit_serifs_i18n!C:F,4,FALSE)</f>
        <v>美しい輝きだ！</v>
      </c>
    </row>
    <row r="27" spans="1:8" x14ac:dyDescent="0.15">
      <c r="A27" s="153">
        <v>594</v>
      </c>
      <c r="B27" s="118" t="str">
        <f>VLOOKUP(A27,[2]characters!$A:$C,3,FALSE)</f>
        <v>アルフヘイム</v>
      </c>
      <c r="C27" s="154" t="s">
        <v>310</v>
      </c>
      <c r="D27" s="155"/>
      <c r="E27" s="155" t="str">
        <f>A27&amp;+(COUNTIF(A$2:A27,A27)-1)</f>
        <v>5940</v>
      </c>
      <c r="F27" s="144" t="s">
        <v>218</v>
      </c>
      <c r="G27" s="144" t="str">
        <f>VLOOKUP(E27,unit_serifs_i18n!C:F,3,FALSE)</f>
        <v>maru</v>
      </c>
      <c r="H27" s="157" t="str">
        <f>VLOOKUP(E27,unit_serifs_i18n!C:F,4,FALSE)</f>
        <v>祀れ、さすれば力を貸そう</v>
      </c>
    </row>
    <row r="28" spans="1:8" x14ac:dyDescent="0.15">
      <c r="A28" s="153">
        <v>594</v>
      </c>
      <c r="B28" s="118" t="str">
        <f>VLOOKUP(A28,[2]characters!$A:$C,3,FALSE)</f>
        <v>アルフヘイム</v>
      </c>
      <c r="C28" s="154" t="s">
        <v>312</v>
      </c>
      <c r="D28" s="155"/>
      <c r="E28" s="155" t="str">
        <f>A28&amp;+(COUNTIF(A$2:A28,A28)-1)</f>
        <v>5941</v>
      </c>
      <c r="F28" s="144" t="s">
        <v>313</v>
      </c>
      <c r="G28" s="144" t="str">
        <f>VLOOKUP(E28,unit_serifs_i18n!C:F,3,FALSE)</f>
        <v>maru</v>
      </c>
      <c r="H28" s="157" t="str">
        <f>VLOOKUP(E28,unit_serifs_i18n!C:F,4,FALSE)</f>
        <v>阻むことはできぬぞ</v>
      </c>
    </row>
    <row r="29" spans="1:8" x14ac:dyDescent="0.15">
      <c r="A29" s="153">
        <v>594</v>
      </c>
      <c r="B29" s="118" t="str">
        <f>VLOOKUP(A29,[2]characters!$A:$C,3,FALSE)</f>
        <v>アルフヘイム</v>
      </c>
      <c r="C29" s="154" t="s">
        <v>316</v>
      </c>
      <c r="D29" s="155"/>
      <c r="E29" s="155" t="str">
        <f>A29&amp;+(COUNTIF(A$2:A29,A29)-1)</f>
        <v>5942</v>
      </c>
      <c r="F29" s="144" t="s">
        <v>275</v>
      </c>
      <c r="G29" s="144" t="str">
        <f>VLOOKUP(E29,unit_serifs_i18n!C:F,3,FALSE)</f>
        <v>maru</v>
      </c>
      <c r="H29" s="157" t="str">
        <f>VLOOKUP(E29,unit_serifs_i18n!C:F,4,FALSE)</f>
        <v>触れることも許さぬ</v>
      </c>
    </row>
    <row r="30" spans="1:8" x14ac:dyDescent="0.15">
      <c r="A30" s="153">
        <v>595</v>
      </c>
      <c r="B30" s="118" t="str">
        <f>VLOOKUP(A30,[2]characters!$A:$C,3,FALSE)</f>
        <v>光華なる神域アルフヘイム</v>
      </c>
      <c r="C30" s="154" t="s">
        <v>304</v>
      </c>
      <c r="D30" s="155"/>
      <c r="E30" s="155" t="str">
        <f>A30&amp;+(COUNTIF(A$2:A30,A30)-1)</f>
        <v>5950</v>
      </c>
      <c r="F30" s="144" t="s">
        <v>319</v>
      </c>
      <c r="G30" s="144" t="str">
        <f>VLOOKUP(E30,unit_serifs_i18n!C:F,3,FALSE)</f>
        <v>maru</v>
      </c>
      <c r="H30" s="157" t="str">
        <f>VLOOKUP(E30,unit_serifs_i18n!C:F,4,FALSE)</f>
        <v>神域の光、受けるがよい</v>
      </c>
    </row>
    <row r="31" spans="1:8" x14ac:dyDescent="0.15">
      <c r="A31" s="153">
        <v>595</v>
      </c>
      <c r="B31" s="118" t="str">
        <f>VLOOKUP(A31,[2]characters!$A:$C,3,FALSE)</f>
        <v>光華なる神域アルフヘイム</v>
      </c>
      <c r="C31" s="154" t="s">
        <v>322</v>
      </c>
      <c r="D31" s="155"/>
      <c r="E31" s="155" t="str">
        <f>A31&amp;+(COUNTIF(A$2:A31,A31)-1)</f>
        <v>5951</v>
      </c>
      <c r="F31" s="144" t="s">
        <v>218</v>
      </c>
      <c r="G31" s="144" t="str">
        <f>VLOOKUP(E31,unit_serifs_i18n!C:F,3,FALSE)</f>
        <v>giza</v>
      </c>
      <c r="H31" s="157" t="str">
        <f>VLOOKUP(E31,unit_serifs_i18n!C:F,4,FALSE)</f>
        <v>雲霞に消えよ</v>
      </c>
    </row>
    <row r="32" spans="1:8" x14ac:dyDescent="0.15">
      <c r="A32" s="153">
        <v>595</v>
      </c>
      <c r="B32" s="118" t="str">
        <f>VLOOKUP(A32,[2]characters!$A:$C,3,FALSE)</f>
        <v>光華なる神域アルフヘイム</v>
      </c>
      <c r="C32" s="154" t="s">
        <v>281</v>
      </c>
      <c r="D32" s="155"/>
      <c r="E32" s="156" t="str">
        <f>E28</f>
        <v>5941</v>
      </c>
      <c r="F32" s="144" t="s">
        <v>218</v>
      </c>
      <c r="G32" s="144" t="str">
        <f>VLOOKUP(E32,unit_serifs_i18n!C:F,3,FALSE)</f>
        <v>maru</v>
      </c>
      <c r="H32" s="157" t="str">
        <f>VLOOKUP(E32,unit_serifs_i18n!C:F,4,FALSE)</f>
        <v>阻むことはできぬぞ</v>
      </c>
    </row>
    <row r="33" spans="1:8" x14ac:dyDescent="0.15">
      <c r="A33" s="153">
        <v>595</v>
      </c>
      <c r="B33" s="118" t="str">
        <f>VLOOKUP(A33,[2]characters!$A:$C,3,FALSE)</f>
        <v>光華なる神域アルフヘイム</v>
      </c>
      <c r="C33" s="154" t="s">
        <v>323</v>
      </c>
      <c r="D33" s="155"/>
      <c r="E33" s="156" t="str">
        <f>E29</f>
        <v>5942</v>
      </c>
      <c r="F33" s="144" t="s">
        <v>218</v>
      </c>
      <c r="G33" s="144" t="str">
        <f>VLOOKUP(E33,unit_serifs_i18n!C:F,3,FALSE)</f>
        <v>maru</v>
      </c>
      <c r="H33" s="157" t="str">
        <f>VLOOKUP(E33,unit_serifs_i18n!C:F,4,FALSE)</f>
        <v>触れることも許さぬ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F25"/>
  <sheetViews>
    <sheetView workbookViewId="0">
      <selection activeCell="G25" sqref="G25"/>
    </sheetView>
  </sheetViews>
  <sheetFormatPr baseColWidth="12" defaultRowHeight="15" x14ac:dyDescent="0.15"/>
  <cols>
    <col min="6" max="6" width="31" bestFit="1" customWidth="1"/>
    <col min="27" max="27" width="31" bestFit="1" customWidth="1"/>
  </cols>
  <sheetData>
    <row r="1" spans="1:6" x14ac:dyDescent="0.15">
      <c r="A1" s="122" t="s">
        <v>171</v>
      </c>
      <c r="B1" s="150" t="s">
        <v>184</v>
      </c>
      <c r="C1" s="119" t="s">
        <v>172</v>
      </c>
      <c r="D1" s="119" t="s">
        <v>174</v>
      </c>
      <c r="E1" s="119" t="s">
        <v>326</v>
      </c>
      <c r="F1" s="119" t="s">
        <v>327</v>
      </c>
    </row>
    <row r="2" spans="1:6" x14ac:dyDescent="0.15">
      <c r="A2" s="153">
        <v>586</v>
      </c>
      <c r="B2" s="118" t="str">
        <f>VLOOKUP(A2,[2]characters!$A:$C,3,FALSE)</f>
        <v>ユミル</v>
      </c>
      <c r="C2" s="155" t="str">
        <f>A2&amp;+(COUNTIF(A$2:A2,A2)-1)</f>
        <v>5860</v>
      </c>
      <c r="D2" s="144" t="s">
        <v>218</v>
      </c>
      <c r="E2" s="144" t="s">
        <v>270</v>
      </c>
      <c r="F2" s="118" t="s">
        <v>271</v>
      </c>
    </row>
    <row r="3" spans="1:6" x14ac:dyDescent="0.15">
      <c r="A3" s="153">
        <v>586</v>
      </c>
      <c r="B3" s="118" t="str">
        <f>VLOOKUP(A3,[2]characters!$A:$C,3,FALSE)</f>
        <v>ユミル</v>
      </c>
      <c r="C3" s="155" t="str">
        <f>A3&amp;+(COUNTIF(A$2:A3,A3)-1)</f>
        <v>5861</v>
      </c>
      <c r="D3" s="144" t="s">
        <v>218</v>
      </c>
      <c r="E3" s="144" t="s">
        <v>270</v>
      </c>
      <c r="F3" s="118" t="s">
        <v>273</v>
      </c>
    </row>
    <row r="4" spans="1:6" x14ac:dyDescent="0.15">
      <c r="A4" s="153">
        <v>586</v>
      </c>
      <c r="B4" s="118" t="str">
        <f>VLOOKUP(A4,[2]characters!$A:$C,3,FALSE)</f>
        <v>ユミル</v>
      </c>
      <c r="C4" s="155" t="str">
        <f>A4&amp;+(COUNTIF(A$2:A4,A4)-1)</f>
        <v>5862</v>
      </c>
      <c r="D4" s="144" t="s">
        <v>275</v>
      </c>
      <c r="E4" s="144" t="s">
        <v>276</v>
      </c>
      <c r="F4" s="118" t="s">
        <v>277</v>
      </c>
    </row>
    <row r="5" spans="1:6" x14ac:dyDescent="0.15">
      <c r="A5" s="153">
        <v>587</v>
      </c>
      <c r="B5" s="118" t="str">
        <f>VLOOKUP(A5,[2]characters!$A:$C,3,FALSE)</f>
        <v>原初の煉鋼巨刃ユミル</v>
      </c>
      <c r="C5" s="155" t="str">
        <f>A5&amp;+(COUNTIF(A$2:A5,A5)-1)</f>
        <v>5870</v>
      </c>
      <c r="D5" s="144" t="s">
        <v>218</v>
      </c>
      <c r="E5" s="144" t="s">
        <v>279</v>
      </c>
      <c r="F5" s="118" t="s">
        <v>280</v>
      </c>
    </row>
    <row r="6" spans="1:6" x14ac:dyDescent="0.15">
      <c r="A6" s="153">
        <v>587</v>
      </c>
      <c r="B6" s="118" t="str">
        <f>VLOOKUP(A6,[2]characters!$A:$C,3,FALSE)</f>
        <v>原初の煉鋼巨刃ユミル</v>
      </c>
      <c r="C6" s="155" t="str">
        <f>A6&amp;+(COUNTIF(A$2:A6,A6)-1)</f>
        <v>5871</v>
      </c>
      <c r="D6" s="144" t="s">
        <v>282</v>
      </c>
      <c r="E6" s="144" t="s">
        <v>283</v>
      </c>
      <c r="F6" s="118" t="s">
        <v>284</v>
      </c>
    </row>
    <row r="7" spans="1:6" x14ac:dyDescent="0.15">
      <c r="A7" s="153">
        <v>588</v>
      </c>
      <c r="B7" s="118" t="str">
        <f>VLOOKUP(A7,[2]characters!$A:$C,3,FALSE)</f>
        <v>ニーベルゲン</v>
      </c>
      <c r="C7" s="155" t="str">
        <f>A7&amp;+(COUNTIF(A$2:A7,A7)-1)</f>
        <v>5880</v>
      </c>
      <c r="D7" s="144" t="s">
        <v>285</v>
      </c>
      <c r="E7" s="144" t="s">
        <v>286</v>
      </c>
      <c r="F7" s="118" t="s">
        <v>287</v>
      </c>
    </row>
    <row r="8" spans="1:6" x14ac:dyDescent="0.15">
      <c r="A8" s="153">
        <v>588</v>
      </c>
      <c r="B8" s="118" t="str">
        <f>VLOOKUP(A8,[2]characters!$A:$C,3,FALSE)</f>
        <v>ニーベルゲン</v>
      </c>
      <c r="C8" s="155" t="str">
        <f>A8&amp;+(COUNTIF(A$2:A8,A8)-1)</f>
        <v>5881</v>
      </c>
      <c r="D8" s="144" t="s">
        <v>218</v>
      </c>
      <c r="E8" s="144" t="s">
        <v>270</v>
      </c>
      <c r="F8" s="118" t="s">
        <v>288</v>
      </c>
    </row>
    <row r="9" spans="1:6" x14ac:dyDescent="0.15">
      <c r="A9" s="153">
        <v>589</v>
      </c>
      <c r="B9" s="118" t="str">
        <f>VLOOKUP(A9,[2]characters!$A:$C,3,FALSE)</f>
        <v>不幸の円環ニーベルゲン</v>
      </c>
      <c r="C9" s="155" t="str">
        <f>A9&amp;+(COUNTIF(A$2:A9,A9)-1)</f>
        <v>5890</v>
      </c>
      <c r="D9" s="144" t="s">
        <v>218</v>
      </c>
      <c r="E9" s="144" t="s">
        <v>270</v>
      </c>
      <c r="F9" s="118" t="s">
        <v>289</v>
      </c>
    </row>
    <row r="10" spans="1:6" x14ac:dyDescent="0.15">
      <c r="A10" s="153">
        <v>589</v>
      </c>
      <c r="B10" s="118" t="str">
        <f>VLOOKUP(A10,[2]characters!$A:$C,3,FALSE)</f>
        <v>不幸の円環ニーベルゲン</v>
      </c>
      <c r="C10" s="155" t="str">
        <f>A10&amp;+(COUNTIF(A$2:A10,A10)-1)</f>
        <v>5891</v>
      </c>
      <c r="D10" s="144" t="s">
        <v>218</v>
      </c>
      <c r="E10" s="144" t="s">
        <v>270</v>
      </c>
      <c r="F10" s="118" t="s">
        <v>290</v>
      </c>
    </row>
    <row r="11" spans="1:6" x14ac:dyDescent="0.15">
      <c r="A11" s="153">
        <v>590</v>
      </c>
      <c r="B11" s="118" t="str">
        <f>VLOOKUP(A11,[2]characters!$A:$C,3,FALSE)</f>
        <v>永遠を廻る呪いニーベルゲン</v>
      </c>
      <c r="C11" s="155" t="str">
        <f>A11&amp;+(COUNTIF(A$2:A11,A11)-1)</f>
        <v>5900</v>
      </c>
      <c r="D11" s="144" t="s">
        <v>218</v>
      </c>
      <c r="E11" s="144" t="s">
        <v>270</v>
      </c>
      <c r="F11" s="118" t="s">
        <v>291</v>
      </c>
    </row>
    <row r="12" spans="1:6" x14ac:dyDescent="0.15">
      <c r="A12" s="153">
        <v>590</v>
      </c>
      <c r="B12" s="118" t="str">
        <f>VLOOKUP(A12,[2]characters!$A:$C,3,FALSE)</f>
        <v>永遠を廻る呪いニーベルゲン</v>
      </c>
      <c r="C12" s="155" t="str">
        <f>A12&amp;+(COUNTIF(A$2:A12,A12)-1)</f>
        <v>5901</v>
      </c>
      <c r="D12" s="144" t="s">
        <v>218</v>
      </c>
      <c r="E12" s="144" t="s">
        <v>279</v>
      </c>
      <c r="F12" s="118" t="s">
        <v>295</v>
      </c>
    </row>
    <row r="13" spans="1:6" x14ac:dyDescent="0.15">
      <c r="A13" s="153">
        <v>591</v>
      </c>
      <c r="B13" s="118" t="str">
        <f>VLOOKUP(A13,[2]characters!$A:$C,3,FALSE)</f>
        <v>ファフニール</v>
      </c>
      <c r="C13" s="155" t="str">
        <f>A13&amp;+(COUNTIF(A$2:A13,A13)-1)</f>
        <v>5910</v>
      </c>
      <c r="D13" s="144" t="s">
        <v>218</v>
      </c>
      <c r="E13" s="144" t="s">
        <v>270</v>
      </c>
      <c r="F13" s="118" t="s">
        <v>296</v>
      </c>
    </row>
    <row r="14" spans="1:6" x14ac:dyDescent="0.15">
      <c r="A14" s="153">
        <v>591</v>
      </c>
      <c r="B14" s="118" t="str">
        <f>VLOOKUP(A14,[2]characters!$A:$C,3,FALSE)</f>
        <v>ファフニール</v>
      </c>
      <c r="C14" s="155" t="str">
        <f>A14&amp;+(COUNTIF(A$2:A14,A14)-1)</f>
        <v>5911</v>
      </c>
      <c r="D14" s="144" t="s">
        <v>297</v>
      </c>
      <c r="E14" s="144" t="s">
        <v>298</v>
      </c>
      <c r="F14" s="118" t="s">
        <v>299</v>
      </c>
    </row>
    <row r="15" spans="1:6" x14ac:dyDescent="0.15">
      <c r="A15" s="153">
        <v>592</v>
      </c>
      <c r="B15" s="118" t="str">
        <f>VLOOKUP(A15,[2]characters!$A:$C,3,FALSE)</f>
        <v>財宝への執着ファフニール</v>
      </c>
      <c r="C15" s="155" t="str">
        <f>A15&amp;+(COUNTIF(A$2:A15,A15)-1)</f>
        <v>5920</v>
      </c>
      <c r="D15" s="144" t="s">
        <v>300</v>
      </c>
      <c r="E15" s="144" t="s">
        <v>301</v>
      </c>
      <c r="F15" s="118" t="s">
        <v>344</v>
      </c>
    </row>
    <row r="16" spans="1:6" x14ac:dyDescent="0.15">
      <c r="A16" s="153">
        <v>592</v>
      </c>
      <c r="B16" s="118" t="str">
        <f>VLOOKUP(A16,[2]characters!$A:$C,3,FALSE)</f>
        <v>財宝への執着ファフニール</v>
      </c>
      <c r="C16" s="155" t="str">
        <f>A16&amp;+(COUNTIF(A$2:A16,A16)-1)</f>
        <v>5921</v>
      </c>
      <c r="D16" s="144" t="s">
        <v>218</v>
      </c>
      <c r="E16" s="144" t="s">
        <v>279</v>
      </c>
      <c r="F16" s="118" t="s">
        <v>303</v>
      </c>
    </row>
    <row r="17" spans="1:6" x14ac:dyDescent="0.15">
      <c r="A17" s="153">
        <v>593</v>
      </c>
      <c r="B17" s="118" t="str">
        <f>VLOOKUP(A17,[2]characters!$A:$C,3,FALSE)</f>
        <v>妄執する邪毒龍ファフニール</v>
      </c>
      <c r="C17" s="155" t="str">
        <f>A17&amp;+(COUNTIF(A$2:A17,A17)-1)</f>
        <v>5930</v>
      </c>
      <c r="D17" s="144" t="s">
        <v>218</v>
      </c>
      <c r="E17" s="144" t="s">
        <v>279</v>
      </c>
      <c r="F17" s="118" t="s">
        <v>343</v>
      </c>
    </row>
    <row r="18" spans="1:6" x14ac:dyDescent="0.15">
      <c r="A18" s="153">
        <v>593</v>
      </c>
      <c r="B18" s="118" t="str">
        <f>VLOOKUP(A18,[2]characters!$A:$C,3,FALSE)</f>
        <v>妄執する邪毒龍ファフニール</v>
      </c>
      <c r="C18" s="155" t="str">
        <f>A18&amp;+(COUNTIF(A$2:A18,A18)-1)</f>
        <v>5931</v>
      </c>
      <c r="D18" s="144" t="s">
        <v>307</v>
      </c>
      <c r="E18" s="144" t="s">
        <v>308</v>
      </c>
      <c r="F18" s="118" t="s">
        <v>309</v>
      </c>
    </row>
    <row r="19" spans="1:6" x14ac:dyDescent="0.15">
      <c r="A19" s="153">
        <v>594</v>
      </c>
      <c r="B19" s="118" t="str">
        <f>VLOOKUP(A19,[2]characters!$A:$C,3,FALSE)</f>
        <v>アルフヘイム</v>
      </c>
      <c r="C19" s="155" t="str">
        <f>A19&amp;+(COUNTIF(A$2:A19,A19)-1)</f>
        <v>5940</v>
      </c>
      <c r="D19" s="144" t="s">
        <v>218</v>
      </c>
      <c r="E19" s="144" t="s">
        <v>270</v>
      </c>
      <c r="F19" s="118" t="s">
        <v>311</v>
      </c>
    </row>
    <row r="20" spans="1:6" x14ac:dyDescent="0.15">
      <c r="A20" s="153">
        <v>594</v>
      </c>
      <c r="B20" s="118" t="str">
        <f>VLOOKUP(A20,[2]characters!$A:$C,3,FALSE)</f>
        <v>アルフヘイム</v>
      </c>
      <c r="C20" s="155" t="str">
        <f>A20&amp;+(COUNTIF(A$2:A20,A20)-1)</f>
        <v>5941</v>
      </c>
      <c r="D20" s="144" t="s">
        <v>313</v>
      </c>
      <c r="E20" s="144" t="s">
        <v>314</v>
      </c>
      <c r="F20" s="118" t="s">
        <v>315</v>
      </c>
    </row>
    <row r="21" spans="1:6" x14ac:dyDescent="0.15">
      <c r="A21" s="153">
        <v>594</v>
      </c>
      <c r="B21" s="118" t="str">
        <f>VLOOKUP(A21,[2]characters!$A:$C,3,FALSE)</f>
        <v>アルフヘイム</v>
      </c>
      <c r="C21" s="155" t="str">
        <f>A21&amp;+(COUNTIF(A$2:A21,A21)-1)</f>
        <v>5942</v>
      </c>
      <c r="D21" s="144" t="s">
        <v>275</v>
      </c>
      <c r="E21" s="144" t="s">
        <v>317</v>
      </c>
      <c r="F21" s="118" t="s">
        <v>318</v>
      </c>
    </row>
    <row r="22" spans="1:6" x14ac:dyDescent="0.15">
      <c r="A22" s="153">
        <v>595</v>
      </c>
      <c r="B22" s="118" t="str">
        <f>VLOOKUP(A22,[2]characters!$A:$C,3,FALSE)</f>
        <v>光華なる神域アルフヘイム</v>
      </c>
      <c r="C22" s="155" t="str">
        <f>A22&amp;+(COUNTIF(A$2:A22,A22)-1)</f>
        <v>5950</v>
      </c>
      <c r="D22" s="144" t="s">
        <v>319</v>
      </c>
      <c r="E22" s="144" t="s">
        <v>320</v>
      </c>
      <c r="F22" s="118" t="s">
        <v>321</v>
      </c>
    </row>
    <row r="23" spans="1:6" x14ac:dyDescent="0.15">
      <c r="A23" s="153">
        <v>595</v>
      </c>
      <c r="B23" s="118" t="str">
        <f>VLOOKUP(A23,[2]characters!$A:$C,3,FALSE)</f>
        <v>光華なる神域アルフヘイム</v>
      </c>
      <c r="C23" s="155" t="str">
        <f>A23&amp;+(COUNTIF(A$2:A23,A23)-1)</f>
        <v>5951</v>
      </c>
      <c r="D23" s="144" t="s">
        <v>218</v>
      </c>
      <c r="E23" s="144" t="s">
        <v>279</v>
      </c>
      <c r="F23" s="118" t="s">
        <v>324</v>
      </c>
    </row>
    <row r="24" spans="1:6" x14ac:dyDescent="0.15">
      <c r="A24" s="153"/>
      <c r="B24" s="118"/>
      <c r="C24" s="156"/>
      <c r="D24" s="144"/>
      <c r="E24" s="144"/>
      <c r="F24" s="118"/>
    </row>
    <row r="25" spans="1:6" x14ac:dyDescent="0.15">
      <c r="A25" s="153"/>
      <c r="B25" s="118"/>
      <c r="C25" s="155"/>
      <c r="D25" s="144"/>
      <c r="E25" s="144"/>
      <c r="F25" s="118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workbookViewId="0">
      <pane ySplit="1" topLeftCell="A2" activePane="bottomLeft" state="frozen"/>
      <selection pane="bottomLeft" activeCell="D22" sqref="D22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ht="21" customHeight="1" x14ac:dyDescent="0.15">
      <c r="A2" s="67" t="str">
        <f>B2&amp;"_"&amp;F2</f>
        <v>586_104</v>
      </c>
      <c r="B2" s="158">
        <v>586</v>
      </c>
      <c r="C2" s="21" t="e">
        <f ca="1">VLOOKUP($B2,OFFSET([3]units!$A$1,0,0,COUNTA([3]units!$A:$A),MATCH(C$1,[3]units!$1:$1,0)-COLUMN(INDIRECT("character_id"))+1),MATCH(C$1,[3]units!$1:$1,0)-COLUMN(INDIRECT("character_id"))+1,FALSE)</f>
        <v>#VALUE!</v>
      </c>
      <c r="D2" s="21" t="e">
        <f ca="1">VLOOKUP($B2,OFFSET([3]units!$A$1,0,0,COUNTA([3]units!$A:$A),MATCH(D$1,[3]units!$1:$1,0)-COLUMN(INDIRECT("character_id"))+1),MATCH(D$1,[3]units!$1:$1,0)-COLUMN(INDIRECT("character_id"))+1,FALSE)</f>
        <v>#VALUE!</v>
      </c>
      <c r="E2" s="21" t="e">
        <f ca="1">VLOOKUP($B2,OFFSET([3]units!$A$1,0,0,COUNTA([3]units!$A:$A),MATCH(E$1,[3]units!$1:$1,0)-COLUMN(INDIRECT("character_id"))+1),MATCH(E$1,[3]units!$1:$1,0)-COLUMN(INDIRECT("character_id"))+1,FALSE)</f>
        <v>#VALUE!</v>
      </c>
      <c r="F2" s="45">
        <v>104</v>
      </c>
      <c r="G2" s="21" t="e">
        <f ca="1">VLOOKUP($F2,OFFSET([3]units!$A$1,0,0,COUNTA([3]units!$A:$A),MATCH(G$1,[3]units!$1:$1,0)-COLUMN(INDIRECT("character_id"))+1),MATCH(G$1,[3]units!$1:$1,0)-COLUMN(INDIRECT("character_id"))+1,FALSE)</f>
        <v>#VALUE!</v>
      </c>
      <c r="H2" s="18">
        <v>1</v>
      </c>
      <c r="I2" s="121">
        <v>1</v>
      </c>
    </row>
    <row r="3" spans="1:9" ht="21" customHeight="1" x14ac:dyDescent="0.15">
      <c r="A3" s="67" t="str">
        <f t="shared" ref="A3:A19" si="0">B3&amp;"_"&amp;F3</f>
        <v>586_103</v>
      </c>
      <c r="B3" s="158">
        <v>586</v>
      </c>
      <c r="C3" s="21" t="e">
        <f ca="1">VLOOKUP($B3,OFFSET([3]units!$A$1,0,0,COUNTA([3]units!$A:$A),MATCH(C$1,[3]units!$1:$1,0)-COLUMN(INDIRECT("character_id"))+1),MATCH(C$1,[3]units!$1:$1,0)-COLUMN(INDIRECT("character_id"))+1,FALSE)</f>
        <v>#VALUE!</v>
      </c>
      <c r="D3" s="21" t="e">
        <f ca="1">VLOOKUP($B3,OFFSET([3]units!$A$1,0,0,COUNTA([3]units!$A:$A),MATCH(D$1,[3]units!$1:$1,0)-COLUMN(INDIRECT("character_id"))+1),MATCH(D$1,[3]units!$1:$1,0)-COLUMN(INDIRECT("character_id"))+1,FALSE)</f>
        <v>#VALUE!</v>
      </c>
      <c r="E3" s="21" t="e">
        <f ca="1">VLOOKUP($B3,OFFSET([3]units!$A$1,0,0,COUNTA([3]units!$A:$A),MATCH(E$1,[3]units!$1:$1,0)-COLUMN(INDIRECT("character_id"))+1),MATCH(E$1,[3]units!$1:$1,0)-COLUMN(INDIRECT("character_id"))+1,FALSE)</f>
        <v>#VALUE!</v>
      </c>
      <c r="F3" s="45">
        <v>103</v>
      </c>
      <c r="G3" s="21" t="e">
        <f ca="1">VLOOKUP($F3,OFFSET([3]units!$A$1,0,0,COUNTA([3]units!$A:$A),MATCH(G$1,[3]units!$1:$1,0)-COLUMN(INDIRECT("character_id"))+1),MATCH(G$1,[3]units!$1:$1,0)-COLUMN(INDIRECT("character_id"))+1,FALSE)</f>
        <v>#VALUE!</v>
      </c>
      <c r="H3" s="18">
        <v>2</v>
      </c>
      <c r="I3" s="121">
        <v>1</v>
      </c>
    </row>
    <row r="4" spans="1:9" ht="21" customHeight="1" x14ac:dyDescent="0.15">
      <c r="A4" s="67" t="str">
        <f t="shared" si="0"/>
        <v>586_502</v>
      </c>
      <c r="B4" s="158">
        <v>586</v>
      </c>
      <c r="C4" s="21" t="e">
        <f ca="1">VLOOKUP($B4,OFFSET([3]units!$A$1,0,0,COUNTA([3]units!$A:$A),MATCH(C$1,[3]units!$1:$1,0)-COLUMN(INDIRECT("character_id"))+1),MATCH(C$1,[3]units!$1:$1,0)-COLUMN(INDIRECT("character_id"))+1,FALSE)</f>
        <v>#VALUE!</v>
      </c>
      <c r="D4" s="21" t="e">
        <f ca="1">VLOOKUP($B4,OFFSET([3]units!$A$1,0,0,COUNTA([3]units!$A:$A),MATCH(D$1,[3]units!$1:$1,0)-COLUMN(INDIRECT("character_id"))+1),MATCH(D$1,[3]units!$1:$1,0)-COLUMN(INDIRECT("character_id"))+1,FALSE)</f>
        <v>#VALUE!</v>
      </c>
      <c r="E4" s="21" t="e">
        <f ca="1">VLOOKUP($B4,OFFSET([3]units!$A$1,0,0,COUNTA([3]units!$A:$A),MATCH(E$1,[3]units!$1:$1,0)-COLUMN(INDIRECT("character_id"))+1),MATCH(E$1,[3]units!$1:$1,0)-COLUMN(INDIRECT("character_id"))+1,FALSE)</f>
        <v>#VALUE!</v>
      </c>
      <c r="F4" s="45">
        <v>502</v>
      </c>
      <c r="G4" s="21" t="e">
        <f ca="1">VLOOKUP($F4,OFFSET([3]units!$A$1,0,0,COUNTA([3]units!$A:$A),MATCH(G$1,[3]units!$1:$1,0)-COLUMN(INDIRECT("character_id"))+1),MATCH(G$1,[3]units!$1:$1,0)-COLUMN(INDIRECT("character_id"))+1,FALSE)</f>
        <v>#VALUE!</v>
      </c>
      <c r="H4" s="18">
        <v>1</v>
      </c>
      <c r="I4" s="121">
        <v>1</v>
      </c>
    </row>
    <row r="5" spans="1:9" ht="21" customHeight="1" x14ac:dyDescent="0.15">
      <c r="A5" s="67" t="str">
        <f t="shared" si="0"/>
        <v>586_306</v>
      </c>
      <c r="B5" s="158">
        <v>586</v>
      </c>
      <c r="C5" s="21" t="e">
        <f ca="1">VLOOKUP($B5,OFFSET([3]units!$A$1,0,0,COUNTA([3]units!$A:$A),MATCH(C$1,[3]units!$1:$1,0)-COLUMN(INDIRECT("character_id"))+1),MATCH(C$1,[3]units!$1:$1,0)-COLUMN(INDIRECT("character_id"))+1,FALSE)</f>
        <v>#VALUE!</v>
      </c>
      <c r="D5" s="21" t="e">
        <f ca="1">VLOOKUP($B5,OFFSET([3]units!$A$1,0,0,COUNTA([3]units!$A:$A),MATCH(D$1,[3]units!$1:$1,0)-COLUMN(INDIRECT("character_id"))+1),MATCH(D$1,[3]units!$1:$1,0)-COLUMN(INDIRECT("character_id"))+1,FALSE)</f>
        <v>#VALUE!</v>
      </c>
      <c r="E5" s="21" t="e">
        <f ca="1">VLOOKUP($B5,OFFSET([3]units!$A$1,0,0,COUNTA([3]units!$A:$A),MATCH(E$1,[3]units!$1:$1,0)-COLUMN(INDIRECT("character_id"))+1),MATCH(E$1,[3]units!$1:$1,0)-COLUMN(INDIRECT("character_id"))+1,FALSE)</f>
        <v>#VALUE!</v>
      </c>
      <c r="F5" s="45">
        <v>306</v>
      </c>
      <c r="G5" s="21" t="e">
        <f ca="1">VLOOKUP($F5,OFFSET([3]units!$A$1,0,0,COUNTA([3]units!$A:$A),MATCH(G$1,[3]units!$1:$1,0)-COLUMN(INDIRECT("character_id"))+1),MATCH(G$1,[3]units!$1:$1,0)-COLUMN(INDIRECT("character_id"))+1,FALSE)</f>
        <v>#VALUE!</v>
      </c>
      <c r="H5" s="18">
        <v>1</v>
      </c>
      <c r="I5" s="121">
        <v>1</v>
      </c>
    </row>
    <row r="6" spans="1:9" ht="21" customHeight="1" x14ac:dyDescent="0.15">
      <c r="A6" s="67" t="str">
        <f t="shared" si="0"/>
        <v>591_111</v>
      </c>
      <c r="B6" s="158">
        <v>591</v>
      </c>
      <c r="C6" s="21" t="e">
        <f ca="1">VLOOKUP($B6,OFFSET([3]units!$A$1,0,0,COUNTA([3]units!$A:$A),MATCH(C$1,[3]units!$1:$1,0)-COLUMN(INDIRECT("character_id"))+1),MATCH(C$1,[3]units!$1:$1,0)-COLUMN(INDIRECT("character_id"))+1,FALSE)</f>
        <v>#VALUE!</v>
      </c>
      <c r="D6" s="21" t="e">
        <f ca="1">VLOOKUP($B6,OFFSET([3]units!$A$1,0,0,COUNTA([3]units!$A:$A),MATCH(D$1,[3]units!$1:$1,0)-COLUMN(INDIRECT("character_id"))+1),MATCH(D$1,[3]units!$1:$1,0)-COLUMN(INDIRECT("character_id"))+1,FALSE)</f>
        <v>#VALUE!</v>
      </c>
      <c r="E6" s="21" t="e">
        <f ca="1">VLOOKUP($B6,OFFSET([3]units!$A$1,0,0,COUNTA([3]units!$A:$A),MATCH(E$1,[3]units!$1:$1,0)-COLUMN(INDIRECT("character_id"))+1),MATCH(E$1,[3]units!$1:$1,0)-COLUMN(INDIRECT("character_id"))+1,FALSE)</f>
        <v>#VALUE!</v>
      </c>
      <c r="F6" s="45">
        <v>111</v>
      </c>
      <c r="G6" s="21" t="e">
        <f ca="1">VLOOKUP($F6,OFFSET([3]units!$A$1,0,0,COUNTA([3]units!$A:$A),MATCH(G$1,[3]units!$1:$1,0)-COLUMN(INDIRECT("character_id"))+1),MATCH(G$1,[3]units!$1:$1,0)-COLUMN(INDIRECT("character_id"))+1,FALSE)</f>
        <v>#VALUE!</v>
      </c>
      <c r="H6" s="18">
        <v>3</v>
      </c>
      <c r="I6" s="121">
        <v>1</v>
      </c>
    </row>
    <row r="7" spans="1:9" ht="21" customHeight="1" x14ac:dyDescent="0.15">
      <c r="A7" s="67" t="str">
        <f t="shared" si="0"/>
        <v>591_110</v>
      </c>
      <c r="B7" s="158">
        <v>591</v>
      </c>
      <c r="C7" s="21" t="e">
        <f ca="1">VLOOKUP($B7,OFFSET([3]units!$A$1,0,0,COUNTA([3]units!$A:$A),MATCH(C$1,[3]units!$1:$1,0)-COLUMN(INDIRECT("character_id"))+1),MATCH(C$1,[3]units!$1:$1,0)-COLUMN(INDIRECT("character_id"))+1,FALSE)</f>
        <v>#VALUE!</v>
      </c>
      <c r="D7" s="21" t="e">
        <f ca="1">VLOOKUP($B7,OFFSET([3]units!$A$1,0,0,COUNTA([3]units!$A:$A),MATCH(D$1,[3]units!$1:$1,0)-COLUMN(INDIRECT("character_id"))+1),MATCH(D$1,[3]units!$1:$1,0)-COLUMN(INDIRECT("character_id"))+1,FALSE)</f>
        <v>#VALUE!</v>
      </c>
      <c r="E7" s="21" t="e">
        <f ca="1">VLOOKUP($B7,OFFSET([3]units!$A$1,0,0,COUNTA([3]units!$A:$A),MATCH(E$1,[3]units!$1:$1,0)-COLUMN(INDIRECT("character_id"))+1),MATCH(E$1,[3]units!$1:$1,0)-COLUMN(INDIRECT("character_id"))+1,FALSE)</f>
        <v>#VALUE!</v>
      </c>
      <c r="F7" s="45">
        <v>110</v>
      </c>
      <c r="G7" s="21" t="e">
        <f ca="1">VLOOKUP($F7,OFFSET([3]units!$A$1,0,0,COUNTA([3]units!$A:$A),MATCH(G$1,[3]units!$1:$1,0)-COLUMN(INDIRECT("character_id"))+1),MATCH(G$1,[3]units!$1:$1,0)-COLUMN(INDIRECT("character_id"))+1,FALSE)</f>
        <v>#VALUE!</v>
      </c>
      <c r="H7" s="18">
        <v>1</v>
      </c>
      <c r="I7" s="121">
        <v>1</v>
      </c>
    </row>
    <row r="8" spans="1:9" ht="21" customHeight="1" x14ac:dyDescent="0.15">
      <c r="A8" s="67" t="str">
        <f t="shared" si="0"/>
        <v>592_112</v>
      </c>
      <c r="B8" s="158">
        <v>592</v>
      </c>
      <c r="C8" s="21" t="e">
        <f ca="1">VLOOKUP($B8,OFFSET([3]units!$A$1,0,0,COUNTA([3]units!$A:$A),MATCH(C$1,[3]units!$1:$1,0)-COLUMN(INDIRECT("character_id"))+1),MATCH(C$1,[3]units!$1:$1,0)-COLUMN(INDIRECT("character_id"))+1,FALSE)</f>
        <v>#VALUE!</v>
      </c>
      <c r="D8" s="21" t="e">
        <f ca="1">VLOOKUP($B8,OFFSET([3]units!$A$1,0,0,COUNTA([3]units!$A:$A),MATCH(D$1,[3]units!$1:$1,0)-COLUMN(INDIRECT("character_id"))+1),MATCH(D$1,[3]units!$1:$1,0)-COLUMN(INDIRECT("character_id"))+1,FALSE)</f>
        <v>#VALUE!</v>
      </c>
      <c r="E8" s="21" t="e">
        <f ca="1">VLOOKUP($B8,OFFSET([3]units!$A$1,0,0,COUNTA([3]units!$A:$A),MATCH(E$1,[3]units!$1:$1,0)-COLUMN(INDIRECT("character_id"))+1),MATCH(E$1,[3]units!$1:$1,0)-COLUMN(INDIRECT("character_id"))+1,FALSE)</f>
        <v>#VALUE!</v>
      </c>
      <c r="F8" s="45">
        <v>112</v>
      </c>
      <c r="G8" s="21" t="e">
        <f ca="1">VLOOKUP($F8,OFFSET([3]units!$A$1,0,0,COUNTA([3]units!$A:$A),MATCH(G$1,[3]units!$1:$1,0)-COLUMN(INDIRECT("character_id"))+1),MATCH(G$1,[3]units!$1:$1,0)-COLUMN(INDIRECT("character_id"))+1,FALSE)</f>
        <v>#VALUE!</v>
      </c>
      <c r="H8" s="18">
        <v>2</v>
      </c>
      <c r="I8" s="121">
        <v>1</v>
      </c>
    </row>
    <row r="9" spans="1:9" ht="21" customHeight="1" x14ac:dyDescent="0.15">
      <c r="A9" s="67" t="str">
        <f t="shared" si="0"/>
        <v>592_111</v>
      </c>
      <c r="B9" s="45">
        <v>592</v>
      </c>
      <c r="C9" s="21" t="e">
        <f ca="1">VLOOKUP($B9,OFFSET([3]units!$A$1,0,0,COUNTA([3]units!$A:$A),MATCH(C$1,[3]units!$1:$1,0)-COLUMN(INDIRECT("character_id"))+1),MATCH(C$1,[3]units!$1:$1,0)-COLUMN(INDIRECT("character_id"))+1,FALSE)</f>
        <v>#VALUE!</v>
      </c>
      <c r="D9" s="21" t="e">
        <f ca="1">VLOOKUP($B9,OFFSET([3]units!$A$1,0,0,COUNTA([3]units!$A:$A),MATCH(D$1,[3]units!$1:$1,0)-COLUMN(INDIRECT("character_id"))+1),MATCH(D$1,[3]units!$1:$1,0)-COLUMN(INDIRECT("character_id"))+1,FALSE)</f>
        <v>#VALUE!</v>
      </c>
      <c r="E9" s="21" t="e">
        <f ca="1">VLOOKUP($B9,OFFSET([3]units!$A$1,0,0,COUNTA([3]units!$A:$A),MATCH(E$1,[3]units!$1:$1,0)-COLUMN(INDIRECT("character_id"))+1),MATCH(E$1,[3]units!$1:$1,0)-COLUMN(INDIRECT("character_id"))+1,FALSE)</f>
        <v>#VALUE!</v>
      </c>
      <c r="F9" s="45">
        <v>111</v>
      </c>
      <c r="G9" s="21" t="e">
        <f ca="1">VLOOKUP($F9,OFFSET([3]units!$A$1,0,0,COUNTA([3]units!$A:$A),MATCH(G$1,[3]units!$1:$1,0)-COLUMN(INDIRECT("character_id"))+1),MATCH(G$1,[3]units!$1:$1,0)-COLUMN(INDIRECT("character_id"))+1,FALSE)</f>
        <v>#VALUE!</v>
      </c>
      <c r="H9" s="18">
        <v>2</v>
      </c>
      <c r="I9" s="121">
        <v>1</v>
      </c>
    </row>
    <row r="10" spans="1:9" ht="21" customHeight="1" x14ac:dyDescent="0.15">
      <c r="A10" s="67" t="str">
        <f t="shared" si="0"/>
        <v>592_110</v>
      </c>
      <c r="B10" s="45">
        <v>592</v>
      </c>
      <c r="C10" s="21" t="e">
        <f ca="1">VLOOKUP($B10,OFFSET([3]units!$A$1,0,0,COUNTA([3]units!$A:$A),MATCH(C$1,[3]units!$1:$1,0)-COLUMN(INDIRECT("character_id"))+1),MATCH(C$1,[3]units!$1:$1,0)-COLUMN(INDIRECT("character_id"))+1,FALSE)</f>
        <v>#VALUE!</v>
      </c>
      <c r="D10" s="21" t="e">
        <f ca="1">VLOOKUP($B10,OFFSET([3]units!$A$1,0,0,COUNTA([3]units!$A:$A),MATCH(D$1,[3]units!$1:$1,0)-COLUMN(INDIRECT("character_id"))+1),MATCH(D$1,[3]units!$1:$1,0)-COLUMN(INDIRECT("character_id"))+1,FALSE)</f>
        <v>#VALUE!</v>
      </c>
      <c r="E10" s="21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45">
        <v>110</v>
      </c>
      <c r="G10" s="21" t="e">
        <f ca="1">VLOOKUP($F10,OFFSET([3]units!$A$1,0,0,COUNTA([3]units!$A:$A),MATCH(G$1,[3]units!$1:$1,0)-COLUMN(INDIRECT("character_id"))+1),MATCH(G$1,[3]units!$1:$1,0)-COLUMN(INDIRECT("character_id"))+1,FALSE)</f>
        <v>#VALUE!</v>
      </c>
      <c r="H10" s="18">
        <v>1</v>
      </c>
      <c r="I10" s="121">
        <v>1</v>
      </c>
    </row>
    <row r="11" spans="1:9" ht="21" customHeight="1" x14ac:dyDescent="0.15">
      <c r="A11" s="67" t="str">
        <f t="shared" si="0"/>
        <v>588_107</v>
      </c>
      <c r="B11" s="45">
        <v>588</v>
      </c>
      <c r="C11" s="21" t="e">
        <f ca="1">VLOOKUP($B11,OFFSET([3]units!$A$1,0,0,COUNTA([3]units!$A:$A),MATCH(C$1,[3]units!$1:$1,0)-COLUMN(INDIRECT("character_id"))+1),MATCH(C$1,[3]units!$1:$1,0)-COLUMN(INDIRECT("character_id"))+1,FALSE)</f>
        <v>#VALUE!</v>
      </c>
      <c r="D11" s="21" t="e">
        <f ca="1">VLOOKUP($B11,OFFSET([3]units!$A$1,0,0,COUNTA([3]units!$A:$A),MATCH(D$1,[3]units!$1:$1,0)-COLUMN(INDIRECT("character_id"))+1),MATCH(D$1,[3]units!$1:$1,0)-COLUMN(INDIRECT("character_id"))+1,FALSE)</f>
        <v>#VALUE!</v>
      </c>
      <c r="E11" s="21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45">
        <v>107</v>
      </c>
      <c r="G11" s="21" t="e">
        <f ca="1">VLOOKUP($F11,OFFSET([3]units!$A$1,0,0,COUNTA([3]units!$A:$A),MATCH(G$1,[3]units!$1:$1,0)-COLUMN(INDIRECT("character_id"))+1),MATCH(G$1,[3]units!$1:$1,0)-COLUMN(INDIRECT("character_id"))+1,FALSE)</f>
        <v>#VALUE!</v>
      </c>
      <c r="H11" s="18">
        <v>3</v>
      </c>
      <c r="I11" s="121">
        <v>1</v>
      </c>
    </row>
    <row r="12" spans="1:9" ht="21" customHeight="1" x14ac:dyDescent="0.15">
      <c r="A12" s="67" t="str">
        <f t="shared" si="0"/>
        <v>588_106</v>
      </c>
      <c r="B12" s="45">
        <v>588</v>
      </c>
      <c r="C12" s="21" t="e">
        <f ca="1">VLOOKUP($B12,OFFSET([3]units!$A$1,0,0,COUNTA([3]units!$A:$A),MATCH(C$1,[3]units!$1:$1,0)-COLUMN(INDIRECT("character_id"))+1),MATCH(C$1,[3]units!$1:$1,0)-COLUMN(INDIRECT("character_id"))+1,FALSE)</f>
        <v>#VALUE!</v>
      </c>
      <c r="D12" s="21" t="e">
        <f ca="1">VLOOKUP($B12,OFFSET([3]units!$A$1,0,0,COUNTA([3]units!$A:$A),MATCH(D$1,[3]units!$1:$1,0)-COLUMN(INDIRECT("character_id"))+1),MATCH(D$1,[3]units!$1:$1,0)-COLUMN(INDIRECT("character_id"))+1,FALSE)</f>
        <v>#VALUE!</v>
      </c>
      <c r="E12" s="21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45">
        <v>106</v>
      </c>
      <c r="G12" s="21" t="e">
        <f ca="1">VLOOKUP($F12,OFFSET([3]units!$A$1,0,0,COUNTA([3]units!$A:$A),MATCH(G$1,[3]units!$1:$1,0)-COLUMN(INDIRECT("character_id"))+1),MATCH(G$1,[3]units!$1:$1,0)-COLUMN(INDIRECT("character_id"))+1,FALSE)</f>
        <v>#VALUE!</v>
      </c>
      <c r="H12" s="18">
        <v>1</v>
      </c>
      <c r="I12" s="121">
        <v>1</v>
      </c>
    </row>
    <row r="13" spans="1:9" ht="21" customHeight="1" x14ac:dyDescent="0.15">
      <c r="A13" s="67" t="str">
        <f t="shared" si="0"/>
        <v>589_108</v>
      </c>
      <c r="B13" s="45">
        <v>589</v>
      </c>
      <c r="C13" s="21" t="e">
        <f ca="1">VLOOKUP($B13,OFFSET([3]units!$A$1,0,0,COUNTA([3]units!$A:$A),MATCH(C$1,[3]units!$1:$1,0)-COLUMN(INDIRECT("character_id"))+1),MATCH(C$1,[3]units!$1:$1,0)-COLUMN(INDIRECT("character_id"))+1,FALSE)</f>
        <v>#VALUE!</v>
      </c>
      <c r="D13" s="21" t="e">
        <f ca="1">VLOOKUP($B13,OFFSET([3]units!$A$1,0,0,COUNTA([3]units!$A:$A),MATCH(D$1,[3]units!$1:$1,0)-COLUMN(INDIRECT("character_id"))+1),MATCH(D$1,[3]units!$1:$1,0)-COLUMN(INDIRECT("character_id"))+1,FALSE)</f>
        <v>#VALUE!</v>
      </c>
      <c r="E13" s="21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45">
        <v>108</v>
      </c>
      <c r="G13" s="21" t="e">
        <f ca="1">VLOOKUP($F13,OFFSET([3]units!$A$1,0,0,COUNTA([3]units!$A:$A),MATCH(G$1,[3]units!$1:$1,0)-COLUMN(INDIRECT("character_id"))+1),MATCH(G$1,[3]units!$1:$1,0)-COLUMN(INDIRECT("character_id"))+1,FALSE)</f>
        <v>#VALUE!</v>
      </c>
      <c r="H13" s="18">
        <v>2</v>
      </c>
      <c r="I13" s="121">
        <v>1</v>
      </c>
    </row>
    <row r="14" spans="1:9" ht="21" customHeight="1" x14ac:dyDescent="0.15">
      <c r="A14" s="67" t="str">
        <f t="shared" si="0"/>
        <v>589_107</v>
      </c>
      <c r="B14" s="45">
        <v>589</v>
      </c>
      <c r="C14" s="21" t="e">
        <f ca="1">VLOOKUP($B14,OFFSET([3]units!$A$1,0,0,COUNTA([3]units!$A:$A),MATCH(C$1,[3]units!$1:$1,0)-COLUMN(INDIRECT("character_id"))+1),MATCH(C$1,[3]units!$1:$1,0)-COLUMN(INDIRECT("character_id"))+1,FALSE)</f>
        <v>#VALUE!</v>
      </c>
      <c r="D14" s="21" t="e">
        <f ca="1">VLOOKUP($B14,OFFSET([3]units!$A$1,0,0,COUNTA([3]units!$A:$A),MATCH(D$1,[3]units!$1:$1,0)-COLUMN(INDIRECT("character_id"))+1),MATCH(D$1,[3]units!$1:$1,0)-COLUMN(INDIRECT("character_id"))+1,FALSE)</f>
        <v>#VALUE!</v>
      </c>
      <c r="E14" s="21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45">
        <v>107</v>
      </c>
      <c r="G14" s="21" t="e">
        <f ca="1">VLOOKUP($F14,OFFSET([3]units!$A$1,0,0,COUNTA([3]units!$A:$A),MATCH(G$1,[3]units!$1:$1,0)-COLUMN(INDIRECT("character_id"))+1),MATCH(G$1,[3]units!$1:$1,0)-COLUMN(INDIRECT("character_id"))+1,FALSE)</f>
        <v>#VALUE!</v>
      </c>
      <c r="H14" s="18">
        <v>2</v>
      </c>
      <c r="I14" s="121">
        <v>1</v>
      </c>
    </row>
    <row r="15" spans="1:9" ht="21" customHeight="1" x14ac:dyDescent="0.15">
      <c r="A15" s="67" t="str">
        <f t="shared" si="0"/>
        <v>589_106</v>
      </c>
      <c r="B15" s="45">
        <v>589</v>
      </c>
      <c r="C15" s="21" t="e">
        <f ca="1">VLOOKUP($B15,OFFSET([3]units!$A$1,0,0,COUNTA([3]units!$A:$A),MATCH(C$1,[3]units!$1:$1,0)-COLUMN(INDIRECT("character_id"))+1),MATCH(C$1,[3]units!$1:$1,0)-COLUMN(INDIRECT("character_id"))+1,FALSE)</f>
        <v>#VALUE!</v>
      </c>
      <c r="D15" s="21" t="e">
        <f ca="1">VLOOKUP($B15,OFFSET([3]units!$A$1,0,0,COUNTA([3]units!$A:$A),MATCH(D$1,[3]units!$1:$1,0)-COLUMN(INDIRECT("character_id"))+1),MATCH(D$1,[3]units!$1:$1,0)-COLUMN(INDIRECT("character_id"))+1,FALSE)</f>
        <v>#VALUE!</v>
      </c>
      <c r="E15" s="21" t="e">
        <f ca="1">VLOOKUP($B15,OFFSET([3]units!$A$1,0,0,COUNTA([3]units!$A:$A),MATCH(E$1,[3]units!$1:$1,0)-COLUMN(INDIRECT("character_id"))+1),MATCH(E$1,[3]units!$1:$1,0)-COLUMN(INDIRECT("character_id"))+1,FALSE)</f>
        <v>#VALUE!</v>
      </c>
      <c r="F15" s="45">
        <v>106</v>
      </c>
      <c r="G15" s="21" t="e">
        <f ca="1">VLOOKUP($F15,OFFSET([3]units!$A$1,0,0,COUNTA([3]units!$A:$A),MATCH(G$1,[3]units!$1:$1,0)-COLUMN(INDIRECT("character_id"))+1),MATCH(G$1,[3]units!$1:$1,0)-COLUMN(INDIRECT("character_id"))+1,FALSE)</f>
        <v>#VALUE!</v>
      </c>
      <c r="H15" s="18">
        <v>1</v>
      </c>
      <c r="I15" s="121">
        <v>1</v>
      </c>
    </row>
    <row r="16" spans="1:9" ht="21" customHeight="1" x14ac:dyDescent="0.15">
      <c r="A16" s="67" t="str">
        <f t="shared" si="0"/>
        <v>594_116</v>
      </c>
      <c r="B16" s="45">
        <v>594</v>
      </c>
      <c r="C16" s="21" t="e">
        <f ca="1">VLOOKUP($B16,OFFSET([3]units!$A$1,0,0,COUNTA([3]units!$A:$A),MATCH(C$1,[3]units!$1:$1,0)-COLUMN(INDIRECT("character_id"))+1),MATCH(C$1,[3]units!$1:$1,0)-COLUMN(INDIRECT("character_id"))+1,FALSE)</f>
        <v>#VALUE!</v>
      </c>
      <c r="D16" s="21" t="e">
        <f ca="1">VLOOKUP($B16,OFFSET([3]units!$A$1,0,0,COUNTA([3]units!$A:$A),MATCH(D$1,[3]units!$1:$1,0)-COLUMN(INDIRECT("character_id"))+1),MATCH(D$1,[3]units!$1:$1,0)-COLUMN(INDIRECT("character_id"))+1,FALSE)</f>
        <v>#VALUE!</v>
      </c>
      <c r="E16" s="21" t="e">
        <f ca="1">VLOOKUP($B16,OFFSET([3]units!$A$1,0,0,COUNTA([3]units!$A:$A),MATCH(E$1,[3]units!$1:$1,0)-COLUMN(INDIRECT("character_id"))+1),MATCH(E$1,[3]units!$1:$1,0)-COLUMN(INDIRECT("character_id"))+1,FALSE)</f>
        <v>#VALUE!</v>
      </c>
      <c r="F16" s="45">
        <v>116</v>
      </c>
      <c r="G16" s="21" t="e">
        <f ca="1">VLOOKUP($F16,OFFSET([3]units!$A$1,0,0,COUNTA([3]units!$A:$A),MATCH(G$1,[3]units!$1:$1,0)-COLUMN(INDIRECT("character_id"))+1),MATCH(G$1,[3]units!$1:$1,0)-COLUMN(INDIRECT("character_id"))+1,FALSE)</f>
        <v>#VALUE!</v>
      </c>
      <c r="H16" s="18">
        <v>1</v>
      </c>
      <c r="I16" s="121">
        <v>1</v>
      </c>
    </row>
    <row r="17" spans="1:9" ht="21" customHeight="1" x14ac:dyDescent="0.15">
      <c r="A17" s="67" t="str">
        <f t="shared" si="0"/>
        <v>594_115</v>
      </c>
      <c r="B17" s="45">
        <v>594</v>
      </c>
      <c r="C17" s="21" t="e">
        <f ca="1">VLOOKUP($B17,OFFSET([3]units!$A$1,0,0,COUNTA([3]units!$A:$A),MATCH(C$1,[3]units!$1:$1,0)-COLUMN(INDIRECT("character_id"))+1),MATCH(C$1,[3]units!$1:$1,0)-COLUMN(INDIRECT("character_id"))+1,FALSE)</f>
        <v>#VALUE!</v>
      </c>
      <c r="D17" s="21" t="e">
        <f ca="1">VLOOKUP($B17,OFFSET([3]units!$A$1,0,0,COUNTA([3]units!$A:$A),MATCH(D$1,[3]units!$1:$1,0)-COLUMN(INDIRECT("character_id"))+1),MATCH(D$1,[3]units!$1:$1,0)-COLUMN(INDIRECT("character_id"))+1,FALSE)</f>
        <v>#VALUE!</v>
      </c>
      <c r="E17" s="21" t="e">
        <f ca="1">VLOOKUP($B17,OFFSET([3]units!$A$1,0,0,COUNTA([3]units!$A:$A),MATCH(E$1,[3]units!$1:$1,0)-COLUMN(INDIRECT("character_id"))+1),MATCH(E$1,[3]units!$1:$1,0)-COLUMN(INDIRECT("character_id"))+1,FALSE)</f>
        <v>#VALUE!</v>
      </c>
      <c r="F17" s="45">
        <v>115</v>
      </c>
      <c r="G17" s="21" t="e">
        <f ca="1">VLOOKUP($F17,OFFSET([3]units!$A$1,0,0,COUNTA([3]units!$A:$A),MATCH(G$1,[3]units!$1:$1,0)-COLUMN(INDIRECT("character_id"))+1),MATCH(G$1,[3]units!$1:$1,0)-COLUMN(INDIRECT("character_id"))+1,FALSE)</f>
        <v>#VALUE!</v>
      </c>
      <c r="H17" s="18">
        <v>2</v>
      </c>
      <c r="I17" s="121">
        <v>1</v>
      </c>
    </row>
    <row r="18" spans="1:9" ht="21" customHeight="1" x14ac:dyDescent="0.15">
      <c r="A18" s="67" t="str">
        <f t="shared" si="0"/>
        <v>594_458</v>
      </c>
      <c r="B18" s="45">
        <v>594</v>
      </c>
      <c r="C18" s="21" t="e">
        <f ca="1">VLOOKUP($B18,OFFSET([3]units!$A$1,0,0,COUNTA([3]units!$A:$A),MATCH(C$1,[3]units!$1:$1,0)-COLUMN(INDIRECT("character_id"))+1),MATCH(C$1,[3]units!$1:$1,0)-COLUMN(INDIRECT("character_id"))+1,FALSE)</f>
        <v>#VALUE!</v>
      </c>
      <c r="D18" s="21" t="e">
        <f ca="1">VLOOKUP($B18,OFFSET([3]units!$A$1,0,0,COUNTA([3]units!$A:$A),MATCH(D$1,[3]units!$1:$1,0)-COLUMN(INDIRECT("character_id"))+1),MATCH(D$1,[3]units!$1:$1,0)-COLUMN(INDIRECT("character_id"))+1,FALSE)</f>
        <v>#VALUE!</v>
      </c>
      <c r="E18" s="21" t="e">
        <f ca="1">VLOOKUP($B18,OFFSET([3]units!$A$1,0,0,COUNTA([3]units!$A:$A),MATCH(E$1,[3]units!$1:$1,0)-COLUMN(INDIRECT("character_id"))+1),MATCH(E$1,[3]units!$1:$1,0)-COLUMN(INDIRECT("character_id"))+1,FALSE)</f>
        <v>#VALUE!</v>
      </c>
      <c r="F18" s="45">
        <v>458</v>
      </c>
      <c r="G18" s="21" t="e">
        <f ca="1">VLOOKUP($F18,OFFSET([3]units!$A$1,0,0,COUNTA([3]units!$A:$A),MATCH(G$1,[3]units!$1:$1,0)-COLUMN(INDIRECT("character_id"))+1),MATCH(G$1,[3]units!$1:$1,0)-COLUMN(INDIRECT("character_id"))+1,FALSE)</f>
        <v>#VALUE!</v>
      </c>
      <c r="H18" s="18">
        <v>1</v>
      </c>
      <c r="I18" s="121">
        <v>1</v>
      </c>
    </row>
    <row r="19" spans="1:9" ht="21" customHeight="1" x14ac:dyDescent="0.15">
      <c r="A19" s="67" t="str">
        <f t="shared" si="0"/>
        <v>594_274</v>
      </c>
      <c r="B19" s="45">
        <v>594</v>
      </c>
      <c r="C19" s="21" t="e">
        <f ca="1">VLOOKUP($B19,OFFSET([3]units!$A$1,0,0,COUNTA([3]units!$A:$A),MATCH(C$1,[3]units!$1:$1,0)-COLUMN(INDIRECT("character_id"))+1),MATCH(C$1,[3]units!$1:$1,0)-COLUMN(INDIRECT("character_id"))+1,FALSE)</f>
        <v>#VALUE!</v>
      </c>
      <c r="D19" s="21" t="e">
        <f ca="1">VLOOKUP($B19,OFFSET([3]units!$A$1,0,0,COUNTA([3]units!$A:$A),MATCH(D$1,[3]units!$1:$1,0)-COLUMN(INDIRECT("character_id"))+1),MATCH(D$1,[3]units!$1:$1,0)-COLUMN(INDIRECT("character_id"))+1,FALSE)</f>
        <v>#VALUE!</v>
      </c>
      <c r="E19" s="21" t="e">
        <f ca="1">VLOOKUP($B19,OFFSET([3]units!$A$1,0,0,COUNTA([3]units!$A:$A),MATCH(E$1,[3]units!$1:$1,0)-COLUMN(INDIRECT("character_id"))+1),MATCH(E$1,[3]units!$1:$1,0)-COLUMN(INDIRECT("character_id"))+1,FALSE)</f>
        <v>#VALUE!</v>
      </c>
      <c r="F19" s="45">
        <v>274</v>
      </c>
      <c r="G19" s="21" t="e">
        <f ca="1">VLOOKUP($F19,OFFSET([3]units!$A$1,0,0,COUNTA([3]units!$A:$A),MATCH(G$1,[3]units!$1:$1,0)-COLUMN(INDIRECT("character_id"))+1),MATCH(G$1,[3]units!$1:$1,0)-COLUMN(INDIRECT("character_id"))+1,FALSE)</f>
        <v>#VALUE!</v>
      </c>
      <c r="H19" s="18">
        <v>1</v>
      </c>
      <c r="I19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D8" sqref="D8"/>
    </sheetView>
  </sheetViews>
  <sheetFormatPr baseColWidth="12" defaultRowHeight="15" x14ac:dyDescent="0.15"/>
  <sheetData>
    <row r="1" spans="1:2" x14ac:dyDescent="0.15">
      <c r="A1" t="s">
        <v>345</v>
      </c>
      <c r="B1" t="s">
        <v>346</v>
      </c>
    </row>
    <row r="2" spans="1:2" x14ac:dyDescent="0.15">
      <c r="A2" t="s">
        <v>347</v>
      </c>
      <c r="B2">
        <v>1</v>
      </c>
    </row>
    <row r="3" spans="1:2" x14ac:dyDescent="0.15">
      <c r="A3" t="s">
        <v>348</v>
      </c>
      <c r="B3">
        <v>1</v>
      </c>
    </row>
    <row r="4" spans="1:2" x14ac:dyDescent="0.15">
      <c r="A4" t="s">
        <v>349</v>
      </c>
      <c r="B4">
        <v>1</v>
      </c>
    </row>
    <row r="5" spans="1:2" x14ac:dyDescent="0.15">
      <c r="A5" t="s">
        <v>350</v>
      </c>
      <c r="B5">
        <v>1</v>
      </c>
    </row>
    <row r="6" spans="1:2" x14ac:dyDescent="0.15">
      <c r="A6" t="s">
        <v>351</v>
      </c>
      <c r="B6">
        <v>1</v>
      </c>
    </row>
    <row r="7" spans="1:2" x14ac:dyDescent="0.15">
      <c r="A7" t="s">
        <v>352</v>
      </c>
      <c r="B7">
        <v>1</v>
      </c>
    </row>
    <row r="8" spans="1:2" x14ac:dyDescent="0.15">
      <c r="A8" t="s">
        <v>353</v>
      </c>
      <c r="B8">
        <v>1</v>
      </c>
    </row>
    <row r="9" spans="1:2" x14ac:dyDescent="0.15">
      <c r="A9" t="s">
        <v>354</v>
      </c>
      <c r="B9">
        <v>1</v>
      </c>
    </row>
    <row r="10" spans="1:2" x14ac:dyDescent="0.15">
      <c r="A10" t="s">
        <v>355</v>
      </c>
      <c r="B10">
        <v>1</v>
      </c>
    </row>
    <row r="11" spans="1:2" x14ac:dyDescent="0.15">
      <c r="A11" t="s">
        <v>356</v>
      </c>
      <c r="B11">
        <v>1</v>
      </c>
    </row>
    <row r="12" spans="1:2" x14ac:dyDescent="0.15">
      <c r="A12" t="s">
        <v>357</v>
      </c>
      <c r="B12">
        <v>1</v>
      </c>
    </row>
    <row r="13" spans="1:2" x14ac:dyDescent="0.15">
      <c r="A13" t="s">
        <v>358</v>
      </c>
      <c r="B13">
        <v>0</v>
      </c>
    </row>
    <row r="14" spans="1:2" x14ac:dyDescent="0.15">
      <c r="A14" t="s">
        <v>359</v>
      </c>
      <c r="B14">
        <v>500</v>
      </c>
    </row>
    <row r="15" spans="1:2" x14ac:dyDescent="0.15">
      <c r="A15" t="s">
        <v>360</v>
      </c>
      <c r="B15">
        <v>600</v>
      </c>
    </row>
    <row r="16" spans="1:2" x14ac:dyDescent="0.15">
      <c r="A16" t="s">
        <v>361</v>
      </c>
      <c r="B16">
        <v>700</v>
      </c>
    </row>
    <row r="17" spans="1:2" x14ac:dyDescent="0.15">
      <c r="A17" t="s">
        <v>362</v>
      </c>
      <c r="B17">
        <v>5500</v>
      </c>
    </row>
    <row r="18" spans="1:2" x14ac:dyDescent="0.15">
      <c r="A18" t="s">
        <v>363</v>
      </c>
      <c r="B18">
        <v>6000</v>
      </c>
    </row>
    <row r="19" spans="1:2" x14ac:dyDescent="0.15">
      <c r="A19" t="s">
        <v>364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33</v>
      </c>
      <c r="B2" s="39" t="s">
        <v>11</v>
      </c>
      <c r="C2" s="39" t="s">
        <v>11</v>
      </c>
      <c r="D2" s="40" t="s">
        <v>34</v>
      </c>
      <c r="E2" s="40" t="s">
        <v>34</v>
      </c>
      <c r="F2" s="40" t="s">
        <v>34</v>
      </c>
      <c r="G2" s="40" t="s">
        <v>34</v>
      </c>
      <c r="H2" s="40" t="s">
        <v>34</v>
      </c>
      <c r="I2" s="40" t="s">
        <v>34</v>
      </c>
    </row>
    <row r="3" spans="1:9" ht="21" customHeight="1" x14ac:dyDescent="0.15">
      <c r="A3" s="81" t="s">
        <v>32</v>
      </c>
      <c r="B3" s="39" t="s">
        <v>11</v>
      </c>
      <c r="C3" s="39" t="s">
        <v>11</v>
      </c>
      <c r="D3" s="40" t="s">
        <v>34</v>
      </c>
      <c r="E3" s="40">
        <v>30</v>
      </c>
      <c r="F3" s="40">
        <v>40</v>
      </c>
      <c r="G3" s="40" t="s">
        <v>34</v>
      </c>
      <c r="H3" s="40" t="s">
        <v>34</v>
      </c>
      <c r="I3" s="40" t="s">
        <v>34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112" t="s">
        <v>146</v>
      </c>
      <c r="E4" s="112">
        <v>25</v>
      </c>
      <c r="F4" s="112">
        <v>35</v>
      </c>
      <c r="G4" s="112" t="s">
        <v>34</v>
      </c>
      <c r="H4" s="112" t="s">
        <v>34</v>
      </c>
      <c r="I4" s="112" t="s">
        <v>34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29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28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111" t="s">
        <v>45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63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44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 x14ac:dyDescent="0.15">
      <c r="A14" s="84" t="s">
        <v>42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 x14ac:dyDescent="0.15">
      <c r="A15" s="38" t="s">
        <v>30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4" sqref="I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6" t="s">
        <v>33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9" ht="21" customHeight="1" x14ac:dyDescent="0.15">
      <c r="A3" s="76" t="s">
        <v>32</v>
      </c>
      <c r="B3" s="41" t="s">
        <v>137</v>
      </c>
      <c r="C3" s="41" t="s">
        <v>137</v>
      </c>
      <c r="D3" s="41" t="s">
        <v>137</v>
      </c>
      <c r="E3" s="41">
        <v>60</v>
      </c>
      <c r="F3" s="41">
        <v>80</v>
      </c>
      <c r="G3" s="41" t="s">
        <v>137</v>
      </c>
      <c r="H3" s="41" t="s">
        <v>137</v>
      </c>
      <c r="I3" s="41" t="s">
        <v>137</v>
      </c>
    </row>
    <row r="4" spans="1:9" s="47" customFormat="1" ht="21" customHeight="1" x14ac:dyDescent="0.15">
      <c r="A4" s="77" t="s">
        <v>31</v>
      </c>
      <c r="B4" s="68" t="s">
        <v>137</v>
      </c>
      <c r="C4" s="68" t="s">
        <v>137</v>
      </c>
      <c r="D4" s="68" t="s">
        <v>137</v>
      </c>
      <c r="E4" s="68">
        <v>60</v>
      </c>
      <c r="F4" s="68">
        <v>80</v>
      </c>
      <c r="G4" s="68" t="s">
        <v>137</v>
      </c>
      <c r="H4" s="68" t="s">
        <v>137</v>
      </c>
      <c r="I4" s="68" t="s">
        <v>137</v>
      </c>
    </row>
    <row r="5" spans="1:9" ht="21" customHeight="1" x14ac:dyDescent="0.15">
      <c r="A5" s="77" t="s">
        <v>9</v>
      </c>
      <c r="B5" s="73" t="s">
        <v>136</v>
      </c>
      <c r="C5" s="73" t="s">
        <v>136</v>
      </c>
      <c r="D5" s="37">
        <v>40</v>
      </c>
      <c r="E5" s="37">
        <v>60</v>
      </c>
      <c r="F5" s="37">
        <v>80</v>
      </c>
      <c r="G5" s="73" t="s">
        <v>136</v>
      </c>
      <c r="H5" s="73" t="s">
        <v>136</v>
      </c>
      <c r="I5" s="73" t="s">
        <v>136</v>
      </c>
    </row>
    <row r="6" spans="1:9" ht="21" customHeight="1" x14ac:dyDescent="0.15">
      <c r="A6" s="77" t="s">
        <v>29</v>
      </c>
      <c r="B6" s="73" t="s">
        <v>136</v>
      </c>
      <c r="C6" s="73" t="s">
        <v>136</v>
      </c>
      <c r="D6" s="37">
        <v>40</v>
      </c>
      <c r="E6" s="37">
        <v>60</v>
      </c>
      <c r="F6" s="37">
        <v>80</v>
      </c>
      <c r="G6" s="73" t="s">
        <v>136</v>
      </c>
      <c r="H6" s="73" t="s">
        <v>136</v>
      </c>
      <c r="I6" s="73" t="s">
        <v>136</v>
      </c>
    </row>
    <row r="7" spans="1:9" ht="21" customHeight="1" x14ac:dyDescent="0.15">
      <c r="A7" s="77" t="s">
        <v>53</v>
      </c>
      <c r="B7" s="73" t="s">
        <v>136</v>
      </c>
      <c r="C7" s="73" t="s">
        <v>136</v>
      </c>
      <c r="D7" s="37">
        <v>40</v>
      </c>
      <c r="E7" s="37">
        <v>60</v>
      </c>
      <c r="F7" s="73" t="s">
        <v>136</v>
      </c>
      <c r="G7" s="73" t="s">
        <v>136</v>
      </c>
      <c r="H7" s="73" t="s">
        <v>136</v>
      </c>
      <c r="I7" s="73" t="s">
        <v>136</v>
      </c>
    </row>
    <row r="8" spans="1:9" ht="21" customHeight="1" x14ac:dyDescent="0.15">
      <c r="A8" s="78" t="s">
        <v>64</v>
      </c>
      <c r="B8" s="73" t="s">
        <v>136</v>
      </c>
      <c r="C8" s="73" t="s">
        <v>136</v>
      </c>
      <c r="D8" s="37">
        <v>40</v>
      </c>
      <c r="E8" s="37">
        <v>60</v>
      </c>
      <c r="F8" s="37">
        <v>80</v>
      </c>
      <c r="G8" s="73" t="s">
        <v>136</v>
      </c>
      <c r="H8" s="73" t="s">
        <v>136</v>
      </c>
      <c r="I8" s="73" t="s">
        <v>136</v>
      </c>
    </row>
    <row r="9" spans="1:9" ht="21" customHeight="1" x14ac:dyDescent="0.15">
      <c r="A9" s="57" t="s">
        <v>49</v>
      </c>
      <c r="B9" s="73" t="s">
        <v>136</v>
      </c>
      <c r="C9" s="73" t="s">
        <v>136</v>
      </c>
      <c r="D9" s="37">
        <v>40</v>
      </c>
      <c r="E9" s="37">
        <v>60</v>
      </c>
      <c r="F9" s="37">
        <v>80</v>
      </c>
      <c r="G9" s="73" t="s">
        <v>136</v>
      </c>
      <c r="H9" s="73" t="s">
        <v>136</v>
      </c>
      <c r="I9" s="73" t="s">
        <v>136</v>
      </c>
    </row>
    <row r="10" spans="1:9" ht="21" customHeight="1" x14ac:dyDescent="0.15">
      <c r="A10" s="57" t="s">
        <v>50</v>
      </c>
      <c r="B10" s="73" t="s">
        <v>136</v>
      </c>
      <c r="C10" s="37">
        <v>30</v>
      </c>
      <c r="D10" s="37">
        <v>40</v>
      </c>
      <c r="E10" s="37">
        <v>60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57" t="s">
        <v>51</v>
      </c>
      <c r="B11" s="73" t="s">
        <v>136</v>
      </c>
      <c r="C11" s="37">
        <v>30</v>
      </c>
      <c r="D11" s="37">
        <v>40</v>
      </c>
      <c r="E11" s="37">
        <v>60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58" t="s">
        <v>8</v>
      </c>
      <c r="B12" s="37">
        <v>15</v>
      </c>
      <c r="C12" s="37">
        <v>30</v>
      </c>
      <c r="D12" s="37">
        <v>40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53" t="s">
        <v>7</v>
      </c>
      <c r="B13" s="37">
        <v>15</v>
      </c>
      <c r="C13" s="37">
        <v>30</v>
      </c>
      <c r="D13" s="37">
        <v>40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5" t="s">
        <v>52</v>
      </c>
      <c r="B14" s="37">
        <v>10</v>
      </c>
      <c r="C14" s="37">
        <v>20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79" t="s">
        <v>54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 x14ac:dyDescent="0.15">
      <c r="A2" s="52" t="s">
        <v>17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11" ht="21" customHeight="1" x14ac:dyDescent="0.15">
      <c r="A3" s="52" t="s">
        <v>138</v>
      </c>
      <c r="B3" s="41" t="s">
        <v>137</v>
      </c>
      <c r="C3" s="41" t="s">
        <v>137</v>
      </c>
      <c r="D3" s="41" t="s">
        <v>137</v>
      </c>
      <c r="E3" s="54" t="s">
        <v>147</v>
      </c>
      <c r="F3" s="54" t="s">
        <v>148</v>
      </c>
      <c r="G3" s="41" t="s">
        <v>137</v>
      </c>
      <c r="H3" s="41" t="s">
        <v>137</v>
      </c>
      <c r="I3" s="41" t="s">
        <v>137</v>
      </c>
    </row>
    <row r="4" spans="1:11" s="47" customFormat="1" ht="21" customHeight="1" x14ac:dyDescent="0.15">
      <c r="A4" s="52" t="s">
        <v>139</v>
      </c>
      <c r="B4" s="68" t="s">
        <v>137</v>
      </c>
      <c r="C4" s="68" t="s">
        <v>137</v>
      </c>
      <c r="D4" s="68" t="s">
        <v>137</v>
      </c>
      <c r="E4" s="54" t="s">
        <v>85</v>
      </c>
      <c r="F4" s="54" t="s">
        <v>85</v>
      </c>
      <c r="G4" s="68" t="s">
        <v>137</v>
      </c>
      <c r="H4" s="68" t="s">
        <v>137</v>
      </c>
      <c r="I4" s="68" t="s">
        <v>137</v>
      </c>
    </row>
    <row r="5" spans="1:11" ht="21" customHeight="1" x14ac:dyDescent="0.15">
      <c r="A5" s="53" t="s">
        <v>9</v>
      </c>
      <c r="B5" s="73" t="s">
        <v>136</v>
      </c>
      <c r="C5" s="73" t="s">
        <v>136</v>
      </c>
      <c r="D5" s="54" t="s">
        <v>85</v>
      </c>
      <c r="E5" s="54" t="s">
        <v>85</v>
      </c>
      <c r="F5" s="54" t="s">
        <v>85</v>
      </c>
      <c r="G5" s="73" t="s">
        <v>136</v>
      </c>
      <c r="H5" s="73" t="s">
        <v>136</v>
      </c>
      <c r="I5" s="73" t="s">
        <v>136</v>
      </c>
      <c r="K5" s="28" t="s">
        <v>12</v>
      </c>
    </row>
    <row r="6" spans="1:11" ht="21" customHeight="1" x14ac:dyDescent="0.15">
      <c r="A6" s="55" t="s">
        <v>47</v>
      </c>
      <c r="B6" s="73" t="s">
        <v>136</v>
      </c>
      <c r="C6" s="73" t="s">
        <v>136</v>
      </c>
      <c r="D6" s="55" t="s">
        <v>85</v>
      </c>
      <c r="E6" s="55" t="s">
        <v>85</v>
      </c>
      <c r="F6" s="55" t="s">
        <v>85</v>
      </c>
      <c r="G6" s="73" t="s">
        <v>136</v>
      </c>
      <c r="H6" s="73" t="s">
        <v>136</v>
      </c>
      <c r="I6" s="73" t="s">
        <v>136</v>
      </c>
      <c r="K6" s="30" t="s">
        <v>13</v>
      </c>
    </row>
    <row r="7" spans="1:11" ht="21" customHeight="1" x14ac:dyDescent="0.15">
      <c r="A7" s="56" t="s">
        <v>48</v>
      </c>
      <c r="B7" s="73" t="s">
        <v>136</v>
      </c>
      <c r="C7" s="73" t="s">
        <v>136</v>
      </c>
      <c r="D7" s="56" t="s">
        <v>86</v>
      </c>
      <c r="E7" s="56" t="s">
        <v>86</v>
      </c>
      <c r="F7" s="73" t="s">
        <v>136</v>
      </c>
      <c r="G7" s="73" t="s">
        <v>136</v>
      </c>
      <c r="H7" s="73" t="s">
        <v>136</v>
      </c>
      <c r="I7" s="73" t="s">
        <v>136</v>
      </c>
      <c r="K7" s="74" t="s">
        <v>55</v>
      </c>
    </row>
    <row r="8" spans="1:11" ht="21" customHeight="1" x14ac:dyDescent="0.15">
      <c r="A8" s="56" t="s">
        <v>65</v>
      </c>
      <c r="B8" s="73" t="s">
        <v>136</v>
      </c>
      <c r="C8" s="73" t="s">
        <v>136</v>
      </c>
      <c r="D8" s="57" t="s">
        <v>85</v>
      </c>
      <c r="E8" s="57" t="s">
        <v>85</v>
      </c>
      <c r="F8" s="57" t="s">
        <v>85</v>
      </c>
      <c r="G8" s="73" t="s">
        <v>136</v>
      </c>
      <c r="H8" s="73" t="s">
        <v>136</v>
      </c>
      <c r="I8" s="73" t="s">
        <v>136</v>
      </c>
      <c r="K8" s="75"/>
    </row>
    <row r="9" spans="1:11" ht="21" customHeight="1" x14ac:dyDescent="0.15">
      <c r="A9" s="57" t="s">
        <v>49</v>
      </c>
      <c r="B9" s="73" t="s">
        <v>136</v>
      </c>
      <c r="C9" s="73" t="s">
        <v>136</v>
      </c>
      <c r="D9" s="57" t="s">
        <v>85</v>
      </c>
      <c r="E9" s="57" t="s">
        <v>85</v>
      </c>
      <c r="F9" s="57" t="s">
        <v>85</v>
      </c>
      <c r="G9" s="73" t="s">
        <v>136</v>
      </c>
      <c r="H9" s="73" t="s">
        <v>136</v>
      </c>
      <c r="I9" s="73" t="s">
        <v>136</v>
      </c>
    </row>
    <row r="10" spans="1:11" ht="21" customHeight="1" x14ac:dyDescent="0.15">
      <c r="A10" s="57" t="s">
        <v>50</v>
      </c>
      <c r="B10" s="73" t="s">
        <v>136</v>
      </c>
      <c r="C10" s="73" t="s">
        <v>136</v>
      </c>
      <c r="D10" s="57" t="s">
        <v>86</v>
      </c>
      <c r="E10" s="57" t="s">
        <v>86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11" ht="21" customHeight="1" x14ac:dyDescent="0.15">
      <c r="A11" s="57" t="s">
        <v>51</v>
      </c>
      <c r="B11" s="73" t="s">
        <v>136</v>
      </c>
      <c r="C11" s="57" t="s">
        <v>86</v>
      </c>
      <c r="D11" s="57" t="s">
        <v>86</v>
      </c>
      <c r="E11" s="57" t="s">
        <v>86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11" ht="21" customHeight="1" x14ac:dyDescent="0.15">
      <c r="A12" s="58" t="s">
        <v>8</v>
      </c>
      <c r="B12" s="58" t="s">
        <v>87</v>
      </c>
      <c r="C12" s="58" t="s">
        <v>87</v>
      </c>
      <c r="D12" s="58" t="s">
        <v>87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11" ht="21" customHeight="1" x14ac:dyDescent="0.15">
      <c r="A13" s="53" t="s">
        <v>7</v>
      </c>
      <c r="B13" s="53" t="s">
        <v>88</v>
      </c>
      <c r="C13" s="53" t="s">
        <v>88</v>
      </c>
      <c r="D13" s="73" t="s">
        <v>136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11" ht="21" customHeight="1" x14ac:dyDescent="0.15">
      <c r="A14" s="55" t="s">
        <v>52</v>
      </c>
      <c r="B14" s="55" t="s">
        <v>89</v>
      </c>
      <c r="C14" s="55" t="s">
        <v>89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38" t="s">
        <v>30</v>
      </c>
      <c r="B15" s="85" t="s">
        <v>73</v>
      </c>
      <c r="C15" s="85" t="s">
        <v>73</v>
      </c>
      <c r="D15" s="85" t="s">
        <v>73</v>
      </c>
      <c r="E15" s="85" t="s">
        <v>73</v>
      </c>
      <c r="F15" s="85" t="s">
        <v>73</v>
      </c>
      <c r="G15" s="85" t="s">
        <v>73</v>
      </c>
      <c r="H15" s="85" t="s">
        <v>73</v>
      </c>
      <c r="I15" s="85" t="s">
        <v>73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90</v>
      </c>
      <c r="B21" s="22" t="s">
        <v>91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D18" sqref="D1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17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 x14ac:dyDescent="0.15">
      <c r="A3" s="81" t="s">
        <v>56</v>
      </c>
      <c r="B3" s="48" t="s">
        <v>11</v>
      </c>
      <c r="C3" s="48" t="s">
        <v>11</v>
      </c>
      <c r="D3" s="48" t="s">
        <v>11</v>
      </c>
      <c r="E3" s="48">
        <v>8000</v>
      </c>
      <c r="F3" s="29">
        <v>10000</v>
      </c>
      <c r="G3" s="48" t="s">
        <v>11</v>
      </c>
      <c r="H3" s="48" t="s">
        <v>11</v>
      </c>
      <c r="I3" s="48" t="s">
        <v>11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29" t="s">
        <v>11</v>
      </c>
      <c r="H4" s="29" t="s">
        <v>11</v>
      </c>
      <c r="I4" s="29" t="s">
        <v>11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57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132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82" t="s">
        <v>145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133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131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42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30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unit_serifs_i18n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2017-06-06T08:23:00Z</dcterms:modified>
</cp:coreProperties>
</file>