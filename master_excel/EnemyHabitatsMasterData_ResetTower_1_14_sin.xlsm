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0" yWindow="460" windowWidth="28800" windowHeight="1634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I3" i="21"/>
  <c r="J3" i="21"/>
  <c r="I4" i="21"/>
  <c r="J4" i="21"/>
  <c r="I5" i="21"/>
  <c r="J5" i="21"/>
  <c r="I6" i="21"/>
  <c r="J6" i="21"/>
  <c r="I7" i="21"/>
  <c r="J7" i="21"/>
  <c r="I8" i="21"/>
  <c r="J8" i="21"/>
  <c r="I9" i="21"/>
  <c r="J9" i="21"/>
  <c r="I10" i="21"/>
  <c r="J10" i="21"/>
  <c r="I11" i="21"/>
  <c r="J11" i="21"/>
  <c r="I12" i="21"/>
  <c r="J12" i="21"/>
  <c r="I13" i="21"/>
  <c r="J13" i="21"/>
  <c r="I14" i="21"/>
  <c r="J14" i="21"/>
  <c r="I15" i="21"/>
  <c r="J15" i="21"/>
  <c r="I16" i="21"/>
  <c r="J16" i="21"/>
  <c r="I17" i="21"/>
  <c r="J17" i="21"/>
  <c r="I2" i="21"/>
  <c r="J2" i="21"/>
  <c r="G17" i="21"/>
  <c r="F17" i="21"/>
  <c r="D17" i="21"/>
  <c r="C17" i="21"/>
  <c r="G16" i="21"/>
  <c r="F16" i="21"/>
  <c r="D16" i="21"/>
  <c r="C16" i="21"/>
  <c r="G15" i="21"/>
  <c r="F15" i="21"/>
  <c r="D15" i="21"/>
  <c r="C15" i="21"/>
  <c r="G8" i="21"/>
  <c r="F8" i="21"/>
  <c r="D8" i="21"/>
  <c r="C8" i="21"/>
  <c r="G9" i="21"/>
  <c r="F9" i="21"/>
  <c r="D9" i="21"/>
  <c r="C9" i="21"/>
  <c r="G10" i="21"/>
  <c r="F10" i="21"/>
  <c r="D10" i="21"/>
  <c r="C10" i="21"/>
  <c r="G11" i="21"/>
  <c r="F11" i="21"/>
  <c r="D11" i="21"/>
  <c r="C11" i="21"/>
  <c r="G12" i="21"/>
  <c r="F12" i="21"/>
  <c r="D12" i="21"/>
  <c r="C12" i="21"/>
  <c r="G13" i="21"/>
  <c r="F13" i="21"/>
  <c r="D13" i="21"/>
  <c r="C13" i="21"/>
  <c r="G6" i="21"/>
  <c r="F6" i="21"/>
  <c r="D6" i="21"/>
  <c r="C6" i="21"/>
  <c r="G5" i="21"/>
  <c r="F5" i="21"/>
  <c r="D5" i="21"/>
  <c r="C5" i="21"/>
  <c r="G3" i="21"/>
  <c r="F3" i="21"/>
  <c r="D3" i="21"/>
  <c r="C3" i="21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1" i="11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0" i="11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E16" i="9"/>
  <c r="Y3" i="7"/>
  <c r="E25" i="9"/>
  <c r="Y4" i="7"/>
  <c r="E37" i="9"/>
  <c r="E36" i="9"/>
  <c r="Y5" i="7"/>
  <c r="E7" i="9"/>
  <c r="Y2" i="7"/>
  <c r="E2" i="9"/>
  <c r="X2" i="1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D37" i="9"/>
  <c r="A37" i="9"/>
  <c r="J36" i="11"/>
  <c r="O36" i="9"/>
  <c r="N36" i="9"/>
  <c r="M36" i="9"/>
  <c r="L36" i="9"/>
  <c r="K36" i="9"/>
  <c r="J36" i="9"/>
  <c r="I36" i="9"/>
  <c r="H36" i="9"/>
  <c r="G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J4" i="11"/>
  <c r="J5" i="11"/>
  <c r="J6" i="11"/>
  <c r="J7" i="11"/>
  <c r="J8" i="11"/>
  <c r="J9" i="11"/>
  <c r="J10" i="11"/>
  <c r="J11" i="11"/>
  <c r="A3" i="9"/>
  <c r="D3" i="9"/>
  <c r="E3" i="9"/>
  <c r="J3" i="11"/>
  <c r="O3" i="9"/>
  <c r="A4" i="9"/>
  <c r="D4" i="9"/>
  <c r="E4" i="9"/>
  <c r="O4" i="9"/>
  <c r="A5" i="9"/>
  <c r="D5" i="9"/>
  <c r="E5" i="9"/>
  <c r="O5" i="9"/>
  <c r="A6" i="9"/>
  <c r="D6" i="9"/>
  <c r="E6" i="9"/>
  <c r="O6" i="9"/>
  <c r="A7" i="9"/>
  <c r="D7" i="9"/>
  <c r="O7" i="9"/>
  <c r="A8" i="9"/>
  <c r="D8" i="9"/>
  <c r="E8" i="9"/>
  <c r="O8" i="9"/>
  <c r="A9" i="9"/>
  <c r="D9" i="9"/>
  <c r="E9" i="9"/>
  <c r="O9" i="9"/>
  <c r="A10" i="9"/>
  <c r="D10" i="9"/>
  <c r="E10" i="9"/>
  <c r="O10" i="9"/>
  <c r="A11" i="9"/>
  <c r="D11" i="9"/>
  <c r="E11" i="9"/>
  <c r="O11" i="9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M40" i="10"/>
  <c r="N40" i="10"/>
  <c r="Q40" i="10"/>
  <c r="P40" i="10"/>
  <c r="R40" i="10"/>
  <c r="O40" i="10"/>
  <c r="S40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14" i="21"/>
  <c r="F14" i="21"/>
  <c r="D14" i="21"/>
  <c r="C14" i="21"/>
  <c r="G7" i="21"/>
  <c r="F7" i="21"/>
  <c r="D7" i="21"/>
  <c r="C7" i="21"/>
  <c r="G4" i="21"/>
  <c r="F4" i="21"/>
  <c r="D4" i="21"/>
  <c r="C4" i="21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H5" i="2"/>
  <c r="E5" i="2"/>
  <c r="D5" i="2"/>
  <c r="H2" i="1"/>
  <c r="H3" i="1"/>
  <c r="H4" i="1"/>
  <c r="H5" i="1"/>
  <c r="B5" i="2"/>
  <c r="H4" i="2"/>
  <c r="E4" i="2"/>
  <c r="D4" i="2"/>
  <c r="B4" i="2"/>
  <c r="H3" i="2"/>
  <c r="E3" i="2"/>
  <c r="D3" i="2"/>
  <c r="B3" i="2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3" i="22"/>
  <c r="G3" i="22"/>
  <c r="F3" i="22"/>
  <c r="D3" i="22"/>
  <c r="C3" i="22"/>
  <c r="A3" i="22"/>
  <c r="W2" i="7"/>
  <c r="U2" i="7"/>
  <c r="V2" i="1"/>
  <c r="T2" i="1"/>
  <c r="E13" i="16"/>
  <c r="N2" i="22"/>
  <c r="G2" i="22"/>
  <c r="F2" i="22"/>
  <c r="D2" i="22"/>
  <c r="C2" i="22"/>
  <c r="A2" i="22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<sst xmlns="http://schemas.openxmlformats.org/spreadsheetml/2006/main" count="819" uniqueCount="395">
  <si>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</si>
  <si>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</si>
  <si>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</si>
  <si>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</si>
  <si>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</si>
  <si>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</si>
  <si>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</si>
  <si>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</si>
  <si>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</si>
  <si>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</si>
  <si>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</si>
  <si>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</si>
  <si>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</si>
  <si>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</si>
  <si>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</si>
  <si>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</si>
  <si>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</si>
  <si>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</si>
  <si>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</si>
  <si>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</si>
  <si>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</si>
  <si>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</si>
  <si>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</si>
  <si>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</si>
  <si>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</si>
  <si>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</si>
  <si>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</si>
  <si>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</si>
  <si>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</si>
  <si>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</si>
  <si>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</si>
  <si>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</si>
  <si>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</si>
  <si>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</si>
  <si>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</si>
  <si>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</si>
  <si>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</si>
  <si>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</si>
  <si>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</si>
  <si>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</si>
  <si>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</si>
  <si>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</si>
  <si>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</si>
  <si>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</si>
  <si>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</si>
  <si>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</si>
  <si>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</si>
  <si>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</si>
  <si>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</si>
  <si>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</si>
  <si>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</si>
  <si>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</si>
  <si>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</si>
  <si>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</si>
  <si>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</si>
  <si>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</si>
  <si>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</si>
  <si>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</si>
  <si>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</si>
  <si>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</si>
  <si>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</si>
  <si>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</si>
  <si>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</si>
  <si>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</si>
  <si>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</si>
  <si>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</si>
  <si>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</si>
  <si>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</si>
  <si>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</si>
  <si>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</si>
  <si>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</si>
  <si>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</si>
  <si>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</si>
  <si>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</si>
  <si>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</si>
  <si>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</si>
  <si>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</si>
  <si>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</si>
  <si>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</si>
  <si>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</si>
  <si>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</si>
  <si>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</si>
  <si>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</si>
  <si>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</si>
  <si>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</si>
  <si>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</si>
  <si>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</si>
  <si>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</si>
  <si>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</si>
  <si>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</si>
  <si>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</si>
  <si>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</si>
  <si>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</si>
  <si>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</si>
  <si>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</si>
  <si>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</si>
  <si>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</si>
  <si>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</si>
  <si>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</si>
  <si>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</si>
  <si>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</si>
  <si>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</si>
  <si>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</si>
  <si>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</si>
  <si>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</si>
  <si>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</si>
  <si>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</si>
  <si>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</si>
  <si>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</si>
  <si>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</si>
  <si>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</si>
  <si>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</si>
  <si>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</si>
  <si>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</si>
  <si>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</si>
  <si>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</si>
  <si>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</si>
  <si>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</si>
  <si>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</si>
  <si>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</si>
  <si>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</si>
  <si>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</si>
  <si>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</si>
  <si>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</si>
  <si>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</si>
  <si>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</si>
  <si>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</si>
  <si>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</si>
  <si>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</si>
  <si>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</si>
  <si>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</si>
  <si>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</si>
  <si>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</si>
  <si>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</si>
  <si>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</si>
  <si>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</si>
  <si>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</si>
  <si>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</si>
  <si>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</si>
  <si>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</si>
  <si>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</si>
  <si>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</si>
  <si>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</si>
  <si>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</si>
  <si>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</si>
  <si>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</si>
  <si>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</si>
  <si>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</si>
  <si>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</si>
  <si>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</si>
  <si>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</si>
  <si>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</si>
  <si>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</si>
  <si>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</si>
  <si>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</si>
  <si>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</si>
  <si>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</si>
  <si>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</si>
  <si>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</si>
  <si>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</si>
  <si>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</si>
  <si>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</si>
  <si>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</si>
  <si>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</si>
  <si>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</si>
  <si>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</si>
  <si>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</si>
  <si>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</si>
  <si>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</si>
  <si>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</si>
  <si>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</si>
  <si>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</si>
  <si>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</si>
  <si>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</si>
  <si>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</si>
  <si>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</si>
  <si>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</si>
  <si>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</si>
  <si>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</si>
  <si>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</si>
  <si>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</si>
  <si>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</si>
  <si>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</si>
  <si>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</si>
  <si>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</si>
  <si>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</si>
  <si>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</si>
  <si>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</si>
  <si>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</si>
  <si>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</si>
  <si>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</si>
  <si>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</si>
  <si>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</si>
  <si>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</si>
  <si>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</si>
  <si>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</si>
  <si>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</si>
  <si>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</si>
  <si>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</si>
  <si>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</si>
  <si>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</si>
  <si>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</si>
  <si>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</si>
  <si>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</si>
  <si>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</si>
  <si>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</si>
  <si>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</si>
  <si>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</si>
  <si>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</si>
  <si>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</si>
  <si>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</si>
  <si>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</si>
  <si>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</si>
  <si>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</si>
  <si>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</si>
  <si>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</si>
  <si>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</si>
  <si>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</si>
  <si>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</si>
  <si>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</si>
  <si>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</si>
  <si>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</si>
  <si>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</si>
  <si>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</si>
  <si>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</si>
  <si>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</si>
  <si>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</si>
  <si>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</si>
  <si>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</si>
  <si>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</si>
  <si>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</si>
  <si>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</si>
  <si>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</si>
  <si>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</si>
  <si>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</si>
  <si>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</si>
  <si>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</si>
  <si>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</si>
  <si>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</si>
  <si>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</si>
  <si>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</si>
  <si>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</si>
  <si>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</si>
  <si>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</si>
  <si>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</si>
  <si>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</si>
  <si>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</si>
  <si>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</si>
  <si>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</si>
  <si>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</si>
  <si>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bit</t>
    <phoneticPr fontId="5"/>
  </si>
  <si>
    <t>null</t>
    <phoneticPr fontId="5"/>
  </si>
  <si>
    <t>singleonly</t>
    <phoneticPr fontId="5"/>
  </si>
  <si>
    <t>unit</t>
  </si>
  <si>
    <t>link</t>
  </si>
  <si>
    <t>ウィルス状態のユニットに大ダメージの全体攻撃</t>
    <rPh sb="4" eb="6">
      <t>ジョウタイ</t>
    </rPh>
    <rPh sb="12" eb="13">
      <t>ダイダメージ</t>
    </rPh>
    <rPh sb="18" eb="20">
      <t>ゼンタイ</t>
    </rPh>
    <rPh sb="20" eb="22">
      <t>コウゲキ</t>
    </rPh>
    <phoneticPr fontId="5"/>
  </si>
  <si>
    <t>ja</t>
    <phoneticPr fontId="5"/>
  </si>
  <si>
    <t>全て私のもの…</t>
    <phoneticPr fontId="5"/>
  </si>
  <si>
    <t>ハートパネルを吸収して回復</t>
    <phoneticPr fontId="5"/>
  </si>
  <si>
    <t>残念ですが手遅れですよ</t>
    <phoneticPr fontId="5"/>
  </si>
  <si>
    <t>[effect:critical, val:2.5]</t>
    <phoneticPr fontId="5"/>
  </si>
  <si>
    <t>クリティカル！</t>
    <phoneticPr fontId="5"/>
  </si>
  <si>
    <t>old</t>
    <phoneticPr fontId="5"/>
  </si>
  <si>
    <t>ハートパネルを吸収して攻撃</t>
    <phoneticPr fontId="5"/>
  </si>
  <si>
    <t>2回連続攻撃</t>
  </si>
  <si>
    <t>2ターンユニット全体の回復力70%DOWN+全体攻撃</t>
    <phoneticPr fontId="5"/>
  </si>
  <si>
    <t>[effect:critical, val:1.3, animation:enemy_critical]</t>
    <phoneticPr fontId="5"/>
  </si>
  <si>
    <t>[effect:force_change_block, new_block:jammer, target:block_all, count:5, val:0, animation:change_block],[effect:critical, val:1.3, animation:enemy_critical]</t>
    <phoneticPr fontId="5"/>
  </si>
  <si>
    <t>[effect:critical, val:1.5],[effect:freq_turn, target:myself, turn:-1, val:1, animation:enemy_freq_turn]</t>
    <phoneticPr fontId="5"/>
  </si>
  <si>
    <t>[effect:force_change_block, new_block:jammer, target:block_all, count:5, val:0, animation:change_block],[effect:spread, val:0.25]</t>
    <phoneticPr fontId="5"/>
  </si>
  <si>
    <t>[effect:charge, status:attack, val:2.5]</t>
    <phoneticPr fontId="5"/>
  </si>
  <si>
    <t>次のターン強力な攻撃</t>
    <phoneticPr fontId="5"/>
  </si>
  <si>
    <t>赤パネルを吸収して攻撃</t>
    <phoneticPr fontId="5"/>
  </si>
  <si>
    <t>青パネルを吸収して攻撃</t>
    <phoneticPr fontId="5"/>
  </si>
  <si>
    <t>[effect:rush, count:2, val:0.65]</t>
    <phoneticPr fontId="5"/>
  </si>
  <si>
    <t>2回連続攻撃</t>
    <phoneticPr fontId="5"/>
  </si>
  <si>
    <t>[effect:enhance_enemy, target:myself, turn:-1, status:attack, val:0.3, animation:enemy_enhance_attack],[effect:enhance_enemy, target:myself, turn:-1, status:defense, val:2160, calc:add, animation:enemy_enhance_defense]</t>
    <phoneticPr fontId="5"/>
  </si>
  <si>
    <t>赤&amp;黄パネルを吸収して攻撃</t>
    <phoneticPr fontId="5"/>
  </si>
  <si>
    <t>青&amp;黄パネルを吸収して攻撃</t>
    <phoneticPr fontId="5"/>
  </si>
  <si>
    <t>[effect:dis_heart, turn:2, animation:enemy_dis_heart]</t>
    <phoneticPr fontId="5"/>
  </si>
  <si>
    <t>2ターンハートパネル無効</t>
    <phoneticPr fontId="5"/>
  </si>
  <si>
    <t>[effect:damage_abnormal, target:unit_all, val:0.35, status:virus, turn:2, rate:1, val_abnormal:0.1, animation:enemy_virus]</t>
    <phoneticPr fontId="5"/>
  </si>
  <si>
    <t>[effect:force_change_block, new_block:time_bomb, target:block_all, ignore01:time_bomb, color:block_red, count:5, val:0.1, animation:change_block],[effect:force_change_block, new_block:time_bomb, target:block_all, ignore01:time_bomb, color:block_blue, count:5, val:0.1, animation:change_block],[effect:force_change_block,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t>
    <phoneticPr fontId="5"/>
  </si>
  <si>
    <t>[effect:dis_heart, turn:2, animation:enemy_dis_heart],[effect:critical, val:0.7]</t>
    <phoneticPr fontId="5"/>
  </si>
  <si>
    <t xml:space="preserve">[effect:fix_speed, target:myself, turn:2],[effect:tolerance, target:myself, turn:-1, tolerance_effect:all, count:-1, animation:enemy_tolerance],[effect:dis_heart, turn:5, animation:enemy_dis_heart]    </t>
    <phoneticPr fontId="5"/>
  </si>
  <si>
    <t>[effect:rush, count:2, val:0.75]</t>
    <phoneticPr fontId="5"/>
  </si>
  <si>
    <t>2ターン自身の攻撃力UP</t>
    <phoneticPr fontId="5"/>
  </si>
  <si>
    <t>[effect:enhance_enemy, target:myself, turn:2, status:attack, val:1, calc:mul, animation:enemy_enhance_attack]</t>
    <phoneticPr fontId="5"/>
  </si>
  <si>
    <t>力を見せてみろ</t>
    <phoneticPr fontId="5"/>
  </si>
  <si>
    <t>小細工は無しだ</t>
    <phoneticPr fontId="5"/>
  </si>
  <si>
    <t>岩融</t>
    <phoneticPr fontId="5"/>
  </si>
  <si>
    <t>全力で行かせてもらおう</t>
    <phoneticPr fontId="5"/>
  </si>
  <si>
    <t>あまり嘗めるなよ</t>
    <phoneticPr fontId="5"/>
  </si>
  <si>
    <t>甘い！</t>
    <phoneticPr fontId="5"/>
  </si>
  <si>
    <t>守る隙など与えん！</t>
    <phoneticPr fontId="5"/>
  </si>
  <si>
    <t>全て出し切る！</t>
    <phoneticPr fontId="5"/>
  </si>
  <si>
    <t>くぐり抜けてみせろ</t>
    <phoneticPr fontId="5"/>
  </si>
  <si>
    <t>気分がいいぞ…</t>
    <phoneticPr fontId="5"/>
  </si>
  <si>
    <t>踊れヤギども</t>
    <phoneticPr fontId="5"/>
  </si>
  <si>
    <t>…貴様らに未来は無い</t>
    <phoneticPr fontId="5"/>
  </si>
  <si>
    <t>このオレが愛でてやろう</t>
    <phoneticPr fontId="5"/>
  </si>
  <si>
    <t>格の違いを見せてやろう</t>
    <phoneticPr fontId="5"/>
  </si>
  <si>
    <t>ひれ伏せ！愚民ども！</t>
    <phoneticPr fontId="5"/>
  </si>
  <si>
    <t>…目障りだ</t>
    <phoneticPr fontId="5"/>
  </si>
  <si>
    <t>剥奪の龍息【蒼】</t>
    <phoneticPr fontId="5"/>
  </si>
  <si>
    <t>剥奪の龍息【朱】</t>
    <phoneticPr fontId="5"/>
  </si>
  <si>
    <t>崩天牙撃</t>
    <phoneticPr fontId="5"/>
  </si>
  <si>
    <t>究極因子</t>
    <phoneticPr fontId="5"/>
  </si>
  <si>
    <t>塵芥ト成リ果テロッッ！！</t>
    <phoneticPr fontId="5"/>
  </si>
  <si>
    <t>劫奪の龍息【真紅】</t>
    <phoneticPr fontId="5"/>
  </si>
  <si>
    <t>劫奪の龍息【群青】</t>
    <phoneticPr fontId="5"/>
  </si>
  <si>
    <t>生意気な奴らが来ましたね…</t>
    <phoneticPr fontId="5"/>
  </si>
  <si>
    <t>[effect:enemy_message, val1:1, val2:2.2],[effect:fix_speed, target:myself, turn:2],[effect:enemy_counter, target:myself, invoke_condition:unit_all, counter_target:attacker, turn:-1, val:0.2, animation:enemy_counter],[effect:tolerance, target:myself, turn:-1, tolerance_effect:all, count:-1, animation:enemy_tolerance]</t>
    <phoneticPr fontId="5"/>
  </si>
  <si>
    <t>私の策は完璧です…</t>
    <phoneticPr fontId="5"/>
  </si>
  <si>
    <t>[effect:enemy_message, val1:1.2, val2:2],[effect:damage_anti_abnormal, target:unit_all, target_effect01:virus, val1:0.35, val2:0.15]</t>
    <phoneticPr fontId="5"/>
  </si>
  <si>
    <t>自身の攻撃頻度UP+クリティカル！</t>
    <phoneticPr fontId="5"/>
  </si>
  <si>
    <t>[effect:enemy_message, val1:1.2],[effect:degrade_fever, val:500, animation:fevergauge_down],[effect:fix_speed, target:myself, turn:1],[effect:tolerance, target:myself, turn:-1, tolerance_effect:all, count:-1, animation:enemy_tolerance]</t>
    <phoneticPr fontId="5"/>
  </si>
  <si>
    <t>状態異常耐性+フィーバーゲージ減少</t>
    <phoneticPr fontId="5"/>
  </si>
  <si>
    <t>私の策は完璧なんですよ？</t>
    <phoneticPr fontId="5"/>
  </si>
  <si>
    <t>[effect:enemy_message, val1:1, val2:2],[effect:critical, val:1]</t>
    <phoneticPr fontId="5"/>
  </si>
  <si>
    <t>[effect:enemy_message, val1:1, val2:2.6],[effect:fix_speed, target:myself, turn:2],[effect:tolerance,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t>
    <phoneticPr fontId="5"/>
  </si>
  <si>
    <t>2ターンハートパネル無効+単体攻撃</t>
    <phoneticPr fontId="5"/>
  </si>
  <si>
    <t>2ターンスキルバインド+単体攻撃</t>
    <phoneticPr fontId="5"/>
  </si>
  <si>
    <t>状態異常耐性+残りHPの50%ダメージ！</t>
    <phoneticPr fontId="5"/>
  </si>
  <si>
    <t>[effect:enemy_message, val1:1, val2:2],[effect:fix_speed, target:myself, turn:2],[effect:tolerance, target:myself, turn:-1, tolerance_effect:all, count:-1, animation:enemy_tolerance],[effect:damage_gravity, val:0.5, animation:fevergauge_down]</t>
    <phoneticPr fontId="5"/>
  </si>
  <si>
    <t>状態異常耐性+5ターンハートパネル無効</t>
    <phoneticPr fontId="5"/>
  </si>
  <si>
    <t>自身の攻撃力&amp;防御力UP</t>
    <phoneticPr fontId="5"/>
  </si>
  <si>
    <t>我ガ力ノ為ノ贄トナレ…</t>
    <phoneticPr fontId="5"/>
  </si>
  <si>
    <t>全てのパネルを吸収して攻撃</t>
    <phoneticPr fontId="5"/>
  </si>
  <si>
    <t>[effect:enemy_message, val1:1, val2:2.6]</t>
    <phoneticPr fontId="5"/>
  </si>
  <si>
    <t>さぁ…
苦しむ顔を見せなさい…</t>
    <phoneticPr fontId="5"/>
  </si>
  <si>
    <t>ハァ〜ン？
まだわかりませんかァ？</t>
    <phoneticPr fontId="5"/>
  </si>
  <si>
    <t>通りたいなら
武器を置いていけ</t>
    <phoneticPr fontId="5"/>
  </si>
  <si>
    <t>我ガ前ニ立ツカ…
愚カナリ</t>
    <phoneticPr fontId="5"/>
  </si>
  <si>
    <t>足リヌッ！
工夫ガ足リンッ！</t>
    <phoneticPr fontId="5"/>
  </si>
  <si>
    <t>[effect:break_attack_fix, target:unit_one, val:800, lowest_val:10000, count:-1, color:yellow, block01:block_red]</t>
    <phoneticPr fontId="5"/>
  </si>
  <si>
    <t>[effect:break_attack_fix, target:unit_one, val:800, lowest_val:10000, count:-1, color:yellow, block01:block_blue]</t>
    <phoneticPr fontId="5"/>
  </si>
  <si>
    <t>[effect:break_attack_fix, target:unit_one, val:480, lowest_val:13000, count:-1, color:yellow, block01:block_red, block02:block_yellow]</t>
    <phoneticPr fontId="5"/>
  </si>
  <si>
    <t>[effect:break_attack_fix, target:unit_one, val:480, lowest_val:13000, count:-1, color:yellow, block01:block_blue, block02:block_yellow]</t>
    <phoneticPr fontId="5"/>
  </si>
  <si>
    <t>[effect:break_attack_fix, target:unit_one, val:1080, lowest_val:13000, count:-1, color:yellow, block01:block_all]</t>
    <phoneticPr fontId="5"/>
  </si>
  <si>
    <t>状態異常耐性+全てのプラス効果を解除+
確率でパネルがプロテクト状態でドロップ</t>
    <phoneticPr fontId="5"/>
  </si>
  <si>
    <t>緑パネルを吸収して回復+
赤パネルを吸収して攻撃</t>
    <phoneticPr fontId="5"/>
  </si>
  <si>
    <t>状態異常耐性+
5ターンユニット全体の攻撃力&amp;回復力50%DOWN</t>
    <phoneticPr fontId="5"/>
  </si>
  <si>
    <t>[effect:break_heal_ratio, target:myself, val:0.05, lowest_val:5000, count:-1, block_color:block_heart, block01:block_heart, animation:enemy_heal]</t>
    <phoneticPr fontId="5"/>
  </si>
  <si>
    <t>[effect:enemy_message, val1:1, val2:2],[effect:break_heal_ratio, target:myself, val:0.05, lowest_val:5000, count:-1, block01:block_green, animation:enemy_heal],[effect:break_attack_fix, target:unit_one, val:640, lowest_val:9800, count:-1, color:green, block01:block_red]</t>
    <phoneticPr fontId="5"/>
  </si>
  <si>
    <t>董卓の2ゲージ目は数ターン経過後に
強力なクリティカル攻撃を行います</t>
    <phoneticPr fontId="5"/>
  </si>
  <si>
    <t>武蔵坊弁慶の1ゲージ目は
5回攻撃するごとに
クリティカル攻撃を行います</t>
    <phoneticPr fontId="5"/>
  </si>
  <si>
    <t>武蔵坊弁慶は2ゲージ目のはじめに
2ターンの間ダメージを90%軽減する
スキルを使用した後
超強力な攻撃を行います</t>
    <phoneticPr fontId="5"/>
  </si>
  <si>
    <t>武蔵坊弁慶の2ゲージ目は
3回攻撃するごとに
威力の高い連続攻撃を行います</t>
    <phoneticPr fontId="5"/>
  </si>
  <si>
    <t>アザゼルの1ゲージ目は
5回攻撃するごとに
お邪魔パネル生成攻撃を行います</t>
    <phoneticPr fontId="5"/>
  </si>
  <si>
    <t>アザゼルは2ゲージ目のはじめに
5ターンハートパネルを無効にしてきます</t>
    <phoneticPr fontId="5"/>
  </si>
  <si>
    <t>アザゼルの2ゲージ目は初回攻撃時に
2ターンの間自身の攻撃力を2倍まで
強化するスキルを使用します</t>
    <phoneticPr fontId="5"/>
  </si>
  <si>
    <t>アザゼルの2ゲージ目は3回攻撃するごとに
お邪魔パネル生成攻撃を行います</t>
    <phoneticPr fontId="5"/>
  </si>
  <si>
    <t>アザゼルの2ゲージ目は4回目の攻撃時に
パネル吸収予告を行います
その後のパネル吸収に注意しましょう</t>
    <phoneticPr fontId="5"/>
  </si>
  <si>
    <t>アザゼルの2ゲージ目は
HPが3割以下になると
次のターンに強力な攻撃を行う
チャージを行います</t>
    <phoneticPr fontId="5"/>
  </si>
  <si>
    <t>テュポーンの1ゲージ目は
赤パネル吸収攻撃と青パネル吸収攻撃を
交互に行います</t>
    <phoneticPr fontId="5"/>
  </si>
  <si>
    <t>テュポーンの2ゲージ目は9回目の攻撃時に
超強力なパネル吸収攻撃を行います</t>
    <phoneticPr fontId="5"/>
  </si>
  <si>
    <t>董卓は2ゲージ目のはじめに
フィーバーゲージ減少スキルを使用します</t>
    <phoneticPr fontId="5"/>
  </si>
  <si>
    <t>テュポーンは2ゲージ目のはじめに
5ターンの間ダメージを50%軽減します
その間は防御系スキルを使用して
耐えましょう</t>
    <phoneticPr fontId="5"/>
  </si>
  <si>
    <t>テュポーンの1ゲージ目はHPが3割以下に
なると自身の攻撃力と防御力を上げて
次のターンから強力な連続攻撃を行います</t>
    <phoneticPr fontId="5"/>
  </si>
  <si>
    <t>状態異常耐性+
解除するまで全属性カウンター（弱）</t>
    <rPh sb="0" eb="4">
      <t>ジョウタイイジョウ</t>
    </rPh>
    <rPh sb="4" eb="6">
      <t>タイセイ</t>
    </rPh>
    <rPh sb="14" eb="17">
      <t>ゼンゾクセイ</t>
    </rPh>
    <rPh sb="23" eb="24">
      <t>ヨワイ</t>
    </rPh>
    <phoneticPr fontId="5"/>
  </si>
  <si>
    <t>単体攻撃(次のターン強力なクリティカル！)</t>
    <phoneticPr fontId="5"/>
  </si>
  <si>
    <t>時限式ダメージパネル大量生成</t>
    <phoneticPr fontId="5"/>
  </si>
  <si>
    <t>Cパネル縮小+2ターンCパネル生成大延長+
2回連続攻撃</t>
    <rPh sb="17" eb="18">
      <t>ダイ</t>
    </rPh>
    <phoneticPr fontId="5"/>
  </si>
  <si>
    <t>種族サムライのユニットに大ダメージ+
クリティカル！</t>
    <phoneticPr fontId="5"/>
  </si>
  <si>
    <t>2ターンユニット全体の攻撃力70%DOWN+全体攻撃</t>
    <phoneticPr fontId="5"/>
  </si>
  <si>
    <t>次のターン緑パネルを吸収して回復+
次のターン赤パネルを吸収して攻撃</t>
    <phoneticPr fontId="5"/>
  </si>
  <si>
    <t>[effect:enemy_message, val1:1, val2:2.4],[effect:crash_growth, val:-12, count:-1, animation:change_block],[effect:crash_condition, target:unit_all, turn:2, val:2, animation:enemy_crash_extend],[effect:rush, count:2, val:0.35]</t>
    <phoneticPr fontId="5"/>
  </si>
  <si>
    <t>[effect:damage_abnormal, target:unit_one, val:0.7, status:hungup, turn:2, rate:1, animation:hungup01]</t>
    <phoneticPr fontId="5"/>
  </si>
  <si>
    <t>[effect:break_attack_fix, target:unit_one, val:640, lowest_val:6000, count:-1, color:yellow, block01:block_heart]</t>
    <phoneticPr fontId="5"/>
  </si>
  <si>
    <t>[effect:enemy_message, val1:1, val2:2.4],[effect:damage_anti_tribe, target:unit_one, tribe:samurai, val1:5, val2:0.5],[effect:critical, val:2, animation:enemy_critical]</t>
    <phoneticPr fontId="5"/>
  </si>
  <si>
    <t>[effect:enemy_message, val1:1, val2:2.4],[effect:fix_speed, target:myself, turn:1],[effect:tolerance, target:myself, turn:-1, tolerance_effect:all, count:-1, animation:enemy_tolerance],[effect:degrade_unit, target:unit_all, turn:5, status:attack, val:0.5, calc:mul],[effect:degrade_unit, target:unit_all, turn:5, status:heal, val:0.5, calc:mul, animation:degrade_unit_all_heal]</t>
    <phoneticPr fontId="5"/>
  </si>
  <si>
    <t>1ターンハートパネルを吸収して防御力UP+単体攻撃</t>
    <phoneticPr fontId="5"/>
  </si>
  <si>
    <t>[effect:enemy_message, val1:1, val2:2.2],[effect:break_enchance_enemy, target:myself, val:360, lowest_val:0, count:-1, status:defense, turn:1, block01:block_heart, calc:add, animation:enemy_enhance_defense],[effect:damage_anti_color, target:unit_one, color:green, val1:0.6, val2:0.42]</t>
    <phoneticPr fontId="5"/>
  </si>
  <si>
    <t>状態異常耐性+全てのプラス効果を解除+
2ターン全属性ダメージ90%軽減</t>
    <phoneticPr fontId="5"/>
  </si>
  <si>
    <t>[effect:enemy_message, val1:1, val2:2.6],[effect:fix_speed,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t>
    <phoneticPr fontId="5"/>
  </si>
  <si>
    <t>状態異常耐性+全てのプラス効果を解除+
5ターン全属性ダメージ50%軽減+
10ターン体力タイプのユニットにスキルバインド</t>
    <phoneticPr fontId="5"/>
  </si>
  <si>
    <t>笑止！
命ガ惜シクナイヨウダナ！</t>
    <phoneticPr fontId="5"/>
  </si>
  <si>
    <t>1ターンユニット全体の攻撃力50%DOWN</t>
    <phoneticPr fontId="5"/>
  </si>
  <si>
    <t>[effect:enemy_message, val1:1, val2:2],[effect:degrade_unit, target:unit_all, turn:1, status:attack, val:0.5, calc:mul]</t>
    <phoneticPr fontId="5"/>
  </si>
  <si>
    <t>クックック
…いいだろう</t>
    <phoneticPr fontId="5"/>
  </si>
  <si>
    <t>あぁ…
いい顔だ…！</t>
    <phoneticPr fontId="5"/>
  </si>
  <si>
    <t>フフ…
逃がしませんよ…</t>
    <phoneticPr fontId="5"/>
  </si>
  <si>
    <t>来い
…遊んでやろう</t>
    <phoneticPr fontId="5"/>
  </si>
  <si>
    <t>さぁ
観念しなさい…</t>
    <phoneticPr fontId="5"/>
  </si>
  <si>
    <t>2ターンウィルス状態+全体攻撃</t>
    <phoneticPr fontId="5"/>
  </si>
  <si>
    <t>[effect:enemy_message, val1:1, val2:2.2],[effect:damage_abnormal, target:unit_all, val:0.25, status:attack, turn:2, rate:1, val_abnormal:0.7, calc:mul]</t>
    <phoneticPr fontId="5"/>
  </si>
  <si>
    <t>[effect:enemy_message, val1:1, val2:2.2],[effect:damage_abnormal, target:unit_all, val:0.25, status:heal, turn:2, rate:1, val_abnormal:0.7, calc:mul, animation:degrade_unit_all_heal]</t>
    <phoneticPr fontId="5"/>
  </si>
  <si>
    <t>お邪魔パネルをランダムに5個生成+
クリティカル！</t>
    <phoneticPr fontId="5"/>
  </si>
  <si>
    <t>お邪魔パネルをランダムに5個生成+
全体攻撃</t>
    <phoneticPr fontId="5"/>
  </si>
  <si>
    <t>[effect:enemy_message, val1:1.2, val2:4.0],[effect:fix_speed,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turn:5, val:0.5, animation:reduction_one01],[effect:hungup, target:unit_hp, turn:10, rate:1, animation:hungup01]</t>
    <phoneticPr fontId="5"/>
  </si>
  <si>
    <t>アザゼルの1ゲージ目は攻撃力DOWNと
回復力DOWNを確率で行います</t>
    <phoneticPr fontId="5"/>
  </si>
  <si>
    <t>13301_14</t>
    <phoneticPr fontId="5"/>
  </si>
  <si>
    <t>old</t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</si>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</sst>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30" fillId="14" borderId="7" xfId="0" applyFont="1" applyFill="1" applyBorder="1" applyAlignment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>
      <selection activeCell="B18" sqref="B1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393</v>
      </c>
      <c r="B2" s="57" t="s">
        <v>105</v>
      </c>
      <c r="C2" s="62" t="s">
        <v>392</v>
      </c>
      <c r="D2" s="57" t="s">
        <v>106</v>
      </c>
      <c r="E2" s="56" t="str">
        <f>B2&amp;C2&amp;D2</f>
        <v>floors_13301_14.tmp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393</v>
      </c>
      <c r="B3" s="57" t="s">
        <v>108</v>
      </c>
      <c r="C3" s="62" t="str">
        <f t="shared" ref="C3:C13" si="0">C$2</f>
        <v>13301_14</v>
      </c>
      <c r="D3" s="57" t="s">
        <v>106</v>
      </c>
      <c r="E3" s="56" t="str">
        <f>B3&amp;C3&amp;D3</f>
        <v>enemy_habitats_13301_14.tmp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176</v>
      </c>
    </row>
    <row r="4" spans="1:30" x14ac:dyDescent="0.15">
      <c r="A4" s="61" t="s">
        <v>393</v>
      </c>
      <c r="B4" s="57" t="s">
        <v>110</v>
      </c>
      <c r="C4" s="62" t="str">
        <f t="shared" si="0"/>
        <v>13301_14</v>
      </c>
      <c r="D4" s="57" t="s">
        <v>106</v>
      </c>
      <c r="E4" s="56" t="str">
        <f>B4&amp;C4&amp;D4</f>
        <v>enemy_habitat_S_13301_14.tmp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393</v>
      </c>
      <c r="B5" s="57" t="s">
        <v>112</v>
      </c>
      <c r="C5" s="62" t="str">
        <f t="shared" si="0"/>
        <v>13301_14</v>
      </c>
      <c r="D5" s="57" t="s">
        <v>106</v>
      </c>
      <c r="E5" s="56" t="str">
        <f>B5&amp;C5&amp;D5</f>
        <v>enemy_skill_sets_13301_14.tmp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393</v>
      </c>
      <c r="B6" s="57" t="s">
        <v>114</v>
      </c>
      <c r="C6" s="62" t="str">
        <f t="shared" si="0"/>
        <v>13301_14</v>
      </c>
      <c r="D6" s="57" t="s">
        <v>115</v>
      </c>
      <c r="E6" s="56" t="str">
        <f t="shared" ref="E6:E10" si="1">B6&amp;C6&amp;D6</f>
        <v>enemy_skills_tmp_13301_14.tmp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393</v>
      </c>
      <c r="B7" s="57" t="s">
        <v>116</v>
      </c>
      <c r="C7" s="62" t="str">
        <f t="shared" si="0"/>
        <v>13301_14</v>
      </c>
      <c r="D7" s="57" t="s">
        <v>106</v>
      </c>
      <c r="E7" s="56" t="str">
        <f>B7&amp;C7&amp;D7</f>
        <v>enemy_skills_i18n_13301_14.tmp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393</v>
      </c>
      <c r="B8" s="57" t="s">
        <v>118</v>
      </c>
      <c r="C8" s="62" t="str">
        <f t="shared" si="0"/>
        <v>13301_14</v>
      </c>
      <c r="D8" s="57" t="s">
        <v>119</v>
      </c>
      <c r="E8" s="56" t="str">
        <f t="shared" si="1"/>
        <v>enemy_skill_triggers_13301_14.tmp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393</v>
      </c>
      <c r="B9" s="67" t="s">
        <v>175</v>
      </c>
      <c r="C9" s="62" t="str">
        <f t="shared" si="0"/>
        <v>13301_14</v>
      </c>
      <c r="D9" s="67" t="s">
        <v>169</v>
      </c>
      <c r="E9" s="68" t="str">
        <f t="shared" si="1"/>
        <v>stage_bug_bonuses_13301_14.tmp</v>
      </c>
      <c r="F9" s="67" t="s">
        <v>170</v>
      </c>
      <c r="G9" s="64" t="s">
        <v>149</v>
      </c>
      <c r="H9" s="64" t="s">
        <v>171</v>
      </c>
      <c r="I9" s="64" t="s">
        <v>172</v>
      </c>
      <c r="J9" s="66" t="s">
        <v>173</v>
      </c>
      <c r="K9" s="64" t="s">
        <v>174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185</v>
      </c>
      <c r="B10" s="67" t="s">
        <v>199</v>
      </c>
      <c r="C10" s="62" t="str">
        <f t="shared" si="0"/>
        <v>13301_14</v>
      </c>
      <c r="D10" s="67" t="s">
        <v>178</v>
      </c>
      <c r="E10" s="68" t="str">
        <f t="shared" si="1"/>
        <v>stage_hints_data_c_13301_14.tmp</v>
      </c>
      <c r="F10" s="67" t="s">
        <v>207</v>
      </c>
      <c r="G10" s="72" t="s">
        <v>179</v>
      </c>
      <c r="H10" s="72" t="s">
        <v>171</v>
      </c>
      <c r="I10" s="73" t="s">
        <v>180</v>
      </c>
      <c r="J10" s="66" t="s">
        <v>181</v>
      </c>
      <c r="K10" s="66" t="s">
        <v>182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1" t="s">
        <v>262</v>
      </c>
      <c r="B11" s="67" t="s">
        <v>200</v>
      </c>
      <c r="C11" s="62" t="str">
        <f t="shared" si="0"/>
        <v>13301_14</v>
      </c>
      <c r="D11" s="67" t="s">
        <v>169</v>
      </c>
      <c r="E11" s="68" t="str">
        <f t="shared" ref="E11:E13" si="2">B11&amp;C11&amp;D11</f>
        <v>stage_hints_data_f_13301_14.tmp</v>
      </c>
      <c r="F11" s="67" t="s">
        <v>208</v>
      </c>
      <c r="G11" s="72" t="s">
        <v>179</v>
      </c>
      <c r="H11" s="72" t="s">
        <v>171</v>
      </c>
      <c r="I11" s="73" t="s">
        <v>180</v>
      </c>
      <c r="J11" s="66" t="s">
        <v>181</v>
      </c>
      <c r="K11" s="66" t="s">
        <v>182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107" t="s">
        <v>262</v>
      </c>
      <c r="B12" s="67" t="s">
        <v>201</v>
      </c>
      <c r="C12" s="62" t="str">
        <f t="shared" si="0"/>
        <v>13301_14</v>
      </c>
      <c r="D12" s="67" t="s">
        <v>169</v>
      </c>
      <c r="E12" s="68" t="str">
        <f t="shared" si="2"/>
        <v>stage_hints_i18n_13301_14.tmp</v>
      </c>
      <c r="F12" s="67" t="s">
        <v>209</v>
      </c>
      <c r="G12" s="73" t="s">
        <v>202</v>
      </c>
      <c r="H12" s="91" t="s">
        <v>203</v>
      </c>
      <c r="I12" s="72" t="s">
        <v>204</v>
      </c>
      <c r="J12" s="99" t="s">
        <v>205</v>
      </c>
      <c r="K12" s="66" t="s">
        <v>206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107" t="s">
        <v>394</v>
      </c>
      <c r="B13" s="67" t="s">
        <v>247</v>
      </c>
      <c r="C13" s="62" t="str">
        <f t="shared" si="0"/>
        <v>13301_14</v>
      </c>
      <c r="D13" s="67" t="s">
        <v>228</v>
      </c>
      <c r="E13" s="68" t="str">
        <f t="shared" si="2"/>
        <v>stage_bonuses_13301_14.tmp</v>
      </c>
      <c r="F13" s="67" t="s">
        <v>227</v>
      </c>
      <c r="G13" s="72" t="s">
        <v>229</v>
      </c>
      <c r="H13" s="72" t="s">
        <v>230</v>
      </c>
      <c r="I13" s="72" t="s">
        <v>231</v>
      </c>
      <c r="J13" s="72" t="s">
        <v>232</v>
      </c>
      <c r="K13" s="72" t="s">
        <v>233</v>
      </c>
      <c r="L13" s="72" t="s">
        <v>234</v>
      </c>
      <c r="M13" s="72" t="s">
        <v>235</v>
      </c>
      <c r="N13" s="72" t="s">
        <v>236</v>
      </c>
      <c r="O13" s="72" t="s">
        <v>237</v>
      </c>
      <c r="P13" s="72" t="s">
        <v>238</v>
      </c>
      <c r="Q13" s="72" t="s">
        <v>239</v>
      </c>
      <c r="R13" s="72" t="s">
        <v>240</v>
      </c>
      <c r="S13" s="72" t="s">
        <v>241</v>
      </c>
      <c r="T13" s="72" t="s">
        <v>242</v>
      </c>
      <c r="U13" s="72" t="s">
        <v>243</v>
      </c>
      <c r="V13" s="72" t="s">
        <v>244</v>
      </c>
      <c r="W13" s="72" t="s">
        <v>245</v>
      </c>
      <c r="X13" s="72" t="s">
        <v>246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zoomScale="120" zoomScaleNormal="120" zoomScalePageLayoutView="120" workbookViewId="0">
      <pane ySplit="1" topLeftCell="A2" activePane="bottomLeft" state="frozen"/>
      <selection activeCell="V2" sqref="V2:X34"/>
      <selection pane="bottomLeft" activeCell="E8" sqref="E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13301_14-1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14</v>
      </c>
      <c r="G2" s="23" t="str">
        <f>C2&amp;"_"&amp;F2</f>
        <v>13301_14</v>
      </c>
      <c r="H2" s="15" t="str">
        <f ca="1">VLOOKUP($G2,OFFSET([2]stages!$A$1,0,0,COUNTA([2]stages!$A:$A),MATCH(H$1,[2]stages!$2:$2,0)-MATCH($G$1,[2]stages!$2:$2,0)+1),MATCH(H$1,[2]stages!$2:$2,0)-MATCH($G$1,[2]stages!$2:$2,0)+1,FALSE)</f>
        <v>14階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13301_14-2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14</v>
      </c>
      <c r="G3" s="23" t="str">
        <f>C3&amp;"_"&amp;F3</f>
        <v>13301_14</v>
      </c>
      <c r="H3" s="15" t="str">
        <f ca="1">VLOOKUP($G3,OFFSET([2]stages!$A$1,0,0,COUNTA([2]stages!$A:$A),MATCH(H$1,[2]stages!$2:$2,0)-MATCH($G$1,[2]stages!$2:$2,0)+1),MATCH(H$1,[2]stages!$2:$2,0)-MATCH($G$1,[2]stages!$2:$2,0)+1,FALSE)</f>
        <v>14階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13301_14-3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14</v>
      </c>
      <c r="G4" s="23" t="str">
        <f>C4&amp;"_"&amp;F4</f>
        <v>13301_14</v>
      </c>
      <c r="H4" s="15" t="str">
        <f ca="1">VLOOKUP($G4,OFFSET([2]stages!$A$1,0,0,COUNTA([2]stages!$A:$A),MATCH(H$1,[2]stages!$2:$2,0)-MATCH($G$1,[2]stages!$2:$2,0)+1),MATCH(H$1,[2]stages!$2:$2,0)-MATCH($G$1,[2]stages!$2:$2,0)+1,FALSE)</f>
        <v>14階 コスト制限なし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13301_14-4</v>
      </c>
      <c r="B5" s="16" t="str">
        <f>IF(COUNTIF(enemy_habitats!$H:$H,A5),"OK","NG")</f>
        <v>OK</v>
      </c>
      <c r="C5" s="7">
        <v>13301</v>
      </c>
      <c r="D5" s="11" t="str">
        <f ca="1">VLOOKUP($C5,OFFSET([2]quests!$A$1,0,0,COUNTA([2]quests!$A:$A),MATCH(D$1,[2]quests!$1:$1,0)-MATCH($C$1,[2]quests!$1:$1,0)+1),MATCH(D$1,[2]quests!$1:$1,0)-MATCH($C$1,[2]quests!$1:$1,0)+1,FALSE)</f>
        <v>タワーオブザクイーン -アヴァルシア-</v>
      </c>
      <c r="E5" s="18" t="str">
        <f ca="1">VLOOKUP($C5,OFFSET([2]quests!$A$1,0,0,COUNTA([2]quests!$A:$A),MATCH(E$1,[2]quests!$1:$1,0)-MATCH($C$1,[2]quests!$1:$1,0)+1),MATCH(E$1,[2]quests!$1:$1,0)-MATCH($C$1,[2]quests!$1:$1,0)+1,FALSE)</f>
        <v>タワーオブザクイーン1本目</v>
      </c>
      <c r="F5" s="21">
        <v>14</v>
      </c>
      <c r="G5" s="23" t="str">
        <f>C5&amp;"_"&amp;F5</f>
        <v>13301_14</v>
      </c>
      <c r="H5" s="15" t="str">
        <f ca="1">VLOOKUP($G5,OFFSET([2]stages!$A$1,0,0,COUNTA([2]stages!$A:$A),MATCH(H$1,[2]stages!$2:$2,0)-MATCH($G$1,[2]stages!$2:$2,0)+1),MATCH(H$1,[2]stages!$2:$2,0)-MATCH($G$1,[2]stages!$2:$2,0)+1,FALSE)</f>
        <v>14階 コスト制限なし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zoomScale="130" zoomScaleNormal="130" zoomScalePageLayoutView="13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7" sqref="S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248</v>
      </c>
      <c r="U1" s="26" t="s">
        <v>50</v>
      </c>
      <c r="V1" s="100" t="s">
        <v>249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13301_14-1/1131&lt;lv90&gt;s2</v>
      </c>
      <c r="B2" s="22">
        <v>13301</v>
      </c>
      <c r="C2" s="21">
        <v>14</v>
      </c>
      <c r="D2" s="2" t="str">
        <f>B2&amp;"_"&amp;C2</f>
        <v>13301_14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14階 コスト制限なし</v>
      </c>
      <c r="G2" s="21">
        <v>1</v>
      </c>
      <c r="H2" s="15" t="str">
        <f>B2&amp;"_"&amp;C2&amp;"-"&amp;G2</f>
        <v>13301_14-1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1131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董卓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samurai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90</v>
      </c>
      <c r="S2" s="25">
        <v>2.5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356987.5</v>
      </c>
      <c r="U2" s="25">
        <v>0.7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6169.0999999999995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状態異常耐性+_x000D_解除するまで全属性カウンター（弱）</v>
      </c>
      <c r="Y2" s="47">
        <v>13301101</v>
      </c>
      <c r="Z2" s="6">
        <v>0</v>
      </c>
      <c r="AA2" s="6">
        <v>100</v>
      </c>
      <c r="AB2" s="6">
        <v>1</v>
      </c>
      <c r="AC2" s="104">
        <v>2</v>
      </c>
      <c r="AD2" s="24">
        <f>L2</f>
        <v>1131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董卓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13301_14-2/1024&lt;lv90&gt;s2</v>
      </c>
      <c r="B3" s="22">
        <v>13301</v>
      </c>
      <c r="C3" s="21">
        <v>14</v>
      </c>
      <c r="D3" s="2" t="str">
        <f>B3&amp;"_"&amp;C3</f>
        <v>13301_14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14階 コスト制限なし</v>
      </c>
      <c r="G3" s="21">
        <v>2</v>
      </c>
      <c r="H3" s="15" t="str">
        <f>B3&amp;"_"&amp;C3&amp;"-"&amp;G3</f>
        <v>13301_14-2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1024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武蔵坊弁慶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90</v>
      </c>
      <c r="S3" s="25">
        <v>3.5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501525.5</v>
      </c>
      <c r="U3" s="25">
        <v>0.9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11959.2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状態異常耐性+全てのプラス効果を解除+_x000D_確率でパネルがプロテクト状態でドロップ</v>
      </c>
      <c r="Y3" s="47">
        <v>13301103</v>
      </c>
      <c r="Z3" s="6">
        <v>0</v>
      </c>
      <c r="AA3" s="6">
        <v>100</v>
      </c>
      <c r="AB3" s="6">
        <v>1</v>
      </c>
      <c r="AC3" s="104">
        <v>2</v>
      </c>
      <c r="AD3" s="24">
        <f>L3</f>
        <v>1024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武蔵坊弁慶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4">
        <f ca="1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13301_14-3/297&lt;lv90&gt;s2</v>
      </c>
      <c r="B4" s="22">
        <v>13301</v>
      </c>
      <c r="C4" s="21">
        <v>14</v>
      </c>
      <c r="D4" s="2" t="str">
        <f>B4&amp;"_"&amp;C4</f>
        <v>13301_14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14階 コスト制限なし</v>
      </c>
      <c r="G4" s="21">
        <v>3</v>
      </c>
      <c r="H4" s="15" t="str">
        <f>B4&amp;"_"&amp;C4&amp;"-"&amp;G4</f>
        <v>13301_14-3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297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狂靭なる双撃 アザゼル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90</v>
      </c>
      <c r="S4" s="25">
        <v>3.8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520915.39999999997</v>
      </c>
      <c r="U4" s="25">
        <v>1.8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16180.2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状態異常耐性+残りHPの50%ダメージ！</v>
      </c>
      <c r="Y4" s="47">
        <v>13301105</v>
      </c>
      <c r="Z4" s="6">
        <v>0</v>
      </c>
      <c r="AA4" s="6">
        <v>100</v>
      </c>
      <c r="AB4" s="6">
        <v>1</v>
      </c>
      <c r="AC4" s="104">
        <v>2</v>
      </c>
      <c r="AD4" s="24">
        <f>L4</f>
        <v>297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狂靭なる双撃 アザゼル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>B5&amp;"_"&amp;C5&amp;"-"&amp;G5&amp;"/"&amp;L5&amp;"&lt;lv"&amp;R5&amp;"&gt;s"&amp;AC5</f>
        <v>13301_14-4/740&lt;lv90&gt;s1</v>
      </c>
      <c r="B5" s="22">
        <v>13301</v>
      </c>
      <c r="C5" s="21">
        <v>14</v>
      </c>
      <c r="D5" s="2" t="str">
        <f>B5&amp;"_"&amp;C5</f>
        <v>13301_14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14階 コスト制限なし</v>
      </c>
      <c r="G5" s="21">
        <v>4</v>
      </c>
      <c r="H5" s="15" t="str">
        <f>B5&amp;"_"&amp;C5&amp;"-"&amp;G5</f>
        <v>13301_14-4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20">
        <v>740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テュポーン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90</v>
      </c>
      <c r="S5" s="25">
        <v>3.6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631098</v>
      </c>
      <c r="U5" s="25">
        <v>0.9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13287.6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状態異常耐性+_x000D_5ターンユニット全体の攻撃力&amp;回復力50%DOWN</v>
      </c>
      <c r="Y5" s="47">
        <v>13301107</v>
      </c>
      <c r="Z5" s="6">
        <v>0</v>
      </c>
      <c r="AA5" s="6">
        <v>100</v>
      </c>
      <c r="AB5" s="6">
        <v>1</v>
      </c>
      <c r="AC5" s="104">
        <v>1</v>
      </c>
      <c r="AD5" s="24">
        <f>L5</f>
        <v>740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テュポーン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4"/>
  <sheetViews>
    <sheetView showGridLines="0" zoomScale="120" zoomScaleNormal="120" zoomScalePageLayoutView="12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13" sqref="L1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248</v>
      </c>
      <c r="V1" s="26" t="s">
        <v>50</v>
      </c>
      <c r="W1" s="100" t="s">
        <v>249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13301_14-1/1132&lt;lv90&gt;sq1st2</v>
      </c>
      <c r="B2" s="22">
        <v>13301</v>
      </c>
      <c r="C2" s="21">
        <v>14</v>
      </c>
      <c r="D2" s="2" t="str">
        <f>B2&amp;"_"&amp;C2</f>
        <v>13301_14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14階 コスト制限なし</v>
      </c>
      <c r="G2" s="21">
        <v>1</v>
      </c>
      <c r="H2" s="15" t="str">
        <f>B2&amp;"_"&amp;C2&amp;"-"&amp;G2</f>
        <v>13301_14-1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1132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偏執なる狂騒君 董卓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samurai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90</v>
      </c>
      <c r="T2" s="25">
        <v>2.5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356987.5</v>
      </c>
      <c r="V2" s="25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8813</v>
      </c>
      <c r="X2" s="5">
        <v>0</v>
      </c>
      <c r="Y2" s="4" t="e">
        <f ca="1">VLOOKUP($Z2,OFFSET(enemy_skill_sets!$B$1,0,0,COUNTA(enemy_skill_sets!$B:$B),MATCH(N$1,enemy_skill_sets!$1:$1,0)-MATCH($Z$1,enemy_skill_sets!$1:$1,0)+2),MATCH(N$1,enemy_skill_sets!$1:$1,0)-MATCH($Z$1,enemy_skill_sets!$1:$1,0)+2,FALSE)</f>
        <v>#N/A</v>
      </c>
      <c r="Z2" s="47">
        <v>13300102</v>
      </c>
      <c r="AA2" s="103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13301_14-2/1025&lt;lv90&gt;sq2st2</v>
      </c>
      <c r="B3" s="22">
        <v>13301</v>
      </c>
      <c r="C3" s="21">
        <v>14</v>
      </c>
      <c r="D3" s="2" t="str">
        <f>B3&amp;"_"&amp;C3</f>
        <v>13301_14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14階 コスト制限なし</v>
      </c>
      <c r="G3" s="21">
        <v>2</v>
      </c>
      <c r="H3" s="15" t="str">
        <f>B3&amp;"_"&amp;C3&amp;"-"&amp;G3</f>
        <v>13301_14-2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1025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多重撃の荒法師 武蔵坊弁慶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90</v>
      </c>
      <c r="T3" s="25">
        <v>3.5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501525.5</v>
      </c>
      <c r="V3" s="25">
        <v>0.9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11959.2</v>
      </c>
      <c r="X3" s="5">
        <v>0</v>
      </c>
      <c r="Y3" s="4" t="e">
        <f ca="1">VLOOKUP($Z3,OFFSET(enemy_skill_sets!$B$1,0,0,COUNTA(enemy_skill_sets!$B:$B),MATCH(N$1,enemy_skill_sets!$1:$1,0)-MATCH($Z$1,enemy_skill_sets!$1:$1,0)+2),MATCH(N$1,enemy_skill_sets!$1:$1,0)-MATCH($Z$1,enemy_skill_sets!$1:$1,0)+2,FALSE)</f>
        <v>#N/A</v>
      </c>
      <c r="Z3" s="47">
        <v>13300104</v>
      </c>
      <c r="AA3" s="103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13301_14-3/812&lt;lv90&gt;sq3st2</v>
      </c>
      <c r="B4" s="22">
        <v>13301</v>
      </c>
      <c r="C4" s="21">
        <v>14</v>
      </c>
      <c r="D4" s="2" t="str">
        <f>B4&amp;"_"&amp;C4</f>
        <v>13301_14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14階 コスト制限なし</v>
      </c>
      <c r="G4" s="21">
        <v>3</v>
      </c>
      <c r="H4" s="15" t="str">
        <f>B4&amp;"_"&amp;C4&amp;"-"&amp;G4</f>
        <v>13301_14-3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812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凶膨なる殲滅 アザゼル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90</v>
      </c>
      <c r="T4" s="25">
        <v>3.8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520915.39999999997</v>
      </c>
      <c r="V4" s="25">
        <v>2.1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18876.900000000001</v>
      </c>
      <c r="X4" s="5">
        <v>0</v>
      </c>
      <c r="Y4" s="4" t="e">
        <f ca="1">VLOOKUP($Z4,OFFSET(enemy_skill_sets!$B$1,0,0,COUNTA(enemy_skill_sets!$B:$B),MATCH(N$1,enemy_skill_sets!$1:$1,0)-MATCH($Z$1,enemy_skill_sets!$1:$1,0)+2),MATCH(N$1,enemy_skill_sets!$1:$1,0)-MATCH($Z$1,enemy_skill_sets!$1:$1,0)+2,FALSE)</f>
        <v>#N/A</v>
      </c>
      <c r="Z4" s="47">
        <v>13300106</v>
      </c>
      <c r="AA4" s="103">
        <v>2</v>
      </c>
    </row>
    <row r="5" spans="1:27" ht="21" customHeight="1" x14ac:dyDescent="0.15">
      <c r="A5" s="16" t="str">
        <f>B5&amp;"_"&amp;C5&amp;"-"&amp;G5&amp;"/"&amp;M5&amp;"&lt;lv"&amp;S5&amp;"&gt;sq"&amp;K5&amp;"st"&amp;L5</f>
        <v>13301_14-4/741&lt;lv90&gt;sq4st2</v>
      </c>
      <c r="B5" s="22">
        <v>13301</v>
      </c>
      <c r="C5" s="21">
        <v>14</v>
      </c>
      <c r="D5" s="2" t="str">
        <f>B5&amp;"_"&amp;C5</f>
        <v>13301_14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14階 コスト制限なし</v>
      </c>
      <c r="G5" s="21">
        <v>4</v>
      </c>
      <c r="H5" s="15" t="str">
        <f>B5&amp;"_"&amp;C5&amp;"-"&amp;G5</f>
        <v>13301_14-4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741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皆滅の戦鬼 テュポーン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90</v>
      </c>
      <c r="T5" s="25">
        <v>3.7</v>
      </c>
      <c r="U5" s="10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648628.5</v>
      </c>
      <c r="V5" s="25">
        <v>0.9</v>
      </c>
      <c r="W5" s="10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13287.6</v>
      </c>
      <c r="X5" s="5">
        <v>0</v>
      </c>
      <c r="Y5" s="4" t="e">
        <f ca="1">VLOOKUP($Z5,OFFSET(enemy_skill_sets!$B$1,0,0,COUNTA(enemy_skill_sets!$B:$B),MATCH(N$1,enemy_skill_sets!$1:$1,0)-MATCH($Z$1,enemy_skill_sets!$1:$1,0)+2),MATCH(N$1,enemy_skill_sets!$1:$1,0)-MATCH($Z$1,enemy_skill_sets!$1:$1,0)+2,FALSE)</f>
        <v>#N/A</v>
      </c>
      <c r="Z5" s="47">
        <v>13300108</v>
      </c>
      <c r="AA5" s="103">
        <v>1</v>
      </c>
    </row>
    <row r="14" spans="1:27" ht="21" customHeight="1" x14ac:dyDescent="0.15">
      <c r="M14" s="3"/>
    </row>
    <row r="15" spans="1:27" ht="21" customHeight="1" x14ac:dyDescent="0.15">
      <c r="M15" s="3"/>
    </row>
    <row r="16" spans="1:27" ht="21" customHeight="1" x14ac:dyDescent="0.15">
      <c r="M16" s="3"/>
    </row>
    <row r="17" spans="13:13" ht="21" customHeight="1" x14ac:dyDescent="0.15">
      <c r="M17" s="3"/>
    </row>
    <row r="18" spans="13:13" ht="21" customHeight="1" x14ac:dyDescent="0.15">
      <c r="M18" s="3"/>
    </row>
    <row r="19" spans="13:13" ht="21" customHeight="1" x14ac:dyDescent="0.15">
      <c r="M19" s="3"/>
    </row>
    <row r="20" spans="13:13" ht="21" customHeight="1" x14ac:dyDescent="0.15">
      <c r="M20" s="3"/>
    </row>
    <row r="21" spans="13:13" ht="21" customHeight="1" x14ac:dyDescent="0.15">
      <c r="M21" s="3"/>
    </row>
    <row r="22" spans="13:13" ht="21" customHeight="1" x14ac:dyDescent="0.15">
      <c r="M22" s="3"/>
    </row>
    <row r="23" spans="13:13" ht="21" customHeight="1" x14ac:dyDescent="0.15">
      <c r="M23" s="3"/>
    </row>
    <row r="24" spans="13:13" ht="21" customHeight="1" x14ac:dyDescent="0.15">
      <c r="M24" s="3"/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1"/>
  <sheetViews>
    <sheetView showGridLines="0" workbookViewId="0">
      <pane ySplit="1" topLeftCell="A29" activePane="bottomLeft" state="frozenSplit"/>
      <selection pane="bottomLeft" activeCell="B45" sqref="B4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52" customHeight="1" x14ac:dyDescent="0.15">
      <c r="A2" s="47">
        <v>13301101</v>
      </c>
      <c r="B2" s="47" t="s">
        <v>312</v>
      </c>
      <c r="C2" s="50">
        <v>3</v>
      </c>
      <c r="D2" s="50" t="s">
        <v>256</v>
      </c>
      <c r="E2" s="51" t="s">
        <v>311</v>
      </c>
      <c r="F2" s="51" t="s">
        <v>360</v>
      </c>
      <c r="G2" s="63" t="str">
        <f t="shared" ref="G2:G40" si="0">IFERROR(LEFT(B2,FIND("],",B2)),B2)</f>
        <v>[effect:enemy_message, val1:1, val2:2.2]</v>
      </c>
      <c r="H2" s="63">
        <f t="shared" ref="H2:H40" si="1">FIND("effect:",G2)+7</f>
        <v>9</v>
      </c>
      <c r="I2" s="63">
        <f t="shared" ref="I2:I40" si="2">IFERROR(FIND(",",G2),LEN(G2))</f>
        <v>22</v>
      </c>
      <c r="J2" s="63" t="e">
        <f t="shared" ref="J2:J40" si="3">FIND("target:",G2)+7</f>
        <v>#VALUE!</v>
      </c>
      <c r="K2" s="63">
        <f t="shared" ref="K2:K40" si="4">FIND(",",G2,I2+1)</f>
        <v>30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40" si="5">IFERROR(RIGHT(B2,LEN(B2)-FIND("],",B2)-1),"none")</f>
        <v>[effect:fix_speed, target:myself, turn:2],[effect:enemy_counter, target:myself, invoke_condition:unit_all, counter_target:attacker, turn:-1, val:0.2, animation:enemy_counter],[effect:tolerance, target:myself, turn:-1, tolerance_effect:all, count:-1, animation:enemy_tolerance]</v>
      </c>
      <c r="N2" s="48" t="str">
        <f t="shared" ref="N2:N14" si="6">IFERROR(LEFT(M2,FIND("],",M2)+S14),M2)</f>
        <v>[effect:fix_speed, target:myself, turn:2],[effect:enemy_counter, target:myself, invoke_condition:unit_all, counter_target:attacker, turn:-1, val:0.2, animation:enemy_counter],[effect:tolerance, target:myself, turn:-1, tolerance_effect:all, count:-1, animation:enemy_tolerance]</v>
      </c>
      <c r="O2" s="63">
        <f t="shared" ref="O2:O40" si="7">FIND("effect:",N2)+7</f>
        <v>9</v>
      </c>
      <c r="P2" s="63">
        <f t="shared" ref="P2:P40" si="8">IFERROR(FIND(",",N2),LEN(N2))</f>
        <v>18</v>
      </c>
      <c r="Q2" s="63">
        <f t="shared" ref="Q2:Q40" si="9">FIND("target:",N2)+7</f>
        <v>27</v>
      </c>
      <c r="R2" s="63">
        <f t="shared" ref="R2:R40" si="10"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40" si="11">IFERROR(RIGHT(M2,LEN(M2)-FIND("],",M2)-1),"none")</f>
        <v>[effect:enemy_counter, target:myself, invoke_condition:unit_all, counter_target:attacker, turn:-1, val:0.2, animation:enemy_counter],[effect:tolerance, target:myself, turn:-1, tolerance_effect:all, count:-1, animation:enemy_tolerance]</v>
      </c>
      <c r="U2" s="63">
        <f t="shared" ref="U2:U40" si="12">FIND("effect:",T2)+7</f>
        <v>9</v>
      </c>
      <c r="V2" s="63">
        <f t="shared" ref="V2:V40" si="13">IFERROR(FIND(",",T2),LEN(T2))</f>
        <v>22</v>
      </c>
      <c r="W2" s="63">
        <f t="shared" ref="W2:W40" si="14">FIND("target:",T2)+7</f>
        <v>31</v>
      </c>
      <c r="X2" s="63">
        <f t="shared" ref="X2:X40" si="15">FIND(",",T2,V2+1)</f>
        <v>37</v>
      </c>
      <c r="Y2" s="63" t="str">
        <f>IFERROR(VLOOKUP(MID(T2,W2,X2-W2),[5]skilldef!$C:$D,2,FALSE),"-") &amp; " / " &amp; IFERROR(VLOOKUP(MID(T2,U2,V2-U2),[5]skilldef!$A:$B,2,FALSE),"-")</f>
        <v>自分自身に / カウンター</v>
      </c>
      <c r="Z2" s="50"/>
      <c r="AA2" s="52"/>
      <c r="AB2" s="50"/>
    </row>
    <row r="3" spans="1:28" ht="21" customHeight="1" x14ac:dyDescent="0.15">
      <c r="A3" s="47">
        <v>13301102</v>
      </c>
      <c r="B3" s="47" t="s">
        <v>281</v>
      </c>
      <c r="C3" s="50">
        <v>3</v>
      </c>
      <c r="D3" s="50" t="s">
        <v>256</v>
      </c>
      <c r="E3" s="51" t="s">
        <v>313</v>
      </c>
      <c r="F3" s="51" t="s">
        <v>385</v>
      </c>
      <c r="G3" s="63" t="str">
        <f t="shared" si="0"/>
        <v>[effect:damage_abnormal, target:unit_all, val:0.35, status:virus, turn:2, rate:1, val_abnormal:0.1, animation:enemy_virus]</v>
      </c>
      <c r="H3" s="63">
        <f t="shared" si="1"/>
        <v>9</v>
      </c>
      <c r="I3" s="63">
        <f t="shared" si="2"/>
        <v>24</v>
      </c>
      <c r="J3" s="63">
        <f t="shared" si="3"/>
        <v>33</v>
      </c>
      <c r="K3" s="63">
        <f t="shared" si="4"/>
        <v>41</v>
      </c>
      <c r="L3" s="63" t="str">
        <f>IFERROR(VLOOKUP(MID(G3,J3,K3-J3),[5]skilldef!$C:$D,2,FALSE),"-") &amp; " / " &amp; IFERROR(VLOOKUP(MID(G3,H3,I3-H3),[5]skilldef!$A:$B,2,FALSE),"-")</f>
        <v>味方全体に / -</v>
      </c>
      <c r="M3" s="63" t="str">
        <f t="shared" si="5"/>
        <v>none</v>
      </c>
      <c r="N3" s="48" t="str">
        <f t="shared" si="6"/>
        <v>none</v>
      </c>
      <c r="O3" s="63" t="e">
        <f t="shared" si="7"/>
        <v>#VALUE!</v>
      </c>
      <c r="P3" s="63">
        <f t="shared" si="8"/>
        <v>4</v>
      </c>
      <c r="Q3" s="63" t="e">
        <f t="shared" si="9"/>
        <v>#VALUE!</v>
      </c>
      <c r="R3" s="63" t="e">
        <f t="shared" si="10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44" customHeight="1" x14ac:dyDescent="0.15">
      <c r="A4" s="47">
        <v>13301103</v>
      </c>
      <c r="B4" s="47" t="s">
        <v>314</v>
      </c>
      <c r="C4" s="50">
        <v>3</v>
      </c>
      <c r="D4" s="50" t="s">
        <v>256</v>
      </c>
      <c r="E4" s="51" t="s">
        <v>330</v>
      </c>
      <c r="F4" s="105" t="s">
        <v>255</v>
      </c>
      <c r="G4" s="63" t="str">
        <f t="shared" si="0"/>
        <v>[effect:enemy_message, val1:1.2, val2:2]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[effect:damage_anti_abnormal, target:unit_all, target_effect01:virus, val1:0.35, val2:0.15]</v>
      </c>
      <c r="N4" s="48" t="str">
        <f t="shared" si="6"/>
        <v>[effect:damage_anti_abnormal, target:unit_all, target_effect01:virus, val1:0.35, val2:0.15]</v>
      </c>
      <c r="O4" s="63">
        <f t="shared" si="7"/>
        <v>9</v>
      </c>
      <c r="P4" s="63">
        <f t="shared" si="8"/>
        <v>29</v>
      </c>
      <c r="Q4" s="63">
        <f t="shared" si="9"/>
        <v>38</v>
      </c>
      <c r="R4" s="63">
        <f t="shared" si="10"/>
        <v>46</v>
      </c>
      <c r="S4" s="63" t="str">
        <f>IFERROR(VLOOKUP(MID(N4,Q4,R4-Q4),[5]skilldef!$C:$D,2,FALSE),"-") &amp; " / " &amp; IFERROR(VLOOKUP(MID(N4,O4,P4-O4),[5]skilldef!$A:$B,2,FALSE),"-")</f>
        <v>味方全体に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44" customHeight="1" x14ac:dyDescent="0.15">
      <c r="A5" s="47">
        <v>13301104</v>
      </c>
      <c r="B5" s="47" t="s">
        <v>268</v>
      </c>
      <c r="C5" s="50">
        <v>3</v>
      </c>
      <c r="D5" s="50" t="s">
        <v>256</v>
      </c>
      <c r="E5" s="51" t="s">
        <v>382</v>
      </c>
      <c r="F5" s="51" t="s">
        <v>315</v>
      </c>
      <c r="G5" s="63" t="str">
        <f t="shared" si="0"/>
        <v>[effect:critical, val:1.5]</v>
      </c>
      <c r="H5" s="63">
        <f t="shared" si="1"/>
        <v>9</v>
      </c>
      <c r="I5" s="63">
        <f t="shared" si="2"/>
        <v>17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IFERROR(VLOOKUP(MID(G5,J5,K5-J5),[5]skilldef!$C:$D,2,FALSE),"-") &amp; " / " &amp; IFERROR(VLOOKUP(MID(G5,H5,I5-H5),[5]skilldef!$A:$B,2,FALSE),"-")</f>
        <v>- / 大攻撃</v>
      </c>
      <c r="M5" s="63" t="str">
        <f t="shared" si="5"/>
        <v>[effect:freq_turn, target:myself, turn:-1, val:1, animation:enemy_freq_turn]</v>
      </c>
      <c r="N5" s="48" t="str">
        <f t="shared" si="6"/>
        <v>[effect:freq_turn, target:myself, turn:-1, val:1, animation:enemy_freq_turn]</v>
      </c>
      <c r="O5" s="63">
        <f t="shared" si="7"/>
        <v>9</v>
      </c>
      <c r="P5" s="63">
        <f t="shared" si="8"/>
        <v>18</v>
      </c>
      <c r="Q5" s="63">
        <f t="shared" si="9"/>
        <v>27</v>
      </c>
      <c r="R5" s="63">
        <f t="shared" si="10"/>
        <v>33</v>
      </c>
      <c r="S5" s="63" t="str">
        <f>IFERROR(VLOOKUP(MID(N5,Q5,R5-Q5),[5]skilldef!$C:$D,2,FALSE),"-") &amp; " / " &amp; IFERROR(VLOOKUP(MID(N5,O5,P5-O5),[5]skilldef!$A:$B,2,FALSE),"-")</f>
        <v>自分自身に / 攻撃頻度がUP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13301105</v>
      </c>
      <c r="B6" s="47" t="s">
        <v>343</v>
      </c>
      <c r="C6" s="50">
        <v>3</v>
      </c>
      <c r="D6" s="50" t="s">
        <v>256</v>
      </c>
      <c r="E6" s="51" t="s">
        <v>257</v>
      </c>
      <c r="F6" s="51" t="s">
        <v>258</v>
      </c>
      <c r="G6" s="63" t="str">
        <f t="shared" si="0"/>
        <v>[effect:break_heal_ratio, target:myself, val:0.05, lowest_val:5000, count:-1, block_color:block_heart, block01:block_heart, animation:enemy_heal]</v>
      </c>
      <c r="H6" s="63">
        <f t="shared" si="1"/>
        <v>9</v>
      </c>
      <c r="I6" s="63">
        <f t="shared" si="2"/>
        <v>25</v>
      </c>
      <c r="J6" s="63">
        <f t="shared" si="3"/>
        <v>34</v>
      </c>
      <c r="K6" s="63">
        <f t="shared" si="4"/>
        <v>40</v>
      </c>
      <c r="L6" s="63" t="str">
        <f>IFERROR(VLOOKUP(MID(G6,J6,K6-J6),[5]skilldef!$C:$D,2,FALSE),"-") &amp; " / " &amp; IFERROR(VLOOKUP(MID(G6,H6,I6-H6),[5]skilldef!$A:$B,2,FALSE),"-")</f>
        <v>自分自身に / -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35" customHeight="1" x14ac:dyDescent="0.15">
      <c r="A7" s="47">
        <v>13301106</v>
      </c>
      <c r="B7" s="47" t="s">
        <v>316</v>
      </c>
      <c r="C7" s="50">
        <v>3</v>
      </c>
      <c r="D7" s="50" t="s">
        <v>256</v>
      </c>
      <c r="E7" s="51" t="s">
        <v>331</v>
      </c>
      <c r="F7" s="51" t="s">
        <v>317</v>
      </c>
      <c r="G7" s="63" t="str">
        <f t="shared" si="0"/>
        <v>[effect:enemy_message, val1:1.2]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[effect:degrade_fever, val:500, animation:fevergauge_down],[effect:fix_speed, target:myself, turn:1],[effect:tolerance, target:myself, turn:-1, tolerance_effect:all, count:-1, animation:enemy_tolerance]</v>
      </c>
      <c r="N7" s="48" t="str">
        <f t="shared" si="6"/>
        <v>[effect:degrade_fever, val:500, animation:fevergauge_down],[effect:fix_speed, target:myself, turn:1],[effect:tolerance, target:myself, turn:-1, tolerance_effect:all, count:-1, animation:enemy_tolerance]</v>
      </c>
      <c r="O7" s="63">
        <f t="shared" si="7"/>
        <v>9</v>
      </c>
      <c r="P7" s="63">
        <f t="shared" si="8"/>
        <v>22</v>
      </c>
      <c r="Q7" s="63">
        <f t="shared" si="9"/>
        <v>86</v>
      </c>
      <c r="R7" s="63">
        <f t="shared" si="10"/>
        <v>31</v>
      </c>
      <c r="S7" s="63" t="str">
        <f>IFERROR(VLOOKUP(MID(N7,Q7,R7-Q7),[5]skilldef!$C:$D,2,FALSE),"-") &amp; " / " &amp; IFERROR(VLOOKUP(MID(N7,O7,P7-O7),[5]skilldef!$A:$B,2,FALSE),"-")</f>
        <v>- / フィーバーゲージ減少</v>
      </c>
      <c r="T7" s="48" t="str">
        <f t="shared" si="11"/>
        <v>[effect:fix_speed, target:myself, turn:1],[effect:tolerance, target:myself, turn:-1, tolerance_effect:all, count:-1, animation:enemy_tolerance]</v>
      </c>
      <c r="U7" s="63">
        <f t="shared" si="12"/>
        <v>9</v>
      </c>
      <c r="V7" s="63">
        <f t="shared" si="13"/>
        <v>18</v>
      </c>
      <c r="W7" s="63">
        <f t="shared" si="14"/>
        <v>27</v>
      </c>
      <c r="X7" s="63">
        <f t="shared" si="15"/>
        <v>33</v>
      </c>
      <c r="Y7" s="63" t="str">
        <f>IFERROR(VLOOKUP(MID(T7,W7,X7-W7),[5]skilldef!$C:$D,2,FALSE),"-") &amp; " / " &amp; IFERROR(VLOOKUP(MID(T7,U7,V7-U7),[5]skilldef!$A:$B,2,FALSE),"-")</f>
        <v>自分自身に / 行動値設定</v>
      </c>
      <c r="Z7" s="50"/>
      <c r="AA7" s="52"/>
      <c r="AB7" s="50"/>
    </row>
    <row r="8" spans="1:28" ht="21" customHeight="1" x14ac:dyDescent="0.15">
      <c r="A8" s="47">
        <v>13301107</v>
      </c>
      <c r="B8" s="47" t="s">
        <v>282</v>
      </c>
      <c r="C8" s="50">
        <v>3</v>
      </c>
      <c r="D8" s="50" t="s">
        <v>256</v>
      </c>
      <c r="E8" s="51" t="s">
        <v>318</v>
      </c>
      <c r="F8" s="51" t="s">
        <v>362</v>
      </c>
      <c r="G8" s="63" t="str">
        <f t="shared" si="0"/>
        <v>[effect:force_change_block, new_block:time_bomb, target:block_all, ignore01:time_bomb, color:block_red, count:5, val:0.1, animation:change_block]</v>
      </c>
      <c r="H8" s="63">
        <f t="shared" si="1"/>
        <v>9</v>
      </c>
      <c r="I8" s="63">
        <f t="shared" si="2"/>
        <v>27</v>
      </c>
      <c r="J8" s="63">
        <f t="shared" si="3"/>
        <v>57</v>
      </c>
      <c r="K8" s="63">
        <f t="shared" si="4"/>
        <v>48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[effect:force_change_block, new_block:time_bomb, target:block_all, ignore01:time_bomb, color:block_blue, count:5, val:0.1, animation:change_block],[effect:force_change_block,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v>
      </c>
      <c r="N8" s="48" t="str">
        <f t="shared" si="6"/>
        <v>[effect:force_change_block, new_block:time_bomb, target:block_all, ignore01:time_bomb, color:block_blue, count:5, val:0.1, animation:change_block],[effect:force_change_block,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v>
      </c>
      <c r="O8" s="63">
        <f t="shared" si="7"/>
        <v>9</v>
      </c>
      <c r="P8" s="63">
        <f t="shared" si="8"/>
        <v>27</v>
      </c>
      <c r="Q8" s="63">
        <f t="shared" si="9"/>
        <v>57</v>
      </c>
      <c r="R8" s="63">
        <f t="shared" si="10"/>
        <v>48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v>
      </c>
      <c r="U8" s="63">
        <f t="shared" si="12"/>
        <v>9</v>
      </c>
      <c r="V8" s="63">
        <f t="shared" si="13"/>
        <v>27</v>
      </c>
      <c r="W8" s="63">
        <f t="shared" si="14"/>
        <v>57</v>
      </c>
      <c r="X8" s="63">
        <f t="shared" si="15"/>
        <v>48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13301108</v>
      </c>
      <c r="B9" s="47" t="s">
        <v>279</v>
      </c>
      <c r="C9" s="50">
        <v>3</v>
      </c>
      <c r="D9" s="50" t="s">
        <v>256</v>
      </c>
      <c r="E9" s="51" t="s">
        <v>259</v>
      </c>
      <c r="F9" s="51" t="s">
        <v>280</v>
      </c>
      <c r="G9" s="63" t="str">
        <f t="shared" si="0"/>
        <v>[effect:dis_heart, turn:2, animation:enemy_dis_heart]</v>
      </c>
      <c r="H9" s="63">
        <f t="shared" si="1"/>
        <v>9</v>
      </c>
      <c r="I9" s="63">
        <f t="shared" si="2"/>
        <v>18</v>
      </c>
      <c r="J9" s="63" t="e">
        <f t="shared" si="3"/>
        <v>#VALUE!</v>
      </c>
      <c r="K9" s="63">
        <f t="shared" si="4"/>
        <v>26</v>
      </c>
      <c r="L9" s="63" t="str">
        <f>IFERROR(VLOOKUP(MID(G9,J9,K9-J9),[5]skilldef!$C:$D,2,FALSE),"-") &amp; " / " &amp; IFERROR(VLOOKUP(MID(G9,H9,I9-H9),[5]skilldef!$A:$B,2,FALSE),"-")</f>
        <v>- / ディスハート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13301109</v>
      </c>
      <c r="B10" s="47" t="s">
        <v>319</v>
      </c>
      <c r="C10" s="50">
        <v>3</v>
      </c>
      <c r="D10" s="50" t="s">
        <v>256</v>
      </c>
      <c r="E10" s="51" t="s">
        <v>384</v>
      </c>
      <c r="F10" s="51" t="s">
        <v>361</v>
      </c>
      <c r="G10" s="63" t="str">
        <f t="shared" si="0"/>
        <v>[effect:enemy_message, val1:1, val2:2]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30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5"/>
        <v>[effect:critical, val:1]</v>
      </c>
      <c r="N10" s="48" t="str">
        <f t="shared" si="6"/>
        <v>[effect:critical, val:1]</v>
      </c>
      <c r="O10" s="63">
        <f t="shared" si="7"/>
        <v>9</v>
      </c>
      <c r="P10" s="63">
        <f t="shared" si="8"/>
        <v>17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IFERROR(VLOOKUP(MID(N10,Q10,R10-Q10),[5]skilldef!$C:$D,2,FALSE),"-") &amp; " / " &amp; IFERROR(VLOOKUP(MID(N10,O10,P10-O10),[5]skilldef!$A:$B,2,FALSE),"-")</f>
        <v>- / 大攻撃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13301110</v>
      </c>
      <c r="B11" s="47" t="s">
        <v>260</v>
      </c>
      <c r="C11" s="50">
        <v>3</v>
      </c>
      <c r="D11" s="50" t="s">
        <v>256</v>
      </c>
      <c r="E11" s="51" t="s">
        <v>381</v>
      </c>
      <c r="F11" s="51" t="s">
        <v>261</v>
      </c>
      <c r="G11" s="63" t="str">
        <f t="shared" si="0"/>
        <v>[effect:critical, val:2.5]</v>
      </c>
      <c r="H11" s="63">
        <f t="shared" si="1"/>
        <v>9</v>
      </c>
      <c r="I11" s="63">
        <f t="shared" si="2"/>
        <v>17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IFERROR(VLOOKUP(MID(G11,J11,K11-J11),[5]skilldef!$C:$D,2,FALSE),"-") &amp; " / " &amp; IFERROR(VLOOKUP(MID(G11,H11,I11-H11),[5]skilldef!$A:$B,2,FALSE),"-")</f>
        <v>- / 大攻撃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45" customHeight="1" x14ac:dyDescent="0.15">
      <c r="A12" s="47">
        <v>13301111</v>
      </c>
      <c r="B12" s="47" t="s">
        <v>320</v>
      </c>
      <c r="C12" s="50">
        <v>3</v>
      </c>
      <c r="D12" s="50" t="s">
        <v>256</v>
      </c>
      <c r="E12" s="51" t="s">
        <v>332</v>
      </c>
      <c r="F12" s="51" t="s">
        <v>340</v>
      </c>
      <c r="G12" s="63" t="str">
        <f t="shared" si="0"/>
        <v>[effect:enemy_message, val1:1, val2:2.6]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30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[effect:fix_speed, target:myself, turn:2],[effect:tolerance,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v>
      </c>
      <c r="N12" s="48" t="str">
        <f t="shared" si="6"/>
        <v>[effect:fix_speed, target:myself, turn:2],[effect:tolerance,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v>
      </c>
      <c r="O12" s="63">
        <f t="shared" si="7"/>
        <v>9</v>
      </c>
      <c r="P12" s="63">
        <f t="shared" si="8"/>
        <v>18</v>
      </c>
      <c r="Q12" s="63">
        <f t="shared" si="9"/>
        <v>27</v>
      </c>
      <c r="R12" s="63">
        <f t="shared" si="10"/>
        <v>33</v>
      </c>
      <c r="S12" s="63" t="str">
        <f>IFERROR(VLOOKUP(MID(N12,Q12,R12-Q12),[5]skilldef!$C:$D,2,FALSE),"-") &amp; " / " &amp; IFERROR(VLOOKUP(MID(N12,O12,P12-O12),[5]skilldef!$A:$B,2,FALSE),"-")</f>
        <v>自分自身に / 行動値設定</v>
      </c>
      <c r="T12" s="48" t="str">
        <f t="shared" si="11"/>
        <v>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v>
      </c>
      <c r="U12" s="63">
        <f t="shared" si="12"/>
        <v>9</v>
      </c>
      <c r="V12" s="63">
        <f t="shared" si="13"/>
        <v>18</v>
      </c>
      <c r="W12" s="63">
        <f t="shared" si="14"/>
        <v>27</v>
      </c>
      <c r="X12" s="63">
        <f t="shared" si="15"/>
        <v>33</v>
      </c>
      <c r="Y12" s="63" t="str">
        <f>IFERROR(VLOOKUP(MID(T12,W12,X12-W12),[5]skilldef!$C:$D,2,FALSE),"-") &amp; " / " &amp; IFERROR(VLOOKUP(MID(T12,U12,V12-U12),[5]skilldef!$A:$B,2,FALSE),"-")</f>
        <v>自分自身に / 状態異常耐性</v>
      </c>
      <c r="Z12" s="50"/>
      <c r="AA12" s="52"/>
      <c r="AB12" s="50"/>
    </row>
    <row r="13" spans="1:28" ht="36" customHeight="1" x14ac:dyDescent="0.15">
      <c r="A13" s="47">
        <v>13301112</v>
      </c>
      <c r="B13" s="47" t="s">
        <v>367</v>
      </c>
      <c r="C13" s="50">
        <v>3</v>
      </c>
      <c r="D13" s="50" t="s">
        <v>256</v>
      </c>
      <c r="E13" s="51" t="s">
        <v>288</v>
      </c>
      <c r="F13" s="51" t="s">
        <v>363</v>
      </c>
      <c r="G13" s="63" t="str">
        <f t="shared" si="0"/>
        <v>[effect:enemy_message, val1:1, val2:2.4]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30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[effect:crash_growth, val:-12, count:-1, animation:change_block],[effect:crash_condition, target:unit_all, turn:2, val:2, animation:enemy_crash_extend],[effect:rush, count:2, val:0.35]</v>
      </c>
      <c r="N13" s="48" t="str">
        <f t="shared" si="6"/>
        <v>[effect:crash_growth, val:-12, count:-1, animation:change_block],[effect:crash_condition, target:unit_all, turn:2, val:2, animation:enemy_crash_extend],[effect:rush, count:2, val:0.35]</v>
      </c>
      <c r="O13" s="63">
        <f t="shared" si="7"/>
        <v>9</v>
      </c>
      <c r="P13" s="63">
        <f t="shared" si="8"/>
        <v>21</v>
      </c>
      <c r="Q13" s="63">
        <f t="shared" si="9"/>
        <v>98</v>
      </c>
      <c r="R13" s="63">
        <f t="shared" si="10"/>
        <v>30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1"/>
        <v>[effect:crash_condition, target:unit_all, turn:2, val:2, animation:enemy_crash_extend],[effect:rush, count:2, val:0.35]</v>
      </c>
      <c r="U13" s="63">
        <f t="shared" si="12"/>
        <v>9</v>
      </c>
      <c r="V13" s="63">
        <f t="shared" si="13"/>
        <v>24</v>
      </c>
      <c r="W13" s="63">
        <f t="shared" si="14"/>
        <v>33</v>
      </c>
      <c r="X13" s="63">
        <f t="shared" si="15"/>
        <v>41</v>
      </c>
      <c r="Y13" s="63" t="str">
        <f>IFERROR(VLOOKUP(MID(T13,W13,X13-W13),[5]skilldef!$C:$D,2,FALSE),"-") &amp; " / " &amp; IFERROR(VLOOKUP(MID(T13,U13,V13-U13),[5]skilldef!$A:$B,2,FALSE),"-")</f>
        <v>味方全体に / -</v>
      </c>
      <c r="Z13" s="50"/>
      <c r="AA13" s="52"/>
      <c r="AB13" s="50"/>
    </row>
    <row r="14" spans="1:28" ht="21" customHeight="1" x14ac:dyDescent="0.15">
      <c r="A14" s="47">
        <v>13301113</v>
      </c>
      <c r="B14" s="47" t="s">
        <v>283</v>
      </c>
      <c r="C14" s="50">
        <v>3</v>
      </c>
      <c r="D14" s="50" t="s">
        <v>256</v>
      </c>
      <c r="E14" s="51" t="s">
        <v>289</v>
      </c>
      <c r="F14" s="51" t="s">
        <v>321</v>
      </c>
      <c r="G14" s="63" t="str">
        <f t="shared" si="0"/>
        <v>[effect:dis_heart, turn:2, animation:enemy_dis_heart]</v>
      </c>
      <c r="H14" s="63">
        <f t="shared" si="1"/>
        <v>9</v>
      </c>
      <c r="I14" s="63">
        <f t="shared" si="2"/>
        <v>18</v>
      </c>
      <c r="J14" s="63" t="e">
        <f t="shared" si="3"/>
        <v>#VALUE!</v>
      </c>
      <c r="K14" s="63">
        <f t="shared" si="4"/>
        <v>26</v>
      </c>
      <c r="L14" s="63" t="str">
        <f>IFERROR(VLOOKUP(MID(G14,J14,K14-J14),[5]skilldef!$C:$D,2,FALSE),"-") &amp; " / " &amp; IFERROR(VLOOKUP(MID(G14,H14,I14-H14),[5]skilldef!$A:$B,2,FALSE),"-")</f>
        <v>- / ディスハート</v>
      </c>
      <c r="M14" s="63" t="str">
        <f t="shared" si="5"/>
        <v>[effect:critical, val:0.7]</v>
      </c>
      <c r="N14" s="48" t="str">
        <f t="shared" si="6"/>
        <v>[effect:critical, val:0.7]</v>
      </c>
      <c r="O14" s="63">
        <f t="shared" si="7"/>
        <v>9</v>
      </c>
      <c r="P14" s="63">
        <f t="shared" si="8"/>
        <v>17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IFERROR(VLOOKUP(MID(N14,Q14,R14-Q14),[5]skilldef!$C:$D,2,FALSE),"-") &amp; " / " &amp; IFERROR(VLOOKUP(MID(N14,O14,P14-O14),[5]skilldef!$A:$B,2,FALSE),"-")</f>
        <v>- / 大攻撃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13301114</v>
      </c>
      <c r="B15" s="47" t="s">
        <v>266</v>
      </c>
      <c r="C15" s="50">
        <v>3</v>
      </c>
      <c r="D15" s="50" t="s">
        <v>256</v>
      </c>
      <c r="E15" s="51" t="s">
        <v>290</v>
      </c>
      <c r="F15" s="51" t="s">
        <v>261</v>
      </c>
      <c r="G15" s="63" t="str">
        <f t="shared" si="0"/>
        <v>[effect:critical, val:1.3, animation:enemy_critical]</v>
      </c>
      <c r="H15" s="63">
        <f t="shared" si="1"/>
        <v>9</v>
      </c>
      <c r="I15" s="63">
        <f t="shared" si="2"/>
        <v>17</v>
      </c>
      <c r="J15" s="63" t="e">
        <f t="shared" si="3"/>
        <v>#VALUE!</v>
      </c>
      <c r="K15" s="63">
        <f t="shared" si="4"/>
        <v>26</v>
      </c>
      <c r="L15" s="63" t="str">
        <f>IFERROR(VLOOKUP(MID(G15,J15,K15-J15),[5]skilldef!$C:$D,2,FALSE),"-") &amp; " / " &amp; IFERROR(VLOOKUP(MID(G15,H15,I15-H15),[5]skilldef!$A:$B,2,FALSE),"-")</f>
        <v>- / 大攻撃</v>
      </c>
      <c r="M15" s="63" t="str">
        <f t="shared" si="5"/>
        <v>none</v>
      </c>
      <c r="N15" s="48" t="str">
        <f>IFERROR(LEFT(M15,FIND("],",M15)+#REF!),M15)</f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30" customHeight="1" x14ac:dyDescent="0.15">
      <c r="A16" s="47">
        <v>13301115</v>
      </c>
      <c r="B16" s="47" t="s">
        <v>375</v>
      </c>
      <c r="C16" s="50">
        <v>3</v>
      </c>
      <c r="D16" s="50" t="s">
        <v>126</v>
      </c>
      <c r="E16" s="51" t="s">
        <v>291</v>
      </c>
      <c r="F16" s="51" t="s">
        <v>374</v>
      </c>
      <c r="G16" s="63" t="str">
        <f t="shared" si="0"/>
        <v>[effect:enemy_message, val1:1, val2:2.6]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30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5"/>
        <v>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v>
      </c>
      <c r="N16" s="48" t="str">
        <f>IFERROR(LEFT(M16,FIND("],",M16)+S27),M16)</f>
        <v>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v>
      </c>
      <c r="O16" s="63">
        <f t="shared" si="7"/>
        <v>9</v>
      </c>
      <c r="P16" s="63">
        <f t="shared" si="8"/>
        <v>18</v>
      </c>
      <c r="Q16" s="63">
        <f t="shared" si="9"/>
        <v>27</v>
      </c>
      <c r="R16" s="63">
        <f t="shared" si="10"/>
        <v>33</v>
      </c>
      <c r="S16" s="63" t="str">
        <f>IFERROR(VLOOKUP(MID(N16,Q16,R16-Q16),[5]skilldef!$C:$D,2,FALSE),"-") &amp; " / " &amp; IFERROR(VLOOKUP(MID(N16,O16,P16-O16),[5]skilldef!$A:$B,2,FALSE),"-")</f>
        <v>自分自身に / 行動値設定</v>
      </c>
      <c r="T16" s="48" t="str">
        <f t="shared" si="11"/>
        <v>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v>
      </c>
      <c r="U16" s="63">
        <f t="shared" si="12"/>
        <v>9</v>
      </c>
      <c r="V16" s="63">
        <f t="shared" si="13"/>
        <v>18</v>
      </c>
      <c r="W16" s="63">
        <f t="shared" si="14"/>
        <v>27</v>
      </c>
      <c r="X16" s="63">
        <f t="shared" si="15"/>
        <v>33</v>
      </c>
      <c r="Y16" s="63" t="str">
        <f>IFERROR(VLOOKUP(MID(T16,W16,X16-W16),[5]skilldef!$C:$D,2,FALSE),"-") &amp; " / " &amp; IFERROR(VLOOKUP(MID(T16,U16,V16-U16),[5]skilldef!$A:$B,2,FALSE),"-")</f>
        <v>自分自身に / 状態異常耐性</v>
      </c>
      <c r="Z16" s="50"/>
      <c r="AA16" s="52"/>
      <c r="AB16" s="50"/>
    </row>
    <row r="17" spans="1:28" ht="31" customHeight="1" x14ac:dyDescent="0.15">
      <c r="A17" s="47">
        <v>13301116</v>
      </c>
      <c r="B17" s="47" t="s">
        <v>370</v>
      </c>
      <c r="C17" s="50">
        <v>3</v>
      </c>
      <c r="D17" s="50" t="s">
        <v>126</v>
      </c>
      <c r="E17" s="51" t="s">
        <v>292</v>
      </c>
      <c r="F17" s="51" t="s">
        <v>364</v>
      </c>
      <c r="G17" s="63" t="str">
        <f t="shared" si="0"/>
        <v>[effect:enemy_message, val1:1, val2:2.4]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30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>[effect:damage_anti_tribe, target:unit_one, tribe:samurai, val1:5, val2:0.5],[effect:critical, val:2, animation:enemy_critical]</v>
      </c>
      <c r="N17" s="48" t="str">
        <f>IFERROR(LEFT(M17,FIND("],",M17)+S28),M17)</f>
        <v>[effect:damage_anti_tribe, target:unit_one, tribe:samurai, val1:5, val2:0.5],[effect:critical, val:2, animation:enemy_critical]</v>
      </c>
      <c r="O17" s="63">
        <f t="shared" si="7"/>
        <v>9</v>
      </c>
      <c r="P17" s="63">
        <f t="shared" si="8"/>
        <v>26</v>
      </c>
      <c r="Q17" s="63">
        <f t="shared" si="9"/>
        <v>35</v>
      </c>
      <c r="R17" s="63">
        <f t="shared" si="10"/>
        <v>43</v>
      </c>
      <c r="S17" s="63" t="str">
        <f>IFERROR(VLOOKUP(MID(N17,Q17,R17-Q17),[5]skilldef!$C:$D,2,FALSE),"-") &amp; " / " &amp; IFERROR(VLOOKUP(MID(N17,O17,P17-O17),[5]skilldef!$A:$B,2,FALSE),"-")</f>
        <v>味方単体に / 種族キラー</v>
      </c>
      <c r="T17" s="48" t="str">
        <f t="shared" si="11"/>
        <v>[effect:critical, val:2, animation:enemy_critical]</v>
      </c>
      <c r="U17" s="63">
        <f t="shared" si="12"/>
        <v>9</v>
      </c>
      <c r="V17" s="63">
        <f t="shared" si="13"/>
        <v>17</v>
      </c>
      <c r="W17" s="63" t="e">
        <f t="shared" si="14"/>
        <v>#VALUE!</v>
      </c>
      <c r="X17" s="63">
        <f t="shared" si="15"/>
        <v>24</v>
      </c>
      <c r="Y17" s="63" t="str">
        <f>IFERROR(VLOOKUP(MID(T17,W17,X17-W17),[5]skilldef!$C:$D,2,FALSE),"-") &amp; " / " &amp; IFERROR(VLOOKUP(MID(T17,U17,V17-U17),[5]skilldef!$A:$B,2,FALSE),"-")</f>
        <v>- / 大攻撃</v>
      </c>
      <c r="Z17" s="50"/>
      <c r="AA17" s="52"/>
      <c r="AB17" s="50"/>
    </row>
    <row r="18" spans="1:28" ht="21" customHeight="1" x14ac:dyDescent="0.15">
      <c r="A18" s="47">
        <v>13301117</v>
      </c>
      <c r="B18" s="47" t="s">
        <v>368</v>
      </c>
      <c r="C18" s="50">
        <v>3</v>
      </c>
      <c r="D18" s="50" t="s">
        <v>126</v>
      </c>
      <c r="E18" s="51" t="s">
        <v>293</v>
      </c>
      <c r="F18" s="51" t="s">
        <v>322</v>
      </c>
      <c r="G18" s="63" t="str">
        <f t="shared" si="0"/>
        <v>[effect:damage_abnormal, target:unit_one, val:0.7, status:hungup, turn:2, rate:1, animation:hungup01]</v>
      </c>
      <c r="H18" s="63">
        <f t="shared" si="1"/>
        <v>9</v>
      </c>
      <c r="I18" s="63">
        <f t="shared" si="2"/>
        <v>24</v>
      </c>
      <c r="J18" s="63">
        <f t="shared" si="3"/>
        <v>33</v>
      </c>
      <c r="K18" s="63">
        <f t="shared" si="4"/>
        <v>41</v>
      </c>
      <c r="L18" s="63" t="str">
        <f>IFERROR(VLOOKUP(MID(G18,J18,K18-J18),[5]skilldef!$C:$D,2,FALSE),"-") &amp; " / " &amp; IFERROR(VLOOKUP(MID(G18,H18,I18-H18),[5]skilldef!$A:$B,2,FALSE),"-")</f>
        <v>味方単体に / -</v>
      </c>
      <c r="M18" s="63" t="str">
        <f t="shared" si="5"/>
        <v>none</v>
      </c>
      <c r="N18" s="48" t="str">
        <f>IFERROR(LEFT(M18,FIND("],",M18)+S30),M18)</f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13301118</v>
      </c>
      <c r="B19" s="47" t="s">
        <v>369</v>
      </c>
      <c r="C19" s="50">
        <v>3</v>
      </c>
      <c r="D19" s="50" t="s">
        <v>126</v>
      </c>
      <c r="E19" s="51" t="s">
        <v>294</v>
      </c>
      <c r="F19" s="51" t="s">
        <v>263</v>
      </c>
      <c r="G19" s="63" t="str">
        <f t="shared" si="0"/>
        <v>[effect:break_attack_fix, target:unit_one, val:640, lowest_val:6000, count:-1, color:yellow, block01:block_heart]</v>
      </c>
      <c r="H19" s="63">
        <f t="shared" si="1"/>
        <v>9</v>
      </c>
      <c r="I19" s="63">
        <f t="shared" si="2"/>
        <v>25</v>
      </c>
      <c r="J19" s="63">
        <f t="shared" si="3"/>
        <v>34</v>
      </c>
      <c r="K19" s="63">
        <f t="shared" si="4"/>
        <v>42</v>
      </c>
      <c r="L19" s="63" t="str">
        <f>IFERROR(VLOOKUP(MID(G19,J19,K19-J19),[5]skilldef!$C:$D,2,FALSE),"-") &amp; " / " &amp; IFERROR(VLOOKUP(MID(G19,H19,I19-H19),[5]skilldef!$A:$B,2,FALSE),"-")</f>
        <v>味方単体に / -</v>
      </c>
      <c r="M19" s="63" t="str">
        <f t="shared" si="5"/>
        <v>none</v>
      </c>
      <c r="N19" s="48" t="str">
        <f>IFERROR(LEFT(M19,FIND("],",M19)+S29),M19)</f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13301119</v>
      </c>
      <c r="B20" s="47" t="s">
        <v>274</v>
      </c>
      <c r="C20" s="50">
        <v>3</v>
      </c>
      <c r="D20" s="50" t="s">
        <v>126</v>
      </c>
      <c r="E20" s="51" t="s">
        <v>295</v>
      </c>
      <c r="F20" s="51" t="s">
        <v>275</v>
      </c>
      <c r="G20" s="63" t="str">
        <f t="shared" si="0"/>
        <v>[effect:rush, count:2, val:0.65]</v>
      </c>
      <c r="H20" s="63">
        <f t="shared" si="1"/>
        <v>9</v>
      </c>
      <c r="I20" s="63">
        <f t="shared" si="2"/>
        <v>13</v>
      </c>
      <c r="J20" s="63" t="e">
        <f t="shared" si="3"/>
        <v>#VALUE!</v>
      </c>
      <c r="K20" s="63">
        <f t="shared" si="4"/>
        <v>22</v>
      </c>
      <c r="L20" s="63" t="str">
        <f>IFERROR(VLOOKUP(MID(G20,J20,K20-J20),[5]skilldef!$C:$D,2,FALSE),"-") &amp; " / " &amp; IFERROR(VLOOKUP(MID(G20,H20,I20-H20),[5]skilldef!$A:$B,2,FALSE),"-")</f>
        <v>- / 連続攻撃</v>
      </c>
      <c r="M20" s="63" t="str">
        <f t="shared" si="5"/>
        <v>none</v>
      </c>
      <c r="N20" s="48" t="str">
        <f>IFERROR(LEFT(M20,FIND("],",M20)+#REF!),M20)</f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13301120</v>
      </c>
      <c r="B21" s="47" t="s">
        <v>324</v>
      </c>
      <c r="C21" s="50">
        <v>3</v>
      </c>
      <c r="D21" s="50" t="s">
        <v>126</v>
      </c>
      <c r="E21" s="51" t="s">
        <v>383</v>
      </c>
      <c r="F21" s="51" t="s">
        <v>323</v>
      </c>
      <c r="G21" s="63" t="str">
        <f t="shared" si="0"/>
        <v>[effect:enemy_message, val1:1, val2:2]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30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[effect:fix_speed, target:myself, turn:2],[effect:tolerance, target:myself, turn:-1, tolerance_effect:all, count:-1, animation:enemy_tolerance],[effect:damage_gravity, val:0.5, animation:fevergauge_down]</v>
      </c>
      <c r="N21" s="48" t="str">
        <f>IFERROR(LEFT(M21,FIND("],",M21)+#REF!),M21)</f>
        <v>[effect:fix_speed, target:myself, turn:2],[effect:tolerance, target:myself, turn:-1, tolerance_effect:all, count:-1, animation:enemy_tolerance],[effect:damage_gravity, val:0.5, animation:fevergauge_down]</v>
      </c>
      <c r="O21" s="63">
        <f t="shared" si="7"/>
        <v>9</v>
      </c>
      <c r="P21" s="63">
        <f t="shared" si="8"/>
        <v>18</v>
      </c>
      <c r="Q21" s="63">
        <f t="shared" si="9"/>
        <v>27</v>
      </c>
      <c r="R21" s="63">
        <f t="shared" si="10"/>
        <v>33</v>
      </c>
      <c r="S21" s="63" t="str">
        <f>IFERROR(VLOOKUP(MID(N21,Q21,R21-Q21),[5]skilldef!$C:$D,2,FALSE),"-") &amp; " / " &amp; IFERROR(VLOOKUP(MID(N21,O21,P21-O21),[5]skilldef!$A:$B,2,FALSE),"-")</f>
        <v>自分自身に / 行動値設定</v>
      </c>
      <c r="T21" s="48" t="str">
        <f t="shared" si="11"/>
        <v>[effect:tolerance, target:myself, turn:-1, tolerance_effect:all, count:-1, animation:enemy_tolerance],[effect:damage_gravity, val:0.5, animation:fevergauge_down]</v>
      </c>
      <c r="U21" s="63">
        <f t="shared" si="12"/>
        <v>9</v>
      </c>
      <c r="V21" s="63">
        <f t="shared" si="13"/>
        <v>18</v>
      </c>
      <c r="W21" s="63">
        <f t="shared" si="14"/>
        <v>27</v>
      </c>
      <c r="X21" s="63">
        <f t="shared" si="15"/>
        <v>33</v>
      </c>
      <c r="Y21" s="63" t="str">
        <f>IFERROR(VLOOKUP(MID(T21,W21,X21-W21),[5]skilldef!$C:$D,2,FALSE),"-") &amp; " / " &amp; IFERROR(VLOOKUP(MID(T21,U21,V21-U21),[5]skilldef!$A:$B,2,FALSE),"-")</f>
        <v>自分自身に / 状態異常耐性</v>
      </c>
      <c r="Z21" s="50"/>
      <c r="AA21" s="52"/>
      <c r="AB21" s="50"/>
    </row>
    <row r="22" spans="1:28" ht="21" customHeight="1" x14ac:dyDescent="0.15">
      <c r="A22" s="47">
        <v>13301121</v>
      </c>
      <c r="B22" s="47" t="s">
        <v>386</v>
      </c>
      <c r="C22" s="50">
        <v>3</v>
      </c>
      <c r="D22" s="50" t="s">
        <v>126</v>
      </c>
      <c r="E22" s="51" t="s">
        <v>297</v>
      </c>
      <c r="F22" s="51" t="s">
        <v>365</v>
      </c>
      <c r="G22" s="63" t="str">
        <f t="shared" si="0"/>
        <v>[effect:enemy_message, val1:1, val2:2.2]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30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[effect:damage_abnormal, target:unit_all, val:0.25, status:attack, turn:2, rate:1, val_abnormal:0.7, calc:mul]</v>
      </c>
      <c r="N22" s="48" t="str">
        <f>IFERROR(LEFT(M22,FIND("],",M22)+S40),M22)</f>
        <v>[effect:damage_abnormal, target:unit_all, val:0.25, status:attack, turn:2, rate:1, val_abnormal:0.7, calc:mul]</v>
      </c>
      <c r="O22" s="63">
        <f t="shared" si="7"/>
        <v>9</v>
      </c>
      <c r="P22" s="63">
        <f t="shared" si="8"/>
        <v>24</v>
      </c>
      <c r="Q22" s="63">
        <f t="shared" si="9"/>
        <v>33</v>
      </c>
      <c r="R22" s="63">
        <f t="shared" si="10"/>
        <v>41</v>
      </c>
      <c r="S22" s="63" t="str">
        <f>IFERROR(VLOOKUP(MID(N22,Q22,R22-Q22),[5]skilldef!$C:$D,2,FALSE),"-") &amp; " / " &amp; IFERROR(VLOOKUP(MID(N22,O22,P22-O22),[5]skilldef!$A:$B,2,FALSE),"-")</f>
        <v>味方全体に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13301122</v>
      </c>
      <c r="B23" s="47" t="s">
        <v>387</v>
      </c>
      <c r="C23" s="50">
        <v>3</v>
      </c>
      <c r="D23" s="50" t="s">
        <v>126</v>
      </c>
      <c r="E23" s="51" t="s">
        <v>298</v>
      </c>
      <c r="F23" s="51" t="s">
        <v>265</v>
      </c>
      <c r="G23" s="63" t="str">
        <f t="shared" si="0"/>
        <v>[effect:enemy_message, val1:1, val2:2.2]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30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>[effect:damage_abnormal, target:unit_all, val:0.25, status:heal, turn:2, rate:1, val_abnormal:0.7, calc:mul, animation:degrade_unit_all_heal]</v>
      </c>
      <c r="N23" s="48" t="str">
        <f>IFERROR(LEFT(M23,FIND("],",M23)+#REF!),M23)</f>
        <v>[effect:damage_abnormal, target:unit_all, val:0.25, status:heal, turn:2, rate:1, val_abnormal:0.7, calc:mul, animation:degrade_unit_all_heal]</v>
      </c>
      <c r="O23" s="63">
        <f t="shared" si="7"/>
        <v>9</v>
      </c>
      <c r="P23" s="63">
        <f t="shared" si="8"/>
        <v>24</v>
      </c>
      <c r="Q23" s="63">
        <f t="shared" si="9"/>
        <v>33</v>
      </c>
      <c r="R23" s="63">
        <f t="shared" si="10"/>
        <v>41</v>
      </c>
      <c r="S23" s="63" t="str">
        <f>IFERROR(VLOOKUP(MID(N23,Q23,R23-Q23),[5]skilldef!$C:$D,2,FALSE),"-") &amp; " / " &amp; IFERROR(VLOOKUP(MID(N23,O23,P23-O23),[5]skilldef!$A:$B,2,FALSE),"-")</f>
        <v>味方全体に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13301123</v>
      </c>
      <c r="B24" s="47" t="s">
        <v>267</v>
      </c>
      <c r="C24" s="50">
        <v>3</v>
      </c>
      <c r="D24" s="50" t="s">
        <v>126</v>
      </c>
      <c r="E24" s="51" t="s">
        <v>296</v>
      </c>
      <c r="F24" s="51" t="s">
        <v>388</v>
      </c>
      <c r="G24" s="63" t="str">
        <f t="shared" si="0"/>
        <v>[effect:force_change_block, new_block:jammer, target:block_all, count:5, val:0, animation:change_block]</v>
      </c>
      <c r="H24" s="63">
        <f t="shared" si="1"/>
        <v>9</v>
      </c>
      <c r="I24" s="63">
        <f t="shared" si="2"/>
        <v>27</v>
      </c>
      <c r="J24" s="63">
        <f t="shared" si="3"/>
        <v>54</v>
      </c>
      <c r="K24" s="63">
        <f t="shared" si="4"/>
        <v>45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[effect:critical, val:1.3, animation:enemy_critical]</v>
      </c>
      <c r="N24" s="48" t="str">
        <f>IFERROR(LEFT(M24,FIND("],",M24)+#REF!),M24)</f>
        <v>[effect:critical, val:1.3, animation:enemy_critical]</v>
      </c>
      <c r="O24" s="63">
        <f t="shared" si="7"/>
        <v>9</v>
      </c>
      <c r="P24" s="63">
        <f t="shared" si="8"/>
        <v>17</v>
      </c>
      <c r="Q24" s="63" t="e">
        <f t="shared" si="9"/>
        <v>#VALUE!</v>
      </c>
      <c r="R24" s="63">
        <f t="shared" si="10"/>
        <v>26</v>
      </c>
      <c r="S24" s="63" t="str">
        <f>IFERROR(VLOOKUP(MID(N24,Q24,R24-Q24),[5]skilldef!$C:$D,2,FALSE),"-") &amp; " / " &amp; IFERROR(VLOOKUP(MID(N24,O24,P24-O24),[5]skilldef!$A:$B,2,FALSE),"-")</f>
        <v>- / 大攻撃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13301124</v>
      </c>
      <c r="B25" s="47" t="s">
        <v>284</v>
      </c>
      <c r="C25" s="50">
        <v>3</v>
      </c>
      <c r="D25" s="50" t="s">
        <v>126</v>
      </c>
      <c r="E25" s="51" t="s">
        <v>299</v>
      </c>
      <c r="F25" s="51" t="s">
        <v>325</v>
      </c>
      <c r="G25" s="63" t="str">
        <f t="shared" si="0"/>
        <v>[effect:fix_speed, target:myself, turn:2]</v>
      </c>
      <c r="H25" s="63">
        <f t="shared" si="1"/>
        <v>9</v>
      </c>
      <c r="I25" s="63">
        <f t="shared" si="2"/>
        <v>18</v>
      </c>
      <c r="J25" s="63">
        <f t="shared" si="3"/>
        <v>27</v>
      </c>
      <c r="K25" s="63">
        <f t="shared" si="4"/>
        <v>33</v>
      </c>
      <c r="L25" s="63" t="str">
        <f>IFERROR(VLOOKUP(MID(G25,J25,K25-J25),[5]skilldef!$C:$D,2,FALSE),"-") &amp; " / " &amp; IFERROR(VLOOKUP(MID(G25,H25,I25-H25),[5]skilldef!$A:$B,2,FALSE),"-")</f>
        <v>自分自身に / 行動値設定</v>
      </c>
      <c r="M25" s="63" t="str">
        <f t="shared" si="5"/>
        <v xml:space="preserve">[effect:tolerance, target:myself, turn:-1, tolerance_effect:all, count:-1, animation:enemy_tolerance],[effect:dis_heart, turn:5, animation:enemy_dis_heart]    </v>
      </c>
      <c r="N25" s="48" t="str">
        <f>IFERROR(LEFT(M25,FIND("],",M25)+#REF!),M25)</f>
        <v xml:space="preserve">[effect:tolerance, target:myself, turn:-1, tolerance_effect:all, count:-1, animation:enemy_tolerance],[effect:dis_heart, turn:5, animation:enemy_dis_heart]    </v>
      </c>
      <c r="O25" s="63">
        <f t="shared" si="7"/>
        <v>9</v>
      </c>
      <c r="P25" s="63">
        <f t="shared" si="8"/>
        <v>18</v>
      </c>
      <c r="Q25" s="63">
        <f t="shared" si="9"/>
        <v>27</v>
      </c>
      <c r="R25" s="63">
        <f t="shared" si="10"/>
        <v>33</v>
      </c>
      <c r="S25" s="63" t="str">
        <f>IFERROR(VLOOKUP(MID(N25,Q25,R25-Q25),[5]skilldef!$C:$D,2,FALSE),"-") &amp; " / " &amp; IFERROR(VLOOKUP(MID(N25,O25,P25-O25),[5]skilldef!$A:$B,2,FALSE),"-")</f>
        <v>自分自身に / 状態異常耐性</v>
      </c>
      <c r="T25" s="48" t="str">
        <f t="shared" si="11"/>
        <v xml:space="preserve">[effect:dis_heart, turn:5, animation:enemy_dis_heart]    </v>
      </c>
      <c r="U25" s="63">
        <f t="shared" si="12"/>
        <v>9</v>
      </c>
      <c r="V25" s="63">
        <f t="shared" si="13"/>
        <v>18</v>
      </c>
      <c r="W25" s="63" t="e">
        <f t="shared" si="14"/>
        <v>#VALUE!</v>
      </c>
      <c r="X25" s="63">
        <f t="shared" si="15"/>
        <v>26</v>
      </c>
      <c r="Y25" s="63" t="str">
        <f>IFERROR(VLOOKUP(MID(T25,W25,X25-W25),[5]skilldef!$C:$D,2,FALSE),"-") &amp; " / " &amp; IFERROR(VLOOKUP(MID(T25,U25,V25-U25),[5]skilldef!$A:$B,2,FALSE),"-")</f>
        <v>- / ディスハート</v>
      </c>
      <c r="Z25" s="50"/>
      <c r="AA25" s="52"/>
      <c r="AB25" s="50"/>
    </row>
    <row r="26" spans="1:28" ht="21" customHeight="1" x14ac:dyDescent="0.15">
      <c r="A26" s="47">
        <v>13301125</v>
      </c>
      <c r="B26" s="47" t="s">
        <v>287</v>
      </c>
      <c r="C26" s="50">
        <v>3</v>
      </c>
      <c r="D26" s="50" t="s">
        <v>126</v>
      </c>
      <c r="E26" s="51" t="s">
        <v>300</v>
      </c>
      <c r="F26" s="51" t="s">
        <v>286</v>
      </c>
      <c r="G26" s="63" t="str">
        <f t="shared" si="0"/>
        <v>[effect:enhance_enemy, target:myself, turn:2, status:attack, val:1, calc:mul, animation:enemy_enhance_attack]</v>
      </c>
      <c r="H26" s="63">
        <f t="shared" si="1"/>
        <v>9</v>
      </c>
      <c r="I26" s="63">
        <f t="shared" si="2"/>
        <v>22</v>
      </c>
      <c r="J26" s="63">
        <f t="shared" si="3"/>
        <v>31</v>
      </c>
      <c r="K26" s="63">
        <f t="shared" si="4"/>
        <v>37</v>
      </c>
      <c r="L26" s="63" t="str">
        <f>IFERROR(VLOOKUP(MID(G26,J26,K26-J26),[5]skilldef!$C:$D,2,FALSE),"-") &amp; " / " &amp; IFERROR(VLOOKUP(MID(G26,H26,I26-H26),[5]skilldef!$A:$B,2,FALSE),"-")</f>
        <v>自分自身に / ステータス強化</v>
      </c>
      <c r="M26" s="63" t="str">
        <f t="shared" si="5"/>
        <v>none</v>
      </c>
      <c r="N26" s="48" t="str">
        <f>IFERROR(LEFT(M26,FIND("],",M26)+#REF!),M26)</f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31" customHeight="1" x14ac:dyDescent="0.15">
      <c r="A27" s="47">
        <v>13301126</v>
      </c>
      <c r="B27" s="47" t="s">
        <v>329</v>
      </c>
      <c r="C27" s="50">
        <v>3</v>
      </c>
      <c r="D27" s="50" t="s">
        <v>126</v>
      </c>
      <c r="E27" s="51" t="s">
        <v>301</v>
      </c>
      <c r="F27" s="51" t="s">
        <v>366</v>
      </c>
      <c r="G27" s="63" t="str">
        <f t="shared" si="0"/>
        <v>[effect:enemy_message, val1:1, val2:2.6]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30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none</v>
      </c>
      <c r="N27" s="48" t="str">
        <f>IFERROR(LEFT(M27,FIND("],",M27)+S43),M27)</f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9" customHeight="1" x14ac:dyDescent="0.15">
      <c r="A28" s="47">
        <v>13301127</v>
      </c>
      <c r="B28" s="47" t="s">
        <v>344</v>
      </c>
      <c r="C28" s="50">
        <v>3</v>
      </c>
      <c r="D28" s="50" t="s">
        <v>126</v>
      </c>
      <c r="E28" s="51" t="s">
        <v>302</v>
      </c>
      <c r="F28" s="51" t="s">
        <v>341</v>
      </c>
      <c r="G28" s="63" t="str">
        <f t="shared" si="0"/>
        <v>[effect:enemy_message, val1:1, val2:2]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30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[effect:break_heal_ratio, target:myself, val:0.05, lowest_val:5000, count:-1, block01:block_green, animation:enemy_heal],[effect:break_attack_fix, target:unit_one, val:640, lowest_val:9800, count:-1, color:green, block01:block_red]</v>
      </c>
      <c r="N28" s="48" t="str">
        <f>IFERROR(LEFT(M28,FIND("],",M28)+S44),M28)</f>
        <v>[effect:break_heal_ratio, target:myself, val:0.05, lowest_val:5000, count:-1, block01:block_green, animation:enemy_heal]</v>
      </c>
      <c r="O28" s="63">
        <f t="shared" si="7"/>
        <v>9</v>
      </c>
      <c r="P28" s="63">
        <f t="shared" si="8"/>
        <v>25</v>
      </c>
      <c r="Q28" s="63">
        <f t="shared" si="9"/>
        <v>34</v>
      </c>
      <c r="R28" s="63">
        <f t="shared" si="10"/>
        <v>40</v>
      </c>
      <c r="S28" s="63" t="str">
        <f>IFERROR(VLOOKUP(MID(N28,Q28,R28-Q28),[5]skilldef!$C:$D,2,FALSE),"-") &amp; " / " &amp; IFERROR(VLOOKUP(MID(N28,O28,P28-O28),[5]skilldef!$A:$B,2,FALSE),"-")</f>
        <v>自分自身に / -</v>
      </c>
      <c r="T28" s="48" t="str">
        <f t="shared" si="11"/>
        <v>[effect:break_attack_fix, target:unit_one, val:640, lowest_val:9800, count:-1, color:green, block01:block_red]</v>
      </c>
      <c r="U28" s="63">
        <f t="shared" si="12"/>
        <v>9</v>
      </c>
      <c r="V28" s="63">
        <f t="shared" si="13"/>
        <v>25</v>
      </c>
      <c r="W28" s="63">
        <f t="shared" si="14"/>
        <v>34</v>
      </c>
      <c r="X28" s="63">
        <f t="shared" si="15"/>
        <v>42</v>
      </c>
      <c r="Y28" s="63" t="str">
        <f>IFERROR(VLOOKUP(MID(T28,W28,X28-W28),[5]skilldef!$C:$D,2,FALSE),"-") &amp; " / " &amp; IFERROR(VLOOKUP(MID(T28,U28,V28-U28),[5]skilldef!$A:$B,2,FALSE),"-")</f>
        <v>味方単体に / -</v>
      </c>
      <c r="Z28" s="50"/>
      <c r="AA28" s="52"/>
      <c r="AB28" s="50"/>
    </row>
    <row r="29" spans="1:28" ht="21" customHeight="1" x14ac:dyDescent="0.15">
      <c r="A29" s="47">
        <v>13301128</v>
      </c>
      <c r="B29" s="47" t="s">
        <v>270</v>
      </c>
      <c r="C29" s="50">
        <v>3</v>
      </c>
      <c r="D29" s="50" t="s">
        <v>126</v>
      </c>
      <c r="E29" s="51" t="s">
        <v>380</v>
      </c>
      <c r="F29" s="51" t="s">
        <v>271</v>
      </c>
      <c r="G29" s="63" t="str">
        <f t="shared" si="0"/>
        <v>[effect:charge, status:attack, val:2.5]</v>
      </c>
      <c r="H29" s="63">
        <f t="shared" si="1"/>
        <v>9</v>
      </c>
      <c r="I29" s="63">
        <f t="shared" si="2"/>
        <v>15</v>
      </c>
      <c r="J29" s="63" t="e">
        <f t="shared" si="3"/>
        <v>#VALUE!</v>
      </c>
      <c r="K29" s="63">
        <f t="shared" si="4"/>
        <v>30</v>
      </c>
      <c r="L29" s="63" t="str">
        <f>IFERROR(VLOOKUP(MID(G29,J29,K29-J29),[5]skilldef!$C:$D,2,FALSE),"-") &amp; " / " &amp; IFERROR(VLOOKUP(MID(G29,H29,I29-H29),[5]skilldef!$A:$B,2,FALSE),"-")</f>
        <v>- / 溜め</v>
      </c>
      <c r="M29" s="63" t="str">
        <f t="shared" si="5"/>
        <v>none</v>
      </c>
      <c r="N29" s="48" t="str">
        <f>IFERROR(LEFT(M29,FIND("],",M29)+S46),M29)</f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13301129</v>
      </c>
      <c r="B30" s="47" t="s">
        <v>269</v>
      </c>
      <c r="C30" s="50">
        <v>3</v>
      </c>
      <c r="D30" s="50" t="s">
        <v>126</v>
      </c>
      <c r="E30" s="51" t="s">
        <v>303</v>
      </c>
      <c r="F30" s="51" t="s">
        <v>389</v>
      </c>
      <c r="G30" s="63" t="str">
        <f t="shared" ref="G30" si="16">IFERROR(LEFT(B30,FIND("],",B30)),B30)</f>
        <v>[effect:force_change_block, new_block:jammer, target:block_all, count:5, val:0, animation:change_block]</v>
      </c>
      <c r="H30" s="63">
        <f t="shared" ref="H30" si="17">FIND("effect:",G30)+7</f>
        <v>9</v>
      </c>
      <c r="I30" s="63">
        <f t="shared" ref="I30" si="18">IFERROR(FIND(",",G30),LEN(G30))</f>
        <v>27</v>
      </c>
      <c r="J30" s="63">
        <f t="shared" ref="J30" si="19">FIND("target:",G30)+7</f>
        <v>54</v>
      </c>
      <c r="K30" s="63">
        <f t="shared" ref="K30" si="20">FIND(",",G30,I30+1)</f>
        <v>45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ref="M30" si="21">IFERROR(RIGHT(B30,LEN(B30)-FIND("],",B30)-1),"none")</f>
        <v>[effect:spread, val:0.25]</v>
      </c>
      <c r="N30" s="48" t="str">
        <f>IFERROR(LEFT(M30,FIND("],",M30)+S45),M30)</f>
        <v>[effect:spread, val:0.25]</v>
      </c>
      <c r="O30" s="63">
        <f t="shared" ref="O30" si="22">FIND("effect:",N30)+7</f>
        <v>9</v>
      </c>
      <c r="P30" s="63">
        <f t="shared" ref="P30" si="23">IFERROR(FIND(",",N30),LEN(N30))</f>
        <v>15</v>
      </c>
      <c r="Q30" s="63" t="e">
        <f t="shared" ref="Q30" si="24">FIND("target:",N30)+7</f>
        <v>#VALUE!</v>
      </c>
      <c r="R30" s="63" t="e">
        <f t="shared" ref="R30" si="25">FIND(",",N30,P30+1)</f>
        <v>#VALUE!</v>
      </c>
      <c r="S30" s="63" t="str">
        <f>IFERROR(VLOOKUP(MID(N30,Q30,R30-Q30),[5]skilldef!$C:$D,2,FALSE),"-") &amp; " / " &amp; IFERROR(VLOOKUP(MID(N30,O30,P30-O30),[5]skilldef!$A:$B,2,FALSE),"-")</f>
        <v>- / 全体攻撃</v>
      </c>
      <c r="T30" s="48" t="str">
        <f t="shared" ref="T30" si="26">IFERROR(RIGHT(M30,LEN(M30)-FIND("],",M30)-1),"none")</f>
        <v>none</v>
      </c>
      <c r="U30" s="63" t="e">
        <f t="shared" ref="U30" si="27">FIND("effect:",T30)+7</f>
        <v>#VALUE!</v>
      </c>
      <c r="V30" s="63">
        <f t="shared" ref="V30" si="28">IFERROR(FIND(",",T30),LEN(T30))</f>
        <v>4</v>
      </c>
      <c r="W30" s="63" t="e">
        <f t="shared" ref="W30" si="29">FIND("target:",T30)+7</f>
        <v>#VALUE!</v>
      </c>
      <c r="X30" s="63" t="e">
        <f t="shared" ref="X30" si="30">FIND(",",T30,V30+1)</f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40" customHeight="1" x14ac:dyDescent="0.15">
      <c r="A31" s="47">
        <v>13301130</v>
      </c>
      <c r="B31" s="47" t="s">
        <v>371</v>
      </c>
      <c r="C31" s="50">
        <v>3</v>
      </c>
      <c r="D31" s="50" t="s">
        <v>126</v>
      </c>
      <c r="E31" s="51" t="s">
        <v>333</v>
      </c>
      <c r="F31" s="51" t="s">
        <v>342</v>
      </c>
      <c r="G31" s="63" t="str">
        <f t="shared" si="0"/>
        <v>[effect:enemy_message, val1:1, val2:2.4]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30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5"/>
        <v>[effect:fix_speed, target:myself, turn:1],[effect:tolerance, target:myself, turn:-1, tolerance_effect:all, count:-1, animation:enemy_tolerance],[effect:degrade_unit, target:unit_all, turn:5, status:attack, val:0.5, calc:mul],[effect:degrade_unit, target:unit_all, turn:5, status:heal, val:0.5, calc:mul, animation:degrade_unit_all_heal]</v>
      </c>
      <c r="N31" s="48" t="str">
        <f>IFERROR(LEFT(M31,FIND("],",M31)+S45),M31)</f>
        <v>[effect:fix_speed, target:myself, turn:1]</v>
      </c>
      <c r="O31" s="63">
        <f t="shared" si="7"/>
        <v>9</v>
      </c>
      <c r="P31" s="63">
        <f t="shared" si="8"/>
        <v>18</v>
      </c>
      <c r="Q31" s="63">
        <f t="shared" si="9"/>
        <v>27</v>
      </c>
      <c r="R31" s="63">
        <f t="shared" si="10"/>
        <v>33</v>
      </c>
      <c r="S31" s="63" t="str">
        <f>IFERROR(VLOOKUP(MID(N31,Q31,R31-Q31),[5]skilldef!$C:$D,2,FALSE),"-") &amp; " / " &amp; IFERROR(VLOOKUP(MID(N31,O31,P31-O31),[5]skilldef!$A:$B,2,FALSE),"-")</f>
        <v>自分自身に / 行動値設定</v>
      </c>
      <c r="T31" s="48" t="str">
        <f t="shared" si="11"/>
        <v>[effect:tolerance, target:myself, turn:-1, tolerance_effect:all, count:-1, animation:enemy_tolerance],[effect:degrade_unit, target:unit_all, turn:5, status:attack, val:0.5, calc:mul],[effect:degrade_unit, target:unit_all, turn:5, status:heal, val:0.5, calc:mul, animation:degrade_unit_all_heal]</v>
      </c>
      <c r="U31" s="63">
        <f t="shared" si="12"/>
        <v>9</v>
      </c>
      <c r="V31" s="63">
        <f t="shared" si="13"/>
        <v>18</v>
      </c>
      <c r="W31" s="63">
        <f t="shared" si="14"/>
        <v>27</v>
      </c>
      <c r="X31" s="63">
        <f t="shared" si="15"/>
        <v>33</v>
      </c>
      <c r="Y31" s="63" t="str">
        <f>IFERROR(VLOOKUP(MID(T31,W31,X31-W31),[5]skilldef!$C:$D,2,FALSE),"-") &amp; " / " &amp; IFERROR(VLOOKUP(MID(T31,U31,V31-U31),[5]skilldef!$A:$B,2,FALSE),"-")</f>
        <v>自分自身に / 状態異常耐性</v>
      </c>
      <c r="Z31" s="50"/>
      <c r="AA31" s="52"/>
      <c r="AB31" s="50"/>
    </row>
    <row r="32" spans="1:28" ht="21" customHeight="1" x14ac:dyDescent="0.15">
      <c r="A32" s="47">
        <v>13301131</v>
      </c>
      <c r="B32" s="47" t="s">
        <v>335</v>
      </c>
      <c r="C32" s="50">
        <v>3</v>
      </c>
      <c r="D32" s="50" t="s">
        <v>126</v>
      </c>
      <c r="E32" s="51" t="s">
        <v>305</v>
      </c>
      <c r="F32" s="51" t="s">
        <v>272</v>
      </c>
      <c r="G32" s="63" t="str">
        <f t="shared" si="0"/>
        <v>[effect:break_attack_fix, target:unit_one, val:800, lowest_val:10000, count:-1, color:yellow, block01:block_red]</v>
      </c>
      <c r="H32" s="63">
        <f t="shared" si="1"/>
        <v>9</v>
      </c>
      <c r="I32" s="63">
        <f t="shared" si="2"/>
        <v>25</v>
      </c>
      <c r="J32" s="63">
        <f t="shared" si="3"/>
        <v>34</v>
      </c>
      <c r="K32" s="63">
        <f t="shared" si="4"/>
        <v>42</v>
      </c>
      <c r="L32" s="63" t="str">
        <f>IFERROR(VLOOKUP(MID(G32,J32,K32-J32),[5]skilldef!$C:$D,2,FALSE),"-") &amp; " / " &amp; IFERROR(VLOOKUP(MID(G32,H32,I32-H32),[5]skilldef!$A:$B,2,FALSE),"-")</f>
        <v>味方単体に / -</v>
      </c>
      <c r="M32" s="63" t="str">
        <f t="shared" si="5"/>
        <v>none</v>
      </c>
      <c r="N32" s="48" t="str">
        <f t="shared" ref="N32:N38" si="31">IFERROR(LEFT(M32,FIND("],",M32)+S48),M32)</f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13301132</v>
      </c>
      <c r="B33" s="47" t="s">
        <v>336</v>
      </c>
      <c r="C33" s="50">
        <v>3</v>
      </c>
      <c r="D33" s="50" t="s">
        <v>126</v>
      </c>
      <c r="E33" s="51" t="s">
        <v>304</v>
      </c>
      <c r="F33" s="51" t="s">
        <v>273</v>
      </c>
      <c r="G33" s="63" t="str">
        <f t="shared" si="0"/>
        <v>[effect:break_attack_fix, target:unit_one, val:800, lowest_val:10000, count:-1, color:yellow, block01:block_blue]</v>
      </c>
      <c r="H33" s="63">
        <f t="shared" si="1"/>
        <v>9</v>
      </c>
      <c r="I33" s="63">
        <f t="shared" si="2"/>
        <v>25</v>
      </c>
      <c r="J33" s="63">
        <f t="shared" si="3"/>
        <v>34</v>
      </c>
      <c r="K33" s="63">
        <f t="shared" si="4"/>
        <v>42</v>
      </c>
      <c r="L33" s="63" t="str">
        <f>IFERROR(VLOOKUP(MID(G33,J33,K33-J33),[5]skilldef!$C:$D,2,FALSE),"-") &amp; " / " &amp; IFERROR(VLOOKUP(MID(G33,H33,I33-H33),[5]skilldef!$A:$B,2,FALSE),"-")</f>
        <v>味方単体に / -</v>
      </c>
      <c r="M33" s="63" t="str">
        <f t="shared" si="5"/>
        <v>none</v>
      </c>
      <c r="N33" s="48" t="str">
        <f t="shared" si="31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IFERROR(VLOOKUP(MID(N33,Q33,R33-Q33),[5]skilldef!$C:$D,2,FALSE),"-") &amp; " / " &amp; IFERROR(VLOOKUP(MID(N33,O33,P33-O33),[5]skilldef!$A:$B,2,FALSE),"-")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36" customHeight="1" x14ac:dyDescent="0.15">
      <c r="A34" s="47">
        <v>13301133</v>
      </c>
      <c r="B34" s="47" t="s">
        <v>276</v>
      </c>
      <c r="C34" s="50">
        <v>3</v>
      </c>
      <c r="D34" s="50" t="s">
        <v>126</v>
      </c>
      <c r="E34" s="51" t="s">
        <v>334</v>
      </c>
      <c r="F34" s="51" t="s">
        <v>326</v>
      </c>
      <c r="G34" s="63" t="str">
        <f t="shared" si="0"/>
        <v>[effect:enhance_enemy, target:myself, turn:-1, status:attack, val:0.3, animation:enemy_enhance_attack]</v>
      </c>
      <c r="H34" s="63">
        <f t="shared" si="1"/>
        <v>9</v>
      </c>
      <c r="I34" s="63">
        <f t="shared" si="2"/>
        <v>22</v>
      </c>
      <c r="J34" s="63">
        <f t="shared" si="3"/>
        <v>31</v>
      </c>
      <c r="K34" s="63">
        <f t="shared" si="4"/>
        <v>37</v>
      </c>
      <c r="L34" s="63" t="str">
        <f>IFERROR(VLOOKUP(MID(G34,J34,K34-J34),[5]skilldef!$C:$D,2,FALSE),"-") &amp; " / " &amp; IFERROR(VLOOKUP(MID(G34,H34,I34-H34),[5]skilldef!$A:$B,2,FALSE),"-")</f>
        <v>自分自身に / ステータス強化</v>
      </c>
      <c r="M34" s="63" t="str">
        <f t="shared" si="5"/>
        <v>[effect:enhance_enemy, target:myself, turn:-1, status:defense, val:2160, calc:add, animation:enemy_enhance_defense]</v>
      </c>
      <c r="N34" s="48" t="str">
        <f t="shared" si="31"/>
        <v>[effect:enhance_enemy, target:myself, turn:-1, status:defense, val:2160, calc:add, animation:enemy_enhance_defense]</v>
      </c>
      <c r="O34" s="63">
        <f t="shared" si="7"/>
        <v>9</v>
      </c>
      <c r="P34" s="63">
        <f t="shared" si="8"/>
        <v>22</v>
      </c>
      <c r="Q34" s="63">
        <f t="shared" si="9"/>
        <v>31</v>
      </c>
      <c r="R34" s="63">
        <f t="shared" si="10"/>
        <v>37</v>
      </c>
      <c r="S34" s="63" t="str">
        <f>IFERROR(VLOOKUP(MID(N34,Q34,R34-Q34),[5]skilldef!$C:$D,2,FALSE),"-") &amp; " / " &amp; IFERROR(VLOOKUP(MID(N34,O34,P34-O34),[5]skilldef!$A:$B,2,FALSE),"-")</f>
        <v>自分自身に / ステータス強化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13301134</v>
      </c>
      <c r="B35" s="47" t="s">
        <v>285</v>
      </c>
      <c r="C35" s="50">
        <v>3</v>
      </c>
      <c r="D35" s="50" t="s">
        <v>126</v>
      </c>
      <c r="E35" s="51" t="s">
        <v>306</v>
      </c>
      <c r="F35" s="51" t="s">
        <v>264</v>
      </c>
      <c r="G35" s="63" t="str">
        <f t="shared" si="0"/>
        <v>[effect:rush, count:2, val:0.75]</v>
      </c>
      <c r="H35" s="63">
        <f t="shared" si="1"/>
        <v>9</v>
      </c>
      <c r="I35" s="63">
        <f t="shared" si="2"/>
        <v>13</v>
      </c>
      <c r="J35" s="63" t="e">
        <f t="shared" si="3"/>
        <v>#VALUE!</v>
      </c>
      <c r="K35" s="63">
        <f t="shared" si="4"/>
        <v>22</v>
      </c>
      <c r="L35" s="63" t="str">
        <f>IFERROR(VLOOKUP(MID(G35,J35,K35-J35),[5]skilldef!$C:$D,2,FALSE),"-") &amp; " / " &amp; IFERROR(VLOOKUP(MID(G35,H35,I35-H35),[5]skilldef!$A:$B,2,FALSE),"-")</f>
        <v>- / 連続攻撃</v>
      </c>
      <c r="M35" s="63" t="str">
        <f t="shared" si="5"/>
        <v>none</v>
      </c>
      <c r="N35" s="48" t="str">
        <f t="shared" si="31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IFERROR(VLOOKUP(MID(N35,Q35,R35-Q35),[5]skilldef!$C:$D,2,FALSE),"-") &amp; " / " &amp; IFERROR(VLOOKUP(MID(N35,O35,P35-O35),[5]skilldef!$A:$B,2,FALSE),"-")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44" customHeight="1" x14ac:dyDescent="0.15">
      <c r="A36" s="47">
        <v>13301135</v>
      </c>
      <c r="B36" s="47" t="s">
        <v>390</v>
      </c>
      <c r="C36" s="50">
        <v>3</v>
      </c>
      <c r="D36" s="50" t="s">
        <v>126</v>
      </c>
      <c r="E36" s="51" t="s">
        <v>377</v>
      </c>
      <c r="F36" s="51" t="s">
        <v>376</v>
      </c>
      <c r="G36" s="63" t="str">
        <f t="shared" si="0"/>
        <v>[effect:enemy_message, val1:1.2, val2:4.0]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5"/>
        <v>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turn:5, val:0.5, animation:reduction_one01],[effect:hungup, target:unit_hp, turn:10, rate:1, animation:hungup01]</v>
      </c>
      <c r="N36" s="48" t="str">
        <f t="shared" si="31"/>
        <v>[effect:fix_speed, target:myself, turn:1]</v>
      </c>
      <c r="O36" s="63">
        <f t="shared" si="7"/>
        <v>9</v>
      </c>
      <c r="P36" s="63">
        <f t="shared" si="8"/>
        <v>18</v>
      </c>
      <c r="Q36" s="63">
        <f t="shared" si="9"/>
        <v>27</v>
      </c>
      <c r="R36" s="63">
        <f t="shared" si="10"/>
        <v>33</v>
      </c>
      <c r="S36" s="63" t="str">
        <f>IFERROR(VLOOKUP(MID(N36,Q36,R36-Q36),[5]skilldef!$C:$D,2,FALSE),"-") &amp; " / " &amp; IFERROR(VLOOKUP(MID(N36,O36,P36-O36),[5]skilldef!$A:$B,2,FALSE),"-")</f>
        <v>自分自身に / 行動値設定</v>
      </c>
      <c r="T36" s="48" t="str">
        <f t="shared" si="11"/>
        <v>[effect:tolerance, target:myself, turn:-1, tolerance_effect:all, count:-1, animation:enemy_tolerance],[effect:remove_enhancement, target:unit_all, target_effect:all, target_type:buff, animation:frozen_wave],[effect:reduction, target:myself, color:all, turn:5, val:0.5, animation:reduction_one01],[effect:hungup, target:unit_hp, turn:10, rate:1, animation:hungup01]</v>
      </c>
      <c r="U36" s="63">
        <f t="shared" si="12"/>
        <v>9</v>
      </c>
      <c r="V36" s="63">
        <f t="shared" si="13"/>
        <v>18</v>
      </c>
      <c r="W36" s="63">
        <f t="shared" si="14"/>
        <v>27</v>
      </c>
      <c r="X36" s="63">
        <f t="shared" si="15"/>
        <v>33</v>
      </c>
      <c r="Y36" s="63" t="str">
        <f>IFERROR(VLOOKUP(MID(T36,W36,X36-W36),[5]skilldef!$C:$D,2,FALSE),"-") &amp; " / " &amp; IFERROR(VLOOKUP(MID(T36,U36,V36-U36),[5]skilldef!$A:$B,2,FALSE),"-")</f>
        <v>自分自身に / 状態異常耐性</v>
      </c>
      <c r="Z36" s="50"/>
      <c r="AA36" s="52"/>
      <c r="AB36" s="50"/>
    </row>
    <row r="37" spans="1:28" ht="38" customHeight="1" x14ac:dyDescent="0.15">
      <c r="A37" s="47">
        <v>13301136</v>
      </c>
      <c r="B37" s="47" t="s">
        <v>379</v>
      </c>
      <c r="C37" s="50">
        <v>3</v>
      </c>
      <c r="D37" s="50" t="s">
        <v>126</v>
      </c>
      <c r="E37" s="51" t="s">
        <v>327</v>
      </c>
      <c r="F37" s="51" t="s">
        <v>378</v>
      </c>
      <c r="G37" s="63" t="str">
        <f t="shared" si="0"/>
        <v>[effect:enemy_message, val1:1, val2:2]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30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5"/>
        <v>[effect:degrade_unit, target:unit_all, turn:1, status:attack, val:0.5, calc:mul]</v>
      </c>
      <c r="N37" s="48" t="str">
        <f t="shared" si="31"/>
        <v>[effect:degrade_unit, target:unit_all, turn:1, status:attack, val:0.5, calc:mul]</v>
      </c>
      <c r="O37" s="63">
        <f t="shared" si="7"/>
        <v>9</v>
      </c>
      <c r="P37" s="63">
        <f t="shared" si="8"/>
        <v>21</v>
      </c>
      <c r="Q37" s="63">
        <f t="shared" si="9"/>
        <v>30</v>
      </c>
      <c r="R37" s="63">
        <f t="shared" si="10"/>
        <v>38</v>
      </c>
      <c r="S37" s="63" t="str">
        <f>IFERROR(VLOOKUP(MID(N37,Q37,R37-Q37),[5]skilldef!$C:$D,2,FALSE),"-") &amp; " / " &amp; IFERROR(VLOOKUP(MID(N37,O37,P37-O37),[5]skilldef!$A:$B,2,FALSE),"-")</f>
        <v>味方全体に / ステータスDOWN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13301137</v>
      </c>
      <c r="B38" s="47" t="s">
        <v>373</v>
      </c>
      <c r="C38" s="50">
        <v>3</v>
      </c>
      <c r="D38" s="50" t="s">
        <v>126</v>
      </c>
      <c r="E38" s="51" t="s">
        <v>307</v>
      </c>
      <c r="F38" s="51" t="s">
        <v>372</v>
      </c>
      <c r="G38" s="63" t="str">
        <f t="shared" si="0"/>
        <v>[effect:enemy_message, val1:1, val2:2.2]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30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5"/>
        <v>[effect:break_enchance_enemy, target:myself, val:360, lowest_val:0, count:-1, status:defense, turn:1, block01:block_heart, calc:add, animation:enemy_enhance_defense],[effect:damage_anti_color, target:unit_one, color:green, val1:0.6, val2:0.42]</v>
      </c>
      <c r="N38" s="48" t="str">
        <f t="shared" si="31"/>
        <v>[effect:break_enchance_enemy, target:myself, val:360, lowest_val:0, count:-1, status:defense, turn:1, block01:block_heart, calc:add, animation:enemy_enhance_defense]</v>
      </c>
      <c r="O38" s="63">
        <f t="shared" si="7"/>
        <v>9</v>
      </c>
      <c r="P38" s="63">
        <f t="shared" si="8"/>
        <v>29</v>
      </c>
      <c r="Q38" s="63">
        <f t="shared" si="9"/>
        <v>38</v>
      </c>
      <c r="R38" s="63">
        <f t="shared" si="10"/>
        <v>44</v>
      </c>
      <c r="S38" s="63" t="str">
        <f>IFERROR(VLOOKUP(MID(N38,Q38,R38-Q38),[5]skilldef!$C:$D,2,FALSE),"-") &amp; " / " &amp; IFERROR(VLOOKUP(MID(N38,O38,P38-O38),[5]skilldef!$A:$B,2,FALSE),"-")</f>
        <v>自分自身に / -</v>
      </c>
      <c r="T38" s="48" t="str">
        <f t="shared" si="11"/>
        <v>[effect:damage_anti_color, target:unit_one, color:green, val1:0.6, val2:0.42]</v>
      </c>
      <c r="U38" s="63">
        <f t="shared" si="12"/>
        <v>9</v>
      </c>
      <c r="V38" s="63">
        <f t="shared" si="13"/>
        <v>26</v>
      </c>
      <c r="W38" s="63">
        <f t="shared" si="14"/>
        <v>35</v>
      </c>
      <c r="X38" s="63">
        <f t="shared" si="15"/>
        <v>43</v>
      </c>
      <c r="Y38" s="63" t="str">
        <f>IFERROR(VLOOKUP(MID(T38,W38,X38-W38),[5]skilldef!$C:$D,2,FALSE),"-") &amp; " / " &amp; IFERROR(VLOOKUP(MID(T38,U38,V38-U38),[5]skilldef!$A:$B,2,FALSE),"-")</f>
        <v>味方単体に / 属性キラー</v>
      </c>
      <c r="Z38" s="50"/>
      <c r="AA38" s="52"/>
      <c r="AB38" s="50"/>
    </row>
    <row r="39" spans="1:28" ht="21" customHeight="1" x14ac:dyDescent="0.15">
      <c r="A39" s="47">
        <v>13301138</v>
      </c>
      <c r="B39" s="47" t="s">
        <v>337</v>
      </c>
      <c r="C39" s="50">
        <v>3</v>
      </c>
      <c r="D39" s="50" t="s">
        <v>126</v>
      </c>
      <c r="E39" s="51" t="s">
        <v>309</v>
      </c>
      <c r="F39" s="51" t="s">
        <v>277</v>
      </c>
      <c r="G39" s="63" t="str">
        <f t="shared" si="0"/>
        <v>[effect:break_attack_fix, target:unit_one, val:480, lowest_val:13000, count:-1, color:yellow, block01:block_red, block02:block_yellow]</v>
      </c>
      <c r="H39" s="63">
        <f t="shared" si="1"/>
        <v>9</v>
      </c>
      <c r="I39" s="63">
        <f t="shared" si="2"/>
        <v>25</v>
      </c>
      <c r="J39" s="63">
        <f t="shared" si="3"/>
        <v>34</v>
      </c>
      <c r="K39" s="63">
        <f t="shared" si="4"/>
        <v>42</v>
      </c>
      <c r="L39" s="63" t="str">
        <f>IFERROR(VLOOKUP(MID(G39,J39,K39-J39),[5]skilldef!$C:$D,2,FALSE),"-") &amp; " / " &amp; IFERROR(VLOOKUP(MID(G39,H39,I39-H39),[5]skilldef!$A:$B,2,FALSE),"-")</f>
        <v>味方単体に / -</v>
      </c>
      <c r="M39" s="63" t="str">
        <f t="shared" si="5"/>
        <v>none</v>
      </c>
      <c r="N39" s="48" t="str">
        <f>IFERROR(LEFT(M39,FIND("],",M39)+S56),M39)</f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IFERROR(VLOOKUP(MID(N39,Q39,R39-Q39),[5]skilldef!$C:$D,2,FALSE),"-") &amp; " / " &amp; IFERROR(VLOOKUP(MID(N39,O39,P39-O39),[5]skilldef!$A:$B,2,FALSE),"-")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13301139</v>
      </c>
      <c r="B40" s="47" t="s">
        <v>338</v>
      </c>
      <c r="C40" s="50">
        <v>3</v>
      </c>
      <c r="D40" s="50" t="s">
        <v>126</v>
      </c>
      <c r="E40" s="51" t="s">
        <v>310</v>
      </c>
      <c r="F40" s="51" t="s">
        <v>278</v>
      </c>
      <c r="G40" s="63" t="str">
        <f t="shared" si="0"/>
        <v>[effect:break_attack_fix, target:unit_one, val:480, lowest_val:13000, count:-1, color:yellow, block01:block_blue, block02:block_yellow]</v>
      </c>
      <c r="H40" s="63">
        <f t="shared" si="1"/>
        <v>9</v>
      </c>
      <c r="I40" s="63">
        <f t="shared" si="2"/>
        <v>25</v>
      </c>
      <c r="J40" s="63">
        <f t="shared" si="3"/>
        <v>34</v>
      </c>
      <c r="K40" s="63">
        <f t="shared" si="4"/>
        <v>42</v>
      </c>
      <c r="L40" s="63" t="str">
        <f>IFERROR(VLOOKUP(MID(G40,J40,K40-J40),[5]skilldef!$C:$D,2,FALSE),"-") &amp; " / " &amp; IFERROR(VLOOKUP(MID(G40,H40,I40-H40),[5]skilldef!$A:$B,2,FALSE),"-")</f>
        <v>味方単体に / -</v>
      </c>
      <c r="M40" s="63" t="str">
        <f t="shared" si="5"/>
        <v>none</v>
      </c>
      <c r="N40" s="48" t="str">
        <f>IFERROR(LEFT(M40,FIND("],",M40)+S47),M40)</f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47">
        <v>13301140</v>
      </c>
      <c r="B41" s="47" t="s">
        <v>339</v>
      </c>
      <c r="C41" s="50">
        <v>3</v>
      </c>
      <c r="D41" s="50" t="s">
        <v>126</v>
      </c>
      <c r="E41" s="51" t="s">
        <v>308</v>
      </c>
      <c r="F41" s="51" t="s">
        <v>328</v>
      </c>
      <c r="G41" s="63" t="str">
        <f t="shared" ref="G41" si="32">IFERROR(LEFT(B41,FIND("],",B41)),B41)</f>
        <v>[effect:break_attack_fix, target:unit_one, val:1080, lowest_val:13000, count:-1, color:yellow, block01:block_all]</v>
      </c>
      <c r="H41" s="63">
        <f t="shared" ref="H41" si="33">FIND("effect:",G41)+7</f>
        <v>9</v>
      </c>
      <c r="I41" s="63">
        <f t="shared" ref="I41" si="34">IFERROR(FIND(",",G41),LEN(G41))</f>
        <v>25</v>
      </c>
      <c r="J41" s="63">
        <f t="shared" ref="J41" si="35">FIND("target:",G41)+7</f>
        <v>34</v>
      </c>
      <c r="K41" s="63">
        <f t="shared" ref="K41" si="36">FIND(",",G41,I41+1)</f>
        <v>42</v>
      </c>
      <c r="L41" s="63" t="str">
        <f>IFERROR(VLOOKUP(MID(G41,J41,K41-J41),[5]skilldef!$C:$D,2,FALSE),"-") &amp; " / " &amp; IFERROR(VLOOKUP(MID(G41,H41,I41-H41),[5]skilldef!$A:$B,2,FALSE),"-")</f>
        <v>味方単体に / -</v>
      </c>
      <c r="M41" s="63" t="str">
        <f t="shared" ref="M41" si="37">IFERROR(RIGHT(B41,LEN(B41)-FIND("],",B41)-1),"none")</f>
        <v>none</v>
      </c>
      <c r="N41" s="48" t="str">
        <f>IFERROR(LEFT(M41,FIND("],",M41)+S48),M41)</f>
        <v>none</v>
      </c>
      <c r="O41" s="63" t="e">
        <f t="shared" ref="O41" si="38">FIND("effect:",N41)+7</f>
        <v>#VALUE!</v>
      </c>
      <c r="P41" s="63">
        <f t="shared" ref="P41" si="39">IFERROR(FIND(",",N41),LEN(N41))</f>
        <v>4</v>
      </c>
      <c r="Q41" s="63" t="e">
        <f t="shared" ref="Q41" si="40">FIND("target:",N41)+7</f>
        <v>#VALUE!</v>
      </c>
      <c r="R41" s="63" t="e">
        <f t="shared" ref="R41" si="41">FIND(",",N41,P41+1)</f>
        <v>#VALUE!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ref="T41" si="42">IFERROR(RIGHT(M41,LEN(M41)-FIND("],",M41)-1),"none")</f>
        <v>none</v>
      </c>
      <c r="U41" s="63" t="e">
        <f t="shared" ref="U41" si="43">FIND("effect:",T41)+7</f>
        <v>#VALUE!</v>
      </c>
      <c r="V41" s="63">
        <f t="shared" ref="V41" si="44">IFERROR(FIND(",",T41),LEN(T41))</f>
        <v>4</v>
      </c>
      <c r="W41" s="63" t="e">
        <f t="shared" ref="W41" si="45">FIND("target:",T41)+7</f>
        <v>#VALUE!</v>
      </c>
      <c r="X41" s="63" t="e">
        <f t="shared" ref="X41" si="46">FIND(",",T41,V41+1)</f>
        <v>#VALUE!</v>
      </c>
      <c r="Y41" s="63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4"/>
  <sheetViews>
    <sheetView showGridLines="0" workbookViewId="0">
      <pane ySplit="1" topLeftCell="A27" activePane="bottomLeft" state="frozenSplit"/>
      <selection pane="bottomLeft" activeCell="C46" sqref="C4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13301101</v>
      </c>
      <c r="B2" s="48">
        <v>1</v>
      </c>
      <c r="C2" s="48" t="s">
        <v>53</v>
      </c>
      <c r="D2" s="48">
        <v>100</v>
      </c>
      <c r="E2" s="48" t="s">
        <v>53</v>
      </c>
      <c r="F2" s="48" t="s">
        <v>53</v>
      </c>
      <c r="G2" s="48">
        <v>1</v>
      </c>
      <c r="H2" s="48" t="s">
        <v>53</v>
      </c>
      <c r="I2" s="48" t="s">
        <v>53</v>
      </c>
      <c r="J2" s="48">
        <f t="shared" ref="J2" si="0">D2</f>
        <v>100</v>
      </c>
    </row>
    <row r="3" spans="1:11" ht="21" customHeight="1" x14ac:dyDescent="0.15">
      <c r="A3" s="47">
        <v>13301102</v>
      </c>
      <c r="B3" s="48">
        <v>0</v>
      </c>
      <c r="C3" s="48">
        <v>70</v>
      </c>
      <c r="D3" s="48">
        <v>100</v>
      </c>
      <c r="E3" s="48" t="s">
        <v>53</v>
      </c>
      <c r="F3" s="48" t="s">
        <v>53</v>
      </c>
      <c r="G3" s="48">
        <v>1</v>
      </c>
      <c r="H3" s="48">
        <v>1</v>
      </c>
      <c r="I3" s="48" t="s">
        <v>53</v>
      </c>
      <c r="J3" s="48">
        <f t="shared" ref="J3" si="1">D3</f>
        <v>100</v>
      </c>
    </row>
    <row r="4" spans="1:11" ht="21" customHeight="1" x14ac:dyDescent="0.15">
      <c r="A4" s="47">
        <v>13301103</v>
      </c>
      <c r="B4" s="48">
        <v>0</v>
      </c>
      <c r="C4" s="48">
        <v>80</v>
      </c>
      <c r="D4" s="48">
        <v>100</v>
      </c>
      <c r="E4" s="48" t="s">
        <v>53</v>
      </c>
      <c r="F4" s="48" t="s">
        <v>53</v>
      </c>
      <c r="G4" s="48">
        <v>1</v>
      </c>
      <c r="H4" s="48">
        <v>2</v>
      </c>
      <c r="I4" s="48" t="s">
        <v>53</v>
      </c>
      <c r="J4" s="48">
        <f t="shared" ref="J4:J13" si="2">D4</f>
        <v>100</v>
      </c>
    </row>
    <row r="5" spans="1:11" ht="21" customHeight="1" x14ac:dyDescent="0.15">
      <c r="A5" s="47">
        <v>13301104</v>
      </c>
      <c r="B5" s="48">
        <v>0</v>
      </c>
      <c r="C5" s="48">
        <v>100</v>
      </c>
      <c r="D5" s="48">
        <v>100</v>
      </c>
      <c r="E5" s="48">
        <v>50</v>
      </c>
      <c r="F5" s="48" t="s">
        <v>53</v>
      </c>
      <c r="G5" s="48">
        <v>1</v>
      </c>
      <c r="H5" s="48">
        <v>1</v>
      </c>
      <c r="I5" s="48" t="s">
        <v>53</v>
      </c>
      <c r="J5" s="48">
        <f t="shared" si="2"/>
        <v>100</v>
      </c>
    </row>
    <row r="6" spans="1:11" ht="21" customHeight="1" x14ac:dyDescent="0.15">
      <c r="A6" s="47">
        <v>13301105</v>
      </c>
      <c r="B6" s="48">
        <v>0</v>
      </c>
      <c r="C6" s="48">
        <v>90</v>
      </c>
      <c r="D6" s="48">
        <v>35</v>
      </c>
      <c r="E6" s="48">
        <v>50</v>
      </c>
      <c r="F6" s="48" t="s">
        <v>53</v>
      </c>
      <c r="G6" s="48">
        <v>1</v>
      </c>
      <c r="H6" s="48">
        <v>1</v>
      </c>
      <c r="I6" s="48" t="s">
        <v>53</v>
      </c>
      <c r="J6" s="48">
        <f t="shared" si="2"/>
        <v>35</v>
      </c>
    </row>
    <row r="7" spans="1:11" ht="21" customHeight="1" x14ac:dyDescent="0.15">
      <c r="A7" s="47">
        <v>13301106</v>
      </c>
      <c r="B7" s="48">
        <v>1</v>
      </c>
      <c r="C7" s="48" t="s">
        <v>53</v>
      </c>
      <c r="D7" s="48">
        <v>100</v>
      </c>
      <c r="E7" s="48" t="s">
        <v>53</v>
      </c>
      <c r="F7" s="48" t="s">
        <v>53</v>
      </c>
      <c r="G7" s="48">
        <v>1</v>
      </c>
      <c r="H7" s="48" t="s">
        <v>53</v>
      </c>
      <c r="I7" s="48" t="s">
        <v>53</v>
      </c>
      <c r="J7" s="48">
        <f t="shared" si="2"/>
        <v>100</v>
      </c>
    </row>
    <row r="8" spans="1:11" ht="21" customHeight="1" x14ac:dyDescent="0.15">
      <c r="A8" s="47">
        <v>13301107</v>
      </c>
      <c r="B8" s="48">
        <v>0</v>
      </c>
      <c r="C8" s="48">
        <v>100</v>
      </c>
      <c r="D8" s="48">
        <v>100</v>
      </c>
      <c r="E8" s="48" t="s">
        <v>53</v>
      </c>
      <c r="F8" s="48" t="s">
        <v>53</v>
      </c>
      <c r="G8" s="48">
        <v>1</v>
      </c>
      <c r="H8" s="48">
        <v>1</v>
      </c>
      <c r="I8" s="48" t="s">
        <v>53</v>
      </c>
      <c r="J8" s="48">
        <f t="shared" si="2"/>
        <v>100</v>
      </c>
    </row>
    <row r="9" spans="1:11" ht="21" customHeight="1" x14ac:dyDescent="0.15">
      <c r="A9" s="47">
        <v>13301108</v>
      </c>
      <c r="B9" s="48">
        <v>0</v>
      </c>
      <c r="C9" s="48">
        <v>90</v>
      </c>
      <c r="D9" s="48">
        <v>100</v>
      </c>
      <c r="E9" s="48" t="s">
        <v>53</v>
      </c>
      <c r="F9" s="48" t="s">
        <v>53</v>
      </c>
      <c r="G9" s="48">
        <v>1</v>
      </c>
      <c r="H9" s="48">
        <v>1</v>
      </c>
      <c r="I9" s="48" t="s">
        <v>53</v>
      </c>
      <c r="J9" s="48">
        <f t="shared" si="2"/>
        <v>100</v>
      </c>
    </row>
    <row r="10" spans="1:11" ht="21" customHeight="1" x14ac:dyDescent="0.15">
      <c r="A10" s="47">
        <v>13301109</v>
      </c>
      <c r="B10" s="48">
        <v>0</v>
      </c>
      <c r="C10" s="48">
        <v>80</v>
      </c>
      <c r="D10" s="48">
        <v>100</v>
      </c>
      <c r="E10" s="48" t="s">
        <v>53</v>
      </c>
      <c r="F10" s="48" t="s">
        <v>53</v>
      </c>
      <c r="G10" s="48">
        <v>1</v>
      </c>
      <c r="H10" s="48">
        <v>1</v>
      </c>
      <c r="I10" s="48" t="s">
        <v>53</v>
      </c>
      <c r="J10" s="48">
        <f t="shared" si="2"/>
        <v>100</v>
      </c>
    </row>
    <row r="11" spans="1:11" ht="21" customHeight="1" x14ac:dyDescent="0.15">
      <c r="A11" s="47">
        <v>13301110</v>
      </c>
      <c r="B11" s="48">
        <v>0</v>
      </c>
      <c r="C11" s="48">
        <v>70</v>
      </c>
      <c r="D11" s="48">
        <v>100</v>
      </c>
      <c r="E11" s="48" t="s">
        <v>53</v>
      </c>
      <c r="F11" s="48" t="s">
        <v>53</v>
      </c>
      <c r="G11" s="48">
        <v>1</v>
      </c>
      <c r="H11" s="48">
        <v>2</v>
      </c>
      <c r="I11" s="48" t="s">
        <v>53</v>
      </c>
      <c r="J11" s="48">
        <f t="shared" si="2"/>
        <v>100</v>
      </c>
    </row>
    <row r="12" spans="1:11" ht="21" customHeight="1" x14ac:dyDescent="0.15">
      <c r="A12" s="47">
        <v>13301111</v>
      </c>
      <c r="B12" s="48">
        <v>1</v>
      </c>
      <c r="C12" s="48" t="s">
        <v>53</v>
      </c>
      <c r="D12" s="48">
        <v>100</v>
      </c>
      <c r="E12" s="48" t="s">
        <v>53</v>
      </c>
      <c r="F12" s="48" t="s">
        <v>53</v>
      </c>
      <c r="G12" s="48">
        <v>1</v>
      </c>
      <c r="H12" s="48" t="s">
        <v>53</v>
      </c>
      <c r="I12" s="48" t="s">
        <v>53</v>
      </c>
      <c r="J12" s="48">
        <f t="shared" si="2"/>
        <v>100</v>
      </c>
    </row>
    <row r="13" spans="1:11" ht="21" customHeight="1" x14ac:dyDescent="0.15">
      <c r="A13" s="47">
        <v>13301112</v>
      </c>
      <c r="B13" s="48">
        <v>0</v>
      </c>
      <c r="C13" s="48">
        <v>100</v>
      </c>
      <c r="D13" s="48">
        <v>50</v>
      </c>
      <c r="E13" s="48" t="s">
        <v>53</v>
      </c>
      <c r="F13" s="48" t="s">
        <v>53</v>
      </c>
      <c r="G13" s="48" t="s">
        <v>53</v>
      </c>
      <c r="H13" s="48" t="s">
        <v>53</v>
      </c>
      <c r="I13" s="48" t="s">
        <v>53</v>
      </c>
      <c r="J13" s="48">
        <f t="shared" si="2"/>
        <v>50</v>
      </c>
    </row>
    <row r="14" spans="1:11" ht="21" customHeight="1" x14ac:dyDescent="0.15">
      <c r="A14" s="47">
        <v>13301113</v>
      </c>
      <c r="B14" s="48">
        <v>0</v>
      </c>
      <c r="C14" s="48">
        <v>90</v>
      </c>
      <c r="D14" s="48">
        <v>50</v>
      </c>
      <c r="E14" s="48" t="s">
        <v>53</v>
      </c>
      <c r="F14" s="48" t="s">
        <v>53</v>
      </c>
      <c r="G14" s="48" t="s">
        <v>53</v>
      </c>
      <c r="H14" s="48" t="s">
        <v>53</v>
      </c>
      <c r="I14" s="48" t="s">
        <v>53</v>
      </c>
      <c r="J14" s="48">
        <f t="shared" ref="J14:J42" si="3">D14</f>
        <v>50</v>
      </c>
    </row>
    <row r="15" spans="1:11" ht="21" customHeight="1" x14ac:dyDescent="0.15">
      <c r="A15" s="47">
        <v>13301114</v>
      </c>
      <c r="B15" s="48">
        <v>0</v>
      </c>
      <c r="C15" s="48">
        <v>80</v>
      </c>
      <c r="D15" s="48">
        <v>100</v>
      </c>
      <c r="E15" s="48" t="s">
        <v>53</v>
      </c>
      <c r="F15" s="48" t="s">
        <v>53</v>
      </c>
      <c r="G15" s="48" t="s">
        <v>53</v>
      </c>
      <c r="H15" s="48">
        <v>5</v>
      </c>
      <c r="I15" s="48" t="s">
        <v>53</v>
      </c>
      <c r="J15" s="48">
        <f t="shared" si="3"/>
        <v>100</v>
      </c>
    </row>
    <row r="16" spans="1:11" ht="21" customHeight="1" x14ac:dyDescent="0.15">
      <c r="A16" s="47">
        <v>13301115</v>
      </c>
      <c r="B16" s="48">
        <v>1</v>
      </c>
      <c r="C16" s="48" t="s">
        <v>53</v>
      </c>
      <c r="D16" s="48">
        <v>100</v>
      </c>
      <c r="E16" s="48" t="s">
        <v>53</v>
      </c>
      <c r="F16" s="48" t="s">
        <v>53</v>
      </c>
      <c r="G16" s="48">
        <v>1</v>
      </c>
      <c r="H16" s="48" t="s">
        <v>53</v>
      </c>
      <c r="I16" s="48" t="s">
        <v>53</v>
      </c>
      <c r="J16" s="48">
        <f t="shared" si="3"/>
        <v>100</v>
      </c>
    </row>
    <row r="17" spans="1:10" ht="21" customHeight="1" x14ac:dyDescent="0.15">
      <c r="A17" s="47">
        <v>13301116</v>
      </c>
      <c r="B17" s="48">
        <v>0</v>
      </c>
      <c r="C17" s="48">
        <v>100</v>
      </c>
      <c r="D17" s="48">
        <v>100</v>
      </c>
      <c r="E17" s="48" t="s">
        <v>53</v>
      </c>
      <c r="F17" s="48" t="s">
        <v>53</v>
      </c>
      <c r="G17" s="48">
        <v>1</v>
      </c>
      <c r="H17" s="48" t="s">
        <v>53</v>
      </c>
      <c r="I17" s="48" t="s">
        <v>53</v>
      </c>
      <c r="J17" s="48">
        <f t="shared" si="3"/>
        <v>100</v>
      </c>
    </row>
    <row r="18" spans="1:10" ht="21" customHeight="1" x14ac:dyDescent="0.15">
      <c r="A18" s="47">
        <v>13301117</v>
      </c>
      <c r="B18" s="48">
        <v>0</v>
      </c>
      <c r="C18" s="48">
        <v>90</v>
      </c>
      <c r="D18" s="48">
        <v>50</v>
      </c>
      <c r="E18" s="48" t="s">
        <v>53</v>
      </c>
      <c r="F18" s="48" t="s">
        <v>53</v>
      </c>
      <c r="G18" s="48" t="s">
        <v>53</v>
      </c>
      <c r="H18" s="48" t="s">
        <v>53</v>
      </c>
      <c r="I18" s="48" t="s">
        <v>53</v>
      </c>
      <c r="J18" s="48">
        <f t="shared" si="3"/>
        <v>50</v>
      </c>
    </row>
    <row r="19" spans="1:10" ht="21" customHeight="1" x14ac:dyDescent="0.15">
      <c r="A19" s="47">
        <v>13301118</v>
      </c>
      <c r="B19" s="48">
        <v>0</v>
      </c>
      <c r="C19" s="48">
        <v>80</v>
      </c>
      <c r="D19" s="48">
        <v>50</v>
      </c>
      <c r="E19" s="48" t="s">
        <v>53</v>
      </c>
      <c r="F19" s="48" t="s">
        <v>53</v>
      </c>
      <c r="G19" s="48" t="s">
        <v>53</v>
      </c>
      <c r="H19" s="48" t="s">
        <v>53</v>
      </c>
      <c r="I19" s="48" t="s">
        <v>53</v>
      </c>
      <c r="J19" s="48">
        <f t="shared" si="3"/>
        <v>50</v>
      </c>
    </row>
    <row r="20" spans="1:10" ht="21" customHeight="1" x14ac:dyDescent="0.15">
      <c r="A20" s="47">
        <v>13301119</v>
      </c>
      <c r="B20" s="48">
        <v>0</v>
      </c>
      <c r="C20" s="48">
        <v>70</v>
      </c>
      <c r="D20" s="48">
        <v>100</v>
      </c>
      <c r="E20" s="48" t="s">
        <v>53</v>
      </c>
      <c r="F20" s="48" t="s">
        <v>53</v>
      </c>
      <c r="G20" s="48" t="s">
        <v>53</v>
      </c>
      <c r="H20" s="48">
        <v>3</v>
      </c>
      <c r="I20" s="48" t="s">
        <v>53</v>
      </c>
      <c r="J20" s="48">
        <f t="shared" si="3"/>
        <v>100</v>
      </c>
    </row>
    <row r="21" spans="1:10" ht="21" customHeight="1" x14ac:dyDescent="0.15">
      <c r="A21" s="47">
        <v>13301120</v>
      </c>
      <c r="B21" s="48">
        <v>1</v>
      </c>
      <c r="C21" s="48" t="s">
        <v>53</v>
      </c>
      <c r="D21" s="48">
        <v>100</v>
      </c>
      <c r="E21" s="48" t="s">
        <v>53</v>
      </c>
      <c r="F21" s="48" t="s">
        <v>53</v>
      </c>
      <c r="G21" s="48">
        <v>1</v>
      </c>
      <c r="H21" s="48" t="s">
        <v>53</v>
      </c>
      <c r="I21" s="48" t="s">
        <v>53</v>
      </c>
      <c r="J21" s="48">
        <f t="shared" si="3"/>
        <v>100</v>
      </c>
    </row>
    <row r="22" spans="1:10" ht="21" customHeight="1" x14ac:dyDescent="0.15">
      <c r="A22" s="47">
        <v>13301121</v>
      </c>
      <c r="B22" s="48">
        <v>0</v>
      </c>
      <c r="C22" s="48">
        <v>100</v>
      </c>
      <c r="D22" s="48">
        <v>50</v>
      </c>
      <c r="E22" s="48" t="s">
        <v>53</v>
      </c>
      <c r="F22" s="48" t="s">
        <v>53</v>
      </c>
      <c r="G22" s="48" t="s">
        <v>53</v>
      </c>
      <c r="H22" s="48" t="s">
        <v>53</v>
      </c>
      <c r="I22" s="48" t="s">
        <v>53</v>
      </c>
      <c r="J22" s="48">
        <f t="shared" si="3"/>
        <v>50</v>
      </c>
    </row>
    <row r="23" spans="1:10" ht="21" customHeight="1" x14ac:dyDescent="0.15">
      <c r="A23" s="47">
        <v>13301122</v>
      </c>
      <c r="B23" s="48">
        <v>0</v>
      </c>
      <c r="C23" s="48">
        <v>90</v>
      </c>
      <c r="D23" s="48">
        <v>50</v>
      </c>
      <c r="E23" s="48" t="s">
        <v>53</v>
      </c>
      <c r="F23" s="48" t="s">
        <v>53</v>
      </c>
      <c r="G23" s="48" t="s">
        <v>53</v>
      </c>
      <c r="H23" s="48" t="s">
        <v>53</v>
      </c>
      <c r="I23" s="48" t="s">
        <v>53</v>
      </c>
      <c r="J23" s="48">
        <f t="shared" si="3"/>
        <v>50</v>
      </c>
    </row>
    <row r="24" spans="1:10" ht="21" customHeight="1" x14ac:dyDescent="0.15">
      <c r="A24" s="47">
        <v>13301123</v>
      </c>
      <c r="B24" s="48">
        <v>0</v>
      </c>
      <c r="C24" s="48">
        <v>80</v>
      </c>
      <c r="D24" s="48">
        <v>100</v>
      </c>
      <c r="E24" s="48" t="s">
        <v>53</v>
      </c>
      <c r="F24" s="48" t="s">
        <v>53</v>
      </c>
      <c r="G24" s="48" t="s">
        <v>53</v>
      </c>
      <c r="H24" s="48">
        <v>5</v>
      </c>
      <c r="I24" s="48" t="s">
        <v>53</v>
      </c>
      <c r="J24" s="48">
        <f t="shared" si="3"/>
        <v>100</v>
      </c>
    </row>
    <row r="25" spans="1:10" ht="21" customHeight="1" x14ac:dyDescent="0.15">
      <c r="A25" s="47">
        <v>13301124</v>
      </c>
      <c r="B25" s="48">
        <v>1</v>
      </c>
      <c r="C25" s="48" t="s">
        <v>53</v>
      </c>
      <c r="D25" s="48">
        <v>100</v>
      </c>
      <c r="E25" s="48" t="s">
        <v>53</v>
      </c>
      <c r="F25" s="48" t="s">
        <v>53</v>
      </c>
      <c r="G25" s="48">
        <v>1</v>
      </c>
      <c r="H25" s="48" t="s">
        <v>53</v>
      </c>
      <c r="I25" s="48" t="s">
        <v>53</v>
      </c>
      <c r="J25" s="48">
        <f t="shared" si="3"/>
        <v>100</v>
      </c>
    </row>
    <row r="26" spans="1:10" ht="21" customHeight="1" x14ac:dyDescent="0.15">
      <c r="A26" s="47">
        <v>13301125</v>
      </c>
      <c r="B26" s="48">
        <v>0</v>
      </c>
      <c r="C26" s="48">
        <v>100</v>
      </c>
      <c r="D26" s="48">
        <v>100</v>
      </c>
      <c r="E26" s="48" t="s">
        <v>53</v>
      </c>
      <c r="F26" s="48" t="s">
        <v>53</v>
      </c>
      <c r="G26" s="48">
        <v>1</v>
      </c>
      <c r="H26" s="48" t="s">
        <v>53</v>
      </c>
      <c r="I26" s="48" t="s">
        <v>53</v>
      </c>
      <c r="J26" s="48">
        <f t="shared" si="3"/>
        <v>100</v>
      </c>
    </row>
    <row r="27" spans="1:10" ht="21" customHeight="1" x14ac:dyDescent="0.15">
      <c r="A27" s="47">
        <v>13301126</v>
      </c>
      <c r="B27" s="48">
        <v>0</v>
      </c>
      <c r="C27" s="48">
        <v>80</v>
      </c>
      <c r="D27" s="48">
        <v>100</v>
      </c>
      <c r="E27" s="48" t="s">
        <v>53</v>
      </c>
      <c r="F27" s="48" t="s">
        <v>53</v>
      </c>
      <c r="G27" s="48">
        <v>1</v>
      </c>
      <c r="H27" s="48">
        <v>4</v>
      </c>
      <c r="I27" s="48" t="s">
        <v>53</v>
      </c>
      <c r="J27" s="48">
        <f t="shared" si="3"/>
        <v>100</v>
      </c>
    </row>
    <row r="28" spans="1:10" ht="21" customHeight="1" x14ac:dyDescent="0.15">
      <c r="A28" s="47">
        <v>13301127</v>
      </c>
      <c r="B28" s="48">
        <v>0</v>
      </c>
      <c r="C28" s="48">
        <v>70</v>
      </c>
      <c r="D28" s="48">
        <v>100</v>
      </c>
      <c r="E28" s="48" t="s">
        <v>53</v>
      </c>
      <c r="F28" s="48" t="s">
        <v>53</v>
      </c>
      <c r="G28" s="48">
        <v>1</v>
      </c>
      <c r="H28" s="48">
        <v>5</v>
      </c>
      <c r="I28" s="48" t="s">
        <v>53</v>
      </c>
      <c r="J28" s="48">
        <f t="shared" si="3"/>
        <v>100</v>
      </c>
    </row>
    <row r="29" spans="1:10" ht="21" customHeight="1" x14ac:dyDescent="0.15">
      <c r="A29" s="47">
        <v>13301128</v>
      </c>
      <c r="B29" s="48">
        <v>0</v>
      </c>
      <c r="C29" s="48">
        <v>60</v>
      </c>
      <c r="D29" s="48">
        <v>100</v>
      </c>
      <c r="E29" s="48">
        <v>35</v>
      </c>
      <c r="F29" s="48" t="s">
        <v>53</v>
      </c>
      <c r="G29" s="48">
        <v>1</v>
      </c>
      <c r="H29" s="48" t="s">
        <v>53</v>
      </c>
      <c r="I29" s="48" t="s">
        <v>53</v>
      </c>
      <c r="J29" s="48">
        <f>D29</f>
        <v>100</v>
      </c>
    </row>
    <row r="30" spans="1:10" ht="21" customHeight="1" x14ac:dyDescent="0.15">
      <c r="A30" s="47">
        <v>13301129</v>
      </c>
      <c r="B30" s="48">
        <v>0</v>
      </c>
      <c r="C30" s="48">
        <v>50</v>
      </c>
      <c r="D30" s="48">
        <v>100</v>
      </c>
      <c r="E30" s="48" t="s">
        <v>53</v>
      </c>
      <c r="F30" s="48" t="s">
        <v>53</v>
      </c>
      <c r="G30" s="48" t="s">
        <v>53</v>
      </c>
      <c r="H30" s="48">
        <v>3</v>
      </c>
      <c r="I30" s="48" t="s">
        <v>53</v>
      </c>
      <c r="J30" s="48">
        <f t="shared" si="3"/>
        <v>100</v>
      </c>
    </row>
    <row r="31" spans="1:10" ht="21" customHeight="1" x14ac:dyDescent="0.15">
      <c r="A31" s="47">
        <v>13301130</v>
      </c>
      <c r="B31" s="48">
        <v>1</v>
      </c>
      <c r="C31" s="48" t="s">
        <v>53</v>
      </c>
      <c r="D31" s="48">
        <v>100</v>
      </c>
      <c r="E31" s="48" t="s">
        <v>53</v>
      </c>
      <c r="F31" s="48" t="s">
        <v>53</v>
      </c>
      <c r="G31" s="48">
        <v>1</v>
      </c>
      <c r="H31" s="48" t="s">
        <v>53</v>
      </c>
      <c r="I31" s="48" t="s">
        <v>53</v>
      </c>
      <c r="J31" s="48">
        <f t="shared" si="3"/>
        <v>100</v>
      </c>
    </row>
    <row r="32" spans="1:10" ht="21" customHeight="1" x14ac:dyDescent="0.15">
      <c r="A32" s="47">
        <v>13301131</v>
      </c>
      <c r="B32" s="48">
        <v>0</v>
      </c>
      <c r="C32" s="48">
        <v>70</v>
      </c>
      <c r="D32" s="48">
        <v>100</v>
      </c>
      <c r="E32" s="48" t="s">
        <v>53</v>
      </c>
      <c r="F32" s="48" t="s">
        <v>53</v>
      </c>
      <c r="G32" s="48" t="s">
        <v>53</v>
      </c>
      <c r="H32" s="48">
        <v>1</v>
      </c>
      <c r="I32" s="48" t="s">
        <v>53</v>
      </c>
      <c r="J32" s="48">
        <f t="shared" si="3"/>
        <v>100</v>
      </c>
    </row>
    <row r="33" spans="1:10" ht="21" customHeight="1" x14ac:dyDescent="0.15">
      <c r="A33" s="47">
        <v>13301132</v>
      </c>
      <c r="B33" s="48">
        <v>0</v>
      </c>
      <c r="C33" s="48">
        <v>80</v>
      </c>
      <c r="D33" s="48">
        <v>100</v>
      </c>
      <c r="E33" s="48" t="s">
        <v>53</v>
      </c>
      <c r="F33" s="48" t="s">
        <v>53</v>
      </c>
      <c r="G33" s="48" t="s">
        <v>53</v>
      </c>
      <c r="H33" s="48">
        <v>2</v>
      </c>
      <c r="I33" s="48" t="s">
        <v>53</v>
      </c>
      <c r="J33" s="48">
        <f t="shared" si="3"/>
        <v>100</v>
      </c>
    </row>
    <row r="34" spans="1:10" ht="21" customHeight="1" x14ac:dyDescent="0.15">
      <c r="A34" s="47">
        <v>13301133</v>
      </c>
      <c r="B34" s="48">
        <v>0</v>
      </c>
      <c r="C34" s="48">
        <v>100</v>
      </c>
      <c r="D34" s="48">
        <v>100</v>
      </c>
      <c r="E34" s="48">
        <v>35</v>
      </c>
      <c r="F34" s="48" t="s">
        <v>53</v>
      </c>
      <c r="G34" s="48">
        <v>1</v>
      </c>
      <c r="H34" s="48">
        <v>1</v>
      </c>
      <c r="I34" s="48" t="s">
        <v>53</v>
      </c>
      <c r="J34" s="48">
        <f t="shared" si="3"/>
        <v>100</v>
      </c>
    </row>
    <row r="35" spans="1:10" ht="21" customHeight="1" x14ac:dyDescent="0.15">
      <c r="A35" s="47">
        <v>13301134</v>
      </c>
      <c r="B35" s="48">
        <v>0</v>
      </c>
      <c r="C35" s="48">
        <v>90</v>
      </c>
      <c r="D35" s="48">
        <v>100</v>
      </c>
      <c r="E35" s="48">
        <v>35</v>
      </c>
      <c r="F35" s="48" t="s">
        <v>53</v>
      </c>
      <c r="G35" s="48" t="s">
        <v>53</v>
      </c>
      <c r="H35" s="48">
        <v>1</v>
      </c>
      <c r="I35" s="48" t="s">
        <v>53</v>
      </c>
      <c r="J35" s="48">
        <f t="shared" si="3"/>
        <v>100</v>
      </c>
    </row>
    <row r="36" spans="1:10" ht="21" customHeight="1" x14ac:dyDescent="0.15">
      <c r="A36" s="47">
        <v>13301135</v>
      </c>
      <c r="B36" s="48">
        <v>1</v>
      </c>
      <c r="C36" s="48" t="s">
        <v>53</v>
      </c>
      <c r="D36" s="48">
        <v>100</v>
      </c>
      <c r="E36" s="48" t="s">
        <v>53</v>
      </c>
      <c r="F36" s="48" t="s">
        <v>53</v>
      </c>
      <c r="G36" s="48">
        <v>1</v>
      </c>
      <c r="H36" s="48" t="s">
        <v>53</v>
      </c>
      <c r="I36" s="48" t="s">
        <v>53</v>
      </c>
      <c r="J36" s="48">
        <f t="shared" si="3"/>
        <v>100</v>
      </c>
    </row>
    <row r="37" spans="1:10" ht="21" customHeight="1" x14ac:dyDescent="0.15">
      <c r="A37" s="47">
        <v>13301136</v>
      </c>
      <c r="B37" s="48">
        <v>0</v>
      </c>
      <c r="C37" s="48">
        <v>30</v>
      </c>
      <c r="D37" s="48">
        <v>100</v>
      </c>
      <c r="E37" s="48" t="s">
        <v>53</v>
      </c>
      <c r="F37" s="48" t="s">
        <v>53</v>
      </c>
      <c r="G37" s="48" t="s">
        <v>53</v>
      </c>
      <c r="H37" s="48">
        <v>1</v>
      </c>
      <c r="I37" s="48" t="s">
        <v>53</v>
      </c>
      <c r="J37" s="48">
        <f t="shared" si="3"/>
        <v>100</v>
      </c>
    </row>
    <row r="38" spans="1:10" ht="21" customHeight="1" x14ac:dyDescent="0.15">
      <c r="A38" s="47">
        <v>13301139</v>
      </c>
      <c r="B38" s="48">
        <v>0</v>
      </c>
      <c r="C38" s="48">
        <v>40</v>
      </c>
      <c r="D38" s="48">
        <v>100</v>
      </c>
      <c r="E38" s="48" t="s">
        <v>53</v>
      </c>
      <c r="F38" s="48" t="s">
        <v>53</v>
      </c>
      <c r="G38" s="48" t="s">
        <v>53</v>
      </c>
      <c r="H38" s="48">
        <v>2</v>
      </c>
      <c r="I38" s="48" t="s">
        <v>53</v>
      </c>
      <c r="J38" s="48">
        <f t="shared" si="3"/>
        <v>100</v>
      </c>
    </row>
    <row r="39" spans="1:10" ht="21" customHeight="1" x14ac:dyDescent="0.15">
      <c r="A39" s="47">
        <v>13301137</v>
      </c>
      <c r="B39" s="48">
        <v>0</v>
      </c>
      <c r="C39" s="48">
        <v>50</v>
      </c>
      <c r="D39" s="48">
        <v>100</v>
      </c>
      <c r="E39" s="48" t="s">
        <v>53</v>
      </c>
      <c r="F39" s="48" t="s">
        <v>53</v>
      </c>
      <c r="G39" s="48" t="s">
        <v>53</v>
      </c>
      <c r="H39" s="48">
        <v>3</v>
      </c>
      <c r="I39" s="48" t="s">
        <v>53</v>
      </c>
      <c r="J39" s="48">
        <f t="shared" si="3"/>
        <v>100</v>
      </c>
    </row>
    <row r="40" spans="1:10" ht="21" customHeight="1" x14ac:dyDescent="0.15">
      <c r="A40" s="47">
        <v>13301140</v>
      </c>
      <c r="B40" s="48">
        <v>0</v>
      </c>
      <c r="C40" s="48">
        <v>60</v>
      </c>
      <c r="D40" s="48">
        <v>100</v>
      </c>
      <c r="E40" s="48" t="s">
        <v>53</v>
      </c>
      <c r="F40" s="48" t="s">
        <v>53</v>
      </c>
      <c r="G40" s="48">
        <v>1</v>
      </c>
      <c r="H40" s="48">
        <v>4</v>
      </c>
      <c r="I40" s="48" t="s">
        <v>53</v>
      </c>
      <c r="J40" s="48">
        <f t="shared" ref="J40:J41" si="4">D40</f>
        <v>100</v>
      </c>
    </row>
    <row r="41" spans="1:10" ht="21" customHeight="1" x14ac:dyDescent="0.15">
      <c r="A41" s="47">
        <v>13301142</v>
      </c>
      <c r="B41" s="48">
        <v>0</v>
      </c>
      <c r="C41" s="48">
        <v>70</v>
      </c>
      <c r="D41" s="48">
        <v>100</v>
      </c>
      <c r="E41" s="48" t="s">
        <v>53</v>
      </c>
      <c r="F41" s="48" t="s">
        <v>53</v>
      </c>
      <c r="G41" s="48">
        <v>1</v>
      </c>
      <c r="H41" s="48">
        <v>5</v>
      </c>
      <c r="I41" s="48" t="s">
        <v>53</v>
      </c>
      <c r="J41" s="48">
        <f t="shared" si="4"/>
        <v>100</v>
      </c>
    </row>
    <row r="42" spans="1:10" ht="21" customHeight="1" x14ac:dyDescent="0.15">
      <c r="A42" s="47">
        <v>13301138</v>
      </c>
      <c r="B42" s="48">
        <v>0</v>
      </c>
      <c r="C42" s="48">
        <v>80</v>
      </c>
      <c r="D42" s="48">
        <v>100</v>
      </c>
      <c r="E42" s="48" t="s">
        <v>53</v>
      </c>
      <c r="F42" s="48" t="s">
        <v>53</v>
      </c>
      <c r="G42" s="48" t="s">
        <v>53</v>
      </c>
      <c r="H42" s="48">
        <v>6</v>
      </c>
      <c r="I42" s="48" t="s">
        <v>53</v>
      </c>
      <c r="J42" s="48">
        <f t="shared" si="3"/>
        <v>100</v>
      </c>
    </row>
    <row r="43" spans="1:10" ht="21" customHeight="1" x14ac:dyDescent="0.15">
      <c r="A43" s="47">
        <v>13301141</v>
      </c>
      <c r="B43" s="48">
        <v>0</v>
      </c>
      <c r="C43" s="48">
        <v>90</v>
      </c>
      <c r="D43" s="48">
        <v>100</v>
      </c>
      <c r="E43" s="48" t="s">
        <v>53</v>
      </c>
      <c r="F43" s="48" t="s">
        <v>53</v>
      </c>
      <c r="G43" s="48">
        <v>1</v>
      </c>
      <c r="H43" s="48">
        <v>8</v>
      </c>
      <c r="I43" s="48" t="s">
        <v>53</v>
      </c>
      <c r="J43" s="48">
        <f t="shared" ref="J43:J44" si="5">D43</f>
        <v>100</v>
      </c>
    </row>
    <row r="44" spans="1:10" ht="21" customHeight="1" x14ac:dyDescent="0.15">
      <c r="A44" s="47">
        <v>13301143</v>
      </c>
      <c r="B44" s="48">
        <v>0</v>
      </c>
      <c r="C44" s="48">
        <v>100</v>
      </c>
      <c r="D44" s="48">
        <v>100</v>
      </c>
      <c r="E44" s="48" t="s">
        <v>53</v>
      </c>
      <c r="F44" s="48" t="s">
        <v>53</v>
      </c>
      <c r="G44" s="48">
        <v>1</v>
      </c>
      <c r="H44" s="48">
        <v>9</v>
      </c>
      <c r="I44" s="48" t="s">
        <v>53</v>
      </c>
      <c r="J44" s="48">
        <f t="shared" si="5"/>
        <v>100</v>
      </c>
    </row>
  </sheetData>
  <autoFilter ref="A1:G1"/>
  <phoneticPr fontId="5"/>
  <conditionalFormatting sqref="K45:K1048576 K42 K1:K2 K12:K39">
    <cfRule type="duplicateValues" dxfId="4" priority="6"/>
  </conditionalFormatting>
  <conditionalFormatting sqref="K3:K11">
    <cfRule type="duplicateValues" dxfId="3" priority="8"/>
  </conditionalFormatting>
  <conditionalFormatting sqref="K40:K41">
    <cfRule type="duplicateValues" dxfId="2" priority="4"/>
  </conditionalFormatting>
  <conditionalFormatting sqref="K43">
    <cfRule type="duplicateValues" dxfId="1" priority="3"/>
  </conditionalFormatting>
  <conditionalFormatting sqref="K4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4"/>
  <sheetViews>
    <sheetView showGridLines="0" zoomScale="140" zoomScaleNormal="140" zoomScalePageLayoutView="140" workbookViewId="0">
      <pane xSplit="5" ySplit="1" topLeftCell="F34" activePane="bottomRight" state="frozen"/>
      <selection pane="topRight"/>
      <selection pane="bottomLeft"/>
      <selection pane="bottomRight" activeCell="G47" sqref="G4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9.33203125" style="49" customWidth="1" outlineLevel="1"/>
    <col min="5" max="5" width="9" style="49" customWidth="1" outlineLevel="1"/>
    <col min="6" max="6" width="10.83203125" style="49" bestFit="1" customWidth="1"/>
    <col min="7" max="7" width="8.33203125" style="49" bestFit="1" customWidth="1" outlineLevel="1"/>
    <col min="8" max="8" width="12.83203125" style="49" outlineLevel="1"/>
    <col min="9" max="9" width="16.33203125" style="49" customWidth="1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13301101_13301101</v>
      </c>
      <c r="B2" s="47">
        <v>13301101</v>
      </c>
      <c r="C2" s="47">
        <v>13301101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生意気な奴らが来ましたね…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状態異常耐性+_x000D_解除するまで全属性カウンター（弱）</v>
      </c>
      <c r="F2" s="47">
        <v>13301101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1" si="1">B3&amp;"_"&amp;C3</f>
        <v>13301101_13301102</v>
      </c>
      <c r="B3" s="47">
        <v>13301101</v>
      </c>
      <c r="C3" s="47">
        <v>13301102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私の策は完璧です…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2ターンウィルス状態+全体攻撃</v>
      </c>
      <c r="F3" s="47">
        <v>13301102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13301101_13301103</v>
      </c>
      <c r="B4" s="47">
        <v>13301101</v>
      </c>
      <c r="C4" s="47">
        <v>13301103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さぁ…_x000D_苦しむ顔を見せなさい…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4" s="47">
        <v>13301103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13301101_13301104</v>
      </c>
      <c r="B5" s="47">
        <v>13301101</v>
      </c>
      <c r="C5" s="47">
        <v>13301104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フフ…_x000D_逃がしませんよ…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自身の攻撃頻度UP+クリティカル！</v>
      </c>
      <c r="F5" s="47">
        <v>13301104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13301101_13301105</v>
      </c>
      <c r="B6" s="47">
        <v>13301101</v>
      </c>
      <c r="C6" s="47">
        <v>13301105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全て私のもの…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ハートパネルを吸収して回復</v>
      </c>
      <c r="F6" s="47">
        <v>13301105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" s="47"/>
      <c r="Q6" s="47"/>
      <c r="R6" s="47"/>
    </row>
    <row r="7" spans="1:18" ht="21" customHeight="1" x14ac:dyDescent="0.15">
      <c r="A7" s="39" t="str">
        <f t="shared" si="1"/>
        <v>13301102_13301106</v>
      </c>
      <c r="B7" s="47">
        <v>13301102</v>
      </c>
      <c r="C7" s="47">
        <v>13301106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ハァ〜ン？_x000D_まだわかりませんかァ？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状態異常耐性+フィーバーゲージ減少</v>
      </c>
      <c r="F7" s="47">
        <v>13301106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13301102_13301107</v>
      </c>
      <c r="B8" s="47">
        <v>13301102</v>
      </c>
      <c r="C8" s="47">
        <v>13301107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私の策は完璧なんですよ？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時限式ダメージパネル大量生成</v>
      </c>
      <c r="F8" s="47">
        <v>13301107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13301102_13301108</v>
      </c>
      <c r="B9" s="47">
        <v>13301102</v>
      </c>
      <c r="C9" s="47">
        <v>13301108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残念ですが手遅れですよ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9" s="47">
        <v>13301108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13301102_13301109</v>
      </c>
      <c r="B10" s="47">
        <v>13301102</v>
      </c>
      <c r="C10" s="47">
        <v>13301109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さぁ_x000D_観念しなさい…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単体攻撃(次のターン強力なクリティカル！)</v>
      </c>
      <c r="F10" s="47">
        <v>13301109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13301102_13301110</v>
      </c>
      <c r="B11" s="47">
        <v>13301102</v>
      </c>
      <c r="C11" s="47">
        <v>13301110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あぁ…_x000D_いい顔だ…！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7">
        <v>13301110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41" si="2">B12&amp;"_"&amp;C12</f>
        <v>13301103_13301111</v>
      </c>
      <c r="B12" s="47">
        <v>13301103</v>
      </c>
      <c r="C12" s="47">
        <v>13301111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通りたいなら_x000D_武器を置いていけ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状態異常耐性+全てのプラス効果を解除+_x000D_確率でパネルがプロテクト状態でドロップ</v>
      </c>
      <c r="F12" s="47">
        <v>13301111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13301103_13301112</v>
      </c>
      <c r="B13" s="47">
        <v>13301103</v>
      </c>
      <c r="C13" s="47">
        <v>13301112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力を見せてみろ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Cパネル縮小+2ターンCパネル生成大延長+_x000D_2回連続攻撃</v>
      </c>
      <c r="F13" s="47">
        <v>13301112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x14ac:dyDescent="0.15">
      <c r="A14" s="39" t="str">
        <f t="shared" si="2"/>
        <v>13301103_13301113</v>
      </c>
      <c r="B14" s="47">
        <v>13301103</v>
      </c>
      <c r="C14" s="47">
        <v>13301113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小細工は無しだ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2ターンハートパネル無効+単体攻撃</v>
      </c>
      <c r="F14" s="47">
        <v>13301113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si="2"/>
        <v>13301103_13301114</v>
      </c>
      <c r="B15" s="47">
        <v>13301103</v>
      </c>
      <c r="C15" s="47">
        <v>13301114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岩融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47">
        <v>13301114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13301104_13301115</v>
      </c>
      <c r="B16" s="47">
        <v>13301104</v>
      </c>
      <c r="C16" s="47">
        <v>13301115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全力で行かせてもらおう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状態異常耐性+全てのプラス効果を解除+_x000D_2ターン全属性ダメージ90%軽減</v>
      </c>
      <c r="F16" s="47">
        <v>13301115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13301104_13301116</v>
      </c>
      <c r="B17" s="47">
        <v>13301104</v>
      </c>
      <c r="C17" s="47">
        <v>13301116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あまり嘗めるなよ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種族サムライのユニットに大ダメージ+_x000D_クリティカル！</v>
      </c>
      <c r="F17" s="47">
        <v>13301116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13301104_13301117</v>
      </c>
      <c r="B18" s="47">
        <v>13301104</v>
      </c>
      <c r="C18" s="47">
        <v>13301117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甘い！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2ターンスキルバインド+単体攻撃</v>
      </c>
      <c r="F18" s="47">
        <v>13301117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7"/>
      <c r="Q18" s="47"/>
      <c r="R18" s="47"/>
    </row>
    <row r="19" spans="1:18" ht="21" customHeight="1" x14ac:dyDescent="0.15">
      <c r="A19" s="39" t="str">
        <f t="shared" si="2"/>
        <v>13301104_13301118</v>
      </c>
      <c r="B19" s="47">
        <v>13301104</v>
      </c>
      <c r="C19" s="47">
        <v>13301118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守る隙など与えん！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9" s="47">
        <v>13301118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7"/>
      <c r="Q19" s="47"/>
      <c r="R19" s="47"/>
    </row>
    <row r="20" spans="1:18" ht="21" customHeight="1" x14ac:dyDescent="0.15">
      <c r="A20" s="39" t="str">
        <f t="shared" si="2"/>
        <v>13301104_13301119</v>
      </c>
      <c r="B20" s="47">
        <v>13301104</v>
      </c>
      <c r="C20" s="47">
        <v>13301119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全て出し切る！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0" s="47">
        <v>13301119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13301105_13301120</v>
      </c>
      <c r="B21" s="47">
        <v>13301105</v>
      </c>
      <c r="C21" s="47">
        <v>13301120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来い_x000D_…遊んでやろう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状態異常耐性+残りHPの50%ダメージ！</v>
      </c>
      <c r="F21" s="47">
        <v>13301120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13301105_13301121</v>
      </c>
      <c r="B22" s="47">
        <v>13301105</v>
      </c>
      <c r="C22" s="47">
        <v>13301121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気分がいいぞ…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2ターンユニット全体の攻撃力70%DOWN+全体攻撃</v>
      </c>
      <c r="F22" s="47">
        <v>13301121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2"/>
        <v>13301105_13301122</v>
      </c>
      <c r="B23" s="47">
        <v>13301105</v>
      </c>
      <c r="C23" s="47">
        <v>13301122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踊れヤギども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2ターンユニット全体の回復力70%DOWN+全体攻撃</v>
      </c>
      <c r="F23" s="47">
        <v>13301122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7"/>
      <c r="Q23" s="47"/>
      <c r="R23" s="47"/>
    </row>
    <row r="24" spans="1:18" ht="21" customHeight="1" x14ac:dyDescent="0.15">
      <c r="A24" s="39" t="str">
        <f t="shared" si="2"/>
        <v>13301105_13301123</v>
      </c>
      <c r="B24" s="47">
        <v>13301105</v>
      </c>
      <c r="C24" s="47">
        <v>13301123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くぐり抜けてみせろ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お邪魔パネルをランダムに5個生成+_x000D_クリティカル！</v>
      </c>
      <c r="F24" s="47">
        <v>13301123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13301106_13301124</v>
      </c>
      <c r="B25" s="47">
        <v>13301106</v>
      </c>
      <c r="C25" s="47">
        <v>13301124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…貴様らに未来は無い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状態異常耐性+5ターンハートパネル無効</v>
      </c>
      <c r="F25" s="47">
        <v>13301124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13301106_13301125</v>
      </c>
      <c r="B26" s="47">
        <v>13301106</v>
      </c>
      <c r="C26" s="47">
        <v>13301125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このオレが愛でてやろう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2ターン自身の攻撃力UP</v>
      </c>
      <c r="F26" s="47">
        <v>13301125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13301106_13301126</v>
      </c>
      <c r="B27" s="47">
        <v>13301106</v>
      </c>
      <c r="C27" s="47">
        <v>13301126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格の違いを見せてやろう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次のターン緑パネルを吸収して回復+_x000D_次のターン赤パネルを吸収して攻撃</v>
      </c>
      <c r="F27" s="47">
        <v>13301126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13301106_13301127</v>
      </c>
      <c r="B28" s="47">
        <v>13301106</v>
      </c>
      <c r="C28" s="47">
        <v>13301127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ひれ伏せ！愚民ども！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緑パネルを吸収して回復+_x000D_赤パネルを吸収して攻撃</v>
      </c>
      <c r="F28" s="47">
        <v>13301127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13301106_13301128</v>
      </c>
      <c r="B29" s="47">
        <v>13301106</v>
      </c>
      <c r="C29" s="47">
        <v>13301128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クックック_x000D_…いいだろう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9" s="47">
        <v>13301128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13301106_13301129</v>
      </c>
      <c r="B30" s="47">
        <v>13301106</v>
      </c>
      <c r="C30" s="47">
        <v>13301129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…目障りだ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お邪魔パネルをランダムに5個生成+_x000D_全体攻撃</v>
      </c>
      <c r="F30" s="47">
        <v>13301129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2"/>
        <v>13301107_13301130</v>
      </c>
      <c r="B31" s="47">
        <v>13301107</v>
      </c>
      <c r="C31" s="47">
        <v>13301130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我ガ前ニ立ツカ…_x000D_愚カナリ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状態異常耐性+_x000D_5ターンユニット全体の攻撃力&amp;回復力50%DOWN</v>
      </c>
      <c r="F31" s="47">
        <v>13301130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13301107_13301131</v>
      </c>
      <c r="B32" s="47">
        <v>13301107</v>
      </c>
      <c r="C32" s="47">
        <v>13301131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剥奪の龍息【朱】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32" s="47">
        <v>13301131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13301107_13301132</v>
      </c>
      <c r="B33" s="47">
        <v>13301107</v>
      </c>
      <c r="C33" s="47">
        <v>13301132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剥奪の龍息【蒼】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33" s="47">
        <v>13301132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2"/>
        <v>13301107_13301133</v>
      </c>
      <c r="B34" s="47">
        <v>13301107</v>
      </c>
      <c r="C34" s="47">
        <v>13301133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足リヌッ！_x000D_工夫ガ足リンッ！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自身の攻撃力&amp;防御力UP</v>
      </c>
      <c r="F34" s="47">
        <v>13301133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13301107_13301134</v>
      </c>
      <c r="B35" s="47">
        <v>13301107</v>
      </c>
      <c r="C35" s="47">
        <v>13301134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崩天牙撃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5" s="47">
        <v>13301134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13301108_13301135</v>
      </c>
      <c r="B36" s="47">
        <v>13301108</v>
      </c>
      <c r="C36" s="47">
        <v>13301135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笑止！_x000D_命ガ惜シクナイヨウダナ！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状態異常耐性+全てのプラス効果を解除+_x000D_5ターン全属性ダメージ50%軽減+_x000D_10ターン体力タイプのユニットにスキルバインド</v>
      </c>
      <c r="F36" s="47">
        <v>13301135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2"/>
        <v>13301108_13301136</v>
      </c>
      <c r="B37" s="47">
        <v>13301108</v>
      </c>
      <c r="C37" s="47">
        <v>13301136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我ガ力ノ為ノ贄トナレ…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1ターンユニット全体の攻撃力50%DOWN</v>
      </c>
      <c r="F37" s="47">
        <v>13301136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13301108_13301136</v>
      </c>
      <c r="B38" s="47">
        <v>13301108</v>
      </c>
      <c r="C38" s="47">
        <v>13301136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我ガ力ノ為ノ贄トナレ…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1ターンユニット全体の攻撃力50%DOWN</v>
      </c>
      <c r="F38" s="47">
        <v>13301139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13301108_13301137</v>
      </c>
      <c r="B39" s="47">
        <v>13301108</v>
      </c>
      <c r="C39" s="47">
        <v>13301137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究極因子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1ターンハートパネルを吸収して防御力UP+単体攻撃</v>
      </c>
      <c r="F39" s="47">
        <v>13301137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2"/>
        <v>13301108_13301137</v>
      </c>
      <c r="B40" s="47">
        <v>13301108</v>
      </c>
      <c r="C40" s="47">
        <v>13301137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究極因子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1ターンハートパネルを吸収して防御力UP+単体攻撃</v>
      </c>
      <c r="F40" s="47">
        <v>13301140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2"/>
        <v>13301108_13301137</v>
      </c>
      <c r="B41" s="47">
        <v>13301108</v>
      </c>
      <c r="C41" s="47">
        <v>13301137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究極因子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1ターンハートパネルを吸収して防御力UP+単体攻撃</v>
      </c>
      <c r="F41" s="47">
        <v>13301142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:A43" si="3">B42&amp;"_"&amp;C42</f>
        <v>13301108_13301138</v>
      </c>
      <c r="B42" s="47">
        <v>13301108</v>
      </c>
      <c r="C42" s="47">
        <v>13301138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劫奪の龍息【真紅】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赤&amp;黄パネルを吸収して攻撃</v>
      </c>
      <c r="F42" s="47">
        <v>13301138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3"/>
        <v>13301108_13301139</v>
      </c>
      <c r="B43" s="47">
        <v>13301108</v>
      </c>
      <c r="C43" s="47">
        <v>13301139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劫奪の龍息【群青】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青&amp;黄パネルを吸収して攻撃</v>
      </c>
      <c r="F43" s="47">
        <v>13301141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" si="4">B44&amp;"_"&amp;C44</f>
        <v>13301108_13301140</v>
      </c>
      <c r="B44" s="47">
        <v>13301108</v>
      </c>
      <c r="C44" s="47">
        <v>13301140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塵芥ト成リ果テロッッ！！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全てのパネルを吸収して攻撃</v>
      </c>
      <c r="F44" s="47">
        <v>13301143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B10" sqref="B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1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7">
        <v>13301</v>
      </c>
      <c r="B2" s="57">
        <v>14</v>
      </c>
      <c r="C2" s="70" t="str">
        <f t="shared" ref="C2:C10" si="0">A2&amp; "_"&amp;B2</f>
        <v>13301_14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253</v>
      </c>
      <c r="G2" s="57">
        <v>121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</v>
      </c>
      <c r="Q2" s="57" t="s">
        <v>167</v>
      </c>
      <c r="R2" s="57" t="s">
        <v>168</v>
      </c>
    </row>
    <row r="3" spans="1:18" x14ac:dyDescent="0.15">
      <c r="A3" s="57">
        <v>13301</v>
      </c>
      <c r="B3" s="57">
        <v>14</v>
      </c>
      <c r="C3" s="70" t="str">
        <f t="shared" si="0"/>
        <v>13301_14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253</v>
      </c>
      <c r="G3" s="57">
        <v>607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167</v>
      </c>
      <c r="R3" s="57" t="s">
        <v>168</v>
      </c>
    </row>
    <row r="4" spans="1:18" x14ac:dyDescent="0.15">
      <c r="A4" s="57">
        <v>13301</v>
      </c>
      <c r="B4" s="57">
        <v>14</v>
      </c>
      <c r="C4" s="70" t="str">
        <f t="shared" si="0"/>
        <v>13301_14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253</v>
      </c>
      <c r="G4" s="57">
        <v>611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100</v>
      </c>
      <c r="Q4" s="57" t="s">
        <v>167</v>
      </c>
      <c r="R4" s="57" t="s">
        <v>168</v>
      </c>
    </row>
    <row r="5" spans="1:18" x14ac:dyDescent="0.15">
      <c r="A5" s="57">
        <v>13301</v>
      </c>
      <c r="B5" s="57">
        <v>14</v>
      </c>
      <c r="C5" s="70" t="str">
        <f t="shared" si="0"/>
        <v>13301_14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253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40</v>
      </c>
      <c r="Q5" s="57" t="s">
        <v>167</v>
      </c>
      <c r="R5" s="57" t="s">
        <v>168</v>
      </c>
    </row>
    <row r="6" spans="1:18" x14ac:dyDescent="0.15">
      <c r="A6" s="57">
        <v>13301</v>
      </c>
      <c r="B6" s="57">
        <v>14</v>
      </c>
      <c r="C6" s="70" t="str">
        <f t="shared" si="0"/>
        <v>13301_14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253</v>
      </c>
      <c r="G6" s="57">
        <v>610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40</v>
      </c>
      <c r="Q6" s="57" t="s">
        <v>167</v>
      </c>
      <c r="R6" s="57" t="s">
        <v>168</v>
      </c>
    </row>
    <row r="7" spans="1:18" x14ac:dyDescent="0.15">
      <c r="A7" s="57">
        <v>13301</v>
      </c>
      <c r="B7" s="57">
        <v>14</v>
      </c>
      <c r="C7" s="70" t="str">
        <f t="shared" si="0"/>
        <v>13301_14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6</v>
      </c>
      <c r="F7" s="57" t="s">
        <v>253</v>
      </c>
      <c r="G7" s="57">
        <v>334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</v>
      </c>
      <c r="Q7" s="57" t="s">
        <v>167</v>
      </c>
      <c r="R7" s="57" t="s">
        <v>168</v>
      </c>
    </row>
    <row r="8" spans="1:18" x14ac:dyDescent="0.15">
      <c r="A8" s="57">
        <v>13301</v>
      </c>
      <c r="B8" s="57">
        <v>14</v>
      </c>
      <c r="C8" s="70" t="str">
        <f t="shared" si="0"/>
        <v>13301_14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7</v>
      </c>
      <c r="F8" s="57" t="s">
        <v>253</v>
      </c>
      <c r="G8" s="57">
        <v>335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190</v>
      </c>
      <c r="Q8" s="57" t="s">
        <v>167</v>
      </c>
      <c r="R8" s="57" t="s">
        <v>168</v>
      </c>
    </row>
    <row r="9" spans="1:18" x14ac:dyDescent="0.15">
      <c r="A9" s="57">
        <v>13301</v>
      </c>
      <c r="B9" s="57">
        <v>14</v>
      </c>
      <c r="C9" s="70" t="str">
        <f t="shared" si="0"/>
        <v>13301_14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7">
        <v>8</v>
      </c>
      <c r="F9" s="57" t="s">
        <v>254</v>
      </c>
      <c r="G9" s="57">
        <v>500</v>
      </c>
      <c r="H9" s="57" t="s">
        <v>53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450</v>
      </c>
      <c r="Q9" s="57" t="s">
        <v>167</v>
      </c>
      <c r="R9" s="57" t="s">
        <v>168</v>
      </c>
    </row>
    <row r="10" spans="1:18" x14ac:dyDescent="0.15">
      <c r="A10" s="57">
        <v>13301</v>
      </c>
      <c r="B10" s="57">
        <v>14</v>
      </c>
      <c r="C10" s="70" t="str">
        <f t="shared" si="0"/>
        <v>13301_14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7">
        <v>9</v>
      </c>
      <c r="F10" s="57" t="s">
        <v>253</v>
      </c>
      <c r="G10" s="57">
        <v>837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60</v>
      </c>
      <c r="Q10" s="57" t="s">
        <v>167</v>
      </c>
      <c r="R10" s="57" t="s">
        <v>168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21" sqref="H20:H21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2" t="s">
        <v>187</v>
      </c>
      <c r="C1" s="76" t="s">
        <v>188</v>
      </c>
      <c r="D1" s="76" t="s">
        <v>33</v>
      </c>
      <c r="E1" s="72" t="s">
        <v>189</v>
      </c>
      <c r="F1" s="76" t="s">
        <v>190</v>
      </c>
      <c r="G1" s="76" t="s">
        <v>33</v>
      </c>
      <c r="H1" s="72" t="s">
        <v>191</v>
      </c>
      <c r="I1" s="89" t="s">
        <v>193</v>
      </c>
      <c r="J1" s="78" t="s">
        <v>125</v>
      </c>
      <c r="K1" s="77" t="s">
        <v>184</v>
      </c>
      <c r="L1" s="90" t="s">
        <v>183</v>
      </c>
      <c r="M1" s="79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6" activePane="bottomLeft" state="frozen"/>
      <selection pane="bottomLeft" activeCell="H15" sqref="H15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186</v>
      </c>
      <c r="B1" s="72" t="s">
        <v>149</v>
      </c>
      <c r="C1" s="76" t="s">
        <v>188</v>
      </c>
      <c r="D1" s="76" t="s">
        <v>33</v>
      </c>
      <c r="E1" s="72" t="s">
        <v>189</v>
      </c>
      <c r="F1" s="76" t="s">
        <v>18</v>
      </c>
      <c r="G1" s="76" t="s">
        <v>33</v>
      </c>
      <c r="H1" s="72" t="s">
        <v>191</v>
      </c>
      <c r="I1" s="87" t="s">
        <v>192</v>
      </c>
      <c r="J1" s="89" t="s">
        <v>193</v>
      </c>
      <c r="K1" s="78" t="s">
        <v>125</v>
      </c>
      <c r="L1" s="77" t="s">
        <v>184</v>
      </c>
      <c r="M1" s="90" t="s">
        <v>183</v>
      </c>
      <c r="N1" s="79" t="s">
        <v>194</v>
      </c>
    </row>
    <row r="2" spans="1:14" ht="28" x14ac:dyDescent="0.15">
      <c r="A2" s="80" t="s">
        <v>195</v>
      </c>
      <c r="B2" s="81">
        <v>13301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14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14階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>
        <v>1</v>
      </c>
      <c r="I2" s="88">
        <f t="shared" ref="I2:I17" si="0">ROW()-1</f>
        <v>1</v>
      </c>
      <c r="J2" s="108" t="str">
        <f t="shared" ref="J2:J17" si="1">B2&amp;TEXT(I2,"100")</f>
        <v>13301101</v>
      </c>
      <c r="K2" s="83" t="s">
        <v>196</v>
      </c>
      <c r="L2" s="85" t="s">
        <v>197</v>
      </c>
      <c r="M2" s="106" t="s">
        <v>357</v>
      </c>
      <c r="N2" s="57" t="s">
        <v>198</v>
      </c>
    </row>
    <row r="3" spans="1:14" ht="28" x14ac:dyDescent="0.15">
      <c r="A3" s="80" t="s">
        <v>195</v>
      </c>
      <c r="B3" s="81">
        <v>13301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14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14階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>
        <v>1</v>
      </c>
      <c r="I3" s="88">
        <f t="shared" si="0"/>
        <v>2</v>
      </c>
      <c r="J3" s="108" t="str">
        <f t="shared" si="1"/>
        <v>13301102</v>
      </c>
      <c r="K3" s="83" t="s">
        <v>126</v>
      </c>
      <c r="L3" s="85" t="s">
        <v>197</v>
      </c>
      <c r="M3" s="106" t="s">
        <v>345</v>
      </c>
      <c r="N3" s="57" t="s">
        <v>198</v>
      </c>
    </row>
    <row r="4" spans="1:14" ht="42" x14ac:dyDescent="0.15">
      <c r="A4" s="80" t="s">
        <v>195</v>
      </c>
      <c r="B4" s="81">
        <v>13301</v>
      </c>
      <c r="C4" s="82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2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3">
        <v>14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14階 コスト制限なし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4">
        <v>2</v>
      </c>
      <c r="I4" s="88">
        <f t="shared" si="0"/>
        <v>3</v>
      </c>
      <c r="J4" s="108" t="str">
        <f t="shared" si="1"/>
        <v>13301103</v>
      </c>
      <c r="K4" s="83" t="s">
        <v>196</v>
      </c>
      <c r="L4" s="85" t="s">
        <v>197</v>
      </c>
      <c r="M4" s="106" t="s">
        <v>346</v>
      </c>
      <c r="N4" s="57" t="s">
        <v>198</v>
      </c>
    </row>
    <row r="5" spans="1:14" ht="56" x14ac:dyDescent="0.15">
      <c r="A5" s="80" t="s">
        <v>195</v>
      </c>
      <c r="B5" s="81">
        <v>13301</v>
      </c>
      <c r="C5" s="82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2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3">
        <v>14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14階 コスト制限なし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4">
        <v>2</v>
      </c>
      <c r="I5" s="88">
        <f t="shared" si="0"/>
        <v>4</v>
      </c>
      <c r="J5" s="108" t="str">
        <f t="shared" si="1"/>
        <v>13301104</v>
      </c>
      <c r="K5" s="83" t="s">
        <v>126</v>
      </c>
      <c r="L5" s="85" t="s">
        <v>197</v>
      </c>
      <c r="M5" s="106" t="s">
        <v>347</v>
      </c>
      <c r="N5" s="57" t="s">
        <v>198</v>
      </c>
    </row>
    <row r="6" spans="1:14" ht="42" x14ac:dyDescent="0.15">
      <c r="A6" s="80" t="s">
        <v>195</v>
      </c>
      <c r="B6" s="81">
        <v>13301</v>
      </c>
      <c r="C6" s="82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2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3">
        <v>14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14階 コスト制限なし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4">
        <v>2</v>
      </c>
      <c r="I6" s="88">
        <f t="shared" si="0"/>
        <v>5</v>
      </c>
      <c r="J6" s="108" t="str">
        <f t="shared" si="1"/>
        <v>13301105</v>
      </c>
      <c r="K6" s="83" t="s">
        <v>126</v>
      </c>
      <c r="L6" s="85" t="s">
        <v>197</v>
      </c>
      <c r="M6" s="106" t="s">
        <v>348</v>
      </c>
      <c r="N6" s="57" t="s">
        <v>198</v>
      </c>
    </row>
    <row r="7" spans="1:14" ht="28" x14ac:dyDescent="0.15">
      <c r="A7" s="80" t="s">
        <v>195</v>
      </c>
      <c r="B7" s="81">
        <v>13301</v>
      </c>
      <c r="C7" s="82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2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3">
        <v>14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14階 コスト制限なし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4">
        <v>3</v>
      </c>
      <c r="I7" s="88">
        <f t="shared" si="0"/>
        <v>6</v>
      </c>
      <c r="J7" s="108" t="str">
        <f t="shared" si="1"/>
        <v>13301106</v>
      </c>
      <c r="K7" s="83" t="s">
        <v>196</v>
      </c>
      <c r="L7" s="85" t="s">
        <v>197</v>
      </c>
      <c r="M7" s="106" t="s">
        <v>391</v>
      </c>
      <c r="N7" s="57" t="s">
        <v>198</v>
      </c>
    </row>
    <row r="8" spans="1:14" ht="42" x14ac:dyDescent="0.15">
      <c r="A8" s="80" t="s">
        <v>195</v>
      </c>
      <c r="B8" s="81">
        <v>13301</v>
      </c>
      <c r="C8" s="82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2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3">
        <v>14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14階 コスト制限なし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4">
        <v>3</v>
      </c>
      <c r="I8" s="88">
        <f t="shared" si="0"/>
        <v>7</v>
      </c>
      <c r="J8" s="108" t="str">
        <f t="shared" si="1"/>
        <v>13301107</v>
      </c>
      <c r="K8" s="83" t="s">
        <v>126</v>
      </c>
      <c r="L8" s="85" t="s">
        <v>197</v>
      </c>
      <c r="M8" s="106" t="s">
        <v>349</v>
      </c>
      <c r="N8" s="57" t="s">
        <v>198</v>
      </c>
    </row>
    <row r="9" spans="1:14" ht="28" x14ac:dyDescent="0.15">
      <c r="A9" s="80" t="s">
        <v>195</v>
      </c>
      <c r="B9" s="81">
        <v>13301</v>
      </c>
      <c r="C9" s="82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2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3">
        <v>14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14階 コスト制限なし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4">
        <v>3</v>
      </c>
      <c r="I9" s="88">
        <f t="shared" si="0"/>
        <v>8</v>
      </c>
      <c r="J9" s="108" t="str">
        <f t="shared" si="1"/>
        <v>13301108</v>
      </c>
      <c r="K9" s="83" t="s">
        <v>126</v>
      </c>
      <c r="L9" s="85" t="s">
        <v>197</v>
      </c>
      <c r="M9" s="106" t="s">
        <v>350</v>
      </c>
      <c r="N9" s="57" t="s">
        <v>198</v>
      </c>
    </row>
    <row r="10" spans="1:14" ht="42" x14ac:dyDescent="0.15">
      <c r="A10" s="80" t="s">
        <v>195</v>
      </c>
      <c r="B10" s="81">
        <v>13301</v>
      </c>
      <c r="C10" s="82" t="str">
        <f ca="1">VLOOKUP($B10,OFFSET([2]quests!$A$1,0,0,COUNTA([2]quests!$A:$A),MATCH(C$1,[2]quests!$1:$1,0)-MATCH($B$1,[2]quests!$1:$1,0)+1),MATCH(C$1,[2]quests!$1:$1,0)-MATCH($B$1,[2]quests!$1:$1,0)+1,FALSE)</f>
        <v>タワーオブザクイーン -アヴァルシア-</v>
      </c>
      <c r="D10" s="82" t="str">
        <f ca="1">VLOOKUP($B10,OFFSET([2]quests!$A$1,0,0,COUNTA([2]quests!$A:$A),MATCH(D$1,[2]quests!$1:$1,0)-MATCH($B$1,[2]quests!$1:$1,0)+1),MATCH(D$1,[2]quests!$1:$1,0)-MATCH($B$1,[2]quests!$1:$1,0)+1,FALSE)</f>
        <v>タワーオブザクイーン1本目</v>
      </c>
      <c r="E10" s="83">
        <v>14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14階 コスト制限なし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タワーオブザクイーン1本目</v>
      </c>
      <c r="H10" s="84">
        <v>3</v>
      </c>
      <c r="I10" s="88">
        <f t="shared" si="0"/>
        <v>9</v>
      </c>
      <c r="J10" s="108" t="str">
        <f t="shared" si="1"/>
        <v>13301109</v>
      </c>
      <c r="K10" s="83" t="s">
        <v>126</v>
      </c>
      <c r="L10" s="85" t="s">
        <v>197</v>
      </c>
      <c r="M10" s="106" t="s">
        <v>351</v>
      </c>
      <c r="N10" s="57" t="s">
        <v>198</v>
      </c>
    </row>
    <row r="11" spans="1:14" ht="28" x14ac:dyDescent="0.15">
      <c r="A11" s="80" t="s">
        <v>195</v>
      </c>
      <c r="B11" s="81">
        <v>13301</v>
      </c>
      <c r="C11" s="82" t="str">
        <f ca="1">VLOOKUP($B11,OFFSET([2]quests!$A$1,0,0,COUNTA([2]quests!$A:$A),MATCH(C$1,[2]quests!$1:$1,0)-MATCH($B$1,[2]quests!$1:$1,0)+1),MATCH(C$1,[2]quests!$1:$1,0)-MATCH($B$1,[2]quests!$1:$1,0)+1,FALSE)</f>
        <v>タワーオブザクイーン -アヴァルシア-</v>
      </c>
      <c r="D11" s="82" t="str">
        <f ca="1">VLOOKUP($B11,OFFSET([2]quests!$A$1,0,0,COUNTA([2]quests!$A:$A),MATCH(D$1,[2]quests!$1:$1,0)-MATCH($B$1,[2]quests!$1:$1,0)+1),MATCH(D$1,[2]quests!$1:$1,0)-MATCH($B$1,[2]quests!$1:$1,0)+1,FALSE)</f>
        <v>タワーオブザクイーン1本目</v>
      </c>
      <c r="E11" s="83">
        <v>14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14階 コスト制限なし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タワーオブザクイーン1本目</v>
      </c>
      <c r="H11" s="84">
        <v>3</v>
      </c>
      <c r="I11" s="88">
        <f t="shared" si="0"/>
        <v>10</v>
      </c>
      <c r="J11" s="108" t="str">
        <f t="shared" si="1"/>
        <v>13301110</v>
      </c>
      <c r="K11" s="83" t="s">
        <v>126</v>
      </c>
      <c r="L11" s="85" t="s">
        <v>197</v>
      </c>
      <c r="M11" s="106" t="s">
        <v>352</v>
      </c>
      <c r="N11" s="57" t="s">
        <v>198</v>
      </c>
    </row>
    <row r="12" spans="1:14" ht="42" x14ac:dyDescent="0.15">
      <c r="A12" s="80" t="s">
        <v>195</v>
      </c>
      <c r="B12" s="81">
        <v>13301</v>
      </c>
      <c r="C12" s="82" t="str">
        <f ca="1">VLOOKUP($B12,OFFSET([2]quests!$A$1,0,0,COUNTA([2]quests!$A:$A),MATCH(C$1,[2]quests!$1:$1,0)-MATCH($B$1,[2]quests!$1:$1,0)+1),MATCH(C$1,[2]quests!$1:$1,0)-MATCH($B$1,[2]quests!$1:$1,0)+1,FALSE)</f>
        <v>タワーオブザクイーン -アヴァルシア-</v>
      </c>
      <c r="D12" s="82" t="str">
        <f ca="1">VLOOKUP($B12,OFFSET([2]quests!$A$1,0,0,COUNTA([2]quests!$A:$A),MATCH(D$1,[2]quests!$1:$1,0)-MATCH($B$1,[2]quests!$1:$1,0)+1),MATCH(D$1,[2]quests!$1:$1,0)-MATCH($B$1,[2]quests!$1:$1,0)+1,FALSE)</f>
        <v>タワーオブザクイーン1本目</v>
      </c>
      <c r="E12" s="83">
        <v>14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14階 コスト制限なし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タワーオブザクイーン1本目</v>
      </c>
      <c r="H12" s="84">
        <v>3</v>
      </c>
      <c r="I12" s="88">
        <f t="shared" si="0"/>
        <v>11</v>
      </c>
      <c r="J12" s="108" t="str">
        <f t="shared" si="1"/>
        <v>13301111</v>
      </c>
      <c r="K12" s="83" t="s">
        <v>126</v>
      </c>
      <c r="L12" s="85" t="s">
        <v>197</v>
      </c>
      <c r="M12" s="106" t="s">
        <v>353</v>
      </c>
      <c r="N12" s="57" t="s">
        <v>198</v>
      </c>
    </row>
    <row r="13" spans="1:14" ht="56" x14ac:dyDescent="0.15">
      <c r="A13" s="80" t="s">
        <v>195</v>
      </c>
      <c r="B13" s="81">
        <v>13301</v>
      </c>
      <c r="C13" s="82" t="str">
        <f ca="1">VLOOKUP($B13,OFFSET([2]quests!$A$1,0,0,COUNTA([2]quests!$A:$A),MATCH(C$1,[2]quests!$1:$1,0)-MATCH($B$1,[2]quests!$1:$1,0)+1),MATCH(C$1,[2]quests!$1:$1,0)-MATCH($B$1,[2]quests!$1:$1,0)+1,FALSE)</f>
        <v>タワーオブザクイーン -アヴァルシア-</v>
      </c>
      <c r="D13" s="82" t="str">
        <f ca="1">VLOOKUP($B13,OFFSET([2]quests!$A$1,0,0,COUNTA([2]quests!$A:$A),MATCH(D$1,[2]quests!$1:$1,0)-MATCH($B$1,[2]quests!$1:$1,0)+1),MATCH(D$1,[2]quests!$1:$1,0)-MATCH($B$1,[2]quests!$1:$1,0)+1,FALSE)</f>
        <v>タワーオブザクイーン1本目</v>
      </c>
      <c r="E13" s="83">
        <v>14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14階 コスト制限なし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タワーオブザクイーン1本目</v>
      </c>
      <c r="H13" s="84">
        <v>3</v>
      </c>
      <c r="I13" s="88">
        <f t="shared" si="0"/>
        <v>12</v>
      </c>
      <c r="J13" s="108" t="str">
        <f t="shared" si="1"/>
        <v>13301112</v>
      </c>
      <c r="K13" s="83" t="s">
        <v>126</v>
      </c>
      <c r="L13" s="85" t="s">
        <v>197</v>
      </c>
      <c r="M13" s="106" t="s">
        <v>354</v>
      </c>
      <c r="N13" s="57" t="s">
        <v>198</v>
      </c>
    </row>
    <row r="14" spans="1:14" ht="42" x14ac:dyDescent="0.15">
      <c r="A14" s="80" t="s">
        <v>195</v>
      </c>
      <c r="B14" s="81">
        <v>13301</v>
      </c>
      <c r="C14" s="82" t="str">
        <f ca="1">VLOOKUP($B14,OFFSET([2]quests!$A$1,0,0,COUNTA([2]quests!$A:$A),MATCH(C$1,[2]quests!$1:$1,0)-MATCH($B$1,[2]quests!$1:$1,0)+1),MATCH(C$1,[2]quests!$1:$1,0)-MATCH($B$1,[2]quests!$1:$1,0)+1,FALSE)</f>
        <v>タワーオブザクイーン -アヴァルシア-</v>
      </c>
      <c r="D14" s="82" t="str">
        <f ca="1">VLOOKUP($B14,OFFSET([2]quests!$A$1,0,0,COUNTA([2]quests!$A:$A),MATCH(D$1,[2]quests!$1:$1,0)-MATCH($B$1,[2]quests!$1:$1,0)+1),MATCH(D$1,[2]quests!$1:$1,0)-MATCH($B$1,[2]quests!$1:$1,0)+1,FALSE)</f>
        <v>タワーオブザクイーン1本目</v>
      </c>
      <c r="E14" s="83">
        <v>14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14階 コスト制限なし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タワーオブザクイーン1本目</v>
      </c>
      <c r="H14" s="84">
        <v>4</v>
      </c>
      <c r="I14" s="88">
        <f t="shared" si="0"/>
        <v>13</v>
      </c>
      <c r="J14" s="108" t="str">
        <f t="shared" si="1"/>
        <v>13301113</v>
      </c>
      <c r="K14" s="83" t="s">
        <v>196</v>
      </c>
      <c r="L14" s="85" t="s">
        <v>197</v>
      </c>
      <c r="M14" s="106" t="s">
        <v>355</v>
      </c>
      <c r="N14" s="57" t="s">
        <v>198</v>
      </c>
    </row>
    <row r="15" spans="1:14" ht="42" x14ac:dyDescent="0.15">
      <c r="A15" s="80" t="s">
        <v>195</v>
      </c>
      <c r="B15" s="81">
        <v>13301</v>
      </c>
      <c r="C15" s="82" t="str">
        <f ca="1">VLOOKUP($B15,OFFSET([2]quests!$A$1,0,0,COUNTA([2]quests!$A:$A),MATCH(C$1,[2]quests!$1:$1,0)-MATCH($B$1,[2]quests!$1:$1,0)+1),MATCH(C$1,[2]quests!$1:$1,0)-MATCH($B$1,[2]quests!$1:$1,0)+1,FALSE)</f>
        <v>タワーオブザクイーン -アヴァルシア-</v>
      </c>
      <c r="D15" s="82" t="str">
        <f ca="1">VLOOKUP($B15,OFFSET([2]quests!$A$1,0,0,COUNTA([2]quests!$A:$A),MATCH(D$1,[2]quests!$1:$1,0)-MATCH($B$1,[2]quests!$1:$1,0)+1),MATCH(D$1,[2]quests!$1:$1,0)-MATCH($B$1,[2]quests!$1:$1,0)+1,FALSE)</f>
        <v>タワーオブザクイーン1本目</v>
      </c>
      <c r="E15" s="83">
        <v>14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14階 コスト制限なし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タワーオブザクイーン1本目</v>
      </c>
      <c r="H15" s="84">
        <v>4</v>
      </c>
      <c r="I15" s="88">
        <f t="shared" si="0"/>
        <v>14</v>
      </c>
      <c r="J15" s="108" t="str">
        <f t="shared" si="1"/>
        <v>13301114</v>
      </c>
      <c r="K15" s="83" t="s">
        <v>126</v>
      </c>
      <c r="L15" s="85" t="s">
        <v>197</v>
      </c>
      <c r="M15" s="106" t="s">
        <v>359</v>
      </c>
      <c r="N15" s="57" t="s">
        <v>198</v>
      </c>
    </row>
    <row r="16" spans="1:14" ht="56" x14ac:dyDescent="0.15">
      <c r="A16" s="80" t="s">
        <v>195</v>
      </c>
      <c r="B16" s="81">
        <v>13301</v>
      </c>
      <c r="C16" s="82" t="str">
        <f ca="1">VLOOKUP($B16,OFFSET([2]quests!$A$1,0,0,COUNTA([2]quests!$A:$A),MATCH(C$1,[2]quests!$1:$1,0)-MATCH($B$1,[2]quests!$1:$1,0)+1),MATCH(C$1,[2]quests!$1:$1,0)-MATCH($B$1,[2]quests!$1:$1,0)+1,FALSE)</f>
        <v>タワーオブザクイーン -アヴァルシア-</v>
      </c>
      <c r="D16" s="82" t="str">
        <f ca="1">VLOOKUP($B16,OFFSET([2]quests!$A$1,0,0,COUNTA([2]quests!$A:$A),MATCH(D$1,[2]quests!$1:$1,0)-MATCH($B$1,[2]quests!$1:$1,0)+1),MATCH(D$1,[2]quests!$1:$1,0)-MATCH($B$1,[2]quests!$1:$1,0)+1,FALSE)</f>
        <v>タワーオブザクイーン1本目</v>
      </c>
      <c r="E16" s="83">
        <v>14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14階 コスト制限なし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タワーオブザクイーン1本目</v>
      </c>
      <c r="H16" s="84">
        <v>4</v>
      </c>
      <c r="I16" s="88">
        <f t="shared" si="0"/>
        <v>15</v>
      </c>
      <c r="J16" s="108" t="str">
        <f t="shared" si="1"/>
        <v>13301115</v>
      </c>
      <c r="K16" s="83" t="s">
        <v>126</v>
      </c>
      <c r="L16" s="85" t="s">
        <v>197</v>
      </c>
      <c r="M16" s="106" t="s">
        <v>358</v>
      </c>
      <c r="N16" s="57" t="s">
        <v>198</v>
      </c>
    </row>
    <row r="17" spans="1:14" ht="28" x14ac:dyDescent="0.15">
      <c r="A17" s="80" t="s">
        <v>195</v>
      </c>
      <c r="B17" s="81">
        <v>13301</v>
      </c>
      <c r="C17" s="82" t="str">
        <f ca="1">VLOOKUP($B17,OFFSET([2]quests!$A$1,0,0,COUNTA([2]quests!$A:$A),MATCH(C$1,[2]quests!$1:$1,0)-MATCH($B$1,[2]quests!$1:$1,0)+1),MATCH(C$1,[2]quests!$1:$1,0)-MATCH($B$1,[2]quests!$1:$1,0)+1,FALSE)</f>
        <v>タワーオブザクイーン -アヴァルシア-</v>
      </c>
      <c r="D17" s="82" t="str">
        <f ca="1">VLOOKUP($B17,OFFSET([2]quests!$A$1,0,0,COUNTA([2]quests!$A:$A),MATCH(D$1,[2]quests!$1:$1,0)-MATCH($B$1,[2]quests!$1:$1,0)+1),MATCH(D$1,[2]quests!$1:$1,0)-MATCH($B$1,[2]quests!$1:$1,0)+1,FALSE)</f>
        <v>タワーオブザクイーン1本目</v>
      </c>
      <c r="E17" s="83">
        <v>14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14階 コスト制限なし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タワーオブザクイーン1本目</v>
      </c>
      <c r="H17" s="84">
        <v>4</v>
      </c>
      <c r="I17" s="88">
        <f t="shared" si="0"/>
        <v>16</v>
      </c>
      <c r="J17" s="108" t="str">
        <f t="shared" si="1"/>
        <v>13301116</v>
      </c>
      <c r="K17" s="83" t="s">
        <v>126</v>
      </c>
      <c r="L17" s="85" t="s">
        <v>197</v>
      </c>
      <c r="M17" s="106" t="s">
        <v>356</v>
      </c>
      <c r="N17" s="57" t="s">
        <v>198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D10" sqref="D10"/>
    </sheetView>
  </sheetViews>
  <sheetFormatPr baseColWidth="12" defaultColWidth="13" defaultRowHeight="15" outlineLevelCol="1" x14ac:dyDescent="0.15"/>
  <cols>
    <col min="1" max="1" width="15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210</v>
      </c>
      <c r="B1" s="93" t="s">
        <v>211</v>
      </c>
      <c r="C1" s="76" t="s">
        <v>212</v>
      </c>
      <c r="D1" s="76" t="s">
        <v>33</v>
      </c>
      <c r="E1" s="93" t="s">
        <v>213</v>
      </c>
      <c r="F1" s="76" t="s">
        <v>214</v>
      </c>
      <c r="G1" s="76" t="s">
        <v>33</v>
      </c>
      <c r="H1" s="93" t="s">
        <v>215</v>
      </c>
      <c r="I1" s="93" t="s">
        <v>216</v>
      </c>
      <c r="J1" s="93" t="s">
        <v>217</v>
      </c>
      <c r="K1" s="72" t="s">
        <v>218</v>
      </c>
      <c r="L1" s="72" t="s">
        <v>219</v>
      </c>
      <c r="M1" s="72" t="s">
        <v>155</v>
      </c>
      <c r="N1" s="76" t="s">
        <v>16</v>
      </c>
      <c r="O1" s="72" t="s">
        <v>220</v>
      </c>
      <c r="P1" s="72" t="s">
        <v>57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94" t="str">
        <f>B2&amp;"_"&amp;E2&amp;"_"&amp;H2&amp;"_"&amp;I2&amp;"_"&amp;J2</f>
        <v>13301_14_singleonly_clear_1</v>
      </c>
      <c r="B2" s="81">
        <v>13301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14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14階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 t="s">
        <v>252</v>
      </c>
      <c r="I2" s="83" t="s">
        <v>224</v>
      </c>
      <c r="J2" s="83">
        <v>1</v>
      </c>
      <c r="K2" s="83">
        <v>430</v>
      </c>
      <c r="L2" s="83" t="s">
        <v>250</v>
      </c>
      <c r="M2" s="83">
        <v>26000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 t="s">
        <v>251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6" t="s">
        <v>225</v>
      </c>
      <c r="X2" s="97" t="s">
        <v>226</v>
      </c>
    </row>
    <row r="3" spans="1:24" x14ac:dyDescent="0.15">
      <c r="A3" s="94" t="str">
        <f>B3&amp;"_"&amp;E3&amp;"_"&amp;H3&amp;"_"&amp;I3&amp;"_"&amp;J3</f>
        <v>13301_14_singleonly_clear_2</v>
      </c>
      <c r="B3" s="81">
        <v>13301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14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14階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 t="s">
        <v>252</v>
      </c>
      <c r="I3" s="83" t="s">
        <v>224</v>
      </c>
      <c r="J3" s="83">
        <v>2</v>
      </c>
      <c r="K3" s="83">
        <v>570</v>
      </c>
      <c r="L3" s="83" t="s">
        <v>250</v>
      </c>
      <c r="M3" s="83">
        <v>62000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3" t="s">
        <v>251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6" t="s">
        <v>225</v>
      </c>
      <c r="X3" s="97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2016-11-14T02:44:40Z</dcterms:modified>
</cp:coreProperties>
</file>