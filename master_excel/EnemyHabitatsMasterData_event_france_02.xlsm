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3740" yWindow="2660" windowWidth="32480" windowHeight="171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enemy_habitat_S!$B$1:$Y$2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1" l="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O25" i="9"/>
  <c r="N25" i="9"/>
  <c r="M25" i="9"/>
  <c r="L25" i="9"/>
  <c r="K25" i="9"/>
  <c r="J25" i="9"/>
  <c r="I25" i="9"/>
  <c r="H25" i="9"/>
  <c r="G25" i="9"/>
  <c r="E25" i="9"/>
  <c r="D25" i="9"/>
  <c r="A25" i="9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H13" i="2"/>
  <c r="E13" i="2"/>
  <c r="D13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AD25" i="1"/>
  <c r="AF25" i="1"/>
  <c r="AI25" i="1"/>
  <c r="AG25" i="1"/>
  <c r="AE25" i="1"/>
  <c r="E7" i="9"/>
  <c r="X25" i="1"/>
  <c r="V25" i="1"/>
  <c r="T25" i="1"/>
  <c r="Q25" i="1"/>
  <c r="P25" i="1"/>
  <c r="O25" i="1"/>
  <c r="N25" i="1"/>
  <c r="M25" i="1"/>
  <c r="J25" i="1"/>
  <c r="I25" i="1"/>
  <c r="D25" i="1"/>
  <c r="F25" i="1"/>
  <c r="E25" i="1"/>
  <c r="A25" i="1"/>
  <c r="AF24" i="1"/>
  <c r="AI24" i="1"/>
  <c r="AG24" i="1"/>
  <c r="AE24" i="1"/>
  <c r="X24" i="1"/>
  <c r="V24" i="1"/>
  <c r="T24" i="1"/>
  <c r="Q24" i="1"/>
  <c r="P24" i="1"/>
  <c r="O24" i="1"/>
  <c r="N24" i="1"/>
  <c r="M24" i="1"/>
  <c r="J24" i="1"/>
  <c r="I24" i="1"/>
  <c r="D24" i="1"/>
  <c r="F24" i="1"/>
  <c r="E24" i="1"/>
  <c r="A24" i="1"/>
  <c r="AF23" i="1"/>
  <c r="AI23" i="1"/>
  <c r="AG23" i="1"/>
  <c r="AE23" i="1"/>
  <c r="AC23" i="1"/>
  <c r="X23" i="1"/>
  <c r="V23" i="1"/>
  <c r="T23" i="1"/>
  <c r="Q23" i="1"/>
  <c r="P23" i="1"/>
  <c r="O23" i="1"/>
  <c r="N23" i="1"/>
  <c r="M23" i="1"/>
  <c r="J23" i="1"/>
  <c r="I23" i="1"/>
  <c r="D23" i="1"/>
  <c r="F23" i="1"/>
  <c r="E23" i="1"/>
  <c r="A23" i="1"/>
  <c r="AD22" i="1"/>
  <c r="AF22" i="1"/>
  <c r="AI22" i="1"/>
  <c r="AG22" i="1"/>
  <c r="AE22" i="1"/>
  <c r="AC22" i="1"/>
  <c r="Y22" i="1"/>
  <c r="X22" i="1"/>
  <c r="V22" i="1"/>
  <c r="T22" i="1"/>
  <c r="Q22" i="1"/>
  <c r="P22" i="1"/>
  <c r="O22" i="1"/>
  <c r="N22" i="1"/>
  <c r="M22" i="1"/>
  <c r="J22" i="1"/>
  <c r="I22" i="1"/>
  <c r="D22" i="1"/>
  <c r="F22" i="1"/>
  <c r="E22" i="1"/>
  <c r="A22" i="1"/>
  <c r="AD21" i="1"/>
  <c r="AF21" i="1"/>
  <c r="AI21" i="1"/>
  <c r="AG21" i="1"/>
  <c r="AE21" i="1"/>
  <c r="E2" i="9"/>
  <c r="X21" i="1"/>
  <c r="V21" i="1"/>
  <c r="T21" i="1"/>
  <c r="Q21" i="1"/>
  <c r="P21" i="1"/>
  <c r="O21" i="1"/>
  <c r="N21" i="1"/>
  <c r="M21" i="1"/>
  <c r="J21" i="1"/>
  <c r="I21" i="1"/>
  <c r="D21" i="1"/>
  <c r="F21" i="1"/>
  <c r="E21" i="1"/>
  <c r="A21" i="1"/>
  <c r="AD20" i="1"/>
  <c r="AF20" i="1"/>
  <c r="AI20" i="1"/>
  <c r="AG20" i="1"/>
  <c r="AE20" i="1"/>
  <c r="Y20" i="1"/>
  <c r="X20" i="1"/>
  <c r="V20" i="1"/>
  <c r="T20" i="1"/>
  <c r="Q20" i="1"/>
  <c r="P20" i="1"/>
  <c r="O20" i="1"/>
  <c r="N20" i="1"/>
  <c r="M20" i="1"/>
  <c r="J20" i="1"/>
  <c r="I20" i="1"/>
  <c r="D20" i="1"/>
  <c r="F20" i="1"/>
  <c r="E20" i="1"/>
  <c r="A20" i="1"/>
  <c r="AD19" i="1"/>
  <c r="AF19" i="1"/>
  <c r="AI19" i="1"/>
  <c r="AG19" i="1"/>
  <c r="AE19" i="1"/>
  <c r="AC19" i="1"/>
  <c r="X19" i="1"/>
  <c r="V19" i="1"/>
  <c r="T19" i="1"/>
  <c r="Q19" i="1"/>
  <c r="P19" i="1"/>
  <c r="O19" i="1"/>
  <c r="N19" i="1"/>
  <c r="M19" i="1"/>
  <c r="J19" i="1"/>
  <c r="I19" i="1"/>
  <c r="D19" i="1"/>
  <c r="F19" i="1"/>
  <c r="E19" i="1"/>
  <c r="A19" i="1"/>
  <c r="AD18" i="1"/>
  <c r="AF18" i="1"/>
  <c r="AI18" i="1"/>
  <c r="AG18" i="1"/>
  <c r="AE18" i="1"/>
  <c r="Y18" i="1"/>
  <c r="X18" i="1"/>
  <c r="V18" i="1"/>
  <c r="T18" i="1"/>
  <c r="Q18" i="1"/>
  <c r="P18" i="1"/>
  <c r="O18" i="1"/>
  <c r="N18" i="1"/>
  <c r="M18" i="1"/>
  <c r="J18" i="1"/>
  <c r="I18" i="1"/>
  <c r="D18" i="1"/>
  <c r="F18" i="1"/>
  <c r="E18" i="1"/>
  <c r="A18" i="1"/>
  <c r="AD17" i="1"/>
  <c r="AF17" i="1"/>
  <c r="AI17" i="1"/>
  <c r="AG17" i="1"/>
  <c r="AE17" i="1"/>
  <c r="X17" i="1"/>
  <c r="V17" i="1"/>
  <c r="T17" i="1"/>
  <c r="Q17" i="1"/>
  <c r="P17" i="1"/>
  <c r="O17" i="1"/>
  <c r="N17" i="1"/>
  <c r="M17" i="1"/>
  <c r="J17" i="1"/>
  <c r="I17" i="1"/>
  <c r="D17" i="1"/>
  <c r="F17" i="1"/>
  <c r="E17" i="1"/>
  <c r="A17" i="1"/>
  <c r="AF16" i="1"/>
  <c r="AI16" i="1"/>
  <c r="AG16" i="1"/>
  <c r="AE16" i="1"/>
  <c r="X16" i="1"/>
  <c r="V16" i="1"/>
  <c r="T16" i="1"/>
  <c r="Q16" i="1"/>
  <c r="P16" i="1"/>
  <c r="O16" i="1"/>
  <c r="N16" i="1"/>
  <c r="M16" i="1"/>
  <c r="J16" i="1"/>
  <c r="I16" i="1"/>
  <c r="D16" i="1"/>
  <c r="F16" i="1"/>
  <c r="E16" i="1"/>
  <c r="A16" i="1"/>
  <c r="AF15" i="1"/>
  <c r="AI15" i="1"/>
  <c r="AG15" i="1"/>
  <c r="AE15" i="1"/>
  <c r="AC15" i="1"/>
  <c r="X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D14" i="1"/>
  <c r="AF14" i="1"/>
  <c r="AI14" i="1"/>
  <c r="AG14" i="1"/>
  <c r="AE14" i="1"/>
  <c r="AC14" i="1"/>
  <c r="Y14" i="1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D12" i="1"/>
  <c r="AF12" i="1"/>
  <c r="AI12" i="1"/>
  <c r="AG12" i="1"/>
  <c r="AE12" i="1"/>
  <c r="Y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AC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Y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T5" i="1"/>
  <c r="O14" i="9"/>
  <c r="N14" i="9"/>
  <c r="M14" i="9"/>
  <c r="L14" i="9"/>
  <c r="K14" i="9"/>
  <c r="J14" i="9"/>
  <c r="I14" i="9"/>
  <c r="H14" i="9"/>
  <c r="G14" i="9"/>
  <c r="E14" i="9"/>
  <c r="D14" i="9"/>
  <c r="A14" i="9"/>
  <c r="J16" i="11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J15" i="11"/>
  <c r="O16" i="9"/>
  <c r="N16" i="9"/>
  <c r="M16" i="9"/>
  <c r="L16" i="9"/>
  <c r="K16" i="9"/>
  <c r="J16" i="9"/>
  <c r="I16" i="9"/>
  <c r="H16" i="9"/>
  <c r="G16" i="9"/>
  <c r="E16" i="9"/>
  <c r="D16" i="9"/>
  <c r="A16" i="9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J14" i="11"/>
  <c r="O6" i="9"/>
  <c r="N6" i="9"/>
  <c r="M6" i="9"/>
  <c r="L6" i="9"/>
  <c r="K6" i="9"/>
  <c r="J6" i="9"/>
  <c r="I6" i="9"/>
  <c r="H6" i="9"/>
  <c r="G6" i="9"/>
  <c r="E6" i="9"/>
  <c r="D6" i="9"/>
  <c r="A6" i="9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V7" i="1"/>
  <c r="O4" i="9"/>
  <c r="N4" i="9"/>
  <c r="M4" i="9"/>
  <c r="L4" i="9"/>
  <c r="K4" i="9"/>
  <c r="J4" i="9"/>
  <c r="I4" i="9"/>
  <c r="H4" i="9"/>
  <c r="G4" i="9"/>
  <c r="E4" i="9"/>
  <c r="D4" i="9"/>
  <c r="A4" i="9"/>
  <c r="J13" i="11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J12" i="11"/>
  <c r="O15" i="9"/>
  <c r="N15" i="9"/>
  <c r="M15" i="9"/>
  <c r="L15" i="9"/>
  <c r="K15" i="9"/>
  <c r="J15" i="9"/>
  <c r="I15" i="9"/>
  <c r="H15" i="9"/>
  <c r="G15" i="9"/>
  <c r="E15" i="9"/>
  <c r="D15" i="9"/>
  <c r="A15" i="9"/>
  <c r="J11" i="11"/>
  <c r="O13" i="9"/>
  <c r="N13" i="9"/>
  <c r="M13" i="9"/>
  <c r="L13" i="9"/>
  <c r="K13" i="9"/>
  <c r="J13" i="9"/>
  <c r="I13" i="9"/>
  <c r="H13" i="9"/>
  <c r="G13" i="9"/>
  <c r="E13" i="9"/>
  <c r="D13" i="9"/>
  <c r="A13" i="9"/>
  <c r="J10" i="11"/>
  <c r="O12" i="9"/>
  <c r="N12" i="9"/>
  <c r="M12" i="9"/>
  <c r="L12" i="9"/>
  <c r="K12" i="9"/>
  <c r="J12" i="9"/>
  <c r="I12" i="9"/>
  <c r="H12" i="9"/>
  <c r="G12" i="9"/>
  <c r="E12" i="9"/>
  <c r="D12" i="9"/>
  <c r="A12" i="9"/>
  <c r="J9" i="11"/>
  <c r="O11" i="9"/>
  <c r="N11" i="9"/>
  <c r="M11" i="9"/>
  <c r="L11" i="9"/>
  <c r="K11" i="9"/>
  <c r="J11" i="9"/>
  <c r="I11" i="9"/>
  <c r="H11" i="9"/>
  <c r="G11" i="9"/>
  <c r="E11" i="9"/>
  <c r="D11" i="9"/>
  <c r="A11" i="9"/>
  <c r="J8" i="11"/>
  <c r="O10" i="9"/>
  <c r="N10" i="9"/>
  <c r="M10" i="9"/>
  <c r="L10" i="9"/>
  <c r="K10" i="9"/>
  <c r="J10" i="9"/>
  <c r="I10" i="9"/>
  <c r="H10" i="9"/>
  <c r="G10" i="9"/>
  <c r="E10" i="9"/>
  <c r="D10" i="9"/>
  <c r="A10" i="9"/>
  <c r="J7" i="11"/>
  <c r="O9" i="9"/>
  <c r="N9" i="9"/>
  <c r="M9" i="9"/>
  <c r="L9" i="9"/>
  <c r="K9" i="9"/>
  <c r="J9" i="9"/>
  <c r="I9" i="9"/>
  <c r="H9" i="9"/>
  <c r="G9" i="9"/>
  <c r="E9" i="9"/>
  <c r="D9" i="9"/>
  <c r="A9" i="9"/>
  <c r="J6" i="11"/>
  <c r="O8" i="9"/>
  <c r="N8" i="9"/>
  <c r="M8" i="9"/>
  <c r="L8" i="9"/>
  <c r="K8" i="9"/>
  <c r="J8" i="9"/>
  <c r="I8" i="9"/>
  <c r="H8" i="9"/>
  <c r="G8" i="9"/>
  <c r="E8" i="9"/>
  <c r="D8" i="9"/>
  <c r="A8" i="9"/>
  <c r="J5" i="11"/>
  <c r="O7" i="9"/>
  <c r="N7" i="9"/>
  <c r="M7" i="9"/>
  <c r="L7" i="9"/>
  <c r="K7" i="9"/>
  <c r="J7" i="9"/>
  <c r="I7" i="9"/>
  <c r="H7" i="9"/>
  <c r="G7" i="9"/>
  <c r="D7" i="9"/>
  <c r="A7" i="9"/>
  <c r="J4" i="11"/>
  <c r="O5" i="9"/>
  <c r="N5" i="9"/>
  <c r="M5" i="9"/>
  <c r="L5" i="9"/>
  <c r="K5" i="9"/>
  <c r="J5" i="9"/>
  <c r="I5" i="9"/>
  <c r="H5" i="9"/>
  <c r="G5" i="9"/>
  <c r="E5" i="9"/>
  <c r="D5" i="9"/>
  <c r="A5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F7" i="1"/>
  <c r="AI7" i="1"/>
  <c r="AG7" i="1"/>
  <c r="AE7" i="1"/>
  <c r="AC7" i="1"/>
  <c r="X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AC6" i="1"/>
  <c r="Y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Y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H5" i="2"/>
  <c r="E5" i="2"/>
  <c r="D5" i="2"/>
  <c r="B5" i="2"/>
  <c r="H4" i="2"/>
  <c r="E4" i="2"/>
  <c r="D4" i="2"/>
  <c r="B4" i="2"/>
  <c r="H3" i="2"/>
  <c r="E3" i="2"/>
  <c r="D3" i="2"/>
  <c r="B3" i="2"/>
  <c r="V3" i="1"/>
  <c r="V2" i="1"/>
  <c r="T3" i="1"/>
  <c r="T2" i="1"/>
  <c r="E13" i="16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W2" i="7"/>
  <c r="Y2" i="1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AC3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<sst xmlns="http://schemas.openxmlformats.org/spreadsheetml/2006/main" count="952" uniqueCount="316">
  <si>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</si>
  <si>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</si>
  <si>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</si>
  <si>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</si>
  <si>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</si>
  <si>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</si>
  <si>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</si>
  <si>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</si>
  <si>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</si>
  <si>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</si>
  <si>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</si>
  <si>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</si>
  <si>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</si>
  <si>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</si>
  <si>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</si>
  <si>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</si>
  <si>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</si>
  <si>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</si>
  <si>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</si>
  <si>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</si>
  <si>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</si>
  <si>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</si>
  <si>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</si>
  <si>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</si>
  <si>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</si>
  <si>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</si>
  <si>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</si>
  <si>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</si>
  <si>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</si>
  <si>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</si>
  <si>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</si>
  <si>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</si>
  <si>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</si>
  <si>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</si>
  <si>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</si>
  <si>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</si>
  <si>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</si>
  <si>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</si>
  <si>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</si>
  <si>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</si>
  <si>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</si>
  <si>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</si>
  <si>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</si>
  <si>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</si>
  <si>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</si>
  <si>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</si>
  <si>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</si>
  <si>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</si>
  <si>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</si>
  <si>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</si>
  <si>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</si>
  <si>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</si>
  <si>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</si>
  <si>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</si>
  <si>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</si>
  <si>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</si>
  <si>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</si>
  <si>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</si>
  <si>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</si>
  <si>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</si>
  <si>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</si>
  <si>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</si>
  <si>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</si>
  <si>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</si>
  <si>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</si>
  <si>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</si>
  <si>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</si>
  <si>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</si>
  <si>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</si>
  <si>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</si>
  <si>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</si>
  <si>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</si>
  <si>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</si>
  <si>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</si>
  <si>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</si>
  <si>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</si>
  <si>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</si>
  <si>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</si>
  <si>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</si>
  <si>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</si>
  <si>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</si>
  <si>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</si>
  <si>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</si>
  <si>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</si>
  <si>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</si>
  <si>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</si>
  <si>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</si>
  <si>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</si>
  <si>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</si>
  <si>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</si>
  <si>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</si>
  <si>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</si>
  <si>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</si>
  <si>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</si>
  <si>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</si>
  <si>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</si>
  <si>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</si>
  <si>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</si>
  <si>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</si>
  <si>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</si>
  <si>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</si>
  <si>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</si>
  <si>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</si>
  <si>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</si>
  <si>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</si>
  <si>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</si>
  <si>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</si>
  <si>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</si>
  <si>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</si>
  <si>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</si>
  <si>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</si>
  <si>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</si>
  <si>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</si>
  <si>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</si>
  <si>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</si>
  <si>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</si>
  <si>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</si>
  <si>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</si>
  <si>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</si>
  <si>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</si>
  <si>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</si>
  <si>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</si>
  <si>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</si>
  <si>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</si>
  <si>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</si>
  <si>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</si>
  <si>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</si>
  <si>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</si>
  <si>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</si>
  <si>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</si>
  <si>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</si>
  <si>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</si>
  <si>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</si>
  <si>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</si>
  <si>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</si>
  <si>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</si>
  <si>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</si>
  <si>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</si>
  <si>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</si>
  <si>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</si>
  <si>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</si>
  <si>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</si>
  <si>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</si>
  <si>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</si>
  <si>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</si>
  <si>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</si>
  <si>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</si>
  <si>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</si>
  <si>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</si>
  <si>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</si>
  <si>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</si>
  <si>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</si>
  <si>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</si>
  <si>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</si>
  <si>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</si>
  <si>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</si>
  <si>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</si>
  <si>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</si>
  <si>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</si>
  <si>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</si>
  <si>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</si>
  <si>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</si>
  <si>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</si>
  <si>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</si>
  <si>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</si>
  <si>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</si>
  <si>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</si>
  <si>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</si>
  <si>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</si>
  <si>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</si>
  <si>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</si>
  <si>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</si>
  <si>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</si>
  <si>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</si>
  <si>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</si>
  <si>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</si>
  <si>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</si>
  <si>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</si>
  <si>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</si>
  <si>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</si>
  <si>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</si>
  <si>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</si>
  <si>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</si>
  <si>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</si>
  <si>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</si>
  <si>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</si>
  <si>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</si>
  <si>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</si>
  <si>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</si>
  <si>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</si>
  <si>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</si>
  <si>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</si>
  <si>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</si>
  <si>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</si>
  <si>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</si>
  <si>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</si>
  <si>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</si>
  <si>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</si>
  <si>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</si>
  <si>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</si>
  <si>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</si>
  <si>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</si>
  <si>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</si>
  <si>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</si>
  <si>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</si>
  <si>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</si>
  <si>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</si>
  <si>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</si>
  <si>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</si>
  <si>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</si>
  <si>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</si>
  <si>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</si>
  <si>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</si>
  <si>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</si>
  <si>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</si>
  <si>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</si>
  <si>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</si>
  <si>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</si>
  <si>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</si>
  <si>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</si>
  <si>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</si>
  <si>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</si>
  <si>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</si>
  <si>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</si>
  <si>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</si>
  <si>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</si>
  <si>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</si>
  <si>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</si>
  <si>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</si>
  <si>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</si>
  <si>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</si>
  <si>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</si>
  <si>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</si>
  <si>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</si>
  <si>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</si>
  <si>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</si>
  <si>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</si>
  <si>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</si>
  <si>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</si>
  <si>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</si>
  <si>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</si>
  <si>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</si>
  <si>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</si>
  <si>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</si>
  <si>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</si>
  <si>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</si>
  <si>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</si>
  <si>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</si>
  <si>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</si>
  <si>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</si>
  <si>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</si>
  <si>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</si>
  <si>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[effect:nothing]</t>
    <phoneticPr fontId="5"/>
  </si>
  <si>
    <t>[effect:degrade_unit, target:unit_all, turn:2, status:action, val:1, animation:enemy_tap_down]</t>
    <phoneticPr fontId="5"/>
  </si>
  <si>
    <t>緑パネル吸収攻撃</t>
    <rPh sb="0" eb="1">
      <t>ミドリパネルキュウシュウコウゲキ</t>
    </rPh>
    <phoneticPr fontId="5"/>
  </si>
  <si>
    <t>黄パネル吸収攻撃</t>
    <rPh sb="0" eb="1">
      <t>キパネル</t>
    </rPh>
    <rPh sb="4" eb="8">
      <t>キュウシュウ</t>
    </rPh>
    <phoneticPr fontId="5"/>
  </si>
  <si>
    <t>[effect:dark, target:unit_all, turn:3, animation:enemy_dark]</t>
    <phoneticPr fontId="5"/>
  </si>
  <si>
    <t>3ターンパネルの色が分からなくなる !</t>
    <phoneticPr fontId="5"/>
  </si>
  <si>
    <t>[effect:dis_heart, turn:5, animation:enemy_dis_heart]</t>
    <phoneticPr fontId="5"/>
  </si>
  <si>
    <t>[effect:break_heal_ratio, val:0.03, lowest_val:0.01, count:-1, block:block_heart, target:myself, animation:enemy_heal]</t>
    <phoneticPr fontId="5"/>
  </si>
  <si>
    <t>null</t>
    <phoneticPr fontId="5"/>
  </si>
  <si>
    <t>null</t>
    <phoneticPr fontId="5"/>
  </si>
  <si>
    <t>null</t>
    <phoneticPr fontId="5"/>
  </si>
  <si>
    <t>old</t>
  </si>
  <si>
    <t>null</t>
    <phoneticPr fontId="5"/>
  </si>
  <si>
    <t>[effect:break_attack_fix, val:250, lowest_val:1500, count:-1, block:block_green, target:unit_one]</t>
    <phoneticPr fontId="5"/>
  </si>
  <si>
    <t>[effect:break_attack_fix, val:350, lowest_val:4000, count:-1, block:block_yellow, target:unit_one]</t>
    <phoneticPr fontId="5"/>
  </si>
  <si>
    <t>[effect:critical, val:1.6]</t>
    <phoneticPr fontId="5"/>
  </si>
  <si>
    <t>[effect:damage_anti_abnormal, target:unit_all, target_effect01:dis_heart, val1:0.4, val2:0.25]</t>
    <phoneticPr fontId="5"/>
  </si>
  <si>
    <t>5ターン後に超強力な全体攻撃</t>
    <rPh sb="4" eb="5">
      <t>ゴ</t>
    </rPh>
    <rPh sb="6" eb="9">
      <t>チョウキョウリョク</t>
    </rPh>
    <rPh sb="10" eb="12">
      <t>ゼンタイ</t>
    </rPh>
    <phoneticPr fontId="5"/>
  </si>
  <si>
    <t>次のターンに超強力な全体攻撃</t>
    <rPh sb="0" eb="1">
      <t>ツギ</t>
    </rPh>
    <rPh sb="6" eb="9">
      <t>チョウキョウリョク</t>
    </rPh>
    <rPh sb="10" eb="12">
      <t>ゼンタイ</t>
    </rPh>
    <phoneticPr fontId="5"/>
  </si>
  <si>
    <t>この先は通行不可能です</t>
    <rPh sb="4" eb="6">
      <t>ツウコウ</t>
    </rPh>
    <rPh sb="6" eb="9">
      <t>フカノウ</t>
    </rPh>
    <phoneticPr fontId="5"/>
  </si>
  <si>
    <t>砲撃準備を開始します</t>
    <rPh sb="0" eb="2">
      <t>ホウゲキ</t>
    </rPh>
    <rPh sb="2" eb="4">
      <t>ジュンビ</t>
    </rPh>
    <rPh sb="5" eb="7">
      <t>カイシ</t>
    </rPh>
    <phoneticPr fontId="5"/>
  </si>
  <si>
    <t>超強力な全体攻撃</t>
    <phoneticPr fontId="5"/>
  </si>
  <si>
    <t>プリズン・バスター</t>
    <phoneticPr fontId="5"/>
  </si>
  <si>
    <t>消灯の時間ですわ</t>
    <rPh sb="0" eb="2">
      <t>ショウトウ</t>
    </rPh>
    <rPh sb="3" eb="5">
      <t>ジカン</t>
    </rPh>
    <phoneticPr fontId="5"/>
  </si>
  <si>
    <t>砲撃準備完了です</t>
    <rPh sb="0" eb="2">
      <t>ホウゲキ</t>
    </rPh>
    <rPh sb="2" eb="4">
      <t>ジュンビ</t>
    </rPh>
    <rPh sb="4" eb="6">
      <t>カンリョウ</t>
    </rPh>
    <phoneticPr fontId="5"/>
  </si>
  <si>
    <t>表示しない</t>
    <rPh sb="0" eb="2">
      <t>ヒョウジ</t>
    </rPh>
    <phoneticPr fontId="5"/>
  </si>
  <si>
    <t>null</t>
    <phoneticPr fontId="5"/>
  </si>
  <si>
    <t>[effect:enemy_message, val1:1.5, val2:0]</t>
    <phoneticPr fontId="5"/>
  </si>
  <si>
    <t>[effect:spread, val:0.3]</t>
    <phoneticPr fontId="5"/>
  </si>
  <si>
    <t>キャンドル・サイス</t>
    <phoneticPr fontId="5"/>
  </si>
  <si>
    <t>全体攻撃</t>
    <phoneticPr fontId="5"/>
  </si>
  <si>
    <t>ハートパネル吸収回復</t>
    <rPh sb="8" eb="10">
      <t>カイフク</t>
    </rPh>
    <phoneticPr fontId="5"/>
  </si>
  <si>
    <t>[effect:enemy_message, val1:2.0, val2:0]</t>
    <phoneticPr fontId="5"/>
  </si>
  <si>
    <t>…ルイ様…申し訳ありません</t>
    <rPh sb="5" eb="6">
      <t>モウシワ</t>
    </rPh>
    <phoneticPr fontId="5"/>
  </si>
  <si>
    <t>…主人には絶対に
…近づかせません！</t>
    <rPh sb="1" eb="3">
      <t>シュジン</t>
    </rPh>
    <rPh sb="5" eb="7">
      <t>ゼッタイニ</t>
    </rPh>
    <rPh sb="10" eb="11">
      <t>チカズカセマセン</t>
    </rPh>
    <phoneticPr fontId="5"/>
  </si>
  <si>
    <t>[effect:spread, val:1.05]</t>
    <phoneticPr fontId="5"/>
  </si>
  <si>
    <t>…マスター…任務失敗です</t>
    <rPh sb="6" eb="8">
      <t>ニンム</t>
    </rPh>
    <rPh sb="8" eb="10">
      <t>シッパイ</t>
    </rPh>
    <phoneticPr fontId="5"/>
  </si>
  <si>
    <t>ライト・ドレイン</t>
    <phoneticPr fontId="5"/>
  </si>
  <si>
    <t>クリティカル！</t>
    <phoneticPr fontId="5"/>
  </si>
  <si>
    <t>2ターンタップ回数を1減少</t>
    <phoneticPr fontId="5"/>
  </si>
  <si>
    <t>5ターンハートパネル無効</t>
    <rPh sb="10" eb="12">
      <t>ムコウ</t>
    </rPh>
    <phoneticPr fontId="5"/>
  </si>
  <si>
    <t>ハートパネル無効状態の全ユニットに大ダメージ</t>
    <rPh sb="8" eb="10">
      <t>ジョウタイ</t>
    </rPh>
    <rPh sb="11" eb="12">
      <t>ゼン</t>
    </rPh>
    <rPh sb="17" eb="18">
      <t>ダイダメージ</t>
    </rPh>
    <phoneticPr fontId="5"/>
  </si>
  <si>
    <t>まだ…終わらせませんわ！</t>
    <rPh sb="3" eb="4">
      <t>オワラセ</t>
    </rPh>
    <phoneticPr fontId="5"/>
  </si>
  <si>
    <t>無作法な客人には
お帰りいただきますわ</t>
    <phoneticPr fontId="5"/>
  </si>
  <si>
    <t>指導が必要なようですわね</t>
    <rPh sb="0" eb="2">
      <t>シドウ</t>
    </rPh>
    <rPh sb="3" eb="5">
      <t>ヒツヨウ</t>
    </rPh>
    <phoneticPr fontId="5"/>
  </si>
  <si>
    <t>こちらのルールに従って頂きますわよ！</t>
    <rPh sb="8" eb="9">
      <t>シタガッテ</t>
    </rPh>
    <rPh sb="11" eb="12">
      <t>イタダキ</t>
    </rPh>
    <phoneticPr fontId="5"/>
  </si>
  <si>
    <t>null</t>
  </si>
  <si>
    <t>link</t>
  </si>
  <si>
    <t>unit</t>
  </si>
  <si>
    <t>[effect:break_attack_fix, val:200, lowest_val:1500, count:-1, block:block_green, target:unit_one]</t>
    <phoneticPr fontId="5"/>
  </si>
  <si>
    <t>[effect:break_attack_fix, val:300, lowest_val:3500, count:-1, block:block_yellow, target:unit_one]</t>
    <phoneticPr fontId="5"/>
  </si>
  <si>
    <t>[effect:break_attack_fix, val:150, lowest_val:1200, count:-1, block:block_green, target:unit_one]</t>
    <phoneticPr fontId="5"/>
  </si>
  <si>
    <t>[effect:break_attack_fix, val:250, lowest_val:2500, count:-1, block:block_yellow, target:unit_one]</t>
    <phoneticPr fontId="5"/>
  </si>
  <si>
    <t>[effect:hungup, target:unit_all, turn:4, rate:1, calc_type:target_all, animation:hungup01]</t>
    <phoneticPr fontId="5"/>
  </si>
  <si>
    <t>ハイ・ハングアップ</t>
    <phoneticPr fontId="5"/>
  </si>
  <si>
    <t>4ターンスキルバインド！</t>
    <phoneticPr fontId="5"/>
  </si>
  <si>
    <t>ミールは他の敵よりも早く行動します
優先して狙いましょう</t>
    <phoneticPr fontId="5"/>
  </si>
  <si>
    <t>バスティーユは予告から5ターン後に
とても強力な全体攻撃を使用します
致命的なダメージを受ける前に倒しましょう</t>
    <phoneticPr fontId="5"/>
  </si>
  <si>
    <t>マミコは登場してすぐに
スキルバインドを使用します
効果が続く間はスキルを
使用できなくなるので気をつけましょう</t>
    <phoneticPr fontId="5"/>
  </si>
  <si>
    <t>ヴェルサイユは黄パネルを吸収して
攻撃をしてきます
吸収した数に応じてダメージが増すので
気をつけましょう</t>
    <phoneticPr fontId="5"/>
  </si>
  <si>
    <t>old</t>
    <phoneticPr fontId="5"/>
  </si>
  <si>
    <t>これがここでのおもてなしですわ！</t>
    <phoneticPr fontId="5"/>
  </si>
  <si>
    <t>ヴェルサイユは2ゲージ目で
ハートパネル無効を使用します
ハートパネルでの回復ができなくなるので
残りHPに気をつけましょう</t>
    <phoneticPr fontId="5"/>
  </si>
  <si>
    <t>skip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</si>
</sst>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3"/>
      <color rgb="FF000000"/>
      <name val="Arial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52" fillId="0" borderId="0" xfId="0" applyFont="1"/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3" xfId="0" applyBorder="1"/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4" sqref="A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263</v>
      </c>
      <c r="B2" s="57" t="s">
        <v>107</v>
      </c>
      <c r="C2" s="63">
        <v>30037</v>
      </c>
      <c r="D2" s="57" t="s">
        <v>108</v>
      </c>
      <c r="E2" s="56" t="str">
        <f>B2&amp;C2&amp;D2</f>
        <v>floors_30037.tmp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263</v>
      </c>
      <c r="B3" s="57" t="s">
        <v>110</v>
      </c>
      <c r="C3" s="63">
        <v>30037</v>
      </c>
      <c r="D3" s="57" t="s">
        <v>108</v>
      </c>
      <c r="E3" s="56" t="str">
        <f>B3&amp;C3&amp;D3</f>
        <v>enemy_habitats_30037.tmp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263</v>
      </c>
      <c r="B4" s="57" t="s">
        <v>112</v>
      </c>
      <c r="C4" s="63">
        <v>30037</v>
      </c>
      <c r="D4" s="57" t="s">
        <v>108</v>
      </c>
      <c r="E4" s="56" t="str">
        <f>B4&amp;C4&amp;D4</f>
        <v>enemy_habitat_S_30037.tmp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263</v>
      </c>
      <c r="B5" s="57" t="s">
        <v>114</v>
      </c>
      <c r="C5" s="63">
        <v>30037</v>
      </c>
      <c r="D5" s="57" t="s">
        <v>108</v>
      </c>
      <c r="E5" s="56" t="str">
        <f>B5&amp;C5&amp;D5</f>
        <v>enemy_skill_sets_30037.tmp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263</v>
      </c>
      <c r="B6" s="57" t="s">
        <v>116</v>
      </c>
      <c r="C6" s="63">
        <v>30037</v>
      </c>
      <c r="D6" s="57" t="s">
        <v>117</v>
      </c>
      <c r="E6" s="56" t="str">
        <f t="shared" ref="E6:E10" si="0">B6&amp;C6&amp;D6</f>
        <v>enemy_skills_tmp_30037.tmp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263</v>
      </c>
      <c r="B7" s="57" t="s">
        <v>118</v>
      </c>
      <c r="C7" s="63">
        <v>30037</v>
      </c>
      <c r="D7" s="57" t="s">
        <v>108</v>
      </c>
      <c r="E7" s="56" t="str">
        <f>B7&amp;C7&amp;D7</f>
        <v>enemy_skills_i18n_30037.tmp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263</v>
      </c>
      <c r="B8" s="57" t="s">
        <v>120</v>
      </c>
      <c r="C8" s="63">
        <v>30037</v>
      </c>
      <c r="D8" s="57" t="s">
        <v>121</v>
      </c>
      <c r="E8" s="56" t="str">
        <f t="shared" si="0"/>
        <v>enemy_skill_triggers_30037.tmp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263</v>
      </c>
      <c r="B9" s="68" t="s">
        <v>178</v>
      </c>
      <c r="C9" s="63">
        <v>30037</v>
      </c>
      <c r="D9" s="68" t="s">
        <v>172</v>
      </c>
      <c r="E9" s="69" t="str">
        <f t="shared" si="0"/>
        <v>stage_bug_bonuses_30037.tmp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312</v>
      </c>
      <c r="B10" s="68" t="s">
        <v>202</v>
      </c>
      <c r="C10" s="63">
        <v>30037</v>
      </c>
      <c r="D10" s="68" t="s">
        <v>181</v>
      </c>
      <c r="E10" s="69" t="str">
        <f t="shared" si="0"/>
        <v>stage_hints_data_c_30037.tmp</v>
      </c>
      <c r="F10" s="68" t="s">
        <v>210</v>
      </c>
      <c r="G10" s="74" t="s">
        <v>182</v>
      </c>
      <c r="H10" s="74" t="s">
        <v>174</v>
      </c>
      <c r="I10" s="75" t="s">
        <v>183</v>
      </c>
      <c r="J10" s="67" t="s">
        <v>184</v>
      </c>
      <c r="K10" s="67" t="s">
        <v>185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6" customFormat="1" x14ac:dyDescent="0.15">
      <c r="A11" s="61" t="s">
        <v>312</v>
      </c>
      <c r="B11" s="68" t="s">
        <v>203</v>
      </c>
      <c r="C11" s="63">
        <v>30037</v>
      </c>
      <c r="D11" s="68" t="s">
        <v>172</v>
      </c>
      <c r="E11" s="69" t="str">
        <f t="shared" ref="E11:E13" si="1">B11&amp;C11&amp;D11</f>
        <v>stage_hints_data_f_30037.tmp</v>
      </c>
      <c r="F11" s="68" t="s">
        <v>212</v>
      </c>
      <c r="G11" s="74" t="s">
        <v>182</v>
      </c>
      <c r="H11" s="74" t="s">
        <v>174</v>
      </c>
      <c r="I11" s="75" t="s">
        <v>183</v>
      </c>
      <c r="J11" s="67" t="s">
        <v>184</v>
      </c>
      <c r="K11" s="67" t="s">
        <v>185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6" customFormat="1" x14ac:dyDescent="0.15">
      <c r="A12" s="107" t="s">
        <v>312</v>
      </c>
      <c r="B12" s="68" t="s">
        <v>204</v>
      </c>
      <c r="C12" s="63">
        <v>30037</v>
      </c>
      <c r="D12" s="68" t="s">
        <v>172</v>
      </c>
      <c r="E12" s="69" t="str">
        <f t="shared" si="1"/>
        <v>stage_hints_i18n_30037.tmp</v>
      </c>
      <c r="F12" s="68" t="s">
        <v>213</v>
      </c>
      <c r="G12" s="75" t="s">
        <v>205</v>
      </c>
      <c r="H12" s="96" t="s">
        <v>206</v>
      </c>
      <c r="I12" s="74" t="s">
        <v>207</v>
      </c>
      <c r="J12" s="101" t="s">
        <v>208</v>
      </c>
      <c r="K12" s="67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6" customFormat="1" x14ac:dyDescent="0.15">
      <c r="A13" s="68" t="s">
        <v>315</v>
      </c>
      <c r="B13" s="68" t="s">
        <v>248</v>
      </c>
      <c r="C13" s="63">
        <v>30037</v>
      </c>
      <c r="D13" s="68" t="s">
        <v>229</v>
      </c>
      <c r="E13" s="69" t="str">
        <f t="shared" si="1"/>
        <v>stage_bonuses_30037.tmp</v>
      </c>
      <c r="F13" s="68" t="s">
        <v>228</v>
      </c>
      <c r="G13" s="74" t="s">
        <v>230</v>
      </c>
      <c r="H13" s="74" t="s">
        <v>231</v>
      </c>
      <c r="I13" s="74" t="s">
        <v>232</v>
      </c>
      <c r="J13" s="74" t="s">
        <v>233</v>
      </c>
      <c r="K13" s="74" t="s">
        <v>234</v>
      </c>
      <c r="L13" s="74" t="s">
        <v>235</v>
      </c>
      <c r="M13" s="74" t="s">
        <v>236</v>
      </c>
      <c r="N13" s="74" t="s">
        <v>237</v>
      </c>
      <c r="O13" s="74" t="s">
        <v>238</v>
      </c>
      <c r="P13" s="74" t="s">
        <v>239</v>
      </c>
      <c r="Q13" s="74" t="s">
        <v>240</v>
      </c>
      <c r="R13" s="74" t="s">
        <v>241</v>
      </c>
      <c r="S13" s="74" t="s">
        <v>242</v>
      </c>
      <c r="T13" s="74" t="s">
        <v>243</v>
      </c>
      <c r="U13" s="74" t="s">
        <v>244</v>
      </c>
      <c r="V13" s="74" t="s">
        <v>245</v>
      </c>
      <c r="W13" s="74" t="s">
        <v>246</v>
      </c>
      <c r="X13" s="74" t="s">
        <v>247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F6" sqref="F6:F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30037_1-1</v>
      </c>
      <c r="B2" s="16" t="str">
        <f>IF(COUNTIF(enemy_habitats!$H:$H,A2),"OK","NG")</f>
        <v>OK</v>
      </c>
      <c r="C2" s="7">
        <v>30037</v>
      </c>
      <c r="D2" s="11" t="str">
        <f ca="1">VLOOKUP($C2,OFFSET([2]quests!$A$1,0,0,COUNTA([2]quests!$A:$A),MATCH(D$1,[2]quests!$1:$1,0)-MATCH($C$1,[2]quests!$1:$1,0)+1),MATCH(D$1,[2]quests!$1:$1,0)-MATCH($C$1,[2]quests!$1:$1,0)+1,FALSE)</f>
        <v>灯り火の麗人</v>
      </c>
      <c r="E2" s="18" t="str">
        <f ca="1">VLOOKUP($C2,OFFSET([2]quests!$A$1,0,0,COUNTA([2]quests!$A:$A),MATCH(E$1,[2]quests!$1:$1,0)-MATCH($C$1,[2]quests!$1:$1,0)+1),MATCH(E$1,[2]quests!$1:$1,0)-MATCH($C$1,[2]quests!$1:$1,0)+1,FALSE)</f>
        <v>フランス革命シリーズ超級</v>
      </c>
      <c r="F2" s="21">
        <v>1</v>
      </c>
      <c r="G2" s="23" t="str">
        <f t="shared" ref="G2:G13" si="1">C2&amp;"_"&amp;F2</f>
        <v>30037_1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【中級】灯り火の麗人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30037_1-2</v>
      </c>
      <c r="B3" s="16" t="str">
        <f>IF(COUNTIF(enemy_habitats!$H:$H,A3),"OK","NG")</f>
        <v>OK</v>
      </c>
      <c r="C3" s="7">
        <v>30037</v>
      </c>
      <c r="D3" s="11" t="str">
        <f ca="1">VLOOKUP($C3,OFFSET([2]quests!$A$1,0,0,COUNTA([2]quests!$A:$A),MATCH(D$1,[2]quests!$1:$1,0)-MATCH($C$1,[2]quests!$1:$1,0)+1),MATCH(D$1,[2]quests!$1:$1,0)-MATCH($C$1,[2]quests!$1:$1,0)+1,FALSE)</f>
        <v>灯り火の麗人</v>
      </c>
      <c r="E3" s="18" t="str">
        <f ca="1">VLOOKUP($C3,OFFSET([2]quests!$A$1,0,0,COUNTA([2]quests!$A:$A),MATCH(E$1,[2]quests!$1:$1,0)-MATCH($C$1,[2]quests!$1:$1,0)+1),MATCH(E$1,[2]quests!$1:$1,0)-MATCH($C$1,[2]quests!$1:$1,0)+1,FALSE)</f>
        <v>フランス革命シリーズ超級</v>
      </c>
      <c r="F3" s="21">
        <v>1</v>
      </c>
      <c r="G3" s="23" t="str">
        <f t="shared" si="1"/>
        <v>30037_1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【中級】灯り火の麗人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30037_1-3</v>
      </c>
      <c r="B4" s="16" t="str">
        <f>IF(COUNTIF(enemy_habitats!$H:$H,A4),"OK","NG")</f>
        <v>OK</v>
      </c>
      <c r="C4" s="7">
        <v>30037</v>
      </c>
      <c r="D4" s="11" t="str">
        <f ca="1">VLOOKUP($C4,OFFSET([2]quests!$A$1,0,0,COUNTA([2]quests!$A:$A),MATCH(D$1,[2]quests!$1:$1,0)-MATCH($C$1,[2]quests!$1:$1,0)+1),MATCH(D$1,[2]quests!$1:$1,0)-MATCH($C$1,[2]quests!$1:$1,0)+1,FALSE)</f>
        <v>灯り火の麗人</v>
      </c>
      <c r="E4" s="18" t="str">
        <f ca="1">VLOOKUP($C4,OFFSET([2]quests!$A$1,0,0,COUNTA([2]quests!$A:$A),MATCH(E$1,[2]quests!$1:$1,0)-MATCH($C$1,[2]quests!$1:$1,0)+1),MATCH(E$1,[2]quests!$1:$1,0)-MATCH($C$1,[2]quests!$1:$1,0)+1,FALSE)</f>
        <v>フランス革命シリーズ超級</v>
      </c>
      <c r="F4" s="21">
        <v>1</v>
      </c>
      <c r="G4" s="23" t="str">
        <f t="shared" si="1"/>
        <v>30037_1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【中級】灯り火の麗人</v>
      </c>
      <c r="I4" s="21">
        <v>3</v>
      </c>
      <c r="J4" s="12">
        <v>40</v>
      </c>
      <c r="K4" s="12">
        <v>40</v>
      </c>
    </row>
    <row r="5" spans="1:11" ht="21" customHeight="1" x14ac:dyDescent="0.15">
      <c r="A5" s="16" t="str">
        <f t="shared" si="0"/>
        <v>30037_1-4</v>
      </c>
      <c r="B5" s="16" t="str">
        <f>IF(COUNTIF(enemy_habitats!$H:$H,A5),"OK","NG")</f>
        <v>OK</v>
      </c>
      <c r="C5" s="7">
        <v>30037</v>
      </c>
      <c r="D5" s="11" t="str">
        <f ca="1">VLOOKUP($C5,OFFSET([2]quests!$A$1,0,0,COUNTA([2]quests!$A:$A),MATCH(D$1,[2]quests!$1:$1,0)-MATCH($C$1,[2]quests!$1:$1,0)+1),MATCH(D$1,[2]quests!$1:$1,0)-MATCH($C$1,[2]quests!$1:$1,0)+1,FALSE)</f>
        <v>灯り火の麗人</v>
      </c>
      <c r="E5" s="18" t="str">
        <f ca="1">VLOOKUP($C5,OFFSET([2]quests!$A$1,0,0,COUNTA([2]quests!$A:$A),MATCH(E$1,[2]quests!$1:$1,0)-MATCH($C$1,[2]quests!$1:$1,0)+1),MATCH(E$1,[2]quests!$1:$1,0)-MATCH($C$1,[2]quests!$1:$1,0)+1,FALSE)</f>
        <v>フランス革命シリーズ超級</v>
      </c>
      <c r="F5" s="21">
        <v>1</v>
      </c>
      <c r="G5" s="23" t="str">
        <f t="shared" si="1"/>
        <v>30037_1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【中級】灯り火の麗人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30037_2-1</v>
      </c>
      <c r="B6" s="16" t="str">
        <f>IF(COUNTIF(enemy_habitats!$H:$H,A6),"OK","NG")</f>
        <v>OK</v>
      </c>
      <c r="C6" s="7">
        <v>30037</v>
      </c>
      <c r="D6" s="11" t="str">
        <f ca="1">VLOOKUP($C6,OFFSET([2]quests!$A$1,0,0,COUNTA([2]quests!$A:$A),MATCH(D$1,[2]quests!$1:$1,0)-MATCH($C$1,[2]quests!$1:$1,0)+1),MATCH(D$1,[2]quests!$1:$1,0)-MATCH($C$1,[2]quests!$1:$1,0)+1,FALSE)</f>
        <v>灯り火の麗人</v>
      </c>
      <c r="E6" s="18" t="str">
        <f ca="1">VLOOKUP($C6,OFFSET([2]quests!$A$1,0,0,COUNTA([2]quests!$A:$A),MATCH(E$1,[2]quests!$1:$1,0)-MATCH($C$1,[2]quests!$1:$1,0)+1),MATCH(E$1,[2]quests!$1:$1,0)-MATCH($C$1,[2]quests!$1:$1,0)+1,FALSE)</f>
        <v>フランス革命シリーズ超級</v>
      </c>
      <c r="F6" s="21">
        <v>2</v>
      </c>
      <c r="G6" s="23" t="str">
        <f t="shared" si="1"/>
        <v>30037_2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【上級】灯り火の麗人</v>
      </c>
      <c r="I6" s="21">
        <v>1</v>
      </c>
      <c r="J6" s="12">
        <v>45</v>
      </c>
      <c r="K6" s="12">
        <v>45</v>
      </c>
    </row>
    <row r="7" spans="1:11" ht="21" customHeight="1" x14ac:dyDescent="0.15">
      <c r="A7" s="16" t="str">
        <f t="shared" si="0"/>
        <v>30037_2-2</v>
      </c>
      <c r="B7" s="16" t="str">
        <f>IF(COUNTIF(enemy_habitats!$H:$H,A7),"OK","NG")</f>
        <v>OK</v>
      </c>
      <c r="C7" s="7">
        <v>30037</v>
      </c>
      <c r="D7" s="11" t="str">
        <f ca="1">VLOOKUP($C7,OFFSET([2]quests!$A$1,0,0,COUNTA([2]quests!$A:$A),MATCH(D$1,[2]quests!$1:$1,0)-MATCH($C$1,[2]quests!$1:$1,0)+1),MATCH(D$1,[2]quests!$1:$1,0)-MATCH($C$1,[2]quests!$1:$1,0)+1,FALSE)</f>
        <v>灯り火の麗人</v>
      </c>
      <c r="E7" s="18" t="str">
        <f ca="1">VLOOKUP($C7,OFFSET([2]quests!$A$1,0,0,COUNTA([2]quests!$A:$A),MATCH(E$1,[2]quests!$1:$1,0)-MATCH($C$1,[2]quests!$1:$1,0)+1),MATCH(E$1,[2]quests!$1:$1,0)-MATCH($C$1,[2]quests!$1:$1,0)+1,FALSE)</f>
        <v>フランス革命シリーズ超級</v>
      </c>
      <c r="F7" s="21">
        <v>2</v>
      </c>
      <c r="G7" s="23" t="str">
        <f t="shared" si="1"/>
        <v>30037_2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【上級】灯り火の麗人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30037_2-3</v>
      </c>
      <c r="B8" s="16" t="str">
        <f>IF(COUNTIF(enemy_habitats!$H:$H,A8),"OK","NG")</f>
        <v>OK</v>
      </c>
      <c r="C8" s="7">
        <v>30037</v>
      </c>
      <c r="D8" s="11" t="str">
        <f ca="1">VLOOKUP($C8,OFFSET([2]quests!$A$1,0,0,COUNTA([2]quests!$A:$A),MATCH(D$1,[2]quests!$1:$1,0)-MATCH($C$1,[2]quests!$1:$1,0)+1),MATCH(D$1,[2]quests!$1:$1,0)-MATCH($C$1,[2]quests!$1:$1,0)+1,FALSE)</f>
        <v>灯り火の麗人</v>
      </c>
      <c r="E8" s="18" t="str">
        <f ca="1">VLOOKUP($C8,OFFSET([2]quests!$A$1,0,0,COUNTA([2]quests!$A:$A),MATCH(E$1,[2]quests!$1:$1,0)-MATCH($C$1,[2]quests!$1:$1,0)+1),MATCH(E$1,[2]quests!$1:$1,0)-MATCH($C$1,[2]quests!$1:$1,0)+1,FALSE)</f>
        <v>フランス革命シリーズ超級</v>
      </c>
      <c r="F8" s="21">
        <v>2</v>
      </c>
      <c r="G8" s="23" t="str">
        <f t="shared" si="1"/>
        <v>30037_2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【上級】灯り火の麗人</v>
      </c>
      <c r="I8" s="21">
        <v>3</v>
      </c>
      <c r="J8" s="12">
        <v>40</v>
      </c>
      <c r="K8" s="12">
        <v>40</v>
      </c>
    </row>
    <row r="9" spans="1:11" ht="21" customHeight="1" x14ac:dyDescent="0.15">
      <c r="A9" s="16" t="str">
        <f t="shared" si="0"/>
        <v>30037_2-4</v>
      </c>
      <c r="B9" s="16" t="str">
        <f>IF(COUNTIF(enemy_habitats!$H:$H,A9),"OK","NG")</f>
        <v>OK</v>
      </c>
      <c r="C9" s="7">
        <v>30037</v>
      </c>
      <c r="D9" s="11" t="str">
        <f ca="1">VLOOKUP($C9,OFFSET([2]quests!$A$1,0,0,COUNTA([2]quests!$A:$A),MATCH(D$1,[2]quests!$1:$1,0)-MATCH($C$1,[2]quests!$1:$1,0)+1),MATCH(D$1,[2]quests!$1:$1,0)-MATCH($C$1,[2]quests!$1:$1,0)+1,FALSE)</f>
        <v>灯り火の麗人</v>
      </c>
      <c r="E9" s="18" t="str">
        <f ca="1">VLOOKUP($C9,OFFSET([2]quests!$A$1,0,0,COUNTA([2]quests!$A:$A),MATCH(E$1,[2]quests!$1:$1,0)-MATCH($C$1,[2]quests!$1:$1,0)+1),MATCH(E$1,[2]quests!$1:$1,0)-MATCH($C$1,[2]quests!$1:$1,0)+1,FALSE)</f>
        <v>フランス革命シリーズ超級</v>
      </c>
      <c r="F9" s="21">
        <v>2</v>
      </c>
      <c r="G9" s="23" t="str">
        <f t="shared" si="1"/>
        <v>30037_2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【上級】灯り火の麗人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30037_3-1</v>
      </c>
      <c r="B10" s="16" t="str">
        <f>IF(COUNTIF(enemy_habitats!$H:$H,A10),"OK","NG")</f>
        <v>OK</v>
      </c>
      <c r="C10" s="7">
        <v>30037</v>
      </c>
      <c r="D10" s="11" t="str">
        <f ca="1">VLOOKUP($C10,OFFSET([2]quests!$A$1,0,0,COUNTA([2]quests!$A:$A),MATCH(D$1,[2]quests!$1:$1,0)-MATCH($C$1,[2]quests!$1:$1,0)+1),MATCH(D$1,[2]quests!$1:$1,0)-MATCH($C$1,[2]quests!$1:$1,0)+1,FALSE)</f>
        <v>灯り火の麗人</v>
      </c>
      <c r="E10" s="18" t="str">
        <f ca="1">VLOOKUP($C10,OFFSET([2]quests!$A$1,0,0,COUNTA([2]quests!$A:$A),MATCH(E$1,[2]quests!$1:$1,0)-MATCH($C$1,[2]quests!$1:$1,0)+1),MATCH(E$1,[2]quests!$1:$1,0)-MATCH($C$1,[2]quests!$1:$1,0)+1,FALSE)</f>
        <v>フランス革命シリーズ超級</v>
      </c>
      <c r="F10" s="21">
        <v>3</v>
      </c>
      <c r="G10" s="23" t="str">
        <f t="shared" si="1"/>
        <v>30037_3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【超級】灯り火の麗人</v>
      </c>
      <c r="I10" s="21">
        <v>1</v>
      </c>
      <c r="J10" s="12">
        <v>45</v>
      </c>
      <c r="K10" s="12">
        <v>45</v>
      </c>
    </row>
    <row r="11" spans="1:11" ht="21" customHeight="1" x14ac:dyDescent="0.15">
      <c r="A11" s="16" t="str">
        <f t="shared" si="0"/>
        <v>30037_3-2</v>
      </c>
      <c r="B11" s="16" t="str">
        <f>IF(COUNTIF(enemy_habitats!$H:$H,A11),"OK","NG")</f>
        <v>OK</v>
      </c>
      <c r="C11" s="7">
        <v>30037</v>
      </c>
      <c r="D11" s="11" t="str">
        <f ca="1">VLOOKUP($C11,OFFSET([2]quests!$A$1,0,0,COUNTA([2]quests!$A:$A),MATCH(D$1,[2]quests!$1:$1,0)-MATCH($C$1,[2]quests!$1:$1,0)+1),MATCH(D$1,[2]quests!$1:$1,0)-MATCH($C$1,[2]quests!$1:$1,0)+1,FALSE)</f>
        <v>灯り火の麗人</v>
      </c>
      <c r="E11" s="18" t="str">
        <f ca="1">VLOOKUP($C11,OFFSET([2]quests!$A$1,0,0,COUNTA([2]quests!$A:$A),MATCH(E$1,[2]quests!$1:$1,0)-MATCH($C$1,[2]quests!$1:$1,0)+1),MATCH(E$1,[2]quests!$1:$1,0)-MATCH($C$1,[2]quests!$1:$1,0)+1,FALSE)</f>
        <v>フランス革命シリーズ超級</v>
      </c>
      <c r="F11" s="21">
        <v>3</v>
      </c>
      <c r="G11" s="23" t="str">
        <f t="shared" si="1"/>
        <v>30037_3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【超級】灯り火の麗人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30037_3-3</v>
      </c>
      <c r="B12" s="16" t="str">
        <f>IF(COUNTIF(enemy_habitats!$H:$H,A12),"OK","NG")</f>
        <v>OK</v>
      </c>
      <c r="C12" s="7">
        <v>30037</v>
      </c>
      <c r="D12" s="11" t="str">
        <f ca="1">VLOOKUP($C12,OFFSET([2]quests!$A$1,0,0,COUNTA([2]quests!$A:$A),MATCH(D$1,[2]quests!$1:$1,0)-MATCH($C$1,[2]quests!$1:$1,0)+1),MATCH(D$1,[2]quests!$1:$1,0)-MATCH($C$1,[2]quests!$1:$1,0)+1,FALSE)</f>
        <v>灯り火の麗人</v>
      </c>
      <c r="E12" s="18" t="str">
        <f ca="1">VLOOKUP($C12,OFFSET([2]quests!$A$1,0,0,COUNTA([2]quests!$A:$A),MATCH(E$1,[2]quests!$1:$1,0)-MATCH($C$1,[2]quests!$1:$1,0)+1),MATCH(E$1,[2]quests!$1:$1,0)-MATCH($C$1,[2]quests!$1:$1,0)+1,FALSE)</f>
        <v>フランス革命シリーズ超級</v>
      </c>
      <c r="F12" s="21">
        <v>3</v>
      </c>
      <c r="G12" s="23" t="str">
        <f t="shared" si="1"/>
        <v>30037_3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【超級】灯り火の麗人</v>
      </c>
      <c r="I12" s="21">
        <v>3</v>
      </c>
      <c r="J12" s="12">
        <v>40</v>
      </c>
      <c r="K12" s="12">
        <v>40</v>
      </c>
    </row>
    <row r="13" spans="1:11" ht="21" customHeight="1" x14ac:dyDescent="0.15">
      <c r="A13" s="16" t="str">
        <f t="shared" si="0"/>
        <v>30037_3-4</v>
      </c>
      <c r="B13" s="16" t="str">
        <f>IF(COUNTIF(enemy_habitats!$H:$H,A13),"OK","NG")</f>
        <v>OK</v>
      </c>
      <c r="C13" s="7">
        <v>30037</v>
      </c>
      <c r="D13" s="11" t="str">
        <f ca="1">VLOOKUP($C13,OFFSET([2]quests!$A$1,0,0,COUNTA([2]quests!$A:$A),MATCH(D$1,[2]quests!$1:$1,0)-MATCH($C$1,[2]quests!$1:$1,0)+1),MATCH(D$1,[2]quests!$1:$1,0)-MATCH($C$1,[2]quests!$1:$1,0)+1,FALSE)</f>
        <v>灯り火の麗人</v>
      </c>
      <c r="E13" s="18" t="str">
        <f ca="1">VLOOKUP($C13,OFFSET([2]quests!$A$1,0,0,COUNTA([2]quests!$A:$A),MATCH(E$1,[2]quests!$1:$1,0)-MATCH($C$1,[2]quests!$1:$1,0)+1),MATCH(E$1,[2]quests!$1:$1,0)-MATCH($C$1,[2]quests!$1:$1,0)+1,FALSE)</f>
        <v>フランス革命シリーズ超級</v>
      </c>
      <c r="F13" s="21">
        <v>3</v>
      </c>
      <c r="G13" s="23" t="str">
        <f t="shared" si="1"/>
        <v>30037_3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【超級】灯り火の麗人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5"/>
  <sheetViews>
    <sheetView showGridLines="0" zoomScale="75" zoomScaleNormal="75" zoomScalePageLayoutView="75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AJ32" sqref="AJ3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249</v>
      </c>
      <c r="U1" s="26" t="s">
        <v>50</v>
      </c>
      <c r="V1" s="102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9" si="0">B2&amp;"_"&amp;C2&amp;"-"&amp;G2&amp;"/"&amp;L2&amp;"&lt;lv"&amp;R2&amp;"&gt;s"&amp;AC2</f>
        <v>30037_1-1/23&lt;lv32&gt;s1</v>
      </c>
      <c r="B2" s="22">
        <v>30037</v>
      </c>
      <c r="C2" s="21">
        <v>1</v>
      </c>
      <c r="D2" s="2" t="str">
        <f t="shared" ref="D2:D9" si="1">B2&amp;"_"&amp;C2</f>
        <v>30037_1</v>
      </c>
      <c r="E2" s="4" t="str">
        <f ca="1">VLOOKUP($B2,OFFSET([2]quests!$A$1,0,0,COUNTA([2]quests!$A:$A),MATCH(E$1,[2]quests!$1:$1,0)-MATCH($B$1,[2]quests!$1:$1,0)+1),MATCH(E$1,[2]quests!$1:$1,0)-MATCH($B$1,[2]quests!$1:$1,0)+1,FALSE)</f>
        <v>灯り火の麗人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【中級】灯り火の麗人</v>
      </c>
      <c r="G2" s="21">
        <v>1</v>
      </c>
      <c r="H2" s="15" t="str">
        <f t="shared" ref="H2:H9" si="2">B2&amp;"_"&amp;C2&amp;"-"&amp;G2</f>
        <v>30037_1-1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20">
        <v>23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ミール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32</v>
      </c>
      <c r="S2" s="25">
        <v>0.5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4954.5</v>
      </c>
      <c r="U2" s="25">
        <v>0.6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1105.2</v>
      </c>
      <c r="W2" s="5">
        <v>0</v>
      </c>
      <c r="X2" s="4" t="str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" s="4">
        <f ca="1">VLOOKUP($L2,OFFSET([3]enemies!$A$1,0,0,COUNTA([3]enemies!$A:$A),MATCH(Y$1,[3]enemies!$1:$1,0)-MATCH($L$1,[3]enemies!$1:$1,0)+1),MATCH(Y$1,[3]enemies!$1:$1,0)-MATCH($L$1,[3]enemies!$1:$1,0)+1,FALSE)</f>
        <v>0</v>
      </c>
      <c r="Z2" s="6">
        <v>1</v>
      </c>
      <c r="AA2" s="6">
        <v>100</v>
      </c>
      <c r="AB2" s="6">
        <v>0</v>
      </c>
      <c r="AC2" s="17">
        <v>1</v>
      </c>
      <c r="AD2" s="24">
        <f t="shared" ref="AD2:AD9" si="3">L2</f>
        <v>23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t="shared" ref="AI2:AI9" ca="1" si="4">AF2</f>
        <v>1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ca="1" si="0"/>
        <v>30037_1-1/59&lt;lv32&gt;s2</v>
      </c>
      <c r="B3" s="22">
        <v>30037</v>
      </c>
      <c r="C3" s="21">
        <v>1</v>
      </c>
      <c r="D3" s="2" t="str">
        <f t="shared" si="1"/>
        <v>30037_1</v>
      </c>
      <c r="E3" s="4" t="str">
        <f ca="1">VLOOKUP($B3,OFFSET([2]quests!$A$1,0,0,COUNTA([2]quests!$A:$A),MATCH(E$1,[2]quests!$1:$1,0)-MATCH($B$1,[2]quests!$1:$1,0)+1),MATCH(E$1,[2]quests!$1:$1,0)-MATCH($B$1,[2]quests!$1:$1,0)+1,FALSE)</f>
        <v>灯り火の麗人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【中級】灯り火の麗人</v>
      </c>
      <c r="G3" s="21">
        <v>1</v>
      </c>
      <c r="H3" s="15" t="str">
        <f t="shared" si="2"/>
        <v>30037_1-1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251</v>
      </c>
      <c r="L3" s="20">
        <v>59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マーチ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32</v>
      </c>
      <c r="S3" s="25">
        <v>1.5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8200.5</v>
      </c>
      <c r="U3" s="25">
        <v>0.8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1352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62">
        <v>0</v>
      </c>
      <c r="Z3" s="6">
        <v>1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2</v>
      </c>
      <c r="AD3" s="24">
        <f t="shared" si="3"/>
        <v>59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マーチ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4"/>
        <v>2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30037_1-1/19&lt;lv32&gt;s2</v>
      </c>
      <c r="B4" s="22">
        <v>30037</v>
      </c>
      <c r="C4" s="21">
        <v>1</v>
      </c>
      <c r="D4" s="2" t="str">
        <f t="shared" si="1"/>
        <v>30037_1</v>
      </c>
      <c r="E4" s="4" t="str">
        <f ca="1">VLOOKUP($B4,OFFSET([2]quests!$A$1,0,0,COUNTA([2]quests!$A:$A),MATCH(E$1,[2]quests!$1:$1,0)-MATCH($B$1,[2]quests!$1:$1,0)+1),MATCH(E$1,[2]quests!$1:$1,0)-MATCH($B$1,[2]quests!$1:$1,0)+1,FALSE)</f>
        <v>灯り火の麗人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【中級】灯り火の麗人</v>
      </c>
      <c r="G4" s="21">
        <v>1</v>
      </c>
      <c r="H4" s="15" t="str">
        <f t="shared" si="2"/>
        <v>30037_1-1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53</v>
      </c>
      <c r="L4" s="20">
        <v>19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ティンク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32</v>
      </c>
      <c r="S4" s="25">
        <v>1.6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9875.2000000000007</v>
      </c>
      <c r="U4" s="25">
        <v>0.8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1608</v>
      </c>
      <c r="W4" s="5">
        <v>0</v>
      </c>
      <c r="X4" s="4" t="str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4" s="4">
        <f ca="1">VLOOKUP($L4,OFFSET([3]enemies!$A$1,0,0,COUNTA([3]enemies!$A:$A),MATCH(Y$1,[3]enemies!$1:$1,0)-MATCH($L$1,[3]enemies!$1:$1,0)+1),MATCH(Y$1,[3]enemies!$1:$1,0)-MATCH($L$1,[3]enemies!$1:$1,0)+1,FALSE)</f>
        <v>0</v>
      </c>
      <c r="Z4" s="6">
        <v>1</v>
      </c>
      <c r="AA4" s="6">
        <v>100</v>
      </c>
      <c r="AB4" s="6">
        <v>0</v>
      </c>
      <c r="AC4" s="17">
        <v>2</v>
      </c>
      <c r="AD4" s="24">
        <f t="shared" si="3"/>
        <v>19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ティンク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Drop1W</v>
      </c>
      <c r="AH4" s="7">
        <v>1</v>
      </c>
      <c r="AI4" s="24">
        <f t="shared" ca="1" si="4"/>
        <v>1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30037_1-2/939&lt;lv35&gt;s1</v>
      </c>
      <c r="B5" s="22">
        <v>30037</v>
      </c>
      <c r="C5" s="21">
        <v>1</v>
      </c>
      <c r="D5" s="2" t="str">
        <f t="shared" si="1"/>
        <v>30037_1</v>
      </c>
      <c r="E5" s="4" t="str">
        <f ca="1">VLOOKUP($B5,OFFSET([2]quests!$A$1,0,0,COUNTA([2]quests!$A:$A),MATCH(E$1,[2]quests!$1:$1,0)-MATCH($B$1,[2]quests!$1:$1,0)+1),MATCH(E$1,[2]quests!$1:$1,0)-MATCH($B$1,[2]quests!$1:$1,0)+1,FALSE)</f>
        <v>灯り火の麗人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【中級】灯り火の麗人</v>
      </c>
      <c r="G5" s="21">
        <v>2</v>
      </c>
      <c r="H5" s="15" t="str">
        <f t="shared" si="2"/>
        <v>30037_1-2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939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バスティーユ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35</v>
      </c>
      <c r="S5" s="25">
        <v>0.4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28071.600000000002</v>
      </c>
      <c r="U5" s="25">
        <v>0.65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2003.95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2ターンタップ回数を1減少</v>
      </c>
      <c r="Y5" s="62">
        <v>30037001</v>
      </c>
      <c r="Z5" s="6">
        <v>1</v>
      </c>
      <c r="AA5" s="6">
        <v>100</v>
      </c>
      <c r="AB5" s="6">
        <v>1</v>
      </c>
      <c r="AC5" s="17">
        <v>1</v>
      </c>
      <c r="AD5" s="24">
        <f t="shared" si="3"/>
        <v>939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バスティーユ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ca="1" si="0"/>
        <v>30037_1-2/43&lt;lv32&gt;s2</v>
      </c>
      <c r="B6" s="22">
        <v>30037</v>
      </c>
      <c r="C6" s="21">
        <v>1</v>
      </c>
      <c r="D6" s="2" t="str">
        <f t="shared" si="1"/>
        <v>30037_1</v>
      </c>
      <c r="E6" s="4" t="str">
        <f ca="1">VLOOKUP($B6,OFFSET([2]quests!$A$1,0,0,COUNTA([2]quests!$A:$A),MATCH(E$1,[2]quests!$1:$1,0)-MATCH($B$1,[2]quests!$1:$1,0)+1),MATCH(E$1,[2]quests!$1:$1,0)-MATCH($B$1,[2]quests!$1:$1,0)+1,FALSE)</f>
        <v>灯り火の麗人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【中級】灯り火の麗人</v>
      </c>
      <c r="G6" s="21">
        <v>2</v>
      </c>
      <c r="H6" s="15" t="str">
        <f t="shared" si="2"/>
        <v>30037_1-2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43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ムゥ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32</v>
      </c>
      <c r="S6" s="25">
        <v>0.7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4951.0999999999995</v>
      </c>
      <c r="U6" s="25">
        <v>0.6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1170</v>
      </c>
      <c r="W6" s="5">
        <v>0</v>
      </c>
      <c r="X6" s="4" t="str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6" s="4">
        <f ca="1">VLOOKUP($L6,OFFSET([3]enemies!$A$1,0,0,COUNTA([3]enemies!$A:$A),MATCH(Y$1,[3]enemies!$1:$1,0)-MATCH($L$1,[3]enemies!$1:$1,0)+1),MATCH(Y$1,[3]enemies!$1:$1,0)-MATCH($L$1,[3]enemies!$1:$1,0)+1,FALSE)</f>
        <v>0</v>
      </c>
      <c r="Z6" s="6">
        <v>2</v>
      </c>
      <c r="AA6" s="6">
        <v>100</v>
      </c>
      <c r="AB6" s="6">
        <v>0</v>
      </c>
      <c r="AC6" s="17">
        <f ca="1">VLOOKUP($L6,OFFSET([3]enemies!$A$1,0,0,COUNTA([3]enemies!$A:$A),MATCH(AC$1,[3]enemies!$1:$1,0)-MATCH($L$1,[3]enemies!$1:$1,0)+1),MATCH(AC$1,[3]enemies!$1:$1,0)-MATCH($L$1,[3]enemies!$1:$1,0)+1,FALSE)</f>
        <v>2</v>
      </c>
      <c r="AD6" s="24">
        <f t="shared" si="3"/>
        <v>43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ムゥ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7">
        <v>1</v>
      </c>
      <c r="AI6" s="24">
        <f t="shared" ca="1" si="4"/>
        <v>2</v>
      </c>
      <c r="AJ6" s="8">
        <v>20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ca="1" si="0"/>
        <v>30037_1-3/52&lt;lv32&gt;s2</v>
      </c>
      <c r="B7" s="22">
        <v>30037</v>
      </c>
      <c r="C7" s="21">
        <v>1</v>
      </c>
      <c r="D7" s="2" t="str">
        <f t="shared" si="1"/>
        <v>30037_1</v>
      </c>
      <c r="E7" s="4" t="str">
        <f ca="1">VLOOKUP($B7,OFFSET([2]quests!$A$1,0,0,COUNTA([2]quests!$A:$A),MATCH(E$1,[2]quests!$1:$1,0)-MATCH($B$1,[2]quests!$1:$1,0)+1),MATCH(E$1,[2]quests!$1:$1,0)-MATCH($B$1,[2]quests!$1:$1,0)+1,FALSE)</f>
        <v>灯り火の麗人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【中級】灯り火の麗人</v>
      </c>
      <c r="G7" s="21">
        <v>3</v>
      </c>
      <c r="H7" s="15" t="str">
        <f t="shared" si="2"/>
        <v>30037_1-3</v>
      </c>
      <c r="I7" s="4">
        <f ca="1">VLOOKUP($H7,OFFSET(floors!$A$1,0,0,COUNTA(floors!$A:$A),MATCH(I$1,floors!$1:$1,0)-MATCH($H$1,floors!$1:$1,0)+1),MATCH(I$1,floors!$1:$1,0)-MATCH($H$1,floors!$1:$1,0)+1,FALSE)</f>
        <v>40</v>
      </c>
      <c r="J7" s="4">
        <f ca="1">VLOOKUP($H7,OFFSET(floors!$A$1,0,0,COUNTA(floors!$A:$A),MATCH(J$1,floors!$1:$1,0)-MATCH($H$1,floors!$1:$1,0)+1),MATCH(J$1,floors!$1:$1,0)-MATCH($H$1,floors!$1:$1,0)+1,FALSE)</f>
        <v>40</v>
      </c>
      <c r="K7" s="38" t="s">
        <v>53</v>
      </c>
      <c r="L7" s="20">
        <v>52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翠槍のレジスタンス マイ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32</v>
      </c>
      <c r="S7" s="25">
        <v>0.9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19079.100000000002</v>
      </c>
      <c r="U7" s="25">
        <v>0.4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1742.8000000000002</v>
      </c>
      <c r="W7" s="5">
        <v>0</v>
      </c>
      <c r="X7" s="4" t="e">
        <f ca="1">VLOOKUP($Y7,OFFSET(enemy_skill_sets!$B$1,0,0,COUNTA(enemy_skill_sets!$B:$B),MATCH(M$1,enemy_skill_sets!$1:$1,0)-MATCH($Y$1,enemy_skill_sets!$1:$1,0)+2),MATCH(M$1,enemy_skill_sets!$1:$1,0)-MATCH($Y$1,enemy_skill_sets!$1:$1,0)+2,FALSE)</f>
        <v>#N/A</v>
      </c>
      <c r="Y7" s="62">
        <v>51</v>
      </c>
      <c r="Z7" s="6">
        <v>1</v>
      </c>
      <c r="AA7" s="6">
        <v>100</v>
      </c>
      <c r="AB7" s="6">
        <v>0</v>
      </c>
      <c r="AC7" s="17">
        <f ca="1">VLOOKUP($L7,OFFSET([3]enemies!$A$1,0,0,COUNTA([3]enemies!$A:$A),MATCH(AC$1,[3]enemies!$1:$1,0)-MATCH($L$1,[3]enemies!$1:$1,0)+1),MATCH(AC$1,[3]enemies!$1:$1,0)-MATCH($L$1,[3]enemies!$1:$1,0)+1,FALSE)</f>
        <v>2</v>
      </c>
      <c r="AD7" s="24">
        <v>51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マイ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7">
        <v>1</v>
      </c>
      <c r="AI7" s="24">
        <f t="shared" ca="1" si="4"/>
        <v>2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30037_1-3/56&lt;lv32&gt;s2</v>
      </c>
      <c r="B8" s="22">
        <v>30037</v>
      </c>
      <c r="C8" s="21">
        <v>1</v>
      </c>
      <c r="D8" s="2" t="str">
        <f t="shared" si="1"/>
        <v>30037_1</v>
      </c>
      <c r="E8" s="4" t="str">
        <f ca="1">VLOOKUP($B8,OFFSET([2]quests!$A$1,0,0,COUNTA([2]quests!$A:$A),MATCH(E$1,[2]quests!$1:$1,0)-MATCH($B$1,[2]quests!$1:$1,0)+1),MATCH(E$1,[2]quests!$1:$1,0)-MATCH($B$1,[2]quests!$1:$1,0)+1,FALSE)</f>
        <v>灯り火の麗人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【中級】灯り火の麗人</v>
      </c>
      <c r="G8" s="21">
        <v>3</v>
      </c>
      <c r="H8" s="15" t="str">
        <f t="shared" si="2"/>
        <v>30037_1-3</v>
      </c>
      <c r="I8" s="4">
        <f ca="1">VLOOKUP($H8,OFFSET(floors!$A$1,0,0,COUNTA(floors!$A:$A),MATCH(I$1,floors!$1:$1,0)-MATCH($H$1,floors!$1:$1,0)+1),MATCH(I$1,floors!$1:$1,0)-MATCH($H$1,floors!$1:$1,0)+1,FALSE)</f>
        <v>40</v>
      </c>
      <c r="J8" s="4">
        <f ca="1">VLOOKUP($H8,OFFSET(floors!$A$1,0,0,COUNTA(floors!$A:$A),MATCH(J$1,floors!$1:$1,0)-MATCH($H$1,floors!$1:$1,0)+1),MATCH(J$1,floors!$1:$1,0)-MATCH($H$1,floors!$1:$1,0)+1,FALSE)</f>
        <v>40</v>
      </c>
      <c r="K8" s="38" t="s">
        <v>53</v>
      </c>
      <c r="L8" s="20">
        <v>56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黄槌のレジスタンス マミコ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32</v>
      </c>
      <c r="S8" s="25">
        <v>1.4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28515.199999999997</v>
      </c>
      <c r="U8" s="25">
        <v>0.7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2363.1999999999998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4ターンスキルバインド！</v>
      </c>
      <c r="Y8" s="62">
        <v>30037006</v>
      </c>
      <c r="Z8" s="6">
        <v>1</v>
      </c>
      <c r="AA8" s="6">
        <v>100</v>
      </c>
      <c r="AB8" s="6">
        <v>0</v>
      </c>
      <c r="AC8" s="17">
        <v>2</v>
      </c>
      <c r="AD8" s="24">
        <v>55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7">
        <v>1</v>
      </c>
      <c r="AI8" s="24">
        <f t="shared" ca="1" si="4"/>
        <v>2</v>
      </c>
      <c r="AJ8" s="8">
        <v>20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30037_1-4/933&lt;lv35&gt;s1</v>
      </c>
      <c r="B9" s="22">
        <v>30037</v>
      </c>
      <c r="C9" s="21">
        <v>1</v>
      </c>
      <c r="D9" s="2" t="str">
        <f t="shared" si="1"/>
        <v>30037_1</v>
      </c>
      <c r="E9" s="4" t="str">
        <f ca="1">VLOOKUP($B9,OFFSET([2]quests!$A$1,0,0,COUNTA([2]quests!$A:$A),MATCH(E$1,[2]quests!$1:$1,0)-MATCH($B$1,[2]quests!$1:$1,0)+1),MATCH(E$1,[2]quests!$1:$1,0)-MATCH($B$1,[2]quests!$1:$1,0)+1,FALSE)</f>
        <v>灯り火の麗人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【中級】灯り火の麗人</v>
      </c>
      <c r="G9" s="21">
        <v>4</v>
      </c>
      <c r="H9" s="15" t="str">
        <f t="shared" si="2"/>
        <v>30037_1-4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933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ヴェルサイユ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35</v>
      </c>
      <c r="S9" s="25">
        <v>1.7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79051.7</v>
      </c>
      <c r="U9" s="25">
        <v>0.5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2486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9" s="62">
        <v>30037004</v>
      </c>
      <c r="Z9" s="6">
        <v>1</v>
      </c>
      <c r="AA9" s="6">
        <v>100</v>
      </c>
      <c r="AB9" s="6">
        <v>1</v>
      </c>
      <c r="AC9" s="17">
        <v>1</v>
      </c>
      <c r="AD9" s="24">
        <f t="shared" si="3"/>
        <v>933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ヴェルサイユ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7">
        <v>1</v>
      </c>
      <c r="AI9" s="24">
        <f t="shared" ca="1" si="4"/>
        <v>4</v>
      </c>
      <c r="AJ9" s="8">
        <v>20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ref="A10:A25" si="5">B10&amp;"_"&amp;C10&amp;"-"&amp;G10&amp;"/"&amp;L10&amp;"&lt;lv"&amp;R10&amp;"&gt;s"&amp;AC10</f>
        <v>30037_2-1/23&lt;lv40&gt;s1</v>
      </c>
      <c r="B10" s="22">
        <v>30037</v>
      </c>
      <c r="C10" s="21">
        <v>2</v>
      </c>
      <c r="D10" s="2" t="str">
        <f t="shared" ref="D10:D25" si="6">B10&amp;"_"&amp;C10</f>
        <v>30037_2</v>
      </c>
      <c r="E10" s="4" t="str">
        <f ca="1">VLOOKUP($B10,OFFSET([2]quests!$A$1,0,0,COUNTA([2]quests!$A:$A),MATCH(E$1,[2]quests!$1:$1,0)-MATCH($B$1,[2]quests!$1:$1,0)+1),MATCH(E$1,[2]quests!$1:$1,0)-MATCH($B$1,[2]quests!$1:$1,0)+1,FALSE)</f>
        <v>灯り火の麗人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【上級】灯り火の麗人</v>
      </c>
      <c r="G10" s="21">
        <v>1</v>
      </c>
      <c r="H10" s="15" t="str">
        <f t="shared" ref="H10:H25" si="7">B10&amp;"_"&amp;C10&amp;"-"&amp;G10</f>
        <v>30037_2-1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8" t="s">
        <v>53</v>
      </c>
      <c r="L10" s="20">
        <v>23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ミール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40</v>
      </c>
      <c r="S10" s="25">
        <v>0.7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8593.1999999999989</v>
      </c>
      <c r="U10" s="25">
        <v>0.6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1369.2</v>
      </c>
      <c r="W10" s="5">
        <v>0</v>
      </c>
      <c r="X10" s="4" t="str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0" s="4">
        <f ca="1">VLOOKUP($L10,OFFSET([3]enemies!$A$1,0,0,COUNTA([3]enemies!$A:$A),MATCH(Y$1,[3]enemies!$1:$1,0)-MATCH($L$1,[3]enemies!$1:$1,0)+1),MATCH(Y$1,[3]enemies!$1:$1,0)-MATCH($L$1,[3]enemies!$1:$1,0)+1,FALSE)</f>
        <v>0</v>
      </c>
      <c r="Z10" s="6">
        <v>1</v>
      </c>
      <c r="AA10" s="6">
        <v>100</v>
      </c>
      <c r="AB10" s="6">
        <v>0</v>
      </c>
      <c r="AC10" s="17">
        <v>1</v>
      </c>
      <c r="AD10" s="24">
        <f t="shared" ref="AD10:AD14" si="8">L10</f>
        <v>23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1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f t="shared" ref="AI10:AI25" ca="1" si="9">AF10</f>
        <v>1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ca="1" si="5"/>
        <v>30037_2-1/59&lt;lv40&gt;s2</v>
      </c>
      <c r="B11" s="22">
        <v>30037</v>
      </c>
      <c r="C11" s="21">
        <v>2</v>
      </c>
      <c r="D11" s="2" t="str">
        <f t="shared" si="6"/>
        <v>30037_2</v>
      </c>
      <c r="E11" s="4" t="str">
        <f ca="1">VLOOKUP($B11,OFFSET([2]quests!$A$1,0,0,COUNTA([2]quests!$A:$A),MATCH(E$1,[2]quests!$1:$1,0)-MATCH($B$1,[2]quests!$1:$1,0)+1),MATCH(E$1,[2]quests!$1:$1,0)-MATCH($B$1,[2]quests!$1:$1,0)+1,FALSE)</f>
        <v>灯り火の麗人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【上級】灯り火の麗人</v>
      </c>
      <c r="G11" s="21">
        <v>1</v>
      </c>
      <c r="H11" s="15" t="str">
        <f t="shared" si="7"/>
        <v>30037_2-1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8" t="s">
        <v>251</v>
      </c>
      <c r="L11" s="20">
        <v>59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マーチ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40</v>
      </c>
      <c r="S11" s="25">
        <v>1.7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11514.1</v>
      </c>
      <c r="U11" s="25">
        <v>0.8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1675.2</v>
      </c>
      <c r="W11" s="5">
        <v>0</v>
      </c>
      <c r="X11" s="4" t="e">
        <f ca="1">VLOOKUP($Y11,OFFSET(enemy_skill_sets!$B$1,0,0,COUNTA(enemy_skill_sets!$B:$B),MATCH(M$1,enemy_skill_sets!$1:$1,0)-MATCH($Y$1,enemy_skill_sets!$1:$1,0)+2),MATCH(M$1,enemy_skill_sets!$1:$1,0)-MATCH($Y$1,enemy_skill_sets!$1:$1,0)+2,FALSE)</f>
        <v>#N/A</v>
      </c>
      <c r="Y11" s="62">
        <v>0</v>
      </c>
      <c r="Z11" s="6">
        <v>1</v>
      </c>
      <c r="AA11" s="6">
        <v>100</v>
      </c>
      <c r="AB11" s="6">
        <v>0</v>
      </c>
      <c r="AC11" s="17">
        <f ca="1">VLOOKUP($L11,OFFSET([3]enemies!$A$1,0,0,COUNTA([3]enemies!$A:$A),MATCH(AC$1,[3]enemies!$1:$1,0)-MATCH($L$1,[3]enemies!$1:$1,0)+1),MATCH(AC$1,[3]enemies!$1:$1,0)-MATCH($L$1,[3]enemies!$1:$1,0)+1,FALSE)</f>
        <v>2</v>
      </c>
      <c r="AD11" s="24">
        <f t="shared" si="8"/>
        <v>59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マーチ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7">
        <v>1</v>
      </c>
      <c r="AI11" s="24">
        <f t="shared" ca="1" si="9"/>
        <v>2</v>
      </c>
      <c r="AJ11" s="8">
        <v>20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30037_2-1/19&lt;lv40&gt;s2</v>
      </c>
      <c r="B12" s="22">
        <v>30037</v>
      </c>
      <c r="C12" s="21">
        <v>2</v>
      </c>
      <c r="D12" s="2" t="str">
        <f t="shared" si="6"/>
        <v>30037_2</v>
      </c>
      <c r="E12" s="4" t="str">
        <f ca="1">VLOOKUP($B12,OFFSET([2]quests!$A$1,0,0,COUNTA([2]quests!$A:$A),MATCH(E$1,[2]quests!$1:$1,0)-MATCH($B$1,[2]quests!$1:$1,0)+1),MATCH(E$1,[2]quests!$1:$1,0)-MATCH($B$1,[2]quests!$1:$1,0)+1,FALSE)</f>
        <v>灯り火の麗人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【上級】灯り火の麗人</v>
      </c>
      <c r="G12" s="21">
        <v>1</v>
      </c>
      <c r="H12" s="15" t="str">
        <f t="shared" si="7"/>
        <v>30037_2-1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19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ティンク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40</v>
      </c>
      <c r="S12" s="25">
        <v>1.9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14527.4</v>
      </c>
      <c r="U12" s="25">
        <v>0.8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1992</v>
      </c>
      <c r="W12" s="5">
        <v>0</v>
      </c>
      <c r="X12" s="4" t="str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2" s="4">
        <f ca="1">VLOOKUP($L12,OFFSET([3]enemies!$A$1,0,0,COUNTA([3]enemies!$A:$A),MATCH(Y$1,[3]enemies!$1:$1,0)-MATCH($L$1,[3]enemies!$1:$1,0)+1),MATCH(Y$1,[3]enemies!$1:$1,0)-MATCH($L$1,[3]enemies!$1:$1,0)+1,FALSE)</f>
        <v>0</v>
      </c>
      <c r="Z12" s="6">
        <v>1</v>
      </c>
      <c r="AA12" s="6">
        <v>100</v>
      </c>
      <c r="AB12" s="6">
        <v>0</v>
      </c>
      <c r="AC12" s="17">
        <v>2</v>
      </c>
      <c r="AD12" s="24">
        <f t="shared" si="8"/>
        <v>19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ティンク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1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Drop1W</v>
      </c>
      <c r="AH12" s="7">
        <v>1</v>
      </c>
      <c r="AI12" s="24">
        <f t="shared" ca="1" si="9"/>
        <v>1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5"/>
        <v>30037_2-2/939&lt;lv45&gt;s1</v>
      </c>
      <c r="B13" s="22">
        <v>30037</v>
      </c>
      <c r="C13" s="21">
        <v>2</v>
      </c>
      <c r="D13" s="2" t="str">
        <f t="shared" si="6"/>
        <v>30037_2</v>
      </c>
      <c r="E13" s="4" t="str">
        <f ca="1">VLOOKUP($B13,OFFSET([2]quests!$A$1,0,0,COUNTA([2]quests!$A:$A),MATCH(E$1,[2]quests!$1:$1,0)-MATCH($B$1,[2]quests!$1:$1,0)+1),MATCH(E$1,[2]quests!$1:$1,0)-MATCH($B$1,[2]quests!$1:$1,0)+1,FALSE)</f>
        <v>灯り火の麗人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【上級】灯り火の麗人</v>
      </c>
      <c r="G13" s="21">
        <v>2</v>
      </c>
      <c r="H13" s="15" t="str">
        <f t="shared" si="7"/>
        <v>30037_2-2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939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バスティーユ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PremiumS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45</v>
      </c>
      <c r="S13" s="25">
        <v>0.6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53643.6</v>
      </c>
      <c r="U13" s="25">
        <v>0.65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2553.2000000000003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2ターンタップ回数を1減少</v>
      </c>
      <c r="Y13" s="62">
        <v>30037001</v>
      </c>
      <c r="Z13" s="6">
        <v>1</v>
      </c>
      <c r="AA13" s="6">
        <v>100</v>
      </c>
      <c r="AB13" s="6">
        <v>1</v>
      </c>
      <c r="AC13" s="17">
        <v>1</v>
      </c>
      <c r="AD13" s="24">
        <f t="shared" si="8"/>
        <v>939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バスティーユ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3" s="7">
        <v>1</v>
      </c>
      <c r="AI13" s="24">
        <f t="shared" ca="1" si="9"/>
        <v>4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14" s="16" t="str">
        <f t="shared" ca="1" si="5"/>
        <v>30037_2-2/43&lt;lv40&gt;s2</v>
      </c>
      <c r="B14" s="22">
        <v>30037</v>
      </c>
      <c r="C14" s="21">
        <v>2</v>
      </c>
      <c r="D14" s="2" t="str">
        <f t="shared" si="6"/>
        <v>30037_2</v>
      </c>
      <c r="E14" s="4" t="str">
        <f ca="1">VLOOKUP($B14,OFFSET([2]quests!$A$1,0,0,COUNTA([2]quests!$A:$A),MATCH(E$1,[2]quests!$1:$1,0)-MATCH($B$1,[2]quests!$1:$1,0)+1),MATCH(E$1,[2]quests!$1:$1,0)-MATCH($B$1,[2]quests!$1:$1,0)+1,FALSE)</f>
        <v>灯り火の麗人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【上級】灯り火の麗人</v>
      </c>
      <c r="G14" s="21">
        <v>2</v>
      </c>
      <c r="H14" s="15" t="str">
        <f t="shared" si="7"/>
        <v>30037_2-2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43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ムゥ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dragon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40</v>
      </c>
      <c r="S14" s="25">
        <v>0.9</v>
      </c>
      <c r="T14" s="103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7885.8</v>
      </c>
      <c r="U14" s="25">
        <v>0.6</v>
      </c>
      <c r="V14" s="103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1449.6</v>
      </c>
      <c r="W14" s="5">
        <v>0</v>
      </c>
      <c r="X14" s="4" t="str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4" s="4">
        <f ca="1">VLOOKUP($L14,OFFSET([3]enemies!$A$1,0,0,COUNTA([3]enemies!$A:$A),MATCH(Y$1,[3]enemies!$1:$1,0)-MATCH($L$1,[3]enemies!$1:$1,0)+1),MATCH(Y$1,[3]enemies!$1:$1,0)-MATCH($L$1,[3]enemies!$1:$1,0)+1,FALSE)</f>
        <v>0</v>
      </c>
      <c r="Z14" s="6">
        <v>2</v>
      </c>
      <c r="AA14" s="6">
        <v>100</v>
      </c>
      <c r="AB14" s="6">
        <v>0</v>
      </c>
      <c r="AC14" s="17">
        <f ca="1">VLOOKUP($L14,OFFSET([3]enemies!$A$1,0,0,COUNTA([3]enemies!$A:$A),MATCH(AC$1,[3]enemies!$1:$1,0)-MATCH($L$1,[3]enemies!$1:$1,0)+1),MATCH(AC$1,[3]enemies!$1:$1,0)-MATCH($L$1,[3]enemies!$1:$1,0)+1,FALSE)</f>
        <v>2</v>
      </c>
      <c r="AD14" s="24">
        <f t="shared" si="8"/>
        <v>43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ムゥ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Drop1N</v>
      </c>
      <c r="AH14" s="7">
        <v>1</v>
      </c>
      <c r="AI14" s="24">
        <f t="shared" ca="1" si="9"/>
        <v>2</v>
      </c>
      <c r="AJ14" s="8">
        <v>20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70">
        <v>1</v>
      </c>
    </row>
    <row r="15" spans="1:42" ht="21" customHeight="1" x14ac:dyDescent="0.15">
      <c r="A15" s="16" t="str">
        <f t="shared" ca="1" si="5"/>
        <v>30037_2-3/52&lt;lv40&gt;s2</v>
      </c>
      <c r="B15" s="22">
        <v>30037</v>
      </c>
      <c r="C15" s="21">
        <v>2</v>
      </c>
      <c r="D15" s="2" t="str">
        <f t="shared" si="6"/>
        <v>30037_2</v>
      </c>
      <c r="E15" s="4" t="str">
        <f ca="1">VLOOKUP($B15,OFFSET([2]quests!$A$1,0,0,COUNTA([2]quests!$A:$A),MATCH(E$1,[2]quests!$1:$1,0)-MATCH($B$1,[2]quests!$1:$1,0)+1),MATCH(E$1,[2]quests!$1:$1,0)-MATCH($B$1,[2]quests!$1:$1,0)+1,FALSE)</f>
        <v>灯り火の麗人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【上級】灯り火の麗人</v>
      </c>
      <c r="G15" s="21">
        <v>3</v>
      </c>
      <c r="H15" s="15" t="str">
        <f t="shared" si="7"/>
        <v>30037_2-3</v>
      </c>
      <c r="I15" s="4">
        <f ca="1">VLOOKUP($H15,OFFSET(floors!$A$1,0,0,COUNTA(floors!$A:$A),MATCH(I$1,floors!$1:$1,0)-MATCH($H$1,floors!$1:$1,0)+1),MATCH(I$1,floors!$1:$1,0)-MATCH($H$1,floors!$1:$1,0)+1,FALSE)</f>
        <v>40</v>
      </c>
      <c r="J15" s="4">
        <f ca="1">VLOOKUP($H15,OFFSET(floors!$A$1,0,0,COUNTA(floors!$A:$A),MATCH(J$1,floors!$1:$1,0)-MATCH($H$1,floors!$1:$1,0)+1),MATCH(J$1,floors!$1:$1,0)-MATCH($H$1,floors!$1:$1,0)+1,FALSE)</f>
        <v>40</v>
      </c>
      <c r="K15" s="38" t="s">
        <v>53</v>
      </c>
      <c r="L15" s="20">
        <v>52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翠槍のレジスタンス マイ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40</v>
      </c>
      <c r="S15" s="25">
        <v>0.9</v>
      </c>
      <c r="T15" s="103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23635.8</v>
      </c>
      <c r="U15" s="25">
        <v>0.4</v>
      </c>
      <c r="V15" s="103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2159.2000000000003</v>
      </c>
      <c r="W15" s="5">
        <v>0</v>
      </c>
      <c r="X15" s="4" t="e">
        <f ca="1">VLOOKUP($Y15,OFFSET(enemy_skill_sets!$B$1,0,0,COUNTA(enemy_skill_sets!$B:$B),MATCH(M$1,enemy_skill_sets!$1:$1,0)-MATCH($Y$1,enemy_skill_sets!$1:$1,0)+2),MATCH(M$1,enemy_skill_sets!$1:$1,0)-MATCH($Y$1,enemy_skill_sets!$1:$1,0)+2,FALSE)</f>
        <v>#N/A</v>
      </c>
      <c r="Y15" s="62">
        <v>51</v>
      </c>
      <c r="Z15" s="6">
        <v>1</v>
      </c>
      <c r="AA15" s="6">
        <v>100</v>
      </c>
      <c r="AB15" s="6">
        <v>0</v>
      </c>
      <c r="AC15" s="17">
        <f ca="1">VLOOKUP($L15,OFFSET([3]enemies!$A$1,0,0,COUNTA([3]enemies!$A:$A),MATCH(AC$1,[3]enemies!$1:$1,0)-MATCH($L$1,[3]enemies!$1:$1,0)+1),MATCH(AC$1,[3]enemies!$1:$1,0)-MATCH($L$1,[3]enemies!$1:$1,0)+1,FALSE)</f>
        <v>2</v>
      </c>
      <c r="AD15" s="24">
        <v>51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マイ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2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Drop1N</v>
      </c>
      <c r="AH15" s="7">
        <v>1</v>
      </c>
      <c r="AI15" s="24">
        <f t="shared" ca="1" si="9"/>
        <v>2</v>
      </c>
      <c r="AJ15" s="8">
        <v>20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70">
        <v>1</v>
      </c>
    </row>
    <row r="16" spans="1:42" ht="21" customHeight="1" x14ac:dyDescent="0.15">
      <c r="A16" s="16" t="str">
        <f t="shared" si="5"/>
        <v>30037_2-3/56&lt;lv40&gt;s2</v>
      </c>
      <c r="B16" s="22">
        <v>30037</v>
      </c>
      <c r="C16" s="21">
        <v>2</v>
      </c>
      <c r="D16" s="2" t="str">
        <f t="shared" si="6"/>
        <v>30037_2</v>
      </c>
      <c r="E16" s="4" t="str">
        <f ca="1">VLOOKUP($B16,OFFSET([2]quests!$A$1,0,0,COUNTA([2]quests!$A:$A),MATCH(E$1,[2]quests!$1:$1,0)-MATCH($B$1,[2]quests!$1:$1,0)+1),MATCH(E$1,[2]quests!$1:$1,0)-MATCH($B$1,[2]quests!$1:$1,0)+1,FALSE)</f>
        <v>灯り火の麗人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【上級】灯り火の麗人</v>
      </c>
      <c r="G16" s="21">
        <v>3</v>
      </c>
      <c r="H16" s="15" t="str">
        <f t="shared" si="7"/>
        <v>30037_2-3</v>
      </c>
      <c r="I16" s="4">
        <f ca="1">VLOOKUP($H16,OFFSET(floors!$A$1,0,0,COUNTA(floors!$A:$A),MATCH(I$1,floors!$1:$1,0)-MATCH($H$1,floors!$1:$1,0)+1),MATCH(I$1,floors!$1:$1,0)-MATCH($H$1,floors!$1:$1,0)+1,FALSE)</f>
        <v>40</v>
      </c>
      <c r="J16" s="4">
        <f ca="1">VLOOKUP($H16,OFFSET(floors!$A$1,0,0,COUNTA(floors!$A:$A),MATCH(J$1,floors!$1:$1,0)-MATCH($H$1,floors!$1:$1,0)+1),MATCH(J$1,floors!$1:$1,0)-MATCH($H$1,floors!$1:$1,0)+1,FALSE)</f>
        <v>40</v>
      </c>
      <c r="K16" s="38" t="s">
        <v>53</v>
      </c>
      <c r="L16" s="20">
        <v>56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黄槌のレジスタンス マミコ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40</v>
      </c>
      <c r="S16" s="25">
        <v>1.4</v>
      </c>
      <c r="T16" s="103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35324.799999999996</v>
      </c>
      <c r="U16" s="25">
        <v>0.7</v>
      </c>
      <c r="V16" s="103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2928.1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4ターンスキルバインド！</v>
      </c>
      <c r="Y16" s="62">
        <v>30037006</v>
      </c>
      <c r="Z16" s="6">
        <v>1</v>
      </c>
      <c r="AA16" s="6">
        <v>100</v>
      </c>
      <c r="AB16" s="6">
        <v>0</v>
      </c>
      <c r="AC16" s="17">
        <v>2</v>
      </c>
      <c r="AD16" s="24">
        <v>55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Drop1N</v>
      </c>
      <c r="AH16" s="7">
        <v>1</v>
      </c>
      <c r="AI16" s="24">
        <f t="shared" ca="1" si="9"/>
        <v>2</v>
      </c>
      <c r="AJ16" s="8">
        <v>20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70">
        <v>1</v>
      </c>
    </row>
    <row r="17" spans="1:42" ht="21" customHeight="1" x14ac:dyDescent="0.15">
      <c r="A17" s="16" t="str">
        <f t="shared" si="5"/>
        <v>30037_2-4/933&lt;lv40&gt;s1</v>
      </c>
      <c r="B17" s="22">
        <v>30037</v>
      </c>
      <c r="C17" s="21">
        <v>2</v>
      </c>
      <c r="D17" s="2" t="str">
        <f t="shared" si="6"/>
        <v>30037_2</v>
      </c>
      <c r="E17" s="4" t="str">
        <f ca="1">VLOOKUP($B17,OFFSET([2]quests!$A$1,0,0,COUNTA([2]quests!$A:$A),MATCH(E$1,[2]quests!$1:$1,0)-MATCH($B$1,[2]quests!$1:$1,0)+1),MATCH(E$1,[2]quests!$1:$1,0)-MATCH($B$1,[2]quests!$1:$1,0)+1,FALSE)</f>
        <v>灯り火の麗人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【上級】灯り火の麗人</v>
      </c>
      <c r="G17" s="21">
        <v>4</v>
      </c>
      <c r="H17" s="15" t="str">
        <f t="shared" si="7"/>
        <v>30037_2-4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1</v>
      </c>
      <c r="L17" s="20">
        <v>933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ヴェルサイユ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Drop2N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40</v>
      </c>
      <c r="S17" s="25">
        <v>2</v>
      </c>
      <c r="T17" s="103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105742</v>
      </c>
      <c r="U17" s="25">
        <v>0.5</v>
      </c>
      <c r="V17" s="103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2826.5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17" s="62">
        <v>30037005</v>
      </c>
      <c r="Z17" s="6">
        <v>1</v>
      </c>
      <c r="AA17" s="6">
        <v>100</v>
      </c>
      <c r="AB17" s="6">
        <v>1</v>
      </c>
      <c r="AC17" s="17">
        <v>1</v>
      </c>
      <c r="AD17" s="24">
        <f t="shared" ref="AD17:AD22" si="10">L17</f>
        <v>933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ヴェルサイユ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4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Drop2N</v>
      </c>
      <c r="AH17" s="7">
        <v>1</v>
      </c>
      <c r="AI17" s="24">
        <f t="shared" ca="1" si="9"/>
        <v>4</v>
      </c>
      <c r="AJ17" s="8">
        <v>50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70">
        <v>1</v>
      </c>
    </row>
    <row r="18" spans="1:42" ht="21" customHeight="1" x14ac:dyDescent="0.15">
      <c r="A18" s="16" t="str">
        <f t="shared" si="5"/>
        <v>30037_3-1/23&lt;lv60&gt;s1</v>
      </c>
      <c r="B18" s="22">
        <v>30037</v>
      </c>
      <c r="C18" s="21">
        <v>3</v>
      </c>
      <c r="D18" s="2" t="str">
        <f t="shared" si="6"/>
        <v>30037_3</v>
      </c>
      <c r="E18" s="4" t="str">
        <f ca="1">VLOOKUP($B18,OFFSET([2]quests!$A$1,0,0,COUNTA([2]quests!$A:$A),MATCH(E$1,[2]quests!$1:$1,0)-MATCH($B$1,[2]quests!$1:$1,0)+1),MATCH(E$1,[2]quests!$1:$1,0)-MATCH($B$1,[2]quests!$1:$1,0)+1,FALSE)</f>
        <v>灯り火の麗人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【超級】灯り火の麗人</v>
      </c>
      <c r="G18" s="21">
        <v>1</v>
      </c>
      <c r="H18" s="15" t="str">
        <f t="shared" si="7"/>
        <v>30037_3-1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8" t="s">
        <v>53</v>
      </c>
      <c r="L18" s="20">
        <v>23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ミール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60</v>
      </c>
      <c r="S18" s="25">
        <v>0.5</v>
      </c>
      <c r="T18" s="103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9096</v>
      </c>
      <c r="U18" s="25">
        <v>0.6</v>
      </c>
      <c r="V18" s="103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2028.6</v>
      </c>
      <c r="W18" s="5">
        <v>0</v>
      </c>
      <c r="X18" s="4" t="str">
        <f ca="1">VLOOKUP($Y18,OFFSET([5]enemy_skill_sets!$B$1,0,0,COUNTA([5]enemy_skill_sets!$B:$B),MATCH(M$1,[5]enemy_skill_sets!$1:$1,0)-MATCH($Y$1,[5]enemy_skill_sets!$1:$1,0)+2),MATCH(M$1,[5]enemy_skill_sets!$1:$1,0)-MATCH($Y$1,[5]enemy_skill_sets!$1:$1,0)+2,FALSE)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8" s="4">
        <f ca="1">VLOOKUP($L18,OFFSET([3]enemies!$A$1,0,0,COUNTA([3]enemies!$A:$A),MATCH(Y$1,[3]enemies!$1:$1,0)-MATCH($L$1,[3]enemies!$1:$1,0)+1),MATCH(Y$1,[3]enemies!$1:$1,0)-MATCH($L$1,[3]enemies!$1:$1,0)+1,FALSE)</f>
        <v>0</v>
      </c>
      <c r="Z18" s="6">
        <v>1</v>
      </c>
      <c r="AA18" s="6">
        <v>100</v>
      </c>
      <c r="AB18" s="6">
        <v>0</v>
      </c>
      <c r="AC18" s="17">
        <v>1</v>
      </c>
      <c r="AD18" s="24">
        <f t="shared" si="10"/>
        <v>23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1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Drop1N</v>
      </c>
      <c r="AH18" s="7">
        <v>1</v>
      </c>
      <c r="AI18" s="24">
        <f t="shared" ca="1" si="9"/>
        <v>1</v>
      </c>
      <c r="AJ18" s="8">
        <v>20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70">
        <v>1</v>
      </c>
    </row>
    <row r="19" spans="1:42" ht="21" customHeight="1" x14ac:dyDescent="0.15">
      <c r="A19" s="16" t="str">
        <f t="shared" ca="1" si="5"/>
        <v>30037_3-1/59&lt;lv60&gt;s2</v>
      </c>
      <c r="B19" s="22">
        <v>30037</v>
      </c>
      <c r="C19" s="21">
        <v>3</v>
      </c>
      <c r="D19" s="2" t="str">
        <f t="shared" si="6"/>
        <v>30037_3</v>
      </c>
      <c r="E19" s="4" t="str">
        <f ca="1">VLOOKUP($B19,OFFSET([2]quests!$A$1,0,0,COUNTA([2]quests!$A:$A),MATCH(E$1,[2]quests!$1:$1,0)-MATCH($B$1,[2]quests!$1:$1,0)+1),MATCH(E$1,[2]quests!$1:$1,0)-MATCH($B$1,[2]quests!$1:$1,0)+1,FALSE)</f>
        <v>灯り火の麗人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【超級】灯り火の麗人</v>
      </c>
      <c r="G19" s="21">
        <v>1</v>
      </c>
      <c r="H19" s="15" t="str">
        <f t="shared" si="7"/>
        <v>30037_3-1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45</v>
      </c>
      <c r="K19" s="38" t="s">
        <v>251</v>
      </c>
      <c r="L19" s="20">
        <v>59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マーチ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60</v>
      </c>
      <c r="S19" s="25">
        <v>1.5</v>
      </c>
      <c r="T19" s="103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15055.5</v>
      </c>
      <c r="U19" s="25">
        <v>0.8</v>
      </c>
      <c r="V19" s="103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2482.4</v>
      </c>
      <c r="W19" s="5">
        <v>0</v>
      </c>
      <c r="X19" s="4" t="e">
        <f ca="1">VLOOKUP($Y19,OFFSET(enemy_skill_sets!$B$1,0,0,COUNTA(enemy_skill_sets!$B:$B),MATCH(M$1,enemy_skill_sets!$1:$1,0)-MATCH($Y$1,enemy_skill_sets!$1:$1,0)+2),MATCH(M$1,enemy_skill_sets!$1:$1,0)-MATCH($Y$1,enemy_skill_sets!$1:$1,0)+2,FALSE)</f>
        <v>#N/A</v>
      </c>
      <c r="Y19" s="62">
        <v>0</v>
      </c>
      <c r="Z19" s="6">
        <v>1</v>
      </c>
      <c r="AA19" s="6">
        <v>100</v>
      </c>
      <c r="AB19" s="6">
        <v>0</v>
      </c>
      <c r="AC19" s="17">
        <f ca="1">VLOOKUP($L19,OFFSET([3]enemies!$A$1,0,0,COUNTA([3]enemies!$A:$A),MATCH(AC$1,[3]enemies!$1:$1,0)-MATCH($L$1,[3]enemies!$1:$1,0)+1),MATCH(AC$1,[3]enemies!$1:$1,0)-MATCH($L$1,[3]enemies!$1:$1,0)+1,FALSE)</f>
        <v>2</v>
      </c>
      <c r="AD19" s="24">
        <f t="shared" si="10"/>
        <v>59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マーチ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2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Drop1N</v>
      </c>
      <c r="AH19" s="7">
        <v>1</v>
      </c>
      <c r="AI19" s="24">
        <f t="shared" ca="1" si="9"/>
        <v>2</v>
      </c>
      <c r="AJ19" s="8">
        <v>20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70">
        <v>1</v>
      </c>
    </row>
    <row r="20" spans="1:42" ht="21" customHeight="1" x14ac:dyDescent="0.15">
      <c r="A20" s="16" t="str">
        <f t="shared" si="5"/>
        <v>30037_3-1/19&lt;lv60&gt;s2</v>
      </c>
      <c r="B20" s="22">
        <v>30037</v>
      </c>
      <c r="C20" s="21">
        <v>3</v>
      </c>
      <c r="D20" s="2" t="str">
        <f t="shared" si="6"/>
        <v>30037_3</v>
      </c>
      <c r="E20" s="4" t="str">
        <f ca="1">VLOOKUP($B20,OFFSET([2]quests!$A$1,0,0,COUNTA([2]quests!$A:$A),MATCH(E$1,[2]quests!$1:$1,0)-MATCH($B$1,[2]quests!$1:$1,0)+1),MATCH(E$1,[2]quests!$1:$1,0)-MATCH($B$1,[2]quests!$1:$1,0)+1,FALSE)</f>
        <v>灯り火の麗人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【超級】灯り火の麗人</v>
      </c>
      <c r="G20" s="21">
        <v>1</v>
      </c>
      <c r="H20" s="15" t="str">
        <f t="shared" si="7"/>
        <v>30037_3-1</v>
      </c>
      <c r="I20" s="4">
        <f ca="1">VLOOKUP($H20,OFFSET(floors!$A$1,0,0,COUNTA(floors!$A:$A),MATCH(I$1,floors!$1:$1,0)-MATCH($H$1,floors!$1:$1,0)+1),MATCH(I$1,floors!$1:$1,0)-MATCH($H$1,floors!$1:$1,0)+1,FALSE)</f>
        <v>45</v>
      </c>
      <c r="J20" s="4">
        <f ca="1">VLOOKUP($H20,OFFSET(floors!$A$1,0,0,COUNTA(floors!$A:$A),MATCH(J$1,floors!$1:$1,0)-MATCH($H$1,floors!$1:$1,0)+1),MATCH(J$1,floors!$1:$1,0)-MATCH($H$1,floors!$1:$1,0)+1,FALSE)</f>
        <v>45</v>
      </c>
      <c r="K20" s="38" t="s">
        <v>53</v>
      </c>
      <c r="L20" s="20">
        <v>19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ティンク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Drop1W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human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60</v>
      </c>
      <c r="S20" s="25">
        <v>1.6</v>
      </c>
      <c r="T20" s="103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18129.600000000002</v>
      </c>
      <c r="U20" s="25">
        <v>0.8</v>
      </c>
      <c r="V20" s="103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2952</v>
      </c>
      <c r="W20" s="5">
        <v>0</v>
      </c>
      <c r="X20" s="4" t="str">
        <f ca="1">VLOOKUP($Y20,OFFSET([5]enemy_skill_sets!$B$1,0,0,COUNTA([5]enemy_skill_sets!$B:$B),MATCH(M$1,[5]enemy_skill_sets!$1:$1,0)-MATCH($Y$1,[5]enemy_skill_sets!$1:$1,0)+2),MATCH(M$1,[5]enemy_skill_sets!$1:$1,0)-MATCH($Y$1,[5]enemy_skill_sets!$1:$1,0)+2,FALSE)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0" s="4">
        <f ca="1">VLOOKUP($L20,OFFSET([3]enemies!$A$1,0,0,COUNTA([3]enemies!$A:$A),MATCH(Y$1,[3]enemies!$1:$1,0)-MATCH($L$1,[3]enemies!$1:$1,0)+1),MATCH(Y$1,[3]enemies!$1:$1,0)-MATCH($L$1,[3]enemies!$1:$1,0)+1,FALSE)</f>
        <v>0</v>
      </c>
      <c r="Z20" s="6">
        <v>1</v>
      </c>
      <c r="AA20" s="6">
        <v>100</v>
      </c>
      <c r="AB20" s="6">
        <v>0</v>
      </c>
      <c r="AC20" s="17">
        <v>2</v>
      </c>
      <c r="AD20" s="24">
        <f t="shared" si="10"/>
        <v>19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ティンク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1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Drop1W</v>
      </c>
      <c r="AH20" s="7">
        <v>1</v>
      </c>
      <c r="AI20" s="24">
        <f t="shared" ca="1" si="9"/>
        <v>1</v>
      </c>
      <c r="AJ20" s="8">
        <v>20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70">
        <v>1</v>
      </c>
    </row>
    <row r="21" spans="1:42" ht="21" customHeight="1" x14ac:dyDescent="0.15">
      <c r="A21" s="16" t="str">
        <f t="shared" si="5"/>
        <v>30037_3-2/939&lt;lv60&gt;s1</v>
      </c>
      <c r="B21" s="22">
        <v>30037</v>
      </c>
      <c r="C21" s="21">
        <v>3</v>
      </c>
      <c r="D21" s="2" t="str">
        <f t="shared" si="6"/>
        <v>30037_3</v>
      </c>
      <c r="E21" s="4" t="str">
        <f ca="1">VLOOKUP($B21,OFFSET([2]quests!$A$1,0,0,COUNTA([2]quests!$A:$A),MATCH(E$1,[2]quests!$1:$1,0)-MATCH($B$1,[2]quests!$1:$1,0)+1),MATCH(E$1,[2]quests!$1:$1,0)-MATCH($B$1,[2]quests!$1:$1,0)+1,FALSE)</f>
        <v>灯り火の麗人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【超級】灯り火の麗人</v>
      </c>
      <c r="G21" s="21">
        <v>2</v>
      </c>
      <c r="H21" s="15" t="str">
        <f t="shared" si="7"/>
        <v>30037_3-2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939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バスティーユ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PremiumS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30</v>
      </c>
      <c r="R21" s="5">
        <v>60</v>
      </c>
      <c r="S21" s="25">
        <v>0.4</v>
      </c>
      <c r="T21" s="103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47298.400000000001</v>
      </c>
      <c r="U21" s="25">
        <v>0.65</v>
      </c>
      <c r="V21" s="103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3376.75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2ターンタップ回数を1減少</v>
      </c>
      <c r="Y21" s="62">
        <v>30037001</v>
      </c>
      <c r="Z21" s="6">
        <v>1</v>
      </c>
      <c r="AA21" s="6">
        <v>100</v>
      </c>
      <c r="AB21" s="6">
        <v>1</v>
      </c>
      <c r="AC21" s="17">
        <v>1</v>
      </c>
      <c r="AD21" s="24">
        <f t="shared" si="10"/>
        <v>939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バスティーユ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4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1" s="7">
        <v>1</v>
      </c>
      <c r="AI21" s="24">
        <f t="shared" ca="1" si="9"/>
        <v>4</v>
      </c>
      <c r="AJ21" s="8">
        <v>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70">
        <v>1</v>
      </c>
    </row>
    <row r="22" spans="1:42" ht="21" customHeight="1" x14ac:dyDescent="0.15">
      <c r="A22" s="16" t="str">
        <f t="shared" ca="1" si="5"/>
        <v>30037_3-2/43&lt;lv60&gt;s2</v>
      </c>
      <c r="B22" s="22">
        <v>30037</v>
      </c>
      <c r="C22" s="21">
        <v>3</v>
      </c>
      <c r="D22" s="2" t="str">
        <f t="shared" si="6"/>
        <v>30037_3</v>
      </c>
      <c r="E22" s="4" t="str">
        <f ca="1">VLOOKUP($B22,OFFSET([2]quests!$A$1,0,0,COUNTA([2]quests!$A:$A),MATCH(E$1,[2]quests!$1:$1,0)-MATCH($B$1,[2]quests!$1:$1,0)+1),MATCH(E$1,[2]quests!$1:$1,0)-MATCH($B$1,[2]quests!$1:$1,0)+1,FALSE)</f>
        <v>灯り火の麗人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【超級】灯り火の麗人</v>
      </c>
      <c r="G22" s="21">
        <v>2</v>
      </c>
      <c r="H22" s="15" t="str">
        <f t="shared" si="7"/>
        <v>30037_3-2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53</v>
      </c>
      <c r="L22" s="20">
        <v>43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ムゥ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dragon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60</v>
      </c>
      <c r="S22" s="25">
        <v>0.7</v>
      </c>
      <c r="T22" s="103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9089.5</v>
      </c>
      <c r="U22" s="25">
        <v>0.6</v>
      </c>
      <c r="V22" s="103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2148</v>
      </c>
      <c r="W22" s="5">
        <v>0</v>
      </c>
      <c r="X22" s="4" t="str">
        <f ca="1">VLOOKUP($Y22,OFFSET([5]enemy_skill_sets!$B$1,0,0,COUNTA([5]enemy_skill_sets!$B:$B),MATCH(M$1,[5]enemy_skill_sets!$1:$1,0)-MATCH($Y$1,[5]enemy_skill_sets!$1:$1,0)+2),MATCH(M$1,[5]enemy_skill_sets!$1:$1,0)-MATCH($Y$1,[5]enemy_skill_sets!$1:$1,0)+2,FALSE)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2" s="4">
        <f ca="1">VLOOKUP($L22,OFFSET([3]enemies!$A$1,0,0,COUNTA([3]enemies!$A:$A),MATCH(Y$1,[3]enemies!$1:$1,0)-MATCH($L$1,[3]enemies!$1:$1,0)+1),MATCH(Y$1,[3]enemies!$1:$1,0)-MATCH($L$1,[3]enemies!$1:$1,0)+1,FALSE)</f>
        <v>0</v>
      </c>
      <c r="Z22" s="6">
        <v>2</v>
      </c>
      <c r="AA22" s="6">
        <v>100</v>
      </c>
      <c r="AB22" s="6">
        <v>0</v>
      </c>
      <c r="AC22" s="17">
        <f ca="1">VLOOKUP($L22,OFFSET([3]enemies!$A$1,0,0,COUNTA([3]enemies!$A:$A),MATCH(AC$1,[3]enemies!$1:$1,0)-MATCH($L$1,[3]enemies!$1:$1,0)+1),MATCH(AC$1,[3]enemies!$1:$1,0)-MATCH($L$1,[3]enemies!$1:$1,0)+1,FALSE)</f>
        <v>2</v>
      </c>
      <c r="AD22" s="24">
        <f t="shared" si="10"/>
        <v>43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ムゥ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2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2" s="7">
        <v>1</v>
      </c>
      <c r="AI22" s="24">
        <f t="shared" ca="1" si="9"/>
        <v>2</v>
      </c>
      <c r="AJ22" s="8">
        <v>20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70">
        <v>1</v>
      </c>
    </row>
    <row r="23" spans="1:42" ht="21" customHeight="1" x14ac:dyDescent="0.15">
      <c r="A23" s="16" t="str">
        <f t="shared" ca="1" si="5"/>
        <v>30037_3-3/52&lt;lv60&gt;s2</v>
      </c>
      <c r="B23" s="22">
        <v>30037</v>
      </c>
      <c r="C23" s="21">
        <v>3</v>
      </c>
      <c r="D23" s="2" t="str">
        <f t="shared" si="6"/>
        <v>30037_3</v>
      </c>
      <c r="E23" s="4" t="str">
        <f ca="1">VLOOKUP($B23,OFFSET([2]quests!$A$1,0,0,COUNTA([2]quests!$A:$A),MATCH(E$1,[2]quests!$1:$1,0)-MATCH($B$1,[2]quests!$1:$1,0)+1),MATCH(E$1,[2]quests!$1:$1,0)-MATCH($B$1,[2]quests!$1:$1,0)+1,FALSE)</f>
        <v>灯り火の麗人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【超級】灯り火の麗人</v>
      </c>
      <c r="G23" s="21">
        <v>3</v>
      </c>
      <c r="H23" s="15" t="str">
        <f t="shared" si="7"/>
        <v>30037_3-3</v>
      </c>
      <c r="I23" s="4">
        <f ca="1">VLOOKUP($H23,OFFSET(floors!$A$1,0,0,COUNTA(floors!$A:$A),MATCH(I$1,floors!$1:$1,0)-MATCH($H$1,floors!$1:$1,0)+1),MATCH(I$1,floors!$1:$1,0)-MATCH($H$1,floors!$1:$1,0)+1,FALSE)</f>
        <v>40</v>
      </c>
      <c r="J23" s="4">
        <f ca="1">VLOOKUP($H23,OFFSET(floors!$A$1,0,0,COUNTA(floors!$A:$A),MATCH(J$1,floors!$1:$1,0)-MATCH($H$1,floors!$1:$1,0)+1),MATCH(J$1,floors!$1:$1,0)-MATCH($H$1,floors!$1:$1,0)+1,FALSE)</f>
        <v>40</v>
      </c>
      <c r="K23" s="38" t="s">
        <v>53</v>
      </c>
      <c r="L23" s="20">
        <v>52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翠槍のレジスタンス マイ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20</v>
      </c>
      <c r="R23" s="5">
        <v>60</v>
      </c>
      <c r="S23" s="25">
        <v>0.9</v>
      </c>
      <c r="T23" s="103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35026.200000000004</v>
      </c>
      <c r="U23" s="25">
        <v>0.4</v>
      </c>
      <c r="V23" s="103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3199.6000000000004</v>
      </c>
      <c r="W23" s="5">
        <v>0</v>
      </c>
      <c r="X23" s="4" t="e">
        <f ca="1">VLOOKUP($Y23,OFFSET(enemy_skill_sets!$B$1,0,0,COUNTA(enemy_skill_sets!$B:$B),MATCH(M$1,enemy_skill_sets!$1:$1,0)-MATCH($Y$1,enemy_skill_sets!$1:$1,0)+2),MATCH(M$1,enemy_skill_sets!$1:$1,0)-MATCH($Y$1,enemy_skill_sets!$1:$1,0)+2,FALSE)</f>
        <v>#N/A</v>
      </c>
      <c r="Y23" s="62">
        <v>51</v>
      </c>
      <c r="Z23" s="6">
        <v>1</v>
      </c>
      <c r="AA23" s="6">
        <v>100</v>
      </c>
      <c r="AB23" s="6">
        <v>0</v>
      </c>
      <c r="AC23" s="17">
        <f ca="1">VLOOKUP($L23,OFFSET([3]enemies!$A$1,0,0,COUNTA([3]enemies!$A:$A),MATCH(AC$1,[3]enemies!$1:$1,0)-MATCH($L$1,[3]enemies!$1:$1,0)+1),MATCH(AC$1,[3]enemies!$1:$1,0)-MATCH($L$1,[3]enemies!$1:$1,0)+1,FALSE)</f>
        <v>2</v>
      </c>
      <c r="AD23" s="24">
        <v>51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マイ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2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Drop1N</v>
      </c>
      <c r="AH23" s="7">
        <v>1</v>
      </c>
      <c r="AI23" s="24">
        <f t="shared" ca="1" si="9"/>
        <v>2</v>
      </c>
      <c r="AJ23" s="8">
        <v>20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70">
        <v>1</v>
      </c>
    </row>
    <row r="24" spans="1:42" ht="21" customHeight="1" x14ac:dyDescent="0.15">
      <c r="A24" s="16" t="str">
        <f t="shared" si="5"/>
        <v>30037_3-3/56&lt;lv60&gt;s2</v>
      </c>
      <c r="B24" s="22">
        <v>30037</v>
      </c>
      <c r="C24" s="21">
        <v>3</v>
      </c>
      <c r="D24" s="2" t="str">
        <f t="shared" si="6"/>
        <v>30037_3</v>
      </c>
      <c r="E24" s="4" t="str">
        <f ca="1">VLOOKUP($B24,OFFSET([2]quests!$A$1,0,0,COUNTA([2]quests!$A:$A),MATCH(E$1,[2]quests!$1:$1,0)-MATCH($B$1,[2]quests!$1:$1,0)+1),MATCH(E$1,[2]quests!$1:$1,0)-MATCH($B$1,[2]quests!$1:$1,0)+1,FALSE)</f>
        <v>灯り火の麗人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【超級】灯り火の麗人</v>
      </c>
      <c r="G24" s="21">
        <v>3</v>
      </c>
      <c r="H24" s="15" t="str">
        <f t="shared" si="7"/>
        <v>30037_3-3</v>
      </c>
      <c r="I24" s="4">
        <f ca="1">VLOOKUP($H24,OFFSET(floors!$A$1,0,0,COUNTA(floors!$A:$A),MATCH(I$1,floors!$1:$1,0)-MATCH($H$1,floors!$1:$1,0)+1),MATCH(I$1,floors!$1:$1,0)-MATCH($H$1,floors!$1:$1,0)+1,FALSE)</f>
        <v>40</v>
      </c>
      <c r="J24" s="4">
        <f ca="1">VLOOKUP($H24,OFFSET(floors!$A$1,0,0,COUNTA(floors!$A:$A),MATCH(J$1,floors!$1:$1,0)-MATCH($H$1,floors!$1:$1,0)+1),MATCH(J$1,floors!$1:$1,0)-MATCH($H$1,floors!$1:$1,0)+1,FALSE)</f>
        <v>40</v>
      </c>
      <c r="K24" s="38" t="s">
        <v>53</v>
      </c>
      <c r="L24" s="20">
        <v>56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黄槌のレジスタンス マミコ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human</v>
      </c>
      <c r="Q24" s="17">
        <f ca="1">VLOOKUP($L24,OFFSET([3]enemies!$A$1,0,0,COUNTA([3]enemies!$A:$A),MATCH(Q$1,[3]enemies!$1:$1,0)-MATCH($L$1,[3]enemies!$1:$1,0)+1),MATCH(Q$1,[3]enemies!$1:$1,0)-MATCH($L$1,[3]enemies!$1:$1,0)+1,FALSE)</f>
        <v>20</v>
      </c>
      <c r="R24" s="5">
        <v>60</v>
      </c>
      <c r="S24" s="25">
        <v>1.4</v>
      </c>
      <c r="T24" s="103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52348.799999999996</v>
      </c>
      <c r="U24" s="25">
        <v>0.7</v>
      </c>
      <c r="V24" s="103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4339.2999999999993</v>
      </c>
      <c r="W24" s="5">
        <v>0</v>
      </c>
      <c r="X24" s="4" t="str">
        <f ca="1">VLOOKUP($Y24,OFFSET(enemy_skill_sets!$B$1,0,0,COUNTA(enemy_skill_sets!$B:$B),MATCH(M$1,enemy_skill_sets!$1:$1,0)-MATCH($Y$1,enemy_skill_sets!$1:$1,0)+2),MATCH(M$1,enemy_skill_sets!$1:$1,0)-MATCH($Y$1,enemy_skill_sets!$1:$1,0)+2,FALSE)</f>
        <v>4ターンスキルバインド！</v>
      </c>
      <c r="Y24" s="62">
        <v>30037006</v>
      </c>
      <c r="Z24" s="6">
        <v>1</v>
      </c>
      <c r="AA24" s="6">
        <v>100</v>
      </c>
      <c r="AB24" s="6">
        <v>0</v>
      </c>
      <c r="AC24" s="17">
        <v>2</v>
      </c>
      <c r="AD24" s="24">
        <v>55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2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Drop1N</v>
      </c>
      <c r="AH24" s="7">
        <v>1</v>
      </c>
      <c r="AI24" s="24">
        <f t="shared" ca="1" si="9"/>
        <v>2</v>
      </c>
      <c r="AJ24" s="8">
        <v>20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70">
        <v>1</v>
      </c>
    </row>
    <row r="25" spans="1:42" ht="21" customHeight="1" x14ac:dyDescent="0.15">
      <c r="A25" s="16" t="str">
        <f t="shared" si="5"/>
        <v>30037_3-4/933&lt;lv60&gt;s1</v>
      </c>
      <c r="B25" s="22">
        <v>30037</v>
      </c>
      <c r="C25" s="21">
        <v>3</v>
      </c>
      <c r="D25" s="2" t="str">
        <f t="shared" si="6"/>
        <v>30037_3</v>
      </c>
      <c r="E25" s="4" t="str">
        <f ca="1">VLOOKUP($B25,OFFSET([2]quests!$A$1,0,0,COUNTA([2]quests!$A:$A),MATCH(E$1,[2]quests!$1:$1,0)-MATCH($B$1,[2]quests!$1:$1,0)+1),MATCH(E$1,[2]quests!$1:$1,0)-MATCH($B$1,[2]quests!$1:$1,0)+1,FALSE)</f>
        <v>灯り火の麗人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【超級】灯り火の麗人</v>
      </c>
      <c r="G25" s="21">
        <v>4</v>
      </c>
      <c r="H25" s="15" t="str">
        <f t="shared" si="7"/>
        <v>30037_3-4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>
        <v>1</v>
      </c>
      <c r="L25" s="20">
        <v>933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ヴェルサイユ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Drop2N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7">
        <f ca="1">VLOOKUP($L25,OFFSET([3]enemies!$A$1,0,0,COUNTA([3]enemies!$A:$A),MATCH(Q$1,[3]enemies!$1:$1,0)-MATCH($L$1,[3]enemies!$1:$1,0)+1),MATCH(Q$1,[3]enemies!$1:$1,0)-MATCH($L$1,[3]enemies!$1:$1,0)+1,FALSE)</f>
        <v>30</v>
      </c>
      <c r="R25" s="5">
        <v>60</v>
      </c>
      <c r="S25" s="25">
        <v>2</v>
      </c>
      <c r="T25" s="103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156702</v>
      </c>
      <c r="U25" s="25">
        <v>0.5</v>
      </c>
      <c r="V25" s="103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4188.5</v>
      </c>
      <c r="W25" s="5">
        <v>0</v>
      </c>
      <c r="X25" s="4" t="str">
        <f ca="1">VLOOKUP($Y25,OFFSET(enemy_skill_sets!$B$1,0,0,COUNTA(enemy_skill_sets!$B:$B),MATCH(M$1,enemy_skill_sets!$1:$1,0)-MATCH($Y$1,enemy_skill_sets!$1:$1,0)+2),MATCH(M$1,enemy_skill_sets!$1:$1,0)-MATCH($Y$1,enemy_skill_sets!$1:$1,0)+2,FALSE)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25" s="62">
        <v>30037002</v>
      </c>
      <c r="Z25" s="6">
        <v>1</v>
      </c>
      <c r="AA25" s="6">
        <v>100</v>
      </c>
      <c r="AB25" s="6">
        <v>1</v>
      </c>
      <c r="AC25" s="17">
        <v>1</v>
      </c>
      <c r="AD25" s="24">
        <f t="shared" ref="AD25" si="11">L25</f>
        <v>933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ヴェルサイユ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4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Drop2N</v>
      </c>
      <c r="AH25" s="7">
        <v>1</v>
      </c>
      <c r="AI25" s="24">
        <f t="shared" ca="1" si="9"/>
        <v>4</v>
      </c>
      <c r="AJ25" s="8">
        <v>100</v>
      </c>
      <c r="AK25" s="7">
        <v>0</v>
      </c>
      <c r="AL25" s="7">
        <v>0</v>
      </c>
      <c r="AM25" s="7">
        <v>0</v>
      </c>
      <c r="AN25" s="7">
        <v>0</v>
      </c>
      <c r="AO25" s="7">
        <v>1</v>
      </c>
      <c r="AP25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3" sqref="T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30037_1-4/934&lt;lv30&gt;sq1st2</v>
      </c>
      <c r="B2" s="22">
        <v>30037</v>
      </c>
      <c r="C2" s="21">
        <v>1</v>
      </c>
      <c r="D2" s="2" t="str">
        <f>B2&amp;"_"&amp;C2</f>
        <v>30037_1</v>
      </c>
      <c r="E2" s="4" t="str">
        <f ca="1">VLOOKUP($B2,OFFSET([2]quests!$A$1,0,0,COUNTA([2]quests!$A:$A),MATCH(E$1,[2]quests!$1:$1,0)-MATCH($B$1,[2]quests!$1:$1,0)+1),MATCH(E$1,[2]quests!$1:$1,0)-MATCH($B$1,[2]quests!$1:$1,0)+1,FALSE)</f>
        <v>灯り火の麗人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【中級】灯り火の麗人</v>
      </c>
      <c r="G2" s="21">
        <v>4</v>
      </c>
      <c r="H2" s="15" t="str">
        <f>B2&amp;"_"&amp;C2&amp;"-"&amp;G2</f>
        <v>30037_1-4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934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絢爛たる燈城 ヴェルサイユ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30</v>
      </c>
      <c r="T2" s="25">
        <v>1.9</v>
      </c>
      <c r="U2" s="25">
        <v>0.7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30037003</v>
      </c>
      <c r="Y2" s="71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30037_2-4/934&lt;lv40&gt;sq1st2</v>
      </c>
      <c r="B3" s="22">
        <v>30037</v>
      </c>
      <c r="C3" s="21">
        <v>2</v>
      </c>
      <c r="D3" s="2" t="str">
        <f>B3&amp;"_"&amp;C3</f>
        <v>30037_2</v>
      </c>
      <c r="E3" s="4" t="str">
        <f ca="1">VLOOKUP($B3,OFFSET([2]quests!$A$1,0,0,COUNTA([2]quests!$A:$A),MATCH(E$1,[2]quests!$1:$1,0)-MATCH($B$1,[2]quests!$1:$1,0)+1),MATCH(E$1,[2]quests!$1:$1,0)-MATCH($B$1,[2]quests!$1:$1,0)+1,FALSE)</f>
        <v>灯り火の麗人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【上級】灯り火の麗人</v>
      </c>
      <c r="G3" s="21">
        <v>4</v>
      </c>
      <c r="H3" s="15" t="str">
        <f>B3&amp;"_"&amp;C3&amp;"-"&amp;G3</f>
        <v>30037_2-4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934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絢爛たる燈城 ヴェルサイユ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5">
        <v>2.2000000000000002</v>
      </c>
      <c r="U3" s="25">
        <v>0.9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30037003</v>
      </c>
      <c r="Y3" s="71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30037_3-4/934&lt;lv60&gt;sq1st2</v>
      </c>
      <c r="B4" s="22">
        <v>30037</v>
      </c>
      <c r="C4" s="21">
        <v>3</v>
      </c>
      <c r="D4" s="2" t="str">
        <f>B4&amp;"_"&amp;C4</f>
        <v>30037_3</v>
      </c>
      <c r="E4" s="4" t="str">
        <f ca="1">VLOOKUP($B4,OFFSET([2]quests!$A$1,0,0,COUNTA([2]quests!$A:$A),MATCH(E$1,[2]quests!$1:$1,0)-MATCH($B$1,[2]quests!$1:$1,0)+1),MATCH(E$1,[2]quests!$1:$1,0)-MATCH($B$1,[2]quests!$1:$1,0)+1,FALSE)</f>
        <v>灯り火の麗人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【超級】灯り火の麗人</v>
      </c>
      <c r="G4" s="21">
        <v>4</v>
      </c>
      <c r="H4" s="15" t="str">
        <f>B4&amp;"_"&amp;C4&amp;"-"&amp;G4</f>
        <v>30037_3-4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934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絢爛たる燈城 ヴェルサイユ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2.2000000000000002</v>
      </c>
      <c r="U4" s="25">
        <v>0.7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30037003</v>
      </c>
      <c r="Y4" s="71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5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26" sqref="C2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1.5" style="49" customWidth="1" outlineLevel="1"/>
    <col min="6" max="6" width="10.83203125" style="49" bestFit="1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30037001_30037001</v>
      </c>
      <c r="B2" s="47">
        <v>30037001</v>
      </c>
      <c r="C2" s="47">
        <v>30037001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この先は通行不可能です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2ターンタップ回数を1減少</v>
      </c>
      <c r="F2" s="47">
        <v>30037001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30037001_30037002</v>
      </c>
      <c r="B3" s="47">
        <v>30037001</v>
      </c>
      <c r="C3" s="47">
        <v>30037002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砲撃準備を開始します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5ターン後に超強力な全体攻撃</v>
      </c>
      <c r="F3" s="47">
        <v>30037002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30037001_30037003</v>
      </c>
      <c r="B4" s="47">
        <v>30037001</v>
      </c>
      <c r="C4" s="47">
        <v>30037003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プリズン・バスター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超強力な全体攻撃</v>
      </c>
      <c r="F4" s="47">
        <v>30037003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8" si="2">B5&amp;"_"&amp;C5</f>
        <v>30037001_30037012</v>
      </c>
      <c r="B5" s="47">
        <v>30037001</v>
      </c>
      <c r="C5" s="47">
        <v>30037012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砲撃準備完了です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次のターンに超強力な全体攻撃</v>
      </c>
      <c r="F5" s="47">
        <v>30037012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3">B6&amp;"_"&amp;C6</f>
        <v>30037001_30037013</v>
      </c>
      <c r="B6" s="47">
        <v>30037001</v>
      </c>
      <c r="C6" s="47">
        <v>30037013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…マスター…任務失敗です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" s="47">
        <v>30037013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30037002_30037004</v>
      </c>
      <c r="B7" s="47">
        <v>30037002</v>
      </c>
      <c r="C7" s="47">
        <v>30037004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無作法な客人には_x000D_お帰りいただきますわ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" s="47">
        <v>30037004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30037002_30037005</v>
      </c>
      <c r="B8" s="47">
        <v>30037002</v>
      </c>
      <c r="C8" s="47">
        <v>30037005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指導が必要なようですわね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8" s="47">
        <v>30037005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:A12" si="4">B9&amp;"_"&amp;C9</f>
        <v>30037002_30037006</v>
      </c>
      <c r="B9" s="47">
        <v>30037002</v>
      </c>
      <c r="C9" s="47">
        <v>30037006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ライト・ドレイン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9" s="47">
        <v>30037006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4"/>
        <v>30037002_30037007</v>
      </c>
      <c r="B10" s="47">
        <v>30037002</v>
      </c>
      <c r="C10" s="47">
        <v>30037007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消灯の時間ですわ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3ターンパネルの色が分からなくなる !</v>
      </c>
      <c r="F10" s="47">
        <v>30037007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0" s="48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4"/>
        <v>30037003_30037008</v>
      </c>
      <c r="B11" s="47">
        <v>30037003</v>
      </c>
      <c r="C11" s="47">
        <v>30037008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こちらのルールに従って頂きますわよ！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5ターンハートパネル無効</v>
      </c>
      <c r="F11" s="47">
        <v>30037008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4"/>
        <v>30037003_30037009</v>
      </c>
      <c r="B12" s="47">
        <v>30037003</v>
      </c>
      <c r="C12" s="47">
        <v>30037009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これがここでのおもてなしですわ！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ハートパネル無効状態の全ユニットに大ダメージ</v>
      </c>
      <c r="F12" s="47">
        <v>30037009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14" si="5">B13&amp;"_"&amp;C13</f>
        <v>30037003_30037010</v>
      </c>
      <c r="B13" s="47">
        <v>30037003</v>
      </c>
      <c r="C13" s="47">
        <v>30037010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まだ…終わらせませんわ！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ハートパネル吸収回復</v>
      </c>
      <c r="F13" s="47">
        <v>30037010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5"/>
        <v>30037003_30037011</v>
      </c>
      <c r="B14" s="47">
        <v>30037003</v>
      </c>
      <c r="C14" s="47">
        <v>30037011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…主人には絶対に_x000D_…近づかせません！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4" s="47">
        <v>30037011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ref="A15:A20" si="6">B15&amp;"_"&amp;C15</f>
        <v>30037003_30037015</v>
      </c>
      <c r="B15" s="47">
        <v>30037003</v>
      </c>
      <c r="C15" s="47">
        <v>30037015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キャンドル・サイス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5" s="47">
        <v>30037015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6"/>
        <v>30037003_30037014</v>
      </c>
      <c r="B16" s="47">
        <v>30037003</v>
      </c>
      <c r="C16" s="47">
        <v>30037014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…ルイ様…申し訳ありません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6" s="47">
        <v>30037014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6"/>
        <v>30037004_30037004</v>
      </c>
      <c r="B17" s="47">
        <v>30037004</v>
      </c>
      <c r="C17" s="47">
        <v>30037004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無作法な客人には_x000D_お帰りいただきますわ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17" s="47">
        <v>30037004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6"/>
        <v>30037004_30037016</v>
      </c>
      <c r="B18" s="47">
        <v>30037004</v>
      </c>
      <c r="C18" s="47">
        <v>30037016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指導が必要なようですわね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18" s="47">
        <v>30037005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6"/>
        <v>30037004_30037017</v>
      </c>
      <c r="B19" s="47">
        <v>30037004</v>
      </c>
      <c r="C19" s="47">
        <v>30037017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ライト・ドレイン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19" s="47">
        <v>30037006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6"/>
        <v>30037004_30037007</v>
      </c>
      <c r="B20" s="47">
        <v>30037004</v>
      </c>
      <c r="C20" s="47">
        <v>30037007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消灯の時間ですわ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3ターンパネルの色が分からなくなる !</v>
      </c>
      <c r="F20" s="47">
        <v>30037007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0" s="48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25" si="7">B21&amp;"_"&amp;C21</f>
        <v>30037005_30037004</v>
      </c>
      <c r="B21" s="47">
        <v>30037005</v>
      </c>
      <c r="C21" s="47">
        <v>30037004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無作法な客人には_x000D_お帰りいただきますわ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1" s="47">
        <v>30037004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7"/>
        <v>30037005_30037018</v>
      </c>
      <c r="B22" s="47">
        <v>30037005</v>
      </c>
      <c r="C22" s="47">
        <v>30037018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指導が必要なようですわね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22" s="47">
        <v>30037005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7"/>
        <v>30037005_30037019</v>
      </c>
      <c r="B23" s="47">
        <v>30037005</v>
      </c>
      <c r="C23" s="47">
        <v>30037019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ライト・ドレイン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23" s="47">
        <v>30037006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7"/>
        <v>30037005_30037007</v>
      </c>
      <c r="B24" s="47">
        <v>30037005</v>
      </c>
      <c r="C24" s="47">
        <v>30037007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消灯の時間ですわ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3ターンパネルの色が分からなくなる !</v>
      </c>
      <c r="F24" s="47">
        <v>30037007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4" s="48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7"/>
        <v>30037006_30037020</v>
      </c>
      <c r="B25" s="47">
        <v>30037006</v>
      </c>
      <c r="C25" s="47">
        <v>30037020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ハイ・ハングアップ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4ターンスキルバインド！</v>
      </c>
      <c r="F25" s="47">
        <v>30037001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1"/>
  <sheetViews>
    <sheetView showGridLines="0" zoomScale="75" zoomScaleNormal="75" zoomScalePageLayoutView="75" workbookViewId="0">
      <pane ySplit="1" topLeftCell="A2" activePane="bottomLeft" state="frozenSplit"/>
      <selection pane="bottomLeft" activeCell="B25" sqref="B2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2">
      <c r="A2" s="47">
        <v>30037001</v>
      </c>
      <c r="B2" s="47" t="s">
        <v>253</v>
      </c>
      <c r="C2" s="50">
        <v>3</v>
      </c>
      <c r="D2" s="50" t="s">
        <v>128</v>
      </c>
      <c r="E2" s="51" t="s">
        <v>271</v>
      </c>
      <c r="F2" s="105" t="s">
        <v>291</v>
      </c>
      <c r="G2" s="64" t="str">
        <f t="shared" ref="G2:G11" si="0">IFERROR(LEFT(B2,FIND("],",B2)),B2)</f>
        <v>[effect:degrade_unit, target:unit_all, turn:2, status:action, val:1, animation:enemy_tap_down]</v>
      </c>
      <c r="H2" s="64">
        <f t="shared" ref="H2:H12" si="1">FIND("effect:",G2)+7</f>
        <v>9</v>
      </c>
      <c r="I2" s="64">
        <f t="shared" ref="I2:I11" si="2">IFERROR(FIND(",",G2),LEN(G2))</f>
        <v>21</v>
      </c>
      <c r="J2" s="64">
        <f t="shared" ref="J2:J11" si="3">FIND("target:",G2)+7</f>
        <v>30</v>
      </c>
      <c r="K2" s="64">
        <f t="shared" ref="K2:K11" si="4">FIND(",",G2,I2+1)</f>
        <v>38</v>
      </c>
      <c r="L2" s="64" t="str">
        <f>IFERROR(VLOOKUP(MID(G2,J2,K2-J2),[6]skilldef!$C:$D,2,FALSE),"-") &amp; " / " &amp; IFERROR(VLOOKUP(MID(G2,H2,I2-H2),[6]skilldef!$A:$B,2,FALSE),"-")</f>
        <v>味方全体に / ステータスDOWN</v>
      </c>
      <c r="M2" s="64" t="str">
        <f t="shared" ref="M2:M11" si="5">IFERROR(RIGHT(B2,LEN(B2)-FIND("],",B2)-1),"none")</f>
        <v>none</v>
      </c>
      <c r="N2" s="48" t="str">
        <f>IFERROR(LEFT(M2,FIND("],",M2)+#REF!),M2)</f>
        <v>none</v>
      </c>
      <c r="O2" s="64" t="e">
        <f t="shared" ref="O2:O12" si="6">FIND("effect:",N2)+7</f>
        <v>#VALUE!</v>
      </c>
      <c r="P2" s="64">
        <f t="shared" ref="P2:P11" si="7">IFERROR(FIND(",",N2),LEN(N2))</f>
        <v>4</v>
      </c>
      <c r="Q2" s="64" t="e">
        <f t="shared" ref="Q2:Q11" si="8">FIND("target:",N2)+7</f>
        <v>#VALUE!</v>
      </c>
      <c r="R2" s="64" t="e">
        <f t="shared" ref="R2:R11" si="9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11" si="10">IFERROR(RIGHT(M2,LEN(M2)-FIND("],",M2)-1),"none")</f>
        <v>none</v>
      </c>
      <c r="U2" s="64" t="e">
        <f t="shared" ref="U2:U12" si="11">FIND("effect:",T2)+7</f>
        <v>#VALUE!</v>
      </c>
      <c r="V2" s="64">
        <f t="shared" ref="V2:V11" si="12">IFERROR(FIND(",",T2),LEN(T2))</f>
        <v>4</v>
      </c>
      <c r="W2" s="64" t="e">
        <f t="shared" ref="W2:W11" si="13">FIND("target:",T2)+7</f>
        <v>#VALUE!</v>
      </c>
      <c r="X2" s="64" t="e">
        <f t="shared" ref="X2:X11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2">
      <c r="A3" s="47">
        <v>30037002</v>
      </c>
      <c r="B3" s="105" t="s">
        <v>252</v>
      </c>
      <c r="C3" s="50">
        <v>3</v>
      </c>
      <c r="D3" s="50" t="s">
        <v>128</v>
      </c>
      <c r="E3" s="51" t="s">
        <v>272</v>
      </c>
      <c r="F3" s="105" t="s">
        <v>269</v>
      </c>
      <c r="G3" s="64" t="str">
        <f t="shared" si="0"/>
        <v>[effect:nothing]</v>
      </c>
      <c r="H3" s="64">
        <f t="shared" si="1"/>
        <v>9</v>
      </c>
      <c r="I3" s="64">
        <f t="shared" si="2"/>
        <v>16</v>
      </c>
      <c r="J3" s="64" t="e">
        <f t="shared" si="3"/>
        <v>#VALUE!</v>
      </c>
      <c r="K3" s="64" t="e">
        <f t="shared" si="4"/>
        <v>#VALUE!</v>
      </c>
      <c r="L3" s="64" t="str">
        <f>IFERROR(VLOOKUP(MID(G3,J3,K3-J3),[6]skilldef!$C:$D,2,FALSE),"-") &amp; " / " &amp; IFERROR(VLOOKUP(MID(G3,H3,I3-H3),[6]skilldef!$A:$B,2,FALSE),"-")</f>
        <v>- / 何もしない</v>
      </c>
      <c r="M3" s="64" t="str">
        <f t="shared" si="5"/>
        <v>none</v>
      </c>
      <c r="N3" s="48" t="str">
        <f>IFERROR(LEFT(M3,FIND("],",M3)+#REF!),M3)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2">
      <c r="A4" s="47">
        <v>30037003</v>
      </c>
      <c r="B4" s="47" t="s">
        <v>287</v>
      </c>
      <c r="C4" s="50">
        <v>3</v>
      </c>
      <c r="D4" s="50" t="s">
        <v>128</v>
      </c>
      <c r="E4" s="51" t="s">
        <v>274</v>
      </c>
      <c r="F4" s="105" t="s">
        <v>273</v>
      </c>
      <c r="G4" s="64" t="str">
        <f t="shared" si="0"/>
        <v>[effect:spread, val:1.05]</v>
      </c>
      <c r="H4" s="64">
        <f t="shared" si="1"/>
        <v>9</v>
      </c>
      <c r="I4" s="64">
        <f t="shared" si="2"/>
        <v>15</v>
      </c>
      <c r="J4" s="64" t="e">
        <f t="shared" si="3"/>
        <v>#VALUE!</v>
      </c>
      <c r="K4" s="64" t="e">
        <f t="shared" si="4"/>
        <v>#VALUE!</v>
      </c>
      <c r="L4" s="64" t="str">
        <f>IFERROR(VLOOKUP(MID(G4,J4,K4-J4),[6]skilldef!$C:$D,2,FALSE),"-") &amp; " / " &amp; IFERROR(VLOOKUP(MID(G4,H4,I4-H4),[6]skilldef!$A:$B,2,FALSE),"-")</f>
        <v>- / 全体攻撃</v>
      </c>
      <c r="M4" s="64" t="str">
        <f t="shared" si="5"/>
        <v>none</v>
      </c>
      <c r="N4" s="48" t="str">
        <f t="shared" ref="N4:N11" si="15">IFERROR(LEFT(M4,FIND("],",M4)+S12),M4)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40" customHeight="1" x14ac:dyDescent="0.2">
      <c r="A5" s="47">
        <v>30037004</v>
      </c>
      <c r="B5" s="105" t="s">
        <v>284</v>
      </c>
      <c r="C5" s="50">
        <v>3</v>
      </c>
      <c r="D5" s="50" t="s">
        <v>128</v>
      </c>
      <c r="E5" s="51" t="s">
        <v>295</v>
      </c>
      <c r="F5" s="105" t="s">
        <v>277</v>
      </c>
      <c r="G5" s="64" t="str">
        <f t="shared" si="0"/>
        <v>[effect:enemy_message, val1:2.0, val2:0]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32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>none</v>
      </c>
      <c r="N5" s="48" t="str">
        <f t="shared" si="15"/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2">
      <c r="A6" s="47">
        <v>30037005</v>
      </c>
      <c r="B6" s="47" t="s">
        <v>265</v>
      </c>
      <c r="C6" s="50">
        <v>3</v>
      </c>
      <c r="D6" s="50" t="s">
        <v>128</v>
      </c>
      <c r="E6" s="51" t="s">
        <v>296</v>
      </c>
      <c r="F6" s="105" t="s">
        <v>254</v>
      </c>
      <c r="G6" s="64" t="str">
        <f t="shared" si="0"/>
        <v>[effect:break_attack_fix, val:250, lowest_val:1500, count:-1, block:block_green, target:unit_one]</v>
      </c>
      <c r="H6" s="64">
        <f t="shared" si="1"/>
        <v>9</v>
      </c>
      <c r="I6" s="64">
        <f t="shared" si="2"/>
        <v>25</v>
      </c>
      <c r="J6" s="64">
        <f t="shared" si="3"/>
        <v>89</v>
      </c>
      <c r="K6" s="64">
        <f t="shared" si="4"/>
        <v>34</v>
      </c>
      <c r="L6" s="64" t="str">
        <f>IFERROR(VLOOKUP(MID(G6,J6,K6-J6),[6]skilldef!$C:$D,2,FALSE),"-") &amp; " / " &amp; IFERROR(VLOOKUP(MID(G6,H6,I6-H6),[6]skilldef!$A:$B,2,FALSE),"-")</f>
        <v>- / -</v>
      </c>
      <c r="M6" s="64" t="str">
        <f t="shared" si="5"/>
        <v>none</v>
      </c>
      <c r="N6" s="48" t="str">
        <f t="shared" si="15"/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2">
      <c r="A7" s="47">
        <v>30037006</v>
      </c>
      <c r="B7" s="47" t="s">
        <v>266</v>
      </c>
      <c r="C7" s="50">
        <v>3</v>
      </c>
      <c r="D7" s="50" t="s">
        <v>128</v>
      </c>
      <c r="E7" s="51" t="s">
        <v>289</v>
      </c>
      <c r="F7" s="105" t="s">
        <v>255</v>
      </c>
      <c r="G7" s="64" t="str">
        <f t="shared" si="0"/>
        <v>[effect:break_attack_fix, val:350, lowest_val:4000, count:-1, block:block_yellow, target:unit_one]</v>
      </c>
      <c r="H7" s="64">
        <f t="shared" si="1"/>
        <v>9</v>
      </c>
      <c r="I7" s="64">
        <f t="shared" si="2"/>
        <v>25</v>
      </c>
      <c r="J7" s="64">
        <f t="shared" si="3"/>
        <v>90</v>
      </c>
      <c r="K7" s="64">
        <f t="shared" si="4"/>
        <v>34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none</v>
      </c>
      <c r="N7" s="48" t="str">
        <f t="shared" si="15"/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2">
      <c r="A8" s="47">
        <v>30037007</v>
      </c>
      <c r="B8" s="47" t="s">
        <v>256</v>
      </c>
      <c r="C8" s="50">
        <v>3</v>
      </c>
      <c r="D8" s="50" t="s">
        <v>128</v>
      </c>
      <c r="E8" s="51" t="s">
        <v>275</v>
      </c>
      <c r="F8" s="105" t="s">
        <v>257</v>
      </c>
      <c r="G8" s="64" t="str">
        <f t="shared" si="0"/>
        <v>[effect:dark, target:unit_all, turn:3, animation:enemy_dark]</v>
      </c>
      <c r="H8" s="64">
        <f t="shared" si="1"/>
        <v>9</v>
      </c>
      <c r="I8" s="64">
        <f t="shared" si="2"/>
        <v>13</v>
      </c>
      <c r="J8" s="64">
        <f t="shared" si="3"/>
        <v>22</v>
      </c>
      <c r="K8" s="64">
        <f t="shared" si="4"/>
        <v>30</v>
      </c>
      <c r="L8" s="64" t="str">
        <f>IFERROR(VLOOKUP(MID(G8,J8,K8-J8),[6]skilldef!$C:$D,2,FALSE),"-") &amp; " / " &amp; IFERROR(VLOOKUP(MID(G8,H8,I8-H8),[6]skilldef!$A:$B,2,FALSE),"-")</f>
        <v>味方全体に / 暗黒</v>
      </c>
      <c r="M8" s="64" t="str">
        <f t="shared" si="5"/>
        <v>none</v>
      </c>
      <c r="N8" s="48" t="str">
        <f t="shared" si="15"/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2">
      <c r="A9" s="47">
        <v>30037008</v>
      </c>
      <c r="B9" s="47" t="s">
        <v>258</v>
      </c>
      <c r="C9" s="50">
        <v>3</v>
      </c>
      <c r="D9" s="50" t="s">
        <v>128</v>
      </c>
      <c r="E9" s="51" t="s">
        <v>297</v>
      </c>
      <c r="F9" s="105" t="s">
        <v>292</v>
      </c>
      <c r="G9" s="64" t="str">
        <f t="shared" si="0"/>
        <v>[effect:dis_heart, turn:5, animation:enemy_dis_heart]</v>
      </c>
      <c r="H9" s="64">
        <f t="shared" si="1"/>
        <v>9</v>
      </c>
      <c r="I9" s="64">
        <f t="shared" si="2"/>
        <v>18</v>
      </c>
      <c r="J9" s="64" t="e">
        <f t="shared" si="3"/>
        <v>#VALUE!</v>
      </c>
      <c r="K9" s="64">
        <f t="shared" si="4"/>
        <v>26</v>
      </c>
      <c r="L9" s="64" t="str">
        <f>IFERROR(VLOOKUP(MID(G9,J9,K9-J9),[6]skilldef!$C:$D,2,FALSE),"-") &amp; " / " &amp; IFERROR(VLOOKUP(MID(G9,H9,I9-H9),[6]skilldef!$A:$B,2,FALSE),"-")</f>
        <v>- / ディスハート</v>
      </c>
      <c r="M9" s="64" t="str">
        <f t="shared" si="5"/>
        <v>none</v>
      </c>
      <c r="N9" s="48" t="str">
        <f t="shared" si="15"/>
        <v>none</v>
      </c>
      <c r="O9" s="64" t="e">
        <f t="shared" si="6"/>
        <v>#VALUE!</v>
      </c>
      <c r="P9" s="64">
        <f t="shared" si="7"/>
        <v>4</v>
      </c>
      <c r="Q9" s="64" t="e">
        <f t="shared" si="8"/>
        <v>#VALUE!</v>
      </c>
      <c r="R9" s="64" t="e">
        <f t="shared" si="9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2">
      <c r="A10" s="47">
        <v>30037009</v>
      </c>
      <c r="B10" s="47" t="s">
        <v>268</v>
      </c>
      <c r="C10" s="50">
        <v>3</v>
      </c>
      <c r="D10" s="50" t="s">
        <v>128</v>
      </c>
      <c r="E10" s="51" t="s">
        <v>313</v>
      </c>
      <c r="F10" s="105" t="s">
        <v>293</v>
      </c>
      <c r="G10" s="64" t="str">
        <f t="shared" si="0"/>
        <v>[effect:damage_anti_abnormal, target:unit_all, target_effect01:dis_heart, val1:0.4, val2:0.25]</v>
      </c>
      <c r="H10" s="64">
        <f t="shared" si="1"/>
        <v>9</v>
      </c>
      <c r="I10" s="64">
        <f t="shared" si="2"/>
        <v>29</v>
      </c>
      <c r="J10" s="64">
        <f t="shared" si="3"/>
        <v>38</v>
      </c>
      <c r="K10" s="64">
        <f t="shared" si="4"/>
        <v>46</v>
      </c>
      <c r="L10" s="64" t="str">
        <f>IFERROR(VLOOKUP(MID(G10,J10,K10-J10),[6]skilldef!$C:$D,2,FALSE),"-") &amp; " / " &amp; IFERROR(VLOOKUP(MID(G10,H10,I10-H10),[6]skilldef!$A:$B,2,FALSE),"-")</f>
        <v>味方全体に / -</v>
      </c>
      <c r="M10" s="64" t="str">
        <f t="shared" si="5"/>
        <v>none</v>
      </c>
      <c r="N10" s="48" t="str">
        <f t="shared" si="15"/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2">
      <c r="A11" s="47">
        <v>30037010</v>
      </c>
      <c r="B11" s="47" t="s">
        <v>259</v>
      </c>
      <c r="C11" s="50">
        <v>3</v>
      </c>
      <c r="D11" s="50" t="s">
        <v>128</v>
      </c>
      <c r="E11" s="51" t="s">
        <v>294</v>
      </c>
      <c r="F11" s="105" t="s">
        <v>283</v>
      </c>
      <c r="G11" s="64" t="str">
        <f t="shared" si="0"/>
        <v>[effect:break_heal_ratio, val:0.03, lowest_val:0.01, count:-1, block:block_heart, target:myself, animation:enemy_heal]</v>
      </c>
      <c r="H11" s="64">
        <f t="shared" si="1"/>
        <v>9</v>
      </c>
      <c r="I11" s="64">
        <f t="shared" si="2"/>
        <v>25</v>
      </c>
      <c r="J11" s="64">
        <f t="shared" si="3"/>
        <v>90</v>
      </c>
      <c r="K11" s="64">
        <f t="shared" si="4"/>
        <v>35</v>
      </c>
      <c r="L11" s="64" t="str">
        <f>IFERROR(VLOOKUP(MID(G11,J11,K11-J11),[6]skilldef!$C:$D,2,FALSE),"-") &amp; " / " &amp; IFERROR(VLOOKUP(MID(G11,H11,I11-H11),[6]skilldef!$A:$B,2,FALSE),"-")</f>
        <v>- / -</v>
      </c>
      <c r="M11" s="64" t="str">
        <f t="shared" si="5"/>
        <v>none</v>
      </c>
      <c r="N11" s="48" t="str">
        <f t="shared" si="15"/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2">
      <c r="A12" s="47">
        <v>30037011</v>
      </c>
      <c r="B12" s="47" t="s">
        <v>267</v>
      </c>
      <c r="C12" s="50">
        <v>3</v>
      </c>
      <c r="D12" s="50" t="s">
        <v>128</v>
      </c>
      <c r="E12" s="51" t="s">
        <v>286</v>
      </c>
      <c r="F12" s="105" t="s">
        <v>290</v>
      </c>
      <c r="G12" s="64" t="str">
        <f t="shared" ref="G12:G13" si="16">IFERROR(LEFT(B12,FIND("],",B12)),B12)</f>
        <v>[effect:critical, val:1.6]</v>
      </c>
      <c r="H12" s="64">
        <f t="shared" si="1"/>
        <v>9</v>
      </c>
      <c r="I12" s="64">
        <f t="shared" ref="I12:I13" si="17">IFERROR(FIND(",",G12),LEN(G12))</f>
        <v>17</v>
      </c>
      <c r="J12" s="64" t="e">
        <f t="shared" ref="J12:J13" si="18">FIND("target:",G12)+7</f>
        <v>#VALUE!</v>
      </c>
      <c r="K12" s="64" t="e">
        <f t="shared" ref="K12:K13" si="19">FIND(",",G12,I12+1)</f>
        <v>#VALUE!</v>
      </c>
      <c r="L12" s="64" t="str">
        <f>IFERROR(VLOOKUP(MID(G12,J12,K12-J12),[6]skilldef!$C:$D,2,FALSE),"-") &amp; " / " &amp; IFERROR(VLOOKUP(MID(G12,H12,I12-H12),[6]skilldef!$A:$B,2,FALSE),"-")</f>
        <v>- / 大攻撃</v>
      </c>
      <c r="M12" s="64" t="str">
        <f t="shared" ref="M12:M13" si="20">IFERROR(RIGHT(B12,LEN(B12)-FIND("],",B12)-1),"none")</f>
        <v>none</v>
      </c>
      <c r="N12" s="48" t="str">
        <f t="shared" ref="N12" si="21">IFERROR(LEFT(M12,FIND("],",M12)+S20),M12)</f>
        <v>none</v>
      </c>
      <c r="O12" s="64" t="e">
        <f t="shared" si="6"/>
        <v>#VALUE!</v>
      </c>
      <c r="P12" s="64">
        <f t="shared" ref="P12:P13" si="22">IFERROR(FIND(",",N12),LEN(N12))</f>
        <v>4</v>
      </c>
      <c r="Q12" s="64" t="e">
        <f t="shared" ref="Q12:Q13" si="23">FIND("target:",N12)+7</f>
        <v>#VALUE!</v>
      </c>
      <c r="R12" s="64" t="e">
        <f t="shared" ref="R12:R13" si="24">FIND(",",N12,P12+1)</f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ref="T12:T13" si="25">IFERROR(RIGHT(M12,LEN(M12)-FIND("],",M12)-1),"none")</f>
        <v>none</v>
      </c>
      <c r="U12" s="64" t="e">
        <f t="shared" si="11"/>
        <v>#VALUE!</v>
      </c>
      <c r="V12" s="64">
        <f t="shared" ref="V12:V13" si="26">IFERROR(FIND(",",T12),LEN(T12))</f>
        <v>4</v>
      </c>
      <c r="W12" s="64" t="e">
        <f t="shared" ref="W12:W13" si="27">FIND("target:",T12)+7</f>
        <v>#VALUE!</v>
      </c>
      <c r="X12" s="64" t="e">
        <f t="shared" ref="X12:X13" si="28">FIND(",",T12,V12+1)</f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2">
      <c r="A13" s="47">
        <v>30037012</v>
      </c>
      <c r="B13" s="105" t="s">
        <v>252</v>
      </c>
      <c r="C13" s="50">
        <v>3</v>
      </c>
      <c r="D13" s="50" t="s">
        <v>128</v>
      </c>
      <c r="E13" s="51" t="s">
        <v>276</v>
      </c>
      <c r="F13" s="105" t="s">
        <v>270</v>
      </c>
      <c r="G13" s="64" t="str">
        <f t="shared" si="16"/>
        <v>[effect:nothing]</v>
      </c>
      <c r="H13" s="64">
        <f t="shared" ref="H13" si="29">FIND("effect:",G13)+7</f>
        <v>9</v>
      </c>
      <c r="I13" s="64">
        <f t="shared" si="17"/>
        <v>16</v>
      </c>
      <c r="J13" s="64" t="e">
        <f t="shared" si="18"/>
        <v>#VALUE!</v>
      </c>
      <c r="K13" s="64" t="e">
        <f t="shared" si="19"/>
        <v>#VALUE!</v>
      </c>
      <c r="L13" s="64" t="str">
        <f>IFERROR(VLOOKUP(MID(G13,J13,K13-J13),[6]skilldef!$C:$D,2,FALSE),"-") &amp; " / " &amp; IFERROR(VLOOKUP(MID(G13,H13,I13-H13),[6]skilldef!$A:$B,2,FALSE),"-")</f>
        <v>- / 何もしない</v>
      </c>
      <c r="M13" s="64" t="str">
        <f t="shared" si="20"/>
        <v>none</v>
      </c>
      <c r="N13" s="48" t="str">
        <f>IFERROR(LEFT(M13,FIND("],",M13)+#REF!),M13)</f>
        <v>none</v>
      </c>
      <c r="O13" s="64" t="e">
        <f t="shared" ref="O13" si="30">FIND("effect:",N13)+7</f>
        <v>#VALUE!</v>
      </c>
      <c r="P13" s="64">
        <f t="shared" si="22"/>
        <v>4</v>
      </c>
      <c r="Q13" s="64" t="e">
        <f t="shared" si="23"/>
        <v>#VALUE!</v>
      </c>
      <c r="R13" s="64" t="e">
        <f t="shared" si="24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25"/>
        <v>none</v>
      </c>
      <c r="U13" s="64" t="e">
        <f t="shared" ref="U13" si="31">FIND("effect:",T13)+7</f>
        <v>#VALUE!</v>
      </c>
      <c r="V13" s="64">
        <f t="shared" si="26"/>
        <v>4</v>
      </c>
      <c r="W13" s="64" t="e">
        <f t="shared" si="27"/>
        <v>#VALUE!</v>
      </c>
      <c r="X13" s="64" t="e">
        <f t="shared" si="28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2">
      <c r="A14" s="47">
        <v>30037013</v>
      </c>
      <c r="B14" s="105" t="s">
        <v>279</v>
      </c>
      <c r="C14" s="50">
        <v>3</v>
      </c>
      <c r="D14" s="50" t="s">
        <v>128</v>
      </c>
      <c r="E14" s="51" t="s">
        <v>288</v>
      </c>
      <c r="F14" s="105" t="s">
        <v>277</v>
      </c>
      <c r="G14" s="64" t="str">
        <f t="shared" ref="G14" si="32">IFERROR(LEFT(B14,FIND("],",B14)),B14)</f>
        <v>[effect:enemy_message, val1:1.5, val2:0]</v>
      </c>
      <c r="H14" s="64">
        <f t="shared" ref="H14" si="33">FIND("effect:",G14)+7</f>
        <v>9</v>
      </c>
      <c r="I14" s="64">
        <f t="shared" ref="I14" si="34">IFERROR(FIND(",",G14),LEN(G14))</f>
        <v>22</v>
      </c>
      <c r="J14" s="64" t="e">
        <f t="shared" ref="J14" si="35">FIND("target:",G14)+7</f>
        <v>#VALUE!</v>
      </c>
      <c r="K14" s="64">
        <f t="shared" ref="K14" si="36">FIND(",",G14,I14+1)</f>
        <v>32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ref="M14" si="37">IFERROR(RIGHT(B14,LEN(B14)-FIND("],",B14)-1),"none")</f>
        <v>none</v>
      </c>
      <c r="N14" s="48" t="str">
        <f>IFERROR(LEFT(M14,FIND("],",M14)+#REF!),M14)</f>
        <v>none</v>
      </c>
      <c r="O14" s="64" t="e">
        <f t="shared" ref="O14" si="38">FIND("effect:",N14)+7</f>
        <v>#VALUE!</v>
      </c>
      <c r="P14" s="64">
        <f t="shared" ref="P14" si="39">IFERROR(FIND(",",N14),LEN(N14))</f>
        <v>4</v>
      </c>
      <c r="Q14" s="64" t="e">
        <f t="shared" ref="Q14" si="40">FIND("target:",N14)+7</f>
        <v>#VALUE!</v>
      </c>
      <c r="R14" s="64" t="e">
        <f t="shared" ref="R14" si="41">FIND(",",N14,P14+1)</f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ref="T14" si="42">IFERROR(RIGHT(M14,LEN(M14)-FIND("],",M14)-1),"none")</f>
        <v>none</v>
      </c>
      <c r="U14" s="64" t="e">
        <f t="shared" ref="U14" si="43">FIND("effect:",T14)+7</f>
        <v>#VALUE!</v>
      </c>
      <c r="V14" s="64">
        <f t="shared" ref="V14" si="44">IFERROR(FIND(",",T14),LEN(T14))</f>
        <v>4</v>
      </c>
      <c r="W14" s="64" t="e">
        <f t="shared" ref="W14" si="45">FIND("target:",T14)+7</f>
        <v>#VALUE!</v>
      </c>
      <c r="X14" s="64" t="e">
        <f t="shared" ref="X14" si="46">FIND(",",T14,V14+1)</f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2">
      <c r="A15" s="47">
        <v>30037014</v>
      </c>
      <c r="B15" s="105" t="s">
        <v>279</v>
      </c>
      <c r="C15" s="50">
        <v>3</v>
      </c>
      <c r="D15" s="50" t="s">
        <v>128</v>
      </c>
      <c r="E15" s="51" t="s">
        <v>285</v>
      </c>
      <c r="F15" s="105" t="s">
        <v>277</v>
      </c>
      <c r="G15" s="64" t="str">
        <f t="shared" ref="G15:G21" si="47">IFERROR(LEFT(B15,FIND("],",B15)),B15)</f>
        <v>[effect:enemy_message, val1:1.5, val2:0]</v>
      </c>
      <c r="H15" s="64">
        <f t="shared" ref="H15:H21" si="48">FIND("effect:",G15)+7</f>
        <v>9</v>
      </c>
      <c r="I15" s="64">
        <f t="shared" ref="I15:I21" si="49">IFERROR(FIND(",",G15),LEN(G15))</f>
        <v>22</v>
      </c>
      <c r="J15" s="64" t="e">
        <f t="shared" ref="J15:J21" si="50">FIND("target:",G15)+7</f>
        <v>#VALUE!</v>
      </c>
      <c r="K15" s="64">
        <f t="shared" ref="K15:K21" si="51">FIND(",",G15,I15+1)</f>
        <v>32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ref="M15:M21" si="52">IFERROR(RIGHT(B15,LEN(B15)-FIND("],",B15)-1),"none")</f>
        <v>none</v>
      </c>
      <c r="N15" s="48" t="str">
        <f>IFERROR(LEFT(M15,FIND("],",M15)+#REF!),M15)</f>
        <v>none</v>
      </c>
      <c r="O15" s="64" t="e">
        <f t="shared" ref="O15:O21" si="53">FIND("effect:",N15)+7</f>
        <v>#VALUE!</v>
      </c>
      <c r="P15" s="64">
        <f t="shared" ref="P15:P21" si="54">IFERROR(FIND(",",N15),LEN(N15))</f>
        <v>4</v>
      </c>
      <c r="Q15" s="64" t="e">
        <f t="shared" ref="Q15:Q21" si="55">FIND("target:",N15)+7</f>
        <v>#VALUE!</v>
      </c>
      <c r="R15" s="64" t="e">
        <f t="shared" ref="R15:R21" si="56">FIND(",",N15,P15+1)</f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ref="T15:T21" si="57">IFERROR(RIGHT(M15,LEN(M15)-FIND("],",M15)-1),"none")</f>
        <v>none</v>
      </c>
      <c r="U15" s="64" t="e">
        <f t="shared" ref="U15:U21" si="58">FIND("effect:",T15)+7</f>
        <v>#VALUE!</v>
      </c>
      <c r="V15" s="64">
        <f t="shared" ref="V15:V21" si="59">IFERROR(FIND(",",T15),LEN(T15))</f>
        <v>4</v>
      </c>
      <c r="W15" s="64" t="e">
        <f t="shared" ref="W15:W21" si="60">FIND("target:",T15)+7</f>
        <v>#VALUE!</v>
      </c>
      <c r="X15" s="64" t="e">
        <f t="shared" ref="X15:X21" si="61">FIND(",",T15,V15+1)</f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2">
      <c r="A16" s="47">
        <v>30037015</v>
      </c>
      <c r="B16" s="47" t="s">
        <v>280</v>
      </c>
      <c r="C16" s="50">
        <v>3</v>
      </c>
      <c r="D16" s="50" t="s">
        <v>128</v>
      </c>
      <c r="E16" s="51" t="s">
        <v>281</v>
      </c>
      <c r="F16" s="105" t="s">
        <v>282</v>
      </c>
      <c r="G16" s="64" t="str">
        <f t="shared" si="47"/>
        <v>[effect:spread, val:0.3]</v>
      </c>
      <c r="H16" s="64">
        <f t="shared" si="48"/>
        <v>9</v>
      </c>
      <c r="I16" s="64">
        <f t="shared" si="49"/>
        <v>15</v>
      </c>
      <c r="J16" s="64" t="e">
        <f t="shared" si="50"/>
        <v>#VALUE!</v>
      </c>
      <c r="K16" s="64" t="e">
        <f t="shared" si="51"/>
        <v>#VALUE!</v>
      </c>
      <c r="L16" s="64" t="str">
        <f>IFERROR(VLOOKUP(MID(G16,J16,K16-J16),[6]skilldef!$C:$D,2,FALSE),"-") &amp; " / " &amp; IFERROR(VLOOKUP(MID(G16,H16,I16-H16),[6]skilldef!$A:$B,2,FALSE),"-")</f>
        <v>- / 全体攻撃</v>
      </c>
      <c r="M16" s="64" t="str">
        <f t="shared" si="52"/>
        <v>none</v>
      </c>
      <c r="N16" s="48" t="str">
        <f t="shared" ref="N16:N20" si="62">IFERROR(LEFT(M16,FIND("],",M16)+S24),M16)</f>
        <v>none</v>
      </c>
      <c r="O16" s="64" t="e">
        <f t="shared" si="53"/>
        <v>#VALUE!</v>
      </c>
      <c r="P16" s="64">
        <f t="shared" si="54"/>
        <v>4</v>
      </c>
      <c r="Q16" s="64" t="e">
        <f t="shared" si="55"/>
        <v>#VALUE!</v>
      </c>
      <c r="R16" s="64" t="e">
        <f t="shared" si="56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57"/>
        <v>none</v>
      </c>
      <c r="U16" s="64" t="e">
        <f t="shared" si="58"/>
        <v>#VALUE!</v>
      </c>
      <c r="V16" s="64">
        <f t="shared" si="59"/>
        <v>4</v>
      </c>
      <c r="W16" s="64" t="e">
        <f t="shared" si="60"/>
        <v>#VALUE!</v>
      </c>
      <c r="X16" s="64" t="e">
        <f t="shared" si="61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2">
      <c r="A17" s="47">
        <v>30037016</v>
      </c>
      <c r="B17" s="47" t="s">
        <v>303</v>
      </c>
      <c r="C17" s="50">
        <v>3</v>
      </c>
      <c r="D17" s="50" t="s">
        <v>128</v>
      </c>
      <c r="E17" s="51" t="s">
        <v>296</v>
      </c>
      <c r="F17" s="105" t="s">
        <v>254</v>
      </c>
      <c r="G17" s="64" t="str">
        <f t="shared" si="47"/>
        <v>[effect:break_attack_fix, val:150, lowest_val:1200, count:-1, block:block_green, target:unit_one]</v>
      </c>
      <c r="H17" s="64">
        <f t="shared" si="48"/>
        <v>9</v>
      </c>
      <c r="I17" s="64">
        <f t="shared" si="49"/>
        <v>25</v>
      </c>
      <c r="J17" s="64">
        <f t="shared" si="50"/>
        <v>89</v>
      </c>
      <c r="K17" s="64">
        <f t="shared" si="51"/>
        <v>34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2"/>
        <v>none</v>
      </c>
      <c r="N17" s="48" t="str">
        <f t="shared" si="62"/>
        <v>none</v>
      </c>
      <c r="O17" s="64" t="e">
        <f t="shared" si="53"/>
        <v>#VALUE!</v>
      </c>
      <c r="P17" s="64">
        <f t="shared" si="54"/>
        <v>4</v>
      </c>
      <c r="Q17" s="64" t="e">
        <f t="shared" si="55"/>
        <v>#VALUE!</v>
      </c>
      <c r="R17" s="64" t="e">
        <f t="shared" si="56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57"/>
        <v>none</v>
      </c>
      <c r="U17" s="64" t="e">
        <f t="shared" si="58"/>
        <v>#VALUE!</v>
      </c>
      <c r="V17" s="64">
        <f t="shared" si="59"/>
        <v>4</v>
      </c>
      <c r="W17" s="64" t="e">
        <f t="shared" si="60"/>
        <v>#VALUE!</v>
      </c>
      <c r="X17" s="64" t="e">
        <f t="shared" si="61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2">
      <c r="A18" s="47">
        <v>30037017</v>
      </c>
      <c r="B18" s="47" t="s">
        <v>304</v>
      </c>
      <c r="C18" s="50">
        <v>3</v>
      </c>
      <c r="D18" s="50" t="s">
        <v>128</v>
      </c>
      <c r="E18" s="51" t="s">
        <v>289</v>
      </c>
      <c r="F18" s="105" t="s">
        <v>255</v>
      </c>
      <c r="G18" s="64" t="str">
        <f t="shared" si="47"/>
        <v>[effect:break_attack_fix, val:250, lowest_val:2500, count:-1, block:block_yellow, target:unit_one]</v>
      </c>
      <c r="H18" s="64">
        <f t="shared" si="48"/>
        <v>9</v>
      </c>
      <c r="I18" s="64">
        <f t="shared" si="49"/>
        <v>25</v>
      </c>
      <c r="J18" s="64">
        <f t="shared" si="50"/>
        <v>90</v>
      </c>
      <c r="K18" s="64">
        <f t="shared" si="51"/>
        <v>34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52"/>
        <v>none</v>
      </c>
      <c r="N18" s="48" t="str">
        <f t="shared" si="62"/>
        <v>none</v>
      </c>
      <c r="O18" s="64" t="e">
        <f t="shared" si="53"/>
        <v>#VALUE!</v>
      </c>
      <c r="P18" s="64">
        <f t="shared" si="54"/>
        <v>4</v>
      </c>
      <c r="Q18" s="64" t="e">
        <f t="shared" si="55"/>
        <v>#VALUE!</v>
      </c>
      <c r="R18" s="64" t="e">
        <f t="shared" si="56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57"/>
        <v>none</v>
      </c>
      <c r="U18" s="64" t="e">
        <f t="shared" si="58"/>
        <v>#VALUE!</v>
      </c>
      <c r="V18" s="64">
        <f t="shared" si="59"/>
        <v>4</v>
      </c>
      <c r="W18" s="64" t="e">
        <f t="shared" si="60"/>
        <v>#VALUE!</v>
      </c>
      <c r="X18" s="64" t="e">
        <f t="shared" si="61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2">
      <c r="A19" s="47">
        <v>30037018</v>
      </c>
      <c r="B19" s="47" t="s">
        <v>301</v>
      </c>
      <c r="C19" s="50">
        <v>3</v>
      </c>
      <c r="D19" s="50" t="s">
        <v>128</v>
      </c>
      <c r="E19" s="51" t="s">
        <v>296</v>
      </c>
      <c r="F19" s="105" t="s">
        <v>254</v>
      </c>
      <c r="G19" s="64" t="str">
        <f t="shared" si="47"/>
        <v>[effect:break_attack_fix, val:200, lowest_val:1500, count:-1, block:block_green, target:unit_one]</v>
      </c>
      <c r="H19" s="64">
        <f t="shared" si="48"/>
        <v>9</v>
      </c>
      <c r="I19" s="64">
        <f t="shared" si="49"/>
        <v>25</v>
      </c>
      <c r="J19" s="64">
        <f t="shared" si="50"/>
        <v>89</v>
      </c>
      <c r="K19" s="64">
        <f t="shared" si="51"/>
        <v>34</v>
      </c>
      <c r="L19" s="64" t="str">
        <f>IFERROR(VLOOKUP(MID(G19,J19,K19-J19),[6]skilldef!$C:$D,2,FALSE),"-") &amp; " / " &amp; IFERROR(VLOOKUP(MID(G19,H19,I19-H19),[6]skilldef!$A:$B,2,FALSE),"-")</f>
        <v>- / -</v>
      </c>
      <c r="M19" s="64" t="str">
        <f t="shared" si="52"/>
        <v>none</v>
      </c>
      <c r="N19" s="48" t="str">
        <f t="shared" si="62"/>
        <v>none</v>
      </c>
      <c r="O19" s="64" t="e">
        <f t="shared" si="53"/>
        <v>#VALUE!</v>
      </c>
      <c r="P19" s="64">
        <f t="shared" si="54"/>
        <v>4</v>
      </c>
      <c r="Q19" s="64" t="e">
        <f t="shared" si="55"/>
        <v>#VALUE!</v>
      </c>
      <c r="R19" s="64" t="e">
        <f t="shared" si="56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57"/>
        <v>none</v>
      </c>
      <c r="U19" s="64" t="e">
        <f t="shared" si="58"/>
        <v>#VALUE!</v>
      </c>
      <c r="V19" s="64">
        <f t="shared" si="59"/>
        <v>4</v>
      </c>
      <c r="W19" s="64" t="e">
        <f t="shared" si="60"/>
        <v>#VALUE!</v>
      </c>
      <c r="X19" s="64" t="e">
        <f t="shared" si="61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2">
      <c r="A20" s="47">
        <v>30037019</v>
      </c>
      <c r="B20" s="47" t="s">
        <v>302</v>
      </c>
      <c r="C20" s="50">
        <v>3</v>
      </c>
      <c r="D20" s="50" t="s">
        <v>128</v>
      </c>
      <c r="E20" s="51" t="s">
        <v>289</v>
      </c>
      <c r="F20" s="105" t="s">
        <v>255</v>
      </c>
      <c r="G20" s="64" t="str">
        <f t="shared" si="47"/>
        <v>[effect:break_attack_fix, val:300, lowest_val:3500, count:-1, block:block_yellow, target:unit_one]</v>
      </c>
      <c r="H20" s="64">
        <f t="shared" si="48"/>
        <v>9</v>
      </c>
      <c r="I20" s="64">
        <f t="shared" si="49"/>
        <v>25</v>
      </c>
      <c r="J20" s="64">
        <f t="shared" si="50"/>
        <v>90</v>
      </c>
      <c r="K20" s="64">
        <f t="shared" si="51"/>
        <v>34</v>
      </c>
      <c r="L20" s="64" t="str">
        <f>IFERROR(VLOOKUP(MID(G20,J20,K20-J20),[6]skilldef!$C:$D,2,FALSE),"-") &amp; " / " &amp; IFERROR(VLOOKUP(MID(G20,H20,I20-H20),[6]skilldef!$A:$B,2,FALSE),"-")</f>
        <v>- / -</v>
      </c>
      <c r="M20" s="64" t="str">
        <f t="shared" si="52"/>
        <v>none</v>
      </c>
      <c r="N20" s="48" t="str">
        <f t="shared" si="62"/>
        <v>none</v>
      </c>
      <c r="O20" s="64" t="e">
        <f t="shared" si="53"/>
        <v>#VALUE!</v>
      </c>
      <c r="P20" s="64">
        <f t="shared" si="54"/>
        <v>4</v>
      </c>
      <c r="Q20" s="64" t="e">
        <f t="shared" si="55"/>
        <v>#VALUE!</v>
      </c>
      <c r="R20" s="64" t="e">
        <f t="shared" si="56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57"/>
        <v>none</v>
      </c>
      <c r="U20" s="64" t="e">
        <f t="shared" si="58"/>
        <v>#VALUE!</v>
      </c>
      <c r="V20" s="64">
        <f t="shared" si="59"/>
        <v>4</v>
      </c>
      <c r="W20" s="64" t="e">
        <f t="shared" si="60"/>
        <v>#VALUE!</v>
      </c>
      <c r="X20" s="64" t="e">
        <f t="shared" si="61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2">
      <c r="A21" s="47">
        <v>30037020</v>
      </c>
      <c r="B21" s="47" t="s">
        <v>305</v>
      </c>
      <c r="C21" s="50">
        <v>3</v>
      </c>
      <c r="D21" s="50" t="s">
        <v>128</v>
      </c>
      <c r="E21" s="51" t="s">
        <v>306</v>
      </c>
      <c r="F21" s="105" t="s">
        <v>307</v>
      </c>
      <c r="G21" s="64" t="str">
        <f t="shared" si="47"/>
        <v>[effect:hungup, target:unit_all, turn:4, rate:1, calc_type:target_all, animation:hungup01]</v>
      </c>
      <c r="H21" s="64">
        <f t="shared" si="48"/>
        <v>9</v>
      </c>
      <c r="I21" s="64">
        <f t="shared" si="49"/>
        <v>15</v>
      </c>
      <c r="J21" s="64">
        <f t="shared" si="50"/>
        <v>24</v>
      </c>
      <c r="K21" s="64">
        <f t="shared" si="51"/>
        <v>32</v>
      </c>
      <c r="L21" s="64" t="str">
        <f>IFERROR(VLOOKUP(MID(G21,J21,K21-J21),[6]skilldef!$C:$D,2,FALSE),"-") &amp; " / " &amp; IFERROR(VLOOKUP(MID(G21,H21,I21-H21),[6]skilldef!$A:$B,2,FALSE),"-")</f>
        <v>味方全体に / ハングアップ</v>
      </c>
      <c r="M21" s="64" t="str">
        <f t="shared" si="52"/>
        <v>none</v>
      </c>
      <c r="N21" s="48" t="str">
        <f>IFERROR(LEFT(M21,FIND("],",M21)+#REF!),M21)</f>
        <v>none</v>
      </c>
      <c r="O21" s="64" t="e">
        <f t="shared" si="53"/>
        <v>#VALUE!</v>
      </c>
      <c r="P21" s="64">
        <f t="shared" si="54"/>
        <v>4</v>
      </c>
      <c r="Q21" s="64" t="e">
        <f t="shared" si="55"/>
        <v>#VALUE!</v>
      </c>
      <c r="R21" s="64" t="e">
        <f t="shared" si="56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57"/>
        <v>none</v>
      </c>
      <c r="U21" s="64" t="e">
        <f t="shared" si="58"/>
        <v>#VALUE!</v>
      </c>
      <c r="V21" s="64">
        <f t="shared" si="59"/>
        <v>4</v>
      </c>
      <c r="W21" s="64" t="e">
        <f t="shared" si="60"/>
        <v>#VALUE!</v>
      </c>
      <c r="X21" s="64" t="e">
        <f t="shared" si="61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6"/>
  <sheetViews>
    <sheetView showGridLines="0" zoomScale="75" zoomScaleNormal="75" zoomScalePageLayoutView="75" workbookViewId="0">
      <pane ySplit="1" topLeftCell="A2" activePane="bottomLeft" state="frozenSplit"/>
      <selection pane="bottomLeft" activeCell="I17" sqref="I1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30037001</v>
      </c>
      <c r="B2" s="47">
        <v>1</v>
      </c>
      <c r="C2" s="47" t="s">
        <v>89</v>
      </c>
      <c r="D2" s="47">
        <v>100</v>
      </c>
      <c r="E2" s="47" t="s">
        <v>251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30037002</v>
      </c>
      <c r="B3" s="47">
        <v>0</v>
      </c>
      <c r="C3" s="47">
        <v>1</v>
      </c>
      <c r="D3" s="47">
        <v>100</v>
      </c>
      <c r="E3" s="47" t="s">
        <v>53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" si="1">D3</f>
        <v>100</v>
      </c>
    </row>
    <row r="4" spans="1:11" ht="21" customHeight="1" x14ac:dyDescent="0.15">
      <c r="A4" s="47">
        <v>30037003</v>
      </c>
      <c r="B4" s="47">
        <v>0</v>
      </c>
      <c r="C4" s="47" t="s">
        <v>260</v>
      </c>
      <c r="D4" s="47">
        <v>100</v>
      </c>
      <c r="E4" s="47" t="s">
        <v>53</v>
      </c>
      <c r="F4" s="47" t="s">
        <v>90</v>
      </c>
      <c r="G4" s="47">
        <v>1</v>
      </c>
      <c r="H4" s="47">
        <v>6</v>
      </c>
      <c r="I4" s="47" t="s">
        <v>90</v>
      </c>
      <c r="J4" s="48">
        <f t="shared" ref="J4" si="2">D4</f>
        <v>100</v>
      </c>
    </row>
    <row r="5" spans="1:11" ht="21" customHeight="1" x14ac:dyDescent="0.15">
      <c r="A5" s="47">
        <v>30037004</v>
      </c>
      <c r="B5" s="47">
        <v>1</v>
      </c>
      <c r="C5" s="47" t="s">
        <v>260</v>
      </c>
      <c r="D5" s="47">
        <v>100</v>
      </c>
      <c r="E5" s="47" t="s">
        <v>53</v>
      </c>
      <c r="F5" s="47" t="s">
        <v>90</v>
      </c>
      <c r="G5" s="47">
        <v>1</v>
      </c>
      <c r="H5" s="47" t="s">
        <v>53</v>
      </c>
      <c r="I5" s="47" t="s">
        <v>90</v>
      </c>
      <c r="J5" s="48">
        <f t="shared" ref="J5" si="3">D5</f>
        <v>100</v>
      </c>
    </row>
    <row r="6" spans="1:11" ht="21" customHeight="1" x14ac:dyDescent="0.15">
      <c r="A6" s="47">
        <v>30037005</v>
      </c>
      <c r="B6" s="47">
        <v>0</v>
      </c>
      <c r="C6" s="47">
        <v>2</v>
      </c>
      <c r="D6" s="47">
        <v>100</v>
      </c>
      <c r="E6" s="47" t="s">
        <v>53</v>
      </c>
      <c r="F6" s="47" t="s">
        <v>264</v>
      </c>
      <c r="G6" s="47">
        <v>1</v>
      </c>
      <c r="H6" s="47" t="s">
        <v>53</v>
      </c>
      <c r="I6" s="47" t="s">
        <v>90</v>
      </c>
      <c r="J6" s="48">
        <f t="shared" ref="J6:J10" si="4">D6</f>
        <v>100</v>
      </c>
    </row>
    <row r="7" spans="1:11" ht="21" customHeight="1" x14ac:dyDescent="0.15">
      <c r="A7" s="47">
        <v>30037006</v>
      </c>
      <c r="B7" s="47">
        <v>0</v>
      </c>
      <c r="C7" s="47">
        <v>1</v>
      </c>
      <c r="D7" s="47">
        <v>100</v>
      </c>
      <c r="E7" s="47" t="s">
        <v>53</v>
      </c>
      <c r="F7" s="47" t="s">
        <v>53</v>
      </c>
      <c r="G7" s="47" t="s">
        <v>261</v>
      </c>
      <c r="H7" s="47" t="s">
        <v>264</v>
      </c>
      <c r="I7" s="47" t="s">
        <v>90</v>
      </c>
      <c r="J7" s="48">
        <f t="shared" si="4"/>
        <v>100</v>
      </c>
    </row>
    <row r="8" spans="1:11" ht="21" customHeight="1" x14ac:dyDescent="0.15">
      <c r="A8" s="47">
        <v>30037007</v>
      </c>
      <c r="B8" s="47">
        <v>0</v>
      </c>
      <c r="C8" s="47">
        <v>2</v>
      </c>
      <c r="D8" s="47">
        <v>100</v>
      </c>
      <c r="E8" s="47">
        <v>90</v>
      </c>
      <c r="F8" s="47">
        <v>25</v>
      </c>
      <c r="G8" s="47">
        <v>1</v>
      </c>
      <c r="H8" s="47" t="s">
        <v>90</v>
      </c>
      <c r="I8" s="47" t="s">
        <v>90</v>
      </c>
      <c r="J8" s="48">
        <f t="shared" si="4"/>
        <v>100</v>
      </c>
    </row>
    <row r="9" spans="1:11" ht="21" customHeight="1" x14ac:dyDescent="0.15">
      <c r="A9" s="47">
        <v>30037008</v>
      </c>
      <c r="B9" s="47">
        <v>1</v>
      </c>
      <c r="C9" s="47">
        <v>3</v>
      </c>
      <c r="D9" s="47">
        <v>100</v>
      </c>
      <c r="E9" s="47" t="s">
        <v>53</v>
      </c>
      <c r="F9" s="47" t="s">
        <v>90</v>
      </c>
      <c r="G9" s="47">
        <v>1</v>
      </c>
      <c r="H9" s="47" t="s">
        <v>53</v>
      </c>
      <c r="I9" s="47" t="s">
        <v>90</v>
      </c>
      <c r="J9" s="48">
        <f t="shared" si="4"/>
        <v>100</v>
      </c>
    </row>
    <row r="10" spans="1:11" ht="21" customHeight="1" x14ac:dyDescent="0.15">
      <c r="A10" s="47">
        <v>30037009</v>
      </c>
      <c r="B10" s="47">
        <v>0</v>
      </c>
      <c r="C10" s="47">
        <v>1</v>
      </c>
      <c r="D10" s="47">
        <v>100</v>
      </c>
      <c r="E10" s="47" t="s">
        <v>53</v>
      </c>
      <c r="F10" s="47" t="s">
        <v>90</v>
      </c>
      <c r="G10" s="47">
        <v>2</v>
      </c>
      <c r="H10" s="47" t="s">
        <v>53</v>
      </c>
      <c r="I10" s="47" t="s">
        <v>90</v>
      </c>
      <c r="J10" s="48">
        <f t="shared" si="4"/>
        <v>100</v>
      </c>
    </row>
    <row r="11" spans="1:11" ht="21" customHeight="1" x14ac:dyDescent="0.15">
      <c r="A11" s="47">
        <v>30037010</v>
      </c>
      <c r="B11" s="47">
        <v>0</v>
      </c>
      <c r="C11" s="47">
        <v>2</v>
      </c>
      <c r="D11" s="47">
        <v>100</v>
      </c>
      <c r="E11" s="47">
        <v>50</v>
      </c>
      <c r="F11" s="47" t="s">
        <v>262</v>
      </c>
      <c r="G11" s="47">
        <v>1</v>
      </c>
      <c r="H11" s="47" t="s">
        <v>53</v>
      </c>
      <c r="I11" s="47" t="s">
        <v>90</v>
      </c>
      <c r="J11" s="48">
        <f t="shared" ref="J11" si="5">D11</f>
        <v>100</v>
      </c>
    </row>
    <row r="12" spans="1:11" ht="21" customHeight="1" x14ac:dyDescent="0.15">
      <c r="A12" s="47">
        <v>30037011</v>
      </c>
      <c r="B12" s="47">
        <v>0</v>
      </c>
      <c r="C12" s="47">
        <v>2</v>
      </c>
      <c r="D12" s="47">
        <v>100</v>
      </c>
      <c r="E12" s="47">
        <v>30</v>
      </c>
      <c r="F12" s="47" t="s">
        <v>260</v>
      </c>
      <c r="G12" s="47">
        <v>1</v>
      </c>
      <c r="H12" s="47" t="s">
        <v>53</v>
      </c>
      <c r="I12" s="47" t="s">
        <v>90</v>
      </c>
      <c r="J12" s="48">
        <f t="shared" ref="J12:J13" si="6">D12</f>
        <v>100</v>
      </c>
    </row>
    <row r="13" spans="1:11" ht="21" customHeight="1" x14ac:dyDescent="0.15">
      <c r="A13" s="47">
        <v>30037012</v>
      </c>
      <c r="B13" s="47">
        <v>0</v>
      </c>
      <c r="C13" s="47" t="s">
        <v>260</v>
      </c>
      <c r="D13" s="47">
        <v>100</v>
      </c>
      <c r="E13" s="47" t="s">
        <v>53</v>
      </c>
      <c r="F13" s="47" t="s">
        <v>90</v>
      </c>
      <c r="G13" s="47">
        <v>1</v>
      </c>
      <c r="H13" s="47">
        <v>5</v>
      </c>
      <c r="I13" s="47" t="s">
        <v>90</v>
      </c>
      <c r="J13" s="48">
        <f t="shared" si="6"/>
        <v>100</v>
      </c>
    </row>
    <row r="14" spans="1:11" ht="21" customHeight="1" x14ac:dyDescent="0.15">
      <c r="A14" s="47">
        <v>30037013</v>
      </c>
      <c r="B14" s="47">
        <v>0</v>
      </c>
      <c r="C14" s="47" t="s">
        <v>53</v>
      </c>
      <c r="D14" s="47">
        <v>100</v>
      </c>
      <c r="E14" s="47" t="s">
        <v>53</v>
      </c>
      <c r="F14" s="47" t="s">
        <v>53</v>
      </c>
      <c r="G14" s="47">
        <v>0</v>
      </c>
      <c r="H14" s="47" t="s">
        <v>278</v>
      </c>
      <c r="I14" s="47">
        <v>0</v>
      </c>
      <c r="J14" s="48">
        <f t="shared" ref="J14" si="7">D14</f>
        <v>100</v>
      </c>
    </row>
    <row r="15" spans="1:11" ht="21" customHeight="1" x14ac:dyDescent="0.15">
      <c r="A15" s="47">
        <v>30037014</v>
      </c>
      <c r="B15" s="47">
        <v>0</v>
      </c>
      <c r="C15" s="47" t="s">
        <v>53</v>
      </c>
      <c r="D15" s="47">
        <v>100</v>
      </c>
      <c r="E15" s="47" t="s">
        <v>53</v>
      </c>
      <c r="F15" s="47" t="s">
        <v>53</v>
      </c>
      <c r="G15" s="47">
        <v>0</v>
      </c>
      <c r="H15" s="47" t="s">
        <v>278</v>
      </c>
      <c r="I15" s="47">
        <v>0</v>
      </c>
      <c r="J15" s="48">
        <f t="shared" ref="J15" si="8">D15</f>
        <v>100</v>
      </c>
    </row>
    <row r="16" spans="1:11" ht="21" customHeight="1" x14ac:dyDescent="0.15">
      <c r="A16" s="47">
        <v>30037015</v>
      </c>
      <c r="B16" s="47">
        <v>0</v>
      </c>
      <c r="C16" s="47" t="s">
        <v>53</v>
      </c>
      <c r="D16" s="47">
        <v>100</v>
      </c>
      <c r="E16" s="47" t="s">
        <v>53</v>
      </c>
      <c r="F16" s="47" t="s">
        <v>53</v>
      </c>
      <c r="G16" s="47" t="s">
        <v>278</v>
      </c>
      <c r="H16" s="47" t="s">
        <v>278</v>
      </c>
      <c r="I16" s="47" t="s">
        <v>278</v>
      </c>
      <c r="J16" s="48">
        <f t="shared" ref="J16" si="9">D16</f>
        <v>100</v>
      </c>
    </row>
  </sheetData>
  <autoFilter ref="A1:G1"/>
  <phoneticPr fontId="5"/>
  <conditionalFormatting sqref="K17:K1048576 K1:K2">
    <cfRule type="duplicateValues" dxfId="14" priority="30"/>
  </conditionalFormatting>
  <conditionalFormatting sqref="K3">
    <cfRule type="duplicateValues" dxfId="13" priority="28"/>
  </conditionalFormatting>
  <conditionalFormatting sqref="K4">
    <cfRule type="duplicateValues" dxfId="12" priority="26"/>
  </conditionalFormatting>
  <conditionalFormatting sqref="K5">
    <cfRule type="duplicateValues" dxfId="11" priority="24"/>
  </conditionalFormatting>
  <conditionalFormatting sqref="K6">
    <cfRule type="duplicateValues" dxfId="10" priority="22"/>
  </conditionalFormatting>
  <conditionalFormatting sqref="K7">
    <cfRule type="duplicateValues" dxfId="9" priority="16"/>
  </conditionalFormatting>
  <conditionalFormatting sqref="K8">
    <cfRule type="duplicateValues" dxfId="8" priority="15"/>
  </conditionalFormatting>
  <conditionalFormatting sqref="K9">
    <cfRule type="duplicateValues" dxfId="7" priority="14"/>
  </conditionalFormatting>
  <conditionalFormatting sqref="K10">
    <cfRule type="duplicateValues" dxfId="6" priority="13"/>
  </conditionalFormatting>
  <conditionalFormatting sqref="K11">
    <cfRule type="duplicateValues" dxfId="5" priority="12"/>
  </conditionalFormatting>
  <conditionalFormatting sqref="K12">
    <cfRule type="duplicateValues" dxfId="4" priority="10"/>
  </conditionalFormatting>
  <conditionalFormatting sqref="K13">
    <cfRule type="duplicateValues" dxfId="3" priority="6"/>
  </conditionalFormatting>
  <conditionalFormatting sqref="K14">
    <cfRule type="duplicateValues" dxfId="2" priority="4"/>
  </conditionalFormatting>
  <conditionalFormatting sqref="K15">
    <cfRule type="duplicateValues" dxfId="1" priority="2"/>
  </conditionalFormatting>
  <conditionalFormatting sqref="K1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J19" sqref="J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3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v>30037</v>
      </c>
      <c r="B2" s="57">
        <v>1</v>
      </c>
      <c r="C2" s="72" t="str">
        <f>A2&amp; "_"&amp;B2</f>
        <v>30037_1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3200</v>
      </c>
      <c r="H2" s="57" t="s">
        <v>298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200</v>
      </c>
      <c r="Q2" s="57" t="s">
        <v>170</v>
      </c>
      <c r="R2" s="57" t="s">
        <v>171</v>
      </c>
    </row>
    <row r="3" spans="1:18" x14ac:dyDescent="0.15">
      <c r="A3" s="57">
        <v>30037</v>
      </c>
      <c r="B3" s="57">
        <v>1</v>
      </c>
      <c r="C3" s="72" t="str">
        <f t="shared" ref="C3:C33" si="0">A3&amp; "_"&amp;B3</f>
        <v>30037_1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299</v>
      </c>
      <c r="G3" s="57">
        <v>20</v>
      </c>
      <c r="H3" s="57" t="s">
        <v>298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200</v>
      </c>
      <c r="Q3" s="57" t="s">
        <v>170</v>
      </c>
      <c r="R3" s="57" t="s">
        <v>171</v>
      </c>
    </row>
    <row r="4" spans="1:18" x14ac:dyDescent="0.15">
      <c r="A4" s="57">
        <v>30037</v>
      </c>
      <c r="B4" s="57">
        <v>1</v>
      </c>
      <c r="C4" s="72" t="str">
        <f t="shared" si="0"/>
        <v>30037_1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300</v>
      </c>
      <c r="G4" s="57">
        <v>344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70</v>
      </c>
      <c r="Q4" s="57" t="s">
        <v>170</v>
      </c>
      <c r="R4" s="57" t="s">
        <v>171</v>
      </c>
    </row>
    <row r="5" spans="1:18" x14ac:dyDescent="0.15">
      <c r="A5" s="57">
        <v>30037</v>
      </c>
      <c r="B5" s="57">
        <v>1</v>
      </c>
      <c r="C5" s="72" t="str">
        <f t="shared" si="0"/>
        <v>30037_1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300</v>
      </c>
      <c r="G5" s="57">
        <v>345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70</v>
      </c>
      <c r="Q5" s="57" t="s">
        <v>170</v>
      </c>
      <c r="R5" s="57" t="s">
        <v>171</v>
      </c>
    </row>
    <row r="6" spans="1:18" x14ac:dyDescent="0.15">
      <c r="A6">
        <v>30037</v>
      </c>
      <c r="B6" s="57">
        <v>1</v>
      </c>
      <c r="C6" s="72" t="str">
        <f t="shared" si="0"/>
        <v>30037_1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300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50</v>
      </c>
      <c r="Q6" s="57" t="s">
        <v>170</v>
      </c>
      <c r="R6" s="57" t="s">
        <v>171</v>
      </c>
    </row>
    <row r="7" spans="1:18" x14ac:dyDescent="0.15">
      <c r="A7">
        <v>30037</v>
      </c>
      <c r="B7" s="57">
        <v>1</v>
      </c>
      <c r="C7" s="72" t="str">
        <f t="shared" si="0"/>
        <v>30037_1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300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50</v>
      </c>
      <c r="Q7" s="57" t="s">
        <v>170</v>
      </c>
      <c r="R7" s="57" t="s">
        <v>171</v>
      </c>
    </row>
    <row r="8" spans="1:18" x14ac:dyDescent="0.15">
      <c r="A8">
        <v>30037</v>
      </c>
      <c r="B8" s="57">
        <v>1</v>
      </c>
      <c r="C8" s="72" t="str">
        <f t="shared" si="0"/>
        <v>30037_1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300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170</v>
      </c>
      <c r="R8" s="57" t="s">
        <v>171</v>
      </c>
    </row>
    <row r="9" spans="1:18" x14ac:dyDescent="0.15">
      <c r="A9">
        <v>30037</v>
      </c>
      <c r="B9" s="57">
        <v>1</v>
      </c>
      <c r="C9" s="72" t="str">
        <f t="shared" si="0"/>
        <v>30037_1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300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57" t="s">
        <v>171</v>
      </c>
    </row>
    <row r="10" spans="1:18" x14ac:dyDescent="0.15">
      <c r="A10">
        <v>30037</v>
      </c>
      <c r="B10" s="57">
        <v>1</v>
      </c>
      <c r="C10" s="72" t="str">
        <f t="shared" si="0"/>
        <v>30037_1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300</v>
      </c>
      <c r="G10" s="57">
        <v>933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200</v>
      </c>
      <c r="Q10" s="57" t="s">
        <v>170</v>
      </c>
      <c r="R10" s="57" t="s">
        <v>171</v>
      </c>
    </row>
    <row r="11" spans="1:18" ht="16" thickBot="1" x14ac:dyDescent="0.2">
      <c r="A11" s="111">
        <v>30037</v>
      </c>
      <c r="B11" s="112">
        <v>1</v>
      </c>
      <c r="C11" s="113" t="str">
        <f t="shared" si="0"/>
        <v>30037_1</v>
      </c>
      <c r="D11" s="11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2">
        <v>10</v>
      </c>
      <c r="F11" s="112" t="s">
        <v>300</v>
      </c>
      <c r="G11" s="112">
        <v>354</v>
      </c>
      <c r="H11" s="112">
        <v>1</v>
      </c>
      <c r="I11" s="112">
        <v>1</v>
      </c>
      <c r="J11" s="112">
        <v>1</v>
      </c>
      <c r="K11" s="112">
        <v>0</v>
      </c>
      <c r="L11" s="112">
        <v>0</v>
      </c>
      <c r="M11" s="112">
        <v>0</v>
      </c>
      <c r="N11" s="112">
        <v>0</v>
      </c>
      <c r="O11" s="112">
        <v>1</v>
      </c>
      <c r="P11" s="112">
        <v>100</v>
      </c>
      <c r="Q11" s="112" t="s">
        <v>170</v>
      </c>
      <c r="R11" s="112" t="s">
        <v>171</v>
      </c>
    </row>
    <row r="12" spans="1:18" ht="16" thickTop="1" x14ac:dyDescent="0.15">
      <c r="A12">
        <v>30037</v>
      </c>
      <c r="B12" s="108">
        <v>2</v>
      </c>
      <c r="C12" s="109" t="str">
        <f t="shared" si="0"/>
        <v>30037_2</v>
      </c>
      <c r="D12" s="110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8">
        <v>11</v>
      </c>
      <c r="F12" s="108" t="s">
        <v>169</v>
      </c>
      <c r="G12" s="108">
        <v>5000</v>
      </c>
      <c r="H12" s="108" t="s">
        <v>298</v>
      </c>
      <c r="I12" s="108">
        <v>1</v>
      </c>
      <c r="J12" s="108">
        <v>1</v>
      </c>
      <c r="K12" s="108">
        <v>0</v>
      </c>
      <c r="L12" s="108">
        <v>0</v>
      </c>
      <c r="M12" s="108">
        <v>0</v>
      </c>
      <c r="N12" s="108">
        <v>0</v>
      </c>
      <c r="O12" s="108">
        <v>1</v>
      </c>
      <c r="P12" s="108">
        <v>200</v>
      </c>
      <c r="Q12" s="108" t="s">
        <v>170</v>
      </c>
      <c r="R12" s="108" t="s">
        <v>171</v>
      </c>
    </row>
    <row r="13" spans="1:18" x14ac:dyDescent="0.15">
      <c r="A13">
        <v>30037</v>
      </c>
      <c r="B13" s="57">
        <v>2</v>
      </c>
      <c r="C13" s="72" t="str">
        <f t="shared" si="0"/>
        <v>30037_2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299</v>
      </c>
      <c r="G13" s="57">
        <v>25</v>
      </c>
      <c r="H13" s="57" t="s">
        <v>298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150</v>
      </c>
      <c r="Q13" s="57" t="s">
        <v>170</v>
      </c>
      <c r="R13" s="57" t="s">
        <v>171</v>
      </c>
    </row>
    <row r="14" spans="1:18" x14ac:dyDescent="0.15">
      <c r="A14">
        <v>30037</v>
      </c>
      <c r="B14" s="57">
        <v>2</v>
      </c>
      <c r="C14" s="72" t="str">
        <f t="shared" si="0"/>
        <v>30037_2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300</v>
      </c>
      <c r="G14" s="57">
        <v>344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56</v>
      </c>
      <c r="Q14" s="57" t="s">
        <v>170</v>
      </c>
      <c r="R14" s="57" t="s">
        <v>171</v>
      </c>
    </row>
    <row r="15" spans="1:18" x14ac:dyDescent="0.15">
      <c r="A15">
        <v>30037</v>
      </c>
      <c r="B15" s="57">
        <v>2</v>
      </c>
      <c r="C15" s="72" t="str">
        <f t="shared" si="0"/>
        <v>30037_2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300</v>
      </c>
      <c r="G15" s="57">
        <v>345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56</v>
      </c>
      <c r="Q15" s="57" t="s">
        <v>170</v>
      </c>
      <c r="R15" s="57" t="s">
        <v>171</v>
      </c>
    </row>
    <row r="16" spans="1:18" x14ac:dyDescent="0.15">
      <c r="A16">
        <v>30037</v>
      </c>
      <c r="B16" s="57">
        <v>2</v>
      </c>
      <c r="C16" s="72" t="str">
        <f t="shared" si="0"/>
        <v>30037_2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300</v>
      </c>
      <c r="G16" s="57">
        <v>346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28</v>
      </c>
      <c r="Q16" s="57" t="s">
        <v>170</v>
      </c>
      <c r="R16" s="57" t="s">
        <v>171</v>
      </c>
    </row>
    <row r="17" spans="1:18" x14ac:dyDescent="0.15">
      <c r="A17">
        <v>30037</v>
      </c>
      <c r="B17" s="57">
        <v>2</v>
      </c>
      <c r="C17" s="72" t="str">
        <f t="shared" si="0"/>
        <v>30037_2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300</v>
      </c>
      <c r="G17" s="57">
        <v>121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</v>
      </c>
      <c r="Q17" s="57" t="s">
        <v>170</v>
      </c>
      <c r="R17" s="57" t="s">
        <v>171</v>
      </c>
    </row>
    <row r="18" spans="1:18" x14ac:dyDescent="0.15">
      <c r="A18">
        <v>30037</v>
      </c>
      <c r="B18" s="57">
        <v>2</v>
      </c>
      <c r="C18" s="72" t="str">
        <f t="shared" si="0"/>
        <v>30037_2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300</v>
      </c>
      <c r="G18" s="57">
        <v>122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50</v>
      </c>
      <c r="Q18" s="57" t="s">
        <v>170</v>
      </c>
      <c r="R18" s="57" t="s">
        <v>171</v>
      </c>
    </row>
    <row r="19" spans="1:18" x14ac:dyDescent="0.15">
      <c r="A19">
        <v>30037</v>
      </c>
      <c r="B19" s="57">
        <v>2</v>
      </c>
      <c r="C19" s="72" t="str">
        <f t="shared" si="0"/>
        <v>30037_2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57" t="s">
        <v>300</v>
      </c>
      <c r="G19" s="57">
        <v>123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50</v>
      </c>
      <c r="Q19" s="57" t="s">
        <v>170</v>
      </c>
      <c r="R19" s="57" t="s">
        <v>171</v>
      </c>
    </row>
    <row r="20" spans="1:18" x14ac:dyDescent="0.15">
      <c r="A20">
        <v>30037</v>
      </c>
      <c r="B20" s="57">
        <v>2</v>
      </c>
      <c r="C20" s="72" t="str">
        <f t="shared" si="0"/>
        <v>30037_2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57" t="s">
        <v>300</v>
      </c>
      <c r="G20" s="57">
        <v>125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10</v>
      </c>
      <c r="Q20" s="57" t="s">
        <v>170</v>
      </c>
      <c r="R20" s="57" t="s">
        <v>171</v>
      </c>
    </row>
    <row r="21" spans="1:18" x14ac:dyDescent="0.15">
      <c r="A21">
        <v>30037</v>
      </c>
      <c r="B21" s="57">
        <v>2</v>
      </c>
      <c r="C21" s="72" t="str">
        <f t="shared" si="0"/>
        <v>30037_2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20</v>
      </c>
      <c r="F21" s="57" t="s">
        <v>300</v>
      </c>
      <c r="G21" s="57">
        <v>933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250</v>
      </c>
      <c r="Q21" s="57" t="s">
        <v>170</v>
      </c>
      <c r="R21" s="57" t="s">
        <v>171</v>
      </c>
    </row>
    <row r="22" spans="1:18" ht="16" thickBot="1" x14ac:dyDescent="0.2">
      <c r="A22" s="111">
        <v>30037</v>
      </c>
      <c r="B22" s="112">
        <v>2</v>
      </c>
      <c r="C22" s="113" t="str">
        <f t="shared" si="0"/>
        <v>30037_2</v>
      </c>
      <c r="D22" s="114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12">
        <v>21</v>
      </c>
      <c r="F22" s="112" t="s">
        <v>300</v>
      </c>
      <c r="G22" s="112">
        <v>354</v>
      </c>
      <c r="H22" s="112">
        <v>1</v>
      </c>
      <c r="I22" s="112">
        <v>1</v>
      </c>
      <c r="J22" s="112">
        <v>1</v>
      </c>
      <c r="K22" s="112">
        <v>0</v>
      </c>
      <c r="L22" s="112">
        <v>0</v>
      </c>
      <c r="M22" s="112">
        <v>0</v>
      </c>
      <c r="N22" s="112">
        <v>0</v>
      </c>
      <c r="O22" s="112">
        <v>1</v>
      </c>
      <c r="P22" s="112">
        <v>100</v>
      </c>
      <c r="Q22" s="112" t="s">
        <v>170</v>
      </c>
      <c r="R22" s="112" t="s">
        <v>171</v>
      </c>
    </row>
    <row r="23" spans="1:18" ht="16" thickTop="1" x14ac:dyDescent="0.15">
      <c r="A23">
        <v>30037</v>
      </c>
      <c r="B23" s="108">
        <v>3</v>
      </c>
      <c r="C23" s="109" t="str">
        <f t="shared" si="0"/>
        <v>30037_3</v>
      </c>
      <c r="D23" s="110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08">
        <v>22</v>
      </c>
      <c r="F23" s="108" t="s">
        <v>169</v>
      </c>
      <c r="G23" s="108">
        <v>6500</v>
      </c>
      <c r="H23" s="108" t="s">
        <v>298</v>
      </c>
      <c r="I23" s="108">
        <v>1</v>
      </c>
      <c r="J23" s="108">
        <v>1</v>
      </c>
      <c r="K23" s="108">
        <v>0</v>
      </c>
      <c r="L23" s="108">
        <v>0</v>
      </c>
      <c r="M23" s="108">
        <v>0</v>
      </c>
      <c r="N23" s="108">
        <v>0</v>
      </c>
      <c r="O23" s="108">
        <v>1</v>
      </c>
      <c r="P23" s="108">
        <v>100</v>
      </c>
      <c r="Q23" s="108" t="s">
        <v>170</v>
      </c>
      <c r="R23" s="108" t="s">
        <v>171</v>
      </c>
    </row>
    <row r="24" spans="1:18" x14ac:dyDescent="0.15">
      <c r="A24">
        <v>30037</v>
      </c>
      <c r="B24" s="57">
        <v>3</v>
      </c>
      <c r="C24" s="72" t="str">
        <f t="shared" si="0"/>
        <v>30037_3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299</v>
      </c>
      <c r="G24" s="57">
        <v>25</v>
      </c>
      <c r="H24" s="57" t="s">
        <v>298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100</v>
      </c>
      <c r="Q24" s="57" t="s">
        <v>170</v>
      </c>
      <c r="R24" s="57" t="s">
        <v>171</v>
      </c>
    </row>
    <row r="25" spans="1:18" x14ac:dyDescent="0.15">
      <c r="A25">
        <v>30037</v>
      </c>
      <c r="B25" s="57">
        <v>3</v>
      </c>
      <c r="C25" s="72" t="str">
        <f t="shared" si="0"/>
        <v>30037_3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300</v>
      </c>
      <c r="G25" s="57">
        <v>344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28</v>
      </c>
      <c r="Q25" s="57" t="s">
        <v>170</v>
      </c>
      <c r="R25" s="57" t="s">
        <v>171</v>
      </c>
    </row>
    <row r="26" spans="1:18" x14ac:dyDescent="0.15">
      <c r="A26">
        <v>30037</v>
      </c>
      <c r="B26" s="57">
        <v>3</v>
      </c>
      <c r="C26" s="72" t="str">
        <f t="shared" si="0"/>
        <v>30037_3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300</v>
      </c>
      <c r="G26" s="57">
        <v>345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56</v>
      </c>
      <c r="Q26" s="57" t="s">
        <v>170</v>
      </c>
      <c r="R26" s="57" t="s">
        <v>171</v>
      </c>
    </row>
    <row r="27" spans="1:18" x14ac:dyDescent="0.15">
      <c r="A27">
        <v>30037</v>
      </c>
      <c r="B27" s="57">
        <v>3</v>
      </c>
      <c r="C27" s="72" t="str">
        <f t="shared" si="0"/>
        <v>30037_3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300</v>
      </c>
      <c r="G27" s="57">
        <v>346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56</v>
      </c>
      <c r="Q27" s="57" t="s">
        <v>170</v>
      </c>
      <c r="R27" s="57" t="s">
        <v>171</v>
      </c>
    </row>
    <row r="28" spans="1:18" x14ac:dyDescent="0.15">
      <c r="A28">
        <v>30037</v>
      </c>
      <c r="B28" s="57">
        <v>3</v>
      </c>
      <c r="C28" s="72" t="str">
        <f t="shared" si="0"/>
        <v>30037_3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300</v>
      </c>
      <c r="G28" s="57">
        <v>121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50</v>
      </c>
      <c r="Q28" s="57" t="s">
        <v>170</v>
      </c>
      <c r="R28" s="57" t="s">
        <v>171</v>
      </c>
    </row>
    <row r="29" spans="1:18" x14ac:dyDescent="0.15">
      <c r="A29">
        <v>30037</v>
      </c>
      <c r="B29" s="57">
        <v>3</v>
      </c>
      <c r="C29" s="72" t="str">
        <f t="shared" si="0"/>
        <v>30037_3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300</v>
      </c>
      <c r="G29" s="57">
        <v>122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50</v>
      </c>
      <c r="Q29" s="57" t="s">
        <v>170</v>
      </c>
      <c r="R29" s="57" t="s">
        <v>171</v>
      </c>
    </row>
    <row r="30" spans="1:18" x14ac:dyDescent="0.15">
      <c r="A30">
        <v>30037</v>
      </c>
      <c r="B30" s="57">
        <v>3</v>
      </c>
      <c r="C30" s="72" t="str">
        <f t="shared" si="0"/>
        <v>30037_3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300</v>
      </c>
      <c r="G30" s="57">
        <v>123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7" t="s">
        <v>170</v>
      </c>
      <c r="R30" s="57" t="s">
        <v>171</v>
      </c>
    </row>
    <row r="31" spans="1:18" x14ac:dyDescent="0.15">
      <c r="A31">
        <v>30037</v>
      </c>
      <c r="B31" s="57">
        <v>3</v>
      </c>
      <c r="C31" s="72" t="str">
        <f t="shared" si="0"/>
        <v>30037_3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300</v>
      </c>
      <c r="G31" s="57">
        <v>125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10</v>
      </c>
      <c r="Q31" s="57" t="s">
        <v>170</v>
      </c>
      <c r="R31" s="57" t="s">
        <v>171</v>
      </c>
    </row>
    <row r="32" spans="1:18" x14ac:dyDescent="0.15">
      <c r="A32">
        <v>30037</v>
      </c>
      <c r="B32" s="57">
        <v>3</v>
      </c>
      <c r="C32" s="72" t="str">
        <f t="shared" si="0"/>
        <v>30037_3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57" t="s">
        <v>300</v>
      </c>
      <c r="G32" s="57">
        <v>933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400</v>
      </c>
      <c r="Q32" s="57" t="s">
        <v>170</v>
      </c>
      <c r="R32" s="57" t="s">
        <v>171</v>
      </c>
    </row>
    <row r="33" spans="1:18" x14ac:dyDescent="0.15">
      <c r="A33">
        <v>30037</v>
      </c>
      <c r="B33" s="57">
        <v>3</v>
      </c>
      <c r="C33" s="72" t="str">
        <f t="shared" si="0"/>
        <v>30037_3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32</v>
      </c>
      <c r="F33" s="57" t="s">
        <v>300</v>
      </c>
      <c r="G33" s="57">
        <v>354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100</v>
      </c>
      <c r="Q33" s="57" t="s">
        <v>170</v>
      </c>
      <c r="R33" s="57" t="s">
        <v>171</v>
      </c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49" activePane="bottomLeft" state="frozen"/>
      <selection pane="bottomLeft" activeCell="L90" sqref="L90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188</v>
      </c>
      <c r="B1" s="74" t="s">
        <v>189</v>
      </c>
      <c r="C1" s="78" t="s">
        <v>190</v>
      </c>
      <c r="D1" s="78" t="s">
        <v>33</v>
      </c>
      <c r="E1" s="74" t="s">
        <v>191</v>
      </c>
      <c r="F1" s="78" t="s">
        <v>192</v>
      </c>
      <c r="G1" s="78" t="s">
        <v>33</v>
      </c>
      <c r="H1" s="74" t="s">
        <v>193</v>
      </c>
      <c r="I1" s="92" t="s">
        <v>195</v>
      </c>
      <c r="J1" s="80" t="s">
        <v>127</v>
      </c>
      <c r="K1" s="79" t="s">
        <v>187</v>
      </c>
      <c r="L1" s="93" t="s">
        <v>186</v>
      </c>
      <c r="M1" s="81" t="s">
        <v>196</v>
      </c>
    </row>
    <row r="2" spans="1:13" x14ac:dyDescent="0.15">
      <c r="A2" s="82" t="s">
        <v>201</v>
      </c>
      <c r="B2" s="83">
        <f>floors!$C$2</f>
        <v>30037</v>
      </c>
      <c r="C2" s="84" t="str">
        <f ca="1">VLOOKUP($B2,OFFSET([2]quests!$A$1,0,0,COUNTA([2]quests!$A:$A),MATCH(C$1,[2]quests!$1:$1,0)-MATCH($B$1,[2]quests!$1:$1,0)+1),MATCH(C$1,[2]quests!$1:$1,0)-MATCH($B$1,[2]quests!$1:$1,0)+1,FALSE)</f>
        <v>灯り火の麗人</v>
      </c>
      <c r="D2" s="84" t="str">
        <f ca="1">VLOOKUP($B2,OFFSET([2]quests!$A$1,0,0,COUNTA([2]quests!$A:$A),MATCH(D$1,[2]quests!$1:$1,0)-MATCH($B$1,[2]quests!$1:$1,0)+1),MATCH(D$1,[2]quests!$1:$1,0)-MATCH($B$1,[2]quests!$1:$1,0)+1,FALSE)</f>
        <v>フランス革命シリーズ超級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【中級】灯り火の麗人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フランス革命シリーズ超級</v>
      </c>
      <c r="H2" s="86">
        <v>0</v>
      </c>
      <c r="I2">
        <v>3</v>
      </c>
      <c r="J2" s="85" t="s">
        <v>198</v>
      </c>
      <c r="K2" s="94" t="str">
        <f>VLOOKUP(I2,[7]stage_hints!$A:$C,3,FALSE)</f>
        <v>ターゲット</v>
      </c>
      <c r="L2" s="95" t="str">
        <f>VLOOKUP(I2,[7]stage_hints!$A:$D,4,FALSE)</f>
        <v>敵ユニットをタップすると_x000D_その敵を狙い撃ちできます</v>
      </c>
      <c r="M2" s="57" t="s">
        <v>211</v>
      </c>
    </row>
    <row r="3" spans="1:13" x14ac:dyDescent="0.15">
      <c r="A3" s="82" t="s">
        <v>201</v>
      </c>
      <c r="B3" s="83">
        <f>floors!$C$2</f>
        <v>30037</v>
      </c>
      <c r="C3" s="84" t="str">
        <f ca="1">VLOOKUP($B3,OFFSET([2]quests!$A$1,0,0,COUNTA([2]quests!$A:$A),MATCH(C$1,[2]quests!$1:$1,0)-MATCH($B$1,[2]quests!$1:$1,0)+1),MATCH(C$1,[2]quests!$1:$1,0)-MATCH($B$1,[2]quests!$1:$1,0)+1,FALSE)</f>
        <v>灯り火の麗人</v>
      </c>
      <c r="D3" s="84" t="str">
        <f ca="1">VLOOKUP($B3,OFFSET([2]quests!$A$1,0,0,COUNTA([2]quests!$A:$A),MATCH(D$1,[2]quests!$1:$1,0)-MATCH($B$1,[2]quests!$1:$1,0)+1),MATCH(D$1,[2]quests!$1:$1,0)-MATCH($B$1,[2]quests!$1:$1,0)+1,FALSE)</f>
        <v>フランス革命シリーズ超級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【中級】灯り火の麗人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フランス革命シリーズ超級</v>
      </c>
      <c r="H3" s="86">
        <v>0</v>
      </c>
      <c r="I3">
        <v>6</v>
      </c>
      <c r="J3" s="85" t="s">
        <v>198</v>
      </c>
      <c r="K3" s="94" t="str">
        <f>VLOOKUP(I3,[7]stage_hints!$A:$C,3,FALSE)</f>
        <v>ユニット強化の属性ボーナス</v>
      </c>
      <c r="L3" s="95" t="str">
        <f>VLOOKUP(I3,[7]stage_hints!$A:$D,4,FALSE)</f>
        <v>同属性ユニットを強化素材にすると_x000D_経験値が多くもらえます</v>
      </c>
      <c r="M3" s="57" t="s">
        <v>211</v>
      </c>
    </row>
    <row r="4" spans="1:13" x14ac:dyDescent="0.15">
      <c r="A4" s="82" t="s">
        <v>201</v>
      </c>
      <c r="B4" s="83">
        <f>floors!$C$2</f>
        <v>30037</v>
      </c>
      <c r="C4" s="84" t="str">
        <f ca="1">VLOOKUP($B4,OFFSET([2]quests!$A$1,0,0,COUNTA([2]quests!$A:$A),MATCH(C$1,[2]quests!$1:$1,0)-MATCH($B$1,[2]quests!$1:$1,0)+1),MATCH(C$1,[2]quests!$1:$1,0)-MATCH($B$1,[2]quests!$1:$1,0)+1,FALSE)</f>
        <v>灯り火の麗人</v>
      </c>
      <c r="D4" s="84" t="str">
        <f ca="1">VLOOKUP($B4,OFFSET([2]quests!$A$1,0,0,COUNTA([2]quests!$A:$A),MATCH(D$1,[2]quests!$1:$1,0)-MATCH($B$1,[2]quests!$1:$1,0)+1),MATCH(D$1,[2]quests!$1:$1,0)-MATCH($B$1,[2]quests!$1:$1,0)+1,FALSE)</f>
        <v>フランス革命シリーズ超級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【中級】灯り火の麗人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フランス革命シリーズ超級</v>
      </c>
      <c r="H4" s="86">
        <v>0</v>
      </c>
      <c r="I4">
        <v>7</v>
      </c>
      <c r="J4" s="85" t="s">
        <v>198</v>
      </c>
      <c r="K4" s="94" t="str">
        <f>VLOOKUP(I4,[7]stage_hints!$A:$C,3,FALSE)</f>
        <v>メタルダックで経験値を獲得</v>
      </c>
      <c r="L4" s="95" t="str">
        <f>VLOOKUP(I4,[7]stage_hints!$A:$D,4,FALSE)</f>
        <v>「メタルなアヒル」を強化素材にすると_x000D_大量の経験値がもらえます</v>
      </c>
      <c r="M4" s="57" t="s">
        <v>211</v>
      </c>
    </row>
    <row r="5" spans="1:13" x14ac:dyDescent="0.15">
      <c r="A5" s="82" t="s">
        <v>201</v>
      </c>
      <c r="B5" s="83">
        <f>floors!$C$2</f>
        <v>30037</v>
      </c>
      <c r="C5" s="84" t="str">
        <f ca="1">VLOOKUP($B5,OFFSET([2]quests!$A$1,0,0,COUNTA([2]quests!$A:$A),MATCH(C$1,[2]quests!$1:$1,0)-MATCH($B$1,[2]quests!$1:$1,0)+1),MATCH(C$1,[2]quests!$1:$1,0)-MATCH($B$1,[2]quests!$1:$1,0)+1,FALSE)</f>
        <v>灯り火の麗人</v>
      </c>
      <c r="D5" s="84" t="str">
        <f ca="1">VLOOKUP($B5,OFFSET([2]quests!$A$1,0,0,COUNTA([2]quests!$A:$A),MATCH(D$1,[2]quests!$1:$1,0)-MATCH($B$1,[2]quests!$1:$1,0)+1),MATCH(D$1,[2]quests!$1:$1,0)-MATCH($B$1,[2]quests!$1:$1,0)+1,FALSE)</f>
        <v>フランス革命シリーズ超級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【中級】灯り火の麗人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フランス革命シリーズ超級</v>
      </c>
      <c r="H5" s="86">
        <v>0</v>
      </c>
      <c r="I5">
        <v>8</v>
      </c>
      <c r="J5" s="85" t="s">
        <v>198</v>
      </c>
      <c r="K5" s="94" t="str">
        <f>VLOOKUP(I5,[7]stage_hints!$A:$C,3,FALSE)</f>
        <v>ゲリラクエストは要チェック</v>
      </c>
      <c r="L5" s="95" t="str">
        <f>VLOOKUP(I5,[7]stage_hints!$A:$D,4,FALSE)</f>
        <v>時間限定の「アヒル捕獲作戦」では_x000D_経験値素材ユニットが多く手に入ります</v>
      </c>
      <c r="M5" s="57" t="s">
        <v>211</v>
      </c>
    </row>
    <row r="6" spans="1:13" x14ac:dyDescent="0.15">
      <c r="A6" s="82" t="s">
        <v>201</v>
      </c>
      <c r="B6" s="83">
        <f>floors!$C$2</f>
        <v>30037</v>
      </c>
      <c r="C6" s="84" t="str">
        <f ca="1">VLOOKUP($B6,OFFSET([2]quests!$A$1,0,0,COUNTA([2]quests!$A:$A),MATCH(C$1,[2]quests!$1:$1,0)-MATCH($B$1,[2]quests!$1:$1,0)+1),MATCH(C$1,[2]quests!$1:$1,0)-MATCH($B$1,[2]quests!$1:$1,0)+1,FALSE)</f>
        <v>灯り火の麗人</v>
      </c>
      <c r="D6" s="84" t="str">
        <f ca="1">VLOOKUP($B6,OFFSET([2]quests!$A$1,0,0,COUNTA([2]quests!$A:$A),MATCH(D$1,[2]quests!$1:$1,0)-MATCH($B$1,[2]quests!$1:$1,0)+1),MATCH(D$1,[2]quests!$1:$1,0)-MATCH($B$1,[2]quests!$1:$1,0)+1,FALSE)</f>
        <v>フランス革命シリーズ超級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【中級】灯り火の麗人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フランス革命シリーズ超級</v>
      </c>
      <c r="H6" s="86">
        <v>0</v>
      </c>
      <c r="I6">
        <v>9</v>
      </c>
      <c r="J6" s="85" t="s">
        <v>198</v>
      </c>
      <c r="K6" s="94" t="str">
        <f>VLOOKUP(I6,[7]stage_hints!$A:$C,3,FALSE)</f>
        <v>ゴールドダックでビットを獲得</v>
      </c>
      <c r="L6" s="95" t="str">
        <f>VLOOKUP(I6,[7]stage_hints!$A:$D,4,FALSE)</f>
        <v>「ゴールドなアヒル」を売却すると_x000D_大量のビットがもらえます</v>
      </c>
      <c r="M6" s="57" t="s">
        <v>211</v>
      </c>
    </row>
    <row r="7" spans="1:13" x14ac:dyDescent="0.15">
      <c r="A7" s="82" t="s">
        <v>201</v>
      </c>
      <c r="B7" s="83">
        <f>floors!$C$2</f>
        <v>30037</v>
      </c>
      <c r="C7" s="84" t="str">
        <f ca="1">VLOOKUP($B7,OFFSET([2]quests!$A$1,0,0,COUNTA([2]quests!$A:$A),MATCH(C$1,[2]quests!$1:$1,0)-MATCH($B$1,[2]quests!$1:$1,0)+1),MATCH(C$1,[2]quests!$1:$1,0)-MATCH($B$1,[2]quests!$1:$1,0)+1,FALSE)</f>
        <v>灯り火の麗人</v>
      </c>
      <c r="D7" s="84" t="str">
        <f ca="1">VLOOKUP($B7,OFFSET([2]quests!$A$1,0,0,COUNTA([2]quests!$A:$A),MATCH(D$1,[2]quests!$1:$1,0)-MATCH($B$1,[2]quests!$1:$1,0)+1),MATCH(D$1,[2]quests!$1:$1,0)-MATCH($B$1,[2]quests!$1:$1,0)+1,FALSE)</f>
        <v>フランス革命シリーズ超級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【中級】灯り火の麗人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フランス革命シリーズ超級</v>
      </c>
      <c r="H7" s="86">
        <v>0</v>
      </c>
      <c r="I7">
        <v>10</v>
      </c>
      <c r="J7" s="85" t="s">
        <v>198</v>
      </c>
      <c r="K7" s="94" t="str">
        <f>VLOOKUP(I7,[7]stage_hints!$A:$C,3,FALSE)</f>
        <v>土日に大量のビットを獲得</v>
      </c>
      <c r="L7" s="95" t="str">
        <f>VLOOKUP(I7,[7]stage_hints!$A:$D,4,FALSE)</f>
        <v>土日限定の「ゴールドカジノ」では_x000D_売却素材ユニットが多く手に入ります</v>
      </c>
      <c r="M7" s="57" t="s">
        <v>211</v>
      </c>
    </row>
    <row r="8" spans="1:13" x14ac:dyDescent="0.15">
      <c r="A8" s="82" t="s">
        <v>201</v>
      </c>
      <c r="B8" s="83">
        <f>floors!$C$2</f>
        <v>30037</v>
      </c>
      <c r="C8" s="84" t="str">
        <f ca="1">VLOOKUP($B8,OFFSET([2]quests!$A$1,0,0,COUNTA([2]quests!$A:$A),MATCH(C$1,[2]quests!$1:$1,0)-MATCH($B$1,[2]quests!$1:$1,0)+1),MATCH(C$1,[2]quests!$1:$1,0)-MATCH($B$1,[2]quests!$1:$1,0)+1,FALSE)</f>
        <v>灯り火の麗人</v>
      </c>
      <c r="D8" s="84" t="str">
        <f ca="1">VLOOKUP($B8,OFFSET([2]quests!$A$1,0,0,COUNTA([2]quests!$A:$A),MATCH(D$1,[2]quests!$1:$1,0)-MATCH($B$1,[2]quests!$1:$1,0)+1),MATCH(D$1,[2]quests!$1:$1,0)-MATCH($B$1,[2]quests!$1:$1,0)+1,FALSE)</f>
        <v>フランス革命シリーズ超級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【中級】灯り火の麗人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フランス革命シリーズ超級</v>
      </c>
      <c r="H8" s="86">
        <v>0</v>
      </c>
      <c r="I8">
        <v>11</v>
      </c>
      <c r="J8" s="85" t="s">
        <v>198</v>
      </c>
      <c r="K8" s="94" t="str">
        <f>VLOOKUP(I8,[7]stage_hints!$A:$C,3,FALSE)</f>
        <v>ランク解放クエスト</v>
      </c>
      <c r="L8" s="95" t="str">
        <f>VLOOKUP(I8,[7]stage_hints!$A:$D,4,FALSE)</f>
        <v>一定ランクに到達すると_x000D_報酬付きのランク開放クエストが現れます</v>
      </c>
      <c r="M8" s="57" t="s">
        <v>211</v>
      </c>
    </row>
    <row r="9" spans="1:13" x14ac:dyDescent="0.15">
      <c r="A9" s="82" t="s">
        <v>201</v>
      </c>
      <c r="B9" s="83">
        <f>floors!$C$2</f>
        <v>30037</v>
      </c>
      <c r="C9" s="84" t="str">
        <f ca="1">VLOOKUP($B9,OFFSET([2]quests!$A$1,0,0,COUNTA([2]quests!$A:$A),MATCH(C$1,[2]quests!$1:$1,0)-MATCH($B$1,[2]quests!$1:$1,0)+1),MATCH(C$1,[2]quests!$1:$1,0)-MATCH($B$1,[2]quests!$1:$1,0)+1,FALSE)</f>
        <v>灯り火の麗人</v>
      </c>
      <c r="D9" s="84" t="str">
        <f ca="1">VLOOKUP($B9,OFFSET([2]quests!$A$1,0,0,COUNTA([2]quests!$A:$A),MATCH(D$1,[2]quests!$1:$1,0)-MATCH($B$1,[2]quests!$1:$1,0)+1),MATCH(D$1,[2]quests!$1:$1,0)-MATCH($B$1,[2]quests!$1:$1,0)+1,FALSE)</f>
        <v>フランス革命シリーズ超級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【中級】灯り火の麗人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フランス革命シリーズ超級</v>
      </c>
      <c r="H9" s="86">
        <v>0</v>
      </c>
      <c r="I9">
        <v>12</v>
      </c>
      <c r="J9" s="85" t="s">
        <v>198</v>
      </c>
      <c r="K9" s="94" t="str">
        <f>VLOOKUP(I9,[7]stage_hints!$A:$C,3,FALSE)</f>
        <v>ユニットのお気に入り登録</v>
      </c>
      <c r="L9" s="95" t="str">
        <f>VLOOKUP(I9,[7]stage_hints!$A:$D,4,FALSE)</f>
        <v>大事なユニットを誤って消さないように_x000D_フォルダから「お気に入り登録」しましょう</v>
      </c>
      <c r="M9" s="57" t="s">
        <v>211</v>
      </c>
    </row>
    <row r="10" spans="1:13" x14ac:dyDescent="0.15">
      <c r="A10" s="82" t="s">
        <v>201</v>
      </c>
      <c r="B10" s="83">
        <f>floors!$C$2</f>
        <v>30037</v>
      </c>
      <c r="C10" s="84" t="str">
        <f ca="1">VLOOKUP($B10,OFFSET([2]quests!$A$1,0,0,COUNTA([2]quests!$A:$A),MATCH(C$1,[2]quests!$1:$1,0)-MATCH($B$1,[2]quests!$1:$1,0)+1),MATCH(C$1,[2]quests!$1:$1,0)-MATCH($B$1,[2]quests!$1:$1,0)+1,FALSE)</f>
        <v>灯り火の麗人</v>
      </c>
      <c r="D10" s="84" t="str">
        <f ca="1">VLOOKUP($B10,OFFSET([2]quests!$A$1,0,0,COUNTA([2]quests!$A:$A),MATCH(D$1,[2]quests!$1:$1,0)-MATCH($B$1,[2]quests!$1:$1,0)+1),MATCH(D$1,[2]quests!$1:$1,0)-MATCH($B$1,[2]quests!$1:$1,0)+1,FALSE)</f>
        <v>フランス革命シリーズ超級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【中級】灯り火の麗人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フランス革命シリーズ超級</v>
      </c>
      <c r="H10" s="86">
        <v>0</v>
      </c>
      <c r="I10">
        <v>13</v>
      </c>
      <c r="J10" s="85" t="s">
        <v>198</v>
      </c>
      <c r="K10" s="94" t="str">
        <f>VLOOKUP(I10,[7]stage_hints!$A:$C,3,FALSE)</f>
        <v>ユニットの覚醒</v>
      </c>
      <c r="L10" s="95" t="str">
        <f>VLOOKUP(I10,[7]stage_hints!$A:$D,4,FALSE)</f>
        <v>ユニットを覚醒させると_x000D_比べものにならない強さが手に入ります</v>
      </c>
      <c r="M10" s="57" t="s">
        <v>211</v>
      </c>
    </row>
    <row r="11" spans="1:13" x14ac:dyDescent="0.15">
      <c r="A11" s="82" t="s">
        <v>201</v>
      </c>
      <c r="B11" s="83">
        <f>floors!$C$2</f>
        <v>30037</v>
      </c>
      <c r="C11" s="84" t="str">
        <f ca="1">VLOOKUP($B11,OFFSET([2]quests!$A$1,0,0,COUNTA([2]quests!$A:$A),MATCH(C$1,[2]quests!$1:$1,0)-MATCH($B$1,[2]quests!$1:$1,0)+1),MATCH(C$1,[2]quests!$1:$1,0)-MATCH($B$1,[2]quests!$1:$1,0)+1,FALSE)</f>
        <v>灯り火の麗人</v>
      </c>
      <c r="D11" s="84" t="str">
        <f ca="1">VLOOKUP($B11,OFFSET([2]quests!$A$1,0,0,COUNTA([2]quests!$A:$A),MATCH(D$1,[2]quests!$1:$1,0)-MATCH($B$1,[2]quests!$1:$1,0)+1),MATCH(D$1,[2]quests!$1:$1,0)-MATCH($B$1,[2]quests!$1:$1,0)+1,FALSE)</f>
        <v>フランス革命シリーズ超級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【中級】灯り火の麗人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フランス革命シリーズ超級</v>
      </c>
      <c r="H11" s="86">
        <v>0</v>
      </c>
      <c r="I11">
        <v>14</v>
      </c>
      <c r="J11" s="85" t="s">
        <v>198</v>
      </c>
      <c r="K11" s="94" t="str">
        <f>VLOOKUP(I11,[7]stage_hints!$A:$C,3,FALSE)</f>
        <v>覚醒するにはレベルを最大に</v>
      </c>
      <c r="L11" s="95" t="str">
        <f>VLOOKUP(I11,[7]stage_hints!$A:$D,4,FALSE)</f>
        <v>覚醒するにはユニットのレベルを_x000D_最大まで上げる必要があります</v>
      </c>
      <c r="M11" s="57" t="s">
        <v>211</v>
      </c>
    </row>
    <row r="12" spans="1:13" x14ac:dyDescent="0.15">
      <c r="A12" s="82" t="s">
        <v>201</v>
      </c>
      <c r="B12" s="83">
        <f>floors!$C$2</f>
        <v>30037</v>
      </c>
      <c r="C12" s="84" t="str">
        <f ca="1">VLOOKUP($B12,OFFSET([2]quests!$A$1,0,0,COUNTA([2]quests!$A:$A),MATCH(C$1,[2]quests!$1:$1,0)-MATCH($B$1,[2]quests!$1:$1,0)+1),MATCH(C$1,[2]quests!$1:$1,0)-MATCH($B$1,[2]quests!$1:$1,0)+1,FALSE)</f>
        <v>灯り火の麗人</v>
      </c>
      <c r="D12" s="84" t="str">
        <f ca="1">VLOOKUP($B12,OFFSET([2]quests!$A$1,0,0,COUNTA([2]quests!$A:$A),MATCH(D$1,[2]quests!$1:$1,0)-MATCH($B$1,[2]quests!$1:$1,0)+1),MATCH(D$1,[2]quests!$1:$1,0)-MATCH($B$1,[2]quests!$1:$1,0)+1,FALSE)</f>
        <v>フランス革命シリーズ超級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【中級】灯り火の麗人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フランス革命シリーズ超級</v>
      </c>
      <c r="H12" s="86">
        <v>0</v>
      </c>
      <c r="I12">
        <v>15</v>
      </c>
      <c r="J12" s="85" t="s">
        <v>198</v>
      </c>
      <c r="K12" s="94" t="str">
        <f>VLOOKUP(I12,[7]stage_hints!$A:$C,3,FALSE)</f>
        <v>覚醒素材を獲得</v>
      </c>
      <c r="L12" s="95" t="str">
        <f>VLOOKUP(I12,[7]stage_hints!$A:$D,4,FALSE)</f>
        <v>「曜日クエスト」では_x000D_ユニットの覚醒に必要な素材が手に入ります</v>
      </c>
      <c r="M12" s="57" t="s">
        <v>211</v>
      </c>
    </row>
    <row r="13" spans="1:13" x14ac:dyDescent="0.15">
      <c r="A13" s="82" t="s">
        <v>201</v>
      </c>
      <c r="B13" s="83">
        <f>floors!$C$2</f>
        <v>30037</v>
      </c>
      <c r="C13" s="84" t="str">
        <f ca="1">VLOOKUP($B13,OFFSET([2]quests!$A$1,0,0,COUNTA([2]quests!$A:$A),MATCH(C$1,[2]quests!$1:$1,0)-MATCH($B$1,[2]quests!$1:$1,0)+1),MATCH(C$1,[2]quests!$1:$1,0)-MATCH($B$1,[2]quests!$1:$1,0)+1,FALSE)</f>
        <v>灯り火の麗人</v>
      </c>
      <c r="D13" s="84" t="str">
        <f ca="1">VLOOKUP($B13,OFFSET([2]quests!$A$1,0,0,COUNTA([2]quests!$A:$A),MATCH(D$1,[2]quests!$1:$1,0)-MATCH($B$1,[2]quests!$1:$1,0)+1),MATCH(D$1,[2]quests!$1:$1,0)-MATCH($B$1,[2]quests!$1:$1,0)+1,FALSE)</f>
        <v>フランス革命シリーズ超級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【中級】灯り火の麗人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フランス革命シリーズ超級</v>
      </c>
      <c r="H13" s="86">
        <v>0</v>
      </c>
      <c r="I13">
        <v>16</v>
      </c>
      <c r="J13" s="85" t="s">
        <v>198</v>
      </c>
      <c r="K13" s="94" t="str">
        <f>VLOOKUP(I13,[7]stage_hints!$A:$C,3,FALSE)</f>
        <v>マルチプレイのメリット（その1）</v>
      </c>
      <c r="L13" s="95" t="str">
        <f>VLOOKUP(I13,[7]stage_hints!$A:$D,4,FALSE)</f>
        <v>他のプレイヤーとマルチプレイで遊ぶと_x000D_ポリゴンがもらえます（100人まで）</v>
      </c>
      <c r="M13" s="57" t="s">
        <v>211</v>
      </c>
    </row>
    <row r="14" spans="1:13" x14ac:dyDescent="0.15">
      <c r="A14" s="82" t="s">
        <v>201</v>
      </c>
      <c r="B14" s="83">
        <f>floors!$C$2</f>
        <v>30037</v>
      </c>
      <c r="C14" s="84" t="str">
        <f ca="1">VLOOKUP($B14,OFFSET([2]quests!$A$1,0,0,COUNTA([2]quests!$A:$A),MATCH(C$1,[2]quests!$1:$1,0)-MATCH($B$1,[2]quests!$1:$1,0)+1),MATCH(C$1,[2]quests!$1:$1,0)-MATCH($B$1,[2]quests!$1:$1,0)+1,FALSE)</f>
        <v>灯り火の麗人</v>
      </c>
      <c r="D14" s="84" t="str">
        <f ca="1">VLOOKUP($B14,OFFSET([2]quests!$A$1,0,0,COUNTA([2]quests!$A:$A),MATCH(D$1,[2]quests!$1:$1,0)-MATCH($B$1,[2]quests!$1:$1,0)+1),MATCH(D$1,[2]quests!$1:$1,0)-MATCH($B$1,[2]quests!$1:$1,0)+1,FALSE)</f>
        <v>フランス革命シリーズ超級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【中級】灯り火の麗人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フランス革命シリーズ超級</v>
      </c>
      <c r="H14" s="86">
        <v>0</v>
      </c>
      <c r="I14">
        <v>17</v>
      </c>
      <c r="J14" s="85" t="s">
        <v>198</v>
      </c>
      <c r="K14" s="94" t="str">
        <f>VLOOKUP(I14,[7]stage_hints!$A:$C,3,FALSE)</f>
        <v>リンクガチャ</v>
      </c>
      <c r="L14" s="95" t="str">
        <f>VLOOKUP(I14,[7]stage_hints!$A:$D,4,FALSE)</f>
        <v>無料のリンクガチャを回して_x000D_経験値素材や売却素材を獲得しましょう</v>
      </c>
      <c r="M14" s="57" t="s">
        <v>211</v>
      </c>
    </row>
    <row r="15" spans="1:13" x14ac:dyDescent="0.15">
      <c r="A15" s="82" t="s">
        <v>201</v>
      </c>
      <c r="B15" s="83">
        <f>floors!$C$2</f>
        <v>30037</v>
      </c>
      <c r="C15" s="84" t="str">
        <f ca="1">VLOOKUP($B15,OFFSET([2]quests!$A$1,0,0,COUNTA([2]quests!$A:$A),MATCH(C$1,[2]quests!$1:$1,0)-MATCH($B$1,[2]quests!$1:$1,0)+1),MATCH(C$1,[2]quests!$1:$1,0)-MATCH($B$1,[2]quests!$1:$1,0)+1,FALSE)</f>
        <v>灯り火の麗人</v>
      </c>
      <c r="D15" s="84" t="str">
        <f ca="1">VLOOKUP($B15,OFFSET([2]quests!$A$1,0,0,COUNTA([2]quests!$A:$A),MATCH(D$1,[2]quests!$1:$1,0)-MATCH($B$1,[2]quests!$1:$1,0)+1),MATCH(D$1,[2]quests!$1:$1,0)-MATCH($B$1,[2]quests!$1:$1,0)+1,FALSE)</f>
        <v>フランス革命シリーズ超級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【中級】灯り火の麗人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フランス革命シリーズ超級</v>
      </c>
      <c r="H15" s="86">
        <v>0</v>
      </c>
      <c r="I15">
        <v>18</v>
      </c>
      <c r="J15" s="85" t="s">
        <v>198</v>
      </c>
      <c r="K15" s="94" t="str">
        <f>VLOOKUP(I15,[7]stage_hints!$A:$C,3,FALSE)</f>
        <v>マルチプレイのメリット（その2）</v>
      </c>
      <c r="L15" s="95" t="str">
        <f>VLOOKUP(I15,[7]stage_hints!$A:$D,4,FALSE)</f>
        <v>マルチプレイならリンクが2倍もらえます_x000D_リンクガチャをたくさん回しましょう</v>
      </c>
      <c r="M15" s="57" t="s">
        <v>211</v>
      </c>
    </row>
    <row r="16" spans="1:13" x14ac:dyDescent="0.15">
      <c r="A16" s="82" t="s">
        <v>201</v>
      </c>
      <c r="B16" s="83">
        <f>floors!$C$2</f>
        <v>30037</v>
      </c>
      <c r="C16" s="84" t="str">
        <f ca="1">VLOOKUP($B16,OFFSET([2]quests!$A$1,0,0,COUNTA([2]quests!$A:$A),MATCH(C$1,[2]quests!$1:$1,0)-MATCH($B$1,[2]quests!$1:$1,0)+1),MATCH(C$1,[2]quests!$1:$1,0)-MATCH($B$1,[2]quests!$1:$1,0)+1,FALSE)</f>
        <v>灯り火の麗人</v>
      </c>
      <c r="D16" s="84" t="str">
        <f ca="1">VLOOKUP($B16,OFFSET([2]quests!$A$1,0,0,COUNTA([2]quests!$A:$A),MATCH(D$1,[2]quests!$1:$1,0)-MATCH($B$1,[2]quests!$1:$1,0)+1),MATCH(D$1,[2]quests!$1:$1,0)-MATCH($B$1,[2]quests!$1:$1,0)+1,FALSE)</f>
        <v>フランス革命シリーズ超級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【中級】灯り火の麗人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フランス革命シリーズ超級</v>
      </c>
      <c r="H16" s="86">
        <v>0</v>
      </c>
      <c r="I16">
        <v>19</v>
      </c>
      <c r="J16" s="85" t="s">
        <v>198</v>
      </c>
      <c r="K16" s="94" t="str">
        <f>VLOOKUP(I16,[7]stage_hints!$A:$C,3,FALSE)</f>
        <v>ソロ専用タワーオブザクイーン</v>
      </c>
      <c r="L16" s="95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211</v>
      </c>
    </row>
    <row r="17" spans="1:13" x14ac:dyDescent="0.15">
      <c r="A17" s="82" t="s">
        <v>201</v>
      </c>
      <c r="B17" s="83">
        <f>floors!$C$2</f>
        <v>30037</v>
      </c>
      <c r="C17" s="84" t="str">
        <f ca="1">VLOOKUP($B17,OFFSET([2]quests!$A$1,0,0,COUNTA([2]quests!$A:$A),MATCH(C$1,[2]quests!$1:$1,0)-MATCH($B$1,[2]quests!$1:$1,0)+1),MATCH(C$1,[2]quests!$1:$1,0)-MATCH($B$1,[2]quests!$1:$1,0)+1,FALSE)</f>
        <v>灯り火の麗人</v>
      </c>
      <c r="D17" s="84" t="str">
        <f ca="1">VLOOKUP($B17,OFFSET([2]quests!$A$1,0,0,COUNTA([2]quests!$A:$A),MATCH(D$1,[2]quests!$1:$1,0)-MATCH($B$1,[2]quests!$1:$1,0)+1),MATCH(D$1,[2]quests!$1:$1,0)-MATCH($B$1,[2]quests!$1:$1,0)+1,FALSE)</f>
        <v>フランス革命シリーズ超級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【中級】灯り火の麗人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フランス革命シリーズ超級</v>
      </c>
      <c r="H17" s="86">
        <v>0</v>
      </c>
      <c r="I17">
        <v>20</v>
      </c>
      <c r="J17" s="85" t="s">
        <v>198</v>
      </c>
      <c r="K17" s="94" t="str">
        <f>VLOOKUP(I17,[7]stage_hints!$A:$C,3,FALSE)</f>
        <v>マルチプレイのメリット（その3）</v>
      </c>
      <c r="L17" s="95" t="str">
        <f>VLOOKUP(I17,[7]stage_hints!$A:$D,4,FALSE)</f>
        <v>マルチプレイへの参加はエナジー消費ゼロ_x000D_いつでも好きなだけ遊ぶことができます</v>
      </c>
      <c r="M17" s="57" t="s">
        <v>211</v>
      </c>
    </row>
    <row r="18" spans="1:13" x14ac:dyDescent="0.15">
      <c r="A18" s="82" t="s">
        <v>201</v>
      </c>
      <c r="B18" s="83">
        <f>floors!$C$2</f>
        <v>30037</v>
      </c>
      <c r="C18" s="84" t="str">
        <f ca="1">VLOOKUP($B18,OFFSET([2]quests!$A$1,0,0,COUNTA([2]quests!$A:$A),MATCH(C$1,[2]quests!$1:$1,0)-MATCH($B$1,[2]quests!$1:$1,0)+1),MATCH(C$1,[2]quests!$1:$1,0)-MATCH($B$1,[2]quests!$1:$1,0)+1,FALSE)</f>
        <v>灯り火の麗人</v>
      </c>
      <c r="D18" s="84" t="str">
        <f ca="1">VLOOKUP($B18,OFFSET([2]quests!$A$1,0,0,COUNTA([2]quests!$A:$A),MATCH(D$1,[2]quests!$1:$1,0)-MATCH($B$1,[2]quests!$1:$1,0)+1),MATCH(D$1,[2]quests!$1:$1,0)-MATCH($B$1,[2]quests!$1:$1,0)+1,FALSE)</f>
        <v>フランス革命シリーズ超級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【中級】灯り火の麗人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フランス革命シリーズ超級</v>
      </c>
      <c r="H18" s="86">
        <v>0</v>
      </c>
      <c r="I18">
        <v>21</v>
      </c>
      <c r="J18" s="85" t="s">
        <v>198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211</v>
      </c>
    </row>
    <row r="19" spans="1:13" x14ac:dyDescent="0.15">
      <c r="A19" s="82" t="s">
        <v>201</v>
      </c>
      <c r="B19" s="83">
        <f>floors!$C$2</f>
        <v>30037</v>
      </c>
      <c r="C19" s="84" t="str">
        <f ca="1">VLOOKUP($B19,OFFSET([2]quests!$A$1,0,0,COUNTA([2]quests!$A:$A),MATCH(C$1,[2]quests!$1:$1,0)-MATCH($B$1,[2]quests!$1:$1,0)+1),MATCH(C$1,[2]quests!$1:$1,0)-MATCH($B$1,[2]quests!$1:$1,0)+1,FALSE)</f>
        <v>灯り火の麗人</v>
      </c>
      <c r="D19" s="84" t="str">
        <f ca="1">VLOOKUP($B19,OFFSET([2]quests!$A$1,0,0,COUNTA([2]quests!$A:$A),MATCH(D$1,[2]quests!$1:$1,0)-MATCH($B$1,[2]quests!$1:$1,0)+1),MATCH(D$1,[2]quests!$1:$1,0)-MATCH($B$1,[2]quests!$1:$1,0)+1,FALSE)</f>
        <v>フランス革命シリーズ超級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【中級】灯り火の麗人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フランス革命シリーズ超級</v>
      </c>
      <c r="H19" s="86">
        <v>0</v>
      </c>
      <c r="I19">
        <v>22</v>
      </c>
      <c r="J19" s="85" t="s">
        <v>198</v>
      </c>
      <c r="K19" s="94" t="str">
        <f>VLOOKUP(I19,[7]stage_hints!$A:$C,3,FALSE)</f>
        <v>フィーバーで一発逆転（その1）</v>
      </c>
      <c r="L19" s="95" t="str">
        <f>VLOOKUP(I19,[7]stage_hints!$A:$D,4,FALSE)</f>
        <v>フィーバーは攻撃と回復を兼ね備えます_x000D_ピンチからの一発逆転を狙いましょう</v>
      </c>
      <c r="M19" s="57" t="s">
        <v>211</v>
      </c>
    </row>
    <row r="20" spans="1:13" x14ac:dyDescent="0.15">
      <c r="A20" s="82" t="s">
        <v>201</v>
      </c>
      <c r="B20" s="83">
        <f>floors!$C$2</f>
        <v>30037</v>
      </c>
      <c r="C20" s="84" t="str">
        <f ca="1">VLOOKUP($B20,OFFSET([2]quests!$A$1,0,0,COUNTA([2]quests!$A:$A),MATCH(C$1,[2]quests!$1:$1,0)-MATCH($B$1,[2]quests!$1:$1,0)+1),MATCH(C$1,[2]quests!$1:$1,0)-MATCH($B$1,[2]quests!$1:$1,0)+1,FALSE)</f>
        <v>灯り火の麗人</v>
      </c>
      <c r="D20" s="84" t="str">
        <f ca="1">VLOOKUP($B20,OFFSET([2]quests!$A$1,0,0,COUNTA([2]quests!$A:$A),MATCH(D$1,[2]quests!$1:$1,0)-MATCH($B$1,[2]quests!$1:$1,0)+1),MATCH(D$1,[2]quests!$1:$1,0)-MATCH($B$1,[2]quests!$1:$1,0)+1,FALSE)</f>
        <v>フランス革命シリーズ超級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【中級】灯り火の麗人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フランス革命シリーズ超級</v>
      </c>
      <c r="H20" s="86">
        <v>0</v>
      </c>
      <c r="I20">
        <v>23</v>
      </c>
      <c r="J20" s="85" t="s">
        <v>198</v>
      </c>
      <c r="K20" s="94" t="str">
        <f>VLOOKUP(I20,[7]stage_hints!$A:$C,3,FALSE)</f>
        <v>フィーバーで一発逆転（その2）</v>
      </c>
      <c r="L20" s="95" t="str">
        <f>VLOOKUP(I20,[7]stage_hints!$A:$D,4,FALSE)</f>
        <v>フィーバー中は虹色のボムパネルを狙って_x000D_画面上のパネルを一気に破壊しましょう</v>
      </c>
      <c r="M20" s="57" t="s">
        <v>211</v>
      </c>
    </row>
    <row r="21" spans="1:13" x14ac:dyDescent="0.15">
      <c r="A21" s="82" t="s">
        <v>201</v>
      </c>
      <c r="B21" s="83">
        <f>floors!$C$2</f>
        <v>30037</v>
      </c>
      <c r="C21" s="84" t="str">
        <f ca="1">VLOOKUP($B21,OFFSET([2]quests!$A$1,0,0,COUNTA([2]quests!$A:$A),MATCH(C$1,[2]quests!$1:$1,0)-MATCH($B$1,[2]quests!$1:$1,0)+1),MATCH(C$1,[2]quests!$1:$1,0)-MATCH($B$1,[2]quests!$1:$1,0)+1,FALSE)</f>
        <v>灯り火の麗人</v>
      </c>
      <c r="D21" s="84" t="str">
        <f ca="1">VLOOKUP($B21,OFFSET([2]quests!$A$1,0,0,COUNTA([2]quests!$A:$A),MATCH(D$1,[2]quests!$1:$1,0)-MATCH($B$1,[2]quests!$1:$1,0)+1),MATCH(D$1,[2]quests!$1:$1,0)-MATCH($B$1,[2]quests!$1:$1,0)+1,FALSE)</f>
        <v>フランス革命シリーズ超級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【中級】灯り火の麗人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フランス革命シリーズ超級</v>
      </c>
      <c r="H21" s="86">
        <v>0</v>
      </c>
      <c r="I21">
        <v>24</v>
      </c>
      <c r="J21" s="85" t="s">
        <v>198</v>
      </c>
      <c r="K21" s="94" t="str">
        <f>VLOOKUP(I21,[7]stage_hints!$A:$C,3,FALSE)</f>
        <v>果実を使って限界突破</v>
      </c>
      <c r="L21" s="95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211</v>
      </c>
    </row>
    <row r="22" spans="1:13" x14ac:dyDescent="0.15">
      <c r="A22" s="82" t="s">
        <v>201</v>
      </c>
      <c r="B22" s="83">
        <f>floors!$C$2</f>
        <v>30037</v>
      </c>
      <c r="C22" s="84" t="str">
        <f ca="1">VLOOKUP($B22,OFFSET([2]quests!$A$1,0,0,COUNTA([2]quests!$A:$A),MATCH(C$1,[2]quests!$1:$1,0)-MATCH($B$1,[2]quests!$1:$1,0)+1),MATCH(C$1,[2]quests!$1:$1,0)-MATCH($B$1,[2]quests!$1:$1,0)+1,FALSE)</f>
        <v>灯り火の麗人</v>
      </c>
      <c r="D22" s="84" t="str">
        <f ca="1">VLOOKUP($B22,OFFSET([2]quests!$A$1,0,0,COUNTA([2]quests!$A:$A),MATCH(D$1,[2]quests!$1:$1,0)-MATCH($B$1,[2]quests!$1:$1,0)+1),MATCH(D$1,[2]quests!$1:$1,0)-MATCH($B$1,[2]quests!$1:$1,0)+1,FALSE)</f>
        <v>フランス革命シリーズ超級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【中級】灯り火の麗人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フランス革命シリーズ超級</v>
      </c>
      <c r="H22" s="86">
        <v>0</v>
      </c>
      <c r="I22">
        <v>25</v>
      </c>
      <c r="J22" s="85" t="s">
        <v>198</v>
      </c>
      <c r="K22" s="94" t="str">
        <f>VLOOKUP(I22,[7]stage_hints!$A:$C,3,FALSE)</f>
        <v>スキルレベルアップ</v>
      </c>
      <c r="L22" s="95" t="str">
        <f>VLOOKUP(I22,[7]stage_hints!$A:$D,4,FALSE)</f>
        <v>「秘術の果実」を強化に使うと_x000D_スキルレベルを上げることができます</v>
      </c>
      <c r="M22" s="57" t="s">
        <v>211</v>
      </c>
    </row>
    <row r="23" spans="1:13" x14ac:dyDescent="0.15">
      <c r="A23" s="82" t="s">
        <v>201</v>
      </c>
      <c r="B23" s="83">
        <f>floors!$C$2</f>
        <v>30037</v>
      </c>
      <c r="C23" s="84" t="str">
        <f ca="1">VLOOKUP($B23,OFFSET([2]quests!$A$1,0,0,COUNTA([2]quests!$A:$A),MATCH(C$1,[2]quests!$1:$1,0)-MATCH($B$1,[2]quests!$1:$1,0)+1),MATCH(C$1,[2]quests!$1:$1,0)-MATCH($B$1,[2]quests!$1:$1,0)+1,FALSE)</f>
        <v>灯り火の麗人</v>
      </c>
      <c r="D23" s="84" t="str">
        <f ca="1">VLOOKUP($B23,OFFSET([2]quests!$A$1,0,0,COUNTA([2]quests!$A:$A),MATCH(D$1,[2]quests!$1:$1,0)-MATCH($B$1,[2]quests!$1:$1,0)+1),MATCH(D$1,[2]quests!$1:$1,0)-MATCH($B$1,[2]quests!$1:$1,0)+1,FALSE)</f>
        <v>フランス革命シリーズ超級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【中級】灯り火の麗人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フランス革命シリーズ超級</v>
      </c>
      <c r="H23" s="86">
        <v>0</v>
      </c>
      <c r="I23">
        <v>26</v>
      </c>
      <c r="J23" s="85" t="s">
        <v>198</v>
      </c>
      <c r="K23" s="94" t="str">
        <f>VLOOKUP(I23,[7]stage_hints!$A:$C,3,FALSE)</f>
        <v>スキルレベルの効果</v>
      </c>
      <c r="L23" s="95" t="str">
        <f>VLOOKUP(I23,[7]stage_hints!$A:$D,4,FALSE)</f>
        <v>スキルレベルが上がると_x000D_短いターンでスキルを使うことができます</v>
      </c>
      <c r="M23" s="57" t="s">
        <v>211</v>
      </c>
    </row>
    <row r="24" spans="1:13" x14ac:dyDescent="0.15">
      <c r="A24" s="82" t="s">
        <v>201</v>
      </c>
      <c r="B24" s="83">
        <f>floors!$C$2</f>
        <v>30037</v>
      </c>
      <c r="C24" s="84" t="str">
        <f ca="1">VLOOKUP($B24,OFFSET([2]quests!$A$1,0,0,COUNTA([2]quests!$A:$A),MATCH(C$1,[2]quests!$1:$1,0)-MATCH($B$1,[2]quests!$1:$1,0)+1),MATCH(C$1,[2]quests!$1:$1,0)-MATCH($B$1,[2]quests!$1:$1,0)+1,FALSE)</f>
        <v>灯り火の麗人</v>
      </c>
      <c r="D24" s="84" t="str">
        <f ca="1">VLOOKUP($B24,OFFSET([2]quests!$A$1,0,0,COUNTA([2]quests!$A:$A),MATCH(D$1,[2]quests!$1:$1,0)-MATCH($B$1,[2]quests!$1:$1,0)+1),MATCH(D$1,[2]quests!$1:$1,0)-MATCH($B$1,[2]quests!$1:$1,0)+1,FALSE)</f>
        <v>フランス革命シリーズ超級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【中級】灯り火の麗人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フランス革命シリーズ超級</v>
      </c>
      <c r="H24" s="86">
        <v>0</v>
      </c>
      <c r="I24">
        <v>27</v>
      </c>
      <c r="J24" s="85" t="s">
        <v>198</v>
      </c>
      <c r="K24" s="94" t="str">
        <f>VLOOKUP(I24,[7]stage_hints!$A:$C,3,FALSE)</f>
        <v>ホーム画面からデッキを編成</v>
      </c>
      <c r="L24" s="95" t="str">
        <f>VLOOKUP(I24,[7]stage_hints!$A:$D,4,FALSE)</f>
        <v>ホーム画面でユニットを長押しすると_x000D_すぐにパーティ編成に移動できます</v>
      </c>
      <c r="M24" s="57" t="s">
        <v>211</v>
      </c>
    </row>
    <row r="25" spans="1:13" x14ac:dyDescent="0.15">
      <c r="A25" s="82" t="s">
        <v>201</v>
      </c>
      <c r="B25" s="83">
        <f>floors!$C$2</f>
        <v>30037</v>
      </c>
      <c r="C25" s="84" t="str">
        <f ca="1">VLOOKUP($B25,OFFSET([2]quests!$A$1,0,0,COUNTA([2]quests!$A:$A),MATCH(C$1,[2]quests!$1:$1,0)-MATCH($B$1,[2]quests!$1:$1,0)+1),MATCH(C$1,[2]quests!$1:$1,0)-MATCH($B$1,[2]quests!$1:$1,0)+1,FALSE)</f>
        <v>灯り火の麗人</v>
      </c>
      <c r="D25" s="84" t="str">
        <f ca="1">VLOOKUP($B25,OFFSET([2]quests!$A$1,0,0,COUNTA([2]quests!$A:$A),MATCH(D$1,[2]quests!$1:$1,0)-MATCH($B$1,[2]quests!$1:$1,0)+1),MATCH(D$1,[2]quests!$1:$1,0)-MATCH($B$1,[2]quests!$1:$1,0)+1,FALSE)</f>
        <v>フランス革命シリーズ超級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【中級】灯り火の麗人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フランス革命シリーズ超級</v>
      </c>
      <c r="H25" s="86">
        <v>0</v>
      </c>
      <c r="I25">
        <v>28</v>
      </c>
      <c r="J25" s="85" t="s">
        <v>198</v>
      </c>
      <c r="K25" s="94" t="str">
        <f>VLOOKUP(I25,[7]stage_hints!$A:$C,3,FALSE)</f>
        <v>ステータス情報は長押しで</v>
      </c>
      <c r="L25" s="95" t="str">
        <f>VLOOKUP(I25,[7]stage_hints!$A:$D,4,FALSE)</f>
        <v>ユニットのアイコンを長押しすると_x000D_ステータス情報を確認することができます</v>
      </c>
      <c r="M25" s="57" t="s">
        <v>211</v>
      </c>
    </row>
    <row r="26" spans="1:13" x14ac:dyDescent="0.15">
      <c r="A26" s="82" t="s">
        <v>201</v>
      </c>
      <c r="B26" s="83">
        <f>floors!$C$2</f>
        <v>30037</v>
      </c>
      <c r="C26" s="84" t="str">
        <f ca="1">VLOOKUP($B26,OFFSET([2]quests!$A$1,0,0,COUNTA([2]quests!$A:$A),MATCH(C$1,[2]quests!$1:$1,0)-MATCH($B$1,[2]quests!$1:$1,0)+1),MATCH(C$1,[2]quests!$1:$1,0)-MATCH($B$1,[2]quests!$1:$1,0)+1,FALSE)</f>
        <v>灯り火の麗人</v>
      </c>
      <c r="D26" s="84" t="str">
        <f ca="1">VLOOKUP($B26,OFFSET([2]quests!$A$1,0,0,COUNTA([2]quests!$A:$A),MATCH(D$1,[2]quests!$1:$1,0)-MATCH($B$1,[2]quests!$1:$1,0)+1),MATCH(D$1,[2]quests!$1:$1,0)-MATCH($B$1,[2]quests!$1:$1,0)+1,FALSE)</f>
        <v>フランス革命シリーズ超級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【中級】灯り火の麗人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フランス革命シリーズ超級</v>
      </c>
      <c r="H26" s="86">
        <v>0</v>
      </c>
      <c r="I26">
        <v>29</v>
      </c>
      <c r="J26" s="85" t="s">
        <v>198</v>
      </c>
      <c r="K26" s="94" t="str">
        <f>VLOOKUP(I26,[7]stage_hints!$A:$C,3,FALSE)</f>
        <v>「バグ」のメリット</v>
      </c>
      <c r="L26" s="95" t="str">
        <f>VLOOKUP(I26,[7]stage_hints!$A:$D,4,FALSE)</f>
        <v>ユニットの「バグ」を増やすと_x000D_報酬をもらえる確率がアップします</v>
      </c>
      <c r="M26" s="57" t="s">
        <v>211</v>
      </c>
    </row>
    <row r="27" spans="1:13" x14ac:dyDescent="0.15">
      <c r="A27" s="82" t="s">
        <v>201</v>
      </c>
      <c r="B27" s="83">
        <f>floors!$C$2</f>
        <v>30037</v>
      </c>
      <c r="C27" s="84" t="str">
        <f ca="1">VLOOKUP($B27,OFFSET([2]quests!$A$1,0,0,COUNTA([2]quests!$A:$A),MATCH(C$1,[2]quests!$1:$1,0)-MATCH($B$1,[2]quests!$1:$1,0)+1),MATCH(C$1,[2]quests!$1:$1,0)-MATCH($B$1,[2]quests!$1:$1,0)+1,FALSE)</f>
        <v>灯り火の麗人</v>
      </c>
      <c r="D27" s="84" t="str">
        <f ca="1">VLOOKUP($B27,OFFSET([2]quests!$A$1,0,0,COUNTA([2]quests!$A:$A),MATCH(D$1,[2]quests!$1:$1,0)-MATCH($B$1,[2]quests!$1:$1,0)+1),MATCH(D$1,[2]quests!$1:$1,0)-MATCH($B$1,[2]quests!$1:$1,0)+1,FALSE)</f>
        <v>フランス革命シリーズ超級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【中級】灯り火の麗人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フランス革命シリーズ超級</v>
      </c>
      <c r="H27" s="86">
        <v>0</v>
      </c>
      <c r="I27">
        <v>30</v>
      </c>
      <c r="J27" s="85" t="s">
        <v>198</v>
      </c>
      <c r="K27" s="94" t="str">
        <f>VLOOKUP(I27,[7]stage_hints!$A:$C,3,FALSE)</f>
        <v>「バグ」の増やし方</v>
      </c>
      <c r="L27" s="95" t="str">
        <f>VLOOKUP(I27,[7]stage_hints!$A:$D,4,FALSE)</f>
        <v>同じユニット同士を強化で合成すると_x000D_「バグ」を増やすことができます</v>
      </c>
      <c r="M27" s="57" t="s">
        <v>211</v>
      </c>
    </row>
    <row r="28" spans="1:13" x14ac:dyDescent="0.15">
      <c r="A28" s="82" t="s">
        <v>201</v>
      </c>
      <c r="B28" s="83">
        <f>floors!$C$2</f>
        <v>30037</v>
      </c>
      <c r="C28" s="84" t="str">
        <f ca="1">VLOOKUP($B28,OFFSET([2]quests!$A$1,0,0,COUNTA([2]quests!$A:$A),MATCH(C$1,[2]quests!$1:$1,0)-MATCH($B$1,[2]quests!$1:$1,0)+1),MATCH(C$1,[2]quests!$1:$1,0)-MATCH($B$1,[2]quests!$1:$1,0)+1,FALSE)</f>
        <v>灯り火の麗人</v>
      </c>
      <c r="D28" s="84" t="str">
        <f ca="1">VLOOKUP($B28,OFFSET([2]quests!$A$1,0,0,COUNTA([2]quests!$A:$A),MATCH(D$1,[2]quests!$1:$1,0)-MATCH($B$1,[2]quests!$1:$1,0)+1),MATCH(D$1,[2]quests!$1:$1,0)-MATCH($B$1,[2]quests!$1:$1,0)+1,FALSE)</f>
        <v>フランス革命シリーズ超級</v>
      </c>
      <c r="E28" s="88">
        <v>1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【中級】灯り火の麗人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フランス革命シリーズ超級</v>
      </c>
      <c r="H28" s="86">
        <v>0</v>
      </c>
      <c r="I28">
        <v>31</v>
      </c>
      <c r="J28" s="85" t="s">
        <v>198</v>
      </c>
      <c r="K28" s="94" t="str">
        <f>VLOOKUP(I28,[7]stage_hints!$A:$C,3,FALSE)</f>
        <v>イベントはお知らせでチェック</v>
      </c>
      <c r="L28" s="95" t="str">
        <f>VLOOKUP(I28,[7]stage_hints!$A:$D,4,FALSE)</f>
        <v>イベント限定ユニットを取り忘れないように_x000D_お知らせをこまめにチェックしましょう</v>
      </c>
      <c r="M28" s="57" t="s">
        <v>211</v>
      </c>
    </row>
    <row r="29" spans="1:13" x14ac:dyDescent="0.15">
      <c r="A29" s="82" t="s">
        <v>201</v>
      </c>
      <c r="B29" s="83">
        <f>floors!$C$2</f>
        <v>30037</v>
      </c>
      <c r="C29" s="84" t="str">
        <f ca="1">VLOOKUP($B29,OFFSET([2]quests!$A$1,0,0,COUNTA([2]quests!$A:$A),MATCH(C$1,[2]quests!$1:$1,0)-MATCH($B$1,[2]quests!$1:$1,0)+1),MATCH(C$1,[2]quests!$1:$1,0)-MATCH($B$1,[2]quests!$1:$1,0)+1,FALSE)</f>
        <v>灯り火の麗人</v>
      </c>
      <c r="D29" s="84" t="str">
        <f ca="1">VLOOKUP($B29,OFFSET([2]quests!$A$1,0,0,COUNTA([2]quests!$A:$A),MATCH(D$1,[2]quests!$1:$1,0)-MATCH($B$1,[2]quests!$1:$1,0)+1),MATCH(D$1,[2]quests!$1:$1,0)-MATCH($B$1,[2]quests!$1:$1,0)+1,FALSE)</f>
        <v>フランス革命シリーズ超級</v>
      </c>
      <c r="E29" s="88">
        <v>1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【中級】灯り火の麗人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フランス革命シリーズ超級</v>
      </c>
      <c r="H29" s="86">
        <v>0</v>
      </c>
      <c r="I29">
        <v>32</v>
      </c>
      <c r="J29" s="85" t="s">
        <v>198</v>
      </c>
      <c r="K29" s="94" t="str">
        <f>VLOOKUP(I29,[7]stage_hints!$A:$C,3,FALSE)</f>
        <v>敵の連続攻撃には</v>
      </c>
      <c r="L29" s="95" t="str">
        <f>VLOOKUP(I29,[7]stage_hints!$A:$D,4,FALSE)</f>
        <v>カウンタースキルを持つユニットがいれば_x000D_ダメージ回数分の反撃ができます</v>
      </c>
      <c r="M29" s="57" t="s">
        <v>211</v>
      </c>
    </row>
    <row r="30" spans="1:13" x14ac:dyDescent="0.15">
      <c r="A30" s="82" t="s">
        <v>201</v>
      </c>
      <c r="B30" s="83">
        <f>floors!$C$2</f>
        <v>30037</v>
      </c>
      <c r="C30" s="84" t="str">
        <f ca="1">VLOOKUP($B30,OFFSET([2]quests!$A$1,0,0,COUNTA([2]quests!$A:$A),MATCH(C$1,[2]quests!$1:$1,0)-MATCH($B$1,[2]quests!$1:$1,0)+1),MATCH(C$1,[2]quests!$1:$1,0)-MATCH($B$1,[2]quests!$1:$1,0)+1,FALSE)</f>
        <v>灯り火の麗人</v>
      </c>
      <c r="D30" s="84" t="str">
        <f ca="1">VLOOKUP($B30,OFFSET([2]quests!$A$1,0,0,COUNTA([2]quests!$A:$A),MATCH(D$1,[2]quests!$1:$1,0)-MATCH($B$1,[2]quests!$1:$1,0)+1),MATCH(D$1,[2]quests!$1:$1,0)-MATCH($B$1,[2]quests!$1:$1,0)+1,FALSE)</f>
        <v>フランス革命シリーズ超級</v>
      </c>
      <c r="E30" s="88">
        <v>1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【中級】灯り火の麗人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フランス革命シリーズ超級</v>
      </c>
      <c r="H30" s="86">
        <v>0</v>
      </c>
      <c r="I30">
        <v>33</v>
      </c>
      <c r="J30" s="85" t="s">
        <v>198</v>
      </c>
      <c r="K30" s="94" t="str">
        <f>VLOOKUP(I30,[7]stage_hints!$A:$C,3,FALSE)</f>
        <v>敵のカウンター攻撃には</v>
      </c>
      <c r="L30" s="95" t="str">
        <f>VLOOKUP(I30,[7]stage_hints!$A:$D,4,FALSE)</f>
        <v>カウンターブレイクスキルを持っていれば_x000D_敵のカウンターを解除して攻撃ができます</v>
      </c>
      <c r="M30" s="57" t="s">
        <v>211</v>
      </c>
    </row>
    <row r="31" spans="1:13" x14ac:dyDescent="0.15">
      <c r="A31" s="82" t="s">
        <v>201</v>
      </c>
      <c r="B31" s="83">
        <f>floors!$C$2</f>
        <v>30037</v>
      </c>
      <c r="C31" s="84" t="str">
        <f ca="1">VLOOKUP($B31,OFFSET([2]quests!$A$1,0,0,COUNTA([2]quests!$A:$A),MATCH(C$1,[2]quests!$1:$1,0)-MATCH($B$1,[2]quests!$1:$1,0)+1),MATCH(C$1,[2]quests!$1:$1,0)-MATCH($B$1,[2]quests!$1:$1,0)+1,FALSE)</f>
        <v>灯り火の麗人</v>
      </c>
      <c r="D31" s="84" t="str">
        <f ca="1">VLOOKUP($B31,OFFSET([2]quests!$A$1,0,0,COUNTA([2]quests!$A:$A),MATCH(D$1,[2]quests!$1:$1,0)-MATCH($B$1,[2]quests!$1:$1,0)+1),MATCH(D$1,[2]quests!$1:$1,0)-MATCH($B$1,[2]quests!$1:$1,0)+1,FALSE)</f>
        <v>フランス革命シリーズ超級</v>
      </c>
      <c r="E31" s="88">
        <v>1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【中級】灯り火の麗人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フランス革命シリーズ超級</v>
      </c>
      <c r="H31" s="86">
        <v>0</v>
      </c>
      <c r="I31">
        <v>34</v>
      </c>
      <c r="J31" s="85" t="s">
        <v>198</v>
      </c>
      <c r="K31" s="94" t="str">
        <f>VLOOKUP(I31,[7]stage_hints!$A:$C,3,FALSE)</f>
        <v>ステータスをスキルで下げられたら</v>
      </c>
      <c r="L31" s="95" t="str">
        <f>VLOOKUP(I31,[7]stage_hints!$A:$D,4,FALSE)</f>
        <v>ステータスダウンのスキルを受けたら_x000D_ステータスアップスキルで上書きしましょう</v>
      </c>
      <c r="M31" s="57" t="s">
        <v>211</v>
      </c>
    </row>
    <row r="32" spans="1:13" x14ac:dyDescent="0.15">
      <c r="A32" s="82" t="s">
        <v>201</v>
      </c>
      <c r="B32" s="83">
        <f>floors!$C$2</f>
        <v>30037</v>
      </c>
      <c r="C32" s="84" t="str">
        <f ca="1">VLOOKUP($B32,OFFSET([2]quests!$A$1,0,0,COUNTA([2]quests!$A:$A),MATCH(C$1,[2]quests!$1:$1,0)-MATCH($B$1,[2]quests!$1:$1,0)+1),MATCH(C$1,[2]quests!$1:$1,0)-MATCH($B$1,[2]quests!$1:$1,0)+1,FALSE)</f>
        <v>灯り火の麗人</v>
      </c>
      <c r="D32" s="84" t="str">
        <f ca="1">VLOOKUP($B32,OFFSET([2]quests!$A$1,0,0,COUNTA([2]quests!$A:$A),MATCH(D$1,[2]quests!$1:$1,0)-MATCH($B$1,[2]quests!$1:$1,0)+1),MATCH(D$1,[2]quests!$1:$1,0)-MATCH($B$1,[2]quests!$1:$1,0)+1,FALSE)</f>
        <v>フランス革命シリーズ超級</v>
      </c>
      <c r="E32" s="88">
        <v>1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【中級】灯り火の麗人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フランス革命シリーズ超級</v>
      </c>
      <c r="H32" s="86">
        <v>0</v>
      </c>
      <c r="I32">
        <v>35</v>
      </c>
      <c r="J32" s="85" t="s">
        <v>198</v>
      </c>
      <c r="K32" s="94" t="str">
        <f>VLOOKUP(I32,[7]stage_hints!$A:$C,3,FALSE)</f>
        <v>敵のステータスがスキルで上がったら</v>
      </c>
      <c r="L32" s="95" t="str">
        <f>VLOOKUP(I32,[7]stage_hints!$A:$D,4,FALSE)</f>
        <v>敵のステータスがスキルでアップしたときは_x000D_ステータスダウンスキルで上書きしましょう</v>
      </c>
      <c r="M32" s="57" t="s">
        <v>211</v>
      </c>
    </row>
    <row r="33" spans="1:13" x14ac:dyDescent="0.15">
      <c r="A33" s="82" t="s">
        <v>201</v>
      </c>
      <c r="B33" s="83">
        <f>floors!$C$2</f>
        <v>30037</v>
      </c>
      <c r="C33" s="84" t="str">
        <f ca="1">VLOOKUP($B33,OFFSET([2]quests!$A$1,0,0,COUNTA([2]quests!$A:$A),MATCH(C$1,[2]quests!$1:$1,0)-MATCH($B$1,[2]quests!$1:$1,0)+1),MATCH(C$1,[2]quests!$1:$1,0)-MATCH($B$1,[2]quests!$1:$1,0)+1,FALSE)</f>
        <v>灯り火の麗人</v>
      </c>
      <c r="D33" s="84" t="str">
        <f ca="1">VLOOKUP($B33,OFFSET([2]quests!$A$1,0,0,COUNTA([2]quests!$A:$A),MATCH(D$1,[2]quests!$1:$1,0)-MATCH($B$1,[2]quests!$1:$1,0)+1),MATCH(D$1,[2]quests!$1:$1,0)-MATCH($B$1,[2]quests!$1:$1,0)+1,FALSE)</f>
        <v>フランス革命シリーズ超級</v>
      </c>
      <c r="E33" s="88">
        <v>1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【中級】灯り火の麗人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フランス革命シリーズ超級</v>
      </c>
      <c r="H33" s="86">
        <v>0</v>
      </c>
      <c r="I33">
        <v>39</v>
      </c>
      <c r="J33" s="85" t="s">
        <v>198</v>
      </c>
      <c r="K33" s="94" t="str">
        <f>VLOOKUP(I33,[7]stage_hints!$A:$C,3,FALSE)</f>
        <v>システム適合者を確認</v>
      </c>
      <c r="L33" s="95" t="str">
        <f>VLOOKUP(I33,[7]stage_hints!$A:$D,4,FALSE)</f>
        <v>ALICEが 「アナタ」を呼んでいます</v>
      </c>
      <c r="M33" s="57" t="s">
        <v>211</v>
      </c>
    </row>
    <row r="34" spans="1:13" x14ac:dyDescent="0.15">
      <c r="A34" s="82" t="s">
        <v>201</v>
      </c>
      <c r="B34" s="83">
        <f>floors!$C$2</f>
        <v>30037</v>
      </c>
      <c r="C34" s="84" t="str">
        <f ca="1">VLOOKUP($B34,OFFSET([2]quests!$A$1,0,0,COUNTA([2]quests!$A:$A),MATCH(C$1,[2]quests!$1:$1,0)-MATCH($B$1,[2]quests!$1:$1,0)+1),MATCH(C$1,[2]quests!$1:$1,0)-MATCH($B$1,[2]quests!$1:$1,0)+1,FALSE)</f>
        <v>灯り火の麗人</v>
      </c>
      <c r="D34" s="84" t="str">
        <f ca="1">VLOOKUP($B34,OFFSET([2]quests!$A$1,0,0,COUNTA([2]quests!$A:$A),MATCH(D$1,[2]quests!$1:$1,0)-MATCH($B$1,[2]quests!$1:$1,0)+1),MATCH(D$1,[2]quests!$1:$1,0)-MATCH($B$1,[2]quests!$1:$1,0)+1,FALSE)</f>
        <v>フランス革命シリーズ超級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【上級】灯り火の麗人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フランス革命シリーズ超級</v>
      </c>
      <c r="H34" s="86">
        <v>0</v>
      </c>
      <c r="I34" s="97">
        <v>3</v>
      </c>
      <c r="J34" s="85" t="s">
        <v>198</v>
      </c>
      <c r="K34" s="94" t="str">
        <f>VLOOKUP(I34,[7]stage_hints!$A:$C,3,FALSE)</f>
        <v>ターゲット</v>
      </c>
      <c r="L34" s="95" t="str">
        <f>VLOOKUP(I34,[7]stage_hints!$A:$D,4,FALSE)</f>
        <v>敵ユニットをタップすると_x000D_その敵を狙い撃ちできます</v>
      </c>
      <c r="M34" s="57" t="s">
        <v>211</v>
      </c>
    </row>
    <row r="35" spans="1:13" x14ac:dyDescent="0.15">
      <c r="A35" s="82" t="s">
        <v>201</v>
      </c>
      <c r="B35" s="83">
        <f>floors!$C$2</f>
        <v>30037</v>
      </c>
      <c r="C35" s="84" t="str">
        <f ca="1">VLOOKUP($B35,OFFSET([2]quests!$A$1,0,0,COUNTA([2]quests!$A:$A),MATCH(C$1,[2]quests!$1:$1,0)-MATCH($B$1,[2]quests!$1:$1,0)+1),MATCH(C$1,[2]quests!$1:$1,0)-MATCH($B$1,[2]quests!$1:$1,0)+1,FALSE)</f>
        <v>灯り火の麗人</v>
      </c>
      <c r="D35" s="84" t="str">
        <f ca="1">VLOOKUP($B35,OFFSET([2]quests!$A$1,0,0,COUNTA([2]quests!$A:$A),MATCH(D$1,[2]quests!$1:$1,0)-MATCH($B$1,[2]quests!$1:$1,0)+1),MATCH(D$1,[2]quests!$1:$1,0)-MATCH($B$1,[2]quests!$1:$1,0)+1,FALSE)</f>
        <v>フランス革命シリーズ超級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【上級】灯り火の麗人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フランス革命シリーズ超級</v>
      </c>
      <c r="H35" s="86">
        <v>0</v>
      </c>
      <c r="I35" s="97">
        <v>6</v>
      </c>
      <c r="J35" s="85" t="s">
        <v>198</v>
      </c>
      <c r="K35" s="94" t="str">
        <f>VLOOKUP(I35,[7]stage_hints!$A:$C,3,FALSE)</f>
        <v>ユニット強化の属性ボーナス</v>
      </c>
      <c r="L35" s="95" t="str">
        <f>VLOOKUP(I35,[7]stage_hints!$A:$D,4,FALSE)</f>
        <v>同属性ユニットを強化素材にすると_x000D_経験値が多くもらえます</v>
      </c>
      <c r="M35" s="57" t="s">
        <v>211</v>
      </c>
    </row>
    <row r="36" spans="1:13" x14ac:dyDescent="0.15">
      <c r="A36" s="82" t="s">
        <v>201</v>
      </c>
      <c r="B36" s="83">
        <f>floors!$C$2</f>
        <v>30037</v>
      </c>
      <c r="C36" s="84" t="str">
        <f ca="1">VLOOKUP($B36,OFFSET([2]quests!$A$1,0,0,COUNTA([2]quests!$A:$A),MATCH(C$1,[2]quests!$1:$1,0)-MATCH($B$1,[2]quests!$1:$1,0)+1),MATCH(C$1,[2]quests!$1:$1,0)-MATCH($B$1,[2]quests!$1:$1,0)+1,FALSE)</f>
        <v>灯り火の麗人</v>
      </c>
      <c r="D36" s="84" t="str">
        <f ca="1">VLOOKUP($B36,OFFSET([2]quests!$A$1,0,0,COUNTA([2]quests!$A:$A),MATCH(D$1,[2]quests!$1:$1,0)-MATCH($B$1,[2]quests!$1:$1,0)+1),MATCH(D$1,[2]quests!$1:$1,0)-MATCH($B$1,[2]quests!$1:$1,0)+1,FALSE)</f>
        <v>フランス革命シリーズ超級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【上級】灯り火の麗人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フランス革命シリーズ超級</v>
      </c>
      <c r="H36" s="86">
        <v>0</v>
      </c>
      <c r="I36" s="97">
        <v>7</v>
      </c>
      <c r="J36" s="85" t="s">
        <v>198</v>
      </c>
      <c r="K36" s="94" t="str">
        <f>VLOOKUP(I36,[7]stage_hints!$A:$C,3,FALSE)</f>
        <v>メタルダックで経験値を獲得</v>
      </c>
      <c r="L36" s="95" t="str">
        <f>VLOOKUP(I36,[7]stage_hints!$A:$D,4,FALSE)</f>
        <v>「メタルなアヒル」を強化素材にすると_x000D_大量の経験値がもらえます</v>
      </c>
      <c r="M36" s="57" t="s">
        <v>211</v>
      </c>
    </row>
    <row r="37" spans="1:13" x14ac:dyDescent="0.15">
      <c r="A37" s="82" t="s">
        <v>201</v>
      </c>
      <c r="B37" s="83">
        <f>floors!$C$2</f>
        <v>30037</v>
      </c>
      <c r="C37" s="84" t="str">
        <f ca="1">VLOOKUP($B37,OFFSET([2]quests!$A$1,0,0,COUNTA([2]quests!$A:$A),MATCH(C$1,[2]quests!$1:$1,0)-MATCH($B$1,[2]quests!$1:$1,0)+1),MATCH(C$1,[2]quests!$1:$1,0)-MATCH($B$1,[2]quests!$1:$1,0)+1,FALSE)</f>
        <v>灯り火の麗人</v>
      </c>
      <c r="D37" s="84" t="str">
        <f ca="1">VLOOKUP($B37,OFFSET([2]quests!$A$1,0,0,COUNTA([2]quests!$A:$A),MATCH(D$1,[2]quests!$1:$1,0)-MATCH($B$1,[2]quests!$1:$1,0)+1),MATCH(D$1,[2]quests!$1:$1,0)-MATCH($B$1,[2]quests!$1:$1,0)+1,FALSE)</f>
        <v>フランス革命シリーズ超級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【上級】灯り火の麗人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フランス革命シリーズ超級</v>
      </c>
      <c r="H37" s="86">
        <v>0</v>
      </c>
      <c r="I37" s="97">
        <v>8</v>
      </c>
      <c r="J37" s="85" t="s">
        <v>198</v>
      </c>
      <c r="K37" s="94" t="str">
        <f>VLOOKUP(I37,[7]stage_hints!$A:$C,3,FALSE)</f>
        <v>ゲリラクエストは要チェック</v>
      </c>
      <c r="L37" s="95" t="str">
        <f>VLOOKUP(I37,[7]stage_hints!$A:$D,4,FALSE)</f>
        <v>時間限定の「アヒル捕獲作戦」では_x000D_経験値素材ユニットが多く手に入ります</v>
      </c>
      <c r="M37" s="57" t="s">
        <v>211</v>
      </c>
    </row>
    <row r="38" spans="1:13" x14ac:dyDescent="0.15">
      <c r="A38" s="82" t="s">
        <v>201</v>
      </c>
      <c r="B38" s="83">
        <f>floors!$C$2</f>
        <v>30037</v>
      </c>
      <c r="C38" s="84" t="str">
        <f ca="1">VLOOKUP($B38,OFFSET([2]quests!$A$1,0,0,COUNTA([2]quests!$A:$A),MATCH(C$1,[2]quests!$1:$1,0)-MATCH($B$1,[2]quests!$1:$1,0)+1),MATCH(C$1,[2]quests!$1:$1,0)-MATCH($B$1,[2]quests!$1:$1,0)+1,FALSE)</f>
        <v>灯り火の麗人</v>
      </c>
      <c r="D38" s="84" t="str">
        <f ca="1">VLOOKUP($B38,OFFSET([2]quests!$A$1,0,0,COUNTA([2]quests!$A:$A),MATCH(D$1,[2]quests!$1:$1,0)-MATCH($B$1,[2]quests!$1:$1,0)+1),MATCH(D$1,[2]quests!$1:$1,0)-MATCH($B$1,[2]quests!$1:$1,0)+1,FALSE)</f>
        <v>フランス革命シリーズ超級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【上級】灯り火の麗人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フランス革命シリーズ超級</v>
      </c>
      <c r="H38" s="86">
        <v>0</v>
      </c>
      <c r="I38" s="97">
        <v>9</v>
      </c>
      <c r="J38" s="85" t="s">
        <v>198</v>
      </c>
      <c r="K38" s="94" t="str">
        <f>VLOOKUP(I38,[7]stage_hints!$A:$C,3,FALSE)</f>
        <v>ゴールドダックでビットを獲得</v>
      </c>
      <c r="L38" s="95" t="str">
        <f>VLOOKUP(I38,[7]stage_hints!$A:$D,4,FALSE)</f>
        <v>「ゴールドなアヒル」を売却すると_x000D_大量のビットがもらえます</v>
      </c>
      <c r="M38" s="57" t="s">
        <v>211</v>
      </c>
    </row>
    <row r="39" spans="1:13" x14ac:dyDescent="0.15">
      <c r="A39" s="82" t="s">
        <v>201</v>
      </c>
      <c r="B39" s="83">
        <f>floors!$C$2</f>
        <v>30037</v>
      </c>
      <c r="C39" s="84" t="str">
        <f ca="1">VLOOKUP($B39,OFFSET([2]quests!$A$1,0,0,COUNTA([2]quests!$A:$A),MATCH(C$1,[2]quests!$1:$1,0)-MATCH($B$1,[2]quests!$1:$1,0)+1),MATCH(C$1,[2]quests!$1:$1,0)-MATCH($B$1,[2]quests!$1:$1,0)+1,FALSE)</f>
        <v>灯り火の麗人</v>
      </c>
      <c r="D39" s="84" t="str">
        <f ca="1">VLOOKUP($B39,OFFSET([2]quests!$A$1,0,0,COUNTA([2]quests!$A:$A),MATCH(D$1,[2]quests!$1:$1,0)-MATCH($B$1,[2]quests!$1:$1,0)+1),MATCH(D$1,[2]quests!$1:$1,0)-MATCH($B$1,[2]quests!$1:$1,0)+1,FALSE)</f>
        <v>フランス革命シリーズ超級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【上級】灯り火の麗人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フランス革命シリーズ超級</v>
      </c>
      <c r="H39" s="86">
        <v>0</v>
      </c>
      <c r="I39" s="97">
        <v>10</v>
      </c>
      <c r="J39" s="85" t="s">
        <v>198</v>
      </c>
      <c r="K39" s="94" t="str">
        <f>VLOOKUP(I39,[7]stage_hints!$A:$C,3,FALSE)</f>
        <v>土日に大量のビットを獲得</v>
      </c>
      <c r="L39" s="95" t="str">
        <f>VLOOKUP(I39,[7]stage_hints!$A:$D,4,FALSE)</f>
        <v>土日限定の「ゴールドカジノ」では_x000D_売却素材ユニットが多く手に入ります</v>
      </c>
      <c r="M39" s="57" t="s">
        <v>211</v>
      </c>
    </row>
    <row r="40" spans="1:13" x14ac:dyDescent="0.15">
      <c r="A40" s="82" t="s">
        <v>201</v>
      </c>
      <c r="B40" s="83">
        <f>floors!$C$2</f>
        <v>30037</v>
      </c>
      <c r="C40" s="84" t="str">
        <f ca="1">VLOOKUP($B40,OFFSET([2]quests!$A$1,0,0,COUNTA([2]quests!$A:$A),MATCH(C$1,[2]quests!$1:$1,0)-MATCH($B$1,[2]quests!$1:$1,0)+1),MATCH(C$1,[2]quests!$1:$1,0)-MATCH($B$1,[2]quests!$1:$1,0)+1,FALSE)</f>
        <v>灯り火の麗人</v>
      </c>
      <c r="D40" s="84" t="str">
        <f ca="1">VLOOKUP($B40,OFFSET([2]quests!$A$1,0,0,COUNTA([2]quests!$A:$A),MATCH(D$1,[2]quests!$1:$1,0)-MATCH($B$1,[2]quests!$1:$1,0)+1),MATCH(D$1,[2]quests!$1:$1,0)-MATCH($B$1,[2]quests!$1:$1,0)+1,FALSE)</f>
        <v>フランス革命シリーズ超級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【上級】灯り火の麗人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フランス革命シリーズ超級</v>
      </c>
      <c r="H40" s="86">
        <v>0</v>
      </c>
      <c r="I40" s="97">
        <v>11</v>
      </c>
      <c r="J40" s="85" t="s">
        <v>198</v>
      </c>
      <c r="K40" s="94" t="str">
        <f>VLOOKUP(I40,[7]stage_hints!$A:$C,3,FALSE)</f>
        <v>ランク解放クエスト</v>
      </c>
      <c r="L40" s="95" t="str">
        <f>VLOOKUP(I40,[7]stage_hints!$A:$D,4,FALSE)</f>
        <v>一定ランクに到達すると_x000D_報酬付きのランク開放クエストが現れます</v>
      </c>
      <c r="M40" s="57" t="s">
        <v>211</v>
      </c>
    </row>
    <row r="41" spans="1:13" x14ac:dyDescent="0.15">
      <c r="A41" s="82" t="s">
        <v>201</v>
      </c>
      <c r="B41" s="83">
        <f>floors!$C$2</f>
        <v>30037</v>
      </c>
      <c r="C41" s="84" t="str">
        <f ca="1">VLOOKUP($B41,OFFSET([2]quests!$A$1,0,0,COUNTA([2]quests!$A:$A),MATCH(C$1,[2]quests!$1:$1,0)-MATCH($B$1,[2]quests!$1:$1,0)+1),MATCH(C$1,[2]quests!$1:$1,0)-MATCH($B$1,[2]quests!$1:$1,0)+1,FALSE)</f>
        <v>灯り火の麗人</v>
      </c>
      <c r="D41" s="84" t="str">
        <f ca="1">VLOOKUP($B41,OFFSET([2]quests!$A$1,0,0,COUNTA([2]quests!$A:$A),MATCH(D$1,[2]quests!$1:$1,0)-MATCH($B$1,[2]quests!$1:$1,0)+1),MATCH(D$1,[2]quests!$1:$1,0)-MATCH($B$1,[2]quests!$1:$1,0)+1,FALSE)</f>
        <v>フランス革命シリーズ超級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【上級】灯り火の麗人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フランス革命シリーズ超級</v>
      </c>
      <c r="H41" s="86">
        <v>0</v>
      </c>
      <c r="I41" s="97">
        <v>12</v>
      </c>
      <c r="J41" s="85" t="s">
        <v>198</v>
      </c>
      <c r="K41" s="94" t="str">
        <f>VLOOKUP(I41,[7]stage_hints!$A:$C,3,FALSE)</f>
        <v>ユニットのお気に入り登録</v>
      </c>
      <c r="L41" s="95" t="str">
        <f>VLOOKUP(I41,[7]stage_hints!$A:$D,4,FALSE)</f>
        <v>大事なユニットを誤って消さないように_x000D_フォルダから「お気に入り登録」しましょう</v>
      </c>
      <c r="M41" s="57" t="s">
        <v>211</v>
      </c>
    </row>
    <row r="42" spans="1:13" x14ac:dyDescent="0.15">
      <c r="A42" s="82" t="s">
        <v>201</v>
      </c>
      <c r="B42" s="83">
        <f>floors!$C$2</f>
        <v>30037</v>
      </c>
      <c r="C42" s="84" t="str">
        <f ca="1">VLOOKUP($B42,OFFSET([2]quests!$A$1,0,0,COUNTA([2]quests!$A:$A),MATCH(C$1,[2]quests!$1:$1,0)-MATCH($B$1,[2]quests!$1:$1,0)+1),MATCH(C$1,[2]quests!$1:$1,0)-MATCH($B$1,[2]quests!$1:$1,0)+1,FALSE)</f>
        <v>灯り火の麗人</v>
      </c>
      <c r="D42" s="84" t="str">
        <f ca="1">VLOOKUP($B42,OFFSET([2]quests!$A$1,0,0,COUNTA([2]quests!$A:$A),MATCH(D$1,[2]quests!$1:$1,0)-MATCH($B$1,[2]quests!$1:$1,0)+1),MATCH(D$1,[2]quests!$1:$1,0)-MATCH($B$1,[2]quests!$1:$1,0)+1,FALSE)</f>
        <v>フランス革命シリーズ超級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【上級】灯り火の麗人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フランス革命シリーズ超級</v>
      </c>
      <c r="H42" s="86">
        <v>0</v>
      </c>
      <c r="I42" s="97">
        <v>13</v>
      </c>
      <c r="J42" s="85" t="s">
        <v>198</v>
      </c>
      <c r="K42" s="94" t="str">
        <f>VLOOKUP(I42,[7]stage_hints!$A:$C,3,FALSE)</f>
        <v>ユニットの覚醒</v>
      </c>
      <c r="L42" s="95" t="str">
        <f>VLOOKUP(I42,[7]stage_hints!$A:$D,4,FALSE)</f>
        <v>ユニットを覚醒させると_x000D_比べものにならない強さが手に入ります</v>
      </c>
      <c r="M42" s="57" t="s">
        <v>211</v>
      </c>
    </row>
    <row r="43" spans="1:13" x14ac:dyDescent="0.15">
      <c r="A43" s="82" t="s">
        <v>201</v>
      </c>
      <c r="B43" s="83">
        <f>floors!$C$2</f>
        <v>30037</v>
      </c>
      <c r="C43" s="84" t="str">
        <f ca="1">VLOOKUP($B43,OFFSET([2]quests!$A$1,0,0,COUNTA([2]quests!$A:$A),MATCH(C$1,[2]quests!$1:$1,0)-MATCH($B$1,[2]quests!$1:$1,0)+1),MATCH(C$1,[2]quests!$1:$1,0)-MATCH($B$1,[2]quests!$1:$1,0)+1,FALSE)</f>
        <v>灯り火の麗人</v>
      </c>
      <c r="D43" s="84" t="str">
        <f ca="1">VLOOKUP($B43,OFFSET([2]quests!$A$1,0,0,COUNTA([2]quests!$A:$A),MATCH(D$1,[2]quests!$1:$1,0)-MATCH($B$1,[2]quests!$1:$1,0)+1),MATCH(D$1,[2]quests!$1:$1,0)-MATCH($B$1,[2]quests!$1:$1,0)+1,FALSE)</f>
        <v>フランス革命シリーズ超級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【上級】灯り火の麗人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フランス革命シリーズ超級</v>
      </c>
      <c r="H43" s="86">
        <v>0</v>
      </c>
      <c r="I43" s="97">
        <v>14</v>
      </c>
      <c r="J43" s="85" t="s">
        <v>198</v>
      </c>
      <c r="K43" s="94" t="str">
        <f>VLOOKUP(I43,[7]stage_hints!$A:$C,3,FALSE)</f>
        <v>覚醒するにはレベルを最大に</v>
      </c>
      <c r="L43" s="95" t="str">
        <f>VLOOKUP(I43,[7]stage_hints!$A:$D,4,FALSE)</f>
        <v>覚醒するにはユニットのレベルを_x000D_最大まで上げる必要があります</v>
      </c>
      <c r="M43" s="57" t="s">
        <v>211</v>
      </c>
    </row>
    <row r="44" spans="1:13" x14ac:dyDescent="0.15">
      <c r="A44" s="82" t="s">
        <v>201</v>
      </c>
      <c r="B44" s="83">
        <f>floors!$C$2</f>
        <v>30037</v>
      </c>
      <c r="C44" s="84" t="str">
        <f ca="1">VLOOKUP($B44,OFFSET([2]quests!$A$1,0,0,COUNTA([2]quests!$A:$A),MATCH(C$1,[2]quests!$1:$1,0)-MATCH($B$1,[2]quests!$1:$1,0)+1),MATCH(C$1,[2]quests!$1:$1,0)-MATCH($B$1,[2]quests!$1:$1,0)+1,FALSE)</f>
        <v>灯り火の麗人</v>
      </c>
      <c r="D44" s="84" t="str">
        <f ca="1">VLOOKUP($B44,OFFSET([2]quests!$A$1,0,0,COUNTA([2]quests!$A:$A),MATCH(D$1,[2]quests!$1:$1,0)-MATCH($B$1,[2]quests!$1:$1,0)+1),MATCH(D$1,[2]quests!$1:$1,0)-MATCH($B$1,[2]quests!$1:$1,0)+1,FALSE)</f>
        <v>フランス革命シリーズ超級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【上級】灯り火の麗人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フランス革命シリーズ超級</v>
      </c>
      <c r="H44" s="86">
        <v>0</v>
      </c>
      <c r="I44" s="97">
        <v>15</v>
      </c>
      <c r="J44" s="85" t="s">
        <v>198</v>
      </c>
      <c r="K44" s="94" t="str">
        <f>VLOOKUP(I44,[7]stage_hints!$A:$C,3,FALSE)</f>
        <v>覚醒素材を獲得</v>
      </c>
      <c r="L44" s="95" t="str">
        <f>VLOOKUP(I44,[7]stage_hints!$A:$D,4,FALSE)</f>
        <v>「曜日クエスト」では_x000D_ユニットの覚醒に必要な素材が手に入ります</v>
      </c>
      <c r="M44" s="57" t="s">
        <v>211</v>
      </c>
    </row>
    <row r="45" spans="1:13" x14ac:dyDescent="0.15">
      <c r="A45" s="82" t="s">
        <v>201</v>
      </c>
      <c r="B45" s="83">
        <f>floors!$C$2</f>
        <v>30037</v>
      </c>
      <c r="C45" s="84" t="str">
        <f ca="1">VLOOKUP($B45,OFFSET([2]quests!$A$1,0,0,COUNTA([2]quests!$A:$A),MATCH(C$1,[2]quests!$1:$1,0)-MATCH($B$1,[2]quests!$1:$1,0)+1),MATCH(C$1,[2]quests!$1:$1,0)-MATCH($B$1,[2]quests!$1:$1,0)+1,FALSE)</f>
        <v>灯り火の麗人</v>
      </c>
      <c r="D45" s="84" t="str">
        <f ca="1">VLOOKUP($B45,OFFSET([2]quests!$A$1,0,0,COUNTA([2]quests!$A:$A),MATCH(D$1,[2]quests!$1:$1,0)-MATCH($B$1,[2]quests!$1:$1,0)+1),MATCH(D$1,[2]quests!$1:$1,0)-MATCH($B$1,[2]quests!$1:$1,0)+1,FALSE)</f>
        <v>フランス革命シリーズ超級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【上級】灯り火の麗人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フランス革命シリーズ超級</v>
      </c>
      <c r="H45" s="86">
        <v>0</v>
      </c>
      <c r="I45" s="97">
        <v>16</v>
      </c>
      <c r="J45" s="85" t="s">
        <v>198</v>
      </c>
      <c r="K45" s="94" t="str">
        <f>VLOOKUP(I45,[7]stage_hints!$A:$C,3,FALSE)</f>
        <v>マルチプレイのメリット（その1）</v>
      </c>
      <c r="L45" s="95" t="str">
        <f>VLOOKUP(I45,[7]stage_hints!$A:$D,4,FALSE)</f>
        <v>他のプレイヤーとマルチプレイで遊ぶと_x000D_ポリゴンがもらえます（100人まで）</v>
      </c>
      <c r="M45" s="57" t="s">
        <v>211</v>
      </c>
    </row>
    <row r="46" spans="1:13" x14ac:dyDescent="0.15">
      <c r="A46" s="82" t="s">
        <v>201</v>
      </c>
      <c r="B46" s="83">
        <f>floors!$C$2</f>
        <v>30037</v>
      </c>
      <c r="C46" s="84" t="str">
        <f ca="1">VLOOKUP($B46,OFFSET([2]quests!$A$1,0,0,COUNTA([2]quests!$A:$A),MATCH(C$1,[2]quests!$1:$1,0)-MATCH($B$1,[2]quests!$1:$1,0)+1),MATCH(C$1,[2]quests!$1:$1,0)-MATCH($B$1,[2]quests!$1:$1,0)+1,FALSE)</f>
        <v>灯り火の麗人</v>
      </c>
      <c r="D46" s="84" t="str">
        <f ca="1">VLOOKUP($B46,OFFSET([2]quests!$A$1,0,0,COUNTA([2]quests!$A:$A),MATCH(D$1,[2]quests!$1:$1,0)-MATCH($B$1,[2]quests!$1:$1,0)+1),MATCH(D$1,[2]quests!$1:$1,0)-MATCH($B$1,[2]quests!$1:$1,0)+1,FALSE)</f>
        <v>フランス革命シリーズ超級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【上級】灯り火の麗人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フランス革命シリーズ超級</v>
      </c>
      <c r="H46" s="86">
        <v>0</v>
      </c>
      <c r="I46" s="97">
        <v>17</v>
      </c>
      <c r="J46" s="85" t="s">
        <v>198</v>
      </c>
      <c r="K46" s="94" t="str">
        <f>VLOOKUP(I46,[7]stage_hints!$A:$C,3,FALSE)</f>
        <v>リンクガチャ</v>
      </c>
      <c r="L46" s="95" t="str">
        <f>VLOOKUP(I46,[7]stage_hints!$A:$D,4,FALSE)</f>
        <v>無料のリンクガチャを回して_x000D_経験値素材や売却素材を獲得しましょう</v>
      </c>
      <c r="M46" s="57" t="s">
        <v>211</v>
      </c>
    </row>
    <row r="47" spans="1:13" x14ac:dyDescent="0.15">
      <c r="A47" s="82" t="s">
        <v>201</v>
      </c>
      <c r="B47" s="83">
        <f>floors!$C$2</f>
        <v>30037</v>
      </c>
      <c r="C47" s="84" t="str">
        <f ca="1">VLOOKUP($B47,OFFSET([2]quests!$A$1,0,0,COUNTA([2]quests!$A:$A),MATCH(C$1,[2]quests!$1:$1,0)-MATCH($B$1,[2]quests!$1:$1,0)+1),MATCH(C$1,[2]quests!$1:$1,0)-MATCH($B$1,[2]quests!$1:$1,0)+1,FALSE)</f>
        <v>灯り火の麗人</v>
      </c>
      <c r="D47" s="84" t="str">
        <f ca="1">VLOOKUP($B47,OFFSET([2]quests!$A$1,0,0,COUNTA([2]quests!$A:$A),MATCH(D$1,[2]quests!$1:$1,0)-MATCH($B$1,[2]quests!$1:$1,0)+1),MATCH(D$1,[2]quests!$1:$1,0)-MATCH($B$1,[2]quests!$1:$1,0)+1,FALSE)</f>
        <v>フランス革命シリーズ超級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【上級】灯り火の麗人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フランス革命シリーズ超級</v>
      </c>
      <c r="H47" s="86">
        <v>0</v>
      </c>
      <c r="I47" s="97">
        <v>18</v>
      </c>
      <c r="J47" s="85" t="s">
        <v>198</v>
      </c>
      <c r="K47" s="94" t="str">
        <f>VLOOKUP(I47,[7]stage_hints!$A:$C,3,FALSE)</f>
        <v>マルチプレイのメリット（その2）</v>
      </c>
      <c r="L47" s="95" t="str">
        <f>VLOOKUP(I47,[7]stage_hints!$A:$D,4,FALSE)</f>
        <v>マルチプレイならリンクが2倍もらえます_x000D_リンクガチャをたくさん回しましょう</v>
      </c>
      <c r="M47" s="57" t="s">
        <v>211</v>
      </c>
    </row>
    <row r="48" spans="1:13" x14ac:dyDescent="0.15">
      <c r="A48" s="82" t="s">
        <v>201</v>
      </c>
      <c r="B48" s="83">
        <f>floors!$C$2</f>
        <v>30037</v>
      </c>
      <c r="C48" s="84" t="str">
        <f ca="1">VLOOKUP($B48,OFFSET([2]quests!$A$1,0,0,COUNTA([2]quests!$A:$A),MATCH(C$1,[2]quests!$1:$1,0)-MATCH($B$1,[2]quests!$1:$1,0)+1),MATCH(C$1,[2]quests!$1:$1,0)-MATCH($B$1,[2]quests!$1:$1,0)+1,FALSE)</f>
        <v>灯り火の麗人</v>
      </c>
      <c r="D48" s="84" t="str">
        <f ca="1">VLOOKUP($B48,OFFSET([2]quests!$A$1,0,0,COUNTA([2]quests!$A:$A),MATCH(D$1,[2]quests!$1:$1,0)-MATCH($B$1,[2]quests!$1:$1,0)+1),MATCH(D$1,[2]quests!$1:$1,0)-MATCH($B$1,[2]quests!$1:$1,0)+1,FALSE)</f>
        <v>フランス革命シリーズ超級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【上級】灯り火の麗人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フランス革命シリーズ超級</v>
      </c>
      <c r="H48" s="86">
        <v>0</v>
      </c>
      <c r="I48" s="97">
        <v>19</v>
      </c>
      <c r="J48" s="85" t="s">
        <v>198</v>
      </c>
      <c r="K48" s="94" t="str">
        <f>VLOOKUP(I48,[7]stage_hints!$A:$C,3,FALSE)</f>
        <v>ソロ専用タワーオブザクイーン</v>
      </c>
      <c r="L48" s="95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211</v>
      </c>
    </row>
    <row r="49" spans="1:13" x14ac:dyDescent="0.15">
      <c r="A49" s="82" t="s">
        <v>201</v>
      </c>
      <c r="B49" s="83">
        <f>floors!$C$2</f>
        <v>30037</v>
      </c>
      <c r="C49" s="84" t="str">
        <f ca="1">VLOOKUP($B49,OFFSET([2]quests!$A$1,0,0,COUNTA([2]quests!$A:$A),MATCH(C$1,[2]quests!$1:$1,0)-MATCH($B$1,[2]quests!$1:$1,0)+1),MATCH(C$1,[2]quests!$1:$1,0)-MATCH($B$1,[2]quests!$1:$1,0)+1,FALSE)</f>
        <v>灯り火の麗人</v>
      </c>
      <c r="D49" s="84" t="str">
        <f ca="1">VLOOKUP($B49,OFFSET([2]quests!$A$1,0,0,COUNTA([2]quests!$A:$A),MATCH(D$1,[2]quests!$1:$1,0)-MATCH($B$1,[2]quests!$1:$1,0)+1),MATCH(D$1,[2]quests!$1:$1,0)-MATCH($B$1,[2]quests!$1:$1,0)+1,FALSE)</f>
        <v>フランス革命シリーズ超級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【上級】灯り火の麗人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フランス革命シリーズ超級</v>
      </c>
      <c r="H49" s="86">
        <v>0</v>
      </c>
      <c r="I49" s="97">
        <v>20</v>
      </c>
      <c r="J49" s="85" t="s">
        <v>198</v>
      </c>
      <c r="K49" s="94" t="str">
        <f>VLOOKUP(I49,[7]stage_hints!$A:$C,3,FALSE)</f>
        <v>マルチプレイのメリット（その3）</v>
      </c>
      <c r="L49" s="95" t="str">
        <f>VLOOKUP(I49,[7]stage_hints!$A:$D,4,FALSE)</f>
        <v>マルチプレイへの参加はエナジー消費ゼロ_x000D_いつでも好きなだけ遊ぶことができます</v>
      </c>
      <c r="M49" s="57" t="s">
        <v>211</v>
      </c>
    </row>
    <row r="50" spans="1:13" x14ac:dyDescent="0.15">
      <c r="A50" s="82" t="s">
        <v>201</v>
      </c>
      <c r="B50" s="83">
        <f>floors!$C$2</f>
        <v>30037</v>
      </c>
      <c r="C50" s="84" t="str">
        <f ca="1">VLOOKUP($B50,OFFSET([2]quests!$A$1,0,0,COUNTA([2]quests!$A:$A),MATCH(C$1,[2]quests!$1:$1,0)-MATCH($B$1,[2]quests!$1:$1,0)+1),MATCH(C$1,[2]quests!$1:$1,0)-MATCH($B$1,[2]quests!$1:$1,0)+1,FALSE)</f>
        <v>灯り火の麗人</v>
      </c>
      <c r="D50" s="84" t="str">
        <f ca="1">VLOOKUP($B50,OFFSET([2]quests!$A$1,0,0,COUNTA([2]quests!$A:$A),MATCH(D$1,[2]quests!$1:$1,0)-MATCH($B$1,[2]quests!$1:$1,0)+1),MATCH(D$1,[2]quests!$1:$1,0)-MATCH($B$1,[2]quests!$1:$1,0)+1,FALSE)</f>
        <v>フランス革命シリーズ超級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【上級】灯り火の麗人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フランス革命シリーズ超級</v>
      </c>
      <c r="H50" s="86">
        <v>0</v>
      </c>
      <c r="I50" s="97">
        <v>21</v>
      </c>
      <c r="J50" s="85" t="s">
        <v>198</v>
      </c>
      <c r="K50" s="94" t="str">
        <f>VLOOKUP(I50,[7]stage_hints!$A:$C,3,FALSE)</f>
        <v>スキルを有効に</v>
      </c>
      <c r="L50" s="95" t="str">
        <f>VLOOKUP(I50,[7]stage_hints!$A:$D,4,FALSE)</f>
        <v>ターン経過でユニットのスキルが使えます_x000D_強力スキルでバトルを有利に進めましょう</v>
      </c>
      <c r="M50" s="57" t="s">
        <v>211</v>
      </c>
    </row>
    <row r="51" spans="1:13" x14ac:dyDescent="0.15">
      <c r="A51" s="82" t="s">
        <v>201</v>
      </c>
      <c r="B51" s="83">
        <f>floors!$C$2</f>
        <v>30037</v>
      </c>
      <c r="C51" s="84" t="str">
        <f ca="1">VLOOKUP($B51,OFFSET([2]quests!$A$1,0,0,COUNTA([2]quests!$A:$A),MATCH(C$1,[2]quests!$1:$1,0)-MATCH($B$1,[2]quests!$1:$1,0)+1),MATCH(C$1,[2]quests!$1:$1,0)-MATCH($B$1,[2]quests!$1:$1,0)+1,FALSE)</f>
        <v>灯り火の麗人</v>
      </c>
      <c r="D51" s="84" t="str">
        <f ca="1">VLOOKUP($B51,OFFSET([2]quests!$A$1,0,0,COUNTA([2]quests!$A:$A),MATCH(D$1,[2]quests!$1:$1,0)-MATCH($B$1,[2]quests!$1:$1,0)+1),MATCH(D$1,[2]quests!$1:$1,0)-MATCH($B$1,[2]quests!$1:$1,0)+1,FALSE)</f>
        <v>フランス革命シリーズ超級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【上級】灯り火の麗人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フランス革命シリーズ超級</v>
      </c>
      <c r="H51" s="86">
        <v>0</v>
      </c>
      <c r="I51" s="97">
        <v>22</v>
      </c>
      <c r="J51" s="85" t="s">
        <v>198</v>
      </c>
      <c r="K51" s="94" t="str">
        <f>VLOOKUP(I51,[7]stage_hints!$A:$C,3,FALSE)</f>
        <v>フィーバーで一発逆転（その1）</v>
      </c>
      <c r="L51" s="95" t="str">
        <f>VLOOKUP(I51,[7]stage_hints!$A:$D,4,FALSE)</f>
        <v>フィーバーは攻撃と回復を兼ね備えます_x000D_ピンチからの一発逆転を狙いましょう</v>
      </c>
      <c r="M51" s="57" t="s">
        <v>211</v>
      </c>
    </row>
    <row r="52" spans="1:13" x14ac:dyDescent="0.15">
      <c r="A52" s="82" t="s">
        <v>201</v>
      </c>
      <c r="B52" s="83">
        <f>floors!$C$2</f>
        <v>30037</v>
      </c>
      <c r="C52" s="84" t="str">
        <f ca="1">VLOOKUP($B52,OFFSET([2]quests!$A$1,0,0,COUNTA([2]quests!$A:$A),MATCH(C$1,[2]quests!$1:$1,0)-MATCH($B$1,[2]quests!$1:$1,0)+1),MATCH(C$1,[2]quests!$1:$1,0)-MATCH($B$1,[2]quests!$1:$1,0)+1,FALSE)</f>
        <v>灯り火の麗人</v>
      </c>
      <c r="D52" s="84" t="str">
        <f ca="1">VLOOKUP($B52,OFFSET([2]quests!$A$1,0,0,COUNTA([2]quests!$A:$A),MATCH(D$1,[2]quests!$1:$1,0)-MATCH($B$1,[2]quests!$1:$1,0)+1),MATCH(D$1,[2]quests!$1:$1,0)-MATCH($B$1,[2]quests!$1:$1,0)+1,FALSE)</f>
        <v>フランス革命シリーズ超級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【上級】灯り火の麗人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フランス革命シリーズ超級</v>
      </c>
      <c r="H52" s="86">
        <v>0</v>
      </c>
      <c r="I52" s="97">
        <v>23</v>
      </c>
      <c r="J52" s="85" t="s">
        <v>198</v>
      </c>
      <c r="K52" s="94" t="str">
        <f>VLOOKUP(I52,[7]stage_hints!$A:$C,3,FALSE)</f>
        <v>フィーバーで一発逆転（その2）</v>
      </c>
      <c r="L52" s="95" t="str">
        <f>VLOOKUP(I52,[7]stage_hints!$A:$D,4,FALSE)</f>
        <v>フィーバー中は虹色のボムパネルを狙って_x000D_画面上のパネルを一気に破壊しましょう</v>
      </c>
      <c r="M52" s="57" t="s">
        <v>211</v>
      </c>
    </row>
    <row r="53" spans="1:13" x14ac:dyDescent="0.15">
      <c r="A53" s="82" t="s">
        <v>201</v>
      </c>
      <c r="B53" s="83">
        <f>floors!$C$2</f>
        <v>30037</v>
      </c>
      <c r="C53" s="84" t="str">
        <f ca="1">VLOOKUP($B53,OFFSET([2]quests!$A$1,0,0,COUNTA([2]quests!$A:$A),MATCH(C$1,[2]quests!$1:$1,0)-MATCH($B$1,[2]quests!$1:$1,0)+1),MATCH(C$1,[2]quests!$1:$1,0)-MATCH($B$1,[2]quests!$1:$1,0)+1,FALSE)</f>
        <v>灯り火の麗人</v>
      </c>
      <c r="D53" s="84" t="str">
        <f ca="1">VLOOKUP($B53,OFFSET([2]quests!$A$1,0,0,COUNTA([2]quests!$A:$A),MATCH(D$1,[2]quests!$1:$1,0)-MATCH($B$1,[2]quests!$1:$1,0)+1),MATCH(D$1,[2]quests!$1:$1,0)-MATCH($B$1,[2]quests!$1:$1,0)+1,FALSE)</f>
        <v>フランス革命シリーズ超級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【上級】灯り火の麗人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フランス革命シリーズ超級</v>
      </c>
      <c r="H53" s="86">
        <v>0</v>
      </c>
      <c r="I53" s="97">
        <v>24</v>
      </c>
      <c r="J53" s="85" t="s">
        <v>198</v>
      </c>
      <c r="K53" s="94" t="str">
        <f>VLOOKUP(I53,[7]stage_hints!$A:$C,3,FALSE)</f>
        <v>果実を使って限界突破</v>
      </c>
      <c r="L53" s="95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211</v>
      </c>
    </row>
    <row r="54" spans="1:13" x14ac:dyDescent="0.15">
      <c r="A54" s="82" t="s">
        <v>201</v>
      </c>
      <c r="B54" s="83">
        <f>floors!$C$2</f>
        <v>30037</v>
      </c>
      <c r="C54" s="84" t="str">
        <f ca="1">VLOOKUP($B54,OFFSET([2]quests!$A$1,0,0,COUNTA([2]quests!$A:$A),MATCH(C$1,[2]quests!$1:$1,0)-MATCH($B$1,[2]quests!$1:$1,0)+1),MATCH(C$1,[2]quests!$1:$1,0)-MATCH($B$1,[2]quests!$1:$1,0)+1,FALSE)</f>
        <v>灯り火の麗人</v>
      </c>
      <c r="D54" s="84" t="str">
        <f ca="1">VLOOKUP($B54,OFFSET([2]quests!$A$1,0,0,COUNTA([2]quests!$A:$A),MATCH(D$1,[2]quests!$1:$1,0)-MATCH($B$1,[2]quests!$1:$1,0)+1),MATCH(D$1,[2]quests!$1:$1,0)-MATCH($B$1,[2]quests!$1:$1,0)+1,FALSE)</f>
        <v>フランス革命シリーズ超級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【上級】灯り火の麗人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フランス革命シリーズ超級</v>
      </c>
      <c r="H54" s="86">
        <v>0</v>
      </c>
      <c r="I54" s="97">
        <v>25</v>
      </c>
      <c r="J54" s="85" t="s">
        <v>198</v>
      </c>
      <c r="K54" s="94" t="str">
        <f>VLOOKUP(I54,[7]stage_hints!$A:$C,3,FALSE)</f>
        <v>スキルレベルアップ</v>
      </c>
      <c r="L54" s="95" t="str">
        <f>VLOOKUP(I54,[7]stage_hints!$A:$D,4,FALSE)</f>
        <v>「秘術の果実」を強化に使うと_x000D_スキルレベルを上げることができます</v>
      </c>
      <c r="M54" s="57" t="s">
        <v>211</v>
      </c>
    </row>
    <row r="55" spans="1:13" x14ac:dyDescent="0.15">
      <c r="A55" s="82" t="s">
        <v>201</v>
      </c>
      <c r="B55" s="83">
        <f>floors!$C$2</f>
        <v>30037</v>
      </c>
      <c r="C55" s="84" t="str">
        <f ca="1">VLOOKUP($B55,OFFSET([2]quests!$A$1,0,0,COUNTA([2]quests!$A:$A),MATCH(C$1,[2]quests!$1:$1,0)-MATCH($B$1,[2]quests!$1:$1,0)+1),MATCH(C$1,[2]quests!$1:$1,0)-MATCH($B$1,[2]quests!$1:$1,0)+1,FALSE)</f>
        <v>灯り火の麗人</v>
      </c>
      <c r="D55" s="84" t="str">
        <f ca="1">VLOOKUP($B55,OFFSET([2]quests!$A$1,0,0,COUNTA([2]quests!$A:$A),MATCH(D$1,[2]quests!$1:$1,0)-MATCH($B$1,[2]quests!$1:$1,0)+1),MATCH(D$1,[2]quests!$1:$1,0)-MATCH($B$1,[2]quests!$1:$1,0)+1,FALSE)</f>
        <v>フランス革命シリーズ超級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【上級】灯り火の麗人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フランス革命シリーズ超級</v>
      </c>
      <c r="H55" s="86">
        <v>0</v>
      </c>
      <c r="I55" s="97">
        <v>26</v>
      </c>
      <c r="J55" s="85" t="s">
        <v>198</v>
      </c>
      <c r="K55" s="94" t="str">
        <f>VLOOKUP(I55,[7]stage_hints!$A:$C,3,FALSE)</f>
        <v>スキルレベルの効果</v>
      </c>
      <c r="L55" s="95" t="str">
        <f>VLOOKUP(I55,[7]stage_hints!$A:$D,4,FALSE)</f>
        <v>スキルレベルが上がると_x000D_短いターンでスキルを使うことができます</v>
      </c>
      <c r="M55" s="57" t="s">
        <v>211</v>
      </c>
    </row>
    <row r="56" spans="1:13" x14ac:dyDescent="0.15">
      <c r="A56" s="82" t="s">
        <v>201</v>
      </c>
      <c r="B56" s="83">
        <f>floors!$C$2</f>
        <v>30037</v>
      </c>
      <c r="C56" s="84" t="str">
        <f ca="1">VLOOKUP($B56,OFFSET([2]quests!$A$1,0,0,COUNTA([2]quests!$A:$A),MATCH(C$1,[2]quests!$1:$1,0)-MATCH($B$1,[2]quests!$1:$1,0)+1),MATCH(C$1,[2]quests!$1:$1,0)-MATCH($B$1,[2]quests!$1:$1,0)+1,FALSE)</f>
        <v>灯り火の麗人</v>
      </c>
      <c r="D56" s="84" t="str">
        <f ca="1">VLOOKUP($B56,OFFSET([2]quests!$A$1,0,0,COUNTA([2]quests!$A:$A),MATCH(D$1,[2]quests!$1:$1,0)-MATCH($B$1,[2]quests!$1:$1,0)+1),MATCH(D$1,[2]quests!$1:$1,0)-MATCH($B$1,[2]quests!$1:$1,0)+1,FALSE)</f>
        <v>フランス革命シリーズ超級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【上級】灯り火の麗人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フランス革命シリーズ超級</v>
      </c>
      <c r="H56" s="86">
        <v>0</v>
      </c>
      <c r="I56" s="97">
        <v>27</v>
      </c>
      <c r="J56" s="85" t="s">
        <v>198</v>
      </c>
      <c r="K56" s="94" t="str">
        <f>VLOOKUP(I56,[7]stage_hints!$A:$C,3,FALSE)</f>
        <v>ホーム画面からデッキを編成</v>
      </c>
      <c r="L56" s="95" t="str">
        <f>VLOOKUP(I56,[7]stage_hints!$A:$D,4,FALSE)</f>
        <v>ホーム画面でユニットを長押しすると_x000D_すぐにパーティ編成に移動できます</v>
      </c>
      <c r="M56" s="57" t="s">
        <v>211</v>
      </c>
    </row>
    <row r="57" spans="1:13" x14ac:dyDescent="0.15">
      <c r="A57" s="82" t="s">
        <v>201</v>
      </c>
      <c r="B57" s="83">
        <f>floors!$C$2</f>
        <v>30037</v>
      </c>
      <c r="C57" s="84" t="str">
        <f ca="1">VLOOKUP($B57,OFFSET([2]quests!$A$1,0,0,COUNTA([2]quests!$A:$A),MATCH(C$1,[2]quests!$1:$1,0)-MATCH($B$1,[2]quests!$1:$1,0)+1),MATCH(C$1,[2]quests!$1:$1,0)-MATCH($B$1,[2]quests!$1:$1,0)+1,FALSE)</f>
        <v>灯り火の麗人</v>
      </c>
      <c r="D57" s="84" t="str">
        <f ca="1">VLOOKUP($B57,OFFSET([2]quests!$A$1,0,0,COUNTA([2]quests!$A:$A),MATCH(D$1,[2]quests!$1:$1,0)-MATCH($B$1,[2]quests!$1:$1,0)+1),MATCH(D$1,[2]quests!$1:$1,0)-MATCH($B$1,[2]quests!$1:$1,0)+1,FALSE)</f>
        <v>フランス革命シリーズ超級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【上級】灯り火の麗人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フランス革命シリーズ超級</v>
      </c>
      <c r="H57" s="86">
        <v>0</v>
      </c>
      <c r="I57" s="97">
        <v>28</v>
      </c>
      <c r="J57" s="85" t="s">
        <v>198</v>
      </c>
      <c r="K57" s="94" t="str">
        <f>VLOOKUP(I57,[7]stage_hints!$A:$C,3,FALSE)</f>
        <v>ステータス情報は長押しで</v>
      </c>
      <c r="L57" s="95" t="str">
        <f>VLOOKUP(I57,[7]stage_hints!$A:$D,4,FALSE)</f>
        <v>ユニットのアイコンを長押しすると_x000D_ステータス情報を確認することができます</v>
      </c>
      <c r="M57" s="57" t="s">
        <v>211</v>
      </c>
    </row>
    <row r="58" spans="1:13" x14ac:dyDescent="0.15">
      <c r="A58" s="82" t="s">
        <v>201</v>
      </c>
      <c r="B58" s="83">
        <f>floors!$C$2</f>
        <v>30037</v>
      </c>
      <c r="C58" s="84" t="str">
        <f ca="1">VLOOKUP($B58,OFFSET([2]quests!$A$1,0,0,COUNTA([2]quests!$A:$A),MATCH(C$1,[2]quests!$1:$1,0)-MATCH($B$1,[2]quests!$1:$1,0)+1),MATCH(C$1,[2]quests!$1:$1,0)-MATCH($B$1,[2]quests!$1:$1,0)+1,FALSE)</f>
        <v>灯り火の麗人</v>
      </c>
      <c r="D58" s="84" t="str">
        <f ca="1">VLOOKUP($B58,OFFSET([2]quests!$A$1,0,0,COUNTA([2]quests!$A:$A),MATCH(D$1,[2]quests!$1:$1,0)-MATCH($B$1,[2]quests!$1:$1,0)+1),MATCH(D$1,[2]quests!$1:$1,0)-MATCH($B$1,[2]quests!$1:$1,0)+1,FALSE)</f>
        <v>フランス革命シリーズ超級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【上級】灯り火の麗人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フランス革命シリーズ超級</v>
      </c>
      <c r="H58" s="86">
        <v>0</v>
      </c>
      <c r="I58" s="97">
        <v>29</v>
      </c>
      <c r="J58" s="85" t="s">
        <v>198</v>
      </c>
      <c r="K58" s="94" t="str">
        <f>VLOOKUP(I58,[7]stage_hints!$A:$C,3,FALSE)</f>
        <v>「バグ」のメリット</v>
      </c>
      <c r="L58" s="95" t="str">
        <f>VLOOKUP(I58,[7]stage_hints!$A:$D,4,FALSE)</f>
        <v>ユニットの「バグ」を増やすと_x000D_報酬をもらえる確率がアップします</v>
      </c>
      <c r="M58" s="57" t="s">
        <v>211</v>
      </c>
    </row>
    <row r="59" spans="1:13" x14ac:dyDescent="0.15">
      <c r="A59" s="82" t="s">
        <v>201</v>
      </c>
      <c r="B59" s="83">
        <f>floors!$C$2</f>
        <v>30037</v>
      </c>
      <c r="C59" s="84" t="str">
        <f ca="1">VLOOKUP($B59,OFFSET([2]quests!$A$1,0,0,COUNTA([2]quests!$A:$A),MATCH(C$1,[2]quests!$1:$1,0)-MATCH($B$1,[2]quests!$1:$1,0)+1),MATCH(C$1,[2]quests!$1:$1,0)-MATCH($B$1,[2]quests!$1:$1,0)+1,FALSE)</f>
        <v>灯り火の麗人</v>
      </c>
      <c r="D59" s="84" t="str">
        <f ca="1">VLOOKUP($B59,OFFSET([2]quests!$A$1,0,0,COUNTA([2]quests!$A:$A),MATCH(D$1,[2]quests!$1:$1,0)-MATCH($B$1,[2]quests!$1:$1,0)+1),MATCH(D$1,[2]quests!$1:$1,0)-MATCH($B$1,[2]quests!$1:$1,0)+1,FALSE)</f>
        <v>フランス革命シリーズ超級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【上級】灯り火の麗人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フランス革命シリーズ超級</v>
      </c>
      <c r="H59" s="86">
        <v>0</v>
      </c>
      <c r="I59" s="97">
        <v>30</v>
      </c>
      <c r="J59" s="85" t="s">
        <v>198</v>
      </c>
      <c r="K59" s="94" t="str">
        <f>VLOOKUP(I59,[7]stage_hints!$A:$C,3,FALSE)</f>
        <v>「バグ」の増やし方</v>
      </c>
      <c r="L59" s="95" t="str">
        <f>VLOOKUP(I59,[7]stage_hints!$A:$D,4,FALSE)</f>
        <v>同じユニット同士を強化で合成すると_x000D_「バグ」を増やすことができます</v>
      </c>
      <c r="M59" s="57" t="s">
        <v>211</v>
      </c>
    </row>
    <row r="60" spans="1:13" x14ac:dyDescent="0.15">
      <c r="A60" s="82" t="s">
        <v>201</v>
      </c>
      <c r="B60" s="83">
        <f>floors!$C$2</f>
        <v>30037</v>
      </c>
      <c r="C60" s="84" t="str">
        <f ca="1">VLOOKUP($B60,OFFSET([2]quests!$A$1,0,0,COUNTA([2]quests!$A:$A),MATCH(C$1,[2]quests!$1:$1,0)-MATCH($B$1,[2]quests!$1:$1,0)+1),MATCH(C$1,[2]quests!$1:$1,0)-MATCH($B$1,[2]quests!$1:$1,0)+1,FALSE)</f>
        <v>灯り火の麗人</v>
      </c>
      <c r="D60" s="84" t="str">
        <f ca="1">VLOOKUP($B60,OFFSET([2]quests!$A$1,0,0,COUNTA([2]quests!$A:$A),MATCH(D$1,[2]quests!$1:$1,0)-MATCH($B$1,[2]quests!$1:$1,0)+1),MATCH(D$1,[2]quests!$1:$1,0)-MATCH($B$1,[2]quests!$1:$1,0)+1,FALSE)</f>
        <v>フランス革命シリーズ超級</v>
      </c>
      <c r="E60" s="88">
        <v>2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【上級】灯り火の麗人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フランス革命シリーズ超級</v>
      </c>
      <c r="H60" s="86">
        <v>0</v>
      </c>
      <c r="I60" s="97">
        <v>31</v>
      </c>
      <c r="J60" s="85" t="s">
        <v>198</v>
      </c>
      <c r="K60" s="94" t="str">
        <f>VLOOKUP(I60,[7]stage_hints!$A:$C,3,FALSE)</f>
        <v>イベントはお知らせでチェック</v>
      </c>
      <c r="L60" s="95" t="str">
        <f>VLOOKUP(I60,[7]stage_hints!$A:$D,4,FALSE)</f>
        <v>イベント限定ユニットを取り忘れないように_x000D_お知らせをこまめにチェックしましょう</v>
      </c>
      <c r="M60" s="57" t="s">
        <v>211</v>
      </c>
    </row>
    <row r="61" spans="1:13" x14ac:dyDescent="0.15">
      <c r="A61" s="82" t="s">
        <v>201</v>
      </c>
      <c r="B61" s="83">
        <f>floors!$C$2</f>
        <v>30037</v>
      </c>
      <c r="C61" s="84" t="str">
        <f ca="1">VLOOKUP($B61,OFFSET([2]quests!$A$1,0,0,COUNTA([2]quests!$A:$A),MATCH(C$1,[2]quests!$1:$1,0)-MATCH($B$1,[2]quests!$1:$1,0)+1),MATCH(C$1,[2]quests!$1:$1,0)-MATCH($B$1,[2]quests!$1:$1,0)+1,FALSE)</f>
        <v>灯り火の麗人</v>
      </c>
      <c r="D61" s="84" t="str">
        <f ca="1">VLOOKUP($B61,OFFSET([2]quests!$A$1,0,0,COUNTA([2]quests!$A:$A),MATCH(D$1,[2]quests!$1:$1,0)-MATCH($B$1,[2]quests!$1:$1,0)+1),MATCH(D$1,[2]quests!$1:$1,0)-MATCH($B$1,[2]quests!$1:$1,0)+1,FALSE)</f>
        <v>フランス革命シリーズ超級</v>
      </c>
      <c r="E61" s="88">
        <v>2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【上級】灯り火の麗人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フランス革命シリーズ超級</v>
      </c>
      <c r="H61" s="86">
        <v>0</v>
      </c>
      <c r="I61" s="97">
        <v>32</v>
      </c>
      <c r="J61" s="85" t="s">
        <v>198</v>
      </c>
      <c r="K61" s="94" t="str">
        <f>VLOOKUP(I61,[7]stage_hints!$A:$C,3,FALSE)</f>
        <v>敵の連続攻撃には</v>
      </c>
      <c r="L61" s="95" t="str">
        <f>VLOOKUP(I61,[7]stage_hints!$A:$D,4,FALSE)</f>
        <v>カウンタースキルを持つユニットがいれば_x000D_ダメージ回数分の反撃ができます</v>
      </c>
      <c r="M61" s="57" t="s">
        <v>211</v>
      </c>
    </row>
    <row r="62" spans="1:13" x14ac:dyDescent="0.15">
      <c r="A62" s="82" t="s">
        <v>201</v>
      </c>
      <c r="B62" s="83">
        <f>floors!$C$2</f>
        <v>30037</v>
      </c>
      <c r="C62" s="84" t="str">
        <f ca="1">VLOOKUP($B62,OFFSET([2]quests!$A$1,0,0,COUNTA([2]quests!$A:$A),MATCH(C$1,[2]quests!$1:$1,0)-MATCH($B$1,[2]quests!$1:$1,0)+1),MATCH(C$1,[2]quests!$1:$1,0)-MATCH($B$1,[2]quests!$1:$1,0)+1,FALSE)</f>
        <v>灯り火の麗人</v>
      </c>
      <c r="D62" s="84" t="str">
        <f ca="1">VLOOKUP($B62,OFFSET([2]quests!$A$1,0,0,COUNTA([2]quests!$A:$A),MATCH(D$1,[2]quests!$1:$1,0)-MATCH($B$1,[2]quests!$1:$1,0)+1),MATCH(D$1,[2]quests!$1:$1,0)-MATCH($B$1,[2]quests!$1:$1,0)+1,FALSE)</f>
        <v>フランス革命シリーズ超級</v>
      </c>
      <c r="E62" s="88">
        <v>2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【上級】灯り火の麗人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フランス革命シリーズ超級</v>
      </c>
      <c r="H62" s="86">
        <v>0</v>
      </c>
      <c r="I62" s="97">
        <v>33</v>
      </c>
      <c r="J62" s="85" t="s">
        <v>198</v>
      </c>
      <c r="K62" s="94" t="str">
        <f>VLOOKUP(I62,[7]stage_hints!$A:$C,3,FALSE)</f>
        <v>敵のカウンター攻撃には</v>
      </c>
      <c r="L62" s="95" t="str">
        <f>VLOOKUP(I62,[7]stage_hints!$A:$D,4,FALSE)</f>
        <v>カウンターブレイクスキルを持っていれば_x000D_敵のカウンターを解除して攻撃ができます</v>
      </c>
      <c r="M62" s="57" t="s">
        <v>211</v>
      </c>
    </row>
    <row r="63" spans="1:13" x14ac:dyDescent="0.15">
      <c r="A63" s="82" t="s">
        <v>201</v>
      </c>
      <c r="B63" s="83">
        <f>floors!$C$2</f>
        <v>30037</v>
      </c>
      <c r="C63" s="84" t="str">
        <f ca="1">VLOOKUP($B63,OFFSET([2]quests!$A$1,0,0,COUNTA([2]quests!$A:$A),MATCH(C$1,[2]quests!$1:$1,0)-MATCH($B$1,[2]quests!$1:$1,0)+1),MATCH(C$1,[2]quests!$1:$1,0)-MATCH($B$1,[2]quests!$1:$1,0)+1,FALSE)</f>
        <v>灯り火の麗人</v>
      </c>
      <c r="D63" s="84" t="str">
        <f ca="1">VLOOKUP($B63,OFFSET([2]quests!$A$1,0,0,COUNTA([2]quests!$A:$A),MATCH(D$1,[2]quests!$1:$1,0)-MATCH($B$1,[2]quests!$1:$1,0)+1),MATCH(D$1,[2]quests!$1:$1,0)-MATCH($B$1,[2]quests!$1:$1,0)+1,FALSE)</f>
        <v>フランス革命シリーズ超級</v>
      </c>
      <c r="E63" s="88">
        <v>2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【上級】灯り火の麗人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フランス革命シリーズ超級</v>
      </c>
      <c r="H63" s="86">
        <v>0</v>
      </c>
      <c r="I63" s="97">
        <v>34</v>
      </c>
      <c r="J63" s="85" t="s">
        <v>198</v>
      </c>
      <c r="K63" s="94" t="str">
        <f>VLOOKUP(I63,[7]stage_hints!$A:$C,3,FALSE)</f>
        <v>ステータスをスキルで下げられたら</v>
      </c>
      <c r="L63" s="95" t="str">
        <f>VLOOKUP(I63,[7]stage_hints!$A:$D,4,FALSE)</f>
        <v>ステータスダウンのスキルを受けたら_x000D_ステータスアップスキルで上書きしましょう</v>
      </c>
      <c r="M63" s="57" t="s">
        <v>211</v>
      </c>
    </row>
    <row r="64" spans="1:13" x14ac:dyDescent="0.15">
      <c r="A64" s="82" t="s">
        <v>201</v>
      </c>
      <c r="B64" s="83">
        <f>floors!$C$2</f>
        <v>30037</v>
      </c>
      <c r="C64" s="84" t="str">
        <f ca="1">VLOOKUP($B64,OFFSET([2]quests!$A$1,0,0,COUNTA([2]quests!$A:$A),MATCH(C$1,[2]quests!$1:$1,0)-MATCH($B$1,[2]quests!$1:$1,0)+1),MATCH(C$1,[2]quests!$1:$1,0)-MATCH($B$1,[2]quests!$1:$1,0)+1,FALSE)</f>
        <v>灯り火の麗人</v>
      </c>
      <c r="D64" s="84" t="str">
        <f ca="1">VLOOKUP($B64,OFFSET([2]quests!$A$1,0,0,COUNTA([2]quests!$A:$A),MATCH(D$1,[2]quests!$1:$1,0)-MATCH($B$1,[2]quests!$1:$1,0)+1),MATCH(D$1,[2]quests!$1:$1,0)-MATCH($B$1,[2]quests!$1:$1,0)+1,FALSE)</f>
        <v>フランス革命シリーズ超級</v>
      </c>
      <c r="E64" s="88">
        <v>2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【上級】灯り火の麗人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フランス革命シリーズ超級</v>
      </c>
      <c r="H64" s="86">
        <v>0</v>
      </c>
      <c r="I64" s="97">
        <v>35</v>
      </c>
      <c r="J64" s="85" t="s">
        <v>198</v>
      </c>
      <c r="K64" s="94" t="str">
        <f>VLOOKUP(I64,[7]stage_hints!$A:$C,3,FALSE)</f>
        <v>敵のステータスがスキルで上がったら</v>
      </c>
      <c r="L64" s="95" t="str">
        <f>VLOOKUP(I64,[7]stage_hints!$A:$D,4,FALSE)</f>
        <v>敵のステータスがスキルでアップしたときは_x000D_ステータスダウンスキルで上書きしましょう</v>
      </c>
      <c r="M64" s="57" t="s">
        <v>211</v>
      </c>
    </row>
    <row r="65" spans="1:13" x14ac:dyDescent="0.15">
      <c r="A65" s="82" t="s">
        <v>201</v>
      </c>
      <c r="B65" s="83">
        <f>floors!$C$2</f>
        <v>30037</v>
      </c>
      <c r="C65" s="84" t="str">
        <f ca="1">VLOOKUP($B65,OFFSET([2]quests!$A$1,0,0,COUNTA([2]quests!$A:$A),MATCH(C$1,[2]quests!$1:$1,0)-MATCH($B$1,[2]quests!$1:$1,0)+1),MATCH(C$1,[2]quests!$1:$1,0)-MATCH($B$1,[2]quests!$1:$1,0)+1,FALSE)</f>
        <v>灯り火の麗人</v>
      </c>
      <c r="D65" s="84" t="str">
        <f ca="1">VLOOKUP($B65,OFFSET([2]quests!$A$1,0,0,COUNTA([2]quests!$A:$A),MATCH(D$1,[2]quests!$1:$1,0)-MATCH($B$1,[2]quests!$1:$1,0)+1),MATCH(D$1,[2]quests!$1:$1,0)-MATCH($B$1,[2]quests!$1:$1,0)+1,FALSE)</f>
        <v>フランス革命シリーズ超級</v>
      </c>
      <c r="E65" s="88">
        <v>2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【上級】灯り火の麗人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フランス革命シリーズ超級</v>
      </c>
      <c r="H65" s="86">
        <v>0</v>
      </c>
      <c r="I65" s="97">
        <v>36</v>
      </c>
      <c r="J65" s="85" t="s">
        <v>198</v>
      </c>
      <c r="K65" s="94" t="str">
        <f>VLOOKUP(I65,[7]stage_hints!$A:$C,3,FALSE)</f>
        <v>タワーオブザクイーンのボス</v>
      </c>
      <c r="L65" s="95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211</v>
      </c>
    </row>
    <row r="66" spans="1:13" x14ac:dyDescent="0.15">
      <c r="A66" s="82" t="s">
        <v>201</v>
      </c>
      <c r="B66" s="83">
        <f>floors!$C$2</f>
        <v>30037</v>
      </c>
      <c r="C66" s="84" t="str">
        <f ca="1">VLOOKUP($B66,OFFSET([2]quests!$A$1,0,0,COUNTA([2]quests!$A:$A),MATCH(C$1,[2]quests!$1:$1,0)-MATCH($B$1,[2]quests!$1:$1,0)+1),MATCH(C$1,[2]quests!$1:$1,0)-MATCH($B$1,[2]quests!$1:$1,0)+1,FALSE)</f>
        <v>灯り火の麗人</v>
      </c>
      <c r="D66" s="84" t="str">
        <f ca="1">VLOOKUP($B66,OFFSET([2]quests!$A$1,0,0,COUNTA([2]quests!$A:$A),MATCH(D$1,[2]quests!$1:$1,0)-MATCH($B$1,[2]quests!$1:$1,0)+1),MATCH(D$1,[2]quests!$1:$1,0)-MATCH($B$1,[2]quests!$1:$1,0)+1,FALSE)</f>
        <v>フランス革命シリーズ超級</v>
      </c>
      <c r="E66" s="88">
        <v>2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【上級】灯り火の麗人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フランス革命シリーズ超級</v>
      </c>
      <c r="H66" s="86">
        <v>0</v>
      </c>
      <c r="I66" s="97">
        <v>37</v>
      </c>
      <c r="J66" s="85" t="s">
        <v>198</v>
      </c>
      <c r="K66" s="94" t="str">
        <f>VLOOKUP(I66,[7]stage_hints!$A:$C,3,FALSE)</f>
        <v>限界突破値の引き継ぎ</v>
      </c>
      <c r="L66" s="95" t="str">
        <f>VLOOKUP(I66,[7]stage_hints!$A:$D,4,FALSE)</f>
        <v>同じユニットを強化で合成すると_x000D_限界突破値を引き継げます（覚醒前後も可）</v>
      </c>
      <c r="M66" s="57" t="s">
        <v>211</v>
      </c>
    </row>
    <row r="67" spans="1:13" x14ac:dyDescent="0.15">
      <c r="A67" s="82" t="s">
        <v>201</v>
      </c>
      <c r="B67" s="83">
        <f>floors!$C$2</f>
        <v>30037</v>
      </c>
      <c r="C67" s="84" t="str">
        <f ca="1">VLOOKUP($B67,OFFSET([2]quests!$A$1,0,0,COUNTA([2]quests!$A:$A),MATCH(C$1,[2]quests!$1:$1,0)-MATCH($B$1,[2]quests!$1:$1,0)+1),MATCH(C$1,[2]quests!$1:$1,0)-MATCH($B$1,[2]quests!$1:$1,0)+1,FALSE)</f>
        <v>灯り火の麗人</v>
      </c>
      <c r="D67" s="84" t="str">
        <f ca="1">VLOOKUP($B67,OFFSET([2]quests!$A$1,0,0,COUNTA([2]quests!$A:$A),MATCH(D$1,[2]quests!$1:$1,0)-MATCH($B$1,[2]quests!$1:$1,0)+1),MATCH(D$1,[2]quests!$1:$1,0)-MATCH($B$1,[2]quests!$1:$1,0)+1,FALSE)</f>
        <v>フランス革命シリーズ超級</v>
      </c>
      <c r="E67" s="88">
        <v>2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【上級】灯り火の麗人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フランス革命シリーズ超級</v>
      </c>
      <c r="H67" s="86">
        <v>0</v>
      </c>
      <c r="I67" s="97">
        <v>39</v>
      </c>
      <c r="J67" s="85" t="s">
        <v>198</v>
      </c>
      <c r="K67" s="94" t="str">
        <f>VLOOKUP(I67,[7]stage_hints!$A:$C,3,FALSE)</f>
        <v>システム適合者を確認</v>
      </c>
      <c r="L67" s="95" t="str">
        <f>VLOOKUP(I67,[7]stage_hints!$A:$D,4,FALSE)</f>
        <v>ALICEが 「アナタ」を呼んでいます</v>
      </c>
      <c r="M67" s="57" t="s">
        <v>211</v>
      </c>
    </row>
    <row r="68" spans="1:13" x14ac:dyDescent="0.15">
      <c r="A68" s="82" t="s">
        <v>201</v>
      </c>
      <c r="B68" s="83">
        <f>floors!$C$2</f>
        <v>30037</v>
      </c>
      <c r="C68" s="84" t="str">
        <f ca="1">VLOOKUP($B68,OFFSET([2]quests!$A$1,0,0,COUNTA([2]quests!$A:$A),MATCH(C$1,[2]quests!$1:$1,0)-MATCH($B$1,[2]quests!$1:$1,0)+1),MATCH(C$1,[2]quests!$1:$1,0)-MATCH($B$1,[2]quests!$1:$1,0)+1,FALSE)</f>
        <v>灯り火の麗人</v>
      </c>
      <c r="D68" s="84" t="str">
        <f ca="1">VLOOKUP($B68,OFFSET([2]quests!$A$1,0,0,COUNTA([2]quests!$A:$A),MATCH(D$1,[2]quests!$1:$1,0)-MATCH($B$1,[2]quests!$1:$1,0)+1),MATCH(D$1,[2]quests!$1:$1,0)-MATCH($B$1,[2]quests!$1:$1,0)+1,FALSE)</f>
        <v>フランス革命シリーズ超級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【超級】灯り火の麗人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フランス革命シリーズ超級</v>
      </c>
      <c r="H68" s="86">
        <v>0</v>
      </c>
      <c r="I68">
        <v>12</v>
      </c>
      <c r="J68" s="85" t="s">
        <v>198</v>
      </c>
      <c r="K68" s="94" t="str">
        <f>VLOOKUP(I68,[7]stage_hints!$A:$C,3,FALSE)</f>
        <v>ユニットのお気に入り登録</v>
      </c>
      <c r="L68" s="95" t="str">
        <f>VLOOKUP(I68,[7]stage_hints!$A:$D,4,FALSE)</f>
        <v>大事なユニットを誤って消さないように_x000D_フォルダから「お気に入り登録」しましょう</v>
      </c>
      <c r="M68" s="57" t="s">
        <v>211</v>
      </c>
    </row>
    <row r="69" spans="1:13" x14ac:dyDescent="0.15">
      <c r="A69" s="82" t="s">
        <v>201</v>
      </c>
      <c r="B69" s="83">
        <f>floors!$C$2</f>
        <v>30037</v>
      </c>
      <c r="C69" s="84" t="str">
        <f ca="1">VLOOKUP($B69,OFFSET([2]quests!$A$1,0,0,COUNTA([2]quests!$A:$A),MATCH(C$1,[2]quests!$1:$1,0)-MATCH($B$1,[2]quests!$1:$1,0)+1),MATCH(C$1,[2]quests!$1:$1,0)-MATCH($B$1,[2]quests!$1:$1,0)+1,FALSE)</f>
        <v>灯り火の麗人</v>
      </c>
      <c r="D69" s="84" t="str">
        <f ca="1">VLOOKUP($B69,OFFSET([2]quests!$A$1,0,0,COUNTA([2]quests!$A:$A),MATCH(D$1,[2]quests!$1:$1,0)-MATCH($B$1,[2]quests!$1:$1,0)+1),MATCH(D$1,[2]quests!$1:$1,0)-MATCH($B$1,[2]quests!$1:$1,0)+1,FALSE)</f>
        <v>フランス革命シリーズ超級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【超級】灯り火の麗人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フランス革命シリーズ超級</v>
      </c>
      <c r="H69" s="86">
        <v>0</v>
      </c>
      <c r="I69">
        <v>17</v>
      </c>
      <c r="J69" s="85" t="s">
        <v>198</v>
      </c>
      <c r="K69" s="94" t="str">
        <f>VLOOKUP(I69,[7]stage_hints!$A:$C,3,FALSE)</f>
        <v>リンクガチャ</v>
      </c>
      <c r="L69" s="95" t="str">
        <f>VLOOKUP(I69,[7]stage_hints!$A:$D,4,FALSE)</f>
        <v>無料のリンクガチャを回して_x000D_経験値素材や売却素材を獲得しましょう</v>
      </c>
      <c r="M69" s="57" t="s">
        <v>211</v>
      </c>
    </row>
    <row r="70" spans="1:13" x14ac:dyDescent="0.15">
      <c r="A70" s="82" t="s">
        <v>201</v>
      </c>
      <c r="B70" s="83">
        <f>floors!$C$2</f>
        <v>30037</v>
      </c>
      <c r="C70" s="84" t="str">
        <f ca="1">VLOOKUP($B70,OFFSET([2]quests!$A$1,0,0,COUNTA([2]quests!$A:$A),MATCH(C$1,[2]quests!$1:$1,0)-MATCH($B$1,[2]quests!$1:$1,0)+1),MATCH(C$1,[2]quests!$1:$1,0)-MATCH($B$1,[2]quests!$1:$1,0)+1,FALSE)</f>
        <v>灯り火の麗人</v>
      </c>
      <c r="D70" s="84" t="str">
        <f ca="1">VLOOKUP($B70,OFFSET([2]quests!$A$1,0,0,COUNTA([2]quests!$A:$A),MATCH(D$1,[2]quests!$1:$1,0)-MATCH($B$1,[2]quests!$1:$1,0)+1),MATCH(D$1,[2]quests!$1:$1,0)-MATCH($B$1,[2]quests!$1:$1,0)+1,FALSE)</f>
        <v>フランス革命シリーズ超級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【超級】灯り火の麗人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フランス革命シリーズ超級</v>
      </c>
      <c r="H70" s="86">
        <v>0</v>
      </c>
      <c r="I70">
        <v>19</v>
      </c>
      <c r="J70" s="85" t="s">
        <v>198</v>
      </c>
      <c r="K70" s="94" t="str">
        <f>VLOOKUP(I70,[7]stage_hints!$A:$C,3,FALSE)</f>
        <v>ソロ専用タワーオブザクイーン</v>
      </c>
      <c r="L70" s="95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211</v>
      </c>
    </row>
    <row r="71" spans="1:13" x14ac:dyDescent="0.15">
      <c r="A71" s="82" t="s">
        <v>201</v>
      </c>
      <c r="B71" s="83">
        <f>floors!$C$2</f>
        <v>30037</v>
      </c>
      <c r="C71" s="84" t="str">
        <f ca="1">VLOOKUP($B71,OFFSET([2]quests!$A$1,0,0,COUNTA([2]quests!$A:$A),MATCH(C$1,[2]quests!$1:$1,0)-MATCH($B$1,[2]quests!$1:$1,0)+1),MATCH(C$1,[2]quests!$1:$1,0)-MATCH($B$1,[2]quests!$1:$1,0)+1,FALSE)</f>
        <v>灯り火の麗人</v>
      </c>
      <c r="D71" s="84" t="str">
        <f ca="1">VLOOKUP($B71,OFFSET([2]quests!$A$1,0,0,COUNTA([2]quests!$A:$A),MATCH(D$1,[2]quests!$1:$1,0)-MATCH($B$1,[2]quests!$1:$1,0)+1),MATCH(D$1,[2]quests!$1:$1,0)-MATCH($B$1,[2]quests!$1:$1,0)+1,FALSE)</f>
        <v>フランス革命シリーズ超級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【超級】灯り火の麗人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フランス革命シリーズ超級</v>
      </c>
      <c r="H71" s="86">
        <v>0</v>
      </c>
      <c r="I71">
        <v>21</v>
      </c>
      <c r="J71" s="85" t="s">
        <v>198</v>
      </c>
      <c r="K71" s="94" t="str">
        <f>VLOOKUP(I71,[7]stage_hints!$A:$C,3,FALSE)</f>
        <v>スキルを有効に</v>
      </c>
      <c r="L71" s="95" t="str">
        <f>VLOOKUP(I71,[7]stage_hints!$A:$D,4,FALSE)</f>
        <v>ターン経過でユニットのスキルが使えます_x000D_強力スキルでバトルを有利に進めましょう</v>
      </c>
      <c r="M71" s="57" t="s">
        <v>211</v>
      </c>
    </row>
    <row r="72" spans="1:13" x14ac:dyDescent="0.15">
      <c r="A72" s="82" t="s">
        <v>201</v>
      </c>
      <c r="B72" s="83">
        <f>floors!$C$2</f>
        <v>30037</v>
      </c>
      <c r="C72" s="84" t="str">
        <f ca="1">VLOOKUP($B72,OFFSET([2]quests!$A$1,0,0,COUNTA([2]quests!$A:$A),MATCH(C$1,[2]quests!$1:$1,0)-MATCH($B$1,[2]quests!$1:$1,0)+1),MATCH(C$1,[2]quests!$1:$1,0)-MATCH($B$1,[2]quests!$1:$1,0)+1,FALSE)</f>
        <v>灯り火の麗人</v>
      </c>
      <c r="D72" s="84" t="str">
        <f ca="1">VLOOKUP($B72,OFFSET([2]quests!$A$1,0,0,COUNTA([2]quests!$A:$A),MATCH(D$1,[2]quests!$1:$1,0)-MATCH($B$1,[2]quests!$1:$1,0)+1),MATCH(D$1,[2]quests!$1:$1,0)-MATCH($B$1,[2]quests!$1:$1,0)+1,FALSE)</f>
        <v>フランス革命シリーズ超級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【超級】灯り火の麗人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フランス革命シリーズ超級</v>
      </c>
      <c r="H72" s="86">
        <v>0</v>
      </c>
      <c r="I72">
        <v>27</v>
      </c>
      <c r="J72" s="85" t="s">
        <v>198</v>
      </c>
      <c r="K72" s="94" t="str">
        <f>VLOOKUP(I72,[7]stage_hints!$A:$C,3,FALSE)</f>
        <v>ホーム画面からデッキを編成</v>
      </c>
      <c r="L72" s="95" t="str">
        <f>VLOOKUP(I72,[7]stage_hints!$A:$D,4,FALSE)</f>
        <v>ホーム画面でユニットを長押しすると_x000D_すぐにパーティ編成に移動できます</v>
      </c>
      <c r="M72" s="57" t="s">
        <v>211</v>
      </c>
    </row>
    <row r="73" spans="1:13" x14ac:dyDescent="0.15">
      <c r="A73" s="82" t="s">
        <v>201</v>
      </c>
      <c r="B73" s="83">
        <f>floors!$C$2</f>
        <v>30037</v>
      </c>
      <c r="C73" s="84" t="str">
        <f ca="1">VLOOKUP($B73,OFFSET([2]quests!$A$1,0,0,COUNTA([2]quests!$A:$A),MATCH(C$1,[2]quests!$1:$1,0)-MATCH($B$1,[2]quests!$1:$1,0)+1),MATCH(C$1,[2]quests!$1:$1,0)-MATCH($B$1,[2]quests!$1:$1,0)+1,FALSE)</f>
        <v>灯り火の麗人</v>
      </c>
      <c r="D73" s="84" t="str">
        <f ca="1">VLOOKUP($B73,OFFSET([2]quests!$A$1,0,0,COUNTA([2]quests!$A:$A),MATCH(D$1,[2]quests!$1:$1,0)-MATCH($B$1,[2]quests!$1:$1,0)+1),MATCH(D$1,[2]quests!$1:$1,0)-MATCH($B$1,[2]quests!$1:$1,0)+1,FALSE)</f>
        <v>フランス革命シリーズ超級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【超級】灯り火の麗人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フランス革命シリーズ超級</v>
      </c>
      <c r="H73" s="86">
        <v>0</v>
      </c>
      <c r="I73">
        <v>28</v>
      </c>
      <c r="J73" s="85" t="s">
        <v>198</v>
      </c>
      <c r="K73" s="94" t="str">
        <f>VLOOKUP(I73,[7]stage_hints!$A:$C,3,FALSE)</f>
        <v>ステータス情報は長押しで</v>
      </c>
      <c r="L73" s="95" t="str">
        <f>VLOOKUP(I73,[7]stage_hints!$A:$D,4,FALSE)</f>
        <v>ユニットのアイコンを長押しすると_x000D_ステータス情報を確認することができます</v>
      </c>
      <c r="M73" s="57" t="s">
        <v>211</v>
      </c>
    </row>
    <row r="74" spans="1:13" x14ac:dyDescent="0.15">
      <c r="A74" s="82" t="s">
        <v>201</v>
      </c>
      <c r="B74" s="83">
        <f>floors!$C$2</f>
        <v>30037</v>
      </c>
      <c r="C74" s="84" t="str">
        <f ca="1">VLOOKUP($B74,OFFSET([2]quests!$A$1,0,0,COUNTA([2]quests!$A:$A),MATCH(C$1,[2]quests!$1:$1,0)-MATCH($B$1,[2]quests!$1:$1,0)+1),MATCH(C$1,[2]quests!$1:$1,0)-MATCH($B$1,[2]quests!$1:$1,0)+1,FALSE)</f>
        <v>灯り火の麗人</v>
      </c>
      <c r="D74" s="84" t="str">
        <f ca="1">VLOOKUP($B74,OFFSET([2]quests!$A$1,0,0,COUNTA([2]quests!$A:$A),MATCH(D$1,[2]quests!$1:$1,0)-MATCH($B$1,[2]quests!$1:$1,0)+1),MATCH(D$1,[2]quests!$1:$1,0)-MATCH($B$1,[2]quests!$1:$1,0)+1,FALSE)</f>
        <v>フランス革命シリーズ超級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【超級】灯り火の麗人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フランス革命シリーズ超級</v>
      </c>
      <c r="H74" s="86">
        <v>0</v>
      </c>
      <c r="I74">
        <v>29</v>
      </c>
      <c r="J74" s="85" t="s">
        <v>198</v>
      </c>
      <c r="K74" s="94" t="str">
        <f>VLOOKUP(I74,[7]stage_hints!$A:$C,3,FALSE)</f>
        <v>「バグ」のメリット</v>
      </c>
      <c r="L74" s="95" t="str">
        <f>VLOOKUP(I74,[7]stage_hints!$A:$D,4,FALSE)</f>
        <v>ユニットの「バグ」を増やすと_x000D_報酬をもらえる確率がアップします</v>
      </c>
      <c r="M74" s="57" t="s">
        <v>211</v>
      </c>
    </row>
    <row r="75" spans="1:13" x14ac:dyDescent="0.15">
      <c r="A75" s="82" t="s">
        <v>201</v>
      </c>
      <c r="B75" s="83">
        <f>floors!$C$2</f>
        <v>30037</v>
      </c>
      <c r="C75" s="84" t="str">
        <f ca="1">VLOOKUP($B75,OFFSET([2]quests!$A$1,0,0,COUNTA([2]quests!$A:$A),MATCH(C$1,[2]quests!$1:$1,0)-MATCH($B$1,[2]quests!$1:$1,0)+1),MATCH(C$1,[2]quests!$1:$1,0)-MATCH($B$1,[2]quests!$1:$1,0)+1,FALSE)</f>
        <v>灯り火の麗人</v>
      </c>
      <c r="D75" s="84" t="str">
        <f ca="1">VLOOKUP($B75,OFFSET([2]quests!$A$1,0,0,COUNTA([2]quests!$A:$A),MATCH(D$1,[2]quests!$1:$1,0)-MATCH($B$1,[2]quests!$1:$1,0)+1),MATCH(D$1,[2]quests!$1:$1,0)-MATCH($B$1,[2]quests!$1:$1,0)+1,FALSE)</f>
        <v>フランス革命シリーズ超級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【超級】灯り火の麗人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フランス革命シリーズ超級</v>
      </c>
      <c r="H75" s="86">
        <v>0</v>
      </c>
      <c r="I75">
        <v>30</v>
      </c>
      <c r="J75" s="85" t="s">
        <v>198</v>
      </c>
      <c r="K75" s="94" t="str">
        <f>VLOOKUP(I75,[7]stage_hints!$A:$C,3,FALSE)</f>
        <v>「バグ」の増やし方</v>
      </c>
      <c r="L75" s="95" t="str">
        <f>VLOOKUP(I75,[7]stage_hints!$A:$D,4,FALSE)</f>
        <v>同じユニット同士を強化で合成すると_x000D_「バグ」を増やすことができます</v>
      </c>
      <c r="M75" s="57" t="s">
        <v>211</v>
      </c>
    </row>
    <row r="76" spans="1:13" x14ac:dyDescent="0.15">
      <c r="A76" s="82" t="s">
        <v>201</v>
      </c>
      <c r="B76" s="83">
        <f>floors!$C$2</f>
        <v>30037</v>
      </c>
      <c r="C76" s="84" t="str">
        <f ca="1">VLOOKUP($B76,OFFSET([2]quests!$A$1,0,0,COUNTA([2]quests!$A:$A),MATCH(C$1,[2]quests!$1:$1,0)-MATCH($B$1,[2]quests!$1:$1,0)+1),MATCH(C$1,[2]quests!$1:$1,0)-MATCH($B$1,[2]quests!$1:$1,0)+1,FALSE)</f>
        <v>灯り火の麗人</v>
      </c>
      <c r="D76" s="84" t="str">
        <f ca="1">VLOOKUP($B76,OFFSET([2]quests!$A$1,0,0,COUNTA([2]quests!$A:$A),MATCH(D$1,[2]quests!$1:$1,0)-MATCH($B$1,[2]quests!$1:$1,0)+1),MATCH(D$1,[2]quests!$1:$1,0)-MATCH($B$1,[2]quests!$1:$1,0)+1,FALSE)</f>
        <v>フランス革命シリーズ超級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【超級】灯り火の麗人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フランス革命シリーズ超級</v>
      </c>
      <c r="H76" s="86">
        <v>0</v>
      </c>
      <c r="I76">
        <v>32</v>
      </c>
      <c r="J76" s="85" t="s">
        <v>198</v>
      </c>
      <c r="K76" s="94" t="str">
        <f>VLOOKUP(I76,[7]stage_hints!$A:$C,3,FALSE)</f>
        <v>敵の連続攻撃には</v>
      </c>
      <c r="L76" s="95" t="str">
        <f>VLOOKUP(I76,[7]stage_hints!$A:$D,4,FALSE)</f>
        <v>カウンタースキルを持つユニットがいれば_x000D_ダメージ回数分の反撃ができます</v>
      </c>
      <c r="M76" s="57" t="s">
        <v>211</v>
      </c>
    </row>
    <row r="77" spans="1:13" x14ac:dyDescent="0.15">
      <c r="A77" s="82" t="s">
        <v>201</v>
      </c>
      <c r="B77" s="83">
        <f>floors!$C$2</f>
        <v>30037</v>
      </c>
      <c r="C77" s="84" t="str">
        <f ca="1">VLOOKUP($B77,OFFSET([2]quests!$A$1,0,0,COUNTA([2]quests!$A:$A),MATCH(C$1,[2]quests!$1:$1,0)-MATCH($B$1,[2]quests!$1:$1,0)+1),MATCH(C$1,[2]quests!$1:$1,0)-MATCH($B$1,[2]quests!$1:$1,0)+1,FALSE)</f>
        <v>灯り火の麗人</v>
      </c>
      <c r="D77" s="84" t="str">
        <f ca="1">VLOOKUP($B77,OFFSET([2]quests!$A$1,0,0,COUNTA([2]quests!$A:$A),MATCH(D$1,[2]quests!$1:$1,0)-MATCH($B$1,[2]quests!$1:$1,0)+1),MATCH(D$1,[2]quests!$1:$1,0)-MATCH($B$1,[2]quests!$1:$1,0)+1,FALSE)</f>
        <v>フランス革命シリーズ超級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【超級】灯り火の麗人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フランス革命シリーズ超級</v>
      </c>
      <c r="H77" s="86">
        <v>0</v>
      </c>
      <c r="I77">
        <v>33</v>
      </c>
      <c r="J77" s="85" t="s">
        <v>198</v>
      </c>
      <c r="K77" s="94" t="str">
        <f>VLOOKUP(I77,[7]stage_hints!$A:$C,3,FALSE)</f>
        <v>敵のカウンター攻撃には</v>
      </c>
      <c r="L77" s="95" t="str">
        <f>VLOOKUP(I77,[7]stage_hints!$A:$D,4,FALSE)</f>
        <v>カウンターブレイクスキルを持っていれば_x000D_敵のカウンターを解除して攻撃ができます</v>
      </c>
      <c r="M77" s="57" t="s">
        <v>211</v>
      </c>
    </row>
    <row r="78" spans="1:13" x14ac:dyDescent="0.15">
      <c r="A78" s="82" t="s">
        <v>201</v>
      </c>
      <c r="B78" s="83">
        <f>floors!$C$2</f>
        <v>30037</v>
      </c>
      <c r="C78" s="84" t="str">
        <f ca="1">VLOOKUP($B78,OFFSET([2]quests!$A$1,0,0,COUNTA([2]quests!$A:$A),MATCH(C$1,[2]quests!$1:$1,0)-MATCH($B$1,[2]quests!$1:$1,0)+1),MATCH(C$1,[2]quests!$1:$1,0)-MATCH($B$1,[2]quests!$1:$1,0)+1,FALSE)</f>
        <v>灯り火の麗人</v>
      </c>
      <c r="D78" s="84" t="str">
        <f ca="1">VLOOKUP($B78,OFFSET([2]quests!$A$1,0,0,COUNTA([2]quests!$A:$A),MATCH(D$1,[2]quests!$1:$1,0)-MATCH($B$1,[2]quests!$1:$1,0)+1),MATCH(D$1,[2]quests!$1:$1,0)-MATCH($B$1,[2]quests!$1:$1,0)+1,FALSE)</f>
        <v>フランス革命シリーズ超級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【超級】灯り火の麗人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フランス革命シリーズ超級</v>
      </c>
      <c r="H78" s="86">
        <v>0</v>
      </c>
      <c r="I78">
        <v>34</v>
      </c>
      <c r="J78" s="85" t="s">
        <v>198</v>
      </c>
      <c r="K78" s="94" t="str">
        <f>VLOOKUP(I78,[7]stage_hints!$A:$C,3,FALSE)</f>
        <v>ステータスをスキルで下げられたら</v>
      </c>
      <c r="L78" s="95" t="str">
        <f>VLOOKUP(I78,[7]stage_hints!$A:$D,4,FALSE)</f>
        <v>ステータスダウンのスキルを受けたら_x000D_ステータスアップスキルで上書きしましょう</v>
      </c>
      <c r="M78" s="57" t="s">
        <v>211</v>
      </c>
    </row>
    <row r="79" spans="1:13" x14ac:dyDescent="0.15">
      <c r="A79" s="82" t="s">
        <v>201</v>
      </c>
      <c r="B79" s="83">
        <f>floors!$C$2</f>
        <v>30037</v>
      </c>
      <c r="C79" s="84" t="str">
        <f ca="1">VLOOKUP($B79,OFFSET([2]quests!$A$1,0,0,COUNTA([2]quests!$A:$A),MATCH(C$1,[2]quests!$1:$1,0)-MATCH($B$1,[2]quests!$1:$1,0)+1),MATCH(C$1,[2]quests!$1:$1,0)-MATCH($B$1,[2]quests!$1:$1,0)+1,FALSE)</f>
        <v>灯り火の麗人</v>
      </c>
      <c r="D79" s="84" t="str">
        <f ca="1">VLOOKUP($B79,OFFSET([2]quests!$A$1,0,0,COUNTA([2]quests!$A:$A),MATCH(D$1,[2]quests!$1:$1,0)-MATCH($B$1,[2]quests!$1:$1,0)+1),MATCH(D$1,[2]quests!$1:$1,0)-MATCH($B$1,[2]quests!$1:$1,0)+1,FALSE)</f>
        <v>フランス革命シリーズ超級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【超級】灯り火の麗人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フランス革命シリーズ超級</v>
      </c>
      <c r="H79" s="86">
        <v>0</v>
      </c>
      <c r="I79">
        <v>35</v>
      </c>
      <c r="J79" s="85" t="s">
        <v>198</v>
      </c>
      <c r="K79" s="94" t="str">
        <f>VLOOKUP(I79,[7]stage_hints!$A:$C,3,FALSE)</f>
        <v>敵のステータスがスキルで上がったら</v>
      </c>
      <c r="L79" s="95" t="str">
        <f>VLOOKUP(I79,[7]stage_hints!$A:$D,4,FALSE)</f>
        <v>敵のステータスがスキルでアップしたときは_x000D_ステータスダウンスキルで上書きしましょう</v>
      </c>
      <c r="M79" s="57" t="s">
        <v>211</v>
      </c>
    </row>
    <row r="80" spans="1:13" x14ac:dyDescent="0.15">
      <c r="A80" s="82" t="s">
        <v>201</v>
      </c>
      <c r="B80" s="83">
        <f>floors!$C$2</f>
        <v>30037</v>
      </c>
      <c r="C80" s="84" t="str">
        <f ca="1">VLOOKUP($B80,OFFSET([2]quests!$A$1,0,0,COUNTA([2]quests!$A:$A),MATCH(C$1,[2]quests!$1:$1,0)-MATCH($B$1,[2]quests!$1:$1,0)+1),MATCH(C$1,[2]quests!$1:$1,0)-MATCH($B$1,[2]quests!$1:$1,0)+1,FALSE)</f>
        <v>灯り火の麗人</v>
      </c>
      <c r="D80" s="84" t="str">
        <f ca="1">VLOOKUP($B80,OFFSET([2]quests!$A$1,0,0,COUNTA([2]quests!$A:$A),MATCH(D$1,[2]quests!$1:$1,0)-MATCH($B$1,[2]quests!$1:$1,0)+1),MATCH(D$1,[2]quests!$1:$1,0)-MATCH($B$1,[2]quests!$1:$1,0)+1,FALSE)</f>
        <v>フランス革命シリーズ超級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【超級】灯り火の麗人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フランス革命シリーズ超級</v>
      </c>
      <c r="H80" s="86">
        <v>0</v>
      </c>
      <c r="I80">
        <v>36</v>
      </c>
      <c r="J80" s="85" t="s">
        <v>198</v>
      </c>
      <c r="K80" s="94" t="str">
        <f>VLOOKUP(I80,[7]stage_hints!$A:$C,3,FALSE)</f>
        <v>タワーオブザクイーンのボス</v>
      </c>
      <c r="L80" s="95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211</v>
      </c>
    </row>
    <row r="81" spans="1:13" x14ac:dyDescent="0.15">
      <c r="A81" s="82" t="s">
        <v>201</v>
      </c>
      <c r="B81" s="83">
        <f>floors!$C$2</f>
        <v>30037</v>
      </c>
      <c r="C81" s="84" t="str">
        <f ca="1">VLOOKUP($B81,OFFSET([2]quests!$A$1,0,0,COUNTA([2]quests!$A:$A),MATCH(C$1,[2]quests!$1:$1,0)-MATCH($B$1,[2]quests!$1:$1,0)+1),MATCH(C$1,[2]quests!$1:$1,0)-MATCH($B$1,[2]quests!$1:$1,0)+1,FALSE)</f>
        <v>灯り火の麗人</v>
      </c>
      <c r="D81" s="84" t="str">
        <f ca="1">VLOOKUP($B81,OFFSET([2]quests!$A$1,0,0,COUNTA([2]quests!$A:$A),MATCH(D$1,[2]quests!$1:$1,0)-MATCH($B$1,[2]quests!$1:$1,0)+1),MATCH(D$1,[2]quests!$1:$1,0)-MATCH($B$1,[2]quests!$1:$1,0)+1,FALSE)</f>
        <v>フランス革命シリーズ超級</v>
      </c>
      <c r="E81" s="88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【超級】灯り火の麗人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フランス革命シリーズ超級</v>
      </c>
      <c r="H81" s="86">
        <v>0</v>
      </c>
      <c r="I81">
        <v>37</v>
      </c>
      <c r="J81" s="85" t="s">
        <v>198</v>
      </c>
      <c r="K81" s="94" t="str">
        <f>VLOOKUP(I81,[7]stage_hints!$A:$C,3,FALSE)</f>
        <v>限界突破値の引き継ぎ</v>
      </c>
      <c r="L81" s="95" t="str">
        <f>VLOOKUP(I81,[7]stage_hints!$A:$D,4,FALSE)</f>
        <v>同じユニットを強化で合成すると_x000D_限界突破値を引き継げます（覚醒前後も可）</v>
      </c>
      <c r="M81" s="57" t="s">
        <v>211</v>
      </c>
    </row>
    <row r="82" spans="1:13" x14ac:dyDescent="0.15">
      <c r="A82" s="82" t="s">
        <v>201</v>
      </c>
      <c r="B82" s="83">
        <f>floors!$C$2</f>
        <v>30037</v>
      </c>
      <c r="C82" s="84" t="str">
        <f ca="1">VLOOKUP($B82,OFFSET([2]quests!$A$1,0,0,COUNTA([2]quests!$A:$A),MATCH(C$1,[2]quests!$1:$1,0)-MATCH($B$1,[2]quests!$1:$1,0)+1),MATCH(C$1,[2]quests!$1:$1,0)-MATCH($B$1,[2]quests!$1:$1,0)+1,FALSE)</f>
        <v>灯り火の麗人</v>
      </c>
      <c r="D82" s="84" t="str">
        <f ca="1">VLOOKUP($B82,OFFSET([2]quests!$A$1,0,0,COUNTA([2]quests!$A:$A),MATCH(D$1,[2]quests!$1:$1,0)-MATCH($B$1,[2]quests!$1:$1,0)+1),MATCH(D$1,[2]quests!$1:$1,0)-MATCH($B$1,[2]quests!$1:$1,0)+1,FALSE)</f>
        <v>フランス革命シリーズ超級</v>
      </c>
      <c r="E82" s="88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【超級】灯り火の麗人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フランス革命シリーズ超級</v>
      </c>
      <c r="H82" s="86">
        <v>0</v>
      </c>
      <c r="I82">
        <v>39</v>
      </c>
      <c r="J82" s="85" t="s">
        <v>198</v>
      </c>
      <c r="K82" s="94" t="str">
        <f>VLOOKUP(I82,[7]stage_hints!$A:$C,3,FALSE)</f>
        <v>システム適合者を確認</v>
      </c>
      <c r="L82" s="95" t="str">
        <f>VLOOKUP(I82,[7]stage_hints!$A:$D,4,FALSE)</f>
        <v>ALICEが 「アナタ」を呼んでいます</v>
      </c>
      <c r="M82" s="57" t="s">
        <v>211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6"/>
  <sheetViews>
    <sheetView showGridLines="0" workbookViewId="0">
      <pane ySplit="1" topLeftCell="A9" activePane="bottomLeft" state="frozen"/>
      <selection pane="bottomLeft" activeCell="M16" sqref="M1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188</v>
      </c>
      <c r="B1" s="74" t="s">
        <v>151</v>
      </c>
      <c r="C1" s="78" t="s">
        <v>190</v>
      </c>
      <c r="D1" s="78" t="s">
        <v>33</v>
      </c>
      <c r="E1" s="74" t="s">
        <v>191</v>
      </c>
      <c r="F1" s="78" t="s">
        <v>18</v>
      </c>
      <c r="G1" s="78" t="s">
        <v>33</v>
      </c>
      <c r="H1" s="74" t="s">
        <v>193</v>
      </c>
      <c r="I1" s="90" t="s">
        <v>194</v>
      </c>
      <c r="J1" s="92" t="s">
        <v>195</v>
      </c>
      <c r="K1" s="80" t="s">
        <v>127</v>
      </c>
      <c r="L1" s="79" t="s">
        <v>187</v>
      </c>
      <c r="M1" s="93" t="s">
        <v>186</v>
      </c>
      <c r="N1" s="81" t="s">
        <v>196</v>
      </c>
    </row>
    <row r="2" spans="1:14" ht="42" x14ac:dyDescent="0.15">
      <c r="A2" s="82" t="s">
        <v>197</v>
      </c>
      <c r="B2" s="83">
        <f>floors!$C$2</f>
        <v>30037</v>
      </c>
      <c r="C2" s="84" t="str">
        <f ca="1">VLOOKUP($B2,OFFSET([2]quests!$A$1,0,0,COUNTA([2]quests!$A:$A),MATCH(C$1,[2]quests!$1:$1,0)-MATCH($B$1,[2]quests!$1:$1,0)+1),MATCH(C$1,[2]quests!$1:$1,0)-MATCH($B$1,[2]quests!$1:$1,0)+1,FALSE)</f>
        <v>灯り火の麗人</v>
      </c>
      <c r="D2" s="84" t="str">
        <f ca="1">VLOOKUP($B2,OFFSET([2]quests!$A$1,0,0,COUNTA([2]quests!$A:$A),MATCH(D$1,[2]quests!$1:$1,0)-MATCH($B$1,[2]quests!$1:$1,0)+1),MATCH(D$1,[2]quests!$1:$1,0)-MATCH($B$1,[2]quests!$1:$1,0)+1,FALSE)</f>
        <v>フランス革命シリーズ超級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【中級】灯り火の麗人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フランス革命シリーズ超級</v>
      </c>
      <c r="H2" s="86">
        <v>1</v>
      </c>
      <c r="I2" s="91">
        <f t="shared" ref="I2:I16" si="0">ROW()-1</f>
        <v>1</v>
      </c>
      <c r="J2" s="87" t="str">
        <f t="shared" ref="J2:J16" si="1">B2&amp;TEXT(I2,"00")</f>
        <v>3003701</v>
      </c>
      <c r="K2" s="85" t="s">
        <v>198</v>
      </c>
      <c r="L2" s="88" t="s">
        <v>199</v>
      </c>
      <c r="M2" s="106" t="s">
        <v>308</v>
      </c>
      <c r="N2" s="57" t="s">
        <v>200</v>
      </c>
    </row>
    <row r="3" spans="1:14" ht="56" x14ac:dyDescent="0.15">
      <c r="A3" s="82" t="s">
        <v>197</v>
      </c>
      <c r="B3" s="83">
        <f>floors!$C$2</f>
        <v>30037</v>
      </c>
      <c r="C3" s="84" t="str">
        <f ca="1">VLOOKUP($B3,OFFSET([2]quests!$A$1,0,0,COUNTA([2]quests!$A:$A),MATCH(C$1,[2]quests!$1:$1,0)-MATCH($B$1,[2]quests!$1:$1,0)+1),MATCH(C$1,[2]quests!$1:$1,0)-MATCH($B$1,[2]quests!$1:$1,0)+1,FALSE)</f>
        <v>灯り火の麗人</v>
      </c>
      <c r="D3" s="84" t="str">
        <f ca="1">VLOOKUP($B3,OFFSET([2]quests!$A$1,0,0,COUNTA([2]quests!$A:$A),MATCH(D$1,[2]quests!$1:$1,0)-MATCH($B$1,[2]quests!$1:$1,0)+1),MATCH(D$1,[2]quests!$1:$1,0)-MATCH($B$1,[2]quests!$1:$1,0)+1,FALSE)</f>
        <v>フランス革命シリーズ超級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【中級】灯り火の麗人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フランス革命シリーズ超級</v>
      </c>
      <c r="H3" s="86">
        <v>2</v>
      </c>
      <c r="I3" s="91">
        <f t="shared" si="0"/>
        <v>2</v>
      </c>
      <c r="J3" s="87" t="str">
        <f t="shared" si="1"/>
        <v>3003702</v>
      </c>
      <c r="K3" s="85" t="s">
        <v>198</v>
      </c>
      <c r="L3" s="88" t="s">
        <v>199</v>
      </c>
      <c r="M3" s="106" t="s">
        <v>309</v>
      </c>
      <c r="N3" s="57" t="s">
        <v>200</v>
      </c>
    </row>
    <row r="4" spans="1:14" ht="70" x14ac:dyDescent="0.15">
      <c r="A4" s="82" t="s">
        <v>197</v>
      </c>
      <c r="B4" s="83">
        <f>floors!$C$2</f>
        <v>30037</v>
      </c>
      <c r="C4" s="84" t="str">
        <f ca="1">VLOOKUP($B4,OFFSET([2]quests!$A$1,0,0,COUNTA([2]quests!$A:$A),MATCH(C$1,[2]quests!$1:$1,0)-MATCH($B$1,[2]quests!$1:$1,0)+1),MATCH(C$1,[2]quests!$1:$1,0)-MATCH($B$1,[2]quests!$1:$1,0)+1,FALSE)</f>
        <v>灯り火の麗人</v>
      </c>
      <c r="D4" s="84" t="str">
        <f ca="1">VLOOKUP($B4,OFFSET([2]quests!$A$1,0,0,COUNTA([2]quests!$A:$A),MATCH(D$1,[2]quests!$1:$1,0)-MATCH($B$1,[2]quests!$1:$1,0)+1),MATCH(D$1,[2]quests!$1:$1,0)-MATCH($B$1,[2]quests!$1:$1,0)+1,FALSE)</f>
        <v>フランス革命シリーズ超級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【中級】灯り火の麗人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フランス革命シリーズ超級</v>
      </c>
      <c r="H4" s="86">
        <v>3</v>
      </c>
      <c r="I4" s="91">
        <f t="shared" si="0"/>
        <v>3</v>
      </c>
      <c r="J4" s="87" t="str">
        <f t="shared" si="1"/>
        <v>3003703</v>
      </c>
      <c r="K4" s="85" t="s">
        <v>198</v>
      </c>
      <c r="L4" s="88" t="s">
        <v>199</v>
      </c>
      <c r="M4" s="106" t="s">
        <v>310</v>
      </c>
      <c r="N4" s="57" t="s">
        <v>200</v>
      </c>
    </row>
    <row r="5" spans="1:14" ht="70" x14ac:dyDescent="0.15">
      <c r="A5" s="82" t="s">
        <v>197</v>
      </c>
      <c r="B5" s="83">
        <f>floors!$C$2</f>
        <v>30037</v>
      </c>
      <c r="C5" s="84" t="str">
        <f ca="1">VLOOKUP($B5,OFFSET([2]quests!$A$1,0,0,COUNTA([2]quests!$A:$A),MATCH(C$1,[2]quests!$1:$1,0)-MATCH($B$1,[2]quests!$1:$1,0)+1),MATCH(C$1,[2]quests!$1:$1,0)-MATCH($B$1,[2]quests!$1:$1,0)+1,FALSE)</f>
        <v>灯り火の麗人</v>
      </c>
      <c r="D5" s="84" t="str">
        <f ca="1">VLOOKUP($B5,OFFSET([2]quests!$A$1,0,0,COUNTA([2]quests!$A:$A),MATCH(D$1,[2]quests!$1:$1,0)-MATCH($B$1,[2]quests!$1:$1,0)+1),MATCH(D$1,[2]quests!$1:$1,0)-MATCH($B$1,[2]quests!$1:$1,0)+1,FALSE)</f>
        <v>フランス革命シリーズ超級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【中級】灯り火の麗人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フランス革命シリーズ超級</v>
      </c>
      <c r="H5" s="86">
        <v>4</v>
      </c>
      <c r="I5" s="91">
        <f t="shared" si="0"/>
        <v>4</v>
      </c>
      <c r="J5" s="87" t="str">
        <f t="shared" si="1"/>
        <v>3003704</v>
      </c>
      <c r="K5" s="85" t="s">
        <v>198</v>
      </c>
      <c r="L5" s="88" t="s">
        <v>199</v>
      </c>
      <c r="M5" s="106" t="s">
        <v>311</v>
      </c>
      <c r="N5" s="57" t="s">
        <v>200</v>
      </c>
    </row>
    <row r="6" spans="1:14" ht="70" x14ac:dyDescent="0.15">
      <c r="A6" s="82" t="s">
        <v>197</v>
      </c>
      <c r="B6" s="83">
        <f>floors!$C$2</f>
        <v>30037</v>
      </c>
      <c r="C6" s="84" t="str">
        <f ca="1">VLOOKUP($B6,OFFSET([2]quests!$A$1,0,0,COUNTA([2]quests!$A:$A),MATCH(C$1,[2]quests!$1:$1,0)-MATCH($B$1,[2]quests!$1:$1,0)+1),MATCH(C$1,[2]quests!$1:$1,0)-MATCH($B$1,[2]quests!$1:$1,0)+1,FALSE)</f>
        <v>灯り火の麗人</v>
      </c>
      <c r="D6" s="84" t="str">
        <f ca="1">VLOOKUP($B6,OFFSET([2]quests!$A$1,0,0,COUNTA([2]quests!$A:$A),MATCH(D$1,[2]quests!$1:$1,0)-MATCH($B$1,[2]quests!$1:$1,0)+1),MATCH(D$1,[2]quests!$1:$1,0)-MATCH($B$1,[2]quests!$1:$1,0)+1,FALSE)</f>
        <v>フランス革命シリーズ超級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【中級】灯り火の麗人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フランス革命シリーズ超級</v>
      </c>
      <c r="H6" s="86">
        <v>4</v>
      </c>
      <c r="I6" s="91">
        <f t="shared" si="0"/>
        <v>5</v>
      </c>
      <c r="J6" s="87" t="str">
        <f t="shared" si="1"/>
        <v>3003705</v>
      </c>
      <c r="K6" s="85" t="s">
        <v>198</v>
      </c>
      <c r="L6" s="88" t="s">
        <v>199</v>
      </c>
      <c r="M6" s="106" t="s">
        <v>314</v>
      </c>
      <c r="N6" s="57" t="s">
        <v>200</v>
      </c>
    </row>
    <row r="7" spans="1:14" ht="42" x14ac:dyDescent="0.15">
      <c r="A7" s="82" t="s">
        <v>197</v>
      </c>
      <c r="B7" s="83">
        <f>floors!$C$2</f>
        <v>30037</v>
      </c>
      <c r="C7" s="84" t="str">
        <f ca="1">VLOOKUP($B7,OFFSET([2]quests!$A$1,0,0,COUNTA([2]quests!$A:$A),MATCH(C$1,[2]quests!$1:$1,0)-MATCH($B$1,[2]quests!$1:$1,0)+1),MATCH(C$1,[2]quests!$1:$1,0)-MATCH($B$1,[2]quests!$1:$1,0)+1,FALSE)</f>
        <v>灯り火の麗人</v>
      </c>
      <c r="D7" s="84" t="str">
        <f ca="1">VLOOKUP($B7,OFFSET([2]quests!$A$1,0,0,COUNTA([2]quests!$A:$A),MATCH(D$1,[2]quests!$1:$1,0)-MATCH($B$1,[2]quests!$1:$1,0)+1),MATCH(D$1,[2]quests!$1:$1,0)-MATCH($B$1,[2]quests!$1:$1,0)+1,FALSE)</f>
        <v>フランス革命シリーズ超級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【上級】灯り火の麗人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フランス革命シリーズ超級</v>
      </c>
      <c r="H7" s="86">
        <v>1</v>
      </c>
      <c r="I7" s="91">
        <f t="shared" si="0"/>
        <v>6</v>
      </c>
      <c r="J7" s="87" t="str">
        <f t="shared" si="1"/>
        <v>3003706</v>
      </c>
      <c r="K7" s="85" t="s">
        <v>198</v>
      </c>
      <c r="L7" s="88" t="s">
        <v>199</v>
      </c>
      <c r="M7" s="106" t="s">
        <v>308</v>
      </c>
      <c r="N7" s="57" t="s">
        <v>200</v>
      </c>
    </row>
    <row r="8" spans="1:14" ht="56" x14ac:dyDescent="0.15">
      <c r="A8" s="82" t="s">
        <v>197</v>
      </c>
      <c r="B8" s="83">
        <f>floors!$C$2</f>
        <v>30037</v>
      </c>
      <c r="C8" s="84" t="str">
        <f ca="1">VLOOKUP($B8,OFFSET([2]quests!$A$1,0,0,COUNTA([2]quests!$A:$A),MATCH(C$1,[2]quests!$1:$1,0)-MATCH($B$1,[2]quests!$1:$1,0)+1),MATCH(C$1,[2]quests!$1:$1,0)-MATCH($B$1,[2]quests!$1:$1,0)+1,FALSE)</f>
        <v>灯り火の麗人</v>
      </c>
      <c r="D8" s="84" t="str">
        <f ca="1">VLOOKUP($B8,OFFSET([2]quests!$A$1,0,0,COUNTA([2]quests!$A:$A),MATCH(D$1,[2]quests!$1:$1,0)-MATCH($B$1,[2]quests!$1:$1,0)+1),MATCH(D$1,[2]quests!$1:$1,0)-MATCH($B$1,[2]quests!$1:$1,0)+1,FALSE)</f>
        <v>フランス革命シリーズ超級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【上級】灯り火の麗人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フランス革命シリーズ超級</v>
      </c>
      <c r="H8" s="86">
        <v>2</v>
      </c>
      <c r="I8" s="91">
        <f t="shared" si="0"/>
        <v>7</v>
      </c>
      <c r="J8" s="87" t="str">
        <f t="shared" si="1"/>
        <v>3003707</v>
      </c>
      <c r="K8" s="85" t="s">
        <v>198</v>
      </c>
      <c r="L8" s="88" t="s">
        <v>199</v>
      </c>
      <c r="M8" s="106" t="s">
        <v>309</v>
      </c>
      <c r="N8" s="57" t="s">
        <v>200</v>
      </c>
    </row>
    <row r="9" spans="1:14" ht="70" x14ac:dyDescent="0.15">
      <c r="A9" s="82" t="s">
        <v>197</v>
      </c>
      <c r="B9" s="83">
        <f>floors!$C$2</f>
        <v>30037</v>
      </c>
      <c r="C9" s="84" t="str">
        <f ca="1">VLOOKUP($B9,OFFSET([2]quests!$A$1,0,0,COUNTA([2]quests!$A:$A),MATCH(C$1,[2]quests!$1:$1,0)-MATCH($B$1,[2]quests!$1:$1,0)+1),MATCH(C$1,[2]quests!$1:$1,0)-MATCH($B$1,[2]quests!$1:$1,0)+1,FALSE)</f>
        <v>灯り火の麗人</v>
      </c>
      <c r="D9" s="84" t="str">
        <f ca="1">VLOOKUP($B9,OFFSET([2]quests!$A$1,0,0,COUNTA([2]quests!$A:$A),MATCH(D$1,[2]quests!$1:$1,0)-MATCH($B$1,[2]quests!$1:$1,0)+1),MATCH(D$1,[2]quests!$1:$1,0)-MATCH($B$1,[2]quests!$1:$1,0)+1,FALSE)</f>
        <v>フランス革命シリーズ超級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【上級】灯り火の麗人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フランス革命シリーズ超級</v>
      </c>
      <c r="H9" s="86">
        <v>3</v>
      </c>
      <c r="I9" s="91">
        <f t="shared" si="0"/>
        <v>8</v>
      </c>
      <c r="J9" s="87" t="str">
        <f t="shared" si="1"/>
        <v>3003708</v>
      </c>
      <c r="K9" s="85" t="s">
        <v>198</v>
      </c>
      <c r="L9" s="88" t="s">
        <v>199</v>
      </c>
      <c r="M9" s="106" t="s">
        <v>310</v>
      </c>
      <c r="N9" s="57" t="s">
        <v>200</v>
      </c>
    </row>
    <row r="10" spans="1:14" ht="70" x14ac:dyDescent="0.15">
      <c r="A10" s="82" t="s">
        <v>197</v>
      </c>
      <c r="B10" s="83">
        <f>floors!$C$2</f>
        <v>30037</v>
      </c>
      <c r="C10" s="84" t="str">
        <f ca="1">VLOOKUP($B10,OFFSET([2]quests!$A$1,0,0,COUNTA([2]quests!$A:$A),MATCH(C$1,[2]quests!$1:$1,0)-MATCH($B$1,[2]quests!$1:$1,0)+1),MATCH(C$1,[2]quests!$1:$1,0)-MATCH($B$1,[2]quests!$1:$1,0)+1,FALSE)</f>
        <v>灯り火の麗人</v>
      </c>
      <c r="D10" s="84" t="str">
        <f ca="1">VLOOKUP($B10,OFFSET([2]quests!$A$1,0,0,COUNTA([2]quests!$A:$A),MATCH(D$1,[2]quests!$1:$1,0)-MATCH($B$1,[2]quests!$1:$1,0)+1),MATCH(D$1,[2]quests!$1:$1,0)-MATCH($B$1,[2]quests!$1:$1,0)+1,FALSE)</f>
        <v>フランス革命シリーズ超級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【上級】灯り火の麗人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フランス革命シリーズ超級</v>
      </c>
      <c r="H10" s="86">
        <v>4</v>
      </c>
      <c r="I10" s="91">
        <f t="shared" si="0"/>
        <v>9</v>
      </c>
      <c r="J10" s="87" t="str">
        <f t="shared" si="1"/>
        <v>3003709</v>
      </c>
      <c r="K10" s="85" t="s">
        <v>198</v>
      </c>
      <c r="L10" s="88" t="s">
        <v>199</v>
      </c>
      <c r="M10" s="106" t="s">
        <v>311</v>
      </c>
      <c r="N10" s="57" t="s">
        <v>200</v>
      </c>
    </row>
    <row r="11" spans="1:14" ht="70" x14ac:dyDescent="0.15">
      <c r="A11" s="82" t="s">
        <v>197</v>
      </c>
      <c r="B11" s="83">
        <f>floors!$C$2</f>
        <v>30037</v>
      </c>
      <c r="C11" s="84" t="str">
        <f ca="1">VLOOKUP($B11,OFFSET([2]quests!$A$1,0,0,COUNTA([2]quests!$A:$A),MATCH(C$1,[2]quests!$1:$1,0)-MATCH($B$1,[2]quests!$1:$1,0)+1),MATCH(C$1,[2]quests!$1:$1,0)-MATCH($B$1,[2]quests!$1:$1,0)+1,FALSE)</f>
        <v>灯り火の麗人</v>
      </c>
      <c r="D11" s="84" t="str">
        <f ca="1">VLOOKUP($B11,OFFSET([2]quests!$A$1,0,0,COUNTA([2]quests!$A:$A),MATCH(D$1,[2]quests!$1:$1,0)-MATCH($B$1,[2]quests!$1:$1,0)+1),MATCH(D$1,[2]quests!$1:$1,0)-MATCH($B$1,[2]quests!$1:$1,0)+1,FALSE)</f>
        <v>フランス革命シリーズ超級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【上級】灯り火の麗人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フランス革命シリーズ超級</v>
      </c>
      <c r="H11" s="86">
        <v>4</v>
      </c>
      <c r="I11" s="91">
        <f t="shared" si="0"/>
        <v>10</v>
      </c>
      <c r="J11" s="87" t="str">
        <f t="shared" si="1"/>
        <v>3003710</v>
      </c>
      <c r="K11" s="85" t="s">
        <v>198</v>
      </c>
      <c r="L11" s="88" t="s">
        <v>199</v>
      </c>
      <c r="M11" s="106" t="s">
        <v>314</v>
      </c>
      <c r="N11" s="57" t="s">
        <v>200</v>
      </c>
    </row>
    <row r="12" spans="1:14" ht="42" x14ac:dyDescent="0.15">
      <c r="A12" s="82" t="s">
        <v>197</v>
      </c>
      <c r="B12" s="83">
        <f>floors!$C$2</f>
        <v>30037</v>
      </c>
      <c r="C12" s="84" t="str">
        <f ca="1">VLOOKUP($B12,OFFSET([2]quests!$A$1,0,0,COUNTA([2]quests!$A:$A),MATCH(C$1,[2]quests!$1:$1,0)-MATCH($B$1,[2]quests!$1:$1,0)+1),MATCH(C$1,[2]quests!$1:$1,0)-MATCH($B$1,[2]quests!$1:$1,0)+1,FALSE)</f>
        <v>灯り火の麗人</v>
      </c>
      <c r="D12" s="84" t="str">
        <f ca="1">VLOOKUP($B12,OFFSET([2]quests!$A$1,0,0,COUNTA([2]quests!$A:$A),MATCH(D$1,[2]quests!$1:$1,0)-MATCH($B$1,[2]quests!$1:$1,0)+1),MATCH(D$1,[2]quests!$1:$1,0)-MATCH($B$1,[2]quests!$1:$1,0)+1,FALSE)</f>
        <v>フランス革命シリーズ超級</v>
      </c>
      <c r="E12" s="85">
        <v>3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【超級】灯り火の麗人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フランス革命シリーズ超級</v>
      </c>
      <c r="H12" s="86">
        <v>1</v>
      </c>
      <c r="I12" s="91">
        <f t="shared" si="0"/>
        <v>11</v>
      </c>
      <c r="J12" s="87" t="str">
        <f t="shared" si="1"/>
        <v>3003711</v>
      </c>
      <c r="K12" s="85" t="s">
        <v>198</v>
      </c>
      <c r="L12" s="88" t="s">
        <v>199</v>
      </c>
      <c r="M12" s="106" t="s">
        <v>308</v>
      </c>
      <c r="N12" s="57" t="s">
        <v>200</v>
      </c>
    </row>
    <row r="13" spans="1:14" ht="56" x14ac:dyDescent="0.15">
      <c r="A13" s="82" t="s">
        <v>197</v>
      </c>
      <c r="B13" s="83">
        <f>floors!$C$2</f>
        <v>30037</v>
      </c>
      <c r="C13" s="84" t="str">
        <f ca="1">VLOOKUP($B13,OFFSET([2]quests!$A$1,0,0,COUNTA([2]quests!$A:$A),MATCH(C$1,[2]quests!$1:$1,0)-MATCH($B$1,[2]quests!$1:$1,0)+1),MATCH(C$1,[2]quests!$1:$1,0)-MATCH($B$1,[2]quests!$1:$1,0)+1,FALSE)</f>
        <v>灯り火の麗人</v>
      </c>
      <c r="D13" s="84" t="str">
        <f ca="1">VLOOKUP($B13,OFFSET([2]quests!$A$1,0,0,COUNTA([2]quests!$A:$A),MATCH(D$1,[2]quests!$1:$1,0)-MATCH($B$1,[2]quests!$1:$1,0)+1),MATCH(D$1,[2]quests!$1:$1,0)-MATCH($B$1,[2]quests!$1:$1,0)+1,FALSE)</f>
        <v>フランス革命シリーズ超級</v>
      </c>
      <c r="E13" s="85">
        <v>3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【超級】灯り火の麗人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フランス革命シリーズ超級</v>
      </c>
      <c r="H13" s="86">
        <v>2</v>
      </c>
      <c r="I13" s="91">
        <f t="shared" si="0"/>
        <v>12</v>
      </c>
      <c r="J13" s="87" t="str">
        <f t="shared" si="1"/>
        <v>3003712</v>
      </c>
      <c r="K13" s="85" t="s">
        <v>198</v>
      </c>
      <c r="L13" s="88" t="s">
        <v>199</v>
      </c>
      <c r="M13" s="106" t="s">
        <v>309</v>
      </c>
      <c r="N13" s="57" t="s">
        <v>200</v>
      </c>
    </row>
    <row r="14" spans="1:14" ht="70" x14ac:dyDescent="0.15">
      <c r="A14" s="82" t="s">
        <v>197</v>
      </c>
      <c r="B14" s="83">
        <f>floors!$C$2</f>
        <v>30037</v>
      </c>
      <c r="C14" s="84" t="str">
        <f ca="1">VLOOKUP($B14,OFFSET([2]quests!$A$1,0,0,COUNTA([2]quests!$A:$A),MATCH(C$1,[2]quests!$1:$1,0)-MATCH($B$1,[2]quests!$1:$1,0)+1),MATCH(C$1,[2]quests!$1:$1,0)-MATCH($B$1,[2]quests!$1:$1,0)+1,FALSE)</f>
        <v>灯り火の麗人</v>
      </c>
      <c r="D14" s="84" t="str">
        <f ca="1">VLOOKUP($B14,OFFSET([2]quests!$A$1,0,0,COUNTA([2]quests!$A:$A),MATCH(D$1,[2]quests!$1:$1,0)-MATCH($B$1,[2]quests!$1:$1,0)+1),MATCH(D$1,[2]quests!$1:$1,0)-MATCH($B$1,[2]quests!$1:$1,0)+1,FALSE)</f>
        <v>フランス革命シリーズ超級</v>
      </c>
      <c r="E14" s="85">
        <v>3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【超級】灯り火の麗人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フランス革命シリーズ超級</v>
      </c>
      <c r="H14" s="86">
        <v>3</v>
      </c>
      <c r="I14" s="91">
        <f t="shared" si="0"/>
        <v>13</v>
      </c>
      <c r="J14" s="87" t="str">
        <f t="shared" si="1"/>
        <v>3003713</v>
      </c>
      <c r="K14" s="85" t="s">
        <v>198</v>
      </c>
      <c r="L14" s="88" t="s">
        <v>199</v>
      </c>
      <c r="M14" s="106" t="s">
        <v>310</v>
      </c>
      <c r="N14" s="57" t="s">
        <v>200</v>
      </c>
    </row>
    <row r="15" spans="1:14" ht="70" x14ac:dyDescent="0.15">
      <c r="A15" s="82" t="s">
        <v>197</v>
      </c>
      <c r="B15" s="83">
        <f>floors!$C$2</f>
        <v>30037</v>
      </c>
      <c r="C15" s="84" t="str">
        <f ca="1">VLOOKUP($B15,OFFSET([2]quests!$A$1,0,0,COUNTA([2]quests!$A:$A),MATCH(C$1,[2]quests!$1:$1,0)-MATCH($B$1,[2]quests!$1:$1,0)+1),MATCH(C$1,[2]quests!$1:$1,0)-MATCH($B$1,[2]quests!$1:$1,0)+1,FALSE)</f>
        <v>灯り火の麗人</v>
      </c>
      <c r="D15" s="84" t="str">
        <f ca="1">VLOOKUP($B15,OFFSET([2]quests!$A$1,0,0,COUNTA([2]quests!$A:$A),MATCH(D$1,[2]quests!$1:$1,0)-MATCH($B$1,[2]quests!$1:$1,0)+1),MATCH(D$1,[2]quests!$1:$1,0)-MATCH($B$1,[2]quests!$1:$1,0)+1,FALSE)</f>
        <v>フランス革命シリーズ超級</v>
      </c>
      <c r="E15" s="85">
        <v>3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【超級】灯り火の麗人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フランス革命シリーズ超級</v>
      </c>
      <c r="H15" s="86">
        <v>4</v>
      </c>
      <c r="I15" s="91">
        <f t="shared" si="0"/>
        <v>14</v>
      </c>
      <c r="J15" s="87" t="str">
        <f t="shared" si="1"/>
        <v>3003714</v>
      </c>
      <c r="K15" s="85" t="s">
        <v>198</v>
      </c>
      <c r="L15" s="88" t="s">
        <v>199</v>
      </c>
      <c r="M15" s="106" t="s">
        <v>311</v>
      </c>
      <c r="N15" s="57" t="s">
        <v>200</v>
      </c>
    </row>
    <row r="16" spans="1:14" ht="70" x14ac:dyDescent="0.15">
      <c r="A16" s="82" t="s">
        <v>197</v>
      </c>
      <c r="B16" s="83">
        <f>floors!$C$2</f>
        <v>30037</v>
      </c>
      <c r="C16" s="84" t="str">
        <f ca="1">VLOOKUP($B16,OFFSET([2]quests!$A$1,0,0,COUNTA([2]quests!$A:$A),MATCH(C$1,[2]quests!$1:$1,0)-MATCH($B$1,[2]quests!$1:$1,0)+1),MATCH(C$1,[2]quests!$1:$1,0)-MATCH($B$1,[2]quests!$1:$1,0)+1,FALSE)</f>
        <v>灯り火の麗人</v>
      </c>
      <c r="D16" s="84" t="str">
        <f ca="1">VLOOKUP($B16,OFFSET([2]quests!$A$1,0,0,COUNTA([2]quests!$A:$A),MATCH(D$1,[2]quests!$1:$1,0)-MATCH($B$1,[2]quests!$1:$1,0)+1),MATCH(D$1,[2]quests!$1:$1,0)-MATCH($B$1,[2]quests!$1:$1,0)+1,FALSE)</f>
        <v>フランス革命シリーズ超級</v>
      </c>
      <c r="E16" s="85">
        <v>3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【超級】灯り火の麗人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フランス革命シリーズ超級</v>
      </c>
      <c r="H16" s="86">
        <v>4</v>
      </c>
      <c r="I16" s="91">
        <f t="shared" si="0"/>
        <v>15</v>
      </c>
      <c r="J16" s="87" t="str">
        <f t="shared" si="1"/>
        <v>3003715</v>
      </c>
      <c r="K16" s="85" t="s">
        <v>198</v>
      </c>
      <c r="L16" s="88" t="s">
        <v>199</v>
      </c>
      <c r="M16" s="106" t="s">
        <v>314</v>
      </c>
      <c r="N16" s="57" t="s">
        <v>200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:X3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8" t="s">
        <v>214</v>
      </c>
      <c r="B1" s="99" t="s">
        <v>215</v>
      </c>
      <c r="C1" s="78" t="s">
        <v>216</v>
      </c>
      <c r="D1" s="78" t="s">
        <v>33</v>
      </c>
      <c r="E1" s="99" t="s">
        <v>217</v>
      </c>
      <c r="F1" s="78" t="s">
        <v>218</v>
      </c>
      <c r="G1" s="78" t="s">
        <v>33</v>
      </c>
      <c r="H1" s="99" t="s">
        <v>219</v>
      </c>
      <c r="I1" s="99" t="s">
        <v>220</v>
      </c>
      <c r="J1" s="99" t="s">
        <v>221</v>
      </c>
      <c r="K1" s="74" t="s">
        <v>222</v>
      </c>
      <c r="L1" s="74" t="s">
        <v>223</v>
      </c>
      <c r="M1" s="74" t="s">
        <v>157</v>
      </c>
      <c r="N1" s="78" t="s">
        <v>16</v>
      </c>
      <c r="O1" s="74" t="s">
        <v>224</v>
      </c>
      <c r="P1" s="74" t="s">
        <v>57</v>
      </c>
      <c r="Q1" s="74" t="s">
        <v>225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226</v>
      </c>
      <c r="X1" s="74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2017-03-08T06:44:30Z</dcterms:modified>
</cp:coreProperties>
</file>