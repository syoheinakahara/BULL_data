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024" codeName="{00000000-0000-0000-0000-000000000000}"/>
  <workbookPr showInkAnnotation="0" codeName="ThisWorkbook" autoCompressPictures="0"/>
  <bookViews>
    <workbookView xWindow="1120" yWindow="1120" windowWidth="24480" windowHeight="14880" tabRatio="721" activeTab="1"/>
  </bookViews>
  <sheets>
    <sheet name="output" sheetId="10" r:id="rId1"/>
    <sheet name="stage_hints" sheetId="3" r:id="rId2"/>
    <sheet name="Sheet1" sheetId="11" r:id="rId3"/>
  </sheets>
  <externalReferences>
    <externalReference r:id="rId4"/>
    <externalReference r:id="rId5"/>
  </externalReferences>
  <definedNames>
    <definedName name="_xlnm._FilterDatabase" localSheetId="1" hidden="1">stage_hints!$C$1:$N$1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62" i="3" l="1"/>
  <c r="N73" i="3"/>
  <c r="M73" i="3"/>
  <c r="J73" i="3"/>
  <c r="H73" i="3"/>
  <c r="G73" i="3"/>
  <c r="E73" i="3"/>
  <c r="D73" i="3"/>
  <c r="A73" i="3"/>
  <c r="N72" i="3"/>
  <c r="M72" i="3"/>
  <c r="J72" i="3"/>
  <c r="H72" i="3"/>
  <c r="G72" i="3"/>
  <c r="E72" i="3"/>
  <c r="D72" i="3"/>
  <c r="A72" i="3"/>
  <c r="N71" i="3"/>
  <c r="M71" i="3"/>
  <c r="J71" i="3"/>
  <c r="H71" i="3"/>
  <c r="G71" i="3"/>
  <c r="E71" i="3"/>
  <c r="D71" i="3"/>
  <c r="A71" i="3"/>
  <c r="N70" i="3"/>
  <c r="M70" i="3"/>
  <c r="J70" i="3"/>
  <c r="H70" i="3"/>
  <c r="G70" i="3"/>
  <c r="E70" i="3"/>
  <c r="D70" i="3"/>
  <c r="A70" i="3"/>
  <c r="N69" i="3"/>
  <c r="M69" i="3"/>
  <c r="J69" i="3"/>
  <c r="H69" i="3"/>
  <c r="G69" i="3"/>
  <c r="E69" i="3"/>
  <c r="D69" i="3"/>
  <c r="A69" i="3"/>
  <c r="N68" i="3"/>
  <c r="M68" i="3"/>
  <c r="J68" i="3"/>
  <c r="H68" i="3"/>
  <c r="G68" i="3"/>
  <c r="E68" i="3"/>
  <c r="D68" i="3"/>
  <c r="A68" i="3"/>
  <c r="N67" i="3"/>
  <c r="M67" i="3"/>
  <c r="J67" i="3"/>
  <c r="H67" i="3"/>
  <c r="G67" i="3"/>
  <c r="E67" i="3"/>
  <c r="D67" i="3"/>
  <c r="A67" i="3"/>
  <c r="N66" i="3"/>
  <c r="M66" i="3"/>
  <c r="J66" i="3"/>
  <c r="H66" i="3"/>
  <c r="G66" i="3"/>
  <c r="E66" i="3"/>
  <c r="D66" i="3"/>
  <c r="A66" i="3"/>
  <c r="N65" i="3"/>
  <c r="M65" i="3"/>
  <c r="J65" i="3"/>
  <c r="H65" i="3"/>
  <c r="G65" i="3"/>
  <c r="E65" i="3"/>
  <c r="D65" i="3"/>
  <c r="A65" i="3"/>
  <c r="N64" i="3"/>
  <c r="M64" i="3"/>
  <c r="J64" i="3"/>
  <c r="H64" i="3"/>
  <c r="G64" i="3"/>
  <c r="E64" i="3"/>
  <c r="D64" i="3"/>
  <c r="A64" i="3"/>
  <c r="N63" i="3"/>
  <c r="M63" i="3"/>
  <c r="J63" i="3"/>
  <c r="H63" i="3"/>
  <c r="G63" i="3"/>
  <c r="E63" i="3"/>
  <c r="D63" i="3"/>
  <c r="A63" i="3"/>
  <c r="N62" i="3"/>
  <c r="M62" i="3"/>
  <c r="H62" i="3"/>
  <c r="G62" i="3"/>
  <c r="E62" i="3"/>
  <c r="D62" i="3"/>
  <c r="A62" i="3"/>
  <c r="M3" i="3"/>
  <c r="N3" i="3"/>
  <c r="M4" i="3"/>
  <c r="N4" i="3"/>
  <c r="M5" i="3"/>
  <c r="N5" i="3"/>
  <c r="M6" i="3"/>
  <c r="N6" i="3"/>
  <c r="M7" i="3"/>
  <c r="N7" i="3"/>
  <c r="M8" i="3"/>
  <c r="N8" i="3"/>
  <c r="M9" i="3"/>
  <c r="N9" i="3"/>
  <c r="M10" i="3"/>
  <c r="N10" i="3"/>
  <c r="M11" i="3"/>
  <c r="N11" i="3"/>
  <c r="M12" i="3"/>
  <c r="N12" i="3"/>
  <c r="M13" i="3"/>
  <c r="N13" i="3"/>
  <c r="M14" i="3"/>
  <c r="N14" i="3"/>
  <c r="M15" i="3"/>
  <c r="N15" i="3"/>
  <c r="M16" i="3"/>
  <c r="N16" i="3"/>
  <c r="M17" i="3"/>
  <c r="N17" i="3"/>
  <c r="M18" i="3"/>
  <c r="N18" i="3"/>
  <c r="M19" i="3"/>
  <c r="N19" i="3"/>
  <c r="M20" i="3"/>
  <c r="N20" i="3"/>
  <c r="M21" i="3"/>
  <c r="N21" i="3"/>
  <c r="M22" i="3"/>
  <c r="N22" i="3"/>
  <c r="M23" i="3"/>
  <c r="N23" i="3"/>
  <c r="M24" i="3"/>
  <c r="N24" i="3"/>
  <c r="M25" i="3"/>
  <c r="N25" i="3"/>
  <c r="M26" i="3"/>
  <c r="N26" i="3"/>
  <c r="M27" i="3"/>
  <c r="N27" i="3"/>
  <c r="M28" i="3"/>
  <c r="N28" i="3"/>
  <c r="M29" i="3"/>
  <c r="N29" i="3"/>
  <c r="M30" i="3"/>
  <c r="N30" i="3"/>
  <c r="M31" i="3"/>
  <c r="N31" i="3"/>
  <c r="M32" i="3"/>
  <c r="N32" i="3"/>
  <c r="M33" i="3"/>
  <c r="N33" i="3"/>
  <c r="M34" i="3"/>
  <c r="N34" i="3"/>
  <c r="M35" i="3"/>
  <c r="N35" i="3"/>
  <c r="M36" i="3"/>
  <c r="N36" i="3"/>
  <c r="M37" i="3"/>
  <c r="N37" i="3"/>
  <c r="M38" i="3"/>
  <c r="N38" i="3"/>
  <c r="M39" i="3"/>
  <c r="N39" i="3"/>
  <c r="M40" i="3"/>
  <c r="N40" i="3"/>
  <c r="M41" i="3"/>
  <c r="N41" i="3"/>
  <c r="M42" i="3"/>
  <c r="N42" i="3"/>
  <c r="M43" i="3"/>
  <c r="N43" i="3"/>
  <c r="M44" i="3"/>
  <c r="N44" i="3"/>
  <c r="M45" i="3"/>
  <c r="N45" i="3"/>
  <c r="M46" i="3"/>
  <c r="N46" i="3"/>
  <c r="M47" i="3"/>
  <c r="N47" i="3"/>
  <c r="M48" i="3"/>
  <c r="N48" i="3"/>
  <c r="M49" i="3"/>
  <c r="N49" i="3"/>
  <c r="M50" i="3"/>
  <c r="N50" i="3"/>
  <c r="M51" i="3"/>
  <c r="N51" i="3"/>
  <c r="M52" i="3"/>
  <c r="N52" i="3"/>
  <c r="M53" i="3"/>
  <c r="N53" i="3"/>
  <c r="M54" i="3"/>
  <c r="N54" i="3"/>
  <c r="M55" i="3"/>
  <c r="N55" i="3"/>
  <c r="M56" i="3"/>
  <c r="N56" i="3"/>
  <c r="M57" i="3"/>
  <c r="N57" i="3"/>
  <c r="M58" i="3"/>
  <c r="N58" i="3"/>
  <c r="M59" i="3"/>
  <c r="N59" i="3"/>
  <c r="M60" i="3"/>
  <c r="N60" i="3"/>
  <c r="M61" i="3"/>
  <c r="N61" i="3"/>
  <c r="N2" i="3"/>
  <c r="M2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2" i="3"/>
  <c r="H61" i="3"/>
  <c r="G61" i="3"/>
  <c r="E61" i="3"/>
  <c r="D61" i="3"/>
  <c r="A61" i="3"/>
  <c r="A60" i="3"/>
  <c r="D60" i="3"/>
  <c r="E60" i="3"/>
  <c r="G60" i="3"/>
  <c r="H60" i="3"/>
  <c r="D52" i="3"/>
  <c r="E52" i="3"/>
  <c r="D53" i="3"/>
  <c r="E53" i="3"/>
  <c r="D54" i="3"/>
  <c r="E54" i="3"/>
  <c r="D55" i="3"/>
  <c r="E55" i="3"/>
  <c r="D56" i="3"/>
  <c r="E56" i="3"/>
  <c r="D57" i="3"/>
  <c r="E57" i="3"/>
  <c r="D58" i="3"/>
  <c r="E58" i="3"/>
  <c r="D59" i="3"/>
  <c r="E59" i="3"/>
  <c r="H59" i="3"/>
  <c r="G59" i="3"/>
  <c r="A59" i="3"/>
  <c r="H58" i="3"/>
  <c r="G58" i="3"/>
  <c r="A58" i="3"/>
  <c r="H57" i="3"/>
  <c r="G57" i="3"/>
  <c r="A57" i="3"/>
  <c r="H56" i="3"/>
  <c r="G56" i="3"/>
  <c r="A56" i="3"/>
  <c r="H55" i="3"/>
  <c r="G55" i="3"/>
  <c r="A55" i="3"/>
  <c r="H54" i="3"/>
  <c r="G54" i="3"/>
  <c r="A54" i="3"/>
  <c r="H53" i="3"/>
  <c r="G53" i="3"/>
  <c r="A53" i="3"/>
  <c r="H52" i="3"/>
  <c r="G52" i="3"/>
  <c r="A52" i="3"/>
  <c r="H51" i="3"/>
  <c r="G51" i="3"/>
  <c r="E51" i="3"/>
  <c r="D51" i="3"/>
  <c r="A51" i="3"/>
  <c r="A50" i="3"/>
  <c r="D50" i="3"/>
  <c r="E50" i="3"/>
  <c r="G50" i="3"/>
  <c r="H50" i="3"/>
  <c r="H49" i="3"/>
  <c r="G49" i="3"/>
  <c r="E49" i="3"/>
  <c r="D49" i="3"/>
  <c r="A49" i="3"/>
  <c r="H48" i="3"/>
  <c r="G48" i="3"/>
  <c r="E48" i="3"/>
  <c r="D48" i="3"/>
  <c r="A48" i="3"/>
  <c r="H47" i="3"/>
  <c r="G47" i="3"/>
  <c r="E47" i="3"/>
  <c r="D47" i="3"/>
  <c r="A47" i="3"/>
  <c r="H46" i="3"/>
  <c r="G46" i="3"/>
  <c r="E46" i="3"/>
  <c r="D46" i="3"/>
  <c r="A46" i="3"/>
  <c r="H45" i="3"/>
  <c r="G45" i="3"/>
  <c r="E45" i="3"/>
  <c r="D45" i="3"/>
  <c r="A45" i="3"/>
  <c r="H44" i="3"/>
  <c r="G44" i="3"/>
  <c r="E44" i="3"/>
  <c r="D44" i="3"/>
  <c r="A44" i="3"/>
  <c r="H43" i="3"/>
  <c r="G43" i="3"/>
  <c r="E43" i="3"/>
  <c r="D43" i="3"/>
  <c r="A43" i="3"/>
  <c r="H42" i="3"/>
  <c r="G42" i="3"/>
  <c r="E42" i="3"/>
  <c r="D42" i="3"/>
  <c r="A42" i="3"/>
  <c r="A41" i="3"/>
  <c r="D41" i="3"/>
  <c r="E41" i="3"/>
  <c r="G41" i="3"/>
  <c r="H41" i="3"/>
  <c r="H40" i="3"/>
  <c r="G40" i="3"/>
  <c r="E40" i="3"/>
  <c r="D40" i="3"/>
  <c r="A40" i="3"/>
  <c r="H39" i="3"/>
  <c r="G39" i="3"/>
  <c r="E39" i="3"/>
  <c r="D39" i="3"/>
  <c r="A39" i="3"/>
  <c r="H38" i="3"/>
  <c r="G38" i="3"/>
  <c r="E38" i="3"/>
  <c r="D38" i="3"/>
  <c r="A38" i="3"/>
  <c r="H37" i="3"/>
  <c r="G37" i="3"/>
  <c r="E37" i="3"/>
  <c r="D37" i="3"/>
  <c r="A37" i="3"/>
  <c r="H36" i="3"/>
  <c r="G36" i="3"/>
  <c r="E36" i="3"/>
  <c r="D36" i="3"/>
  <c r="A36" i="3"/>
  <c r="H35" i="3"/>
  <c r="G35" i="3"/>
  <c r="E35" i="3"/>
  <c r="D35" i="3"/>
  <c r="A35" i="3"/>
  <c r="H34" i="3"/>
  <c r="G34" i="3"/>
  <c r="E34" i="3"/>
  <c r="D34" i="3"/>
  <c r="A34" i="3"/>
  <c r="A33" i="3"/>
  <c r="D33" i="3"/>
  <c r="E33" i="3"/>
  <c r="G33" i="3"/>
  <c r="H33" i="3"/>
  <c r="H32" i="3"/>
  <c r="G32" i="3"/>
  <c r="E32" i="3"/>
  <c r="D32" i="3"/>
  <c r="A32" i="3"/>
  <c r="H31" i="3"/>
  <c r="G31" i="3"/>
  <c r="E31" i="3"/>
  <c r="D31" i="3"/>
  <c r="A31" i="3"/>
  <c r="H30" i="3"/>
  <c r="G30" i="3"/>
  <c r="E30" i="3"/>
  <c r="D30" i="3"/>
  <c r="A30" i="3"/>
  <c r="H29" i="3"/>
  <c r="G29" i="3"/>
  <c r="E29" i="3"/>
  <c r="D29" i="3"/>
  <c r="A29" i="3"/>
  <c r="H28" i="3"/>
  <c r="G28" i="3"/>
  <c r="E28" i="3"/>
  <c r="D28" i="3"/>
  <c r="A28" i="3"/>
  <c r="H27" i="3"/>
  <c r="G27" i="3"/>
  <c r="E27" i="3"/>
  <c r="D27" i="3"/>
  <c r="A27" i="3"/>
  <c r="A26" i="3"/>
  <c r="D26" i="3"/>
  <c r="E26" i="3"/>
  <c r="G26" i="3"/>
  <c r="H26" i="3"/>
  <c r="H25" i="3"/>
  <c r="G25" i="3"/>
  <c r="E25" i="3"/>
  <c r="D25" i="3"/>
  <c r="A25" i="3"/>
  <c r="H24" i="3"/>
  <c r="G24" i="3"/>
  <c r="E24" i="3"/>
  <c r="D24" i="3"/>
  <c r="A24" i="3"/>
  <c r="H23" i="3"/>
  <c r="G23" i="3"/>
  <c r="E23" i="3"/>
  <c r="D23" i="3"/>
  <c r="A23" i="3"/>
  <c r="H22" i="3"/>
  <c r="G22" i="3"/>
  <c r="E22" i="3"/>
  <c r="D22" i="3"/>
  <c r="A22" i="3"/>
  <c r="H21" i="3"/>
  <c r="G21" i="3"/>
  <c r="E21" i="3"/>
  <c r="D21" i="3"/>
  <c r="A21" i="3"/>
  <c r="A20" i="3"/>
  <c r="D20" i="3"/>
  <c r="E20" i="3"/>
  <c r="G20" i="3"/>
  <c r="H20" i="3"/>
  <c r="H19" i="3"/>
  <c r="G19" i="3"/>
  <c r="E19" i="3"/>
  <c r="D19" i="3"/>
  <c r="A19" i="3"/>
  <c r="H18" i="3"/>
  <c r="G18" i="3"/>
  <c r="E18" i="3"/>
  <c r="D18" i="3"/>
  <c r="A18" i="3"/>
  <c r="H17" i="3"/>
  <c r="G17" i="3"/>
  <c r="E17" i="3"/>
  <c r="D17" i="3"/>
  <c r="A17" i="3"/>
  <c r="H16" i="3"/>
  <c r="G16" i="3"/>
  <c r="E16" i="3"/>
  <c r="D16" i="3"/>
  <c r="A16" i="3"/>
  <c r="A15" i="3"/>
  <c r="D15" i="3"/>
  <c r="E15" i="3"/>
  <c r="G15" i="3"/>
  <c r="H15" i="3"/>
  <c r="A3" i="3"/>
  <c r="D3" i="3"/>
  <c r="E3" i="3"/>
  <c r="G3" i="3"/>
  <c r="H3" i="3"/>
  <c r="A4" i="3"/>
  <c r="D4" i="3"/>
  <c r="E4" i="3"/>
  <c r="G4" i="3"/>
  <c r="H4" i="3"/>
  <c r="A5" i="3"/>
  <c r="D5" i="3"/>
  <c r="E5" i="3"/>
  <c r="G5" i="3"/>
  <c r="H5" i="3"/>
  <c r="A6" i="3"/>
  <c r="D6" i="3"/>
  <c r="E6" i="3"/>
  <c r="G6" i="3"/>
  <c r="H6" i="3"/>
  <c r="A7" i="3"/>
  <c r="D7" i="3"/>
  <c r="E7" i="3"/>
  <c r="G7" i="3"/>
  <c r="H7" i="3"/>
  <c r="A8" i="3"/>
  <c r="D8" i="3"/>
  <c r="E8" i="3"/>
  <c r="G8" i="3"/>
  <c r="H8" i="3"/>
  <c r="A9" i="3"/>
  <c r="D9" i="3"/>
  <c r="E9" i="3"/>
  <c r="G9" i="3"/>
  <c r="H9" i="3"/>
  <c r="A10" i="3"/>
  <c r="D10" i="3"/>
  <c r="E10" i="3"/>
  <c r="G10" i="3"/>
  <c r="H10" i="3"/>
  <c r="A11" i="3"/>
  <c r="D11" i="3"/>
  <c r="E11" i="3"/>
  <c r="G11" i="3"/>
  <c r="H11" i="3"/>
  <c r="A12" i="3"/>
  <c r="D12" i="3"/>
  <c r="E12" i="3"/>
  <c r="G12" i="3"/>
  <c r="H12" i="3"/>
  <c r="A13" i="3"/>
  <c r="D13" i="3"/>
  <c r="E13" i="3"/>
  <c r="G13" i="3"/>
  <c r="H13" i="3"/>
  <c r="A14" i="3"/>
  <c r="D14" i="3"/>
  <c r="E14" i="3"/>
  <c r="G14" i="3"/>
  <c r="H14" i="3"/>
  <c r="A2" i="3"/>
  <c r="D2" i="3"/>
  <c r="E2" i="3"/>
  <c r="G2" i="3"/>
  <c r="H2" i="3"/>
  <c r="E3" i="10"/>
  <c r="E2" i="10"/>
</calcChain>
</file>

<file path=xl/sharedStrings.xml><?xml version="1.0" encoding="utf-8"?>
<sst xmlns="http://schemas.openxmlformats.org/spreadsheetml/2006/main" count="336" uniqueCount="118">
  <si>
    <t>stage_id</t>
    <phoneticPr fontId="5"/>
  </si>
  <si>
    <t>hint</t>
    <phoneticPr fontId="5"/>
  </si>
  <si>
    <t>temp_id</t>
    <phoneticPr fontId="5"/>
  </si>
  <si>
    <t>name</t>
    <phoneticPr fontId="5"/>
  </si>
  <si>
    <t>位置付け</t>
    <rPh sb="0" eb="3">
      <t>イチヅ</t>
    </rPh>
    <phoneticPr fontId="5"/>
  </si>
  <si>
    <t>quest_id</t>
    <phoneticPr fontId="5"/>
  </si>
  <si>
    <t>hint_id</t>
    <phoneticPr fontId="5"/>
  </si>
  <si>
    <t>language</t>
    <phoneticPr fontId="5"/>
  </si>
  <si>
    <t>hint</t>
    <phoneticPr fontId="5"/>
  </si>
  <si>
    <t>stage_hints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</si>
  <si>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</si>
  <si>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</si>
  <si>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</si>
  <si>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</si>
  <si>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</si>
  <si>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</si>
  <si>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language</t>
    <phoneticPr fontId="5"/>
  </si>
  <si>
    <t>ja</t>
    <phoneticPr fontId="5"/>
  </si>
  <si>
    <t>出力flg</t>
    <rPh sb="0" eb="2">
      <t>シュツリョク</t>
    </rPh>
    <phoneticPr fontId="5"/>
  </si>
  <si>
    <t>old</t>
    <phoneticPr fontId="38"/>
  </si>
  <si>
    <t>floor_id</t>
    <phoneticPr fontId="5"/>
  </si>
  <si>
    <t>floor_id</t>
    <phoneticPr fontId="5"/>
  </si>
  <si>
    <t>filename</t>
  </si>
  <si>
    <t>filename</t>
    <phoneticPr fontId="5"/>
  </si>
  <si>
    <t>title</t>
    <phoneticPr fontId="5"/>
  </si>
  <si>
    <t>title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</si>
  <si>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</si>
  <si>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_data_</t>
    </r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</si>
  <si>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</si>
  <si>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</si>
  <si>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tmp_hint_id</t>
    <phoneticPr fontId="5"/>
  </si>
  <si>
    <t>hint_type</t>
    <phoneticPr fontId="5"/>
  </si>
  <si>
    <t>hint_type</t>
    <phoneticPr fontId="5"/>
  </si>
  <si>
    <t>complete</t>
  </si>
  <si>
    <t>お気に入り登録</t>
  </si>
  <si>
    <t>マルチプレイが熱い！　その3</t>
  </si>
  <si>
    <t>title</t>
  </si>
  <si>
    <t>hint</t>
  </si>
  <si>
    <t>長くつなげて大ダメージ</t>
  </si>
  <si>
    <t>敵の属性に対抗しよう！</t>
  </si>
  <si>
    <t>ターゲット</t>
  </si>
  <si>
    <t>ボーナスクエスト</t>
  </si>
  <si>
    <t>ユニット強化</t>
  </si>
  <si>
    <t>強化の属性ボーナス</t>
  </si>
  <si>
    <t>メタルダックをつかって強化しよう！</t>
  </si>
  <si>
    <t>ゲリラを見逃すな！</t>
  </si>
  <si>
    <t>ゴールドダックを売却すると大量ビット</t>
  </si>
  <si>
    <t>土日クエストで大量ビットをGET！！</t>
  </si>
  <si>
    <t>ランク解放クエスト</t>
  </si>
  <si>
    <t>ユニットを覚醒させよう！</t>
  </si>
  <si>
    <t>覚醒するにはレベルをMAXに！</t>
  </si>
  <si>
    <t>覚醒素材をGETしよう！</t>
  </si>
  <si>
    <t>マルチプレイが熱い！　その1</t>
  </si>
  <si>
    <t>リンクガチャを引いてみよう</t>
  </si>
  <si>
    <t>マルチプレイが熱い！　その2</t>
  </si>
  <si>
    <t>チャレンジタワー</t>
  </si>
  <si>
    <t>スキルを有効に使おう</t>
  </si>
  <si>
    <t>フィーバーを使って一発逆転</t>
  </si>
  <si>
    <t>フィーバーは虹パネルを狙おう！</t>
  </si>
  <si>
    <t>リンゴをつかって限界突破！</t>
  </si>
  <si>
    <t>クリスタルリンゴはスキルLvUP！</t>
  </si>
  <si>
    <t>スキルLv</t>
  </si>
  <si>
    <t>ホーム画面からデッキを編成！</t>
  </si>
  <si>
    <t>詳細情報は長押しで！</t>
  </si>
  <si>
    <t>ステータスのバグって何？</t>
  </si>
  <si>
    <t>ステータスのバグを増やす方法</t>
  </si>
  <si>
    <t>連続攻撃をしてくる敵には</t>
  </si>
  <si>
    <t>カウンターブレイク！</t>
  </si>
  <si>
    <t>敵のDOWNを上書きしよう！</t>
  </si>
  <si>
    <t>敵のUPを上書きしよう！</t>
  </si>
  <si>
    <t>チャレンジタワーのボス</t>
  </si>
  <si>
    <t>限界突破の引継</t>
  </si>
  <si>
    <t>tips_all_id</t>
    <phoneticPr fontId="5"/>
  </si>
  <si>
    <t>イベントを見逃すな！</t>
  </si>
  <si>
    <t>quest_id</t>
  </si>
  <si>
    <t>stage_id</t>
  </si>
  <si>
    <t>hint_tmp_id</t>
  </si>
  <si>
    <t>wiz</t>
    <phoneticPr fontId="5"/>
  </si>
  <si>
    <t>wiz</t>
    <phoneticPr fontId="5"/>
  </si>
  <si>
    <t>パネルを長くつなげればつなげるほど
敵に大ダメージを与えることが出来ます！</t>
    <rPh sb="4" eb="5">
      <t>ナガ</t>
    </rPh>
    <rPh sb="18" eb="19">
      <t>テキ</t>
    </rPh>
    <rPh sb="20" eb="21">
      <t>ダイ</t>
    </rPh>
    <rPh sb="26" eb="27">
      <t>アタ</t>
    </rPh>
    <rPh sb="32" eb="34">
      <t>デキ</t>
    </rPh>
    <phoneticPr fontId="5"/>
  </si>
  <si>
    <t>赤には青、青には黄、黄には緑、緑には赤
効果を発揮できるパーティ編成がオススメです！</t>
    <rPh sb="0" eb="1">
      <t>アカ</t>
    </rPh>
    <rPh sb="3" eb="4">
      <t>アオ</t>
    </rPh>
    <rPh sb="5" eb="6">
      <t>アオ</t>
    </rPh>
    <rPh sb="8" eb="9">
      <t>キイロ</t>
    </rPh>
    <rPh sb="10" eb="11">
      <t>キイロ</t>
    </rPh>
    <rPh sb="13" eb="14">
      <t>ミドリ</t>
    </rPh>
    <rPh sb="15" eb="16">
      <t>ミドリ</t>
    </rPh>
    <rPh sb="18" eb="19">
      <t>アカ</t>
    </rPh>
    <rPh sb="20" eb="22">
      <t>コウカ</t>
    </rPh>
    <rPh sb="23" eb="25">
      <t>ハッキ</t>
    </rPh>
    <rPh sb="32" eb="34">
      <t>ヘンセイ</t>
    </rPh>
    <phoneticPr fontId="5"/>
  </si>
  <si>
    <t>敵ユニットにタッチすると
その敵を狙い撃ちできます！</t>
    <rPh sb="15" eb="16">
      <t>テキ</t>
    </rPh>
    <phoneticPr fontId="5"/>
  </si>
  <si>
    <t>ノーマルクエストを進めると
ボーナスクエストが登場します！
どんどん先に進んでボーナスをGETしましょう！</t>
    <rPh sb="9" eb="10">
      <t>スス</t>
    </rPh>
    <rPh sb="23" eb="25">
      <t>トウジョウ</t>
    </rPh>
    <rPh sb="34" eb="35">
      <t>サキ</t>
    </rPh>
    <rPh sb="36" eb="37">
      <t>スス</t>
    </rPh>
    <phoneticPr fontId="5"/>
  </si>
  <si>
    <t>ユニットは「ユニット強化」をすることで
経験値を取得しレベルアップできます。
「ユニット強化」でクエストを有利に進めましょう！</t>
    <rPh sb="10" eb="12">
      <t>キョウカ</t>
    </rPh>
    <rPh sb="20" eb="23">
      <t>ケイケンチ</t>
    </rPh>
    <rPh sb="24" eb="26">
      <t>シュトク</t>
    </rPh>
    <rPh sb="44" eb="46">
      <t>キョウカ</t>
    </rPh>
    <rPh sb="53" eb="55">
      <t>ユウリ</t>
    </rPh>
    <rPh sb="56" eb="57">
      <t>スス</t>
    </rPh>
    <phoneticPr fontId="5"/>
  </si>
  <si>
    <t>ユニット強化の際に
同じ属性のユニットを素材にすると
経験値にボーナスがつきます！</t>
    <rPh sb="4" eb="6">
      <t>キョウカ</t>
    </rPh>
    <rPh sb="7" eb="8">
      <t>サイ</t>
    </rPh>
    <rPh sb="20" eb="22">
      <t>ソザイ</t>
    </rPh>
    <phoneticPr fontId="5"/>
  </si>
  <si>
    <t>メタルピヨピヨやメタルダックなどの
「メタルなアヒル」を素材にして
ユニット強化をすると大量の経験値が入ります！</t>
    <rPh sb="28" eb="30">
      <t>ソザイ</t>
    </rPh>
    <rPh sb="38" eb="40">
      <t>キョウカ</t>
    </rPh>
    <rPh sb="44" eb="46">
      <t>タイリョウ</t>
    </rPh>
    <rPh sb="47" eb="50">
      <t>ケイケンチ</t>
    </rPh>
    <rPh sb="51" eb="52">
      <t>ハイ</t>
    </rPh>
    <phoneticPr fontId="5"/>
  </si>
  <si>
    <t>時間限定ゲリラクエスト
「【緊急!!】アヒル捕獲作戦」ではメタルダック等
経験値素材ユニットが多く手に入ります。要チェックです！</t>
    <rPh sb="0" eb="4">
      <t>ジカンゲンテイ</t>
    </rPh>
    <rPh sb="47" eb="49">
      <t>オオk</t>
    </rPh>
    <rPh sb="49" eb="52">
      <t xml:space="preserve"> </t>
    </rPh>
    <rPh sb="56" eb="57">
      <t>ヨウ</t>
    </rPh>
    <phoneticPr fontId="5"/>
  </si>
  <si>
    <t>ゴールドピヨピヨやゴールドダックなどの
「金アヒル」をユニット売却すると
大量のビットが手に入ります！</t>
    <rPh sb="21" eb="22">
      <t>キンイロ</t>
    </rPh>
    <rPh sb="31" eb="33">
      <t>バイキャク</t>
    </rPh>
    <rPh sb="37" eb="39">
      <t>タイリョウ</t>
    </rPh>
    <rPh sb="44" eb="45">
      <t>テ</t>
    </rPh>
    <rPh sb="46" eb="47">
      <t>ハイ</t>
    </rPh>
    <phoneticPr fontId="5"/>
  </si>
  <si>
    <t>売却すると大量ビットが手に入る
「ゴールドダック」は土日限定の
「ゴールドカジノ」で手に入ります！</t>
    <rPh sb="0" eb="2">
      <t>バイキャク</t>
    </rPh>
    <rPh sb="5" eb="7">
      <t>タイリョウ</t>
    </rPh>
    <rPh sb="11" eb="12">
      <t>テ</t>
    </rPh>
    <rPh sb="13" eb="14">
      <t>ハイ</t>
    </rPh>
    <rPh sb="26" eb="28">
      <t>ドニチ</t>
    </rPh>
    <rPh sb="28" eb="30">
      <t>ゲンテイ</t>
    </rPh>
    <rPh sb="42" eb="43">
      <t>テ</t>
    </rPh>
    <rPh sb="44" eb="45">
      <t>ハイ</t>
    </rPh>
    <phoneticPr fontId="5"/>
  </si>
  <si>
    <t>一定ランクに到達すると
新たにクエストが開放される場合があります。
ランク開放クエストをクリアして報酬をGETしましょう！</t>
    <rPh sb="0" eb="2">
      <t>イッテイ</t>
    </rPh>
    <rPh sb="6" eb="8">
      <t>トウタツ</t>
    </rPh>
    <rPh sb="12" eb="13">
      <t>アラ</t>
    </rPh>
    <rPh sb="25" eb="27">
      <t>バアイ</t>
    </rPh>
    <rPh sb="37" eb="39">
      <t>カイホウ</t>
    </rPh>
    <rPh sb="49" eb="51">
      <t>ホウシュウ</t>
    </rPh>
    <phoneticPr fontId="5"/>
  </si>
  <si>
    <t>大事なユニットは
フォルダからお気に入り登録しましょう！</t>
  </si>
  <si>
    <t>ユニットを覚醒させると
これまでとは比べものにならない強さを獲得できます！</t>
    <rPh sb="5" eb="7">
      <t>カクセイ</t>
    </rPh>
    <rPh sb="18" eb="19">
      <t>クラ</t>
    </rPh>
    <rPh sb="27" eb="28">
      <t>ツヨ</t>
    </rPh>
    <rPh sb="30" eb="32">
      <t>カクトク</t>
    </rPh>
    <phoneticPr fontId="5"/>
  </si>
  <si>
    <t>ユニットの更なる力を引き出すのが覚醒！
覚醒するにはユニットのレベルを
最大まで上げる必要があります！</t>
    <rPh sb="5" eb="6">
      <t>サラ</t>
    </rPh>
    <rPh sb="8" eb="9">
      <t>チカラ</t>
    </rPh>
    <rPh sb="10" eb="11">
      <t>ヒ</t>
    </rPh>
    <rPh sb="12" eb="13">
      <t>ダ</t>
    </rPh>
    <rPh sb="16" eb="18">
      <t>カクセイ</t>
    </rPh>
    <rPh sb="20" eb="22">
      <t>カクセイ</t>
    </rPh>
    <rPh sb="36" eb="38">
      <t>サイダイ</t>
    </rPh>
    <rPh sb="40" eb="41">
      <t>ア</t>
    </rPh>
    <rPh sb="43" eb="45">
      <t>ヒツヨウ</t>
    </rPh>
    <phoneticPr fontId="5"/>
  </si>
  <si>
    <t>覚醒に必要な覚醒素材は
「曜日クエスト」で手に入ります！</t>
    <rPh sb="0" eb="2">
      <t>カクセイ</t>
    </rPh>
    <rPh sb="3" eb="5">
      <t>ヒツヨウ</t>
    </rPh>
    <rPh sb="6" eb="8">
      <t>カクセイ</t>
    </rPh>
    <rPh sb="8" eb="10">
      <t>ソザイ</t>
    </rPh>
    <rPh sb="13" eb="15">
      <t>ヨウビ</t>
    </rPh>
    <rPh sb="21" eb="22">
      <t>テ</t>
    </rPh>
    <rPh sb="23" eb="24">
      <t>ハイ</t>
    </rPh>
    <phoneticPr fontId="5"/>
  </si>
  <si>
    <t>全国の友達とマルチプレイをすると
初顔合わせボーナスで100人まで
ポリゴンがもらえます！</t>
    <rPh sb="0" eb="2">
      <t>ゼンコク</t>
    </rPh>
    <rPh sb="3" eb="5">
      <t>トモダチ</t>
    </rPh>
    <rPh sb="17" eb="20">
      <t>ハツカオア</t>
    </rPh>
    <rPh sb="30" eb="31">
      <t>ニン</t>
    </rPh>
    <phoneticPr fontId="5"/>
  </si>
  <si>
    <t>リンクガチャを回すと
メタルダックやゴールドダックが出現しやすいです。
リンクガチャを回して強化素材をGETしましょう！</t>
    <rPh sb="7" eb="10">
      <t>マワs</t>
    </rPh>
    <rPh sb="26" eb="28">
      <t>シュツゲン</t>
    </rPh>
    <rPh sb="43" eb="44">
      <t>マワ</t>
    </rPh>
    <rPh sb="46" eb="50">
      <t>キョウカソザイ</t>
    </rPh>
    <phoneticPr fontId="5"/>
  </si>
  <si>
    <t>マルチプレイはもらえるリンクが2倍！
マルチで遊んでリンクガチャを回しましょう！</t>
    <rPh sb="16" eb="17">
      <t>バイ</t>
    </rPh>
    <rPh sb="23" eb="24">
      <t>アソ</t>
    </rPh>
    <rPh sb="33" eb="34">
      <t>マワ</t>
    </rPh>
    <phoneticPr fontId="5"/>
  </si>
  <si>
    <t>イベントクエストの「チャレンジタワー」を
クリアすると報酬がもらえます！
報酬を手に入れながら頂上を目指しましょう！</t>
    <rPh sb="27" eb="29">
      <t>ホウシュウ</t>
    </rPh>
    <rPh sb="37" eb="39">
      <t>ホウシュウ</t>
    </rPh>
    <rPh sb="40" eb="41">
      <t>テ</t>
    </rPh>
    <rPh sb="42" eb="43">
      <t>イ</t>
    </rPh>
    <rPh sb="47" eb="49">
      <t>チョウジョウ</t>
    </rPh>
    <rPh sb="50" eb="52">
      <t>メザ</t>
    </rPh>
    <phoneticPr fontId="5"/>
  </si>
  <si>
    <t>マルチプレイへの参加はエナジー消費がありません！
どんどん参加してどんどんユニットをGETしましょう！</t>
    <phoneticPr fontId="5"/>
  </si>
  <si>
    <t>ピンチの時はフィーバーで一発逆転を狙いましょう！</t>
    <rPh sb="4" eb="5">
      <t>トk</t>
    </rPh>
    <rPh sb="12" eb="16">
      <t>イッパツギャクテン</t>
    </rPh>
    <rPh sb="17" eb="18">
      <t>ネラ</t>
    </rPh>
    <phoneticPr fontId="5"/>
  </si>
  <si>
    <t>フィーバー中にたまに落ちてくる
虹色のパネルを壊すと
全てのパネルを壊すことができます！</t>
    <rPh sb="5" eb="6">
      <t>チュウ</t>
    </rPh>
    <rPh sb="10" eb="11">
      <t>オ</t>
    </rPh>
    <rPh sb="16" eb="18">
      <t>ニジイロ</t>
    </rPh>
    <rPh sb="23" eb="24">
      <t>コワ</t>
    </rPh>
    <rPh sb="27" eb="28">
      <t>スベ</t>
    </rPh>
    <rPh sb="34" eb="35">
      <t>コワ</t>
    </rPh>
    <phoneticPr fontId="5"/>
  </si>
  <si>
    <t>攻めの果実、生命の果実、癒しの果実は
ユニット強化に使うと
各パラメーターを上げることができます
合計＋99まで強化できますよ！</t>
    <rPh sb="0" eb="1">
      <t>セ</t>
    </rPh>
    <rPh sb="3" eb="5">
      <t>カジツ</t>
    </rPh>
    <rPh sb="6" eb="8">
      <t>セイメイ</t>
    </rPh>
    <rPh sb="9" eb="11">
      <t>カジツ</t>
    </rPh>
    <rPh sb="12" eb="13">
      <t>イヤ</t>
    </rPh>
    <rPh sb="15" eb="17">
      <t>カジツ</t>
    </rPh>
    <rPh sb="23" eb="25">
      <t>キョウカ</t>
    </rPh>
    <rPh sb="26" eb="29">
      <t>ツカ</t>
    </rPh>
    <rPh sb="30" eb="31">
      <t>カク</t>
    </rPh>
    <rPh sb="38" eb="39">
      <t>ア</t>
    </rPh>
    <rPh sb="49" eb="51">
      <t>ゴウケ</t>
    </rPh>
    <rPh sb="56" eb="58">
      <t>キョウカ</t>
    </rPh>
    <phoneticPr fontId="5"/>
  </si>
  <si>
    <t>秘術の果実をユニット強化に使うと
スキルLvが上げることができます！
お気に入りユニットのスキルLvを上げてみましょう！</t>
    <rPh sb="0" eb="2">
      <t>ヒジュツ</t>
    </rPh>
    <rPh sb="3" eb="5">
      <t>カジツ</t>
    </rPh>
    <rPh sb="10" eb="12">
      <t>キョウカ</t>
    </rPh>
    <rPh sb="13" eb="16">
      <t>ツカ</t>
    </rPh>
    <rPh sb="23" eb="31">
      <t>アガr</t>
    </rPh>
    <rPh sb="36" eb="37">
      <t>キ</t>
    </rPh>
    <rPh sb="38" eb="39">
      <t>イ</t>
    </rPh>
    <rPh sb="51" eb="52">
      <t>ア</t>
    </rPh>
    <phoneticPr fontId="5"/>
  </si>
  <si>
    <t>スキルLvが上がると
より短いターンでスキルを打つことができます！</t>
  </si>
  <si>
    <t>ホーム画面でパーティを確認している時
ユニットの画像を長押しすると
パーティ構成画面に移動することができます！</t>
    <rPh sb="3" eb="5">
      <t>ガメン</t>
    </rPh>
    <rPh sb="11" eb="13">
      <t>カクニン</t>
    </rPh>
    <rPh sb="17" eb="18">
      <t>トキ</t>
    </rPh>
    <rPh sb="24" eb="26">
      <t>ガゾウ</t>
    </rPh>
    <rPh sb="27" eb="29">
      <t>ナガオ</t>
    </rPh>
    <rPh sb="38" eb="40">
      <t>コウセイ</t>
    </rPh>
    <rPh sb="40" eb="42">
      <t>ガメン</t>
    </rPh>
    <rPh sb="43" eb="45">
      <t>イドウ</t>
    </rPh>
    <phoneticPr fontId="5"/>
  </si>
  <si>
    <t>ユニット強化やユニット覚醒などの画面で
ユニットを長押しすれば
ユニットの詳細情報を見ることができます！</t>
    <rPh sb="4" eb="6">
      <t>キョウカ</t>
    </rPh>
    <rPh sb="11" eb="13">
      <t>カクセイ</t>
    </rPh>
    <rPh sb="16" eb="18">
      <t>ガメン</t>
    </rPh>
    <rPh sb="25" eb="27">
      <t>ナガオ</t>
    </rPh>
    <rPh sb="37" eb="39">
      <t>ショウサイ</t>
    </rPh>
    <rPh sb="39" eb="41">
      <t>ジョウホウ</t>
    </rPh>
    <rPh sb="42" eb="43">
      <t>ミ</t>
    </rPh>
    <phoneticPr fontId="5"/>
  </si>
  <si>
    <t>バグが高いとクエストの報酬確率がアップする！</t>
    <rPh sb="3" eb="4">
      <t>タカ</t>
    </rPh>
    <rPh sb="11" eb="15">
      <t>ホウシュウカクリツ</t>
    </rPh>
    <phoneticPr fontId="5"/>
  </si>
  <si>
    <t>同じユニット同士を使ってユニット強化をすると
バグを増やすことができます！</t>
    <rPh sb="0" eb="1">
      <t>オナ</t>
    </rPh>
    <rPh sb="6" eb="8">
      <t>ドウシ</t>
    </rPh>
    <rPh sb="9" eb="10">
      <t>ツカ</t>
    </rPh>
    <rPh sb="16" eb="18">
      <t>キョウカ</t>
    </rPh>
    <rPh sb="26" eb="27">
      <t>フ</t>
    </rPh>
    <phoneticPr fontId="5"/>
  </si>
  <si>
    <t>各イベントでしか入手できない
ユニットがいるので要チェックです！</t>
    <phoneticPr fontId="5"/>
  </si>
  <si>
    <t>消すことの出来ないお邪魔パネルは
フィーバーを使うと下に落とすことができますよ！</t>
    <rPh sb="0" eb="1">
      <t>ケ</t>
    </rPh>
    <rPh sb="5" eb="7">
      <t>デキ</t>
    </rPh>
    <rPh sb="10" eb="12">
      <t>ジャマ</t>
    </rPh>
    <rPh sb="23" eb="24">
      <t>ツカ</t>
    </rPh>
    <rPh sb="26" eb="27">
      <t>シタ</t>
    </rPh>
    <rPh sb="28" eb="29">
      <t>オ</t>
    </rPh>
    <phoneticPr fontId="5"/>
  </si>
  <si>
    <t>カウンターを使ってくる敵には
「カウンターブレイク」のスキルが有効です
カウンターを解除して大ダメージを
与えることができます！</t>
    <rPh sb="6" eb="7">
      <t>ツカ</t>
    </rPh>
    <rPh sb="11" eb="12">
      <t>テキ</t>
    </rPh>
    <rPh sb="31" eb="33">
      <t>ユウコウ</t>
    </rPh>
    <rPh sb="42" eb="44">
      <t>カイジョ</t>
    </rPh>
    <rPh sb="46" eb="47">
      <t>ダイ</t>
    </rPh>
    <rPh sb="53" eb="54">
      <t>アタ</t>
    </rPh>
    <phoneticPr fontId="5"/>
  </si>
  <si>
    <t>攻撃力DOWNの攻撃を受けたときは
攻撃力UPスキルを使うと効果を上書きできます！</t>
    <rPh sb="0" eb="3">
      <t>コウゲキリョク</t>
    </rPh>
    <rPh sb="8" eb="10">
      <t>コウゲキ</t>
    </rPh>
    <rPh sb="11" eb="12">
      <t>ウ</t>
    </rPh>
    <rPh sb="18" eb="21">
      <t>コウゲキリョク</t>
    </rPh>
    <rPh sb="27" eb="28">
      <t>ツカ</t>
    </rPh>
    <rPh sb="30" eb="32">
      <t>コウカ</t>
    </rPh>
    <rPh sb="33" eb="35">
      <t>ウワガ</t>
    </rPh>
    <phoneticPr fontId="5"/>
  </si>
  <si>
    <t>敵の攻撃力がUPしたときは
攻撃力DOWNスキルを使うと
効果を上書きできます！</t>
    <rPh sb="0" eb="1">
      <t>テキ</t>
    </rPh>
    <rPh sb="2" eb="5">
      <t>コウゲキリョク</t>
    </rPh>
    <rPh sb="14" eb="17">
      <t>コウゲキリョク</t>
    </rPh>
    <rPh sb="25" eb="26">
      <t>ツカ</t>
    </rPh>
    <rPh sb="29" eb="31">
      <t>コウカ</t>
    </rPh>
    <rPh sb="32" eb="34">
      <t>ウワガ</t>
    </rPh>
    <phoneticPr fontId="5"/>
  </si>
  <si>
    <t>チャレンジタワーのボス
（テスラ、シャルル、ボイル）は
一定確率でドロップします！</t>
    <rPh sb="28" eb="32">
      <t>イッテイカクリツ</t>
    </rPh>
    <phoneticPr fontId="5"/>
  </si>
  <si>
    <t>限界突破（+値）の引継ぎは同じユニットか
同じユニットの覚醒前後のみ可能です。
ユニット強化の際は注意しましょう！</t>
    <rPh sb="0" eb="4">
      <t>ゲンカイトッパ</t>
    </rPh>
    <rPh sb="6" eb="7">
      <t>アタイ</t>
    </rPh>
    <rPh sb="9" eb="11">
      <t>ヒキツ</t>
    </rPh>
    <rPh sb="13" eb="14">
      <t>オナ</t>
    </rPh>
    <rPh sb="21" eb="22">
      <t>オナ</t>
    </rPh>
    <rPh sb="28" eb="32">
      <t>カクセイケイ</t>
    </rPh>
    <rPh sb="34" eb="36">
      <t>カノウ</t>
    </rPh>
    <rPh sb="44" eb="46">
      <t>キョウカ</t>
    </rPh>
    <rPh sb="47" eb="48">
      <t>サイ</t>
    </rPh>
    <rPh sb="49" eb="51">
      <t>チュウイ</t>
    </rPh>
    <phoneticPr fontId="5"/>
  </si>
  <si>
    <t>ユニットはターン経過で
スキルが使えるようになります。
「Skill OK」というアイコンが出たら
スキルを使うチャンス！</t>
    <rPh sb="8" eb="10">
      <t>ケイカ</t>
    </rPh>
    <rPh sb="16" eb="17">
      <t>ツカ</t>
    </rPh>
    <rPh sb="46" eb="47">
      <t>デ</t>
    </rPh>
    <rPh sb="54" eb="55">
      <t>ツカ</t>
    </rPh>
    <phoneticPr fontId="5"/>
  </si>
  <si>
    <t>NULL</t>
    <phoneticPr fontId="5"/>
  </si>
  <si>
    <t>skip</t>
    <phoneticPr fontId="3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</si>
</sst>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9.6"/>
      <color rgb="FF000000"/>
      <name val="Arial"/>
      <family val="2"/>
    </font>
    <font>
      <sz val="10"/>
      <color theme="1"/>
      <name val="ＭＳ Ｐゴシック"/>
      <family val="2"/>
      <charset val="128"/>
      <scheme val="minor"/>
    </font>
    <font>
      <sz val="10"/>
      <color rgb="FF000000"/>
      <name val="Arial"/>
      <family val="2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0"/>
      <color indexed="8"/>
      <name val="Arial"/>
      <family val="2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6"/>
      <name val="ＭＳ Ｐゴシック"/>
      <family val="2"/>
      <charset val="128"/>
    </font>
    <font>
      <sz val="9.6"/>
      <color rgb="FF000000"/>
      <name val="ＭＳ Ｐゴシック"/>
      <family val="2"/>
      <charset val="128"/>
    </font>
    <font>
      <sz val="12"/>
      <name val="ＭＳ Ｐゴシック"/>
      <charset val="128"/>
      <scheme val="minor"/>
    </font>
    <font>
      <sz val="10"/>
      <color rgb="FF000000"/>
      <name val="ＭＳ Ｐゴシック"/>
      <family val="3"/>
      <charset val="128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817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4" fillId="0" borderId="0" applyFont="0" applyFill="0" applyBorder="0" applyAlignment="0" applyProtection="0">
      <alignment vertical="center"/>
    </xf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14" fillId="7" borderId="3" applyNumberFormat="0" applyAlignment="0" applyProtection="0"/>
    <xf numFmtId="0" fontId="15" fillId="8" borderId="0" applyNumberFormat="0" applyBorder="0" applyAlignment="0" applyProtection="0"/>
    <xf numFmtId="0" fontId="16" fillId="9" borderId="4" applyNumberFormat="0" applyAlignment="0" applyProtection="0"/>
    <xf numFmtId="0" fontId="17" fillId="0" borderId="0" applyNumberFormat="0" applyFill="0" applyBorder="0" applyAlignment="0" applyProtection="0"/>
    <xf numFmtId="0" fontId="18" fillId="10" borderId="0" applyNumberFormat="0" applyBorder="0" applyAlignment="0" applyProtection="0"/>
    <xf numFmtId="0" fontId="19" fillId="11" borderId="5" applyNumberFormat="0" applyAlignment="0" applyProtection="0"/>
    <xf numFmtId="0" fontId="20" fillId="0" borderId="0" applyNumberFormat="0" applyFill="0" applyBorder="0" applyAlignment="0" applyProtection="0"/>
    <xf numFmtId="0" fontId="21" fillId="0" borderId="6" applyNumberFormat="0" applyFill="0" applyAlignment="0" applyProtection="0"/>
    <xf numFmtId="0" fontId="22" fillId="0" borderId="7" applyNumberFormat="0" applyFill="0" applyAlignment="0" applyProtection="0"/>
    <xf numFmtId="0" fontId="23" fillId="0" borderId="8" applyNumberFormat="0" applyFill="0" applyAlignment="0" applyProtection="0"/>
    <xf numFmtId="0" fontId="23" fillId="0" borderId="0" applyNumberFormat="0" applyFill="0" applyBorder="0" applyAlignment="0" applyProtection="0"/>
    <xf numFmtId="0" fontId="24" fillId="9" borderId="0" applyNumberFormat="0" applyBorder="0" applyAlignment="0" applyProtection="0"/>
    <xf numFmtId="0" fontId="24" fillId="8" borderId="0" applyNumberFormat="0" applyBorder="0" applyAlignment="0" applyProtection="0"/>
    <xf numFmtId="0" fontId="24" fillId="12" borderId="0" applyNumberFormat="0" applyBorder="0" applyAlignment="0" applyProtection="0"/>
    <xf numFmtId="0" fontId="24" fillId="9" borderId="0" applyNumberFormat="0" applyBorder="0" applyAlignment="0" applyProtection="0"/>
    <xf numFmtId="0" fontId="24" fillId="13" borderId="0" applyNumberFormat="0" applyBorder="0" applyAlignment="0" applyProtection="0"/>
    <xf numFmtId="0" fontId="24" fillId="7" borderId="0" applyNumberFormat="0" applyBorder="0" applyAlignment="0" applyProtection="0"/>
    <xf numFmtId="0" fontId="24" fillId="9" borderId="0" applyNumberFormat="0" applyBorder="0" applyAlignment="0" applyProtection="0"/>
    <xf numFmtId="0" fontId="24" fillId="14" borderId="0" applyNumberFormat="0" applyBorder="0" applyAlignment="0" applyProtection="0"/>
    <xf numFmtId="0" fontId="24" fillId="12" borderId="0" applyNumberFormat="0" applyBorder="0" applyAlignment="0" applyProtection="0"/>
    <xf numFmtId="0" fontId="24" fillId="9" borderId="0" applyNumberFormat="0" applyBorder="0" applyAlignment="0" applyProtection="0"/>
    <xf numFmtId="0" fontId="24" fillId="15" borderId="0" applyNumberFormat="0" applyBorder="0" applyAlignment="0" applyProtection="0"/>
    <xf numFmtId="0" fontId="24" fillId="8" borderId="0" applyNumberFormat="0" applyBorder="0" applyAlignment="0" applyProtection="0"/>
    <xf numFmtId="0" fontId="25" fillId="16" borderId="0" applyNumberFormat="0" applyBorder="0" applyAlignment="0" applyProtection="0"/>
    <xf numFmtId="0" fontId="25" fillId="14" borderId="0" applyNumberFormat="0" applyBorder="0" applyAlignment="0" applyProtection="0"/>
    <xf numFmtId="0" fontId="25" fillId="12" borderId="0" applyNumberFormat="0" applyBorder="0" applyAlignment="0" applyProtection="0"/>
    <xf numFmtId="0" fontId="25" fillId="9" borderId="0" applyNumberFormat="0" applyBorder="0" applyAlignment="0" applyProtection="0"/>
    <xf numFmtId="0" fontId="25" fillId="16" borderId="0" applyNumberFormat="0" applyBorder="0" applyAlignment="0" applyProtection="0"/>
    <xf numFmtId="0" fontId="25" fillId="8" borderId="0" applyNumberFormat="0" applyBorder="0" applyAlignment="0" applyProtection="0"/>
    <xf numFmtId="0" fontId="17" fillId="0" borderId="0" applyNumberFormat="0" applyFill="0" applyBorder="0" applyAlignment="0" applyProtection="0"/>
    <xf numFmtId="0" fontId="25" fillId="16" borderId="0" applyNumberFormat="0" applyBorder="0" applyAlignment="0" applyProtection="0"/>
    <xf numFmtId="0" fontId="25" fillId="17" borderId="0" applyNumberFormat="0" applyBorder="0" applyAlignment="0" applyProtection="0"/>
    <xf numFmtId="0" fontId="25" fillId="12" borderId="0" applyNumberFormat="0" applyBorder="0" applyAlignment="0" applyProtection="0"/>
    <xf numFmtId="0" fontId="25" fillId="18" borderId="0" applyNumberFormat="0" applyBorder="0" applyAlignment="0" applyProtection="0"/>
    <xf numFmtId="0" fontId="25" fillId="16" borderId="0" applyNumberFormat="0" applyBorder="0" applyAlignment="0" applyProtection="0"/>
    <xf numFmtId="0" fontId="25" fillId="14" borderId="0" applyNumberFormat="0" applyBorder="0" applyAlignment="0" applyProtection="0"/>
    <xf numFmtId="0" fontId="26" fillId="19" borderId="0" applyNumberFormat="0" applyBorder="0" applyAlignment="0" applyProtection="0"/>
    <xf numFmtId="0" fontId="15" fillId="8" borderId="0" applyNumberFormat="0" applyBorder="0" applyAlignment="0" applyProtection="0"/>
    <xf numFmtId="0" fontId="27" fillId="0" borderId="0"/>
    <xf numFmtId="0" fontId="28" fillId="0" borderId="9" applyNumberFormat="0" applyFill="0" applyAlignment="0" applyProtection="0"/>
    <xf numFmtId="0" fontId="29" fillId="9" borderId="10" applyNumberFormat="0" applyAlignment="0" applyProtection="0"/>
    <xf numFmtId="0" fontId="29" fillId="20" borderId="10" applyNumberFormat="0" applyAlignment="0" applyProtection="0"/>
    <xf numFmtId="0" fontId="16" fillId="8" borderId="4" applyNumberFormat="0" applyAlignment="0" applyProtection="0"/>
    <xf numFmtId="0" fontId="30" fillId="0" borderId="11" applyNumberFormat="0" applyFill="0" applyAlignment="0" applyProtection="0"/>
    <xf numFmtId="0" fontId="31" fillId="20" borderId="4" applyNumberFormat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12" applyNumberFormat="0" applyFill="0" applyAlignment="0" applyProtection="0"/>
    <xf numFmtId="0" fontId="34" fillId="21" borderId="0" applyNumberFormat="0" applyBorder="0" applyAlignment="0" applyProtection="0"/>
    <xf numFmtId="0" fontId="35" fillId="22" borderId="0" applyNumberFormat="0" applyBorder="0" applyAlignment="0" applyProtection="0"/>
    <xf numFmtId="0" fontId="36" fillId="0" borderId="0"/>
    <xf numFmtId="0" fontId="3" fillId="0" borderId="0"/>
    <xf numFmtId="0" fontId="3" fillId="0" borderId="0"/>
    <xf numFmtId="0" fontId="37" fillId="22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38">
    <xf numFmtId="0" fontId="0" fillId="0" borderId="0" xfId="0"/>
    <xf numFmtId="0" fontId="7" fillId="2" borderId="1" xfId="0" applyFont="1" applyFill="1" applyBorder="1" applyAlignment="1">
      <alignment horizontal="center"/>
    </xf>
    <xf numFmtId="56" fontId="7" fillId="3" borderId="1" xfId="0" applyNumberFormat="1" applyFont="1" applyFill="1" applyBorder="1" applyAlignment="1">
      <alignment horizontal="center"/>
    </xf>
    <xf numFmtId="0" fontId="12" fillId="4" borderId="0" xfId="0" applyFont="1" applyFill="1" applyAlignment="1">
      <alignment horizontal="center"/>
    </xf>
    <xf numFmtId="0" fontId="13" fillId="5" borderId="2" xfId="0" applyFont="1" applyFill="1" applyBorder="1" applyAlignment="1">
      <alignment vertical="center"/>
    </xf>
    <xf numFmtId="0" fontId="8" fillId="0" borderId="1" xfId="0" applyFont="1" applyFill="1" applyBorder="1"/>
    <xf numFmtId="0" fontId="6" fillId="0" borderId="1" xfId="0" applyFont="1" applyFill="1" applyBorder="1"/>
    <xf numFmtId="0" fontId="7" fillId="5" borderId="1" xfId="0" applyFont="1" applyFill="1" applyBorder="1" applyAlignment="1">
      <alignment horizontal="center"/>
    </xf>
    <xf numFmtId="0" fontId="12" fillId="6" borderId="1" xfId="455" applyFont="1" applyFill="1" applyBorder="1"/>
    <xf numFmtId="0" fontId="3" fillId="6" borderId="1" xfId="455" applyFill="1" applyBorder="1"/>
    <xf numFmtId="0" fontId="3" fillId="0" borderId="0" xfId="455"/>
    <xf numFmtId="0" fontId="3" fillId="0" borderId="1" xfId="455" applyBorder="1"/>
    <xf numFmtId="0" fontId="7" fillId="2" borderId="1" xfId="456" applyFont="1" applyFill="1" applyBorder="1" applyAlignment="1">
      <alignment horizontal="left"/>
    </xf>
    <xf numFmtId="0" fontId="7" fillId="3" borderId="1" xfId="0" applyFont="1" applyFill="1" applyBorder="1" applyAlignment="1">
      <alignment horizontal="center"/>
    </xf>
    <xf numFmtId="0" fontId="12" fillId="6" borderId="1" xfId="0" applyFont="1" applyFill="1" applyBorder="1"/>
    <xf numFmtId="0" fontId="2" fillId="0" borderId="1" xfId="455" applyFont="1" applyBorder="1"/>
    <xf numFmtId="56" fontId="7" fillId="2" borderId="1" xfId="0" applyNumberFormat="1" applyFont="1" applyFill="1" applyBorder="1" applyAlignment="1">
      <alignment horizontal="center"/>
    </xf>
    <xf numFmtId="0" fontId="3" fillId="23" borderId="1" xfId="455" applyFill="1" applyBorder="1"/>
    <xf numFmtId="0" fontId="0" fillId="2" borderId="1" xfId="455" applyFont="1" applyFill="1" applyBorder="1"/>
    <xf numFmtId="0" fontId="13" fillId="0" borderId="2" xfId="0" applyFont="1" applyFill="1" applyBorder="1" applyAlignment="1">
      <alignment vertical="center"/>
    </xf>
    <xf numFmtId="0" fontId="3" fillId="2" borderId="0" xfId="455" applyFill="1"/>
    <xf numFmtId="0" fontId="0" fillId="3" borderId="1" xfId="0" applyFill="1" applyBorder="1"/>
    <xf numFmtId="0" fontId="0" fillId="0" borderId="1" xfId="0" applyBorder="1"/>
    <xf numFmtId="0" fontId="0" fillId="2" borderId="0" xfId="455" applyFont="1" applyFill="1"/>
    <xf numFmtId="0" fontId="0" fillId="0" borderId="1" xfId="455" applyFont="1" applyBorder="1"/>
    <xf numFmtId="0" fontId="7" fillId="24" borderId="1" xfId="0" applyFont="1" applyFill="1" applyBorder="1" applyAlignment="1">
      <alignment horizontal="center"/>
    </xf>
    <xf numFmtId="0" fontId="40" fillId="2" borderId="1" xfId="0" applyFont="1" applyFill="1" applyBorder="1" applyAlignment="1">
      <alignment horizontal="center"/>
    </xf>
    <xf numFmtId="0" fontId="40" fillId="0" borderId="1" xfId="0" applyFont="1" applyFill="1" applyBorder="1"/>
    <xf numFmtId="0" fontId="40" fillId="0" borderId="0" xfId="0" applyFont="1" applyFill="1"/>
    <xf numFmtId="0" fontId="12" fillId="4" borderId="0" xfId="0" applyFont="1" applyFill="1" applyAlignment="1">
      <alignment horizontal="left" indent="1"/>
    </xf>
    <xf numFmtId="0" fontId="7" fillId="0" borderId="1" xfId="0" applyFont="1" applyBorder="1" applyAlignment="1">
      <alignment wrapText="1"/>
    </xf>
    <xf numFmtId="0" fontId="7" fillId="0" borderId="1" xfId="0" applyFont="1" applyFill="1" applyBorder="1" applyAlignment="1">
      <alignment wrapText="1"/>
    </xf>
    <xf numFmtId="0" fontId="41" fillId="0" borderId="13" xfId="0" applyFont="1" applyBorder="1" applyAlignment="1">
      <alignment wrapText="1"/>
    </xf>
    <xf numFmtId="0" fontId="7" fillId="0" borderId="1" xfId="0" applyFont="1" applyBorder="1"/>
    <xf numFmtId="0" fontId="7" fillId="0" borderId="14" xfId="0" applyFont="1" applyFill="1" applyBorder="1" applyAlignment="1">
      <alignment wrapText="1"/>
    </xf>
    <xf numFmtId="0" fontId="41" fillId="0" borderId="15" xfId="0" applyFont="1" applyBorder="1" applyAlignment="1">
      <alignment wrapText="1"/>
    </xf>
    <xf numFmtId="0" fontId="39" fillId="24" borderId="1" xfId="0" applyFont="1" applyFill="1" applyBorder="1"/>
    <xf numFmtId="38" fontId="7" fillId="24" borderId="1" xfId="804" applyFont="1" applyFill="1" applyBorder="1" applyAlignment="1"/>
  </cellXfs>
  <cellStyles count="817">
    <cellStyle name="" xfId="458"/>
    <cellStyle name="_" xfId="459"/>
    <cellStyle name="__" xfId="460"/>
    <cellStyle name="__÷" xfId="461"/>
    <cellStyle name="«¢" xfId="462"/>
    <cellStyle name="`FbN Z" xfId="463"/>
    <cellStyle name="^Cg" xfId="464"/>
    <cellStyle name="©oµ 1" xfId="465"/>
    <cellStyle name="©oµ 2" xfId="466"/>
    <cellStyle name="©oµ 3" xfId="467"/>
    <cellStyle name="©oµ 4" xfId="468"/>
    <cellStyle name="20% - ANZg1" xfId="469"/>
    <cellStyle name="20% - ANZg2" xfId="470"/>
    <cellStyle name="20% - ANZg3" xfId="471"/>
    <cellStyle name="20% - ANZg4" xfId="472"/>
    <cellStyle name="20% - ANZg5" xfId="473"/>
    <cellStyle name="20% - ANZg6" xfId="474"/>
    <cellStyle name="40% - ANZg1" xfId="475"/>
    <cellStyle name="40% - ANZg2" xfId="476"/>
    <cellStyle name="40% - ANZg3" xfId="477"/>
    <cellStyle name="40% - ANZg4" xfId="478"/>
    <cellStyle name="40% - ANZg5" xfId="479"/>
    <cellStyle name="40% - ANZg6" xfId="480"/>
    <cellStyle name="60% - ANZg1" xfId="481"/>
    <cellStyle name="60% - ANZg2" xfId="482"/>
    <cellStyle name="60% - ANZg3" xfId="483"/>
    <cellStyle name="60% - ANZg4" xfId="484"/>
    <cellStyle name="60% - ANZg5" xfId="485"/>
    <cellStyle name="60% - ANZg6" xfId="486"/>
    <cellStyle name="à¾¶" xfId="487"/>
    <cellStyle name="ANZg 1" xfId="488"/>
    <cellStyle name="ANZg 2" xfId="489"/>
    <cellStyle name="ANZg 3" xfId="490"/>
    <cellStyle name="ANZg 4" xfId="491"/>
    <cellStyle name="ANZg 5" xfId="492"/>
    <cellStyle name="ANZg 6" xfId="493"/>
    <cellStyle name="Ç¢" xfId="494"/>
    <cellStyle name="Ê" xfId="495"/>
    <cellStyle name="Excel Built-in Normal" xfId="496"/>
    <cellStyle name="N Z" xfId="497"/>
    <cellStyle name="o_" xfId="498"/>
    <cellStyle name="oÍ" xfId="499"/>
    <cellStyle name="üÍ" xfId="500"/>
    <cellStyle name="v" xfId="501"/>
    <cellStyle name="vZ" xfId="502"/>
    <cellStyle name="x¶" xfId="503"/>
    <cellStyle name="x÷" xfId="504"/>
    <cellStyle name="ýo_ 1" xfId="50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桁区切り 2" xfId="139"/>
    <cellStyle name="桁区切り 2 2" xfId="804"/>
    <cellStyle name="青字強調" xfId="506"/>
    <cellStyle name="赤字強調" xfId="507"/>
    <cellStyle name="標準" xfId="0" builtinId="0"/>
    <cellStyle name="標準 2" xfId="238"/>
    <cellStyle name="標準 3" xfId="508"/>
    <cellStyle name="標準 4" xfId="456"/>
    <cellStyle name="標準 4 2" xfId="457"/>
    <cellStyle name="標準 5" xfId="509"/>
    <cellStyle name="標準 5 2" xfId="510"/>
    <cellStyle name="標準 6" xfId="45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無題1" xfId="51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externalLink" Target="externalLinks/externalLink1.xml"/><Relationship Id="rId5" Type="http://schemas.openxmlformats.org/officeDocument/2006/relationships/externalLink" Target="externalLinks/externalLink2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guerilla_quests"/>
      <sheetName val="noon_guerilla_times"/>
      <sheetName val="night_guerilla_times"/>
      <sheetName val="automatic_quest_bonuses"/>
      <sheetName val="quest_schedules"/>
      <sheetName val="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11101</v>
          </cell>
        </row>
        <row r="56">
          <cell r="A56">
            <v>11102</v>
          </cell>
        </row>
        <row r="57">
          <cell r="A57">
            <v>11103</v>
          </cell>
        </row>
        <row r="58">
          <cell r="A58">
            <v>11104</v>
          </cell>
        </row>
        <row r="59">
          <cell r="A59">
            <v>11105</v>
          </cell>
        </row>
        <row r="60">
          <cell r="A60">
            <v>11106</v>
          </cell>
        </row>
        <row r="61">
          <cell r="A61">
            <v>11206</v>
          </cell>
        </row>
        <row r="62">
          <cell r="A62">
            <v>11016</v>
          </cell>
        </row>
        <row r="63">
          <cell r="A63">
            <v>11207</v>
          </cell>
        </row>
        <row r="64">
          <cell r="A64">
            <v>11208</v>
          </cell>
        </row>
        <row r="65">
          <cell r="A65">
            <v>11209</v>
          </cell>
        </row>
        <row r="66">
          <cell r="A66">
            <v>11210</v>
          </cell>
        </row>
        <row r="67">
          <cell r="A67">
            <v>11211</v>
          </cell>
        </row>
        <row r="68">
          <cell r="A68">
            <v>11212</v>
          </cell>
        </row>
        <row r="69">
          <cell r="A69">
            <v>11213</v>
          </cell>
        </row>
        <row r="70">
          <cell r="A70">
            <v>11214</v>
          </cell>
        </row>
        <row r="71">
          <cell r="A71">
            <v>11215</v>
          </cell>
        </row>
        <row r="72">
          <cell r="A72">
            <v>11216</v>
          </cell>
        </row>
        <row r="73">
          <cell r="A73">
            <v>11217</v>
          </cell>
        </row>
        <row r="74">
          <cell r="A74">
            <v>11218</v>
          </cell>
        </row>
        <row r="75">
          <cell r="A75">
            <v>11219</v>
          </cell>
        </row>
        <row r="76">
          <cell r="A76">
            <v>12001</v>
          </cell>
        </row>
        <row r="77">
          <cell r="A77">
            <v>12002</v>
          </cell>
        </row>
        <row r="78">
          <cell r="A78">
            <v>12003</v>
          </cell>
        </row>
        <row r="79">
          <cell r="A79">
            <v>12004</v>
          </cell>
        </row>
        <row r="80">
          <cell r="A80">
            <v>13001</v>
          </cell>
        </row>
        <row r="81">
          <cell r="A81">
            <v>14001</v>
          </cell>
        </row>
        <row r="82">
          <cell r="A82">
            <v>14002</v>
          </cell>
        </row>
        <row r="83">
          <cell r="A83">
            <v>14003</v>
          </cell>
        </row>
        <row r="84">
          <cell r="A84">
            <v>14004</v>
          </cell>
        </row>
        <row r="85">
          <cell r="A85">
            <v>14005</v>
          </cell>
        </row>
        <row r="86">
          <cell r="A86">
            <v>14006</v>
          </cell>
        </row>
        <row r="87">
          <cell r="A87">
            <v>20001</v>
          </cell>
        </row>
        <row r="88">
          <cell r="A88">
            <v>20002</v>
          </cell>
        </row>
        <row r="89">
          <cell r="A89">
            <v>20003</v>
          </cell>
        </row>
        <row r="90">
          <cell r="A90">
            <v>20004</v>
          </cell>
        </row>
        <row r="91">
          <cell r="A91">
            <v>20005</v>
          </cell>
        </row>
        <row r="92">
          <cell r="A92">
            <v>20006</v>
          </cell>
        </row>
        <row r="93">
          <cell r="A93">
            <v>20007</v>
          </cell>
        </row>
        <row r="94">
          <cell r="A94">
            <v>20008</v>
          </cell>
        </row>
        <row r="95">
          <cell r="A95">
            <v>20009</v>
          </cell>
        </row>
        <row r="96">
          <cell r="A96">
            <v>20010</v>
          </cell>
        </row>
        <row r="97">
          <cell r="A97">
            <v>20011</v>
          </cell>
        </row>
        <row r="98">
          <cell r="A98">
            <v>20012</v>
          </cell>
        </row>
        <row r="99">
          <cell r="A99">
            <v>30001</v>
          </cell>
        </row>
        <row r="100">
          <cell r="A100">
            <v>30002</v>
          </cell>
        </row>
        <row r="101">
          <cell r="A101">
            <v>30003</v>
          </cell>
        </row>
        <row r="102">
          <cell r="A102">
            <v>30004</v>
          </cell>
        </row>
        <row r="103">
          <cell r="A103">
            <v>30005</v>
          </cell>
        </row>
        <row r="104">
          <cell r="A104">
            <v>30006</v>
          </cell>
        </row>
        <row r="105">
          <cell r="A105">
            <v>30007</v>
          </cell>
        </row>
        <row r="106">
          <cell r="A106">
            <v>30008</v>
          </cell>
        </row>
        <row r="107">
          <cell r="A107">
            <v>30009</v>
          </cell>
        </row>
        <row r="108">
          <cell r="A108">
            <v>30010</v>
          </cell>
        </row>
        <row r="109">
          <cell r="A109">
            <v>30011</v>
          </cell>
        </row>
        <row r="110">
          <cell r="A110">
            <v>30012</v>
          </cell>
        </row>
        <row r="111">
          <cell r="A111">
            <v>30013</v>
          </cell>
        </row>
        <row r="112">
          <cell r="A112">
            <v>30014</v>
          </cell>
        </row>
        <row r="113">
          <cell r="A113">
            <v>30015</v>
          </cell>
        </row>
        <row r="114">
          <cell r="A114">
            <v>30016</v>
          </cell>
        </row>
        <row r="115">
          <cell r="A115">
            <v>30017</v>
          </cell>
        </row>
        <row r="116">
          <cell r="A116">
            <v>30018</v>
          </cell>
        </row>
        <row r="117">
          <cell r="A117">
            <v>30019</v>
          </cell>
        </row>
        <row r="118">
          <cell r="A118">
            <v>30020</v>
          </cell>
        </row>
        <row r="119">
          <cell r="A119">
            <v>30021</v>
          </cell>
        </row>
        <row r="120">
          <cell r="A120">
            <v>30022</v>
          </cell>
        </row>
        <row r="121">
          <cell r="A121">
            <v>30023</v>
          </cell>
        </row>
        <row r="122">
          <cell r="A122">
            <v>30024</v>
          </cell>
        </row>
        <row r="123">
          <cell r="A123">
            <v>30025</v>
          </cell>
        </row>
        <row r="124">
          <cell r="A124">
            <v>30026</v>
          </cell>
        </row>
        <row r="125">
          <cell r="A125">
            <v>30027</v>
          </cell>
        </row>
        <row r="126">
          <cell r="A126">
            <v>39001</v>
          </cell>
        </row>
        <row r="127">
          <cell r="A127">
            <v>40001</v>
          </cell>
        </row>
        <row r="128">
          <cell r="A128">
            <v>40002</v>
          </cell>
        </row>
        <row r="129">
          <cell r="A129">
            <v>40003</v>
          </cell>
        </row>
        <row r="130">
          <cell r="A130">
            <v>40004</v>
          </cell>
        </row>
        <row r="131">
          <cell r="A131">
            <v>40005</v>
          </cell>
        </row>
        <row r="132">
          <cell r="A132">
            <v>40006</v>
          </cell>
        </row>
        <row r="133">
          <cell r="A133">
            <v>40007</v>
          </cell>
        </row>
        <row r="134">
          <cell r="A134">
            <v>40008</v>
          </cell>
        </row>
        <row r="135">
          <cell r="A135">
            <v>40009</v>
          </cell>
        </row>
        <row r="136">
          <cell r="A136">
            <v>40010</v>
          </cell>
        </row>
        <row r="137">
          <cell r="A137">
            <v>49001</v>
          </cell>
        </row>
        <row r="138">
          <cell r="A138">
            <v>50001</v>
          </cell>
        </row>
        <row r="139">
          <cell r="A139">
            <v>50002</v>
          </cell>
        </row>
        <row r="140">
          <cell r="A140">
            <v>65535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11002_1</v>
          </cell>
        </row>
        <row r="200">
          <cell r="A200" t="str">
            <v>11002_2</v>
          </cell>
        </row>
        <row r="201">
          <cell r="A201" t="str">
            <v>11002_3</v>
          </cell>
        </row>
        <row r="202">
          <cell r="A202" t="str">
            <v>11003_1</v>
          </cell>
        </row>
        <row r="203">
          <cell r="A203" t="str">
            <v>11003_2</v>
          </cell>
        </row>
        <row r="204">
          <cell r="A204" t="str">
            <v>11003_3</v>
          </cell>
        </row>
        <row r="205">
          <cell r="A205" t="str">
            <v>11004_1</v>
          </cell>
        </row>
        <row r="206">
          <cell r="A206" t="str">
            <v>11004_2</v>
          </cell>
        </row>
        <row r="207">
          <cell r="A207" t="str">
            <v>11004_3</v>
          </cell>
        </row>
        <row r="208">
          <cell r="A208" t="str">
            <v>11005_1</v>
          </cell>
        </row>
        <row r="209">
          <cell r="A209" t="str">
            <v>11005_2</v>
          </cell>
        </row>
        <row r="210">
          <cell r="A210" t="str">
            <v>11005_3</v>
          </cell>
        </row>
        <row r="211">
          <cell r="A211" t="str">
            <v>11005_4</v>
          </cell>
        </row>
        <row r="212">
          <cell r="A212" t="str">
            <v>11006_1</v>
          </cell>
        </row>
        <row r="213">
          <cell r="A213" t="str">
            <v>11006_2</v>
          </cell>
        </row>
        <row r="214">
          <cell r="A214" t="str">
            <v>11006_3</v>
          </cell>
        </row>
        <row r="215">
          <cell r="A215" t="str">
            <v>11101_1</v>
          </cell>
        </row>
        <row r="216">
          <cell r="A216" t="str">
            <v>11101_2</v>
          </cell>
        </row>
        <row r="217">
          <cell r="A217" t="str">
            <v>11101_3</v>
          </cell>
        </row>
        <row r="218">
          <cell r="A218" t="str">
            <v>11102_1</v>
          </cell>
        </row>
        <row r="219">
          <cell r="A219" t="str">
            <v>11102_2</v>
          </cell>
        </row>
        <row r="220">
          <cell r="A220" t="str">
            <v>11102_3</v>
          </cell>
        </row>
        <row r="221">
          <cell r="A221" t="str">
            <v>11103_1</v>
          </cell>
        </row>
        <row r="222">
          <cell r="A222" t="str">
            <v>11103_2</v>
          </cell>
        </row>
        <row r="223">
          <cell r="A223" t="str">
            <v>11103_3</v>
          </cell>
        </row>
        <row r="224">
          <cell r="A224" t="str">
            <v>11104_1</v>
          </cell>
        </row>
        <row r="225">
          <cell r="A225" t="str">
            <v>11104_2</v>
          </cell>
        </row>
        <row r="226">
          <cell r="A226" t="str">
            <v>11104_3</v>
          </cell>
        </row>
        <row r="227">
          <cell r="A227" t="str">
            <v>11105_1</v>
          </cell>
        </row>
        <row r="228">
          <cell r="A228" t="str">
            <v>11105_2</v>
          </cell>
        </row>
        <row r="229">
          <cell r="A229" t="str">
            <v>11105_3</v>
          </cell>
        </row>
        <row r="230">
          <cell r="A230" t="str">
            <v>11105_4</v>
          </cell>
        </row>
        <row r="231">
          <cell r="A231" t="str">
            <v>11106_1</v>
          </cell>
        </row>
        <row r="232">
          <cell r="A232" t="str">
            <v>11106_2</v>
          </cell>
        </row>
        <row r="233">
          <cell r="A233" t="str">
            <v>11106_3</v>
          </cell>
        </row>
        <row r="234">
          <cell r="A234" t="str">
            <v>11206_1</v>
          </cell>
        </row>
        <row r="235">
          <cell r="A235" t="str">
            <v>11206_2</v>
          </cell>
        </row>
        <row r="236">
          <cell r="A236" t="str">
            <v>11206_3</v>
          </cell>
        </row>
        <row r="237">
          <cell r="A237" t="str">
            <v>11016_1</v>
          </cell>
        </row>
        <row r="238">
          <cell r="A238" t="str">
            <v>11207_1</v>
          </cell>
        </row>
        <row r="239">
          <cell r="A239" t="str">
            <v>11207_2</v>
          </cell>
        </row>
        <row r="240">
          <cell r="A240" t="str">
            <v>11208_1</v>
          </cell>
        </row>
        <row r="241">
          <cell r="A241" t="str">
            <v>11208_2</v>
          </cell>
        </row>
        <row r="242">
          <cell r="A242" t="str">
            <v>11209_1</v>
          </cell>
        </row>
        <row r="243">
          <cell r="A243" t="str">
            <v>11209_2</v>
          </cell>
        </row>
        <row r="244">
          <cell r="A244" t="str">
            <v>11210_1</v>
          </cell>
        </row>
        <row r="245">
          <cell r="A245" t="str">
            <v>11210_2</v>
          </cell>
        </row>
        <row r="246">
          <cell r="A246" t="str">
            <v>11210_3</v>
          </cell>
        </row>
        <row r="247">
          <cell r="A247" t="str">
            <v>11210_4</v>
          </cell>
        </row>
        <row r="248">
          <cell r="A248" t="str">
            <v>11211_1</v>
          </cell>
        </row>
        <row r="249">
          <cell r="A249" t="str">
            <v>11211_2</v>
          </cell>
        </row>
        <row r="250">
          <cell r="A250" t="str">
            <v>11211_3</v>
          </cell>
        </row>
        <row r="251">
          <cell r="A251" t="str">
            <v>11211_4</v>
          </cell>
        </row>
        <row r="252">
          <cell r="A252" t="str">
            <v>11212_1</v>
          </cell>
        </row>
        <row r="253">
          <cell r="A253" t="str">
            <v>11213_1</v>
          </cell>
        </row>
        <row r="254">
          <cell r="A254" t="str">
            <v>11214_1</v>
          </cell>
        </row>
        <row r="255">
          <cell r="A255" t="str">
            <v>11214_2</v>
          </cell>
        </row>
        <row r="256">
          <cell r="A256" t="str">
            <v>11214_3</v>
          </cell>
        </row>
        <row r="257">
          <cell r="A257" t="str">
            <v>11215_1</v>
          </cell>
        </row>
        <row r="258">
          <cell r="A258" t="str">
            <v>11216_1</v>
          </cell>
        </row>
        <row r="259">
          <cell r="A259" t="str">
            <v>11217_1</v>
          </cell>
        </row>
        <row r="260">
          <cell r="A260" t="str">
            <v>11218_1</v>
          </cell>
        </row>
        <row r="261">
          <cell r="A261" t="str">
            <v>11219_1</v>
          </cell>
        </row>
        <row r="262">
          <cell r="A262" t="str">
            <v>12001_1</v>
          </cell>
        </row>
        <row r="263">
          <cell r="A263" t="str">
            <v>12001_2</v>
          </cell>
        </row>
        <row r="264">
          <cell r="A264" t="str">
            <v>12001_3</v>
          </cell>
        </row>
        <row r="265">
          <cell r="A265" t="str">
            <v>12002_3</v>
          </cell>
        </row>
        <row r="266">
          <cell r="A266" t="str">
            <v>12002_2</v>
          </cell>
        </row>
        <row r="267">
          <cell r="A267" t="str">
            <v>12002_1</v>
          </cell>
        </row>
        <row r="268">
          <cell r="A268" t="str">
            <v>12003_1</v>
          </cell>
        </row>
        <row r="269">
          <cell r="A269" t="str">
            <v>12003_2</v>
          </cell>
        </row>
        <row r="270">
          <cell r="A270" t="str">
            <v>12003_3</v>
          </cell>
        </row>
        <row r="271">
          <cell r="A271" t="str">
            <v>12003_4</v>
          </cell>
        </row>
        <row r="272">
          <cell r="A272" t="str">
            <v>12004_1</v>
          </cell>
        </row>
        <row r="273">
          <cell r="A273" t="str">
            <v>13001_1</v>
          </cell>
        </row>
        <row r="274">
          <cell r="A274" t="str">
            <v>13001_2</v>
          </cell>
        </row>
        <row r="275">
          <cell r="A275" t="str">
            <v>13001_3</v>
          </cell>
        </row>
        <row r="276">
          <cell r="A276" t="str">
            <v>13001_4</v>
          </cell>
        </row>
        <row r="277">
          <cell r="A277" t="str">
            <v>13001_5</v>
          </cell>
        </row>
        <row r="278">
          <cell r="A278" t="str">
            <v>13001_6</v>
          </cell>
        </row>
        <row r="279">
          <cell r="A279" t="str">
            <v>13001_7</v>
          </cell>
        </row>
        <row r="280">
          <cell r="A280" t="str">
            <v>13001_8</v>
          </cell>
        </row>
        <row r="281">
          <cell r="A281" t="str">
            <v>13001_9</v>
          </cell>
        </row>
        <row r="282">
          <cell r="A282" t="str">
            <v>13001_10</v>
          </cell>
        </row>
        <row r="283">
          <cell r="A283" t="str">
            <v>13001_11</v>
          </cell>
        </row>
        <row r="284">
          <cell r="A284" t="str">
            <v>13001_12</v>
          </cell>
        </row>
        <row r="285">
          <cell r="A285" t="str">
            <v>13001_13</v>
          </cell>
        </row>
        <row r="286">
          <cell r="A286" t="str">
            <v>13001_14</v>
          </cell>
        </row>
        <row r="287">
          <cell r="A287" t="str">
            <v>13001_15</v>
          </cell>
        </row>
        <row r="288">
          <cell r="A288" t="str">
            <v>13001_16</v>
          </cell>
        </row>
        <row r="289">
          <cell r="A289" t="str">
            <v>13001_17</v>
          </cell>
        </row>
        <row r="290">
          <cell r="A290" t="str">
            <v>13001_18</v>
          </cell>
        </row>
        <row r="291">
          <cell r="A291" t="str">
            <v>13001_19</v>
          </cell>
        </row>
        <row r="292">
          <cell r="A292" t="str">
            <v>13001_20</v>
          </cell>
        </row>
        <row r="293">
          <cell r="A293" t="str">
            <v>13001_21</v>
          </cell>
        </row>
        <row r="294">
          <cell r="A294" t="str">
            <v>13001_22</v>
          </cell>
        </row>
        <row r="295">
          <cell r="A295" t="str">
            <v>13001_23</v>
          </cell>
        </row>
        <row r="296">
          <cell r="A296" t="str">
            <v>13001_24</v>
          </cell>
        </row>
        <row r="297">
          <cell r="A297" t="str">
            <v>13001_25</v>
          </cell>
        </row>
        <row r="298">
          <cell r="A298" t="str">
            <v>14001_1</v>
          </cell>
        </row>
        <row r="299">
          <cell r="A299" t="str">
            <v>14001_2</v>
          </cell>
        </row>
        <row r="300">
          <cell r="A300" t="str">
            <v>14001_3</v>
          </cell>
        </row>
        <row r="301">
          <cell r="A301" t="str">
            <v>14001_4</v>
          </cell>
        </row>
        <row r="302">
          <cell r="A302" t="str">
            <v>14002_1</v>
          </cell>
        </row>
        <row r="303">
          <cell r="A303" t="str">
            <v>14003_1</v>
          </cell>
        </row>
        <row r="304">
          <cell r="A304" t="str">
            <v>14004_1</v>
          </cell>
        </row>
        <row r="305">
          <cell r="A305" t="str">
            <v>14004_2</v>
          </cell>
        </row>
        <row r="306">
          <cell r="A306" t="str">
            <v>14004_3</v>
          </cell>
        </row>
        <row r="307">
          <cell r="A307" t="str">
            <v>14004_4</v>
          </cell>
        </row>
        <row r="308">
          <cell r="A308" t="str">
            <v>14005_1</v>
          </cell>
        </row>
        <row r="309">
          <cell r="A309" t="str">
            <v>14006_1</v>
          </cell>
        </row>
        <row r="310">
          <cell r="A310" t="str">
            <v>20001_1</v>
          </cell>
        </row>
        <row r="311">
          <cell r="A311" t="str">
            <v>20001_2</v>
          </cell>
        </row>
        <row r="312">
          <cell r="A312" t="str">
            <v>20001_3</v>
          </cell>
        </row>
        <row r="313">
          <cell r="A313" t="str">
            <v>20002_1</v>
          </cell>
        </row>
        <row r="314">
          <cell r="A314" t="str">
            <v>20002_2</v>
          </cell>
        </row>
        <row r="315">
          <cell r="A315" t="str">
            <v>20002_3</v>
          </cell>
        </row>
        <row r="316">
          <cell r="A316" t="str">
            <v>20003_1</v>
          </cell>
        </row>
        <row r="317">
          <cell r="A317" t="str">
            <v>20003_2</v>
          </cell>
        </row>
        <row r="318">
          <cell r="A318" t="str">
            <v>20003_3</v>
          </cell>
        </row>
        <row r="319">
          <cell r="A319" t="str">
            <v>20004_1</v>
          </cell>
        </row>
        <row r="320">
          <cell r="A320" t="str">
            <v>20004_2</v>
          </cell>
        </row>
        <row r="321">
          <cell r="A321" t="str">
            <v>20004_3</v>
          </cell>
        </row>
        <row r="322">
          <cell r="A322" t="str">
            <v>20005_1</v>
          </cell>
        </row>
        <row r="323">
          <cell r="A323" t="str">
            <v>20005_2</v>
          </cell>
        </row>
        <row r="324">
          <cell r="A324" t="str">
            <v>20005_3</v>
          </cell>
        </row>
        <row r="325">
          <cell r="A325" t="str">
            <v>20006_1</v>
          </cell>
        </row>
        <row r="326">
          <cell r="A326" t="str">
            <v>20006_2</v>
          </cell>
        </row>
        <row r="327">
          <cell r="A327" t="str">
            <v>20006_3</v>
          </cell>
        </row>
        <row r="328">
          <cell r="A328" t="str">
            <v>20007_1</v>
          </cell>
        </row>
        <row r="329">
          <cell r="A329" t="str">
            <v>20007_2</v>
          </cell>
        </row>
        <row r="330">
          <cell r="A330" t="str">
            <v>20007_3</v>
          </cell>
        </row>
        <row r="331">
          <cell r="A331" t="str">
            <v>20008_1</v>
          </cell>
        </row>
        <row r="332">
          <cell r="A332" t="str">
            <v>20008_2</v>
          </cell>
        </row>
        <row r="333">
          <cell r="A333" t="str">
            <v>20008_3</v>
          </cell>
        </row>
        <row r="334">
          <cell r="A334" t="str">
            <v>20009_1</v>
          </cell>
        </row>
        <row r="335">
          <cell r="A335" t="str">
            <v>20009_2</v>
          </cell>
        </row>
        <row r="336">
          <cell r="A336" t="str">
            <v>20009_3</v>
          </cell>
        </row>
        <row r="337">
          <cell r="A337" t="str">
            <v>20010_1</v>
          </cell>
        </row>
        <row r="338">
          <cell r="A338" t="str">
            <v>20010_2</v>
          </cell>
        </row>
        <row r="339">
          <cell r="A339" t="str">
            <v>20010_3</v>
          </cell>
        </row>
        <row r="340">
          <cell r="A340" t="str">
            <v>20011_1</v>
          </cell>
        </row>
        <row r="341">
          <cell r="A341" t="str">
            <v>20011_2</v>
          </cell>
        </row>
        <row r="342">
          <cell r="A342" t="str">
            <v>20011_3</v>
          </cell>
        </row>
        <row r="343">
          <cell r="A343" t="str">
            <v>20012_1</v>
          </cell>
        </row>
        <row r="344">
          <cell r="A344" t="str">
            <v>20012_2</v>
          </cell>
        </row>
        <row r="345">
          <cell r="A345" t="str">
            <v>20012_3</v>
          </cell>
        </row>
        <row r="346">
          <cell r="A346" t="str">
            <v>30001_1</v>
          </cell>
        </row>
        <row r="347">
          <cell r="A347" t="str">
            <v>30001_2</v>
          </cell>
        </row>
        <row r="348">
          <cell r="A348" t="str">
            <v>30001_3</v>
          </cell>
        </row>
        <row r="349">
          <cell r="A349" t="str">
            <v>30002_1</v>
          </cell>
        </row>
        <row r="350">
          <cell r="A350" t="str">
            <v>30002_2</v>
          </cell>
        </row>
        <row r="351">
          <cell r="A351" t="str">
            <v>30002_3</v>
          </cell>
        </row>
        <row r="352">
          <cell r="A352" t="str">
            <v>30003_1</v>
          </cell>
        </row>
        <row r="353">
          <cell r="A353" t="str">
            <v>30003_2</v>
          </cell>
        </row>
        <row r="354">
          <cell r="A354" t="str">
            <v>30003_3</v>
          </cell>
        </row>
        <row r="355">
          <cell r="A355" t="str">
            <v>30004_1</v>
          </cell>
        </row>
        <row r="356">
          <cell r="A356" t="str">
            <v>30004_2</v>
          </cell>
        </row>
        <row r="357">
          <cell r="A357" t="str">
            <v>30004_3</v>
          </cell>
        </row>
        <row r="358">
          <cell r="A358" t="str">
            <v>30005_1</v>
          </cell>
        </row>
        <row r="359">
          <cell r="A359" t="str">
            <v>30005_2</v>
          </cell>
        </row>
        <row r="360">
          <cell r="A360" t="str">
            <v>30005_3</v>
          </cell>
        </row>
        <row r="361">
          <cell r="A361" t="str">
            <v>30006_1</v>
          </cell>
        </row>
        <row r="362">
          <cell r="A362" t="str">
            <v>30006_2</v>
          </cell>
        </row>
        <row r="363">
          <cell r="A363" t="str">
            <v>30006_3</v>
          </cell>
        </row>
        <row r="364">
          <cell r="A364" t="str">
            <v>30007_1</v>
          </cell>
        </row>
        <row r="365">
          <cell r="A365" t="str">
            <v>30007_2</v>
          </cell>
        </row>
        <row r="366">
          <cell r="A366" t="str">
            <v>30007_3</v>
          </cell>
        </row>
        <row r="367">
          <cell r="A367" t="str">
            <v>30008_1</v>
          </cell>
        </row>
        <row r="368">
          <cell r="A368" t="str">
            <v>30008_2</v>
          </cell>
        </row>
        <row r="369">
          <cell r="A369" t="str">
            <v>30008_3</v>
          </cell>
        </row>
        <row r="370">
          <cell r="A370" t="str">
            <v>30009_3</v>
          </cell>
        </row>
        <row r="371">
          <cell r="A371" t="str">
            <v>30009_1</v>
          </cell>
        </row>
        <row r="372">
          <cell r="A372" t="str">
            <v>30009_2</v>
          </cell>
        </row>
        <row r="373">
          <cell r="A373" t="str">
            <v>30010_1</v>
          </cell>
        </row>
        <row r="374">
          <cell r="A374" t="str">
            <v>30010_2</v>
          </cell>
        </row>
        <row r="375">
          <cell r="A375" t="str">
            <v>30010_3</v>
          </cell>
        </row>
        <row r="376">
          <cell r="A376" t="str">
            <v>30011_1</v>
          </cell>
        </row>
        <row r="377">
          <cell r="A377" t="str">
            <v>30011_2</v>
          </cell>
        </row>
        <row r="378">
          <cell r="A378" t="str">
            <v>30011_3</v>
          </cell>
        </row>
        <row r="379">
          <cell r="A379" t="str">
            <v>30012_1</v>
          </cell>
        </row>
        <row r="380">
          <cell r="A380" t="str">
            <v>30012_2</v>
          </cell>
        </row>
        <row r="381">
          <cell r="A381" t="str">
            <v>30012_3</v>
          </cell>
        </row>
        <row r="382">
          <cell r="A382" t="str">
            <v>30013_1</v>
          </cell>
        </row>
        <row r="383">
          <cell r="A383" t="str">
            <v>30013_2</v>
          </cell>
        </row>
        <row r="384">
          <cell r="A384" t="str">
            <v>30014_1</v>
          </cell>
        </row>
        <row r="385">
          <cell r="A385" t="str">
            <v>30014_2</v>
          </cell>
        </row>
        <row r="386">
          <cell r="A386" t="str">
            <v>30015_1</v>
          </cell>
        </row>
        <row r="387">
          <cell r="A387" t="str">
            <v>30015_2</v>
          </cell>
        </row>
        <row r="388">
          <cell r="A388" t="str">
            <v>30016_1</v>
          </cell>
        </row>
        <row r="389">
          <cell r="A389" t="str">
            <v>30016_2</v>
          </cell>
        </row>
        <row r="390">
          <cell r="A390" t="str">
            <v>30017_1</v>
          </cell>
        </row>
        <row r="391">
          <cell r="A391" t="str">
            <v>30017_2</v>
          </cell>
        </row>
        <row r="392">
          <cell r="A392" t="str">
            <v>30018_1</v>
          </cell>
        </row>
        <row r="393">
          <cell r="A393" t="str">
            <v>30018_2</v>
          </cell>
        </row>
        <row r="394">
          <cell r="A394" t="str">
            <v>30019_1</v>
          </cell>
        </row>
        <row r="395">
          <cell r="A395" t="str">
            <v>30019_2</v>
          </cell>
        </row>
        <row r="396">
          <cell r="A396" t="str">
            <v>30020_1</v>
          </cell>
        </row>
        <row r="397">
          <cell r="A397" t="str">
            <v>30020_2</v>
          </cell>
        </row>
        <row r="398">
          <cell r="A398" t="str">
            <v>30021_1</v>
          </cell>
        </row>
        <row r="399">
          <cell r="A399" t="str">
            <v>30021_2</v>
          </cell>
        </row>
        <row r="400">
          <cell r="A400" t="str">
            <v>30021_3</v>
          </cell>
        </row>
        <row r="401">
          <cell r="A401" t="str">
            <v>30022_1</v>
          </cell>
        </row>
        <row r="402">
          <cell r="A402" t="str">
            <v>30022_2</v>
          </cell>
        </row>
        <row r="403">
          <cell r="A403" t="str">
            <v>30023_1</v>
          </cell>
        </row>
        <row r="404">
          <cell r="A404" t="str">
            <v>30023_2</v>
          </cell>
        </row>
        <row r="405">
          <cell r="A405" t="str">
            <v>30023_3</v>
          </cell>
        </row>
        <row r="406">
          <cell r="A406" t="str">
            <v>30024_1</v>
          </cell>
        </row>
        <row r="407">
          <cell r="A407" t="str">
            <v>30024_2</v>
          </cell>
        </row>
        <row r="408">
          <cell r="A408" t="str">
            <v>30024_3</v>
          </cell>
        </row>
        <row r="409">
          <cell r="A409" t="str">
            <v>30025_1</v>
          </cell>
        </row>
        <row r="410">
          <cell r="A410" t="str">
            <v>30025_2</v>
          </cell>
        </row>
        <row r="411">
          <cell r="A411" t="str">
            <v>30025_3</v>
          </cell>
        </row>
        <row r="412">
          <cell r="A412" t="str">
            <v>30026_1</v>
          </cell>
        </row>
        <row r="413">
          <cell r="A413" t="str">
            <v>30026_2</v>
          </cell>
        </row>
        <row r="414">
          <cell r="A414" t="str">
            <v>30026_3</v>
          </cell>
        </row>
        <row r="415">
          <cell r="A415" t="str">
            <v>30027_1</v>
          </cell>
        </row>
        <row r="416">
          <cell r="A416" t="str">
            <v>30027_2</v>
          </cell>
        </row>
        <row r="417">
          <cell r="A417" t="str">
            <v>30027_3</v>
          </cell>
        </row>
        <row r="418">
          <cell r="A418" t="str">
            <v>39001_1</v>
          </cell>
        </row>
        <row r="419">
          <cell r="A419" t="str">
            <v>39001_2</v>
          </cell>
        </row>
        <row r="420">
          <cell r="A420" t="str">
            <v>39001_3</v>
          </cell>
        </row>
        <row r="421">
          <cell r="A421" t="str">
            <v>39001_4</v>
          </cell>
        </row>
        <row r="422">
          <cell r="A422" t="str">
            <v>39001_5</v>
          </cell>
        </row>
        <row r="423">
          <cell r="A423" t="str">
            <v>40001_1</v>
          </cell>
        </row>
        <row r="424">
          <cell r="A424" t="str">
            <v>40002_1</v>
          </cell>
        </row>
        <row r="425">
          <cell r="A425" t="str">
            <v>40002_2</v>
          </cell>
        </row>
        <row r="426">
          <cell r="A426" t="str">
            <v>40002_3</v>
          </cell>
        </row>
        <row r="427">
          <cell r="A427" t="str">
            <v>40003_1</v>
          </cell>
        </row>
        <row r="428">
          <cell r="A428" t="str">
            <v>40004_1</v>
          </cell>
        </row>
        <row r="429">
          <cell r="A429" t="str">
            <v>40005_1</v>
          </cell>
        </row>
        <row r="430">
          <cell r="A430" t="str">
            <v>40006_1</v>
          </cell>
        </row>
        <row r="431">
          <cell r="A431" t="str">
            <v>40007_1</v>
          </cell>
        </row>
        <row r="432">
          <cell r="A432" t="str">
            <v>40008_1</v>
          </cell>
        </row>
        <row r="433">
          <cell r="A433" t="str">
            <v>40009_1</v>
          </cell>
        </row>
        <row r="434">
          <cell r="A434" t="str">
            <v>40010_1</v>
          </cell>
        </row>
        <row r="435">
          <cell r="A435" t="str">
            <v>49001_1</v>
          </cell>
        </row>
        <row r="436">
          <cell r="A436" t="str">
            <v>50001_1</v>
          </cell>
        </row>
        <row r="437">
          <cell r="A437" t="str">
            <v>50002_1</v>
          </cell>
        </row>
        <row r="438">
          <cell r="A438" t="str">
            <v>65535_1</v>
          </cell>
        </row>
        <row r="439">
          <cell r="A439" t="str">
            <v>65535_2</v>
          </cell>
        </row>
        <row r="440">
          <cell r="A440" t="str">
            <v>65535_3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 refreshError="1"/>
      <sheetData sheetId="12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ソロ専用チャレンジタワー</v>
          </cell>
          <cell r="D20" t="str">
            <v>ソロ専用の「チャレンジタワー」では_x000D_各フロアごとにクリア報酬がもらえます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りんごを使って限界突破</v>
          </cell>
          <cell r="D25" t="str">
            <v>赤りんご(攻撃力) 青りんご(回復力)_x000D_緑りんご(体力)をユニット強化に使うと_x000D_ステータスが限界突破します（計99個迄）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「クリスタルのりんご」を強化に使うと_x000D_スキルレベルを上げることができます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チャレンジタワーのボス</v>
          </cell>
          <cell r="D38" t="str">
            <v>チャレンジタワーでのみ登場するボスは_x000D_一定確率で獲得することができます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ALICEが「アナタ」を呼んでいます</v>
          </cell>
        </row>
        <row r="41">
          <cell r="A41">
            <v>65535</v>
          </cell>
          <cell r="B41" t="str">
            <v>ja</v>
          </cell>
          <cell r="C41" t="str">
            <v>文字数テスト</v>
          </cell>
          <cell r="D41" t="str">
            <v>チャレンジタワー15F、20F、25Fのボスは_x000D_一定確率でドロップするようです</v>
          </cell>
        </row>
        <row r="42">
          <cell r="A42">
            <v>50002001</v>
          </cell>
          <cell r="B42" t="str">
            <v>ja</v>
          </cell>
          <cell r="C42" t="str">
            <v>オーディン</v>
          </cell>
          <cell r="D42" t="str">
            <v>女王の圧政を問題に思ったオーディンは_x000D_内側から女王を抑え込もうと考え_x000D_女王勢力に自ら潜り込んでいました。</v>
          </cell>
        </row>
        <row r="43">
          <cell r="D43">
            <v>52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K3"/>
  <sheetViews>
    <sheetView workbookViewId="0">
      <selection activeCell="A4" sqref="A4"/>
    </sheetView>
  </sheetViews>
  <sheetFormatPr baseColWidth="12" defaultRowHeight="18" x14ac:dyDescent="0"/>
  <cols>
    <col min="1" max="1" width="12.83203125" style="10"/>
    <col min="2" max="2" width="17.1640625" style="10" bestFit="1" customWidth="1"/>
    <col min="3" max="4" width="12.83203125" style="10"/>
    <col min="5" max="5" width="20.5" style="10" bestFit="1" customWidth="1"/>
    <col min="6" max="6" width="16" style="10" bestFit="1" customWidth="1"/>
    <col min="7" max="16384" width="12.83203125" style="10"/>
  </cols>
  <sheetData>
    <row r="1" spans="1:11">
      <c r="A1" s="14" t="s">
        <v>18</v>
      </c>
      <c r="B1" s="8" t="s">
        <v>10</v>
      </c>
      <c r="C1" s="8" t="s">
        <v>11</v>
      </c>
      <c r="D1" s="8" t="s">
        <v>12</v>
      </c>
      <c r="E1" s="8" t="s">
        <v>13</v>
      </c>
      <c r="F1" s="8" t="s">
        <v>14</v>
      </c>
      <c r="G1" s="8" t="s">
        <v>15</v>
      </c>
      <c r="H1" s="9"/>
      <c r="I1" s="9"/>
      <c r="J1" s="17"/>
      <c r="K1" s="17"/>
    </row>
    <row r="2" spans="1:11">
      <c r="A2" s="15" t="s">
        <v>19</v>
      </c>
      <c r="B2" s="24" t="s">
        <v>27</v>
      </c>
      <c r="C2" s="24" t="s">
        <v>77</v>
      </c>
      <c r="D2" s="24" t="s">
        <v>26</v>
      </c>
      <c r="E2" s="9" t="str">
        <f t="shared" ref="E2:E3" si="0">B2&amp;C2&amp;D2</f>
        <v>stage_hints_data_wiz.tmp</v>
      </c>
      <c r="F2" s="11" t="s">
        <v>9</v>
      </c>
      <c r="G2" s="1" t="s">
        <v>5</v>
      </c>
      <c r="H2" s="1" t="s">
        <v>0</v>
      </c>
      <c r="I2" s="16" t="s">
        <v>6</v>
      </c>
      <c r="J2" s="18" t="s">
        <v>20</v>
      </c>
      <c r="K2" s="23" t="s">
        <v>31</v>
      </c>
    </row>
    <row r="3" spans="1:11">
      <c r="A3" s="24" t="s">
        <v>117</v>
      </c>
      <c r="B3" s="24" t="s">
        <v>28</v>
      </c>
      <c r="C3" s="24" t="s">
        <v>78</v>
      </c>
      <c r="D3" s="24" t="s">
        <v>26</v>
      </c>
      <c r="E3" s="9" t="str">
        <f t="shared" si="0"/>
        <v>stage_hints_i18n_wiz.tmp</v>
      </c>
      <c r="F3" s="11" t="s">
        <v>9</v>
      </c>
      <c r="G3" s="16" t="s">
        <v>6</v>
      </c>
      <c r="H3" s="12" t="s">
        <v>7</v>
      </c>
      <c r="I3" s="1" t="s">
        <v>8</v>
      </c>
      <c r="J3" s="20" t="s">
        <v>22</v>
      </c>
      <c r="K3" s="23" t="s">
        <v>24</v>
      </c>
    </row>
  </sheetData>
  <phoneticPr fontId="5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P73"/>
  <sheetViews>
    <sheetView showGridLines="0" tabSelected="1" workbookViewId="0">
      <pane ySplit="1" topLeftCell="A51" activePane="bottomLeft" state="frozen"/>
      <selection pane="bottomLeft" activeCell="K69" sqref="K69"/>
    </sheetView>
  </sheetViews>
  <sheetFormatPr baseColWidth="12" defaultColWidth="13" defaultRowHeight="18" outlineLevelCol="1" x14ac:dyDescent="0"/>
  <cols>
    <col min="2" max="2" width="13" style="28"/>
    <col min="3" max="3" width="13" collapsed="1"/>
    <col min="4" max="4" width="17" hidden="1" customWidth="1" outlineLevel="1"/>
    <col min="5" max="5" width="18.83203125" hidden="1" customWidth="1" outlineLevel="1"/>
    <col min="6" max="6" width="13" collapsed="1"/>
    <col min="7" max="7" width="22.5" hidden="1" customWidth="1" outlineLevel="1"/>
    <col min="8" max="8" width="22" hidden="1" customWidth="1" outlineLevel="1"/>
    <col min="9" max="9" width="22" customWidth="1"/>
    <col min="10" max="10" width="11.1640625" bestFit="1" customWidth="1"/>
    <col min="11" max="13" width="11.1640625" customWidth="1"/>
    <col min="14" max="14" width="35.33203125" customWidth="1"/>
  </cols>
  <sheetData>
    <row r="1" spans="1:16">
      <c r="A1" s="3" t="s">
        <v>2</v>
      </c>
      <c r="B1" s="26" t="s">
        <v>32</v>
      </c>
      <c r="C1" s="1" t="s">
        <v>74</v>
      </c>
      <c r="D1" s="7" t="s">
        <v>3</v>
      </c>
      <c r="E1" s="7" t="s">
        <v>4</v>
      </c>
      <c r="F1" s="1" t="s">
        <v>75</v>
      </c>
      <c r="G1" s="7" t="s">
        <v>3</v>
      </c>
      <c r="H1" s="7" t="s">
        <v>4</v>
      </c>
      <c r="I1" s="1" t="s">
        <v>21</v>
      </c>
      <c r="J1" s="1" t="s">
        <v>30</v>
      </c>
      <c r="K1" s="25" t="s">
        <v>29</v>
      </c>
      <c r="L1" s="13" t="s">
        <v>16</v>
      </c>
      <c r="M1" s="13" t="s">
        <v>25</v>
      </c>
      <c r="N1" s="2" t="s">
        <v>1</v>
      </c>
      <c r="O1" s="21" t="s">
        <v>23</v>
      </c>
      <c r="P1" t="s">
        <v>76</v>
      </c>
    </row>
    <row r="2" spans="1:16">
      <c r="A2" s="29" t="str">
        <f t="shared" ref="A2" si="0">C2&amp;"_"&amp;F2&amp;"_"&amp;J2</f>
        <v>40001_1_1</v>
      </c>
      <c r="B2" s="27" t="s">
        <v>33</v>
      </c>
      <c r="C2" s="5">
        <v>40001</v>
      </c>
      <c r="D2" s="4" t="e">
        <f ca="1">VLOOKUP($C2,OFFSET([1]quests!$A$1,0,0,COUNTA([1]quests!$A:$A),MATCH(D$1,[1]quests!$1:$1,0)-MATCH($C$1,[1]quests!$1:$1,0)+1),MATCH(D$1,[1]quests!$1:$1,0)-MATCH($C$1,[1]quests!$1:$1,0)+1,FALSE)</f>
        <v>#VALUE!</v>
      </c>
      <c r="E2" s="4" t="e">
        <f ca="1">VLOOKUP($C2,OFFSET([1]quests!$A$1,0,0,COUNTA([1]quests!$A:$A),MATCH(E$1,[1]quests!$1:$1,0)-MATCH($C$1,[1]quests!$1:$1,0)+1),MATCH(E$1,[1]quests!$1:$1,0)-MATCH($C$1,[1]quests!$1:$1,0)+1,FALSE)</f>
        <v>#VALUE!</v>
      </c>
      <c r="F2" s="6">
        <v>1</v>
      </c>
      <c r="G2" s="4" t="e">
        <f ca="1">VLOOKUP($C2&amp;"_"&amp;$F2,OFFSET([1]stages!$A$1,0,0,COUNTA([1]stages!$A:$A),MATCH(G$1,[1]stages!$2:$2,0)-MATCH("temp_stage",[1]stages!$2:$2,0)+1),MATCH(G$1,[1]stages!$2:$2,0)-MATCH("temp_stage",[1]stages!$2:$2,0)+1,FALSE)</f>
        <v>#VALUE!</v>
      </c>
      <c r="H2" s="4" t="e">
        <f ca="1">VLOOKUP($C2&amp;"_"&amp;$F2,OFFSET([1]stages!$A$1,0,0,COUNTA([1]stages!$A:$A),MATCH(H$1,[1]stages!$2:$2,0)-MATCH("temp_stage",[1]stages!$2:$2,0)+1),MATCH(H$1,[1]stages!$2:$2,0)-MATCH("temp_stage",[1]stages!$2:$2,0)+1,FALSE)</f>
        <v>#VALUE!</v>
      </c>
      <c r="I2" s="19">
        <v>0</v>
      </c>
      <c r="J2" s="6">
        <f>COUNTIF(C$1:C2,C2)</f>
        <v>1</v>
      </c>
      <c r="K2">
        <v>12</v>
      </c>
      <c r="L2" s="6" t="s">
        <v>17</v>
      </c>
      <c r="M2" s="36" t="str">
        <f>VLOOKUP(K2,[2]stage_hints!$A:$C,3,FALSE)</f>
        <v>ユニットのお気に入り登録</v>
      </c>
      <c r="N2" s="37" t="str">
        <f>VLOOKUP(K2,[2]stage_hints!$A:$D,4,FALSE)</f>
        <v>大事なユニットを誤って消さないように_x000D_フォルダから「お気に入り登録」しましょう</v>
      </c>
      <c r="O2" s="22" t="s">
        <v>116</v>
      </c>
      <c r="P2">
        <v>12</v>
      </c>
    </row>
    <row r="3" spans="1:16">
      <c r="A3" s="29" t="str">
        <f t="shared" ref="A3:A14" si="1">C3&amp;"_"&amp;F3&amp;"_"&amp;J3</f>
        <v>40001_1_2</v>
      </c>
      <c r="B3" s="27" t="s">
        <v>33</v>
      </c>
      <c r="C3" s="5">
        <v>40001</v>
      </c>
      <c r="D3" s="4" t="e">
        <f ca="1">VLOOKUP($C3,OFFSET([1]quests!$A$1,0,0,COUNTA([1]quests!$A:$A),MATCH(D$1,[1]quests!$1:$1,0)-MATCH($C$1,[1]quests!$1:$1,0)+1),MATCH(D$1,[1]quests!$1:$1,0)-MATCH($C$1,[1]quests!$1:$1,0)+1,FALSE)</f>
        <v>#VALUE!</v>
      </c>
      <c r="E3" s="4" t="e">
        <f ca="1">VLOOKUP($C3,OFFSET([1]quests!$A$1,0,0,COUNTA([1]quests!$A:$A),MATCH(E$1,[1]quests!$1:$1,0)-MATCH($C$1,[1]quests!$1:$1,0)+1),MATCH(E$1,[1]quests!$1:$1,0)-MATCH($C$1,[1]quests!$1:$1,0)+1,FALSE)</f>
        <v>#VALUE!</v>
      </c>
      <c r="F3" s="6">
        <v>1</v>
      </c>
      <c r="G3" s="4" t="e">
        <f ca="1">VLOOKUP($C3&amp;"_"&amp;$F3,OFFSET([1]stages!$A$1,0,0,COUNTA([1]stages!$A:$A),MATCH(G$1,[1]stages!$2:$2,0)-MATCH("temp_stage",[1]stages!$2:$2,0)+1),MATCH(G$1,[1]stages!$2:$2,0)-MATCH("temp_stage",[1]stages!$2:$2,0)+1,FALSE)</f>
        <v>#VALUE!</v>
      </c>
      <c r="H3" s="4" t="e">
        <f ca="1">VLOOKUP($C3&amp;"_"&amp;$F3,OFFSET([1]stages!$A$1,0,0,COUNTA([1]stages!$A:$A),MATCH(H$1,[1]stages!$2:$2,0)-MATCH("temp_stage",[1]stages!$2:$2,0)+1),MATCH(H$1,[1]stages!$2:$2,0)-MATCH("temp_stage",[1]stages!$2:$2,0)+1,FALSE)</f>
        <v>#VALUE!</v>
      </c>
      <c r="I3" s="19">
        <v>0</v>
      </c>
      <c r="J3" s="6">
        <f>COUNTIF(C$1:C3,C3)</f>
        <v>2</v>
      </c>
      <c r="K3">
        <v>17</v>
      </c>
      <c r="L3" s="6" t="s">
        <v>17</v>
      </c>
      <c r="M3" s="36" t="str">
        <f>VLOOKUP(K3,[2]stage_hints!$A:$C,3,FALSE)</f>
        <v>リンクガチャ</v>
      </c>
      <c r="N3" s="37" t="str">
        <f>VLOOKUP(K3,[2]stage_hints!$A:$D,4,FALSE)</f>
        <v>無料のリンクガチャを回して_x000D_経験値素材や売却素材を獲得しましょう</v>
      </c>
      <c r="O3" s="22" t="s">
        <v>116</v>
      </c>
      <c r="P3">
        <v>17</v>
      </c>
    </row>
    <row r="4" spans="1:16">
      <c r="A4" s="29" t="str">
        <f t="shared" si="1"/>
        <v>40001_1_3</v>
      </c>
      <c r="B4" s="27" t="s">
        <v>33</v>
      </c>
      <c r="C4" s="5">
        <v>40001</v>
      </c>
      <c r="D4" s="4" t="e">
        <f ca="1">VLOOKUP($C4,OFFSET([1]quests!$A$1,0,0,COUNTA([1]quests!$A:$A),MATCH(D$1,[1]quests!$1:$1,0)-MATCH($C$1,[1]quests!$1:$1,0)+1),MATCH(D$1,[1]quests!$1:$1,0)-MATCH($C$1,[1]quests!$1:$1,0)+1,FALSE)</f>
        <v>#VALUE!</v>
      </c>
      <c r="E4" s="4" t="e">
        <f ca="1">VLOOKUP($C4,OFFSET([1]quests!$A$1,0,0,COUNTA([1]quests!$A:$A),MATCH(E$1,[1]quests!$1:$1,0)-MATCH($C$1,[1]quests!$1:$1,0)+1),MATCH(E$1,[1]quests!$1:$1,0)-MATCH($C$1,[1]quests!$1:$1,0)+1,FALSE)</f>
        <v>#VALUE!</v>
      </c>
      <c r="F4" s="6">
        <v>1</v>
      </c>
      <c r="G4" s="4" t="e">
        <f ca="1">VLOOKUP($C4&amp;"_"&amp;$F4,OFFSET([1]stages!$A$1,0,0,COUNTA([1]stages!$A:$A),MATCH(G$1,[1]stages!$2:$2,0)-MATCH("temp_stage",[1]stages!$2:$2,0)+1),MATCH(G$1,[1]stages!$2:$2,0)-MATCH("temp_stage",[1]stages!$2:$2,0)+1,FALSE)</f>
        <v>#VALUE!</v>
      </c>
      <c r="H4" s="4" t="e">
        <f ca="1">VLOOKUP($C4&amp;"_"&amp;$F4,OFFSET([1]stages!$A$1,0,0,COUNTA([1]stages!$A:$A),MATCH(H$1,[1]stages!$2:$2,0)-MATCH("temp_stage",[1]stages!$2:$2,0)+1),MATCH(H$1,[1]stages!$2:$2,0)-MATCH("temp_stage",[1]stages!$2:$2,0)+1,FALSE)</f>
        <v>#VALUE!</v>
      </c>
      <c r="I4" s="19">
        <v>0</v>
      </c>
      <c r="J4" s="6">
        <f>COUNTIF(C$1:C4,C4)</f>
        <v>3</v>
      </c>
      <c r="K4">
        <v>19</v>
      </c>
      <c r="L4" s="6" t="s">
        <v>17</v>
      </c>
      <c r="M4" s="36" t="str">
        <f>VLOOKUP(K4,[2]stage_hints!$A:$C,3,FALSE)</f>
        <v>ソロ専用チャレンジタワー</v>
      </c>
      <c r="N4" s="37" t="str">
        <f>VLOOKUP(K4,[2]stage_hints!$A:$D,4,FALSE)</f>
        <v>ソロ専用の「チャレンジタワー」では_x000D_各フロアごとにクリア報酬がもらえます</v>
      </c>
      <c r="O4" s="22" t="s">
        <v>116</v>
      </c>
      <c r="P4">
        <v>19</v>
      </c>
    </row>
    <row r="5" spans="1:16">
      <c r="A5" s="29" t="str">
        <f t="shared" si="1"/>
        <v>40001_1_4</v>
      </c>
      <c r="B5" s="27" t="s">
        <v>33</v>
      </c>
      <c r="C5" s="5">
        <v>40001</v>
      </c>
      <c r="D5" s="4" t="e">
        <f ca="1">VLOOKUP($C5,OFFSET([1]quests!$A$1,0,0,COUNTA([1]quests!$A:$A),MATCH(D$1,[1]quests!$1:$1,0)-MATCH($C$1,[1]quests!$1:$1,0)+1),MATCH(D$1,[1]quests!$1:$1,0)-MATCH($C$1,[1]quests!$1:$1,0)+1,FALSE)</f>
        <v>#VALUE!</v>
      </c>
      <c r="E5" s="4" t="e">
        <f ca="1">VLOOKUP($C5,OFFSET([1]quests!$A$1,0,0,COUNTA([1]quests!$A:$A),MATCH(E$1,[1]quests!$1:$1,0)-MATCH($C$1,[1]quests!$1:$1,0)+1),MATCH(E$1,[1]quests!$1:$1,0)-MATCH($C$1,[1]quests!$1:$1,0)+1,FALSE)</f>
        <v>#VALUE!</v>
      </c>
      <c r="F5" s="6">
        <v>1</v>
      </c>
      <c r="G5" s="4" t="e">
        <f ca="1">VLOOKUP($C5&amp;"_"&amp;$F5,OFFSET([1]stages!$A$1,0,0,COUNTA([1]stages!$A:$A),MATCH(G$1,[1]stages!$2:$2,0)-MATCH("temp_stage",[1]stages!$2:$2,0)+1),MATCH(G$1,[1]stages!$2:$2,0)-MATCH("temp_stage",[1]stages!$2:$2,0)+1,FALSE)</f>
        <v>#VALUE!</v>
      </c>
      <c r="H5" s="4" t="e">
        <f ca="1">VLOOKUP($C5&amp;"_"&amp;$F5,OFFSET([1]stages!$A$1,0,0,COUNTA([1]stages!$A:$A),MATCH(H$1,[1]stages!$2:$2,0)-MATCH("temp_stage",[1]stages!$2:$2,0)+1),MATCH(H$1,[1]stages!$2:$2,0)-MATCH("temp_stage",[1]stages!$2:$2,0)+1,FALSE)</f>
        <v>#VALUE!</v>
      </c>
      <c r="I5" s="19">
        <v>0</v>
      </c>
      <c r="J5" s="6">
        <f>COUNTIF(C$1:C5,C5)</f>
        <v>4</v>
      </c>
      <c r="K5">
        <v>21</v>
      </c>
      <c r="L5" s="6" t="s">
        <v>17</v>
      </c>
      <c r="M5" s="36" t="str">
        <f>VLOOKUP(K5,[2]stage_hints!$A:$C,3,FALSE)</f>
        <v>スキルを有効に</v>
      </c>
      <c r="N5" s="37" t="str">
        <f>VLOOKUP(K5,[2]stage_hints!$A:$D,4,FALSE)</f>
        <v>ターン経過でユニットのスキルが使えます_x000D_強力スキルでバトルを有利に進めましょう</v>
      </c>
      <c r="O5" s="22" t="s">
        <v>116</v>
      </c>
      <c r="P5">
        <v>21</v>
      </c>
    </row>
    <row r="6" spans="1:16">
      <c r="A6" s="29" t="str">
        <f t="shared" si="1"/>
        <v>40001_1_5</v>
      </c>
      <c r="B6" s="27" t="s">
        <v>33</v>
      </c>
      <c r="C6" s="5">
        <v>40001</v>
      </c>
      <c r="D6" s="4" t="e">
        <f ca="1">VLOOKUP($C6,OFFSET([1]quests!$A$1,0,0,COUNTA([1]quests!$A:$A),MATCH(D$1,[1]quests!$1:$1,0)-MATCH($C$1,[1]quests!$1:$1,0)+1),MATCH(D$1,[1]quests!$1:$1,0)-MATCH($C$1,[1]quests!$1:$1,0)+1,FALSE)</f>
        <v>#VALUE!</v>
      </c>
      <c r="E6" s="4" t="e">
        <f ca="1">VLOOKUP($C6,OFFSET([1]quests!$A$1,0,0,COUNTA([1]quests!$A:$A),MATCH(E$1,[1]quests!$1:$1,0)-MATCH($C$1,[1]quests!$1:$1,0)+1),MATCH(E$1,[1]quests!$1:$1,0)-MATCH($C$1,[1]quests!$1:$1,0)+1,FALSE)</f>
        <v>#VALUE!</v>
      </c>
      <c r="F6" s="6">
        <v>1</v>
      </c>
      <c r="G6" s="4" t="e">
        <f ca="1">VLOOKUP($C6&amp;"_"&amp;$F6,OFFSET([1]stages!$A$1,0,0,COUNTA([1]stages!$A:$A),MATCH(G$1,[1]stages!$2:$2,0)-MATCH("temp_stage",[1]stages!$2:$2,0)+1),MATCH(G$1,[1]stages!$2:$2,0)-MATCH("temp_stage",[1]stages!$2:$2,0)+1,FALSE)</f>
        <v>#VALUE!</v>
      </c>
      <c r="H6" s="4" t="e">
        <f ca="1">VLOOKUP($C6&amp;"_"&amp;$F6,OFFSET([1]stages!$A$1,0,0,COUNTA([1]stages!$A:$A),MATCH(H$1,[1]stages!$2:$2,0)-MATCH("temp_stage",[1]stages!$2:$2,0)+1),MATCH(H$1,[1]stages!$2:$2,0)-MATCH("temp_stage",[1]stages!$2:$2,0)+1,FALSE)</f>
        <v>#VALUE!</v>
      </c>
      <c r="I6" s="19">
        <v>0</v>
      </c>
      <c r="J6" s="6">
        <f>COUNTIF(C$1:C6,C6)</f>
        <v>5</v>
      </c>
      <c r="K6">
        <v>29</v>
      </c>
      <c r="L6" s="6" t="s">
        <v>17</v>
      </c>
      <c r="M6" s="36" t="str">
        <f>VLOOKUP(K6,[2]stage_hints!$A:$C,3,FALSE)</f>
        <v>「バグ」のメリット</v>
      </c>
      <c r="N6" s="37" t="str">
        <f>VLOOKUP(K6,[2]stage_hints!$A:$D,4,FALSE)</f>
        <v>ユニットの「バグ」を増やすと_x000D_報酬をもらえる確率がアップします</v>
      </c>
      <c r="O6" s="22" t="s">
        <v>116</v>
      </c>
      <c r="P6">
        <v>29</v>
      </c>
    </row>
    <row r="7" spans="1:16">
      <c r="A7" s="29" t="str">
        <f t="shared" si="1"/>
        <v>40001_1_6</v>
      </c>
      <c r="B7" s="27" t="s">
        <v>33</v>
      </c>
      <c r="C7" s="5">
        <v>40001</v>
      </c>
      <c r="D7" s="4" t="e">
        <f ca="1">VLOOKUP($C7,OFFSET([1]quests!$A$1,0,0,COUNTA([1]quests!$A:$A),MATCH(D$1,[1]quests!$1:$1,0)-MATCH($C$1,[1]quests!$1:$1,0)+1),MATCH(D$1,[1]quests!$1:$1,0)-MATCH($C$1,[1]quests!$1:$1,0)+1,FALSE)</f>
        <v>#VALUE!</v>
      </c>
      <c r="E7" s="4" t="e">
        <f ca="1">VLOOKUP($C7,OFFSET([1]quests!$A$1,0,0,COUNTA([1]quests!$A:$A),MATCH(E$1,[1]quests!$1:$1,0)-MATCH($C$1,[1]quests!$1:$1,0)+1),MATCH(E$1,[1]quests!$1:$1,0)-MATCH($C$1,[1]quests!$1:$1,0)+1,FALSE)</f>
        <v>#VALUE!</v>
      </c>
      <c r="F7" s="6">
        <v>1</v>
      </c>
      <c r="G7" s="4" t="e">
        <f ca="1">VLOOKUP($C7&amp;"_"&amp;$F7,OFFSET([1]stages!$A$1,0,0,COUNTA([1]stages!$A:$A),MATCH(G$1,[1]stages!$2:$2,0)-MATCH("temp_stage",[1]stages!$2:$2,0)+1),MATCH(G$1,[1]stages!$2:$2,0)-MATCH("temp_stage",[1]stages!$2:$2,0)+1,FALSE)</f>
        <v>#VALUE!</v>
      </c>
      <c r="H7" s="4" t="e">
        <f ca="1">VLOOKUP($C7&amp;"_"&amp;$F7,OFFSET([1]stages!$A$1,0,0,COUNTA([1]stages!$A:$A),MATCH(H$1,[1]stages!$2:$2,0)-MATCH("temp_stage",[1]stages!$2:$2,0)+1),MATCH(H$1,[1]stages!$2:$2,0)-MATCH("temp_stage",[1]stages!$2:$2,0)+1,FALSE)</f>
        <v>#VALUE!</v>
      </c>
      <c r="I7" s="19">
        <v>0</v>
      </c>
      <c r="J7" s="6">
        <f>COUNTIF(C$1:C7,C7)</f>
        <v>6</v>
      </c>
      <c r="K7">
        <v>30</v>
      </c>
      <c r="L7" s="6" t="s">
        <v>17</v>
      </c>
      <c r="M7" s="36" t="str">
        <f>VLOOKUP(K7,[2]stage_hints!$A:$C,3,FALSE)</f>
        <v>「バグ」の増やし方</v>
      </c>
      <c r="N7" s="37" t="str">
        <f>VLOOKUP(K7,[2]stage_hints!$A:$D,4,FALSE)</f>
        <v>同じユニット同士を強化で合成すると_x000D_「バグ」を増やすことができます</v>
      </c>
      <c r="O7" s="22" t="s">
        <v>116</v>
      </c>
      <c r="P7">
        <v>30</v>
      </c>
    </row>
    <row r="8" spans="1:16">
      <c r="A8" s="29" t="str">
        <f t="shared" si="1"/>
        <v>40001_1_7</v>
      </c>
      <c r="B8" s="27" t="s">
        <v>33</v>
      </c>
      <c r="C8" s="5">
        <v>40001</v>
      </c>
      <c r="D8" s="4" t="e">
        <f ca="1">VLOOKUP($C8,OFFSET([1]quests!$A$1,0,0,COUNTA([1]quests!$A:$A),MATCH(D$1,[1]quests!$1:$1,0)-MATCH($C$1,[1]quests!$1:$1,0)+1),MATCH(D$1,[1]quests!$1:$1,0)-MATCH($C$1,[1]quests!$1:$1,0)+1,FALSE)</f>
        <v>#VALUE!</v>
      </c>
      <c r="E8" s="4" t="e">
        <f ca="1">VLOOKUP($C8,OFFSET([1]quests!$A$1,0,0,COUNTA([1]quests!$A:$A),MATCH(E$1,[1]quests!$1:$1,0)-MATCH($C$1,[1]quests!$1:$1,0)+1),MATCH(E$1,[1]quests!$1:$1,0)-MATCH($C$1,[1]quests!$1:$1,0)+1,FALSE)</f>
        <v>#VALUE!</v>
      </c>
      <c r="F8" s="6">
        <v>1</v>
      </c>
      <c r="G8" s="4" t="e">
        <f ca="1">VLOOKUP($C8&amp;"_"&amp;$F8,OFFSET([1]stages!$A$1,0,0,COUNTA([1]stages!$A:$A),MATCH(G$1,[1]stages!$2:$2,0)-MATCH("temp_stage",[1]stages!$2:$2,0)+1),MATCH(G$1,[1]stages!$2:$2,0)-MATCH("temp_stage",[1]stages!$2:$2,0)+1,FALSE)</f>
        <v>#VALUE!</v>
      </c>
      <c r="H8" s="4" t="e">
        <f ca="1">VLOOKUP($C8&amp;"_"&amp;$F8,OFFSET([1]stages!$A$1,0,0,COUNTA([1]stages!$A:$A),MATCH(H$1,[1]stages!$2:$2,0)-MATCH("temp_stage",[1]stages!$2:$2,0)+1),MATCH(H$1,[1]stages!$2:$2,0)-MATCH("temp_stage",[1]stages!$2:$2,0)+1,FALSE)</f>
        <v>#VALUE!</v>
      </c>
      <c r="I8" s="19">
        <v>0</v>
      </c>
      <c r="J8" s="6">
        <f>COUNTIF(C$1:C8,C8)</f>
        <v>7</v>
      </c>
      <c r="K8">
        <v>32</v>
      </c>
      <c r="L8" s="6" t="s">
        <v>17</v>
      </c>
      <c r="M8" s="36" t="str">
        <f>VLOOKUP(K8,[2]stage_hints!$A:$C,3,FALSE)</f>
        <v>敵の連続攻撃には</v>
      </c>
      <c r="N8" s="37" t="str">
        <f>VLOOKUP(K8,[2]stage_hints!$A:$D,4,FALSE)</f>
        <v>カウンタースキルを持つユニットがいれば_x000D_ダメージ回数分の反撃ができます</v>
      </c>
      <c r="O8" s="22" t="s">
        <v>116</v>
      </c>
      <c r="P8">
        <v>32</v>
      </c>
    </row>
    <row r="9" spans="1:16">
      <c r="A9" s="29" t="str">
        <f t="shared" si="1"/>
        <v>40001_1_8</v>
      </c>
      <c r="B9" s="27" t="s">
        <v>33</v>
      </c>
      <c r="C9" s="5">
        <v>40001</v>
      </c>
      <c r="D9" s="4" t="e">
        <f ca="1">VLOOKUP($C9,OFFSET([1]quests!$A$1,0,0,COUNTA([1]quests!$A:$A),MATCH(D$1,[1]quests!$1:$1,0)-MATCH($C$1,[1]quests!$1:$1,0)+1),MATCH(D$1,[1]quests!$1:$1,0)-MATCH($C$1,[1]quests!$1:$1,0)+1,FALSE)</f>
        <v>#VALUE!</v>
      </c>
      <c r="E9" s="4" t="e">
        <f ca="1">VLOOKUP($C9,OFFSET([1]quests!$A$1,0,0,COUNTA([1]quests!$A:$A),MATCH(E$1,[1]quests!$1:$1,0)-MATCH($C$1,[1]quests!$1:$1,0)+1),MATCH(E$1,[1]quests!$1:$1,0)-MATCH($C$1,[1]quests!$1:$1,0)+1,FALSE)</f>
        <v>#VALUE!</v>
      </c>
      <c r="F9" s="6">
        <v>1</v>
      </c>
      <c r="G9" s="4" t="e">
        <f ca="1">VLOOKUP($C9&amp;"_"&amp;$F9,OFFSET([1]stages!$A$1,0,0,COUNTA([1]stages!$A:$A),MATCH(G$1,[1]stages!$2:$2,0)-MATCH("temp_stage",[1]stages!$2:$2,0)+1),MATCH(G$1,[1]stages!$2:$2,0)-MATCH("temp_stage",[1]stages!$2:$2,0)+1,FALSE)</f>
        <v>#VALUE!</v>
      </c>
      <c r="H9" s="4" t="e">
        <f ca="1">VLOOKUP($C9&amp;"_"&amp;$F9,OFFSET([1]stages!$A$1,0,0,COUNTA([1]stages!$A:$A),MATCH(H$1,[1]stages!$2:$2,0)-MATCH("temp_stage",[1]stages!$2:$2,0)+1),MATCH(H$1,[1]stages!$2:$2,0)-MATCH("temp_stage",[1]stages!$2:$2,0)+1,FALSE)</f>
        <v>#VALUE!</v>
      </c>
      <c r="I9" s="19">
        <v>0</v>
      </c>
      <c r="J9" s="6">
        <f>COUNTIF(C$1:C9,C9)</f>
        <v>8</v>
      </c>
      <c r="K9">
        <v>33</v>
      </c>
      <c r="L9" s="6" t="s">
        <v>17</v>
      </c>
      <c r="M9" s="36" t="str">
        <f>VLOOKUP(K9,[2]stage_hints!$A:$C,3,FALSE)</f>
        <v>敵のカウンター攻撃には</v>
      </c>
      <c r="N9" s="37" t="str">
        <f>VLOOKUP(K9,[2]stage_hints!$A:$D,4,FALSE)</f>
        <v>カウンターブレイクスキルを持っていれば_x000D_敵のカウンターを解除して攻撃ができます</v>
      </c>
      <c r="O9" s="22" t="s">
        <v>116</v>
      </c>
      <c r="P9">
        <v>33</v>
      </c>
    </row>
    <row r="10" spans="1:16">
      <c r="A10" s="29" t="str">
        <f t="shared" si="1"/>
        <v>40001_1_9</v>
      </c>
      <c r="B10" s="27" t="s">
        <v>33</v>
      </c>
      <c r="C10" s="5">
        <v>40001</v>
      </c>
      <c r="D10" s="4" t="e">
        <f ca="1">VLOOKUP($C10,OFFSET([1]quests!$A$1,0,0,COUNTA([1]quests!$A:$A),MATCH(D$1,[1]quests!$1:$1,0)-MATCH($C$1,[1]quests!$1:$1,0)+1),MATCH(D$1,[1]quests!$1:$1,0)-MATCH($C$1,[1]quests!$1:$1,0)+1,FALSE)</f>
        <v>#VALUE!</v>
      </c>
      <c r="E10" s="4" t="e">
        <f ca="1">VLOOKUP($C10,OFFSET([1]quests!$A$1,0,0,COUNTA([1]quests!$A:$A),MATCH(E$1,[1]quests!$1:$1,0)-MATCH($C$1,[1]quests!$1:$1,0)+1),MATCH(E$1,[1]quests!$1:$1,0)-MATCH($C$1,[1]quests!$1:$1,0)+1,FALSE)</f>
        <v>#VALUE!</v>
      </c>
      <c r="F10" s="6">
        <v>1</v>
      </c>
      <c r="G10" s="4" t="e">
        <f ca="1">VLOOKUP($C10&amp;"_"&amp;$F10,OFFSET([1]stages!$A$1,0,0,COUNTA([1]stages!$A:$A),MATCH(G$1,[1]stages!$2:$2,0)-MATCH("temp_stage",[1]stages!$2:$2,0)+1),MATCH(G$1,[1]stages!$2:$2,0)-MATCH("temp_stage",[1]stages!$2:$2,0)+1,FALSE)</f>
        <v>#VALUE!</v>
      </c>
      <c r="H10" s="4" t="e">
        <f ca="1">VLOOKUP($C10&amp;"_"&amp;$F10,OFFSET([1]stages!$A$1,0,0,COUNTA([1]stages!$A:$A),MATCH(H$1,[1]stages!$2:$2,0)-MATCH("temp_stage",[1]stages!$2:$2,0)+1),MATCH(H$1,[1]stages!$2:$2,0)-MATCH("temp_stage",[1]stages!$2:$2,0)+1,FALSE)</f>
        <v>#VALUE!</v>
      </c>
      <c r="I10" s="19">
        <v>0</v>
      </c>
      <c r="J10" s="6">
        <f>COUNTIF(C$1:C10,C10)</f>
        <v>9</v>
      </c>
      <c r="K10">
        <v>34</v>
      </c>
      <c r="L10" s="6" t="s">
        <v>17</v>
      </c>
      <c r="M10" s="36" t="str">
        <f>VLOOKUP(K10,[2]stage_hints!$A:$C,3,FALSE)</f>
        <v>ステータスをスキルで下げられたら</v>
      </c>
      <c r="N10" s="37" t="str">
        <f>VLOOKUP(K10,[2]stage_hints!$A:$D,4,FALSE)</f>
        <v>ステータスダウンのスキルを受けたら_x000D_ステータスアップスキルで上書きしましょう</v>
      </c>
      <c r="O10" s="22" t="s">
        <v>116</v>
      </c>
      <c r="P10">
        <v>34</v>
      </c>
    </row>
    <row r="11" spans="1:16">
      <c r="A11" s="29" t="str">
        <f t="shared" si="1"/>
        <v>40001_1_10</v>
      </c>
      <c r="B11" s="27" t="s">
        <v>33</v>
      </c>
      <c r="C11" s="5">
        <v>40001</v>
      </c>
      <c r="D11" s="4" t="e">
        <f ca="1">VLOOKUP($C11,OFFSET([1]quests!$A$1,0,0,COUNTA([1]quests!$A:$A),MATCH(D$1,[1]quests!$1:$1,0)-MATCH($C$1,[1]quests!$1:$1,0)+1),MATCH(D$1,[1]quests!$1:$1,0)-MATCH($C$1,[1]quests!$1:$1,0)+1,FALSE)</f>
        <v>#VALUE!</v>
      </c>
      <c r="E11" s="4" t="e">
        <f ca="1">VLOOKUP($C11,OFFSET([1]quests!$A$1,0,0,COUNTA([1]quests!$A:$A),MATCH(E$1,[1]quests!$1:$1,0)-MATCH($C$1,[1]quests!$1:$1,0)+1),MATCH(E$1,[1]quests!$1:$1,0)-MATCH($C$1,[1]quests!$1:$1,0)+1,FALSE)</f>
        <v>#VALUE!</v>
      </c>
      <c r="F11" s="6">
        <v>1</v>
      </c>
      <c r="G11" s="4" t="e">
        <f ca="1">VLOOKUP($C11&amp;"_"&amp;$F11,OFFSET([1]stages!$A$1,0,0,COUNTA([1]stages!$A:$A),MATCH(G$1,[1]stages!$2:$2,0)-MATCH("temp_stage",[1]stages!$2:$2,0)+1),MATCH(G$1,[1]stages!$2:$2,0)-MATCH("temp_stage",[1]stages!$2:$2,0)+1,FALSE)</f>
        <v>#VALUE!</v>
      </c>
      <c r="H11" s="4" t="e">
        <f ca="1">VLOOKUP($C11&amp;"_"&amp;$F11,OFFSET([1]stages!$A$1,0,0,COUNTA([1]stages!$A:$A),MATCH(H$1,[1]stages!$2:$2,0)-MATCH("temp_stage",[1]stages!$2:$2,0)+1),MATCH(H$1,[1]stages!$2:$2,0)-MATCH("temp_stage",[1]stages!$2:$2,0)+1,FALSE)</f>
        <v>#VALUE!</v>
      </c>
      <c r="I11" s="19">
        <v>0</v>
      </c>
      <c r="J11" s="6">
        <f>COUNTIF(C$1:C11,C11)</f>
        <v>10</v>
      </c>
      <c r="K11">
        <v>35</v>
      </c>
      <c r="L11" s="6" t="s">
        <v>17</v>
      </c>
      <c r="M11" s="36" t="str">
        <f>VLOOKUP(K11,[2]stage_hints!$A:$C,3,FALSE)</f>
        <v>敵のステータスがスキルで上がったら</v>
      </c>
      <c r="N11" s="37" t="str">
        <f>VLOOKUP(K11,[2]stage_hints!$A:$D,4,FALSE)</f>
        <v>敵のステータスがスキルでアップしたときは_x000D_ステータスダウンスキルで上書きしましょう</v>
      </c>
      <c r="O11" s="22" t="s">
        <v>116</v>
      </c>
      <c r="P11">
        <v>35</v>
      </c>
    </row>
    <row r="12" spans="1:16">
      <c r="A12" s="29" t="str">
        <f t="shared" si="1"/>
        <v>40001_1_11</v>
      </c>
      <c r="B12" s="27" t="s">
        <v>33</v>
      </c>
      <c r="C12" s="5">
        <v>40001</v>
      </c>
      <c r="D12" s="4" t="e">
        <f ca="1">VLOOKUP($C12,OFFSET([1]quests!$A$1,0,0,COUNTA([1]quests!$A:$A),MATCH(D$1,[1]quests!$1:$1,0)-MATCH($C$1,[1]quests!$1:$1,0)+1),MATCH(D$1,[1]quests!$1:$1,0)-MATCH($C$1,[1]quests!$1:$1,0)+1,FALSE)</f>
        <v>#VALUE!</v>
      </c>
      <c r="E12" s="4" t="e">
        <f ca="1">VLOOKUP($C12,OFFSET([1]quests!$A$1,0,0,COUNTA([1]quests!$A:$A),MATCH(E$1,[1]quests!$1:$1,0)-MATCH($C$1,[1]quests!$1:$1,0)+1),MATCH(E$1,[1]quests!$1:$1,0)-MATCH($C$1,[1]quests!$1:$1,0)+1,FALSE)</f>
        <v>#VALUE!</v>
      </c>
      <c r="F12" s="6">
        <v>1</v>
      </c>
      <c r="G12" s="4" t="e">
        <f ca="1">VLOOKUP($C12&amp;"_"&amp;$F12,OFFSET([1]stages!$A$1,0,0,COUNTA([1]stages!$A:$A),MATCH(G$1,[1]stages!$2:$2,0)-MATCH("temp_stage",[1]stages!$2:$2,0)+1),MATCH(G$1,[1]stages!$2:$2,0)-MATCH("temp_stage",[1]stages!$2:$2,0)+1,FALSE)</f>
        <v>#VALUE!</v>
      </c>
      <c r="H12" s="4" t="e">
        <f ca="1">VLOOKUP($C12&amp;"_"&amp;$F12,OFFSET([1]stages!$A$1,0,0,COUNTA([1]stages!$A:$A),MATCH(H$1,[1]stages!$2:$2,0)-MATCH("temp_stage",[1]stages!$2:$2,0)+1),MATCH(H$1,[1]stages!$2:$2,0)-MATCH("temp_stage",[1]stages!$2:$2,0)+1,FALSE)</f>
        <v>#VALUE!</v>
      </c>
      <c r="I12" s="19">
        <v>0</v>
      </c>
      <c r="J12" s="6">
        <f>COUNTIF(C$1:C12,C12)</f>
        <v>11</v>
      </c>
      <c r="K12">
        <v>36</v>
      </c>
      <c r="L12" s="6" t="s">
        <v>17</v>
      </c>
      <c r="M12" s="36" t="str">
        <f>VLOOKUP(K12,[2]stage_hints!$A:$C,3,FALSE)</f>
        <v>チャレンジタワーのボス</v>
      </c>
      <c r="N12" s="37" t="str">
        <f>VLOOKUP(K12,[2]stage_hints!$A:$D,4,FALSE)</f>
        <v>チャレンジタワーでのみ登場するボスは_x000D_一定確率で獲得することができます</v>
      </c>
      <c r="O12" s="22" t="s">
        <v>116</v>
      </c>
      <c r="P12">
        <v>36</v>
      </c>
    </row>
    <row r="13" spans="1:16">
      <c r="A13" s="29" t="str">
        <f t="shared" si="1"/>
        <v>40001_1_12</v>
      </c>
      <c r="B13" s="27" t="s">
        <v>33</v>
      </c>
      <c r="C13" s="5">
        <v>40001</v>
      </c>
      <c r="D13" s="4" t="e">
        <f ca="1">VLOOKUP($C13,OFFSET([1]quests!$A$1,0,0,COUNTA([1]quests!$A:$A),MATCH(D$1,[1]quests!$1:$1,0)-MATCH($C$1,[1]quests!$1:$1,0)+1),MATCH(D$1,[1]quests!$1:$1,0)-MATCH($C$1,[1]quests!$1:$1,0)+1,FALSE)</f>
        <v>#VALUE!</v>
      </c>
      <c r="E13" s="4" t="e">
        <f ca="1">VLOOKUP($C13,OFFSET([1]quests!$A$1,0,0,COUNTA([1]quests!$A:$A),MATCH(E$1,[1]quests!$1:$1,0)-MATCH($C$1,[1]quests!$1:$1,0)+1),MATCH(E$1,[1]quests!$1:$1,0)-MATCH($C$1,[1]quests!$1:$1,0)+1,FALSE)</f>
        <v>#VALUE!</v>
      </c>
      <c r="F13" s="6">
        <v>1</v>
      </c>
      <c r="G13" s="4" t="e">
        <f ca="1">VLOOKUP($C13&amp;"_"&amp;$F13,OFFSET([1]stages!$A$1,0,0,COUNTA([1]stages!$A:$A),MATCH(G$1,[1]stages!$2:$2,0)-MATCH("temp_stage",[1]stages!$2:$2,0)+1),MATCH(G$1,[1]stages!$2:$2,0)-MATCH("temp_stage",[1]stages!$2:$2,0)+1,FALSE)</f>
        <v>#VALUE!</v>
      </c>
      <c r="H13" s="4" t="e">
        <f ca="1">VLOOKUP($C13&amp;"_"&amp;$F13,OFFSET([1]stages!$A$1,0,0,COUNTA([1]stages!$A:$A),MATCH(H$1,[1]stages!$2:$2,0)-MATCH("temp_stage",[1]stages!$2:$2,0)+1),MATCH(H$1,[1]stages!$2:$2,0)-MATCH("temp_stage",[1]stages!$2:$2,0)+1,FALSE)</f>
        <v>#VALUE!</v>
      </c>
      <c r="I13" s="19">
        <v>0</v>
      </c>
      <c r="J13" s="6">
        <f>COUNTIF(C$1:C13,C13)</f>
        <v>12</v>
      </c>
      <c r="K13">
        <v>37</v>
      </c>
      <c r="L13" s="6" t="s">
        <v>17</v>
      </c>
      <c r="M13" s="36" t="str">
        <f>VLOOKUP(K13,[2]stage_hints!$A:$C,3,FALSE)</f>
        <v>限界突破値の引き継ぎ</v>
      </c>
      <c r="N13" s="37" t="str">
        <f>VLOOKUP(K13,[2]stage_hints!$A:$D,4,FALSE)</f>
        <v>同じユニットを強化で合成すると_x000D_限界突破値を引き継げます（覚醒前後も可）</v>
      </c>
      <c r="O13" s="22" t="s">
        <v>116</v>
      </c>
      <c r="P13">
        <v>37</v>
      </c>
    </row>
    <row r="14" spans="1:16">
      <c r="A14" s="29" t="str">
        <f t="shared" si="1"/>
        <v>40002_3_1</v>
      </c>
      <c r="B14" s="27" t="s">
        <v>33</v>
      </c>
      <c r="C14" s="5">
        <v>40002</v>
      </c>
      <c r="D14" s="4" t="e">
        <f ca="1">VLOOKUP($C14,OFFSET([1]quests!$A$1,0,0,COUNTA([1]quests!$A:$A),MATCH(D$1,[1]quests!$1:$1,0)-MATCH($C$1,[1]quests!$1:$1,0)+1),MATCH(D$1,[1]quests!$1:$1,0)-MATCH($C$1,[1]quests!$1:$1,0)+1,FALSE)</f>
        <v>#VALUE!</v>
      </c>
      <c r="E14" s="4" t="e">
        <f ca="1">VLOOKUP($C14,OFFSET([1]quests!$A$1,0,0,COUNTA([1]quests!$A:$A),MATCH(E$1,[1]quests!$1:$1,0)-MATCH($C$1,[1]quests!$1:$1,0)+1),MATCH(E$1,[1]quests!$1:$1,0)-MATCH($C$1,[1]quests!$1:$1,0)+1,FALSE)</f>
        <v>#VALUE!</v>
      </c>
      <c r="F14" s="6">
        <v>3</v>
      </c>
      <c r="G14" s="4" t="e">
        <f ca="1">VLOOKUP($C14&amp;"_"&amp;$F14,OFFSET([1]stages!$A$1,0,0,COUNTA([1]stages!$A:$A),MATCH(G$1,[1]stages!$2:$2,0)-MATCH("temp_stage",[1]stages!$2:$2,0)+1),MATCH(G$1,[1]stages!$2:$2,0)-MATCH("temp_stage",[1]stages!$2:$2,0)+1,FALSE)</f>
        <v>#VALUE!</v>
      </c>
      <c r="H14" s="4" t="e">
        <f ca="1">VLOOKUP($C14&amp;"_"&amp;$F14,OFFSET([1]stages!$A$1,0,0,COUNTA([1]stages!$A:$A),MATCH(H$1,[1]stages!$2:$2,0)-MATCH("temp_stage",[1]stages!$2:$2,0)+1),MATCH(H$1,[1]stages!$2:$2,0)-MATCH("temp_stage",[1]stages!$2:$2,0)+1,FALSE)</f>
        <v>#VALUE!</v>
      </c>
      <c r="I14" s="19">
        <v>0</v>
      </c>
      <c r="J14" s="6">
        <f>COUNTIF(C$1:C14,C14)</f>
        <v>1</v>
      </c>
      <c r="K14">
        <v>12</v>
      </c>
      <c r="L14" s="6" t="s">
        <v>17</v>
      </c>
      <c r="M14" s="36" t="str">
        <f>VLOOKUP(K14,[2]stage_hints!$A:$C,3,FALSE)</f>
        <v>ユニットのお気に入り登録</v>
      </c>
      <c r="N14" s="37" t="str">
        <f>VLOOKUP(K14,[2]stage_hints!$A:$D,4,FALSE)</f>
        <v>大事なユニットを誤って消さないように_x000D_フォルダから「お気に入り登録」しましょう</v>
      </c>
      <c r="O14" s="22" t="s">
        <v>116</v>
      </c>
      <c r="P14">
        <v>12</v>
      </c>
    </row>
    <row r="15" spans="1:16">
      <c r="A15" s="29" t="str">
        <f t="shared" ref="A15:A18" si="2">C15&amp;"_"&amp;F15&amp;"_"&amp;J15</f>
        <v>40002_3_2</v>
      </c>
      <c r="B15" s="27" t="s">
        <v>33</v>
      </c>
      <c r="C15" s="5">
        <v>40002</v>
      </c>
      <c r="D15" s="4" t="e">
        <f ca="1">VLOOKUP($C15,OFFSET([1]quests!$A$1,0,0,COUNTA([1]quests!$A:$A),MATCH(D$1,[1]quests!$1:$1,0)-MATCH($C$1,[1]quests!$1:$1,0)+1),MATCH(D$1,[1]quests!$1:$1,0)-MATCH($C$1,[1]quests!$1:$1,0)+1,FALSE)</f>
        <v>#VALUE!</v>
      </c>
      <c r="E15" s="4" t="e">
        <f ca="1">VLOOKUP($C15,OFFSET([1]quests!$A$1,0,0,COUNTA([1]quests!$A:$A),MATCH(E$1,[1]quests!$1:$1,0)-MATCH($C$1,[1]quests!$1:$1,0)+1),MATCH(E$1,[1]quests!$1:$1,0)-MATCH($C$1,[1]quests!$1:$1,0)+1,FALSE)</f>
        <v>#VALUE!</v>
      </c>
      <c r="F15" s="6">
        <v>3</v>
      </c>
      <c r="G15" s="4" t="e">
        <f ca="1">VLOOKUP($C15&amp;"_"&amp;$F15,OFFSET([1]stages!$A$1,0,0,COUNTA([1]stages!$A:$A),MATCH(G$1,[1]stages!$2:$2,0)-MATCH("temp_stage",[1]stages!$2:$2,0)+1),MATCH(G$1,[1]stages!$2:$2,0)-MATCH("temp_stage",[1]stages!$2:$2,0)+1,FALSE)</f>
        <v>#VALUE!</v>
      </c>
      <c r="H15" s="4" t="e">
        <f ca="1">VLOOKUP($C15&amp;"_"&amp;$F15,OFFSET([1]stages!$A$1,0,0,COUNTA([1]stages!$A:$A),MATCH(H$1,[1]stages!$2:$2,0)-MATCH("temp_stage",[1]stages!$2:$2,0)+1),MATCH(H$1,[1]stages!$2:$2,0)-MATCH("temp_stage",[1]stages!$2:$2,0)+1,FALSE)</f>
        <v>#VALUE!</v>
      </c>
      <c r="I15" s="19">
        <v>0</v>
      </c>
      <c r="J15" s="6">
        <f>COUNTIF(C$1:C15,C15)</f>
        <v>2</v>
      </c>
      <c r="K15">
        <v>17</v>
      </c>
      <c r="L15" s="6" t="s">
        <v>17</v>
      </c>
      <c r="M15" s="36" t="str">
        <f>VLOOKUP(K15,[2]stage_hints!$A:$C,3,FALSE)</f>
        <v>リンクガチャ</v>
      </c>
      <c r="N15" s="37" t="str">
        <f>VLOOKUP(K15,[2]stage_hints!$A:$D,4,FALSE)</f>
        <v>無料のリンクガチャを回して_x000D_経験値素材や売却素材を獲得しましょう</v>
      </c>
      <c r="O15" s="22" t="s">
        <v>116</v>
      </c>
      <c r="P15">
        <v>17</v>
      </c>
    </row>
    <row r="16" spans="1:16">
      <c r="A16" s="29" t="str">
        <f t="shared" si="2"/>
        <v>40002_3_3</v>
      </c>
      <c r="B16" s="27" t="s">
        <v>33</v>
      </c>
      <c r="C16" s="5">
        <v>40002</v>
      </c>
      <c r="D16" s="4" t="e">
        <f ca="1">VLOOKUP($C16,OFFSET([1]quests!$A$1,0,0,COUNTA([1]quests!$A:$A),MATCH(D$1,[1]quests!$1:$1,0)-MATCH($C$1,[1]quests!$1:$1,0)+1),MATCH(D$1,[1]quests!$1:$1,0)-MATCH($C$1,[1]quests!$1:$1,0)+1,FALSE)</f>
        <v>#VALUE!</v>
      </c>
      <c r="E16" s="4" t="e">
        <f ca="1">VLOOKUP($C16,OFFSET([1]quests!$A$1,0,0,COUNTA([1]quests!$A:$A),MATCH(E$1,[1]quests!$1:$1,0)-MATCH($C$1,[1]quests!$1:$1,0)+1),MATCH(E$1,[1]quests!$1:$1,0)-MATCH($C$1,[1]quests!$1:$1,0)+1,FALSE)</f>
        <v>#VALUE!</v>
      </c>
      <c r="F16" s="6">
        <v>3</v>
      </c>
      <c r="G16" s="4" t="e">
        <f ca="1">VLOOKUP($C16&amp;"_"&amp;$F16,OFFSET([1]stages!$A$1,0,0,COUNTA([1]stages!$A:$A),MATCH(G$1,[1]stages!$2:$2,0)-MATCH("temp_stage",[1]stages!$2:$2,0)+1),MATCH(G$1,[1]stages!$2:$2,0)-MATCH("temp_stage",[1]stages!$2:$2,0)+1,FALSE)</f>
        <v>#VALUE!</v>
      </c>
      <c r="H16" s="4" t="e">
        <f ca="1">VLOOKUP($C16&amp;"_"&amp;$F16,OFFSET([1]stages!$A$1,0,0,COUNTA([1]stages!$A:$A),MATCH(H$1,[1]stages!$2:$2,0)-MATCH("temp_stage",[1]stages!$2:$2,0)+1),MATCH(H$1,[1]stages!$2:$2,0)-MATCH("temp_stage",[1]stages!$2:$2,0)+1,FALSE)</f>
        <v>#VALUE!</v>
      </c>
      <c r="I16" s="19">
        <v>0</v>
      </c>
      <c r="J16" s="6">
        <f>COUNTIF(C$1:C16,C16)</f>
        <v>3</v>
      </c>
      <c r="K16">
        <v>19</v>
      </c>
      <c r="L16" s="6" t="s">
        <v>17</v>
      </c>
      <c r="M16" s="36" t="str">
        <f>VLOOKUP(K16,[2]stage_hints!$A:$C,3,FALSE)</f>
        <v>ソロ専用チャレンジタワー</v>
      </c>
      <c r="N16" s="37" t="str">
        <f>VLOOKUP(K16,[2]stage_hints!$A:$D,4,FALSE)</f>
        <v>ソロ専用の「チャレンジタワー」では_x000D_各フロアごとにクリア報酬がもらえます</v>
      </c>
      <c r="O16" s="22" t="s">
        <v>116</v>
      </c>
      <c r="P16">
        <v>19</v>
      </c>
    </row>
    <row r="17" spans="1:16">
      <c r="A17" s="29" t="str">
        <f t="shared" si="2"/>
        <v>40002_3_4</v>
      </c>
      <c r="B17" s="27" t="s">
        <v>33</v>
      </c>
      <c r="C17" s="5">
        <v>40002</v>
      </c>
      <c r="D17" s="4" t="e">
        <f ca="1">VLOOKUP($C17,OFFSET([1]quests!$A$1,0,0,COUNTA([1]quests!$A:$A),MATCH(D$1,[1]quests!$1:$1,0)-MATCH($C$1,[1]quests!$1:$1,0)+1),MATCH(D$1,[1]quests!$1:$1,0)-MATCH($C$1,[1]quests!$1:$1,0)+1,FALSE)</f>
        <v>#VALUE!</v>
      </c>
      <c r="E17" s="4" t="e">
        <f ca="1">VLOOKUP($C17,OFFSET([1]quests!$A$1,0,0,COUNTA([1]quests!$A:$A),MATCH(E$1,[1]quests!$1:$1,0)-MATCH($C$1,[1]quests!$1:$1,0)+1),MATCH(E$1,[1]quests!$1:$1,0)-MATCH($C$1,[1]quests!$1:$1,0)+1,FALSE)</f>
        <v>#VALUE!</v>
      </c>
      <c r="F17" s="6">
        <v>3</v>
      </c>
      <c r="G17" s="4" t="e">
        <f ca="1">VLOOKUP($C17&amp;"_"&amp;$F17,OFFSET([1]stages!$A$1,0,0,COUNTA([1]stages!$A:$A),MATCH(G$1,[1]stages!$2:$2,0)-MATCH("temp_stage",[1]stages!$2:$2,0)+1),MATCH(G$1,[1]stages!$2:$2,0)-MATCH("temp_stage",[1]stages!$2:$2,0)+1,FALSE)</f>
        <v>#VALUE!</v>
      </c>
      <c r="H17" s="4" t="e">
        <f ca="1">VLOOKUP($C17&amp;"_"&amp;$F17,OFFSET([1]stages!$A$1,0,0,COUNTA([1]stages!$A:$A),MATCH(H$1,[1]stages!$2:$2,0)-MATCH("temp_stage",[1]stages!$2:$2,0)+1),MATCH(H$1,[1]stages!$2:$2,0)-MATCH("temp_stage",[1]stages!$2:$2,0)+1,FALSE)</f>
        <v>#VALUE!</v>
      </c>
      <c r="I17" s="19">
        <v>0</v>
      </c>
      <c r="J17" s="6">
        <f>COUNTIF(C$1:C17,C17)</f>
        <v>4</v>
      </c>
      <c r="K17">
        <v>21</v>
      </c>
      <c r="L17" s="6" t="s">
        <v>17</v>
      </c>
      <c r="M17" s="36" t="str">
        <f>VLOOKUP(K17,[2]stage_hints!$A:$C,3,FALSE)</f>
        <v>スキルを有効に</v>
      </c>
      <c r="N17" s="37" t="str">
        <f>VLOOKUP(K17,[2]stage_hints!$A:$D,4,FALSE)</f>
        <v>ターン経過でユニットのスキルが使えます_x000D_強力スキルでバトルを有利に進めましょう</v>
      </c>
      <c r="O17" s="22" t="s">
        <v>116</v>
      </c>
      <c r="P17">
        <v>21</v>
      </c>
    </row>
    <row r="18" spans="1:16">
      <c r="A18" s="29" t="str">
        <f t="shared" si="2"/>
        <v>40002_3_5</v>
      </c>
      <c r="B18" s="27" t="s">
        <v>33</v>
      </c>
      <c r="C18" s="5">
        <v>40002</v>
      </c>
      <c r="D18" s="4" t="e">
        <f ca="1">VLOOKUP($C18,OFFSET([1]quests!$A$1,0,0,COUNTA([1]quests!$A:$A),MATCH(D$1,[1]quests!$1:$1,0)-MATCH($C$1,[1]quests!$1:$1,0)+1),MATCH(D$1,[1]quests!$1:$1,0)-MATCH($C$1,[1]quests!$1:$1,0)+1,FALSE)</f>
        <v>#VALUE!</v>
      </c>
      <c r="E18" s="4" t="e">
        <f ca="1">VLOOKUP($C18,OFFSET([1]quests!$A$1,0,0,COUNTA([1]quests!$A:$A),MATCH(E$1,[1]quests!$1:$1,0)-MATCH($C$1,[1]quests!$1:$1,0)+1),MATCH(E$1,[1]quests!$1:$1,0)-MATCH($C$1,[1]quests!$1:$1,0)+1,FALSE)</f>
        <v>#VALUE!</v>
      </c>
      <c r="F18" s="6">
        <v>3</v>
      </c>
      <c r="G18" s="4" t="e">
        <f ca="1">VLOOKUP($C18&amp;"_"&amp;$F18,OFFSET([1]stages!$A$1,0,0,COUNTA([1]stages!$A:$A),MATCH(G$1,[1]stages!$2:$2,0)-MATCH("temp_stage",[1]stages!$2:$2,0)+1),MATCH(G$1,[1]stages!$2:$2,0)-MATCH("temp_stage",[1]stages!$2:$2,0)+1,FALSE)</f>
        <v>#VALUE!</v>
      </c>
      <c r="H18" s="4" t="e">
        <f ca="1">VLOOKUP($C18&amp;"_"&amp;$F18,OFFSET([1]stages!$A$1,0,0,COUNTA([1]stages!$A:$A),MATCH(H$1,[1]stages!$2:$2,0)-MATCH("temp_stage",[1]stages!$2:$2,0)+1),MATCH(H$1,[1]stages!$2:$2,0)-MATCH("temp_stage",[1]stages!$2:$2,0)+1,FALSE)</f>
        <v>#VALUE!</v>
      </c>
      <c r="I18" s="19">
        <v>0</v>
      </c>
      <c r="J18" s="6">
        <f>COUNTIF(C$1:C18,C18)</f>
        <v>5</v>
      </c>
      <c r="K18">
        <v>29</v>
      </c>
      <c r="L18" s="6" t="s">
        <v>17</v>
      </c>
      <c r="M18" s="36" t="str">
        <f>VLOOKUP(K18,[2]stage_hints!$A:$C,3,FALSE)</f>
        <v>「バグ」のメリット</v>
      </c>
      <c r="N18" s="37" t="str">
        <f>VLOOKUP(K18,[2]stage_hints!$A:$D,4,FALSE)</f>
        <v>ユニットの「バグ」を増やすと_x000D_報酬をもらえる確率がアップします</v>
      </c>
      <c r="O18" s="22" t="s">
        <v>116</v>
      </c>
      <c r="P18">
        <v>29</v>
      </c>
    </row>
    <row r="19" spans="1:16">
      <c r="A19" s="29" t="str">
        <f t="shared" ref="A19" si="3">C19&amp;"_"&amp;F19&amp;"_"&amp;J19</f>
        <v>40002_3_6</v>
      </c>
      <c r="B19" s="27" t="s">
        <v>33</v>
      </c>
      <c r="C19" s="5">
        <v>40002</v>
      </c>
      <c r="D19" s="4" t="e">
        <f ca="1">VLOOKUP($C19,OFFSET([1]quests!$A$1,0,0,COUNTA([1]quests!$A:$A),MATCH(D$1,[1]quests!$1:$1,0)-MATCH($C$1,[1]quests!$1:$1,0)+1),MATCH(D$1,[1]quests!$1:$1,0)-MATCH($C$1,[1]quests!$1:$1,0)+1,FALSE)</f>
        <v>#VALUE!</v>
      </c>
      <c r="E19" s="4" t="e">
        <f ca="1">VLOOKUP($C19,OFFSET([1]quests!$A$1,0,0,COUNTA([1]quests!$A:$A),MATCH(E$1,[1]quests!$1:$1,0)-MATCH($C$1,[1]quests!$1:$1,0)+1),MATCH(E$1,[1]quests!$1:$1,0)-MATCH($C$1,[1]quests!$1:$1,0)+1,FALSE)</f>
        <v>#VALUE!</v>
      </c>
      <c r="F19" s="6">
        <v>3</v>
      </c>
      <c r="G19" s="4" t="e">
        <f ca="1">VLOOKUP($C19&amp;"_"&amp;$F19,OFFSET([1]stages!$A$1,0,0,COUNTA([1]stages!$A:$A),MATCH(G$1,[1]stages!$2:$2,0)-MATCH("temp_stage",[1]stages!$2:$2,0)+1),MATCH(G$1,[1]stages!$2:$2,0)-MATCH("temp_stage",[1]stages!$2:$2,0)+1,FALSE)</f>
        <v>#VALUE!</v>
      </c>
      <c r="H19" s="4" t="e">
        <f ca="1">VLOOKUP($C19&amp;"_"&amp;$F19,OFFSET([1]stages!$A$1,0,0,COUNTA([1]stages!$A:$A),MATCH(H$1,[1]stages!$2:$2,0)-MATCH("temp_stage",[1]stages!$2:$2,0)+1),MATCH(H$1,[1]stages!$2:$2,0)-MATCH("temp_stage",[1]stages!$2:$2,0)+1,FALSE)</f>
        <v>#VALUE!</v>
      </c>
      <c r="I19" s="19">
        <v>0</v>
      </c>
      <c r="J19" s="6">
        <f>COUNTIF(C$1:C19,C19)</f>
        <v>6</v>
      </c>
      <c r="K19">
        <v>30</v>
      </c>
      <c r="L19" s="6" t="s">
        <v>17</v>
      </c>
      <c r="M19" s="36" t="str">
        <f>VLOOKUP(K19,[2]stage_hints!$A:$C,3,FALSE)</f>
        <v>「バグ」の増やし方</v>
      </c>
      <c r="N19" s="37" t="str">
        <f>VLOOKUP(K19,[2]stage_hints!$A:$D,4,FALSE)</f>
        <v>同じユニット同士を強化で合成すると_x000D_「バグ」を増やすことができます</v>
      </c>
      <c r="O19" s="22" t="s">
        <v>116</v>
      </c>
      <c r="P19">
        <v>30</v>
      </c>
    </row>
    <row r="20" spans="1:16">
      <c r="A20" s="29" t="str">
        <f t="shared" ref="A20:A24" si="4">C20&amp;"_"&amp;F20&amp;"_"&amp;J20</f>
        <v>40002_3_7</v>
      </c>
      <c r="B20" s="27" t="s">
        <v>33</v>
      </c>
      <c r="C20" s="5">
        <v>40002</v>
      </c>
      <c r="D20" s="4" t="e">
        <f ca="1">VLOOKUP($C20,OFFSET([1]quests!$A$1,0,0,COUNTA([1]quests!$A:$A),MATCH(D$1,[1]quests!$1:$1,0)-MATCH($C$1,[1]quests!$1:$1,0)+1),MATCH(D$1,[1]quests!$1:$1,0)-MATCH($C$1,[1]quests!$1:$1,0)+1,FALSE)</f>
        <v>#VALUE!</v>
      </c>
      <c r="E20" s="4" t="e">
        <f ca="1">VLOOKUP($C20,OFFSET([1]quests!$A$1,0,0,COUNTA([1]quests!$A:$A),MATCH(E$1,[1]quests!$1:$1,0)-MATCH($C$1,[1]quests!$1:$1,0)+1),MATCH(E$1,[1]quests!$1:$1,0)-MATCH($C$1,[1]quests!$1:$1,0)+1,FALSE)</f>
        <v>#VALUE!</v>
      </c>
      <c r="F20" s="6">
        <v>3</v>
      </c>
      <c r="G20" s="4" t="e">
        <f ca="1">VLOOKUP($C20&amp;"_"&amp;$F20,OFFSET([1]stages!$A$1,0,0,COUNTA([1]stages!$A:$A),MATCH(G$1,[1]stages!$2:$2,0)-MATCH("temp_stage",[1]stages!$2:$2,0)+1),MATCH(G$1,[1]stages!$2:$2,0)-MATCH("temp_stage",[1]stages!$2:$2,0)+1,FALSE)</f>
        <v>#VALUE!</v>
      </c>
      <c r="H20" s="4" t="e">
        <f ca="1">VLOOKUP($C20&amp;"_"&amp;$F20,OFFSET([1]stages!$A$1,0,0,COUNTA([1]stages!$A:$A),MATCH(H$1,[1]stages!$2:$2,0)-MATCH("temp_stage",[1]stages!$2:$2,0)+1),MATCH(H$1,[1]stages!$2:$2,0)-MATCH("temp_stage",[1]stages!$2:$2,0)+1,FALSE)</f>
        <v>#VALUE!</v>
      </c>
      <c r="I20" s="19">
        <v>0</v>
      </c>
      <c r="J20" s="6">
        <f>COUNTIF(C$1:C20,C20)</f>
        <v>7</v>
      </c>
      <c r="K20">
        <v>32</v>
      </c>
      <c r="L20" s="6" t="s">
        <v>17</v>
      </c>
      <c r="M20" s="36" t="str">
        <f>VLOOKUP(K20,[2]stage_hints!$A:$C,3,FALSE)</f>
        <v>敵の連続攻撃には</v>
      </c>
      <c r="N20" s="37" t="str">
        <f>VLOOKUP(K20,[2]stage_hints!$A:$D,4,FALSE)</f>
        <v>カウンタースキルを持つユニットがいれば_x000D_ダメージ回数分の反撃ができます</v>
      </c>
      <c r="O20" s="22" t="s">
        <v>116</v>
      </c>
      <c r="P20">
        <v>32</v>
      </c>
    </row>
    <row r="21" spans="1:16">
      <c r="A21" s="29" t="str">
        <f t="shared" si="4"/>
        <v>40002_3_8</v>
      </c>
      <c r="B21" s="27" t="s">
        <v>33</v>
      </c>
      <c r="C21" s="5">
        <v>40002</v>
      </c>
      <c r="D21" s="4" t="e">
        <f ca="1">VLOOKUP($C21,OFFSET([1]quests!$A$1,0,0,COUNTA([1]quests!$A:$A),MATCH(D$1,[1]quests!$1:$1,0)-MATCH($C$1,[1]quests!$1:$1,0)+1),MATCH(D$1,[1]quests!$1:$1,0)-MATCH($C$1,[1]quests!$1:$1,0)+1,FALSE)</f>
        <v>#VALUE!</v>
      </c>
      <c r="E21" s="4" t="e">
        <f ca="1">VLOOKUP($C21,OFFSET([1]quests!$A$1,0,0,COUNTA([1]quests!$A:$A),MATCH(E$1,[1]quests!$1:$1,0)-MATCH($C$1,[1]quests!$1:$1,0)+1),MATCH(E$1,[1]quests!$1:$1,0)-MATCH($C$1,[1]quests!$1:$1,0)+1,FALSE)</f>
        <v>#VALUE!</v>
      </c>
      <c r="F21" s="6">
        <v>3</v>
      </c>
      <c r="G21" s="4" t="e">
        <f ca="1">VLOOKUP($C21&amp;"_"&amp;$F21,OFFSET([1]stages!$A$1,0,0,COUNTA([1]stages!$A:$A),MATCH(G$1,[1]stages!$2:$2,0)-MATCH("temp_stage",[1]stages!$2:$2,0)+1),MATCH(G$1,[1]stages!$2:$2,0)-MATCH("temp_stage",[1]stages!$2:$2,0)+1,FALSE)</f>
        <v>#VALUE!</v>
      </c>
      <c r="H21" s="4" t="e">
        <f ca="1">VLOOKUP($C21&amp;"_"&amp;$F21,OFFSET([1]stages!$A$1,0,0,COUNTA([1]stages!$A:$A),MATCH(H$1,[1]stages!$2:$2,0)-MATCH("temp_stage",[1]stages!$2:$2,0)+1),MATCH(H$1,[1]stages!$2:$2,0)-MATCH("temp_stage",[1]stages!$2:$2,0)+1,FALSE)</f>
        <v>#VALUE!</v>
      </c>
      <c r="I21" s="19">
        <v>0</v>
      </c>
      <c r="J21" s="6">
        <f>COUNTIF(C$1:C21,C21)</f>
        <v>8</v>
      </c>
      <c r="K21">
        <v>33</v>
      </c>
      <c r="L21" s="6" t="s">
        <v>17</v>
      </c>
      <c r="M21" s="36" t="str">
        <f>VLOOKUP(K21,[2]stage_hints!$A:$C,3,FALSE)</f>
        <v>敵のカウンター攻撃には</v>
      </c>
      <c r="N21" s="37" t="str">
        <f>VLOOKUP(K21,[2]stage_hints!$A:$D,4,FALSE)</f>
        <v>カウンターブレイクスキルを持っていれば_x000D_敵のカウンターを解除して攻撃ができます</v>
      </c>
      <c r="O21" s="22" t="s">
        <v>116</v>
      </c>
      <c r="P21">
        <v>33</v>
      </c>
    </row>
    <row r="22" spans="1:16">
      <c r="A22" s="29" t="str">
        <f t="shared" si="4"/>
        <v>40002_3_9</v>
      </c>
      <c r="B22" s="27" t="s">
        <v>33</v>
      </c>
      <c r="C22" s="5">
        <v>40002</v>
      </c>
      <c r="D22" s="4" t="e">
        <f ca="1">VLOOKUP($C22,OFFSET([1]quests!$A$1,0,0,COUNTA([1]quests!$A:$A),MATCH(D$1,[1]quests!$1:$1,0)-MATCH($C$1,[1]quests!$1:$1,0)+1),MATCH(D$1,[1]quests!$1:$1,0)-MATCH($C$1,[1]quests!$1:$1,0)+1,FALSE)</f>
        <v>#VALUE!</v>
      </c>
      <c r="E22" s="4" t="e">
        <f ca="1">VLOOKUP($C22,OFFSET([1]quests!$A$1,0,0,COUNTA([1]quests!$A:$A),MATCH(E$1,[1]quests!$1:$1,0)-MATCH($C$1,[1]quests!$1:$1,0)+1),MATCH(E$1,[1]quests!$1:$1,0)-MATCH($C$1,[1]quests!$1:$1,0)+1,FALSE)</f>
        <v>#VALUE!</v>
      </c>
      <c r="F22" s="6">
        <v>3</v>
      </c>
      <c r="G22" s="4" t="e">
        <f ca="1">VLOOKUP($C22&amp;"_"&amp;$F22,OFFSET([1]stages!$A$1,0,0,COUNTA([1]stages!$A:$A),MATCH(G$1,[1]stages!$2:$2,0)-MATCH("temp_stage",[1]stages!$2:$2,0)+1),MATCH(G$1,[1]stages!$2:$2,0)-MATCH("temp_stage",[1]stages!$2:$2,0)+1,FALSE)</f>
        <v>#VALUE!</v>
      </c>
      <c r="H22" s="4" t="e">
        <f ca="1">VLOOKUP($C22&amp;"_"&amp;$F22,OFFSET([1]stages!$A$1,0,0,COUNTA([1]stages!$A:$A),MATCH(H$1,[1]stages!$2:$2,0)-MATCH("temp_stage",[1]stages!$2:$2,0)+1),MATCH(H$1,[1]stages!$2:$2,0)-MATCH("temp_stage",[1]stages!$2:$2,0)+1,FALSE)</f>
        <v>#VALUE!</v>
      </c>
      <c r="I22" s="19">
        <v>0</v>
      </c>
      <c r="J22" s="6">
        <f>COUNTIF(C$1:C22,C22)</f>
        <v>9</v>
      </c>
      <c r="K22">
        <v>34</v>
      </c>
      <c r="L22" s="6" t="s">
        <v>17</v>
      </c>
      <c r="M22" s="36" t="str">
        <f>VLOOKUP(K22,[2]stage_hints!$A:$C,3,FALSE)</f>
        <v>ステータスをスキルで下げられたら</v>
      </c>
      <c r="N22" s="37" t="str">
        <f>VLOOKUP(K22,[2]stage_hints!$A:$D,4,FALSE)</f>
        <v>ステータスダウンのスキルを受けたら_x000D_ステータスアップスキルで上書きしましょう</v>
      </c>
      <c r="O22" s="22" t="s">
        <v>116</v>
      </c>
      <c r="P22">
        <v>34</v>
      </c>
    </row>
    <row r="23" spans="1:16">
      <c r="A23" s="29" t="str">
        <f t="shared" si="4"/>
        <v>40002_3_10</v>
      </c>
      <c r="B23" s="27" t="s">
        <v>33</v>
      </c>
      <c r="C23" s="5">
        <v>40002</v>
      </c>
      <c r="D23" s="4" t="e">
        <f ca="1">VLOOKUP($C23,OFFSET([1]quests!$A$1,0,0,COUNTA([1]quests!$A:$A),MATCH(D$1,[1]quests!$1:$1,0)-MATCH($C$1,[1]quests!$1:$1,0)+1),MATCH(D$1,[1]quests!$1:$1,0)-MATCH($C$1,[1]quests!$1:$1,0)+1,FALSE)</f>
        <v>#VALUE!</v>
      </c>
      <c r="E23" s="4" t="e">
        <f ca="1">VLOOKUP($C23,OFFSET([1]quests!$A$1,0,0,COUNTA([1]quests!$A:$A),MATCH(E$1,[1]quests!$1:$1,0)-MATCH($C$1,[1]quests!$1:$1,0)+1),MATCH(E$1,[1]quests!$1:$1,0)-MATCH($C$1,[1]quests!$1:$1,0)+1,FALSE)</f>
        <v>#VALUE!</v>
      </c>
      <c r="F23" s="6">
        <v>3</v>
      </c>
      <c r="G23" s="4" t="e">
        <f ca="1">VLOOKUP($C23&amp;"_"&amp;$F23,OFFSET([1]stages!$A$1,0,0,COUNTA([1]stages!$A:$A),MATCH(G$1,[1]stages!$2:$2,0)-MATCH("temp_stage",[1]stages!$2:$2,0)+1),MATCH(G$1,[1]stages!$2:$2,0)-MATCH("temp_stage",[1]stages!$2:$2,0)+1,FALSE)</f>
        <v>#VALUE!</v>
      </c>
      <c r="H23" s="4" t="e">
        <f ca="1">VLOOKUP($C23&amp;"_"&amp;$F23,OFFSET([1]stages!$A$1,0,0,COUNTA([1]stages!$A:$A),MATCH(H$1,[1]stages!$2:$2,0)-MATCH("temp_stage",[1]stages!$2:$2,0)+1),MATCH(H$1,[1]stages!$2:$2,0)-MATCH("temp_stage",[1]stages!$2:$2,0)+1,FALSE)</f>
        <v>#VALUE!</v>
      </c>
      <c r="I23" s="19">
        <v>0</v>
      </c>
      <c r="J23" s="6">
        <f>COUNTIF(C$1:C23,C23)</f>
        <v>10</v>
      </c>
      <c r="K23">
        <v>35</v>
      </c>
      <c r="L23" s="6" t="s">
        <v>17</v>
      </c>
      <c r="M23" s="36" t="str">
        <f>VLOOKUP(K23,[2]stage_hints!$A:$C,3,FALSE)</f>
        <v>敵のステータスがスキルで上がったら</v>
      </c>
      <c r="N23" s="37" t="str">
        <f>VLOOKUP(K23,[2]stage_hints!$A:$D,4,FALSE)</f>
        <v>敵のステータスがスキルでアップしたときは_x000D_ステータスダウンスキルで上書きしましょう</v>
      </c>
      <c r="O23" s="22" t="s">
        <v>116</v>
      </c>
      <c r="P23">
        <v>35</v>
      </c>
    </row>
    <row r="24" spans="1:16">
      <c r="A24" s="29" t="str">
        <f t="shared" si="4"/>
        <v>40002_3_11</v>
      </c>
      <c r="B24" s="27" t="s">
        <v>33</v>
      </c>
      <c r="C24" s="5">
        <v>40002</v>
      </c>
      <c r="D24" s="4" t="e">
        <f ca="1">VLOOKUP($C24,OFFSET([1]quests!$A$1,0,0,COUNTA([1]quests!$A:$A),MATCH(D$1,[1]quests!$1:$1,0)-MATCH($C$1,[1]quests!$1:$1,0)+1),MATCH(D$1,[1]quests!$1:$1,0)-MATCH($C$1,[1]quests!$1:$1,0)+1,FALSE)</f>
        <v>#VALUE!</v>
      </c>
      <c r="E24" s="4" t="e">
        <f ca="1">VLOOKUP($C24,OFFSET([1]quests!$A$1,0,0,COUNTA([1]quests!$A:$A),MATCH(E$1,[1]quests!$1:$1,0)-MATCH($C$1,[1]quests!$1:$1,0)+1),MATCH(E$1,[1]quests!$1:$1,0)-MATCH($C$1,[1]quests!$1:$1,0)+1,FALSE)</f>
        <v>#VALUE!</v>
      </c>
      <c r="F24" s="6">
        <v>3</v>
      </c>
      <c r="G24" s="4" t="e">
        <f ca="1">VLOOKUP($C24&amp;"_"&amp;$F24,OFFSET([1]stages!$A$1,0,0,COUNTA([1]stages!$A:$A),MATCH(G$1,[1]stages!$2:$2,0)-MATCH("temp_stage",[1]stages!$2:$2,0)+1),MATCH(G$1,[1]stages!$2:$2,0)-MATCH("temp_stage",[1]stages!$2:$2,0)+1,FALSE)</f>
        <v>#VALUE!</v>
      </c>
      <c r="H24" s="4" t="e">
        <f ca="1">VLOOKUP($C24&amp;"_"&amp;$F24,OFFSET([1]stages!$A$1,0,0,COUNTA([1]stages!$A:$A),MATCH(H$1,[1]stages!$2:$2,0)-MATCH("temp_stage",[1]stages!$2:$2,0)+1),MATCH(H$1,[1]stages!$2:$2,0)-MATCH("temp_stage",[1]stages!$2:$2,0)+1,FALSE)</f>
        <v>#VALUE!</v>
      </c>
      <c r="I24" s="19">
        <v>0</v>
      </c>
      <c r="J24" s="6">
        <f>COUNTIF(C$1:C24,C24)</f>
        <v>11</v>
      </c>
      <c r="K24">
        <v>36</v>
      </c>
      <c r="L24" s="6" t="s">
        <v>17</v>
      </c>
      <c r="M24" s="36" t="str">
        <f>VLOOKUP(K24,[2]stage_hints!$A:$C,3,FALSE)</f>
        <v>チャレンジタワーのボス</v>
      </c>
      <c r="N24" s="37" t="str">
        <f>VLOOKUP(K24,[2]stage_hints!$A:$D,4,FALSE)</f>
        <v>チャレンジタワーでのみ登場するボスは_x000D_一定確率で獲得することができます</v>
      </c>
      <c r="O24" s="22" t="s">
        <v>116</v>
      </c>
      <c r="P24">
        <v>36</v>
      </c>
    </row>
    <row r="25" spans="1:16">
      <c r="A25" s="29" t="str">
        <f t="shared" ref="A25" si="5">C25&amp;"_"&amp;F25&amp;"_"&amp;J25</f>
        <v>40002_3_12</v>
      </c>
      <c r="B25" s="27" t="s">
        <v>33</v>
      </c>
      <c r="C25" s="5">
        <v>40002</v>
      </c>
      <c r="D25" s="4" t="e">
        <f ca="1">VLOOKUP($C25,OFFSET([1]quests!$A$1,0,0,COUNTA([1]quests!$A:$A),MATCH(D$1,[1]quests!$1:$1,0)-MATCH($C$1,[1]quests!$1:$1,0)+1),MATCH(D$1,[1]quests!$1:$1,0)-MATCH($C$1,[1]quests!$1:$1,0)+1,FALSE)</f>
        <v>#VALUE!</v>
      </c>
      <c r="E25" s="4" t="e">
        <f ca="1">VLOOKUP($C25,OFFSET([1]quests!$A$1,0,0,COUNTA([1]quests!$A:$A),MATCH(E$1,[1]quests!$1:$1,0)-MATCH($C$1,[1]quests!$1:$1,0)+1),MATCH(E$1,[1]quests!$1:$1,0)-MATCH($C$1,[1]quests!$1:$1,0)+1,FALSE)</f>
        <v>#VALUE!</v>
      </c>
      <c r="F25" s="6">
        <v>3</v>
      </c>
      <c r="G25" s="4" t="e">
        <f ca="1">VLOOKUP($C25&amp;"_"&amp;$F25,OFFSET([1]stages!$A$1,0,0,COUNTA([1]stages!$A:$A),MATCH(G$1,[1]stages!$2:$2,0)-MATCH("temp_stage",[1]stages!$2:$2,0)+1),MATCH(G$1,[1]stages!$2:$2,0)-MATCH("temp_stage",[1]stages!$2:$2,0)+1,FALSE)</f>
        <v>#VALUE!</v>
      </c>
      <c r="H25" s="4" t="e">
        <f ca="1">VLOOKUP($C25&amp;"_"&amp;$F25,OFFSET([1]stages!$A$1,0,0,COUNTA([1]stages!$A:$A),MATCH(H$1,[1]stages!$2:$2,0)-MATCH("temp_stage",[1]stages!$2:$2,0)+1),MATCH(H$1,[1]stages!$2:$2,0)-MATCH("temp_stage",[1]stages!$2:$2,0)+1,FALSE)</f>
        <v>#VALUE!</v>
      </c>
      <c r="I25" s="19">
        <v>0</v>
      </c>
      <c r="J25" s="6">
        <f>COUNTIF(C$1:C25,C25)</f>
        <v>12</v>
      </c>
      <c r="K25">
        <v>37</v>
      </c>
      <c r="L25" s="6" t="s">
        <v>17</v>
      </c>
      <c r="M25" s="36" t="str">
        <f>VLOOKUP(K25,[2]stage_hints!$A:$C,3,FALSE)</f>
        <v>限界突破値の引き継ぎ</v>
      </c>
      <c r="N25" s="37" t="str">
        <f>VLOOKUP(K25,[2]stage_hints!$A:$D,4,FALSE)</f>
        <v>同じユニットを強化で合成すると_x000D_限界突破値を引き継げます（覚醒前後も可）</v>
      </c>
      <c r="O25" s="22" t="s">
        <v>116</v>
      </c>
      <c r="P25">
        <v>37</v>
      </c>
    </row>
    <row r="26" spans="1:16">
      <c r="A26" s="29" t="str">
        <f t="shared" ref="A26:A31" si="6">C26&amp;"_"&amp;F26&amp;"_"&amp;J26</f>
        <v>40003_1_1</v>
      </c>
      <c r="B26" s="27" t="s">
        <v>33</v>
      </c>
      <c r="C26" s="5">
        <v>40003</v>
      </c>
      <c r="D26" s="4" t="e">
        <f ca="1">VLOOKUP($C26,OFFSET([1]quests!$A$1,0,0,COUNTA([1]quests!$A:$A),MATCH(D$1,[1]quests!$1:$1,0)-MATCH($C$1,[1]quests!$1:$1,0)+1),MATCH(D$1,[1]quests!$1:$1,0)-MATCH($C$1,[1]quests!$1:$1,0)+1,FALSE)</f>
        <v>#VALUE!</v>
      </c>
      <c r="E26" s="4" t="e">
        <f ca="1">VLOOKUP($C26,OFFSET([1]quests!$A$1,0,0,COUNTA([1]quests!$A:$A),MATCH(E$1,[1]quests!$1:$1,0)-MATCH($C$1,[1]quests!$1:$1,0)+1),MATCH(E$1,[1]quests!$1:$1,0)-MATCH($C$1,[1]quests!$1:$1,0)+1,FALSE)</f>
        <v>#VALUE!</v>
      </c>
      <c r="F26" s="6">
        <v>1</v>
      </c>
      <c r="G26" s="4" t="e">
        <f ca="1">VLOOKUP($C26&amp;"_"&amp;$F26,OFFSET([1]stages!$A$1,0,0,COUNTA([1]stages!$A:$A),MATCH(G$1,[1]stages!$2:$2,0)-MATCH("temp_stage",[1]stages!$2:$2,0)+1),MATCH(G$1,[1]stages!$2:$2,0)-MATCH("temp_stage",[1]stages!$2:$2,0)+1,FALSE)</f>
        <v>#VALUE!</v>
      </c>
      <c r="H26" s="4" t="e">
        <f ca="1">VLOOKUP($C26&amp;"_"&amp;$F26,OFFSET([1]stages!$A$1,0,0,COUNTA([1]stages!$A:$A),MATCH(H$1,[1]stages!$2:$2,0)-MATCH("temp_stage",[1]stages!$2:$2,0)+1),MATCH(H$1,[1]stages!$2:$2,0)-MATCH("temp_stage",[1]stages!$2:$2,0)+1,FALSE)</f>
        <v>#VALUE!</v>
      </c>
      <c r="I26" s="19">
        <v>0</v>
      </c>
      <c r="J26" s="6">
        <f>COUNTIF(C$1:C26,C26)</f>
        <v>1</v>
      </c>
      <c r="K26">
        <v>12</v>
      </c>
      <c r="L26" s="6" t="s">
        <v>17</v>
      </c>
      <c r="M26" s="36" t="str">
        <f>VLOOKUP(K26,[2]stage_hints!$A:$C,3,FALSE)</f>
        <v>ユニットのお気に入り登録</v>
      </c>
      <c r="N26" s="37" t="str">
        <f>VLOOKUP(K26,[2]stage_hints!$A:$D,4,FALSE)</f>
        <v>大事なユニットを誤って消さないように_x000D_フォルダから「お気に入り登録」しましょう</v>
      </c>
      <c r="O26" s="22" t="s">
        <v>116</v>
      </c>
      <c r="P26">
        <v>12</v>
      </c>
    </row>
    <row r="27" spans="1:16">
      <c r="A27" s="29" t="str">
        <f t="shared" si="6"/>
        <v>40003_1_2</v>
      </c>
      <c r="B27" s="27" t="s">
        <v>33</v>
      </c>
      <c r="C27" s="5">
        <v>40003</v>
      </c>
      <c r="D27" s="4" t="e">
        <f ca="1">VLOOKUP($C27,OFFSET([1]quests!$A$1,0,0,COUNTA([1]quests!$A:$A),MATCH(D$1,[1]quests!$1:$1,0)-MATCH($C$1,[1]quests!$1:$1,0)+1),MATCH(D$1,[1]quests!$1:$1,0)-MATCH($C$1,[1]quests!$1:$1,0)+1,FALSE)</f>
        <v>#VALUE!</v>
      </c>
      <c r="E27" s="4" t="e">
        <f ca="1">VLOOKUP($C27,OFFSET([1]quests!$A$1,0,0,COUNTA([1]quests!$A:$A),MATCH(E$1,[1]quests!$1:$1,0)-MATCH($C$1,[1]quests!$1:$1,0)+1),MATCH(E$1,[1]quests!$1:$1,0)-MATCH($C$1,[1]quests!$1:$1,0)+1,FALSE)</f>
        <v>#VALUE!</v>
      </c>
      <c r="F27" s="6">
        <v>1</v>
      </c>
      <c r="G27" s="4" t="e">
        <f ca="1">VLOOKUP($C27&amp;"_"&amp;$F27,OFFSET([1]stages!$A$1,0,0,COUNTA([1]stages!$A:$A),MATCH(G$1,[1]stages!$2:$2,0)-MATCH("temp_stage",[1]stages!$2:$2,0)+1),MATCH(G$1,[1]stages!$2:$2,0)-MATCH("temp_stage",[1]stages!$2:$2,0)+1,FALSE)</f>
        <v>#VALUE!</v>
      </c>
      <c r="H27" s="4" t="e">
        <f ca="1">VLOOKUP($C27&amp;"_"&amp;$F27,OFFSET([1]stages!$A$1,0,0,COUNTA([1]stages!$A:$A),MATCH(H$1,[1]stages!$2:$2,0)-MATCH("temp_stage",[1]stages!$2:$2,0)+1),MATCH(H$1,[1]stages!$2:$2,0)-MATCH("temp_stage",[1]stages!$2:$2,0)+1,FALSE)</f>
        <v>#VALUE!</v>
      </c>
      <c r="I27" s="19">
        <v>0</v>
      </c>
      <c r="J27" s="6">
        <f>COUNTIF(C$1:C27,C27)</f>
        <v>2</v>
      </c>
      <c r="K27">
        <v>17</v>
      </c>
      <c r="L27" s="6" t="s">
        <v>17</v>
      </c>
      <c r="M27" s="36" t="str">
        <f>VLOOKUP(K27,[2]stage_hints!$A:$C,3,FALSE)</f>
        <v>リンクガチャ</v>
      </c>
      <c r="N27" s="37" t="str">
        <f>VLOOKUP(K27,[2]stage_hints!$A:$D,4,FALSE)</f>
        <v>無料のリンクガチャを回して_x000D_経験値素材や売却素材を獲得しましょう</v>
      </c>
      <c r="O27" s="22" t="s">
        <v>116</v>
      </c>
      <c r="P27">
        <v>17</v>
      </c>
    </row>
    <row r="28" spans="1:16">
      <c r="A28" s="29" t="str">
        <f t="shared" si="6"/>
        <v>40003_1_3</v>
      </c>
      <c r="B28" s="27" t="s">
        <v>33</v>
      </c>
      <c r="C28" s="5">
        <v>40003</v>
      </c>
      <c r="D28" s="4" t="e">
        <f ca="1">VLOOKUP($C28,OFFSET([1]quests!$A$1,0,0,COUNTA([1]quests!$A:$A),MATCH(D$1,[1]quests!$1:$1,0)-MATCH($C$1,[1]quests!$1:$1,0)+1),MATCH(D$1,[1]quests!$1:$1,0)-MATCH($C$1,[1]quests!$1:$1,0)+1,FALSE)</f>
        <v>#VALUE!</v>
      </c>
      <c r="E28" s="4" t="e">
        <f ca="1">VLOOKUP($C28,OFFSET([1]quests!$A$1,0,0,COUNTA([1]quests!$A:$A),MATCH(E$1,[1]quests!$1:$1,0)-MATCH($C$1,[1]quests!$1:$1,0)+1),MATCH(E$1,[1]quests!$1:$1,0)-MATCH($C$1,[1]quests!$1:$1,0)+1,FALSE)</f>
        <v>#VALUE!</v>
      </c>
      <c r="F28" s="6">
        <v>1</v>
      </c>
      <c r="G28" s="4" t="e">
        <f ca="1">VLOOKUP($C28&amp;"_"&amp;$F28,OFFSET([1]stages!$A$1,0,0,COUNTA([1]stages!$A:$A),MATCH(G$1,[1]stages!$2:$2,0)-MATCH("temp_stage",[1]stages!$2:$2,0)+1),MATCH(G$1,[1]stages!$2:$2,0)-MATCH("temp_stage",[1]stages!$2:$2,0)+1,FALSE)</f>
        <v>#VALUE!</v>
      </c>
      <c r="H28" s="4" t="e">
        <f ca="1">VLOOKUP($C28&amp;"_"&amp;$F28,OFFSET([1]stages!$A$1,0,0,COUNTA([1]stages!$A:$A),MATCH(H$1,[1]stages!$2:$2,0)-MATCH("temp_stage",[1]stages!$2:$2,0)+1),MATCH(H$1,[1]stages!$2:$2,0)-MATCH("temp_stage",[1]stages!$2:$2,0)+1,FALSE)</f>
        <v>#VALUE!</v>
      </c>
      <c r="I28" s="19">
        <v>0</v>
      </c>
      <c r="J28" s="6">
        <f>COUNTIF(C$1:C28,C28)</f>
        <v>3</v>
      </c>
      <c r="K28">
        <v>19</v>
      </c>
      <c r="L28" s="6" t="s">
        <v>17</v>
      </c>
      <c r="M28" s="36" t="str">
        <f>VLOOKUP(K28,[2]stage_hints!$A:$C,3,FALSE)</f>
        <v>ソロ専用チャレンジタワー</v>
      </c>
      <c r="N28" s="37" t="str">
        <f>VLOOKUP(K28,[2]stage_hints!$A:$D,4,FALSE)</f>
        <v>ソロ専用の「チャレンジタワー」では_x000D_各フロアごとにクリア報酬がもらえます</v>
      </c>
      <c r="O28" s="22" t="s">
        <v>116</v>
      </c>
      <c r="P28">
        <v>19</v>
      </c>
    </row>
    <row r="29" spans="1:16">
      <c r="A29" s="29" t="str">
        <f t="shared" si="6"/>
        <v>40003_1_4</v>
      </c>
      <c r="B29" s="27" t="s">
        <v>33</v>
      </c>
      <c r="C29" s="5">
        <v>40003</v>
      </c>
      <c r="D29" s="4" t="e">
        <f ca="1">VLOOKUP($C29,OFFSET([1]quests!$A$1,0,0,COUNTA([1]quests!$A:$A),MATCH(D$1,[1]quests!$1:$1,0)-MATCH($C$1,[1]quests!$1:$1,0)+1),MATCH(D$1,[1]quests!$1:$1,0)-MATCH($C$1,[1]quests!$1:$1,0)+1,FALSE)</f>
        <v>#VALUE!</v>
      </c>
      <c r="E29" s="4" t="e">
        <f ca="1">VLOOKUP($C29,OFFSET([1]quests!$A$1,0,0,COUNTA([1]quests!$A:$A),MATCH(E$1,[1]quests!$1:$1,0)-MATCH($C$1,[1]quests!$1:$1,0)+1),MATCH(E$1,[1]quests!$1:$1,0)-MATCH($C$1,[1]quests!$1:$1,0)+1,FALSE)</f>
        <v>#VALUE!</v>
      </c>
      <c r="F29" s="6">
        <v>1</v>
      </c>
      <c r="G29" s="4" t="e">
        <f ca="1">VLOOKUP($C29&amp;"_"&amp;$F29,OFFSET([1]stages!$A$1,0,0,COUNTA([1]stages!$A:$A),MATCH(G$1,[1]stages!$2:$2,0)-MATCH("temp_stage",[1]stages!$2:$2,0)+1),MATCH(G$1,[1]stages!$2:$2,0)-MATCH("temp_stage",[1]stages!$2:$2,0)+1,FALSE)</f>
        <v>#VALUE!</v>
      </c>
      <c r="H29" s="4" t="e">
        <f ca="1">VLOOKUP($C29&amp;"_"&amp;$F29,OFFSET([1]stages!$A$1,0,0,COUNTA([1]stages!$A:$A),MATCH(H$1,[1]stages!$2:$2,0)-MATCH("temp_stage",[1]stages!$2:$2,0)+1),MATCH(H$1,[1]stages!$2:$2,0)-MATCH("temp_stage",[1]stages!$2:$2,0)+1,FALSE)</f>
        <v>#VALUE!</v>
      </c>
      <c r="I29" s="19">
        <v>0</v>
      </c>
      <c r="J29" s="6">
        <f>COUNTIF(C$1:C29,C29)</f>
        <v>4</v>
      </c>
      <c r="K29">
        <v>21</v>
      </c>
      <c r="L29" s="6" t="s">
        <v>17</v>
      </c>
      <c r="M29" s="36" t="str">
        <f>VLOOKUP(K29,[2]stage_hints!$A:$C,3,FALSE)</f>
        <v>スキルを有効に</v>
      </c>
      <c r="N29" s="37" t="str">
        <f>VLOOKUP(K29,[2]stage_hints!$A:$D,4,FALSE)</f>
        <v>ターン経過でユニットのスキルが使えます_x000D_強力スキルでバトルを有利に進めましょう</v>
      </c>
      <c r="O29" s="22" t="s">
        <v>116</v>
      </c>
      <c r="P29">
        <v>21</v>
      </c>
    </row>
    <row r="30" spans="1:16">
      <c r="A30" s="29" t="str">
        <f t="shared" si="6"/>
        <v>40003_1_5</v>
      </c>
      <c r="B30" s="27" t="s">
        <v>33</v>
      </c>
      <c r="C30" s="5">
        <v>40003</v>
      </c>
      <c r="D30" s="4" t="e">
        <f ca="1">VLOOKUP($C30,OFFSET([1]quests!$A$1,0,0,COUNTA([1]quests!$A:$A),MATCH(D$1,[1]quests!$1:$1,0)-MATCH($C$1,[1]quests!$1:$1,0)+1),MATCH(D$1,[1]quests!$1:$1,0)-MATCH($C$1,[1]quests!$1:$1,0)+1,FALSE)</f>
        <v>#VALUE!</v>
      </c>
      <c r="E30" s="4" t="e">
        <f ca="1">VLOOKUP($C30,OFFSET([1]quests!$A$1,0,0,COUNTA([1]quests!$A:$A),MATCH(E$1,[1]quests!$1:$1,0)-MATCH($C$1,[1]quests!$1:$1,0)+1),MATCH(E$1,[1]quests!$1:$1,0)-MATCH($C$1,[1]quests!$1:$1,0)+1,FALSE)</f>
        <v>#VALUE!</v>
      </c>
      <c r="F30" s="6">
        <v>1</v>
      </c>
      <c r="G30" s="4" t="e">
        <f ca="1">VLOOKUP($C30&amp;"_"&amp;$F30,OFFSET([1]stages!$A$1,0,0,COUNTA([1]stages!$A:$A),MATCH(G$1,[1]stages!$2:$2,0)-MATCH("temp_stage",[1]stages!$2:$2,0)+1),MATCH(G$1,[1]stages!$2:$2,0)-MATCH("temp_stage",[1]stages!$2:$2,0)+1,FALSE)</f>
        <v>#VALUE!</v>
      </c>
      <c r="H30" s="4" t="e">
        <f ca="1">VLOOKUP($C30&amp;"_"&amp;$F30,OFFSET([1]stages!$A$1,0,0,COUNTA([1]stages!$A:$A),MATCH(H$1,[1]stages!$2:$2,0)-MATCH("temp_stage",[1]stages!$2:$2,0)+1),MATCH(H$1,[1]stages!$2:$2,0)-MATCH("temp_stage",[1]stages!$2:$2,0)+1,FALSE)</f>
        <v>#VALUE!</v>
      </c>
      <c r="I30" s="19">
        <v>0</v>
      </c>
      <c r="J30" s="6">
        <f>COUNTIF(C$1:C30,C30)</f>
        <v>5</v>
      </c>
      <c r="K30">
        <v>29</v>
      </c>
      <c r="L30" s="6" t="s">
        <v>17</v>
      </c>
      <c r="M30" s="36" t="str">
        <f>VLOOKUP(K30,[2]stage_hints!$A:$C,3,FALSE)</f>
        <v>「バグ」のメリット</v>
      </c>
      <c r="N30" s="37" t="str">
        <f>VLOOKUP(K30,[2]stage_hints!$A:$D,4,FALSE)</f>
        <v>ユニットの「バグ」を増やすと_x000D_報酬をもらえる確率がアップします</v>
      </c>
      <c r="O30" s="22" t="s">
        <v>116</v>
      </c>
      <c r="P30">
        <v>29</v>
      </c>
    </row>
    <row r="31" spans="1:16">
      <c r="A31" s="29" t="str">
        <f t="shared" si="6"/>
        <v>40003_1_6</v>
      </c>
      <c r="B31" s="27" t="s">
        <v>33</v>
      </c>
      <c r="C31" s="5">
        <v>40003</v>
      </c>
      <c r="D31" s="4" t="e">
        <f ca="1">VLOOKUP($C31,OFFSET([1]quests!$A$1,0,0,COUNTA([1]quests!$A:$A),MATCH(D$1,[1]quests!$1:$1,0)-MATCH($C$1,[1]quests!$1:$1,0)+1),MATCH(D$1,[1]quests!$1:$1,0)-MATCH($C$1,[1]quests!$1:$1,0)+1,FALSE)</f>
        <v>#VALUE!</v>
      </c>
      <c r="E31" s="4" t="e">
        <f ca="1">VLOOKUP($C31,OFFSET([1]quests!$A$1,0,0,COUNTA([1]quests!$A:$A),MATCH(E$1,[1]quests!$1:$1,0)-MATCH($C$1,[1]quests!$1:$1,0)+1),MATCH(E$1,[1]quests!$1:$1,0)-MATCH($C$1,[1]quests!$1:$1,0)+1,FALSE)</f>
        <v>#VALUE!</v>
      </c>
      <c r="F31" s="6">
        <v>1</v>
      </c>
      <c r="G31" s="4" t="e">
        <f ca="1">VLOOKUP($C31&amp;"_"&amp;$F31,OFFSET([1]stages!$A$1,0,0,COUNTA([1]stages!$A:$A),MATCH(G$1,[1]stages!$2:$2,0)-MATCH("temp_stage",[1]stages!$2:$2,0)+1),MATCH(G$1,[1]stages!$2:$2,0)-MATCH("temp_stage",[1]stages!$2:$2,0)+1,FALSE)</f>
        <v>#VALUE!</v>
      </c>
      <c r="H31" s="4" t="e">
        <f ca="1">VLOOKUP($C31&amp;"_"&amp;$F31,OFFSET([1]stages!$A$1,0,0,COUNTA([1]stages!$A:$A),MATCH(H$1,[1]stages!$2:$2,0)-MATCH("temp_stage",[1]stages!$2:$2,0)+1),MATCH(H$1,[1]stages!$2:$2,0)-MATCH("temp_stage",[1]stages!$2:$2,0)+1,FALSE)</f>
        <v>#VALUE!</v>
      </c>
      <c r="I31" s="19">
        <v>0</v>
      </c>
      <c r="J31" s="6">
        <f>COUNTIF(C$1:C31,C31)</f>
        <v>6</v>
      </c>
      <c r="K31">
        <v>30</v>
      </c>
      <c r="L31" s="6" t="s">
        <v>17</v>
      </c>
      <c r="M31" s="36" t="str">
        <f>VLOOKUP(K31,[2]stage_hints!$A:$C,3,FALSE)</f>
        <v>「バグ」の増やし方</v>
      </c>
      <c r="N31" s="37" t="str">
        <f>VLOOKUP(K31,[2]stage_hints!$A:$D,4,FALSE)</f>
        <v>同じユニット同士を強化で合成すると_x000D_「バグ」を増やすことができます</v>
      </c>
      <c r="O31" s="22" t="s">
        <v>116</v>
      </c>
      <c r="P31">
        <v>30</v>
      </c>
    </row>
    <row r="32" spans="1:16">
      <c r="A32" s="29" t="str">
        <f t="shared" ref="A32" si="7">C32&amp;"_"&amp;F32&amp;"_"&amp;J32</f>
        <v>40003_1_7</v>
      </c>
      <c r="B32" s="27" t="s">
        <v>33</v>
      </c>
      <c r="C32" s="5">
        <v>40003</v>
      </c>
      <c r="D32" s="4" t="e">
        <f ca="1">VLOOKUP($C32,OFFSET([1]quests!$A$1,0,0,COUNTA([1]quests!$A:$A),MATCH(D$1,[1]quests!$1:$1,0)-MATCH($C$1,[1]quests!$1:$1,0)+1),MATCH(D$1,[1]quests!$1:$1,0)-MATCH($C$1,[1]quests!$1:$1,0)+1,FALSE)</f>
        <v>#VALUE!</v>
      </c>
      <c r="E32" s="4" t="e">
        <f ca="1">VLOOKUP($C32,OFFSET([1]quests!$A$1,0,0,COUNTA([1]quests!$A:$A),MATCH(E$1,[1]quests!$1:$1,0)-MATCH($C$1,[1]quests!$1:$1,0)+1),MATCH(E$1,[1]quests!$1:$1,0)-MATCH($C$1,[1]quests!$1:$1,0)+1,FALSE)</f>
        <v>#VALUE!</v>
      </c>
      <c r="F32" s="6">
        <v>1</v>
      </c>
      <c r="G32" s="4" t="e">
        <f ca="1">VLOOKUP($C32&amp;"_"&amp;$F32,OFFSET([1]stages!$A$1,0,0,COUNTA([1]stages!$A:$A),MATCH(G$1,[1]stages!$2:$2,0)-MATCH("temp_stage",[1]stages!$2:$2,0)+1),MATCH(G$1,[1]stages!$2:$2,0)-MATCH("temp_stage",[1]stages!$2:$2,0)+1,FALSE)</f>
        <v>#VALUE!</v>
      </c>
      <c r="H32" s="4" t="e">
        <f ca="1">VLOOKUP($C32&amp;"_"&amp;$F32,OFFSET([1]stages!$A$1,0,0,COUNTA([1]stages!$A:$A),MATCH(H$1,[1]stages!$2:$2,0)-MATCH("temp_stage",[1]stages!$2:$2,0)+1),MATCH(H$1,[1]stages!$2:$2,0)-MATCH("temp_stage",[1]stages!$2:$2,0)+1,FALSE)</f>
        <v>#VALUE!</v>
      </c>
      <c r="I32" s="19">
        <v>0</v>
      </c>
      <c r="J32" s="6">
        <f>COUNTIF(C$1:C32,C32)</f>
        <v>7</v>
      </c>
      <c r="K32">
        <v>32</v>
      </c>
      <c r="L32" s="6" t="s">
        <v>17</v>
      </c>
      <c r="M32" s="36" t="str">
        <f>VLOOKUP(K32,[2]stage_hints!$A:$C,3,FALSE)</f>
        <v>敵の連続攻撃には</v>
      </c>
      <c r="N32" s="37" t="str">
        <f>VLOOKUP(K32,[2]stage_hints!$A:$D,4,FALSE)</f>
        <v>カウンタースキルを持つユニットがいれば_x000D_ダメージ回数分の反撃ができます</v>
      </c>
      <c r="O32" s="22" t="s">
        <v>116</v>
      </c>
      <c r="P32">
        <v>32</v>
      </c>
    </row>
    <row r="33" spans="1:16">
      <c r="A33" s="29" t="str">
        <f t="shared" ref="A33:A39" si="8">C33&amp;"_"&amp;F33&amp;"_"&amp;J33</f>
        <v>40003_1_8</v>
      </c>
      <c r="B33" s="27" t="s">
        <v>33</v>
      </c>
      <c r="C33" s="5">
        <v>40003</v>
      </c>
      <c r="D33" s="4" t="e">
        <f ca="1">VLOOKUP($C33,OFFSET([1]quests!$A$1,0,0,COUNTA([1]quests!$A:$A),MATCH(D$1,[1]quests!$1:$1,0)-MATCH($C$1,[1]quests!$1:$1,0)+1),MATCH(D$1,[1]quests!$1:$1,0)-MATCH($C$1,[1]quests!$1:$1,0)+1,FALSE)</f>
        <v>#VALUE!</v>
      </c>
      <c r="E33" s="4" t="e">
        <f ca="1">VLOOKUP($C33,OFFSET([1]quests!$A$1,0,0,COUNTA([1]quests!$A:$A),MATCH(E$1,[1]quests!$1:$1,0)-MATCH($C$1,[1]quests!$1:$1,0)+1),MATCH(E$1,[1]quests!$1:$1,0)-MATCH($C$1,[1]quests!$1:$1,0)+1,FALSE)</f>
        <v>#VALUE!</v>
      </c>
      <c r="F33" s="6">
        <v>1</v>
      </c>
      <c r="G33" s="4" t="e">
        <f ca="1">VLOOKUP($C33&amp;"_"&amp;$F33,OFFSET([1]stages!$A$1,0,0,COUNTA([1]stages!$A:$A),MATCH(G$1,[1]stages!$2:$2,0)-MATCH("temp_stage",[1]stages!$2:$2,0)+1),MATCH(G$1,[1]stages!$2:$2,0)-MATCH("temp_stage",[1]stages!$2:$2,0)+1,FALSE)</f>
        <v>#VALUE!</v>
      </c>
      <c r="H33" s="4" t="e">
        <f ca="1">VLOOKUP($C33&amp;"_"&amp;$F33,OFFSET([1]stages!$A$1,0,0,COUNTA([1]stages!$A:$A),MATCH(H$1,[1]stages!$2:$2,0)-MATCH("temp_stage",[1]stages!$2:$2,0)+1),MATCH(H$1,[1]stages!$2:$2,0)-MATCH("temp_stage",[1]stages!$2:$2,0)+1,FALSE)</f>
        <v>#VALUE!</v>
      </c>
      <c r="I33" s="19">
        <v>0</v>
      </c>
      <c r="J33" s="6">
        <f>COUNTIF(C$1:C33,C33)</f>
        <v>8</v>
      </c>
      <c r="K33">
        <v>33</v>
      </c>
      <c r="L33" s="6" t="s">
        <v>17</v>
      </c>
      <c r="M33" s="36" t="str">
        <f>VLOOKUP(K33,[2]stage_hints!$A:$C,3,FALSE)</f>
        <v>敵のカウンター攻撃には</v>
      </c>
      <c r="N33" s="37" t="str">
        <f>VLOOKUP(K33,[2]stage_hints!$A:$D,4,FALSE)</f>
        <v>カウンターブレイクスキルを持っていれば_x000D_敵のカウンターを解除して攻撃ができます</v>
      </c>
      <c r="O33" s="22" t="s">
        <v>116</v>
      </c>
      <c r="P33">
        <v>33</v>
      </c>
    </row>
    <row r="34" spans="1:16">
      <c r="A34" s="29" t="str">
        <f t="shared" si="8"/>
        <v>40003_1_9</v>
      </c>
      <c r="B34" s="27" t="s">
        <v>33</v>
      </c>
      <c r="C34" s="5">
        <v>40003</v>
      </c>
      <c r="D34" s="4" t="e">
        <f ca="1">VLOOKUP($C34,OFFSET([1]quests!$A$1,0,0,COUNTA([1]quests!$A:$A),MATCH(D$1,[1]quests!$1:$1,0)-MATCH($C$1,[1]quests!$1:$1,0)+1),MATCH(D$1,[1]quests!$1:$1,0)-MATCH($C$1,[1]quests!$1:$1,0)+1,FALSE)</f>
        <v>#VALUE!</v>
      </c>
      <c r="E34" s="4" t="e">
        <f ca="1">VLOOKUP($C34,OFFSET([1]quests!$A$1,0,0,COUNTA([1]quests!$A:$A),MATCH(E$1,[1]quests!$1:$1,0)-MATCH($C$1,[1]quests!$1:$1,0)+1),MATCH(E$1,[1]quests!$1:$1,0)-MATCH($C$1,[1]quests!$1:$1,0)+1,FALSE)</f>
        <v>#VALUE!</v>
      </c>
      <c r="F34" s="6">
        <v>1</v>
      </c>
      <c r="G34" s="4" t="e">
        <f ca="1">VLOOKUP($C34&amp;"_"&amp;$F34,OFFSET([1]stages!$A$1,0,0,COUNTA([1]stages!$A:$A),MATCH(G$1,[1]stages!$2:$2,0)-MATCH("temp_stage",[1]stages!$2:$2,0)+1),MATCH(G$1,[1]stages!$2:$2,0)-MATCH("temp_stage",[1]stages!$2:$2,0)+1,FALSE)</f>
        <v>#VALUE!</v>
      </c>
      <c r="H34" s="4" t="e">
        <f ca="1">VLOOKUP($C34&amp;"_"&amp;$F34,OFFSET([1]stages!$A$1,0,0,COUNTA([1]stages!$A:$A),MATCH(H$1,[1]stages!$2:$2,0)-MATCH("temp_stage",[1]stages!$2:$2,0)+1),MATCH(H$1,[1]stages!$2:$2,0)-MATCH("temp_stage",[1]stages!$2:$2,0)+1,FALSE)</f>
        <v>#VALUE!</v>
      </c>
      <c r="I34" s="19">
        <v>0</v>
      </c>
      <c r="J34" s="6">
        <f>COUNTIF(C$1:C34,C34)</f>
        <v>9</v>
      </c>
      <c r="K34">
        <v>34</v>
      </c>
      <c r="L34" s="6" t="s">
        <v>17</v>
      </c>
      <c r="M34" s="36" t="str">
        <f>VLOOKUP(K34,[2]stage_hints!$A:$C,3,FALSE)</f>
        <v>ステータスをスキルで下げられたら</v>
      </c>
      <c r="N34" s="37" t="str">
        <f>VLOOKUP(K34,[2]stage_hints!$A:$D,4,FALSE)</f>
        <v>ステータスダウンのスキルを受けたら_x000D_ステータスアップスキルで上書きしましょう</v>
      </c>
      <c r="O34" s="22" t="s">
        <v>116</v>
      </c>
      <c r="P34">
        <v>34</v>
      </c>
    </row>
    <row r="35" spans="1:16">
      <c r="A35" s="29" t="str">
        <f t="shared" si="8"/>
        <v>40003_1_10</v>
      </c>
      <c r="B35" s="27" t="s">
        <v>33</v>
      </c>
      <c r="C35" s="5">
        <v>40003</v>
      </c>
      <c r="D35" s="4" t="e">
        <f ca="1">VLOOKUP($C35,OFFSET([1]quests!$A$1,0,0,COUNTA([1]quests!$A:$A),MATCH(D$1,[1]quests!$1:$1,0)-MATCH($C$1,[1]quests!$1:$1,0)+1),MATCH(D$1,[1]quests!$1:$1,0)-MATCH($C$1,[1]quests!$1:$1,0)+1,FALSE)</f>
        <v>#VALUE!</v>
      </c>
      <c r="E35" s="4" t="e">
        <f ca="1">VLOOKUP($C35,OFFSET([1]quests!$A$1,0,0,COUNTA([1]quests!$A:$A),MATCH(E$1,[1]quests!$1:$1,0)-MATCH($C$1,[1]quests!$1:$1,0)+1),MATCH(E$1,[1]quests!$1:$1,0)-MATCH($C$1,[1]quests!$1:$1,0)+1,FALSE)</f>
        <v>#VALUE!</v>
      </c>
      <c r="F35" s="6">
        <v>1</v>
      </c>
      <c r="G35" s="4" t="e">
        <f ca="1">VLOOKUP($C35&amp;"_"&amp;$F35,OFFSET([1]stages!$A$1,0,0,COUNTA([1]stages!$A:$A),MATCH(G$1,[1]stages!$2:$2,0)-MATCH("temp_stage",[1]stages!$2:$2,0)+1),MATCH(G$1,[1]stages!$2:$2,0)-MATCH("temp_stage",[1]stages!$2:$2,0)+1,FALSE)</f>
        <v>#VALUE!</v>
      </c>
      <c r="H35" s="4" t="e">
        <f ca="1">VLOOKUP($C35&amp;"_"&amp;$F35,OFFSET([1]stages!$A$1,0,0,COUNTA([1]stages!$A:$A),MATCH(H$1,[1]stages!$2:$2,0)-MATCH("temp_stage",[1]stages!$2:$2,0)+1),MATCH(H$1,[1]stages!$2:$2,0)-MATCH("temp_stage",[1]stages!$2:$2,0)+1,FALSE)</f>
        <v>#VALUE!</v>
      </c>
      <c r="I35" s="19">
        <v>0</v>
      </c>
      <c r="J35" s="6">
        <f>COUNTIF(C$1:C35,C35)</f>
        <v>10</v>
      </c>
      <c r="K35">
        <v>35</v>
      </c>
      <c r="L35" s="6" t="s">
        <v>17</v>
      </c>
      <c r="M35" s="36" t="str">
        <f>VLOOKUP(K35,[2]stage_hints!$A:$C,3,FALSE)</f>
        <v>敵のステータスがスキルで上がったら</v>
      </c>
      <c r="N35" s="37" t="str">
        <f>VLOOKUP(K35,[2]stage_hints!$A:$D,4,FALSE)</f>
        <v>敵のステータスがスキルでアップしたときは_x000D_ステータスダウンスキルで上書きしましょう</v>
      </c>
      <c r="O35" s="22" t="s">
        <v>116</v>
      </c>
      <c r="P35">
        <v>35</v>
      </c>
    </row>
    <row r="36" spans="1:16">
      <c r="A36" s="29" t="str">
        <f t="shared" si="8"/>
        <v>40003_1_11</v>
      </c>
      <c r="B36" s="27" t="s">
        <v>33</v>
      </c>
      <c r="C36" s="5">
        <v>40003</v>
      </c>
      <c r="D36" s="4" t="e">
        <f ca="1">VLOOKUP($C36,OFFSET([1]quests!$A$1,0,0,COUNTA([1]quests!$A:$A),MATCH(D$1,[1]quests!$1:$1,0)-MATCH($C$1,[1]quests!$1:$1,0)+1),MATCH(D$1,[1]quests!$1:$1,0)-MATCH($C$1,[1]quests!$1:$1,0)+1,FALSE)</f>
        <v>#VALUE!</v>
      </c>
      <c r="E36" s="4" t="e">
        <f ca="1">VLOOKUP($C36,OFFSET([1]quests!$A$1,0,0,COUNTA([1]quests!$A:$A),MATCH(E$1,[1]quests!$1:$1,0)-MATCH($C$1,[1]quests!$1:$1,0)+1),MATCH(E$1,[1]quests!$1:$1,0)-MATCH($C$1,[1]quests!$1:$1,0)+1,FALSE)</f>
        <v>#VALUE!</v>
      </c>
      <c r="F36" s="6">
        <v>1</v>
      </c>
      <c r="G36" s="4" t="e">
        <f ca="1">VLOOKUP($C36&amp;"_"&amp;$F36,OFFSET([1]stages!$A$1,0,0,COUNTA([1]stages!$A:$A),MATCH(G$1,[1]stages!$2:$2,0)-MATCH("temp_stage",[1]stages!$2:$2,0)+1),MATCH(G$1,[1]stages!$2:$2,0)-MATCH("temp_stage",[1]stages!$2:$2,0)+1,FALSE)</f>
        <v>#VALUE!</v>
      </c>
      <c r="H36" s="4" t="e">
        <f ca="1">VLOOKUP($C36&amp;"_"&amp;$F36,OFFSET([1]stages!$A$1,0,0,COUNTA([1]stages!$A:$A),MATCH(H$1,[1]stages!$2:$2,0)-MATCH("temp_stage",[1]stages!$2:$2,0)+1),MATCH(H$1,[1]stages!$2:$2,0)-MATCH("temp_stage",[1]stages!$2:$2,0)+1,FALSE)</f>
        <v>#VALUE!</v>
      </c>
      <c r="I36" s="19">
        <v>0</v>
      </c>
      <c r="J36" s="6">
        <f>COUNTIF(C$1:C36,C36)</f>
        <v>11</v>
      </c>
      <c r="K36">
        <v>36</v>
      </c>
      <c r="L36" s="6" t="s">
        <v>17</v>
      </c>
      <c r="M36" s="36" t="str">
        <f>VLOOKUP(K36,[2]stage_hints!$A:$C,3,FALSE)</f>
        <v>チャレンジタワーのボス</v>
      </c>
      <c r="N36" s="37" t="str">
        <f>VLOOKUP(K36,[2]stage_hints!$A:$D,4,FALSE)</f>
        <v>チャレンジタワーでのみ登場するボスは_x000D_一定確率で獲得することができます</v>
      </c>
      <c r="O36" s="22" t="s">
        <v>116</v>
      </c>
      <c r="P36">
        <v>36</v>
      </c>
    </row>
    <row r="37" spans="1:16">
      <c r="A37" s="29" t="str">
        <f t="shared" si="8"/>
        <v>40003_1_12</v>
      </c>
      <c r="B37" s="27" t="s">
        <v>33</v>
      </c>
      <c r="C37" s="5">
        <v>40003</v>
      </c>
      <c r="D37" s="4" t="e">
        <f ca="1">VLOOKUP($C37,OFFSET([1]quests!$A$1,0,0,COUNTA([1]quests!$A:$A),MATCH(D$1,[1]quests!$1:$1,0)-MATCH($C$1,[1]quests!$1:$1,0)+1),MATCH(D$1,[1]quests!$1:$1,0)-MATCH($C$1,[1]quests!$1:$1,0)+1,FALSE)</f>
        <v>#VALUE!</v>
      </c>
      <c r="E37" s="4" t="e">
        <f ca="1">VLOOKUP($C37,OFFSET([1]quests!$A$1,0,0,COUNTA([1]quests!$A:$A),MATCH(E$1,[1]quests!$1:$1,0)-MATCH($C$1,[1]quests!$1:$1,0)+1),MATCH(E$1,[1]quests!$1:$1,0)-MATCH($C$1,[1]quests!$1:$1,0)+1,FALSE)</f>
        <v>#VALUE!</v>
      </c>
      <c r="F37" s="6">
        <v>1</v>
      </c>
      <c r="G37" s="4" t="e">
        <f ca="1">VLOOKUP($C37&amp;"_"&amp;$F37,OFFSET([1]stages!$A$1,0,0,COUNTA([1]stages!$A:$A),MATCH(G$1,[1]stages!$2:$2,0)-MATCH("temp_stage",[1]stages!$2:$2,0)+1),MATCH(G$1,[1]stages!$2:$2,0)-MATCH("temp_stage",[1]stages!$2:$2,0)+1,FALSE)</f>
        <v>#VALUE!</v>
      </c>
      <c r="H37" s="4" t="e">
        <f ca="1">VLOOKUP($C37&amp;"_"&amp;$F37,OFFSET([1]stages!$A$1,0,0,COUNTA([1]stages!$A:$A),MATCH(H$1,[1]stages!$2:$2,0)-MATCH("temp_stage",[1]stages!$2:$2,0)+1),MATCH(H$1,[1]stages!$2:$2,0)-MATCH("temp_stage",[1]stages!$2:$2,0)+1,FALSE)</f>
        <v>#VALUE!</v>
      </c>
      <c r="I37" s="19">
        <v>0</v>
      </c>
      <c r="J37" s="6">
        <f>COUNTIF(C$1:C37,C37)</f>
        <v>12</v>
      </c>
      <c r="K37">
        <v>37</v>
      </c>
      <c r="L37" s="6" t="s">
        <v>17</v>
      </c>
      <c r="M37" s="36" t="str">
        <f>VLOOKUP(K37,[2]stage_hints!$A:$C,3,FALSE)</f>
        <v>限界突破値の引き継ぎ</v>
      </c>
      <c r="N37" s="37" t="str">
        <f>VLOOKUP(K37,[2]stage_hints!$A:$D,4,FALSE)</f>
        <v>同じユニットを強化で合成すると_x000D_限界突破値を引き継げます（覚醒前後も可）</v>
      </c>
      <c r="O37" s="22" t="s">
        <v>116</v>
      </c>
      <c r="P37">
        <v>37</v>
      </c>
    </row>
    <row r="38" spans="1:16">
      <c r="A38" s="29" t="str">
        <f t="shared" si="8"/>
        <v>40004_1_1</v>
      </c>
      <c r="B38" s="27" t="s">
        <v>33</v>
      </c>
      <c r="C38" s="5">
        <v>40004</v>
      </c>
      <c r="D38" s="4" t="e">
        <f ca="1">VLOOKUP($C38,OFFSET([1]quests!$A$1,0,0,COUNTA([1]quests!$A:$A),MATCH(D$1,[1]quests!$1:$1,0)-MATCH($C$1,[1]quests!$1:$1,0)+1),MATCH(D$1,[1]quests!$1:$1,0)-MATCH($C$1,[1]quests!$1:$1,0)+1,FALSE)</f>
        <v>#VALUE!</v>
      </c>
      <c r="E38" s="4" t="e">
        <f ca="1">VLOOKUP($C38,OFFSET([1]quests!$A$1,0,0,COUNTA([1]quests!$A:$A),MATCH(E$1,[1]quests!$1:$1,0)-MATCH($C$1,[1]quests!$1:$1,0)+1),MATCH(E$1,[1]quests!$1:$1,0)-MATCH($C$1,[1]quests!$1:$1,0)+1,FALSE)</f>
        <v>#VALUE!</v>
      </c>
      <c r="F38" s="6">
        <v>1</v>
      </c>
      <c r="G38" s="4" t="e">
        <f ca="1">VLOOKUP($C38&amp;"_"&amp;$F38,OFFSET([1]stages!$A$1,0,0,COUNTA([1]stages!$A:$A),MATCH(G$1,[1]stages!$2:$2,0)-MATCH("temp_stage",[1]stages!$2:$2,0)+1),MATCH(G$1,[1]stages!$2:$2,0)-MATCH("temp_stage",[1]stages!$2:$2,0)+1,FALSE)</f>
        <v>#VALUE!</v>
      </c>
      <c r="H38" s="4" t="e">
        <f ca="1">VLOOKUP($C38&amp;"_"&amp;$F38,OFFSET([1]stages!$A$1,0,0,COUNTA([1]stages!$A:$A),MATCH(H$1,[1]stages!$2:$2,0)-MATCH("temp_stage",[1]stages!$2:$2,0)+1),MATCH(H$1,[1]stages!$2:$2,0)-MATCH("temp_stage",[1]stages!$2:$2,0)+1,FALSE)</f>
        <v>#VALUE!</v>
      </c>
      <c r="I38" s="19">
        <v>0</v>
      </c>
      <c r="J38" s="6">
        <f>COUNTIF(C$1:C38,C38)</f>
        <v>1</v>
      </c>
      <c r="K38">
        <v>12</v>
      </c>
      <c r="L38" s="6" t="s">
        <v>17</v>
      </c>
      <c r="M38" s="36" t="str">
        <f>VLOOKUP(K38,[2]stage_hints!$A:$C,3,FALSE)</f>
        <v>ユニットのお気に入り登録</v>
      </c>
      <c r="N38" s="37" t="str">
        <f>VLOOKUP(K38,[2]stage_hints!$A:$D,4,FALSE)</f>
        <v>大事なユニットを誤って消さないように_x000D_フォルダから「お気に入り登録」しましょう</v>
      </c>
      <c r="O38" s="22" t="s">
        <v>116</v>
      </c>
      <c r="P38">
        <v>12</v>
      </c>
    </row>
    <row r="39" spans="1:16">
      <c r="A39" s="29" t="str">
        <f t="shared" si="8"/>
        <v>40004_1_2</v>
      </c>
      <c r="B39" s="27" t="s">
        <v>33</v>
      </c>
      <c r="C39" s="5">
        <v>40004</v>
      </c>
      <c r="D39" s="4" t="e">
        <f ca="1">VLOOKUP($C39,OFFSET([1]quests!$A$1,0,0,COUNTA([1]quests!$A:$A),MATCH(D$1,[1]quests!$1:$1,0)-MATCH($C$1,[1]quests!$1:$1,0)+1),MATCH(D$1,[1]quests!$1:$1,0)-MATCH($C$1,[1]quests!$1:$1,0)+1,FALSE)</f>
        <v>#VALUE!</v>
      </c>
      <c r="E39" s="4" t="e">
        <f ca="1">VLOOKUP($C39,OFFSET([1]quests!$A$1,0,0,COUNTA([1]quests!$A:$A),MATCH(E$1,[1]quests!$1:$1,0)-MATCH($C$1,[1]quests!$1:$1,0)+1),MATCH(E$1,[1]quests!$1:$1,0)-MATCH($C$1,[1]quests!$1:$1,0)+1,FALSE)</f>
        <v>#VALUE!</v>
      </c>
      <c r="F39" s="6">
        <v>1</v>
      </c>
      <c r="G39" s="4" t="e">
        <f ca="1">VLOOKUP($C39&amp;"_"&amp;$F39,OFFSET([1]stages!$A$1,0,0,COUNTA([1]stages!$A:$A),MATCH(G$1,[1]stages!$2:$2,0)-MATCH("temp_stage",[1]stages!$2:$2,0)+1),MATCH(G$1,[1]stages!$2:$2,0)-MATCH("temp_stage",[1]stages!$2:$2,0)+1,FALSE)</f>
        <v>#VALUE!</v>
      </c>
      <c r="H39" s="4" t="e">
        <f ca="1">VLOOKUP($C39&amp;"_"&amp;$F39,OFFSET([1]stages!$A$1,0,0,COUNTA([1]stages!$A:$A),MATCH(H$1,[1]stages!$2:$2,0)-MATCH("temp_stage",[1]stages!$2:$2,0)+1),MATCH(H$1,[1]stages!$2:$2,0)-MATCH("temp_stage",[1]stages!$2:$2,0)+1,FALSE)</f>
        <v>#VALUE!</v>
      </c>
      <c r="I39" s="19">
        <v>0</v>
      </c>
      <c r="J39" s="6">
        <f>COUNTIF(C$1:C39,C39)</f>
        <v>2</v>
      </c>
      <c r="K39">
        <v>17</v>
      </c>
      <c r="L39" s="6" t="s">
        <v>17</v>
      </c>
      <c r="M39" s="36" t="str">
        <f>VLOOKUP(K39,[2]stage_hints!$A:$C,3,FALSE)</f>
        <v>リンクガチャ</v>
      </c>
      <c r="N39" s="37" t="str">
        <f>VLOOKUP(K39,[2]stage_hints!$A:$D,4,FALSE)</f>
        <v>無料のリンクガチャを回して_x000D_経験値素材や売却素材を獲得しましょう</v>
      </c>
      <c r="O39" s="22" t="s">
        <v>116</v>
      </c>
      <c r="P39">
        <v>17</v>
      </c>
    </row>
    <row r="40" spans="1:16">
      <c r="A40" s="29" t="str">
        <f t="shared" ref="A40" si="9">C40&amp;"_"&amp;F40&amp;"_"&amp;J40</f>
        <v>40004_1_3</v>
      </c>
      <c r="B40" s="27" t="s">
        <v>33</v>
      </c>
      <c r="C40" s="5">
        <v>40004</v>
      </c>
      <c r="D40" s="4" t="e">
        <f ca="1">VLOOKUP($C40,OFFSET([1]quests!$A$1,0,0,COUNTA([1]quests!$A:$A),MATCH(D$1,[1]quests!$1:$1,0)-MATCH($C$1,[1]quests!$1:$1,0)+1),MATCH(D$1,[1]quests!$1:$1,0)-MATCH($C$1,[1]quests!$1:$1,0)+1,FALSE)</f>
        <v>#VALUE!</v>
      </c>
      <c r="E40" s="4" t="e">
        <f ca="1">VLOOKUP($C40,OFFSET([1]quests!$A$1,0,0,COUNTA([1]quests!$A:$A),MATCH(E$1,[1]quests!$1:$1,0)-MATCH($C$1,[1]quests!$1:$1,0)+1),MATCH(E$1,[1]quests!$1:$1,0)-MATCH($C$1,[1]quests!$1:$1,0)+1,FALSE)</f>
        <v>#VALUE!</v>
      </c>
      <c r="F40" s="6">
        <v>1</v>
      </c>
      <c r="G40" s="4" t="e">
        <f ca="1">VLOOKUP($C40&amp;"_"&amp;$F40,OFFSET([1]stages!$A$1,0,0,COUNTA([1]stages!$A:$A),MATCH(G$1,[1]stages!$2:$2,0)-MATCH("temp_stage",[1]stages!$2:$2,0)+1),MATCH(G$1,[1]stages!$2:$2,0)-MATCH("temp_stage",[1]stages!$2:$2,0)+1,FALSE)</f>
        <v>#VALUE!</v>
      </c>
      <c r="H40" s="4" t="e">
        <f ca="1">VLOOKUP($C40&amp;"_"&amp;$F40,OFFSET([1]stages!$A$1,0,0,COUNTA([1]stages!$A:$A),MATCH(H$1,[1]stages!$2:$2,0)-MATCH("temp_stage",[1]stages!$2:$2,0)+1),MATCH(H$1,[1]stages!$2:$2,0)-MATCH("temp_stage",[1]stages!$2:$2,0)+1,FALSE)</f>
        <v>#VALUE!</v>
      </c>
      <c r="I40" s="19">
        <v>0</v>
      </c>
      <c r="J40" s="6">
        <f>COUNTIF(C$1:C40,C40)</f>
        <v>3</v>
      </c>
      <c r="K40">
        <v>19</v>
      </c>
      <c r="L40" s="6" t="s">
        <v>17</v>
      </c>
      <c r="M40" s="36" t="str">
        <f>VLOOKUP(K40,[2]stage_hints!$A:$C,3,FALSE)</f>
        <v>ソロ専用チャレンジタワー</v>
      </c>
      <c r="N40" s="37" t="str">
        <f>VLOOKUP(K40,[2]stage_hints!$A:$D,4,FALSE)</f>
        <v>ソロ専用の「チャレンジタワー」では_x000D_各フロアごとにクリア報酬がもらえます</v>
      </c>
      <c r="O40" s="22" t="s">
        <v>116</v>
      </c>
      <c r="P40">
        <v>19</v>
      </c>
    </row>
    <row r="41" spans="1:16">
      <c r="A41" s="29" t="str">
        <f t="shared" ref="A41:A48" si="10">C41&amp;"_"&amp;F41&amp;"_"&amp;J41</f>
        <v>40004_1_4</v>
      </c>
      <c r="B41" s="27" t="s">
        <v>33</v>
      </c>
      <c r="C41" s="5">
        <v>40004</v>
      </c>
      <c r="D41" s="4" t="e">
        <f ca="1">VLOOKUP($C41,OFFSET([1]quests!$A$1,0,0,COUNTA([1]quests!$A:$A),MATCH(D$1,[1]quests!$1:$1,0)-MATCH($C$1,[1]quests!$1:$1,0)+1),MATCH(D$1,[1]quests!$1:$1,0)-MATCH($C$1,[1]quests!$1:$1,0)+1,FALSE)</f>
        <v>#VALUE!</v>
      </c>
      <c r="E41" s="4" t="e">
        <f ca="1">VLOOKUP($C41,OFFSET([1]quests!$A$1,0,0,COUNTA([1]quests!$A:$A),MATCH(E$1,[1]quests!$1:$1,0)-MATCH($C$1,[1]quests!$1:$1,0)+1),MATCH(E$1,[1]quests!$1:$1,0)-MATCH($C$1,[1]quests!$1:$1,0)+1,FALSE)</f>
        <v>#VALUE!</v>
      </c>
      <c r="F41" s="6">
        <v>1</v>
      </c>
      <c r="G41" s="4" t="e">
        <f ca="1">VLOOKUP($C41&amp;"_"&amp;$F41,OFFSET([1]stages!$A$1,0,0,COUNTA([1]stages!$A:$A),MATCH(G$1,[1]stages!$2:$2,0)-MATCH("temp_stage",[1]stages!$2:$2,0)+1),MATCH(G$1,[1]stages!$2:$2,0)-MATCH("temp_stage",[1]stages!$2:$2,0)+1,FALSE)</f>
        <v>#VALUE!</v>
      </c>
      <c r="H41" s="4" t="e">
        <f ca="1">VLOOKUP($C41&amp;"_"&amp;$F41,OFFSET([1]stages!$A$1,0,0,COUNTA([1]stages!$A:$A),MATCH(H$1,[1]stages!$2:$2,0)-MATCH("temp_stage",[1]stages!$2:$2,0)+1),MATCH(H$1,[1]stages!$2:$2,0)-MATCH("temp_stage",[1]stages!$2:$2,0)+1,FALSE)</f>
        <v>#VALUE!</v>
      </c>
      <c r="I41" s="19">
        <v>0</v>
      </c>
      <c r="J41" s="6">
        <f>COUNTIF(C$1:C41,C41)</f>
        <v>4</v>
      </c>
      <c r="K41">
        <v>21</v>
      </c>
      <c r="L41" s="6" t="s">
        <v>17</v>
      </c>
      <c r="M41" s="36" t="str">
        <f>VLOOKUP(K41,[2]stage_hints!$A:$C,3,FALSE)</f>
        <v>スキルを有効に</v>
      </c>
      <c r="N41" s="37" t="str">
        <f>VLOOKUP(K41,[2]stage_hints!$A:$D,4,FALSE)</f>
        <v>ターン経過でユニットのスキルが使えます_x000D_強力スキルでバトルを有利に進めましょう</v>
      </c>
      <c r="O41" s="22" t="s">
        <v>116</v>
      </c>
      <c r="P41">
        <v>21</v>
      </c>
    </row>
    <row r="42" spans="1:16">
      <c r="A42" s="29" t="str">
        <f t="shared" si="10"/>
        <v>40004_1_5</v>
      </c>
      <c r="B42" s="27" t="s">
        <v>33</v>
      </c>
      <c r="C42" s="5">
        <v>40004</v>
      </c>
      <c r="D42" s="4" t="e">
        <f ca="1">VLOOKUP($C42,OFFSET([1]quests!$A$1,0,0,COUNTA([1]quests!$A:$A),MATCH(D$1,[1]quests!$1:$1,0)-MATCH($C$1,[1]quests!$1:$1,0)+1),MATCH(D$1,[1]quests!$1:$1,0)-MATCH($C$1,[1]quests!$1:$1,0)+1,FALSE)</f>
        <v>#VALUE!</v>
      </c>
      <c r="E42" s="4" t="e">
        <f ca="1">VLOOKUP($C42,OFFSET([1]quests!$A$1,0,0,COUNTA([1]quests!$A:$A),MATCH(E$1,[1]quests!$1:$1,0)-MATCH($C$1,[1]quests!$1:$1,0)+1),MATCH(E$1,[1]quests!$1:$1,0)-MATCH($C$1,[1]quests!$1:$1,0)+1,FALSE)</f>
        <v>#VALUE!</v>
      </c>
      <c r="F42" s="6">
        <v>1</v>
      </c>
      <c r="G42" s="4" t="e">
        <f ca="1">VLOOKUP($C42&amp;"_"&amp;$F42,OFFSET([1]stages!$A$1,0,0,COUNTA([1]stages!$A:$A),MATCH(G$1,[1]stages!$2:$2,0)-MATCH("temp_stage",[1]stages!$2:$2,0)+1),MATCH(G$1,[1]stages!$2:$2,0)-MATCH("temp_stage",[1]stages!$2:$2,0)+1,FALSE)</f>
        <v>#VALUE!</v>
      </c>
      <c r="H42" s="4" t="e">
        <f ca="1">VLOOKUP($C42&amp;"_"&amp;$F42,OFFSET([1]stages!$A$1,0,0,COUNTA([1]stages!$A:$A),MATCH(H$1,[1]stages!$2:$2,0)-MATCH("temp_stage",[1]stages!$2:$2,0)+1),MATCH(H$1,[1]stages!$2:$2,0)-MATCH("temp_stage",[1]stages!$2:$2,0)+1,FALSE)</f>
        <v>#VALUE!</v>
      </c>
      <c r="I42" s="19">
        <v>0</v>
      </c>
      <c r="J42" s="6">
        <f>COUNTIF(C$1:C42,C42)</f>
        <v>5</v>
      </c>
      <c r="K42">
        <v>29</v>
      </c>
      <c r="L42" s="6" t="s">
        <v>17</v>
      </c>
      <c r="M42" s="36" t="str">
        <f>VLOOKUP(K42,[2]stage_hints!$A:$C,3,FALSE)</f>
        <v>「バグ」のメリット</v>
      </c>
      <c r="N42" s="37" t="str">
        <f>VLOOKUP(K42,[2]stage_hints!$A:$D,4,FALSE)</f>
        <v>ユニットの「バグ」を増やすと_x000D_報酬をもらえる確率がアップします</v>
      </c>
      <c r="O42" s="22" t="s">
        <v>116</v>
      </c>
      <c r="P42">
        <v>29</v>
      </c>
    </row>
    <row r="43" spans="1:16">
      <c r="A43" s="29" t="str">
        <f t="shared" si="10"/>
        <v>40004_1_6</v>
      </c>
      <c r="B43" s="27" t="s">
        <v>33</v>
      </c>
      <c r="C43" s="5">
        <v>40004</v>
      </c>
      <c r="D43" s="4" t="e">
        <f ca="1">VLOOKUP($C43,OFFSET([1]quests!$A$1,0,0,COUNTA([1]quests!$A:$A),MATCH(D$1,[1]quests!$1:$1,0)-MATCH($C$1,[1]quests!$1:$1,0)+1),MATCH(D$1,[1]quests!$1:$1,0)-MATCH($C$1,[1]quests!$1:$1,0)+1,FALSE)</f>
        <v>#VALUE!</v>
      </c>
      <c r="E43" s="4" t="e">
        <f ca="1">VLOOKUP($C43,OFFSET([1]quests!$A$1,0,0,COUNTA([1]quests!$A:$A),MATCH(E$1,[1]quests!$1:$1,0)-MATCH($C$1,[1]quests!$1:$1,0)+1),MATCH(E$1,[1]quests!$1:$1,0)-MATCH($C$1,[1]quests!$1:$1,0)+1,FALSE)</f>
        <v>#VALUE!</v>
      </c>
      <c r="F43" s="6">
        <v>1</v>
      </c>
      <c r="G43" s="4" t="e">
        <f ca="1">VLOOKUP($C43&amp;"_"&amp;$F43,OFFSET([1]stages!$A$1,0,0,COUNTA([1]stages!$A:$A),MATCH(G$1,[1]stages!$2:$2,0)-MATCH("temp_stage",[1]stages!$2:$2,0)+1),MATCH(G$1,[1]stages!$2:$2,0)-MATCH("temp_stage",[1]stages!$2:$2,0)+1,FALSE)</f>
        <v>#VALUE!</v>
      </c>
      <c r="H43" s="4" t="e">
        <f ca="1">VLOOKUP($C43&amp;"_"&amp;$F43,OFFSET([1]stages!$A$1,0,0,COUNTA([1]stages!$A:$A),MATCH(H$1,[1]stages!$2:$2,0)-MATCH("temp_stage",[1]stages!$2:$2,0)+1),MATCH(H$1,[1]stages!$2:$2,0)-MATCH("temp_stage",[1]stages!$2:$2,0)+1,FALSE)</f>
        <v>#VALUE!</v>
      </c>
      <c r="I43" s="19">
        <v>0</v>
      </c>
      <c r="J43" s="6">
        <f>COUNTIF(C$1:C43,C43)</f>
        <v>6</v>
      </c>
      <c r="K43">
        <v>30</v>
      </c>
      <c r="L43" s="6" t="s">
        <v>17</v>
      </c>
      <c r="M43" s="36" t="str">
        <f>VLOOKUP(K43,[2]stage_hints!$A:$C,3,FALSE)</f>
        <v>「バグ」の増やし方</v>
      </c>
      <c r="N43" s="37" t="str">
        <f>VLOOKUP(K43,[2]stage_hints!$A:$D,4,FALSE)</f>
        <v>同じユニット同士を強化で合成すると_x000D_「バグ」を増やすことができます</v>
      </c>
      <c r="O43" s="22" t="s">
        <v>116</v>
      </c>
      <c r="P43">
        <v>30</v>
      </c>
    </row>
    <row r="44" spans="1:16">
      <c r="A44" s="29" t="str">
        <f t="shared" si="10"/>
        <v>40004_1_7</v>
      </c>
      <c r="B44" s="27" t="s">
        <v>33</v>
      </c>
      <c r="C44" s="5">
        <v>40004</v>
      </c>
      <c r="D44" s="4" t="e">
        <f ca="1">VLOOKUP($C44,OFFSET([1]quests!$A$1,0,0,COUNTA([1]quests!$A:$A),MATCH(D$1,[1]quests!$1:$1,0)-MATCH($C$1,[1]quests!$1:$1,0)+1),MATCH(D$1,[1]quests!$1:$1,0)-MATCH($C$1,[1]quests!$1:$1,0)+1,FALSE)</f>
        <v>#VALUE!</v>
      </c>
      <c r="E44" s="4" t="e">
        <f ca="1">VLOOKUP($C44,OFFSET([1]quests!$A$1,0,0,COUNTA([1]quests!$A:$A),MATCH(E$1,[1]quests!$1:$1,0)-MATCH($C$1,[1]quests!$1:$1,0)+1),MATCH(E$1,[1]quests!$1:$1,0)-MATCH($C$1,[1]quests!$1:$1,0)+1,FALSE)</f>
        <v>#VALUE!</v>
      </c>
      <c r="F44" s="6">
        <v>1</v>
      </c>
      <c r="G44" s="4" t="e">
        <f ca="1">VLOOKUP($C44&amp;"_"&amp;$F44,OFFSET([1]stages!$A$1,0,0,COUNTA([1]stages!$A:$A),MATCH(G$1,[1]stages!$2:$2,0)-MATCH("temp_stage",[1]stages!$2:$2,0)+1),MATCH(G$1,[1]stages!$2:$2,0)-MATCH("temp_stage",[1]stages!$2:$2,0)+1,FALSE)</f>
        <v>#VALUE!</v>
      </c>
      <c r="H44" s="4" t="e">
        <f ca="1">VLOOKUP($C44&amp;"_"&amp;$F44,OFFSET([1]stages!$A$1,0,0,COUNTA([1]stages!$A:$A),MATCH(H$1,[1]stages!$2:$2,0)-MATCH("temp_stage",[1]stages!$2:$2,0)+1),MATCH(H$1,[1]stages!$2:$2,0)-MATCH("temp_stage",[1]stages!$2:$2,0)+1,FALSE)</f>
        <v>#VALUE!</v>
      </c>
      <c r="I44" s="19">
        <v>0</v>
      </c>
      <c r="J44" s="6">
        <f>COUNTIF(C$1:C44,C44)</f>
        <v>7</v>
      </c>
      <c r="K44">
        <v>32</v>
      </c>
      <c r="L44" s="6" t="s">
        <v>17</v>
      </c>
      <c r="M44" s="36" t="str">
        <f>VLOOKUP(K44,[2]stage_hints!$A:$C,3,FALSE)</f>
        <v>敵の連続攻撃には</v>
      </c>
      <c r="N44" s="37" t="str">
        <f>VLOOKUP(K44,[2]stage_hints!$A:$D,4,FALSE)</f>
        <v>カウンタースキルを持つユニットがいれば_x000D_ダメージ回数分の反撃ができます</v>
      </c>
      <c r="O44" s="22" t="s">
        <v>116</v>
      </c>
      <c r="P44">
        <v>32</v>
      </c>
    </row>
    <row r="45" spans="1:16">
      <c r="A45" s="29" t="str">
        <f t="shared" si="10"/>
        <v>40004_1_8</v>
      </c>
      <c r="B45" s="27" t="s">
        <v>33</v>
      </c>
      <c r="C45" s="5">
        <v>40004</v>
      </c>
      <c r="D45" s="4" t="e">
        <f ca="1">VLOOKUP($C45,OFFSET([1]quests!$A$1,0,0,COUNTA([1]quests!$A:$A),MATCH(D$1,[1]quests!$1:$1,0)-MATCH($C$1,[1]quests!$1:$1,0)+1),MATCH(D$1,[1]quests!$1:$1,0)-MATCH($C$1,[1]quests!$1:$1,0)+1,FALSE)</f>
        <v>#VALUE!</v>
      </c>
      <c r="E45" s="4" t="e">
        <f ca="1">VLOOKUP($C45,OFFSET([1]quests!$A$1,0,0,COUNTA([1]quests!$A:$A),MATCH(E$1,[1]quests!$1:$1,0)-MATCH($C$1,[1]quests!$1:$1,0)+1),MATCH(E$1,[1]quests!$1:$1,0)-MATCH($C$1,[1]quests!$1:$1,0)+1,FALSE)</f>
        <v>#VALUE!</v>
      </c>
      <c r="F45" s="6">
        <v>1</v>
      </c>
      <c r="G45" s="4" t="e">
        <f ca="1">VLOOKUP($C45&amp;"_"&amp;$F45,OFFSET([1]stages!$A$1,0,0,COUNTA([1]stages!$A:$A),MATCH(G$1,[1]stages!$2:$2,0)-MATCH("temp_stage",[1]stages!$2:$2,0)+1),MATCH(G$1,[1]stages!$2:$2,0)-MATCH("temp_stage",[1]stages!$2:$2,0)+1,FALSE)</f>
        <v>#VALUE!</v>
      </c>
      <c r="H45" s="4" t="e">
        <f ca="1">VLOOKUP($C45&amp;"_"&amp;$F45,OFFSET([1]stages!$A$1,0,0,COUNTA([1]stages!$A:$A),MATCH(H$1,[1]stages!$2:$2,0)-MATCH("temp_stage",[1]stages!$2:$2,0)+1),MATCH(H$1,[1]stages!$2:$2,0)-MATCH("temp_stage",[1]stages!$2:$2,0)+1,FALSE)</f>
        <v>#VALUE!</v>
      </c>
      <c r="I45" s="19">
        <v>0</v>
      </c>
      <c r="J45" s="6">
        <f>COUNTIF(C$1:C45,C45)</f>
        <v>8</v>
      </c>
      <c r="K45">
        <v>33</v>
      </c>
      <c r="L45" s="6" t="s">
        <v>17</v>
      </c>
      <c r="M45" s="36" t="str">
        <f>VLOOKUP(K45,[2]stage_hints!$A:$C,3,FALSE)</f>
        <v>敵のカウンター攻撃には</v>
      </c>
      <c r="N45" s="37" t="str">
        <f>VLOOKUP(K45,[2]stage_hints!$A:$D,4,FALSE)</f>
        <v>カウンターブレイクスキルを持っていれば_x000D_敵のカウンターを解除して攻撃ができます</v>
      </c>
      <c r="O45" s="22" t="s">
        <v>116</v>
      </c>
      <c r="P45">
        <v>33</v>
      </c>
    </row>
    <row r="46" spans="1:16">
      <c r="A46" s="29" t="str">
        <f t="shared" si="10"/>
        <v>40004_1_9</v>
      </c>
      <c r="B46" s="27" t="s">
        <v>33</v>
      </c>
      <c r="C46" s="5">
        <v>40004</v>
      </c>
      <c r="D46" s="4" t="e">
        <f ca="1">VLOOKUP($C46,OFFSET([1]quests!$A$1,0,0,COUNTA([1]quests!$A:$A),MATCH(D$1,[1]quests!$1:$1,0)-MATCH($C$1,[1]quests!$1:$1,0)+1),MATCH(D$1,[1]quests!$1:$1,0)-MATCH($C$1,[1]quests!$1:$1,0)+1,FALSE)</f>
        <v>#VALUE!</v>
      </c>
      <c r="E46" s="4" t="e">
        <f ca="1">VLOOKUP($C46,OFFSET([1]quests!$A$1,0,0,COUNTA([1]quests!$A:$A),MATCH(E$1,[1]quests!$1:$1,0)-MATCH($C$1,[1]quests!$1:$1,0)+1),MATCH(E$1,[1]quests!$1:$1,0)-MATCH($C$1,[1]quests!$1:$1,0)+1,FALSE)</f>
        <v>#VALUE!</v>
      </c>
      <c r="F46" s="6">
        <v>1</v>
      </c>
      <c r="G46" s="4" t="e">
        <f ca="1">VLOOKUP($C46&amp;"_"&amp;$F46,OFFSET([1]stages!$A$1,0,0,COUNTA([1]stages!$A:$A),MATCH(G$1,[1]stages!$2:$2,0)-MATCH("temp_stage",[1]stages!$2:$2,0)+1),MATCH(G$1,[1]stages!$2:$2,0)-MATCH("temp_stage",[1]stages!$2:$2,0)+1,FALSE)</f>
        <v>#VALUE!</v>
      </c>
      <c r="H46" s="4" t="e">
        <f ca="1">VLOOKUP($C46&amp;"_"&amp;$F46,OFFSET([1]stages!$A$1,0,0,COUNTA([1]stages!$A:$A),MATCH(H$1,[1]stages!$2:$2,0)-MATCH("temp_stage",[1]stages!$2:$2,0)+1),MATCH(H$1,[1]stages!$2:$2,0)-MATCH("temp_stage",[1]stages!$2:$2,0)+1,FALSE)</f>
        <v>#VALUE!</v>
      </c>
      <c r="I46" s="19">
        <v>0</v>
      </c>
      <c r="J46" s="6">
        <f>COUNTIF(C$1:C46,C46)</f>
        <v>9</v>
      </c>
      <c r="K46">
        <v>34</v>
      </c>
      <c r="L46" s="6" t="s">
        <v>17</v>
      </c>
      <c r="M46" s="36" t="str">
        <f>VLOOKUP(K46,[2]stage_hints!$A:$C,3,FALSE)</f>
        <v>ステータスをスキルで下げられたら</v>
      </c>
      <c r="N46" s="37" t="str">
        <f>VLOOKUP(K46,[2]stage_hints!$A:$D,4,FALSE)</f>
        <v>ステータスダウンのスキルを受けたら_x000D_ステータスアップスキルで上書きしましょう</v>
      </c>
      <c r="O46" s="22" t="s">
        <v>116</v>
      </c>
      <c r="P46">
        <v>34</v>
      </c>
    </row>
    <row r="47" spans="1:16">
      <c r="A47" s="29" t="str">
        <f t="shared" si="10"/>
        <v>40004_1_10</v>
      </c>
      <c r="B47" s="27" t="s">
        <v>33</v>
      </c>
      <c r="C47" s="5">
        <v>40004</v>
      </c>
      <c r="D47" s="4" t="e">
        <f ca="1">VLOOKUP($C47,OFFSET([1]quests!$A$1,0,0,COUNTA([1]quests!$A:$A),MATCH(D$1,[1]quests!$1:$1,0)-MATCH($C$1,[1]quests!$1:$1,0)+1),MATCH(D$1,[1]quests!$1:$1,0)-MATCH($C$1,[1]quests!$1:$1,0)+1,FALSE)</f>
        <v>#VALUE!</v>
      </c>
      <c r="E47" s="4" t="e">
        <f ca="1">VLOOKUP($C47,OFFSET([1]quests!$A$1,0,0,COUNTA([1]quests!$A:$A),MATCH(E$1,[1]quests!$1:$1,0)-MATCH($C$1,[1]quests!$1:$1,0)+1),MATCH(E$1,[1]quests!$1:$1,0)-MATCH($C$1,[1]quests!$1:$1,0)+1,FALSE)</f>
        <v>#VALUE!</v>
      </c>
      <c r="F47" s="6">
        <v>1</v>
      </c>
      <c r="G47" s="4" t="e">
        <f ca="1">VLOOKUP($C47&amp;"_"&amp;$F47,OFFSET([1]stages!$A$1,0,0,COUNTA([1]stages!$A:$A),MATCH(G$1,[1]stages!$2:$2,0)-MATCH("temp_stage",[1]stages!$2:$2,0)+1),MATCH(G$1,[1]stages!$2:$2,0)-MATCH("temp_stage",[1]stages!$2:$2,0)+1,FALSE)</f>
        <v>#VALUE!</v>
      </c>
      <c r="H47" s="4" t="e">
        <f ca="1">VLOOKUP($C47&amp;"_"&amp;$F47,OFFSET([1]stages!$A$1,0,0,COUNTA([1]stages!$A:$A),MATCH(H$1,[1]stages!$2:$2,0)-MATCH("temp_stage",[1]stages!$2:$2,0)+1),MATCH(H$1,[1]stages!$2:$2,0)-MATCH("temp_stage",[1]stages!$2:$2,0)+1,FALSE)</f>
        <v>#VALUE!</v>
      </c>
      <c r="I47" s="19">
        <v>0</v>
      </c>
      <c r="J47" s="6">
        <f>COUNTIF(C$1:C47,C47)</f>
        <v>10</v>
      </c>
      <c r="K47">
        <v>35</v>
      </c>
      <c r="L47" s="6" t="s">
        <v>17</v>
      </c>
      <c r="M47" s="36" t="str">
        <f>VLOOKUP(K47,[2]stage_hints!$A:$C,3,FALSE)</f>
        <v>敵のステータスがスキルで上がったら</v>
      </c>
      <c r="N47" s="37" t="str">
        <f>VLOOKUP(K47,[2]stage_hints!$A:$D,4,FALSE)</f>
        <v>敵のステータスがスキルでアップしたときは_x000D_ステータスダウンスキルで上書きしましょう</v>
      </c>
      <c r="O47" s="22" t="s">
        <v>116</v>
      </c>
      <c r="P47">
        <v>35</v>
      </c>
    </row>
    <row r="48" spans="1:16">
      <c r="A48" s="29" t="str">
        <f t="shared" si="10"/>
        <v>40004_1_11</v>
      </c>
      <c r="B48" s="27" t="s">
        <v>33</v>
      </c>
      <c r="C48" s="5">
        <v>40004</v>
      </c>
      <c r="D48" s="4" t="e">
        <f ca="1">VLOOKUP($C48,OFFSET([1]quests!$A$1,0,0,COUNTA([1]quests!$A:$A),MATCH(D$1,[1]quests!$1:$1,0)-MATCH($C$1,[1]quests!$1:$1,0)+1),MATCH(D$1,[1]quests!$1:$1,0)-MATCH($C$1,[1]quests!$1:$1,0)+1,FALSE)</f>
        <v>#VALUE!</v>
      </c>
      <c r="E48" s="4" t="e">
        <f ca="1">VLOOKUP($C48,OFFSET([1]quests!$A$1,0,0,COUNTA([1]quests!$A:$A),MATCH(E$1,[1]quests!$1:$1,0)-MATCH($C$1,[1]quests!$1:$1,0)+1),MATCH(E$1,[1]quests!$1:$1,0)-MATCH($C$1,[1]quests!$1:$1,0)+1,FALSE)</f>
        <v>#VALUE!</v>
      </c>
      <c r="F48" s="6">
        <v>1</v>
      </c>
      <c r="G48" s="4" t="e">
        <f ca="1">VLOOKUP($C48&amp;"_"&amp;$F48,OFFSET([1]stages!$A$1,0,0,COUNTA([1]stages!$A:$A),MATCH(G$1,[1]stages!$2:$2,0)-MATCH("temp_stage",[1]stages!$2:$2,0)+1),MATCH(G$1,[1]stages!$2:$2,0)-MATCH("temp_stage",[1]stages!$2:$2,0)+1,FALSE)</f>
        <v>#VALUE!</v>
      </c>
      <c r="H48" s="4" t="e">
        <f ca="1">VLOOKUP($C48&amp;"_"&amp;$F48,OFFSET([1]stages!$A$1,0,0,COUNTA([1]stages!$A:$A),MATCH(H$1,[1]stages!$2:$2,0)-MATCH("temp_stage",[1]stages!$2:$2,0)+1),MATCH(H$1,[1]stages!$2:$2,0)-MATCH("temp_stage",[1]stages!$2:$2,0)+1,FALSE)</f>
        <v>#VALUE!</v>
      </c>
      <c r="I48" s="19">
        <v>0</v>
      </c>
      <c r="J48" s="6">
        <f>COUNTIF(C$1:C48,C48)</f>
        <v>11</v>
      </c>
      <c r="K48">
        <v>36</v>
      </c>
      <c r="L48" s="6" t="s">
        <v>17</v>
      </c>
      <c r="M48" s="36" t="str">
        <f>VLOOKUP(K48,[2]stage_hints!$A:$C,3,FALSE)</f>
        <v>チャレンジタワーのボス</v>
      </c>
      <c r="N48" s="37" t="str">
        <f>VLOOKUP(K48,[2]stage_hints!$A:$D,4,FALSE)</f>
        <v>チャレンジタワーでのみ登場するボスは_x000D_一定確率で獲得することができます</v>
      </c>
      <c r="O48" s="22" t="s">
        <v>116</v>
      </c>
      <c r="P48">
        <v>36</v>
      </c>
    </row>
    <row r="49" spans="1:16">
      <c r="A49" s="29" t="str">
        <f t="shared" ref="A49" si="11">C49&amp;"_"&amp;F49&amp;"_"&amp;J49</f>
        <v>40004_1_12</v>
      </c>
      <c r="B49" s="27" t="s">
        <v>33</v>
      </c>
      <c r="C49" s="5">
        <v>40004</v>
      </c>
      <c r="D49" s="4" t="e">
        <f ca="1">VLOOKUP($C49,OFFSET([1]quests!$A$1,0,0,COUNTA([1]quests!$A:$A),MATCH(D$1,[1]quests!$1:$1,0)-MATCH($C$1,[1]quests!$1:$1,0)+1),MATCH(D$1,[1]quests!$1:$1,0)-MATCH($C$1,[1]quests!$1:$1,0)+1,FALSE)</f>
        <v>#VALUE!</v>
      </c>
      <c r="E49" s="4" t="e">
        <f ca="1">VLOOKUP($C49,OFFSET([1]quests!$A$1,0,0,COUNTA([1]quests!$A:$A),MATCH(E$1,[1]quests!$1:$1,0)-MATCH($C$1,[1]quests!$1:$1,0)+1),MATCH(E$1,[1]quests!$1:$1,0)-MATCH($C$1,[1]quests!$1:$1,0)+1,FALSE)</f>
        <v>#VALUE!</v>
      </c>
      <c r="F49" s="6">
        <v>1</v>
      </c>
      <c r="G49" s="4" t="e">
        <f ca="1">VLOOKUP($C49&amp;"_"&amp;$F49,OFFSET([1]stages!$A$1,0,0,COUNTA([1]stages!$A:$A),MATCH(G$1,[1]stages!$2:$2,0)-MATCH("temp_stage",[1]stages!$2:$2,0)+1),MATCH(G$1,[1]stages!$2:$2,0)-MATCH("temp_stage",[1]stages!$2:$2,0)+1,FALSE)</f>
        <v>#VALUE!</v>
      </c>
      <c r="H49" s="4" t="e">
        <f ca="1">VLOOKUP($C49&amp;"_"&amp;$F49,OFFSET([1]stages!$A$1,0,0,COUNTA([1]stages!$A:$A),MATCH(H$1,[1]stages!$2:$2,0)-MATCH("temp_stage",[1]stages!$2:$2,0)+1),MATCH(H$1,[1]stages!$2:$2,0)-MATCH("temp_stage",[1]stages!$2:$2,0)+1,FALSE)</f>
        <v>#VALUE!</v>
      </c>
      <c r="I49" s="19">
        <v>0</v>
      </c>
      <c r="J49" s="6">
        <f>COUNTIF(C$1:C49,C49)</f>
        <v>12</v>
      </c>
      <c r="K49">
        <v>37</v>
      </c>
      <c r="L49" s="6" t="s">
        <v>17</v>
      </c>
      <c r="M49" s="36" t="str">
        <f>VLOOKUP(K49,[2]stage_hints!$A:$C,3,FALSE)</f>
        <v>限界突破値の引き継ぎ</v>
      </c>
      <c r="N49" s="37" t="str">
        <f>VLOOKUP(K49,[2]stage_hints!$A:$D,4,FALSE)</f>
        <v>同じユニットを強化で合成すると_x000D_限界突破値を引き継げます（覚醒前後も可）</v>
      </c>
      <c r="O49" s="22" t="s">
        <v>116</v>
      </c>
      <c r="P49">
        <v>37</v>
      </c>
    </row>
    <row r="50" spans="1:16">
      <c r="A50" s="29" t="str">
        <f t="shared" ref="A50:A58" si="12">C50&amp;"_"&amp;F50&amp;"_"&amp;J50</f>
        <v>50001_1_1</v>
      </c>
      <c r="B50" s="27" t="s">
        <v>33</v>
      </c>
      <c r="C50" s="5">
        <v>50001</v>
      </c>
      <c r="D50" s="4" t="e">
        <f ca="1">VLOOKUP($C50,OFFSET([1]quests!$A$1,0,0,COUNTA([1]quests!$A:$A),MATCH(D$1,[1]quests!$1:$1,0)-MATCH($C$1,[1]quests!$1:$1,0)+1),MATCH(D$1,[1]quests!$1:$1,0)-MATCH($C$1,[1]quests!$1:$1,0)+1,FALSE)</f>
        <v>#VALUE!</v>
      </c>
      <c r="E50" s="4" t="e">
        <f ca="1">VLOOKUP($C50,OFFSET([1]quests!$A$1,0,0,COUNTA([1]quests!$A:$A),MATCH(E$1,[1]quests!$1:$1,0)-MATCH($C$1,[1]quests!$1:$1,0)+1),MATCH(E$1,[1]quests!$1:$1,0)-MATCH($C$1,[1]quests!$1:$1,0)+1,FALSE)</f>
        <v>#VALUE!</v>
      </c>
      <c r="F50" s="6">
        <v>1</v>
      </c>
      <c r="G50" s="4" t="e">
        <f ca="1">VLOOKUP($C50&amp;"_"&amp;$F50,OFFSET([1]stages!$A$1,0,0,COUNTA([1]stages!$A:$A),MATCH(G$1,[1]stages!$2:$2,0)-MATCH("temp_stage",[1]stages!$2:$2,0)+1),MATCH(G$1,[1]stages!$2:$2,0)-MATCH("temp_stage",[1]stages!$2:$2,0)+1,FALSE)</f>
        <v>#VALUE!</v>
      </c>
      <c r="H50" s="4" t="e">
        <f ca="1">VLOOKUP($C50&amp;"_"&amp;$F50,OFFSET([1]stages!$A$1,0,0,COUNTA([1]stages!$A:$A),MATCH(H$1,[1]stages!$2:$2,0)-MATCH("temp_stage",[1]stages!$2:$2,0)+1),MATCH(H$1,[1]stages!$2:$2,0)-MATCH("temp_stage",[1]stages!$2:$2,0)+1,FALSE)</f>
        <v>#VALUE!</v>
      </c>
      <c r="I50" s="19">
        <v>0</v>
      </c>
      <c r="J50" s="6">
        <f>COUNTIF(C$1:C50,C50)</f>
        <v>1</v>
      </c>
      <c r="K50">
        <v>12</v>
      </c>
      <c r="L50" s="6" t="s">
        <v>17</v>
      </c>
      <c r="M50" s="36" t="str">
        <f>VLOOKUP(K50,[2]stage_hints!$A:$C,3,FALSE)</f>
        <v>ユニットのお気に入り登録</v>
      </c>
      <c r="N50" s="37" t="str">
        <f>VLOOKUP(K50,[2]stage_hints!$A:$D,4,FALSE)</f>
        <v>大事なユニットを誤って消さないように_x000D_フォルダから「お気に入り登録」しましょう</v>
      </c>
      <c r="O50" s="22" t="s">
        <v>116</v>
      </c>
      <c r="P50">
        <v>12</v>
      </c>
    </row>
    <row r="51" spans="1:16">
      <c r="A51" s="29" t="str">
        <f t="shared" si="12"/>
        <v>50001_1_2</v>
      </c>
      <c r="B51" s="27" t="s">
        <v>33</v>
      </c>
      <c r="C51" s="5">
        <v>50001</v>
      </c>
      <c r="D51" s="4" t="e">
        <f ca="1">VLOOKUP($C51,OFFSET([1]quests!$A$1,0,0,COUNTA([1]quests!$A:$A),MATCH(D$1,[1]quests!$1:$1,0)-MATCH($C$1,[1]quests!$1:$1,0)+1),MATCH(D$1,[1]quests!$1:$1,0)-MATCH($C$1,[1]quests!$1:$1,0)+1,FALSE)</f>
        <v>#VALUE!</v>
      </c>
      <c r="E51" s="4" t="e">
        <f ca="1">VLOOKUP($C51,OFFSET([1]quests!$A$1,0,0,COUNTA([1]quests!$A:$A),MATCH(E$1,[1]quests!$1:$1,0)-MATCH($C$1,[1]quests!$1:$1,0)+1),MATCH(E$1,[1]quests!$1:$1,0)-MATCH($C$1,[1]quests!$1:$1,0)+1,FALSE)</f>
        <v>#VALUE!</v>
      </c>
      <c r="F51" s="6">
        <v>1</v>
      </c>
      <c r="G51" s="4" t="e">
        <f ca="1">VLOOKUP($C51&amp;"_"&amp;$F51,OFFSET([1]stages!$A$1,0,0,COUNTA([1]stages!$A:$A),MATCH(G$1,[1]stages!$2:$2,0)-MATCH("temp_stage",[1]stages!$2:$2,0)+1),MATCH(G$1,[1]stages!$2:$2,0)-MATCH("temp_stage",[1]stages!$2:$2,0)+1,FALSE)</f>
        <v>#VALUE!</v>
      </c>
      <c r="H51" s="4" t="e">
        <f ca="1">VLOOKUP($C51&amp;"_"&amp;$F51,OFFSET([1]stages!$A$1,0,0,COUNTA([1]stages!$A:$A),MATCH(H$1,[1]stages!$2:$2,0)-MATCH("temp_stage",[1]stages!$2:$2,0)+1),MATCH(H$1,[1]stages!$2:$2,0)-MATCH("temp_stage",[1]stages!$2:$2,0)+1,FALSE)</f>
        <v>#VALUE!</v>
      </c>
      <c r="I51" s="19">
        <v>0</v>
      </c>
      <c r="J51" s="6">
        <f>COUNTIF(C$1:C51,C51)</f>
        <v>2</v>
      </c>
      <c r="K51">
        <v>17</v>
      </c>
      <c r="L51" s="6" t="s">
        <v>17</v>
      </c>
      <c r="M51" s="36" t="str">
        <f>VLOOKUP(K51,[2]stage_hints!$A:$C,3,FALSE)</f>
        <v>リンクガチャ</v>
      </c>
      <c r="N51" s="37" t="str">
        <f>VLOOKUP(K51,[2]stage_hints!$A:$D,4,FALSE)</f>
        <v>無料のリンクガチャを回して_x000D_経験値素材や売却素材を獲得しましょう</v>
      </c>
      <c r="O51" s="22" t="s">
        <v>116</v>
      </c>
      <c r="P51">
        <v>17</v>
      </c>
    </row>
    <row r="52" spans="1:16">
      <c r="A52" s="29" t="str">
        <f t="shared" si="12"/>
        <v>50001_1_3</v>
      </c>
      <c r="B52" s="27" t="s">
        <v>33</v>
      </c>
      <c r="C52" s="5">
        <v>50001</v>
      </c>
      <c r="D52" s="4" t="e">
        <f ca="1">VLOOKUP($C52,OFFSET([1]quests!$A$1,0,0,COUNTA([1]quests!$A:$A),MATCH(D$1,[1]quests!$1:$1,0)-MATCH($C$1,[1]quests!$1:$1,0)+1),MATCH(D$1,[1]quests!$1:$1,0)-MATCH($C$1,[1]quests!$1:$1,0)+1,FALSE)</f>
        <v>#VALUE!</v>
      </c>
      <c r="E52" s="4" t="e">
        <f ca="1">VLOOKUP($C52,OFFSET([1]quests!$A$1,0,0,COUNTA([1]quests!$A:$A),MATCH(E$1,[1]quests!$1:$1,0)-MATCH($C$1,[1]quests!$1:$1,0)+1),MATCH(E$1,[1]quests!$1:$1,0)-MATCH($C$1,[1]quests!$1:$1,0)+1,FALSE)</f>
        <v>#VALUE!</v>
      </c>
      <c r="F52" s="6">
        <v>1</v>
      </c>
      <c r="G52" s="4" t="e">
        <f ca="1">VLOOKUP($C52&amp;"_"&amp;$F52,OFFSET([1]stages!$A$1,0,0,COUNTA([1]stages!$A:$A),MATCH(G$1,[1]stages!$2:$2,0)-MATCH("temp_stage",[1]stages!$2:$2,0)+1),MATCH(G$1,[1]stages!$2:$2,0)-MATCH("temp_stage",[1]stages!$2:$2,0)+1,FALSE)</f>
        <v>#VALUE!</v>
      </c>
      <c r="H52" s="4" t="e">
        <f ca="1">VLOOKUP($C52&amp;"_"&amp;$F52,OFFSET([1]stages!$A$1,0,0,COUNTA([1]stages!$A:$A),MATCH(H$1,[1]stages!$2:$2,0)-MATCH("temp_stage",[1]stages!$2:$2,0)+1),MATCH(H$1,[1]stages!$2:$2,0)-MATCH("temp_stage",[1]stages!$2:$2,0)+1,FALSE)</f>
        <v>#VALUE!</v>
      </c>
      <c r="I52" s="19">
        <v>0</v>
      </c>
      <c r="J52" s="6">
        <f>COUNTIF(C$1:C52,C52)</f>
        <v>3</v>
      </c>
      <c r="K52">
        <v>19</v>
      </c>
      <c r="L52" s="6" t="s">
        <v>17</v>
      </c>
      <c r="M52" s="36" t="str">
        <f>VLOOKUP(K52,[2]stage_hints!$A:$C,3,FALSE)</f>
        <v>ソロ専用チャレンジタワー</v>
      </c>
      <c r="N52" s="37" t="str">
        <f>VLOOKUP(K52,[2]stage_hints!$A:$D,4,FALSE)</f>
        <v>ソロ専用の「チャレンジタワー」では_x000D_各フロアごとにクリア報酬がもらえます</v>
      </c>
      <c r="O52" s="22" t="s">
        <v>116</v>
      </c>
      <c r="P52">
        <v>19</v>
      </c>
    </row>
    <row r="53" spans="1:16">
      <c r="A53" s="29" t="str">
        <f t="shared" si="12"/>
        <v>50001_1_4</v>
      </c>
      <c r="B53" s="27" t="s">
        <v>33</v>
      </c>
      <c r="C53" s="5">
        <v>50001</v>
      </c>
      <c r="D53" s="4" t="e">
        <f ca="1">VLOOKUP($C53,OFFSET([1]quests!$A$1,0,0,COUNTA([1]quests!$A:$A),MATCH(D$1,[1]quests!$1:$1,0)-MATCH($C$1,[1]quests!$1:$1,0)+1),MATCH(D$1,[1]quests!$1:$1,0)-MATCH($C$1,[1]quests!$1:$1,0)+1,FALSE)</f>
        <v>#VALUE!</v>
      </c>
      <c r="E53" s="4" t="e">
        <f ca="1">VLOOKUP($C53,OFFSET([1]quests!$A$1,0,0,COUNTA([1]quests!$A:$A),MATCH(E$1,[1]quests!$1:$1,0)-MATCH($C$1,[1]quests!$1:$1,0)+1),MATCH(E$1,[1]quests!$1:$1,0)-MATCH($C$1,[1]quests!$1:$1,0)+1,FALSE)</f>
        <v>#VALUE!</v>
      </c>
      <c r="F53" s="6">
        <v>1</v>
      </c>
      <c r="G53" s="4" t="e">
        <f ca="1">VLOOKUP($C53&amp;"_"&amp;$F53,OFFSET([1]stages!$A$1,0,0,COUNTA([1]stages!$A:$A),MATCH(G$1,[1]stages!$2:$2,0)-MATCH("temp_stage",[1]stages!$2:$2,0)+1),MATCH(G$1,[1]stages!$2:$2,0)-MATCH("temp_stage",[1]stages!$2:$2,0)+1,FALSE)</f>
        <v>#VALUE!</v>
      </c>
      <c r="H53" s="4" t="e">
        <f ca="1">VLOOKUP($C53&amp;"_"&amp;$F53,OFFSET([1]stages!$A$1,0,0,COUNTA([1]stages!$A:$A),MATCH(H$1,[1]stages!$2:$2,0)-MATCH("temp_stage",[1]stages!$2:$2,0)+1),MATCH(H$1,[1]stages!$2:$2,0)-MATCH("temp_stage",[1]stages!$2:$2,0)+1,FALSE)</f>
        <v>#VALUE!</v>
      </c>
      <c r="I53" s="19">
        <v>0</v>
      </c>
      <c r="J53" s="6">
        <f>COUNTIF(C$1:C53,C53)</f>
        <v>4</v>
      </c>
      <c r="K53">
        <v>21</v>
      </c>
      <c r="L53" s="6" t="s">
        <v>17</v>
      </c>
      <c r="M53" s="36" t="str">
        <f>VLOOKUP(K53,[2]stage_hints!$A:$C,3,FALSE)</f>
        <v>スキルを有効に</v>
      </c>
      <c r="N53" s="37" t="str">
        <f>VLOOKUP(K53,[2]stage_hints!$A:$D,4,FALSE)</f>
        <v>ターン経過でユニットのスキルが使えます_x000D_強力スキルでバトルを有利に進めましょう</v>
      </c>
      <c r="O53" s="22" t="s">
        <v>116</v>
      </c>
      <c r="P53">
        <v>21</v>
      </c>
    </row>
    <row r="54" spans="1:16">
      <c r="A54" s="29" t="str">
        <f t="shared" si="12"/>
        <v>50001_1_5</v>
      </c>
      <c r="B54" s="27" t="s">
        <v>33</v>
      </c>
      <c r="C54" s="5">
        <v>50001</v>
      </c>
      <c r="D54" s="4" t="e">
        <f ca="1">VLOOKUP($C54,OFFSET([1]quests!$A$1,0,0,COUNTA([1]quests!$A:$A),MATCH(D$1,[1]quests!$1:$1,0)-MATCH($C$1,[1]quests!$1:$1,0)+1),MATCH(D$1,[1]quests!$1:$1,0)-MATCH($C$1,[1]quests!$1:$1,0)+1,FALSE)</f>
        <v>#VALUE!</v>
      </c>
      <c r="E54" s="4" t="e">
        <f ca="1">VLOOKUP($C54,OFFSET([1]quests!$A$1,0,0,COUNTA([1]quests!$A:$A),MATCH(E$1,[1]quests!$1:$1,0)-MATCH($C$1,[1]quests!$1:$1,0)+1),MATCH(E$1,[1]quests!$1:$1,0)-MATCH($C$1,[1]quests!$1:$1,0)+1,FALSE)</f>
        <v>#VALUE!</v>
      </c>
      <c r="F54" s="6">
        <v>1</v>
      </c>
      <c r="G54" s="4" t="e">
        <f ca="1">VLOOKUP($C54&amp;"_"&amp;$F54,OFFSET([1]stages!$A$1,0,0,COUNTA([1]stages!$A:$A),MATCH(G$1,[1]stages!$2:$2,0)-MATCH("temp_stage",[1]stages!$2:$2,0)+1),MATCH(G$1,[1]stages!$2:$2,0)-MATCH("temp_stage",[1]stages!$2:$2,0)+1,FALSE)</f>
        <v>#VALUE!</v>
      </c>
      <c r="H54" s="4" t="e">
        <f ca="1">VLOOKUP($C54&amp;"_"&amp;$F54,OFFSET([1]stages!$A$1,0,0,COUNTA([1]stages!$A:$A),MATCH(H$1,[1]stages!$2:$2,0)-MATCH("temp_stage",[1]stages!$2:$2,0)+1),MATCH(H$1,[1]stages!$2:$2,0)-MATCH("temp_stage",[1]stages!$2:$2,0)+1,FALSE)</f>
        <v>#VALUE!</v>
      </c>
      <c r="I54" s="19">
        <v>0</v>
      </c>
      <c r="J54" s="6">
        <f>COUNTIF(C$1:C54,C54)</f>
        <v>5</v>
      </c>
      <c r="K54">
        <v>29</v>
      </c>
      <c r="L54" s="6" t="s">
        <v>17</v>
      </c>
      <c r="M54" s="36" t="str">
        <f>VLOOKUP(K54,[2]stage_hints!$A:$C,3,FALSE)</f>
        <v>「バグ」のメリット</v>
      </c>
      <c r="N54" s="37" t="str">
        <f>VLOOKUP(K54,[2]stage_hints!$A:$D,4,FALSE)</f>
        <v>ユニットの「バグ」を増やすと_x000D_報酬をもらえる確率がアップします</v>
      </c>
      <c r="O54" s="22" t="s">
        <v>116</v>
      </c>
      <c r="P54">
        <v>29</v>
      </c>
    </row>
    <row r="55" spans="1:16">
      <c r="A55" s="29" t="str">
        <f t="shared" si="12"/>
        <v>50001_1_6</v>
      </c>
      <c r="B55" s="27" t="s">
        <v>33</v>
      </c>
      <c r="C55" s="5">
        <v>50001</v>
      </c>
      <c r="D55" s="4" t="e">
        <f ca="1">VLOOKUP($C55,OFFSET([1]quests!$A$1,0,0,COUNTA([1]quests!$A:$A),MATCH(D$1,[1]quests!$1:$1,0)-MATCH($C$1,[1]quests!$1:$1,0)+1),MATCH(D$1,[1]quests!$1:$1,0)-MATCH($C$1,[1]quests!$1:$1,0)+1,FALSE)</f>
        <v>#VALUE!</v>
      </c>
      <c r="E55" s="4" t="e">
        <f ca="1">VLOOKUP($C55,OFFSET([1]quests!$A$1,0,0,COUNTA([1]quests!$A:$A),MATCH(E$1,[1]quests!$1:$1,0)-MATCH($C$1,[1]quests!$1:$1,0)+1),MATCH(E$1,[1]quests!$1:$1,0)-MATCH($C$1,[1]quests!$1:$1,0)+1,FALSE)</f>
        <v>#VALUE!</v>
      </c>
      <c r="F55" s="6">
        <v>1</v>
      </c>
      <c r="G55" s="4" t="e">
        <f ca="1">VLOOKUP($C55&amp;"_"&amp;$F55,OFFSET([1]stages!$A$1,0,0,COUNTA([1]stages!$A:$A),MATCH(G$1,[1]stages!$2:$2,0)-MATCH("temp_stage",[1]stages!$2:$2,0)+1),MATCH(G$1,[1]stages!$2:$2,0)-MATCH("temp_stage",[1]stages!$2:$2,0)+1,FALSE)</f>
        <v>#VALUE!</v>
      </c>
      <c r="H55" s="4" t="e">
        <f ca="1">VLOOKUP($C55&amp;"_"&amp;$F55,OFFSET([1]stages!$A$1,0,0,COUNTA([1]stages!$A:$A),MATCH(H$1,[1]stages!$2:$2,0)-MATCH("temp_stage",[1]stages!$2:$2,0)+1),MATCH(H$1,[1]stages!$2:$2,0)-MATCH("temp_stage",[1]stages!$2:$2,0)+1,FALSE)</f>
        <v>#VALUE!</v>
      </c>
      <c r="I55" s="19">
        <v>0</v>
      </c>
      <c r="J55" s="6">
        <f>COUNTIF(C$1:C55,C55)</f>
        <v>6</v>
      </c>
      <c r="K55">
        <v>30</v>
      </c>
      <c r="L55" s="6" t="s">
        <v>17</v>
      </c>
      <c r="M55" s="36" t="str">
        <f>VLOOKUP(K55,[2]stage_hints!$A:$C,3,FALSE)</f>
        <v>「バグ」の増やし方</v>
      </c>
      <c r="N55" s="37" t="str">
        <f>VLOOKUP(K55,[2]stage_hints!$A:$D,4,FALSE)</f>
        <v>同じユニット同士を強化で合成すると_x000D_「バグ」を増やすことができます</v>
      </c>
      <c r="O55" s="22" t="s">
        <v>116</v>
      </c>
      <c r="P55">
        <v>30</v>
      </c>
    </row>
    <row r="56" spans="1:16">
      <c r="A56" s="29" t="str">
        <f t="shared" si="12"/>
        <v>50001_1_7</v>
      </c>
      <c r="B56" s="27" t="s">
        <v>33</v>
      </c>
      <c r="C56" s="5">
        <v>50001</v>
      </c>
      <c r="D56" s="4" t="e">
        <f ca="1">VLOOKUP($C56,OFFSET([1]quests!$A$1,0,0,COUNTA([1]quests!$A:$A),MATCH(D$1,[1]quests!$1:$1,0)-MATCH($C$1,[1]quests!$1:$1,0)+1),MATCH(D$1,[1]quests!$1:$1,0)-MATCH($C$1,[1]quests!$1:$1,0)+1,FALSE)</f>
        <v>#VALUE!</v>
      </c>
      <c r="E56" s="4" t="e">
        <f ca="1">VLOOKUP($C56,OFFSET([1]quests!$A$1,0,0,COUNTA([1]quests!$A:$A),MATCH(E$1,[1]quests!$1:$1,0)-MATCH($C$1,[1]quests!$1:$1,0)+1),MATCH(E$1,[1]quests!$1:$1,0)-MATCH($C$1,[1]quests!$1:$1,0)+1,FALSE)</f>
        <v>#VALUE!</v>
      </c>
      <c r="F56" s="6">
        <v>1</v>
      </c>
      <c r="G56" s="4" t="e">
        <f ca="1">VLOOKUP($C56&amp;"_"&amp;$F56,OFFSET([1]stages!$A$1,0,0,COUNTA([1]stages!$A:$A),MATCH(G$1,[1]stages!$2:$2,0)-MATCH("temp_stage",[1]stages!$2:$2,0)+1),MATCH(G$1,[1]stages!$2:$2,0)-MATCH("temp_stage",[1]stages!$2:$2,0)+1,FALSE)</f>
        <v>#VALUE!</v>
      </c>
      <c r="H56" s="4" t="e">
        <f ca="1">VLOOKUP($C56&amp;"_"&amp;$F56,OFFSET([1]stages!$A$1,0,0,COUNTA([1]stages!$A:$A),MATCH(H$1,[1]stages!$2:$2,0)-MATCH("temp_stage",[1]stages!$2:$2,0)+1),MATCH(H$1,[1]stages!$2:$2,0)-MATCH("temp_stage",[1]stages!$2:$2,0)+1,FALSE)</f>
        <v>#VALUE!</v>
      </c>
      <c r="I56" s="19">
        <v>0</v>
      </c>
      <c r="J56" s="6">
        <f>COUNTIF(C$1:C56,C56)</f>
        <v>7</v>
      </c>
      <c r="K56">
        <v>32</v>
      </c>
      <c r="L56" s="6" t="s">
        <v>17</v>
      </c>
      <c r="M56" s="36" t="str">
        <f>VLOOKUP(K56,[2]stage_hints!$A:$C,3,FALSE)</f>
        <v>敵の連続攻撃には</v>
      </c>
      <c r="N56" s="37" t="str">
        <f>VLOOKUP(K56,[2]stage_hints!$A:$D,4,FALSE)</f>
        <v>カウンタースキルを持つユニットがいれば_x000D_ダメージ回数分の反撃ができます</v>
      </c>
      <c r="O56" s="22" t="s">
        <v>116</v>
      </c>
      <c r="P56">
        <v>32</v>
      </c>
    </row>
    <row r="57" spans="1:16">
      <c r="A57" s="29" t="str">
        <f t="shared" si="12"/>
        <v>50001_1_8</v>
      </c>
      <c r="B57" s="27" t="s">
        <v>33</v>
      </c>
      <c r="C57" s="5">
        <v>50001</v>
      </c>
      <c r="D57" s="4" t="e">
        <f ca="1">VLOOKUP($C57,OFFSET([1]quests!$A$1,0,0,COUNTA([1]quests!$A:$A),MATCH(D$1,[1]quests!$1:$1,0)-MATCH($C$1,[1]quests!$1:$1,0)+1),MATCH(D$1,[1]quests!$1:$1,0)-MATCH($C$1,[1]quests!$1:$1,0)+1,FALSE)</f>
        <v>#VALUE!</v>
      </c>
      <c r="E57" s="4" t="e">
        <f ca="1">VLOOKUP($C57,OFFSET([1]quests!$A$1,0,0,COUNTA([1]quests!$A:$A),MATCH(E$1,[1]quests!$1:$1,0)-MATCH($C$1,[1]quests!$1:$1,0)+1),MATCH(E$1,[1]quests!$1:$1,0)-MATCH($C$1,[1]quests!$1:$1,0)+1,FALSE)</f>
        <v>#VALUE!</v>
      </c>
      <c r="F57" s="6">
        <v>1</v>
      </c>
      <c r="G57" s="4" t="e">
        <f ca="1">VLOOKUP($C57&amp;"_"&amp;$F57,OFFSET([1]stages!$A$1,0,0,COUNTA([1]stages!$A:$A),MATCH(G$1,[1]stages!$2:$2,0)-MATCH("temp_stage",[1]stages!$2:$2,0)+1),MATCH(G$1,[1]stages!$2:$2,0)-MATCH("temp_stage",[1]stages!$2:$2,0)+1,FALSE)</f>
        <v>#VALUE!</v>
      </c>
      <c r="H57" s="4" t="e">
        <f ca="1">VLOOKUP($C57&amp;"_"&amp;$F57,OFFSET([1]stages!$A$1,0,0,COUNTA([1]stages!$A:$A),MATCH(H$1,[1]stages!$2:$2,0)-MATCH("temp_stage",[1]stages!$2:$2,0)+1),MATCH(H$1,[1]stages!$2:$2,0)-MATCH("temp_stage",[1]stages!$2:$2,0)+1,FALSE)</f>
        <v>#VALUE!</v>
      </c>
      <c r="I57" s="19">
        <v>0</v>
      </c>
      <c r="J57" s="6">
        <f>COUNTIF(C$1:C57,C57)</f>
        <v>8</v>
      </c>
      <c r="K57">
        <v>33</v>
      </c>
      <c r="L57" s="6" t="s">
        <v>17</v>
      </c>
      <c r="M57" s="36" t="str">
        <f>VLOOKUP(K57,[2]stage_hints!$A:$C,3,FALSE)</f>
        <v>敵のカウンター攻撃には</v>
      </c>
      <c r="N57" s="37" t="str">
        <f>VLOOKUP(K57,[2]stage_hints!$A:$D,4,FALSE)</f>
        <v>カウンターブレイクスキルを持っていれば_x000D_敵のカウンターを解除して攻撃ができます</v>
      </c>
      <c r="O57" s="22" t="s">
        <v>116</v>
      </c>
      <c r="P57">
        <v>33</v>
      </c>
    </row>
    <row r="58" spans="1:16">
      <c r="A58" s="29" t="str">
        <f t="shared" si="12"/>
        <v>50001_1_9</v>
      </c>
      <c r="B58" s="27" t="s">
        <v>33</v>
      </c>
      <c r="C58" s="5">
        <v>50001</v>
      </c>
      <c r="D58" s="4" t="e">
        <f ca="1">VLOOKUP($C58,OFFSET([1]quests!$A$1,0,0,COUNTA([1]quests!$A:$A),MATCH(D$1,[1]quests!$1:$1,0)-MATCH($C$1,[1]quests!$1:$1,0)+1),MATCH(D$1,[1]quests!$1:$1,0)-MATCH($C$1,[1]quests!$1:$1,0)+1,FALSE)</f>
        <v>#VALUE!</v>
      </c>
      <c r="E58" s="4" t="e">
        <f ca="1">VLOOKUP($C58,OFFSET([1]quests!$A$1,0,0,COUNTA([1]quests!$A:$A),MATCH(E$1,[1]quests!$1:$1,0)-MATCH($C$1,[1]quests!$1:$1,0)+1),MATCH(E$1,[1]quests!$1:$1,0)-MATCH($C$1,[1]quests!$1:$1,0)+1,FALSE)</f>
        <v>#VALUE!</v>
      </c>
      <c r="F58" s="6">
        <v>1</v>
      </c>
      <c r="G58" s="4" t="e">
        <f ca="1">VLOOKUP($C58&amp;"_"&amp;$F58,OFFSET([1]stages!$A$1,0,0,COUNTA([1]stages!$A:$A),MATCH(G$1,[1]stages!$2:$2,0)-MATCH("temp_stage",[1]stages!$2:$2,0)+1),MATCH(G$1,[1]stages!$2:$2,0)-MATCH("temp_stage",[1]stages!$2:$2,0)+1,FALSE)</f>
        <v>#VALUE!</v>
      </c>
      <c r="H58" s="4" t="e">
        <f ca="1">VLOOKUP($C58&amp;"_"&amp;$F58,OFFSET([1]stages!$A$1,0,0,COUNTA([1]stages!$A:$A),MATCH(H$1,[1]stages!$2:$2,0)-MATCH("temp_stage",[1]stages!$2:$2,0)+1),MATCH(H$1,[1]stages!$2:$2,0)-MATCH("temp_stage",[1]stages!$2:$2,0)+1,FALSE)</f>
        <v>#VALUE!</v>
      </c>
      <c r="I58" s="19">
        <v>0</v>
      </c>
      <c r="J58" s="6">
        <f>COUNTIF(C$1:C58,C58)</f>
        <v>9</v>
      </c>
      <c r="K58">
        <v>34</v>
      </c>
      <c r="L58" s="6" t="s">
        <v>17</v>
      </c>
      <c r="M58" s="36" t="str">
        <f>VLOOKUP(K58,[2]stage_hints!$A:$C,3,FALSE)</f>
        <v>ステータスをスキルで下げられたら</v>
      </c>
      <c r="N58" s="37" t="str">
        <f>VLOOKUP(K58,[2]stage_hints!$A:$D,4,FALSE)</f>
        <v>ステータスダウンのスキルを受けたら_x000D_ステータスアップスキルで上書きしましょう</v>
      </c>
      <c r="O58" s="22" t="s">
        <v>116</v>
      </c>
      <c r="P58">
        <v>34</v>
      </c>
    </row>
    <row r="59" spans="1:16">
      <c r="A59" s="29" t="str">
        <f t="shared" ref="A59" si="13">C59&amp;"_"&amp;F59&amp;"_"&amp;J59</f>
        <v>50001_1_10</v>
      </c>
      <c r="B59" s="27" t="s">
        <v>33</v>
      </c>
      <c r="C59" s="5">
        <v>50001</v>
      </c>
      <c r="D59" s="4" t="e">
        <f ca="1">VLOOKUP($C59,OFFSET([1]quests!$A$1,0,0,COUNTA([1]quests!$A:$A),MATCH(D$1,[1]quests!$1:$1,0)-MATCH($C$1,[1]quests!$1:$1,0)+1),MATCH(D$1,[1]quests!$1:$1,0)-MATCH($C$1,[1]quests!$1:$1,0)+1,FALSE)</f>
        <v>#VALUE!</v>
      </c>
      <c r="E59" s="4" t="e">
        <f ca="1">VLOOKUP($C59,OFFSET([1]quests!$A$1,0,0,COUNTA([1]quests!$A:$A),MATCH(E$1,[1]quests!$1:$1,0)-MATCH($C$1,[1]quests!$1:$1,0)+1),MATCH(E$1,[1]quests!$1:$1,0)-MATCH($C$1,[1]quests!$1:$1,0)+1,FALSE)</f>
        <v>#VALUE!</v>
      </c>
      <c r="F59" s="6">
        <v>1</v>
      </c>
      <c r="G59" s="4" t="e">
        <f ca="1">VLOOKUP($C59&amp;"_"&amp;$F59,OFFSET([1]stages!$A$1,0,0,COUNTA([1]stages!$A:$A),MATCH(G$1,[1]stages!$2:$2,0)-MATCH("temp_stage",[1]stages!$2:$2,0)+1),MATCH(G$1,[1]stages!$2:$2,0)-MATCH("temp_stage",[1]stages!$2:$2,0)+1,FALSE)</f>
        <v>#VALUE!</v>
      </c>
      <c r="H59" s="4" t="e">
        <f ca="1">VLOOKUP($C59&amp;"_"&amp;$F59,OFFSET([1]stages!$A$1,0,0,COUNTA([1]stages!$A:$A),MATCH(H$1,[1]stages!$2:$2,0)-MATCH("temp_stage",[1]stages!$2:$2,0)+1),MATCH(H$1,[1]stages!$2:$2,0)-MATCH("temp_stage",[1]stages!$2:$2,0)+1,FALSE)</f>
        <v>#VALUE!</v>
      </c>
      <c r="I59" s="19">
        <v>0</v>
      </c>
      <c r="J59" s="6">
        <f>COUNTIF(C$1:C59,C59)</f>
        <v>10</v>
      </c>
      <c r="K59">
        <v>35</v>
      </c>
      <c r="L59" s="6" t="s">
        <v>17</v>
      </c>
      <c r="M59" s="36" t="str">
        <f>VLOOKUP(K59,[2]stage_hints!$A:$C,3,FALSE)</f>
        <v>敵のステータスがスキルで上がったら</v>
      </c>
      <c r="N59" s="37" t="str">
        <f>VLOOKUP(K59,[2]stage_hints!$A:$D,4,FALSE)</f>
        <v>敵のステータスがスキルでアップしたときは_x000D_ステータスダウンスキルで上書きしましょう</v>
      </c>
      <c r="O59" s="22" t="s">
        <v>116</v>
      </c>
      <c r="P59">
        <v>35</v>
      </c>
    </row>
    <row r="60" spans="1:16">
      <c r="A60" s="29" t="str">
        <f t="shared" ref="A60:A71" si="14">C60&amp;"_"&amp;F60&amp;"_"&amp;J60</f>
        <v>50001_1_11</v>
      </c>
      <c r="B60" s="27" t="s">
        <v>33</v>
      </c>
      <c r="C60" s="5">
        <v>50001</v>
      </c>
      <c r="D60" s="4" t="e">
        <f ca="1">VLOOKUP($C60,OFFSET([1]quests!$A$1,0,0,COUNTA([1]quests!$A:$A),MATCH(D$1,[1]quests!$1:$1,0)-MATCH($C$1,[1]quests!$1:$1,0)+1),MATCH(D$1,[1]quests!$1:$1,0)-MATCH($C$1,[1]quests!$1:$1,0)+1,FALSE)</f>
        <v>#VALUE!</v>
      </c>
      <c r="E60" s="4" t="e">
        <f ca="1">VLOOKUP($C60,OFFSET([1]quests!$A$1,0,0,COUNTA([1]quests!$A:$A),MATCH(E$1,[1]quests!$1:$1,0)-MATCH($C$1,[1]quests!$1:$1,0)+1),MATCH(E$1,[1]quests!$1:$1,0)-MATCH($C$1,[1]quests!$1:$1,0)+1,FALSE)</f>
        <v>#VALUE!</v>
      </c>
      <c r="F60" s="6">
        <v>1</v>
      </c>
      <c r="G60" s="4" t="e">
        <f ca="1">VLOOKUP($C60&amp;"_"&amp;$F60,OFFSET([1]stages!$A$1,0,0,COUNTA([1]stages!$A:$A),MATCH(G$1,[1]stages!$2:$2,0)-MATCH("temp_stage",[1]stages!$2:$2,0)+1),MATCH(G$1,[1]stages!$2:$2,0)-MATCH("temp_stage",[1]stages!$2:$2,0)+1,FALSE)</f>
        <v>#VALUE!</v>
      </c>
      <c r="H60" s="4" t="e">
        <f ca="1">VLOOKUP($C60&amp;"_"&amp;$F60,OFFSET([1]stages!$A$1,0,0,COUNTA([1]stages!$A:$A),MATCH(H$1,[1]stages!$2:$2,0)-MATCH("temp_stage",[1]stages!$2:$2,0)+1),MATCH(H$1,[1]stages!$2:$2,0)-MATCH("temp_stage",[1]stages!$2:$2,0)+1,FALSE)</f>
        <v>#VALUE!</v>
      </c>
      <c r="I60" s="19">
        <v>0</v>
      </c>
      <c r="J60" s="6">
        <f>COUNTIF(C$1:C60,C60)</f>
        <v>11</v>
      </c>
      <c r="K60">
        <v>36</v>
      </c>
      <c r="L60" s="6" t="s">
        <v>17</v>
      </c>
      <c r="M60" s="36" t="str">
        <f>VLOOKUP(K60,[2]stage_hints!$A:$C,3,FALSE)</f>
        <v>チャレンジタワーのボス</v>
      </c>
      <c r="N60" s="37" t="str">
        <f>VLOOKUP(K60,[2]stage_hints!$A:$D,4,FALSE)</f>
        <v>チャレンジタワーでのみ登場するボスは_x000D_一定確率で獲得することができます</v>
      </c>
      <c r="O60" s="22" t="s">
        <v>116</v>
      </c>
      <c r="P60">
        <v>36</v>
      </c>
    </row>
    <row r="61" spans="1:16">
      <c r="A61" s="29" t="str">
        <f t="shared" si="14"/>
        <v>50001_1_12</v>
      </c>
      <c r="B61" s="27" t="s">
        <v>33</v>
      </c>
      <c r="C61" s="5">
        <v>50001</v>
      </c>
      <c r="D61" s="4" t="e">
        <f ca="1">VLOOKUP($C61,OFFSET([1]quests!$A$1,0,0,COUNTA([1]quests!$A:$A),MATCH(D$1,[1]quests!$1:$1,0)-MATCH($C$1,[1]quests!$1:$1,0)+1),MATCH(D$1,[1]quests!$1:$1,0)-MATCH($C$1,[1]quests!$1:$1,0)+1,FALSE)</f>
        <v>#VALUE!</v>
      </c>
      <c r="E61" s="4" t="e">
        <f ca="1">VLOOKUP($C61,OFFSET([1]quests!$A$1,0,0,COUNTA([1]quests!$A:$A),MATCH(E$1,[1]quests!$1:$1,0)-MATCH($C$1,[1]quests!$1:$1,0)+1),MATCH(E$1,[1]quests!$1:$1,0)-MATCH($C$1,[1]quests!$1:$1,0)+1,FALSE)</f>
        <v>#VALUE!</v>
      </c>
      <c r="F61" s="6">
        <v>1</v>
      </c>
      <c r="G61" s="4" t="e">
        <f ca="1">VLOOKUP($C61&amp;"_"&amp;$F61,OFFSET([1]stages!$A$1,0,0,COUNTA([1]stages!$A:$A),MATCH(G$1,[1]stages!$2:$2,0)-MATCH("temp_stage",[1]stages!$2:$2,0)+1),MATCH(G$1,[1]stages!$2:$2,0)-MATCH("temp_stage",[1]stages!$2:$2,0)+1,FALSE)</f>
        <v>#VALUE!</v>
      </c>
      <c r="H61" s="4" t="e">
        <f ca="1">VLOOKUP($C61&amp;"_"&amp;$F61,OFFSET([1]stages!$A$1,0,0,COUNTA([1]stages!$A:$A),MATCH(H$1,[1]stages!$2:$2,0)-MATCH("temp_stage",[1]stages!$2:$2,0)+1),MATCH(H$1,[1]stages!$2:$2,0)-MATCH("temp_stage",[1]stages!$2:$2,0)+1,FALSE)</f>
        <v>#VALUE!</v>
      </c>
      <c r="I61" s="19">
        <v>0</v>
      </c>
      <c r="J61" s="6">
        <f>COUNTIF(C$1:C61,C61)</f>
        <v>12</v>
      </c>
      <c r="K61">
        <v>37</v>
      </c>
      <c r="L61" s="6" t="s">
        <v>17</v>
      </c>
      <c r="M61" s="36" t="str">
        <f>VLOOKUP(K61,[2]stage_hints!$A:$C,3,FALSE)</f>
        <v>限界突破値の引き継ぎ</v>
      </c>
      <c r="N61" s="37" t="str">
        <f>VLOOKUP(K61,[2]stage_hints!$A:$D,4,FALSE)</f>
        <v>同じユニットを強化で合成すると_x000D_限界突破値を引き継げます（覚醒前後も可）</v>
      </c>
      <c r="O61" s="22" t="s">
        <v>116</v>
      </c>
      <c r="P61">
        <v>37</v>
      </c>
    </row>
    <row r="62" spans="1:16">
      <c r="A62" s="29" t="str">
        <f t="shared" si="14"/>
        <v>50002_1_1</v>
      </c>
      <c r="B62" s="27" t="s">
        <v>33</v>
      </c>
      <c r="C62" s="5">
        <v>50002</v>
      </c>
      <c r="D62" s="4" t="e">
        <f ca="1">VLOOKUP($C62,OFFSET([1]quests!$A$1,0,0,COUNTA([1]quests!$A:$A),MATCH(D$1,[1]quests!$1:$1,0)-MATCH($C$1,[1]quests!$1:$1,0)+1),MATCH(D$1,[1]quests!$1:$1,0)-MATCH($C$1,[1]quests!$1:$1,0)+1,FALSE)</f>
        <v>#VALUE!</v>
      </c>
      <c r="E62" s="4" t="e">
        <f ca="1">VLOOKUP($C62,OFFSET([1]quests!$A$1,0,0,COUNTA([1]quests!$A:$A),MATCH(E$1,[1]quests!$1:$1,0)-MATCH($C$1,[1]quests!$1:$1,0)+1),MATCH(E$1,[1]quests!$1:$1,0)-MATCH($C$1,[1]quests!$1:$1,0)+1,FALSE)</f>
        <v>#VALUE!</v>
      </c>
      <c r="F62" s="6">
        <v>1</v>
      </c>
      <c r="G62" s="4" t="e">
        <f ca="1">VLOOKUP($C62&amp;"_"&amp;$F62,OFFSET([1]stages!$A$1,0,0,COUNTA([1]stages!$A:$A),MATCH(G$1,[1]stages!$2:$2,0)-MATCH("temp_stage",[1]stages!$2:$2,0)+1),MATCH(G$1,[1]stages!$2:$2,0)-MATCH("temp_stage",[1]stages!$2:$2,0)+1,FALSE)</f>
        <v>#VALUE!</v>
      </c>
      <c r="H62" s="4" t="e">
        <f ca="1">VLOOKUP($C62&amp;"_"&amp;$F62,OFFSET([1]stages!$A$1,0,0,COUNTA([1]stages!$A:$A),MATCH(H$1,[1]stages!$2:$2,0)-MATCH("temp_stage",[1]stages!$2:$2,0)+1),MATCH(H$1,[1]stages!$2:$2,0)-MATCH("temp_stage",[1]stages!$2:$2,0)+1,FALSE)</f>
        <v>#VALUE!</v>
      </c>
      <c r="I62" s="19">
        <v>0</v>
      </c>
      <c r="J62" s="6">
        <f>COUNTIF(C$1:C62,C62)</f>
        <v>1</v>
      </c>
      <c r="K62">
        <v>12</v>
      </c>
      <c r="L62" s="6" t="s">
        <v>17</v>
      </c>
      <c r="M62" s="36" t="str">
        <f>VLOOKUP(K62,[2]stage_hints!$A:$C,3,FALSE)</f>
        <v>ユニットのお気に入り登録</v>
      </c>
      <c r="N62" s="37" t="str">
        <f>VLOOKUP(K62,[2]stage_hints!$A:$D,4,FALSE)</f>
        <v>大事なユニットを誤って消さないように_x000D_フォルダから「お気に入り登録」しましょう</v>
      </c>
      <c r="O62" s="22" t="s">
        <v>116</v>
      </c>
      <c r="P62">
        <v>12</v>
      </c>
    </row>
    <row r="63" spans="1:16">
      <c r="A63" s="29" t="str">
        <f t="shared" si="14"/>
        <v>50002_1_2</v>
      </c>
      <c r="B63" s="27" t="s">
        <v>33</v>
      </c>
      <c r="C63" s="5">
        <v>50002</v>
      </c>
      <c r="D63" s="4" t="e">
        <f ca="1">VLOOKUP($C63,OFFSET([1]quests!$A$1,0,0,COUNTA([1]quests!$A:$A),MATCH(D$1,[1]quests!$1:$1,0)-MATCH($C$1,[1]quests!$1:$1,0)+1),MATCH(D$1,[1]quests!$1:$1,0)-MATCH($C$1,[1]quests!$1:$1,0)+1,FALSE)</f>
        <v>#VALUE!</v>
      </c>
      <c r="E63" s="4" t="e">
        <f ca="1">VLOOKUP($C63,OFFSET([1]quests!$A$1,0,0,COUNTA([1]quests!$A:$A),MATCH(E$1,[1]quests!$1:$1,0)-MATCH($C$1,[1]quests!$1:$1,0)+1),MATCH(E$1,[1]quests!$1:$1,0)-MATCH($C$1,[1]quests!$1:$1,0)+1,FALSE)</f>
        <v>#VALUE!</v>
      </c>
      <c r="F63" s="6">
        <v>1</v>
      </c>
      <c r="G63" s="4" t="e">
        <f ca="1">VLOOKUP($C63&amp;"_"&amp;$F63,OFFSET([1]stages!$A$1,0,0,COUNTA([1]stages!$A:$A),MATCH(G$1,[1]stages!$2:$2,0)-MATCH("temp_stage",[1]stages!$2:$2,0)+1),MATCH(G$1,[1]stages!$2:$2,0)-MATCH("temp_stage",[1]stages!$2:$2,0)+1,FALSE)</f>
        <v>#VALUE!</v>
      </c>
      <c r="H63" s="4" t="e">
        <f ca="1">VLOOKUP($C63&amp;"_"&amp;$F63,OFFSET([1]stages!$A$1,0,0,COUNTA([1]stages!$A:$A),MATCH(H$1,[1]stages!$2:$2,0)-MATCH("temp_stage",[1]stages!$2:$2,0)+1),MATCH(H$1,[1]stages!$2:$2,0)-MATCH("temp_stage",[1]stages!$2:$2,0)+1,FALSE)</f>
        <v>#VALUE!</v>
      </c>
      <c r="I63" s="19">
        <v>0</v>
      </c>
      <c r="J63" s="6">
        <f>COUNTIF(C$1:C63,C63)</f>
        <v>2</v>
      </c>
      <c r="K63">
        <v>17</v>
      </c>
      <c r="L63" s="6" t="s">
        <v>17</v>
      </c>
      <c r="M63" s="36" t="str">
        <f>VLOOKUP(K63,[2]stage_hints!$A:$C,3,FALSE)</f>
        <v>リンクガチャ</v>
      </c>
      <c r="N63" s="37" t="str">
        <f>VLOOKUP(K63,[2]stage_hints!$A:$D,4,FALSE)</f>
        <v>無料のリンクガチャを回して_x000D_経験値素材や売却素材を獲得しましょう</v>
      </c>
      <c r="O63" s="22" t="s">
        <v>116</v>
      </c>
      <c r="P63">
        <v>17</v>
      </c>
    </row>
    <row r="64" spans="1:16">
      <c r="A64" s="29" t="str">
        <f t="shared" si="14"/>
        <v>50002_1_3</v>
      </c>
      <c r="B64" s="27" t="s">
        <v>33</v>
      </c>
      <c r="C64" s="5">
        <v>50002</v>
      </c>
      <c r="D64" s="4" t="e">
        <f ca="1">VLOOKUP($C64,OFFSET([1]quests!$A$1,0,0,COUNTA([1]quests!$A:$A),MATCH(D$1,[1]quests!$1:$1,0)-MATCH($C$1,[1]quests!$1:$1,0)+1),MATCH(D$1,[1]quests!$1:$1,0)-MATCH($C$1,[1]quests!$1:$1,0)+1,FALSE)</f>
        <v>#VALUE!</v>
      </c>
      <c r="E64" s="4" t="e">
        <f ca="1">VLOOKUP($C64,OFFSET([1]quests!$A$1,0,0,COUNTA([1]quests!$A:$A),MATCH(E$1,[1]quests!$1:$1,0)-MATCH($C$1,[1]quests!$1:$1,0)+1),MATCH(E$1,[1]quests!$1:$1,0)-MATCH($C$1,[1]quests!$1:$1,0)+1,FALSE)</f>
        <v>#VALUE!</v>
      </c>
      <c r="F64" s="6">
        <v>1</v>
      </c>
      <c r="G64" s="4" t="e">
        <f ca="1">VLOOKUP($C64&amp;"_"&amp;$F64,OFFSET([1]stages!$A$1,0,0,COUNTA([1]stages!$A:$A),MATCH(G$1,[1]stages!$2:$2,0)-MATCH("temp_stage",[1]stages!$2:$2,0)+1),MATCH(G$1,[1]stages!$2:$2,0)-MATCH("temp_stage",[1]stages!$2:$2,0)+1,FALSE)</f>
        <v>#VALUE!</v>
      </c>
      <c r="H64" s="4" t="e">
        <f ca="1">VLOOKUP($C64&amp;"_"&amp;$F64,OFFSET([1]stages!$A$1,0,0,COUNTA([1]stages!$A:$A),MATCH(H$1,[1]stages!$2:$2,0)-MATCH("temp_stage",[1]stages!$2:$2,0)+1),MATCH(H$1,[1]stages!$2:$2,0)-MATCH("temp_stage",[1]stages!$2:$2,0)+1,FALSE)</f>
        <v>#VALUE!</v>
      </c>
      <c r="I64" s="19">
        <v>0</v>
      </c>
      <c r="J64" s="6">
        <f>COUNTIF(C$1:C64,C64)</f>
        <v>3</v>
      </c>
      <c r="K64">
        <v>19</v>
      </c>
      <c r="L64" s="6" t="s">
        <v>17</v>
      </c>
      <c r="M64" s="36" t="str">
        <f>VLOOKUP(K64,[2]stage_hints!$A:$C,3,FALSE)</f>
        <v>ソロ専用チャレンジタワー</v>
      </c>
      <c r="N64" s="37" t="str">
        <f>VLOOKUP(K64,[2]stage_hints!$A:$D,4,FALSE)</f>
        <v>ソロ専用の「チャレンジタワー」では_x000D_各フロアごとにクリア報酬がもらえます</v>
      </c>
      <c r="O64" s="22" t="s">
        <v>116</v>
      </c>
      <c r="P64">
        <v>19</v>
      </c>
    </row>
    <row r="65" spans="1:16">
      <c r="A65" s="29" t="str">
        <f t="shared" si="14"/>
        <v>50002_1_4</v>
      </c>
      <c r="B65" s="27" t="s">
        <v>33</v>
      </c>
      <c r="C65" s="5">
        <v>50002</v>
      </c>
      <c r="D65" s="4" t="e">
        <f ca="1">VLOOKUP($C65,OFFSET([1]quests!$A$1,0,0,COUNTA([1]quests!$A:$A),MATCH(D$1,[1]quests!$1:$1,0)-MATCH($C$1,[1]quests!$1:$1,0)+1),MATCH(D$1,[1]quests!$1:$1,0)-MATCH($C$1,[1]quests!$1:$1,0)+1,FALSE)</f>
        <v>#VALUE!</v>
      </c>
      <c r="E65" s="4" t="e">
        <f ca="1">VLOOKUP($C65,OFFSET([1]quests!$A$1,0,0,COUNTA([1]quests!$A:$A),MATCH(E$1,[1]quests!$1:$1,0)-MATCH($C$1,[1]quests!$1:$1,0)+1),MATCH(E$1,[1]quests!$1:$1,0)-MATCH($C$1,[1]quests!$1:$1,0)+1,FALSE)</f>
        <v>#VALUE!</v>
      </c>
      <c r="F65" s="6">
        <v>1</v>
      </c>
      <c r="G65" s="4" t="e">
        <f ca="1">VLOOKUP($C65&amp;"_"&amp;$F65,OFFSET([1]stages!$A$1,0,0,COUNTA([1]stages!$A:$A),MATCH(G$1,[1]stages!$2:$2,0)-MATCH("temp_stage",[1]stages!$2:$2,0)+1),MATCH(G$1,[1]stages!$2:$2,0)-MATCH("temp_stage",[1]stages!$2:$2,0)+1,FALSE)</f>
        <v>#VALUE!</v>
      </c>
      <c r="H65" s="4" t="e">
        <f ca="1">VLOOKUP($C65&amp;"_"&amp;$F65,OFFSET([1]stages!$A$1,0,0,COUNTA([1]stages!$A:$A),MATCH(H$1,[1]stages!$2:$2,0)-MATCH("temp_stage",[1]stages!$2:$2,0)+1),MATCH(H$1,[1]stages!$2:$2,0)-MATCH("temp_stage",[1]stages!$2:$2,0)+1,FALSE)</f>
        <v>#VALUE!</v>
      </c>
      <c r="I65" s="19">
        <v>0</v>
      </c>
      <c r="J65" s="6">
        <f>COUNTIF(C$1:C65,C65)</f>
        <v>4</v>
      </c>
      <c r="K65">
        <v>21</v>
      </c>
      <c r="L65" s="6" t="s">
        <v>17</v>
      </c>
      <c r="M65" s="36" t="str">
        <f>VLOOKUP(K65,[2]stage_hints!$A:$C,3,FALSE)</f>
        <v>スキルを有効に</v>
      </c>
      <c r="N65" s="37" t="str">
        <f>VLOOKUP(K65,[2]stage_hints!$A:$D,4,FALSE)</f>
        <v>ターン経過でユニットのスキルが使えます_x000D_強力スキルでバトルを有利に進めましょう</v>
      </c>
      <c r="O65" s="22" t="s">
        <v>116</v>
      </c>
      <c r="P65">
        <v>21</v>
      </c>
    </row>
    <row r="66" spans="1:16">
      <c r="A66" s="29" t="str">
        <f t="shared" si="14"/>
        <v>50002_1_5</v>
      </c>
      <c r="B66" s="27" t="s">
        <v>33</v>
      </c>
      <c r="C66" s="5">
        <v>50002</v>
      </c>
      <c r="D66" s="4" t="e">
        <f ca="1">VLOOKUP($C66,OFFSET([1]quests!$A$1,0,0,COUNTA([1]quests!$A:$A),MATCH(D$1,[1]quests!$1:$1,0)-MATCH($C$1,[1]quests!$1:$1,0)+1),MATCH(D$1,[1]quests!$1:$1,0)-MATCH($C$1,[1]quests!$1:$1,0)+1,FALSE)</f>
        <v>#VALUE!</v>
      </c>
      <c r="E66" s="4" t="e">
        <f ca="1">VLOOKUP($C66,OFFSET([1]quests!$A$1,0,0,COUNTA([1]quests!$A:$A),MATCH(E$1,[1]quests!$1:$1,0)-MATCH($C$1,[1]quests!$1:$1,0)+1),MATCH(E$1,[1]quests!$1:$1,0)-MATCH($C$1,[1]quests!$1:$1,0)+1,FALSE)</f>
        <v>#VALUE!</v>
      </c>
      <c r="F66" s="6">
        <v>1</v>
      </c>
      <c r="G66" s="4" t="e">
        <f ca="1">VLOOKUP($C66&amp;"_"&amp;$F66,OFFSET([1]stages!$A$1,0,0,COUNTA([1]stages!$A:$A),MATCH(G$1,[1]stages!$2:$2,0)-MATCH("temp_stage",[1]stages!$2:$2,0)+1),MATCH(G$1,[1]stages!$2:$2,0)-MATCH("temp_stage",[1]stages!$2:$2,0)+1,FALSE)</f>
        <v>#VALUE!</v>
      </c>
      <c r="H66" s="4" t="e">
        <f ca="1">VLOOKUP($C66&amp;"_"&amp;$F66,OFFSET([1]stages!$A$1,0,0,COUNTA([1]stages!$A:$A),MATCH(H$1,[1]stages!$2:$2,0)-MATCH("temp_stage",[1]stages!$2:$2,0)+1),MATCH(H$1,[1]stages!$2:$2,0)-MATCH("temp_stage",[1]stages!$2:$2,0)+1,FALSE)</f>
        <v>#VALUE!</v>
      </c>
      <c r="I66" s="19">
        <v>0</v>
      </c>
      <c r="J66" s="6">
        <f>COUNTIF(C$1:C66,C66)</f>
        <v>5</v>
      </c>
      <c r="K66">
        <v>29</v>
      </c>
      <c r="L66" s="6" t="s">
        <v>17</v>
      </c>
      <c r="M66" s="36" t="str">
        <f>VLOOKUP(K66,[2]stage_hints!$A:$C,3,FALSE)</f>
        <v>「バグ」のメリット</v>
      </c>
      <c r="N66" s="37" t="str">
        <f>VLOOKUP(K66,[2]stage_hints!$A:$D,4,FALSE)</f>
        <v>ユニットの「バグ」を増やすと_x000D_報酬をもらえる確率がアップします</v>
      </c>
      <c r="O66" s="22" t="s">
        <v>116</v>
      </c>
      <c r="P66">
        <v>29</v>
      </c>
    </row>
    <row r="67" spans="1:16">
      <c r="A67" s="29" t="str">
        <f t="shared" si="14"/>
        <v>50002_1_6</v>
      </c>
      <c r="B67" s="27" t="s">
        <v>33</v>
      </c>
      <c r="C67" s="5">
        <v>50002</v>
      </c>
      <c r="D67" s="4" t="e">
        <f ca="1">VLOOKUP($C67,OFFSET([1]quests!$A$1,0,0,COUNTA([1]quests!$A:$A),MATCH(D$1,[1]quests!$1:$1,0)-MATCH($C$1,[1]quests!$1:$1,0)+1),MATCH(D$1,[1]quests!$1:$1,0)-MATCH($C$1,[1]quests!$1:$1,0)+1,FALSE)</f>
        <v>#VALUE!</v>
      </c>
      <c r="E67" s="4" t="e">
        <f ca="1">VLOOKUP($C67,OFFSET([1]quests!$A$1,0,0,COUNTA([1]quests!$A:$A),MATCH(E$1,[1]quests!$1:$1,0)-MATCH($C$1,[1]quests!$1:$1,0)+1),MATCH(E$1,[1]quests!$1:$1,0)-MATCH($C$1,[1]quests!$1:$1,0)+1,FALSE)</f>
        <v>#VALUE!</v>
      </c>
      <c r="F67" s="6">
        <v>1</v>
      </c>
      <c r="G67" s="4" t="e">
        <f ca="1">VLOOKUP($C67&amp;"_"&amp;$F67,OFFSET([1]stages!$A$1,0,0,COUNTA([1]stages!$A:$A),MATCH(G$1,[1]stages!$2:$2,0)-MATCH("temp_stage",[1]stages!$2:$2,0)+1),MATCH(G$1,[1]stages!$2:$2,0)-MATCH("temp_stage",[1]stages!$2:$2,0)+1,FALSE)</f>
        <v>#VALUE!</v>
      </c>
      <c r="H67" s="4" t="e">
        <f ca="1">VLOOKUP($C67&amp;"_"&amp;$F67,OFFSET([1]stages!$A$1,0,0,COUNTA([1]stages!$A:$A),MATCH(H$1,[1]stages!$2:$2,0)-MATCH("temp_stage",[1]stages!$2:$2,0)+1),MATCH(H$1,[1]stages!$2:$2,0)-MATCH("temp_stage",[1]stages!$2:$2,0)+1,FALSE)</f>
        <v>#VALUE!</v>
      </c>
      <c r="I67" s="19">
        <v>0</v>
      </c>
      <c r="J67" s="6">
        <f>COUNTIF(C$1:C67,C67)</f>
        <v>6</v>
      </c>
      <c r="K67">
        <v>30</v>
      </c>
      <c r="L67" s="6" t="s">
        <v>17</v>
      </c>
      <c r="M67" s="36" t="str">
        <f>VLOOKUP(K67,[2]stage_hints!$A:$C,3,FALSE)</f>
        <v>「バグ」の増やし方</v>
      </c>
      <c r="N67" s="37" t="str">
        <f>VLOOKUP(K67,[2]stage_hints!$A:$D,4,FALSE)</f>
        <v>同じユニット同士を強化で合成すると_x000D_「バグ」を増やすことができます</v>
      </c>
      <c r="O67" s="22" t="s">
        <v>116</v>
      </c>
      <c r="P67">
        <v>30</v>
      </c>
    </row>
    <row r="68" spans="1:16">
      <c r="A68" s="29" t="str">
        <f t="shared" si="14"/>
        <v>50002_1_7</v>
      </c>
      <c r="B68" s="27" t="s">
        <v>33</v>
      </c>
      <c r="C68" s="5">
        <v>50002</v>
      </c>
      <c r="D68" s="4" t="e">
        <f ca="1">VLOOKUP($C68,OFFSET([1]quests!$A$1,0,0,COUNTA([1]quests!$A:$A),MATCH(D$1,[1]quests!$1:$1,0)-MATCH($C$1,[1]quests!$1:$1,0)+1),MATCH(D$1,[1]quests!$1:$1,0)-MATCH($C$1,[1]quests!$1:$1,0)+1,FALSE)</f>
        <v>#VALUE!</v>
      </c>
      <c r="E68" s="4" t="e">
        <f ca="1">VLOOKUP($C68,OFFSET([1]quests!$A$1,0,0,COUNTA([1]quests!$A:$A),MATCH(E$1,[1]quests!$1:$1,0)-MATCH($C$1,[1]quests!$1:$1,0)+1),MATCH(E$1,[1]quests!$1:$1,0)-MATCH($C$1,[1]quests!$1:$1,0)+1,FALSE)</f>
        <v>#VALUE!</v>
      </c>
      <c r="F68" s="6">
        <v>1</v>
      </c>
      <c r="G68" s="4" t="e">
        <f ca="1">VLOOKUP($C68&amp;"_"&amp;$F68,OFFSET([1]stages!$A$1,0,0,COUNTA([1]stages!$A:$A),MATCH(G$1,[1]stages!$2:$2,0)-MATCH("temp_stage",[1]stages!$2:$2,0)+1),MATCH(G$1,[1]stages!$2:$2,0)-MATCH("temp_stage",[1]stages!$2:$2,0)+1,FALSE)</f>
        <v>#VALUE!</v>
      </c>
      <c r="H68" s="4" t="e">
        <f ca="1">VLOOKUP($C68&amp;"_"&amp;$F68,OFFSET([1]stages!$A$1,0,0,COUNTA([1]stages!$A:$A),MATCH(H$1,[1]stages!$2:$2,0)-MATCH("temp_stage",[1]stages!$2:$2,0)+1),MATCH(H$1,[1]stages!$2:$2,0)-MATCH("temp_stage",[1]stages!$2:$2,0)+1,FALSE)</f>
        <v>#VALUE!</v>
      </c>
      <c r="I68" s="19">
        <v>0</v>
      </c>
      <c r="J68" s="6">
        <f>COUNTIF(C$1:C68,C68)</f>
        <v>7</v>
      </c>
      <c r="K68">
        <v>32</v>
      </c>
      <c r="L68" s="6" t="s">
        <v>17</v>
      </c>
      <c r="M68" s="36" t="str">
        <f>VLOOKUP(K68,[2]stage_hints!$A:$C,3,FALSE)</f>
        <v>敵の連続攻撃には</v>
      </c>
      <c r="N68" s="37" t="str">
        <f>VLOOKUP(K68,[2]stage_hints!$A:$D,4,FALSE)</f>
        <v>カウンタースキルを持つユニットがいれば_x000D_ダメージ回数分の反撃ができます</v>
      </c>
      <c r="O68" s="22" t="s">
        <v>116</v>
      </c>
      <c r="P68">
        <v>32</v>
      </c>
    </row>
    <row r="69" spans="1:16">
      <c r="A69" s="29" t="str">
        <f t="shared" si="14"/>
        <v>50002_1_8</v>
      </c>
      <c r="B69" s="27" t="s">
        <v>33</v>
      </c>
      <c r="C69" s="5">
        <v>50002</v>
      </c>
      <c r="D69" s="4" t="e">
        <f ca="1">VLOOKUP($C69,OFFSET([1]quests!$A$1,0,0,COUNTA([1]quests!$A:$A),MATCH(D$1,[1]quests!$1:$1,0)-MATCH($C$1,[1]quests!$1:$1,0)+1),MATCH(D$1,[1]quests!$1:$1,0)-MATCH($C$1,[1]quests!$1:$1,0)+1,FALSE)</f>
        <v>#VALUE!</v>
      </c>
      <c r="E69" s="4" t="e">
        <f ca="1">VLOOKUP($C69,OFFSET([1]quests!$A$1,0,0,COUNTA([1]quests!$A:$A),MATCH(E$1,[1]quests!$1:$1,0)-MATCH($C$1,[1]quests!$1:$1,0)+1),MATCH(E$1,[1]quests!$1:$1,0)-MATCH($C$1,[1]quests!$1:$1,0)+1,FALSE)</f>
        <v>#VALUE!</v>
      </c>
      <c r="F69" s="6">
        <v>1</v>
      </c>
      <c r="G69" s="4" t="e">
        <f ca="1">VLOOKUP($C69&amp;"_"&amp;$F69,OFFSET([1]stages!$A$1,0,0,COUNTA([1]stages!$A:$A),MATCH(G$1,[1]stages!$2:$2,0)-MATCH("temp_stage",[1]stages!$2:$2,0)+1),MATCH(G$1,[1]stages!$2:$2,0)-MATCH("temp_stage",[1]stages!$2:$2,0)+1,FALSE)</f>
        <v>#VALUE!</v>
      </c>
      <c r="H69" s="4" t="e">
        <f ca="1">VLOOKUP($C69&amp;"_"&amp;$F69,OFFSET([1]stages!$A$1,0,0,COUNTA([1]stages!$A:$A),MATCH(H$1,[1]stages!$2:$2,0)-MATCH("temp_stage",[1]stages!$2:$2,0)+1),MATCH(H$1,[1]stages!$2:$2,0)-MATCH("temp_stage",[1]stages!$2:$2,0)+1,FALSE)</f>
        <v>#VALUE!</v>
      </c>
      <c r="I69" s="19">
        <v>0</v>
      </c>
      <c r="J69" s="6">
        <f>COUNTIF(C$1:C69,C69)</f>
        <v>8</v>
      </c>
      <c r="K69">
        <v>33</v>
      </c>
      <c r="L69" s="6" t="s">
        <v>17</v>
      </c>
      <c r="M69" s="36" t="str">
        <f>VLOOKUP(K69,[2]stage_hints!$A:$C,3,FALSE)</f>
        <v>敵のカウンター攻撃には</v>
      </c>
      <c r="N69" s="37" t="str">
        <f>VLOOKUP(K69,[2]stage_hints!$A:$D,4,FALSE)</f>
        <v>カウンターブレイクスキルを持っていれば_x000D_敵のカウンターを解除して攻撃ができます</v>
      </c>
      <c r="O69" s="22" t="s">
        <v>116</v>
      </c>
      <c r="P69">
        <v>33</v>
      </c>
    </row>
    <row r="70" spans="1:16">
      <c r="A70" s="29" t="str">
        <f t="shared" si="14"/>
        <v>50002_1_9</v>
      </c>
      <c r="B70" s="27" t="s">
        <v>33</v>
      </c>
      <c r="C70" s="5">
        <v>50002</v>
      </c>
      <c r="D70" s="4" t="e">
        <f ca="1">VLOOKUP($C70,OFFSET([1]quests!$A$1,0,0,COUNTA([1]quests!$A:$A),MATCH(D$1,[1]quests!$1:$1,0)-MATCH($C$1,[1]quests!$1:$1,0)+1),MATCH(D$1,[1]quests!$1:$1,0)-MATCH($C$1,[1]quests!$1:$1,0)+1,FALSE)</f>
        <v>#VALUE!</v>
      </c>
      <c r="E70" s="4" t="e">
        <f ca="1">VLOOKUP($C70,OFFSET([1]quests!$A$1,0,0,COUNTA([1]quests!$A:$A),MATCH(E$1,[1]quests!$1:$1,0)-MATCH($C$1,[1]quests!$1:$1,0)+1),MATCH(E$1,[1]quests!$1:$1,0)-MATCH($C$1,[1]quests!$1:$1,0)+1,FALSE)</f>
        <v>#VALUE!</v>
      </c>
      <c r="F70" s="6">
        <v>1</v>
      </c>
      <c r="G70" s="4" t="e">
        <f ca="1">VLOOKUP($C70&amp;"_"&amp;$F70,OFFSET([1]stages!$A$1,0,0,COUNTA([1]stages!$A:$A),MATCH(G$1,[1]stages!$2:$2,0)-MATCH("temp_stage",[1]stages!$2:$2,0)+1),MATCH(G$1,[1]stages!$2:$2,0)-MATCH("temp_stage",[1]stages!$2:$2,0)+1,FALSE)</f>
        <v>#VALUE!</v>
      </c>
      <c r="H70" s="4" t="e">
        <f ca="1">VLOOKUP($C70&amp;"_"&amp;$F70,OFFSET([1]stages!$A$1,0,0,COUNTA([1]stages!$A:$A),MATCH(H$1,[1]stages!$2:$2,0)-MATCH("temp_stage",[1]stages!$2:$2,0)+1),MATCH(H$1,[1]stages!$2:$2,0)-MATCH("temp_stage",[1]stages!$2:$2,0)+1,FALSE)</f>
        <v>#VALUE!</v>
      </c>
      <c r="I70" s="19">
        <v>0</v>
      </c>
      <c r="J70" s="6">
        <f>COUNTIF(C$1:C70,C70)</f>
        <v>9</v>
      </c>
      <c r="K70">
        <v>34</v>
      </c>
      <c r="L70" s="6" t="s">
        <v>17</v>
      </c>
      <c r="M70" s="36" t="str">
        <f>VLOOKUP(K70,[2]stage_hints!$A:$C,3,FALSE)</f>
        <v>ステータスをスキルで下げられたら</v>
      </c>
      <c r="N70" s="37" t="str">
        <f>VLOOKUP(K70,[2]stage_hints!$A:$D,4,FALSE)</f>
        <v>ステータスダウンのスキルを受けたら_x000D_ステータスアップスキルで上書きしましょう</v>
      </c>
      <c r="O70" s="22" t="s">
        <v>116</v>
      </c>
      <c r="P70">
        <v>34</v>
      </c>
    </row>
    <row r="71" spans="1:16">
      <c r="A71" s="29" t="str">
        <f t="shared" si="14"/>
        <v>50002_1_10</v>
      </c>
      <c r="B71" s="27" t="s">
        <v>33</v>
      </c>
      <c r="C71" s="5">
        <v>50002</v>
      </c>
      <c r="D71" s="4" t="e">
        <f ca="1">VLOOKUP($C71,OFFSET([1]quests!$A$1,0,0,COUNTA([1]quests!$A:$A),MATCH(D$1,[1]quests!$1:$1,0)-MATCH($C$1,[1]quests!$1:$1,0)+1),MATCH(D$1,[1]quests!$1:$1,0)-MATCH($C$1,[1]quests!$1:$1,0)+1,FALSE)</f>
        <v>#VALUE!</v>
      </c>
      <c r="E71" s="4" t="e">
        <f ca="1">VLOOKUP($C71,OFFSET([1]quests!$A$1,0,0,COUNTA([1]quests!$A:$A),MATCH(E$1,[1]quests!$1:$1,0)-MATCH($C$1,[1]quests!$1:$1,0)+1),MATCH(E$1,[1]quests!$1:$1,0)-MATCH($C$1,[1]quests!$1:$1,0)+1,FALSE)</f>
        <v>#VALUE!</v>
      </c>
      <c r="F71" s="6">
        <v>1</v>
      </c>
      <c r="G71" s="4" t="e">
        <f ca="1">VLOOKUP($C71&amp;"_"&amp;$F71,OFFSET([1]stages!$A$1,0,0,COUNTA([1]stages!$A:$A),MATCH(G$1,[1]stages!$2:$2,0)-MATCH("temp_stage",[1]stages!$2:$2,0)+1),MATCH(G$1,[1]stages!$2:$2,0)-MATCH("temp_stage",[1]stages!$2:$2,0)+1,FALSE)</f>
        <v>#VALUE!</v>
      </c>
      <c r="H71" s="4" t="e">
        <f ca="1">VLOOKUP($C71&amp;"_"&amp;$F71,OFFSET([1]stages!$A$1,0,0,COUNTA([1]stages!$A:$A),MATCH(H$1,[1]stages!$2:$2,0)-MATCH("temp_stage",[1]stages!$2:$2,0)+1),MATCH(H$1,[1]stages!$2:$2,0)-MATCH("temp_stage",[1]stages!$2:$2,0)+1,FALSE)</f>
        <v>#VALUE!</v>
      </c>
      <c r="I71" s="19">
        <v>0</v>
      </c>
      <c r="J71" s="6">
        <f>COUNTIF(C$1:C71,C71)</f>
        <v>10</v>
      </c>
      <c r="K71">
        <v>35</v>
      </c>
      <c r="L71" s="6" t="s">
        <v>17</v>
      </c>
      <c r="M71" s="36" t="str">
        <f>VLOOKUP(K71,[2]stage_hints!$A:$C,3,FALSE)</f>
        <v>敵のステータスがスキルで上がったら</v>
      </c>
      <c r="N71" s="37" t="str">
        <f>VLOOKUP(K71,[2]stage_hints!$A:$D,4,FALSE)</f>
        <v>敵のステータスがスキルでアップしたときは_x000D_ステータスダウンスキルで上書きしましょう</v>
      </c>
      <c r="O71" s="22" t="s">
        <v>116</v>
      </c>
      <c r="P71">
        <v>35</v>
      </c>
    </row>
    <row r="72" spans="1:16">
      <c r="A72" s="29" t="str">
        <f t="shared" ref="A72:A73" si="15">C72&amp;"_"&amp;F72&amp;"_"&amp;J72</f>
        <v>50002_1_11</v>
      </c>
      <c r="B72" s="27" t="s">
        <v>33</v>
      </c>
      <c r="C72" s="5">
        <v>50002</v>
      </c>
      <c r="D72" s="4" t="e">
        <f ca="1">VLOOKUP($C72,OFFSET([1]quests!$A$1,0,0,COUNTA([1]quests!$A:$A),MATCH(D$1,[1]quests!$1:$1,0)-MATCH($C$1,[1]quests!$1:$1,0)+1),MATCH(D$1,[1]quests!$1:$1,0)-MATCH($C$1,[1]quests!$1:$1,0)+1,FALSE)</f>
        <v>#VALUE!</v>
      </c>
      <c r="E72" s="4" t="e">
        <f ca="1">VLOOKUP($C72,OFFSET([1]quests!$A$1,0,0,COUNTA([1]quests!$A:$A),MATCH(E$1,[1]quests!$1:$1,0)-MATCH($C$1,[1]quests!$1:$1,0)+1),MATCH(E$1,[1]quests!$1:$1,0)-MATCH($C$1,[1]quests!$1:$1,0)+1,FALSE)</f>
        <v>#VALUE!</v>
      </c>
      <c r="F72" s="6">
        <v>1</v>
      </c>
      <c r="G72" s="4" t="e">
        <f ca="1">VLOOKUP($C72&amp;"_"&amp;$F72,OFFSET([1]stages!$A$1,0,0,COUNTA([1]stages!$A:$A),MATCH(G$1,[1]stages!$2:$2,0)-MATCH("temp_stage",[1]stages!$2:$2,0)+1),MATCH(G$1,[1]stages!$2:$2,0)-MATCH("temp_stage",[1]stages!$2:$2,0)+1,FALSE)</f>
        <v>#VALUE!</v>
      </c>
      <c r="H72" s="4" t="e">
        <f ca="1">VLOOKUP($C72&amp;"_"&amp;$F72,OFFSET([1]stages!$A$1,0,0,COUNTA([1]stages!$A:$A),MATCH(H$1,[1]stages!$2:$2,0)-MATCH("temp_stage",[1]stages!$2:$2,0)+1),MATCH(H$1,[1]stages!$2:$2,0)-MATCH("temp_stage",[1]stages!$2:$2,0)+1,FALSE)</f>
        <v>#VALUE!</v>
      </c>
      <c r="I72" s="19">
        <v>0</v>
      </c>
      <c r="J72" s="6">
        <f>COUNTIF(C$1:C72,C72)</f>
        <v>11</v>
      </c>
      <c r="K72">
        <v>36</v>
      </c>
      <c r="L72" s="6" t="s">
        <v>17</v>
      </c>
      <c r="M72" s="36" t="str">
        <f>VLOOKUP(K72,[2]stage_hints!$A:$C,3,FALSE)</f>
        <v>チャレンジタワーのボス</v>
      </c>
      <c r="N72" s="37" t="str">
        <f>VLOOKUP(K72,[2]stage_hints!$A:$D,4,FALSE)</f>
        <v>チャレンジタワーでのみ登場するボスは_x000D_一定確率で獲得することができます</v>
      </c>
      <c r="O72" s="22" t="s">
        <v>116</v>
      </c>
      <c r="P72">
        <v>36</v>
      </c>
    </row>
    <row r="73" spans="1:16">
      <c r="A73" s="29" t="str">
        <f t="shared" si="15"/>
        <v>50002_1_12</v>
      </c>
      <c r="B73" s="27" t="s">
        <v>33</v>
      </c>
      <c r="C73" s="5">
        <v>50002</v>
      </c>
      <c r="D73" s="4" t="e">
        <f ca="1">VLOOKUP($C73,OFFSET([1]quests!$A$1,0,0,COUNTA([1]quests!$A:$A),MATCH(D$1,[1]quests!$1:$1,0)-MATCH($C$1,[1]quests!$1:$1,0)+1),MATCH(D$1,[1]quests!$1:$1,0)-MATCH($C$1,[1]quests!$1:$1,0)+1,FALSE)</f>
        <v>#VALUE!</v>
      </c>
      <c r="E73" s="4" t="e">
        <f ca="1">VLOOKUP($C73,OFFSET([1]quests!$A$1,0,0,COUNTA([1]quests!$A:$A),MATCH(E$1,[1]quests!$1:$1,0)-MATCH($C$1,[1]quests!$1:$1,0)+1),MATCH(E$1,[1]quests!$1:$1,0)-MATCH($C$1,[1]quests!$1:$1,0)+1,FALSE)</f>
        <v>#VALUE!</v>
      </c>
      <c r="F73" s="6">
        <v>1</v>
      </c>
      <c r="G73" s="4" t="e">
        <f ca="1">VLOOKUP($C73&amp;"_"&amp;$F73,OFFSET([1]stages!$A$1,0,0,COUNTA([1]stages!$A:$A),MATCH(G$1,[1]stages!$2:$2,0)-MATCH("temp_stage",[1]stages!$2:$2,0)+1),MATCH(G$1,[1]stages!$2:$2,0)-MATCH("temp_stage",[1]stages!$2:$2,0)+1,FALSE)</f>
        <v>#VALUE!</v>
      </c>
      <c r="H73" s="4" t="e">
        <f ca="1">VLOOKUP($C73&amp;"_"&amp;$F73,OFFSET([1]stages!$A$1,0,0,COUNTA([1]stages!$A:$A),MATCH(H$1,[1]stages!$2:$2,0)-MATCH("temp_stage",[1]stages!$2:$2,0)+1),MATCH(H$1,[1]stages!$2:$2,0)-MATCH("temp_stage",[1]stages!$2:$2,0)+1,FALSE)</f>
        <v>#VALUE!</v>
      </c>
      <c r="I73" s="19">
        <v>0</v>
      </c>
      <c r="J73" s="6">
        <f>COUNTIF(C$1:C73,C73)</f>
        <v>12</v>
      </c>
      <c r="K73">
        <v>37</v>
      </c>
      <c r="L73" s="6" t="s">
        <v>17</v>
      </c>
      <c r="M73" s="36" t="str">
        <f>VLOOKUP(K73,[2]stage_hints!$A:$C,3,FALSE)</f>
        <v>限界突破値の引き継ぎ</v>
      </c>
      <c r="N73" s="37" t="str">
        <f>VLOOKUP(K73,[2]stage_hints!$A:$D,4,FALSE)</f>
        <v>同じユニットを強化で合成すると_x000D_限界突破値を引き継げます（覚醒前後も可）</v>
      </c>
      <c r="O73" s="22" t="s">
        <v>116</v>
      </c>
      <c r="P73">
        <v>37</v>
      </c>
    </row>
  </sheetData>
  <phoneticPr fontId="5"/>
  <dataValidations count="1">
    <dataValidation type="list" allowBlank="1" showInputMessage="1" showErrorMessage="1" sqref="B2:B73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C38"/>
  <sheetViews>
    <sheetView topLeftCell="A16" workbookViewId="0">
      <selection activeCell="C25" sqref="C25"/>
    </sheetView>
  </sheetViews>
  <sheetFormatPr baseColWidth="12" defaultRowHeight="18" x14ac:dyDescent="0"/>
  <cols>
    <col min="2" max="2" width="33" bestFit="1" customWidth="1"/>
    <col min="3" max="3" width="75.33203125" customWidth="1"/>
  </cols>
  <sheetData>
    <row r="1" spans="1:3">
      <c r="A1" t="s">
        <v>72</v>
      </c>
      <c r="B1" t="s">
        <v>36</v>
      </c>
      <c r="C1" t="s">
        <v>37</v>
      </c>
    </row>
    <row r="2" spans="1:3" ht="29">
      <c r="A2">
        <v>1</v>
      </c>
      <c r="B2" t="s">
        <v>38</v>
      </c>
      <c r="C2" s="30" t="s">
        <v>79</v>
      </c>
    </row>
    <row r="3" spans="1:3" ht="29">
      <c r="A3">
        <v>2</v>
      </c>
      <c r="B3" t="s">
        <v>39</v>
      </c>
      <c r="C3" s="30" t="s">
        <v>80</v>
      </c>
    </row>
    <row r="4" spans="1:3" ht="29">
      <c r="A4">
        <v>3</v>
      </c>
      <c r="B4" t="s">
        <v>40</v>
      </c>
      <c r="C4" s="30" t="s">
        <v>81</v>
      </c>
    </row>
    <row r="5" spans="1:3" ht="42">
      <c r="A5">
        <v>4</v>
      </c>
      <c r="B5" t="s">
        <v>41</v>
      </c>
      <c r="C5" s="30" t="s">
        <v>82</v>
      </c>
    </row>
    <row r="6" spans="1:3" ht="42">
      <c r="A6">
        <v>5</v>
      </c>
      <c r="B6" t="s">
        <v>42</v>
      </c>
      <c r="C6" s="30" t="s">
        <v>83</v>
      </c>
    </row>
    <row r="7" spans="1:3" ht="42">
      <c r="A7">
        <v>6</v>
      </c>
      <c r="B7" t="s">
        <v>43</v>
      </c>
      <c r="C7" s="30" t="s">
        <v>84</v>
      </c>
    </row>
    <row r="8" spans="1:3" ht="42">
      <c r="A8">
        <v>7</v>
      </c>
      <c r="B8" t="s">
        <v>44</v>
      </c>
      <c r="C8" s="30" t="s">
        <v>85</v>
      </c>
    </row>
    <row r="9" spans="1:3" ht="42">
      <c r="A9">
        <v>8</v>
      </c>
      <c r="B9" t="s">
        <v>45</v>
      </c>
      <c r="C9" s="30" t="s">
        <v>86</v>
      </c>
    </row>
    <row r="10" spans="1:3" ht="42">
      <c r="A10">
        <v>9</v>
      </c>
      <c r="B10" t="s">
        <v>46</v>
      </c>
      <c r="C10" s="30" t="s">
        <v>87</v>
      </c>
    </row>
    <row r="11" spans="1:3" ht="42">
      <c r="A11">
        <v>10</v>
      </c>
      <c r="B11" t="s">
        <v>47</v>
      </c>
      <c r="C11" s="30" t="s">
        <v>88</v>
      </c>
    </row>
    <row r="12" spans="1:3" ht="42">
      <c r="A12">
        <v>11</v>
      </c>
      <c r="B12" t="s">
        <v>48</v>
      </c>
      <c r="C12" s="31" t="s">
        <v>89</v>
      </c>
    </row>
    <row r="13" spans="1:3" ht="29">
      <c r="A13">
        <v>12</v>
      </c>
      <c r="B13" t="s">
        <v>34</v>
      </c>
      <c r="C13" s="30" t="s">
        <v>90</v>
      </c>
    </row>
    <row r="14" spans="1:3" ht="29">
      <c r="A14">
        <v>13</v>
      </c>
      <c r="B14" t="s">
        <v>49</v>
      </c>
      <c r="C14" s="30" t="s">
        <v>91</v>
      </c>
    </row>
    <row r="15" spans="1:3" ht="42">
      <c r="A15">
        <v>14</v>
      </c>
      <c r="B15" t="s">
        <v>50</v>
      </c>
      <c r="C15" s="30" t="s">
        <v>92</v>
      </c>
    </row>
    <row r="16" spans="1:3" ht="29">
      <c r="A16">
        <v>15</v>
      </c>
      <c r="B16" t="s">
        <v>51</v>
      </c>
      <c r="C16" s="30" t="s">
        <v>93</v>
      </c>
    </row>
    <row r="17" spans="1:3" ht="42">
      <c r="A17">
        <v>16</v>
      </c>
      <c r="B17" t="s">
        <v>52</v>
      </c>
      <c r="C17" s="30" t="s">
        <v>94</v>
      </c>
    </row>
    <row r="18" spans="1:3" ht="42">
      <c r="A18">
        <v>17</v>
      </c>
      <c r="B18" t="s">
        <v>53</v>
      </c>
      <c r="C18" s="31" t="s">
        <v>95</v>
      </c>
    </row>
    <row r="19" spans="1:3" ht="29">
      <c r="A19">
        <v>18</v>
      </c>
      <c r="B19" t="s">
        <v>54</v>
      </c>
      <c r="C19" s="30" t="s">
        <v>96</v>
      </c>
    </row>
    <row r="20" spans="1:3" ht="42">
      <c r="A20">
        <v>19</v>
      </c>
      <c r="B20" t="s">
        <v>55</v>
      </c>
      <c r="C20" s="31" t="s">
        <v>97</v>
      </c>
    </row>
    <row r="21" spans="1:3" ht="29">
      <c r="A21">
        <v>20</v>
      </c>
      <c r="B21" t="s">
        <v>35</v>
      </c>
      <c r="C21" s="32" t="s">
        <v>98</v>
      </c>
    </row>
    <row r="22" spans="1:3" ht="55">
      <c r="A22">
        <v>21</v>
      </c>
      <c r="B22" t="s">
        <v>56</v>
      </c>
      <c r="C22" s="31" t="s">
        <v>115</v>
      </c>
    </row>
    <row r="23" spans="1:3">
      <c r="A23">
        <v>22</v>
      </c>
      <c r="B23" t="s">
        <v>57</v>
      </c>
      <c r="C23" s="31" t="s">
        <v>99</v>
      </c>
    </row>
    <row r="24" spans="1:3" ht="42">
      <c r="A24">
        <v>23</v>
      </c>
      <c r="B24" t="s">
        <v>58</v>
      </c>
      <c r="C24" s="31" t="s">
        <v>100</v>
      </c>
    </row>
    <row r="25" spans="1:3" ht="55">
      <c r="A25">
        <v>24</v>
      </c>
      <c r="B25" t="s">
        <v>59</v>
      </c>
      <c r="C25" s="31" t="s">
        <v>101</v>
      </c>
    </row>
    <row r="26" spans="1:3" ht="42">
      <c r="A26">
        <v>25</v>
      </c>
      <c r="B26" t="s">
        <v>60</v>
      </c>
      <c r="C26" s="31" t="s">
        <v>102</v>
      </c>
    </row>
    <row r="27" spans="1:3" ht="29">
      <c r="A27">
        <v>26</v>
      </c>
      <c r="B27" t="s">
        <v>61</v>
      </c>
      <c r="C27" s="31" t="s">
        <v>103</v>
      </c>
    </row>
    <row r="28" spans="1:3" ht="42">
      <c r="A28">
        <v>27</v>
      </c>
      <c r="B28" t="s">
        <v>62</v>
      </c>
      <c r="C28" s="30" t="s">
        <v>104</v>
      </c>
    </row>
    <row r="29" spans="1:3" ht="42">
      <c r="A29">
        <v>28</v>
      </c>
      <c r="B29" t="s">
        <v>63</v>
      </c>
      <c r="C29" s="30" t="s">
        <v>105</v>
      </c>
    </row>
    <row r="30" spans="1:3">
      <c r="A30">
        <v>29</v>
      </c>
      <c r="B30" t="s">
        <v>64</v>
      </c>
      <c r="C30" s="33" t="s">
        <v>106</v>
      </c>
    </row>
    <row r="31" spans="1:3" ht="29">
      <c r="A31">
        <v>30</v>
      </c>
      <c r="B31" t="s">
        <v>65</v>
      </c>
      <c r="C31" s="34" t="s">
        <v>107</v>
      </c>
    </row>
    <row r="32" spans="1:3" ht="29">
      <c r="A32">
        <v>31</v>
      </c>
      <c r="B32" t="s">
        <v>73</v>
      </c>
      <c r="C32" s="35" t="s">
        <v>108</v>
      </c>
    </row>
    <row r="33" spans="1:3" ht="29">
      <c r="A33">
        <v>32</v>
      </c>
      <c r="B33" t="s">
        <v>66</v>
      </c>
      <c r="C33" s="31" t="s">
        <v>109</v>
      </c>
    </row>
    <row r="34" spans="1:3" ht="55">
      <c r="A34">
        <v>33</v>
      </c>
      <c r="B34" t="s">
        <v>67</v>
      </c>
      <c r="C34" s="30" t="s">
        <v>110</v>
      </c>
    </row>
    <row r="35" spans="1:3" ht="29">
      <c r="A35">
        <v>34</v>
      </c>
      <c r="B35" t="s">
        <v>68</v>
      </c>
      <c r="C35" s="30" t="s">
        <v>111</v>
      </c>
    </row>
    <row r="36" spans="1:3" ht="42">
      <c r="A36">
        <v>35</v>
      </c>
      <c r="B36" t="s">
        <v>69</v>
      </c>
      <c r="C36" s="30" t="s">
        <v>112</v>
      </c>
    </row>
    <row r="37" spans="1:3" ht="42">
      <c r="A37">
        <v>36</v>
      </c>
      <c r="B37" t="s">
        <v>70</v>
      </c>
      <c r="C37" s="31" t="s">
        <v>113</v>
      </c>
    </row>
    <row r="38" spans="1:3" ht="42">
      <c r="A38">
        <v>37</v>
      </c>
      <c r="B38" t="s">
        <v>71</v>
      </c>
      <c r="C38" s="31" t="s">
        <v>114</v>
      </c>
    </row>
  </sheetData>
  <phoneticPr fontId="5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output</vt:lpstr>
      <vt:lpstr>stage_hints</vt:lpstr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¥98</dc:creator>
  <cp:lastModifiedBy>福谷 優大</cp:lastModifiedBy>
  <dcterms:created xsi:type="dcterms:W3CDTF">2013-10-07T08:00:17Z</dcterms:created>
  <dcterms:modified xsi:type="dcterms:W3CDTF">2016-02-16T20:58:10Z</dcterms:modified>
</cp:coreProperties>
</file>