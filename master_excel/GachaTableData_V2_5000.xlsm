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260" yWindow="100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5000" sheetId="106" r:id="rId4"/>
    <sheet name="tables_5000" sheetId="82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tables_5000!$A$1:$V$271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103" l="1"/>
  <c r="A2" i="106"/>
  <c r="B29" i="106"/>
  <c r="B20" i="106"/>
  <c r="B21" i="106"/>
  <c r="B23" i="106"/>
  <c r="B22" i="106"/>
  <c r="F6" i="106"/>
  <c r="E6" i="106"/>
  <c r="E5" i="106"/>
  <c r="Q11" i="106"/>
  <c r="Q12" i="106"/>
  <c r="E27" i="106"/>
  <c r="E28" i="106"/>
  <c r="N4" i="106"/>
  <c r="N5" i="106"/>
  <c r="N6" i="106"/>
  <c r="N7" i="106"/>
  <c r="N8" i="106"/>
  <c r="N9" i="106"/>
  <c r="N10" i="106"/>
  <c r="N3" i="106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F5" i="106"/>
  <c r="A36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B5" i="106"/>
  <c r="B24" i="106"/>
  <c r="R5" i="106"/>
  <c r="R4" i="106"/>
  <c r="Q3" i="106"/>
  <c r="Q4" i="106"/>
  <c r="Q5" i="106"/>
  <c r="Q6" i="106"/>
  <c r="Q7" i="106"/>
  <c r="Q8" i="106"/>
  <c r="Q9" i="106"/>
  <c r="Q10" i="106"/>
  <c r="Q13" i="106"/>
  <c r="Q14" i="106"/>
  <c r="Q15" i="106"/>
  <c r="Q16" i="106"/>
  <c r="Q17" i="106"/>
  <c r="Q18" i="106"/>
  <c r="Q19" i="106"/>
  <c r="Q20" i="106"/>
  <c r="E18" i="106"/>
  <c r="B18" i="106"/>
  <c r="G18" i="106"/>
  <c r="H18" i="106"/>
  <c r="O3" i="82"/>
  <c r="G17" i="106"/>
  <c r="E17" i="106"/>
  <c r="H17" i="106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B25" i="106"/>
  <c r="G25" i="106"/>
  <c r="H25" i="106"/>
  <c r="O43" i="82"/>
  <c r="E26" i="106"/>
  <c r="B26" i="106"/>
  <c r="G26" i="106"/>
  <c r="H26" i="106"/>
  <c r="R3" i="106"/>
  <c r="O44" i="82"/>
  <c r="O45" i="82"/>
  <c r="O46" i="82"/>
  <c r="O47" i="82"/>
  <c r="O48" i="82"/>
  <c r="O49" i="82"/>
  <c r="O50" i="82"/>
  <c r="G19" i="106"/>
  <c r="E19" i="106"/>
  <c r="H19" i="106"/>
  <c r="O51" i="82"/>
  <c r="E20" i="106"/>
  <c r="G20" i="106"/>
  <c r="H20" i="106"/>
  <c r="O52" i="82"/>
  <c r="E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R6" i="106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B27" i="106"/>
  <c r="G27" i="106"/>
  <c r="H27" i="106"/>
  <c r="O138" i="82"/>
  <c r="B28" i="106"/>
  <c r="G28" i="106"/>
  <c r="H28" i="106"/>
  <c r="O139" i="82"/>
  <c r="O140" i="82"/>
  <c r="O141" i="82"/>
  <c r="R11" i="106"/>
  <c r="O142" i="82"/>
  <c r="R7" i="106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R12" i="106"/>
  <c r="O156" i="82"/>
  <c r="R8" i="106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V6" i="106"/>
  <c r="G22" i="106"/>
  <c r="E22" i="106"/>
  <c r="H22" i="106"/>
  <c r="O256" i="82"/>
  <c r="G23" i="106"/>
  <c r="E23" i="106"/>
  <c r="H23" i="106"/>
  <c r="O257" i="82"/>
  <c r="O258" i="82"/>
  <c r="O259" i="82"/>
  <c r="G29" i="106"/>
  <c r="E29" i="106"/>
  <c r="H29" i="106"/>
  <c r="R9" i="106"/>
  <c r="O260" i="82"/>
  <c r="R10" i="106"/>
  <c r="O261" i="82"/>
  <c r="O262" i="82"/>
  <c r="O263" i="82"/>
  <c r="O264" i="82"/>
  <c r="O265" i="82"/>
  <c r="O266" i="82"/>
  <c r="O267" i="82"/>
  <c r="O268" i="82"/>
  <c r="O269" i="82"/>
  <c r="O270" i="82"/>
  <c r="O271" i="82"/>
  <c r="O2" i="82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15" i="106"/>
  <c r="R16" i="106"/>
  <c r="R17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5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<sst xmlns="http://schemas.openxmlformats.org/spreadsheetml/2006/main" count="308" uniqueCount="225">
  <si>
    <t>character_id</t>
  </si>
  <si>
    <t>character_id</t>
    <phoneticPr fontId="14"/>
  </si>
  <si>
    <t>weight</t>
    <phoneticPr fontId="14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</si>
  <si>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</si>
  <si>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</si>
  <si>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</si>
  <si>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</si>
  <si>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</si>
  <si>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</si>
  <si>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</si>
  <si>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4"/>
  </si>
  <si>
    <t>bonus_table_no</t>
    <phoneticPr fontId="14"/>
  </si>
  <si>
    <t>weight</t>
    <phoneticPr fontId="14"/>
  </si>
  <si>
    <t>gift_id</t>
    <phoneticPr fontId="14"/>
  </si>
  <si>
    <t>gift_id</t>
    <phoneticPr fontId="14"/>
  </si>
  <si>
    <t>gift_type</t>
    <phoneticPr fontId="14"/>
  </si>
  <si>
    <t>gift_value</t>
    <phoneticPr fontId="14"/>
  </si>
  <si>
    <t>gift_count</t>
    <phoneticPr fontId="14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</si>
  <si>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</si>
  <si>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</si>
  <si>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</si>
  <si>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</si>
  <si>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gift_id</t>
    <phoneticPr fontId="14"/>
  </si>
  <si>
    <t>gift_value</t>
    <phoneticPr fontId="14"/>
  </si>
  <si>
    <t>gift_value</t>
    <phoneticPr fontId="14"/>
  </si>
  <si>
    <t>gift_count</t>
    <phoneticPr fontId="14"/>
  </si>
  <si>
    <t>language</t>
    <phoneticPr fontId="14"/>
  </si>
  <si>
    <t>title</t>
    <phoneticPr fontId="14"/>
  </si>
  <si>
    <t>detail</t>
    <phoneticPr fontId="14"/>
  </si>
  <si>
    <t>message</t>
    <phoneticPr fontId="14"/>
  </si>
  <si>
    <t>gift_type</t>
    <phoneticPr fontId="14"/>
  </si>
  <si>
    <t>備考</t>
    <rPh sb="0" eb="2">
      <t>ビコウ</t>
    </rPh>
    <phoneticPr fontId="14"/>
  </si>
  <si>
    <t>character_id</t>
    <phoneticPr fontId="14"/>
  </si>
  <si>
    <t>name</t>
    <phoneticPr fontId="14"/>
  </si>
  <si>
    <t>drop_label</t>
    <phoneticPr fontId="14"/>
  </si>
  <si>
    <t>rare</t>
    <phoneticPr fontId="14"/>
  </si>
  <si>
    <t>character_type_id</t>
    <phoneticPr fontId="14"/>
  </si>
  <si>
    <t>character_tribe_id</t>
    <phoneticPr fontId="14"/>
  </si>
  <si>
    <t>unit_level</t>
    <phoneticPr fontId="14"/>
  </si>
  <si>
    <t>weight</t>
    <phoneticPr fontId="14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</si>
  <si>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</si>
  <si>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</si>
  <si>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</si>
  <si>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</si>
  <si>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</si>
  <si>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</si>
  <si>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</si>
  <si>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</si>
  <si>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gacha_bonus_tables</t>
    <phoneticPr fontId="47"/>
  </si>
  <si>
    <t>gifts_tmp_</t>
    <phoneticPr fontId="14"/>
  </si>
  <si>
    <t>gifts_i18n_</t>
    <phoneticPr fontId="14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</si>
  <si>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4"/>
  </si>
  <si>
    <t>出力flg</t>
    <rPh sb="0" eb="2">
      <t>シュツリョク</t>
    </rPh>
    <phoneticPr fontId="47"/>
  </si>
  <si>
    <t>color</t>
    <phoneticPr fontId="14"/>
  </si>
  <si>
    <t>レアリティ別確率</t>
    <rPh sb="5" eb="6">
      <t>ベツ</t>
    </rPh>
    <rPh sb="6" eb="8">
      <t>カクリツ</t>
    </rPh>
    <phoneticPr fontId="14"/>
  </si>
  <si>
    <t>ラベル別確率</t>
    <rPh sb="3" eb="4">
      <t>ベツ</t>
    </rPh>
    <rPh sb="4" eb="6">
      <t>カクリツ</t>
    </rPh>
    <phoneticPr fontId="14"/>
  </si>
  <si>
    <t>SSS</t>
    <phoneticPr fontId="14"/>
  </si>
  <si>
    <t>SS</t>
    <phoneticPr fontId="14"/>
  </si>
  <si>
    <t>ラベル*レアリティ標準確率</t>
    <rPh sb="9" eb="11">
      <t>ヒョウジュン</t>
    </rPh>
    <rPh sb="11" eb="13">
      <t>カクリツ</t>
    </rPh>
    <phoneticPr fontId="14"/>
  </si>
  <si>
    <t>性別</t>
    <rPh sb="0" eb="2">
      <t>セイベツ</t>
    </rPh>
    <phoneticPr fontId="14"/>
  </si>
  <si>
    <t>合計</t>
    <rPh sb="0" eb="2">
      <t>ゴウケイ</t>
    </rPh>
    <phoneticPr fontId="14"/>
  </si>
  <si>
    <t>グループ</t>
    <phoneticPr fontId="14"/>
  </si>
  <si>
    <t>ピックアップ確率</t>
    <rPh sb="6" eb="8">
      <t>カクリツ</t>
    </rPh>
    <phoneticPr fontId="14"/>
  </si>
  <si>
    <t>残り確率</t>
    <rPh sb="0" eb="1">
      <t>ノコ</t>
    </rPh>
    <rPh sb="2" eb="4">
      <t>カクリツ</t>
    </rPh>
    <phoneticPr fontId="14"/>
  </si>
  <si>
    <t>確率</t>
    <rPh sb="0" eb="2">
      <t>カクリツ</t>
    </rPh>
    <phoneticPr fontId="14"/>
  </si>
  <si>
    <t>所属グループ</t>
    <rPh sb="0" eb="2">
      <t>ショゾク</t>
    </rPh>
    <phoneticPr fontId="14"/>
  </si>
  <si>
    <t>名前</t>
    <rPh sb="0" eb="2">
      <t>ナマエ</t>
    </rPh>
    <phoneticPr fontId="14"/>
  </si>
  <si>
    <t>レアリティ</t>
    <phoneticPr fontId="14"/>
  </si>
  <si>
    <t>ラベル</t>
    <phoneticPr fontId="14"/>
  </si>
  <si>
    <t>R3</t>
    <phoneticPr fontId="14"/>
  </si>
  <si>
    <t>R4</t>
    <phoneticPr fontId="14"/>
  </si>
  <si>
    <t>R5</t>
    <phoneticPr fontId="14"/>
  </si>
  <si>
    <t>個別確率</t>
    <rPh sb="0" eb="4">
      <t>コベツカクリツ</t>
    </rPh>
    <phoneticPr fontId="14"/>
  </si>
  <si>
    <t>該当数(ピックアップ除く)</t>
    <rPh sb="0" eb="2">
      <t>ガイトウ</t>
    </rPh>
    <rPh sb="2" eb="3">
      <t>スウ</t>
    </rPh>
    <rPh sb="10" eb="11">
      <t>ノゾ</t>
    </rPh>
    <phoneticPr fontId="14"/>
  </si>
  <si>
    <t>個別weight</t>
    <rPh sb="0" eb="2">
      <t>コベツ</t>
    </rPh>
    <phoneticPr fontId="14"/>
  </si>
  <si>
    <t>グループweight</t>
    <phoneticPr fontId="14"/>
  </si>
  <si>
    <t>端数</t>
    <rPh sb="0" eb="2">
      <t>ハスウ</t>
    </rPh>
    <phoneticPr fontId="14"/>
  </si>
  <si>
    <t>確率</t>
    <rPh sb="0" eb="2">
      <t>カクリツ</t>
    </rPh>
    <phoneticPr fontId="14"/>
  </si>
  <si>
    <t>--検算用--</t>
    <rPh sb="3" eb="6">
      <t>ケンザンヨウ</t>
    </rPh>
    <phoneticPr fontId="14"/>
  </si>
  <si>
    <t>端数逆数</t>
    <rPh sb="0" eb="2">
      <t>ハスウ</t>
    </rPh>
    <rPh sb="2" eb="4">
      <t>ギャクスウ</t>
    </rPh>
    <phoneticPr fontId="14"/>
  </si>
  <si>
    <t>テーブルを増やしたい場合</t>
    <rPh sb="5" eb="6">
      <t>フ</t>
    </rPh>
    <rPh sb="10" eb="12">
      <t>バアイ</t>
    </rPh>
    <phoneticPr fontId="14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</si>
  <si>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4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</si>
  <si>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4"/>
  </si>
  <si>
    <t>３．outputシートで２で作ったtablesを指定する</t>
    <rPh sb="14" eb="15">
      <t>ツク</t>
    </rPh>
    <rPh sb="24" eb="26">
      <t>シテイ</t>
    </rPh>
    <phoneticPr fontId="14"/>
  </si>
  <si>
    <t>テーブルid</t>
    <phoneticPr fontId="14"/>
  </si>
  <si>
    <t>→ピックアップの確率は右のほうにいます</t>
    <rPh sb="8" eb="10">
      <t>カクリツ</t>
    </rPh>
    <rPh sb="11" eb="12">
      <t>ミギ</t>
    </rPh>
    <phoneticPr fontId="14"/>
  </si>
  <si>
    <t>table_no</t>
    <phoneticPr fontId="14"/>
  </si>
  <si>
    <t>table_no</t>
    <phoneticPr fontId="14"/>
  </si>
  <si>
    <t>skill_level</t>
  </si>
  <si>
    <t>level</t>
  </si>
  <si>
    <t>hp_plus</t>
    <phoneticPr fontId="47"/>
  </si>
  <si>
    <t>attack_plus</t>
    <phoneticPr fontId="47"/>
  </si>
  <si>
    <t>heal_plus</t>
    <phoneticPr fontId="47"/>
  </si>
  <si>
    <t>defense_plus</t>
    <phoneticPr fontId="47"/>
  </si>
  <si>
    <t>level</t>
    <phoneticPr fontId="47"/>
  </si>
  <si>
    <t>skill_level</t>
    <phoneticPr fontId="47"/>
  </si>
  <si>
    <t>bug</t>
    <phoneticPr fontId="47"/>
  </si>
  <si>
    <t>drop_label2</t>
    <phoneticPr fontId="14"/>
  </si>
  <si>
    <t>Premium</t>
    <phoneticPr fontId="14"/>
  </si>
  <si>
    <t>Premium3</t>
    <phoneticPr fontId="14"/>
  </si>
  <si>
    <t>Premium4</t>
    <phoneticPr fontId="14"/>
  </si>
  <si>
    <t>Premium5</t>
    <phoneticPr fontId="14"/>
  </si>
  <si>
    <t>グループ確率</t>
    <rPh sb="4" eb="6">
      <t>カクリツ</t>
    </rPh>
    <phoneticPr fontId="14"/>
  </si>
  <si>
    <t>レア度別確率</t>
    <rPh sb="2" eb="4">
      <t>ドベツ</t>
    </rPh>
    <rPh sb="4" eb="6">
      <t>カクリツ</t>
    </rPh>
    <phoneticPr fontId="14"/>
  </si>
  <si>
    <t>ラベル別確率</t>
    <rPh sb="3" eb="4">
      <t>ベツ</t>
    </rPh>
    <rPh sb="4" eb="6">
      <t>カクリツ</t>
    </rPh>
    <phoneticPr fontId="14"/>
  </si>
  <si>
    <t>color2</t>
    <phoneticPr fontId="14"/>
  </si>
  <si>
    <t>Premium3</t>
  </si>
  <si>
    <t>Premium4</t>
  </si>
  <si>
    <t>Premium5</t>
  </si>
  <si>
    <t>PremiumSS4</t>
    <phoneticPr fontId="14"/>
  </si>
  <si>
    <t>PremiumSS5</t>
    <phoneticPr fontId="14"/>
  </si>
  <si>
    <t>PremiumSSS5</t>
    <phoneticPr fontId="14"/>
  </si>
  <si>
    <t>PremiumSS4</t>
    <phoneticPr fontId="14"/>
  </si>
  <si>
    <t>PremiumSSS4</t>
    <phoneticPr fontId="14"/>
  </si>
  <si>
    <t>PremiumSS5</t>
    <phoneticPr fontId="14"/>
  </si>
  <si>
    <t>PremiumSSS5</t>
    <phoneticPr fontId="14"/>
  </si>
  <si>
    <t>gacha_select_tables_</t>
    <phoneticPr fontId="14"/>
  </si>
  <si>
    <t>ラベル確率で考えましょう</t>
    <rPh sb="6" eb="7">
      <t>カンガエマショウ</t>
    </rPh>
    <phoneticPr fontId="47"/>
  </si>
  <si>
    <t>ラベル</t>
    <phoneticPr fontId="47"/>
  </si>
  <si>
    <t>レアリティ</t>
    <phoneticPr fontId="47"/>
  </si>
  <si>
    <t>{W}</t>
    <phoneticPr fontId="47"/>
  </si>
  <si>
    <t>{N,S}</t>
    <phoneticPr fontId="47"/>
  </si>
  <si>
    <t>{N,S}R3less</t>
    <phoneticPr fontId="47"/>
  </si>
  <si>
    <t>{N,S}R6release</t>
    <phoneticPr fontId="47"/>
  </si>
  <si>
    <t>{SS}</t>
    <phoneticPr fontId="47"/>
  </si>
  <si>
    <t>{SS}R6only</t>
    <phoneticPr fontId="47"/>
  </si>
  <si>
    <t>小計</t>
    <rPh sb="0" eb="2">
      <t>ショウケイ</t>
    </rPh>
    <phoneticPr fontId="47"/>
  </si>
  <si>
    <t>A</t>
    <phoneticPr fontId="47"/>
  </si>
  <si>
    <t>C</t>
    <phoneticPr fontId="47"/>
  </si>
  <si>
    <t>H</t>
    <phoneticPr fontId="47"/>
  </si>
  <si>
    <t>B</t>
    <phoneticPr fontId="47"/>
  </si>
  <si>
    <t>D</t>
    <phoneticPr fontId="47"/>
  </si>
  <si>
    <t>F</t>
    <phoneticPr fontId="47"/>
  </si>
  <si>
    <t>I</t>
    <phoneticPr fontId="47"/>
  </si>
  <si>
    <t>K</t>
    <phoneticPr fontId="47"/>
  </si>
  <si>
    <t>E</t>
    <phoneticPr fontId="47"/>
  </si>
  <si>
    <t>G</t>
    <phoneticPr fontId="47"/>
  </si>
  <si>
    <t>J</t>
    <phoneticPr fontId="47"/>
  </si>
  <si>
    <t>L</t>
    <phoneticPr fontId="47"/>
  </si>
  <si>
    <t>M</t>
    <phoneticPr fontId="47"/>
  </si>
  <si>
    <t>→</t>
    <phoneticPr fontId="47"/>
  </si>
  <si>
    <t>1-SS率</t>
    <rPh sb="4" eb="5">
      <t>リツ</t>
    </rPh>
    <phoneticPr fontId="47"/>
  </si>
  <si>
    <t>SS率</t>
    <rPh sb="2" eb="3">
      <t>リツ</t>
    </rPh>
    <phoneticPr fontId="47"/>
  </si>
  <si>
    <t>考え方を変える</t>
    <rPh sb="0" eb="1">
      <t>カンガエカタ</t>
    </rPh>
    <rPh sb="4" eb="5">
      <t>カエル</t>
    </rPh>
    <phoneticPr fontId="47"/>
  </si>
  <si>
    <t>SS4%は確定事項</t>
    <rPh sb="5" eb="7">
      <t>カクテイ</t>
    </rPh>
    <rPh sb="7" eb="9">
      <t>ジコウ</t>
    </rPh>
    <phoneticPr fontId="47"/>
  </si>
  <si>
    <t>当たりは分配</t>
    <rPh sb="0" eb="1">
      <t>アタリ</t>
    </rPh>
    <rPh sb="4" eb="6">
      <t>ブンパイ</t>
    </rPh>
    <phoneticPr fontId="47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</si>
  <si>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7"/>
  </si>
  <si>
    <t>=</t>
    <phoneticPr fontId="47"/>
  </si>
  <si>
    <t>X*{SS R5only}</t>
    <phoneticPr fontId="47"/>
  </si>
  <si>
    <t>K</t>
    <phoneticPr fontId="47"/>
  </si>
  <si>
    <t>=</t>
    <phoneticPr fontId="47"/>
  </si>
  <si>
    <t>X*{SS}*(R3率+R4率)</t>
    <rPh sb="10" eb="11">
      <t>リツ</t>
    </rPh>
    <rPh sb="14" eb="15">
      <t>リツ</t>
    </rPh>
    <phoneticPr fontId="47"/>
  </si>
  <si>
    <t>L</t>
    <phoneticPr fontId="47"/>
  </si>
  <si>
    <t>X*{SS}*R5率</t>
    <rPh sb="9" eb="10">
      <t>リツ</t>
    </rPh>
    <phoneticPr fontId="47"/>
  </si>
  <si>
    <t>X*{R6release}*R3率</t>
    <rPh sb="16" eb="17">
      <t>リツ</t>
    </rPh>
    <phoneticPr fontId="47"/>
  </si>
  <si>
    <t>X*{R6release}*R4率</t>
    <rPh sb="16" eb="17">
      <t>リツ</t>
    </rPh>
    <phoneticPr fontId="47"/>
  </si>
  <si>
    <t>J</t>
    <phoneticPr fontId="47"/>
  </si>
  <si>
    <t>X*{R6release}*R5率</t>
    <rPh sb="16" eb="17">
      <t>リツ</t>
    </rPh>
    <phoneticPr fontId="47"/>
  </si>
  <si>
    <t>ハズレで確率を整える</t>
    <rPh sb="4" eb="6">
      <t>カクリツ</t>
    </rPh>
    <rPh sb="7" eb="8">
      <t>トトノエル</t>
    </rPh>
    <phoneticPr fontId="47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</si>
  <si>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7"/>
  </si>
  <si>
    <t>A + C</t>
    <phoneticPr fontId="47"/>
  </si>
  <si>
    <t>=</t>
    <phoneticPr fontId="47"/>
  </si>
  <si>
    <t>50%-H</t>
    <phoneticPr fontId="47"/>
  </si>
  <si>
    <t>①</t>
    <phoneticPr fontId="47"/>
  </si>
  <si>
    <t>B + D + F</t>
    <phoneticPr fontId="47"/>
  </si>
  <si>
    <t>45%-I-K</t>
    <phoneticPr fontId="47"/>
  </si>
  <si>
    <t>②</t>
    <phoneticPr fontId="47"/>
  </si>
  <si>
    <t>E+G</t>
    <phoneticPr fontId="47"/>
  </si>
  <si>
    <t>5%-J-L-M</t>
    <phoneticPr fontId="47"/>
  </si>
  <si>
    <t>③</t>
    <phoneticPr fontId="47"/>
  </si>
  <si>
    <t>A+B</t>
    <phoneticPr fontId="47"/>
  </si>
  <si>
    <t>Y*{W}</t>
    <phoneticPr fontId="47"/>
  </si>
  <si>
    <t>④</t>
    <phoneticPr fontId="47"/>
  </si>
  <si>
    <t>C+D+E</t>
    <phoneticPr fontId="47"/>
  </si>
  <si>
    <t>Y*{N,S}</t>
    <phoneticPr fontId="47"/>
  </si>
  <si>
    <t>⑤</t>
    <phoneticPr fontId="47"/>
  </si>
  <si>
    <t>F+G</t>
    <phoneticPr fontId="47"/>
  </si>
  <si>
    <t>Y*{N,S R3less}</t>
    <phoneticPr fontId="47"/>
  </si>
  <si>
    <t>⑥</t>
    <phoneticPr fontId="47"/>
  </si>
  <si>
    <t>A+B+C+D+E+F+G</t>
    <phoneticPr fontId="47"/>
  </si>
  <si>
    <t>⑦</t>
    <phoneticPr fontId="47"/>
  </si>
  <si>
    <t>←これは4,5,6で作れるのでダメだわ</t>
    <rPh sb="10" eb="11">
      <t>ツクレル</t>
    </rPh>
    <phoneticPr fontId="47"/>
  </si>
  <si>
    <t>E*R3率/R5率</t>
    <rPh sb="4" eb="5">
      <t>リツ</t>
    </rPh>
    <rPh sb="8" eb="9">
      <t>リツ</t>
    </rPh>
    <phoneticPr fontId="47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</si>
  <si>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7"/>
  </si>
  <si>
    <t>E*R4率/R5率</t>
    <rPh sb="4" eb="5">
      <t>リツ</t>
    </rPh>
    <rPh sb="8" eb="9">
      <t>リツ</t>
    </rPh>
    <phoneticPr fontId="47"/>
  </si>
  <si>
    <t>∴</t>
    <phoneticPr fontId="47"/>
  </si>
  <si>
    <t>E</t>
    <phoneticPr fontId="47"/>
  </si>
  <si>
    <t>Y*{N,S}*R5率</t>
    <rPh sb="10" eb="11">
      <t>リツ</t>
    </rPh>
    <phoneticPr fontId="47"/>
  </si>
  <si>
    <t>Y*{N,S}*R4率</t>
    <rPh sb="10" eb="11">
      <t>リツ</t>
    </rPh>
    <phoneticPr fontId="47"/>
  </si>
  <si>
    <t>Y*{N,S}*R3率</t>
    <rPh sb="10" eb="11">
      <t>リツ</t>
    </rPh>
    <phoneticPr fontId="47"/>
  </si>
  <si>
    <t>50%-H-C</t>
    <phoneticPr fontId="47"/>
  </si>
  <si>
    <t>Y*{W}-A</t>
    <phoneticPr fontId="47"/>
  </si>
  <si>
    <t>5%-J-L-M-E</t>
    <phoneticPr fontId="47"/>
  </si>
  <si>
    <t>Y*{N,S R3less} - G</t>
    <phoneticPr fontId="47"/>
  </si>
  <si>
    <t>R6境界前後</t>
    <rPh sb="2" eb="4">
      <t>キョウカイ</t>
    </rPh>
    <rPh sb="4" eb="6">
      <t>ゼンゴ</t>
    </rPh>
    <phoneticPr fontId="14"/>
  </si>
  <si>
    <t>R6事後開放N,S</t>
    <rPh sb="2" eb="6">
      <t>ジゴカイホウ</t>
    </rPh>
    <phoneticPr fontId="14"/>
  </si>
  <si>
    <t>PremiumW3</t>
    <phoneticPr fontId="14"/>
  </si>
  <si>
    <t>PremiumW4</t>
    <phoneticPr fontId="14"/>
  </si>
  <si>
    <t>ラベル確率</t>
    <rPh sb="3" eb="5">
      <t>カクリツ</t>
    </rPh>
    <phoneticPr fontId="14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</si>
  <si>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</si>
  <si>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</si>
  <si>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</si>
  <si>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</si>
  <si>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</si>
  <si>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4"/>
  </si>
  <si>
    <t>PremiumSS5R5only</t>
  </si>
  <si>
    <t>計算用中間データ</t>
    <rPh sb="0" eb="3">
      <t>ケイサンヨウ</t>
    </rPh>
    <rPh sb="3" eb="5">
      <t>チュウカン</t>
    </rPh>
    <phoneticPr fontId="14"/>
  </si>
  <si>
    <t>X</t>
    <phoneticPr fontId="14"/>
  </si>
  <si>
    <t>Y</t>
    <phoneticPr fontId="14"/>
  </si>
  <si>
    <t>対象数</t>
    <rPh sb="0" eb="3">
      <t>タイショウスウ</t>
    </rPh>
    <phoneticPr fontId="14"/>
  </si>
  <si>
    <t>PremiumW</t>
    <phoneticPr fontId="14"/>
  </si>
  <si>
    <t>PremiumN</t>
    <phoneticPr fontId="14"/>
  </si>
  <si>
    <t>PremiumS</t>
    <phoneticPr fontId="14"/>
  </si>
  <si>
    <t>PremiumSS</t>
    <phoneticPr fontId="14"/>
  </si>
  <si>
    <t>weight</t>
    <phoneticPr fontId="14"/>
  </si>
  <si>
    <t>←R6分はここから差し引く</t>
    <rPh sb="3" eb="4">
      <t>ブン</t>
    </rPh>
    <rPh sb="9" eb="10">
      <t>サシヒク</t>
    </rPh>
    <phoneticPr fontId="14"/>
  </si>
  <si>
    <t>除外確率</t>
    <rPh sb="0" eb="2">
      <t>ジョガイ</t>
    </rPh>
    <rPh sb="2" eb="4">
      <t>カクリツ</t>
    </rPh>
    <phoneticPr fontId="14"/>
  </si>
  <si>
    <t>除外数</t>
    <rPh sb="0" eb="3">
      <t>ジョガイスウ</t>
    </rPh>
    <phoneticPr fontId="14"/>
  </si>
  <si>
    <t>もうここは手で入れよう…</t>
    <rPh sb="5" eb="6">
      <t>テ</t>
    </rPh>
    <rPh sb="7" eb="8">
      <t>イレヨウ</t>
    </rPh>
    <phoneticPr fontId="14"/>
  </si>
  <si>
    <t>通常weight</t>
    <rPh sb="0" eb="2">
      <t>ツウジョウ</t>
    </rPh>
    <phoneticPr fontId="14"/>
  </si>
  <si>
    <t>ステップアップ確率</t>
    <rPh sb="7" eb="9">
      <t>カクリツ</t>
    </rPh>
    <phoneticPr fontId="14"/>
  </si>
  <si>
    <t>skip</t>
    <phoneticPr fontId="14"/>
  </si>
  <si>
    <t>hogehoge</t>
    <phoneticPr fontId="14"/>
  </si>
  <si>
    <t>old</t>
    <phoneticPr fontId="14"/>
  </si>
  <si>
    <t>tables_5000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</si>
</sst>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3" fillId="0" borderId="0"/>
    <xf numFmtId="0" fontId="17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2" fillId="0" borderId="0"/>
    <xf numFmtId="0" fontId="24" fillId="5" borderId="2" applyNumberFormat="0" applyAlignment="0" applyProtection="0"/>
    <xf numFmtId="0" fontId="25" fillId="6" borderId="0" applyNumberFormat="0" applyBorder="0" applyAlignment="0" applyProtection="0"/>
    <xf numFmtId="0" fontId="26" fillId="7" borderId="3" applyNumberFormat="0" applyAlignment="0" applyProtection="0"/>
    <xf numFmtId="0" fontId="27" fillId="0" borderId="0" applyNumberFormat="0" applyFill="0" applyBorder="0" applyAlignment="0" applyProtection="0"/>
    <xf numFmtId="0" fontId="28" fillId="8" borderId="0" applyNumberFormat="0" applyBorder="0" applyAlignment="0" applyProtection="0"/>
    <xf numFmtId="0" fontId="29" fillId="9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7" borderId="0" applyNumberFormat="0" applyBorder="0" applyAlignment="0" applyProtection="0"/>
    <xf numFmtId="0" fontId="34" fillId="6" borderId="0" applyNumberFormat="0" applyBorder="0" applyAlignment="0" applyProtection="0"/>
    <xf numFmtId="0" fontId="34" fillId="10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5" borderId="0" applyNumberFormat="0" applyBorder="0" applyAlignment="0" applyProtection="0"/>
    <xf numFmtId="0" fontId="34" fillId="7" borderId="0" applyNumberFormat="0" applyBorder="0" applyAlignment="0" applyProtection="0"/>
    <xf numFmtId="0" fontId="34" fillId="12" borderId="0" applyNumberFormat="0" applyBorder="0" applyAlignment="0" applyProtection="0"/>
    <xf numFmtId="0" fontId="34" fillId="10" borderId="0" applyNumberFormat="0" applyBorder="0" applyAlignment="0" applyProtection="0"/>
    <xf numFmtId="0" fontId="34" fillId="7" borderId="0" applyNumberFormat="0" applyBorder="0" applyAlignment="0" applyProtection="0"/>
    <xf numFmtId="0" fontId="34" fillId="13" borderId="0" applyNumberFormat="0" applyBorder="0" applyAlignment="0" applyProtection="0"/>
    <xf numFmtId="0" fontId="34" fillId="6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4" borderId="0" applyNumberFormat="0" applyBorder="0" applyAlignment="0" applyProtection="0"/>
    <xf numFmtId="0" fontId="35" fillId="6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6" fillId="17" borderId="0" applyNumberFormat="0" applyBorder="0" applyAlignment="0" applyProtection="0"/>
    <xf numFmtId="0" fontId="25" fillId="6" borderId="0" applyNumberFormat="0" applyBorder="0" applyAlignment="0" applyProtection="0"/>
    <xf numFmtId="0" fontId="37" fillId="0" borderId="8" applyNumberFormat="0" applyFill="0" applyAlignment="0" applyProtection="0"/>
    <xf numFmtId="0" fontId="38" fillId="7" borderId="9" applyNumberFormat="0" applyAlignment="0" applyProtection="0"/>
    <xf numFmtId="0" fontId="38" fillId="18" borderId="9" applyNumberFormat="0" applyAlignment="0" applyProtection="0"/>
    <xf numFmtId="0" fontId="26" fillId="6" borderId="3" applyNumberFormat="0" applyAlignment="0" applyProtection="0"/>
    <xf numFmtId="0" fontId="39" fillId="0" borderId="10" applyNumberFormat="0" applyFill="0" applyAlignment="0" applyProtection="0"/>
    <xf numFmtId="0" fontId="40" fillId="18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2" fillId="0" borderId="0" applyFont="0" applyFill="0" applyBorder="0" applyAlignment="0" applyProtection="0">
      <alignment vertical="center"/>
    </xf>
    <xf numFmtId="0" fontId="43" fillId="19" borderId="0" applyNumberFormat="0" applyBorder="0" applyAlignment="0" applyProtection="0"/>
    <xf numFmtId="0" fontId="44" fillId="20" borderId="0" applyNumberFormat="0" applyBorder="0" applyAlignment="0" applyProtection="0"/>
    <xf numFmtId="0" fontId="12" fillId="0" borderId="0"/>
    <xf numFmtId="0" fontId="45" fillId="20" borderId="0" applyNumberFormat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0"/>
    <xf numFmtId="0" fontId="48" fillId="0" borderId="0">
      <alignment vertic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5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" fillId="0" borderId="0"/>
    <xf numFmtId="38" fontId="49" fillId="0" borderId="0" applyFont="0" applyFill="0" applyBorder="0" applyAlignment="0" applyProtection="0"/>
  </cellStyleXfs>
  <cellXfs count="88">
    <xf numFmtId="0" fontId="0" fillId="0" borderId="0" xfId="0"/>
    <xf numFmtId="0" fontId="19" fillId="0" borderId="0" xfId="2" applyFont="1" applyAlignment="1">
      <alignment vertical="center"/>
    </xf>
    <xf numFmtId="0" fontId="19" fillId="0" borderId="1" xfId="2" applyFont="1" applyBorder="1" applyAlignment="1">
      <alignment vertical="center"/>
    </xf>
    <xf numFmtId="0" fontId="19" fillId="3" borderId="1" xfId="2" applyFont="1" applyFill="1" applyBorder="1" applyAlignment="1">
      <alignment horizontal="center" vertical="center"/>
    </xf>
    <xf numFmtId="0" fontId="19" fillId="0" borderId="0" xfId="2" applyFont="1" applyAlignment="1">
      <alignment horizontal="center" vertical="center"/>
    </xf>
    <xf numFmtId="0" fontId="19" fillId="4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horizontal="right" vertical="center"/>
    </xf>
    <xf numFmtId="0" fontId="19" fillId="3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vertical="center"/>
    </xf>
    <xf numFmtId="0" fontId="19" fillId="0" borderId="13" xfId="2" applyFont="1" applyBorder="1" applyAlignment="1">
      <alignment vertical="center"/>
    </xf>
    <xf numFmtId="0" fontId="18" fillId="4" borderId="12" xfId="0" applyFont="1" applyFill="1" applyBorder="1" applyAlignment="1">
      <alignment horizontal="right" vertical="center"/>
    </xf>
    <xf numFmtId="0" fontId="18" fillId="4" borderId="14" xfId="0" applyFont="1" applyFill="1" applyBorder="1" applyAlignment="1">
      <alignment horizontal="right" vertical="center"/>
    </xf>
    <xf numFmtId="0" fontId="19" fillId="0" borderId="15" xfId="2" applyFont="1" applyBorder="1" applyAlignment="1">
      <alignment vertical="center"/>
    </xf>
    <xf numFmtId="0" fontId="19" fillId="2" borderId="1" xfId="2" applyFont="1" applyFill="1" applyBorder="1" applyAlignment="1">
      <alignment horizontal="left" vertical="center"/>
    </xf>
    <xf numFmtId="0" fontId="46" fillId="21" borderId="1" xfId="0" applyFont="1" applyFill="1" applyBorder="1" applyAlignment="1">
      <alignment horizontal="left" vertical="center"/>
    </xf>
    <xf numFmtId="0" fontId="19" fillId="2" borderId="1" xfId="2" applyFont="1" applyFill="1" applyBorder="1" applyAlignment="1">
      <alignment horizontal="center" vertical="center"/>
    </xf>
    <xf numFmtId="0" fontId="21" fillId="22" borderId="1" xfId="2978" applyFont="1" applyFill="1" applyBorder="1"/>
    <xf numFmtId="0" fontId="7" fillId="22" borderId="1" xfId="2978" applyFill="1" applyBorder="1"/>
    <xf numFmtId="0" fontId="7" fillId="0" borderId="0" xfId="2978"/>
    <xf numFmtId="0" fontId="7" fillId="0" borderId="1" xfId="2978" applyBorder="1"/>
    <xf numFmtId="0" fontId="7" fillId="2" borderId="1" xfId="2978" applyFill="1" applyBorder="1"/>
    <xf numFmtId="0" fontId="11" fillId="2" borderId="1" xfId="19" applyFont="1" applyFill="1" applyBorder="1"/>
    <xf numFmtId="0" fontId="12" fillId="2" borderId="1" xfId="19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6" fillId="0" borderId="1" xfId="2978" applyFont="1" applyBorder="1"/>
    <xf numFmtId="0" fontId="21" fillId="22" borderId="1" xfId="0" applyFont="1" applyFill="1" applyBorder="1"/>
    <xf numFmtId="0" fontId="46" fillId="23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6" fillId="30" borderId="1" xfId="0" applyFont="1" applyFill="1" applyBorder="1" applyAlignment="1">
      <alignment horizontal="left" vertical="center"/>
    </xf>
    <xf numFmtId="0" fontId="19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18" fillId="25" borderId="1" xfId="0" applyFont="1" applyFill="1" applyBorder="1" applyAlignment="1">
      <alignment horizontal="right" vertical="center"/>
    </xf>
    <xf numFmtId="0" fontId="3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2" fillId="0" borderId="0" xfId="3662"/>
    <xf numFmtId="0" fontId="2" fillId="4" borderId="0" xfId="3662" applyFill="1"/>
    <xf numFmtId="9" fontId="2" fillId="0" borderId="0" xfId="3662" applyNumberFormat="1"/>
    <xf numFmtId="0" fontId="2" fillId="0" borderId="0" xfId="3662" applyFill="1"/>
    <xf numFmtId="9" fontId="2" fillId="0" borderId="0" xfId="3662" applyNumberFormat="1" applyAlignment="1"/>
    <xf numFmtId="0" fontId="2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0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1" fillId="32" borderId="1" xfId="0" applyNumberFormat="1" applyFont="1" applyFill="1" applyBorder="1"/>
    <xf numFmtId="38" fontId="19" fillId="4" borderId="1" xfId="3663" quotePrefix="1" applyFont="1" applyFill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 wrapText="1"/>
    </xf>
    <xf numFmtId="0" fontId="1" fillId="0" borderId="1" xfId="3036" applyFont="1" applyBorder="1"/>
    <xf numFmtId="0" fontId="1" fillId="0" borderId="1" xfId="2978" applyFont="1" applyBorder="1"/>
    <xf numFmtId="177" fontId="0" fillId="32" borderId="1" xfId="0" applyNumberFormat="1" applyFill="1" applyBorder="1"/>
    <xf numFmtId="0" fontId="0" fillId="32" borderId="0" xfId="0" applyFill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DropWisSS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blue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blue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blue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blue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blue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blue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DropWizS</v>
          </cell>
          <cell r="K979" t="str">
            <v>balance</v>
          </cell>
          <cell r="L979" t="str">
            <v>バランスタイプ</v>
          </cell>
          <cell r="M979" t="str">
            <v>unknown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DropWizS</v>
          </cell>
          <cell r="K980" t="str">
            <v>balance</v>
          </cell>
          <cell r="L980" t="str">
            <v>バランスタイプ</v>
          </cell>
          <cell r="M980" t="str">
            <v>unknown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Drop1T</v>
          </cell>
          <cell r="K981" t="str">
            <v>attack</v>
          </cell>
          <cell r="L981" t="str">
            <v>攻撃タイプ</v>
          </cell>
          <cell r="M981" t="str">
            <v>unknown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Drop1T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Drop1T</v>
          </cell>
          <cell r="K983" t="str">
            <v>heal</v>
          </cell>
          <cell r="L983" t="str">
            <v>回復タイプ</v>
          </cell>
          <cell r="M983" t="str">
            <v>unknown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Drop1T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Drop1W</v>
          </cell>
          <cell r="K985" t="str">
            <v>balance</v>
          </cell>
          <cell r="L985" t="str">
            <v>バランスタイプ</v>
          </cell>
          <cell r="M985" t="str">
            <v>human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green</v>
          </cell>
          <cell r="I986">
            <v>6</v>
          </cell>
          <cell r="J986" t="str">
            <v>Drop1W</v>
          </cell>
          <cell r="K986" t="str">
            <v>heal</v>
          </cell>
          <cell r="L986" t="str">
            <v>回復タイプ</v>
          </cell>
          <cell r="M986" t="str">
            <v>machine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Drop1W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Drop1W</v>
          </cell>
          <cell r="K988" t="str">
            <v>attack</v>
          </cell>
          <cell r="L988" t="str">
            <v>攻撃タイプ</v>
          </cell>
          <cell r="M988" t="str">
            <v>animal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DropWizW</v>
          </cell>
          <cell r="K989" t="str">
            <v>heal</v>
          </cell>
          <cell r="L989" t="str">
            <v>回復タイプ</v>
          </cell>
          <cell r="M989" t="str">
            <v>unknown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DropWizW</v>
          </cell>
          <cell r="K990" t="str">
            <v>heal</v>
          </cell>
          <cell r="L990" t="str">
            <v>回復タイプ</v>
          </cell>
          <cell r="M990" t="str">
            <v>unknown</v>
          </cell>
        </row>
        <row r="991">
          <cell r="A991">
            <v>8013</v>
          </cell>
          <cell r="B991" t="str">
            <v>ja</v>
          </cell>
          <cell r="C991" t="str">
            <v>初音ミクV3</v>
          </cell>
          <cell r="D991" t="str">
            <v>ガチャ:ミクコラボ01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green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初音ミクV3</v>
          </cell>
          <cell r="D992" t="str">
            <v>ガチャ:ミクコラボ01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green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初音ミク・アペンド</v>
          </cell>
          <cell r="D993" t="str">
            <v>ガチャ:ミクコラボ01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初音ミク・アペンド</v>
          </cell>
          <cell r="D994" t="str">
            <v>ガチャ:ミクコラボ01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初音ミク</v>
          </cell>
          <cell r="D995" t="str">
            <v>ガチャ:ミクコラボ01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初音ミク</v>
          </cell>
          <cell r="D996" t="str">
            <v>ガチャ:ミクコラボ01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鏡音リン</v>
          </cell>
          <cell r="D997" t="str">
            <v>ガチャ:ミクコラボ01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鏡音リン</v>
          </cell>
          <cell r="D998" t="str">
            <v>ガチャ:ミクコラボ01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鏡音レン</v>
          </cell>
          <cell r="D999" t="str">
            <v>ガチャ:ミクコラボ01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鏡音レン</v>
          </cell>
          <cell r="D1000" t="str">
            <v>ガチャ:ミクコラボ01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巡音ルカ</v>
          </cell>
          <cell r="D1001" t="str">
            <v>ガチャ:ミクコラボ01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巡音ルカ</v>
          </cell>
          <cell r="D1002" t="str">
            <v>ガチャ:ミクコラボ01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MEIKO</v>
          </cell>
          <cell r="D1003" t="str">
            <v>ガチャ:ミクコラボ01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MEIKO</v>
          </cell>
          <cell r="D1004" t="str">
            <v>ガチャ:ミクコラボ01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KAITO</v>
          </cell>
          <cell r="D1005" t="str">
            <v>イベント:ミクコラボ01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Drop2N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KAITO</v>
          </cell>
          <cell r="D1006" t="str">
            <v>イベント:ミクコラボ01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Drop2N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Expoミク</v>
          </cell>
          <cell r="D1007" t="str">
            <v>イベント:ミクコラボ01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green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Expoミク</v>
          </cell>
          <cell r="D1008" t="str">
            <v>イベント:ミクコラボ01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green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4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5"/>
  <sheetViews>
    <sheetView tabSelected="1" workbookViewId="0">
      <selection activeCell="D18" sqref="D1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3" t="s">
        <v>223</v>
      </c>
      <c r="B2" s="61" t="s">
        <v>116</v>
      </c>
      <c r="C2" s="50" t="str">
        <f>RIGHT(F2,4)</f>
        <v>5000</v>
      </c>
      <c r="D2" s="19" t="s">
        <v>46</v>
      </c>
      <c r="E2" s="17" t="str">
        <f t="shared" ref="E2:E5" si="0">B2&amp;C2&amp;D2</f>
        <v>gacha_select_tables_5000.tmp</v>
      </c>
      <c r="F2" s="87" t="s">
        <v>224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3" t="s">
        <v>221</v>
      </c>
      <c r="B3" s="27" t="s">
        <v>51</v>
      </c>
      <c r="C3" s="84" t="s">
        <v>222</v>
      </c>
      <c r="D3" s="19" t="s">
        <v>47</v>
      </c>
      <c r="E3" s="17" t="str">
        <f t="shared" si="0"/>
        <v>gacha_bonus_tables_hogehoge.tmp</v>
      </c>
      <c r="F3" s="19" t="s">
        <v>48</v>
      </c>
      <c r="G3" s="21" t="s">
        <v>11</v>
      </c>
      <c r="H3" s="23" t="s">
        <v>14</v>
      </c>
      <c r="I3" s="21" t="s">
        <v>12</v>
      </c>
      <c r="J3" s="20"/>
      <c r="K3" s="20"/>
      <c r="L3" s="20"/>
      <c r="M3" s="20"/>
      <c r="N3" s="20"/>
      <c r="O3" s="20"/>
    </row>
    <row r="4" spans="1:21" x14ac:dyDescent="0.15">
      <c r="A4" s="83" t="s">
        <v>221</v>
      </c>
      <c r="B4" s="19" t="s">
        <v>49</v>
      </c>
      <c r="C4" s="84" t="s">
        <v>222</v>
      </c>
      <c r="D4" s="19" t="s">
        <v>47</v>
      </c>
      <c r="E4" s="17" t="str">
        <f t="shared" si="0"/>
        <v>gifts_tmp_hogehoge.tmp</v>
      </c>
      <c r="F4" s="19" t="s">
        <v>48</v>
      </c>
      <c r="G4" s="23" t="s">
        <v>22</v>
      </c>
      <c r="H4" s="24" t="s">
        <v>30</v>
      </c>
      <c r="I4" s="23" t="s">
        <v>23</v>
      </c>
      <c r="J4" s="23" t="s">
        <v>24</v>
      </c>
      <c r="K4" s="23" t="s">
        <v>24</v>
      </c>
      <c r="L4" s="23" t="s">
        <v>25</v>
      </c>
      <c r="M4" s="23" t="s">
        <v>25</v>
      </c>
      <c r="N4" s="23" t="s">
        <v>25</v>
      </c>
      <c r="O4" s="51" t="s">
        <v>7</v>
      </c>
      <c r="P4" s="51" t="s">
        <v>9</v>
      </c>
      <c r="Q4" s="51" t="s">
        <v>6</v>
      </c>
      <c r="R4" s="51" t="s">
        <v>88</v>
      </c>
      <c r="S4" s="51" t="s">
        <v>8</v>
      </c>
      <c r="T4" s="51" t="s">
        <v>89</v>
      </c>
      <c r="U4" s="51" t="s">
        <v>5</v>
      </c>
    </row>
    <row r="5" spans="1:21" x14ac:dyDescent="0.15">
      <c r="A5" s="83" t="s">
        <v>221</v>
      </c>
      <c r="B5" s="19" t="s">
        <v>50</v>
      </c>
      <c r="C5" s="84" t="s">
        <v>222</v>
      </c>
      <c r="D5" s="19" t="s">
        <v>47</v>
      </c>
      <c r="E5" s="17" t="str">
        <f t="shared" si="0"/>
        <v>gifts_i18n_hogehoge.tmp</v>
      </c>
      <c r="F5" s="19" t="s">
        <v>48</v>
      </c>
      <c r="G5" s="23" t="s">
        <v>13</v>
      </c>
      <c r="H5" s="25" t="s">
        <v>26</v>
      </c>
      <c r="I5" s="25" t="s">
        <v>27</v>
      </c>
      <c r="J5" s="25" t="s">
        <v>28</v>
      </c>
      <c r="K5" s="25" t="s">
        <v>29</v>
      </c>
      <c r="L5" s="26"/>
      <c r="M5" s="23"/>
      <c r="N5" s="23"/>
      <c r="O5" s="19"/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A3" sqref="A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RIGHT(RIGHT(CELL("filename",A2),LEN(CELL("filename",A2))-FIND("]",CELL("filename",A2))),4)</f>
        <v>5000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168</v>
      </c>
      <c r="M3" s="37" t="str">
        <f>VLOOKUP(L3,[1]characters!$A:$C,3,FALSE)</f>
        <v>猛進の大逆者 ベリアル</v>
      </c>
      <c r="N3" s="63">
        <f>50%/8</f>
        <v>6.25E-2</v>
      </c>
      <c r="O3" s="37">
        <f>VLOOKUP(L3,[1]characters!$A:$I,9,FALSE)</f>
        <v>5</v>
      </c>
      <c r="P3" s="37" t="str">
        <f>VLOOKUP(L3,[1]characters!$A:$J,10,FALSE)</f>
        <v>PremiumN</v>
      </c>
      <c r="Q3" s="37" t="str">
        <f>VLOOKUP(L3,tables_5000!B:C,2,FALSE)</f>
        <v>Premium5R6release</v>
      </c>
      <c r="R3" s="62">
        <f t="shared" ref="R3:R20" si="0">N3*A$36</f>
        <v>240500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>
        <v>171</v>
      </c>
      <c r="M4" s="37" t="str">
        <f>VLOOKUP(L4,[1]characters!$A:$C,3,FALSE)</f>
        <v>精解の預知者 オセ</v>
      </c>
      <c r="N4" s="63">
        <f t="shared" ref="N4:N10" si="2">50%/8</f>
        <v>6.25E-2</v>
      </c>
      <c r="O4" s="37">
        <f>VLOOKUP(L4,[1]characters!$A:$I,9,FALSE)</f>
        <v>5</v>
      </c>
      <c r="P4" s="37" t="str">
        <f>VLOOKUP(L4,[1]characters!$A:$J,10,FALSE)</f>
        <v>PremiumN</v>
      </c>
      <c r="Q4" s="37" t="str">
        <f>VLOOKUP(L4,tables_5000!B:C,2,FALSE)</f>
        <v>Premium5R6release</v>
      </c>
      <c r="R4" s="62">
        <f t="shared" si="0"/>
        <v>240500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4.163336342344337E-17</v>
      </c>
      <c r="D5" t="s">
        <v>207</v>
      </c>
      <c r="E5" s="43">
        <f>(B11-H5)/(F5-I5)</f>
        <v>3.8461538461538462E-4</v>
      </c>
      <c r="F5">
        <f>(COUNTIF(tables_5000!C:C,input_5000!A26)+COUNTIF(tables_5000!C:C,input_5000!A28)+COUNTIF(tables_5000!C:C,input_5000!A29))</f>
        <v>34</v>
      </c>
      <c r="H5" s="74">
        <v>0</v>
      </c>
      <c r="I5" s="31">
        <v>8</v>
      </c>
      <c r="L5" s="60">
        <v>174</v>
      </c>
      <c r="M5" s="37" t="str">
        <f>VLOOKUP(L5,[1]characters!$A:$C,3,FALSE)</f>
        <v>偽愛の大公爵 フォルネウス</v>
      </c>
      <c r="N5" s="63">
        <f t="shared" si="2"/>
        <v>6.25E-2</v>
      </c>
      <c r="O5" s="37">
        <f>VLOOKUP(L5,[1]characters!$A:$I,9,FALSE)</f>
        <v>5</v>
      </c>
      <c r="P5" s="37" t="str">
        <f>VLOOKUP(L5,[1]characters!$A:$J,10,FALSE)</f>
        <v>PremiumN</v>
      </c>
      <c r="Q5" s="37" t="str">
        <f>VLOOKUP(L5,tables_5000!B:C,2,FALSE)</f>
        <v>Premium5R6release</v>
      </c>
      <c r="R5" s="62">
        <f>N5*A$36</f>
        <v>240500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0.95</v>
      </c>
      <c r="D6" t="s">
        <v>208</v>
      </c>
      <c r="E6" s="78">
        <f>(B10-H6)/(F6-I6)</f>
        <v>6.6216216216216216E-3</v>
      </c>
      <c r="F6">
        <f>(COUNTIF(tables_5000!C:C,input_5000!A18)+COUNTIF(tables_5000!C:C,input_5000!A20)+COUNTIF(tables_5000!C:C,input_5000!A22))</f>
        <v>74</v>
      </c>
      <c r="H6" s="74">
        <v>0</v>
      </c>
      <c r="I6" s="31">
        <v>0</v>
      </c>
      <c r="L6">
        <v>237</v>
      </c>
      <c r="M6" s="37" t="str">
        <f>VLOOKUP(L6,[1]characters!$A:$C,3,FALSE)</f>
        <v>森羅万象の神母 イザナミ</v>
      </c>
      <c r="N6" s="63">
        <f t="shared" si="2"/>
        <v>6.25E-2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VLOOKUP(L6,tables_5000!B:C,2,FALSE)</f>
        <v>Premium5R6release</v>
      </c>
      <c r="R6" s="62">
        <f t="shared" si="0"/>
        <v>240500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>
        <v>325</v>
      </c>
      <c r="M7" s="37" t="str">
        <f>VLOOKUP(L7,[1]characters!$A:$C,3,FALSE)</f>
        <v>天賦の凛志士 沖田総司</v>
      </c>
      <c r="N7" s="63">
        <f t="shared" si="2"/>
        <v>6.25E-2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VLOOKUP(L7,tables_5000!B:C,2,FALSE)</f>
        <v>PremiumSS5</v>
      </c>
      <c r="R7" s="62">
        <f t="shared" si="0"/>
        <v>240500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>
        <v>391</v>
      </c>
      <c r="M8" s="37" t="str">
        <f>VLOOKUP(L8,[1]characters!$A:$C,3,FALSE)</f>
        <v>燕翼の旅人 親指姫</v>
      </c>
      <c r="N8" s="63">
        <f t="shared" si="2"/>
        <v>6.25E-2</v>
      </c>
      <c r="O8" s="37">
        <f>VLOOKUP(L8,[1]characters!$A:$I,9,FALSE)</f>
        <v>5</v>
      </c>
      <c r="P8" s="37" t="str">
        <f>VLOOKUP(L8,[1]characters!$A:$J,10,FALSE)</f>
        <v>PremiumSS</v>
      </c>
      <c r="Q8" s="37" t="str">
        <f>VLOOKUP(L8,tables_5000!B:C,2,FALSE)</f>
        <v>PremiumSS5</v>
      </c>
      <c r="R8" s="62">
        <f t="shared" si="0"/>
        <v>240500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L9">
        <v>732</v>
      </c>
      <c r="M9" s="37" t="str">
        <f>VLOOKUP(L9,[1]characters!$A:$C,3,FALSE)</f>
        <v>上杉謙信</v>
      </c>
      <c r="N9" s="63">
        <f t="shared" si="2"/>
        <v>6.25E-2</v>
      </c>
      <c r="O9" s="37">
        <f>VLOOKUP(L9,[1]characters!$A:$I,9,FALSE)</f>
        <v>5</v>
      </c>
      <c r="P9" s="37" t="str">
        <f>VLOOKUP(L9,[1]characters!$A:$J,10,FALSE)</f>
        <v>PremiumSS</v>
      </c>
      <c r="Q9" s="37" t="str">
        <f>VLOOKUP(L9,tables_5000!B:C,2,FALSE)</f>
        <v>PremiumSS5R5only</v>
      </c>
      <c r="R9" s="62">
        <f t="shared" si="0"/>
        <v>240500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v>0.49</v>
      </c>
      <c r="C10" t="s">
        <v>215</v>
      </c>
      <c r="L10">
        <v>734</v>
      </c>
      <c r="M10" s="37" t="str">
        <f>VLOOKUP(L10,[1]characters!$A:$C,3,FALSE)</f>
        <v>伊達政宗</v>
      </c>
      <c r="N10" s="63">
        <f t="shared" si="2"/>
        <v>6.25E-2</v>
      </c>
      <c r="O10" s="37">
        <f>VLOOKUP(L10,[1]characters!$A:$I,9,FALSE)</f>
        <v>5</v>
      </c>
      <c r="P10" s="37" t="str">
        <f>VLOOKUP(L10,[1]characters!$A:$J,10,FALSE)</f>
        <v>PremiumSS</v>
      </c>
      <c r="Q10" s="37" t="str">
        <f>VLOOKUP(L10,tables_5000!B:C,2,FALSE)</f>
        <v>PremiumSS5R5only</v>
      </c>
      <c r="R10" s="62">
        <f t="shared" si="0"/>
        <v>240500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9">
        <v>0.01</v>
      </c>
      <c r="C11" t="s">
        <v>220</v>
      </c>
      <c r="L11">
        <v>324</v>
      </c>
      <c r="M11" s="37" t="str">
        <f>VLOOKUP(L11,[1]characters!$A:$C,3,FALSE)</f>
        <v>凛志士 沖田総司</v>
      </c>
      <c r="N11" s="63">
        <v>0</v>
      </c>
      <c r="O11" s="37">
        <f>VLOOKUP(L11,[1]characters!$A:$I,9,FALSE)</f>
        <v>4</v>
      </c>
      <c r="P11" s="37" t="str">
        <f>VLOOKUP(L11,[1]characters!$A:$J,10,FALSE)</f>
        <v>PremiumSS</v>
      </c>
      <c r="Q11" s="37" t="str">
        <f>VLOOKUP(L11,tables_5000!B:C,2,FALSE)</f>
        <v>PremiumSS4</v>
      </c>
      <c r="R11" s="62">
        <f t="shared" si="0"/>
        <v>0</v>
      </c>
      <c r="S11">
        <v>811</v>
      </c>
      <c r="U11" s="32" t="s">
        <v>201</v>
      </c>
      <c r="V11" s="54">
        <f t="shared" si="1"/>
        <v>0.25</v>
      </c>
    </row>
    <row r="12" spans="1:22" x14ac:dyDescent="0.15">
      <c r="A12" s="32" t="s">
        <v>56</v>
      </c>
      <c r="B12" s="33">
        <v>0</v>
      </c>
      <c r="L12">
        <v>390</v>
      </c>
      <c r="M12" s="37" t="str">
        <f>VLOOKUP(L12,[1]characters!$A:$C,3,FALSE)</f>
        <v>華環の旅客 親指姫</v>
      </c>
      <c r="N12" s="63">
        <v>0</v>
      </c>
      <c r="O12" s="37">
        <f>VLOOKUP(L12,[1]characters!$A:$I,9,FALSE)</f>
        <v>4</v>
      </c>
      <c r="P12" s="37" t="str">
        <f>VLOOKUP(L12,[1]characters!$A:$J,10,FALSE)</f>
        <v>PremiumSS</v>
      </c>
      <c r="Q12" s="37" t="str">
        <f>VLOOKUP(L12,tables_5000!B:C,2,FALSE)</f>
        <v>PremiumSS4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0.125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0.125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85">
        <v>0</v>
      </c>
      <c r="C17" s="75">
        <f t="shared" ref="C17:C31" si="3">SUMIF(Q:Q,A17,N:N)</f>
        <v>0</v>
      </c>
      <c r="D17" s="76">
        <f t="shared" ref="D17:D26" si="4">B17-C17</f>
        <v>0</v>
      </c>
      <c r="E17">
        <f>COUNTIF(tables_5000!C:C,input_5000!A17)-COUNTIF(Q:Q,A17)</f>
        <v>20</v>
      </c>
      <c r="F17" s="43">
        <f>IFERROR(B17/E17,0)</f>
        <v>0</v>
      </c>
      <c r="G17">
        <f>A$36*B17</f>
        <v>0</v>
      </c>
      <c r="H17">
        <f t="shared" ref="H17:H26" si="5">IFERROR(ROUND(G17/E17,5),0)</f>
        <v>0</v>
      </c>
      <c r="I17">
        <f t="shared" ref="I17:I31" si="6">MOD(H17,1)</f>
        <v>0</v>
      </c>
      <c r="J17">
        <f t="shared" ref="J17:J2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0.13243243243243244</v>
      </c>
      <c r="C18" s="75">
        <f t="shared" si="3"/>
        <v>0</v>
      </c>
      <c r="D18" s="76">
        <f t="shared" si="4"/>
        <v>0.13243243243243244</v>
      </c>
      <c r="E18">
        <f>COUNTIF(tables_5000!C:C,input_5000!A18)-COUNTIF(Q:Q,A18)</f>
        <v>20</v>
      </c>
      <c r="F18" s="43">
        <f t="shared" ref="F18:F31" si="8">IFERROR(B18/E18,0)</f>
        <v>6.6216216216216216E-3</v>
      </c>
      <c r="G18">
        <f t="shared" ref="G18:G31" si="9">A$36*B18</f>
        <v>509600</v>
      </c>
      <c r="H18">
        <f t="shared" si="5"/>
        <v>25480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85">
        <v>0</v>
      </c>
      <c r="C19" s="75">
        <f t="shared" si="3"/>
        <v>0</v>
      </c>
      <c r="D19" s="76">
        <f t="shared" si="4"/>
        <v>0</v>
      </c>
      <c r="E19">
        <f>COUNTIF(tables_5000!C:C,input_5000!A19)-COUNTIF(Q:Q,A19)</f>
        <v>52</v>
      </c>
      <c r="F19" s="43">
        <f t="shared" si="8"/>
        <v>0</v>
      </c>
      <c r="G19">
        <f t="shared" si="9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0.32710810810810809</v>
      </c>
      <c r="C20" s="75">
        <f t="shared" si="3"/>
        <v>0</v>
      </c>
      <c r="D20" s="76">
        <f t="shared" si="4"/>
        <v>0.32710810810810809</v>
      </c>
      <c r="E20">
        <f>COUNTIF(tables_5000!C:C,input_5000!A20)-COUNTIF(Q:Q,A20)</f>
        <v>52</v>
      </c>
      <c r="F20" s="43">
        <f t="shared" si="8"/>
        <v>6.2905405405405401E-3</v>
      </c>
      <c r="G20">
        <f t="shared" si="9"/>
        <v>1258712</v>
      </c>
      <c r="H20">
        <f t="shared" si="5"/>
        <v>24206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1.7216216216216215E-2</v>
      </c>
      <c r="C21" s="75">
        <f t="shared" si="3"/>
        <v>0</v>
      </c>
      <c r="D21" s="76">
        <f t="shared" si="4"/>
        <v>1.7216216216216215E-2</v>
      </c>
      <c r="E21">
        <f>COUNTIF(tables_5000!C:C,input_5000!A21)-COUNTIF(Q:Q,A21)</f>
        <v>52</v>
      </c>
      <c r="F21" s="43">
        <f t="shared" si="8"/>
        <v>3.3108108108108103E-4</v>
      </c>
      <c r="G21">
        <f t="shared" si="9"/>
        <v>66248</v>
      </c>
      <c r="H21">
        <f t="shared" si="5"/>
        <v>1274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7">
        <f>E6*COUNTIF(tables_5000!C:C,input_5000!A22)-B23</f>
        <v>0</v>
      </c>
      <c r="C22" s="75">
        <f t="shared" si="3"/>
        <v>0</v>
      </c>
      <c r="D22" s="76">
        <f t="shared" si="4"/>
        <v>0</v>
      </c>
      <c r="E22">
        <f>COUNTIF(tables_5000!C:C,input_5000!A22)-COUNTIF(Q:Q,A22)</f>
        <v>2</v>
      </c>
      <c r="F22" s="43">
        <f t="shared" si="8"/>
        <v>0</v>
      </c>
      <c r="G22">
        <f t="shared" si="9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E6*E23</f>
        <v>1.3243243243243243E-2</v>
      </c>
      <c r="C23" s="75">
        <f t="shared" si="3"/>
        <v>0</v>
      </c>
      <c r="D23" s="76">
        <f t="shared" si="4"/>
        <v>1.3243243243243243E-2</v>
      </c>
      <c r="E23">
        <f>COUNTIF(tables_5000!C:C,input_5000!A23)-COUNTIF(Q:Q,A23)</f>
        <v>2</v>
      </c>
      <c r="F23" s="43">
        <f t="shared" si="8"/>
        <v>6.6216216216216216E-3</v>
      </c>
      <c r="G23">
        <f t="shared" si="9"/>
        <v>50960</v>
      </c>
      <c r="H23">
        <f t="shared" si="5"/>
        <v>25480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E$5*COUNTIF(tables_5000!C:C,input_5000!A24)*B5</f>
        <v>6.4051328343759025E-20</v>
      </c>
      <c r="C24" s="75">
        <f t="shared" si="3"/>
        <v>0</v>
      </c>
      <c r="D24" s="76">
        <f t="shared" si="4"/>
        <v>6.4051328343759025E-20</v>
      </c>
      <c r="E24" s="86">
        <v>0</v>
      </c>
      <c r="F24" s="43">
        <f t="shared" si="8"/>
        <v>0</v>
      </c>
      <c r="G24">
        <f t="shared" si="9"/>
        <v>2.4646951146678475E-13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0</v>
      </c>
      <c r="C25" s="75">
        <f t="shared" si="3"/>
        <v>0</v>
      </c>
      <c r="D25" s="76">
        <f t="shared" si="4"/>
        <v>0</v>
      </c>
      <c r="E25" s="86">
        <v>0</v>
      </c>
      <c r="F25" s="43">
        <f t="shared" si="8"/>
        <v>0</v>
      </c>
      <c r="G25">
        <f t="shared" si="9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0</v>
      </c>
      <c r="C26" s="75">
        <f t="shared" si="3"/>
        <v>0.25</v>
      </c>
      <c r="D26" s="76">
        <f t="shared" si="4"/>
        <v>-0.25</v>
      </c>
      <c r="E26">
        <f>COUNTIF(tables_5000!C:C,input_5000!A26)-COUNTIF(Q:Q,A26)</f>
        <v>0</v>
      </c>
      <c r="F26" s="43">
        <f t="shared" si="8"/>
        <v>0</v>
      </c>
      <c r="G26">
        <f t="shared" si="9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9.4999999999999998E-3</v>
      </c>
      <c r="C27" s="75">
        <f t="shared" si="3"/>
        <v>0</v>
      </c>
      <c r="D27" s="76">
        <f t="shared" ref="D27:D29" si="10">B27-C27</f>
        <v>9.4999999999999998E-3</v>
      </c>
      <c r="E27">
        <f>COUNTIF(tables_5000!C:C,input_5000!A27)-COUNTIF(Q:Q,A27)</f>
        <v>26</v>
      </c>
      <c r="F27" s="43">
        <f>IFERROR(B27/E27,0)</f>
        <v>3.653846153846154E-4</v>
      </c>
      <c r="G27">
        <f t="shared" si="9"/>
        <v>36556</v>
      </c>
      <c r="H27">
        <f t="shared" ref="H27:H29" si="11">IFERROR(ROUND(G27/E27,5),0)</f>
        <v>1406</v>
      </c>
      <c r="I27">
        <f t="shared" si="6"/>
        <v>0</v>
      </c>
      <c r="J27">
        <f t="shared" ref="J27:J29" si="12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5.0000000000000001E-4</v>
      </c>
      <c r="C28" s="75">
        <f t="shared" si="3"/>
        <v>0.125</v>
      </c>
      <c r="D28" s="76">
        <f t="shared" si="10"/>
        <v>-0.1245</v>
      </c>
      <c r="E28">
        <f>COUNTIF(tables_5000!C:C,input_5000!A28)-COUNTIF(Q:Q,A28)</f>
        <v>26</v>
      </c>
      <c r="F28" s="43">
        <f t="shared" si="8"/>
        <v>1.9230769230769231E-5</v>
      </c>
      <c r="G28">
        <f t="shared" si="9"/>
        <v>1924</v>
      </c>
      <c r="H28">
        <f t="shared" si="11"/>
        <v>74</v>
      </c>
      <c r="I28">
        <f t="shared" si="6"/>
        <v>0</v>
      </c>
      <c r="J28">
        <f t="shared" si="12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0</v>
      </c>
      <c r="C29" s="75">
        <f t="shared" si="3"/>
        <v>0.125</v>
      </c>
      <c r="D29" s="76">
        <f t="shared" si="10"/>
        <v>-0.125</v>
      </c>
      <c r="E29">
        <f>COUNTIF(tables_5000!C:C,input_5000!A29)-COUNTIF(Q:Q,A29)</f>
        <v>0</v>
      </c>
      <c r="F29" s="43">
        <f t="shared" si="8"/>
        <v>0</v>
      </c>
      <c r="G29">
        <f t="shared" si="9"/>
        <v>0</v>
      </c>
      <c r="H29">
        <f t="shared" si="11"/>
        <v>0</v>
      </c>
      <c r="I29">
        <f t="shared" si="6"/>
        <v>0</v>
      </c>
      <c r="J29">
        <f t="shared" si="12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5">
        <f t="shared" si="3"/>
        <v>0</v>
      </c>
      <c r="D30" s="76">
        <f t="shared" ref="D30:D31" si="13">B30-C30</f>
        <v>0</v>
      </c>
      <c r="E30">
        <f>COUNTIF(tables_5000!C:C,input_5000!A30)-COUNTIF(Q:Q,A30)</f>
        <v>0</v>
      </c>
      <c r="F30" s="43">
        <f t="shared" si="8"/>
        <v>0</v>
      </c>
      <c r="G30">
        <f t="shared" si="9"/>
        <v>0</v>
      </c>
      <c r="H30">
        <f t="shared" ref="H30:H31" si="14">IFERROR(ROUND(G30/E30,5),0)</f>
        <v>0</v>
      </c>
      <c r="I30">
        <f t="shared" si="6"/>
        <v>0</v>
      </c>
      <c r="J30">
        <f t="shared" ref="J30:J31" si="15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5">
        <f t="shared" si="3"/>
        <v>0</v>
      </c>
      <c r="D31" s="76">
        <f t="shared" si="13"/>
        <v>0</v>
      </c>
      <c r="E31">
        <f>COUNTIF(tables_5000!C:C,input_5000!A31)-COUNTIF(Q:Q,A31)</f>
        <v>0</v>
      </c>
      <c r="F31" s="43">
        <f t="shared" si="8"/>
        <v>0</v>
      </c>
      <c r="G31">
        <f t="shared" si="9"/>
        <v>0</v>
      </c>
      <c r="H31">
        <f t="shared" si="14"/>
        <v>0</v>
      </c>
      <c r="I31">
        <f t="shared" si="6"/>
        <v>0</v>
      </c>
      <c r="J31">
        <f t="shared" si="15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0.49999999999999994</v>
      </c>
      <c r="C32" s="41">
        <f>SUM(C19:C31)</f>
        <v>0.5</v>
      </c>
      <c r="D32" s="42">
        <f t="shared" ref="D32" si="16">B32-C32</f>
        <v>0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3848000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SUMIF(tables_5000!C:C,input_5000!A40,tables_5000!O:O)</f>
        <v>0</v>
      </c>
      <c r="C40" s="54">
        <f t="shared" ref="C40:C46" ca="1" si="17">B40/B$47</f>
        <v>0</v>
      </c>
      <c r="E40">
        <v>3</v>
      </c>
      <c r="F40">
        <f ca="1">SUMIF(tables_5000!J:J,input_5000!E40,tables_5000!O:O)</f>
        <v>0</v>
      </c>
      <c r="G40">
        <f ca="1">F40/A36</f>
        <v>0</v>
      </c>
    </row>
    <row r="41" spans="1:7" x14ac:dyDescent="0.15">
      <c r="A41" s="32" t="s">
        <v>107</v>
      </c>
      <c r="B41">
        <f ca="1">SUMIF(tables_5000!C:C,input_5000!A41,tables_5000!O:O)</f>
        <v>1258712</v>
      </c>
      <c r="C41" s="54">
        <f t="shared" ca="1" si="17"/>
        <v>0.68243586129123202</v>
      </c>
      <c r="E41">
        <v>4</v>
      </c>
      <c r="F41">
        <f ca="1">SUMIF(tables_5000!J:J,input_5000!E41,tables_5000!O:O)</f>
        <v>1804868</v>
      </c>
      <c r="G41">
        <f ca="1">F41/A36</f>
        <v>0.46904054054054056</v>
      </c>
    </row>
    <row r="42" spans="1:7" x14ac:dyDescent="0.15">
      <c r="A42" s="32" t="s">
        <v>112</v>
      </c>
      <c r="B42">
        <f ca="1">SUMIF(tables_5000!C:C,input_5000!A42,tables_5000!O:O)</f>
        <v>36556</v>
      </c>
      <c r="C42" s="54">
        <f t="shared" ca="1" si="17"/>
        <v>1.981956583027911E-2</v>
      </c>
      <c r="E42">
        <v>5</v>
      </c>
      <c r="F42">
        <f ca="1">SUMIF(tables_5000!J:J,input_5000!E42,tables_5000!O:O)</f>
        <v>2043132</v>
      </c>
      <c r="G42">
        <f ca="1">F42/A36</f>
        <v>0.53095945945945944</v>
      </c>
    </row>
    <row r="43" spans="1:7" x14ac:dyDescent="0.15">
      <c r="A43" s="32" t="s">
        <v>113</v>
      </c>
      <c r="B43">
        <f>SUMIF(tables_5000!C:C,input_5000!A43,tables_5000!O:O)</f>
        <v>0</v>
      </c>
      <c r="C43" s="54">
        <f t="shared" ca="1" si="17"/>
        <v>0</v>
      </c>
      <c r="F43" s="55"/>
    </row>
    <row r="44" spans="1:7" x14ac:dyDescent="0.15">
      <c r="A44" s="32" t="s">
        <v>108</v>
      </c>
      <c r="B44">
        <f ca="1">SUMIF(tables_5000!C:C,input_5000!A44,tables_5000!O:O)</f>
        <v>66248</v>
      </c>
      <c r="C44" s="54">
        <f t="shared" ca="1" si="17"/>
        <v>3.5917676910064845E-2</v>
      </c>
      <c r="E44" t="s">
        <v>104</v>
      </c>
      <c r="F44" s="55"/>
    </row>
    <row r="45" spans="1:7" x14ac:dyDescent="0.15">
      <c r="A45" s="32" t="s">
        <v>114</v>
      </c>
      <c r="B45">
        <f ca="1">SUMIF(tables_5000!C:C,input_5000!A45,tables_5000!O:O)</f>
        <v>482924</v>
      </c>
      <c r="C45" s="54">
        <f t="shared" ca="1" si="17"/>
        <v>0.26182689596842401</v>
      </c>
      <c r="E45" t="s">
        <v>210</v>
      </c>
      <c r="F45" s="55">
        <f ca="1">SUMIF(tables_5000!I:I,input_5000!E45,tables_5000!P:P)</f>
        <v>0.17370270270270263</v>
      </c>
    </row>
    <row r="46" spans="1:7" x14ac:dyDescent="0.15">
      <c r="A46" s="32" t="s">
        <v>115</v>
      </c>
      <c r="B46">
        <f>SUMIF(tables_5000!C:C,input_5000!A46,tables_5000!O:O)</f>
        <v>0</v>
      </c>
      <c r="C46" s="54">
        <f t="shared" ca="1" si="17"/>
        <v>0</v>
      </c>
      <c r="E46" t="s">
        <v>211</v>
      </c>
      <c r="F46" s="55">
        <f ca="1">SUMIF(tables_5000!I:I,input_5000!E46,tables_5000!P:P)</f>
        <v>0.30006756756756742</v>
      </c>
    </row>
    <row r="47" spans="1:7" x14ac:dyDescent="0.15">
      <c r="A47" s="39" t="s">
        <v>60</v>
      </c>
      <c r="B47">
        <f ca="1">SUM(B40:B46)</f>
        <v>1844440</v>
      </c>
      <c r="C47" s="55">
        <f ca="1">SUM(C40:C46)</f>
        <v>1</v>
      </c>
      <c r="E47" t="s">
        <v>212</v>
      </c>
      <c r="F47" s="55">
        <f ca="1">SUMIF(tables_5000!I:I,input_5000!E47,tables_5000!P:P)</f>
        <v>0.30749999999999972</v>
      </c>
    </row>
    <row r="48" spans="1:7" x14ac:dyDescent="0.15">
      <c r="E48" t="s">
        <v>213</v>
      </c>
      <c r="F48" s="55">
        <f ca="1">SUMIF(tables_5000!I:I,input_5000!E48,tables_5000!P:P)</f>
        <v>0.26000000000000023</v>
      </c>
    </row>
  </sheetData>
  <phoneticPr fontId="14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1"/>
  <sheetViews>
    <sheetView showGridLines="0" zoomScale="75" zoomScaleNormal="75" zoomScalePageLayoutView="75" workbookViewId="0">
      <pane ySplit="1" topLeftCell="A247" activePane="bottomLeft" state="frozen"/>
      <selection activeCell="E14" sqref="E14"/>
      <selection pane="bottomLeft" activeCell="I266" sqref="I26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input_5000!A$2</f>
        <v>5000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IFERROR(VLOOKUP(B2,input_5000!L:R,7,FALSE),VLOOKUP(tables_5000!C2,input_5000!A:H,8,FALSE))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input_5000!A$2</f>
        <v>5000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IFERROR(VLOOKUP(B3,input_5000!L:R,7,FALSE),VLOOKUP(tables_5000!C3,input_5000!A:H,8,FALSE))</f>
        <v>25480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input_5000!A$2</f>
        <v>5000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IFERROR(VLOOKUP(B4,input_5000!L:R,7,FALSE),VLOOKUP(tables_5000!C4,input_5000!A:H,8,FALSE))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input_5000!A$2</f>
        <v>5000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IFERROR(VLOOKUP(B5,input_5000!L:R,7,FALSE),VLOOKUP(tables_5000!C5,input_5000!A:H,8,FALSE))</f>
        <v>25480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input_5000!A$2</f>
        <v>5000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IFERROR(VLOOKUP(B6,input_5000!L:R,7,FALSE),VLOOKUP(tables_5000!C6,input_5000!A:H,8,FALSE))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input_5000!A$2</f>
        <v>5000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IFERROR(VLOOKUP(B7,input_5000!L:R,7,FALSE),VLOOKUP(tables_5000!C7,input_5000!A:H,8,FALSE))</f>
        <v>25480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input_5000!A$2</f>
        <v>5000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IFERROR(VLOOKUP(B8,input_5000!L:R,7,FALSE),VLOOKUP(tables_5000!C8,input_5000!A:H,8,FALSE))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input_5000!A$2</f>
        <v>5000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IFERROR(VLOOKUP(B9,input_5000!L:R,7,FALSE),VLOOKUP(tables_5000!C9,input_5000!A:H,8,FALSE))</f>
        <v>25480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input_5000!A$2</f>
        <v>5000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IFERROR(VLOOKUP(B10,input_5000!L:R,7,FALSE),VLOOKUP(tables_5000!C10,input_5000!A:H,8,FALSE))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input_5000!A$2</f>
        <v>5000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IFERROR(VLOOKUP(B11,input_5000!L:R,7,FALSE),VLOOKUP(tables_5000!C11,input_5000!A:H,8,FALSE))</f>
        <v>25480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input_5000!A$2</f>
        <v>5000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IFERROR(VLOOKUP(B12,input_5000!L:R,7,FALSE),VLOOKUP(tables_5000!C12,input_5000!A:H,8,FALSE))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input_5000!A$2</f>
        <v>5000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IFERROR(VLOOKUP(B13,input_5000!L:R,7,FALSE),VLOOKUP(tables_5000!C13,input_5000!A:H,8,FALSE))</f>
        <v>25480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input_5000!A$2</f>
        <v>5000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IFERROR(VLOOKUP(B14,input_5000!L:R,7,FALSE),VLOOKUP(tables_5000!C14,input_5000!A:H,8,FALSE))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input_5000!A$2</f>
        <v>5000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IFERROR(VLOOKUP(B15,input_5000!L:R,7,FALSE),VLOOKUP(tables_5000!C15,input_5000!A:H,8,FALSE))</f>
        <v>25480</v>
      </c>
      <c r="P15" s="46">
        <f t="shared" ref="P15:P78" ca="1" si="2">O15/SUM(O:O)</f>
        <v>6.6216216216216216E-3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input_5000!A$2</f>
        <v>5000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IFERROR(VLOOKUP(B16,input_5000!L:R,7,FALSE),VLOOKUP(tables_5000!C16,input_5000!A:H,8,FALSE))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input_5000!A$2</f>
        <v>5000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IFERROR(VLOOKUP(B17,input_5000!L:R,7,FALSE),VLOOKUP(tables_5000!C17,input_5000!A:H,8,FALSE))</f>
        <v>25480</v>
      </c>
      <c r="P17" s="46">
        <f t="shared" ca="1" si="2"/>
        <v>6.6216216216216216E-3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input_5000!A$2</f>
        <v>5000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IFERROR(VLOOKUP(B18,input_5000!L:R,7,FALSE),VLOOKUP(tables_5000!C18,input_5000!A:H,8,FALSE))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input_5000!A$2</f>
        <v>5000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IFERROR(VLOOKUP(B19,input_5000!L:R,7,FALSE),VLOOKUP(tables_5000!C19,input_5000!A:H,8,FALSE))</f>
        <v>25480</v>
      </c>
      <c r="P19" s="46">
        <f t="shared" ca="1" si="2"/>
        <v>6.6216216216216216E-3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input_5000!A$2</f>
        <v>5000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IFERROR(VLOOKUP(B20,input_5000!L:R,7,FALSE),VLOOKUP(tables_5000!C20,input_5000!A:H,8,FALSE))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input_5000!A$2</f>
        <v>5000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IFERROR(VLOOKUP(B21,input_5000!L:R,7,FALSE),VLOOKUP(tables_5000!C21,input_5000!A:H,8,FALSE))</f>
        <v>25480</v>
      </c>
      <c r="P21" s="46">
        <f t="shared" ca="1" si="2"/>
        <v>6.6216216216216216E-3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input_5000!A$2</f>
        <v>5000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IFERROR(VLOOKUP(B22,input_5000!L:R,7,FALSE),VLOOKUP(tables_5000!C22,input_5000!A:H,8,FALSE))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input_5000!A$2</f>
        <v>5000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IFERROR(VLOOKUP(B23,input_5000!L:R,7,FALSE),VLOOKUP(tables_5000!C23,input_5000!A:H,8,FALSE))</f>
        <v>25480</v>
      </c>
      <c r="P23" s="46">
        <f t="shared" ca="1" si="2"/>
        <v>6.6216216216216216E-3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input_5000!A$2</f>
        <v>5000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IFERROR(VLOOKUP(B24,input_5000!L:R,7,FALSE),VLOOKUP(tables_5000!C24,input_5000!A:H,8,FALSE))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input_5000!A$2</f>
        <v>5000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IFERROR(VLOOKUP(B25,input_5000!L:R,7,FALSE),VLOOKUP(tables_5000!C25,input_5000!A:H,8,FALSE))</f>
        <v>25480</v>
      </c>
      <c r="P25" s="46">
        <f t="shared" ca="1" si="2"/>
        <v>6.6216216216216216E-3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input_5000!A$2</f>
        <v>5000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IFERROR(VLOOKUP(B26,input_5000!L:R,7,FALSE),VLOOKUP(tables_5000!C26,input_5000!A:H,8,FALSE))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input_5000!A$2</f>
        <v>5000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IFERROR(VLOOKUP(B27,input_5000!L:R,7,FALSE),VLOOKUP(tables_5000!C27,input_5000!A:H,8,FALSE))</f>
        <v>25480</v>
      </c>
      <c r="P27" s="46">
        <f t="shared" ca="1" si="2"/>
        <v>6.6216216216216216E-3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input_5000!A$2</f>
        <v>5000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IFERROR(VLOOKUP(B28,input_5000!L:R,7,FALSE),VLOOKUP(tables_5000!C28,input_5000!A:H,8,FALSE))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input_5000!A$2</f>
        <v>5000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IFERROR(VLOOKUP(B29,input_5000!L:R,7,FALSE),VLOOKUP(tables_5000!C29,input_5000!A:H,8,FALSE))</f>
        <v>25480</v>
      </c>
      <c r="P29" s="46">
        <f t="shared" ca="1" si="2"/>
        <v>6.6216216216216216E-3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input_5000!A$2</f>
        <v>5000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IFERROR(VLOOKUP(B30,input_5000!L:R,7,FALSE),VLOOKUP(tables_5000!C30,input_5000!A:H,8,FALSE))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input_5000!A$2</f>
        <v>5000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IFERROR(VLOOKUP(B31,input_5000!L:R,7,FALSE),VLOOKUP(tables_5000!C31,input_5000!A:H,8,FALSE))</f>
        <v>25480</v>
      </c>
      <c r="P31" s="46">
        <f t="shared" ca="1" si="2"/>
        <v>6.6216216216216216E-3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input_5000!A$2</f>
        <v>5000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IFERROR(VLOOKUP(B32,input_5000!L:R,7,FALSE),VLOOKUP(tables_5000!C32,input_5000!A:H,8,FALSE))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input_5000!A$2</f>
        <v>5000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IFERROR(VLOOKUP(B33,input_5000!L:R,7,FALSE),VLOOKUP(tables_5000!C33,input_5000!A:H,8,FALSE))</f>
        <v>25480</v>
      </c>
      <c r="P33" s="46">
        <f t="shared" ca="1" si="2"/>
        <v>6.6216216216216216E-3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input_5000!A$2</f>
        <v>5000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IFERROR(VLOOKUP(B34,input_5000!L:R,7,FALSE),VLOOKUP(tables_5000!C34,input_5000!A:H,8,FALSE))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input_5000!A$2</f>
        <v>5000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IFERROR(VLOOKUP(B35,input_5000!L:R,7,FALSE),VLOOKUP(tables_5000!C35,input_5000!A:H,8,FALSE))</f>
        <v>25480</v>
      </c>
      <c r="P35" s="46">
        <f t="shared" ca="1" si="2"/>
        <v>6.6216216216216216E-3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input_5000!A$2</f>
        <v>5000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IFERROR(VLOOKUP(B36,input_5000!L:R,7,FALSE),VLOOKUP(tables_5000!C36,input_5000!A:H,8,FALSE))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input_5000!A$2</f>
        <v>5000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IFERROR(VLOOKUP(B37,input_5000!L:R,7,FALSE),VLOOKUP(tables_5000!C37,input_5000!A:H,8,FALSE))</f>
        <v>25480</v>
      </c>
      <c r="P37" s="46">
        <f t="shared" ca="1" si="2"/>
        <v>6.6216216216216216E-3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input_5000!A$2</f>
        <v>5000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IFERROR(VLOOKUP(B38,input_5000!L:R,7,FALSE),VLOOKUP(tables_5000!C38,input_5000!A:H,8,FALSE))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input_5000!A$2</f>
        <v>5000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IFERROR(VLOOKUP(B39,input_5000!L:R,7,FALSE),VLOOKUP(tables_5000!C39,input_5000!A:H,8,FALSE))</f>
        <v>25480</v>
      </c>
      <c r="P39" s="46">
        <f t="shared" ca="1" si="2"/>
        <v>6.6216216216216216E-3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input_5000!A$2</f>
        <v>5000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IFERROR(VLOOKUP(B40,input_5000!L:R,7,FALSE),VLOOKUP(tables_5000!C40,input_5000!A:H,8,FALSE))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input_5000!A$2</f>
        <v>5000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IFERROR(VLOOKUP(B41,input_5000!L:R,7,FALSE),VLOOKUP(tables_5000!C41,input_5000!A:H,8,FALSE))</f>
        <v>25480</v>
      </c>
      <c r="P41" s="46">
        <f t="shared" ca="1" si="2"/>
        <v>6.6216216216216216E-3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input_5000!A$2</f>
        <v>5000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IFERROR(VLOOKUP(B42,input_5000!L:R,7,FALSE),VLOOKUP(tables_5000!C42,input_5000!A:H,8,FALSE))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input_5000!A$2</f>
        <v>5000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IFERROR(VLOOKUP(B43,input_5000!L:R,7,FALSE),VLOOKUP(tables_5000!C43,input_5000!A:H,8,FALSE))</f>
        <v>0</v>
      </c>
      <c r="P43" s="46">
        <f t="shared" ca="1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input_5000!A$2</f>
        <v>5000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>IFERROR(VLOOKUP(B44,input_5000!L:R,7,FALSE),VLOOKUP(tables_5000!C44,input_5000!A:H,8,FALSE))</f>
        <v>240500</v>
      </c>
      <c r="P44" s="46">
        <f t="shared" ca="1" si="2"/>
        <v>6.25E-2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input_5000!A$2</f>
        <v>5000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IFERROR(VLOOKUP(B45,input_5000!L:R,7,FALSE),VLOOKUP(tables_5000!C45,input_5000!A:H,8,FALSE))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input_5000!A$2</f>
        <v>5000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IFERROR(VLOOKUP(B46,input_5000!L:R,7,FALSE),VLOOKUP(tables_5000!C46,input_5000!A:H,8,FALSE))</f>
        <v>0</v>
      </c>
      <c r="P46" s="46">
        <f t="shared" ca="1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input_5000!A$2</f>
        <v>5000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>IFERROR(VLOOKUP(B47,input_5000!L:R,7,FALSE),VLOOKUP(tables_5000!C47,input_5000!A:H,8,FALSE))</f>
        <v>240500</v>
      </c>
      <c r="P47" s="46">
        <f t="shared" ca="1" si="2"/>
        <v>6.25E-2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input_5000!A$2</f>
        <v>5000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IFERROR(VLOOKUP(B48,input_5000!L:R,7,FALSE),VLOOKUP(tables_5000!C48,input_5000!A:H,8,FALSE))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input_5000!A$2</f>
        <v>5000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IFERROR(VLOOKUP(B49,input_5000!L:R,7,FALSE),VLOOKUP(tables_5000!C49,input_5000!A:H,8,FALSE))</f>
        <v>0</v>
      </c>
      <c r="P49" s="46">
        <f t="shared" ca="1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input_5000!A$2</f>
        <v>5000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>IFERROR(VLOOKUP(B50,input_5000!L:R,7,FALSE),VLOOKUP(tables_5000!C50,input_5000!A:H,8,FALSE))</f>
        <v>240500</v>
      </c>
      <c r="P50" s="46">
        <f t="shared" ca="1" si="2"/>
        <v>6.25E-2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input_5000!A$2</f>
        <v>5000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IFERROR(VLOOKUP(B51,input_5000!L:R,7,FALSE),VLOOKUP(tables_5000!C51,input_5000!A:H,8,FALSE))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input_5000!A$2</f>
        <v>5000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IFERROR(VLOOKUP(B52,input_5000!L:R,7,FALSE),VLOOKUP(tables_5000!C52,input_5000!A:H,8,FALSE))</f>
        <v>24206</v>
      </c>
      <c r="P52" s="46">
        <f t="shared" ca="1" si="2"/>
        <v>6.2905405405405401E-3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input_5000!A$2</f>
        <v>5000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IFERROR(VLOOKUP(B53,input_5000!L:R,7,FALSE),VLOOKUP(tables_5000!C53,input_5000!A:H,8,FALSE))</f>
        <v>1274</v>
      </c>
      <c r="P53" s="46">
        <f t="shared" ca="1" si="2"/>
        <v>3.3108108108108108E-4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input_5000!A$2</f>
        <v>5000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IFERROR(VLOOKUP(B54,input_5000!L:R,7,FALSE),VLOOKUP(tables_5000!C54,input_5000!A:H,8,FALSE))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input_5000!A$2</f>
        <v>5000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IFERROR(VLOOKUP(B55,input_5000!L:R,7,FALSE),VLOOKUP(tables_5000!C55,input_5000!A:H,8,FALSE))</f>
        <v>24206</v>
      </c>
      <c r="P55" s="46">
        <f t="shared" ca="1" si="2"/>
        <v>6.2905405405405401E-3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input_5000!A$2</f>
        <v>5000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IFERROR(VLOOKUP(B56,input_5000!L:R,7,FALSE),VLOOKUP(tables_5000!C56,input_5000!A:H,8,FALSE))</f>
        <v>1274</v>
      </c>
      <c r="P56" s="46">
        <f t="shared" ca="1" si="2"/>
        <v>3.3108108108108108E-4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input_5000!A$2</f>
        <v>5000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IFERROR(VLOOKUP(B57,input_5000!L:R,7,FALSE),VLOOKUP(tables_5000!C57,input_5000!A:H,8,FALSE))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input_5000!A$2</f>
        <v>5000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IFERROR(VLOOKUP(B58,input_5000!L:R,7,FALSE),VLOOKUP(tables_5000!C58,input_5000!A:H,8,FALSE))</f>
        <v>24206</v>
      </c>
      <c r="P58" s="46">
        <f t="shared" ca="1" si="2"/>
        <v>6.2905405405405401E-3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input_5000!A$2</f>
        <v>5000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IFERROR(VLOOKUP(B59,input_5000!L:R,7,FALSE),VLOOKUP(tables_5000!C59,input_5000!A:H,8,FALSE))</f>
        <v>1274</v>
      </c>
      <c r="P59" s="46">
        <f t="shared" ca="1" si="2"/>
        <v>3.3108108108108108E-4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input_5000!A$2</f>
        <v>5000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IFERROR(VLOOKUP(B60,input_5000!L:R,7,FALSE),VLOOKUP(tables_5000!C60,input_5000!A:H,8,FALSE))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input_5000!A$2</f>
        <v>5000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IFERROR(VLOOKUP(B61,input_5000!L:R,7,FALSE),VLOOKUP(tables_5000!C61,input_5000!A:H,8,FALSE))</f>
        <v>24206</v>
      </c>
      <c r="P61" s="46">
        <f t="shared" ca="1" si="2"/>
        <v>6.2905405405405401E-3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input_5000!A$2</f>
        <v>5000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IFERROR(VLOOKUP(B62,input_5000!L:R,7,FALSE),VLOOKUP(tables_5000!C62,input_5000!A:H,8,FALSE))</f>
        <v>1274</v>
      </c>
      <c r="P62" s="46">
        <f t="shared" ca="1" si="2"/>
        <v>3.3108108108108108E-4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input_5000!A$2</f>
        <v>5000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IFERROR(VLOOKUP(B63,input_5000!L:R,7,FALSE),VLOOKUP(tables_5000!C63,input_5000!A:H,8,FALSE))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input_5000!A$2</f>
        <v>5000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IFERROR(VLOOKUP(B64,input_5000!L:R,7,FALSE),VLOOKUP(tables_5000!C64,input_5000!A:H,8,FALSE))</f>
        <v>24206</v>
      </c>
      <c r="P64" s="46">
        <f t="shared" ca="1" si="2"/>
        <v>6.2905405405405401E-3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input_5000!A$2</f>
        <v>5000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IFERROR(VLOOKUP(B65,input_5000!L:R,7,FALSE),VLOOKUP(tables_5000!C65,input_5000!A:H,8,FALSE))</f>
        <v>1274</v>
      </c>
      <c r="P65" s="46">
        <f t="shared" ca="1" si="2"/>
        <v>3.3108108108108108E-4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input_5000!A$2</f>
        <v>5000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IFERROR(VLOOKUP(B66,input_5000!L:R,7,FALSE),VLOOKUP(tables_5000!C66,input_5000!A:H,8,FALSE))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input_5000!A$2</f>
        <v>5000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IFERROR(VLOOKUP(B67,input_5000!L:R,7,FALSE),VLOOKUP(tables_5000!C67,input_5000!A:H,8,FALSE))</f>
        <v>24206</v>
      </c>
      <c r="P67" s="46">
        <f t="shared" ca="1" si="2"/>
        <v>6.2905405405405401E-3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input_5000!A$2</f>
        <v>5000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IFERROR(VLOOKUP(B68,input_5000!L:R,7,FALSE),VLOOKUP(tables_5000!C68,input_5000!A:H,8,FALSE))</f>
        <v>1274</v>
      </c>
      <c r="P68" s="46">
        <f t="shared" ca="1" si="2"/>
        <v>3.3108108108108108E-4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input_5000!A$2</f>
        <v>5000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IFERROR(VLOOKUP(B69,input_5000!L:R,7,FALSE),VLOOKUP(tables_5000!C69,input_5000!A:H,8,FALSE))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input_5000!A$2</f>
        <v>5000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IFERROR(VLOOKUP(B70,input_5000!L:R,7,FALSE),VLOOKUP(tables_5000!C70,input_5000!A:H,8,FALSE))</f>
        <v>24206</v>
      </c>
      <c r="P70" s="46">
        <f t="shared" ca="1" si="2"/>
        <v>6.2905405405405401E-3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input_5000!A$2</f>
        <v>5000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IFERROR(VLOOKUP(B71,input_5000!L:R,7,FALSE),VLOOKUP(tables_5000!C71,input_5000!A:H,8,FALSE))</f>
        <v>1274</v>
      </c>
      <c r="P71" s="46">
        <f t="shared" ca="1" si="2"/>
        <v>3.3108108108108108E-4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input_5000!A$2</f>
        <v>5000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IFERROR(VLOOKUP(B72,input_5000!L:R,7,FALSE),VLOOKUP(tables_5000!C72,input_5000!A:H,8,FALSE))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input_5000!A$2</f>
        <v>5000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IFERROR(VLOOKUP(B73,input_5000!L:R,7,FALSE),VLOOKUP(tables_5000!C73,input_5000!A:H,8,FALSE))</f>
        <v>24206</v>
      </c>
      <c r="P73" s="46">
        <f t="shared" ca="1" si="2"/>
        <v>6.2905405405405401E-3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input_5000!A$2</f>
        <v>5000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IFERROR(VLOOKUP(B74,input_5000!L:R,7,FALSE),VLOOKUP(tables_5000!C74,input_5000!A:H,8,FALSE))</f>
        <v>1274</v>
      </c>
      <c r="P74" s="46">
        <f t="shared" ca="1" si="2"/>
        <v>3.3108108108108108E-4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input_5000!A$2</f>
        <v>5000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IFERROR(VLOOKUP(B75,input_5000!L:R,7,FALSE),VLOOKUP(tables_5000!C75,input_5000!A:H,8,FALSE))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input_5000!A$2</f>
        <v>5000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IFERROR(VLOOKUP(B76,input_5000!L:R,7,FALSE),VLOOKUP(tables_5000!C76,input_5000!A:H,8,FALSE))</f>
        <v>24206</v>
      </c>
      <c r="P76" s="46">
        <f t="shared" ca="1" si="2"/>
        <v>6.2905405405405401E-3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input_5000!A$2</f>
        <v>5000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IFERROR(VLOOKUP(B77,input_5000!L:R,7,FALSE),VLOOKUP(tables_5000!C77,input_5000!A:H,8,FALSE))</f>
        <v>1274</v>
      </c>
      <c r="P77" s="46">
        <f t="shared" ca="1" si="2"/>
        <v>3.3108108108108108E-4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input_5000!A$2</f>
        <v>5000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IFERROR(VLOOKUP(B78,input_5000!L:R,7,FALSE),VLOOKUP(tables_5000!C78,input_5000!A:H,8,FALSE))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input_5000!A$2</f>
        <v>5000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IFERROR(VLOOKUP(B79,input_5000!L:R,7,FALSE),VLOOKUP(tables_5000!C79,input_5000!A:H,8,FALSE))</f>
        <v>24206</v>
      </c>
      <c r="P79" s="46">
        <f t="shared" ref="P79:P142" ca="1" si="5">O79/SUM(O:O)</f>
        <v>6.2905405405405401E-3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input_5000!A$2</f>
        <v>5000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IFERROR(VLOOKUP(B80,input_5000!L:R,7,FALSE),VLOOKUP(tables_5000!C80,input_5000!A:H,8,FALSE))</f>
        <v>1274</v>
      </c>
      <c r="P80" s="46">
        <f t="shared" ca="1" si="5"/>
        <v>3.3108108108108108E-4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input_5000!A$2</f>
        <v>5000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IFERROR(VLOOKUP(B81,input_5000!L:R,7,FALSE),VLOOKUP(tables_5000!C81,input_5000!A:H,8,FALSE))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input_5000!A$2</f>
        <v>5000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IFERROR(VLOOKUP(B82,input_5000!L:R,7,FALSE),VLOOKUP(tables_5000!C82,input_5000!A:H,8,FALSE))</f>
        <v>24206</v>
      </c>
      <c r="P82" s="46">
        <f t="shared" ca="1" si="5"/>
        <v>6.2905405405405401E-3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input_5000!A$2</f>
        <v>5000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IFERROR(VLOOKUP(B83,input_5000!L:R,7,FALSE),VLOOKUP(tables_5000!C83,input_5000!A:H,8,FALSE))</f>
        <v>1274</v>
      </c>
      <c r="P83" s="46">
        <f t="shared" ca="1" si="5"/>
        <v>3.3108108108108108E-4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input_5000!A$2</f>
        <v>5000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IFERROR(VLOOKUP(B84,input_5000!L:R,7,FALSE),VLOOKUP(tables_5000!C84,input_5000!A:H,8,FALSE))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input_5000!A$2</f>
        <v>5000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IFERROR(VLOOKUP(B85,input_5000!L:R,7,FALSE),VLOOKUP(tables_5000!C85,input_5000!A:H,8,FALSE))</f>
        <v>24206</v>
      </c>
      <c r="P85" s="46">
        <f t="shared" ca="1" si="5"/>
        <v>6.2905405405405401E-3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input_5000!A$2</f>
        <v>5000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IFERROR(VLOOKUP(B86,input_5000!L:R,7,FALSE),VLOOKUP(tables_5000!C86,input_5000!A:H,8,FALSE))</f>
        <v>1274</v>
      </c>
      <c r="P86" s="46">
        <f t="shared" ca="1" si="5"/>
        <v>3.3108108108108108E-4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input_5000!A$2</f>
        <v>5000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IFERROR(VLOOKUP(B87,input_5000!L:R,7,FALSE),VLOOKUP(tables_5000!C87,input_5000!A:H,8,FALSE))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input_5000!A$2</f>
        <v>5000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IFERROR(VLOOKUP(B88,input_5000!L:R,7,FALSE),VLOOKUP(tables_5000!C88,input_5000!A:H,8,FALSE))</f>
        <v>24206</v>
      </c>
      <c r="P88" s="46">
        <f t="shared" ca="1" si="5"/>
        <v>6.2905405405405401E-3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input_5000!A$2</f>
        <v>5000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IFERROR(VLOOKUP(B89,input_5000!L:R,7,FALSE),VLOOKUP(tables_5000!C89,input_5000!A:H,8,FALSE))</f>
        <v>1274</v>
      </c>
      <c r="P89" s="46">
        <f t="shared" ca="1" si="5"/>
        <v>3.3108108108108108E-4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input_5000!A$2</f>
        <v>5000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IFERROR(VLOOKUP(B90,input_5000!L:R,7,FALSE),VLOOKUP(tables_5000!C90,input_5000!A:H,8,FALSE))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input_5000!A$2</f>
        <v>5000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IFERROR(VLOOKUP(B91,input_5000!L:R,7,FALSE),VLOOKUP(tables_5000!C91,input_5000!A:H,8,FALSE))</f>
        <v>24206</v>
      </c>
      <c r="P91" s="46">
        <f t="shared" ca="1" si="5"/>
        <v>6.2905405405405401E-3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input_5000!A$2</f>
        <v>5000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IFERROR(VLOOKUP(B92,input_5000!L:R,7,FALSE),VLOOKUP(tables_5000!C92,input_5000!A:H,8,FALSE))</f>
        <v>1274</v>
      </c>
      <c r="P92" s="46">
        <f t="shared" ca="1" si="5"/>
        <v>3.3108108108108108E-4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input_5000!A$2</f>
        <v>5000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IFERROR(VLOOKUP(B93,input_5000!L:R,7,FALSE),VLOOKUP(tables_5000!C93,input_5000!A:H,8,FALSE))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input_5000!A$2</f>
        <v>5000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IFERROR(VLOOKUP(B94,input_5000!L:R,7,FALSE),VLOOKUP(tables_5000!C94,input_5000!A:H,8,FALSE))</f>
        <v>24206</v>
      </c>
      <c r="P94" s="46">
        <f t="shared" ca="1" si="5"/>
        <v>6.2905405405405401E-3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input_5000!A$2</f>
        <v>5000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IFERROR(VLOOKUP(B95,input_5000!L:R,7,FALSE),VLOOKUP(tables_5000!C95,input_5000!A:H,8,FALSE))</f>
        <v>1274</v>
      </c>
      <c r="P95" s="46">
        <f t="shared" ca="1" si="5"/>
        <v>3.3108108108108108E-4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input_5000!A$2</f>
        <v>5000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IFERROR(VLOOKUP(B96,input_5000!L:R,7,FALSE),VLOOKUP(tables_5000!C96,input_5000!A:H,8,FALSE))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input_5000!A$2</f>
        <v>5000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IFERROR(VLOOKUP(B97,input_5000!L:R,7,FALSE),VLOOKUP(tables_5000!C97,input_5000!A:H,8,FALSE))</f>
        <v>24206</v>
      </c>
      <c r="P97" s="46">
        <f t="shared" ca="1" si="5"/>
        <v>6.2905405405405401E-3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input_5000!A$2</f>
        <v>5000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IFERROR(VLOOKUP(B98,input_5000!L:R,7,FALSE),VLOOKUP(tables_5000!C98,input_5000!A:H,8,FALSE))</f>
        <v>1274</v>
      </c>
      <c r="P98" s="46">
        <f t="shared" ca="1" si="5"/>
        <v>3.3108108108108108E-4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input_5000!A$2</f>
        <v>5000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IFERROR(VLOOKUP(B99,input_5000!L:R,7,FALSE),VLOOKUP(tables_5000!C99,input_5000!A:H,8,FALSE))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input_5000!A$2</f>
        <v>5000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IFERROR(VLOOKUP(B100,input_5000!L:R,7,FALSE),VLOOKUP(tables_5000!C100,input_5000!A:H,8,FALSE))</f>
        <v>24206</v>
      </c>
      <c r="P100" s="46">
        <f t="shared" ca="1" si="5"/>
        <v>6.2905405405405401E-3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input_5000!A$2</f>
        <v>5000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IFERROR(VLOOKUP(B101,input_5000!L:R,7,FALSE),VLOOKUP(tables_5000!C101,input_5000!A:H,8,FALSE))</f>
        <v>1274</v>
      </c>
      <c r="P101" s="46">
        <f t="shared" ca="1" si="5"/>
        <v>3.3108108108108108E-4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input_5000!A$2</f>
        <v>5000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IFERROR(VLOOKUP(B102,input_5000!L:R,7,FALSE),VLOOKUP(tables_5000!C102,input_5000!A:H,8,FALSE))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input_5000!A$2</f>
        <v>5000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IFERROR(VLOOKUP(B103,input_5000!L:R,7,FALSE),VLOOKUP(tables_5000!C103,input_5000!A:H,8,FALSE))</f>
        <v>24206</v>
      </c>
      <c r="P103" s="46">
        <f t="shared" ca="1" si="5"/>
        <v>6.2905405405405401E-3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input_5000!A$2</f>
        <v>5000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IFERROR(VLOOKUP(B104,input_5000!L:R,7,FALSE),VLOOKUP(tables_5000!C104,input_5000!A:H,8,FALSE))</f>
        <v>1274</v>
      </c>
      <c r="P104" s="46">
        <f t="shared" ca="1" si="5"/>
        <v>3.3108108108108108E-4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input_5000!A$2</f>
        <v>5000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IFERROR(VLOOKUP(B105,input_5000!L:R,7,FALSE),VLOOKUP(tables_5000!C105,input_5000!A:H,8,FALSE))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input_5000!A$2</f>
        <v>5000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IFERROR(VLOOKUP(B106,input_5000!L:R,7,FALSE),VLOOKUP(tables_5000!C106,input_5000!A:H,8,FALSE))</f>
        <v>24206</v>
      </c>
      <c r="P106" s="46">
        <f t="shared" ca="1" si="5"/>
        <v>6.2905405405405401E-3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input_5000!A$2</f>
        <v>5000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IFERROR(VLOOKUP(B107,input_5000!L:R,7,FALSE),VLOOKUP(tables_5000!C107,input_5000!A:H,8,FALSE))</f>
        <v>1274</v>
      </c>
      <c r="P107" s="46">
        <f t="shared" ca="1" si="5"/>
        <v>3.3108108108108108E-4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input_5000!A$2</f>
        <v>5000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IFERROR(VLOOKUP(B108,input_5000!L:R,7,FALSE),VLOOKUP(tables_5000!C108,input_5000!A:H,8,FALSE))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input_5000!A$2</f>
        <v>5000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IFERROR(VLOOKUP(B109,input_5000!L:R,7,FALSE),VLOOKUP(tables_5000!C109,input_5000!A:H,8,FALSE))</f>
        <v>24206</v>
      </c>
      <c r="P109" s="46">
        <f t="shared" ca="1" si="5"/>
        <v>6.2905405405405401E-3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input_5000!A$2</f>
        <v>5000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IFERROR(VLOOKUP(B110,input_5000!L:R,7,FALSE),VLOOKUP(tables_5000!C110,input_5000!A:H,8,FALSE))</f>
        <v>1274</v>
      </c>
      <c r="P110" s="46">
        <f t="shared" ca="1" si="5"/>
        <v>3.3108108108108108E-4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input_5000!A$2</f>
        <v>5000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IFERROR(VLOOKUP(B111,input_5000!L:R,7,FALSE),VLOOKUP(tables_5000!C111,input_5000!A:H,8,FALSE))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input_5000!A$2</f>
        <v>5000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IFERROR(VLOOKUP(B112,input_5000!L:R,7,FALSE),VLOOKUP(tables_5000!C112,input_5000!A:H,8,FALSE))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input_5000!A$2</f>
        <v>5000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>IFERROR(VLOOKUP(B113,input_5000!L:R,7,FALSE),VLOOKUP(tables_5000!C113,input_5000!A:H,8,FALSE))</f>
        <v>240500</v>
      </c>
      <c r="P113" s="46">
        <f t="shared" ca="1" si="5"/>
        <v>6.25E-2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input_5000!A$2</f>
        <v>5000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IFERROR(VLOOKUP(B114,input_5000!L:R,7,FALSE),VLOOKUP(tables_5000!C114,input_5000!A:H,8,FALSE))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input_5000!A$2</f>
        <v>5000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IFERROR(VLOOKUP(B115,input_5000!L:R,7,FALSE),VLOOKUP(tables_5000!C115,input_5000!A:H,8,FALSE))</f>
        <v>24206</v>
      </c>
      <c r="P115" s="46">
        <f t="shared" ca="1" si="5"/>
        <v>6.2905405405405401E-3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input_5000!A$2</f>
        <v>5000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IFERROR(VLOOKUP(B116,input_5000!L:R,7,FALSE),VLOOKUP(tables_5000!C116,input_5000!A:H,8,FALSE))</f>
        <v>1274</v>
      </c>
      <c r="P116" s="46">
        <f t="shared" ca="1" si="5"/>
        <v>3.3108108108108108E-4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input_5000!A$2</f>
        <v>5000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IFERROR(VLOOKUP(B117,input_5000!L:R,7,FALSE),VLOOKUP(tables_5000!C117,input_5000!A:H,8,FALSE))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input_5000!A$2</f>
        <v>5000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IFERROR(VLOOKUP(B118,input_5000!L:R,7,FALSE),VLOOKUP(tables_5000!C118,input_5000!A:H,8,FALSE))</f>
        <v>24206</v>
      </c>
      <c r="P118" s="46">
        <f t="shared" ca="1" si="5"/>
        <v>6.2905405405405401E-3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input_5000!A$2</f>
        <v>5000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IFERROR(VLOOKUP(B119,input_5000!L:R,7,FALSE),VLOOKUP(tables_5000!C119,input_5000!A:H,8,FALSE))</f>
        <v>1274</v>
      </c>
      <c r="P119" s="46">
        <f t="shared" ca="1" si="5"/>
        <v>3.3108108108108108E-4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input_5000!A$2</f>
        <v>5000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IFERROR(VLOOKUP(B120,input_5000!L:R,7,FALSE),VLOOKUP(tables_5000!C120,input_5000!A:H,8,FALSE))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input_5000!A$2</f>
        <v>5000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IFERROR(VLOOKUP(B121,input_5000!L:R,7,FALSE),VLOOKUP(tables_5000!C121,input_5000!A:H,8,FALSE))</f>
        <v>24206</v>
      </c>
      <c r="P121" s="46">
        <f t="shared" ca="1" si="5"/>
        <v>6.2905405405405401E-3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input_5000!A$2</f>
        <v>5000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IFERROR(VLOOKUP(B122,input_5000!L:R,7,FALSE),VLOOKUP(tables_5000!C122,input_5000!A:H,8,FALSE))</f>
        <v>1274</v>
      </c>
      <c r="P122" s="46">
        <f t="shared" ca="1" si="5"/>
        <v>3.3108108108108108E-4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input_5000!A$2</f>
        <v>5000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IFERROR(VLOOKUP(B123,input_5000!L:R,7,FALSE),VLOOKUP(tables_5000!C123,input_5000!A:H,8,FALSE))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input_5000!A$2</f>
        <v>5000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IFERROR(VLOOKUP(B124,input_5000!L:R,7,FALSE),VLOOKUP(tables_5000!C124,input_5000!A:H,8,FALSE))</f>
        <v>24206</v>
      </c>
      <c r="P124" s="46">
        <f t="shared" ca="1" si="5"/>
        <v>6.2905405405405401E-3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input_5000!A$2</f>
        <v>5000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IFERROR(VLOOKUP(B125,input_5000!L:R,7,FALSE),VLOOKUP(tables_5000!C125,input_5000!A:H,8,FALSE))</f>
        <v>1274</v>
      </c>
      <c r="P125" s="46">
        <f t="shared" ca="1" si="5"/>
        <v>3.3108108108108108E-4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input_5000!A$2</f>
        <v>5000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IFERROR(VLOOKUP(B126,input_5000!L:R,7,FALSE),VLOOKUP(tables_5000!C126,input_5000!A:H,8,FALSE))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input_5000!A$2</f>
        <v>5000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IFERROR(VLOOKUP(B127,input_5000!L:R,7,FALSE),VLOOKUP(tables_5000!C127,input_5000!A:H,8,FALSE))</f>
        <v>24206</v>
      </c>
      <c r="P127" s="46">
        <f t="shared" ca="1" si="5"/>
        <v>6.2905405405405401E-3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input_5000!A$2</f>
        <v>5000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IFERROR(VLOOKUP(B128,input_5000!L:R,7,FALSE),VLOOKUP(tables_5000!C128,input_5000!A:H,8,FALSE))</f>
        <v>1274</v>
      </c>
      <c r="P128" s="46">
        <f t="shared" ca="1" si="5"/>
        <v>3.3108108108108108E-4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input_5000!A$2</f>
        <v>5000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IFERROR(VLOOKUP(B129,input_5000!L:R,7,FALSE),VLOOKUP(tables_5000!C129,input_5000!A:H,8,FALSE))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input_5000!A$2</f>
        <v>5000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IFERROR(VLOOKUP(B130,input_5000!L:R,7,FALSE),VLOOKUP(tables_5000!C130,input_5000!A:H,8,FALSE))</f>
        <v>24206</v>
      </c>
      <c r="P130" s="46">
        <f t="shared" ca="1" si="5"/>
        <v>6.2905405405405401E-3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input_5000!A$2</f>
        <v>5000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IFERROR(VLOOKUP(B131,input_5000!L:R,7,FALSE),VLOOKUP(tables_5000!C131,input_5000!A:H,8,FALSE))</f>
        <v>1274</v>
      </c>
      <c r="P131" s="46">
        <f t="shared" ca="1" si="5"/>
        <v>3.3108108108108108E-4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input_5000!A$2</f>
        <v>5000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IFERROR(VLOOKUP(B132,input_5000!L:R,7,FALSE),VLOOKUP(tables_5000!C132,input_5000!A:H,8,FALSE))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input_5000!A$2</f>
        <v>5000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IFERROR(VLOOKUP(B133,input_5000!L:R,7,FALSE),VLOOKUP(tables_5000!C133,input_5000!A:H,8,FALSE))</f>
        <v>24206</v>
      </c>
      <c r="P133" s="46">
        <f t="shared" ca="1" si="5"/>
        <v>6.2905405405405401E-3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input_5000!A$2</f>
        <v>5000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IFERROR(VLOOKUP(B134,input_5000!L:R,7,FALSE),VLOOKUP(tables_5000!C134,input_5000!A:H,8,FALSE))</f>
        <v>1274</v>
      </c>
      <c r="P134" s="46">
        <f t="shared" ca="1" si="5"/>
        <v>3.3108108108108108E-4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input_5000!A$2</f>
        <v>5000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IFERROR(VLOOKUP(B135,input_5000!L:R,7,FALSE),VLOOKUP(tables_5000!C135,input_5000!A:H,8,FALSE))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input_5000!A$2</f>
        <v>5000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IFERROR(VLOOKUP(B136,input_5000!L:R,7,FALSE),VLOOKUP(tables_5000!C136,input_5000!A:H,8,FALSE))</f>
        <v>24206</v>
      </c>
      <c r="P136" s="46">
        <f t="shared" ca="1" si="5"/>
        <v>6.2905405405405401E-3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input_5000!A$2</f>
        <v>5000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IFERROR(VLOOKUP(B137,input_5000!L:R,7,FALSE),VLOOKUP(tables_5000!C137,input_5000!A:H,8,FALSE))</f>
        <v>1274</v>
      </c>
      <c r="P137" s="46">
        <f t="shared" ca="1" si="5"/>
        <v>3.3108108108108108E-4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input_5000!A$2</f>
        <v>5000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IFERROR(VLOOKUP(B138,input_5000!L:R,7,FALSE),VLOOKUP(tables_5000!C138,input_5000!A:H,8,FALSE))</f>
        <v>1406</v>
      </c>
      <c r="P138" s="46">
        <f t="shared" ca="1" si="5"/>
        <v>3.653846153846154E-4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input_5000!A$2</f>
        <v>5000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IFERROR(VLOOKUP(B139,input_5000!L:R,7,FALSE),VLOOKUP(tables_5000!C139,input_5000!A:H,8,FALSE))</f>
        <v>74</v>
      </c>
      <c r="P139" s="46">
        <f t="shared" ca="1" si="5"/>
        <v>1.9230769230769231E-5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input_5000!A$2</f>
        <v>5000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IFERROR(VLOOKUP(B140,input_5000!L:R,7,FALSE),VLOOKUP(tables_5000!C140,input_5000!A:H,8,FALSE))</f>
        <v>1406</v>
      </c>
      <c r="P140" s="46">
        <f t="shared" ca="1" si="5"/>
        <v>3.653846153846154E-4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input_5000!A$2</f>
        <v>5000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IFERROR(VLOOKUP(B141,input_5000!L:R,7,FALSE),VLOOKUP(tables_5000!C141,input_5000!A:H,8,FALSE))</f>
        <v>74</v>
      </c>
      <c r="P141" s="46">
        <f t="shared" ca="1" si="5"/>
        <v>1.9230769230769231E-5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input_5000!A$2</f>
        <v>5000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>IFERROR(VLOOKUP(B142,input_5000!L:R,7,FALSE),VLOOKUP(tables_5000!C142,input_5000!A:H,8,FALSE))</f>
        <v>0</v>
      </c>
      <c r="P142" s="46">
        <f t="shared" ca="1" si="5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input_5000!A$2</f>
        <v>5000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>IFERROR(VLOOKUP(B143,input_5000!L:R,7,FALSE),VLOOKUP(tables_5000!C143,input_5000!A:H,8,FALSE))</f>
        <v>240500</v>
      </c>
      <c r="P143" s="46">
        <f t="shared" ref="P143:P206" ca="1" si="8">O143/SUM(O:O)</f>
        <v>6.25E-2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input_5000!A$2</f>
        <v>5000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IFERROR(VLOOKUP(B144,input_5000!L:R,7,FALSE),VLOOKUP(tables_5000!C144,input_5000!A:H,8,FALSE))</f>
        <v>1406</v>
      </c>
      <c r="P144" s="46">
        <f t="shared" ca="1" si="8"/>
        <v>3.653846153846154E-4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input_5000!A$2</f>
        <v>5000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IFERROR(VLOOKUP(B145,input_5000!L:R,7,FALSE),VLOOKUP(tables_5000!C145,input_5000!A:H,8,FALSE))</f>
        <v>74</v>
      </c>
      <c r="P145" s="46">
        <f t="shared" ca="1" si="8"/>
        <v>1.9230769230769231E-5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input_5000!A$2</f>
        <v>5000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IFERROR(VLOOKUP(B146,input_5000!L:R,7,FALSE),VLOOKUP(tables_5000!C146,input_5000!A:H,8,FALSE))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input_5000!A$2</f>
        <v>5000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IFERROR(VLOOKUP(B147,input_5000!L:R,7,FALSE),VLOOKUP(tables_5000!C147,input_5000!A:H,8,FALSE))</f>
        <v>24206</v>
      </c>
      <c r="P147" s="46">
        <f t="shared" ca="1" si="8"/>
        <v>6.2905405405405401E-3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input_5000!A$2</f>
        <v>5000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IFERROR(VLOOKUP(B148,input_5000!L:R,7,FALSE),VLOOKUP(tables_5000!C148,input_5000!A:H,8,FALSE))</f>
        <v>1274</v>
      </c>
      <c r="P148" s="46">
        <f t="shared" ca="1" si="8"/>
        <v>3.3108108108108108E-4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input_5000!A$2</f>
        <v>5000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IFERROR(VLOOKUP(B149,input_5000!L:R,7,FALSE),VLOOKUP(tables_5000!C149,input_5000!A:H,8,FALSE))</f>
        <v>1406</v>
      </c>
      <c r="P149" s="46">
        <f t="shared" ca="1" si="8"/>
        <v>3.653846153846154E-4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input_5000!A$2</f>
        <v>5000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IFERROR(VLOOKUP(B150,input_5000!L:R,7,FALSE),VLOOKUP(tables_5000!C150,input_5000!A:H,8,FALSE))</f>
        <v>74</v>
      </c>
      <c r="P150" s="46">
        <f t="shared" ca="1" si="8"/>
        <v>1.9230769230769231E-5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input_5000!A$2</f>
        <v>5000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IFERROR(VLOOKUP(B151,input_5000!L:R,7,FALSE),VLOOKUP(tables_5000!C151,input_5000!A:H,8,FALSE))</f>
        <v>1406</v>
      </c>
      <c r="P151" s="46">
        <f t="shared" ca="1" si="8"/>
        <v>3.653846153846154E-4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input_5000!A$2</f>
        <v>5000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IFERROR(VLOOKUP(B152,input_5000!L:R,7,FALSE),VLOOKUP(tables_5000!C152,input_5000!A:H,8,FALSE))</f>
        <v>74</v>
      </c>
      <c r="P152" s="46">
        <f t="shared" ca="1" si="8"/>
        <v>1.9230769230769231E-5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input_5000!A$2</f>
        <v>5000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IFERROR(VLOOKUP(B153,input_5000!L:R,7,FALSE),VLOOKUP(tables_5000!C153,input_5000!A:H,8,FALSE))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input_5000!A$2</f>
        <v>5000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IFERROR(VLOOKUP(B154,input_5000!L:R,7,FALSE),VLOOKUP(tables_5000!C154,input_5000!A:H,8,FALSE))</f>
        <v>24206</v>
      </c>
      <c r="P154" s="46">
        <f t="shared" ca="1" si="8"/>
        <v>6.2905405405405401E-3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input_5000!A$2</f>
        <v>5000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IFERROR(VLOOKUP(B155,input_5000!L:R,7,FALSE),VLOOKUP(tables_5000!C155,input_5000!A:H,8,FALSE))</f>
        <v>1274</v>
      </c>
      <c r="P155" s="46">
        <f t="shared" ca="1" si="8"/>
        <v>3.3108108108108108E-4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input_5000!A$2</f>
        <v>5000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IFERROR(VLOOKUP(B156,input_5000!L:R,7,FALSE),VLOOKUP(tables_5000!C156,input_5000!A:H,8,FALSE))</f>
        <v>0</v>
      </c>
      <c r="P156" s="46">
        <f t="shared" ca="1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input_5000!A$2</f>
        <v>5000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IFERROR(VLOOKUP(B157,input_5000!L:R,7,FALSE),VLOOKUP(tables_5000!C157,input_5000!A:H,8,FALSE))</f>
        <v>240500</v>
      </c>
      <c r="P157" s="46">
        <f t="shared" ca="1" si="8"/>
        <v>6.25E-2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input_5000!A$2</f>
        <v>5000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IFERROR(VLOOKUP(B158,input_5000!L:R,7,FALSE),VLOOKUP(tables_5000!C158,input_5000!A:H,8,FALSE))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input_5000!A$2</f>
        <v>5000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IFERROR(VLOOKUP(B159,input_5000!L:R,7,FALSE),VLOOKUP(tables_5000!C159,input_5000!A:H,8,FALSE))</f>
        <v>24206</v>
      </c>
      <c r="P159" s="46">
        <f t="shared" ca="1" si="8"/>
        <v>6.2905405405405401E-3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input_5000!A$2</f>
        <v>5000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IFERROR(VLOOKUP(B160,input_5000!L:R,7,FALSE),VLOOKUP(tables_5000!C160,input_5000!A:H,8,FALSE))</f>
        <v>1274</v>
      </c>
      <c r="P160" s="46">
        <f t="shared" ca="1" si="8"/>
        <v>3.3108108108108108E-4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input_5000!A$2</f>
        <v>5000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IFERROR(VLOOKUP(B161,input_5000!L:R,7,FALSE),VLOOKUP(tables_5000!C161,input_5000!A:H,8,FALSE))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input_5000!A$2</f>
        <v>5000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IFERROR(VLOOKUP(B162,input_5000!L:R,7,FALSE),VLOOKUP(tables_5000!C162,input_5000!A:H,8,FALSE))</f>
        <v>24206</v>
      </c>
      <c r="P162" s="46">
        <f t="shared" ca="1" si="8"/>
        <v>6.2905405405405401E-3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input_5000!A$2</f>
        <v>5000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IFERROR(VLOOKUP(B163,input_5000!L:R,7,FALSE),VLOOKUP(tables_5000!C163,input_5000!A:H,8,FALSE))</f>
        <v>1274</v>
      </c>
      <c r="P163" s="46">
        <f t="shared" ca="1" si="8"/>
        <v>3.3108108108108108E-4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input_5000!A$2</f>
        <v>5000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IFERROR(VLOOKUP(B164,input_5000!L:R,7,FALSE),VLOOKUP(tables_5000!C164,input_5000!A:H,8,FALSE))</f>
        <v>1406</v>
      </c>
      <c r="P164" s="46">
        <f t="shared" ca="1" si="8"/>
        <v>3.653846153846154E-4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input_5000!A$2</f>
        <v>5000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IFERROR(VLOOKUP(B165,input_5000!L:R,7,FALSE),VLOOKUP(tables_5000!C165,input_5000!A:H,8,FALSE))</f>
        <v>74</v>
      </c>
      <c r="P165" s="46">
        <f t="shared" ca="1" si="8"/>
        <v>1.9230769230769231E-5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input_5000!A$2</f>
        <v>5000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IFERROR(VLOOKUP(B166,input_5000!L:R,7,FALSE),VLOOKUP(tables_5000!C166,input_5000!A:H,8,FALSE))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input_5000!A$2</f>
        <v>5000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IFERROR(VLOOKUP(B167,input_5000!L:R,7,FALSE),VLOOKUP(tables_5000!C167,input_5000!A:H,8,FALSE))</f>
        <v>24206</v>
      </c>
      <c r="P167" s="46">
        <f t="shared" ca="1" si="8"/>
        <v>6.2905405405405401E-3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input_5000!A$2</f>
        <v>5000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IFERROR(VLOOKUP(B168,input_5000!L:R,7,FALSE),VLOOKUP(tables_5000!C168,input_5000!A:H,8,FALSE))</f>
        <v>1274</v>
      </c>
      <c r="P168" s="46">
        <f t="shared" ca="1" si="8"/>
        <v>3.3108108108108108E-4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input_5000!A$2</f>
        <v>5000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IFERROR(VLOOKUP(B169,input_5000!L:R,7,FALSE),VLOOKUP(tables_5000!C169,input_5000!A:H,8,FALSE))</f>
        <v>1406</v>
      </c>
      <c r="P169" s="46">
        <f t="shared" ca="1" si="8"/>
        <v>3.653846153846154E-4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input_5000!A$2</f>
        <v>5000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IFERROR(VLOOKUP(B170,input_5000!L:R,7,FALSE),VLOOKUP(tables_5000!C170,input_5000!A:H,8,FALSE))</f>
        <v>74</v>
      </c>
      <c r="P170" s="46">
        <f t="shared" ca="1" si="8"/>
        <v>1.9230769230769231E-5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input_5000!A$2</f>
        <v>5000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IFERROR(VLOOKUP(B171,input_5000!L:R,7,FALSE),VLOOKUP(tables_5000!C171,input_5000!A:H,8,FALSE))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input_5000!A$2</f>
        <v>5000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IFERROR(VLOOKUP(B172,input_5000!L:R,7,FALSE),VLOOKUP(tables_5000!C172,input_5000!A:H,8,FALSE))</f>
        <v>24206</v>
      </c>
      <c r="P172" s="46">
        <f t="shared" ca="1" si="8"/>
        <v>6.2905405405405401E-3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input_5000!A$2</f>
        <v>5000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IFERROR(VLOOKUP(B173,input_5000!L:R,7,FALSE),VLOOKUP(tables_5000!C173,input_5000!A:H,8,FALSE))</f>
        <v>1274</v>
      </c>
      <c r="P173" s="46">
        <f t="shared" ca="1" si="8"/>
        <v>3.3108108108108108E-4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input_5000!A$2</f>
        <v>5000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IFERROR(VLOOKUP(B174,input_5000!L:R,7,FALSE),VLOOKUP(tables_5000!C174,input_5000!A:H,8,FALSE))</f>
        <v>1406</v>
      </c>
      <c r="P174" s="46">
        <f t="shared" ca="1" si="8"/>
        <v>3.653846153846154E-4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input_5000!A$2</f>
        <v>5000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IFERROR(VLOOKUP(B175,input_5000!L:R,7,FALSE),VLOOKUP(tables_5000!C175,input_5000!A:H,8,FALSE))</f>
        <v>74</v>
      </c>
      <c r="P175" s="46">
        <f t="shared" ca="1" si="8"/>
        <v>1.9230769230769231E-5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input_5000!A$2</f>
        <v>5000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IFERROR(VLOOKUP(B176,input_5000!L:R,7,FALSE),VLOOKUP(tables_5000!C176,input_5000!A:H,8,FALSE))</f>
        <v>1406</v>
      </c>
      <c r="P176" s="46">
        <f t="shared" ca="1" si="8"/>
        <v>3.653846153846154E-4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input_5000!A$2</f>
        <v>5000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IFERROR(VLOOKUP(B177,input_5000!L:R,7,FALSE),VLOOKUP(tables_5000!C177,input_5000!A:H,8,FALSE))</f>
        <v>74</v>
      </c>
      <c r="P177" s="46">
        <f t="shared" ca="1" si="8"/>
        <v>1.9230769230769231E-5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input_5000!A$2</f>
        <v>5000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IFERROR(VLOOKUP(B178,input_5000!L:R,7,FALSE),VLOOKUP(tables_5000!C178,input_5000!A:H,8,FALSE))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input_5000!A$2</f>
        <v>5000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IFERROR(VLOOKUP(B179,input_5000!L:R,7,FALSE),VLOOKUP(tables_5000!C179,input_5000!A:H,8,FALSE))</f>
        <v>24206</v>
      </c>
      <c r="P179" s="46">
        <f t="shared" ca="1" si="8"/>
        <v>6.2905405405405401E-3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input_5000!A$2</f>
        <v>5000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IFERROR(VLOOKUP(B180,input_5000!L:R,7,FALSE),VLOOKUP(tables_5000!C180,input_5000!A:H,8,FALSE))</f>
        <v>1274</v>
      </c>
      <c r="P180" s="46">
        <f t="shared" ca="1" si="8"/>
        <v>3.3108108108108108E-4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input_5000!A$2</f>
        <v>5000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IFERROR(VLOOKUP(B181,input_5000!L:R,7,FALSE),VLOOKUP(tables_5000!C181,input_5000!A:H,8,FALSE))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input_5000!A$2</f>
        <v>5000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IFERROR(VLOOKUP(B182,input_5000!L:R,7,FALSE),VLOOKUP(tables_5000!C182,input_5000!A:H,8,FALSE))</f>
        <v>24206</v>
      </c>
      <c r="P182" s="46">
        <f t="shared" ca="1" si="8"/>
        <v>6.2905405405405401E-3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input_5000!A$2</f>
        <v>5000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IFERROR(VLOOKUP(B183,input_5000!L:R,7,FALSE),VLOOKUP(tables_5000!C183,input_5000!A:H,8,FALSE))</f>
        <v>1274</v>
      </c>
      <c r="P183" s="46">
        <f t="shared" ca="1" si="8"/>
        <v>3.3108108108108108E-4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input_5000!A$2</f>
        <v>5000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IFERROR(VLOOKUP(B184,input_5000!L:R,7,FALSE),VLOOKUP(tables_5000!C184,input_5000!A:H,8,FALSE))</f>
        <v>1406</v>
      </c>
      <c r="P184" s="46">
        <f t="shared" ca="1" si="8"/>
        <v>3.653846153846154E-4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input_5000!A$2</f>
        <v>5000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IFERROR(VLOOKUP(B185,input_5000!L:R,7,FALSE),VLOOKUP(tables_5000!C185,input_5000!A:H,8,FALSE))</f>
        <v>74</v>
      </c>
      <c r="P185" s="46">
        <f t="shared" ca="1" si="8"/>
        <v>1.9230769230769231E-5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input_5000!A$2</f>
        <v>5000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IFERROR(VLOOKUP(B186,input_5000!L:R,7,FALSE),VLOOKUP(tables_5000!C186,input_5000!A:H,8,FALSE))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input_5000!A$2</f>
        <v>5000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IFERROR(VLOOKUP(B187,input_5000!L:R,7,FALSE),VLOOKUP(tables_5000!C187,input_5000!A:H,8,FALSE))</f>
        <v>24206</v>
      </c>
      <c r="P187" s="46">
        <f t="shared" ca="1" si="8"/>
        <v>6.2905405405405401E-3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input_5000!A$2</f>
        <v>5000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IFERROR(VLOOKUP(B188,input_5000!L:R,7,FALSE),VLOOKUP(tables_5000!C188,input_5000!A:H,8,FALSE))</f>
        <v>1274</v>
      </c>
      <c r="P188" s="46">
        <f t="shared" ca="1" si="8"/>
        <v>3.3108108108108108E-4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input_5000!A$2</f>
        <v>5000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IFERROR(VLOOKUP(B189,input_5000!L:R,7,FALSE),VLOOKUP(tables_5000!C189,input_5000!A:H,8,FALSE))</f>
        <v>1406</v>
      </c>
      <c r="P189" s="46">
        <f t="shared" ca="1" si="8"/>
        <v>3.653846153846154E-4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input_5000!A$2</f>
        <v>5000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IFERROR(VLOOKUP(B190,input_5000!L:R,7,FALSE),VLOOKUP(tables_5000!C190,input_5000!A:H,8,FALSE))</f>
        <v>74</v>
      </c>
      <c r="P190" s="46">
        <f t="shared" ca="1" si="8"/>
        <v>1.9230769230769231E-5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input_5000!A$2</f>
        <v>5000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IFERROR(VLOOKUP(B191,input_5000!L:R,7,FALSE),VLOOKUP(tables_5000!C191,input_5000!A:H,8,FALSE))</f>
        <v>1406</v>
      </c>
      <c r="P191" s="46">
        <f t="shared" ca="1" si="8"/>
        <v>3.653846153846154E-4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input_5000!A$2</f>
        <v>5000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IFERROR(VLOOKUP(B192,input_5000!L:R,7,FALSE),VLOOKUP(tables_5000!C192,input_5000!A:H,8,FALSE))</f>
        <v>74</v>
      </c>
      <c r="P192" s="46">
        <f t="shared" ca="1" si="8"/>
        <v>1.9230769230769231E-5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input_5000!A$2</f>
        <v>5000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IFERROR(VLOOKUP(B193,input_5000!L:R,7,FALSE),VLOOKUP(tables_5000!C193,input_5000!A:H,8,FALSE))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input_5000!A$2</f>
        <v>5000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IFERROR(VLOOKUP(B194,input_5000!L:R,7,FALSE),VLOOKUP(tables_5000!C194,input_5000!A:H,8,FALSE))</f>
        <v>24206</v>
      </c>
      <c r="P194" s="46">
        <f t="shared" ca="1" si="8"/>
        <v>6.2905405405405401E-3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input_5000!A$2</f>
        <v>5000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IFERROR(VLOOKUP(B195,input_5000!L:R,7,FALSE),VLOOKUP(tables_5000!C195,input_5000!A:H,8,FALSE))</f>
        <v>1274</v>
      </c>
      <c r="P195" s="46">
        <f t="shared" ca="1" si="8"/>
        <v>3.3108108108108108E-4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input_5000!A$2</f>
        <v>5000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IFERROR(VLOOKUP(B196,input_5000!L:R,7,FALSE),VLOOKUP(tables_5000!C196,input_5000!A:H,8,FALSE))</f>
        <v>1406</v>
      </c>
      <c r="P196" s="46">
        <f t="shared" ca="1" si="8"/>
        <v>3.653846153846154E-4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input_5000!A$2</f>
        <v>5000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IFERROR(VLOOKUP(B197,input_5000!L:R,7,FALSE),VLOOKUP(tables_5000!C197,input_5000!A:H,8,FALSE))</f>
        <v>74</v>
      </c>
      <c r="P197" s="46">
        <f t="shared" ca="1" si="8"/>
        <v>1.9230769230769231E-5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input_5000!A$2</f>
        <v>5000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IFERROR(VLOOKUP(B198,input_5000!L:R,7,FALSE),VLOOKUP(tables_5000!C198,input_5000!A:H,8,FALSE))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input_5000!A$2</f>
        <v>5000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IFERROR(VLOOKUP(B199,input_5000!L:R,7,FALSE),VLOOKUP(tables_5000!C199,input_5000!A:H,8,FALSE))</f>
        <v>24206</v>
      </c>
      <c r="P199" s="46">
        <f t="shared" ca="1" si="8"/>
        <v>6.2905405405405401E-3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input_5000!A$2</f>
        <v>5000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IFERROR(VLOOKUP(B200,input_5000!L:R,7,FALSE),VLOOKUP(tables_5000!C200,input_5000!A:H,8,FALSE))</f>
        <v>1274</v>
      </c>
      <c r="P200" s="46">
        <f t="shared" ca="1" si="8"/>
        <v>3.3108108108108108E-4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input_5000!A$2</f>
        <v>5000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IFERROR(VLOOKUP(B201,input_5000!L:R,7,FALSE),VLOOKUP(tables_5000!C201,input_5000!A:H,8,FALSE))</f>
        <v>1406</v>
      </c>
      <c r="P201" s="46">
        <f t="shared" ca="1" si="8"/>
        <v>3.653846153846154E-4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input_5000!A$2</f>
        <v>5000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IFERROR(VLOOKUP(B202,input_5000!L:R,7,FALSE),VLOOKUP(tables_5000!C202,input_5000!A:H,8,FALSE))</f>
        <v>74</v>
      </c>
      <c r="P202" s="46">
        <f t="shared" ca="1" si="8"/>
        <v>1.9230769230769231E-5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input_5000!A$2</f>
        <v>5000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IFERROR(VLOOKUP(B203,input_5000!L:R,7,FALSE),VLOOKUP(tables_5000!C203,input_5000!A:H,8,FALSE))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input_5000!A$2</f>
        <v>5000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IFERROR(VLOOKUP(B204,input_5000!L:R,7,FALSE),VLOOKUP(tables_5000!C204,input_5000!A:H,8,FALSE))</f>
        <v>24206</v>
      </c>
      <c r="P204" s="46">
        <f t="shared" ca="1" si="8"/>
        <v>6.2905405405405401E-3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input_5000!A$2</f>
        <v>5000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IFERROR(VLOOKUP(B205,input_5000!L:R,7,FALSE),VLOOKUP(tables_5000!C205,input_5000!A:H,8,FALSE))</f>
        <v>1274</v>
      </c>
      <c r="P205" s="46">
        <f t="shared" ca="1" si="8"/>
        <v>3.3108108108108108E-4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input_5000!A$2</f>
        <v>5000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IFERROR(VLOOKUP(B206,input_5000!L:R,7,FALSE),VLOOKUP(tables_5000!C206,input_5000!A:H,8,FALSE))</f>
        <v>1406</v>
      </c>
      <c r="P206" s="46">
        <f t="shared" ca="1" si="8"/>
        <v>3.653846153846154E-4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input_5000!A$2</f>
        <v>5000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IFERROR(VLOOKUP(B207,input_5000!L:R,7,FALSE),VLOOKUP(tables_5000!C207,input_5000!A:H,8,FALSE))</f>
        <v>74</v>
      </c>
      <c r="P207" s="46">
        <f t="shared" ref="P207:P270" ca="1" si="11">O207/SUM(O:O)</f>
        <v>1.9230769230769231E-5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input_5000!A$2</f>
        <v>5000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IFERROR(VLOOKUP(B208,input_5000!L:R,7,FALSE),VLOOKUP(tables_5000!C208,input_5000!A:H,8,FALSE))</f>
        <v>1406</v>
      </c>
      <c r="P208" s="46">
        <f t="shared" ca="1" si="11"/>
        <v>3.653846153846154E-4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input_5000!A$2</f>
        <v>5000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IFERROR(VLOOKUP(B209,input_5000!L:R,7,FALSE),VLOOKUP(tables_5000!C209,input_5000!A:H,8,FALSE))</f>
        <v>74</v>
      </c>
      <c r="P209" s="46">
        <f t="shared" ca="1" si="11"/>
        <v>1.9230769230769231E-5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input_5000!A$2</f>
        <v>5000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IFERROR(VLOOKUP(B210,input_5000!L:R,7,FALSE),VLOOKUP(tables_5000!C210,input_5000!A:H,8,FALSE))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input_5000!A$2</f>
        <v>5000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IFERROR(VLOOKUP(B211,input_5000!L:R,7,FALSE),VLOOKUP(tables_5000!C211,input_5000!A:H,8,FALSE))</f>
        <v>24206</v>
      </c>
      <c r="P211" s="46">
        <f t="shared" ca="1" si="11"/>
        <v>6.2905405405405401E-3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input_5000!A$2</f>
        <v>5000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IFERROR(VLOOKUP(B212,input_5000!L:R,7,FALSE),VLOOKUP(tables_5000!C212,input_5000!A:H,8,FALSE))</f>
        <v>1274</v>
      </c>
      <c r="P212" s="46">
        <f t="shared" ca="1" si="11"/>
        <v>3.3108108108108108E-4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input_5000!A$2</f>
        <v>5000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IFERROR(VLOOKUP(B213,input_5000!L:R,7,FALSE),VLOOKUP(tables_5000!C213,input_5000!A:H,8,FALSE))</f>
        <v>1406</v>
      </c>
      <c r="P213" s="46">
        <f t="shared" ca="1" si="11"/>
        <v>3.653846153846154E-4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input_5000!A$2</f>
        <v>5000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IFERROR(VLOOKUP(B214,input_5000!L:R,7,FALSE),VLOOKUP(tables_5000!C214,input_5000!A:H,8,FALSE))</f>
        <v>74</v>
      </c>
      <c r="P214" s="46">
        <f t="shared" ca="1" si="11"/>
        <v>1.9230769230769231E-5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input_5000!A$2</f>
        <v>5000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IFERROR(VLOOKUP(B215,input_5000!L:R,7,FALSE),VLOOKUP(tables_5000!C215,input_5000!A:H,8,FALSE))</f>
        <v>1406</v>
      </c>
      <c r="P215" s="46">
        <f t="shared" ca="1" si="11"/>
        <v>3.653846153846154E-4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input_5000!A$2</f>
        <v>5000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IFERROR(VLOOKUP(B216,input_5000!L:R,7,FALSE),VLOOKUP(tables_5000!C216,input_5000!A:H,8,FALSE))</f>
        <v>74</v>
      </c>
      <c r="P216" s="46">
        <f t="shared" ca="1" si="11"/>
        <v>1.9230769230769231E-5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input_5000!A$2</f>
        <v>5000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IFERROR(VLOOKUP(B217,input_5000!L:R,7,FALSE),VLOOKUP(tables_5000!C217,input_5000!A:H,8,FALSE))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input_5000!A$2</f>
        <v>5000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IFERROR(VLOOKUP(B218,input_5000!L:R,7,FALSE),VLOOKUP(tables_5000!C218,input_5000!A:H,8,FALSE))</f>
        <v>24206</v>
      </c>
      <c r="P218" s="46">
        <f t="shared" ca="1" si="11"/>
        <v>6.2905405405405401E-3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input_5000!A$2</f>
        <v>5000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IFERROR(VLOOKUP(B219,input_5000!L:R,7,FALSE),VLOOKUP(tables_5000!C219,input_5000!A:H,8,FALSE))</f>
        <v>1274</v>
      </c>
      <c r="P219" s="46">
        <f t="shared" ca="1" si="11"/>
        <v>3.3108108108108108E-4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input_5000!A$2</f>
        <v>5000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IFERROR(VLOOKUP(B220,input_5000!L:R,7,FALSE),VLOOKUP(tables_5000!C220,input_5000!A:H,8,FALSE))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input_5000!A$2</f>
        <v>5000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IFERROR(VLOOKUP(B221,input_5000!L:R,7,FALSE),VLOOKUP(tables_5000!C221,input_5000!A:H,8,FALSE))</f>
        <v>24206</v>
      </c>
      <c r="P221" s="46">
        <f t="shared" ca="1" si="11"/>
        <v>6.2905405405405401E-3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input_5000!A$2</f>
        <v>5000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IFERROR(VLOOKUP(B222,input_5000!L:R,7,FALSE),VLOOKUP(tables_5000!C222,input_5000!A:H,8,FALSE))</f>
        <v>1274</v>
      </c>
      <c r="P222" s="46">
        <f t="shared" ca="1" si="11"/>
        <v>3.3108108108108108E-4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input_5000!A$2</f>
        <v>5000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IFERROR(VLOOKUP(B223,input_5000!L:R,7,FALSE),VLOOKUP(tables_5000!C223,input_5000!A:H,8,FALSE))</f>
        <v>1406</v>
      </c>
      <c r="P223" s="46">
        <f t="shared" ca="1" si="11"/>
        <v>3.653846153846154E-4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input_5000!A$2</f>
        <v>5000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IFERROR(VLOOKUP(B224,input_5000!L:R,7,FALSE),VLOOKUP(tables_5000!C224,input_5000!A:H,8,FALSE))</f>
        <v>74</v>
      </c>
      <c r="P224" s="46">
        <f t="shared" ca="1" si="11"/>
        <v>1.9230769230769231E-5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input_5000!A$2</f>
        <v>5000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IFERROR(VLOOKUP(B225,input_5000!L:R,7,FALSE),VLOOKUP(tables_5000!C225,input_5000!A:H,8,FALSE))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input_5000!A$2</f>
        <v>5000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IFERROR(VLOOKUP(B226,input_5000!L:R,7,FALSE),VLOOKUP(tables_5000!C226,input_5000!A:H,8,FALSE))</f>
        <v>24206</v>
      </c>
      <c r="P226" s="46">
        <f t="shared" ca="1" si="11"/>
        <v>6.2905405405405401E-3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input_5000!A$2</f>
        <v>5000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IFERROR(VLOOKUP(B227,input_5000!L:R,7,FALSE),VLOOKUP(tables_5000!C227,input_5000!A:H,8,FALSE))</f>
        <v>1274</v>
      </c>
      <c r="P227" s="46">
        <f t="shared" ca="1" si="11"/>
        <v>3.3108108108108108E-4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input_5000!A$2</f>
        <v>5000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IFERROR(VLOOKUP(B228,input_5000!L:R,7,FALSE),VLOOKUP(tables_5000!C228,input_5000!A:H,8,FALSE))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input_5000!A$2</f>
        <v>5000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IFERROR(VLOOKUP(B229,input_5000!L:R,7,FALSE),VLOOKUP(tables_5000!C229,input_5000!A:H,8,FALSE))</f>
        <v>24206</v>
      </c>
      <c r="P229" s="46">
        <f t="shared" ca="1" si="11"/>
        <v>6.2905405405405401E-3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input_5000!A$2</f>
        <v>5000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IFERROR(VLOOKUP(B230,input_5000!L:R,7,FALSE),VLOOKUP(tables_5000!C230,input_5000!A:H,8,FALSE))</f>
        <v>1274</v>
      </c>
      <c r="P230" s="46">
        <f t="shared" ca="1" si="11"/>
        <v>3.3108108108108108E-4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input_5000!A$2</f>
        <v>5000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IFERROR(VLOOKUP(B231,input_5000!L:R,7,FALSE),VLOOKUP(tables_5000!C231,input_5000!A:H,8,FALSE))</f>
        <v>1406</v>
      </c>
      <c r="P231" s="46">
        <f t="shared" ca="1" si="11"/>
        <v>3.653846153846154E-4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input_5000!A$2</f>
        <v>5000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IFERROR(VLOOKUP(B232,input_5000!L:R,7,FALSE),VLOOKUP(tables_5000!C232,input_5000!A:H,8,FALSE))</f>
        <v>74</v>
      </c>
      <c r="P232" s="46">
        <f t="shared" ca="1" si="11"/>
        <v>1.9230769230769231E-5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input_5000!A$2</f>
        <v>5000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IFERROR(VLOOKUP(B233,input_5000!L:R,7,FALSE),VLOOKUP(tables_5000!C233,input_5000!A:H,8,FALSE))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input_5000!A$2</f>
        <v>5000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IFERROR(VLOOKUP(B234,input_5000!L:R,7,FALSE),VLOOKUP(tables_5000!C234,input_5000!A:H,8,FALSE))</f>
        <v>24206</v>
      </c>
      <c r="P234" s="46">
        <f t="shared" ca="1" si="11"/>
        <v>6.2905405405405401E-3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input_5000!A$2</f>
        <v>5000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IFERROR(VLOOKUP(B235,input_5000!L:R,7,FALSE),VLOOKUP(tables_5000!C235,input_5000!A:H,8,FALSE))</f>
        <v>1274</v>
      </c>
      <c r="P235" s="46">
        <f t="shared" ca="1" si="11"/>
        <v>3.3108108108108108E-4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input_5000!A$2</f>
        <v>5000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IFERROR(VLOOKUP(B236,input_5000!L:R,7,FALSE),VLOOKUP(tables_5000!C236,input_5000!A:H,8,FALSE))</f>
        <v>1406</v>
      </c>
      <c r="P236" s="46">
        <f t="shared" ca="1" si="11"/>
        <v>3.653846153846154E-4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input_5000!A$2</f>
        <v>5000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IFERROR(VLOOKUP(B237,input_5000!L:R,7,FALSE),VLOOKUP(tables_5000!C237,input_5000!A:H,8,FALSE))</f>
        <v>74</v>
      </c>
      <c r="P237" s="46">
        <f t="shared" ca="1" si="11"/>
        <v>1.9230769230769231E-5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input_5000!A$2</f>
        <v>5000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IFERROR(VLOOKUP(B238,input_5000!L:R,7,FALSE),VLOOKUP(tables_5000!C238,input_5000!A:H,8,FALSE))</f>
        <v>1406</v>
      </c>
      <c r="P238" s="46">
        <f t="shared" ca="1" si="11"/>
        <v>3.653846153846154E-4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input_5000!A$2</f>
        <v>5000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IFERROR(VLOOKUP(B239,input_5000!L:R,7,FALSE),VLOOKUP(tables_5000!C239,input_5000!A:H,8,FALSE))</f>
        <v>74</v>
      </c>
      <c r="P239" s="46">
        <f t="shared" ca="1" si="11"/>
        <v>1.9230769230769231E-5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input_5000!A$2</f>
        <v>5000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IFERROR(VLOOKUP(B240,input_5000!L:R,7,FALSE),VLOOKUP(tables_5000!C240,input_5000!A:H,8,FALSE))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input_5000!A$2</f>
        <v>5000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IFERROR(VLOOKUP(B241,input_5000!L:R,7,FALSE),VLOOKUP(tables_5000!C241,input_5000!A:H,8,FALSE))</f>
        <v>24206</v>
      </c>
      <c r="P241" s="46">
        <f t="shared" ca="1" si="11"/>
        <v>6.2905405405405401E-3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input_5000!A$2</f>
        <v>5000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IFERROR(VLOOKUP(B242,input_5000!L:R,7,FALSE),VLOOKUP(tables_5000!C242,input_5000!A:H,8,FALSE))</f>
        <v>1274</v>
      </c>
      <c r="P242" s="46">
        <f t="shared" ca="1" si="11"/>
        <v>3.3108108108108108E-4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input_5000!A$2</f>
        <v>5000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IFERROR(VLOOKUP(B243,input_5000!L:R,7,FALSE),VLOOKUP(tables_5000!C243,input_5000!A:H,8,FALSE))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input_5000!A$2</f>
        <v>5000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IFERROR(VLOOKUP(B244,input_5000!L:R,7,FALSE),VLOOKUP(tables_5000!C244,input_5000!A:H,8,FALSE))</f>
        <v>24206</v>
      </c>
      <c r="P244" s="46">
        <f t="shared" ca="1" si="11"/>
        <v>6.2905405405405401E-3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input_5000!A$2</f>
        <v>5000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IFERROR(VLOOKUP(B245,input_5000!L:R,7,FALSE),VLOOKUP(tables_5000!C245,input_5000!A:H,8,FALSE))</f>
        <v>1274</v>
      </c>
      <c r="P245" s="46">
        <f t="shared" ca="1" si="11"/>
        <v>3.3108108108108108E-4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input_5000!A$2</f>
        <v>5000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IFERROR(VLOOKUP(B246,input_5000!L:R,7,FALSE),VLOOKUP(tables_5000!C246,input_5000!A:H,8,FALSE))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input_5000!A$2</f>
        <v>5000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IFERROR(VLOOKUP(B247,input_5000!L:R,7,FALSE),VLOOKUP(tables_5000!C247,input_5000!A:H,8,FALSE))</f>
        <v>24206</v>
      </c>
      <c r="P247" s="46">
        <f t="shared" ca="1" si="11"/>
        <v>6.2905405405405401E-3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input_5000!A$2</f>
        <v>5000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IFERROR(VLOOKUP(B248,input_5000!L:R,7,FALSE),VLOOKUP(tables_5000!C248,input_5000!A:H,8,FALSE))</f>
        <v>1274</v>
      </c>
      <c r="P248" s="46">
        <f t="shared" ca="1" si="11"/>
        <v>3.3108108108108108E-4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input_5000!A$2</f>
        <v>5000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IFERROR(VLOOKUP(B249,input_5000!L:R,7,FALSE),VLOOKUP(tables_5000!C249,input_5000!A:H,8,FALSE))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input_5000!A$2</f>
        <v>5000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IFERROR(VLOOKUP(B250,input_5000!L:R,7,FALSE),VLOOKUP(tables_5000!C250,input_5000!A:H,8,FALSE))</f>
        <v>24206</v>
      </c>
      <c r="P250" s="46">
        <f t="shared" ca="1" si="11"/>
        <v>6.2905405405405401E-3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input_5000!A$2</f>
        <v>5000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IFERROR(VLOOKUP(B251,input_5000!L:R,7,FALSE),VLOOKUP(tables_5000!C251,input_5000!A:H,8,FALSE))</f>
        <v>1274</v>
      </c>
      <c r="P251" s="46">
        <f t="shared" ca="1" si="11"/>
        <v>3.3108108108108108E-4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input_5000!A$2</f>
        <v>5000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IFERROR(VLOOKUP(B252,input_5000!L:R,7,FALSE),VLOOKUP(tables_5000!C252,input_5000!A:H,8,FALSE))</f>
        <v>1406</v>
      </c>
      <c r="P252" s="46">
        <f t="shared" ca="1" si="11"/>
        <v>3.653846153846154E-4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input_5000!A$2</f>
        <v>5000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IFERROR(VLOOKUP(B253,input_5000!L:R,7,FALSE),VLOOKUP(tables_5000!C253,input_5000!A:H,8,FALSE))</f>
        <v>74</v>
      </c>
      <c r="P253" s="46">
        <f t="shared" ca="1" si="11"/>
        <v>1.9230769230769231E-5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input_5000!A$2</f>
        <v>5000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IFERROR(VLOOKUP(B254,input_5000!L:R,7,FALSE),VLOOKUP(tables_5000!C254,input_5000!A:H,8,FALSE))</f>
        <v>1406</v>
      </c>
      <c r="P254" s="46">
        <f t="shared" ca="1" si="11"/>
        <v>3.653846153846154E-4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input_5000!A$2</f>
        <v>5000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IFERROR(VLOOKUP(B255,input_5000!L:R,7,FALSE),VLOOKUP(tables_5000!C255,input_5000!A:H,8,FALSE))</f>
        <v>74</v>
      </c>
      <c r="P255" s="46">
        <f t="shared" ca="1" si="11"/>
        <v>1.9230769230769231E-5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input_5000!A$2</f>
        <v>5000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IFERROR(VLOOKUP(B256,input_5000!L:R,7,FALSE),VLOOKUP(tables_5000!C256,input_5000!A:H,8,FALSE))</f>
        <v>0</v>
      </c>
      <c r="P256" s="46">
        <f t="shared" ca="1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input_5000!A$2</f>
        <v>5000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IFERROR(VLOOKUP(B257,input_5000!L:R,7,FALSE),VLOOKUP(tables_5000!C257,input_5000!A:H,8,FALSE))</f>
        <v>25480</v>
      </c>
      <c r="P257" s="46">
        <f t="shared" ca="1" si="11"/>
        <v>6.6216216216216216E-3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input_5000!A$2</f>
        <v>5000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IFERROR(VLOOKUP(B258,input_5000!L:R,7,FALSE),VLOOKUP(tables_5000!C258,input_5000!A:H,8,FALSE))</f>
        <v>0</v>
      </c>
      <c r="P258" s="46">
        <f t="shared" ca="1" si="11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input_5000!A$2</f>
        <v>5000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IFERROR(VLOOKUP(B259,input_5000!L:R,7,FALSE),VLOOKUP(tables_5000!C259,input_5000!A:H,8,FALSE))</f>
        <v>25480</v>
      </c>
      <c r="P259" s="46">
        <f t="shared" ca="1" si="11"/>
        <v>6.6216216216216216E-3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input_5000!A$2</f>
        <v>5000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>IFERROR(VLOOKUP(B260,input_5000!L:R,7,FALSE),VLOOKUP(tables_5000!C260,input_5000!A:H,8,FALSE))</f>
        <v>240500</v>
      </c>
      <c r="P260" s="46">
        <f t="shared" ca="1" si="11"/>
        <v>6.25E-2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input_5000!A$2</f>
        <v>5000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>IFERROR(VLOOKUP(B261,input_5000!L:R,7,FALSE),VLOOKUP(tables_5000!C261,input_5000!A:H,8,FALSE))</f>
        <v>240500</v>
      </c>
      <c r="P261" s="46">
        <f t="shared" ca="1" si="11"/>
        <v>6.25E-2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input_5000!A$2</f>
        <v>5000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IFERROR(VLOOKUP(B262,input_5000!L:R,7,FALSE),VLOOKUP(tables_5000!C262,input_5000!A:H,8,FALSE))</f>
        <v>1406</v>
      </c>
      <c r="P262" s="46">
        <f t="shared" ca="1" si="11"/>
        <v>3.653846153846154E-4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input_5000!A$2</f>
        <v>5000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IFERROR(VLOOKUP(B263,input_5000!L:R,7,FALSE),VLOOKUP(tables_5000!C263,input_5000!A:H,8,FALSE))</f>
        <v>74</v>
      </c>
      <c r="P263" s="46">
        <f t="shared" ca="1" si="11"/>
        <v>1.9230769230769231E-5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input_5000!A$2</f>
        <v>5000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IFERROR(VLOOKUP(B264,input_5000!L:R,7,FALSE),VLOOKUP(tables_5000!C264,input_5000!A:H,8,FALSE))</f>
        <v>1406</v>
      </c>
      <c r="P264" s="46">
        <f t="shared" ca="1" si="11"/>
        <v>3.653846153846154E-4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input_5000!A$2</f>
        <v>5000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IFERROR(VLOOKUP(B265,input_5000!L:R,7,FALSE),VLOOKUP(tables_5000!C265,input_5000!A:H,8,FALSE))</f>
        <v>74</v>
      </c>
      <c r="P265" s="46">
        <f t="shared" ca="1" si="11"/>
        <v>1.9230769230769231E-5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input_5000!A$2</f>
        <v>5000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IFERROR(VLOOKUP(B266,input_5000!L:R,7,FALSE),VLOOKUP(tables_5000!C266,input_5000!A:H,8,FALSE))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input_5000!A$2</f>
        <v>5000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IFERROR(VLOOKUP(B267,input_5000!L:R,7,FALSE),VLOOKUP(tables_5000!C267,input_5000!A:H,8,FALSE))</f>
        <v>24206</v>
      </c>
      <c r="P267" s="46">
        <f t="shared" ca="1" si="11"/>
        <v>6.2905405405405401E-3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input_5000!A$2</f>
        <v>5000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IFERROR(VLOOKUP(B268,input_5000!L:R,7,FALSE),VLOOKUP(tables_5000!C268,input_5000!A:H,8,FALSE))</f>
        <v>1274</v>
      </c>
      <c r="P268" s="46">
        <f t="shared" ca="1" si="11"/>
        <v>3.3108108108108108E-4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input_5000!A$2</f>
        <v>5000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IFERROR(VLOOKUP(B269,input_5000!L:R,7,FALSE),VLOOKUP(tables_5000!C269,input_5000!A:H,8,FALSE))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input_5000!A$2</f>
        <v>5000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IFERROR(VLOOKUP(B270,input_5000!L:R,7,FALSE),VLOOKUP(tables_5000!C270,input_5000!A:H,8,FALSE))</f>
        <v>24206</v>
      </c>
      <c r="P270" s="46">
        <f t="shared" ca="1" si="11"/>
        <v>6.2905405405405401E-3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input_5000!A$2</f>
        <v>5000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IFERROR(VLOOKUP(B271,input_5000!L:R,7,FALSE),VLOOKUP(tables_5000!C271,input_5000!A:H,8,FALSE))</f>
        <v>1274</v>
      </c>
      <c r="P271" s="46">
        <f t="shared" ref="P271" ca="1" si="14">O271/SUM(O:O)</f>
        <v>3.3108108108108108E-4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sortState ref="A2:Y189">
    <sortCondition ref="A2:A189"/>
  </sortState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A2" sqref="A2:Q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0"/>
      <c r="B2" s="81"/>
      <c r="C2" s="81"/>
      <c r="D2" s="81"/>
      <c r="E2" s="81"/>
      <c r="F2" s="81"/>
      <c r="G2" s="1"/>
      <c r="H2" s="1"/>
      <c r="I2" s="1"/>
      <c r="J2" s="1"/>
      <c r="K2" s="1"/>
      <c r="L2" s="1"/>
      <c r="M2" s="1"/>
      <c r="N2" s="81"/>
      <c r="O2" s="81"/>
      <c r="P2" s="81"/>
      <c r="Q2" s="82"/>
    </row>
  </sheetData>
  <autoFilter ref="A1:F1"/>
  <phoneticPr fontId="14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4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input_5000</vt:lpstr>
      <vt:lpstr>tables_5000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2016-05-01T05:41:12Z</dcterms:modified>
</cp:coreProperties>
</file>