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8" codeName="{00000000-0000-0000-0000-000000000000}"/>
  <workbookPr codeName="ThisWorkbook" autoCompressPictures="0"/>
  <bookViews>
    <workbookView xWindow="0" yWindow="0" windowWidth="25600" windowHeight="136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1" l="1"/>
  <c r="I2" i="21"/>
  <c r="J2" i="21"/>
  <c r="G2" i="21"/>
  <c r="F2" i="21"/>
  <c r="D2" i="21"/>
  <c r="C2" i="21"/>
  <c r="B7" i="21"/>
  <c r="C7" i="21"/>
  <c r="D7" i="21"/>
  <c r="F7" i="21"/>
  <c r="G7" i="21"/>
  <c r="I7" i="21"/>
  <c r="J7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Q36" i="9"/>
  <c r="O36" i="9"/>
  <c r="N36" i="9"/>
  <c r="M36" i="9"/>
  <c r="L36" i="9"/>
  <c r="K36" i="9"/>
  <c r="J36" i="9"/>
  <c r="I36" i="9"/>
  <c r="H36" i="9"/>
  <c r="G36" i="9"/>
  <c r="E36" i="9"/>
  <c r="D36" i="9"/>
  <c r="A36" i="9"/>
  <c r="Q35" i="9"/>
  <c r="O35" i="9"/>
  <c r="N35" i="9"/>
  <c r="M35" i="9"/>
  <c r="L35" i="9"/>
  <c r="K35" i="9"/>
  <c r="J35" i="9"/>
  <c r="I35" i="9"/>
  <c r="H35" i="9"/>
  <c r="G35" i="9"/>
  <c r="E35" i="9"/>
  <c r="D35" i="9"/>
  <c r="A35" i="9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AA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AA51" i="10"/>
  <c r="Q6" i="9"/>
  <c r="O6" i="9"/>
  <c r="N6" i="9"/>
  <c r="M6" i="9"/>
  <c r="L6" i="9"/>
  <c r="K6" i="9"/>
  <c r="J6" i="9"/>
  <c r="I6" i="9"/>
  <c r="H6" i="9"/>
  <c r="G6" i="9"/>
  <c r="E6" i="9"/>
  <c r="D6" i="9"/>
  <c r="A6" i="9"/>
  <c r="Q8" i="9"/>
  <c r="O8" i="9"/>
  <c r="N8" i="9"/>
  <c r="M8" i="9"/>
  <c r="L8" i="9"/>
  <c r="K8" i="9"/>
  <c r="J8" i="9"/>
  <c r="I8" i="9"/>
  <c r="H8" i="9"/>
  <c r="G8" i="9"/>
  <c r="E8" i="9"/>
  <c r="D8" i="9"/>
  <c r="A8" i="9"/>
  <c r="Q2" i="9"/>
  <c r="O2" i="9"/>
  <c r="N2" i="9"/>
  <c r="M2" i="9"/>
  <c r="L2" i="9"/>
  <c r="K2" i="9"/>
  <c r="J2" i="9"/>
  <c r="I2" i="9"/>
  <c r="H2" i="9"/>
  <c r="G2" i="9"/>
  <c r="E2" i="9"/>
  <c r="D2" i="9"/>
  <c r="A2" i="9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AA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AA49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AA47" i="10"/>
  <c r="J47" i="11"/>
  <c r="Q4" i="9"/>
  <c r="O4" i="9"/>
  <c r="N4" i="9"/>
  <c r="M4" i="9"/>
  <c r="L4" i="9"/>
  <c r="K4" i="9"/>
  <c r="J4" i="9"/>
  <c r="I4" i="9"/>
  <c r="H4" i="9"/>
  <c r="G4" i="9"/>
  <c r="E4" i="9"/>
  <c r="D4" i="9"/>
  <c r="A4" i="9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AA46" i="10"/>
  <c r="Q5" i="9"/>
  <c r="Q7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3" i="9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2" i="10"/>
  <c r="G3" i="9"/>
  <c r="H3" i="9"/>
  <c r="I3" i="9"/>
  <c r="J3" i="9"/>
  <c r="K3" i="9"/>
  <c r="L3" i="9"/>
  <c r="M3" i="9"/>
  <c r="N3" i="9"/>
  <c r="O3" i="9"/>
  <c r="G5" i="9"/>
  <c r="H5" i="9"/>
  <c r="I5" i="9"/>
  <c r="J5" i="9"/>
  <c r="K5" i="9"/>
  <c r="L5" i="9"/>
  <c r="M5" i="9"/>
  <c r="N5" i="9"/>
  <c r="O5" i="9"/>
  <c r="G7" i="9"/>
  <c r="H7" i="9"/>
  <c r="I7" i="9"/>
  <c r="J7" i="9"/>
  <c r="K7" i="9"/>
  <c r="L7" i="9"/>
  <c r="M7" i="9"/>
  <c r="N7" i="9"/>
  <c r="J4" i="11"/>
  <c r="O7" i="9"/>
  <c r="G9" i="9"/>
  <c r="H9" i="9"/>
  <c r="I9" i="9"/>
  <c r="J9" i="9"/>
  <c r="K9" i="9"/>
  <c r="L9" i="9"/>
  <c r="M9" i="9"/>
  <c r="N9" i="9"/>
  <c r="J5" i="11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J2" i="11"/>
  <c r="J3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E7" i="9"/>
  <c r="V2" i="1"/>
  <c r="A51" i="9"/>
  <c r="D51" i="9"/>
  <c r="E51" i="9"/>
  <c r="A47" i="9"/>
  <c r="D47" i="9"/>
  <c r="E47" i="9"/>
  <c r="A48" i="9"/>
  <c r="D48" i="9"/>
  <c r="E48" i="9"/>
  <c r="A49" i="9"/>
  <c r="D49" i="9"/>
  <c r="E49" i="9"/>
  <c r="A50" i="9"/>
  <c r="D50" i="9"/>
  <c r="E50" i="9"/>
  <c r="A38" i="9"/>
  <c r="D38" i="9"/>
  <c r="E38" i="9"/>
  <c r="A39" i="9"/>
  <c r="D39" i="9"/>
  <c r="E39" i="9"/>
  <c r="A40" i="9"/>
  <c r="D40" i="9"/>
  <c r="E40" i="9"/>
  <c r="A41" i="9"/>
  <c r="D41" i="9"/>
  <c r="E41" i="9"/>
  <c r="A42" i="9"/>
  <c r="D42" i="9"/>
  <c r="E42" i="9"/>
  <c r="A43" i="9"/>
  <c r="D43" i="9"/>
  <c r="E43" i="9"/>
  <c r="A44" i="9"/>
  <c r="D44" i="9"/>
  <c r="E44" i="9"/>
  <c r="A45" i="9"/>
  <c r="D45" i="9"/>
  <c r="E45" i="9"/>
  <c r="A46" i="9"/>
  <c r="D46" i="9"/>
  <c r="E46" i="9"/>
  <c r="A5" i="9"/>
  <c r="D5" i="9"/>
  <c r="E5" i="9"/>
  <c r="A7" i="9"/>
  <c r="D7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A37" i="9"/>
  <c r="D37" i="9"/>
  <c r="E37" i="9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E3" i="9"/>
  <c r="V4" i="1"/>
  <c r="Q4" i="1"/>
  <c r="P4" i="1"/>
  <c r="O4" i="1"/>
  <c r="N4" i="1"/>
  <c r="M4" i="1"/>
  <c r="H4" i="1"/>
  <c r="J4" i="1"/>
  <c r="I4" i="1"/>
  <c r="D4" i="1"/>
  <c r="F4" i="1"/>
  <c r="E4" i="1"/>
  <c r="A4" i="1"/>
  <c r="G5" i="2"/>
  <c r="H5" i="2"/>
  <c r="E5" i="2"/>
  <c r="D5" i="2"/>
  <c r="A5" i="2"/>
  <c r="H2" i="1"/>
  <c r="H3" i="1"/>
  <c r="B5" i="2"/>
  <c r="G4" i="2"/>
  <c r="H4" i="2"/>
  <c r="E4" i="2"/>
  <c r="D4" i="2"/>
  <c r="A4" i="2"/>
  <c r="B4" i="2"/>
  <c r="G3" i="2"/>
  <c r="H3" i="2"/>
  <c r="E3" i="2"/>
  <c r="D3" i="2"/>
  <c r="A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3" i="21"/>
  <c r="I3" i="21"/>
  <c r="J3" i="21"/>
  <c r="G3" i="21"/>
  <c r="F3" i="21"/>
  <c r="D3" i="21"/>
  <c r="C3" i="21"/>
  <c r="E12" i="16"/>
  <c r="E11" i="16"/>
  <c r="E10" i="16"/>
  <c r="D3" i="9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G3" i="1"/>
  <c r="A3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<sst xmlns="http://schemas.openxmlformats.org/spreadsheetml/2006/main" count="1010" uniqueCount="409">
  <si>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</si>
  <si>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</si>
  <si>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</si>
  <si>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</si>
  <si>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</si>
  <si>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</si>
  <si>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</si>
  <si>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</si>
  <si>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</si>
  <si>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</si>
  <si>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</si>
  <si>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</si>
  <si>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</si>
  <si>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</si>
  <si>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</si>
  <si>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</si>
  <si>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</si>
  <si>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</si>
  <si>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</si>
  <si>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</si>
  <si>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</si>
  <si>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</si>
  <si>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</si>
  <si>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</si>
  <si>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</si>
  <si>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</si>
  <si>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</si>
  <si>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</si>
  <si>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</si>
  <si>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</si>
  <si>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</si>
  <si>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</si>
  <si>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</si>
  <si>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</si>
  <si>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</si>
  <si>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</si>
  <si>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</si>
  <si>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</si>
  <si>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</si>
  <si>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</si>
  <si>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</si>
  <si>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</si>
  <si>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</si>
  <si>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</si>
  <si>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</si>
  <si>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</si>
  <si>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</si>
  <si>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</si>
  <si>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</si>
  <si>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</si>
  <si>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</si>
  <si>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</si>
  <si>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</si>
  <si>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</si>
  <si>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</si>
  <si>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</si>
  <si>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</si>
  <si>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</si>
  <si>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</si>
  <si>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</si>
  <si>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</si>
  <si>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</si>
  <si>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</si>
  <si>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</si>
  <si>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</si>
  <si>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</si>
  <si>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</si>
  <si>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</si>
  <si>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</si>
  <si>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</si>
  <si>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</si>
  <si>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</si>
  <si>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</si>
  <si>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</si>
  <si>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</si>
  <si>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</si>
  <si>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</si>
  <si>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</si>
  <si>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</si>
  <si>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</si>
  <si>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</si>
  <si>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</si>
  <si>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</si>
  <si>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</si>
  <si>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</si>
  <si>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</si>
  <si>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</si>
  <si>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</si>
  <si>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</si>
  <si>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</si>
  <si>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</si>
  <si>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</si>
  <si>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</si>
  <si>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</si>
  <si>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</si>
  <si>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</si>
  <si>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</si>
  <si>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</si>
  <si>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</si>
  <si>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</si>
  <si>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</si>
  <si>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</si>
  <si>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</si>
  <si>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</si>
  <si>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</si>
  <si>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</si>
  <si>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</si>
  <si>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</si>
  <si>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</si>
  <si>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</si>
  <si>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</si>
  <si>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</si>
  <si>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</si>
  <si>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</si>
  <si>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</si>
  <si>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</si>
  <si>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</si>
  <si>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</si>
  <si>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</si>
  <si>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</si>
  <si>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</si>
  <si>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</si>
  <si>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</si>
  <si>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</si>
  <si>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</si>
  <si>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</si>
  <si>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</si>
  <si>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</si>
  <si>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</si>
  <si>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</si>
  <si>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</si>
  <si>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</si>
  <si>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</si>
  <si>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</si>
  <si>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</si>
  <si>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</si>
  <si>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</si>
  <si>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</si>
  <si>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</si>
  <si>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</si>
  <si>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</si>
  <si>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</si>
  <si>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</si>
  <si>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</si>
  <si>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</si>
  <si>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</si>
  <si>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</si>
  <si>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</si>
  <si>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</si>
  <si>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</si>
  <si>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</si>
  <si>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</si>
  <si>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</si>
  <si>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</si>
  <si>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</si>
  <si>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</si>
  <si>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</si>
  <si>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</si>
  <si>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</si>
  <si>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</si>
  <si>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</si>
  <si>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</si>
  <si>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</si>
  <si>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</si>
  <si>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</si>
  <si>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</si>
  <si>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</si>
  <si>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</si>
  <si>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</si>
  <si>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</si>
  <si>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</si>
  <si>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</si>
  <si>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</si>
  <si>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</si>
  <si>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</si>
  <si>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</si>
  <si>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</si>
  <si>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</si>
  <si>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</si>
  <si>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</si>
  <si>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</si>
  <si>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</si>
  <si>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</si>
  <si>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</si>
  <si>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</si>
  <si>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</si>
  <si>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</si>
  <si>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</si>
  <si>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</si>
  <si>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</si>
  <si>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</si>
  <si>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</si>
  <si>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</si>
  <si>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</si>
  <si>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</si>
  <si>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</si>
  <si>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</si>
  <si>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</si>
  <si>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</si>
  <si>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</si>
  <si>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</si>
  <si>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</si>
  <si>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</si>
  <si>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</si>
  <si>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</si>
  <si>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</si>
  <si>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</si>
  <si>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</si>
  <si>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</si>
  <si>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</si>
  <si>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</si>
  <si>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</si>
  <si>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</si>
  <si>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null</t>
    <phoneticPr fontId="5"/>
  </si>
  <si>
    <t>null</t>
    <phoneticPr fontId="5"/>
  </si>
  <si>
    <t>link</t>
    <phoneticPr fontId="5"/>
  </si>
  <si>
    <t>null</t>
    <phoneticPr fontId="5"/>
  </si>
  <si>
    <t>unit</t>
    <phoneticPr fontId="5"/>
  </si>
  <si>
    <t>null</t>
    <phoneticPr fontId="5"/>
  </si>
  <si>
    <t>ストール</t>
    <phoneticPr fontId="5"/>
  </si>
  <si>
    <t>ファイアフォックス</t>
    <phoneticPr fontId="5"/>
  </si>
  <si>
    <t>ガイル</t>
    <phoneticPr fontId="5"/>
  </si>
  <si>
    <t>フェルニゲシュ</t>
    <phoneticPr fontId="5"/>
  </si>
  <si>
    <t>フェルニゲシュ2</t>
    <phoneticPr fontId="5"/>
  </si>
  <si>
    <t>ヒュドラ</t>
    <phoneticPr fontId="5"/>
  </si>
  <si>
    <t>ヒュドラ2</t>
    <phoneticPr fontId="5"/>
  </si>
  <si>
    <t>フェンリル</t>
    <phoneticPr fontId="5"/>
  </si>
  <si>
    <t>フギンムニン</t>
    <phoneticPr fontId="5"/>
  </si>
  <si>
    <t>フギンムニン2</t>
    <phoneticPr fontId="5"/>
  </si>
  <si>
    <t>フギンムニン3</t>
  </si>
  <si>
    <t>[effect:rush, count:2, val:0.7]</t>
    <phoneticPr fontId="5"/>
  </si>
  <si>
    <t>[effect:rush, count:3, val:0.4]</t>
    <phoneticPr fontId="5"/>
  </si>
  <si>
    <t>[effect:rush, count:3, val:0.5]</t>
    <phoneticPr fontId="5"/>
  </si>
  <si>
    <t>[effect:rush, count:3, val:0.55]</t>
    <phoneticPr fontId="5"/>
  </si>
  <si>
    <t>[effect:rush, count:3, val:0.6]</t>
    <phoneticPr fontId="5"/>
  </si>
  <si>
    <t>[effect:critical, val:1.5]</t>
    <phoneticPr fontId="5"/>
  </si>
  <si>
    <t xml:space="preserve">[effect:damage_anti_color, target:unit_all, color:green, val1:0.8, val2:0.2]    </t>
    <phoneticPr fontId="5"/>
  </si>
  <si>
    <t>[effect:rush, count:5, val:0.3]</t>
    <phoneticPr fontId="5"/>
  </si>
  <si>
    <t>[effect:freq_turn, target:enemy_all, turn:-1, val:1, animation:enemy_freq_turn]</t>
  </si>
  <si>
    <t>old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</si>
  <si>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</si>
  <si>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</si>
  <si>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</si>
  <si>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</si>
  <si>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</si>
  <si>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</si>
  <si>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</si>
  <si>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</si>
  <si>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</si>
  <si>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</si>
  <si>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</si>
  <si>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</si>
  <si>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</si>
  <si>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</si>
  <si>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</si>
  <si>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</si>
  <si>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</si>
  <si>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[effect:dark, target:unit_all, turn:1, animation:enemy_dark],[effect:rush, count:1, val:1]</t>
    <phoneticPr fontId="5"/>
  </si>
  <si>
    <t>[effect:heal, target:enemy_all, val:0.2, animation:enemy_heal],[effect:rush, count:1, val:1]</t>
    <phoneticPr fontId="5"/>
  </si>
  <si>
    <t>[effect:dis_panel, target:block_blue, turn:3, animation:enemy_dis_blue],[effect:rush, count:1, val:1]</t>
    <phoneticPr fontId="5"/>
  </si>
  <si>
    <t>[effect:dis_panel, target:block_red, turn:3, animation:enemy_dis_red],[effect:rush, count:1, val:1]</t>
    <phoneticPr fontId="5"/>
  </si>
  <si>
    <t>[effect:dis_panel, target:block_green, turn:3, animation:enemy_dis_green],[effect:rush, count:1, val:1]</t>
    <phoneticPr fontId="5"/>
  </si>
  <si>
    <t>[effect:hungup, target:unit_machine, turn:4, rate:1, animation:hungup01],[effect:rush, count:1, val:1]</t>
    <phoneticPr fontId="5"/>
  </si>
  <si>
    <t>久保</t>
    <rPh sb="0" eb="2">
      <t>クボ</t>
    </rPh>
    <phoneticPr fontId="5"/>
  </si>
  <si>
    <t>ストール</t>
  </si>
  <si>
    <t>ファイアフォックス</t>
  </si>
  <si>
    <t>ガイル</t>
  </si>
  <si>
    <t>フェルニゲシュ</t>
  </si>
  <si>
    <t>フェルニゲシュ2</t>
  </si>
  <si>
    <t>ヒュドラ</t>
  </si>
  <si>
    <t>ヒュドラ2</t>
  </si>
  <si>
    <t>フェンリル</t>
  </si>
  <si>
    <t>フギンムニン</t>
  </si>
  <si>
    <t>フギンムニン2</t>
  </si>
  <si>
    <t>フギンムニン4</t>
  </si>
  <si>
    <t xml:space="preserve">[effect:virus, turn:5, rate:1, val:0.1, animation:enemy_virus]    </t>
    <phoneticPr fontId="5"/>
  </si>
  <si>
    <t>ダブルホーン</t>
    <phoneticPr fontId="5"/>
  </si>
  <si>
    <t>シングルホーン</t>
    <phoneticPr fontId="5"/>
  </si>
  <si>
    <t>逆にお前を消す方法</t>
    <rPh sb="0" eb="1">
      <t>ギャク</t>
    </rPh>
    <rPh sb="3" eb="4">
      <t>マエ</t>
    </rPh>
    <rPh sb="5" eb="6">
      <t>ケ</t>
    </rPh>
    <rPh sb="7" eb="9">
      <t>ホウホウ</t>
    </rPh>
    <phoneticPr fontId="5"/>
  </si>
  <si>
    <t>アンチアニマルプラグイン</t>
    <phoneticPr fontId="5"/>
  </si>
  <si>
    <t>電力吸収</t>
    <rPh sb="0" eb="4">
      <t>デンリョクキュウシュウ</t>
    </rPh>
    <phoneticPr fontId="5"/>
  </si>
  <si>
    <t>雷鳴ドラゴンエッグ</t>
    <rPh sb="0" eb="2">
      <t>ライメイ</t>
    </rPh>
    <phoneticPr fontId="5"/>
  </si>
  <si>
    <t>流氷ドラゴンエッグ</t>
    <rPh sb="0" eb="2">
      <t>リュウヒョウ</t>
    </rPh>
    <phoneticPr fontId="5"/>
  </si>
  <si>
    <t>爆炎ドラゴンエッグ</t>
    <rPh sb="0" eb="2">
      <t>bakueンン</t>
    </rPh>
    <phoneticPr fontId="5"/>
  </si>
  <si>
    <t>深緑ドラゴンエッグ</t>
    <rPh sb="0" eb="2">
      <t>siンryoku</t>
    </rPh>
    <phoneticPr fontId="5"/>
  </si>
  <si>
    <t>黒煙ブラスト</t>
    <rPh sb="0" eb="2">
      <t>コクエン</t>
    </rPh>
    <phoneticPr fontId="5"/>
  </si>
  <si>
    <t>溶鉱フレア</t>
    <rPh sb="0" eb="2">
      <t>ヨウコウロ</t>
    </rPh>
    <phoneticPr fontId="5"/>
  </si>
  <si>
    <t>延焼ウィルス</t>
    <rPh sb="0" eb="2">
      <t>eンsyou</t>
    </rPh>
    <phoneticPr fontId="5"/>
  </si>
  <si>
    <t>ヒートチャージ</t>
    <phoneticPr fontId="5"/>
  </si>
  <si>
    <t>メタリックコート</t>
    <phoneticPr fontId="5"/>
  </si>
  <si>
    <t>金轟サンダーボルト</t>
    <rPh sb="0" eb="1">
      <t>キン</t>
    </rPh>
    <rPh sb="1" eb="2">
      <t>トドロ</t>
    </rPh>
    <phoneticPr fontId="5"/>
  </si>
  <si>
    <t>燃料圧縮</t>
    <rPh sb="0" eb="4">
      <t>ネンリョウアッシュク</t>
    </rPh>
    <phoneticPr fontId="5"/>
  </si>
  <si>
    <t>イグニッション</t>
    <phoneticPr fontId="5"/>
  </si>
  <si>
    <t>ヒートチャージEX</t>
    <phoneticPr fontId="5"/>
  </si>
  <si>
    <t>大狼の一睨【翠】</t>
    <rPh sb="0" eb="1">
      <t>tairou</t>
    </rPh>
    <rPh sb="1" eb="2">
      <t>オオカミ</t>
    </rPh>
    <rPh sb="3" eb="4">
      <t>イチゲイ</t>
    </rPh>
    <rPh sb="4" eb="5">
      <t>ニラ</t>
    </rPh>
    <rPh sb="6" eb="7">
      <t>ヒスイ</t>
    </rPh>
    <phoneticPr fontId="5"/>
  </si>
  <si>
    <t>大狼の一睨【紅】</t>
    <rPh sb="0" eb="1">
      <t>tairou</t>
    </rPh>
    <rPh sb="1" eb="2">
      <t>オオカミ</t>
    </rPh>
    <rPh sb="3" eb="4">
      <t>イチゲイ</t>
    </rPh>
    <rPh sb="4" eb="5">
      <t>ニラ</t>
    </rPh>
    <rPh sb="6" eb="7">
      <t>クレナイ</t>
    </rPh>
    <phoneticPr fontId="5"/>
  </si>
  <si>
    <t>深炎の巨壁</t>
    <rPh sb="0" eb="1">
      <t>フカ</t>
    </rPh>
    <rPh sb="1" eb="2">
      <t>ホノオ</t>
    </rPh>
    <rPh sb="3" eb="5">
      <t>kyoheki</t>
    </rPh>
    <phoneticPr fontId="5"/>
  </si>
  <si>
    <t>火炎連撃</t>
    <rPh sb="0" eb="2">
      <t>カエン</t>
    </rPh>
    <rPh sb="2" eb="3">
      <t>レンゾク</t>
    </rPh>
    <rPh sb="3" eb="4">
      <t>レンゲキ</t>
    </rPh>
    <phoneticPr fontId="5"/>
  </si>
  <si>
    <t>ダブルレイヴン</t>
    <phoneticPr fontId="5"/>
  </si>
  <si>
    <t>セキュリティ再構築せよ！</t>
    <rPh sb="6" eb="9">
      <t>サイコウチク</t>
    </rPh>
    <phoneticPr fontId="5"/>
  </si>
  <si>
    <t>不届き者は排除すべし！</t>
    <rPh sb="0" eb="2">
      <t>フトド</t>
    </rPh>
    <rPh sb="3" eb="4">
      <t>モノ</t>
    </rPh>
    <rPh sb="5" eb="7">
      <t>ハイジョ</t>
    </rPh>
    <phoneticPr fontId="5"/>
  </si>
  <si>
    <t>混沌たる戦場を刮目せよ！</t>
    <rPh sb="0" eb="2">
      <t>コントン</t>
    </rPh>
    <rPh sb="4" eb="6">
      <t>センジョウ</t>
    </rPh>
    <rPh sb="7" eb="9">
      <t>カツモク</t>
    </rPh>
    <phoneticPr fontId="5"/>
  </si>
  <si>
    <t>敵襲である！警戒すべし！</t>
    <rPh sb="0" eb="2">
      <t>テキシュウ</t>
    </rPh>
    <rPh sb="6" eb="8">
      <t>ケイカイ</t>
    </rPh>
    <phoneticPr fontId="5"/>
  </si>
  <si>
    <t>危険因子はフリーズすべし！</t>
    <rPh sb="0" eb="4">
      <t>キケンインシ</t>
    </rPh>
    <phoneticPr fontId="5"/>
  </si>
  <si>
    <t>マズイぞ…さっさと帰るべし！</t>
    <rPh sb="9" eb="10">
      <t>カエ</t>
    </rPh>
    <phoneticPr fontId="5"/>
  </si>
  <si>
    <t>焼き尽くすッ！</t>
    <rPh sb="0" eb="1">
      <t>ヤ</t>
    </rPh>
    <rPh sb="2" eb="3">
      <t>ツ</t>
    </rPh>
    <phoneticPr fontId="5"/>
  </si>
  <si>
    <t>フギンムニン5</t>
  </si>
  <si>
    <t>[effect:fix_speed, target:myself, turn:2]</t>
  </si>
  <si>
    <t>[effect:fix_speed, target:myself, turn:1]</t>
    <phoneticPr fontId="5"/>
  </si>
  <si>
    <t>フギンムニン6</t>
  </si>
  <si>
    <t>[effect:fix_speed, target:myself, turn:3]</t>
  </si>
  <si>
    <t>フギンムニン7</t>
  </si>
  <si>
    <t>null</t>
    <phoneticPr fontId="5"/>
  </si>
  <si>
    <t xml:space="preserve">[effect:change_panel_ratio, turn:4, block_type:heal, val:0.0, animation:block_incidence04]    </t>
    <phoneticPr fontId="5"/>
  </si>
  <si>
    <t>[effect:rush, count:4, val:0.4]</t>
    <phoneticPr fontId="5"/>
  </si>
  <si>
    <t>[effect:rush, count:2, val:0.5]</t>
    <phoneticPr fontId="5"/>
  </si>
  <si>
    <t>[effect:critical, val:1.2]</t>
    <phoneticPr fontId="5"/>
  </si>
  <si>
    <t>[effect:change_block, new_block:time_bomb, target:block_yellow, count:6, val:0.2, animation:change_block],[effect:rush, count:1, val:0.7]</t>
    <phoneticPr fontId="5"/>
  </si>
  <si>
    <t>[effect:change_block, new_block:time_bomb, target:block_green, count:6, val:0.2, animation:change_block],[effect:rush, count:1, val:0.7]</t>
    <phoneticPr fontId="5"/>
  </si>
  <si>
    <t>[effect:change_block, new_block:time_bomb, target:block_blue, count:6, val:0.2, animation:change_block],[effect:rush, count:1, val:0.7]</t>
    <phoneticPr fontId="5"/>
  </si>
  <si>
    <t>[effect:change_block, new_block:time_bomb, target:block_red, count:6, val:0.2, animation:change_block],[effect:rush, count:1, val:0.7]</t>
    <phoneticPr fontId="5"/>
  </si>
  <si>
    <t>無法者はデリートせよ！</t>
    <rPh sb="0" eb="2">
      <t>ムホウ</t>
    </rPh>
    <rPh sb="2" eb="3">
      <t>モノ</t>
    </rPh>
    <phoneticPr fontId="5"/>
  </si>
  <si>
    <t>キャッシュクリアすべし！</t>
    <phoneticPr fontId="5"/>
  </si>
  <si>
    <t>シャドーレイヴンズ</t>
    <phoneticPr fontId="5"/>
  </si>
  <si>
    <t>[effect:freq_turn, target:myself, turn:-1, val:1, animation:enemy_freq_turn],[effect:rush, count:1, val:0.5]</t>
    <phoneticPr fontId="5"/>
  </si>
  <si>
    <t>[effect:change_block, new_block:block_red, target:block_heart, count:0, val:0, animation:change_block],[effect:rush, count:1, val:1]</t>
    <phoneticPr fontId="5"/>
  </si>
  <si>
    <t>ja</t>
    <phoneticPr fontId="5"/>
  </si>
  <si>
    <t>[effect:rush, count:1, val:0.7],[effect:freq_turn, target:enemy_all, turn:-1, val:1, animation:enemy_freq_turn],[effect:enhance_enemy, target:enemy_all, turn:-1, status:attack, val:1.5, calc:mul, animation:enemy_enhance_attack]</t>
    <phoneticPr fontId="5"/>
  </si>
  <si>
    <t>[effect:rush, count:1, val:0.8]</t>
    <phoneticPr fontId="5"/>
  </si>
  <si>
    <t>[effect:dis_panel, target:block_blue, turn:2, animation:enemy_dis_blue],[effect:rush, count:1, val:1]</t>
    <phoneticPr fontId="5"/>
  </si>
  <si>
    <t xml:space="preserve">[effect:enhance_enemy, target:myself, turn:3, status:defense, val:3000, calc:add, animation:enemy_enhance_defense]    </t>
    <phoneticPr fontId="5"/>
  </si>
  <si>
    <t>状態異常無効</t>
    <rPh sb="0" eb="6">
      <t>ジョウタイイジョウムコウ</t>
    </rPh>
    <phoneticPr fontId="5"/>
  </si>
  <si>
    <t>[effect:enhance_enemy, target:myself, turn:3, status:defense, val:6000, calc:add, animation:enemy_enhance_defense],[effect:change_block,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t>
    <phoneticPr fontId="5"/>
  </si>
  <si>
    <t>フギンムニン8</t>
  </si>
  <si>
    <t>フギンムニン9</t>
  </si>
  <si>
    <t>緑パネル破壊攻撃</t>
    <rPh sb="0" eb="1">
      <t>ミドリ</t>
    </rPh>
    <rPh sb="4" eb="8">
      <t>ハカイコウゲキ</t>
    </rPh>
    <phoneticPr fontId="5"/>
  </si>
  <si>
    <t>[effect:break_attack_fix, val:800, lowest_val:800, count:-1, block:block_green, target:unit_all]</t>
    <phoneticPr fontId="5"/>
  </si>
  <si>
    <t xml:space="preserve">[effect:rush, count:1, val:0.8],[effect:change_panel_ratio, turn:2, block_type:green, val:0, animation:block_incidence04]    </t>
    <phoneticPr fontId="5"/>
  </si>
  <si>
    <t xml:space="preserve">[effect:damage_anti_tribe, target:unit_all, tribe:machine, val1:1.2, val2:0.2]    </t>
    <phoneticPr fontId="5"/>
  </si>
  <si>
    <t xml:space="preserve">[effect:damage_anti_tribe, target:unit_all, tribe:animal, val1:1.3, val2:0.2]    </t>
    <phoneticPr fontId="5"/>
  </si>
  <si>
    <t>大狼の一睨【蒼】</t>
    <rPh sb="0" eb="1">
      <t>tairou</t>
    </rPh>
    <rPh sb="1" eb="2">
      <t>オオカミ</t>
    </rPh>
    <rPh sb="3" eb="4">
      <t>イチゲイ</t>
    </rPh>
    <rPh sb="4" eb="5">
      <t>ニラ</t>
    </rPh>
    <rPh sb="6" eb="7">
      <t>アオ</t>
    </rPh>
    <phoneticPr fontId="5"/>
  </si>
  <si>
    <t xml:space="preserve">[effect:damage_anti_tribe, target:unit_all, tribe:machine, val1:1.1, val2:0.2]    </t>
    <phoneticPr fontId="5"/>
  </si>
  <si>
    <t>[effect:damage_anti_tribe, target:unit_all, tribe:animal, val1:1.1, val2:0.1]</t>
    <phoneticPr fontId="5"/>
  </si>
  <si>
    <t>レイヴンズトリック</t>
    <phoneticPr fontId="5"/>
  </si>
  <si>
    <t>ランダムで威力が変わる攻撃！</t>
    <rPh sb="5" eb="7">
      <t>イリョク</t>
    </rPh>
    <rPh sb="8" eb="9">
      <t>カ</t>
    </rPh>
    <rPh sb="11" eb="13">
      <t>コウゲキ</t>
    </rPh>
    <phoneticPr fontId="5"/>
  </si>
  <si>
    <t>緑パネルドロップ率ゼロ＆
次のターン緑パネル破壊攻撃</t>
    <rPh sb="18" eb="19">
      <t>ミドリ</t>
    </rPh>
    <rPh sb="24" eb="26">
      <t>コウゲキ</t>
    </rPh>
    <phoneticPr fontId="5"/>
  </si>
  <si>
    <t>HP40％以下で大量パネル変換＆
防御力特大UP</t>
    <rPh sb="5" eb="7">
      <t>イカ</t>
    </rPh>
    <rPh sb="8" eb="10">
      <t>タイリョウ</t>
    </rPh>
    <rPh sb="13" eb="15">
      <t>ヘンカン</t>
    </rPh>
    <rPh sb="17" eb="20">
      <t>ボウギョリョク</t>
    </rPh>
    <rPh sb="20" eb="22">
      <t>トクダイ</t>
    </rPh>
    <phoneticPr fontId="5"/>
  </si>
  <si>
    <t>1ターンパネルの色がわからない</t>
    <rPh sb="8" eb="9">
      <t>イロ</t>
    </rPh>
    <phoneticPr fontId="5"/>
  </si>
  <si>
    <t>4ターンハートパネルが出現しない</t>
    <rPh sb="11" eb="13">
      <t>シュツゲン</t>
    </rPh>
    <phoneticPr fontId="5"/>
  </si>
  <si>
    <t>2連続攻撃</t>
    <rPh sb="1" eb="5">
      <t>レンゾクコウゲキ</t>
    </rPh>
    <phoneticPr fontId="5"/>
  </si>
  <si>
    <t>クリティカル！</t>
    <phoneticPr fontId="5"/>
  </si>
  <si>
    <t>種族マシンに大ダメージ！</t>
    <rPh sb="0" eb="2">
      <t>シュゾク</t>
    </rPh>
    <rPh sb="6" eb="7">
      <t>ダイ</t>
    </rPh>
    <phoneticPr fontId="5"/>
  </si>
  <si>
    <t>3ターン回復力DOWN</t>
    <rPh sb="4" eb="7">
      <t>カイフクリョク</t>
    </rPh>
    <phoneticPr fontId="5"/>
  </si>
  <si>
    <t>クリティカル！</t>
    <phoneticPr fontId="5"/>
  </si>
  <si>
    <t>回復</t>
    <rPh sb="0" eb="2">
      <t>カイフク</t>
    </rPh>
    <phoneticPr fontId="5"/>
  </si>
  <si>
    <t>黄色パネルを時限式パネルに変換</t>
    <rPh sb="0" eb="2">
      <t>キイロ</t>
    </rPh>
    <rPh sb="6" eb="9">
      <t>jigeンンsiki</t>
    </rPh>
    <rPh sb="13" eb="15">
      <t>ヘンカン</t>
    </rPh>
    <phoneticPr fontId="5"/>
  </si>
  <si>
    <t>青パネルを時限式パネルに変換</t>
    <rPh sb="0" eb="1">
      <t>アオ</t>
    </rPh>
    <rPh sb="5" eb="8">
      <t>jigeンンsiki</t>
    </rPh>
    <rPh sb="12" eb="14">
      <t>ヘンカン</t>
    </rPh>
    <phoneticPr fontId="5"/>
  </si>
  <si>
    <t>赤パネルを時限式パネルに変換</t>
    <rPh sb="0" eb="1">
      <t>アカ</t>
    </rPh>
    <rPh sb="5" eb="8">
      <t>jigeンンsiki</t>
    </rPh>
    <rPh sb="12" eb="14">
      <t>ヘンカン</t>
    </rPh>
    <phoneticPr fontId="5"/>
  </si>
  <si>
    <t>緑パネルを時限式パネルに変換</t>
    <rPh sb="0" eb="1">
      <t>ミドリ</t>
    </rPh>
    <rPh sb="5" eb="8">
      <t>jigeンンsiki</t>
    </rPh>
    <rPh sb="12" eb="14">
      <t>ヘンカン</t>
    </rPh>
    <phoneticPr fontId="5"/>
  </si>
  <si>
    <t>5ターンの間ダメージを受ける</t>
    <rPh sb="5" eb="6">
      <t>アイダ</t>
    </rPh>
    <rPh sb="11" eb="12">
      <t>ウ</t>
    </rPh>
    <phoneticPr fontId="5"/>
  </si>
  <si>
    <t>[effect:rush, count:1, val:0.5],[effect:charge, status:attack, val:0.5]</t>
    <phoneticPr fontId="5"/>
  </si>
  <si>
    <t>次のターンに大ダメージ</t>
    <rPh sb="0" eb="1">
      <t>ツギ</t>
    </rPh>
    <rPh sb="6" eb="7">
      <t>ダイ</t>
    </rPh>
    <phoneticPr fontId="5"/>
  </si>
  <si>
    <t>状態異常無効</t>
    <rPh sb="0" eb="4">
      <t>ジョウタイイジョウ</t>
    </rPh>
    <rPh sb="4" eb="6">
      <t>ムコウ</t>
    </rPh>
    <phoneticPr fontId="5"/>
  </si>
  <si>
    <t>クリティカル！</t>
    <phoneticPr fontId="5"/>
  </si>
  <si>
    <t>次のターンに敵全体パワーアップ</t>
    <rPh sb="0" eb="1">
      <t>ツギ</t>
    </rPh>
    <rPh sb="6" eb="7">
      <t>teki</t>
    </rPh>
    <rPh sb="7" eb="9">
      <t>ゼンタイ</t>
    </rPh>
    <phoneticPr fontId="5"/>
  </si>
  <si>
    <t>全体の攻撃力アップ＆スピードアップ</t>
    <rPh sb="0" eb="2">
      <t>ゼンタイ</t>
    </rPh>
    <rPh sb="3" eb="5">
      <t>コウゲキ</t>
    </rPh>
    <rPh sb="5" eb="6">
      <t>リョク</t>
    </rPh>
    <phoneticPr fontId="5"/>
  </si>
  <si>
    <t>[effect:rush, count:1, val:0.2],[effect:charge, status:attack, val:0.6]</t>
    <phoneticPr fontId="5"/>
  </si>
  <si>
    <t>防御力特大UP</t>
    <rPh sb="0" eb="3">
      <t>カイマクボウギョリョク</t>
    </rPh>
    <rPh sb="3" eb="5">
      <t>トクダイ</t>
    </rPh>
    <phoneticPr fontId="5"/>
  </si>
  <si>
    <t>3ターン青パネルロック</t>
    <rPh sb="4" eb="5">
      <t>アオ</t>
    </rPh>
    <phoneticPr fontId="5"/>
  </si>
  <si>
    <t>3ターン赤パネルロック</t>
    <rPh sb="4" eb="5">
      <t>アカ</t>
    </rPh>
    <phoneticPr fontId="5"/>
  </si>
  <si>
    <t>3ターン緑パネルロック</t>
    <rPh sb="4" eb="5">
      <t>ミドリ</t>
    </rPh>
    <phoneticPr fontId="5"/>
  </si>
  <si>
    <t>4連続攻撃</t>
    <rPh sb="1" eb="5">
      <t>レンゾクコウゲキ</t>
    </rPh>
    <phoneticPr fontId="5"/>
  </si>
  <si>
    <t>緑属性に大ダメージ！</t>
    <rPh sb="0" eb="3">
      <t>ミドリゾクセイ</t>
    </rPh>
    <rPh sb="4" eb="5">
      <t>ダイ</t>
    </rPh>
    <phoneticPr fontId="5"/>
  </si>
  <si>
    <t>4ターン種族マシンはスキルが使えない</t>
    <rPh sb="4" eb="6">
      <t>シュゾク</t>
    </rPh>
    <rPh sb="14" eb="15">
      <t>ツカ</t>
    </rPh>
    <phoneticPr fontId="5"/>
  </si>
  <si>
    <t>種族アニマルに大ダメージ！</t>
    <rPh sb="0" eb="2">
      <t>シュゾク</t>
    </rPh>
    <rPh sb="7" eb="8">
      <t>ダイ</t>
    </rPh>
    <phoneticPr fontId="5"/>
  </si>
  <si>
    <t>2ターン青パネルロック</t>
    <rPh sb="4" eb="5">
      <t>アオ</t>
    </rPh>
    <phoneticPr fontId="5"/>
  </si>
  <si>
    <t>フィーバーゲージ100％DOWN＆状態異常無効
＆状態変化解除</t>
    <rPh sb="17" eb="23">
      <t>ジョウタイイジョウムコウ</t>
    </rPh>
    <rPh sb="25" eb="29">
      <t>ジョウタイヘンカ</t>
    </rPh>
    <rPh sb="29" eb="31">
      <t>カイジョ</t>
    </rPh>
    <phoneticPr fontId="5"/>
  </si>
  <si>
    <t>スピードアップ＆次のターン連続攻撃</t>
    <rPh sb="8" eb="9">
      <t>ツギ</t>
    </rPh>
    <rPh sb="13" eb="17">
      <t>レンゾクコウゲキ</t>
    </rPh>
    <phoneticPr fontId="5"/>
  </si>
  <si>
    <t>時限パネル大量発生&amp;青パネルロック</t>
    <rPh sb="0" eb="2">
      <t>jigeンン</t>
    </rPh>
    <rPh sb="5" eb="9">
      <t>タイリョウハッセイ</t>
    </rPh>
    <rPh sb="10" eb="11">
      <t>アオ</t>
    </rPh>
    <phoneticPr fontId="5"/>
  </si>
  <si>
    <t>[effect:change_block, new_block:time_bomb, target:block_all, count:12, val:0.3, animation:change_block],[effect:dis_panel, target:block_blue, turn:3, animation:enemy_dis_blue],[effect:rush, count:1, val:1]</t>
    <phoneticPr fontId="5"/>
  </si>
  <si>
    <t>5連続攻撃＆次のターンパネル変換</t>
    <rPh sb="1" eb="5">
      <t>レンゾクコウゲキ</t>
    </rPh>
    <rPh sb="6" eb="7">
      <t>ツギ</t>
    </rPh>
    <rPh sb="14" eb="16">
      <t>ヘンカン</t>
    </rPh>
    <phoneticPr fontId="5"/>
  </si>
  <si>
    <t>ハートパネルを赤パネルに変換</t>
    <rPh sb="7" eb="8">
      <t>アカ</t>
    </rPh>
    <rPh sb="12" eb="14">
      <t>ヘンカン</t>
    </rPh>
    <phoneticPr fontId="5"/>
  </si>
  <si>
    <t>ホーミングミサイル</t>
    <phoneticPr fontId="5"/>
  </si>
  <si>
    <t>CPUオーバーヒート！</t>
    <phoneticPr fontId="5"/>
  </si>
  <si>
    <t>ワクチン発射すべし！</t>
    <rPh sb="4" eb="6">
      <t>hassya</t>
    </rPh>
    <phoneticPr fontId="5"/>
  </si>
  <si>
    <t>ウィルスに罹患している！</t>
    <rPh sb="5" eb="7">
      <t>リカン</t>
    </rPh>
    <phoneticPr fontId="5"/>
  </si>
  <si>
    <t>バックドア構築中…</t>
    <rPh sb="5" eb="8">
      <t>コウチクチュウ</t>
    </rPh>
    <phoneticPr fontId="5"/>
  </si>
  <si>
    <t>3ターン後にスピードアップ</t>
    <rPh sb="4" eb="5">
      <t>ゴ</t>
    </rPh>
    <phoneticPr fontId="5"/>
  </si>
  <si>
    <t>攻撃開始！</t>
    <rPh sb="0" eb="4">
      <t>コウゲキカイシ</t>
    </rPh>
    <phoneticPr fontId="5"/>
  </si>
  <si>
    <t>スピードアップ</t>
    <phoneticPr fontId="5"/>
  </si>
  <si>
    <t>ご質問をｗｗどうぞｗｗｗ</t>
    <rPh sb="1" eb="3">
      <t>シツモン</t>
    </rPh>
    <phoneticPr fontId="5"/>
  </si>
  <si>
    <t>肉食獣の目をしている！</t>
    <rPh sb="0" eb="2">
      <t>ニクショクドウブツ</t>
    </rPh>
    <rPh sb="2" eb="3">
      <t>ケモノ</t>
    </rPh>
    <rPh sb="4" eb="5">
      <t>メ</t>
    </rPh>
    <phoneticPr fontId="5"/>
  </si>
  <si>
    <t>アンチハート</t>
    <phoneticPr fontId="5"/>
  </si>
  <si>
    <t>データ破壊すべし！</t>
    <rPh sb="3" eb="5">
      <t>ハカイ</t>
    </rPh>
    <phoneticPr fontId="5"/>
  </si>
  <si>
    <t>ウィルス検査中である！</t>
    <rPh sb="4" eb="7">
      <t>ケンサチュウ</t>
    </rPh>
    <phoneticPr fontId="5"/>
  </si>
  <si>
    <t>ガルルルル！</t>
    <phoneticPr fontId="5"/>
  </si>
  <si>
    <t>マグネコート</t>
    <phoneticPr fontId="5"/>
  </si>
  <si>
    <t>攻撃ターン数の早い敵から倒すと
攻略が楽になります</t>
    <rPh sb="0" eb="2">
      <t>コウゲキ</t>
    </rPh>
    <rPh sb="5" eb="6">
      <t>スウ</t>
    </rPh>
    <rPh sb="7" eb="8">
      <t>ハヤ</t>
    </rPh>
    <rPh sb="9" eb="10">
      <t>teki</t>
    </rPh>
    <rPh sb="12" eb="13">
      <t>タオ</t>
    </rPh>
    <rPh sb="16" eb="18">
      <t>コウリャク</t>
    </rPh>
    <rPh sb="19" eb="20">
      <t>ラク</t>
    </rPh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</si>
  <si>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</si>
  <si>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</si>
  <si>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[effect:degrade_fever, val:1000, animation:fevergauge_down],[effect:remove_enhancement,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</si>
  <si>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</si>
  <si>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ヒールジャミング</t>
    <phoneticPr fontId="5"/>
  </si>
  <si>
    <t xml:space="preserve">[effect:degrade_unit, target:unit_all, turn:3, status:heal, val:0.3, animation:degrade_unit_all_heal]    </t>
    <phoneticPr fontId="5"/>
  </si>
  <si>
    <t>ロックされてしまったパネルは
パネル破壊や変換スキルで消しましょう</t>
    <rPh sb="18" eb="20">
      <t>ハカイコウゲキ</t>
    </rPh>
    <rPh sb="21" eb="23">
      <t>ヘンカン</t>
    </rPh>
    <rPh sb="27" eb="28">
      <t>ケ</t>
    </rPh>
    <phoneticPr fontId="5"/>
  </si>
  <si>
    <t>3ゲージ目の連続攻撃は
防御力UPスキルで乗り切りましょう</t>
    <rPh sb="4" eb="5">
      <t>メ</t>
    </rPh>
    <rPh sb="6" eb="10">
      <t>レンゾクコウゲキ</t>
    </rPh>
    <rPh sb="12" eb="15">
      <t>ボウギョリョク</t>
    </rPh>
    <rPh sb="21" eb="22">
      <t>ノ</t>
    </rPh>
    <rPh sb="23" eb="24">
      <t>キ</t>
    </rPh>
    <phoneticPr fontId="5"/>
  </si>
  <si>
    <t>ストールはHPが残り少なくなると
クリティカル攻撃をしてきます</t>
    <rPh sb="8" eb="9">
      <t>ノコ</t>
    </rPh>
    <rPh sb="10" eb="11">
      <t>スク</t>
    </rPh>
    <rPh sb="23" eb="25">
      <t>コウゲキ</t>
    </rPh>
    <phoneticPr fontId="5"/>
  </si>
  <si>
    <t>3ターン以内に敵の数を減らしましょう</t>
    <rPh sb="4" eb="6">
      <t>イナイ</t>
    </rPh>
    <rPh sb="7" eb="8">
      <t>テキ</t>
    </rPh>
    <rPh sb="9" eb="10">
      <t>カズ</t>
    </rPh>
    <rPh sb="11" eb="12">
      <t>ヘ</t>
    </rPh>
    <phoneticPr fontId="5"/>
  </si>
  <si>
    <t>2ゲージ目のHPが少なくなると
パネルを大量に変換するスキルを行います
フィーバーを溜めておきましょう</t>
    <rPh sb="4" eb="5">
      <t>メ</t>
    </rPh>
    <rPh sb="9" eb="10">
      <t>スク</t>
    </rPh>
    <rPh sb="20" eb="22">
      <t>タイリョウ</t>
    </rPh>
    <rPh sb="23" eb="25">
      <t>ヘンカン</t>
    </rPh>
    <rPh sb="31" eb="32">
      <t>オコナ</t>
    </rPh>
    <rPh sb="42" eb="43">
      <t>タ</t>
    </rPh>
    <rPh sb="44" eb="45">
      <t>tamete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</si>
</sst>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.8"/>
      <color rgb="FF000000"/>
      <name val="Arial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1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7" fillId="31" borderId="7" xfId="0" applyFont="1" applyFill="1" applyBorder="1"/>
    <xf numFmtId="0" fontId="27" fillId="14" borderId="7" xfId="0" applyFont="1" applyFill="1" applyBorder="1"/>
    <xf numFmtId="0" fontId="11" fillId="0" borderId="7" xfId="0" applyFont="1" applyBorder="1" applyAlignment="1">
      <alignment vertical="center"/>
    </xf>
    <xf numFmtId="0" fontId="51" fillId="0" borderId="7" xfId="0" applyFont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51" fillId="13" borderId="7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0" borderId="0" xfId="0" applyFont="1" applyAlignment="1">
      <alignment wrapText="1"/>
    </xf>
  </cellXfs>
  <cellStyles count="810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無題1" xfId="43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12001</v>
          </cell>
        </row>
        <row r="76">
          <cell r="A76">
            <v>12002</v>
          </cell>
        </row>
        <row r="77">
          <cell r="A77">
            <v>12003</v>
          </cell>
        </row>
        <row r="78">
          <cell r="A78">
            <v>13001</v>
          </cell>
        </row>
        <row r="79">
          <cell r="A79">
            <v>14001</v>
          </cell>
        </row>
        <row r="80">
          <cell r="A80">
            <v>14002</v>
          </cell>
        </row>
        <row r="81">
          <cell r="A81">
            <v>14003</v>
          </cell>
        </row>
        <row r="82">
          <cell r="A82">
            <v>14004</v>
          </cell>
        </row>
        <row r="83">
          <cell r="A83">
            <v>14005</v>
          </cell>
        </row>
        <row r="84">
          <cell r="A84">
            <v>14006</v>
          </cell>
        </row>
        <row r="85">
          <cell r="A85">
            <v>20001</v>
          </cell>
        </row>
        <row r="86">
          <cell r="A86">
            <v>20002</v>
          </cell>
        </row>
        <row r="87">
          <cell r="A87">
            <v>20003</v>
          </cell>
        </row>
        <row r="88">
          <cell r="A88">
            <v>20004</v>
          </cell>
        </row>
        <row r="89">
          <cell r="A89">
            <v>20005</v>
          </cell>
        </row>
        <row r="90">
          <cell r="A90">
            <v>20006</v>
          </cell>
        </row>
        <row r="91">
          <cell r="A91">
            <v>20007</v>
          </cell>
        </row>
        <row r="92">
          <cell r="A92">
            <v>20008</v>
          </cell>
        </row>
        <row r="93">
          <cell r="A93">
            <v>20009</v>
          </cell>
        </row>
        <row r="94">
          <cell r="A94">
            <v>20010</v>
          </cell>
        </row>
        <row r="95">
          <cell r="A95">
            <v>20011</v>
          </cell>
        </row>
        <row r="96">
          <cell r="A96">
            <v>20012</v>
          </cell>
        </row>
        <row r="97">
          <cell r="A97">
            <v>30001</v>
          </cell>
        </row>
        <row r="98">
          <cell r="A98">
            <v>30002</v>
          </cell>
        </row>
        <row r="99">
          <cell r="A99">
            <v>30003</v>
          </cell>
        </row>
        <row r="100">
          <cell r="A100">
            <v>30004</v>
          </cell>
        </row>
        <row r="101">
          <cell r="A101">
            <v>30005</v>
          </cell>
        </row>
        <row r="102">
          <cell r="A102">
            <v>30006</v>
          </cell>
        </row>
        <row r="103">
          <cell r="A103">
            <v>30007</v>
          </cell>
        </row>
        <row r="104">
          <cell r="A104">
            <v>30008</v>
          </cell>
        </row>
        <row r="105">
          <cell r="A105">
            <v>30009</v>
          </cell>
        </row>
        <row r="106">
          <cell r="A106">
            <v>30010</v>
          </cell>
        </row>
        <row r="107">
          <cell r="A107">
            <v>30011</v>
          </cell>
        </row>
        <row r="108">
          <cell r="A108">
            <v>30012</v>
          </cell>
        </row>
        <row r="109">
          <cell r="A109">
            <v>30013</v>
          </cell>
        </row>
        <row r="110">
          <cell r="A110">
            <v>30014</v>
          </cell>
        </row>
        <row r="111">
          <cell r="A111">
            <v>30015</v>
          </cell>
        </row>
        <row r="112">
          <cell r="A112">
            <v>30016</v>
          </cell>
        </row>
        <row r="113">
          <cell r="A113">
            <v>30017</v>
          </cell>
        </row>
        <row r="114">
          <cell r="A114">
            <v>30018</v>
          </cell>
        </row>
        <row r="115">
          <cell r="A115">
            <v>30019</v>
          </cell>
        </row>
        <row r="116">
          <cell r="A116">
            <v>30020</v>
          </cell>
        </row>
        <row r="117">
          <cell r="A117">
            <v>30021</v>
          </cell>
        </row>
        <row r="118">
          <cell r="A118">
            <v>30022</v>
          </cell>
        </row>
        <row r="119">
          <cell r="A119">
            <v>30023</v>
          </cell>
        </row>
        <row r="120">
          <cell r="A120">
            <v>30024</v>
          </cell>
        </row>
        <row r="121">
          <cell r="A121">
            <v>30025</v>
          </cell>
        </row>
        <row r="122">
          <cell r="A122">
            <v>30026</v>
          </cell>
        </row>
        <row r="123">
          <cell r="A123">
            <v>39001</v>
          </cell>
        </row>
        <row r="124">
          <cell r="A124">
            <v>40001</v>
          </cell>
        </row>
        <row r="125">
          <cell r="A125">
            <v>40002</v>
          </cell>
        </row>
        <row r="126">
          <cell r="A126">
            <v>40003</v>
          </cell>
        </row>
        <row r="127">
          <cell r="A127">
            <v>40004</v>
          </cell>
        </row>
        <row r="128">
          <cell r="A128">
            <v>40005</v>
          </cell>
        </row>
        <row r="129">
          <cell r="A129">
            <v>40006</v>
          </cell>
        </row>
        <row r="130">
          <cell r="A130">
            <v>40007</v>
          </cell>
        </row>
        <row r="131">
          <cell r="A131">
            <v>40008</v>
          </cell>
        </row>
        <row r="132">
          <cell r="A132">
            <v>40009</v>
          </cell>
        </row>
        <row r="133">
          <cell r="A133">
            <v>49001</v>
          </cell>
        </row>
        <row r="134">
          <cell r="A134">
            <v>50001</v>
          </cell>
        </row>
        <row r="135">
          <cell r="A135">
            <v>50002</v>
          </cell>
        </row>
        <row r="136">
          <cell r="A136">
            <v>65535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0</v>
          </cell>
          <cell r="C242">
            <v>11209</v>
          </cell>
          <cell r="D242" t="str">
            <v>100万DL記念★スタートダッシュ！</v>
          </cell>
          <cell r="E242" t="str">
            <v>100万DL記念★初心者応援クエスト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0</v>
          </cell>
          <cell r="C243">
            <v>11209</v>
          </cell>
          <cell r="D243" t="str">
            <v>100万DL記念★スタートダッシュ！</v>
          </cell>
          <cell r="E243" t="str">
            <v>100万DL記念★初心者応援クエスト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1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【ストーリー】バレンタイン狂騒曲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12001_1</v>
          </cell>
          <cell r="B261">
            <v>3</v>
          </cell>
          <cell r="C261">
            <v>12001</v>
          </cell>
          <cell r="D261" t="str">
            <v>【緊急！！】 アヒル捕獲作戦</v>
          </cell>
          <cell r="E261" t="str">
            <v>ゲリラクエスト</v>
          </cell>
          <cell r="F261">
            <v>1</v>
          </cell>
          <cell r="G261" t="str">
            <v>ja</v>
          </cell>
          <cell r="H261" t="str">
            <v xml:space="preserve">【初級】メタルダックを捕獲せよ！ </v>
          </cell>
          <cell r="I261" t="str">
            <v>経験値ゲリラ</v>
          </cell>
          <cell r="J261">
            <v>334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201</v>
          </cell>
          <cell r="AD261">
            <v>6</v>
          </cell>
          <cell r="AE261" t="str">
            <v>everyone</v>
          </cell>
        </row>
        <row r="262">
          <cell r="A262" t="str">
            <v>12001_2</v>
          </cell>
          <cell r="B262">
            <v>3</v>
          </cell>
          <cell r="C262">
            <v>12001</v>
          </cell>
          <cell r="D262" t="str">
            <v>【緊急！！】 アヒル捕獲作戦</v>
          </cell>
          <cell r="E262" t="str">
            <v>ゲリラクエスト</v>
          </cell>
          <cell r="F262">
            <v>2</v>
          </cell>
          <cell r="G262" t="str">
            <v>ja</v>
          </cell>
          <cell r="H262" t="str">
            <v xml:space="preserve">【上級】メタルダックを捕獲せよ！ </v>
          </cell>
          <cell r="I262" t="str">
            <v>経験値ゲリラ</v>
          </cell>
          <cell r="J262">
            <v>334</v>
          </cell>
          <cell r="K262">
            <v>20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201</v>
          </cell>
          <cell r="AD262">
            <v>6</v>
          </cell>
          <cell r="AE262" t="str">
            <v>everyone</v>
          </cell>
        </row>
        <row r="263">
          <cell r="A263" t="str">
            <v>12001_3</v>
          </cell>
          <cell r="B263">
            <v>0</v>
          </cell>
          <cell r="C263">
            <v>12001</v>
          </cell>
          <cell r="D263" t="str">
            <v>【緊急！！】 アヒル捕獲作戦</v>
          </cell>
          <cell r="E263" t="str">
            <v>ゲリラクエスト</v>
          </cell>
          <cell r="F263">
            <v>3</v>
          </cell>
          <cell r="G263" t="str">
            <v>ja</v>
          </cell>
          <cell r="H263" t="str">
            <v>★100DL記念 マルチ専用★_x000D_【上級】メタルダックを捕獲せよ！</v>
          </cell>
          <cell r="I263" t="str">
            <v>経験値ゲリラ</v>
          </cell>
          <cell r="J263">
            <v>334</v>
          </cell>
          <cell r="K263">
            <v>10</v>
          </cell>
          <cell r="L263">
            <v>350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201</v>
          </cell>
          <cell r="AD263">
            <v>6</v>
          </cell>
          <cell r="AE263" t="str">
            <v>multionly</v>
          </cell>
        </row>
        <row r="264">
          <cell r="A264" t="str">
            <v>12002_3</v>
          </cell>
          <cell r="B264">
            <v>0</v>
          </cell>
          <cell r="C264">
            <v>12002</v>
          </cell>
          <cell r="D264" t="str">
            <v>【マルチ専用1/2】 アヒル捕獲作戦</v>
          </cell>
          <cell r="E264" t="str">
            <v>ゲリラクエスト</v>
          </cell>
          <cell r="F264">
            <v>3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12002_2</v>
          </cell>
          <cell r="B265">
            <v>0</v>
          </cell>
          <cell r="C265">
            <v>12002</v>
          </cell>
          <cell r="D265" t="str">
            <v>【マルチ専用1/2】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12002_1</v>
          </cell>
          <cell r="B266">
            <v>3</v>
          </cell>
          <cell r="C266">
            <v>12002</v>
          </cell>
          <cell r="D266" t="str">
            <v>【マルチ専用1/2】 アヒル捕獲作戦</v>
          </cell>
          <cell r="E266" t="str">
            <v>ゲリラクエスト</v>
          </cell>
          <cell r="F266">
            <v>1</v>
          </cell>
          <cell r="G266" t="str">
            <v>ja</v>
          </cell>
          <cell r="H266" t="str">
            <v>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12003_1</v>
          </cell>
          <cell r="B267">
            <v>3</v>
          </cell>
          <cell r="C267">
            <v>12003</v>
          </cell>
          <cell r="D267" t="str">
            <v>【超緊急！！】メタルジェントルを追え</v>
          </cell>
          <cell r="E267" t="str">
            <v>ゲリラ【超級】</v>
          </cell>
          <cell r="F267">
            <v>1</v>
          </cell>
          <cell r="G267" t="str">
            <v>ja</v>
          </cell>
          <cell r="H267" t="str">
            <v>【超級】雷のジェントルを追え！</v>
          </cell>
          <cell r="I267" t="str">
            <v>超級ゲリラ</v>
          </cell>
          <cell r="J267">
            <v>347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12</v>
          </cell>
          <cell r="AD267">
            <v>6</v>
          </cell>
          <cell r="AE267" t="str">
            <v>singleonly</v>
          </cell>
        </row>
        <row r="268">
          <cell r="A268" t="str">
            <v>12003_2</v>
          </cell>
          <cell r="B268">
            <v>3</v>
          </cell>
          <cell r="C268">
            <v>12003</v>
          </cell>
          <cell r="D268" t="str">
            <v>【超緊急！！】メタルジェントルを追え</v>
          </cell>
          <cell r="E268" t="str">
            <v>ゲリラ【超級】</v>
          </cell>
          <cell r="F268">
            <v>2</v>
          </cell>
          <cell r="G268" t="str">
            <v>ja</v>
          </cell>
          <cell r="H268" t="str">
            <v>【超級】水のジェントルを追え！</v>
          </cell>
          <cell r="I268" t="str">
            <v>超級ゲリラ</v>
          </cell>
          <cell r="J268">
            <v>343</v>
          </cell>
          <cell r="K268">
            <v>40</v>
          </cell>
          <cell r="L268">
            <v>500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5</v>
          </cell>
          <cell r="AD268">
            <v>6</v>
          </cell>
          <cell r="AE268" t="str">
            <v>singleonly</v>
          </cell>
        </row>
        <row r="269">
          <cell r="A269" t="str">
            <v>12003_3</v>
          </cell>
          <cell r="B269">
            <v>3</v>
          </cell>
          <cell r="C269">
            <v>12003</v>
          </cell>
          <cell r="D269" t="str">
            <v>【超緊急！！】メタルジェントルを追え</v>
          </cell>
          <cell r="E269" t="str">
            <v>ゲリラ【超級】</v>
          </cell>
          <cell r="F269">
            <v>3</v>
          </cell>
          <cell r="G269" t="str">
            <v>ja</v>
          </cell>
          <cell r="H269" t="str">
            <v>【超級】森のジェントルを追え！</v>
          </cell>
          <cell r="I269" t="str">
            <v>超級ゲリラ</v>
          </cell>
          <cell r="J269">
            <v>339</v>
          </cell>
          <cell r="K269">
            <v>40</v>
          </cell>
          <cell r="L269">
            <v>500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7</v>
          </cell>
          <cell r="AD269">
            <v>6</v>
          </cell>
          <cell r="AE269" t="str">
            <v>singleonly</v>
          </cell>
        </row>
        <row r="270">
          <cell r="A270" t="str">
            <v>12003_4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4</v>
          </cell>
          <cell r="G270" t="str">
            <v>ja</v>
          </cell>
          <cell r="H270" t="str">
            <v>【超級】炎のジェントルを追え！</v>
          </cell>
          <cell r="I270" t="str">
            <v>超級ゲリラ</v>
          </cell>
          <cell r="J270">
            <v>335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10</v>
          </cell>
          <cell r="AD270">
            <v>6</v>
          </cell>
          <cell r="AE270" t="str">
            <v>singleonly</v>
          </cell>
        </row>
        <row r="271">
          <cell r="A271" t="str">
            <v>13001_1</v>
          </cell>
          <cell r="B271">
            <v>3</v>
          </cell>
          <cell r="C271">
            <v>13001</v>
          </cell>
          <cell r="D271" t="str">
            <v>チャレンジタワー(ソロ専用)</v>
          </cell>
          <cell r="E271" t="str">
            <v>試練の塔</v>
          </cell>
          <cell r="F271">
            <v>1</v>
          </cell>
          <cell r="G271" t="str">
            <v>ja</v>
          </cell>
          <cell r="H271" t="str">
            <v>チャレンジタワー 1F</v>
          </cell>
          <cell r="I271" t="str">
            <v>試練の塔</v>
          </cell>
          <cell r="J271">
            <v>345</v>
          </cell>
          <cell r="K271">
            <v>3</v>
          </cell>
          <cell r="L271">
            <v>120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character</v>
          </cell>
          <cell r="T271" t="str">
            <v>345,345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26</v>
          </cell>
          <cell r="AD271">
            <v>6</v>
          </cell>
          <cell r="AE271" t="str">
            <v>singleonly</v>
          </cell>
        </row>
        <row r="272">
          <cell r="A272" t="str">
            <v>13001_2</v>
          </cell>
          <cell r="B272">
            <v>3</v>
          </cell>
          <cell r="C272">
            <v>13001</v>
          </cell>
          <cell r="D272" t="str">
            <v>チャレンジタワー(ソロ専用)</v>
          </cell>
          <cell r="E272" t="str">
            <v>試練の塔</v>
          </cell>
          <cell r="F272">
            <v>2</v>
          </cell>
          <cell r="G272" t="str">
            <v>ja</v>
          </cell>
          <cell r="H272" t="str">
            <v>チャレンジタワー 2F</v>
          </cell>
          <cell r="I272" t="str">
            <v>試練の塔</v>
          </cell>
          <cell r="J272">
            <v>333</v>
          </cell>
          <cell r="K272">
            <v>4</v>
          </cell>
          <cell r="L272">
            <v>176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333,333</v>
          </cell>
          <cell r="U272">
            <v>13001</v>
          </cell>
          <cell r="V272">
            <v>1</v>
          </cell>
          <cell r="W272" t="str">
            <v>チャレンジタワー 1F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26</v>
          </cell>
          <cell r="AD272">
            <v>6</v>
          </cell>
          <cell r="AE272" t="str">
            <v>singleonly</v>
          </cell>
        </row>
        <row r="273">
          <cell r="A273" t="str">
            <v>13001_3</v>
          </cell>
          <cell r="B273">
            <v>3</v>
          </cell>
          <cell r="C273">
            <v>13001</v>
          </cell>
          <cell r="D273" t="str">
            <v>チャレンジタワー(ソロ専用)</v>
          </cell>
          <cell r="E273" t="str">
            <v>試練の塔</v>
          </cell>
          <cell r="F273">
            <v>3</v>
          </cell>
          <cell r="G273" t="str">
            <v>ja</v>
          </cell>
          <cell r="H273" t="str">
            <v>チャレンジタワー 3F</v>
          </cell>
          <cell r="I273" t="str">
            <v>試練の塔</v>
          </cell>
          <cell r="J273">
            <v>337</v>
          </cell>
          <cell r="K273">
            <v>5</v>
          </cell>
          <cell r="L273">
            <v>242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337,337</v>
          </cell>
          <cell r="U273">
            <v>13001</v>
          </cell>
          <cell r="V273">
            <v>2</v>
          </cell>
          <cell r="W273" t="str">
            <v>チャレンジタワー 2F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26</v>
          </cell>
          <cell r="AD273">
            <v>6</v>
          </cell>
          <cell r="AE273" t="str">
            <v>singleonly</v>
          </cell>
        </row>
        <row r="274">
          <cell r="A274" t="str">
            <v>13001_4</v>
          </cell>
          <cell r="B274">
            <v>3</v>
          </cell>
          <cell r="C274">
            <v>13001</v>
          </cell>
          <cell r="D274" t="str">
            <v>チャレンジタワー(ソロ専用)</v>
          </cell>
          <cell r="E274" t="str">
            <v>試練の塔</v>
          </cell>
          <cell r="F274">
            <v>4</v>
          </cell>
          <cell r="G274" t="str">
            <v>ja</v>
          </cell>
          <cell r="H274" t="str">
            <v>チャレンジタワー 4F</v>
          </cell>
          <cell r="I274" t="str">
            <v>試練の塔</v>
          </cell>
          <cell r="J274">
            <v>341</v>
          </cell>
          <cell r="K274">
            <v>7</v>
          </cell>
          <cell r="L274">
            <v>508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341,341</v>
          </cell>
          <cell r="U274">
            <v>13001</v>
          </cell>
          <cell r="V274">
            <v>3</v>
          </cell>
          <cell r="W274" t="str">
            <v>チャレンジタワー 3F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26</v>
          </cell>
          <cell r="AD274">
            <v>6</v>
          </cell>
          <cell r="AE274" t="str">
            <v>singleonly</v>
          </cell>
        </row>
        <row r="275">
          <cell r="A275" t="str">
            <v>13001_5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5</v>
          </cell>
          <cell r="G275" t="str">
            <v>ja</v>
          </cell>
          <cell r="H275" t="str">
            <v>チャレンジタワー 5F</v>
          </cell>
          <cell r="I275" t="str">
            <v>試練の塔</v>
          </cell>
          <cell r="J275">
            <v>333</v>
          </cell>
          <cell r="K275">
            <v>7</v>
          </cell>
          <cell r="L275">
            <v>280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333,337,341,345</v>
          </cell>
          <cell r="U275">
            <v>13001</v>
          </cell>
          <cell r="V275">
            <v>4</v>
          </cell>
          <cell r="W275" t="str">
            <v>チャレンジタワー 4F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13001_6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6</v>
          </cell>
          <cell r="G276" t="str">
            <v>ja</v>
          </cell>
          <cell r="H276" t="str">
            <v>チャレンジタワー 6F</v>
          </cell>
          <cell r="I276" t="str">
            <v>試練の塔</v>
          </cell>
          <cell r="J276">
            <v>346</v>
          </cell>
          <cell r="K276">
            <v>8</v>
          </cell>
          <cell r="L276">
            <v>474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346,345</v>
          </cell>
          <cell r="U276">
            <v>13001</v>
          </cell>
          <cell r="V276">
            <v>5</v>
          </cell>
          <cell r="W276" t="str">
            <v>チャレンジタワー 5F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13001_7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7</v>
          </cell>
          <cell r="G277" t="str">
            <v>ja</v>
          </cell>
          <cell r="H277" t="str">
            <v>チャレンジタワー 7F</v>
          </cell>
          <cell r="I277" t="str">
            <v>試練の塔</v>
          </cell>
          <cell r="J277">
            <v>342</v>
          </cell>
          <cell r="K277">
            <v>8</v>
          </cell>
          <cell r="L277">
            <v>486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342,341</v>
          </cell>
          <cell r="U277">
            <v>13001</v>
          </cell>
          <cell r="V277">
            <v>6</v>
          </cell>
          <cell r="W277" t="str">
            <v>チャレンジタワー 6F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13001_8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8</v>
          </cell>
          <cell r="G278" t="str">
            <v>ja</v>
          </cell>
          <cell r="H278" t="str">
            <v>チャレンジタワー 8F</v>
          </cell>
          <cell r="I278" t="str">
            <v>試練の塔</v>
          </cell>
          <cell r="J278">
            <v>334</v>
          </cell>
          <cell r="K278">
            <v>10</v>
          </cell>
          <cell r="L278">
            <v>1006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334,333</v>
          </cell>
          <cell r="U278">
            <v>13001</v>
          </cell>
          <cell r="V278">
            <v>7</v>
          </cell>
          <cell r="W278" t="str">
            <v>チャレンジタワー 7F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13001_9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9</v>
          </cell>
          <cell r="G279" t="str">
            <v>ja</v>
          </cell>
          <cell r="H279" t="str">
            <v>チャレンジタワー 9F</v>
          </cell>
          <cell r="I279" t="str">
            <v>試練の塔</v>
          </cell>
          <cell r="J279">
            <v>338</v>
          </cell>
          <cell r="K279">
            <v>10</v>
          </cell>
          <cell r="L279">
            <v>702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337,337,338</v>
          </cell>
          <cell r="U279">
            <v>13001</v>
          </cell>
          <cell r="V279">
            <v>8</v>
          </cell>
          <cell r="W279" t="str">
            <v>チャレンジタワー 8F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13001_10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10</v>
          </cell>
          <cell r="G280" t="str">
            <v>ja</v>
          </cell>
          <cell r="H280" t="str">
            <v>チャレンジタワー 10F</v>
          </cell>
          <cell r="I280" t="str">
            <v>試練の塔</v>
          </cell>
          <cell r="J280">
            <v>346</v>
          </cell>
          <cell r="K280">
            <v>11</v>
          </cell>
          <cell r="L280">
            <v>788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346,333,337,341</v>
          </cell>
          <cell r="U280">
            <v>13001</v>
          </cell>
          <cell r="V280">
            <v>9</v>
          </cell>
          <cell r="W280" t="str">
            <v>チャレンジタワー 9F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13001_11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11</v>
          </cell>
          <cell r="G281" t="str">
            <v>ja</v>
          </cell>
          <cell r="H281" t="str">
            <v>チャレンジタワー 11F</v>
          </cell>
          <cell r="I281" t="str">
            <v>試練の塔</v>
          </cell>
          <cell r="J281">
            <v>346</v>
          </cell>
          <cell r="K281">
            <v>12</v>
          </cell>
          <cell r="L281">
            <v>936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346,346</v>
          </cell>
          <cell r="U281">
            <v>13001</v>
          </cell>
          <cell r="V281">
            <v>10</v>
          </cell>
          <cell r="W281" t="str">
            <v>チャレンジタワー 10F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13001_12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12</v>
          </cell>
          <cell r="G282" t="str">
            <v>ja</v>
          </cell>
          <cell r="H282" t="str">
            <v>チャレンジタワー 12F</v>
          </cell>
          <cell r="I282" t="str">
            <v>試練の塔</v>
          </cell>
          <cell r="J282">
            <v>342</v>
          </cell>
          <cell r="K282">
            <v>13</v>
          </cell>
          <cell r="L282">
            <v>1601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342,342</v>
          </cell>
          <cell r="U282">
            <v>13001</v>
          </cell>
          <cell r="V282">
            <v>11</v>
          </cell>
          <cell r="W282" t="str">
            <v>チャレンジタワー 11F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13001_13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13</v>
          </cell>
          <cell r="G283" t="str">
            <v>ja</v>
          </cell>
          <cell r="H283" t="str">
            <v>チャレンジタワー 13F</v>
          </cell>
          <cell r="I283" t="str">
            <v>試練の塔</v>
          </cell>
          <cell r="J283">
            <v>338</v>
          </cell>
          <cell r="K283">
            <v>14</v>
          </cell>
          <cell r="L283">
            <v>945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338,338</v>
          </cell>
          <cell r="U283">
            <v>13001</v>
          </cell>
          <cell r="V283">
            <v>12</v>
          </cell>
          <cell r="W283" t="str">
            <v>チャレンジタワー 12F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13001_14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14</v>
          </cell>
          <cell r="G284" t="str">
            <v>ja</v>
          </cell>
          <cell r="H284" t="str">
            <v>チャレンジタワー 14F</v>
          </cell>
          <cell r="I284" t="str">
            <v>試練の塔</v>
          </cell>
          <cell r="J284">
            <v>334</v>
          </cell>
          <cell r="K284">
            <v>14</v>
          </cell>
          <cell r="L284">
            <v>1188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334,334</v>
          </cell>
          <cell r="U284">
            <v>13001</v>
          </cell>
          <cell r="V284">
            <v>13</v>
          </cell>
          <cell r="W284" t="str">
            <v>チャレンジタワー 13F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13001_15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15</v>
          </cell>
          <cell r="G285" t="str">
            <v>ja</v>
          </cell>
          <cell r="H285" t="str">
            <v>チャレンジタワー 15F</v>
          </cell>
          <cell r="I285" t="str">
            <v>試練の塔</v>
          </cell>
          <cell r="J285">
            <v>316</v>
          </cell>
          <cell r="K285">
            <v>14</v>
          </cell>
          <cell r="L285">
            <v>1008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316</v>
          </cell>
          <cell r="U285">
            <v>13001</v>
          </cell>
          <cell r="V285">
            <v>14</v>
          </cell>
          <cell r="W285" t="str">
            <v>チャレンジタワー 14F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13001_16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16</v>
          </cell>
          <cell r="G286" t="str">
            <v>ja</v>
          </cell>
          <cell r="H286" t="str">
            <v>チャレンジタワー 16F</v>
          </cell>
          <cell r="I286" t="str">
            <v>試練の塔</v>
          </cell>
          <cell r="J286">
            <v>338</v>
          </cell>
          <cell r="K286">
            <v>16</v>
          </cell>
          <cell r="L286">
            <v>2573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338,338,337</v>
          </cell>
          <cell r="U286">
            <v>13001</v>
          </cell>
          <cell r="V286">
            <v>15</v>
          </cell>
          <cell r="W286" t="str">
            <v>チャレンジタワー 15F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13001_17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17</v>
          </cell>
          <cell r="G287" t="str">
            <v>ja</v>
          </cell>
          <cell r="H287" t="str">
            <v>チャレンジタワー 17F</v>
          </cell>
          <cell r="I287" t="str">
            <v>試練の塔</v>
          </cell>
          <cell r="J287">
            <v>346</v>
          </cell>
          <cell r="K287">
            <v>16</v>
          </cell>
          <cell r="L287">
            <v>1568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346,346,345</v>
          </cell>
          <cell r="U287">
            <v>13001</v>
          </cell>
          <cell r="V287">
            <v>16</v>
          </cell>
          <cell r="W287" t="str">
            <v>チャレンジタワー 16F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13001_18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18</v>
          </cell>
          <cell r="G288" t="str">
            <v>ja</v>
          </cell>
          <cell r="H288" t="str">
            <v>チャレンジタワー 18F</v>
          </cell>
          <cell r="I288" t="str">
            <v>試練の塔</v>
          </cell>
          <cell r="J288">
            <v>334</v>
          </cell>
          <cell r="K288">
            <v>17</v>
          </cell>
          <cell r="L288">
            <v>1821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334,334,333</v>
          </cell>
          <cell r="U288">
            <v>13001</v>
          </cell>
          <cell r="V288">
            <v>17</v>
          </cell>
          <cell r="W288" t="str">
            <v>チャレンジタワー 17F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13001_19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19</v>
          </cell>
          <cell r="G289" t="str">
            <v>ja</v>
          </cell>
          <cell r="H289" t="str">
            <v>チャレンジタワー 19F</v>
          </cell>
          <cell r="I289" t="str">
            <v>試練の塔</v>
          </cell>
          <cell r="J289">
            <v>342</v>
          </cell>
          <cell r="K289">
            <v>18</v>
          </cell>
          <cell r="L289">
            <v>2108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342,342,341</v>
          </cell>
          <cell r="U289">
            <v>13001</v>
          </cell>
          <cell r="V289">
            <v>18</v>
          </cell>
          <cell r="W289" t="str">
            <v>チャレンジタワー 18F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13001_20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20</v>
          </cell>
          <cell r="G290" t="str">
            <v>ja</v>
          </cell>
          <cell r="H290" t="str">
            <v>チャレンジタワー 20F</v>
          </cell>
          <cell r="I290" t="str">
            <v>試練の塔</v>
          </cell>
          <cell r="J290">
            <v>318</v>
          </cell>
          <cell r="K290">
            <v>18</v>
          </cell>
          <cell r="L290">
            <v>1620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318</v>
          </cell>
          <cell r="U290">
            <v>13001</v>
          </cell>
          <cell r="V290">
            <v>19</v>
          </cell>
          <cell r="W290" t="str">
            <v>チャレンジタワー 19F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13001_21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21</v>
          </cell>
          <cell r="G291" t="str">
            <v>ja</v>
          </cell>
          <cell r="H291" t="str">
            <v>チャレンジタワー 21F</v>
          </cell>
          <cell r="I291" t="str">
            <v>試練の塔</v>
          </cell>
          <cell r="J291" t="str">
            <v>335</v>
          </cell>
          <cell r="K291">
            <v>18</v>
          </cell>
          <cell r="L291">
            <v>1620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334,335,335</v>
          </cell>
          <cell r="U291">
            <v>13001</v>
          </cell>
          <cell r="V291">
            <v>20</v>
          </cell>
          <cell r="W291" t="str">
            <v>チャレンジタワー 20F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13001_22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22</v>
          </cell>
          <cell r="G292" t="str">
            <v>ja</v>
          </cell>
          <cell r="H292" t="str">
            <v>チャレンジタワー 22F</v>
          </cell>
          <cell r="I292" t="str">
            <v>試練の塔</v>
          </cell>
          <cell r="J292" t="str">
            <v>339</v>
          </cell>
          <cell r="K292">
            <v>18</v>
          </cell>
          <cell r="L292">
            <v>1620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338,339,339</v>
          </cell>
          <cell r="U292">
            <v>13001</v>
          </cell>
          <cell r="V292">
            <v>21</v>
          </cell>
          <cell r="W292" t="str">
            <v>チャレンジタワー 21F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13001_23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23</v>
          </cell>
          <cell r="G293" t="str">
            <v>ja</v>
          </cell>
          <cell r="H293" t="str">
            <v>チャレンジタワー 23F</v>
          </cell>
          <cell r="I293" t="str">
            <v>試練の塔</v>
          </cell>
          <cell r="J293" t="str">
            <v>347</v>
          </cell>
          <cell r="K293">
            <v>20</v>
          </cell>
          <cell r="L293">
            <v>1821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346,347,347</v>
          </cell>
          <cell r="U293">
            <v>13001</v>
          </cell>
          <cell r="V293">
            <v>22</v>
          </cell>
          <cell r="W293" t="str">
            <v>チャレンジタワー 22F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13001_24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24</v>
          </cell>
          <cell r="G294" t="str">
            <v>ja</v>
          </cell>
          <cell r="H294" t="str">
            <v>チャレンジタワー 24F</v>
          </cell>
          <cell r="I294" t="str">
            <v>試練の塔</v>
          </cell>
          <cell r="J294" t="str">
            <v>343</v>
          </cell>
          <cell r="K294">
            <v>20</v>
          </cell>
          <cell r="L294">
            <v>2871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342,343,343</v>
          </cell>
          <cell r="U294">
            <v>13001</v>
          </cell>
          <cell r="V294">
            <v>23</v>
          </cell>
          <cell r="W294" t="str">
            <v>チャレンジタワー 23F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13001_25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25</v>
          </cell>
          <cell r="G295" t="str">
            <v>ja</v>
          </cell>
          <cell r="H295" t="str">
            <v>チャレンジタワー 25F</v>
          </cell>
          <cell r="I295" t="str">
            <v>試練の塔</v>
          </cell>
          <cell r="J295" t="str">
            <v>368</v>
          </cell>
          <cell r="K295">
            <v>22</v>
          </cell>
          <cell r="L295">
            <v>3740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368</v>
          </cell>
          <cell r="U295">
            <v>13001</v>
          </cell>
          <cell r="V295">
            <v>24</v>
          </cell>
          <cell r="W295" t="str">
            <v>チャレンジタワー 24F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14001_1</v>
          </cell>
          <cell r="B296">
            <v>3</v>
          </cell>
          <cell r="C296">
            <v>14001</v>
          </cell>
          <cell r="D296" t="str">
            <v>【ロック】経験値/ソロ</v>
          </cell>
          <cell r="E296" t="str">
            <v>【ロック】経験値/ソロ</v>
          </cell>
          <cell r="F296">
            <v>1</v>
          </cell>
          <cell r="G296" t="str">
            <v>ja</v>
          </cell>
          <cell r="H296" t="str">
            <v>【超級】雷ファミリー（ハートなし）</v>
          </cell>
          <cell r="I296" t="str">
            <v>【ロッククエスト】経験値</v>
          </cell>
          <cell r="J296">
            <v>347</v>
          </cell>
          <cell r="K296">
            <v>1</v>
          </cell>
          <cell r="L296">
            <v>500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12</v>
          </cell>
          <cell r="AD296">
            <v>6</v>
          </cell>
          <cell r="AE296" t="str">
            <v>singleonly</v>
          </cell>
        </row>
        <row r="297">
          <cell r="A297" t="str">
            <v>14001_2</v>
          </cell>
          <cell r="B297">
            <v>3</v>
          </cell>
          <cell r="C297">
            <v>14001</v>
          </cell>
          <cell r="D297" t="str">
            <v>【ロック】経験値/ソロ</v>
          </cell>
          <cell r="E297" t="str">
            <v>【ロック】経験値/ソロ</v>
          </cell>
          <cell r="F297">
            <v>2</v>
          </cell>
          <cell r="G297" t="str">
            <v>ja</v>
          </cell>
          <cell r="H297" t="str">
            <v>【超級】水ファミリー（ハートなし）</v>
          </cell>
          <cell r="I297" t="str">
            <v>【ロッククエスト】経験値</v>
          </cell>
          <cell r="J297">
            <v>343</v>
          </cell>
          <cell r="K297">
            <v>1</v>
          </cell>
          <cell r="L297">
            <v>500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5</v>
          </cell>
          <cell r="AD297">
            <v>6</v>
          </cell>
          <cell r="AE297" t="str">
            <v>singleonly</v>
          </cell>
        </row>
        <row r="298">
          <cell r="A298" t="str">
            <v>14001_3</v>
          </cell>
          <cell r="B298">
            <v>3</v>
          </cell>
          <cell r="C298">
            <v>14001</v>
          </cell>
          <cell r="D298" t="str">
            <v>【ロック】経験値/ソロ</v>
          </cell>
          <cell r="E298" t="str">
            <v>【ロック】経験値/ソロ</v>
          </cell>
          <cell r="F298">
            <v>3</v>
          </cell>
          <cell r="G298" t="str">
            <v>ja</v>
          </cell>
          <cell r="H298" t="str">
            <v>【超級】森ファミリー（ハートなし）</v>
          </cell>
          <cell r="I298" t="str">
            <v>【ロッククエスト】経験値</v>
          </cell>
          <cell r="J298">
            <v>339</v>
          </cell>
          <cell r="K298">
            <v>1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7</v>
          </cell>
          <cell r="AD298">
            <v>6</v>
          </cell>
          <cell r="AE298" t="str">
            <v>singleonly</v>
          </cell>
        </row>
        <row r="299">
          <cell r="A299" t="str">
            <v>14001_4</v>
          </cell>
          <cell r="B299">
            <v>3</v>
          </cell>
          <cell r="C299">
            <v>14001</v>
          </cell>
          <cell r="D299" t="str">
            <v>【ロック】経験値/ソロ</v>
          </cell>
          <cell r="E299" t="str">
            <v>【ロック】経験値/ソロ</v>
          </cell>
          <cell r="F299">
            <v>4</v>
          </cell>
          <cell r="G299" t="str">
            <v>ja</v>
          </cell>
          <cell r="H299" t="str">
            <v>【超級】炎ファミリー（ハートなし）</v>
          </cell>
          <cell r="I299" t="str">
            <v>【ロッククエスト】経験値</v>
          </cell>
          <cell r="J299">
            <v>335</v>
          </cell>
          <cell r="K299">
            <v>1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10</v>
          </cell>
          <cell r="AD299">
            <v>6</v>
          </cell>
          <cell r="AE299" t="str">
            <v>singleonly</v>
          </cell>
        </row>
        <row r="300">
          <cell r="A300" t="str">
            <v>14002_1</v>
          </cell>
          <cell r="B300">
            <v>3</v>
          </cell>
          <cell r="C300">
            <v>14002</v>
          </cell>
          <cell r="D300" t="str">
            <v>【ロック】ビット/ソロ</v>
          </cell>
          <cell r="E300" t="str">
            <v>【ロック】ビット/ソロ</v>
          </cell>
          <cell r="F300">
            <v>1</v>
          </cell>
          <cell r="G300" t="str">
            <v>ja</v>
          </cell>
          <cell r="H300" t="str">
            <v>【超級】ハイローラー（ハートなし）</v>
          </cell>
          <cell r="I300" t="str">
            <v>【ロッククエスト】ビット</v>
          </cell>
          <cell r="J300">
            <v>119</v>
          </cell>
          <cell r="K300">
            <v>1</v>
          </cell>
          <cell r="L300">
            <v>777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105</v>
          </cell>
          <cell r="AD300">
            <v>6</v>
          </cell>
          <cell r="AE300" t="str">
            <v>singleonly</v>
          </cell>
        </row>
        <row r="301">
          <cell r="A301" t="str">
            <v>14003_1</v>
          </cell>
          <cell r="B301">
            <v>3</v>
          </cell>
          <cell r="C301">
            <v>14003</v>
          </cell>
          <cell r="D301" t="str">
            <v>【ロック】限界突破/ソロ</v>
          </cell>
          <cell r="E301" t="str">
            <v>【ロック】限界突破/ソロ</v>
          </cell>
          <cell r="F301">
            <v>1</v>
          </cell>
          <cell r="G301" t="str">
            <v>ja</v>
          </cell>
          <cell r="H301" t="str">
            <v>【超級】果実の楽園（ハートなし）</v>
          </cell>
          <cell r="I301" t="str">
            <v>【ロッククエスト】限界突破</v>
          </cell>
          <cell r="J301">
            <v>125</v>
          </cell>
          <cell r="K301">
            <v>1</v>
          </cell>
          <cell r="L301">
            <v>860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singleonly</v>
          </cell>
        </row>
        <row r="302">
          <cell r="A302" t="str">
            <v>14004_1</v>
          </cell>
          <cell r="B302">
            <v>3</v>
          </cell>
          <cell r="C302">
            <v>14004</v>
          </cell>
          <cell r="D302" t="str">
            <v>【ロック】経験値/LINEマルチ</v>
          </cell>
          <cell r="E302" t="str">
            <v>【ロック】経験値/LINEマルチ</v>
          </cell>
          <cell r="F302">
            <v>1</v>
          </cell>
          <cell r="G302" t="str">
            <v>ja</v>
          </cell>
          <cell r="H302" t="str">
            <v>【超級】雷ファミリー（ハートなし）</v>
          </cell>
          <cell r="I302" t="str">
            <v>【ロッククエスト】経験値</v>
          </cell>
          <cell r="J302">
            <v>347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12</v>
          </cell>
          <cell r="AD302">
            <v>6</v>
          </cell>
          <cell r="AE302" t="str">
            <v>lineonly</v>
          </cell>
        </row>
        <row r="303">
          <cell r="A303" t="str">
            <v>14004_2</v>
          </cell>
          <cell r="B303">
            <v>3</v>
          </cell>
          <cell r="C303">
            <v>14004</v>
          </cell>
          <cell r="D303" t="str">
            <v>【ロック】経験値/LINEマルチ</v>
          </cell>
          <cell r="E303" t="str">
            <v>【ロック】経験値/LINEマルチ</v>
          </cell>
          <cell r="F303">
            <v>2</v>
          </cell>
          <cell r="G303" t="str">
            <v>ja</v>
          </cell>
          <cell r="H303" t="str">
            <v>【超級】水ファミリー（ハートなし）</v>
          </cell>
          <cell r="I303" t="str">
            <v>【ロッククエスト】経験値</v>
          </cell>
          <cell r="J303">
            <v>343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5</v>
          </cell>
          <cell r="AD303">
            <v>6</v>
          </cell>
          <cell r="AE303" t="str">
            <v>lineonly</v>
          </cell>
        </row>
        <row r="304">
          <cell r="A304" t="str">
            <v>14004_3</v>
          </cell>
          <cell r="B304">
            <v>3</v>
          </cell>
          <cell r="C304">
            <v>14004</v>
          </cell>
          <cell r="D304" t="str">
            <v>【ロック】経験値/LINEマルチ</v>
          </cell>
          <cell r="E304" t="str">
            <v>【ロック】経験値/LINEマルチ</v>
          </cell>
          <cell r="F304">
            <v>3</v>
          </cell>
          <cell r="G304" t="str">
            <v>ja</v>
          </cell>
          <cell r="H304" t="str">
            <v>【超級】森ファミリー（ハートなし）</v>
          </cell>
          <cell r="I304" t="str">
            <v>【ロッククエスト】経験値</v>
          </cell>
          <cell r="J304">
            <v>339</v>
          </cell>
          <cell r="K304">
            <v>1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7</v>
          </cell>
          <cell r="AD304">
            <v>6</v>
          </cell>
          <cell r="AE304" t="str">
            <v>lineonly</v>
          </cell>
        </row>
        <row r="305">
          <cell r="A305" t="str">
            <v>14004_4</v>
          </cell>
          <cell r="B305">
            <v>3</v>
          </cell>
          <cell r="C305">
            <v>14004</v>
          </cell>
          <cell r="D305" t="str">
            <v>【ロック】経験値/LINEマルチ</v>
          </cell>
          <cell r="E305" t="str">
            <v>【ロック】経験値/LINEマルチ</v>
          </cell>
          <cell r="F305">
            <v>4</v>
          </cell>
          <cell r="G305" t="str">
            <v>ja</v>
          </cell>
          <cell r="H305" t="str">
            <v>【超級】炎ファミリー（ハートなし）</v>
          </cell>
          <cell r="I305" t="str">
            <v>【ロッククエスト】経験値</v>
          </cell>
          <cell r="J305">
            <v>335</v>
          </cell>
          <cell r="K305">
            <v>1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10</v>
          </cell>
          <cell r="AD305">
            <v>6</v>
          </cell>
          <cell r="AE305" t="str">
            <v>lineonly</v>
          </cell>
        </row>
        <row r="306">
          <cell r="A306" t="str">
            <v>14005_1</v>
          </cell>
          <cell r="B306">
            <v>3</v>
          </cell>
          <cell r="C306">
            <v>14005</v>
          </cell>
          <cell r="D306" t="str">
            <v>【ロック】ビット/LINEマルチ</v>
          </cell>
          <cell r="E306" t="str">
            <v>【ロック】ビット/LINEマルチ</v>
          </cell>
          <cell r="F306">
            <v>1</v>
          </cell>
          <cell r="G306" t="str">
            <v>ja</v>
          </cell>
          <cell r="H306" t="str">
            <v>【超級】ハイローラー（ハートなし）</v>
          </cell>
          <cell r="I306" t="str">
            <v>【ロッククエスト】ビット</v>
          </cell>
          <cell r="J306">
            <v>119</v>
          </cell>
          <cell r="K306">
            <v>1</v>
          </cell>
          <cell r="L306">
            <v>777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105</v>
          </cell>
          <cell r="AD306">
            <v>6</v>
          </cell>
          <cell r="AE306" t="str">
            <v>lineonly</v>
          </cell>
        </row>
        <row r="307">
          <cell r="A307" t="str">
            <v>14006_1</v>
          </cell>
          <cell r="B307">
            <v>3</v>
          </cell>
          <cell r="C307">
            <v>14006</v>
          </cell>
          <cell r="D307" t="str">
            <v>【ロック】限界突破/LINEマルチ</v>
          </cell>
          <cell r="E307" t="str">
            <v>【ロック】限界突破/LINEマルチ</v>
          </cell>
          <cell r="F307">
            <v>1</v>
          </cell>
          <cell r="G307" t="str">
            <v>ja</v>
          </cell>
          <cell r="H307" t="str">
            <v>【超級】果実の楽園（ハートなし）</v>
          </cell>
          <cell r="I307" t="str">
            <v>【ロッククエスト】限界突破</v>
          </cell>
          <cell r="J307">
            <v>125</v>
          </cell>
          <cell r="K307">
            <v>1</v>
          </cell>
          <cell r="L307">
            <v>860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7</v>
          </cell>
          <cell r="AD307">
            <v>6</v>
          </cell>
          <cell r="AE307" t="str">
            <v>lineonly</v>
          </cell>
        </row>
        <row r="308">
          <cell r="A308" t="str">
            <v>20001_1</v>
          </cell>
          <cell r="B308">
            <v>3</v>
          </cell>
          <cell r="C308">
            <v>20001</v>
          </cell>
          <cell r="D308" t="str">
            <v>紅き執行者</v>
          </cell>
          <cell r="E308" t="str">
            <v>ドロップイベント1-1</v>
          </cell>
          <cell r="F308">
            <v>1</v>
          </cell>
          <cell r="G308" t="str">
            <v>ja</v>
          </cell>
          <cell r="H308" t="str">
            <v xml:space="preserve">【初級】紅き執行者 </v>
          </cell>
          <cell r="I308" t="str">
            <v>初級</v>
          </cell>
          <cell r="J308">
            <v>262</v>
          </cell>
          <cell r="K308">
            <v>8</v>
          </cell>
          <cell r="L308">
            <v>384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14</v>
          </cell>
          <cell r="AD308">
            <v>6</v>
          </cell>
          <cell r="AE308" t="str">
            <v>everyone</v>
          </cell>
        </row>
        <row r="309">
          <cell r="A309" t="str">
            <v>20001_2</v>
          </cell>
          <cell r="B309">
            <v>3</v>
          </cell>
          <cell r="C309">
            <v>20001</v>
          </cell>
          <cell r="D309" t="str">
            <v>紅き執行者</v>
          </cell>
          <cell r="E309" t="str">
            <v>ドロップイベント1-1</v>
          </cell>
          <cell r="F309">
            <v>2</v>
          </cell>
          <cell r="G309" t="str">
            <v>ja</v>
          </cell>
          <cell r="H309" t="str">
            <v>【中級】紅き執行者</v>
          </cell>
          <cell r="I309" t="str">
            <v>中級</v>
          </cell>
          <cell r="J309">
            <v>262</v>
          </cell>
          <cell r="K309">
            <v>15</v>
          </cell>
          <cell r="L309">
            <v>1200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14</v>
          </cell>
          <cell r="AD309">
            <v>6</v>
          </cell>
          <cell r="AE309" t="str">
            <v>everyone</v>
          </cell>
        </row>
        <row r="310">
          <cell r="A310" t="str">
            <v>20001_3</v>
          </cell>
          <cell r="B310">
            <v>3</v>
          </cell>
          <cell r="C310">
            <v>20001</v>
          </cell>
          <cell r="D310" t="str">
            <v>紅き執行者</v>
          </cell>
          <cell r="E310" t="str">
            <v>ドロップイベント1-1</v>
          </cell>
          <cell r="F310">
            <v>3</v>
          </cell>
          <cell r="G310" t="str">
            <v>ja</v>
          </cell>
          <cell r="H310" t="str">
            <v xml:space="preserve">【上級】紅き執行者 </v>
          </cell>
          <cell r="I310" t="str">
            <v>上級</v>
          </cell>
          <cell r="J310">
            <v>263</v>
          </cell>
          <cell r="K310">
            <v>20</v>
          </cell>
          <cell r="L310">
            <v>2000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polygon</v>
          </cell>
          <cell r="T310">
            <v>1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14</v>
          </cell>
          <cell r="AD310">
            <v>6</v>
          </cell>
          <cell r="AE310" t="str">
            <v>everyone</v>
          </cell>
        </row>
        <row r="311">
          <cell r="A311" t="str">
            <v>20002_1</v>
          </cell>
          <cell r="B311">
            <v>3</v>
          </cell>
          <cell r="C311">
            <v>20002</v>
          </cell>
          <cell r="D311" t="str">
            <v>孤高の一角獣</v>
          </cell>
          <cell r="E311" t="str">
            <v>ドロップイベント1-2</v>
          </cell>
          <cell r="F311">
            <v>1</v>
          </cell>
          <cell r="G311" t="str">
            <v>ja</v>
          </cell>
          <cell r="H311" t="str">
            <v>【初級】孤高の一角獣(ハートなし)</v>
          </cell>
          <cell r="I311" t="str">
            <v>初級</v>
          </cell>
          <cell r="J311">
            <v>264</v>
          </cell>
          <cell r="K311">
            <v>8</v>
          </cell>
          <cell r="L311">
            <v>384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19</v>
          </cell>
          <cell r="AD311">
            <v>6</v>
          </cell>
          <cell r="AE311" t="str">
            <v>everyone</v>
          </cell>
        </row>
        <row r="312">
          <cell r="A312" t="str">
            <v>20002_2</v>
          </cell>
          <cell r="B312">
            <v>3</v>
          </cell>
          <cell r="C312">
            <v>20002</v>
          </cell>
          <cell r="D312" t="str">
            <v>孤高の一角獣</v>
          </cell>
          <cell r="E312" t="str">
            <v>ドロップイベント1-2</v>
          </cell>
          <cell r="F312">
            <v>2</v>
          </cell>
          <cell r="G312" t="str">
            <v>ja</v>
          </cell>
          <cell r="H312" t="str">
            <v>【中級】孤高の一角獣(ハートなし)</v>
          </cell>
          <cell r="I312" t="str">
            <v>中級</v>
          </cell>
          <cell r="J312">
            <v>264</v>
          </cell>
          <cell r="K312">
            <v>15</v>
          </cell>
          <cell r="L312">
            <v>1200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19</v>
          </cell>
          <cell r="AD312">
            <v>6</v>
          </cell>
          <cell r="AE312" t="str">
            <v>everyone</v>
          </cell>
        </row>
        <row r="313">
          <cell r="A313" t="str">
            <v>20002_3</v>
          </cell>
          <cell r="B313">
            <v>3</v>
          </cell>
          <cell r="C313">
            <v>20002</v>
          </cell>
          <cell r="D313" t="str">
            <v>孤高の一角獣</v>
          </cell>
          <cell r="E313" t="str">
            <v>ドロップイベント1-2</v>
          </cell>
          <cell r="F313">
            <v>3</v>
          </cell>
          <cell r="G313" t="str">
            <v>ja</v>
          </cell>
          <cell r="H313" t="str">
            <v>【上級】孤高の一角獣(ハートなし)</v>
          </cell>
          <cell r="I313" t="str">
            <v>上級</v>
          </cell>
          <cell r="J313">
            <v>265</v>
          </cell>
          <cell r="K313">
            <v>20</v>
          </cell>
          <cell r="L313">
            <v>2000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polygon</v>
          </cell>
          <cell r="T313">
            <v>1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19</v>
          </cell>
          <cell r="AD313">
            <v>6</v>
          </cell>
          <cell r="AE313" t="str">
            <v>everyone</v>
          </cell>
        </row>
        <row r="314">
          <cell r="A314" t="str">
            <v>20003_1</v>
          </cell>
          <cell r="B314">
            <v>3</v>
          </cell>
          <cell r="C314">
            <v>20003</v>
          </cell>
          <cell r="D314" t="str">
            <v>忍び寄る短剣</v>
          </cell>
          <cell r="E314" t="str">
            <v>ドロップイベント1-3</v>
          </cell>
          <cell r="F314">
            <v>1</v>
          </cell>
          <cell r="G314" t="str">
            <v>ja</v>
          </cell>
          <cell r="H314" t="str">
            <v xml:space="preserve">【初級】忍び寄る短剣 </v>
          </cell>
          <cell r="I314" t="str">
            <v>初級</v>
          </cell>
          <cell r="J314">
            <v>266</v>
          </cell>
          <cell r="K314">
            <v>8</v>
          </cell>
          <cell r="L314">
            <v>384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11</v>
          </cell>
          <cell r="AD314">
            <v>6</v>
          </cell>
          <cell r="AE314" t="str">
            <v>everyone</v>
          </cell>
        </row>
        <row r="315">
          <cell r="A315" t="str">
            <v>20003_2</v>
          </cell>
          <cell r="B315">
            <v>3</v>
          </cell>
          <cell r="C315">
            <v>20003</v>
          </cell>
          <cell r="D315" t="str">
            <v>忍び寄る短剣</v>
          </cell>
          <cell r="E315" t="str">
            <v>ドロップイベント1-3</v>
          </cell>
          <cell r="F315">
            <v>2</v>
          </cell>
          <cell r="G315" t="str">
            <v>ja</v>
          </cell>
          <cell r="H315" t="str">
            <v xml:space="preserve">【中級】忍び寄る短剣 </v>
          </cell>
          <cell r="I315" t="str">
            <v>中級</v>
          </cell>
          <cell r="J315">
            <v>266</v>
          </cell>
          <cell r="K315">
            <v>15</v>
          </cell>
          <cell r="L315">
            <v>1200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11</v>
          </cell>
          <cell r="AD315">
            <v>6</v>
          </cell>
          <cell r="AE315" t="str">
            <v>everyone</v>
          </cell>
        </row>
        <row r="316">
          <cell r="A316" t="str">
            <v>20003_3</v>
          </cell>
          <cell r="B316">
            <v>3</v>
          </cell>
          <cell r="C316">
            <v>20003</v>
          </cell>
          <cell r="D316" t="str">
            <v>忍び寄る短剣</v>
          </cell>
          <cell r="E316" t="str">
            <v>ドロップイベント1-3</v>
          </cell>
          <cell r="F316">
            <v>3</v>
          </cell>
          <cell r="G316" t="str">
            <v>ja</v>
          </cell>
          <cell r="H316" t="str">
            <v xml:space="preserve">【上級】忍び寄る短剣 </v>
          </cell>
          <cell r="I316" t="str">
            <v>上級</v>
          </cell>
          <cell r="J316">
            <v>267</v>
          </cell>
          <cell r="K316">
            <v>20</v>
          </cell>
          <cell r="L316">
            <v>2000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polygon</v>
          </cell>
          <cell r="T316">
            <v>1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11</v>
          </cell>
          <cell r="AD316">
            <v>6</v>
          </cell>
          <cell r="AE316" t="str">
            <v>everyone</v>
          </cell>
        </row>
        <row r="317">
          <cell r="A317" t="str">
            <v>20004_1</v>
          </cell>
          <cell r="B317">
            <v>3</v>
          </cell>
          <cell r="C317">
            <v>20004</v>
          </cell>
          <cell r="D317" t="str">
            <v>雷雲からの刺客</v>
          </cell>
          <cell r="E317" t="str">
            <v>ドロップイベント1-4</v>
          </cell>
          <cell r="F317">
            <v>1</v>
          </cell>
          <cell r="G317" t="str">
            <v>ja</v>
          </cell>
          <cell r="H317" t="str">
            <v>【初級】雷雲からの刺客(ハートなし)</v>
          </cell>
          <cell r="I317" t="str">
            <v>初級</v>
          </cell>
          <cell r="J317">
            <v>268</v>
          </cell>
          <cell r="K317">
            <v>8</v>
          </cell>
          <cell r="L317">
            <v>384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4</v>
          </cell>
          <cell r="AD317">
            <v>6</v>
          </cell>
          <cell r="AE317" t="str">
            <v>everyone</v>
          </cell>
        </row>
        <row r="318">
          <cell r="A318" t="str">
            <v>20004_2</v>
          </cell>
          <cell r="B318">
            <v>3</v>
          </cell>
          <cell r="C318">
            <v>20004</v>
          </cell>
          <cell r="D318" t="str">
            <v>雷雲からの刺客</v>
          </cell>
          <cell r="E318" t="str">
            <v>ドロップイベント1-4</v>
          </cell>
          <cell r="F318">
            <v>2</v>
          </cell>
          <cell r="G318" t="str">
            <v>ja</v>
          </cell>
          <cell r="H318" t="str">
            <v>【中級】雷雲からの刺客(ハートなし)</v>
          </cell>
          <cell r="I318" t="str">
            <v>中級</v>
          </cell>
          <cell r="J318">
            <v>268</v>
          </cell>
          <cell r="K318">
            <v>15</v>
          </cell>
          <cell r="L318">
            <v>1200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4</v>
          </cell>
          <cell r="AD318">
            <v>6</v>
          </cell>
          <cell r="AE318" t="str">
            <v>everyone</v>
          </cell>
        </row>
        <row r="319">
          <cell r="A319" t="str">
            <v>20004_3</v>
          </cell>
          <cell r="B319">
            <v>3</v>
          </cell>
          <cell r="C319">
            <v>20004</v>
          </cell>
          <cell r="D319" t="str">
            <v>雷雲からの刺客</v>
          </cell>
          <cell r="E319" t="str">
            <v>ドロップイベント1-4</v>
          </cell>
          <cell r="F319">
            <v>3</v>
          </cell>
          <cell r="G319" t="str">
            <v>ja</v>
          </cell>
          <cell r="H319" t="str">
            <v>【上級】雷雲からの刺客(ハートなし)</v>
          </cell>
          <cell r="I319" t="str">
            <v>上級</v>
          </cell>
          <cell r="J319">
            <v>269</v>
          </cell>
          <cell r="K319">
            <v>20</v>
          </cell>
          <cell r="L319">
            <v>2000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polygon</v>
          </cell>
          <cell r="T319">
            <v>1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4</v>
          </cell>
          <cell r="AD319">
            <v>6</v>
          </cell>
          <cell r="AE319" t="str">
            <v>everyone</v>
          </cell>
        </row>
        <row r="320">
          <cell r="A320" t="str">
            <v>20005_1</v>
          </cell>
          <cell r="B320">
            <v>3</v>
          </cell>
          <cell r="C320">
            <v>20005</v>
          </cell>
          <cell r="D320" t="str">
            <v>ザ・キャノン</v>
          </cell>
          <cell r="E320" t="str">
            <v>ドロップイベント2-2</v>
          </cell>
          <cell r="F320">
            <v>1</v>
          </cell>
          <cell r="G320" t="str">
            <v>ja</v>
          </cell>
          <cell r="H320" t="str">
            <v>【初級】ザ・キャノン(4タップ）</v>
          </cell>
          <cell r="I320" t="str">
            <v>初級</v>
          </cell>
          <cell r="J320">
            <v>286</v>
          </cell>
          <cell r="K320">
            <v>8</v>
          </cell>
          <cell r="L320">
            <v>384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4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14</v>
          </cell>
          <cell r="AD320">
            <v>6</v>
          </cell>
          <cell r="AE320" t="str">
            <v>everyone</v>
          </cell>
        </row>
        <row r="321">
          <cell r="A321" t="str">
            <v>20005_2</v>
          </cell>
          <cell r="B321">
            <v>3</v>
          </cell>
          <cell r="C321">
            <v>20005</v>
          </cell>
          <cell r="D321" t="str">
            <v>ザ・キャノン</v>
          </cell>
          <cell r="E321" t="str">
            <v>ドロップイベント2-2</v>
          </cell>
          <cell r="F321">
            <v>2</v>
          </cell>
          <cell r="G321" t="str">
            <v>ja</v>
          </cell>
          <cell r="H321" t="str">
            <v>【中級】ザ・キャノン(4タップ)</v>
          </cell>
          <cell r="I321" t="str">
            <v>中級</v>
          </cell>
          <cell r="J321">
            <v>286</v>
          </cell>
          <cell r="K321">
            <v>15</v>
          </cell>
          <cell r="L321">
            <v>1200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4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14</v>
          </cell>
          <cell r="AD321">
            <v>6</v>
          </cell>
          <cell r="AE321" t="str">
            <v>everyone</v>
          </cell>
        </row>
        <row r="322">
          <cell r="A322" t="str">
            <v>20005_3</v>
          </cell>
          <cell r="B322">
            <v>3</v>
          </cell>
          <cell r="C322">
            <v>20005</v>
          </cell>
          <cell r="D322" t="str">
            <v>ザ・キャノン</v>
          </cell>
          <cell r="E322" t="str">
            <v>ドロップイベント2-2</v>
          </cell>
          <cell r="F322">
            <v>3</v>
          </cell>
          <cell r="G322" t="str">
            <v>ja</v>
          </cell>
          <cell r="H322" t="str">
            <v>【上級】ザ・キャノン(4タップ)</v>
          </cell>
          <cell r="I322" t="str">
            <v>上級</v>
          </cell>
          <cell r="J322">
            <v>287</v>
          </cell>
          <cell r="K322">
            <v>20</v>
          </cell>
          <cell r="L322">
            <v>2000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4</v>
          </cell>
          <cell r="S322" t="str">
            <v>polygon</v>
          </cell>
          <cell r="T322">
            <v>1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14</v>
          </cell>
          <cell r="AD322">
            <v>6</v>
          </cell>
          <cell r="AE322" t="str">
            <v>everyone</v>
          </cell>
        </row>
        <row r="323">
          <cell r="A323" t="str">
            <v>20006_1</v>
          </cell>
          <cell r="B323">
            <v>3</v>
          </cell>
          <cell r="C323">
            <v>20006</v>
          </cell>
          <cell r="D323" t="str">
            <v>スチール・プレデター</v>
          </cell>
          <cell r="E323" t="str">
            <v>ドロップイベント2-3</v>
          </cell>
          <cell r="F323">
            <v>1</v>
          </cell>
          <cell r="G323" t="str">
            <v>ja</v>
          </cell>
          <cell r="H323" t="str">
            <v>【初級】スチール・プレデター</v>
          </cell>
          <cell r="I323" t="str">
            <v>初級</v>
          </cell>
          <cell r="J323">
            <v>280</v>
          </cell>
          <cell r="K323">
            <v>8</v>
          </cell>
          <cell r="L323">
            <v>384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2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19</v>
          </cell>
          <cell r="AD323">
            <v>6</v>
          </cell>
          <cell r="AE323" t="str">
            <v>everyone</v>
          </cell>
        </row>
        <row r="324">
          <cell r="A324" t="str">
            <v>20006_2</v>
          </cell>
          <cell r="B324">
            <v>3</v>
          </cell>
          <cell r="C324">
            <v>20006</v>
          </cell>
          <cell r="D324" t="str">
            <v>スチール・プレデター</v>
          </cell>
          <cell r="E324" t="str">
            <v>ドロップイベント2-3</v>
          </cell>
          <cell r="F324">
            <v>2</v>
          </cell>
          <cell r="G324" t="str">
            <v>ja</v>
          </cell>
          <cell r="H324" t="str">
            <v>【中級】スチール・プレデター</v>
          </cell>
          <cell r="I324" t="str">
            <v>中級</v>
          </cell>
          <cell r="J324">
            <v>280</v>
          </cell>
          <cell r="K324">
            <v>15</v>
          </cell>
          <cell r="L324">
            <v>1200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2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19</v>
          </cell>
          <cell r="AD324">
            <v>6</v>
          </cell>
          <cell r="AE324" t="str">
            <v>everyone</v>
          </cell>
        </row>
        <row r="325">
          <cell r="A325" t="str">
            <v>20006_3</v>
          </cell>
          <cell r="B325">
            <v>3</v>
          </cell>
          <cell r="C325">
            <v>20006</v>
          </cell>
          <cell r="D325" t="str">
            <v>スチール・プレデター</v>
          </cell>
          <cell r="E325" t="str">
            <v>ドロップイベント2-3</v>
          </cell>
          <cell r="F325">
            <v>3</v>
          </cell>
          <cell r="G325" t="str">
            <v>ja</v>
          </cell>
          <cell r="H325" t="str">
            <v>【上級】スチール・プレデター</v>
          </cell>
          <cell r="I325" t="str">
            <v>上級</v>
          </cell>
          <cell r="J325">
            <v>281</v>
          </cell>
          <cell r="K325">
            <v>20</v>
          </cell>
          <cell r="L325">
            <v>2000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2</v>
          </cell>
          <cell r="S325" t="str">
            <v>polygon</v>
          </cell>
          <cell r="T325">
            <v>1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19</v>
          </cell>
          <cell r="AD325">
            <v>6</v>
          </cell>
          <cell r="AE325" t="str">
            <v>everyone</v>
          </cell>
        </row>
        <row r="326">
          <cell r="A326" t="str">
            <v>20007_1</v>
          </cell>
          <cell r="B326">
            <v>3</v>
          </cell>
          <cell r="C326">
            <v>20007</v>
          </cell>
          <cell r="D326" t="str">
            <v>女王陛下の処刑龍</v>
          </cell>
          <cell r="E326" t="str">
            <v>ドロップイベント2-1</v>
          </cell>
          <cell r="F326">
            <v>1</v>
          </cell>
          <cell r="G326" t="str">
            <v>ja</v>
          </cell>
          <cell r="H326" t="str">
            <v>【初級】女王陛下の処刑龍(4タップ)</v>
          </cell>
          <cell r="I326" t="str">
            <v>初級</v>
          </cell>
          <cell r="J326">
            <v>282</v>
          </cell>
          <cell r="K326">
            <v>8</v>
          </cell>
          <cell r="L326">
            <v>384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4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17</v>
          </cell>
          <cell r="AD326">
            <v>6</v>
          </cell>
          <cell r="AE326" t="str">
            <v>everyone</v>
          </cell>
        </row>
        <row r="327">
          <cell r="A327" t="str">
            <v>20007_2</v>
          </cell>
          <cell r="B327">
            <v>3</v>
          </cell>
          <cell r="C327">
            <v>20007</v>
          </cell>
          <cell r="D327" t="str">
            <v>女王陛下の処刑龍</v>
          </cell>
          <cell r="E327" t="str">
            <v>ドロップイベント2-1</v>
          </cell>
          <cell r="F327">
            <v>2</v>
          </cell>
          <cell r="G327" t="str">
            <v>ja</v>
          </cell>
          <cell r="H327" t="str">
            <v>【中級】女王陛下の処刑龍(4タップ)</v>
          </cell>
          <cell r="I327" t="str">
            <v>中級</v>
          </cell>
          <cell r="J327">
            <v>282</v>
          </cell>
          <cell r="K327">
            <v>15</v>
          </cell>
          <cell r="L327">
            <v>1200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4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17</v>
          </cell>
          <cell r="AD327">
            <v>6</v>
          </cell>
          <cell r="AE327" t="str">
            <v>everyone</v>
          </cell>
        </row>
        <row r="328">
          <cell r="A328" t="str">
            <v>20007_3</v>
          </cell>
          <cell r="B328">
            <v>3</v>
          </cell>
          <cell r="C328">
            <v>20007</v>
          </cell>
          <cell r="D328" t="str">
            <v>女王陛下の処刑龍</v>
          </cell>
          <cell r="E328" t="str">
            <v>ドロップイベント2-1</v>
          </cell>
          <cell r="F328">
            <v>3</v>
          </cell>
          <cell r="G328" t="str">
            <v>ja</v>
          </cell>
          <cell r="H328" t="str">
            <v>【上級】女王陛下の処刑龍(4タップ)</v>
          </cell>
          <cell r="I328" t="str">
            <v>上級</v>
          </cell>
          <cell r="J328">
            <v>283</v>
          </cell>
          <cell r="K328">
            <v>20</v>
          </cell>
          <cell r="L328">
            <v>2000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4</v>
          </cell>
          <cell r="S328" t="str">
            <v>polygon</v>
          </cell>
          <cell r="T328">
            <v>1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17</v>
          </cell>
          <cell r="AD328">
            <v>6</v>
          </cell>
          <cell r="AE328" t="str">
            <v>everyone</v>
          </cell>
        </row>
        <row r="329">
          <cell r="A329" t="str">
            <v>20008_1</v>
          </cell>
          <cell r="B329">
            <v>3</v>
          </cell>
          <cell r="C329">
            <v>20008</v>
          </cell>
          <cell r="D329" t="str">
            <v>天翔ける金轟機龍</v>
          </cell>
          <cell r="E329" t="str">
            <v>ドロップイベント2-4</v>
          </cell>
          <cell r="F329">
            <v>1</v>
          </cell>
          <cell r="G329" t="str">
            <v>ja</v>
          </cell>
          <cell r="H329" t="str">
            <v>【初級】天翔ける金轟機龍</v>
          </cell>
          <cell r="I329" t="str">
            <v>初級</v>
          </cell>
          <cell r="J329">
            <v>284</v>
          </cell>
          <cell r="K329">
            <v>8</v>
          </cell>
          <cell r="L329">
            <v>384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8</v>
          </cell>
          <cell r="AD329">
            <v>6</v>
          </cell>
          <cell r="AE329" t="str">
            <v>everyone</v>
          </cell>
        </row>
        <row r="330">
          <cell r="A330" t="str">
            <v>20008_2</v>
          </cell>
          <cell r="B330">
            <v>3</v>
          </cell>
          <cell r="C330">
            <v>20008</v>
          </cell>
          <cell r="D330" t="str">
            <v>天翔ける金轟機龍</v>
          </cell>
          <cell r="E330" t="str">
            <v>ドロップイベント2-4</v>
          </cell>
          <cell r="F330">
            <v>2</v>
          </cell>
          <cell r="G330" t="str">
            <v>ja</v>
          </cell>
          <cell r="H330" t="str">
            <v>【中級】天翔ける金轟機龍</v>
          </cell>
          <cell r="I330" t="str">
            <v>中級</v>
          </cell>
          <cell r="J330">
            <v>284</v>
          </cell>
          <cell r="K330">
            <v>15</v>
          </cell>
          <cell r="L330">
            <v>1200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8</v>
          </cell>
          <cell r="AD330">
            <v>6</v>
          </cell>
          <cell r="AE330" t="str">
            <v>everyone</v>
          </cell>
        </row>
        <row r="331">
          <cell r="A331" t="str">
            <v>20008_3</v>
          </cell>
          <cell r="B331">
            <v>3</v>
          </cell>
          <cell r="C331">
            <v>20008</v>
          </cell>
          <cell r="D331" t="str">
            <v>天翔ける金轟機龍</v>
          </cell>
          <cell r="E331" t="str">
            <v>ドロップイベント2-4</v>
          </cell>
          <cell r="F331">
            <v>3</v>
          </cell>
          <cell r="G331" t="str">
            <v>ja</v>
          </cell>
          <cell r="H331" t="str">
            <v>【上級】天翔ける金轟機龍</v>
          </cell>
          <cell r="I331" t="str">
            <v>上級</v>
          </cell>
          <cell r="J331">
            <v>285</v>
          </cell>
          <cell r="K331">
            <v>20</v>
          </cell>
          <cell r="L331">
            <v>2000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polygon</v>
          </cell>
          <cell r="T331">
            <v>1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8</v>
          </cell>
          <cell r="AD331">
            <v>6</v>
          </cell>
          <cell r="AE331" t="str">
            <v>everyone</v>
          </cell>
        </row>
        <row r="332">
          <cell r="A332" t="str">
            <v>20009_1</v>
          </cell>
          <cell r="B332">
            <v>0</v>
          </cell>
          <cell r="C332">
            <v>20009</v>
          </cell>
          <cell r="D332" t="str">
            <v>迫り来る窒息</v>
          </cell>
          <cell r="E332" t="str">
            <v>ドロップイベント3</v>
          </cell>
          <cell r="F332">
            <v>1</v>
          </cell>
          <cell r="G332" t="str">
            <v>ja</v>
          </cell>
          <cell r="H332" t="str">
            <v>【初級】迫り来る窒息</v>
          </cell>
          <cell r="I332" t="str">
            <v>初級</v>
          </cell>
          <cell r="J332" t="str">
            <v>NULL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25</v>
          </cell>
          <cell r="AD332">
            <v>5</v>
          </cell>
          <cell r="AE332" t="str">
            <v>everyone</v>
          </cell>
        </row>
        <row r="333">
          <cell r="A333" t="str">
            <v>20009_2</v>
          </cell>
          <cell r="B333">
            <v>3</v>
          </cell>
          <cell r="C333">
            <v>20009</v>
          </cell>
          <cell r="D333" t="str">
            <v>迫り来る窒息</v>
          </cell>
          <cell r="E333" t="str">
            <v>ドロップイベント3</v>
          </cell>
          <cell r="F333">
            <v>2</v>
          </cell>
          <cell r="G333" t="str">
            <v>ja</v>
          </cell>
          <cell r="H333" t="str">
            <v>【中級】迫り来る窒息</v>
          </cell>
          <cell r="I333" t="str">
            <v>中級</v>
          </cell>
          <cell r="J333">
            <v>302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25</v>
          </cell>
          <cell r="AD333">
            <v>5</v>
          </cell>
          <cell r="AE333" t="str">
            <v>everyone</v>
          </cell>
        </row>
        <row r="334">
          <cell r="A334" t="str">
            <v>20009_3</v>
          </cell>
          <cell r="B334">
            <v>3</v>
          </cell>
          <cell r="C334">
            <v>20009</v>
          </cell>
          <cell r="D334" t="str">
            <v>迫り来る窒息</v>
          </cell>
          <cell r="E334" t="str">
            <v>ドロップイベント3</v>
          </cell>
          <cell r="F334">
            <v>3</v>
          </cell>
          <cell r="G334" t="str">
            <v>ja</v>
          </cell>
          <cell r="H334" t="str">
            <v>【上級】迫り来る窒息</v>
          </cell>
          <cell r="I334" t="str">
            <v>上級</v>
          </cell>
          <cell r="J334">
            <v>303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25</v>
          </cell>
          <cell r="AD334">
            <v>5</v>
          </cell>
          <cell r="AE334" t="str">
            <v>everyone</v>
          </cell>
        </row>
        <row r="335">
          <cell r="A335" t="str">
            <v>20010_1</v>
          </cell>
          <cell r="B335">
            <v>3</v>
          </cell>
          <cell r="C335">
            <v>20010</v>
          </cell>
          <cell r="D335" t="str">
            <v>悪夢の一目惚れ</v>
          </cell>
          <cell r="E335" t="str">
            <v>ドロップイベント3</v>
          </cell>
          <cell r="F335">
            <v>1</v>
          </cell>
          <cell r="G335" t="str">
            <v>ja</v>
          </cell>
          <cell r="H335" t="str">
            <v>【初級】悪夢の一目惚れ</v>
          </cell>
          <cell r="I335" t="str">
            <v>初級</v>
          </cell>
          <cell r="J335">
            <v>304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0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2601</v>
          </cell>
          <cell r="AD335">
            <v>6</v>
          </cell>
          <cell r="AE335" t="str">
            <v>everyone</v>
          </cell>
        </row>
        <row r="336">
          <cell r="A336" t="str">
            <v>20010_2</v>
          </cell>
          <cell r="B336">
            <v>3</v>
          </cell>
          <cell r="C336">
            <v>20010</v>
          </cell>
          <cell r="D336" t="str">
            <v>悪夢の一目惚れ</v>
          </cell>
          <cell r="E336" t="str">
            <v>ドロップイベント3</v>
          </cell>
          <cell r="F336">
            <v>2</v>
          </cell>
          <cell r="G336" t="str">
            <v>ja</v>
          </cell>
          <cell r="H336" t="str">
            <v>【中級】悪夢の一目惚れ</v>
          </cell>
          <cell r="I336" t="str">
            <v>中級</v>
          </cell>
          <cell r="J336">
            <v>304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0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2601</v>
          </cell>
          <cell r="AD336">
            <v>6</v>
          </cell>
          <cell r="AE336" t="str">
            <v>everyone</v>
          </cell>
        </row>
        <row r="337">
          <cell r="A337" t="str">
            <v>20010_3</v>
          </cell>
          <cell r="B337">
            <v>3</v>
          </cell>
          <cell r="C337">
            <v>20010</v>
          </cell>
          <cell r="D337" t="str">
            <v>悪夢の一目惚れ</v>
          </cell>
          <cell r="E337" t="str">
            <v>ドロップイベント3</v>
          </cell>
          <cell r="F337">
            <v>3</v>
          </cell>
          <cell r="G337" t="str">
            <v>ja</v>
          </cell>
          <cell r="H337" t="str">
            <v>【上級】悪夢の一目惚れ</v>
          </cell>
          <cell r="I337" t="str">
            <v>上級</v>
          </cell>
          <cell r="J337">
            <v>305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0</v>
          </cell>
          <cell r="P337">
            <v>1</v>
          </cell>
          <cell r="Q337">
            <v>1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2601</v>
          </cell>
          <cell r="AD337">
            <v>6</v>
          </cell>
          <cell r="AE337" t="str">
            <v>everyone</v>
          </cell>
        </row>
        <row r="338">
          <cell r="A338" t="str">
            <v>20011_1</v>
          </cell>
          <cell r="B338">
            <v>3</v>
          </cell>
          <cell r="C338">
            <v>20011</v>
          </cell>
          <cell r="D338" t="str">
            <v>すべてが灰になる</v>
          </cell>
          <cell r="E338" t="str">
            <v>ドロップイベント3</v>
          </cell>
          <cell r="F338">
            <v>1</v>
          </cell>
          <cell r="G338" t="str">
            <v>ja</v>
          </cell>
          <cell r="H338" t="str">
            <v>【初級】すべてが灰になる</v>
          </cell>
          <cell r="I338" t="str">
            <v>初級</v>
          </cell>
          <cell r="J338">
            <v>298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10</v>
          </cell>
          <cell r="AD338">
            <v>5</v>
          </cell>
          <cell r="AE338" t="str">
            <v>everyone</v>
          </cell>
        </row>
        <row r="339">
          <cell r="A339" t="str">
            <v>20011_2</v>
          </cell>
          <cell r="B339">
            <v>3</v>
          </cell>
          <cell r="C339">
            <v>20011</v>
          </cell>
          <cell r="D339" t="str">
            <v>すべてが灰になる</v>
          </cell>
          <cell r="E339" t="str">
            <v>ドロップイベント3</v>
          </cell>
          <cell r="F339">
            <v>2</v>
          </cell>
          <cell r="G339" t="str">
            <v>ja</v>
          </cell>
          <cell r="H339" t="str">
            <v>【中級】すべてが灰になる</v>
          </cell>
          <cell r="I339" t="str">
            <v>中級</v>
          </cell>
          <cell r="J339">
            <v>298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10</v>
          </cell>
          <cell r="AD339">
            <v>5</v>
          </cell>
          <cell r="AE339" t="str">
            <v>everyone</v>
          </cell>
        </row>
        <row r="340">
          <cell r="A340" t="str">
            <v>20011_3</v>
          </cell>
          <cell r="B340">
            <v>3</v>
          </cell>
          <cell r="C340">
            <v>20011</v>
          </cell>
          <cell r="D340" t="str">
            <v>すべてが灰になる</v>
          </cell>
          <cell r="E340" t="str">
            <v>ドロップイベント3</v>
          </cell>
          <cell r="F340">
            <v>3</v>
          </cell>
          <cell r="G340" t="str">
            <v>ja</v>
          </cell>
          <cell r="H340" t="str">
            <v>【上級】すべてが灰になる</v>
          </cell>
          <cell r="I340" t="str">
            <v>上級</v>
          </cell>
          <cell r="J340">
            <v>299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10</v>
          </cell>
          <cell r="AD340">
            <v>5</v>
          </cell>
          <cell r="AE340" t="str">
            <v>everyone</v>
          </cell>
        </row>
        <row r="341">
          <cell r="A341" t="str">
            <v>20012_1</v>
          </cell>
          <cell r="B341">
            <v>3</v>
          </cell>
          <cell r="C341">
            <v>20012</v>
          </cell>
          <cell r="D341" t="str">
            <v>罪と劇薬</v>
          </cell>
          <cell r="E341" t="str">
            <v>ドロップイベント3</v>
          </cell>
          <cell r="F341">
            <v>1</v>
          </cell>
          <cell r="G341" t="str">
            <v>ja</v>
          </cell>
          <cell r="H341" t="str">
            <v>【初級】罪と劇薬</v>
          </cell>
          <cell r="I341" t="str">
            <v>初級</v>
          </cell>
          <cell r="J341">
            <v>300</v>
          </cell>
          <cell r="K341">
            <v>8</v>
          </cell>
          <cell r="L341">
            <v>384</v>
          </cell>
          <cell r="M341">
            <v>0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19</v>
          </cell>
          <cell r="AD341">
            <v>6</v>
          </cell>
          <cell r="AE341" t="str">
            <v>everyone</v>
          </cell>
        </row>
        <row r="342">
          <cell r="A342" t="str">
            <v>20012_2</v>
          </cell>
          <cell r="B342">
            <v>3</v>
          </cell>
          <cell r="C342">
            <v>20012</v>
          </cell>
          <cell r="D342" t="str">
            <v>罪と劇薬</v>
          </cell>
          <cell r="E342" t="str">
            <v>ドロップイベント3</v>
          </cell>
          <cell r="F342">
            <v>2</v>
          </cell>
          <cell r="G342" t="str">
            <v>ja</v>
          </cell>
          <cell r="H342" t="str">
            <v>【中級】罪と劇薬</v>
          </cell>
          <cell r="I342" t="str">
            <v>中級</v>
          </cell>
          <cell r="J342">
            <v>300</v>
          </cell>
          <cell r="K342">
            <v>15</v>
          </cell>
          <cell r="L342">
            <v>1200</v>
          </cell>
          <cell r="M342">
            <v>0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19</v>
          </cell>
          <cell r="AD342">
            <v>6</v>
          </cell>
          <cell r="AE342" t="str">
            <v>everyone</v>
          </cell>
        </row>
        <row r="343">
          <cell r="A343" t="str">
            <v>20012_3</v>
          </cell>
          <cell r="B343">
            <v>3</v>
          </cell>
          <cell r="C343">
            <v>20012</v>
          </cell>
          <cell r="D343" t="str">
            <v>罪と劇薬</v>
          </cell>
          <cell r="E343" t="str">
            <v>ドロップイベント3</v>
          </cell>
          <cell r="F343">
            <v>3</v>
          </cell>
          <cell r="G343" t="str">
            <v>ja</v>
          </cell>
          <cell r="H343" t="str">
            <v>【上級】罪と劇薬</v>
          </cell>
          <cell r="I343" t="str">
            <v>上級</v>
          </cell>
          <cell r="J343">
            <v>301</v>
          </cell>
          <cell r="K343">
            <v>20</v>
          </cell>
          <cell r="L343">
            <v>2000</v>
          </cell>
          <cell r="M343">
            <v>0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19</v>
          </cell>
          <cell r="AD343">
            <v>6</v>
          </cell>
          <cell r="AE343" t="str">
            <v>everyone</v>
          </cell>
        </row>
        <row r="344">
          <cell r="A344" t="str">
            <v>30001_1</v>
          </cell>
          <cell r="B344">
            <v>3</v>
          </cell>
          <cell r="C344">
            <v>30001</v>
          </cell>
          <cell r="D344" t="str">
            <v>ハンター・オブ・ハンター</v>
          </cell>
          <cell r="E344" t="str">
            <v>ドロップイベント1-1（マルチ専用）</v>
          </cell>
          <cell r="F344">
            <v>1</v>
          </cell>
          <cell r="G344" t="str">
            <v>ja</v>
          </cell>
          <cell r="H344" t="str">
            <v xml:space="preserve">【中級】ハンター・オブ・ハンター </v>
          </cell>
          <cell r="I344" t="str">
            <v>中級</v>
          </cell>
          <cell r="J344">
            <v>270</v>
          </cell>
          <cell r="K344">
            <v>15</v>
          </cell>
          <cell r="L344">
            <v>1200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everyone</v>
          </cell>
        </row>
        <row r="345">
          <cell r="A345" t="str">
            <v>30001_2</v>
          </cell>
          <cell r="B345">
            <v>3</v>
          </cell>
          <cell r="C345">
            <v>30001</v>
          </cell>
          <cell r="D345" t="str">
            <v>ハンター・オブ・ハンター</v>
          </cell>
          <cell r="E345" t="str">
            <v>ドロップイベント1-1（マルチ専用）</v>
          </cell>
          <cell r="F345">
            <v>2</v>
          </cell>
          <cell r="G345" t="str">
            <v>ja</v>
          </cell>
          <cell r="H345" t="str">
            <v xml:space="preserve">【上級】ハンター・オブ・ハンター </v>
          </cell>
          <cell r="I345" t="str">
            <v>上級</v>
          </cell>
          <cell r="J345">
            <v>270</v>
          </cell>
          <cell r="K345">
            <v>20</v>
          </cell>
          <cell r="L345">
            <v>2000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7</v>
          </cell>
          <cell r="AD345">
            <v>6</v>
          </cell>
          <cell r="AE345" t="str">
            <v>everyone</v>
          </cell>
        </row>
        <row r="346">
          <cell r="A346" t="str">
            <v>30001_3</v>
          </cell>
          <cell r="B346">
            <v>3</v>
          </cell>
          <cell r="C346">
            <v>30001</v>
          </cell>
          <cell r="D346" t="str">
            <v>ハンター・オブ・ハンター</v>
          </cell>
          <cell r="E346" t="str">
            <v>ドロップイベント1-1（マルチ専用）</v>
          </cell>
          <cell r="F346">
            <v>3</v>
          </cell>
          <cell r="G346" t="str">
            <v>ja</v>
          </cell>
          <cell r="H346" t="str">
            <v xml:space="preserve">【超級】ハンター・オブ・ハンター </v>
          </cell>
          <cell r="I346" t="str">
            <v>超級</v>
          </cell>
          <cell r="J346">
            <v>271</v>
          </cell>
          <cell r="K346">
            <v>30</v>
          </cell>
          <cell r="L346">
            <v>3300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7</v>
          </cell>
          <cell r="AD346">
            <v>6</v>
          </cell>
          <cell r="AE346" t="str">
            <v>everyone</v>
          </cell>
        </row>
        <row r="347">
          <cell r="A347" t="str">
            <v>30002_1</v>
          </cell>
          <cell r="B347">
            <v>3</v>
          </cell>
          <cell r="C347">
            <v>30002</v>
          </cell>
          <cell r="D347" t="str">
            <v>トリックスター</v>
          </cell>
          <cell r="E347" t="str">
            <v>ドロップイベント1-2（マルチ専用）</v>
          </cell>
          <cell r="F347">
            <v>1</v>
          </cell>
          <cell r="G347" t="str">
            <v>ja</v>
          </cell>
          <cell r="H347" t="str">
            <v xml:space="preserve">【中級】トリックスター </v>
          </cell>
          <cell r="I347" t="str">
            <v>中級</v>
          </cell>
          <cell r="J347">
            <v>272</v>
          </cell>
          <cell r="K347">
            <v>15</v>
          </cell>
          <cell r="L347">
            <v>1200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17</v>
          </cell>
          <cell r="AD347">
            <v>6</v>
          </cell>
          <cell r="AE347" t="str">
            <v>everyone</v>
          </cell>
        </row>
        <row r="348">
          <cell r="A348" t="str">
            <v>30002_2</v>
          </cell>
          <cell r="B348">
            <v>3</v>
          </cell>
          <cell r="C348">
            <v>30002</v>
          </cell>
          <cell r="D348" t="str">
            <v>トリックスター</v>
          </cell>
          <cell r="E348" t="str">
            <v>ドロップイベント1-2（マルチ専用）</v>
          </cell>
          <cell r="F348">
            <v>2</v>
          </cell>
          <cell r="G348" t="str">
            <v>ja</v>
          </cell>
          <cell r="H348" t="str">
            <v xml:space="preserve">【上級】トリックスター </v>
          </cell>
          <cell r="I348" t="str">
            <v>上級</v>
          </cell>
          <cell r="J348">
            <v>272</v>
          </cell>
          <cell r="K348">
            <v>20</v>
          </cell>
          <cell r="L348">
            <v>2000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17</v>
          </cell>
          <cell r="AD348">
            <v>6</v>
          </cell>
          <cell r="AE348" t="str">
            <v>everyone</v>
          </cell>
        </row>
        <row r="349">
          <cell r="A349" t="str">
            <v>30002_3</v>
          </cell>
          <cell r="B349">
            <v>3</v>
          </cell>
          <cell r="C349">
            <v>30002</v>
          </cell>
          <cell r="D349" t="str">
            <v>トリックスター</v>
          </cell>
          <cell r="E349" t="str">
            <v>ドロップイベント1-2（マルチ専用）</v>
          </cell>
          <cell r="F349">
            <v>3</v>
          </cell>
          <cell r="G349" t="str">
            <v>ja</v>
          </cell>
          <cell r="H349" t="str">
            <v xml:space="preserve">【超級】トリックスター </v>
          </cell>
          <cell r="I349" t="str">
            <v>超級</v>
          </cell>
          <cell r="J349">
            <v>273</v>
          </cell>
          <cell r="K349">
            <v>30</v>
          </cell>
          <cell r="L349">
            <v>3300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17</v>
          </cell>
          <cell r="AD349">
            <v>6</v>
          </cell>
          <cell r="AE349" t="str">
            <v>everyone</v>
          </cell>
        </row>
        <row r="350">
          <cell r="A350" t="str">
            <v>30003_1</v>
          </cell>
          <cell r="B350">
            <v>3</v>
          </cell>
          <cell r="C350">
            <v>30003</v>
          </cell>
          <cell r="D350" t="str">
            <v>打ち下ろされる砕棒</v>
          </cell>
          <cell r="E350" t="str">
            <v>ドロップイベント1-3（マルチ専用）</v>
          </cell>
          <cell r="F350">
            <v>1</v>
          </cell>
          <cell r="G350" t="str">
            <v>ja</v>
          </cell>
          <cell r="H350" t="str">
            <v xml:space="preserve">【中級】打ち下ろされる砕棒 </v>
          </cell>
          <cell r="I350" t="str">
            <v>中級</v>
          </cell>
          <cell r="J350">
            <v>274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20</v>
          </cell>
          <cell r="AD350">
            <v>6</v>
          </cell>
          <cell r="AE350" t="str">
            <v>everyone</v>
          </cell>
        </row>
        <row r="351">
          <cell r="A351" t="str">
            <v>30003_2</v>
          </cell>
          <cell r="B351">
            <v>3</v>
          </cell>
          <cell r="C351">
            <v>30003</v>
          </cell>
          <cell r="D351" t="str">
            <v>打ち下ろされる砕棒</v>
          </cell>
          <cell r="E351" t="str">
            <v>ドロップイベント1-3（マルチ専用）</v>
          </cell>
          <cell r="F351">
            <v>2</v>
          </cell>
          <cell r="G351" t="str">
            <v>ja</v>
          </cell>
          <cell r="H351" t="str">
            <v>【上級】打ち下ろされる砕棒</v>
          </cell>
          <cell r="I351" t="str">
            <v>上級</v>
          </cell>
          <cell r="J351">
            <v>274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20</v>
          </cell>
          <cell r="AD351">
            <v>6</v>
          </cell>
          <cell r="AE351" t="str">
            <v>everyone</v>
          </cell>
        </row>
        <row r="352">
          <cell r="A352" t="str">
            <v>30003_3</v>
          </cell>
          <cell r="B352">
            <v>3</v>
          </cell>
          <cell r="C352">
            <v>30003</v>
          </cell>
          <cell r="D352" t="str">
            <v>打ち下ろされる砕棒</v>
          </cell>
          <cell r="E352" t="str">
            <v>ドロップイベント1-3（マルチ専用）</v>
          </cell>
          <cell r="F352">
            <v>3</v>
          </cell>
          <cell r="G352" t="str">
            <v>ja</v>
          </cell>
          <cell r="H352" t="str">
            <v xml:space="preserve">【超級】打ち下ろされる砕棒 </v>
          </cell>
          <cell r="I352" t="str">
            <v>超級</v>
          </cell>
          <cell r="J352">
            <v>275</v>
          </cell>
          <cell r="K352">
            <v>30</v>
          </cell>
          <cell r="L352">
            <v>3300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20</v>
          </cell>
          <cell r="AD352">
            <v>6</v>
          </cell>
          <cell r="AE352" t="str">
            <v>everyone</v>
          </cell>
        </row>
        <row r="353">
          <cell r="A353" t="str">
            <v>30004_1</v>
          </cell>
          <cell r="B353">
            <v>3</v>
          </cell>
          <cell r="C353">
            <v>30004</v>
          </cell>
          <cell r="D353" t="str">
            <v>危険な仲裁者</v>
          </cell>
          <cell r="E353" t="str">
            <v>ドロップイベント1-4（マルチ専用）</v>
          </cell>
          <cell r="F353">
            <v>1</v>
          </cell>
          <cell r="G353" t="str">
            <v>ja</v>
          </cell>
          <cell r="H353" t="str">
            <v xml:space="preserve">【中級】危険な仲裁者 </v>
          </cell>
          <cell r="I353" t="str">
            <v>中級</v>
          </cell>
          <cell r="J353">
            <v>276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14</v>
          </cell>
          <cell r="AD353">
            <v>6</v>
          </cell>
          <cell r="AE353" t="str">
            <v>everyone</v>
          </cell>
        </row>
        <row r="354">
          <cell r="A354" t="str">
            <v>30004_2</v>
          </cell>
          <cell r="B354">
            <v>3</v>
          </cell>
          <cell r="C354">
            <v>30004</v>
          </cell>
          <cell r="D354" t="str">
            <v>危険な仲裁者</v>
          </cell>
          <cell r="E354" t="str">
            <v>ドロップイベント1-4（マルチ専用）</v>
          </cell>
          <cell r="F354">
            <v>2</v>
          </cell>
          <cell r="G354" t="str">
            <v>ja</v>
          </cell>
          <cell r="H354" t="str">
            <v xml:space="preserve">【上級】危険な仲裁者 </v>
          </cell>
          <cell r="I354" t="str">
            <v>上級</v>
          </cell>
          <cell r="J354">
            <v>276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14</v>
          </cell>
          <cell r="AD354">
            <v>6</v>
          </cell>
          <cell r="AE354" t="str">
            <v>everyone</v>
          </cell>
        </row>
        <row r="355">
          <cell r="A355" t="str">
            <v>30004_3</v>
          </cell>
          <cell r="B355">
            <v>3</v>
          </cell>
          <cell r="C355">
            <v>30004</v>
          </cell>
          <cell r="D355" t="str">
            <v>危険な仲裁者</v>
          </cell>
          <cell r="E355" t="str">
            <v>ドロップイベント1-4（マルチ専用）</v>
          </cell>
          <cell r="F355">
            <v>3</v>
          </cell>
          <cell r="G355" t="str">
            <v>ja</v>
          </cell>
          <cell r="H355" t="str">
            <v xml:space="preserve">【超級】危険な仲裁者 </v>
          </cell>
          <cell r="I355" t="str">
            <v>超級</v>
          </cell>
          <cell r="J355">
            <v>277</v>
          </cell>
          <cell r="K355">
            <v>30</v>
          </cell>
          <cell r="L355">
            <v>3300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14</v>
          </cell>
          <cell r="AD355">
            <v>6</v>
          </cell>
          <cell r="AE355" t="str">
            <v>everyone</v>
          </cell>
        </row>
        <row r="356">
          <cell r="A356" t="str">
            <v>30005_1</v>
          </cell>
          <cell r="B356">
            <v>3</v>
          </cell>
          <cell r="C356">
            <v>30005</v>
          </cell>
          <cell r="D356" t="str">
            <v>ニンゲンにしてあげる☆</v>
          </cell>
          <cell r="E356" t="str">
            <v>ドロップイベント2-1（マルチ専用）</v>
          </cell>
          <cell r="F356">
            <v>1</v>
          </cell>
          <cell r="G356" t="str">
            <v>ja</v>
          </cell>
          <cell r="H356" t="str">
            <v xml:space="preserve">【中級】ニンゲンにしてあげる </v>
          </cell>
          <cell r="I356" t="str">
            <v>中級</v>
          </cell>
          <cell r="J356">
            <v>290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30005_2</v>
          </cell>
          <cell r="B357">
            <v>3</v>
          </cell>
          <cell r="C357">
            <v>30005</v>
          </cell>
          <cell r="D357" t="str">
            <v>ニンゲンにしてあげる☆</v>
          </cell>
          <cell r="E357" t="str">
            <v>ドロップイベント2-1（マルチ専用）</v>
          </cell>
          <cell r="F357">
            <v>2</v>
          </cell>
          <cell r="G357" t="str">
            <v>ja</v>
          </cell>
          <cell r="H357" t="str">
            <v xml:space="preserve">【上級】ニンゲンにしてあげる </v>
          </cell>
          <cell r="I357" t="str">
            <v>上級</v>
          </cell>
          <cell r="J357">
            <v>290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30005_3</v>
          </cell>
          <cell r="B358">
            <v>3</v>
          </cell>
          <cell r="C358">
            <v>30005</v>
          </cell>
          <cell r="D358" t="str">
            <v>ニンゲンにしてあげる☆</v>
          </cell>
          <cell r="E358" t="str">
            <v>ドロップイベント2-1（マルチ専用）</v>
          </cell>
          <cell r="F358">
            <v>3</v>
          </cell>
          <cell r="G358" t="str">
            <v>ja</v>
          </cell>
          <cell r="H358" t="str">
            <v>【超級】ニンゲンにしてあげる</v>
          </cell>
          <cell r="I358" t="str">
            <v>超級</v>
          </cell>
          <cell r="J358">
            <v>291</v>
          </cell>
          <cell r="K358">
            <v>30</v>
          </cell>
          <cell r="L358">
            <v>3300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11</v>
          </cell>
          <cell r="AD358">
            <v>6</v>
          </cell>
          <cell r="AE358" t="str">
            <v>everyone</v>
          </cell>
        </row>
        <row r="359">
          <cell r="A359" t="str">
            <v>30006_1</v>
          </cell>
          <cell r="B359">
            <v>3</v>
          </cell>
          <cell r="C359">
            <v>30006</v>
          </cell>
          <cell r="D359" t="str">
            <v>それはお前を食べるためさ</v>
          </cell>
          <cell r="E359" t="str">
            <v>ドロップイベント2-3（マルチ専用）</v>
          </cell>
          <cell r="F359">
            <v>1</v>
          </cell>
          <cell r="G359" t="str">
            <v>ja</v>
          </cell>
          <cell r="H359" t="str">
            <v>【中級】それはお前を食べるためさ</v>
          </cell>
          <cell r="I359" t="str">
            <v>中級</v>
          </cell>
          <cell r="J359">
            <v>294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7</v>
          </cell>
          <cell r="AD359">
            <v>6</v>
          </cell>
          <cell r="AE359" t="str">
            <v>everyone</v>
          </cell>
        </row>
        <row r="360">
          <cell r="A360" t="str">
            <v>30006_2</v>
          </cell>
          <cell r="B360">
            <v>3</v>
          </cell>
          <cell r="C360">
            <v>30006</v>
          </cell>
          <cell r="D360" t="str">
            <v>それはお前を食べるためさ</v>
          </cell>
          <cell r="E360" t="str">
            <v>ドロップイベント2-3（マルチ専用）</v>
          </cell>
          <cell r="F360">
            <v>2</v>
          </cell>
          <cell r="G360" t="str">
            <v>ja</v>
          </cell>
          <cell r="H360" t="str">
            <v>【上級】それはお前を食べるためさ</v>
          </cell>
          <cell r="I360" t="str">
            <v>上級</v>
          </cell>
          <cell r="J360">
            <v>294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7</v>
          </cell>
          <cell r="AD360">
            <v>6</v>
          </cell>
          <cell r="AE360" t="str">
            <v>everyone</v>
          </cell>
        </row>
        <row r="361">
          <cell r="A361" t="str">
            <v>30006_3</v>
          </cell>
          <cell r="B361">
            <v>3</v>
          </cell>
          <cell r="C361">
            <v>30006</v>
          </cell>
          <cell r="D361" t="str">
            <v>それはお前を食べるためさ</v>
          </cell>
          <cell r="E361" t="str">
            <v>ドロップイベント2-3（マルチ専用）</v>
          </cell>
          <cell r="F361">
            <v>3</v>
          </cell>
          <cell r="G361" t="str">
            <v>ja</v>
          </cell>
          <cell r="H361" t="str">
            <v>【超級】それはお前を食べるためさ</v>
          </cell>
          <cell r="I361" t="str">
            <v>超級</v>
          </cell>
          <cell r="J361">
            <v>295</v>
          </cell>
          <cell r="K361">
            <v>30</v>
          </cell>
          <cell r="L361">
            <v>3300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7</v>
          </cell>
          <cell r="AD361">
            <v>6</v>
          </cell>
          <cell r="AE361" t="str">
            <v>everyone</v>
          </cell>
        </row>
        <row r="362">
          <cell r="A362" t="str">
            <v>30007_1</v>
          </cell>
          <cell r="B362">
            <v>3</v>
          </cell>
          <cell r="C362">
            <v>30007</v>
          </cell>
          <cell r="D362" t="str">
            <v>ガラスの靴は私のもの</v>
          </cell>
          <cell r="E362" t="str">
            <v>ドロップイベント2-2（マルチ専用）</v>
          </cell>
          <cell r="F362">
            <v>1</v>
          </cell>
          <cell r="G362" t="str">
            <v>ja</v>
          </cell>
          <cell r="H362" t="str">
            <v xml:space="preserve">【中級】ガラスの靴は私のもの </v>
          </cell>
          <cell r="I362" t="str">
            <v>中級</v>
          </cell>
          <cell r="J362">
            <v>292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</v>
          </cell>
          <cell r="AD362">
            <v>6</v>
          </cell>
          <cell r="AE362" t="str">
            <v>everyone</v>
          </cell>
        </row>
        <row r="363">
          <cell r="A363" t="str">
            <v>30007_2</v>
          </cell>
          <cell r="B363">
            <v>3</v>
          </cell>
          <cell r="C363">
            <v>30007</v>
          </cell>
          <cell r="D363" t="str">
            <v>ガラスの靴は私のもの</v>
          </cell>
          <cell r="E363" t="str">
            <v>ドロップイベント2-2（マルチ専用）</v>
          </cell>
          <cell r="F363">
            <v>2</v>
          </cell>
          <cell r="G363" t="str">
            <v>ja</v>
          </cell>
          <cell r="H363" t="str">
            <v>【上級】ガラスの靴は私のもの</v>
          </cell>
          <cell r="I363" t="str">
            <v>上級</v>
          </cell>
          <cell r="J363">
            <v>292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</v>
          </cell>
          <cell r="AD363">
            <v>6</v>
          </cell>
          <cell r="AE363" t="str">
            <v>everyone</v>
          </cell>
        </row>
        <row r="364">
          <cell r="A364" t="str">
            <v>30007_3</v>
          </cell>
          <cell r="B364">
            <v>3</v>
          </cell>
          <cell r="C364">
            <v>30007</v>
          </cell>
          <cell r="D364" t="str">
            <v>ガラスの靴は私のもの</v>
          </cell>
          <cell r="E364" t="str">
            <v>ドロップイベント2-2（マルチ専用）</v>
          </cell>
          <cell r="F364">
            <v>3</v>
          </cell>
          <cell r="G364" t="str">
            <v>ja</v>
          </cell>
          <cell r="H364" t="str">
            <v xml:space="preserve">【超級】ガラスの靴は私のもの </v>
          </cell>
          <cell r="I364" t="str">
            <v>超級</v>
          </cell>
          <cell r="J364">
            <v>293</v>
          </cell>
          <cell r="K364">
            <v>30</v>
          </cell>
          <cell r="L364">
            <v>3300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</v>
          </cell>
          <cell r="AD364">
            <v>6</v>
          </cell>
          <cell r="AE364" t="str">
            <v>everyone</v>
          </cell>
        </row>
        <row r="365">
          <cell r="A365" t="str">
            <v>30008_1</v>
          </cell>
          <cell r="B365">
            <v>3</v>
          </cell>
          <cell r="C365">
            <v>30008</v>
          </cell>
          <cell r="D365" t="str">
            <v>わたしの嫁を返してもらおう</v>
          </cell>
          <cell r="E365" t="str">
            <v>ドロップイベント2-4（マルチ専用）</v>
          </cell>
          <cell r="F365">
            <v>1</v>
          </cell>
          <cell r="G365" t="str">
            <v>ja</v>
          </cell>
          <cell r="H365" t="str">
            <v>【中級】わたしの嫁を返してもらおう</v>
          </cell>
          <cell r="I365" t="str">
            <v>中級</v>
          </cell>
          <cell r="J365">
            <v>288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22</v>
          </cell>
          <cell r="AD365">
            <v>6</v>
          </cell>
          <cell r="AE365" t="str">
            <v>everyone</v>
          </cell>
        </row>
        <row r="366">
          <cell r="A366" t="str">
            <v>30008_2</v>
          </cell>
          <cell r="B366">
            <v>3</v>
          </cell>
          <cell r="C366">
            <v>30008</v>
          </cell>
          <cell r="D366" t="str">
            <v>わたしの嫁を返してもらおう</v>
          </cell>
          <cell r="E366" t="str">
            <v>ドロップイベント2-4（マルチ専用）</v>
          </cell>
          <cell r="F366">
            <v>2</v>
          </cell>
          <cell r="G366" t="str">
            <v>ja</v>
          </cell>
          <cell r="H366" t="str">
            <v>【上級】わたしの嫁を返してもらおう</v>
          </cell>
          <cell r="I366" t="str">
            <v>上級</v>
          </cell>
          <cell r="J366">
            <v>288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22</v>
          </cell>
          <cell r="AD366">
            <v>6</v>
          </cell>
          <cell r="AE366" t="str">
            <v>everyone</v>
          </cell>
        </row>
        <row r="367">
          <cell r="A367" t="str">
            <v>30008_3</v>
          </cell>
          <cell r="B367">
            <v>3</v>
          </cell>
          <cell r="C367">
            <v>30008</v>
          </cell>
          <cell r="D367" t="str">
            <v>わたしの嫁を返してもらおう</v>
          </cell>
          <cell r="E367" t="str">
            <v>ドロップイベント2-4（マルチ専用）</v>
          </cell>
          <cell r="F367">
            <v>3</v>
          </cell>
          <cell r="G367" t="str">
            <v>ja</v>
          </cell>
          <cell r="H367" t="str">
            <v>【超級】わたしの嫁を返してもらおう</v>
          </cell>
          <cell r="I367" t="str">
            <v>超級</v>
          </cell>
          <cell r="J367">
            <v>289</v>
          </cell>
          <cell r="K367">
            <v>30</v>
          </cell>
          <cell r="L367">
            <v>3300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22</v>
          </cell>
          <cell r="AD367">
            <v>6</v>
          </cell>
          <cell r="AE367" t="str">
            <v>everyone</v>
          </cell>
        </row>
        <row r="368">
          <cell r="A368" t="str">
            <v>30009_3</v>
          </cell>
          <cell r="B368">
            <v>0</v>
          </cell>
          <cell r="C368">
            <v>30009</v>
          </cell>
          <cell r="D368" t="str">
            <v>復活の捕食者</v>
          </cell>
          <cell r="E368" t="str">
            <v>ドロップイベント3（マルチ専用）</v>
          </cell>
          <cell r="F368">
            <v>3</v>
          </cell>
          <cell r="G368" t="str">
            <v>ja</v>
          </cell>
          <cell r="H368" t="str">
            <v>【上級】復活の捕食者</v>
          </cell>
          <cell r="I368" t="str">
            <v>上級</v>
          </cell>
          <cell r="J368">
            <v>312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2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8</v>
          </cell>
          <cell r="AD368">
            <v>6</v>
          </cell>
          <cell r="AE368" t="str">
            <v>everyone</v>
          </cell>
        </row>
        <row r="369">
          <cell r="A369" t="str">
            <v>30009_1</v>
          </cell>
          <cell r="B369">
            <v>3</v>
          </cell>
          <cell r="C369">
            <v>30009</v>
          </cell>
          <cell r="D369" t="str">
            <v>復活の捕食者</v>
          </cell>
          <cell r="E369" t="str">
            <v>ドロップイベント3（マルチ専用）</v>
          </cell>
          <cell r="F369">
            <v>1</v>
          </cell>
          <cell r="G369" t="str">
            <v>ja</v>
          </cell>
          <cell r="H369" t="str">
            <v>【超級】復活の捕食者</v>
          </cell>
          <cell r="I369" t="str">
            <v>超級</v>
          </cell>
          <cell r="J369">
            <v>312</v>
          </cell>
          <cell r="K369">
            <v>30</v>
          </cell>
          <cell r="L369">
            <v>3300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8</v>
          </cell>
          <cell r="AD369">
            <v>6</v>
          </cell>
          <cell r="AE369" t="str">
            <v>everyone</v>
          </cell>
        </row>
        <row r="370">
          <cell r="A370" t="str">
            <v>30009_2</v>
          </cell>
          <cell r="B370">
            <v>3</v>
          </cell>
          <cell r="C370">
            <v>30009</v>
          </cell>
          <cell r="D370" t="str">
            <v>復活の捕食者</v>
          </cell>
          <cell r="E370" t="str">
            <v>ドロップイベント3（マルチ専用）</v>
          </cell>
          <cell r="F370">
            <v>2</v>
          </cell>
          <cell r="G370" t="str">
            <v>ja</v>
          </cell>
          <cell r="H370" t="str">
            <v>【超絶級】復活の捕食者</v>
          </cell>
          <cell r="I370" t="str">
            <v>超絶級</v>
          </cell>
          <cell r="J370">
            <v>312</v>
          </cell>
          <cell r="K370">
            <v>35</v>
          </cell>
          <cell r="L370">
            <v>4200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2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30010_1</v>
          </cell>
          <cell r="B371">
            <v>3</v>
          </cell>
          <cell r="C371">
            <v>30010</v>
          </cell>
          <cell r="D371" t="str">
            <v>最大最凶</v>
          </cell>
          <cell r="E371" t="str">
            <v>ドロップイベント3（マルチ専用）</v>
          </cell>
          <cell r="F371">
            <v>1</v>
          </cell>
          <cell r="G371" t="str">
            <v>ja</v>
          </cell>
          <cell r="H371" t="str">
            <v>【上級】最大最凶</v>
          </cell>
          <cell r="I371" t="str">
            <v>上級</v>
          </cell>
          <cell r="J371">
            <v>306</v>
          </cell>
          <cell r="K371">
            <v>20</v>
          </cell>
          <cell r="L371">
            <v>2000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2</v>
          </cell>
          <cell r="AD371">
            <v>7</v>
          </cell>
          <cell r="AE371" t="str">
            <v>everyone</v>
          </cell>
        </row>
        <row r="372">
          <cell r="A372" t="str">
            <v>30010_2</v>
          </cell>
          <cell r="B372">
            <v>3</v>
          </cell>
          <cell r="C372">
            <v>30010</v>
          </cell>
          <cell r="D372" t="str">
            <v>最大最凶</v>
          </cell>
          <cell r="E372" t="str">
            <v>ドロップイベント3（マルチ専用）</v>
          </cell>
          <cell r="F372">
            <v>2</v>
          </cell>
          <cell r="G372" t="str">
            <v>ja</v>
          </cell>
          <cell r="H372" t="str">
            <v>【超級】最大最凶</v>
          </cell>
          <cell r="I372" t="str">
            <v>超級</v>
          </cell>
          <cell r="J372">
            <v>306</v>
          </cell>
          <cell r="K372">
            <v>30</v>
          </cell>
          <cell r="L372">
            <v>3300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2</v>
          </cell>
          <cell r="AD372">
            <v>7</v>
          </cell>
          <cell r="AE372" t="str">
            <v>everyone</v>
          </cell>
        </row>
        <row r="373">
          <cell r="A373" t="str">
            <v>30010_3</v>
          </cell>
          <cell r="B373">
            <v>3</v>
          </cell>
          <cell r="C373">
            <v>30010</v>
          </cell>
          <cell r="D373" t="str">
            <v>最大最凶</v>
          </cell>
          <cell r="E373" t="str">
            <v>ドロップイベント3（マルチ専用）</v>
          </cell>
          <cell r="F373">
            <v>3</v>
          </cell>
          <cell r="G373" t="str">
            <v>ja</v>
          </cell>
          <cell r="H373" t="str">
            <v>【超絶級】最大最凶</v>
          </cell>
          <cell r="I373" t="str">
            <v>超絶級</v>
          </cell>
          <cell r="J373">
            <v>306</v>
          </cell>
          <cell r="K373">
            <v>35</v>
          </cell>
          <cell r="L373">
            <v>4200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</v>
          </cell>
          <cell r="AD373">
            <v>7</v>
          </cell>
          <cell r="AE373" t="str">
            <v>everyone</v>
          </cell>
        </row>
        <row r="374">
          <cell r="A374" t="str">
            <v>30011_1</v>
          </cell>
          <cell r="B374">
            <v>3</v>
          </cell>
          <cell r="C374">
            <v>30011</v>
          </cell>
          <cell r="D374" t="str">
            <v>気怠い巨読者</v>
          </cell>
          <cell r="E374" t="str">
            <v>ドロップイベント3（マルチ専用）</v>
          </cell>
          <cell r="F374">
            <v>1</v>
          </cell>
          <cell r="G374" t="str">
            <v>ja</v>
          </cell>
          <cell r="H374" t="str">
            <v>【上級】気怠い巨読者</v>
          </cell>
          <cell r="I374" t="str">
            <v>上級</v>
          </cell>
          <cell r="J374">
            <v>308</v>
          </cell>
          <cell r="K374">
            <v>20</v>
          </cell>
          <cell r="L374">
            <v>2000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2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19</v>
          </cell>
          <cell r="AD374">
            <v>6</v>
          </cell>
          <cell r="AE374" t="str">
            <v>everyone</v>
          </cell>
        </row>
        <row r="375">
          <cell r="A375" t="str">
            <v>30011_2</v>
          </cell>
          <cell r="B375">
            <v>3</v>
          </cell>
          <cell r="C375">
            <v>30011</v>
          </cell>
          <cell r="D375" t="str">
            <v>気怠い巨読者</v>
          </cell>
          <cell r="E375" t="str">
            <v>ドロップイベント3（マルチ専用）</v>
          </cell>
          <cell r="F375">
            <v>2</v>
          </cell>
          <cell r="G375" t="str">
            <v>ja</v>
          </cell>
          <cell r="H375" t="str">
            <v>【超級】気怠い巨読者</v>
          </cell>
          <cell r="I375" t="str">
            <v>超級</v>
          </cell>
          <cell r="J375">
            <v>308</v>
          </cell>
          <cell r="K375">
            <v>30</v>
          </cell>
          <cell r="L375">
            <v>3300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2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19</v>
          </cell>
          <cell r="AD375">
            <v>6</v>
          </cell>
          <cell r="AE375" t="str">
            <v>everyone</v>
          </cell>
        </row>
        <row r="376">
          <cell r="A376" t="str">
            <v>30011_3</v>
          </cell>
          <cell r="B376">
            <v>3</v>
          </cell>
          <cell r="C376">
            <v>30011</v>
          </cell>
          <cell r="D376" t="str">
            <v>気怠い巨読者</v>
          </cell>
          <cell r="E376" t="str">
            <v>ドロップイベント3（マルチ専用）</v>
          </cell>
          <cell r="F376">
            <v>3</v>
          </cell>
          <cell r="G376" t="str">
            <v>ja</v>
          </cell>
          <cell r="H376" t="str">
            <v>【超絶級】気怠い巨読者</v>
          </cell>
          <cell r="I376" t="str">
            <v>超絶級</v>
          </cell>
          <cell r="J376">
            <v>309</v>
          </cell>
          <cell r="K376">
            <v>35</v>
          </cell>
          <cell r="L376">
            <v>4200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2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19</v>
          </cell>
          <cell r="AD376">
            <v>6</v>
          </cell>
          <cell r="AE376" t="str">
            <v>everyone</v>
          </cell>
        </row>
        <row r="377">
          <cell r="A377" t="str">
            <v>30012_1</v>
          </cell>
          <cell r="B377">
            <v>3</v>
          </cell>
          <cell r="C377">
            <v>30012</v>
          </cell>
          <cell r="D377" t="str">
            <v>底なしの胃袋</v>
          </cell>
          <cell r="E377" t="str">
            <v>ドロップイベント3（マルチ専用）</v>
          </cell>
          <cell r="F377">
            <v>1</v>
          </cell>
          <cell r="G377" t="str">
            <v>ja</v>
          </cell>
          <cell r="H377" t="str">
            <v>【上級】底なしの胃袋</v>
          </cell>
          <cell r="I377" t="str">
            <v>上級</v>
          </cell>
          <cell r="J377">
            <v>310</v>
          </cell>
          <cell r="K377">
            <v>20</v>
          </cell>
          <cell r="L377">
            <v>2000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0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5</v>
          </cell>
          <cell r="AD377">
            <v>6</v>
          </cell>
          <cell r="AE377" t="str">
            <v>everyone</v>
          </cell>
        </row>
        <row r="378">
          <cell r="A378" t="str">
            <v>30012_2</v>
          </cell>
          <cell r="B378">
            <v>3</v>
          </cell>
          <cell r="C378">
            <v>30012</v>
          </cell>
          <cell r="D378" t="str">
            <v>底なしの胃袋</v>
          </cell>
          <cell r="E378" t="str">
            <v>ドロップイベント3（マルチ専用）</v>
          </cell>
          <cell r="F378">
            <v>2</v>
          </cell>
          <cell r="G378" t="str">
            <v>ja</v>
          </cell>
          <cell r="H378" t="str">
            <v>【超級】底なしの胃袋</v>
          </cell>
          <cell r="I378" t="str">
            <v>超級</v>
          </cell>
          <cell r="J378">
            <v>310</v>
          </cell>
          <cell r="K378">
            <v>30</v>
          </cell>
          <cell r="L378">
            <v>3300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0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5</v>
          </cell>
          <cell r="AD378">
            <v>6</v>
          </cell>
          <cell r="AE378" t="str">
            <v>everyone</v>
          </cell>
        </row>
        <row r="379">
          <cell r="A379" t="str">
            <v>30012_3</v>
          </cell>
          <cell r="B379">
            <v>3</v>
          </cell>
          <cell r="C379">
            <v>30012</v>
          </cell>
          <cell r="D379" t="str">
            <v>底なしの胃袋</v>
          </cell>
          <cell r="E379" t="str">
            <v>ドロップイベント3（マルチ専用）</v>
          </cell>
          <cell r="F379">
            <v>3</v>
          </cell>
          <cell r="G379" t="str">
            <v>ja</v>
          </cell>
          <cell r="H379" t="str">
            <v>【超絶級】底なしの胃袋</v>
          </cell>
          <cell r="I379" t="str">
            <v>超絶級</v>
          </cell>
          <cell r="J379">
            <v>310</v>
          </cell>
          <cell r="K379">
            <v>35</v>
          </cell>
          <cell r="L379">
            <v>4200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0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5</v>
          </cell>
          <cell r="AD379">
            <v>6</v>
          </cell>
          <cell r="AE379" t="str">
            <v>everyone</v>
          </cell>
        </row>
        <row r="380">
          <cell r="A380" t="str">
            <v>30013_1</v>
          </cell>
          <cell r="B380">
            <v>3</v>
          </cell>
          <cell r="C380">
            <v>30013</v>
          </cell>
          <cell r="D380" t="str">
            <v>決戦・竜宮城</v>
          </cell>
          <cell r="E380" t="str">
            <v>ドロップイベント4（マルチ専用）</v>
          </cell>
          <cell r="F380">
            <v>1</v>
          </cell>
          <cell r="G380" t="str">
            <v>ja</v>
          </cell>
          <cell r="H380" t="str">
            <v>【超級】決戦・竜宮城</v>
          </cell>
          <cell r="I380" t="str">
            <v>超級</v>
          </cell>
          <cell r="J380">
            <v>418</v>
          </cell>
          <cell r="K380">
            <v>30</v>
          </cell>
          <cell r="L380">
            <v>3300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17</v>
          </cell>
          <cell r="AD380">
            <v>6</v>
          </cell>
          <cell r="AE380" t="str">
            <v>everyone</v>
          </cell>
        </row>
        <row r="381">
          <cell r="A381" t="str">
            <v>30013_2</v>
          </cell>
          <cell r="B381">
            <v>3</v>
          </cell>
          <cell r="C381">
            <v>30013</v>
          </cell>
          <cell r="D381" t="str">
            <v>決戦・竜宮城</v>
          </cell>
          <cell r="E381" t="str">
            <v>ドロップイベント4（マルチ専用）</v>
          </cell>
          <cell r="F381">
            <v>2</v>
          </cell>
          <cell r="G381" t="str">
            <v>ja</v>
          </cell>
          <cell r="H381" t="str">
            <v>【超絶級】決戦・竜宮城</v>
          </cell>
          <cell r="I381" t="str">
            <v>超絶級</v>
          </cell>
          <cell r="J381">
            <v>419</v>
          </cell>
          <cell r="K381">
            <v>35</v>
          </cell>
          <cell r="L381">
            <v>4200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17</v>
          </cell>
          <cell r="AD381">
            <v>6</v>
          </cell>
          <cell r="AE381" t="str">
            <v>everyone</v>
          </cell>
        </row>
        <row r="382">
          <cell r="A382" t="str">
            <v>30014_1</v>
          </cell>
          <cell r="B382">
            <v>3</v>
          </cell>
          <cell r="C382">
            <v>30014</v>
          </cell>
          <cell r="D382" t="str">
            <v>親指を突き立てろ！</v>
          </cell>
          <cell r="E382" t="str">
            <v>ドロップイベント4（マルチ専用）</v>
          </cell>
          <cell r="F382">
            <v>1</v>
          </cell>
          <cell r="G382" t="str">
            <v>ja</v>
          </cell>
          <cell r="H382" t="str">
            <v>【超級】親指を突き立てろ！</v>
          </cell>
          <cell r="I382" t="str">
            <v>超級</v>
          </cell>
          <cell r="J382">
            <v>420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23</v>
          </cell>
          <cell r="AD382">
            <v>5</v>
          </cell>
          <cell r="AE382" t="str">
            <v>everyone</v>
          </cell>
        </row>
        <row r="383">
          <cell r="A383" t="str">
            <v>30014_2</v>
          </cell>
          <cell r="B383">
            <v>3</v>
          </cell>
          <cell r="C383">
            <v>30014</v>
          </cell>
          <cell r="D383" t="str">
            <v>親指を突き立てろ！</v>
          </cell>
          <cell r="E383" t="str">
            <v>ドロップイベント4（マルチ専用）</v>
          </cell>
          <cell r="F383">
            <v>2</v>
          </cell>
          <cell r="G383" t="str">
            <v>ja</v>
          </cell>
          <cell r="H383" t="str">
            <v>【超絶級】親指を突き立てろ！</v>
          </cell>
          <cell r="I383" t="str">
            <v>超絶級</v>
          </cell>
          <cell r="J383">
            <v>421</v>
          </cell>
          <cell r="K383">
            <v>35</v>
          </cell>
          <cell r="L383">
            <v>4200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23</v>
          </cell>
          <cell r="AD383">
            <v>5</v>
          </cell>
          <cell r="AE383" t="str">
            <v>everyone</v>
          </cell>
        </row>
        <row r="384">
          <cell r="A384" t="str">
            <v>30015_1</v>
          </cell>
          <cell r="B384">
            <v>3</v>
          </cell>
          <cell r="C384">
            <v>30015</v>
          </cell>
          <cell r="D384" t="str">
            <v>兄妹の大冒険</v>
          </cell>
          <cell r="E384" t="str">
            <v>ドロップイベント4（マルチ専用）</v>
          </cell>
          <cell r="F384">
            <v>1</v>
          </cell>
          <cell r="G384" t="str">
            <v>ja</v>
          </cell>
          <cell r="H384" t="str">
            <v>【超級】兄妹の大冒険</v>
          </cell>
          <cell r="I384" t="str">
            <v>超級</v>
          </cell>
          <cell r="J384">
            <v>422</v>
          </cell>
          <cell r="K384">
            <v>30</v>
          </cell>
          <cell r="L384">
            <v>3300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16</v>
          </cell>
          <cell r="AD384">
            <v>6</v>
          </cell>
          <cell r="AE384" t="str">
            <v>everyone</v>
          </cell>
        </row>
        <row r="385">
          <cell r="A385" t="str">
            <v>30015_2</v>
          </cell>
          <cell r="B385">
            <v>3</v>
          </cell>
          <cell r="C385">
            <v>30015</v>
          </cell>
          <cell r="D385" t="str">
            <v>兄妹の大冒険</v>
          </cell>
          <cell r="E385" t="str">
            <v>ドロップイベント4（マルチ専用）</v>
          </cell>
          <cell r="F385">
            <v>2</v>
          </cell>
          <cell r="G385" t="str">
            <v>ja</v>
          </cell>
          <cell r="H385" t="str">
            <v>【超絶級】兄妹の大冒険</v>
          </cell>
          <cell r="I385" t="str">
            <v>超絶級</v>
          </cell>
          <cell r="J385">
            <v>423</v>
          </cell>
          <cell r="K385">
            <v>35</v>
          </cell>
          <cell r="L385">
            <v>4200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16</v>
          </cell>
          <cell r="AD385">
            <v>6</v>
          </cell>
          <cell r="AE385" t="str">
            <v>everyone</v>
          </cell>
        </row>
        <row r="386">
          <cell r="A386" t="str">
            <v>30016_1</v>
          </cell>
          <cell r="B386">
            <v>3</v>
          </cell>
          <cell r="C386">
            <v>30016</v>
          </cell>
          <cell r="D386" t="str">
            <v>私がワニの天敵よ？</v>
          </cell>
          <cell r="E386" t="str">
            <v>ドロップイベント4（マルチ専用）</v>
          </cell>
          <cell r="F386">
            <v>1</v>
          </cell>
          <cell r="G386" t="str">
            <v>ja</v>
          </cell>
          <cell r="H386" t="str">
            <v>【超級】私がワニの天敵よ？</v>
          </cell>
          <cell r="I386" t="str">
            <v>超級</v>
          </cell>
          <cell r="J386">
            <v>424</v>
          </cell>
          <cell r="K386">
            <v>30</v>
          </cell>
          <cell r="L386">
            <v>3300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4</v>
          </cell>
          <cell r="AD386">
            <v>6</v>
          </cell>
          <cell r="AE386" t="str">
            <v>everyone</v>
          </cell>
        </row>
        <row r="387">
          <cell r="A387" t="str">
            <v>30016_2</v>
          </cell>
          <cell r="B387">
            <v>3</v>
          </cell>
          <cell r="C387">
            <v>30016</v>
          </cell>
          <cell r="D387" t="str">
            <v>私がワニの天敵よ？</v>
          </cell>
          <cell r="E387" t="str">
            <v>ドロップイベント4（マルチ専用）</v>
          </cell>
          <cell r="F387">
            <v>2</v>
          </cell>
          <cell r="G387" t="str">
            <v>ja</v>
          </cell>
          <cell r="H387" t="str">
            <v>【超絶級】私がワニの天敵よ？</v>
          </cell>
          <cell r="I387" t="str">
            <v>超絶級</v>
          </cell>
          <cell r="J387">
            <v>425</v>
          </cell>
          <cell r="K387">
            <v>35</v>
          </cell>
          <cell r="L387">
            <v>4200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4</v>
          </cell>
          <cell r="AD387">
            <v>6</v>
          </cell>
          <cell r="AE387" t="str">
            <v>everyone</v>
          </cell>
        </row>
        <row r="388">
          <cell r="A388" t="str">
            <v>30017_1</v>
          </cell>
          <cell r="B388">
            <v>3</v>
          </cell>
          <cell r="C388">
            <v>30017</v>
          </cell>
          <cell r="D388" t="str">
            <v>狩人の挽歌</v>
          </cell>
          <cell r="E388" t="str">
            <v>ドロップイベント5（マルチ専用）</v>
          </cell>
          <cell r="F388">
            <v>1</v>
          </cell>
          <cell r="G388" t="str">
            <v>ja</v>
          </cell>
          <cell r="H388" t="str">
            <v>【超級】狩人の挽歌</v>
          </cell>
          <cell r="I388" t="str">
            <v>超級</v>
          </cell>
          <cell r="J388">
            <v>452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20</v>
          </cell>
          <cell r="AD388">
            <v>6</v>
          </cell>
          <cell r="AE388" t="str">
            <v>multionly</v>
          </cell>
        </row>
        <row r="389">
          <cell r="A389" t="str">
            <v>30017_2</v>
          </cell>
          <cell r="B389">
            <v>3</v>
          </cell>
          <cell r="C389">
            <v>30017</v>
          </cell>
          <cell r="D389" t="str">
            <v>狩人の挽歌</v>
          </cell>
          <cell r="E389" t="str">
            <v>ドロップイベント5（マルチ専用）</v>
          </cell>
          <cell r="F389">
            <v>2</v>
          </cell>
          <cell r="G389" t="str">
            <v>ja</v>
          </cell>
          <cell r="H389" t="str">
            <v>【超絶級】狩人の挽歌</v>
          </cell>
          <cell r="I389" t="str">
            <v>超絶級</v>
          </cell>
          <cell r="J389">
            <v>453</v>
          </cell>
          <cell r="K389">
            <v>35</v>
          </cell>
          <cell r="L389">
            <v>4200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20</v>
          </cell>
          <cell r="AD389">
            <v>6</v>
          </cell>
          <cell r="AE389" t="str">
            <v>multionly</v>
          </cell>
        </row>
        <row r="390">
          <cell r="A390" t="str">
            <v>30018_1</v>
          </cell>
          <cell r="B390">
            <v>3</v>
          </cell>
          <cell r="C390">
            <v>30018</v>
          </cell>
          <cell r="D390" t="str">
            <v>バックストリートファイト</v>
          </cell>
          <cell r="E390" t="str">
            <v>ドロップイベント5（マルチ専用）</v>
          </cell>
          <cell r="F390">
            <v>1</v>
          </cell>
          <cell r="G390" t="str">
            <v>ja</v>
          </cell>
          <cell r="H390" t="str">
            <v>【超級】バックストリートファイト</v>
          </cell>
          <cell r="I390" t="str">
            <v>超級</v>
          </cell>
          <cell r="J390">
            <v>454</v>
          </cell>
          <cell r="K390">
            <v>30</v>
          </cell>
          <cell r="L390">
            <v>3300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0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14</v>
          </cell>
          <cell r="AD390">
            <v>6</v>
          </cell>
          <cell r="AE390" t="str">
            <v>everyone</v>
          </cell>
        </row>
        <row r="391">
          <cell r="A391" t="str">
            <v>30018_2</v>
          </cell>
          <cell r="B391">
            <v>3</v>
          </cell>
          <cell r="C391">
            <v>30018</v>
          </cell>
          <cell r="D391" t="str">
            <v>バックストリートファイト</v>
          </cell>
          <cell r="E391" t="str">
            <v>ドロップイベント5（マルチ専用）</v>
          </cell>
          <cell r="F391">
            <v>2</v>
          </cell>
          <cell r="G391" t="str">
            <v>ja</v>
          </cell>
          <cell r="H391" t="str">
            <v>【超絶級】バックストリートファイト</v>
          </cell>
          <cell r="I391" t="str">
            <v>超絶級</v>
          </cell>
          <cell r="J391">
            <v>455</v>
          </cell>
          <cell r="K391">
            <v>35</v>
          </cell>
          <cell r="L391">
            <v>4200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0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14</v>
          </cell>
          <cell r="AD391">
            <v>6</v>
          </cell>
          <cell r="AE391" t="str">
            <v>everyone</v>
          </cell>
        </row>
        <row r="392">
          <cell r="A392" t="str">
            <v>30019_1</v>
          </cell>
          <cell r="B392">
            <v>3</v>
          </cell>
          <cell r="C392">
            <v>30019</v>
          </cell>
          <cell r="D392" t="str">
            <v>狙撃は終わらない</v>
          </cell>
          <cell r="E392" t="str">
            <v>ドロップイベント5（マルチ専用）</v>
          </cell>
          <cell r="F392">
            <v>1</v>
          </cell>
          <cell r="G392" t="str">
            <v>ja</v>
          </cell>
          <cell r="H392" t="str">
            <v>【超級】狙撃は終わらない</v>
          </cell>
          <cell r="I392" t="str">
            <v>超級</v>
          </cell>
          <cell r="J392">
            <v>456</v>
          </cell>
          <cell r="K392">
            <v>30</v>
          </cell>
          <cell r="L392">
            <v>3300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24</v>
          </cell>
          <cell r="AD392">
            <v>6</v>
          </cell>
          <cell r="AE392" t="str">
            <v>multionly</v>
          </cell>
        </row>
        <row r="393">
          <cell r="A393" t="str">
            <v>30019_2</v>
          </cell>
          <cell r="B393">
            <v>3</v>
          </cell>
          <cell r="C393">
            <v>30019</v>
          </cell>
          <cell r="D393" t="str">
            <v>狙撃は終わらない</v>
          </cell>
          <cell r="E393" t="str">
            <v>ドロップイベント5（マルチ専用）</v>
          </cell>
          <cell r="F393">
            <v>2</v>
          </cell>
          <cell r="G393" t="str">
            <v>ja</v>
          </cell>
          <cell r="H393" t="str">
            <v>【超絶級】狙撃は終わらない</v>
          </cell>
          <cell r="I393" t="str">
            <v>超絶級</v>
          </cell>
          <cell r="J393">
            <v>457</v>
          </cell>
          <cell r="K393">
            <v>35</v>
          </cell>
          <cell r="L393">
            <v>4200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24</v>
          </cell>
          <cell r="AD393">
            <v>6</v>
          </cell>
          <cell r="AE393" t="str">
            <v>multionly</v>
          </cell>
        </row>
        <row r="394">
          <cell r="A394" t="str">
            <v>30020_1</v>
          </cell>
          <cell r="B394">
            <v>3</v>
          </cell>
          <cell r="C394">
            <v>30020</v>
          </cell>
          <cell r="D394" t="str">
            <v>若造よ、身の程を知れ</v>
          </cell>
          <cell r="E394" t="str">
            <v>ドロップイベント5（マルチ専用）</v>
          </cell>
          <cell r="F394">
            <v>1</v>
          </cell>
          <cell r="G394" t="str">
            <v>ja</v>
          </cell>
          <cell r="H394" t="str">
            <v>【超級】若造よ、身の程を知れ</v>
          </cell>
          <cell r="I394" t="str">
            <v>超級</v>
          </cell>
          <cell r="J394">
            <v>458</v>
          </cell>
          <cell r="K394">
            <v>30</v>
          </cell>
          <cell r="L394">
            <v>3300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13</v>
          </cell>
          <cell r="AD394">
            <v>6</v>
          </cell>
          <cell r="AE394" t="str">
            <v>everyone</v>
          </cell>
        </row>
        <row r="395">
          <cell r="A395" t="str">
            <v>30020_2</v>
          </cell>
          <cell r="B395">
            <v>3</v>
          </cell>
          <cell r="C395">
            <v>30020</v>
          </cell>
          <cell r="D395" t="str">
            <v>若造よ、身の程を知れ</v>
          </cell>
          <cell r="E395" t="str">
            <v>ドロップイベント5（マルチ専用）</v>
          </cell>
          <cell r="F395">
            <v>2</v>
          </cell>
          <cell r="G395" t="str">
            <v>ja</v>
          </cell>
          <cell r="H395" t="str">
            <v>【超絶級】若造よ、身の程を知れ</v>
          </cell>
          <cell r="I395" t="str">
            <v>超絶級</v>
          </cell>
          <cell r="J395">
            <v>459</v>
          </cell>
          <cell r="K395">
            <v>35</v>
          </cell>
          <cell r="L395">
            <v>4200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13</v>
          </cell>
          <cell r="AD395">
            <v>6</v>
          </cell>
          <cell r="AE395" t="str">
            <v>everyone</v>
          </cell>
        </row>
        <row r="396">
          <cell r="A396" t="str">
            <v>30021_1</v>
          </cell>
          <cell r="B396">
            <v>3</v>
          </cell>
          <cell r="C396">
            <v>30021</v>
          </cell>
          <cell r="D396" t="str">
            <v>野獣死すべしっ！</v>
          </cell>
          <cell r="E396" t="str">
            <v>ドロップイベント6（マルチ専用）</v>
          </cell>
          <cell r="F396">
            <v>1</v>
          </cell>
          <cell r="G396" t="str">
            <v>ja</v>
          </cell>
          <cell r="H396" t="str">
            <v>【中級】野獣死すべしっ！</v>
          </cell>
          <cell r="I396" t="str">
            <v>中級</v>
          </cell>
          <cell r="J396">
            <v>502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0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14</v>
          </cell>
          <cell r="AD396">
            <v>6</v>
          </cell>
          <cell r="AE396" t="str">
            <v>everyone</v>
          </cell>
        </row>
        <row r="397">
          <cell r="A397" t="str">
            <v>30021_2</v>
          </cell>
          <cell r="B397">
            <v>3</v>
          </cell>
          <cell r="C397">
            <v>30021</v>
          </cell>
          <cell r="D397" t="str">
            <v>野獣死すべしっ！</v>
          </cell>
          <cell r="E397" t="str">
            <v>ドロップイベント6（マルチ専用）</v>
          </cell>
          <cell r="F397">
            <v>2</v>
          </cell>
          <cell r="G397" t="str">
            <v>ja</v>
          </cell>
          <cell r="H397" t="str">
            <v>【上級】野獣死すべしっ！</v>
          </cell>
          <cell r="I397" t="str">
            <v>上級</v>
          </cell>
          <cell r="J397">
            <v>502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0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14</v>
          </cell>
          <cell r="AD397">
            <v>6</v>
          </cell>
          <cell r="AE397" t="str">
            <v>everyone</v>
          </cell>
        </row>
        <row r="398">
          <cell r="A398" t="str">
            <v>30021_3</v>
          </cell>
          <cell r="B398">
            <v>3</v>
          </cell>
          <cell r="C398">
            <v>30021</v>
          </cell>
          <cell r="D398" t="str">
            <v>野獣死すべしっ！</v>
          </cell>
          <cell r="E398" t="str">
            <v>ドロップイベント6（マルチ専用）</v>
          </cell>
          <cell r="F398">
            <v>3</v>
          </cell>
          <cell r="G398" t="str">
            <v>ja</v>
          </cell>
          <cell r="H398" t="str">
            <v>【超級】野獣死すべしっ！</v>
          </cell>
          <cell r="I398" t="str">
            <v>超級</v>
          </cell>
          <cell r="J398">
            <v>503</v>
          </cell>
          <cell r="K398">
            <v>30</v>
          </cell>
          <cell r="L398">
            <v>3300</v>
          </cell>
          <cell r="M398">
            <v>1</v>
          </cell>
          <cell r="N398">
            <v>1</v>
          </cell>
          <cell r="O398">
            <v>0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14</v>
          </cell>
          <cell r="AD398">
            <v>6</v>
          </cell>
          <cell r="AE398" t="str">
            <v>everyone</v>
          </cell>
        </row>
        <row r="399">
          <cell r="A399" t="str">
            <v>30022_1</v>
          </cell>
          <cell r="B399">
            <v>3</v>
          </cell>
          <cell r="C399">
            <v>30022</v>
          </cell>
          <cell r="D399" t="str">
            <v>凶鼠ネコを咬む</v>
          </cell>
          <cell r="E399" t="str">
            <v>ドロップイベント6（マルチ専用）</v>
          </cell>
          <cell r="F399">
            <v>1</v>
          </cell>
          <cell r="G399" t="str">
            <v>ja</v>
          </cell>
          <cell r="H399" t="str">
            <v>【超級】凶鼠ネコを咬む</v>
          </cell>
          <cell r="I399" t="str">
            <v>超級</v>
          </cell>
          <cell r="J399">
            <v>504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6</v>
          </cell>
          <cell r="AD399">
            <v>6</v>
          </cell>
          <cell r="AE399" t="str">
            <v>everyone</v>
          </cell>
        </row>
        <row r="400">
          <cell r="A400" t="str">
            <v>30022_2</v>
          </cell>
          <cell r="B400">
            <v>3</v>
          </cell>
          <cell r="C400">
            <v>30022</v>
          </cell>
          <cell r="D400" t="str">
            <v>凶鼠ネコを咬む</v>
          </cell>
          <cell r="E400" t="str">
            <v>ドロップイベント6（マルチ専用）</v>
          </cell>
          <cell r="F400">
            <v>2</v>
          </cell>
          <cell r="G400" t="str">
            <v>ja</v>
          </cell>
          <cell r="H400" t="str">
            <v>【超絶級】凶鼠ネコを咬む</v>
          </cell>
          <cell r="I400" t="str">
            <v>超絶級</v>
          </cell>
          <cell r="J400">
            <v>505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6</v>
          </cell>
          <cell r="AD400">
            <v>6</v>
          </cell>
          <cell r="AE400" t="str">
            <v>everyone</v>
          </cell>
        </row>
        <row r="401">
          <cell r="A401" t="str">
            <v>30023_1</v>
          </cell>
          <cell r="B401">
            <v>3</v>
          </cell>
          <cell r="C401">
            <v>30023</v>
          </cell>
          <cell r="D401" t="str">
            <v>隔離からのエスケイプ</v>
          </cell>
          <cell r="E401" t="str">
            <v>ドロップイベント6（マルチ専用）</v>
          </cell>
          <cell r="F401">
            <v>1</v>
          </cell>
          <cell r="G401" t="str">
            <v>ja</v>
          </cell>
          <cell r="H401" t="str">
            <v>【中級】隔離からのエスケイプ</v>
          </cell>
          <cell r="I401" t="str">
            <v>中級</v>
          </cell>
          <cell r="J401">
            <v>506</v>
          </cell>
          <cell r="K401">
            <v>15</v>
          </cell>
          <cell r="L401">
            <v>1200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25</v>
          </cell>
          <cell r="AD401">
            <v>6</v>
          </cell>
          <cell r="AE401" t="str">
            <v>everyone</v>
          </cell>
        </row>
        <row r="402">
          <cell r="A402" t="str">
            <v>30023_2</v>
          </cell>
          <cell r="B402">
            <v>3</v>
          </cell>
          <cell r="C402">
            <v>30023</v>
          </cell>
          <cell r="D402" t="str">
            <v>隔離からのエスケイプ</v>
          </cell>
          <cell r="E402" t="str">
            <v>ドロップイベント6（マルチ専用）</v>
          </cell>
          <cell r="F402">
            <v>2</v>
          </cell>
          <cell r="G402" t="str">
            <v>ja</v>
          </cell>
          <cell r="H402" t="str">
            <v>【上級】隔離からのエスケイプ</v>
          </cell>
          <cell r="I402" t="str">
            <v>上級</v>
          </cell>
          <cell r="J402">
            <v>506</v>
          </cell>
          <cell r="K402">
            <v>20</v>
          </cell>
          <cell r="L402">
            <v>2000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25</v>
          </cell>
          <cell r="AD402">
            <v>6</v>
          </cell>
          <cell r="AE402" t="str">
            <v>everyone</v>
          </cell>
        </row>
        <row r="403">
          <cell r="A403" t="str">
            <v>30023_3</v>
          </cell>
          <cell r="B403">
            <v>3</v>
          </cell>
          <cell r="C403">
            <v>30023</v>
          </cell>
          <cell r="D403" t="str">
            <v>隔離からのエスケイプ</v>
          </cell>
          <cell r="E403" t="str">
            <v>ドロップイベント6（マルチ専用）</v>
          </cell>
          <cell r="F403">
            <v>3</v>
          </cell>
          <cell r="G403" t="str">
            <v>ja</v>
          </cell>
          <cell r="H403" t="str">
            <v>【超級】隔離からのエスケイプ</v>
          </cell>
          <cell r="I403" t="str">
            <v>超級</v>
          </cell>
          <cell r="J403">
            <v>507</v>
          </cell>
          <cell r="K403">
            <v>30</v>
          </cell>
          <cell r="L403">
            <v>3300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25</v>
          </cell>
          <cell r="AD403">
            <v>6</v>
          </cell>
          <cell r="AE403" t="str">
            <v>everyone</v>
          </cell>
        </row>
        <row r="404">
          <cell r="A404" t="str">
            <v>30024_1</v>
          </cell>
          <cell r="B404">
            <v>3</v>
          </cell>
          <cell r="C404">
            <v>30024</v>
          </cell>
          <cell r="D404" t="str">
            <v>雷鎚の選定</v>
          </cell>
          <cell r="E404" t="str">
            <v>ドロップイベント7（マルチ専用）</v>
          </cell>
          <cell r="F404">
            <v>1</v>
          </cell>
          <cell r="G404" t="str">
            <v>ja</v>
          </cell>
          <cell r="H404" t="str">
            <v>【中級】雷鎚の選定</v>
          </cell>
          <cell r="I404" t="str">
            <v>中級</v>
          </cell>
          <cell r="J404">
            <v>583</v>
          </cell>
          <cell r="K404">
            <v>15</v>
          </cell>
          <cell r="L404">
            <v>1200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20</v>
          </cell>
          <cell r="AD404">
            <v>6</v>
          </cell>
          <cell r="AE404" t="str">
            <v>multionly</v>
          </cell>
        </row>
        <row r="405">
          <cell r="A405" t="str">
            <v>30024_2</v>
          </cell>
          <cell r="B405">
            <v>3</v>
          </cell>
          <cell r="C405">
            <v>30024</v>
          </cell>
          <cell r="D405" t="str">
            <v>雷鎚の選定</v>
          </cell>
          <cell r="E405" t="str">
            <v>ドロップイベント7（マルチ専用）</v>
          </cell>
          <cell r="F405">
            <v>2</v>
          </cell>
          <cell r="G405" t="str">
            <v>ja</v>
          </cell>
          <cell r="H405" t="str">
            <v>【上級】雷鎚の選定</v>
          </cell>
          <cell r="I405" t="str">
            <v>上級</v>
          </cell>
          <cell r="J405">
            <v>583</v>
          </cell>
          <cell r="K405">
            <v>20</v>
          </cell>
          <cell r="L405">
            <v>2000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20</v>
          </cell>
          <cell r="AD405">
            <v>6</v>
          </cell>
          <cell r="AE405" t="str">
            <v>multionly</v>
          </cell>
        </row>
        <row r="406">
          <cell r="A406" t="str">
            <v>30024_3</v>
          </cell>
          <cell r="B406">
            <v>3</v>
          </cell>
          <cell r="C406">
            <v>30024</v>
          </cell>
          <cell r="D406" t="str">
            <v>雷鎚の選定</v>
          </cell>
          <cell r="E406" t="str">
            <v>ドロップイベント7（マルチ専用）</v>
          </cell>
          <cell r="F406">
            <v>3</v>
          </cell>
          <cell r="G406" t="str">
            <v>ja</v>
          </cell>
          <cell r="H406" t="str">
            <v>【超級】雷鎚の選定</v>
          </cell>
          <cell r="I406" t="str">
            <v>超級</v>
          </cell>
          <cell r="J406">
            <v>584</v>
          </cell>
          <cell r="K406">
            <v>30</v>
          </cell>
          <cell r="L406">
            <v>3300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polygon</v>
          </cell>
          <cell r="T406">
            <v>1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20</v>
          </cell>
          <cell r="AD406">
            <v>6</v>
          </cell>
          <cell r="AE406" t="str">
            <v>multionly</v>
          </cell>
        </row>
        <row r="407">
          <cell r="A407" t="str">
            <v>30025_1</v>
          </cell>
          <cell r="B407">
            <v>3</v>
          </cell>
          <cell r="C407">
            <v>30025</v>
          </cell>
          <cell r="D407" t="str">
            <v>超級オーズ</v>
          </cell>
          <cell r="E407" t="str">
            <v>ドロップイベント7（マルチ専用）</v>
          </cell>
          <cell r="F407">
            <v>1</v>
          </cell>
          <cell r="G407" t="str">
            <v>ja</v>
          </cell>
          <cell r="H407" t="str">
            <v>【中級】超級オーズ</v>
          </cell>
          <cell r="I407" t="str">
            <v>中級</v>
          </cell>
          <cell r="J407">
            <v>1</v>
          </cell>
          <cell r="K407">
            <v>15</v>
          </cell>
          <cell r="L407">
            <v>1200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7</v>
          </cell>
          <cell r="AD407">
            <v>6</v>
          </cell>
          <cell r="AE407" t="str">
            <v>everyone</v>
          </cell>
        </row>
        <row r="408">
          <cell r="A408" t="str">
            <v>30025_2</v>
          </cell>
          <cell r="B408">
            <v>3</v>
          </cell>
          <cell r="C408">
            <v>30025</v>
          </cell>
          <cell r="D408" t="str">
            <v>超級オーズ</v>
          </cell>
          <cell r="E408" t="str">
            <v>ドロップイベント7（マルチ専用）</v>
          </cell>
          <cell r="F408">
            <v>2</v>
          </cell>
          <cell r="G408" t="str">
            <v>ja</v>
          </cell>
          <cell r="H408" t="str">
            <v>【上級】超級オーズ</v>
          </cell>
          <cell r="I408" t="str">
            <v>上級</v>
          </cell>
          <cell r="J408">
            <v>3</v>
          </cell>
          <cell r="K408">
            <v>20</v>
          </cell>
          <cell r="L408">
            <v>2000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7</v>
          </cell>
          <cell r="AD408">
            <v>6</v>
          </cell>
          <cell r="AE408" t="str">
            <v>everyone</v>
          </cell>
        </row>
        <row r="409">
          <cell r="A409" t="str">
            <v>30025_3</v>
          </cell>
          <cell r="B409">
            <v>3</v>
          </cell>
          <cell r="C409">
            <v>30025</v>
          </cell>
          <cell r="D409" t="str">
            <v>超級オーズ</v>
          </cell>
          <cell r="E409" t="str">
            <v>ドロップイベント7（マルチ専用）</v>
          </cell>
          <cell r="F409">
            <v>3</v>
          </cell>
          <cell r="G409" t="str">
            <v>ja</v>
          </cell>
          <cell r="H409" t="str">
            <v>【超級】超級オーズ</v>
          </cell>
          <cell r="I409" t="str">
            <v>超級</v>
          </cell>
          <cell r="J409">
            <v>5</v>
          </cell>
          <cell r="K409">
            <v>30</v>
          </cell>
          <cell r="L409">
            <v>3300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polygon</v>
          </cell>
          <cell r="T409">
            <v>1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7</v>
          </cell>
          <cell r="AD409">
            <v>6</v>
          </cell>
          <cell r="AE409" t="str">
            <v>everyone</v>
          </cell>
        </row>
        <row r="410">
          <cell r="A410" t="str">
            <v>30026_1</v>
          </cell>
          <cell r="B410">
            <v>1</v>
          </cell>
          <cell r="C410">
            <v>30026</v>
          </cell>
          <cell r="D410" t="str">
            <v>超級ビュグヴィルとベイラ</v>
          </cell>
          <cell r="E410" t="str">
            <v>ドロップイベント7（マルチ専用）</v>
          </cell>
          <cell r="F410">
            <v>1</v>
          </cell>
          <cell r="G410" t="str">
            <v>ja</v>
          </cell>
          <cell r="H410" t="str">
            <v>【中級】超級ビュグヴィルとベイラ</v>
          </cell>
          <cell r="I410" t="str">
            <v>中級</v>
          </cell>
          <cell r="J410">
            <v>577</v>
          </cell>
          <cell r="K410">
            <v>15</v>
          </cell>
          <cell r="L410">
            <v>1200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7</v>
          </cell>
          <cell r="AD410">
            <v>6</v>
          </cell>
          <cell r="AE410" t="str">
            <v>everyone</v>
          </cell>
        </row>
        <row r="411">
          <cell r="A411" t="str">
            <v>30026_2</v>
          </cell>
          <cell r="B411">
            <v>1</v>
          </cell>
          <cell r="C411">
            <v>30026</v>
          </cell>
          <cell r="D411" t="str">
            <v>超級ビュグヴィルとベイラ</v>
          </cell>
          <cell r="E411" t="str">
            <v>ドロップイベント7（マルチ専用）</v>
          </cell>
          <cell r="F411">
            <v>2</v>
          </cell>
          <cell r="G411" t="str">
            <v>ja</v>
          </cell>
          <cell r="H411" t="str">
            <v>【上級】超級ビュグヴィルとベイラ</v>
          </cell>
          <cell r="I411" t="str">
            <v>上級</v>
          </cell>
          <cell r="J411">
            <v>577</v>
          </cell>
          <cell r="K411">
            <v>20</v>
          </cell>
          <cell r="L411">
            <v>2000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30026_3</v>
          </cell>
          <cell r="B412">
            <v>1</v>
          </cell>
          <cell r="C412">
            <v>30026</v>
          </cell>
          <cell r="D412" t="str">
            <v>超級ビュグヴィルとベイラ</v>
          </cell>
          <cell r="E412" t="str">
            <v>ドロップイベント7（マルチ専用）</v>
          </cell>
          <cell r="F412">
            <v>3</v>
          </cell>
          <cell r="G412" t="str">
            <v>ja</v>
          </cell>
          <cell r="H412" t="str">
            <v>【超級】超級ビュグヴィルとベイラ</v>
          </cell>
          <cell r="I412" t="str">
            <v>超級</v>
          </cell>
          <cell r="J412">
            <v>578</v>
          </cell>
          <cell r="K412">
            <v>30</v>
          </cell>
          <cell r="L412">
            <v>3300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polygon</v>
          </cell>
          <cell r="T412">
            <v>1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39001_1</v>
          </cell>
          <cell r="B413">
            <v>3</v>
          </cell>
          <cell r="C413">
            <v>39001</v>
          </cell>
          <cell r="D413" t="str">
            <v>雪の歌姫</v>
          </cell>
          <cell r="E413" t="str">
            <v>コラボクエスト</v>
          </cell>
          <cell r="F413">
            <v>1</v>
          </cell>
          <cell r="G413" t="str">
            <v>ja</v>
          </cell>
          <cell r="H413" t="str">
            <v>【初級】雪の歌姫</v>
          </cell>
          <cell r="I413" t="str">
            <v>初級</v>
          </cell>
          <cell r="J413">
            <v>525</v>
          </cell>
          <cell r="K413">
            <v>8</v>
          </cell>
          <cell r="L413">
            <v>384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909</v>
          </cell>
          <cell r="AD413">
            <v>6</v>
          </cell>
          <cell r="AE413" t="str">
            <v>everyone</v>
          </cell>
        </row>
        <row r="414">
          <cell r="A414" t="str">
            <v>39001_2</v>
          </cell>
          <cell r="B414">
            <v>3</v>
          </cell>
          <cell r="C414">
            <v>39001</v>
          </cell>
          <cell r="D414" t="str">
            <v>雪の歌姫</v>
          </cell>
          <cell r="E414" t="str">
            <v>コラボクエスト</v>
          </cell>
          <cell r="F414">
            <v>2</v>
          </cell>
          <cell r="G414" t="str">
            <v>ja</v>
          </cell>
          <cell r="H414" t="str">
            <v>【中級】雪の歌姫</v>
          </cell>
          <cell r="I414" t="str">
            <v>中級</v>
          </cell>
          <cell r="J414">
            <v>525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909</v>
          </cell>
          <cell r="AD414">
            <v>6</v>
          </cell>
          <cell r="AE414" t="str">
            <v>everyone</v>
          </cell>
        </row>
        <row r="415">
          <cell r="A415" t="str">
            <v>39001_3</v>
          </cell>
          <cell r="B415">
            <v>3</v>
          </cell>
          <cell r="C415">
            <v>39001</v>
          </cell>
          <cell r="D415" t="str">
            <v>雪の歌姫</v>
          </cell>
          <cell r="E415" t="str">
            <v>コラボクエスト</v>
          </cell>
          <cell r="F415">
            <v>3</v>
          </cell>
          <cell r="G415" t="str">
            <v>ja</v>
          </cell>
          <cell r="H415" t="str">
            <v>【上級】雪の歌姫</v>
          </cell>
          <cell r="I415" t="str">
            <v>上級</v>
          </cell>
          <cell r="J415">
            <v>525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909</v>
          </cell>
          <cell r="AD415">
            <v>6</v>
          </cell>
          <cell r="AE415" t="str">
            <v>everyone</v>
          </cell>
        </row>
        <row r="416">
          <cell r="A416" t="str">
            <v>39001_4</v>
          </cell>
          <cell r="B416">
            <v>3</v>
          </cell>
          <cell r="C416">
            <v>39001</v>
          </cell>
          <cell r="D416" t="str">
            <v>雪の歌姫</v>
          </cell>
          <cell r="E416" t="str">
            <v>コラボクエスト</v>
          </cell>
          <cell r="F416">
            <v>4</v>
          </cell>
          <cell r="G416" t="str">
            <v>ja</v>
          </cell>
          <cell r="H416" t="str">
            <v>【超級】雪の歌姫</v>
          </cell>
          <cell r="I416" t="str">
            <v>超級</v>
          </cell>
          <cell r="J416">
            <v>526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909</v>
          </cell>
          <cell r="AD416">
            <v>6</v>
          </cell>
          <cell r="AE416" t="str">
            <v>everyone</v>
          </cell>
        </row>
        <row r="417">
          <cell r="A417" t="str">
            <v>39001_5</v>
          </cell>
          <cell r="B417">
            <v>3</v>
          </cell>
          <cell r="C417">
            <v>39001</v>
          </cell>
          <cell r="D417" t="str">
            <v>雪の歌姫</v>
          </cell>
          <cell r="E417" t="str">
            <v>コラボクエスト</v>
          </cell>
          <cell r="F417">
            <v>5</v>
          </cell>
          <cell r="G417" t="str">
            <v>ja</v>
          </cell>
          <cell r="H417" t="str">
            <v>【超絶級】雪の歌姫</v>
          </cell>
          <cell r="I417" t="str">
            <v>超絶級</v>
          </cell>
          <cell r="J417">
            <v>526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909</v>
          </cell>
          <cell r="AD417">
            <v>6</v>
          </cell>
          <cell r="AE417" t="str">
            <v>everyone</v>
          </cell>
        </row>
        <row r="418">
          <cell r="A418" t="str">
            <v>40001_1</v>
          </cell>
          <cell r="B418">
            <v>3</v>
          </cell>
          <cell r="C418">
            <v>40001</v>
          </cell>
          <cell r="D418" t="str">
            <v>アマテラス襲来！</v>
          </cell>
          <cell r="E418" t="str">
            <v>降臨1</v>
          </cell>
          <cell r="F418">
            <v>1</v>
          </cell>
          <cell r="G418" t="str">
            <v>ja</v>
          </cell>
          <cell r="H418" t="str">
            <v xml:space="preserve">【ウィザード級】アマテラス襲来 </v>
          </cell>
          <cell r="I418" t="str">
            <v>地獄級</v>
          </cell>
          <cell r="J418">
            <v>278</v>
          </cell>
          <cell r="K418">
            <v>35</v>
          </cell>
          <cell r="L418">
            <v>4200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901</v>
          </cell>
          <cell r="AD418">
            <v>6</v>
          </cell>
          <cell r="AE418" t="str">
            <v>everyone</v>
          </cell>
        </row>
        <row r="419">
          <cell r="A419" t="str">
            <v>40002_1</v>
          </cell>
          <cell r="B419">
            <v>3</v>
          </cell>
          <cell r="C419">
            <v>40002</v>
          </cell>
          <cell r="D419" t="str">
            <v>アザゼル襲来！</v>
          </cell>
          <cell r="E419" t="str">
            <v>降臨2</v>
          </cell>
          <cell r="F419">
            <v>1</v>
          </cell>
          <cell r="G419" t="str">
            <v>ja</v>
          </cell>
          <cell r="H419" t="str">
            <v xml:space="preserve">【超級】アザゼル襲来 </v>
          </cell>
          <cell r="I419" t="str">
            <v>超級</v>
          </cell>
          <cell r="J419">
            <v>296</v>
          </cell>
          <cell r="K419">
            <v>25</v>
          </cell>
          <cell r="L419">
            <v>2000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902</v>
          </cell>
          <cell r="AD419">
            <v>6</v>
          </cell>
          <cell r="AE419" t="str">
            <v>everyone</v>
          </cell>
        </row>
        <row r="420">
          <cell r="A420" t="str">
            <v>40002_2</v>
          </cell>
          <cell r="B420">
            <v>3</v>
          </cell>
          <cell r="C420">
            <v>40002</v>
          </cell>
          <cell r="D420" t="str">
            <v>アザゼル襲来！</v>
          </cell>
          <cell r="E420" t="str">
            <v>降臨2</v>
          </cell>
          <cell r="F420">
            <v>2</v>
          </cell>
          <cell r="G420" t="str">
            <v>ja</v>
          </cell>
          <cell r="H420" t="str">
            <v>【超絶級】アザゼル襲来</v>
          </cell>
          <cell r="I420" t="str">
            <v>超絶級</v>
          </cell>
          <cell r="J420">
            <v>297</v>
          </cell>
          <cell r="K420">
            <v>30</v>
          </cell>
          <cell r="L420">
            <v>3300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902</v>
          </cell>
          <cell r="AD420">
            <v>6</v>
          </cell>
          <cell r="AE420" t="str">
            <v>everyone</v>
          </cell>
        </row>
        <row r="421">
          <cell r="A421" t="str">
            <v>40002_3</v>
          </cell>
          <cell r="B421">
            <v>3</v>
          </cell>
          <cell r="C421">
            <v>40002</v>
          </cell>
          <cell r="D421" t="str">
            <v>アザゼル襲来！</v>
          </cell>
          <cell r="E421" t="str">
            <v>降臨2</v>
          </cell>
          <cell r="F421">
            <v>3</v>
          </cell>
          <cell r="G421" t="str">
            <v>ja</v>
          </cell>
          <cell r="H421" t="str">
            <v xml:space="preserve">【ウィザード級】アザゼル襲来 </v>
          </cell>
          <cell r="I421" t="str">
            <v>地獄級</v>
          </cell>
          <cell r="J421">
            <v>297</v>
          </cell>
          <cell r="K421">
            <v>35</v>
          </cell>
          <cell r="L421">
            <v>4200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character</v>
          </cell>
          <cell r="T421">
            <v>296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902</v>
          </cell>
          <cell r="AD421">
            <v>6</v>
          </cell>
          <cell r="AE421" t="str">
            <v>everyone</v>
          </cell>
        </row>
        <row r="422">
          <cell r="A422" t="str">
            <v>40003_1</v>
          </cell>
          <cell r="B422">
            <v>3</v>
          </cell>
          <cell r="C422">
            <v>40003</v>
          </cell>
          <cell r="D422" t="str">
            <v>ジャンヌ襲来！</v>
          </cell>
          <cell r="E422" t="str">
            <v>降臨3</v>
          </cell>
          <cell r="F422">
            <v>1</v>
          </cell>
          <cell r="G422" t="str">
            <v>ja</v>
          </cell>
          <cell r="H422" t="str">
            <v xml:space="preserve">【ウィザード級】ジャンヌ襲来 </v>
          </cell>
          <cell r="I422" t="str">
            <v>地獄級</v>
          </cell>
          <cell r="J422">
            <v>315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character</v>
          </cell>
          <cell r="T422">
            <v>314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903</v>
          </cell>
          <cell r="AD422">
            <v>6</v>
          </cell>
          <cell r="AE422" t="str">
            <v>everyone</v>
          </cell>
        </row>
        <row r="423">
          <cell r="A423" t="str">
            <v>40004_1</v>
          </cell>
          <cell r="B423">
            <v>3</v>
          </cell>
          <cell r="C423">
            <v>40004</v>
          </cell>
          <cell r="D423" t="str">
            <v>宮本武蔵襲来！</v>
          </cell>
          <cell r="E423" t="str">
            <v>降臨4</v>
          </cell>
          <cell r="F423">
            <v>1</v>
          </cell>
          <cell r="G423" t="str">
            <v>ja</v>
          </cell>
          <cell r="H423" t="str">
            <v xml:space="preserve">【ウィザード級】宮本武蔵襲来 </v>
          </cell>
          <cell r="I423" t="str">
            <v>地獄級</v>
          </cell>
          <cell r="J423">
            <v>427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character</v>
          </cell>
          <cell r="T423">
            <v>426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904</v>
          </cell>
          <cell r="AD423">
            <v>6</v>
          </cell>
          <cell r="AE423" t="str">
            <v>everyone</v>
          </cell>
        </row>
        <row r="424">
          <cell r="A424" t="str">
            <v>40005_1</v>
          </cell>
          <cell r="B424">
            <v>3</v>
          </cell>
          <cell r="C424">
            <v>40005</v>
          </cell>
          <cell r="D424" t="str">
            <v>オズ襲来！</v>
          </cell>
          <cell r="E424" t="str">
            <v>降臨5</v>
          </cell>
          <cell r="F424">
            <v>1</v>
          </cell>
          <cell r="G424" t="str">
            <v>ja</v>
          </cell>
          <cell r="H424" t="str">
            <v xml:space="preserve">【ウィザード級】オズ襲来 </v>
          </cell>
          <cell r="I424" t="str">
            <v>地獄級</v>
          </cell>
          <cell r="J424">
            <v>461</v>
          </cell>
          <cell r="K424">
            <v>35</v>
          </cell>
          <cell r="L424">
            <v>4200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character</v>
          </cell>
          <cell r="T424">
            <v>460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906</v>
          </cell>
          <cell r="AD424">
            <v>6</v>
          </cell>
          <cell r="AE424" t="str">
            <v>everyone</v>
          </cell>
        </row>
        <row r="425">
          <cell r="A425" t="str">
            <v>40006_1</v>
          </cell>
          <cell r="B425">
            <v>3</v>
          </cell>
          <cell r="C425">
            <v>40006</v>
          </cell>
          <cell r="D425" t="str">
            <v>アーサー襲来！</v>
          </cell>
          <cell r="E425" t="str">
            <v>降臨6</v>
          </cell>
          <cell r="F425">
            <v>1</v>
          </cell>
          <cell r="G425" t="str">
            <v>ja</v>
          </cell>
          <cell r="H425" t="str">
            <v xml:space="preserve">【ウィザード級】アーサー襲来 </v>
          </cell>
          <cell r="I425" t="str">
            <v>地獄級</v>
          </cell>
          <cell r="J425">
            <v>473</v>
          </cell>
          <cell r="K425">
            <v>35</v>
          </cell>
          <cell r="L425">
            <v>4200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character</v>
          </cell>
          <cell r="T425">
            <v>472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907</v>
          </cell>
          <cell r="AD425">
            <v>6</v>
          </cell>
          <cell r="AE425" t="str">
            <v>everyone</v>
          </cell>
        </row>
        <row r="426">
          <cell r="A426" t="str">
            <v>40007_1</v>
          </cell>
          <cell r="B426">
            <v>3</v>
          </cell>
          <cell r="C426">
            <v>40007</v>
          </cell>
          <cell r="D426" t="str">
            <v>グリム襲来！</v>
          </cell>
          <cell r="E426" t="str">
            <v>降臨7</v>
          </cell>
          <cell r="F426">
            <v>1</v>
          </cell>
          <cell r="G426" t="str">
            <v>ja</v>
          </cell>
          <cell r="H426" t="str">
            <v xml:space="preserve">【ウィザード級】グリム襲来 </v>
          </cell>
          <cell r="I426" t="str">
            <v>地獄級</v>
          </cell>
          <cell r="J426">
            <v>491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character</v>
          </cell>
          <cell r="T426">
            <v>490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908</v>
          </cell>
          <cell r="AD426">
            <v>6</v>
          </cell>
          <cell r="AE426" t="str">
            <v>everyone</v>
          </cell>
        </row>
        <row r="427">
          <cell r="A427" t="str">
            <v>40008_1</v>
          </cell>
          <cell r="B427">
            <v>3</v>
          </cell>
          <cell r="C427">
            <v>40008</v>
          </cell>
          <cell r="D427" t="str">
            <v>Gスター襲来！</v>
          </cell>
          <cell r="E427" t="str">
            <v>降臨8</v>
          </cell>
          <cell r="F427">
            <v>1</v>
          </cell>
          <cell r="G427" t="str">
            <v>ja</v>
          </cell>
          <cell r="H427" t="str">
            <v xml:space="preserve">【ウィザード級】Gスター襲来 </v>
          </cell>
          <cell r="I427" t="str">
            <v>地獄級</v>
          </cell>
          <cell r="J427">
            <v>509</v>
          </cell>
          <cell r="K427">
            <v>35</v>
          </cell>
          <cell r="L427">
            <v>4200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character</v>
          </cell>
          <cell r="T427">
            <v>508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2601</v>
          </cell>
          <cell r="AD427">
            <v>6</v>
          </cell>
          <cell r="AE427" t="str">
            <v>everyone</v>
          </cell>
        </row>
        <row r="428">
          <cell r="A428" t="str">
            <v>40009_1</v>
          </cell>
          <cell r="B428">
            <v>3</v>
          </cell>
          <cell r="C428">
            <v>40009</v>
          </cell>
          <cell r="D428" t="str">
            <v>フギンとムニン襲来！</v>
          </cell>
          <cell r="E428" t="str">
            <v>降臨9</v>
          </cell>
          <cell r="F428">
            <v>1</v>
          </cell>
          <cell r="G428" t="str">
            <v>ja</v>
          </cell>
          <cell r="H428" t="str">
            <v xml:space="preserve">【ウィザード級】フギンとムニン襲来 </v>
          </cell>
          <cell r="I428" t="str">
            <v>地獄級</v>
          </cell>
          <cell r="J428">
            <v>581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character</v>
          </cell>
          <cell r="T428">
            <v>581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25</v>
          </cell>
          <cell r="AD428">
            <v>6</v>
          </cell>
          <cell r="AE428" t="str">
            <v>everyone</v>
          </cell>
        </row>
        <row r="429">
          <cell r="A429" t="str">
            <v>49001_1</v>
          </cell>
          <cell r="B429">
            <v>3</v>
          </cell>
          <cell r="C429">
            <v>49001</v>
          </cell>
          <cell r="D429" t="str">
            <v>熱唱！初音ミクV3</v>
          </cell>
          <cell r="E429" t="str">
            <v>コラボ降臨1</v>
          </cell>
          <cell r="F429">
            <v>1</v>
          </cell>
          <cell r="G429" t="str">
            <v>ja</v>
          </cell>
          <cell r="H429" t="str">
            <v>【ウィザード級】熱唱！初音ミクV3</v>
          </cell>
          <cell r="I429" t="str">
            <v>地獄級</v>
          </cell>
          <cell r="J429">
            <v>528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polygon</v>
          </cell>
          <cell r="T429">
            <v>1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910</v>
          </cell>
          <cell r="AD429">
            <v>6</v>
          </cell>
          <cell r="AE429" t="str">
            <v>everyone</v>
          </cell>
        </row>
        <row r="430">
          <cell r="A430" t="str">
            <v>50001_1</v>
          </cell>
          <cell r="B430">
            <v>3</v>
          </cell>
          <cell r="C430">
            <v>50001</v>
          </cell>
          <cell r="D430" t="str">
            <v>麒麟襲来！</v>
          </cell>
          <cell r="E430" t="str">
            <v>超降臨1</v>
          </cell>
          <cell r="F430">
            <v>1</v>
          </cell>
          <cell r="G430" t="str">
            <v>ja</v>
          </cell>
          <cell r="H430" t="str">
            <v xml:space="preserve">【超ウィザード級】麒麟襲来 </v>
          </cell>
          <cell r="I430" t="str">
            <v>超地獄級</v>
          </cell>
          <cell r="J430">
            <v>328</v>
          </cell>
          <cell r="K430">
            <v>40</v>
          </cell>
          <cell r="L430">
            <v>5200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character</v>
          </cell>
          <cell r="T430">
            <v>432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905</v>
          </cell>
          <cell r="AD430">
            <v>6</v>
          </cell>
          <cell r="AE430" t="str">
            <v>everyone</v>
          </cell>
        </row>
        <row r="431">
          <cell r="A431" t="str">
            <v>50002_1</v>
          </cell>
          <cell r="B431">
            <v>1</v>
          </cell>
          <cell r="C431">
            <v>50002</v>
          </cell>
          <cell r="D431" t="str">
            <v>オーディン襲来！</v>
          </cell>
          <cell r="E431" t="str">
            <v>超降臨2</v>
          </cell>
          <cell r="F431">
            <v>1</v>
          </cell>
          <cell r="G431" t="str">
            <v>ja</v>
          </cell>
          <cell r="H431" t="str">
            <v xml:space="preserve">【超ウィザード級】オーディン襲来 </v>
          </cell>
          <cell r="I431" t="str">
            <v>超地獄級</v>
          </cell>
          <cell r="J431">
            <v>574</v>
          </cell>
          <cell r="K431">
            <v>40</v>
          </cell>
          <cell r="L431">
            <v>5200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character</v>
          </cell>
          <cell r="T431">
            <v>573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905</v>
          </cell>
          <cell r="AD431">
            <v>6</v>
          </cell>
          <cell r="AE431" t="str">
            <v>everyone</v>
          </cell>
        </row>
        <row r="432">
          <cell r="A432" t="str">
            <v>65535_1</v>
          </cell>
          <cell r="B432">
            <v>1</v>
          </cell>
          <cell r="C432">
            <v>65535</v>
          </cell>
          <cell r="D432" t="str">
            <v>★検証専用クエスト★</v>
          </cell>
          <cell r="E432" t="str">
            <v>検証</v>
          </cell>
          <cell r="F432">
            <v>1</v>
          </cell>
          <cell r="G432" t="str">
            <v>ja</v>
          </cell>
          <cell r="H432" t="str">
            <v>テンプレート</v>
          </cell>
          <cell r="I432" t="str">
            <v>検証</v>
          </cell>
          <cell r="J432" t="str">
            <v>NULL</v>
          </cell>
          <cell r="K432">
            <v>1</v>
          </cell>
          <cell r="L432">
            <v>1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903</v>
          </cell>
          <cell r="AD432">
            <v>6</v>
          </cell>
          <cell r="AE432" t="str">
            <v>everyone</v>
          </cell>
        </row>
        <row r="433">
          <cell r="A433" t="str">
            <v>65535_2</v>
          </cell>
          <cell r="B433">
            <v>1</v>
          </cell>
          <cell r="C433">
            <v>65535</v>
          </cell>
          <cell r="D433" t="str">
            <v>★検証専用クエスト★</v>
          </cell>
          <cell r="E433" t="str">
            <v>検証</v>
          </cell>
          <cell r="F433">
            <v>2</v>
          </cell>
          <cell r="G433" t="str">
            <v>ja</v>
          </cell>
          <cell r="H433" t="str">
            <v>ランクアップクエスト</v>
          </cell>
          <cell r="I433" t="str">
            <v>検証</v>
          </cell>
          <cell r="J433" t="str">
            <v>NULL</v>
          </cell>
          <cell r="K433">
            <v>1</v>
          </cell>
          <cell r="L433">
            <v>65535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903</v>
          </cell>
          <cell r="AD433">
            <v>6</v>
          </cell>
          <cell r="AE433" t="str">
            <v>everyone</v>
          </cell>
        </row>
        <row r="434">
          <cell r="A434" t="str">
            <v>65535_3</v>
          </cell>
          <cell r="B434">
            <v>1</v>
          </cell>
          <cell r="C434">
            <v>65535</v>
          </cell>
          <cell r="D434" t="str">
            <v>★検証専用クエスト★</v>
          </cell>
          <cell r="E434" t="str">
            <v>検証</v>
          </cell>
          <cell r="F434">
            <v>3</v>
          </cell>
          <cell r="G434" t="str">
            <v>ja</v>
          </cell>
          <cell r="H434" t="str">
            <v>サンドボックス</v>
          </cell>
          <cell r="I434" t="str">
            <v>検証</v>
          </cell>
          <cell r="J434" t="str">
            <v>NULL</v>
          </cell>
          <cell r="K434">
            <v>1</v>
          </cell>
          <cell r="L434">
            <v>1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105</v>
          </cell>
          <cell r="AD434">
            <v>6</v>
          </cell>
          <cell r="AE434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K25" sqref="K25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239</v>
      </c>
      <c r="B2" s="57" t="s">
        <v>106</v>
      </c>
      <c r="C2" s="63">
        <v>40009</v>
      </c>
      <c r="D2" s="57" t="s">
        <v>107</v>
      </c>
      <c r="E2" s="56" t="str">
        <f>B2&amp;C2&amp;D2</f>
        <v>floors_40009.tmp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239</v>
      </c>
      <c r="B3" s="57" t="s">
        <v>109</v>
      </c>
      <c r="C3" s="63">
        <v>40009</v>
      </c>
      <c r="D3" s="57" t="s">
        <v>107</v>
      </c>
      <c r="E3" s="56" t="str">
        <f>B3&amp;C3&amp;D3</f>
        <v>enemy_habitats_40009.tmp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>
      <c r="A4" s="61" t="s">
        <v>239</v>
      </c>
      <c r="B4" s="57" t="s">
        <v>111</v>
      </c>
      <c r="C4" s="63">
        <v>40009</v>
      </c>
      <c r="D4" s="57" t="s">
        <v>107</v>
      </c>
      <c r="E4" s="56" t="str">
        <f>B4&amp;C4&amp;D4</f>
        <v>enemy_habitat_S_40009.tmp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239</v>
      </c>
      <c r="B5" s="57" t="s">
        <v>113</v>
      </c>
      <c r="C5" s="63">
        <v>40009</v>
      </c>
      <c r="D5" s="57" t="s">
        <v>107</v>
      </c>
      <c r="E5" s="56" t="str">
        <f>B5&amp;C5&amp;D5</f>
        <v>enemy_skill_sets_40009.tmp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239</v>
      </c>
      <c r="B6" s="57" t="s">
        <v>115</v>
      </c>
      <c r="C6" s="63">
        <v>40009</v>
      </c>
      <c r="D6" s="57" t="s">
        <v>116</v>
      </c>
      <c r="E6" s="56" t="str">
        <f t="shared" ref="E6:E10" si="0">B6&amp;C6&amp;D6</f>
        <v>enemy_skills_tmp_40009.tmp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239</v>
      </c>
      <c r="B7" s="57" t="s">
        <v>117</v>
      </c>
      <c r="C7" s="63">
        <v>40009</v>
      </c>
      <c r="D7" s="57" t="s">
        <v>107</v>
      </c>
      <c r="E7" s="56" t="str">
        <f>B7&amp;C7&amp;D7</f>
        <v>enemy_skills_i18n_40009.tmp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239</v>
      </c>
      <c r="B8" s="57" t="s">
        <v>119</v>
      </c>
      <c r="C8" s="63">
        <v>40009</v>
      </c>
      <c r="D8" s="57" t="s">
        <v>120</v>
      </c>
      <c r="E8" s="56" t="str">
        <f t="shared" si="0"/>
        <v>enemy_skill_triggers_40009.tmp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239</v>
      </c>
      <c r="B9" s="68" t="s">
        <v>177</v>
      </c>
      <c r="C9" s="63">
        <v>40009</v>
      </c>
      <c r="D9" s="68" t="s">
        <v>171</v>
      </c>
      <c r="E9" s="69" t="str">
        <f t="shared" si="0"/>
        <v>stage_bug_bonuses_40009.tmp</v>
      </c>
      <c r="F9" s="68" t="s">
        <v>172</v>
      </c>
      <c r="G9" s="65" t="s">
        <v>150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</row>
    <row r="10" spans="1:30" s="76" customFormat="1">
      <c r="A10" s="61" t="s">
        <v>239</v>
      </c>
      <c r="B10" s="68" t="s">
        <v>201</v>
      </c>
      <c r="C10" s="63">
        <v>40009</v>
      </c>
      <c r="D10" s="68" t="s">
        <v>180</v>
      </c>
      <c r="E10" s="69" t="str">
        <f t="shared" si="0"/>
        <v>stage_hints_data_c_40009.tmp</v>
      </c>
      <c r="F10" s="68" t="s">
        <v>209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75" t="s">
        <v>184</v>
      </c>
    </row>
    <row r="11" spans="1:30" s="76" customFormat="1">
      <c r="A11" s="61" t="s">
        <v>239</v>
      </c>
      <c r="B11" s="68" t="s">
        <v>202</v>
      </c>
      <c r="C11" s="63">
        <v>40009</v>
      </c>
      <c r="D11" s="68" t="s">
        <v>171</v>
      </c>
      <c r="E11" s="69" t="str">
        <f t="shared" ref="E11:E12" si="1">B11&amp;C11&amp;D11</f>
        <v>stage_hints_data_f_40009.tmp</v>
      </c>
      <c r="F11" s="68" t="s">
        <v>211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75" t="s">
        <v>184</v>
      </c>
    </row>
    <row r="12" spans="1:30" s="76" customFormat="1">
      <c r="A12" s="61" t="s">
        <v>239</v>
      </c>
      <c r="B12" s="68" t="s">
        <v>203</v>
      </c>
      <c r="C12" s="63">
        <v>40009</v>
      </c>
      <c r="D12" s="68" t="s">
        <v>171</v>
      </c>
      <c r="E12" s="69" t="str">
        <f t="shared" si="1"/>
        <v>stage_hints_i18n_40009.tmp</v>
      </c>
      <c r="F12" s="68" t="s">
        <v>212</v>
      </c>
      <c r="G12" s="74" t="s">
        <v>204</v>
      </c>
      <c r="H12" s="96" t="s">
        <v>205</v>
      </c>
      <c r="I12" s="73" t="s">
        <v>206</v>
      </c>
      <c r="J12" s="97" t="s">
        <v>207</v>
      </c>
      <c r="K12" s="75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H25" sqref="H25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40009_1-1</v>
      </c>
      <c r="B2" s="16" t="str">
        <f>IF(COUNTIF(enemy_habitats!$H:$H,A2),"OK","NG")</f>
        <v>OK</v>
      </c>
      <c r="C2" s="7">
        <v>40009</v>
      </c>
      <c r="D2" s="11" t="str">
        <f ca="1">VLOOKUP($C2,OFFSET([2]quests!$A$1,0,0,COUNTA([2]quests!$A:$A),MATCH(D$1,[2]quests!$1:$1,0)-MATCH($C$1,[2]quests!$1:$1,0)+1),MATCH(D$1,[2]quests!$1:$1,0)-MATCH($C$1,[2]quests!$1:$1,0)+1,FALSE)</f>
        <v>フギンとムニン襲来！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降臨9</v>
      </c>
      <c r="F2" s="21">
        <v>1</v>
      </c>
      <c r="G2" s="23" t="str">
        <f>C2&amp;"_"&amp;F2</f>
        <v>40009_1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【ウィザード級】フギンとムニン襲来 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>G3&amp;"-"&amp;I3</f>
        <v>40009_1-2</v>
      </c>
      <c r="B3" s="16" t="str">
        <f>IF(COUNTIF(enemy_habitats!$H:$H,A3),"OK","NG")</f>
        <v>OK</v>
      </c>
      <c r="C3" s="7">
        <v>40009</v>
      </c>
      <c r="D3" s="11" t="str">
        <f ca="1">VLOOKUP($C3,OFFSET([2]quests!$A$1,0,0,COUNTA([2]quests!$A:$A),MATCH(D$1,[2]quests!$1:$1,0)-MATCH($C$1,[2]quests!$1:$1,0)+1),MATCH(D$1,[2]quests!$1:$1,0)-MATCH($C$1,[2]quests!$1:$1,0)+1,FALSE)</f>
        <v>フギンとムニン襲来！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降臨9</v>
      </c>
      <c r="F3" s="21">
        <v>1</v>
      </c>
      <c r="G3" s="23" t="str">
        <f>C3&amp;"_"&amp;F3</f>
        <v>40009_1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【ウィザード級】フギンとムニン襲来 </v>
      </c>
      <c r="I3" s="21">
        <v>2</v>
      </c>
      <c r="J3" s="12">
        <v>40</v>
      </c>
      <c r="K3" s="12">
        <v>40</v>
      </c>
    </row>
    <row r="4" spans="1:11" ht="21" customHeight="1">
      <c r="A4" s="16" t="str">
        <f>G4&amp;"-"&amp;I4</f>
        <v>40009_1-3</v>
      </c>
      <c r="B4" s="16" t="str">
        <f>IF(COUNTIF(enemy_habitats!$H:$H,A4),"OK","NG")</f>
        <v>OK</v>
      </c>
      <c r="C4" s="7">
        <v>40009</v>
      </c>
      <c r="D4" s="11" t="str">
        <f ca="1">VLOOKUP($C4,OFFSET([2]quests!$A$1,0,0,COUNTA([2]quests!$A:$A),MATCH(D$1,[2]quests!$1:$1,0)-MATCH($C$1,[2]quests!$1:$1,0)+1),MATCH(D$1,[2]quests!$1:$1,0)-MATCH($C$1,[2]quests!$1:$1,0)+1,FALSE)</f>
        <v>フギンとムニン襲来！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降臨9</v>
      </c>
      <c r="F4" s="21">
        <v>1</v>
      </c>
      <c r="G4" s="23" t="str">
        <f>C4&amp;"_"&amp;F4</f>
        <v>40009_1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【ウィザード級】フギンとムニン襲来 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>G5&amp;"-"&amp;I5</f>
        <v>40009_1-4</v>
      </c>
      <c r="B5" s="16" t="str">
        <f>IF(COUNTIF(enemy_habitats!$H:$H,A5),"OK","NG")</f>
        <v>OK</v>
      </c>
      <c r="C5" s="7">
        <v>40009</v>
      </c>
      <c r="D5" s="11" t="str">
        <f ca="1">VLOOKUP($C5,OFFSET([2]quests!$A$1,0,0,COUNTA([2]quests!$A:$A),MATCH(D$1,[2]quests!$1:$1,0)-MATCH($C$1,[2]quests!$1:$1,0)+1),MATCH(D$1,[2]quests!$1:$1,0)-MATCH($C$1,[2]quests!$1:$1,0)+1,FALSE)</f>
        <v>フギンとムニン襲来！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降臨9</v>
      </c>
      <c r="F5" s="21">
        <v>1</v>
      </c>
      <c r="G5" s="23" t="str">
        <f>C5&amp;"_"&amp;F5</f>
        <v>40009_1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【ウィザード級】フギンとムニン襲来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J25" sqref="J25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>
      <c r="A2" s="16" t="str">
        <f t="shared" ref="A2:A8" si="0">B2&amp;"_"&amp;C2&amp;"-"&amp;G2&amp;"/"&amp;L2&amp;"&lt;lv"&amp;R2&amp;"&gt;s"&amp;AA2</f>
        <v>40009_1-1/65&lt;lv58&gt;s2</v>
      </c>
      <c r="B2" s="22">
        <v>40009</v>
      </c>
      <c r="C2" s="21">
        <v>1</v>
      </c>
      <c r="D2" s="2" t="str">
        <f t="shared" ref="D2:D8" si="1">B2&amp;"_"&amp;C2</f>
        <v>40009_1</v>
      </c>
      <c r="E2" s="4" t="str">
        <f ca="1">VLOOKUP($B2,OFFSET([2]quests!$A$1,0,0,COUNTA([2]quests!$A:$A),MATCH(E$1,[2]quests!$1:$1,0)-MATCH($B$1,[2]quests!$1:$1,0)+1),MATCH(E$1,[2]quests!$1:$1,0)-MATCH($B$1,[2]quests!$1:$1,0)+1,FALSE)</f>
        <v>フギンとムニン襲来！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2" s="21">
        <v>1</v>
      </c>
      <c r="H2" s="15" t="str">
        <f t="shared" ref="H2:H8" si="2">B2&amp;"_"&amp;C2&amp;"-"&amp;G2</f>
        <v>40009_1-1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ファイアフォックス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58</v>
      </c>
      <c r="S2" s="25">
        <v>1</v>
      </c>
      <c r="T2" s="25">
        <v>1.4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肉食獣の目をしている！</v>
      </c>
      <c r="W2" s="4">
        <v>40009002</v>
      </c>
      <c r="X2" s="6">
        <v>1</v>
      </c>
      <c r="Y2" s="6">
        <v>100</v>
      </c>
      <c r="Z2" s="6">
        <v>0</v>
      </c>
      <c r="AA2" s="17">
        <v>2</v>
      </c>
      <c r="AB2" s="24">
        <f t="shared" ref="AB2:AB8" si="3">L2</f>
        <v>65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4">
        <f t="shared" ref="AG2:AG8" ca="1" si="4">AD2</f>
        <v>2</v>
      </c>
      <c r="AH2" s="8">
        <v>15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>
      <c r="A3" s="16" t="str">
        <f t="shared" si="0"/>
        <v>40009_1-1/69&lt;lv55&gt;s3</v>
      </c>
      <c r="B3" s="22">
        <v>40009</v>
      </c>
      <c r="C3" s="21">
        <v>1</v>
      </c>
      <c r="D3" s="2" t="str">
        <f t="shared" si="1"/>
        <v>40009_1</v>
      </c>
      <c r="E3" s="4" t="str">
        <f ca="1">VLOOKUP($B3,OFFSET([2]quests!$A$1,0,0,COUNTA([2]quests!$A:$A),MATCH(E$1,[2]quests!$1:$1,0)-MATCH($B$1,[2]quests!$1:$1,0)+1),MATCH(E$1,[2]quests!$1:$1,0)-MATCH($B$1,[2]quests!$1:$1,0)+1,FALSE)</f>
        <v>フギンとムニン襲来！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3" s="21">
        <v>1</v>
      </c>
      <c r="H3" s="15" t="str">
        <f t="shared" si="2"/>
        <v>40009_1-1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213</v>
      </c>
      <c r="L3" s="20">
        <v>69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思想家 ストール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55</v>
      </c>
      <c r="S3" s="25">
        <v>0.7</v>
      </c>
      <c r="T3" s="25">
        <v>0.9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3ターン後にスピードアップ</v>
      </c>
      <c r="W3" s="62">
        <v>40009001</v>
      </c>
      <c r="X3" s="6">
        <v>1</v>
      </c>
      <c r="Y3" s="6">
        <v>100</v>
      </c>
      <c r="Z3" s="6">
        <v>1</v>
      </c>
      <c r="AA3" s="17">
        <v>3</v>
      </c>
      <c r="AB3" s="24">
        <f t="shared" si="3"/>
        <v>69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思想家 ストール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t="shared" ca="1" si="4"/>
        <v>3</v>
      </c>
      <c r="AH3" s="8">
        <v>15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>
      <c r="A4" s="16" t="str">
        <f t="shared" si="0"/>
        <v>40009_1-1/37&lt;lv58&gt;s1</v>
      </c>
      <c r="B4" s="22">
        <v>40009</v>
      </c>
      <c r="C4" s="21">
        <v>1</v>
      </c>
      <c r="D4" s="2" t="str">
        <f t="shared" si="1"/>
        <v>40009_1</v>
      </c>
      <c r="E4" s="4" t="str">
        <f ca="1">VLOOKUP($B4,OFFSET([2]quests!$A$1,0,0,COUNTA([2]quests!$A:$A),MATCH(E$1,[2]quests!$1:$1,0)-MATCH($B$1,[2]quests!$1:$1,0)+1),MATCH(E$1,[2]quests!$1:$1,0)-MATCH($B$1,[2]quests!$1:$1,0)+1,FALSE)</f>
        <v>フギンとムニン襲来！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4" s="21">
        <v>1</v>
      </c>
      <c r="H4" s="15" t="str">
        <f t="shared" si="2"/>
        <v>40009_1-1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214</v>
      </c>
      <c r="L4" s="20">
        <v>37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ガイル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58</v>
      </c>
      <c r="S4" s="25">
        <v>1</v>
      </c>
      <c r="T4" s="25">
        <v>1.8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ウィルスに罹患している！</v>
      </c>
      <c r="W4" s="62">
        <v>40009003</v>
      </c>
      <c r="X4" s="6">
        <v>1</v>
      </c>
      <c r="Y4" s="6">
        <v>100</v>
      </c>
      <c r="Z4" s="6">
        <v>0</v>
      </c>
      <c r="AA4" s="17">
        <v>1</v>
      </c>
      <c r="AB4" s="24">
        <f t="shared" si="3"/>
        <v>37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ガイル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Drop1S</v>
      </c>
      <c r="AF4" s="7">
        <v>1</v>
      </c>
      <c r="AG4" s="24">
        <f t="shared" ca="1" si="4"/>
        <v>2</v>
      </c>
      <c r="AH4" s="8">
        <v>15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>
      <c r="A5" s="16" t="str">
        <f t="shared" si="0"/>
        <v>40009_1-2/284&lt;lv60&gt;s1</v>
      </c>
      <c r="B5" s="22">
        <v>40009</v>
      </c>
      <c r="C5" s="21">
        <v>1</v>
      </c>
      <c r="D5" s="2" t="str">
        <f t="shared" si="1"/>
        <v>40009_1</v>
      </c>
      <c r="E5" s="4" t="str">
        <f ca="1">VLOOKUP($B5,OFFSET([2]quests!$A$1,0,0,COUNTA([2]quests!$A:$A),MATCH(E$1,[2]quests!$1:$1,0)-MATCH($B$1,[2]quests!$1:$1,0)+1),MATCH(E$1,[2]quests!$1:$1,0)-MATCH($B$1,[2]quests!$1:$1,0)+1,FALSE)</f>
        <v>フギンとムニン襲来！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5" s="21">
        <v>2</v>
      </c>
      <c r="H5" s="15" t="str">
        <f t="shared" si="2"/>
        <v>40009_1-2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>
        <v>1</v>
      </c>
      <c r="L5" s="20">
        <v>284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フェルニゲシュ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dragon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60</v>
      </c>
      <c r="S5" s="25">
        <v>1.2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3ターン回復力DOWN</v>
      </c>
      <c r="W5" s="62">
        <v>40009004</v>
      </c>
      <c r="X5" s="6">
        <v>1</v>
      </c>
      <c r="Y5" s="6">
        <v>100</v>
      </c>
      <c r="Z5" s="6">
        <v>0</v>
      </c>
      <c r="AA5" s="17">
        <v>1</v>
      </c>
      <c r="AB5" s="24">
        <f t="shared" si="3"/>
        <v>284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フェルニゲシュ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Drop2W</v>
      </c>
      <c r="AF5" s="7">
        <v>1</v>
      </c>
      <c r="AG5" s="24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>
      <c r="A6" s="16" t="str">
        <f t="shared" si="0"/>
        <v>40009_1-2/286&lt;lv60&gt;s2</v>
      </c>
      <c r="B6" s="22">
        <v>40009</v>
      </c>
      <c r="C6" s="21">
        <v>1</v>
      </c>
      <c r="D6" s="2" t="str">
        <f t="shared" si="1"/>
        <v>40009_1</v>
      </c>
      <c r="E6" s="4" t="str">
        <f ca="1">VLOOKUP($B6,OFFSET([2]quests!$A$1,0,0,COUNTA([2]quests!$A:$A),MATCH(E$1,[2]quests!$1:$1,0)-MATCH($B$1,[2]quests!$1:$1,0)+1),MATCH(E$1,[2]quests!$1:$1,0)-MATCH($B$1,[2]quests!$1:$1,0)+1,FALSE)</f>
        <v>フギンとムニン襲来！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6" s="21">
        <v>2</v>
      </c>
      <c r="H6" s="15" t="str">
        <f t="shared" si="2"/>
        <v>40009_1-2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38">
        <v>2</v>
      </c>
      <c r="L6" s="20">
        <v>286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ヒュドラ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60</v>
      </c>
      <c r="S6" s="25">
        <v>1.2</v>
      </c>
      <c r="T6" s="25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5ターンの間ダメージを受ける</v>
      </c>
      <c r="W6" s="62">
        <v>40009006</v>
      </c>
      <c r="X6" s="6">
        <v>1</v>
      </c>
      <c r="Y6" s="6">
        <v>100</v>
      </c>
      <c r="Z6" s="6">
        <v>0</v>
      </c>
      <c r="AA6" s="17">
        <v>2</v>
      </c>
      <c r="AB6" s="24">
        <f t="shared" si="3"/>
        <v>286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ヒュドラ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Drop2W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>
      <c r="A7" s="16" t="str">
        <f t="shared" si="0"/>
        <v>40009_1-3/402&lt;lv60&gt;s1</v>
      </c>
      <c r="B7" s="22">
        <v>40009</v>
      </c>
      <c r="C7" s="21">
        <v>1</v>
      </c>
      <c r="D7" s="2" t="str">
        <f t="shared" si="1"/>
        <v>40009_1</v>
      </c>
      <c r="E7" s="4" t="str">
        <f ca="1">VLOOKUP($B7,OFFSET([2]quests!$A$1,0,0,COUNTA([2]quests!$A:$A),MATCH(E$1,[2]quests!$1:$1,0)-MATCH($B$1,[2]quests!$1:$1,0)+1),MATCH(E$1,[2]quests!$1:$1,0)-MATCH($B$1,[2]quests!$1:$1,0)+1,FALSE)</f>
        <v>フギンとムニン襲来！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7" s="21">
        <v>3</v>
      </c>
      <c r="H7" s="15" t="str">
        <f t="shared" si="2"/>
        <v>40009_1-3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218</v>
      </c>
      <c r="L7" s="20">
        <v>402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天災の神狼 フェンリル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60</v>
      </c>
      <c r="S7" s="25">
        <v>2</v>
      </c>
      <c r="T7" s="25">
        <v>0.7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防御力特大UP</v>
      </c>
      <c r="W7" s="62">
        <v>40009008</v>
      </c>
      <c r="X7" s="6">
        <v>1</v>
      </c>
      <c r="Y7" s="6">
        <v>100</v>
      </c>
      <c r="Z7" s="6">
        <v>0</v>
      </c>
      <c r="AA7" s="17">
        <v>1</v>
      </c>
      <c r="AB7" s="24">
        <f t="shared" si="3"/>
        <v>402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天災の神狼 フェンリル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5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>
      <c r="A8" s="16" t="str">
        <f t="shared" si="0"/>
        <v>40009_1-4/581&lt;lv60&gt;s2</v>
      </c>
      <c r="B8" s="22">
        <v>40009</v>
      </c>
      <c r="C8" s="21">
        <v>1</v>
      </c>
      <c r="D8" s="2" t="str">
        <f t="shared" si="1"/>
        <v>40009_1</v>
      </c>
      <c r="E8" s="4" t="str">
        <f ca="1">VLOOKUP($B8,OFFSET([2]quests!$A$1,0,0,COUNTA([2]quests!$A:$A),MATCH(E$1,[2]quests!$1:$1,0)-MATCH($B$1,[2]quests!$1:$1,0)+1),MATCH(E$1,[2]quests!$1:$1,0)-MATCH($B$1,[2]quests!$1:$1,0)+1,FALSE)</f>
        <v>フギンとムニン襲来！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8" s="21">
        <v>4</v>
      </c>
      <c r="H8" s="15" t="str">
        <f t="shared" si="2"/>
        <v>40009_1-4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581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フギンとムニン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5">
        <v>3</v>
      </c>
      <c r="T8" s="25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8" s="62">
        <v>40009009</v>
      </c>
      <c r="X8" s="6">
        <v>1</v>
      </c>
      <c r="Y8" s="6">
        <v>100</v>
      </c>
      <c r="Z8" s="6">
        <v>0</v>
      </c>
      <c r="AA8" s="17">
        <v>2</v>
      </c>
      <c r="AB8" s="24">
        <f t="shared" si="3"/>
        <v>581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フギンとムニン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4">
        <f t="shared" ca="1" si="4"/>
        <v>4</v>
      </c>
      <c r="AH8" s="8">
        <v>30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H35" sqref="H35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.5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40009_1-2/284&lt;lv60&gt;sq1st2</v>
      </c>
      <c r="B2" s="22">
        <v>40009</v>
      </c>
      <c r="C2" s="21">
        <v>1</v>
      </c>
      <c r="D2" s="2" t="str">
        <f>B2&amp;"_"&amp;C2</f>
        <v>40009_1</v>
      </c>
      <c r="E2" s="4" t="str">
        <f ca="1">VLOOKUP($B2,OFFSET([2]quests!$A$1,0,0,COUNTA([2]quests!$A:$A),MATCH(E$1,[2]quests!$1:$1,0)-MATCH($B$1,[2]quests!$1:$1,0)+1),MATCH(E$1,[2]quests!$1:$1,0)-MATCH($B$1,[2]quests!$1:$1,0)+1,FALSE)</f>
        <v>フギンとムニン襲来！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2" s="21">
        <v>2</v>
      </c>
      <c r="H2" s="15" t="str">
        <f>B2&amp;"_"&amp;C2&amp;"-"&amp;G2</f>
        <v>40009_1-2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>
        <v>1</v>
      </c>
      <c r="L2" s="38">
        <v>2</v>
      </c>
      <c r="M2" s="20">
        <v>284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フェルニゲシュ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Drop2W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60</v>
      </c>
      <c r="T2" s="25">
        <v>1.2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40009005</v>
      </c>
      <c r="Y2" s="71">
        <v>1</v>
      </c>
    </row>
    <row r="3" spans="1:25" ht="21" customHeight="1">
      <c r="A3" s="16" t="str">
        <f>B3&amp;"_"&amp;C3&amp;"-"&amp;G3&amp;"/"&amp;M3&amp;"&lt;lv"&amp;S3&amp;"&gt;sq"&amp;K3&amp;"st"&amp;L3</f>
        <v>40009_1-2/286&lt;lv60&gt;sq2st2</v>
      </c>
      <c r="B3" s="22">
        <v>40009</v>
      </c>
      <c r="C3" s="21">
        <v>1</v>
      </c>
      <c r="D3" s="2" t="str">
        <f>B3&amp;"_"&amp;C3</f>
        <v>40009_1</v>
      </c>
      <c r="E3" s="4" t="str">
        <f ca="1">VLOOKUP($B3,OFFSET([2]quests!$A$1,0,0,COUNTA([2]quests!$A:$A),MATCH(E$1,[2]quests!$1:$1,0)-MATCH($B$1,[2]quests!$1:$1,0)+1),MATCH(E$1,[2]quests!$1:$1,0)-MATCH($B$1,[2]quests!$1:$1,0)+1,FALSE)</f>
        <v>フギンとムニン襲来！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3" s="21">
        <v>2</v>
      </c>
      <c r="H3" s="15" t="str">
        <f>B3&amp;"_"&amp;C3&amp;"-"&amp;G3</f>
        <v>40009_1-2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>
        <v>2</v>
      </c>
      <c r="L3" s="38">
        <v>2</v>
      </c>
      <c r="M3" s="20">
        <v>286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ヒュドラ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Drop2W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60</v>
      </c>
      <c r="T3" s="25">
        <v>1.2</v>
      </c>
      <c r="U3" s="25">
        <v>0.8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40009007</v>
      </c>
      <c r="Y3" s="71">
        <v>2</v>
      </c>
    </row>
    <row r="4" spans="1:25" ht="21" customHeight="1">
      <c r="A4" s="16" t="str">
        <f>B4&amp;"_"&amp;C4&amp;"-"&amp;G4&amp;"/"&amp;M4&amp;"&lt;lv"&amp;S4&amp;"&gt;sq"&amp;K4&amp;"st"&amp;L4</f>
        <v>40009_1-4/582&lt;lv60&gt;sq3st2</v>
      </c>
      <c r="B4" s="22">
        <v>40009</v>
      </c>
      <c r="C4" s="21">
        <v>1</v>
      </c>
      <c r="D4" s="2" t="str">
        <f>B4&amp;"_"&amp;C4</f>
        <v>40009_1</v>
      </c>
      <c r="E4" s="4" t="str">
        <f ca="1">VLOOKUP($B4,OFFSET([2]quests!$A$1,0,0,COUNTA([2]quests!$A:$A),MATCH(E$1,[2]quests!$1:$1,0)-MATCH($B$1,[2]quests!$1:$1,0)+1),MATCH(E$1,[2]quests!$1:$1,0)-MATCH($B$1,[2]quests!$1:$1,0)+1,FALSE)</f>
        <v>フギンとムニン襲来！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4" s="21">
        <v>4</v>
      </c>
      <c r="H4" s="15" t="str">
        <f>B4&amp;"_"&amp;C4&amp;"-"&amp;G4</f>
        <v>40009_1-4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582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空を駆る神脳 フギンとムニン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machine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3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40009010</v>
      </c>
      <c r="Y4" s="71">
        <v>2</v>
      </c>
    </row>
    <row r="5" spans="1:25" ht="21" customHeight="1">
      <c r="A5" s="16" t="str">
        <f>B5&amp;"_"&amp;C5&amp;"-"&amp;G5&amp;"/"&amp;M5&amp;"&lt;lv"&amp;S5&amp;"&gt;sq"&amp;K5&amp;"st"&amp;L5</f>
        <v>40009_1-4/582&lt;lv60&gt;sq3st3</v>
      </c>
      <c r="B5" s="22">
        <v>40009</v>
      </c>
      <c r="C5" s="21">
        <v>1</v>
      </c>
      <c r="D5" s="2" t="str">
        <f>B5&amp;"_"&amp;C5</f>
        <v>40009_1</v>
      </c>
      <c r="E5" s="4" t="str">
        <f ca="1">VLOOKUP($B5,OFFSET([2]quests!$A$1,0,0,COUNTA([2]quests!$A:$A),MATCH(E$1,[2]quests!$1:$1,0)-MATCH($B$1,[2]quests!$1:$1,0)+1),MATCH(E$1,[2]quests!$1:$1,0)-MATCH($B$1,[2]quests!$1:$1,0)+1,FALSE)</f>
        <v>フギンとムニン襲来！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【ウィザード級】フギンとムニン襲来 </v>
      </c>
      <c r="G5" s="21">
        <v>4</v>
      </c>
      <c r="H5" s="15" t="str">
        <f>B5&amp;"_"&amp;C5&amp;"-"&amp;G5</f>
        <v>40009_1-4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582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空を駆る神脳 フギンとムニン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machine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3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40009011</v>
      </c>
      <c r="Y5" s="71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1"/>
  <sheetViews>
    <sheetView showGridLines="0" workbookViewId="0">
      <pane xSplit="5" ySplit="1" topLeftCell="F23" activePane="bottomRight" state="frozen"/>
      <selection pane="topRight"/>
      <selection pane="bottomLeft"/>
      <selection pane="bottomRight" activeCell="H55" sqref="H55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40009001_40009049</v>
      </c>
      <c r="B2" s="47">
        <v>40009001</v>
      </c>
      <c r="C2" s="47">
        <v>40009049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バックドア構築中…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3ターン後にスピードアップ</v>
      </c>
      <c r="F2" s="47">
        <v>40009005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 t="s">
        <v>263</v>
      </c>
      <c r="Q2" s="106">
        <f ca="1">TODAY()</f>
        <v>42408</v>
      </c>
      <c r="R2" s="104" t="s">
        <v>264</v>
      </c>
    </row>
    <row r="3" spans="1:18" ht="21" customHeight="1">
      <c r="A3" s="39" t="str">
        <f t="shared" ref="A3:A4" si="1">B3&amp;"_"&amp;C3</f>
        <v>40009001_40009001</v>
      </c>
      <c r="B3" s="47">
        <v>40009001</v>
      </c>
      <c r="C3" s="47">
        <v>40009001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ダブルホーン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3" s="47">
        <v>40009001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 t="s">
        <v>263</v>
      </c>
      <c r="Q3" s="106">
        <f ca="1">TODAY()</f>
        <v>42408</v>
      </c>
      <c r="R3" s="104" t="s">
        <v>264</v>
      </c>
    </row>
    <row r="4" spans="1:18" ht="21" customHeight="1">
      <c r="A4" s="39" t="str">
        <f t="shared" si="1"/>
        <v>40009001_40009046</v>
      </c>
      <c r="B4" s="47">
        <v>40009001</v>
      </c>
      <c r="C4" s="47">
        <v>40009046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攻撃開始！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スピードアップ</v>
      </c>
      <c r="F4" s="47">
        <v>40009046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 t="s">
        <v>263</v>
      </c>
      <c r="Q4" s="106">
        <f t="shared" ref="Q4:Q51" ca="1" si="2">TODAY()</f>
        <v>42408</v>
      </c>
      <c r="R4" s="105" t="s">
        <v>264</v>
      </c>
    </row>
    <row r="5" spans="1:18" ht="21" customHeight="1">
      <c r="A5" s="39" t="str">
        <f t="shared" ref="A5:A37" si="3">B5&amp;"_"&amp;C5</f>
        <v>40009001_40009002</v>
      </c>
      <c r="B5" s="47">
        <v>40009001</v>
      </c>
      <c r="C5" s="47">
        <v>40009002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シングルホーン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" s="47">
        <v>40009002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 t="s">
        <v>263</v>
      </c>
      <c r="Q5" s="106">
        <f t="shared" ca="1" si="2"/>
        <v>42408</v>
      </c>
      <c r="R5" s="105" t="s">
        <v>264</v>
      </c>
    </row>
    <row r="6" spans="1:18" ht="21" customHeight="1">
      <c r="A6" s="39" t="str">
        <f t="shared" ref="A6" si="4">B6&amp;"_"&amp;C6</f>
        <v>40009002_40009048</v>
      </c>
      <c r="B6" s="47">
        <v>40009002</v>
      </c>
      <c r="C6" s="47">
        <v>40009048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ガルルルル！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肉食獣の目をしている！</v>
      </c>
      <c r="F6" s="47">
        <v>40009005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 t="s">
        <v>263</v>
      </c>
      <c r="Q6" s="106">
        <f t="shared" ca="1" si="2"/>
        <v>42408</v>
      </c>
      <c r="R6" s="105" t="s">
        <v>265</v>
      </c>
    </row>
    <row r="7" spans="1:18" ht="21" customHeight="1">
      <c r="A7" s="39" t="str">
        <f t="shared" si="3"/>
        <v>40009002_40009003</v>
      </c>
      <c r="B7" s="47">
        <v>40009002</v>
      </c>
      <c r="C7" s="47">
        <v>40009003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アンチアニマルプラグイン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種族アニマルに大ダメージ！</v>
      </c>
      <c r="F7" s="47">
        <v>40009003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 t="s">
        <v>263</v>
      </c>
      <c r="Q7" s="106">
        <f t="shared" ca="1" si="2"/>
        <v>42408</v>
      </c>
      <c r="R7" s="105" t="s">
        <v>265</v>
      </c>
    </row>
    <row r="8" spans="1:18" ht="21" customHeight="1">
      <c r="A8" s="39" t="str">
        <f t="shared" ref="A8" si="5">B8&amp;"_"&amp;C8</f>
        <v>40009003_40009047</v>
      </c>
      <c r="B8" s="47">
        <v>40009003</v>
      </c>
      <c r="C8" s="47">
        <v>40009047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ご質問をｗｗどうぞｗｗｗ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ウィルスに罹患している！</v>
      </c>
      <c r="F8" s="47">
        <v>40009005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 t="s">
        <v>263</v>
      </c>
      <c r="Q8" s="106">
        <f t="shared" ca="1" si="2"/>
        <v>42408</v>
      </c>
      <c r="R8" s="105" t="s">
        <v>266</v>
      </c>
    </row>
    <row r="9" spans="1:18" ht="21" customHeight="1">
      <c r="A9" s="39" t="str">
        <f t="shared" si="3"/>
        <v>40009003_40009004</v>
      </c>
      <c r="B9" s="47">
        <v>40009003</v>
      </c>
      <c r="C9" s="47">
        <v>40009004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逆にお前を消す方法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種族マシンに大ダメージ！</v>
      </c>
      <c r="F9" s="47">
        <v>40009004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 t="s">
        <v>263</v>
      </c>
      <c r="Q9" s="106">
        <f t="shared" ca="1" si="2"/>
        <v>42408</v>
      </c>
      <c r="R9" s="105" t="s">
        <v>266</v>
      </c>
    </row>
    <row r="10" spans="1:18" ht="21" customHeight="1">
      <c r="A10" s="39" t="str">
        <f t="shared" si="3"/>
        <v>40009004_40009005</v>
      </c>
      <c r="B10" s="47">
        <v>40009004</v>
      </c>
      <c r="C10" s="47">
        <v>40009005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ヒールジャミング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3ターン回復力DOWN</v>
      </c>
      <c r="F10" s="47">
        <v>40009005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 t="s">
        <v>263</v>
      </c>
      <c r="Q10" s="106">
        <f t="shared" ca="1" si="2"/>
        <v>42408</v>
      </c>
      <c r="R10" s="105" t="s">
        <v>267</v>
      </c>
    </row>
    <row r="11" spans="1:18" ht="21" customHeight="1">
      <c r="A11" s="39" t="str">
        <f t="shared" si="3"/>
        <v>40009004_40009006</v>
      </c>
      <c r="B11" s="47">
        <v>40009004</v>
      </c>
      <c r="C11" s="47">
        <v>40009006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アンチハート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4ターンハートパネルが出現しない</v>
      </c>
      <c r="F11" s="47">
        <v>40009006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 t="s">
        <v>263</v>
      </c>
      <c r="Q11" s="106">
        <f t="shared" ca="1" si="2"/>
        <v>42408</v>
      </c>
      <c r="R11" s="105" t="s">
        <v>267</v>
      </c>
    </row>
    <row r="12" spans="1:18" ht="21" customHeight="1">
      <c r="A12" s="39" t="str">
        <f t="shared" si="3"/>
        <v>40009004_40009007</v>
      </c>
      <c r="B12" s="47">
        <v>40009004</v>
      </c>
      <c r="C12" s="47">
        <v>40009007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黒煙ブラスト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1ターンパネルの色がわからない</v>
      </c>
      <c r="F12" s="47">
        <v>40009007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 t="s">
        <v>263</v>
      </c>
      <c r="Q12" s="106">
        <f t="shared" ca="1" si="2"/>
        <v>42408</v>
      </c>
      <c r="R12" s="105" t="s">
        <v>267</v>
      </c>
    </row>
    <row r="13" spans="1:18" ht="21" customHeight="1">
      <c r="A13" s="39" t="str">
        <f t="shared" si="3"/>
        <v>40009004_40009008</v>
      </c>
      <c r="B13" s="47">
        <v>40009004</v>
      </c>
      <c r="C13" s="47">
        <v>40009008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金轟サンダーボルト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3" s="47">
        <v>40009008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7" t="s">
        <v>263</v>
      </c>
      <c r="Q13" s="106">
        <f t="shared" ca="1" si="2"/>
        <v>42408</v>
      </c>
      <c r="R13" s="105" t="s">
        <v>267</v>
      </c>
    </row>
    <row r="14" spans="1:18" ht="21" customHeight="1">
      <c r="A14" s="39" t="str">
        <f t="shared" si="3"/>
        <v>40009005_40009009</v>
      </c>
      <c r="B14" s="47">
        <v>40009005</v>
      </c>
      <c r="C14" s="47">
        <v>40009009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マグネコート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4" s="47">
        <v>40009009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 t="s">
        <v>263</v>
      </c>
      <c r="Q14" s="106">
        <f t="shared" ca="1" si="2"/>
        <v>42408</v>
      </c>
      <c r="R14" s="105" t="s">
        <v>268</v>
      </c>
    </row>
    <row r="15" spans="1:18" ht="21" customHeight="1">
      <c r="A15" s="39" t="str">
        <f t="shared" si="3"/>
        <v>40009005_40009010</v>
      </c>
      <c r="B15" s="47">
        <v>40009005</v>
      </c>
      <c r="C15" s="47">
        <v>40009010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電力吸収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回復</v>
      </c>
      <c r="F15" s="47">
        <v>40009010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" s="47" t="s">
        <v>263</v>
      </c>
      <c r="Q15" s="106">
        <f t="shared" ca="1" si="2"/>
        <v>42408</v>
      </c>
      <c r="R15" s="105" t="s">
        <v>268</v>
      </c>
    </row>
    <row r="16" spans="1:18" ht="21" customHeight="1">
      <c r="A16" s="39" t="str">
        <f t="shared" si="3"/>
        <v>40009005_40009011</v>
      </c>
      <c r="B16" s="47">
        <v>40009005</v>
      </c>
      <c r="C16" s="47">
        <v>40009011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雷鳴ドラゴンエッグ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黄色パネルを時限式パネルに変換</v>
      </c>
      <c r="F16" s="47">
        <v>40009011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 t="s">
        <v>263</v>
      </c>
      <c r="Q16" s="106">
        <f t="shared" ca="1" si="2"/>
        <v>42408</v>
      </c>
      <c r="R16" s="105" t="s">
        <v>268</v>
      </c>
    </row>
    <row r="17" spans="1:18" ht="21" customHeight="1">
      <c r="A17" s="39" t="str">
        <f t="shared" si="3"/>
        <v>40009005_40009012</v>
      </c>
      <c r="B17" s="47">
        <v>40009005</v>
      </c>
      <c r="C17" s="47">
        <v>40009012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流氷ドラゴンエッグ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青パネルを時限式パネルに変換</v>
      </c>
      <c r="F17" s="47">
        <v>40009012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 t="s">
        <v>263</v>
      </c>
      <c r="Q17" s="106">
        <f t="shared" ca="1" si="2"/>
        <v>42408</v>
      </c>
      <c r="R17" s="105" t="s">
        <v>268</v>
      </c>
    </row>
    <row r="18" spans="1:18" ht="21" customHeight="1">
      <c r="A18" s="39" t="str">
        <f t="shared" si="3"/>
        <v>40009005_40009013</v>
      </c>
      <c r="B18" s="47">
        <v>40009005</v>
      </c>
      <c r="C18" s="47">
        <v>40009013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爆炎ドラゴンエッグ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赤パネルを時限式パネルに変換</v>
      </c>
      <c r="F18" s="47">
        <v>40009013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 t="s">
        <v>263</v>
      </c>
      <c r="Q18" s="106">
        <f t="shared" ca="1" si="2"/>
        <v>42408</v>
      </c>
      <c r="R18" s="105" t="s">
        <v>268</v>
      </c>
    </row>
    <row r="19" spans="1:18" ht="21" customHeight="1">
      <c r="A19" s="39" t="str">
        <f t="shared" si="3"/>
        <v>40009005_40009014</v>
      </c>
      <c r="B19" s="47">
        <v>40009005</v>
      </c>
      <c r="C19" s="47">
        <v>40009014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深緑ドラゴンエッグ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緑パネルを時限式パネルに変換</v>
      </c>
      <c r="F19" s="47">
        <v>40009014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 t="s">
        <v>263</v>
      </c>
      <c r="Q19" s="106">
        <f t="shared" ca="1" si="2"/>
        <v>42408</v>
      </c>
      <c r="R19" s="105" t="s">
        <v>268</v>
      </c>
    </row>
    <row r="20" spans="1:18" ht="21" customHeight="1">
      <c r="A20" s="39" t="str">
        <f t="shared" si="3"/>
        <v>40009006_40009015</v>
      </c>
      <c r="B20" s="47">
        <v>40009006</v>
      </c>
      <c r="C20" s="47">
        <v>40009015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延焼ウィルス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5ターンの間ダメージを受ける</v>
      </c>
      <c r="F20" s="47">
        <v>40009015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 t="s">
        <v>263</v>
      </c>
      <c r="Q20" s="106">
        <f t="shared" ca="1" si="2"/>
        <v>42408</v>
      </c>
      <c r="R20" s="105" t="s">
        <v>269</v>
      </c>
    </row>
    <row r="21" spans="1:18" ht="21" customHeight="1">
      <c r="A21" s="39" t="str">
        <f t="shared" si="3"/>
        <v>40009006_40009016</v>
      </c>
      <c r="B21" s="47">
        <v>40009006</v>
      </c>
      <c r="C21" s="47">
        <v>40009016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溶鉱フレア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種族マシンに大ダメージ！</v>
      </c>
      <c r="F21" s="47">
        <v>40009016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31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 t="s">
        <v>263</v>
      </c>
      <c r="Q21" s="106">
        <f t="shared" ca="1" si="2"/>
        <v>42408</v>
      </c>
      <c r="R21" s="105" t="s">
        <v>269</v>
      </c>
    </row>
    <row r="22" spans="1:18" ht="21" customHeight="1">
      <c r="A22" s="39" t="str">
        <f t="shared" si="3"/>
        <v>40009006_40009017</v>
      </c>
      <c r="B22" s="47">
        <v>40009006</v>
      </c>
      <c r="C22" s="47">
        <v>40009017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ヒートチャージ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次のターンに大ダメージ</v>
      </c>
      <c r="F22" s="47">
        <v>40009017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 t="s">
        <v>263</v>
      </c>
      <c r="Q22" s="106">
        <f t="shared" ca="1" si="2"/>
        <v>42408</v>
      </c>
      <c r="R22" s="105" t="s">
        <v>269</v>
      </c>
    </row>
    <row r="23" spans="1:18" ht="21" customHeight="1">
      <c r="A23" s="39" t="str">
        <f t="shared" si="3"/>
        <v>40009007_40009018</v>
      </c>
      <c r="B23" s="47">
        <v>40009007</v>
      </c>
      <c r="C23" s="47">
        <v>40009018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メタリックコート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3" s="47">
        <v>40009018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 t="s">
        <v>263</v>
      </c>
      <c r="Q23" s="106">
        <f t="shared" ca="1" si="2"/>
        <v>42408</v>
      </c>
      <c r="R23" s="105" t="s">
        <v>270</v>
      </c>
    </row>
    <row r="24" spans="1:18" ht="21" customHeight="1">
      <c r="A24" s="39" t="str">
        <f t="shared" si="3"/>
        <v>40009007_40009019</v>
      </c>
      <c r="B24" s="47">
        <v>40009007</v>
      </c>
      <c r="C24" s="47">
        <v>40009019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ホーミングミサイル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4" s="47">
        <v>40009019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7" t="s">
        <v>263</v>
      </c>
      <c r="Q24" s="106">
        <f t="shared" ca="1" si="2"/>
        <v>42408</v>
      </c>
      <c r="R24" s="105" t="s">
        <v>270</v>
      </c>
    </row>
    <row r="25" spans="1:18" ht="21" customHeight="1">
      <c r="A25" s="39" t="str">
        <f t="shared" si="3"/>
        <v>40009007_40009020</v>
      </c>
      <c r="B25" s="47">
        <v>40009007</v>
      </c>
      <c r="C25" s="47">
        <v>40009020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燃料圧縮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次のターンに敵全体パワーアップ</v>
      </c>
      <c r="F25" s="47">
        <v>40009020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 t="s">
        <v>263</v>
      </c>
      <c r="Q25" s="106">
        <f t="shared" ca="1" si="2"/>
        <v>42408</v>
      </c>
      <c r="R25" s="105" t="s">
        <v>270</v>
      </c>
    </row>
    <row r="26" spans="1:18" ht="21" customHeight="1">
      <c r="A26" s="39" t="str">
        <f t="shared" si="3"/>
        <v>40009007_40009021</v>
      </c>
      <c r="B26" s="47">
        <v>40009007</v>
      </c>
      <c r="C26" s="47">
        <v>40009021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イグニッション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全体の攻撃力アップ＆スピードアップ</v>
      </c>
      <c r="F26" s="47">
        <v>40009021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 t="s">
        <v>263</v>
      </c>
      <c r="Q26" s="106">
        <f t="shared" ca="1" si="2"/>
        <v>42408</v>
      </c>
      <c r="R26" s="105" t="s">
        <v>270</v>
      </c>
    </row>
    <row r="27" spans="1:18" ht="21" customHeight="1">
      <c r="A27" s="39" t="str">
        <f t="shared" si="3"/>
        <v>40009007_40009022</v>
      </c>
      <c r="B27" s="47">
        <v>40009007</v>
      </c>
      <c r="C27" s="47">
        <v>40009022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ヒートチャージEX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次のターンに大ダメージ</v>
      </c>
      <c r="F27" s="47">
        <v>40009022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 t="s">
        <v>263</v>
      </c>
      <c r="Q27" s="106">
        <f t="shared" ca="1" si="2"/>
        <v>42408</v>
      </c>
      <c r="R27" s="105" t="s">
        <v>270</v>
      </c>
    </row>
    <row r="28" spans="1:18" ht="21" customHeight="1">
      <c r="A28" s="39" t="str">
        <f t="shared" si="3"/>
        <v>40009008_40009023</v>
      </c>
      <c r="B28" s="47">
        <v>40009008</v>
      </c>
      <c r="C28" s="47">
        <v>40009023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深炎の巨壁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防御力特大UP</v>
      </c>
      <c r="F28" s="47">
        <v>40009023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 t="s">
        <v>263</v>
      </c>
      <c r="Q28" s="106">
        <f t="shared" ca="1" si="2"/>
        <v>42408</v>
      </c>
      <c r="R28" s="105" t="s">
        <v>271</v>
      </c>
    </row>
    <row r="29" spans="1:18" ht="21" customHeight="1">
      <c r="A29" s="39" t="str">
        <f t="shared" si="3"/>
        <v>40009008_40009024</v>
      </c>
      <c r="B29" s="47">
        <v>40009008</v>
      </c>
      <c r="C29" s="47">
        <v>40009024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大狼の一睨【蒼】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3ターン青パネルロック</v>
      </c>
      <c r="F29" s="47">
        <v>40009024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 t="s">
        <v>263</v>
      </c>
      <c r="Q29" s="106">
        <f t="shared" ca="1" si="2"/>
        <v>42408</v>
      </c>
      <c r="R29" s="105" t="s">
        <v>271</v>
      </c>
    </row>
    <row r="30" spans="1:18" ht="21" customHeight="1">
      <c r="A30" s="39" t="str">
        <f t="shared" si="3"/>
        <v>40009008_40009025</v>
      </c>
      <c r="B30" s="47">
        <v>40009008</v>
      </c>
      <c r="C30" s="47">
        <v>40009025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大狼の一睨【紅】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3ターン赤パネルロック</v>
      </c>
      <c r="F30" s="47">
        <v>40009025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 t="s">
        <v>263</v>
      </c>
      <c r="Q30" s="106">
        <f t="shared" ca="1" si="2"/>
        <v>42408</v>
      </c>
      <c r="R30" s="105" t="s">
        <v>271</v>
      </c>
    </row>
    <row r="31" spans="1:18" ht="21" customHeight="1">
      <c r="A31" s="39" t="str">
        <f t="shared" si="3"/>
        <v>40009008_40009026</v>
      </c>
      <c r="B31" s="47">
        <v>40009008</v>
      </c>
      <c r="C31" s="47">
        <v>40009026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大狼の一睨【翠】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3ターン緑パネルロック</v>
      </c>
      <c r="F31" s="47">
        <v>40009026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 t="s">
        <v>263</v>
      </c>
      <c r="Q31" s="106">
        <f t="shared" ca="1" si="2"/>
        <v>42408</v>
      </c>
      <c r="R31" s="105" t="s">
        <v>271</v>
      </c>
    </row>
    <row r="32" spans="1:18" ht="21" customHeight="1">
      <c r="A32" s="39" t="str">
        <f t="shared" si="3"/>
        <v>40009008_40009027</v>
      </c>
      <c r="B32" s="47">
        <v>40009008</v>
      </c>
      <c r="C32" s="47">
        <v>40009027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火炎連撃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32" s="47">
        <v>40009027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 t="s">
        <v>263</v>
      </c>
      <c r="Q32" s="106">
        <f t="shared" ca="1" si="2"/>
        <v>42408</v>
      </c>
      <c r="R32" s="105" t="s">
        <v>271</v>
      </c>
    </row>
    <row r="33" spans="1:18" ht="21" customHeight="1">
      <c r="A33" s="39" t="str">
        <f t="shared" si="3"/>
        <v>40009008_40009028</v>
      </c>
      <c r="B33" s="47">
        <v>40009008</v>
      </c>
      <c r="C33" s="47">
        <v>40009028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焼き尽くすッ！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緑属性に大ダメージ！</v>
      </c>
      <c r="F33" s="47">
        <v>40009028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 t="s">
        <v>263</v>
      </c>
      <c r="Q33" s="106">
        <f t="shared" ca="1" si="2"/>
        <v>42408</v>
      </c>
      <c r="R33" s="105" t="s">
        <v>271</v>
      </c>
    </row>
    <row r="34" spans="1:18" ht="21" customHeight="1">
      <c r="A34" s="39" t="str">
        <f t="shared" si="3"/>
        <v>40009009_40009029</v>
      </c>
      <c r="B34" s="47">
        <v>40009009</v>
      </c>
      <c r="C34" s="47">
        <v>40009029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敵襲である！警戒すべし！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4" s="47">
        <v>40009029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 t="s">
        <v>263</v>
      </c>
      <c r="Q34" s="106">
        <f t="shared" ca="1" si="2"/>
        <v>42408</v>
      </c>
      <c r="R34" s="105" t="s">
        <v>272</v>
      </c>
    </row>
    <row r="35" spans="1:18" ht="21" customHeight="1">
      <c r="A35" s="39" t="str">
        <f t="shared" ref="A35:A36" si="6">B35&amp;"_"&amp;C35</f>
        <v>40009009_40009050</v>
      </c>
      <c r="B35" s="47">
        <v>40009009</v>
      </c>
      <c r="C35" s="47">
        <v>40009050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ウィルス検査中である！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緑パネルドロップ率ゼロ＆_x000D_次のターン緑パネル破壊攻撃</v>
      </c>
      <c r="F35" s="47">
        <v>40009024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 t="s">
        <v>263</v>
      </c>
      <c r="Q35" s="106">
        <f t="shared" ca="1" si="2"/>
        <v>42408</v>
      </c>
      <c r="R35" s="105" t="s">
        <v>272</v>
      </c>
    </row>
    <row r="36" spans="1:18" ht="21" customHeight="1">
      <c r="A36" s="39" t="str">
        <f t="shared" si="6"/>
        <v>40009009_40009051</v>
      </c>
      <c r="B36" s="47">
        <v>40009009</v>
      </c>
      <c r="C36" s="47">
        <v>40009051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データ破壊すべし！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緑パネル破壊攻撃</v>
      </c>
      <c r="F36" s="47">
        <v>40009025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 t="s">
        <v>263</v>
      </c>
      <c r="Q36" s="106">
        <f t="shared" ca="1" si="2"/>
        <v>42408</v>
      </c>
      <c r="R36" s="105" t="s">
        <v>272</v>
      </c>
    </row>
    <row r="37" spans="1:18" ht="21" customHeight="1">
      <c r="A37" s="39" t="str">
        <f t="shared" si="3"/>
        <v>40009009_40009030</v>
      </c>
      <c r="B37" s="47">
        <v>40009009</v>
      </c>
      <c r="C37" s="47">
        <v>40009030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ダブルレイヴン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2連続攻撃</v>
      </c>
      <c r="F37" s="47">
        <v>40009030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 t="s">
        <v>263</v>
      </c>
      <c r="Q37" s="106">
        <f t="shared" ca="1" si="2"/>
        <v>42408</v>
      </c>
      <c r="R37" s="105" t="s">
        <v>272</v>
      </c>
    </row>
    <row r="38" spans="1:18" ht="21" customHeight="1">
      <c r="A38" s="39" t="str">
        <f t="shared" ref="A38:A46" si="7">B38&amp;"_"&amp;C38</f>
        <v>40009009_40009031</v>
      </c>
      <c r="B38" s="47">
        <v>40009009</v>
      </c>
      <c r="C38" s="47">
        <v>40009031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不届き者は排除すべし！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4ターン種族マシンはスキルが使えない</v>
      </c>
      <c r="F38" s="47">
        <v>40009031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 t="s">
        <v>263</v>
      </c>
      <c r="Q38" s="106">
        <f t="shared" ca="1" si="2"/>
        <v>42408</v>
      </c>
      <c r="R38" s="105" t="s">
        <v>272</v>
      </c>
    </row>
    <row r="39" spans="1:18" ht="21" customHeight="1">
      <c r="A39" s="39" t="str">
        <f t="shared" si="7"/>
        <v>40009010_40009033</v>
      </c>
      <c r="B39" s="47">
        <v>40009010</v>
      </c>
      <c r="C39" s="47">
        <v>40009033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セキュリティ再構築せよ！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9" s="47">
        <v>40009033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 t="s">
        <v>263</v>
      </c>
      <c r="Q39" s="106">
        <f t="shared" ca="1" si="2"/>
        <v>42408</v>
      </c>
      <c r="R39" s="105" t="s">
        <v>273</v>
      </c>
    </row>
    <row r="40" spans="1:18" ht="21" customHeight="1">
      <c r="A40" s="39" t="str">
        <f t="shared" si="7"/>
        <v>40009010_40009034</v>
      </c>
      <c r="B40" s="47">
        <v>40009010</v>
      </c>
      <c r="C40" s="47">
        <v>40009034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無法者はデリートせよ！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種族アニマルに大ダメージ！</v>
      </c>
      <c r="F40" s="47">
        <v>40009034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0" s="47" t="s">
        <v>263</v>
      </c>
      <c r="Q40" s="106">
        <f t="shared" ca="1" si="2"/>
        <v>42408</v>
      </c>
      <c r="R40" s="105" t="s">
        <v>273</v>
      </c>
    </row>
    <row r="41" spans="1:18" ht="21" customHeight="1">
      <c r="A41" s="39" t="str">
        <f t="shared" si="7"/>
        <v>40009010_40009035</v>
      </c>
      <c r="B41" s="47">
        <v>40009010</v>
      </c>
      <c r="C41" s="47">
        <v>40009035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危険因子はフリーズすべし！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2ターン青パネルロック</v>
      </c>
      <c r="F41" s="47">
        <v>40009035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41" s="47" t="s">
        <v>263</v>
      </c>
      <c r="Q41" s="106">
        <f t="shared" ca="1" si="2"/>
        <v>42408</v>
      </c>
      <c r="R41" s="105" t="s">
        <v>273</v>
      </c>
    </row>
    <row r="42" spans="1:18" ht="21" customHeight="1">
      <c r="A42" s="39" t="str">
        <f t="shared" si="7"/>
        <v>40009010_40009036</v>
      </c>
      <c r="B42" s="47">
        <v>40009010</v>
      </c>
      <c r="C42" s="47">
        <v>40009036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混沌たる戦場を刮目せよ！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HP40％以下で大量パネル変換＆_x000D_防御力特大UP</v>
      </c>
      <c r="F42" s="47">
        <v>40009036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 t="s">
        <v>263</v>
      </c>
      <c r="Q42" s="106">
        <f t="shared" ca="1" si="2"/>
        <v>42408</v>
      </c>
      <c r="R42" s="105" t="s">
        <v>273</v>
      </c>
    </row>
    <row r="43" spans="1:18" ht="21" customHeight="1">
      <c r="A43" s="39" t="str">
        <f t="shared" si="7"/>
        <v>40009011_40009037</v>
      </c>
      <c r="B43" s="47">
        <v>40009011</v>
      </c>
      <c r="C43" s="47">
        <v>40009037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キャッシュクリアすべし！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フィーバーゲージ100％DOWN＆状態異常無効_x000D_＆状態変化解除</v>
      </c>
      <c r="F43" s="47">
        <v>40009037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 t="s">
        <v>263</v>
      </c>
      <c r="Q43" s="106">
        <f t="shared" ca="1" si="2"/>
        <v>42408</v>
      </c>
      <c r="R43" s="105" t="s">
        <v>229</v>
      </c>
    </row>
    <row r="44" spans="1:18" ht="21" customHeight="1">
      <c r="A44" s="39" t="str">
        <f t="shared" si="7"/>
        <v>40009011_40009038</v>
      </c>
      <c r="B44" s="47">
        <v>40009011</v>
      </c>
      <c r="C44" s="47">
        <v>40009038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マズイぞ…さっさと帰るべし！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スピードアップ＆次のターン連続攻撃</v>
      </c>
      <c r="F44" s="47">
        <v>40009038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 t="s">
        <v>263</v>
      </c>
      <c r="Q44" s="106">
        <f t="shared" ca="1" si="2"/>
        <v>42408</v>
      </c>
      <c r="R44" s="105" t="s">
        <v>229</v>
      </c>
    </row>
    <row r="45" spans="1:18" ht="21" customHeight="1">
      <c r="A45" s="39" t="str">
        <f t="shared" si="7"/>
        <v>40009011_40009039</v>
      </c>
      <c r="B45" s="47">
        <v>40009011</v>
      </c>
      <c r="C45" s="47">
        <v>40009039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シャドーレイヴンズ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5連続攻撃＆次のターンパネル変換</v>
      </c>
      <c r="F45" s="47">
        <v>40009039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 t="s">
        <v>263</v>
      </c>
      <c r="Q45" s="106">
        <f t="shared" ca="1" si="2"/>
        <v>42408</v>
      </c>
      <c r="R45" s="105" t="s">
        <v>229</v>
      </c>
    </row>
    <row r="46" spans="1:18" ht="21" customHeight="1">
      <c r="A46" s="39" t="str">
        <f t="shared" si="7"/>
        <v>40009011_40009040</v>
      </c>
      <c r="B46" s="47">
        <v>40009011</v>
      </c>
      <c r="C46" s="47">
        <v>40009040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ワクチン発射すべし！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時限パネル大量発生&amp;青パネルロック</v>
      </c>
      <c r="F46" s="47">
        <v>40009040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 t="s">
        <v>263</v>
      </c>
      <c r="Q46" s="106">
        <f t="shared" ca="1" si="2"/>
        <v>42408</v>
      </c>
      <c r="R46" s="105" t="s">
        <v>229</v>
      </c>
    </row>
    <row r="47" spans="1:18" ht="21" customHeight="1">
      <c r="A47" s="39" t="str">
        <f t="shared" ref="A47:A50" si="8">B47&amp;"_"&amp;C47</f>
        <v>40009011_40009041</v>
      </c>
      <c r="B47" s="47">
        <v>40009011</v>
      </c>
      <c r="C47" s="47">
        <v>40009041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CPUオーバーヒート！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</v>
      </c>
      <c r="F47" s="47">
        <v>40009041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 t="s">
        <v>263</v>
      </c>
      <c r="Q47" s="106">
        <f t="shared" ca="1" si="2"/>
        <v>42408</v>
      </c>
      <c r="R47" s="105" t="s">
        <v>229</v>
      </c>
    </row>
    <row r="48" spans="1:18" ht="21" customHeight="1">
      <c r="A48" s="39" t="str">
        <f t="shared" si="8"/>
        <v>40009011_40009042</v>
      </c>
      <c r="B48" s="47">
        <v>40009011</v>
      </c>
      <c r="C48" s="47">
        <v>40009042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48" s="47">
        <v>40009042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8" s="47" t="s">
        <v>263</v>
      </c>
      <c r="Q48" s="106">
        <f t="shared" ca="1" si="2"/>
        <v>42408</v>
      </c>
      <c r="R48" s="105" t="s">
        <v>229</v>
      </c>
    </row>
    <row r="49" spans="1:18" ht="21" customHeight="1">
      <c r="A49" s="39" t="str">
        <f t="shared" si="8"/>
        <v>40009011_40009043</v>
      </c>
      <c r="B49" s="47">
        <v>40009011</v>
      </c>
      <c r="C49" s="47">
        <v>40009043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49" s="47">
        <v>40009043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9" s="48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9" s="47" t="s">
        <v>263</v>
      </c>
      <c r="Q49" s="106">
        <f t="shared" ca="1" si="2"/>
        <v>42408</v>
      </c>
      <c r="R49" s="105" t="s">
        <v>229</v>
      </c>
    </row>
    <row r="50" spans="1:18" ht="21" customHeight="1">
      <c r="A50" s="39" t="str">
        <f t="shared" si="8"/>
        <v>40009011_40009044</v>
      </c>
      <c r="B50" s="47">
        <v>40009011</v>
      </c>
      <c r="C50" s="47">
        <v>40009044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50" s="47">
        <v>40009044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7" t="s">
        <v>263</v>
      </c>
      <c r="Q50" s="106">
        <f t="shared" ca="1" si="2"/>
        <v>42408</v>
      </c>
      <c r="R50" s="105" t="s">
        <v>229</v>
      </c>
    </row>
    <row r="51" spans="1:18" ht="21" customHeight="1">
      <c r="A51" s="39" t="str">
        <f t="shared" ref="A51" si="9">B51&amp;"_"&amp;C51</f>
        <v>40009011_40009045</v>
      </c>
      <c r="B51" s="47">
        <v>40009011</v>
      </c>
      <c r="C51" s="47">
        <v>40009045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レイヴンズトリック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ランダムで威力が変わる攻撃！</v>
      </c>
      <c r="F51" s="47">
        <v>40009045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 t="s">
        <v>263</v>
      </c>
      <c r="Q51" s="106">
        <f t="shared" ca="1" si="2"/>
        <v>42408</v>
      </c>
      <c r="R51" s="105" t="s">
        <v>229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1"/>
  <sheetViews>
    <sheetView showGridLines="0" tabSelected="1" zoomScale="125" zoomScaleNormal="125" zoomScalePageLayoutView="125" workbookViewId="0">
      <pane ySplit="1" topLeftCell="A44" activePane="bottomLeft" state="frozenSplit"/>
      <selection pane="bottomLeft" activeCell="C47" sqref="C47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40009001</v>
      </c>
      <c r="B2" s="47" t="s">
        <v>315</v>
      </c>
      <c r="C2" s="50">
        <v>3</v>
      </c>
      <c r="D2" s="50" t="s">
        <v>127</v>
      </c>
      <c r="E2" s="51" t="s">
        <v>276</v>
      </c>
      <c r="F2" s="51" t="s">
        <v>349</v>
      </c>
      <c r="G2" s="64" t="str">
        <f>IFERROR(LEFT(B2,FIND("],",B2)),B2)</f>
        <v>[effect:rush, count:2, val:0.5]</v>
      </c>
      <c r="H2" s="64">
        <f>FIND("effect:",G2)+7</f>
        <v>9</v>
      </c>
      <c r="I2" s="64">
        <f>IFERROR(FIND(",",G2),LEN(G2))</f>
        <v>13</v>
      </c>
      <c r="J2" s="64" t="e">
        <f>FIND("target:",G2)+7</f>
        <v>#VALUE!</v>
      </c>
      <c r="K2" s="64">
        <f>FIND(",",G2,I2+1)</f>
        <v>22</v>
      </c>
      <c r="L2" s="64" t="str">
        <f>IFERROR(VLOOKUP(MID(G2,J2,K2-J2),[6]skilldef!$C:$D,2,FALSE),"-") &amp; " / " &amp; IFERROR(VLOOKUP(MID(G2,H2,I2-H2),[6]skilldef!$A:$B,2,FALSE),"-")</f>
        <v>- / 連続攻撃</v>
      </c>
      <c r="M2" s="64" t="str">
        <f>IFERROR(RIGHT(B2,LEN(B2)-FIND("],",B2)-1),"none")</f>
        <v>none</v>
      </c>
      <c r="N2" s="48" t="str">
        <f>IFERROR(LEFT(M2,FIND("],",M2)+S12),M2)</f>
        <v>none</v>
      </c>
      <c r="O2" s="64" t="e">
        <f>FIND("effect:",N2)+7</f>
        <v>#VALUE!</v>
      </c>
      <c r="P2" s="64">
        <f>IFERROR(FIND(",",N2),LEN(N2))</f>
        <v>4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 t="s">
        <v>263</v>
      </c>
      <c r="AA2" s="52">
        <f ca="1">TODAY()</f>
        <v>42408</v>
      </c>
      <c r="AB2" s="51" t="s">
        <v>219</v>
      </c>
    </row>
    <row r="3" spans="1:28" ht="21" customHeight="1">
      <c r="A3" s="47">
        <v>40009002</v>
      </c>
      <c r="B3" s="47" t="s">
        <v>316</v>
      </c>
      <c r="C3" s="50">
        <v>3</v>
      </c>
      <c r="D3" s="50" t="s">
        <v>127</v>
      </c>
      <c r="E3" s="51" t="s">
        <v>277</v>
      </c>
      <c r="F3" s="51" t="s">
        <v>350</v>
      </c>
      <c r="G3" s="64" t="str">
        <f t="shared" ref="G3:G20" si="0">IFERROR(LEFT(B3,FIND("],",B3)),B3)</f>
        <v>[effect:critical, val:1.2]</v>
      </c>
      <c r="H3" s="64">
        <f t="shared" ref="H3:H36" si="1">FIND("effect:",G3)+7</f>
        <v>9</v>
      </c>
      <c r="I3" s="64">
        <f t="shared" ref="I3:I20" si="2">IFERROR(FIND(",",G3),LEN(G3))</f>
        <v>17</v>
      </c>
      <c r="J3" s="64" t="e">
        <f t="shared" ref="J3:J20" si="3">FIND("target:",G3)+7</f>
        <v>#VALUE!</v>
      </c>
      <c r="K3" s="64" t="e">
        <f t="shared" ref="K3:K20" si="4">FIND(",",G3,I3+1)</f>
        <v>#VALUE!</v>
      </c>
      <c r="L3" s="64" t="str">
        <f>IFERROR(VLOOKUP(MID(G3,J3,K3-J3),[6]skilldef!$C:$D,2,FALSE),"-") &amp; " / " &amp; IFERROR(VLOOKUP(MID(G3,H3,I3-H3),[6]skilldef!$A:$B,2,FALSE),"-")</f>
        <v>- / 大攻撃</v>
      </c>
      <c r="M3" s="64" t="str">
        <f t="shared" ref="M3:M20" si="5">IFERROR(RIGHT(B3,LEN(B3)-FIND("],",B3)-1),"none")</f>
        <v>none</v>
      </c>
      <c r="N3" s="48" t="str">
        <f t="shared" ref="N3:N20" si="6">IFERROR(LEFT(M3,FIND("],",M3)+S13),M3)</f>
        <v>none</v>
      </c>
      <c r="O3" s="64" t="e">
        <f t="shared" ref="O3:O36" si="7">FIND("effect:",N3)+7</f>
        <v>#VALUE!</v>
      </c>
      <c r="P3" s="64">
        <f t="shared" ref="P3:P20" si="8">IFERROR(FIND(",",N3),LEN(N3))</f>
        <v>4</v>
      </c>
      <c r="Q3" s="64" t="e">
        <f t="shared" ref="Q3:Q20" si="9">FIND("target:",N3)+7</f>
        <v>#VALUE!</v>
      </c>
      <c r="R3" s="64" t="e">
        <f t="shared" ref="R3:R20" si="10">FIND(",",N3,P3+1)</f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ref="T3:T20" si="11">IFERROR(RIGHT(M3,LEN(M3)-FIND("],",M3)-1),"none")</f>
        <v>none</v>
      </c>
      <c r="U3" s="64" t="e">
        <f t="shared" ref="U3:U36" si="12">FIND("effect:",T3)+7</f>
        <v>#VALUE!</v>
      </c>
      <c r="V3" s="64">
        <f t="shared" ref="V3:V20" si="13">IFERROR(FIND(",",T3),LEN(T3))</f>
        <v>4</v>
      </c>
      <c r="W3" s="64" t="e">
        <f t="shared" ref="W3:W20" si="14">FIND("target:",T3)+7</f>
        <v>#VALUE!</v>
      </c>
      <c r="X3" s="64" t="e">
        <f t="shared" ref="X3:X20" si="15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 t="s">
        <v>263</v>
      </c>
      <c r="AA3" s="52">
        <f t="shared" ref="AA3:AA51" ca="1" si="16">TODAY()</f>
        <v>42408</v>
      </c>
      <c r="AB3" s="51" t="s">
        <v>219</v>
      </c>
    </row>
    <row r="4" spans="1:28" ht="21" customHeight="1">
      <c r="A4" s="47">
        <v>40009003</v>
      </c>
      <c r="B4" s="47" t="s">
        <v>342</v>
      </c>
      <c r="C4" s="50">
        <v>3</v>
      </c>
      <c r="D4" s="50" t="s">
        <v>127</v>
      </c>
      <c r="E4" s="51" t="s">
        <v>279</v>
      </c>
      <c r="F4" s="51" t="s">
        <v>374</v>
      </c>
      <c r="G4" s="64" t="str">
        <f t="shared" si="0"/>
        <v>[effect:damage_anti_tribe, target:unit_all, tribe:animal, val1:1.1, val2:0.1]</v>
      </c>
      <c r="H4" s="64">
        <f t="shared" si="1"/>
        <v>9</v>
      </c>
      <c r="I4" s="64">
        <f t="shared" si="2"/>
        <v>26</v>
      </c>
      <c r="J4" s="64">
        <f t="shared" si="3"/>
        <v>35</v>
      </c>
      <c r="K4" s="64">
        <f t="shared" si="4"/>
        <v>43</v>
      </c>
      <c r="L4" s="64" t="str">
        <f>IFERROR(VLOOKUP(MID(G4,J4,K4-J4),[6]skilldef!$C:$D,2,FALSE),"-") &amp; " / " &amp; IFERROR(VLOOKUP(MID(G4,H4,I4-H4),[6]skilldef!$A:$B,2,FALSE),"-")</f>
        <v>味方全体に / 種族キラー</v>
      </c>
      <c r="M4" s="64" t="str">
        <f t="shared" si="5"/>
        <v>none</v>
      </c>
      <c r="N4" s="48" t="str">
        <f t="shared" si="6"/>
        <v>none</v>
      </c>
      <c r="O4" s="64" t="e">
        <f t="shared" si="7"/>
        <v>#VALUE!</v>
      </c>
      <c r="P4" s="64">
        <f t="shared" si="8"/>
        <v>4</v>
      </c>
      <c r="Q4" s="64" t="e">
        <f t="shared" si="9"/>
        <v>#VALUE!</v>
      </c>
      <c r="R4" s="64" t="e">
        <f t="shared" si="10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4" t="e">
        <f t="shared" si="12"/>
        <v>#VALUE!</v>
      </c>
      <c r="V4" s="64">
        <f t="shared" si="13"/>
        <v>4</v>
      </c>
      <c r="W4" s="64" t="e">
        <f t="shared" si="14"/>
        <v>#VALUE!</v>
      </c>
      <c r="X4" s="64" t="e">
        <f t="shared" si="15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 t="s">
        <v>263</v>
      </c>
      <c r="AA4" s="52">
        <f t="shared" ca="1" si="16"/>
        <v>42408</v>
      </c>
      <c r="AB4" s="51" t="s">
        <v>220</v>
      </c>
    </row>
    <row r="5" spans="1:28" ht="21" customHeight="1">
      <c r="A5" s="47">
        <v>40009004</v>
      </c>
      <c r="B5" s="47" t="s">
        <v>341</v>
      </c>
      <c r="C5" s="50">
        <v>3</v>
      </c>
      <c r="D5" s="50" t="s">
        <v>127</v>
      </c>
      <c r="E5" s="51" t="s">
        <v>278</v>
      </c>
      <c r="F5" s="51" t="s">
        <v>351</v>
      </c>
      <c r="G5" s="64" t="str">
        <f t="shared" si="0"/>
        <v xml:space="preserve">[effect:damage_anti_tribe, target:unit_all, tribe:machine, val1:1.1, val2:0.2]    </v>
      </c>
      <c r="H5" s="64">
        <f t="shared" si="1"/>
        <v>9</v>
      </c>
      <c r="I5" s="64">
        <f t="shared" si="2"/>
        <v>26</v>
      </c>
      <c r="J5" s="64">
        <f t="shared" si="3"/>
        <v>35</v>
      </c>
      <c r="K5" s="64">
        <f t="shared" si="4"/>
        <v>43</v>
      </c>
      <c r="L5" s="64" t="str">
        <f>IFERROR(VLOOKUP(MID(G5,J5,K5-J5),[6]skilldef!$C:$D,2,FALSE),"-") &amp; " / " &amp; IFERROR(VLOOKUP(MID(G5,H5,I5-H5),[6]skilldef!$A:$B,2,FALSE),"-")</f>
        <v>味方全体に / 種族キラー</v>
      </c>
      <c r="M5" s="64" t="str">
        <f t="shared" si="5"/>
        <v>none</v>
      </c>
      <c r="N5" s="48" t="str">
        <f t="shared" si="6"/>
        <v>none</v>
      </c>
      <c r="O5" s="64" t="e">
        <f t="shared" si="7"/>
        <v>#VALUE!</v>
      </c>
      <c r="P5" s="64">
        <f t="shared" si="8"/>
        <v>4</v>
      </c>
      <c r="Q5" s="64" t="e">
        <f t="shared" si="9"/>
        <v>#VALUE!</v>
      </c>
      <c r="R5" s="64" t="e">
        <f t="shared" si="10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4" t="e">
        <f t="shared" si="12"/>
        <v>#VALUE!</v>
      </c>
      <c r="V5" s="64">
        <f t="shared" si="13"/>
        <v>4</v>
      </c>
      <c r="W5" s="64" t="e">
        <f t="shared" si="14"/>
        <v>#VALUE!</v>
      </c>
      <c r="X5" s="64" t="e">
        <f t="shared" si="15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 t="s">
        <v>263</v>
      </c>
      <c r="AA5" s="52">
        <f t="shared" ca="1" si="16"/>
        <v>42408</v>
      </c>
      <c r="AB5" s="51" t="s">
        <v>221</v>
      </c>
    </row>
    <row r="6" spans="1:28" ht="21" customHeight="1">
      <c r="A6" s="47">
        <v>40009005</v>
      </c>
      <c r="B6" s="47" t="s">
        <v>403</v>
      </c>
      <c r="C6" s="50">
        <v>3</v>
      </c>
      <c r="D6" s="50" t="s">
        <v>127</v>
      </c>
      <c r="E6" s="51" t="s">
        <v>402</v>
      </c>
      <c r="F6" s="51" t="s">
        <v>352</v>
      </c>
      <c r="G6" s="64" t="str">
        <f t="shared" si="0"/>
        <v xml:space="preserve">[effect:degrade_unit, target:unit_all, turn:3, status:heal, val:0.3, animation:degrade_unit_all_heal]    </v>
      </c>
      <c r="H6" s="64">
        <f t="shared" si="1"/>
        <v>9</v>
      </c>
      <c r="I6" s="64">
        <f t="shared" si="2"/>
        <v>21</v>
      </c>
      <c r="J6" s="64">
        <f t="shared" si="3"/>
        <v>30</v>
      </c>
      <c r="K6" s="64">
        <f t="shared" si="4"/>
        <v>38</v>
      </c>
      <c r="L6" s="64" t="str">
        <f>IFERROR(VLOOKUP(MID(G6,J6,K6-J6),[6]skilldef!$C:$D,2,FALSE),"-") &amp; " / " &amp; IFERROR(VLOOKUP(MID(G6,H6,I6-H6),[6]skilldef!$A:$B,2,FALSE),"-")</f>
        <v>味方全体に / ステータスDOWN</v>
      </c>
      <c r="M6" s="64" t="str">
        <f t="shared" si="5"/>
        <v>none</v>
      </c>
      <c r="N6" s="48" t="str">
        <f t="shared" si="6"/>
        <v>none</v>
      </c>
      <c r="O6" s="64" t="e">
        <f t="shared" si="7"/>
        <v>#VALUE!</v>
      </c>
      <c r="P6" s="64">
        <f t="shared" si="8"/>
        <v>4</v>
      </c>
      <c r="Q6" s="64" t="e">
        <f t="shared" si="9"/>
        <v>#VALUE!</v>
      </c>
      <c r="R6" s="64" t="e">
        <f t="shared" si="10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4" t="e">
        <f t="shared" si="12"/>
        <v>#VALUE!</v>
      </c>
      <c r="V6" s="64">
        <f t="shared" si="13"/>
        <v>4</v>
      </c>
      <c r="W6" s="64" t="e">
        <f t="shared" si="14"/>
        <v>#VALUE!</v>
      </c>
      <c r="X6" s="64" t="e">
        <f t="shared" si="15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 t="s">
        <v>263</v>
      </c>
      <c r="AA6" s="52">
        <f t="shared" ca="1" si="16"/>
        <v>42408</v>
      </c>
      <c r="AB6" s="51" t="s">
        <v>222</v>
      </c>
    </row>
    <row r="7" spans="1:28" ht="21" customHeight="1">
      <c r="A7" s="47">
        <v>40009006</v>
      </c>
      <c r="B7" s="47" t="s">
        <v>313</v>
      </c>
      <c r="C7" s="50">
        <v>3</v>
      </c>
      <c r="D7" s="50" t="s">
        <v>127</v>
      </c>
      <c r="E7" s="51" t="s">
        <v>392</v>
      </c>
      <c r="F7" s="51" t="s">
        <v>348</v>
      </c>
      <c r="G7" s="64" t="str">
        <f t="shared" si="0"/>
        <v xml:space="preserve">[effect:change_panel_ratio, turn:4, block_type:heal, val:0.0, animation:block_incidence04]    </v>
      </c>
      <c r="H7" s="64">
        <f t="shared" si="1"/>
        <v>9</v>
      </c>
      <c r="I7" s="64">
        <f t="shared" si="2"/>
        <v>27</v>
      </c>
      <c r="J7" s="64" t="e">
        <f t="shared" si="3"/>
        <v>#VALUE!</v>
      </c>
      <c r="K7" s="64">
        <f t="shared" si="4"/>
        <v>35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none</v>
      </c>
      <c r="N7" s="48" t="str">
        <f t="shared" si="6"/>
        <v>none</v>
      </c>
      <c r="O7" s="64" t="e">
        <f t="shared" si="7"/>
        <v>#VALUE!</v>
      </c>
      <c r="P7" s="64">
        <f t="shared" si="8"/>
        <v>4</v>
      </c>
      <c r="Q7" s="64" t="e">
        <f t="shared" si="9"/>
        <v>#VALUE!</v>
      </c>
      <c r="R7" s="64" t="e">
        <f t="shared" si="10"/>
        <v>#VALUE!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4" t="e">
        <f t="shared" si="12"/>
        <v>#VALUE!</v>
      </c>
      <c r="V7" s="64">
        <f t="shared" si="13"/>
        <v>4</v>
      </c>
      <c r="W7" s="64" t="e">
        <f t="shared" si="14"/>
        <v>#VALUE!</v>
      </c>
      <c r="X7" s="64" t="e">
        <f t="shared" si="15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 t="s">
        <v>263</v>
      </c>
      <c r="AA7" s="52">
        <f t="shared" ca="1" si="16"/>
        <v>42408</v>
      </c>
      <c r="AB7" s="51" t="s">
        <v>222</v>
      </c>
    </row>
    <row r="8" spans="1:28" ht="21" customHeight="1">
      <c r="A8" s="47">
        <v>40009007</v>
      </c>
      <c r="B8" s="47" t="s">
        <v>257</v>
      </c>
      <c r="C8" s="50">
        <v>3</v>
      </c>
      <c r="D8" s="50" t="s">
        <v>127</v>
      </c>
      <c r="E8" s="51" t="s">
        <v>285</v>
      </c>
      <c r="F8" s="51" t="s">
        <v>347</v>
      </c>
      <c r="G8" s="64" t="str">
        <f t="shared" si="0"/>
        <v>[effect:dark, target:unit_all, turn:1, animation:enemy_dark]</v>
      </c>
      <c r="H8" s="64">
        <f t="shared" si="1"/>
        <v>9</v>
      </c>
      <c r="I8" s="64">
        <f t="shared" si="2"/>
        <v>13</v>
      </c>
      <c r="J8" s="64">
        <f t="shared" si="3"/>
        <v>22</v>
      </c>
      <c r="K8" s="64">
        <f t="shared" si="4"/>
        <v>30</v>
      </c>
      <c r="L8" s="64" t="str">
        <f>IFERROR(VLOOKUP(MID(G8,J8,K8-J8),[6]skilldef!$C:$D,2,FALSE),"-") &amp; " / " &amp; IFERROR(VLOOKUP(MID(G8,H8,I8-H8),[6]skilldef!$A:$B,2,FALSE),"-")</f>
        <v>味方全体に / 暗黒</v>
      </c>
      <c r="M8" s="64" t="str">
        <f t="shared" si="5"/>
        <v>[effect:rush, count:1, val:1]</v>
      </c>
      <c r="N8" s="48" t="str">
        <f t="shared" si="6"/>
        <v>[effect:rush, count:1, val:1]</v>
      </c>
      <c r="O8" s="64">
        <f t="shared" si="7"/>
        <v>9</v>
      </c>
      <c r="P8" s="64">
        <f t="shared" si="8"/>
        <v>13</v>
      </c>
      <c r="Q8" s="64" t="e">
        <f t="shared" si="9"/>
        <v>#VALUE!</v>
      </c>
      <c r="R8" s="64">
        <f t="shared" si="10"/>
        <v>22</v>
      </c>
      <c r="S8" s="64" t="str">
        <f>IFERROR(VLOOKUP(MID(N8,Q8,R8-Q8),[6]skilldef!$C:$D,2,FALSE),"-") &amp; " / " &amp; IFERROR(VLOOKUP(MID(N8,O8,P8-O8),[6]skilldef!$A:$B,2,FALSE),"-")</f>
        <v>- / 連続攻撃</v>
      </c>
      <c r="T8" s="48" t="str">
        <f t="shared" si="11"/>
        <v>none</v>
      </c>
      <c r="U8" s="64" t="e">
        <f t="shared" si="12"/>
        <v>#VALUE!</v>
      </c>
      <c r="V8" s="64">
        <f t="shared" si="13"/>
        <v>4</v>
      </c>
      <c r="W8" s="64" t="e">
        <f t="shared" si="14"/>
        <v>#VALUE!</v>
      </c>
      <c r="X8" s="64" t="e">
        <f t="shared" si="15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 t="s">
        <v>263</v>
      </c>
      <c r="AA8" s="52">
        <f t="shared" ca="1" si="16"/>
        <v>42408</v>
      </c>
      <c r="AB8" s="51" t="s">
        <v>222</v>
      </c>
    </row>
    <row r="9" spans="1:28" ht="21" customHeight="1">
      <c r="A9" s="47">
        <v>40009008</v>
      </c>
      <c r="B9" s="47" t="s">
        <v>235</v>
      </c>
      <c r="C9" s="50">
        <v>3</v>
      </c>
      <c r="D9" s="50" t="s">
        <v>127</v>
      </c>
      <c r="E9" s="51" t="s">
        <v>290</v>
      </c>
      <c r="F9" s="51" t="s">
        <v>353</v>
      </c>
      <c r="G9" s="64" t="str">
        <f t="shared" si="0"/>
        <v>[effect:critical, val:1.5]</v>
      </c>
      <c r="H9" s="64">
        <f t="shared" si="1"/>
        <v>9</v>
      </c>
      <c r="I9" s="64">
        <f t="shared" si="2"/>
        <v>17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IFERROR(VLOOKUP(MID(G9,J9,K9-J9),[6]skilldef!$C:$D,2,FALSE),"-") &amp; " / " &amp; IFERROR(VLOOKUP(MID(G9,H9,I9-H9),[6]skilldef!$A:$B,2,FALSE),"-")</f>
        <v>- / 大攻撃</v>
      </c>
      <c r="M9" s="64" t="str">
        <f t="shared" si="5"/>
        <v>none</v>
      </c>
      <c r="N9" s="48" t="str">
        <f t="shared" si="6"/>
        <v>none</v>
      </c>
      <c r="O9" s="64" t="e">
        <f t="shared" si="7"/>
        <v>#VALUE!</v>
      </c>
      <c r="P9" s="64">
        <f t="shared" si="8"/>
        <v>4</v>
      </c>
      <c r="Q9" s="64" t="e">
        <f t="shared" si="9"/>
        <v>#VALUE!</v>
      </c>
      <c r="R9" s="64" t="e">
        <f t="shared" si="10"/>
        <v>#VALUE!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4" t="e">
        <f t="shared" si="12"/>
        <v>#VALUE!</v>
      </c>
      <c r="V9" s="64">
        <f t="shared" si="13"/>
        <v>4</v>
      </c>
      <c r="W9" s="64" t="e">
        <f t="shared" si="14"/>
        <v>#VALUE!</v>
      </c>
      <c r="X9" s="64" t="e">
        <f t="shared" si="15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 t="s">
        <v>263</v>
      </c>
      <c r="AA9" s="52">
        <f t="shared" ca="1" si="16"/>
        <v>42408</v>
      </c>
      <c r="AB9" s="51" t="s">
        <v>222</v>
      </c>
    </row>
    <row r="10" spans="1:28" ht="21" customHeight="1">
      <c r="A10" s="47">
        <v>40009009</v>
      </c>
      <c r="B10" s="101" t="s">
        <v>401</v>
      </c>
      <c r="C10" s="50">
        <v>3</v>
      </c>
      <c r="D10" s="50" t="s">
        <v>127</v>
      </c>
      <c r="E10" s="51" t="s">
        <v>396</v>
      </c>
      <c r="F10" s="51" t="s">
        <v>331</v>
      </c>
      <c r="G10" s="64" t="str">
        <f t="shared" si="0"/>
        <v>[effect:tolerance, target:myself, turn:-1, tolerance_effect:hungup, count:-1]</v>
      </c>
      <c r="H10" s="64">
        <f t="shared" si="1"/>
        <v>9</v>
      </c>
      <c r="I10" s="64">
        <f t="shared" si="2"/>
        <v>18</v>
      </c>
      <c r="J10" s="64">
        <f t="shared" si="3"/>
        <v>27</v>
      </c>
      <c r="K10" s="64">
        <f t="shared" si="4"/>
        <v>33</v>
      </c>
      <c r="L10" s="64" t="str">
        <f>IFERROR(VLOOKUP(MID(G10,J10,K10-J10),[6]skilldef!$C:$D,2,FALSE),"-") &amp; " / " &amp; IFERROR(VLOOKUP(MID(G10,H10,I10-H10),[6]skilldef!$A:$B,2,FALSE),"-")</f>
        <v>自分自身に / 状態異常耐性</v>
      </c>
      <c r="M10" s="64" t="str">
        <f t="shared" si="5"/>
        <v>[effect:tolerance, target:myself, turn:-1, tolerance_effect:virus, count:-1],[effect:tolerance, target:myself, turn:-1, tolerance_effect:sleep, count:-1, animation:enemy_tolerance]</v>
      </c>
      <c r="N10" s="48" t="str">
        <f t="shared" si="6"/>
        <v>[effect:tolerance, target:myself, turn:-1, tolerance_effect:virus, count:-1],[effect:tolerance, target:myself, turn:-1, tolerance_effect:sleep, count:-1, animation:enemy_tolerance]</v>
      </c>
      <c r="O10" s="64">
        <f t="shared" si="7"/>
        <v>9</v>
      </c>
      <c r="P10" s="64">
        <f t="shared" si="8"/>
        <v>18</v>
      </c>
      <c r="Q10" s="64">
        <f t="shared" si="9"/>
        <v>27</v>
      </c>
      <c r="R10" s="64">
        <f t="shared" si="10"/>
        <v>33</v>
      </c>
      <c r="S10" s="64" t="str">
        <f>IFERROR(VLOOKUP(MID(N10,Q10,R10-Q10),[6]skilldef!$C:$D,2,FALSE),"-") &amp; " / " &amp; IFERROR(VLOOKUP(MID(N10,O10,P10-O10),[6]skilldef!$A:$B,2,FALSE),"-")</f>
        <v>自分自身に / 状態異常耐性</v>
      </c>
      <c r="T10" s="48" t="str">
        <f t="shared" si="11"/>
        <v>[effect:tolerance, target:myself, turn:-1, tolerance_effect:sleep, count:-1, animation:enemy_tolerance]</v>
      </c>
      <c r="U10" s="64">
        <f t="shared" si="12"/>
        <v>9</v>
      </c>
      <c r="V10" s="64">
        <f t="shared" si="13"/>
        <v>18</v>
      </c>
      <c r="W10" s="64">
        <f t="shared" si="14"/>
        <v>27</v>
      </c>
      <c r="X10" s="64">
        <f t="shared" si="15"/>
        <v>33</v>
      </c>
      <c r="Y10" s="64" t="str">
        <f>IFERROR(VLOOKUP(MID(T10,W10,X10-W10),[6]skilldef!$C:$D,2,FALSE),"-") &amp; " / " &amp; IFERROR(VLOOKUP(MID(T10,U10,V10-U10),[6]skilldef!$A:$B,2,FALSE),"-")</f>
        <v>自分自身に / 状態異常耐性</v>
      </c>
      <c r="Z10" s="50" t="s">
        <v>263</v>
      </c>
      <c r="AA10" s="52">
        <f t="shared" ca="1" si="16"/>
        <v>42408</v>
      </c>
      <c r="AB10" s="51" t="s">
        <v>223</v>
      </c>
    </row>
    <row r="11" spans="1:28" ht="21" customHeight="1">
      <c r="A11" s="47">
        <v>40009010</v>
      </c>
      <c r="B11" s="47" t="s">
        <v>258</v>
      </c>
      <c r="C11" s="50">
        <v>3</v>
      </c>
      <c r="D11" s="50" t="s">
        <v>127</v>
      </c>
      <c r="E11" s="51" t="s">
        <v>280</v>
      </c>
      <c r="F11" s="51" t="s">
        <v>354</v>
      </c>
      <c r="G11" s="64" t="str">
        <f t="shared" si="0"/>
        <v>[effect:heal, target:enemy_all, val:0.2, animation:enemy_heal]</v>
      </c>
      <c r="H11" s="64">
        <f t="shared" si="1"/>
        <v>9</v>
      </c>
      <c r="I11" s="64">
        <f t="shared" si="2"/>
        <v>13</v>
      </c>
      <c r="J11" s="64">
        <f t="shared" si="3"/>
        <v>22</v>
      </c>
      <c r="K11" s="64">
        <f t="shared" si="4"/>
        <v>31</v>
      </c>
      <c r="L11" s="64" t="str">
        <f>IFERROR(VLOOKUP(MID(G11,J11,K11-J11),[6]skilldef!$C:$D,2,FALSE),"-") &amp; " / " &amp; IFERROR(VLOOKUP(MID(G11,H11,I11-H11),[6]skilldef!$A:$B,2,FALSE),"-")</f>
        <v>敵全体に / 回復</v>
      </c>
      <c r="M11" s="64" t="str">
        <f t="shared" si="5"/>
        <v>[effect:rush, count:1, val:1]</v>
      </c>
      <c r="N11" s="48" t="str">
        <f t="shared" si="6"/>
        <v>[effect:rush, count:1, val:1]</v>
      </c>
      <c r="O11" s="64">
        <f t="shared" si="7"/>
        <v>9</v>
      </c>
      <c r="P11" s="64">
        <f t="shared" si="8"/>
        <v>13</v>
      </c>
      <c r="Q11" s="64" t="e">
        <f t="shared" si="9"/>
        <v>#VALUE!</v>
      </c>
      <c r="R11" s="64">
        <f t="shared" si="10"/>
        <v>22</v>
      </c>
      <c r="S11" s="64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1"/>
        <v>none</v>
      </c>
      <c r="U11" s="64" t="e">
        <f t="shared" si="12"/>
        <v>#VALUE!</v>
      </c>
      <c r="V11" s="64">
        <f t="shared" si="13"/>
        <v>4</v>
      </c>
      <c r="W11" s="64" t="e">
        <f t="shared" si="14"/>
        <v>#VALUE!</v>
      </c>
      <c r="X11" s="64" t="e">
        <f t="shared" si="15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 t="s">
        <v>263</v>
      </c>
      <c r="AA11" s="52">
        <f t="shared" ca="1" si="16"/>
        <v>42408</v>
      </c>
      <c r="AB11" s="51" t="s">
        <v>223</v>
      </c>
    </row>
    <row r="12" spans="1:28" ht="21" customHeight="1">
      <c r="A12" s="47">
        <v>40009011</v>
      </c>
      <c r="B12" s="47" t="s">
        <v>317</v>
      </c>
      <c r="C12" s="50">
        <v>3</v>
      </c>
      <c r="D12" s="50" t="s">
        <v>127</v>
      </c>
      <c r="E12" s="51" t="s">
        <v>281</v>
      </c>
      <c r="F12" s="51" t="s">
        <v>355</v>
      </c>
      <c r="G12" s="64" t="str">
        <f t="shared" si="0"/>
        <v>[effect:change_block, new_block:time_bomb, target:block_yellow, count:6, val:0.2, animation:change_block]</v>
      </c>
      <c r="H12" s="64">
        <f t="shared" si="1"/>
        <v>9</v>
      </c>
      <c r="I12" s="64">
        <f t="shared" si="2"/>
        <v>21</v>
      </c>
      <c r="J12" s="64">
        <f t="shared" si="3"/>
        <v>51</v>
      </c>
      <c r="K12" s="64">
        <f t="shared" si="4"/>
        <v>42</v>
      </c>
      <c r="L12" s="64" t="str">
        <f>IFERROR(VLOOKUP(MID(G12,J12,K12-J12),[6]skilldef!$C:$D,2,FALSE),"-") &amp; " / " &amp; IFERROR(VLOOKUP(MID(G12,H12,I12-H12),[6]skilldef!$A:$B,2,FALSE),"-")</f>
        <v>- / ブロック変換</v>
      </c>
      <c r="M12" s="64" t="str">
        <f t="shared" si="5"/>
        <v>[effect:rush, count:1, val:0.7]</v>
      </c>
      <c r="N12" s="48" t="str">
        <f t="shared" si="6"/>
        <v>[effect:rush, count:1, val:0.7]</v>
      </c>
      <c r="O12" s="64">
        <f t="shared" si="7"/>
        <v>9</v>
      </c>
      <c r="P12" s="64">
        <f t="shared" si="8"/>
        <v>13</v>
      </c>
      <c r="Q12" s="64" t="e">
        <f t="shared" si="9"/>
        <v>#VALUE!</v>
      </c>
      <c r="R12" s="64">
        <f t="shared" si="10"/>
        <v>22</v>
      </c>
      <c r="S12" s="64" t="str">
        <f>IFERROR(VLOOKUP(MID(N12,Q12,R12-Q12),[6]skilldef!$C:$D,2,FALSE),"-") &amp; " / " &amp; IFERROR(VLOOKUP(MID(N12,O12,P12-O12),[6]skilldef!$A:$B,2,FALSE),"-")</f>
        <v>- / 連続攻撃</v>
      </c>
      <c r="T12" s="48" t="str">
        <f t="shared" si="11"/>
        <v>none</v>
      </c>
      <c r="U12" s="64" t="e">
        <f t="shared" si="12"/>
        <v>#VALUE!</v>
      </c>
      <c r="V12" s="64">
        <f t="shared" si="13"/>
        <v>4</v>
      </c>
      <c r="W12" s="64" t="e">
        <f t="shared" si="14"/>
        <v>#VALUE!</v>
      </c>
      <c r="X12" s="64" t="e">
        <f t="shared" si="15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 t="s">
        <v>263</v>
      </c>
      <c r="AA12" s="52">
        <f t="shared" ca="1" si="16"/>
        <v>42408</v>
      </c>
      <c r="AB12" s="51" t="s">
        <v>223</v>
      </c>
    </row>
    <row r="13" spans="1:28" ht="21" customHeight="1">
      <c r="A13" s="47">
        <v>40009012</v>
      </c>
      <c r="B13" s="47" t="s">
        <v>319</v>
      </c>
      <c r="C13" s="50">
        <v>3</v>
      </c>
      <c r="D13" s="50" t="s">
        <v>127</v>
      </c>
      <c r="E13" s="51" t="s">
        <v>282</v>
      </c>
      <c r="F13" s="51" t="s">
        <v>356</v>
      </c>
      <c r="G13" s="64" t="str">
        <f t="shared" si="0"/>
        <v>[effect:change_block, new_block:time_bomb, target:block_blue, count:6, val:0.2, animation:change_block]</v>
      </c>
      <c r="H13" s="64">
        <f t="shared" si="1"/>
        <v>9</v>
      </c>
      <c r="I13" s="64">
        <f t="shared" si="2"/>
        <v>21</v>
      </c>
      <c r="J13" s="64">
        <f t="shared" si="3"/>
        <v>51</v>
      </c>
      <c r="K13" s="64">
        <f t="shared" si="4"/>
        <v>42</v>
      </c>
      <c r="L13" s="64" t="str">
        <f>IFERROR(VLOOKUP(MID(G13,J13,K13-J13),[6]skilldef!$C:$D,2,FALSE),"-") &amp; " / " &amp; IFERROR(VLOOKUP(MID(G13,H13,I13-H13),[6]skilldef!$A:$B,2,FALSE),"-")</f>
        <v>- / ブロック変換</v>
      </c>
      <c r="M13" s="64" t="str">
        <f t="shared" si="5"/>
        <v>[effect:rush, count:1, val:0.7]</v>
      </c>
      <c r="N13" s="48" t="str">
        <f t="shared" si="6"/>
        <v>[effect:rush, count:1, val:0.7]</v>
      </c>
      <c r="O13" s="64">
        <f t="shared" si="7"/>
        <v>9</v>
      </c>
      <c r="P13" s="64">
        <f t="shared" si="8"/>
        <v>13</v>
      </c>
      <c r="Q13" s="64" t="e">
        <f t="shared" si="9"/>
        <v>#VALUE!</v>
      </c>
      <c r="R13" s="64">
        <f t="shared" si="10"/>
        <v>22</v>
      </c>
      <c r="S13" s="64" t="str">
        <f>IFERROR(VLOOKUP(MID(N13,Q13,R13-Q13),[6]skilldef!$C:$D,2,FALSE),"-") &amp; " / " &amp; IFERROR(VLOOKUP(MID(N13,O13,P13-O13),[6]skilldef!$A:$B,2,FALSE),"-")</f>
        <v>- / 連続攻撃</v>
      </c>
      <c r="T13" s="48" t="str">
        <f t="shared" si="11"/>
        <v>none</v>
      </c>
      <c r="U13" s="64" t="e">
        <f t="shared" si="12"/>
        <v>#VALUE!</v>
      </c>
      <c r="V13" s="64">
        <f t="shared" si="13"/>
        <v>4</v>
      </c>
      <c r="W13" s="64" t="e">
        <f t="shared" si="14"/>
        <v>#VALUE!</v>
      </c>
      <c r="X13" s="64" t="e">
        <f t="shared" si="15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 t="s">
        <v>263</v>
      </c>
      <c r="AA13" s="52">
        <f t="shared" ca="1" si="16"/>
        <v>42408</v>
      </c>
      <c r="AB13" s="51" t="s">
        <v>223</v>
      </c>
    </row>
    <row r="14" spans="1:28" ht="21" customHeight="1">
      <c r="A14" s="47">
        <v>40009013</v>
      </c>
      <c r="B14" s="47" t="s">
        <v>320</v>
      </c>
      <c r="C14" s="50">
        <v>3</v>
      </c>
      <c r="D14" s="50" t="s">
        <v>127</v>
      </c>
      <c r="E14" s="51" t="s">
        <v>283</v>
      </c>
      <c r="F14" s="51" t="s">
        <v>357</v>
      </c>
      <c r="G14" s="64" t="str">
        <f t="shared" si="0"/>
        <v>[effect:change_block, new_block:time_bomb, target:block_red, count:6, val:0.2, animation:change_block]</v>
      </c>
      <c r="H14" s="64">
        <f t="shared" si="1"/>
        <v>9</v>
      </c>
      <c r="I14" s="64">
        <f t="shared" si="2"/>
        <v>21</v>
      </c>
      <c r="J14" s="64">
        <f t="shared" si="3"/>
        <v>51</v>
      </c>
      <c r="K14" s="64">
        <f t="shared" si="4"/>
        <v>42</v>
      </c>
      <c r="L14" s="64" t="str">
        <f>IFERROR(VLOOKUP(MID(G14,J14,K14-J14),[6]skilldef!$C:$D,2,FALSE),"-") &amp; " / " &amp; IFERROR(VLOOKUP(MID(G14,H14,I14-H14),[6]skilldef!$A:$B,2,FALSE),"-")</f>
        <v>- / ブロック変換</v>
      </c>
      <c r="M14" s="64" t="str">
        <f t="shared" si="5"/>
        <v>[effect:rush, count:1, val:0.7]</v>
      </c>
      <c r="N14" s="48" t="str">
        <f t="shared" si="6"/>
        <v>[effect:rush, count:1, val:0.7]</v>
      </c>
      <c r="O14" s="64">
        <f t="shared" si="7"/>
        <v>9</v>
      </c>
      <c r="P14" s="64">
        <f t="shared" si="8"/>
        <v>13</v>
      </c>
      <c r="Q14" s="64" t="e">
        <f t="shared" si="9"/>
        <v>#VALUE!</v>
      </c>
      <c r="R14" s="64">
        <f t="shared" si="10"/>
        <v>22</v>
      </c>
      <c r="S14" s="64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11"/>
        <v>none</v>
      </c>
      <c r="U14" s="64" t="e">
        <f t="shared" si="12"/>
        <v>#VALUE!</v>
      </c>
      <c r="V14" s="64">
        <f t="shared" si="13"/>
        <v>4</v>
      </c>
      <c r="W14" s="64" t="e">
        <f t="shared" si="14"/>
        <v>#VALUE!</v>
      </c>
      <c r="X14" s="64" t="e">
        <f t="shared" si="15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 t="s">
        <v>263</v>
      </c>
      <c r="AA14" s="52">
        <f t="shared" ca="1" si="16"/>
        <v>42408</v>
      </c>
      <c r="AB14" s="51" t="s">
        <v>223</v>
      </c>
    </row>
    <row r="15" spans="1:28" ht="21" customHeight="1">
      <c r="A15" s="47">
        <v>40009014</v>
      </c>
      <c r="B15" s="47" t="s">
        <v>318</v>
      </c>
      <c r="C15" s="50">
        <v>3</v>
      </c>
      <c r="D15" s="50" t="s">
        <v>127</v>
      </c>
      <c r="E15" s="51" t="s">
        <v>284</v>
      </c>
      <c r="F15" s="51" t="s">
        <v>358</v>
      </c>
      <c r="G15" s="64" t="str">
        <f t="shared" si="0"/>
        <v>[effect:change_block, new_block:time_bomb, target:block_green, count:6, val:0.2, animation:change_block]</v>
      </c>
      <c r="H15" s="64">
        <f t="shared" si="1"/>
        <v>9</v>
      </c>
      <c r="I15" s="64">
        <f t="shared" si="2"/>
        <v>21</v>
      </c>
      <c r="J15" s="64">
        <f t="shared" si="3"/>
        <v>51</v>
      </c>
      <c r="K15" s="64">
        <f t="shared" si="4"/>
        <v>42</v>
      </c>
      <c r="L15" s="64" t="str">
        <f>IFERROR(VLOOKUP(MID(G15,J15,K15-J15),[6]skilldef!$C:$D,2,FALSE),"-") &amp; " / " &amp; IFERROR(VLOOKUP(MID(G15,H15,I15-H15),[6]skilldef!$A:$B,2,FALSE),"-")</f>
        <v>- / ブロック変換</v>
      </c>
      <c r="M15" s="64" t="str">
        <f t="shared" si="5"/>
        <v>[effect:rush, count:1, val:0.7]</v>
      </c>
      <c r="N15" s="48" t="str">
        <f t="shared" si="6"/>
        <v>[effect:rush, count:1, val:0.7]</v>
      </c>
      <c r="O15" s="64">
        <f t="shared" si="7"/>
        <v>9</v>
      </c>
      <c r="P15" s="64">
        <f t="shared" si="8"/>
        <v>13</v>
      </c>
      <c r="Q15" s="64" t="e">
        <f t="shared" si="9"/>
        <v>#VALUE!</v>
      </c>
      <c r="R15" s="64">
        <f t="shared" si="10"/>
        <v>22</v>
      </c>
      <c r="S15" s="64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1"/>
        <v>none</v>
      </c>
      <c r="U15" s="64" t="e">
        <f t="shared" si="12"/>
        <v>#VALUE!</v>
      </c>
      <c r="V15" s="64">
        <f t="shared" si="13"/>
        <v>4</v>
      </c>
      <c r="W15" s="64" t="e">
        <f t="shared" si="14"/>
        <v>#VALUE!</v>
      </c>
      <c r="X15" s="64" t="e">
        <f t="shared" si="15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 t="s">
        <v>263</v>
      </c>
      <c r="AA15" s="52">
        <f t="shared" ca="1" si="16"/>
        <v>42408</v>
      </c>
      <c r="AB15" s="51" t="s">
        <v>223</v>
      </c>
    </row>
    <row r="16" spans="1:28" ht="21" customHeight="1">
      <c r="A16" s="47">
        <v>40009015</v>
      </c>
      <c r="B16" s="47" t="s">
        <v>275</v>
      </c>
      <c r="C16" s="50">
        <v>3</v>
      </c>
      <c r="D16" s="50" t="s">
        <v>127</v>
      </c>
      <c r="E16" s="51" t="s">
        <v>287</v>
      </c>
      <c r="F16" s="51" t="s">
        <v>359</v>
      </c>
      <c r="G16" s="64" t="str">
        <f t="shared" si="0"/>
        <v xml:space="preserve">[effect:virus, turn:5, rate:1, val:0.1, animation:enemy_virus]    </v>
      </c>
      <c r="H16" s="64">
        <f t="shared" si="1"/>
        <v>9</v>
      </c>
      <c r="I16" s="64">
        <f t="shared" si="2"/>
        <v>14</v>
      </c>
      <c r="J16" s="64" t="e">
        <f t="shared" si="3"/>
        <v>#VALUE!</v>
      </c>
      <c r="K16" s="64">
        <f t="shared" si="4"/>
        <v>22</v>
      </c>
      <c r="L16" s="64" t="str">
        <f>IFERROR(VLOOKUP(MID(G16,J16,K16-J16),[6]skilldef!$C:$D,2,FALSE),"-") &amp; " / " &amp; IFERROR(VLOOKUP(MID(G16,H16,I16-H16),[6]skilldef!$A:$B,2,FALSE),"-")</f>
        <v>- / ウィルス</v>
      </c>
      <c r="M16" s="64" t="str">
        <f t="shared" si="5"/>
        <v>none</v>
      </c>
      <c r="N16" s="48" t="str">
        <f t="shared" si="6"/>
        <v>none</v>
      </c>
      <c r="O16" s="64" t="e">
        <f t="shared" si="7"/>
        <v>#VALUE!</v>
      </c>
      <c r="P16" s="64">
        <f t="shared" si="8"/>
        <v>4</v>
      </c>
      <c r="Q16" s="64" t="e">
        <f t="shared" si="9"/>
        <v>#VALUE!</v>
      </c>
      <c r="R16" s="64" t="e">
        <f t="shared" si="10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4" t="e">
        <f t="shared" si="12"/>
        <v>#VALUE!</v>
      </c>
      <c r="V16" s="64">
        <f t="shared" si="13"/>
        <v>4</v>
      </c>
      <c r="W16" s="64" t="e">
        <f t="shared" si="14"/>
        <v>#VALUE!</v>
      </c>
      <c r="X16" s="64" t="e">
        <f t="shared" si="15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 t="s">
        <v>263</v>
      </c>
      <c r="AA16" s="52">
        <f t="shared" ca="1" si="16"/>
        <v>42408</v>
      </c>
      <c r="AB16" s="51" t="s">
        <v>224</v>
      </c>
    </row>
    <row r="17" spans="1:28" ht="21" customHeight="1">
      <c r="A17" s="47">
        <v>40009016</v>
      </c>
      <c r="B17" s="47" t="s">
        <v>338</v>
      </c>
      <c r="C17" s="50">
        <v>3</v>
      </c>
      <c r="D17" s="50" t="s">
        <v>127</v>
      </c>
      <c r="E17" s="51" t="s">
        <v>286</v>
      </c>
      <c r="F17" s="51" t="s">
        <v>351</v>
      </c>
      <c r="G17" s="64" t="str">
        <f t="shared" si="0"/>
        <v xml:space="preserve">[effect:damage_anti_tribe, target:unit_all, tribe:machine, val1:1.2, val2:0.2]    </v>
      </c>
      <c r="H17" s="64">
        <f t="shared" si="1"/>
        <v>9</v>
      </c>
      <c r="I17" s="64">
        <f t="shared" si="2"/>
        <v>26</v>
      </c>
      <c r="J17" s="64">
        <f t="shared" si="3"/>
        <v>35</v>
      </c>
      <c r="K17" s="64">
        <f t="shared" si="4"/>
        <v>43</v>
      </c>
      <c r="L17" s="64" t="str">
        <f>IFERROR(VLOOKUP(MID(G17,J17,K17-J17),[6]skilldef!$C:$D,2,FALSE),"-") &amp; " / " &amp; IFERROR(VLOOKUP(MID(G17,H17,I17-H17),[6]skilldef!$A:$B,2,FALSE),"-")</f>
        <v>味方全体に / 種族キラー</v>
      </c>
      <c r="M17" s="64" t="str">
        <f t="shared" si="5"/>
        <v>none</v>
      </c>
      <c r="N17" s="48" t="str">
        <f t="shared" si="6"/>
        <v>none</v>
      </c>
      <c r="O17" s="64" t="e">
        <f t="shared" si="7"/>
        <v>#VALUE!</v>
      </c>
      <c r="P17" s="64">
        <f t="shared" si="8"/>
        <v>4</v>
      </c>
      <c r="Q17" s="64" t="e">
        <f t="shared" si="9"/>
        <v>#VALUE!</v>
      </c>
      <c r="R17" s="64" t="e">
        <f t="shared" si="10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4" t="e">
        <f t="shared" si="12"/>
        <v>#VALUE!</v>
      </c>
      <c r="V17" s="64">
        <f t="shared" si="13"/>
        <v>4</v>
      </c>
      <c r="W17" s="64" t="e">
        <f t="shared" si="14"/>
        <v>#VALUE!</v>
      </c>
      <c r="X17" s="64" t="e">
        <f t="shared" si="15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 t="s">
        <v>263</v>
      </c>
      <c r="AA17" s="52">
        <f t="shared" ca="1" si="16"/>
        <v>42408</v>
      </c>
      <c r="AB17" s="51" t="s">
        <v>224</v>
      </c>
    </row>
    <row r="18" spans="1:28" ht="21" customHeight="1">
      <c r="A18" s="47">
        <v>40009017</v>
      </c>
      <c r="B18" s="47" t="s">
        <v>360</v>
      </c>
      <c r="C18" s="50">
        <v>3</v>
      </c>
      <c r="D18" s="50" t="s">
        <v>127</v>
      </c>
      <c r="E18" s="51" t="s">
        <v>288</v>
      </c>
      <c r="F18" s="51" t="s">
        <v>361</v>
      </c>
      <c r="G18" s="64" t="str">
        <f t="shared" si="0"/>
        <v>[effect:rush, count:1, val:0.5]</v>
      </c>
      <c r="H18" s="64">
        <f t="shared" si="1"/>
        <v>9</v>
      </c>
      <c r="I18" s="64">
        <f t="shared" si="2"/>
        <v>13</v>
      </c>
      <c r="J18" s="64" t="e">
        <f t="shared" si="3"/>
        <v>#VALUE!</v>
      </c>
      <c r="K18" s="64">
        <f t="shared" si="4"/>
        <v>22</v>
      </c>
      <c r="L18" s="64" t="str">
        <f>IFERROR(VLOOKUP(MID(G18,J18,K18-J18),[6]skilldef!$C:$D,2,FALSE),"-") &amp; " / " &amp; IFERROR(VLOOKUP(MID(G18,H18,I18-H18),[6]skilldef!$A:$B,2,FALSE),"-")</f>
        <v>- / 連続攻撃</v>
      </c>
      <c r="M18" s="64" t="str">
        <f t="shared" si="5"/>
        <v>[effect:charge, status:attack, val:0.5]</v>
      </c>
      <c r="N18" s="48" t="str">
        <f t="shared" si="6"/>
        <v>[effect:charge, status:attack, val:0.5]</v>
      </c>
      <c r="O18" s="64">
        <f t="shared" si="7"/>
        <v>9</v>
      </c>
      <c r="P18" s="64">
        <f t="shared" si="8"/>
        <v>15</v>
      </c>
      <c r="Q18" s="64" t="e">
        <f t="shared" si="9"/>
        <v>#VALUE!</v>
      </c>
      <c r="R18" s="64">
        <f t="shared" si="10"/>
        <v>30</v>
      </c>
      <c r="S18" s="64" t="str">
        <f>IFERROR(VLOOKUP(MID(N18,Q18,R18-Q18),[6]skilldef!$C:$D,2,FALSE),"-") &amp; " / " &amp; IFERROR(VLOOKUP(MID(N18,O18,P18-O18),[6]skilldef!$A:$B,2,FALSE),"-")</f>
        <v>- / 溜め</v>
      </c>
      <c r="T18" s="48" t="str">
        <f t="shared" si="11"/>
        <v>none</v>
      </c>
      <c r="U18" s="64" t="e">
        <f t="shared" si="12"/>
        <v>#VALUE!</v>
      </c>
      <c r="V18" s="64">
        <f t="shared" si="13"/>
        <v>4</v>
      </c>
      <c r="W18" s="64" t="e">
        <f t="shared" si="14"/>
        <v>#VALUE!</v>
      </c>
      <c r="X18" s="64" t="e">
        <f t="shared" si="15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 t="s">
        <v>263</v>
      </c>
      <c r="AA18" s="52">
        <f t="shared" ca="1" si="16"/>
        <v>42408</v>
      </c>
      <c r="AB18" s="51" t="s">
        <v>224</v>
      </c>
    </row>
    <row r="19" spans="1:28" ht="21" customHeight="1">
      <c r="A19" s="47">
        <v>40009018</v>
      </c>
      <c r="B19" s="101" t="s">
        <v>398</v>
      </c>
      <c r="C19" s="50">
        <v>3</v>
      </c>
      <c r="D19" s="50" t="s">
        <v>127</v>
      </c>
      <c r="E19" s="51" t="s">
        <v>289</v>
      </c>
      <c r="F19" s="51" t="s">
        <v>362</v>
      </c>
      <c r="G19" s="64" t="str">
        <f t="shared" si="0"/>
        <v>[effect:tolerance, target:myself, turn:-1, tolerance_effect:hungup, count:-1]</v>
      </c>
      <c r="H19" s="64">
        <f t="shared" si="1"/>
        <v>9</v>
      </c>
      <c r="I19" s="64">
        <f t="shared" si="2"/>
        <v>18</v>
      </c>
      <c r="J19" s="64">
        <f t="shared" si="3"/>
        <v>27</v>
      </c>
      <c r="K19" s="64">
        <f t="shared" si="4"/>
        <v>33</v>
      </c>
      <c r="L19" s="64" t="str">
        <f>IFERROR(VLOOKUP(MID(G19,J19,K19-J19),[6]skilldef!$C:$D,2,FALSE),"-") &amp; " / " &amp; IFERROR(VLOOKUP(MID(G19,H19,I19-H19),[6]skilldef!$A:$B,2,FALSE),"-")</f>
        <v>自分自身に / 状態異常耐性</v>
      </c>
      <c r="M19" s="64" t="str">
        <f t="shared" si="5"/>
        <v>[effect:tolerance, target:myself, turn:-1, tolerance_effect:virus, count:-1],[effect:tolerance, target:myself, turn:-1, tolerance_effect:sleep, count:-1, animation:enemy_tolerance]</v>
      </c>
      <c r="N19" s="48" t="str">
        <f t="shared" si="6"/>
        <v>[effect:tolerance, target:myself, turn:-1, tolerance_effect:virus, count:-1],[effect:tolerance, target:myself, turn:-1, tolerance_effect:sleep, count:-1, animation:enemy_tolerance]</v>
      </c>
      <c r="O19" s="64">
        <f t="shared" si="7"/>
        <v>9</v>
      </c>
      <c r="P19" s="64">
        <f t="shared" si="8"/>
        <v>18</v>
      </c>
      <c r="Q19" s="64">
        <f t="shared" si="9"/>
        <v>27</v>
      </c>
      <c r="R19" s="64">
        <f t="shared" si="10"/>
        <v>33</v>
      </c>
      <c r="S19" s="64" t="str">
        <f>IFERROR(VLOOKUP(MID(N19,Q19,R19-Q19),[6]skilldef!$C:$D,2,FALSE),"-") &amp; " / " &amp; IFERROR(VLOOKUP(MID(N19,O19,P19-O19),[6]skilldef!$A:$B,2,FALSE),"-")</f>
        <v>自分自身に / 状態異常耐性</v>
      </c>
      <c r="T19" s="48" t="str">
        <f t="shared" si="11"/>
        <v>[effect:tolerance, target:myself, turn:-1, tolerance_effect:sleep, count:-1, animation:enemy_tolerance]</v>
      </c>
      <c r="U19" s="64">
        <f t="shared" si="12"/>
        <v>9</v>
      </c>
      <c r="V19" s="64">
        <f t="shared" si="13"/>
        <v>18</v>
      </c>
      <c r="W19" s="64">
        <f t="shared" si="14"/>
        <v>27</v>
      </c>
      <c r="X19" s="64">
        <f t="shared" si="15"/>
        <v>33</v>
      </c>
      <c r="Y19" s="64" t="str">
        <f>IFERROR(VLOOKUP(MID(T19,W19,X19-W19),[6]skilldef!$C:$D,2,FALSE),"-") &amp; " / " &amp; IFERROR(VLOOKUP(MID(T19,U19,V19-U19),[6]skilldef!$A:$B,2,FALSE),"-")</f>
        <v>自分自身に / 状態異常耐性</v>
      </c>
      <c r="Z19" s="50" t="s">
        <v>263</v>
      </c>
      <c r="AA19" s="52">
        <f t="shared" ca="1" si="16"/>
        <v>42408</v>
      </c>
      <c r="AB19" s="51" t="s">
        <v>225</v>
      </c>
    </row>
    <row r="20" spans="1:28" ht="21" customHeight="1">
      <c r="A20" s="47">
        <v>40009019</v>
      </c>
      <c r="B20" s="47" t="s">
        <v>235</v>
      </c>
      <c r="C20" s="50">
        <v>3</v>
      </c>
      <c r="D20" s="50" t="s">
        <v>127</v>
      </c>
      <c r="E20" s="51" t="s">
        <v>382</v>
      </c>
      <c r="F20" s="51" t="s">
        <v>363</v>
      </c>
      <c r="G20" s="64" t="str">
        <f t="shared" si="0"/>
        <v>[effect:critical, val:1.5]</v>
      </c>
      <c r="H20" s="64">
        <f t="shared" si="1"/>
        <v>9</v>
      </c>
      <c r="I20" s="64">
        <f t="shared" si="2"/>
        <v>17</v>
      </c>
      <c r="J20" s="64" t="e">
        <f t="shared" si="3"/>
        <v>#VALUE!</v>
      </c>
      <c r="K20" s="64" t="e">
        <f t="shared" si="4"/>
        <v>#VALUE!</v>
      </c>
      <c r="L20" s="64" t="str">
        <f>IFERROR(VLOOKUP(MID(G20,J20,K20-J20),[6]skilldef!$C:$D,2,FALSE),"-") &amp; " / " &amp; IFERROR(VLOOKUP(MID(G20,H20,I20-H20),[6]skilldef!$A:$B,2,FALSE),"-")</f>
        <v>- / 大攻撃</v>
      </c>
      <c r="M20" s="64" t="str">
        <f t="shared" si="5"/>
        <v>none</v>
      </c>
      <c r="N20" s="48" t="str">
        <f t="shared" si="6"/>
        <v>none</v>
      </c>
      <c r="O20" s="64" t="e">
        <f t="shared" si="7"/>
        <v>#VALUE!</v>
      </c>
      <c r="P20" s="64">
        <f t="shared" si="8"/>
        <v>4</v>
      </c>
      <c r="Q20" s="64" t="e">
        <f t="shared" si="9"/>
        <v>#VALUE!</v>
      </c>
      <c r="R20" s="64" t="e">
        <f t="shared" si="10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4" t="e">
        <f t="shared" si="12"/>
        <v>#VALUE!</v>
      </c>
      <c r="V20" s="64">
        <f t="shared" si="13"/>
        <v>4</v>
      </c>
      <c r="W20" s="64" t="e">
        <f t="shared" si="14"/>
        <v>#VALUE!</v>
      </c>
      <c r="X20" s="64" t="e">
        <f t="shared" si="15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 t="s">
        <v>263</v>
      </c>
      <c r="AA20" s="52">
        <f t="shared" ca="1" si="16"/>
        <v>42408</v>
      </c>
      <c r="AB20" s="51" t="s">
        <v>225</v>
      </c>
    </row>
    <row r="21" spans="1:28" ht="21" customHeight="1">
      <c r="A21" s="47">
        <v>40009020</v>
      </c>
      <c r="B21" s="47" t="s">
        <v>328</v>
      </c>
      <c r="C21" s="50">
        <v>3</v>
      </c>
      <c r="D21" s="50" t="s">
        <v>127</v>
      </c>
      <c r="E21" s="51" t="s">
        <v>291</v>
      </c>
      <c r="F21" s="51" t="s">
        <v>364</v>
      </c>
      <c r="G21" s="64" t="str">
        <f t="shared" ref="G21:G29" si="17">IFERROR(LEFT(B21,FIND("],",B21)),B21)</f>
        <v>[effect:rush, count:1, val:0.8]</v>
      </c>
      <c r="H21" s="64">
        <f t="shared" si="1"/>
        <v>9</v>
      </c>
      <c r="I21" s="64">
        <f t="shared" ref="I21:I29" si="18">IFERROR(FIND(",",G21),LEN(G21))</f>
        <v>13</v>
      </c>
      <c r="J21" s="64" t="e">
        <f t="shared" ref="J21:J29" si="19">FIND("target:",G21)+7</f>
        <v>#VALUE!</v>
      </c>
      <c r="K21" s="64">
        <f t="shared" ref="K21:K29" si="20">FIND(",",G21,I21+1)</f>
        <v>22</v>
      </c>
      <c r="L21" s="64" t="str">
        <f>IFERROR(VLOOKUP(MID(G21,J21,K21-J21),[6]skilldef!$C:$D,2,FALSE),"-") &amp; " / " &amp; IFERROR(VLOOKUP(MID(G21,H21,I21-H21),[6]skilldef!$A:$B,2,FALSE),"-")</f>
        <v>- / 連続攻撃</v>
      </c>
      <c r="M21" s="64" t="str">
        <f t="shared" ref="M21:M29" si="21">IFERROR(RIGHT(B21,LEN(B21)-FIND("],",B21)-1),"none")</f>
        <v>none</v>
      </c>
      <c r="N21" s="48" t="str">
        <f>IFERROR(LEFT(M21,FIND("],",M21)+#REF!),M21)</f>
        <v>none</v>
      </c>
      <c r="O21" s="64" t="e">
        <f t="shared" si="7"/>
        <v>#VALUE!</v>
      </c>
      <c r="P21" s="64">
        <f t="shared" ref="P21:P29" si="22">IFERROR(FIND(",",N21),LEN(N21))</f>
        <v>4</v>
      </c>
      <c r="Q21" s="64" t="e">
        <f t="shared" ref="Q21:Q29" si="23">FIND("target:",N21)+7</f>
        <v>#VALUE!</v>
      </c>
      <c r="R21" s="64" t="e">
        <f t="shared" ref="R21:R29" si="24">FIND(",",N21,P21+1)</f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ref="T21:T29" si="25">IFERROR(RIGHT(M21,LEN(M21)-FIND("],",M21)-1),"none")</f>
        <v>none</v>
      </c>
      <c r="U21" s="64" t="e">
        <f t="shared" si="12"/>
        <v>#VALUE!</v>
      </c>
      <c r="V21" s="64">
        <f t="shared" ref="V21:V29" si="26">IFERROR(FIND(",",T21),LEN(T21))</f>
        <v>4</v>
      </c>
      <c r="W21" s="64" t="e">
        <f t="shared" ref="W21:W29" si="27">FIND("target:",T21)+7</f>
        <v>#VALUE!</v>
      </c>
      <c r="X21" s="64" t="e">
        <f t="shared" ref="X21:X29" si="28">FIND(",",T21,V21+1)</f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 t="s">
        <v>263</v>
      </c>
      <c r="AA21" s="52">
        <f t="shared" ca="1" si="16"/>
        <v>42408</v>
      </c>
      <c r="AB21" s="51" t="s">
        <v>225</v>
      </c>
    </row>
    <row r="22" spans="1:28" ht="21" customHeight="1">
      <c r="A22" s="47">
        <v>40009021</v>
      </c>
      <c r="B22" s="47" t="s">
        <v>327</v>
      </c>
      <c r="C22" s="50">
        <v>3</v>
      </c>
      <c r="D22" s="50" t="s">
        <v>127</v>
      </c>
      <c r="E22" s="51" t="s">
        <v>292</v>
      </c>
      <c r="F22" s="51" t="s">
        <v>365</v>
      </c>
      <c r="G22" s="64" t="str">
        <f t="shared" si="17"/>
        <v>[effect:rush, count:1, val:0.7]</v>
      </c>
      <c r="H22" s="64">
        <f t="shared" si="1"/>
        <v>9</v>
      </c>
      <c r="I22" s="64">
        <f t="shared" si="18"/>
        <v>13</v>
      </c>
      <c r="J22" s="64" t="e">
        <f t="shared" si="19"/>
        <v>#VALUE!</v>
      </c>
      <c r="K22" s="64">
        <f t="shared" si="20"/>
        <v>22</v>
      </c>
      <c r="L22" s="64" t="str">
        <f>IFERROR(VLOOKUP(MID(G22,J22,K22-J22),[6]skilldef!$C:$D,2,FALSE),"-") &amp; " / " &amp; IFERROR(VLOOKUP(MID(G22,H22,I22-H22),[6]skilldef!$A:$B,2,FALSE),"-")</f>
        <v>- / 連続攻撃</v>
      </c>
      <c r="M22" s="64" t="str">
        <f t="shared" si="21"/>
        <v>[effect:freq_turn, target:enemy_all, turn:-1, val:1, animation:enemy_freq_turn],[effect:enhance_enemy, target:enemy_all, turn:-1, status:attack, val:1.5, calc:mul, animation:enemy_enhance_attack]</v>
      </c>
      <c r="N22" s="48" t="str">
        <f t="shared" ref="N22:N23" si="29">IFERROR(LEFT(M22,FIND("],",M22)+S31),M22)</f>
        <v>[effect:freq_turn, target:enemy_all, turn:-1, val:1, animation:enemy_freq_turn],[effect:enhance_enemy, target:enemy_all, turn:-1, status:attack, val:1.5, calc:mul, animation:enemy_enhance_attack]</v>
      </c>
      <c r="O22" s="64">
        <f t="shared" si="7"/>
        <v>9</v>
      </c>
      <c r="P22" s="64">
        <f t="shared" si="22"/>
        <v>18</v>
      </c>
      <c r="Q22" s="64">
        <f t="shared" si="23"/>
        <v>27</v>
      </c>
      <c r="R22" s="64">
        <f t="shared" si="24"/>
        <v>36</v>
      </c>
      <c r="S22" s="64" t="str">
        <f>IFERROR(VLOOKUP(MID(N22,Q22,R22-Q22),[6]skilldef!$C:$D,2,FALSE),"-") &amp; " / " &amp; IFERROR(VLOOKUP(MID(N22,O22,P22-O22),[6]skilldef!$A:$B,2,FALSE),"-")</f>
        <v>敵全体に / 攻撃頻度がUP</v>
      </c>
      <c r="T22" s="48" t="str">
        <f t="shared" si="25"/>
        <v>[effect:enhance_enemy, target:enemy_all, turn:-1, status:attack, val:1.5, calc:mul, animation:enemy_enhance_attack]</v>
      </c>
      <c r="U22" s="64">
        <f t="shared" si="12"/>
        <v>9</v>
      </c>
      <c r="V22" s="64">
        <f t="shared" si="26"/>
        <v>22</v>
      </c>
      <c r="W22" s="64">
        <f t="shared" si="27"/>
        <v>31</v>
      </c>
      <c r="X22" s="64">
        <f t="shared" si="28"/>
        <v>40</v>
      </c>
      <c r="Y22" s="64" t="str">
        <f>IFERROR(VLOOKUP(MID(T22,W22,X22-W22),[6]skilldef!$C:$D,2,FALSE),"-") &amp; " / " &amp; IFERROR(VLOOKUP(MID(T22,U22,V22-U22),[6]skilldef!$A:$B,2,FALSE),"-")</f>
        <v>敵全体に / ステータス強化</v>
      </c>
      <c r="Z22" s="50" t="s">
        <v>263</v>
      </c>
      <c r="AA22" s="52">
        <f t="shared" ca="1" si="16"/>
        <v>42408</v>
      </c>
      <c r="AB22" s="51" t="s">
        <v>225</v>
      </c>
    </row>
    <row r="23" spans="1:28" ht="21" customHeight="1">
      <c r="A23" s="47">
        <v>40009022</v>
      </c>
      <c r="B23" s="47" t="s">
        <v>366</v>
      </c>
      <c r="C23" s="50">
        <v>3</v>
      </c>
      <c r="D23" s="50" t="s">
        <v>127</v>
      </c>
      <c r="E23" s="51" t="s">
        <v>293</v>
      </c>
      <c r="F23" s="51" t="s">
        <v>361</v>
      </c>
      <c r="G23" s="64" t="str">
        <f t="shared" si="17"/>
        <v>[effect:rush, count:1, val:0.2]</v>
      </c>
      <c r="H23" s="64">
        <f t="shared" si="1"/>
        <v>9</v>
      </c>
      <c r="I23" s="64">
        <f t="shared" si="18"/>
        <v>13</v>
      </c>
      <c r="J23" s="64" t="e">
        <f t="shared" si="19"/>
        <v>#VALUE!</v>
      </c>
      <c r="K23" s="64">
        <f t="shared" si="20"/>
        <v>22</v>
      </c>
      <c r="L23" s="64" t="str">
        <f>IFERROR(VLOOKUP(MID(G23,J23,K23-J23),[6]skilldef!$C:$D,2,FALSE),"-") &amp; " / " &amp; IFERROR(VLOOKUP(MID(G23,H23,I23-H23),[6]skilldef!$A:$B,2,FALSE),"-")</f>
        <v>- / 連続攻撃</v>
      </c>
      <c r="M23" s="64" t="str">
        <f t="shared" si="21"/>
        <v>[effect:charge, status:attack, val:0.6]</v>
      </c>
      <c r="N23" s="48" t="str">
        <f t="shared" si="29"/>
        <v>[effect:charge, status:attack, val:0.6]</v>
      </c>
      <c r="O23" s="64">
        <f t="shared" si="7"/>
        <v>9</v>
      </c>
      <c r="P23" s="64">
        <f t="shared" si="22"/>
        <v>15</v>
      </c>
      <c r="Q23" s="64" t="e">
        <f t="shared" si="23"/>
        <v>#VALUE!</v>
      </c>
      <c r="R23" s="64">
        <f t="shared" si="24"/>
        <v>30</v>
      </c>
      <c r="S23" s="64" t="str">
        <f>IFERROR(VLOOKUP(MID(N23,Q23,R23-Q23),[6]skilldef!$C:$D,2,FALSE),"-") &amp; " / " &amp; IFERROR(VLOOKUP(MID(N23,O23,P23-O23),[6]skilldef!$A:$B,2,FALSE),"-")</f>
        <v>- / 溜め</v>
      </c>
      <c r="T23" s="48" t="str">
        <f t="shared" si="25"/>
        <v>none</v>
      </c>
      <c r="U23" s="64" t="e">
        <f t="shared" si="12"/>
        <v>#VALUE!</v>
      </c>
      <c r="V23" s="64">
        <f t="shared" si="26"/>
        <v>4</v>
      </c>
      <c r="W23" s="64" t="e">
        <f t="shared" si="27"/>
        <v>#VALUE!</v>
      </c>
      <c r="X23" s="64" t="e">
        <f t="shared" si="28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 t="s">
        <v>263</v>
      </c>
      <c r="AA23" s="52">
        <f t="shared" ca="1" si="16"/>
        <v>42408</v>
      </c>
      <c r="AB23" s="51" t="s">
        <v>225</v>
      </c>
    </row>
    <row r="24" spans="1:28" ht="21" customHeight="1">
      <c r="A24" s="47">
        <v>40009023</v>
      </c>
      <c r="B24" s="47" t="s">
        <v>330</v>
      </c>
      <c r="C24" s="50">
        <v>3</v>
      </c>
      <c r="D24" s="50" t="s">
        <v>127</v>
      </c>
      <c r="E24" s="51" t="s">
        <v>296</v>
      </c>
      <c r="F24" s="51" t="s">
        <v>367</v>
      </c>
      <c r="G24" s="64" t="str">
        <f t="shared" si="17"/>
        <v xml:space="preserve">[effect:enhance_enemy, target:myself, turn:3, status:defense, val:3000, calc:add, animation:enemy_enhance_defense]    </v>
      </c>
      <c r="H24" s="64">
        <f t="shared" si="1"/>
        <v>9</v>
      </c>
      <c r="I24" s="64">
        <f t="shared" si="18"/>
        <v>22</v>
      </c>
      <c r="J24" s="64">
        <f t="shared" si="19"/>
        <v>31</v>
      </c>
      <c r="K24" s="64">
        <f t="shared" si="20"/>
        <v>37</v>
      </c>
      <c r="L24" s="64" t="str">
        <f>IFERROR(VLOOKUP(MID(G24,J24,K24-J24),[6]skilldef!$C:$D,2,FALSE),"-") &amp; " / " &amp; IFERROR(VLOOKUP(MID(G24,H24,I24-H24),[6]skilldef!$A:$B,2,FALSE),"-")</f>
        <v>自分自身に / ステータス強化</v>
      </c>
      <c r="M24" s="64" t="str">
        <f t="shared" si="21"/>
        <v>none</v>
      </c>
      <c r="N24" s="48" t="str">
        <f>IFERROR(LEFT(M24,FIND("],",M24)+#REF!),M24)</f>
        <v>none</v>
      </c>
      <c r="O24" s="64" t="e">
        <f t="shared" si="7"/>
        <v>#VALUE!</v>
      </c>
      <c r="P24" s="64">
        <f t="shared" si="22"/>
        <v>4</v>
      </c>
      <c r="Q24" s="64" t="e">
        <f t="shared" si="23"/>
        <v>#VALUE!</v>
      </c>
      <c r="R24" s="64" t="e">
        <f t="shared" si="24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25"/>
        <v>none</v>
      </c>
      <c r="U24" s="64" t="e">
        <f t="shared" si="12"/>
        <v>#VALUE!</v>
      </c>
      <c r="V24" s="64">
        <f t="shared" si="26"/>
        <v>4</v>
      </c>
      <c r="W24" s="64" t="e">
        <f t="shared" si="27"/>
        <v>#VALUE!</v>
      </c>
      <c r="X24" s="64" t="e">
        <f t="shared" si="28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 t="s">
        <v>263</v>
      </c>
      <c r="AA24" s="52">
        <f t="shared" ca="1" si="16"/>
        <v>42408</v>
      </c>
      <c r="AB24" s="51" t="s">
        <v>226</v>
      </c>
    </row>
    <row r="25" spans="1:28" ht="21" customHeight="1">
      <c r="A25" s="47">
        <v>40009024</v>
      </c>
      <c r="B25" s="47" t="s">
        <v>259</v>
      </c>
      <c r="C25" s="50">
        <v>3</v>
      </c>
      <c r="D25" s="50" t="s">
        <v>127</v>
      </c>
      <c r="E25" s="51" t="s">
        <v>340</v>
      </c>
      <c r="F25" s="51" t="s">
        <v>368</v>
      </c>
      <c r="G25" s="64" t="str">
        <f t="shared" si="17"/>
        <v>[effect:dis_panel, target:block_blue, turn:3, animation:enemy_dis_blue]</v>
      </c>
      <c r="H25" s="64">
        <f t="shared" si="1"/>
        <v>9</v>
      </c>
      <c r="I25" s="64">
        <f t="shared" si="18"/>
        <v>18</v>
      </c>
      <c r="J25" s="64">
        <f t="shared" si="19"/>
        <v>27</v>
      </c>
      <c r="K25" s="64">
        <f t="shared" si="20"/>
        <v>37</v>
      </c>
      <c r="L25" s="64" t="str">
        <f>IFERROR(VLOOKUP(MID(G25,J25,K25-J25),[6]skilldef!$C:$D,2,FALSE),"-") &amp; " / " &amp; IFERROR(VLOOKUP(MID(G25,H25,I25-H25),[6]skilldef!$A:$B,2,FALSE),"-")</f>
        <v>青パネルを / ディスパネル</v>
      </c>
      <c r="M25" s="64" t="str">
        <f t="shared" si="21"/>
        <v>[effect:rush, count:1, val:1]</v>
      </c>
      <c r="N25" s="48" t="str">
        <f t="shared" ref="N25:N30" si="30">IFERROR(LEFT(M25,FIND("],",M25)+S33),M25)</f>
        <v>[effect:rush, count:1, val:1]</v>
      </c>
      <c r="O25" s="64">
        <f t="shared" si="7"/>
        <v>9</v>
      </c>
      <c r="P25" s="64">
        <f t="shared" si="22"/>
        <v>13</v>
      </c>
      <c r="Q25" s="64" t="e">
        <f t="shared" si="23"/>
        <v>#VALUE!</v>
      </c>
      <c r="R25" s="64">
        <f t="shared" si="24"/>
        <v>22</v>
      </c>
      <c r="S25" s="64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25"/>
        <v>none</v>
      </c>
      <c r="U25" s="64" t="e">
        <f t="shared" si="12"/>
        <v>#VALUE!</v>
      </c>
      <c r="V25" s="64">
        <f t="shared" si="26"/>
        <v>4</v>
      </c>
      <c r="W25" s="64" t="e">
        <f t="shared" si="27"/>
        <v>#VALUE!</v>
      </c>
      <c r="X25" s="64" t="e">
        <f t="shared" si="28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 t="s">
        <v>263</v>
      </c>
      <c r="AA25" s="52">
        <f t="shared" ca="1" si="16"/>
        <v>42408</v>
      </c>
      <c r="AB25" s="51" t="s">
        <v>226</v>
      </c>
    </row>
    <row r="26" spans="1:28" ht="21" customHeight="1">
      <c r="A26" s="47">
        <v>40009025</v>
      </c>
      <c r="B26" s="47" t="s">
        <v>260</v>
      </c>
      <c r="C26" s="50">
        <v>3</v>
      </c>
      <c r="D26" s="50" t="s">
        <v>127</v>
      </c>
      <c r="E26" s="51" t="s">
        <v>295</v>
      </c>
      <c r="F26" s="51" t="s">
        <v>369</v>
      </c>
      <c r="G26" s="64" t="str">
        <f t="shared" si="17"/>
        <v>[effect:dis_panel, target:block_red, turn:3, animation:enemy_dis_red]</v>
      </c>
      <c r="H26" s="64">
        <f t="shared" si="1"/>
        <v>9</v>
      </c>
      <c r="I26" s="64">
        <f t="shared" si="18"/>
        <v>18</v>
      </c>
      <c r="J26" s="64">
        <f t="shared" si="19"/>
        <v>27</v>
      </c>
      <c r="K26" s="64">
        <f t="shared" si="20"/>
        <v>36</v>
      </c>
      <c r="L26" s="64" t="str">
        <f>IFERROR(VLOOKUP(MID(G26,J26,K26-J26),[6]skilldef!$C:$D,2,FALSE),"-") &amp; " / " &amp; IFERROR(VLOOKUP(MID(G26,H26,I26-H26),[6]skilldef!$A:$B,2,FALSE),"-")</f>
        <v>赤パネルを / ディスパネル</v>
      </c>
      <c r="M26" s="64" t="str">
        <f t="shared" si="21"/>
        <v>[effect:rush, count:1, val:1]</v>
      </c>
      <c r="N26" s="48" t="str">
        <f t="shared" si="30"/>
        <v>[effect:rush, count:1, val:1]</v>
      </c>
      <c r="O26" s="64">
        <f t="shared" si="7"/>
        <v>9</v>
      </c>
      <c r="P26" s="64">
        <f t="shared" si="22"/>
        <v>13</v>
      </c>
      <c r="Q26" s="64" t="e">
        <f t="shared" si="23"/>
        <v>#VALUE!</v>
      </c>
      <c r="R26" s="64">
        <f t="shared" si="24"/>
        <v>22</v>
      </c>
      <c r="S26" s="64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25"/>
        <v>none</v>
      </c>
      <c r="U26" s="64" t="e">
        <f t="shared" si="12"/>
        <v>#VALUE!</v>
      </c>
      <c r="V26" s="64">
        <f t="shared" si="26"/>
        <v>4</v>
      </c>
      <c r="W26" s="64" t="e">
        <f t="shared" si="27"/>
        <v>#VALUE!</v>
      </c>
      <c r="X26" s="64" t="e">
        <f t="shared" si="28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 t="s">
        <v>263</v>
      </c>
      <c r="AA26" s="52">
        <f t="shared" ca="1" si="16"/>
        <v>42408</v>
      </c>
      <c r="AB26" s="51" t="s">
        <v>226</v>
      </c>
    </row>
    <row r="27" spans="1:28" ht="21" customHeight="1">
      <c r="A27" s="47">
        <v>40009026</v>
      </c>
      <c r="B27" s="47" t="s">
        <v>261</v>
      </c>
      <c r="C27" s="50">
        <v>3</v>
      </c>
      <c r="D27" s="50" t="s">
        <v>127</v>
      </c>
      <c r="E27" s="51" t="s">
        <v>294</v>
      </c>
      <c r="F27" s="51" t="s">
        <v>370</v>
      </c>
      <c r="G27" s="64" t="str">
        <f t="shared" si="17"/>
        <v>[effect:dis_panel, target:block_green, turn:3, animation:enemy_dis_green]</v>
      </c>
      <c r="H27" s="64">
        <f t="shared" si="1"/>
        <v>9</v>
      </c>
      <c r="I27" s="64">
        <f t="shared" si="18"/>
        <v>18</v>
      </c>
      <c r="J27" s="64">
        <f t="shared" si="19"/>
        <v>27</v>
      </c>
      <c r="K27" s="64">
        <f t="shared" si="20"/>
        <v>38</v>
      </c>
      <c r="L27" s="64" t="str">
        <f>IFERROR(VLOOKUP(MID(G27,J27,K27-J27),[6]skilldef!$C:$D,2,FALSE),"-") &amp; " / " &amp; IFERROR(VLOOKUP(MID(G27,H27,I27-H27),[6]skilldef!$A:$B,2,FALSE),"-")</f>
        <v>緑パネルを / ディスパネル</v>
      </c>
      <c r="M27" s="64" t="str">
        <f t="shared" si="21"/>
        <v>[effect:rush, count:1, val:1]</v>
      </c>
      <c r="N27" s="48" t="str">
        <f t="shared" si="30"/>
        <v>[effect:rush, count:1, val:1]</v>
      </c>
      <c r="O27" s="64">
        <f t="shared" si="7"/>
        <v>9</v>
      </c>
      <c r="P27" s="64">
        <f t="shared" si="22"/>
        <v>13</v>
      </c>
      <c r="Q27" s="64" t="e">
        <f t="shared" si="23"/>
        <v>#VALUE!</v>
      </c>
      <c r="R27" s="64">
        <f t="shared" si="24"/>
        <v>22</v>
      </c>
      <c r="S27" s="64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si="25"/>
        <v>none</v>
      </c>
      <c r="U27" s="64" t="e">
        <f t="shared" si="12"/>
        <v>#VALUE!</v>
      </c>
      <c r="V27" s="64">
        <f t="shared" si="26"/>
        <v>4</v>
      </c>
      <c r="W27" s="64" t="e">
        <f t="shared" si="27"/>
        <v>#VALUE!</v>
      </c>
      <c r="X27" s="64" t="e">
        <f t="shared" si="28"/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 t="s">
        <v>263</v>
      </c>
      <c r="AA27" s="52">
        <f t="shared" ca="1" si="16"/>
        <v>42408</v>
      </c>
      <c r="AB27" s="51" t="s">
        <v>226</v>
      </c>
    </row>
    <row r="28" spans="1:28" ht="21" customHeight="1">
      <c r="A28" s="47">
        <v>40009027</v>
      </c>
      <c r="B28" s="47" t="s">
        <v>314</v>
      </c>
      <c r="C28" s="50">
        <v>3</v>
      </c>
      <c r="D28" s="50" t="s">
        <v>127</v>
      </c>
      <c r="E28" s="51" t="s">
        <v>297</v>
      </c>
      <c r="F28" s="51" t="s">
        <v>371</v>
      </c>
      <c r="G28" s="64" t="str">
        <f t="shared" si="17"/>
        <v>[effect:rush, count:4, val:0.4]</v>
      </c>
      <c r="H28" s="64">
        <f t="shared" si="1"/>
        <v>9</v>
      </c>
      <c r="I28" s="64">
        <f t="shared" si="18"/>
        <v>13</v>
      </c>
      <c r="J28" s="64" t="e">
        <f t="shared" si="19"/>
        <v>#VALUE!</v>
      </c>
      <c r="K28" s="64">
        <f t="shared" si="20"/>
        <v>22</v>
      </c>
      <c r="L28" s="64" t="str">
        <f>IFERROR(VLOOKUP(MID(G28,J28,K28-J28),[6]skilldef!$C:$D,2,FALSE),"-") &amp; " / " &amp; IFERROR(VLOOKUP(MID(G28,H28,I28-H28),[6]skilldef!$A:$B,2,FALSE),"-")</f>
        <v>- / 連続攻撃</v>
      </c>
      <c r="M28" s="64" t="str">
        <f t="shared" si="21"/>
        <v>none</v>
      </c>
      <c r="N28" s="48" t="str">
        <f t="shared" si="30"/>
        <v>none</v>
      </c>
      <c r="O28" s="64" t="e">
        <f t="shared" si="7"/>
        <v>#VALUE!</v>
      </c>
      <c r="P28" s="64">
        <f t="shared" si="22"/>
        <v>4</v>
      </c>
      <c r="Q28" s="64" t="e">
        <f t="shared" si="23"/>
        <v>#VALUE!</v>
      </c>
      <c r="R28" s="64" t="e">
        <f t="shared" si="24"/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25"/>
        <v>none</v>
      </c>
      <c r="U28" s="64" t="e">
        <f t="shared" si="12"/>
        <v>#VALUE!</v>
      </c>
      <c r="V28" s="64">
        <f t="shared" si="26"/>
        <v>4</v>
      </c>
      <c r="W28" s="64" t="e">
        <f t="shared" si="27"/>
        <v>#VALUE!</v>
      </c>
      <c r="X28" s="64" t="e">
        <f t="shared" si="28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 t="s">
        <v>263</v>
      </c>
      <c r="AA28" s="52">
        <f t="shared" ca="1" si="16"/>
        <v>42408</v>
      </c>
      <c r="AB28" s="51" t="s">
        <v>226</v>
      </c>
    </row>
    <row r="29" spans="1:28" ht="21" customHeight="1">
      <c r="A29" s="47">
        <v>40009028</v>
      </c>
      <c r="B29" s="47" t="s">
        <v>236</v>
      </c>
      <c r="C29" s="50">
        <v>3</v>
      </c>
      <c r="D29" s="50" t="s">
        <v>127</v>
      </c>
      <c r="E29" s="51" t="s">
        <v>305</v>
      </c>
      <c r="F29" s="51" t="s">
        <v>372</v>
      </c>
      <c r="G29" s="64" t="str">
        <f t="shared" si="17"/>
        <v xml:space="preserve">[effect:damage_anti_color, target:unit_all, color:green, val1:0.8, val2:0.2]    </v>
      </c>
      <c r="H29" s="64">
        <f t="shared" si="1"/>
        <v>9</v>
      </c>
      <c r="I29" s="64">
        <f t="shared" si="18"/>
        <v>26</v>
      </c>
      <c r="J29" s="64">
        <f t="shared" si="19"/>
        <v>35</v>
      </c>
      <c r="K29" s="64">
        <f t="shared" si="20"/>
        <v>43</v>
      </c>
      <c r="L29" s="64" t="str">
        <f>IFERROR(VLOOKUP(MID(G29,J29,K29-J29),[6]skilldef!$C:$D,2,FALSE),"-") &amp; " / " &amp; IFERROR(VLOOKUP(MID(G29,H29,I29-H29),[6]skilldef!$A:$B,2,FALSE),"-")</f>
        <v>味方全体に / 属性キラー</v>
      </c>
      <c r="M29" s="64" t="str">
        <f t="shared" si="21"/>
        <v>none</v>
      </c>
      <c r="N29" s="48" t="str">
        <f t="shared" si="30"/>
        <v>none</v>
      </c>
      <c r="O29" s="64" t="e">
        <f t="shared" si="7"/>
        <v>#VALUE!</v>
      </c>
      <c r="P29" s="64">
        <f t="shared" si="22"/>
        <v>4</v>
      </c>
      <c r="Q29" s="64" t="e">
        <f t="shared" si="23"/>
        <v>#VALUE!</v>
      </c>
      <c r="R29" s="64" t="e">
        <f t="shared" si="24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25"/>
        <v>none</v>
      </c>
      <c r="U29" s="64" t="e">
        <f t="shared" si="12"/>
        <v>#VALUE!</v>
      </c>
      <c r="V29" s="64">
        <f t="shared" si="26"/>
        <v>4</v>
      </c>
      <c r="W29" s="64" t="e">
        <f t="shared" si="27"/>
        <v>#VALUE!</v>
      </c>
      <c r="X29" s="64" t="e">
        <f t="shared" si="28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 t="s">
        <v>263</v>
      </c>
      <c r="AA29" s="52">
        <f t="shared" ca="1" si="16"/>
        <v>42408</v>
      </c>
      <c r="AB29" s="51" t="s">
        <v>226</v>
      </c>
    </row>
    <row r="30" spans="1:28" ht="21" customHeight="1">
      <c r="A30" s="47">
        <v>40009029</v>
      </c>
      <c r="B30" s="101" t="s">
        <v>399</v>
      </c>
      <c r="C30" s="50">
        <v>3</v>
      </c>
      <c r="D30" s="50" t="s">
        <v>127</v>
      </c>
      <c r="E30" s="51" t="s">
        <v>302</v>
      </c>
      <c r="F30" s="51" t="s">
        <v>331</v>
      </c>
      <c r="G30" s="64" t="str">
        <f t="shared" ref="G30:G36" si="31">IFERROR(LEFT(B30,FIND("],",B30)),B30)</f>
        <v>[effect:tolerance, target:myself, turn:-1, tolerance_effect:hungup, count:-1]</v>
      </c>
      <c r="H30" s="64">
        <f t="shared" si="1"/>
        <v>9</v>
      </c>
      <c r="I30" s="64">
        <f t="shared" ref="I30:I36" si="32">IFERROR(FIND(",",G30),LEN(G30))</f>
        <v>18</v>
      </c>
      <c r="J30" s="64">
        <f t="shared" ref="J30:J36" si="33">FIND("target:",G30)+7</f>
        <v>27</v>
      </c>
      <c r="K30" s="64">
        <f t="shared" ref="K30:K36" si="34">FIND(",",G30,I30+1)</f>
        <v>33</v>
      </c>
      <c r="L30" s="64" t="str">
        <f>IFERROR(VLOOKUP(MID(G30,J30,K30-J30),[6]skilldef!$C:$D,2,FALSE),"-") &amp; " / " &amp; IFERROR(VLOOKUP(MID(G30,H30,I30-H30),[6]skilldef!$A:$B,2,FALSE),"-")</f>
        <v>自分自身に / 状態異常耐性</v>
      </c>
      <c r="M30" s="64" t="str">
        <f t="shared" ref="M30:M36" si="35">IFERROR(RIGHT(B30,LEN(B30)-FIND("],",B30)-1),"none")</f>
        <v>[effect:tolerance, target:myself, turn:-1, tolerance_effect:virus, count:-1],[effect:tolerance, target:myself, turn:-1, tolerance_effect:sleep, count:-1, animation:enemy_tolerance]</v>
      </c>
      <c r="N30" s="48" t="str">
        <f t="shared" si="30"/>
        <v>[effect:tolerance, target:myself, turn:-1, tolerance_effect:virus, count:-1],[effect:tolerance, target:myself, turn:-1, tolerance_effect:sleep, count:-1, animation:enemy_tolerance]</v>
      </c>
      <c r="O30" s="64">
        <f t="shared" si="7"/>
        <v>9</v>
      </c>
      <c r="P30" s="64">
        <f t="shared" ref="P30:P36" si="36">IFERROR(FIND(",",N30),LEN(N30))</f>
        <v>18</v>
      </c>
      <c r="Q30" s="64">
        <f t="shared" ref="Q30:Q36" si="37">FIND("target:",N30)+7</f>
        <v>27</v>
      </c>
      <c r="R30" s="64">
        <f t="shared" ref="R30:R36" si="38">FIND(",",N30,P30+1)</f>
        <v>33</v>
      </c>
      <c r="S30" s="64" t="str">
        <f>IFERROR(VLOOKUP(MID(N30,Q30,R30-Q30),[6]skilldef!$C:$D,2,FALSE),"-") &amp; " / " &amp; IFERROR(VLOOKUP(MID(N30,O30,P30-O30),[6]skilldef!$A:$B,2,FALSE),"-")</f>
        <v>自分自身に / 状態異常耐性</v>
      </c>
      <c r="T30" s="48" t="str">
        <f t="shared" ref="T30:T36" si="39">IFERROR(RIGHT(M30,LEN(M30)-FIND("],",M30)-1),"none")</f>
        <v>[effect:tolerance, target:myself, turn:-1, tolerance_effect:sleep, count:-1, animation:enemy_tolerance]</v>
      </c>
      <c r="U30" s="64">
        <f t="shared" si="12"/>
        <v>9</v>
      </c>
      <c r="V30" s="64">
        <f t="shared" ref="V30:V36" si="40">IFERROR(FIND(",",T30),LEN(T30))</f>
        <v>18</v>
      </c>
      <c r="W30" s="64">
        <f t="shared" ref="W30:W36" si="41">FIND("target:",T30)+7</f>
        <v>27</v>
      </c>
      <c r="X30" s="64">
        <f t="shared" ref="X30:X36" si="42">FIND(",",T30,V30+1)</f>
        <v>33</v>
      </c>
      <c r="Y30" s="64" t="str">
        <f>IFERROR(VLOOKUP(MID(T30,W30,X30-W30),[6]skilldef!$C:$D,2,FALSE),"-") &amp; " / " &amp; IFERROR(VLOOKUP(MID(T30,U30,V30-U30),[6]skilldef!$A:$B,2,FALSE),"-")</f>
        <v>自分自身に / 状態異常耐性</v>
      </c>
      <c r="Z30" s="50" t="s">
        <v>263</v>
      </c>
      <c r="AA30" s="52">
        <f t="shared" ca="1" si="16"/>
        <v>42408</v>
      </c>
      <c r="AB30" s="51" t="s">
        <v>227</v>
      </c>
    </row>
    <row r="31" spans="1:28" ht="21" customHeight="1">
      <c r="A31" s="47">
        <v>40009030</v>
      </c>
      <c r="B31" s="100" t="s">
        <v>230</v>
      </c>
      <c r="C31" s="50">
        <v>3</v>
      </c>
      <c r="D31" s="50" t="s">
        <v>127</v>
      </c>
      <c r="E31" s="51" t="s">
        <v>298</v>
      </c>
      <c r="F31" s="51" t="s">
        <v>349</v>
      </c>
      <c r="G31" s="64" t="e">
        <f>IFERROR(LEFT(#REF!,FIND("],",#REF!)),#REF!)</f>
        <v>#REF!</v>
      </c>
      <c r="H31" s="64" t="e">
        <f t="shared" si="1"/>
        <v>#REF!</v>
      </c>
      <c r="I31" s="64" t="e">
        <f t="shared" si="32"/>
        <v>#REF!</v>
      </c>
      <c r="J31" s="64" t="e">
        <f t="shared" si="33"/>
        <v>#REF!</v>
      </c>
      <c r="K31" s="64" t="e">
        <f t="shared" si="34"/>
        <v>#REF!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>IFERROR(RIGHT(#REF!,LEN(#REF!)-FIND("],",#REF!)-1),"none")</f>
        <v>none</v>
      </c>
      <c r="N31" s="48" t="str">
        <f>IFERROR(LEFT(M31,FIND("],",M31)+S40),M31)</f>
        <v>none</v>
      </c>
      <c r="O31" s="64" t="e">
        <f t="shared" si="7"/>
        <v>#VALUE!</v>
      </c>
      <c r="P31" s="64">
        <f t="shared" si="36"/>
        <v>4</v>
      </c>
      <c r="Q31" s="64" t="e">
        <f t="shared" si="37"/>
        <v>#VALUE!</v>
      </c>
      <c r="R31" s="64" t="e">
        <f t="shared" si="38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39"/>
        <v>none</v>
      </c>
      <c r="U31" s="64" t="e">
        <f t="shared" si="12"/>
        <v>#VALUE!</v>
      </c>
      <c r="V31" s="64">
        <f t="shared" si="40"/>
        <v>4</v>
      </c>
      <c r="W31" s="64" t="e">
        <f t="shared" si="41"/>
        <v>#VALUE!</v>
      </c>
      <c r="X31" s="64" t="e">
        <f t="shared" si="42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 t="s">
        <v>263</v>
      </c>
      <c r="AA31" s="52">
        <f t="shared" ca="1" si="16"/>
        <v>42408</v>
      </c>
      <c r="AB31" s="51" t="s">
        <v>227</v>
      </c>
    </row>
    <row r="32" spans="1:28" ht="21" customHeight="1">
      <c r="A32" s="47">
        <v>40009031</v>
      </c>
      <c r="B32" s="49" t="s">
        <v>262</v>
      </c>
      <c r="C32" s="50">
        <v>3</v>
      </c>
      <c r="D32" s="50" t="s">
        <v>127</v>
      </c>
      <c r="E32" s="51" t="s">
        <v>300</v>
      </c>
      <c r="F32" s="51" t="s">
        <v>373</v>
      </c>
      <c r="G32" s="64" t="str">
        <f>IFERROR(LEFT(B31,FIND("],",B31)),B31)</f>
        <v>[effect:rush, count:2, val:0.7]</v>
      </c>
      <c r="H32" s="64">
        <f t="shared" si="1"/>
        <v>9</v>
      </c>
      <c r="I32" s="64">
        <f t="shared" si="32"/>
        <v>13</v>
      </c>
      <c r="J32" s="64" t="e">
        <f t="shared" si="33"/>
        <v>#VALUE!</v>
      </c>
      <c r="K32" s="64">
        <f t="shared" si="34"/>
        <v>22</v>
      </c>
      <c r="L32" s="64" t="str">
        <f>IFERROR(VLOOKUP(MID(G32,J32,K32-J32),[6]skilldef!$C:$D,2,FALSE),"-") &amp; " / " &amp; IFERROR(VLOOKUP(MID(G32,H32,I32-H32),[6]skilldef!$A:$B,2,FALSE),"-")</f>
        <v>- / 連続攻撃</v>
      </c>
      <c r="M32" s="64" t="str">
        <f>IFERROR(RIGHT(B31,LEN(B31)-FIND("],",B31)-1),"none")</f>
        <v>none</v>
      </c>
      <c r="N32" s="48" t="str">
        <f>IFERROR(LEFT(M32,FIND("],",M32)+S41),M32)</f>
        <v>none</v>
      </c>
      <c r="O32" s="64" t="e">
        <f t="shared" si="7"/>
        <v>#VALUE!</v>
      </c>
      <c r="P32" s="64">
        <f t="shared" si="36"/>
        <v>4</v>
      </c>
      <c r="Q32" s="64" t="e">
        <f t="shared" si="37"/>
        <v>#VALUE!</v>
      </c>
      <c r="R32" s="64" t="e">
        <f t="shared" si="38"/>
        <v>#VALUE!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39"/>
        <v>none</v>
      </c>
      <c r="U32" s="64" t="e">
        <f t="shared" si="12"/>
        <v>#VALUE!</v>
      </c>
      <c r="V32" s="64">
        <f t="shared" si="40"/>
        <v>4</v>
      </c>
      <c r="W32" s="64" t="e">
        <f t="shared" si="41"/>
        <v>#VALUE!</v>
      </c>
      <c r="X32" s="64" t="e">
        <f t="shared" si="42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 t="s">
        <v>263</v>
      </c>
      <c r="AA32" s="52">
        <f t="shared" ca="1" si="16"/>
        <v>42408</v>
      </c>
      <c r="AB32" s="51" t="s">
        <v>227</v>
      </c>
    </row>
    <row r="33" spans="1:28" ht="21" customHeight="1">
      <c r="A33" s="47">
        <v>40009033</v>
      </c>
      <c r="B33" s="101" t="s">
        <v>399</v>
      </c>
      <c r="C33" s="50">
        <v>3</v>
      </c>
      <c r="D33" s="50" t="s">
        <v>127</v>
      </c>
      <c r="E33" s="51" t="s">
        <v>299</v>
      </c>
      <c r="F33" s="51" t="s">
        <v>331</v>
      </c>
      <c r="G33" s="64" t="str">
        <f t="shared" si="31"/>
        <v>[effect:tolerance, target:myself, turn:-1, tolerance_effect:hungup, count:-1]</v>
      </c>
      <c r="H33" s="64">
        <f t="shared" si="1"/>
        <v>9</v>
      </c>
      <c r="I33" s="64">
        <f t="shared" si="32"/>
        <v>18</v>
      </c>
      <c r="J33" s="64">
        <f t="shared" si="33"/>
        <v>27</v>
      </c>
      <c r="K33" s="64">
        <f t="shared" si="34"/>
        <v>33</v>
      </c>
      <c r="L33" s="64" t="str">
        <f>IFERROR(VLOOKUP(MID(G33,J33,K33-J33),[6]skilldef!$C:$D,2,FALSE),"-") &amp; " / " &amp; IFERROR(VLOOKUP(MID(G33,H33,I33-H33),[6]skilldef!$A:$B,2,FALSE),"-")</f>
        <v>自分自身に / 状態異常耐性</v>
      </c>
      <c r="M33" s="64" t="str">
        <f t="shared" si="35"/>
        <v>[effect:tolerance, target:myself, turn:-1, tolerance_effect:virus, count:-1],[effect:tolerance, target:myself, turn:-1, tolerance_effect:sleep, count:-1, animation:enemy_tolerance]</v>
      </c>
      <c r="N33" s="48" t="str">
        <f t="shared" ref="N33:N36" si="43">IFERROR(LEFT(M33,FIND("],",M33)+S43),M33)</f>
        <v>[effect:tolerance, target:myself, turn:-1, tolerance_effect:virus, count:-1],[effect:tolerance, target:myself, turn:-1, tolerance_effect:sleep, count:-1, animation:enemy_tolerance]</v>
      </c>
      <c r="O33" s="64">
        <f t="shared" si="7"/>
        <v>9</v>
      </c>
      <c r="P33" s="64">
        <f t="shared" si="36"/>
        <v>18</v>
      </c>
      <c r="Q33" s="64">
        <f t="shared" si="37"/>
        <v>27</v>
      </c>
      <c r="R33" s="64">
        <f t="shared" si="38"/>
        <v>33</v>
      </c>
      <c r="S33" s="64" t="str">
        <f>IFERROR(VLOOKUP(MID(N33,Q33,R33-Q33),[6]skilldef!$C:$D,2,FALSE),"-") &amp; " / " &amp; IFERROR(VLOOKUP(MID(N33,O33,P33-O33),[6]skilldef!$A:$B,2,FALSE),"-")</f>
        <v>自分自身に / 状態異常耐性</v>
      </c>
      <c r="T33" s="48" t="str">
        <f t="shared" si="39"/>
        <v>[effect:tolerance, target:myself, turn:-1, tolerance_effect:sleep, count:-1, animation:enemy_tolerance]</v>
      </c>
      <c r="U33" s="64">
        <f t="shared" si="12"/>
        <v>9</v>
      </c>
      <c r="V33" s="64">
        <f t="shared" si="40"/>
        <v>18</v>
      </c>
      <c r="W33" s="64">
        <f t="shared" si="41"/>
        <v>27</v>
      </c>
      <c r="X33" s="64">
        <f t="shared" si="42"/>
        <v>33</v>
      </c>
      <c r="Y33" s="64" t="str">
        <f>IFERROR(VLOOKUP(MID(T33,W33,X33-W33),[6]skilldef!$C:$D,2,FALSE),"-") &amp; " / " &amp; IFERROR(VLOOKUP(MID(T33,U33,V33-U33),[6]skilldef!$A:$B,2,FALSE),"-")</f>
        <v>自分自身に / 状態異常耐性</v>
      </c>
      <c r="Z33" s="50" t="s">
        <v>263</v>
      </c>
      <c r="AA33" s="52">
        <f t="shared" ca="1" si="16"/>
        <v>42408</v>
      </c>
      <c r="AB33" s="51" t="s">
        <v>228</v>
      </c>
    </row>
    <row r="34" spans="1:28" ht="21" customHeight="1">
      <c r="A34" s="47">
        <v>40009034</v>
      </c>
      <c r="B34" s="47" t="s">
        <v>339</v>
      </c>
      <c r="C34" s="50">
        <v>3</v>
      </c>
      <c r="D34" s="50" t="s">
        <v>127</v>
      </c>
      <c r="E34" s="51" t="s">
        <v>321</v>
      </c>
      <c r="F34" s="51" t="s">
        <v>374</v>
      </c>
      <c r="G34" s="64" t="str">
        <f t="shared" si="31"/>
        <v xml:space="preserve">[effect:damage_anti_tribe, target:unit_all, tribe:animal, val1:1.3, val2:0.2]    </v>
      </c>
      <c r="H34" s="64">
        <f t="shared" si="1"/>
        <v>9</v>
      </c>
      <c r="I34" s="64">
        <f t="shared" si="32"/>
        <v>26</v>
      </c>
      <c r="J34" s="64">
        <f t="shared" si="33"/>
        <v>35</v>
      </c>
      <c r="K34" s="64">
        <f t="shared" si="34"/>
        <v>43</v>
      </c>
      <c r="L34" s="64" t="str">
        <f>IFERROR(VLOOKUP(MID(G34,J34,K34-J34),[6]skilldef!$C:$D,2,FALSE),"-") &amp; " / " &amp; IFERROR(VLOOKUP(MID(G34,H34,I34-H34),[6]skilldef!$A:$B,2,FALSE),"-")</f>
        <v>味方全体に / 種族キラー</v>
      </c>
      <c r="M34" s="64" t="str">
        <f t="shared" si="35"/>
        <v>none</v>
      </c>
      <c r="N34" s="48" t="str">
        <f t="shared" si="43"/>
        <v>none</v>
      </c>
      <c r="O34" s="64" t="e">
        <f t="shared" si="7"/>
        <v>#VALUE!</v>
      </c>
      <c r="P34" s="64">
        <f t="shared" si="36"/>
        <v>4</v>
      </c>
      <c r="Q34" s="64" t="e">
        <f t="shared" si="37"/>
        <v>#VALUE!</v>
      </c>
      <c r="R34" s="64" t="e">
        <f t="shared" si="38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39"/>
        <v>none</v>
      </c>
      <c r="U34" s="64" t="e">
        <f t="shared" si="12"/>
        <v>#VALUE!</v>
      </c>
      <c r="V34" s="64">
        <f t="shared" si="40"/>
        <v>4</v>
      </c>
      <c r="W34" s="64" t="e">
        <f t="shared" si="41"/>
        <v>#VALUE!</v>
      </c>
      <c r="X34" s="64" t="e">
        <f t="shared" si="42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 t="s">
        <v>263</v>
      </c>
      <c r="AA34" s="52">
        <f t="shared" ca="1" si="16"/>
        <v>42408</v>
      </c>
      <c r="AB34" s="51" t="s">
        <v>228</v>
      </c>
    </row>
    <row r="35" spans="1:28" ht="21" customHeight="1">
      <c r="A35" s="47">
        <v>40009035</v>
      </c>
      <c r="B35" s="47" t="s">
        <v>329</v>
      </c>
      <c r="C35" s="50">
        <v>3</v>
      </c>
      <c r="D35" s="50" t="s">
        <v>326</v>
      </c>
      <c r="E35" s="51" t="s">
        <v>303</v>
      </c>
      <c r="F35" s="51" t="s">
        <v>375</v>
      </c>
      <c r="G35" s="64" t="str">
        <f t="shared" si="31"/>
        <v>[effect:dis_panel, target:block_blue, turn:2, animation:enemy_dis_blue]</v>
      </c>
      <c r="H35" s="64">
        <f t="shared" si="1"/>
        <v>9</v>
      </c>
      <c r="I35" s="64">
        <f t="shared" si="32"/>
        <v>18</v>
      </c>
      <c r="J35" s="64">
        <f t="shared" si="33"/>
        <v>27</v>
      </c>
      <c r="K35" s="64">
        <f t="shared" si="34"/>
        <v>37</v>
      </c>
      <c r="L35" s="64" t="str">
        <f>IFERROR(VLOOKUP(MID(G35,J35,K35-J35),[6]skilldef!$C:$D,2,FALSE),"-") &amp; " / " &amp; IFERROR(VLOOKUP(MID(G35,H35,I35-H35),[6]skilldef!$A:$B,2,FALSE),"-")</f>
        <v>青パネルを / ディスパネル</v>
      </c>
      <c r="M35" s="64" t="str">
        <f t="shared" si="35"/>
        <v>[effect:rush, count:1, val:1]</v>
      </c>
      <c r="N35" s="48" t="str">
        <f t="shared" si="43"/>
        <v>[effect:rush, count:1, val:1]</v>
      </c>
      <c r="O35" s="64">
        <f t="shared" si="7"/>
        <v>9</v>
      </c>
      <c r="P35" s="64">
        <f t="shared" si="36"/>
        <v>13</v>
      </c>
      <c r="Q35" s="64" t="e">
        <f t="shared" si="37"/>
        <v>#VALUE!</v>
      </c>
      <c r="R35" s="64">
        <f t="shared" si="38"/>
        <v>22</v>
      </c>
      <c r="S35" s="64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si="39"/>
        <v>none</v>
      </c>
      <c r="U35" s="64" t="e">
        <f t="shared" si="12"/>
        <v>#VALUE!</v>
      </c>
      <c r="V35" s="64">
        <f t="shared" si="40"/>
        <v>4</v>
      </c>
      <c r="W35" s="64" t="e">
        <f t="shared" si="41"/>
        <v>#VALUE!</v>
      </c>
      <c r="X35" s="64" t="e">
        <f t="shared" si="42"/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 t="s">
        <v>263</v>
      </c>
      <c r="AA35" s="52">
        <f t="shared" ca="1" si="16"/>
        <v>42408</v>
      </c>
      <c r="AB35" s="51" t="s">
        <v>228</v>
      </c>
    </row>
    <row r="36" spans="1:28" ht="21" customHeight="1">
      <c r="A36" s="47">
        <v>40009036</v>
      </c>
      <c r="B36" s="102" t="s">
        <v>332</v>
      </c>
      <c r="C36" s="50">
        <v>3</v>
      </c>
      <c r="D36" s="50" t="s">
        <v>127</v>
      </c>
      <c r="E36" s="51" t="s">
        <v>301</v>
      </c>
      <c r="F36" s="51" t="s">
        <v>346</v>
      </c>
      <c r="G36" s="64" t="str">
        <f t="shared" si="31"/>
        <v>[effect:enhance_enemy, target:myself, turn:3, status:defense, val:6000, calc:add, animation:enemy_enhance_defense]</v>
      </c>
      <c r="H36" s="64">
        <f t="shared" si="1"/>
        <v>9</v>
      </c>
      <c r="I36" s="64">
        <f t="shared" si="32"/>
        <v>22</v>
      </c>
      <c r="J36" s="64">
        <f t="shared" si="33"/>
        <v>31</v>
      </c>
      <c r="K36" s="64">
        <f t="shared" si="34"/>
        <v>37</v>
      </c>
      <c r="L36" s="64" t="str">
        <f>IFERROR(VLOOKUP(MID(G36,J36,K36-J36),[6]skilldef!$C:$D,2,FALSE),"-") &amp; " / " &amp; IFERROR(VLOOKUP(MID(G36,H36,I36-H36),[6]skilldef!$A:$B,2,FALSE),"-")</f>
        <v>自分自身に / ステータス強化</v>
      </c>
      <c r="M36" s="64" t="str">
        <f t="shared" si="35"/>
        <v>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v>
      </c>
      <c r="N36" s="48" t="str">
        <f t="shared" si="43"/>
        <v>[effect:change_block, new_block:jammer, target:block_heart, count:0, val:0, animation:change_block],[effect:change_block, new_block:time_bomb, target:block_blue, count:0, val:0.3, animation:change_block],[effect:change_block, new_block:block_red, target:block_yellow, count:0, val:0, animation:change_block]</v>
      </c>
      <c r="O36" s="64">
        <f t="shared" si="7"/>
        <v>9</v>
      </c>
      <c r="P36" s="64">
        <f t="shared" si="36"/>
        <v>21</v>
      </c>
      <c r="Q36" s="64">
        <f t="shared" si="37"/>
        <v>48</v>
      </c>
      <c r="R36" s="64">
        <f t="shared" si="38"/>
        <v>39</v>
      </c>
      <c r="S36" s="64" t="str">
        <f>IFERROR(VLOOKUP(MID(N36,Q36,R36-Q36),[6]skilldef!$C:$D,2,FALSE),"-") &amp; " / " &amp; IFERROR(VLOOKUP(MID(N36,O36,P36-O36),[6]skilldef!$A:$B,2,FALSE),"-")</f>
        <v>- / ブロック変換</v>
      </c>
      <c r="T36" s="48" t="str">
        <f t="shared" si="39"/>
        <v>[effect:change_block, new_block:time_bomb, target:block_blue, count:0, val:0.3, animation:change_block],[effect:change_block, new_block:block_red, target:block_yellow, count:0, val:0, animation:change_block]</v>
      </c>
      <c r="U36" s="64">
        <f t="shared" si="12"/>
        <v>9</v>
      </c>
      <c r="V36" s="64">
        <f t="shared" si="40"/>
        <v>21</v>
      </c>
      <c r="W36" s="64">
        <f t="shared" si="41"/>
        <v>51</v>
      </c>
      <c r="X36" s="64">
        <f t="shared" si="42"/>
        <v>42</v>
      </c>
      <c r="Y36" s="64" t="str">
        <f>IFERROR(VLOOKUP(MID(T36,W36,X36-W36),[6]skilldef!$C:$D,2,FALSE),"-") &amp; " / " &amp; IFERROR(VLOOKUP(MID(T36,U36,V36-U36),[6]skilldef!$A:$B,2,FALSE),"-")</f>
        <v>- / ブロック変換</v>
      </c>
      <c r="Z36" s="50" t="s">
        <v>263</v>
      </c>
      <c r="AA36" s="52">
        <f t="shared" ca="1" si="16"/>
        <v>42408</v>
      </c>
      <c r="AB36" s="51" t="s">
        <v>228</v>
      </c>
    </row>
    <row r="37" spans="1:28" ht="21" customHeight="1">
      <c r="A37" s="47">
        <v>40009037</v>
      </c>
      <c r="B37" s="103" t="s">
        <v>400</v>
      </c>
      <c r="C37" s="50">
        <v>3</v>
      </c>
      <c r="D37" s="50" t="s">
        <v>127</v>
      </c>
      <c r="E37" s="51" t="s">
        <v>322</v>
      </c>
      <c r="F37" s="51" t="s">
        <v>376</v>
      </c>
      <c r="G37" s="64" t="str">
        <f t="shared" ref="G37:G40" si="44">IFERROR(LEFT(B37,FIND("],",B37)),B37)</f>
        <v>[effect:degrade_fever, val:1000, animation:fevergauge_down]</v>
      </c>
      <c r="H37" s="64">
        <f t="shared" ref="H37:H40" si="45">FIND("effect:",G37)+7</f>
        <v>9</v>
      </c>
      <c r="I37" s="64">
        <f t="shared" ref="I37:I40" si="46">IFERROR(FIND(",",G37),LEN(G37))</f>
        <v>22</v>
      </c>
      <c r="J37" s="64" t="e">
        <f t="shared" ref="J37:J40" si="47">FIND("target:",G37)+7</f>
        <v>#VALUE!</v>
      </c>
      <c r="K37" s="64">
        <f t="shared" ref="K37:K40" si="48">FIND(",",G37,I37+1)</f>
        <v>32</v>
      </c>
      <c r="L37" s="64" t="str">
        <f>IFERROR(VLOOKUP(MID(G37,J37,K37-J37),[6]skilldef!$C:$D,2,FALSE),"-") &amp; " / " &amp; IFERROR(VLOOKUP(MID(G37,H37,I37-H37),[6]skilldef!$A:$B,2,FALSE),"-")</f>
        <v>- / フィーバーゲージ減少</v>
      </c>
      <c r="M37" s="64" t="str">
        <f t="shared" ref="M37:M40" si="49">IFERROR(RIGHT(B37,LEN(B37)-FIND("],",B37)-1),"none")</f>
        <v>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37" s="48" t="str">
        <f t="shared" ref="N37:N40" si="50">IFERROR(LEFT(M37,FIND("],",M37)+S47),M37)</f>
        <v>[effect:remove_enhancement, target:unit_all, target_effect:enhance, target_type:buff, animation:frozen_wave],[effect:tolerance,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37" s="64">
        <f t="shared" ref="O37:O40" si="51">FIND("effect:",N37)+7</f>
        <v>9</v>
      </c>
      <c r="P37" s="64">
        <f t="shared" ref="P37:P40" si="52">IFERROR(FIND(",",N37),LEN(N37))</f>
        <v>27</v>
      </c>
      <c r="Q37" s="64">
        <f t="shared" ref="Q37:Q40" si="53">FIND("target:",N37)+7</f>
        <v>36</v>
      </c>
      <c r="R37" s="64">
        <f t="shared" ref="R37:R40" si="54">FIND(",",N37,P37+1)</f>
        <v>44</v>
      </c>
      <c r="S37" s="64" t="str">
        <f>IFERROR(VLOOKUP(MID(N37,Q37,R37-Q37),[6]skilldef!$C:$D,2,FALSE),"-") &amp; " / " &amp; IFERROR(VLOOKUP(MID(N37,O37,P37-O37),[6]skilldef!$A:$B,2,FALSE),"-")</f>
        <v>味方全体に / -</v>
      </c>
      <c r="T37" s="48" t="str">
        <f t="shared" ref="T37:T40" si="55">IFERROR(RIGHT(M37,LEN(M37)-FIND("],",M37)-1),"none")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U37" s="64">
        <f t="shared" ref="U37:U40" si="56">FIND("effect:",T37)+7</f>
        <v>9</v>
      </c>
      <c r="V37" s="64">
        <f t="shared" ref="V37:V40" si="57">IFERROR(FIND(",",T37),LEN(T37))</f>
        <v>18</v>
      </c>
      <c r="W37" s="64">
        <f t="shared" ref="W37:W40" si="58">FIND("target:",T37)+7</f>
        <v>27</v>
      </c>
      <c r="X37" s="64">
        <f t="shared" ref="X37:X40" si="59">FIND(",",T37,V37+1)</f>
        <v>33</v>
      </c>
      <c r="Y37" s="64" t="str">
        <f>IFERROR(VLOOKUP(MID(T37,W37,X37-W37),[6]skilldef!$C:$D,2,FALSE),"-") &amp; " / " &amp; IFERROR(VLOOKUP(MID(T37,U37,V37-U37),[6]skilldef!$A:$B,2,FALSE),"-")</f>
        <v>自分自身に / 状態異常耐性</v>
      </c>
      <c r="Z37" s="50" t="s">
        <v>263</v>
      </c>
      <c r="AA37" s="52">
        <f t="shared" ca="1" si="16"/>
        <v>42408</v>
      </c>
      <c r="AB37" s="51" t="s">
        <v>229</v>
      </c>
    </row>
    <row r="38" spans="1:28" ht="21" customHeight="1">
      <c r="A38" s="47">
        <v>40009038</v>
      </c>
      <c r="B38" s="47" t="s">
        <v>238</v>
      </c>
      <c r="C38" s="50">
        <v>3</v>
      </c>
      <c r="D38" s="50" t="s">
        <v>127</v>
      </c>
      <c r="E38" s="51" t="s">
        <v>304</v>
      </c>
      <c r="F38" s="51" t="s">
        <v>377</v>
      </c>
      <c r="G38" s="64" t="str">
        <f t="shared" si="44"/>
        <v>[effect:freq_turn, target:enemy_all, turn:-1, val:1, animation:enemy_freq_turn]</v>
      </c>
      <c r="H38" s="64">
        <f t="shared" si="45"/>
        <v>9</v>
      </c>
      <c r="I38" s="64">
        <f t="shared" si="46"/>
        <v>18</v>
      </c>
      <c r="J38" s="64">
        <f t="shared" si="47"/>
        <v>27</v>
      </c>
      <c r="K38" s="64">
        <f t="shared" si="48"/>
        <v>36</v>
      </c>
      <c r="L38" s="64" t="str">
        <f>IFERROR(VLOOKUP(MID(G38,J38,K38-J38),[6]skilldef!$C:$D,2,FALSE),"-") &amp; " / " &amp; IFERROR(VLOOKUP(MID(G38,H38,I38-H38),[6]skilldef!$A:$B,2,FALSE),"-")</f>
        <v>敵全体に / 攻撃頻度がUP</v>
      </c>
      <c r="M38" s="64" t="str">
        <f t="shared" si="49"/>
        <v>none</v>
      </c>
      <c r="N38" s="48" t="str">
        <f t="shared" si="50"/>
        <v>none</v>
      </c>
      <c r="O38" s="64" t="e">
        <f t="shared" si="51"/>
        <v>#VALUE!</v>
      </c>
      <c r="P38" s="64">
        <f t="shared" si="52"/>
        <v>4</v>
      </c>
      <c r="Q38" s="64" t="e">
        <f t="shared" si="53"/>
        <v>#VALUE!</v>
      </c>
      <c r="R38" s="64" t="e">
        <f t="shared" si="54"/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55"/>
        <v>none</v>
      </c>
      <c r="U38" s="64" t="e">
        <f t="shared" si="56"/>
        <v>#VALUE!</v>
      </c>
      <c r="V38" s="64">
        <f t="shared" si="57"/>
        <v>4</v>
      </c>
      <c r="W38" s="64" t="e">
        <f t="shared" si="58"/>
        <v>#VALUE!</v>
      </c>
      <c r="X38" s="64" t="e">
        <f t="shared" si="59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 t="s">
        <v>263</v>
      </c>
      <c r="AA38" s="52">
        <f t="shared" ca="1" si="16"/>
        <v>42408</v>
      </c>
      <c r="AB38" s="51" t="s">
        <v>229</v>
      </c>
    </row>
    <row r="39" spans="1:28" ht="21" customHeight="1">
      <c r="A39" s="47">
        <v>40009039</v>
      </c>
      <c r="B39" s="100" t="s">
        <v>237</v>
      </c>
      <c r="C39" s="50">
        <v>3</v>
      </c>
      <c r="D39" s="50" t="s">
        <v>127</v>
      </c>
      <c r="E39" s="51" t="s">
        <v>323</v>
      </c>
      <c r="F39" s="51" t="s">
        <v>380</v>
      </c>
      <c r="G39" s="64" t="str">
        <f t="shared" si="44"/>
        <v>[effect:rush, count:5, val:0.3]</v>
      </c>
      <c r="H39" s="64">
        <f t="shared" si="45"/>
        <v>9</v>
      </c>
      <c r="I39" s="64">
        <f t="shared" si="46"/>
        <v>13</v>
      </c>
      <c r="J39" s="64" t="e">
        <f t="shared" si="47"/>
        <v>#VALUE!</v>
      </c>
      <c r="K39" s="64">
        <f t="shared" si="48"/>
        <v>22</v>
      </c>
      <c r="L39" s="64" t="str">
        <f>IFERROR(VLOOKUP(MID(G39,J39,K39-J39),[6]skilldef!$C:$D,2,FALSE),"-") &amp; " / " &amp; IFERROR(VLOOKUP(MID(G39,H39,I39-H39),[6]skilldef!$A:$B,2,FALSE),"-")</f>
        <v>- / 連続攻撃</v>
      </c>
      <c r="M39" s="64" t="str">
        <f t="shared" si="49"/>
        <v>none</v>
      </c>
      <c r="N39" s="48" t="str">
        <f t="shared" si="50"/>
        <v>none</v>
      </c>
      <c r="O39" s="64" t="e">
        <f t="shared" si="51"/>
        <v>#VALUE!</v>
      </c>
      <c r="P39" s="64">
        <f t="shared" si="52"/>
        <v>4</v>
      </c>
      <c r="Q39" s="64" t="e">
        <f t="shared" si="53"/>
        <v>#VALUE!</v>
      </c>
      <c r="R39" s="64" t="e">
        <f t="shared" si="54"/>
        <v>#VALUE!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55"/>
        <v>none</v>
      </c>
      <c r="U39" s="64" t="e">
        <f t="shared" si="56"/>
        <v>#VALUE!</v>
      </c>
      <c r="V39" s="64">
        <f t="shared" si="57"/>
        <v>4</v>
      </c>
      <c r="W39" s="64" t="e">
        <f t="shared" si="58"/>
        <v>#VALUE!</v>
      </c>
      <c r="X39" s="64" t="e">
        <f t="shared" si="59"/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 t="s">
        <v>263</v>
      </c>
      <c r="AA39" s="52">
        <f t="shared" ca="1" si="16"/>
        <v>42408</v>
      </c>
      <c r="AB39" s="51" t="s">
        <v>229</v>
      </c>
    </row>
    <row r="40" spans="1:28" ht="21" customHeight="1">
      <c r="A40" s="47">
        <v>40009040</v>
      </c>
      <c r="B40" s="102" t="s">
        <v>379</v>
      </c>
      <c r="C40" s="50">
        <v>3</v>
      </c>
      <c r="D40" s="50" t="s">
        <v>127</v>
      </c>
      <c r="E40" s="51" t="s">
        <v>384</v>
      </c>
      <c r="F40" s="51" t="s">
        <v>378</v>
      </c>
      <c r="G40" s="64" t="str">
        <f t="shared" si="44"/>
        <v>[effect:change_block, new_block:time_bomb, target:block_all, count:12, val:0.3, animation:change_block]</v>
      </c>
      <c r="H40" s="64">
        <f t="shared" si="45"/>
        <v>9</v>
      </c>
      <c r="I40" s="64">
        <f t="shared" si="46"/>
        <v>21</v>
      </c>
      <c r="J40" s="64">
        <f t="shared" si="47"/>
        <v>51</v>
      </c>
      <c r="K40" s="64">
        <f t="shared" si="48"/>
        <v>42</v>
      </c>
      <c r="L40" s="64" t="str">
        <f>IFERROR(VLOOKUP(MID(G40,J40,K40-J40),[6]skilldef!$C:$D,2,FALSE),"-") &amp; " / " &amp; IFERROR(VLOOKUP(MID(G40,H40,I40-H40),[6]skilldef!$A:$B,2,FALSE),"-")</f>
        <v>- / ブロック変換</v>
      </c>
      <c r="M40" s="64" t="str">
        <f t="shared" si="49"/>
        <v>[effect:dis_panel, target:block_blue, turn:3, animation:enemy_dis_blue],[effect:rush, count:1, val:1]</v>
      </c>
      <c r="N40" s="48" t="str">
        <f t="shared" si="50"/>
        <v>[effect:dis_panel, target:block_blue, turn:3, animation:enemy_dis_blue],[effect:rush, count:1, val:1]</v>
      </c>
      <c r="O40" s="64">
        <f t="shared" si="51"/>
        <v>9</v>
      </c>
      <c r="P40" s="64">
        <f t="shared" si="52"/>
        <v>18</v>
      </c>
      <c r="Q40" s="64">
        <f t="shared" si="53"/>
        <v>27</v>
      </c>
      <c r="R40" s="64">
        <f t="shared" si="54"/>
        <v>37</v>
      </c>
      <c r="S40" s="64" t="str">
        <f>IFERROR(VLOOKUP(MID(N40,Q40,R40-Q40),[6]skilldef!$C:$D,2,FALSE),"-") &amp; " / " &amp; IFERROR(VLOOKUP(MID(N40,O40,P40-O40),[6]skilldef!$A:$B,2,FALSE),"-")</f>
        <v>青パネルを / ディスパネル</v>
      </c>
      <c r="T40" s="48" t="str">
        <f t="shared" si="55"/>
        <v>[effect:rush, count:1, val:1]</v>
      </c>
      <c r="U40" s="64">
        <f t="shared" si="56"/>
        <v>9</v>
      </c>
      <c r="V40" s="64">
        <f t="shared" si="57"/>
        <v>13</v>
      </c>
      <c r="W40" s="64" t="e">
        <f t="shared" si="58"/>
        <v>#VALUE!</v>
      </c>
      <c r="X40" s="64">
        <f t="shared" si="59"/>
        <v>22</v>
      </c>
      <c r="Y40" s="64" t="str">
        <f>IFERROR(VLOOKUP(MID(T40,W40,X40-W40),[6]skilldef!$C:$D,2,FALSE),"-") &amp; " / " &amp; IFERROR(VLOOKUP(MID(T40,U40,V40-U40),[6]skilldef!$A:$B,2,FALSE),"-")</f>
        <v>- / 連続攻撃</v>
      </c>
      <c r="Z40" s="50" t="s">
        <v>263</v>
      </c>
      <c r="AA40" s="52">
        <f t="shared" ca="1" si="16"/>
        <v>42408</v>
      </c>
      <c r="AB40" s="51" t="s">
        <v>229</v>
      </c>
    </row>
    <row r="41" spans="1:28" ht="21" customHeight="1">
      <c r="A41" s="47">
        <v>40009041</v>
      </c>
      <c r="B41" s="47" t="s">
        <v>325</v>
      </c>
      <c r="C41" s="50">
        <v>3</v>
      </c>
      <c r="D41" s="50" t="s">
        <v>127</v>
      </c>
      <c r="E41" s="51" t="s">
        <v>383</v>
      </c>
      <c r="F41" s="51" t="s">
        <v>381</v>
      </c>
      <c r="G41" s="64" t="str">
        <f t="shared" ref="G41:G43" si="60">IFERROR(LEFT(B41,FIND("],",B41)),B41)</f>
        <v>[effect:change_block, new_block:block_red, target:block_heart, count:0, val:0, animation:change_block]</v>
      </c>
      <c r="H41" s="64">
        <f t="shared" ref="H41:H43" si="61">FIND("effect:",G41)+7</f>
        <v>9</v>
      </c>
      <c r="I41" s="64">
        <f t="shared" ref="I41:I43" si="62">IFERROR(FIND(",",G41),LEN(G41))</f>
        <v>21</v>
      </c>
      <c r="J41" s="64">
        <f t="shared" ref="J41:J43" si="63">FIND("target:",G41)+7</f>
        <v>51</v>
      </c>
      <c r="K41" s="64">
        <f t="shared" ref="K41:K43" si="64">FIND(",",G41,I41+1)</f>
        <v>42</v>
      </c>
      <c r="L41" s="64" t="str">
        <f>IFERROR(VLOOKUP(MID(G41,J41,K41-J41),[6]skilldef!$C:$D,2,FALSE),"-") &amp; " / " &amp; IFERROR(VLOOKUP(MID(G41,H41,I41-H41),[6]skilldef!$A:$B,2,FALSE),"-")</f>
        <v>- / ブロック変換</v>
      </c>
      <c r="M41" s="64" t="str">
        <f t="shared" ref="M41:M43" si="65">IFERROR(RIGHT(B41,LEN(B41)-FIND("],",B41)-1),"none")</f>
        <v>[effect:rush, count:1, val:1]</v>
      </c>
      <c r="N41" s="48" t="str">
        <f t="shared" ref="N41:N43" si="66">IFERROR(LEFT(M41,FIND("],",M41)+S51),M41)</f>
        <v>[effect:rush, count:1, val:1]</v>
      </c>
      <c r="O41" s="64">
        <f t="shared" ref="O41:O43" si="67">FIND("effect:",N41)+7</f>
        <v>9</v>
      </c>
      <c r="P41" s="64">
        <f t="shared" ref="P41:P43" si="68">IFERROR(FIND(",",N41),LEN(N41))</f>
        <v>13</v>
      </c>
      <c r="Q41" s="64" t="e">
        <f t="shared" ref="Q41:Q43" si="69">FIND("target:",N41)+7</f>
        <v>#VALUE!</v>
      </c>
      <c r="R41" s="64">
        <f t="shared" ref="R41:R43" si="70">FIND(",",N41,P41+1)</f>
        <v>22</v>
      </c>
      <c r="S41" s="64" t="str">
        <f>IFERROR(VLOOKUP(MID(N41,Q41,R41-Q41),[6]skilldef!$C:$D,2,FALSE),"-") &amp; " / " &amp; IFERROR(VLOOKUP(MID(N41,O41,P41-O41),[6]skilldef!$A:$B,2,FALSE),"-")</f>
        <v>- / 連続攻撃</v>
      </c>
      <c r="T41" s="48" t="str">
        <f t="shared" ref="T41:T43" si="71">IFERROR(RIGHT(M41,LEN(M41)-FIND("],",M41)-1),"none")</f>
        <v>none</v>
      </c>
      <c r="U41" s="64" t="e">
        <f t="shared" ref="U41:U43" si="72">FIND("effect:",T41)+7</f>
        <v>#VALUE!</v>
      </c>
      <c r="V41" s="64">
        <f t="shared" ref="V41:V43" si="73">IFERROR(FIND(",",T41),LEN(T41))</f>
        <v>4</v>
      </c>
      <c r="W41" s="64" t="e">
        <f t="shared" ref="W41:W43" si="74">FIND("target:",T41)+7</f>
        <v>#VALUE!</v>
      </c>
      <c r="X41" s="64" t="e">
        <f t="shared" ref="X41:X43" si="75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 t="s">
        <v>263</v>
      </c>
      <c r="AA41" s="52">
        <f t="shared" ca="1" si="16"/>
        <v>42408</v>
      </c>
      <c r="AB41" s="51" t="s">
        <v>229</v>
      </c>
    </row>
    <row r="42" spans="1:28" ht="21" customHeight="1">
      <c r="A42" s="47">
        <v>40009042</v>
      </c>
      <c r="B42" s="100" t="s">
        <v>231</v>
      </c>
      <c r="C42" s="50">
        <v>3</v>
      </c>
      <c r="D42" s="50" t="s">
        <v>127</v>
      </c>
      <c r="E42" s="51" t="s">
        <v>343</v>
      </c>
      <c r="F42" s="51" t="s">
        <v>344</v>
      </c>
      <c r="G42" s="64" t="str">
        <f t="shared" si="60"/>
        <v>[effect:rush, count:3, val:0.4]</v>
      </c>
      <c r="H42" s="64">
        <f t="shared" si="61"/>
        <v>9</v>
      </c>
      <c r="I42" s="64">
        <f t="shared" si="62"/>
        <v>13</v>
      </c>
      <c r="J42" s="64" t="e">
        <f t="shared" si="63"/>
        <v>#VALUE!</v>
      </c>
      <c r="K42" s="64">
        <f t="shared" si="64"/>
        <v>22</v>
      </c>
      <c r="L42" s="64" t="str">
        <f>IFERROR(VLOOKUP(MID(G42,J42,K42-J42),[6]skilldef!$C:$D,2,FALSE),"-") &amp; " / " &amp; IFERROR(VLOOKUP(MID(G42,H42,I42-H42),[6]skilldef!$A:$B,2,FALSE),"-")</f>
        <v>- / 連続攻撃</v>
      </c>
      <c r="M42" s="64" t="str">
        <f t="shared" si="65"/>
        <v>none</v>
      </c>
      <c r="N42" s="48" t="str">
        <f t="shared" si="66"/>
        <v>none</v>
      </c>
      <c r="O42" s="64" t="e">
        <f t="shared" si="67"/>
        <v>#VALUE!</v>
      </c>
      <c r="P42" s="64">
        <f t="shared" si="68"/>
        <v>4</v>
      </c>
      <c r="Q42" s="64" t="e">
        <f t="shared" si="69"/>
        <v>#VALUE!</v>
      </c>
      <c r="R42" s="64" t="e">
        <f t="shared" si="70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71"/>
        <v>none</v>
      </c>
      <c r="U42" s="64" t="e">
        <f t="shared" si="72"/>
        <v>#VALUE!</v>
      </c>
      <c r="V42" s="64">
        <f t="shared" si="73"/>
        <v>4</v>
      </c>
      <c r="W42" s="64" t="e">
        <f t="shared" si="74"/>
        <v>#VALUE!</v>
      </c>
      <c r="X42" s="64" t="e">
        <f t="shared" si="75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 t="s">
        <v>263</v>
      </c>
      <c r="AA42" s="52">
        <f t="shared" ca="1" si="16"/>
        <v>42408</v>
      </c>
      <c r="AB42" s="51" t="s">
        <v>229</v>
      </c>
    </row>
    <row r="43" spans="1:28" ht="21" customHeight="1">
      <c r="A43" s="47">
        <v>40009043</v>
      </c>
      <c r="B43" s="100" t="s">
        <v>232</v>
      </c>
      <c r="C43" s="50">
        <v>3</v>
      </c>
      <c r="D43" s="50" t="s">
        <v>127</v>
      </c>
      <c r="E43" s="51" t="s">
        <v>343</v>
      </c>
      <c r="F43" s="51" t="s">
        <v>344</v>
      </c>
      <c r="G43" s="64" t="str">
        <f t="shared" si="60"/>
        <v>[effect:rush, count:3, val:0.5]</v>
      </c>
      <c r="H43" s="64">
        <f t="shared" si="61"/>
        <v>9</v>
      </c>
      <c r="I43" s="64">
        <f t="shared" si="62"/>
        <v>13</v>
      </c>
      <c r="J43" s="64" t="e">
        <f t="shared" si="63"/>
        <v>#VALUE!</v>
      </c>
      <c r="K43" s="64">
        <f t="shared" si="64"/>
        <v>22</v>
      </c>
      <c r="L43" s="64" t="str">
        <f>IFERROR(VLOOKUP(MID(G43,J43,K43-J43),[6]skilldef!$C:$D,2,FALSE),"-") &amp; " / " &amp; IFERROR(VLOOKUP(MID(G43,H43,I43-H43),[6]skilldef!$A:$B,2,FALSE),"-")</f>
        <v>- / 連続攻撃</v>
      </c>
      <c r="M43" s="64" t="str">
        <f t="shared" si="65"/>
        <v>none</v>
      </c>
      <c r="N43" s="48" t="str">
        <f t="shared" si="66"/>
        <v>none</v>
      </c>
      <c r="O43" s="64" t="e">
        <f t="shared" si="67"/>
        <v>#VALUE!</v>
      </c>
      <c r="P43" s="64">
        <f t="shared" si="68"/>
        <v>4</v>
      </c>
      <c r="Q43" s="64" t="e">
        <f t="shared" si="69"/>
        <v>#VALUE!</v>
      </c>
      <c r="R43" s="64" t="e">
        <f t="shared" si="70"/>
        <v>#VALUE!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si="71"/>
        <v>none</v>
      </c>
      <c r="U43" s="64" t="e">
        <f t="shared" si="72"/>
        <v>#VALUE!</v>
      </c>
      <c r="V43" s="64">
        <f t="shared" si="73"/>
        <v>4</v>
      </c>
      <c r="W43" s="64" t="e">
        <f t="shared" si="74"/>
        <v>#VALUE!</v>
      </c>
      <c r="X43" s="64" t="e">
        <f t="shared" si="75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 t="s">
        <v>263</v>
      </c>
      <c r="AA43" s="52">
        <f t="shared" ca="1" si="16"/>
        <v>42408</v>
      </c>
      <c r="AB43" s="51" t="s">
        <v>229</v>
      </c>
    </row>
    <row r="44" spans="1:28" ht="21" customHeight="1">
      <c r="A44" s="47">
        <v>40009044</v>
      </c>
      <c r="B44" s="100" t="s">
        <v>233</v>
      </c>
      <c r="C44" s="50">
        <v>3</v>
      </c>
      <c r="D44" s="50" t="s">
        <v>127</v>
      </c>
      <c r="E44" s="51" t="s">
        <v>343</v>
      </c>
      <c r="F44" s="51" t="s">
        <v>344</v>
      </c>
      <c r="G44" s="64" t="str">
        <f t="shared" ref="G44:G45" si="76">IFERROR(LEFT(B44,FIND("],",B44)),B44)</f>
        <v>[effect:rush, count:3, val:0.55]</v>
      </c>
      <c r="H44" s="64">
        <f t="shared" ref="H44:H45" si="77">FIND("effect:",G44)+7</f>
        <v>9</v>
      </c>
      <c r="I44" s="64">
        <f t="shared" ref="I44:I45" si="78">IFERROR(FIND(",",G44),LEN(G44))</f>
        <v>13</v>
      </c>
      <c r="J44" s="64" t="e">
        <f t="shared" ref="J44:J45" si="79">FIND("target:",G44)+7</f>
        <v>#VALUE!</v>
      </c>
      <c r="K44" s="64">
        <f t="shared" ref="K44:K45" si="80">FIND(",",G44,I44+1)</f>
        <v>22</v>
      </c>
      <c r="L44" s="64" t="str">
        <f>IFERROR(VLOOKUP(MID(G44,J44,K44-J44),[6]skilldef!$C:$D,2,FALSE),"-") &amp; " / " &amp; IFERROR(VLOOKUP(MID(G44,H44,I44-H44),[6]skilldef!$A:$B,2,FALSE),"-")</f>
        <v>- / 連続攻撃</v>
      </c>
      <c r="M44" s="64" t="str">
        <f t="shared" ref="M44:M45" si="81">IFERROR(RIGHT(B44,LEN(B44)-FIND("],",B44)-1),"none")</f>
        <v>none</v>
      </c>
      <c r="N44" s="48" t="str">
        <f t="shared" ref="N44:N45" si="82">IFERROR(LEFT(M44,FIND("],",M44)+S54),M44)</f>
        <v>none</v>
      </c>
      <c r="O44" s="64" t="e">
        <f t="shared" ref="O44:O45" si="83">FIND("effect:",N44)+7</f>
        <v>#VALUE!</v>
      </c>
      <c r="P44" s="64">
        <f t="shared" ref="P44:P45" si="84">IFERROR(FIND(",",N44),LEN(N44))</f>
        <v>4</v>
      </c>
      <c r="Q44" s="64" t="e">
        <f t="shared" ref="Q44:Q45" si="85">FIND("target:",N44)+7</f>
        <v>#VALUE!</v>
      </c>
      <c r="R44" s="64" t="e">
        <f t="shared" ref="R44:R45" si="86">FIND(",",N44,P44+1)</f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ref="T44:T45" si="87">IFERROR(RIGHT(M44,LEN(M44)-FIND("],",M44)-1),"none")</f>
        <v>none</v>
      </c>
      <c r="U44" s="64" t="e">
        <f t="shared" ref="U44:U45" si="88">FIND("effect:",T44)+7</f>
        <v>#VALUE!</v>
      </c>
      <c r="V44" s="64">
        <f t="shared" ref="V44:V45" si="89">IFERROR(FIND(",",T44),LEN(T44))</f>
        <v>4</v>
      </c>
      <c r="W44" s="64" t="e">
        <f t="shared" ref="W44:W45" si="90">FIND("target:",T44)+7</f>
        <v>#VALUE!</v>
      </c>
      <c r="X44" s="64" t="e">
        <f t="shared" ref="X44:X45" si="91">FIND(",",T44,V44+1)</f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 t="s">
        <v>263</v>
      </c>
      <c r="AA44" s="52">
        <f t="shared" ca="1" si="16"/>
        <v>42408</v>
      </c>
      <c r="AB44" s="51" t="s">
        <v>229</v>
      </c>
    </row>
    <row r="45" spans="1:28" ht="21" customHeight="1">
      <c r="A45" s="47">
        <v>40009045</v>
      </c>
      <c r="B45" s="100" t="s">
        <v>234</v>
      </c>
      <c r="C45" s="50">
        <v>3</v>
      </c>
      <c r="D45" s="50" t="s">
        <v>127</v>
      </c>
      <c r="E45" s="51" t="s">
        <v>343</v>
      </c>
      <c r="F45" s="51" t="s">
        <v>344</v>
      </c>
      <c r="G45" s="64" t="str">
        <f t="shared" si="76"/>
        <v>[effect:rush, count:3, val:0.6]</v>
      </c>
      <c r="H45" s="64">
        <f t="shared" si="77"/>
        <v>9</v>
      </c>
      <c r="I45" s="64">
        <f t="shared" si="78"/>
        <v>13</v>
      </c>
      <c r="J45" s="64" t="e">
        <f t="shared" si="79"/>
        <v>#VALUE!</v>
      </c>
      <c r="K45" s="64">
        <f t="shared" si="80"/>
        <v>22</v>
      </c>
      <c r="L45" s="64" t="str">
        <f>IFERROR(VLOOKUP(MID(G45,J45,K45-J45),[6]skilldef!$C:$D,2,FALSE),"-") &amp; " / " &amp; IFERROR(VLOOKUP(MID(G45,H45,I45-H45),[6]skilldef!$A:$B,2,FALSE),"-")</f>
        <v>- / 連続攻撃</v>
      </c>
      <c r="M45" s="64" t="str">
        <f t="shared" si="81"/>
        <v>none</v>
      </c>
      <c r="N45" s="48" t="str">
        <f t="shared" si="82"/>
        <v>none</v>
      </c>
      <c r="O45" s="64" t="e">
        <f t="shared" si="83"/>
        <v>#VALUE!</v>
      </c>
      <c r="P45" s="64">
        <f t="shared" si="84"/>
        <v>4</v>
      </c>
      <c r="Q45" s="64" t="e">
        <f t="shared" si="85"/>
        <v>#VALUE!</v>
      </c>
      <c r="R45" s="64" t="e">
        <f t="shared" si="86"/>
        <v>#VALUE!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si="87"/>
        <v>none</v>
      </c>
      <c r="U45" s="64" t="e">
        <f t="shared" si="88"/>
        <v>#VALUE!</v>
      </c>
      <c r="V45" s="64">
        <f t="shared" si="89"/>
        <v>4</v>
      </c>
      <c r="W45" s="64" t="e">
        <f t="shared" si="90"/>
        <v>#VALUE!</v>
      </c>
      <c r="X45" s="64" t="e">
        <f t="shared" si="91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 t="s">
        <v>263</v>
      </c>
      <c r="AA45" s="52">
        <f t="shared" ca="1" si="16"/>
        <v>42408</v>
      </c>
      <c r="AB45" s="51" t="s">
        <v>229</v>
      </c>
    </row>
    <row r="46" spans="1:28" ht="21" customHeight="1">
      <c r="A46" s="47">
        <v>40009046</v>
      </c>
      <c r="B46" s="47" t="s">
        <v>324</v>
      </c>
      <c r="C46" s="50">
        <v>3</v>
      </c>
      <c r="D46" s="50" t="s">
        <v>127</v>
      </c>
      <c r="E46" s="51" t="s">
        <v>388</v>
      </c>
      <c r="F46" s="51" t="s">
        <v>389</v>
      </c>
      <c r="G46" s="64" t="str">
        <f t="shared" ref="G46" si="92">IFERROR(LEFT(B46,FIND("],",B46)),B46)</f>
        <v>[effect:freq_turn, target:myself, turn:-1, val:1, animation:enemy_freq_turn]</v>
      </c>
      <c r="H46" s="64">
        <f t="shared" ref="H46" si="93">FIND("effect:",G46)+7</f>
        <v>9</v>
      </c>
      <c r="I46" s="64">
        <f t="shared" ref="I46" si="94">IFERROR(FIND(",",G46),LEN(G46))</f>
        <v>18</v>
      </c>
      <c r="J46" s="64">
        <f t="shared" ref="J46" si="95">FIND("target:",G46)+7</f>
        <v>27</v>
      </c>
      <c r="K46" s="64">
        <f t="shared" ref="K46" si="96">FIND(",",G46,I46+1)</f>
        <v>33</v>
      </c>
      <c r="L46" s="64" t="str">
        <f>IFERROR(VLOOKUP(MID(G46,J46,K46-J46),[6]skilldef!$C:$D,2,FALSE),"-") &amp; " / " &amp; IFERROR(VLOOKUP(MID(G46,H46,I46-H46),[6]skilldef!$A:$B,2,FALSE),"-")</f>
        <v>自分自身に / 攻撃頻度がUP</v>
      </c>
      <c r="M46" s="64" t="str">
        <f t="shared" ref="M46" si="97">IFERROR(RIGHT(B46,LEN(B46)-FIND("],",B46)-1),"none")</f>
        <v>[effect:rush, count:1, val:0.5]</v>
      </c>
      <c r="N46" s="48" t="str">
        <f t="shared" ref="N46" si="98">IFERROR(LEFT(M46,FIND("],",M46)+S56),M46)</f>
        <v>[effect:rush, count:1, val:0.5]</v>
      </c>
      <c r="O46" s="64">
        <f t="shared" ref="O46" si="99">FIND("effect:",N46)+7</f>
        <v>9</v>
      </c>
      <c r="P46" s="64">
        <f t="shared" ref="P46" si="100">IFERROR(FIND(",",N46),LEN(N46))</f>
        <v>13</v>
      </c>
      <c r="Q46" s="64" t="e">
        <f t="shared" ref="Q46" si="101">FIND("target:",N46)+7</f>
        <v>#VALUE!</v>
      </c>
      <c r="R46" s="64">
        <f t="shared" ref="R46" si="102">FIND(",",N46,P46+1)</f>
        <v>22</v>
      </c>
      <c r="S46" s="64" t="str">
        <f>IFERROR(VLOOKUP(MID(N46,Q46,R46-Q46),[6]skilldef!$C:$D,2,FALSE),"-") &amp; " / " &amp; IFERROR(VLOOKUP(MID(N46,O46,P46-O46),[6]skilldef!$A:$B,2,FALSE),"-")</f>
        <v>- / 連続攻撃</v>
      </c>
      <c r="T46" s="48" t="str">
        <f t="shared" ref="T46" si="103">IFERROR(RIGHT(M46,LEN(M46)-FIND("],",M46)-1),"none")</f>
        <v>none</v>
      </c>
      <c r="U46" s="64" t="e">
        <f t="shared" ref="U46" si="104">FIND("effect:",T46)+7</f>
        <v>#VALUE!</v>
      </c>
      <c r="V46" s="64">
        <f t="shared" ref="V46" si="105">IFERROR(FIND(",",T46),LEN(T46))</f>
        <v>4</v>
      </c>
      <c r="W46" s="64" t="e">
        <f t="shared" ref="W46" si="106">FIND("target:",T46)+7</f>
        <v>#VALUE!</v>
      </c>
      <c r="X46" s="64" t="e">
        <f t="shared" ref="X46" si="107">FIND(",",T46,V46+1)</f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 t="s">
        <v>263</v>
      </c>
      <c r="AA46" s="52">
        <f t="shared" ca="1" si="16"/>
        <v>42408</v>
      </c>
      <c r="AB46" s="51" t="s">
        <v>274</v>
      </c>
    </row>
    <row r="47" spans="1:28" ht="21" customHeight="1">
      <c r="A47" s="47">
        <v>40009047</v>
      </c>
      <c r="B47" s="47" t="s">
        <v>308</v>
      </c>
      <c r="C47" s="50">
        <v>3</v>
      </c>
      <c r="D47" s="50" t="s">
        <v>127</v>
      </c>
      <c r="E47" s="51" t="s">
        <v>390</v>
      </c>
      <c r="F47" s="51" t="s">
        <v>385</v>
      </c>
      <c r="G47" s="64" t="str">
        <f t="shared" ref="G47" si="108">IFERROR(LEFT(B47,FIND("],",B47)),B47)</f>
        <v>[effect:fix_speed, target:myself, turn:1]</v>
      </c>
      <c r="H47" s="64">
        <f t="shared" ref="H47" si="109">FIND("effect:",G47)+7</f>
        <v>9</v>
      </c>
      <c r="I47" s="64">
        <f t="shared" ref="I47" si="110">IFERROR(FIND(",",G47),LEN(G47))</f>
        <v>18</v>
      </c>
      <c r="J47" s="64">
        <f t="shared" ref="J47" si="111">FIND("target:",G47)+7</f>
        <v>27</v>
      </c>
      <c r="K47" s="64">
        <f t="shared" ref="K47" si="112">FIND(",",G47,I47+1)</f>
        <v>33</v>
      </c>
      <c r="L47" s="64" t="str">
        <f>IFERROR(VLOOKUP(MID(G47,J47,K47-J47),[6]skilldef!$C:$D,2,FALSE),"-") &amp; " / " &amp; IFERROR(VLOOKUP(MID(G47,H47,I47-H47),[6]skilldef!$A:$B,2,FALSE),"-")</f>
        <v>自分自身に / 行動値設定</v>
      </c>
      <c r="M47" s="64" t="str">
        <f t="shared" ref="M47" si="113">IFERROR(RIGHT(B47,LEN(B47)-FIND("],",B47)-1),"none")</f>
        <v>none</v>
      </c>
      <c r="N47" s="48" t="str">
        <f t="shared" ref="N47" si="114">IFERROR(LEFT(M47,FIND("],",M47)+S57),M47)</f>
        <v>none</v>
      </c>
      <c r="O47" s="64" t="e">
        <f t="shared" ref="O47" si="115">FIND("effect:",N47)+7</f>
        <v>#VALUE!</v>
      </c>
      <c r="P47" s="64">
        <f t="shared" ref="P47" si="116">IFERROR(FIND(",",N47),LEN(N47))</f>
        <v>4</v>
      </c>
      <c r="Q47" s="64" t="e">
        <f t="shared" ref="Q47" si="117">FIND("target:",N47)+7</f>
        <v>#VALUE!</v>
      </c>
      <c r="R47" s="64" t="e">
        <f t="shared" ref="R47" si="118">FIND(",",N47,P47+1)</f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ref="T47" si="119">IFERROR(RIGHT(M47,LEN(M47)-FIND("],",M47)-1),"none")</f>
        <v>none</v>
      </c>
      <c r="U47" s="64" t="e">
        <f t="shared" ref="U47" si="120">FIND("effect:",T47)+7</f>
        <v>#VALUE!</v>
      </c>
      <c r="V47" s="64">
        <f t="shared" ref="V47" si="121">IFERROR(FIND(",",T47),LEN(T47))</f>
        <v>4</v>
      </c>
      <c r="W47" s="64" t="e">
        <f t="shared" ref="W47" si="122">FIND("target:",T47)+7</f>
        <v>#VALUE!</v>
      </c>
      <c r="X47" s="64" t="e">
        <f t="shared" ref="X47" si="123">FIND(",",T47,V47+1)</f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 t="s">
        <v>263</v>
      </c>
      <c r="AA47" s="52">
        <f t="shared" ca="1" si="16"/>
        <v>42408</v>
      </c>
      <c r="AB47" s="51" t="s">
        <v>306</v>
      </c>
    </row>
    <row r="48" spans="1:28" ht="21" customHeight="1">
      <c r="A48" s="47">
        <v>40009048</v>
      </c>
      <c r="B48" s="47" t="s">
        <v>307</v>
      </c>
      <c r="C48" s="50">
        <v>3</v>
      </c>
      <c r="D48" s="50" t="s">
        <v>127</v>
      </c>
      <c r="E48" s="51" t="s">
        <v>395</v>
      </c>
      <c r="F48" s="51" t="s">
        <v>391</v>
      </c>
      <c r="G48" s="64" t="str">
        <f t="shared" ref="G48:G49" si="124">IFERROR(LEFT(B48,FIND("],",B48)),B48)</f>
        <v>[effect:fix_speed, target:myself, turn:2]</v>
      </c>
      <c r="H48" s="64">
        <f t="shared" ref="H48:H49" si="125">FIND("effect:",G48)+7</f>
        <v>9</v>
      </c>
      <c r="I48" s="64">
        <f t="shared" ref="I48:I49" si="126">IFERROR(FIND(",",G48),LEN(G48))</f>
        <v>18</v>
      </c>
      <c r="J48" s="64">
        <f t="shared" ref="J48:J49" si="127">FIND("target:",G48)+7</f>
        <v>27</v>
      </c>
      <c r="K48" s="64">
        <f t="shared" ref="K48:K49" si="128">FIND(",",G48,I48+1)</f>
        <v>33</v>
      </c>
      <c r="L48" s="64" t="str">
        <f>IFERROR(VLOOKUP(MID(G48,J48,K48-J48),[6]skilldef!$C:$D,2,FALSE),"-") &amp; " / " &amp; IFERROR(VLOOKUP(MID(G48,H48,I48-H48),[6]skilldef!$A:$B,2,FALSE),"-")</f>
        <v>自分自身に / 行動値設定</v>
      </c>
      <c r="M48" s="64" t="str">
        <f t="shared" ref="M48:M49" si="129">IFERROR(RIGHT(B48,LEN(B48)-FIND("],",B48)-1),"none")</f>
        <v>none</v>
      </c>
      <c r="N48" s="48" t="str">
        <f t="shared" ref="N48:N49" si="130">IFERROR(LEFT(M48,FIND("],",M48)+S58),M48)</f>
        <v>none</v>
      </c>
      <c r="O48" s="64" t="e">
        <f t="shared" ref="O48:O49" si="131">FIND("effect:",N48)+7</f>
        <v>#VALUE!</v>
      </c>
      <c r="P48" s="64">
        <f t="shared" ref="P48:P49" si="132">IFERROR(FIND(",",N48),LEN(N48))</f>
        <v>4</v>
      </c>
      <c r="Q48" s="64" t="e">
        <f t="shared" ref="Q48:Q49" si="133">FIND("target:",N48)+7</f>
        <v>#VALUE!</v>
      </c>
      <c r="R48" s="64" t="e">
        <f t="shared" ref="R48:R49" si="134">FIND(",",N48,P48+1)</f>
        <v>#VALUE!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ref="T48:T49" si="135">IFERROR(RIGHT(M48,LEN(M48)-FIND("],",M48)-1),"none")</f>
        <v>none</v>
      </c>
      <c r="U48" s="64" t="e">
        <f t="shared" ref="U48:U49" si="136">FIND("effect:",T48)+7</f>
        <v>#VALUE!</v>
      </c>
      <c r="V48" s="64">
        <f t="shared" ref="V48:V49" si="137">IFERROR(FIND(",",T48),LEN(T48))</f>
        <v>4</v>
      </c>
      <c r="W48" s="64" t="e">
        <f t="shared" ref="W48:W49" si="138">FIND("target:",T48)+7</f>
        <v>#VALUE!</v>
      </c>
      <c r="X48" s="64" t="e">
        <f t="shared" ref="X48:X49" si="139">FIND(",",T48,V48+1)</f>
        <v>#VALUE!</v>
      </c>
      <c r="Y48" s="64" t="str">
        <f>IFERROR(VLOOKUP(MID(T48,W48,X48-W48),[6]skilldef!$C:$D,2,FALSE),"-") &amp; " / " &amp; IFERROR(VLOOKUP(MID(T48,U48,V48-U48),[6]skilldef!$A:$B,2,FALSE),"-")</f>
        <v>- / -</v>
      </c>
      <c r="Z48" s="50" t="s">
        <v>263</v>
      </c>
      <c r="AA48" s="52">
        <f t="shared" ca="1" si="16"/>
        <v>42408</v>
      </c>
      <c r="AB48" s="51" t="s">
        <v>309</v>
      </c>
    </row>
    <row r="49" spans="1:28" ht="21" customHeight="1">
      <c r="A49" s="47">
        <v>40009049</v>
      </c>
      <c r="B49" s="47" t="s">
        <v>310</v>
      </c>
      <c r="C49" s="50">
        <v>3</v>
      </c>
      <c r="D49" s="50" t="s">
        <v>127</v>
      </c>
      <c r="E49" s="51" t="s">
        <v>386</v>
      </c>
      <c r="F49" s="51" t="s">
        <v>387</v>
      </c>
      <c r="G49" s="64" t="str">
        <f t="shared" si="124"/>
        <v>[effect:fix_speed, target:myself, turn:3]</v>
      </c>
      <c r="H49" s="64">
        <f t="shared" si="125"/>
        <v>9</v>
      </c>
      <c r="I49" s="64">
        <f t="shared" si="126"/>
        <v>18</v>
      </c>
      <c r="J49" s="64">
        <f t="shared" si="127"/>
        <v>27</v>
      </c>
      <c r="K49" s="64">
        <f t="shared" si="128"/>
        <v>33</v>
      </c>
      <c r="L49" s="64" t="str">
        <f>IFERROR(VLOOKUP(MID(G49,J49,K49-J49),[6]skilldef!$C:$D,2,FALSE),"-") &amp; " / " &amp; IFERROR(VLOOKUP(MID(G49,H49,I49-H49),[6]skilldef!$A:$B,2,FALSE),"-")</f>
        <v>自分自身に / 行動値設定</v>
      </c>
      <c r="M49" s="64" t="str">
        <f t="shared" si="129"/>
        <v>none</v>
      </c>
      <c r="N49" s="48" t="str">
        <f t="shared" si="130"/>
        <v>none</v>
      </c>
      <c r="O49" s="64" t="e">
        <f t="shared" si="131"/>
        <v>#VALUE!</v>
      </c>
      <c r="P49" s="64">
        <f t="shared" si="132"/>
        <v>4</v>
      </c>
      <c r="Q49" s="64" t="e">
        <f t="shared" si="133"/>
        <v>#VALUE!</v>
      </c>
      <c r="R49" s="64" t="e">
        <f t="shared" si="134"/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si="135"/>
        <v>none</v>
      </c>
      <c r="U49" s="64" t="e">
        <f t="shared" si="136"/>
        <v>#VALUE!</v>
      </c>
      <c r="V49" s="64">
        <f t="shared" si="137"/>
        <v>4</v>
      </c>
      <c r="W49" s="64" t="e">
        <f t="shared" si="138"/>
        <v>#VALUE!</v>
      </c>
      <c r="X49" s="64" t="e">
        <f t="shared" si="139"/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 t="s">
        <v>263</v>
      </c>
      <c r="AA49" s="52">
        <f t="shared" ca="1" si="16"/>
        <v>42408</v>
      </c>
      <c r="AB49" s="51" t="s">
        <v>311</v>
      </c>
    </row>
    <row r="50" spans="1:28" ht="21" customHeight="1">
      <c r="A50" s="47">
        <v>40009050</v>
      </c>
      <c r="B50" s="100" t="s">
        <v>337</v>
      </c>
      <c r="C50" s="50">
        <v>3</v>
      </c>
      <c r="D50" s="50" t="s">
        <v>127</v>
      </c>
      <c r="E50" s="51" t="s">
        <v>394</v>
      </c>
      <c r="F50" s="51" t="s">
        <v>345</v>
      </c>
      <c r="G50" s="64" t="str">
        <f t="shared" ref="G50:G51" si="140">IFERROR(LEFT(B50,FIND("],",B50)),B50)</f>
        <v>[effect:rush, count:1, val:0.8]</v>
      </c>
      <c r="H50" s="64">
        <f t="shared" ref="H50:H51" si="141">FIND("effect:",G50)+7</f>
        <v>9</v>
      </c>
      <c r="I50" s="64">
        <f t="shared" ref="I50:I51" si="142">IFERROR(FIND(",",G50),LEN(G50))</f>
        <v>13</v>
      </c>
      <c r="J50" s="64" t="e">
        <f t="shared" ref="J50:J51" si="143">FIND("target:",G50)+7</f>
        <v>#VALUE!</v>
      </c>
      <c r="K50" s="64">
        <f t="shared" ref="K50:K51" si="144">FIND(",",G50,I50+1)</f>
        <v>22</v>
      </c>
      <c r="L50" s="64" t="str">
        <f>IFERROR(VLOOKUP(MID(G50,J50,K50-J50),[6]skilldef!$C:$D,2,FALSE),"-") &amp; " / " &amp; IFERROR(VLOOKUP(MID(G50,H50,I50-H50),[6]skilldef!$A:$B,2,FALSE),"-")</f>
        <v>- / 連続攻撃</v>
      </c>
      <c r="M50" s="64" t="str">
        <f t="shared" ref="M50:M51" si="145">IFERROR(RIGHT(B50,LEN(B50)-FIND("],",B50)-1),"none")</f>
        <v xml:space="preserve">[effect:change_panel_ratio, turn:2, block_type:green, val:0, animation:block_incidence04]    </v>
      </c>
      <c r="N50" s="48" t="str">
        <f t="shared" ref="N50:N51" si="146">IFERROR(LEFT(M50,FIND("],",M50)+S60),M50)</f>
        <v xml:space="preserve">[effect:change_panel_ratio, turn:2, block_type:green, val:0, animation:block_incidence04]    </v>
      </c>
      <c r="O50" s="64">
        <f t="shared" ref="O50:O51" si="147">FIND("effect:",N50)+7</f>
        <v>9</v>
      </c>
      <c r="P50" s="64">
        <f t="shared" ref="P50:P51" si="148">IFERROR(FIND(",",N50),LEN(N50))</f>
        <v>27</v>
      </c>
      <c r="Q50" s="64" t="e">
        <f t="shared" ref="Q50:Q51" si="149">FIND("target:",N50)+7</f>
        <v>#VALUE!</v>
      </c>
      <c r="R50" s="64">
        <f t="shared" ref="R50:R51" si="150">FIND(",",N50,P50+1)</f>
        <v>35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ref="T50:T51" si="151">IFERROR(RIGHT(M50,LEN(M50)-FIND("],",M50)-1),"none")</f>
        <v>none</v>
      </c>
      <c r="U50" s="64" t="e">
        <f t="shared" ref="U50:U51" si="152">FIND("effect:",T50)+7</f>
        <v>#VALUE!</v>
      </c>
      <c r="V50" s="64">
        <f t="shared" ref="V50:V51" si="153">IFERROR(FIND(",",T50),LEN(T50))</f>
        <v>4</v>
      </c>
      <c r="W50" s="64" t="e">
        <f t="shared" ref="W50:W51" si="154">FIND("target:",T50)+7</f>
        <v>#VALUE!</v>
      </c>
      <c r="X50" s="64" t="e">
        <f t="shared" ref="X50:X51" si="155">FIND(",",T50,V50+1)</f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 t="s">
        <v>263</v>
      </c>
      <c r="AA50" s="52">
        <f t="shared" ca="1" si="16"/>
        <v>42408</v>
      </c>
      <c r="AB50" s="51" t="s">
        <v>333</v>
      </c>
    </row>
    <row r="51" spans="1:28" ht="21" customHeight="1">
      <c r="A51" s="47">
        <v>40009051</v>
      </c>
      <c r="B51" s="47" t="s">
        <v>336</v>
      </c>
      <c r="C51" s="50">
        <v>3</v>
      </c>
      <c r="D51" s="50" t="s">
        <v>127</v>
      </c>
      <c r="E51" s="51" t="s">
        <v>393</v>
      </c>
      <c r="F51" s="51" t="s">
        <v>335</v>
      </c>
      <c r="G51" s="64" t="str">
        <f t="shared" si="140"/>
        <v>[effect:break_attack_fix, val:800, lowest_val:800, count:-1, block:block_green, target:unit_all]</v>
      </c>
      <c r="H51" s="64">
        <f t="shared" si="141"/>
        <v>9</v>
      </c>
      <c r="I51" s="64">
        <f t="shared" si="142"/>
        <v>25</v>
      </c>
      <c r="J51" s="64">
        <f t="shared" si="143"/>
        <v>88</v>
      </c>
      <c r="K51" s="64">
        <f t="shared" si="144"/>
        <v>34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145"/>
        <v>none</v>
      </c>
      <c r="N51" s="48" t="str">
        <f t="shared" si="146"/>
        <v>none</v>
      </c>
      <c r="O51" s="64" t="e">
        <f t="shared" si="147"/>
        <v>#VALUE!</v>
      </c>
      <c r="P51" s="64">
        <f t="shared" si="148"/>
        <v>4</v>
      </c>
      <c r="Q51" s="64" t="e">
        <f t="shared" si="149"/>
        <v>#VALUE!</v>
      </c>
      <c r="R51" s="64" t="e">
        <f t="shared" si="150"/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151"/>
        <v>none</v>
      </c>
      <c r="U51" s="64" t="e">
        <f t="shared" si="152"/>
        <v>#VALUE!</v>
      </c>
      <c r="V51" s="64">
        <f t="shared" si="153"/>
        <v>4</v>
      </c>
      <c r="W51" s="64" t="e">
        <f t="shared" si="154"/>
        <v>#VALUE!</v>
      </c>
      <c r="X51" s="64" t="e">
        <f t="shared" si="155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 t="s">
        <v>263</v>
      </c>
      <c r="AA51" s="52">
        <f t="shared" ca="1" si="16"/>
        <v>42408</v>
      </c>
      <c r="AB51" s="51" t="s">
        <v>334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7"/>
  <sheetViews>
    <sheetView showGridLines="0" zoomScale="125" zoomScaleNormal="125" zoomScalePageLayoutView="125" workbookViewId="0">
      <pane ySplit="1" topLeftCell="A16" activePane="bottomLeft" state="frozenSplit"/>
      <selection pane="bottomLeft" activeCell="E29" sqref="E29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40009001</v>
      </c>
      <c r="B2" s="48">
        <v>0</v>
      </c>
      <c r="C2" s="48" t="s">
        <v>241</v>
      </c>
      <c r="D2" s="48">
        <v>100</v>
      </c>
      <c r="E2" s="48" t="s">
        <v>241</v>
      </c>
      <c r="F2" s="48" t="s">
        <v>242</v>
      </c>
      <c r="G2" s="48">
        <v>3</v>
      </c>
      <c r="H2" s="48" t="s">
        <v>241</v>
      </c>
      <c r="I2" s="48" t="s">
        <v>242</v>
      </c>
      <c r="J2" s="48">
        <f t="shared" ref="J2:J46" si="0">D2</f>
        <v>100</v>
      </c>
    </row>
    <row r="3" spans="1:11" ht="21" customHeight="1">
      <c r="A3" s="47">
        <v>40009002</v>
      </c>
      <c r="B3" s="48">
        <v>0</v>
      </c>
      <c r="C3" s="48">
        <v>1</v>
      </c>
      <c r="D3" s="48">
        <v>100</v>
      </c>
      <c r="E3" s="48">
        <v>40</v>
      </c>
      <c r="F3" s="48" t="s">
        <v>241</v>
      </c>
      <c r="G3" s="48">
        <v>2</v>
      </c>
      <c r="H3" s="48" t="s">
        <v>241</v>
      </c>
      <c r="I3" s="48" t="s">
        <v>243</v>
      </c>
      <c r="J3" s="48">
        <f t="shared" si="0"/>
        <v>100</v>
      </c>
    </row>
    <row r="4" spans="1:11" ht="21" customHeight="1">
      <c r="A4" s="47">
        <v>40009003</v>
      </c>
      <c r="B4" s="48">
        <v>0</v>
      </c>
      <c r="C4" s="48" t="s">
        <v>241</v>
      </c>
      <c r="D4" s="48">
        <v>100</v>
      </c>
      <c r="E4" s="48" t="s">
        <v>241</v>
      </c>
      <c r="F4" s="48" t="s">
        <v>242</v>
      </c>
      <c r="G4" s="48" t="s">
        <v>241</v>
      </c>
      <c r="H4" s="48" t="s">
        <v>241</v>
      </c>
      <c r="I4" s="48" t="s">
        <v>241</v>
      </c>
      <c r="J4" s="48">
        <f t="shared" si="0"/>
        <v>100</v>
      </c>
    </row>
    <row r="5" spans="1:11" ht="21" customHeight="1">
      <c r="A5" s="47">
        <v>40009004</v>
      </c>
      <c r="B5" s="48">
        <v>0</v>
      </c>
      <c r="C5" s="48" t="s">
        <v>241</v>
      </c>
      <c r="D5" s="48">
        <v>100</v>
      </c>
      <c r="E5" s="48" t="s">
        <v>241</v>
      </c>
      <c r="F5" s="48" t="s">
        <v>242</v>
      </c>
      <c r="G5" s="48" t="s">
        <v>241</v>
      </c>
      <c r="H5" s="48" t="s">
        <v>241</v>
      </c>
      <c r="I5" s="48" t="s">
        <v>241</v>
      </c>
      <c r="J5" s="48">
        <f t="shared" si="0"/>
        <v>100</v>
      </c>
    </row>
    <row r="6" spans="1:11" ht="21" customHeight="1">
      <c r="A6" s="47">
        <v>40009005</v>
      </c>
      <c r="B6" s="48">
        <v>1</v>
      </c>
      <c r="C6" s="48" t="s">
        <v>241</v>
      </c>
      <c r="D6" s="48">
        <v>100</v>
      </c>
      <c r="E6" s="48" t="s">
        <v>241</v>
      </c>
      <c r="F6" s="48" t="s">
        <v>242</v>
      </c>
      <c r="G6" s="48">
        <v>1</v>
      </c>
      <c r="H6" s="48" t="s">
        <v>244</v>
      </c>
      <c r="I6" s="48" t="s">
        <v>242</v>
      </c>
      <c r="J6" s="48">
        <f t="shared" si="0"/>
        <v>100</v>
      </c>
    </row>
    <row r="7" spans="1:11" ht="21" customHeight="1">
      <c r="A7" s="47">
        <v>40009006</v>
      </c>
      <c r="B7" s="48">
        <v>0</v>
      </c>
      <c r="C7" s="48">
        <v>1</v>
      </c>
      <c r="D7" s="48">
        <v>100</v>
      </c>
      <c r="E7" s="48">
        <v>80</v>
      </c>
      <c r="F7" s="48" t="s">
        <v>242</v>
      </c>
      <c r="G7" s="48">
        <v>1</v>
      </c>
      <c r="H7" s="48" t="s">
        <v>241</v>
      </c>
      <c r="I7" s="48" t="s">
        <v>242</v>
      </c>
      <c r="J7" s="48">
        <f t="shared" si="0"/>
        <v>100</v>
      </c>
    </row>
    <row r="8" spans="1:11" ht="21" customHeight="1">
      <c r="A8" s="47">
        <v>40009007</v>
      </c>
      <c r="B8" s="48">
        <v>0</v>
      </c>
      <c r="C8" s="48">
        <v>2</v>
      </c>
      <c r="D8" s="48">
        <v>100</v>
      </c>
      <c r="E8" s="48" t="s">
        <v>242</v>
      </c>
      <c r="F8" s="48" t="s">
        <v>242</v>
      </c>
      <c r="G8" s="48" t="s">
        <v>242</v>
      </c>
      <c r="H8" s="48">
        <v>3</v>
      </c>
      <c r="I8" s="48" t="s">
        <v>242</v>
      </c>
      <c r="J8" s="48">
        <f t="shared" si="0"/>
        <v>100</v>
      </c>
    </row>
    <row r="9" spans="1:11" ht="21" customHeight="1">
      <c r="A9" s="47">
        <v>40009008</v>
      </c>
      <c r="B9" s="48">
        <v>0</v>
      </c>
      <c r="C9" s="48" t="s">
        <v>241</v>
      </c>
      <c r="D9" s="48">
        <v>40</v>
      </c>
      <c r="E9" s="48" t="s">
        <v>241</v>
      </c>
      <c r="F9" s="48" t="s">
        <v>242</v>
      </c>
      <c r="G9" s="48" t="s">
        <v>241</v>
      </c>
      <c r="H9" s="48" t="s">
        <v>241</v>
      </c>
      <c r="I9" s="48" t="s">
        <v>242</v>
      </c>
      <c r="J9" s="48">
        <f t="shared" si="0"/>
        <v>40</v>
      </c>
    </row>
    <row r="10" spans="1:11" ht="21" customHeight="1">
      <c r="A10" s="47">
        <v>40009009</v>
      </c>
      <c r="B10" s="48">
        <v>1</v>
      </c>
      <c r="C10" s="48" t="s">
        <v>241</v>
      </c>
      <c r="D10" s="48">
        <v>100</v>
      </c>
      <c r="E10" s="48" t="s">
        <v>241</v>
      </c>
      <c r="F10" s="48" t="s">
        <v>242</v>
      </c>
      <c r="G10" s="48">
        <v>1</v>
      </c>
      <c r="H10" s="48" t="s">
        <v>242</v>
      </c>
      <c r="I10" s="48" t="s">
        <v>242</v>
      </c>
      <c r="J10" s="48">
        <f t="shared" si="0"/>
        <v>100</v>
      </c>
    </row>
    <row r="11" spans="1:11" ht="21" customHeight="1">
      <c r="A11" s="47">
        <v>40009010</v>
      </c>
      <c r="B11" s="48">
        <v>0</v>
      </c>
      <c r="C11" s="48" t="s">
        <v>242</v>
      </c>
      <c r="D11" s="48">
        <v>40</v>
      </c>
      <c r="E11" s="48" t="s">
        <v>242</v>
      </c>
      <c r="F11" s="48" t="s">
        <v>242</v>
      </c>
      <c r="G11" s="48">
        <v>5</v>
      </c>
      <c r="H11" s="48" t="s">
        <v>242</v>
      </c>
      <c r="I11" s="48" t="s">
        <v>241</v>
      </c>
      <c r="J11" s="48">
        <f t="shared" si="0"/>
        <v>40</v>
      </c>
    </row>
    <row r="12" spans="1:11" ht="21" customHeight="1">
      <c r="A12" s="47">
        <v>40009011</v>
      </c>
      <c r="B12" s="48">
        <v>0</v>
      </c>
      <c r="C12" s="48">
        <v>4</v>
      </c>
      <c r="D12" s="48">
        <v>100</v>
      </c>
      <c r="E12" s="48">
        <v>50</v>
      </c>
      <c r="F12" s="48" t="s">
        <v>245</v>
      </c>
      <c r="G12" s="48">
        <v>1</v>
      </c>
      <c r="H12" s="48" t="s">
        <v>242</v>
      </c>
      <c r="I12" s="48" t="s">
        <v>242</v>
      </c>
      <c r="J12" s="48">
        <f t="shared" si="0"/>
        <v>100</v>
      </c>
    </row>
    <row r="13" spans="1:11" ht="21" customHeight="1">
      <c r="A13" s="47">
        <v>40009012</v>
      </c>
      <c r="B13" s="48">
        <v>0</v>
      </c>
      <c r="C13" s="48">
        <v>3</v>
      </c>
      <c r="D13" s="48">
        <v>100</v>
      </c>
      <c r="E13" s="48">
        <v>50</v>
      </c>
      <c r="F13" s="48" t="s">
        <v>245</v>
      </c>
      <c r="G13" s="48">
        <v>1</v>
      </c>
      <c r="H13" s="48" t="s">
        <v>242</v>
      </c>
      <c r="I13" s="48" t="s">
        <v>242</v>
      </c>
      <c r="J13" s="48">
        <f t="shared" si="0"/>
        <v>100</v>
      </c>
    </row>
    <row r="14" spans="1:11" ht="21" customHeight="1">
      <c r="A14" s="47">
        <v>40009013</v>
      </c>
      <c r="B14" s="48">
        <v>0</v>
      </c>
      <c r="C14" s="48">
        <v>2</v>
      </c>
      <c r="D14" s="48">
        <v>100</v>
      </c>
      <c r="E14" s="48">
        <v>50</v>
      </c>
      <c r="F14" s="48" t="s">
        <v>245</v>
      </c>
      <c r="G14" s="48">
        <v>1</v>
      </c>
      <c r="H14" s="48" t="s">
        <v>242</v>
      </c>
      <c r="I14" s="48" t="s">
        <v>242</v>
      </c>
      <c r="J14" s="48">
        <f t="shared" si="0"/>
        <v>100</v>
      </c>
    </row>
    <row r="15" spans="1:11" ht="21" customHeight="1">
      <c r="A15" s="47">
        <v>40009014</v>
      </c>
      <c r="B15" s="48">
        <v>0</v>
      </c>
      <c r="C15" s="48">
        <v>1</v>
      </c>
      <c r="D15" s="48">
        <v>100</v>
      </c>
      <c r="E15" s="48">
        <v>50</v>
      </c>
      <c r="F15" s="48" t="s">
        <v>245</v>
      </c>
      <c r="G15" s="48">
        <v>1</v>
      </c>
      <c r="H15" s="48" t="s">
        <v>242</v>
      </c>
      <c r="I15" s="48" t="s">
        <v>242</v>
      </c>
      <c r="J15" s="48">
        <f t="shared" si="0"/>
        <v>100</v>
      </c>
    </row>
    <row r="16" spans="1:11" ht="21" customHeight="1">
      <c r="A16" s="47">
        <v>40009015</v>
      </c>
      <c r="B16" s="48">
        <v>1</v>
      </c>
      <c r="C16" s="48" t="s">
        <v>241</v>
      </c>
      <c r="D16" s="48">
        <v>100</v>
      </c>
      <c r="E16" s="48" t="s">
        <v>246</v>
      </c>
      <c r="F16" s="48" t="s">
        <v>242</v>
      </c>
      <c r="G16" s="48">
        <v>1</v>
      </c>
      <c r="H16" s="48" t="s">
        <v>241</v>
      </c>
      <c r="I16" s="48" t="s">
        <v>241</v>
      </c>
      <c r="J16" s="48">
        <f t="shared" si="0"/>
        <v>100</v>
      </c>
    </row>
    <row r="17" spans="1:10" ht="21" customHeight="1">
      <c r="A17" s="47">
        <v>40009016</v>
      </c>
      <c r="B17" s="48">
        <v>0</v>
      </c>
      <c r="C17" s="48">
        <v>2</v>
      </c>
      <c r="D17" s="48">
        <v>100</v>
      </c>
      <c r="E17" s="48" t="s">
        <v>246</v>
      </c>
      <c r="F17" s="48">
        <v>31</v>
      </c>
      <c r="G17" s="48" t="s">
        <v>247</v>
      </c>
      <c r="H17" s="48">
        <v>2</v>
      </c>
      <c r="I17" s="48" t="s">
        <v>241</v>
      </c>
      <c r="J17" s="48">
        <f t="shared" si="0"/>
        <v>100</v>
      </c>
    </row>
    <row r="18" spans="1:10" ht="21" customHeight="1">
      <c r="A18" s="47">
        <v>40009017</v>
      </c>
      <c r="B18" s="48">
        <v>0</v>
      </c>
      <c r="C18" s="48">
        <v>3</v>
      </c>
      <c r="D18" s="48">
        <v>100</v>
      </c>
      <c r="E18" s="48">
        <v>30</v>
      </c>
      <c r="F18" s="48" t="s">
        <v>240</v>
      </c>
      <c r="G18" s="48">
        <v>1</v>
      </c>
      <c r="H18" s="48" t="s">
        <v>241</v>
      </c>
      <c r="I18" s="48" t="s">
        <v>242</v>
      </c>
      <c r="J18" s="48">
        <f t="shared" si="0"/>
        <v>100</v>
      </c>
    </row>
    <row r="19" spans="1:10" ht="21" customHeight="1">
      <c r="A19" s="47">
        <v>40009018</v>
      </c>
      <c r="B19" s="48">
        <v>1</v>
      </c>
      <c r="C19" s="48" t="s">
        <v>241</v>
      </c>
      <c r="D19" s="48">
        <v>100</v>
      </c>
      <c r="E19" s="48" t="s">
        <v>241</v>
      </c>
      <c r="F19" s="48" t="s">
        <v>241</v>
      </c>
      <c r="G19" s="48">
        <v>1</v>
      </c>
      <c r="H19" s="48" t="s">
        <v>242</v>
      </c>
      <c r="I19" s="48" t="s">
        <v>242</v>
      </c>
      <c r="J19" s="48">
        <f t="shared" si="0"/>
        <v>100</v>
      </c>
    </row>
    <row r="20" spans="1:10" ht="21" customHeight="1">
      <c r="A20" s="47">
        <v>40009019</v>
      </c>
      <c r="B20" s="48">
        <v>0</v>
      </c>
      <c r="C20" s="48" t="s">
        <v>242</v>
      </c>
      <c r="D20" s="48">
        <v>40</v>
      </c>
      <c r="E20" s="48" t="s">
        <v>241</v>
      </c>
      <c r="F20" s="48" t="s">
        <v>241</v>
      </c>
      <c r="G20" s="48">
        <v>2</v>
      </c>
      <c r="H20" s="48" t="s">
        <v>242</v>
      </c>
      <c r="I20" s="48" t="s">
        <v>242</v>
      </c>
      <c r="J20" s="48">
        <f t="shared" si="0"/>
        <v>40</v>
      </c>
    </row>
    <row r="21" spans="1:10" ht="21" customHeight="1">
      <c r="A21" s="47">
        <v>40009020</v>
      </c>
      <c r="B21" s="48">
        <v>0</v>
      </c>
      <c r="C21" s="48">
        <v>3</v>
      </c>
      <c r="D21" s="48">
        <v>100</v>
      </c>
      <c r="E21" s="48">
        <v>50</v>
      </c>
      <c r="F21" s="48" t="s">
        <v>242</v>
      </c>
      <c r="G21" s="48">
        <v>1</v>
      </c>
      <c r="H21" s="48" t="s">
        <v>241</v>
      </c>
      <c r="I21" s="48" t="s">
        <v>242</v>
      </c>
      <c r="J21" s="48">
        <f t="shared" si="0"/>
        <v>100</v>
      </c>
    </row>
    <row r="22" spans="1:10" ht="21" customHeight="1">
      <c r="A22" s="47">
        <v>40009021</v>
      </c>
      <c r="B22" s="48">
        <v>0</v>
      </c>
      <c r="C22" s="48">
        <v>2</v>
      </c>
      <c r="D22" s="48">
        <v>100</v>
      </c>
      <c r="E22" s="48">
        <v>50</v>
      </c>
      <c r="F22" s="48" t="s">
        <v>242</v>
      </c>
      <c r="G22" s="48">
        <v>1</v>
      </c>
      <c r="H22" s="48" t="s">
        <v>241</v>
      </c>
      <c r="I22" s="48" t="s">
        <v>242</v>
      </c>
      <c r="J22" s="48">
        <f t="shared" si="0"/>
        <v>100</v>
      </c>
    </row>
    <row r="23" spans="1:10" ht="21" customHeight="1">
      <c r="A23" s="47">
        <v>40009022</v>
      </c>
      <c r="B23" s="48">
        <v>0</v>
      </c>
      <c r="C23" s="48">
        <v>1</v>
      </c>
      <c r="D23" s="48">
        <v>100</v>
      </c>
      <c r="E23" s="48">
        <v>30</v>
      </c>
      <c r="F23" s="48" t="s">
        <v>241</v>
      </c>
      <c r="G23" s="48">
        <v>1</v>
      </c>
      <c r="H23" s="48" t="s">
        <v>241</v>
      </c>
      <c r="I23" s="48" t="s">
        <v>241</v>
      </c>
      <c r="J23" s="48">
        <f t="shared" si="0"/>
        <v>100</v>
      </c>
    </row>
    <row r="24" spans="1:10" ht="21" customHeight="1">
      <c r="A24" s="47">
        <v>40009023</v>
      </c>
      <c r="B24" s="48">
        <v>1</v>
      </c>
      <c r="C24" s="48" t="s">
        <v>248</v>
      </c>
      <c r="D24" s="48">
        <v>100</v>
      </c>
      <c r="E24" s="48" t="s">
        <v>241</v>
      </c>
      <c r="F24" s="48" t="s">
        <v>241</v>
      </c>
      <c r="G24" s="48">
        <v>1</v>
      </c>
      <c r="H24" s="48" t="s">
        <v>241</v>
      </c>
      <c r="I24" s="48" t="s">
        <v>242</v>
      </c>
      <c r="J24" s="48">
        <f t="shared" si="0"/>
        <v>100</v>
      </c>
    </row>
    <row r="25" spans="1:10" ht="21" customHeight="1">
      <c r="A25" s="47">
        <v>40009024</v>
      </c>
      <c r="B25" s="48">
        <v>0</v>
      </c>
      <c r="C25" s="48">
        <v>4</v>
      </c>
      <c r="D25" s="48">
        <v>100</v>
      </c>
      <c r="E25" s="48">
        <v>70</v>
      </c>
      <c r="F25" s="48" t="s">
        <v>241</v>
      </c>
      <c r="G25" s="48">
        <v>1</v>
      </c>
      <c r="H25" s="48">
        <v>1</v>
      </c>
      <c r="I25" s="48" t="s">
        <v>242</v>
      </c>
      <c r="J25" s="48">
        <f t="shared" si="0"/>
        <v>100</v>
      </c>
    </row>
    <row r="26" spans="1:10" ht="21" customHeight="1">
      <c r="A26" s="47">
        <v>40009025</v>
      </c>
      <c r="B26" s="48">
        <v>0</v>
      </c>
      <c r="C26" s="48">
        <v>3</v>
      </c>
      <c r="D26" s="48">
        <v>100</v>
      </c>
      <c r="E26" s="48">
        <v>70</v>
      </c>
      <c r="F26" s="48" t="s">
        <v>241</v>
      </c>
      <c r="G26" s="48">
        <v>1</v>
      </c>
      <c r="H26" s="48">
        <v>1</v>
      </c>
      <c r="I26" s="48" t="s">
        <v>242</v>
      </c>
      <c r="J26" s="48">
        <f t="shared" si="0"/>
        <v>100</v>
      </c>
    </row>
    <row r="27" spans="1:10" ht="21" customHeight="1">
      <c r="A27" s="47">
        <v>40009026</v>
      </c>
      <c r="B27" s="48">
        <v>0</v>
      </c>
      <c r="C27" s="48">
        <v>2</v>
      </c>
      <c r="D27" s="48">
        <v>100</v>
      </c>
      <c r="E27" s="48">
        <v>70</v>
      </c>
      <c r="F27" s="48" t="s">
        <v>241</v>
      </c>
      <c r="G27" s="48">
        <v>1</v>
      </c>
      <c r="H27" s="48">
        <v>1</v>
      </c>
      <c r="I27" s="48" t="s">
        <v>242</v>
      </c>
      <c r="J27" s="48">
        <f t="shared" si="0"/>
        <v>100</v>
      </c>
    </row>
    <row r="28" spans="1:10" ht="21" customHeight="1">
      <c r="A28" s="47">
        <v>40009027</v>
      </c>
      <c r="B28" s="48">
        <v>0</v>
      </c>
      <c r="C28" s="48" t="s">
        <v>242</v>
      </c>
      <c r="D28" s="48">
        <v>100</v>
      </c>
      <c r="E28" s="48" t="s">
        <v>241</v>
      </c>
      <c r="F28" s="48" t="s">
        <v>242</v>
      </c>
      <c r="G28" s="48" t="s">
        <v>241</v>
      </c>
      <c r="H28" s="48">
        <v>2</v>
      </c>
      <c r="I28" s="48" t="s">
        <v>242</v>
      </c>
      <c r="J28" s="48">
        <f t="shared" si="0"/>
        <v>100</v>
      </c>
    </row>
    <row r="29" spans="1:10" ht="21" customHeight="1">
      <c r="A29" s="47">
        <v>40009028</v>
      </c>
      <c r="B29" s="48">
        <v>0</v>
      </c>
      <c r="C29" s="48">
        <v>1</v>
      </c>
      <c r="D29" s="48">
        <v>100</v>
      </c>
      <c r="E29" s="48" t="s">
        <v>241</v>
      </c>
      <c r="F29" s="48" t="s">
        <v>242</v>
      </c>
      <c r="G29" s="48">
        <v>2</v>
      </c>
      <c r="H29" s="48">
        <v>3</v>
      </c>
      <c r="I29" s="48" t="s">
        <v>241</v>
      </c>
      <c r="J29" s="48">
        <f t="shared" si="0"/>
        <v>100</v>
      </c>
    </row>
    <row r="30" spans="1:10" ht="21" customHeight="1">
      <c r="A30" s="47">
        <v>40009029</v>
      </c>
      <c r="B30" s="48">
        <v>1</v>
      </c>
      <c r="C30" s="48" t="s">
        <v>249</v>
      </c>
      <c r="D30" s="48">
        <v>100</v>
      </c>
      <c r="E30" s="48" t="s">
        <v>242</v>
      </c>
      <c r="F30" s="48" t="s">
        <v>242</v>
      </c>
      <c r="G30" s="48">
        <v>1</v>
      </c>
      <c r="H30" s="48" t="s">
        <v>249</v>
      </c>
      <c r="I30" s="48" t="s">
        <v>242</v>
      </c>
      <c r="J30" s="48">
        <f t="shared" si="0"/>
        <v>100</v>
      </c>
    </row>
    <row r="31" spans="1:10" ht="21" customHeight="1">
      <c r="A31" s="47">
        <v>40009030</v>
      </c>
      <c r="B31" s="48">
        <v>0</v>
      </c>
      <c r="C31" s="48" t="s">
        <v>242</v>
      </c>
      <c r="D31" s="48">
        <v>100</v>
      </c>
      <c r="E31" s="48" t="s">
        <v>242</v>
      </c>
      <c r="F31" s="48" t="s">
        <v>241</v>
      </c>
      <c r="G31" s="48" t="s">
        <v>241</v>
      </c>
      <c r="H31" s="48">
        <v>2</v>
      </c>
      <c r="I31" s="48" t="s">
        <v>250</v>
      </c>
      <c r="J31" s="48">
        <f t="shared" si="0"/>
        <v>100</v>
      </c>
    </row>
    <row r="32" spans="1:10" ht="21" customHeight="1">
      <c r="A32" s="47">
        <v>40009031</v>
      </c>
      <c r="B32" s="48">
        <v>0</v>
      </c>
      <c r="C32" s="48">
        <v>2</v>
      </c>
      <c r="D32" s="48">
        <v>100</v>
      </c>
      <c r="E32" s="48">
        <v>60</v>
      </c>
      <c r="F32" s="48" t="s">
        <v>241</v>
      </c>
      <c r="G32" s="48">
        <v>1</v>
      </c>
      <c r="H32" s="48" t="s">
        <v>242</v>
      </c>
      <c r="I32" s="48" t="s">
        <v>241</v>
      </c>
      <c r="J32" s="48">
        <f t="shared" si="0"/>
        <v>100</v>
      </c>
    </row>
    <row r="33" spans="1:10" ht="21" customHeight="1">
      <c r="A33" s="47">
        <v>40009032</v>
      </c>
      <c r="B33" s="48">
        <v>0</v>
      </c>
      <c r="C33" s="48">
        <v>1</v>
      </c>
      <c r="D33" s="48">
        <v>100</v>
      </c>
      <c r="E33" s="48">
        <v>40</v>
      </c>
      <c r="F33" s="48" t="s">
        <v>241</v>
      </c>
      <c r="G33" s="48">
        <v>1</v>
      </c>
      <c r="H33" s="48" t="s">
        <v>242</v>
      </c>
      <c r="I33" s="48" t="s">
        <v>241</v>
      </c>
      <c r="J33" s="48">
        <f t="shared" si="0"/>
        <v>100</v>
      </c>
    </row>
    <row r="34" spans="1:10" ht="21" customHeight="1">
      <c r="A34" s="47">
        <v>40009033</v>
      </c>
      <c r="B34" s="48">
        <v>1</v>
      </c>
      <c r="C34" s="48" t="s">
        <v>241</v>
      </c>
      <c r="D34" s="48">
        <v>100</v>
      </c>
      <c r="E34" s="48" t="s">
        <v>242</v>
      </c>
      <c r="F34" s="48" t="s">
        <v>241</v>
      </c>
      <c r="G34" s="48">
        <v>1</v>
      </c>
      <c r="H34" s="48" t="s">
        <v>241</v>
      </c>
      <c r="I34" s="48" t="s">
        <v>242</v>
      </c>
      <c r="J34" s="48">
        <f t="shared" si="0"/>
        <v>100</v>
      </c>
    </row>
    <row r="35" spans="1:10" ht="21" customHeight="1">
      <c r="A35" s="47">
        <v>40009034</v>
      </c>
      <c r="B35" s="48">
        <v>0</v>
      </c>
      <c r="C35" s="48" t="s">
        <v>242</v>
      </c>
      <c r="D35" s="48">
        <v>75</v>
      </c>
      <c r="E35" s="48" t="s">
        <v>241</v>
      </c>
      <c r="F35" s="48" t="s">
        <v>241</v>
      </c>
      <c r="G35" s="48">
        <v>5</v>
      </c>
      <c r="H35" s="48" t="s">
        <v>241</v>
      </c>
      <c r="I35" s="48" t="s">
        <v>242</v>
      </c>
      <c r="J35" s="48">
        <f t="shared" si="0"/>
        <v>75</v>
      </c>
    </row>
    <row r="36" spans="1:10" ht="21" customHeight="1">
      <c r="A36" s="47">
        <v>40009035</v>
      </c>
      <c r="B36" s="48">
        <v>0</v>
      </c>
      <c r="C36" s="48">
        <v>1</v>
      </c>
      <c r="D36" s="48">
        <v>45</v>
      </c>
      <c r="E36" s="48" t="s">
        <v>241</v>
      </c>
      <c r="F36" s="48" t="s">
        <v>251</v>
      </c>
      <c r="G36" s="48" t="s">
        <v>252</v>
      </c>
      <c r="H36" s="48" t="s">
        <v>242</v>
      </c>
      <c r="I36" s="48" t="s">
        <v>242</v>
      </c>
      <c r="J36" s="48">
        <f t="shared" si="0"/>
        <v>45</v>
      </c>
    </row>
    <row r="37" spans="1:10" ht="21" customHeight="1">
      <c r="A37" s="47">
        <v>40009036</v>
      </c>
      <c r="B37" s="48">
        <v>0</v>
      </c>
      <c r="C37" s="48">
        <v>3</v>
      </c>
      <c r="D37" s="48">
        <v>100</v>
      </c>
      <c r="E37" s="48">
        <v>40</v>
      </c>
      <c r="F37" s="48" t="s">
        <v>253</v>
      </c>
      <c r="G37" s="48">
        <v>1</v>
      </c>
      <c r="H37" s="48" t="s">
        <v>253</v>
      </c>
      <c r="I37" s="48" t="s">
        <v>242</v>
      </c>
      <c r="J37" s="48">
        <f t="shared" si="0"/>
        <v>100</v>
      </c>
    </row>
    <row r="38" spans="1:10" ht="21" customHeight="1">
      <c r="A38" s="47">
        <v>40009037</v>
      </c>
      <c r="B38" s="48">
        <v>1</v>
      </c>
      <c r="C38" s="48" t="s">
        <v>241</v>
      </c>
      <c r="D38" s="48">
        <v>100</v>
      </c>
      <c r="E38" s="48" t="s">
        <v>241</v>
      </c>
      <c r="F38" s="48" t="s">
        <v>241</v>
      </c>
      <c r="G38" s="48">
        <v>1</v>
      </c>
      <c r="H38" s="48" t="s">
        <v>242</v>
      </c>
      <c r="I38" s="48" t="s">
        <v>242</v>
      </c>
      <c r="J38" s="48">
        <f t="shared" si="0"/>
        <v>100</v>
      </c>
    </row>
    <row r="39" spans="1:10" ht="21" customHeight="1">
      <c r="A39" s="47">
        <v>40009038</v>
      </c>
      <c r="B39" s="48">
        <v>0</v>
      </c>
      <c r="C39" s="48">
        <v>4</v>
      </c>
      <c r="D39" s="48">
        <v>100</v>
      </c>
      <c r="E39" s="48" t="s">
        <v>241</v>
      </c>
      <c r="F39" s="48" t="s">
        <v>241</v>
      </c>
      <c r="G39" s="48">
        <v>1</v>
      </c>
      <c r="H39" s="48" t="s">
        <v>242</v>
      </c>
      <c r="I39" s="48" t="s">
        <v>242</v>
      </c>
      <c r="J39" s="48">
        <f t="shared" si="0"/>
        <v>100</v>
      </c>
    </row>
    <row r="40" spans="1:10" ht="21" customHeight="1">
      <c r="A40" s="47">
        <v>40009039</v>
      </c>
      <c r="B40" s="48">
        <v>0</v>
      </c>
      <c r="C40" s="48">
        <v>3</v>
      </c>
      <c r="D40" s="48">
        <v>100</v>
      </c>
      <c r="E40" s="48" t="s">
        <v>241</v>
      </c>
      <c r="F40" s="48" t="s">
        <v>241</v>
      </c>
      <c r="G40" s="48">
        <v>1</v>
      </c>
      <c r="H40" s="48" t="s">
        <v>242</v>
      </c>
      <c r="I40" s="48" t="s">
        <v>242</v>
      </c>
      <c r="J40" s="48">
        <f t="shared" si="0"/>
        <v>100</v>
      </c>
    </row>
    <row r="41" spans="1:10" ht="21" customHeight="1">
      <c r="A41" s="47">
        <v>40009040</v>
      </c>
      <c r="B41" s="48">
        <v>0</v>
      </c>
      <c r="C41" s="48">
        <v>2</v>
      </c>
      <c r="D41" s="48">
        <v>100</v>
      </c>
      <c r="E41" s="48" t="s">
        <v>241</v>
      </c>
      <c r="F41" s="48" t="s">
        <v>241</v>
      </c>
      <c r="G41" s="48">
        <v>1</v>
      </c>
      <c r="H41" s="48" t="s">
        <v>242</v>
      </c>
      <c r="I41" s="48" t="s">
        <v>242</v>
      </c>
      <c r="J41" s="48">
        <f t="shared" si="0"/>
        <v>100</v>
      </c>
    </row>
    <row r="42" spans="1:10" ht="21" customHeight="1">
      <c r="A42" s="47">
        <v>40009041</v>
      </c>
      <c r="B42" s="48">
        <v>0</v>
      </c>
      <c r="C42" s="48">
        <v>1</v>
      </c>
      <c r="D42" s="48">
        <v>100</v>
      </c>
      <c r="E42" s="48" t="s">
        <v>241</v>
      </c>
      <c r="F42" s="48" t="s">
        <v>241</v>
      </c>
      <c r="G42" s="48">
        <v>1</v>
      </c>
      <c r="H42" s="48" t="s">
        <v>242</v>
      </c>
      <c r="I42" s="48" t="s">
        <v>242</v>
      </c>
      <c r="J42" s="48">
        <f t="shared" si="0"/>
        <v>100</v>
      </c>
    </row>
    <row r="43" spans="1:10" ht="21" customHeight="1">
      <c r="A43" s="47">
        <v>40009042</v>
      </c>
      <c r="B43" s="48">
        <v>0</v>
      </c>
      <c r="C43" s="48">
        <v>4</v>
      </c>
      <c r="D43" s="48">
        <v>25</v>
      </c>
      <c r="E43" s="48">
        <v>60</v>
      </c>
      <c r="F43" s="48" t="s">
        <v>242</v>
      </c>
      <c r="G43" s="48" t="s">
        <v>242</v>
      </c>
      <c r="H43" s="48" t="s">
        <v>242</v>
      </c>
      <c r="I43" s="48" t="s">
        <v>242</v>
      </c>
      <c r="J43" s="48">
        <f t="shared" si="0"/>
        <v>25</v>
      </c>
    </row>
    <row r="44" spans="1:10" ht="21" customHeight="1">
      <c r="A44" s="47">
        <v>40009043</v>
      </c>
      <c r="B44" s="48">
        <v>0</v>
      </c>
      <c r="C44" s="48">
        <v>3</v>
      </c>
      <c r="D44" s="48">
        <v>33</v>
      </c>
      <c r="E44" s="48">
        <v>60</v>
      </c>
      <c r="F44" s="48" t="s">
        <v>254</v>
      </c>
      <c r="G44" s="48" t="s">
        <v>249</v>
      </c>
      <c r="H44" s="48" t="s">
        <v>242</v>
      </c>
      <c r="I44" s="48" t="s">
        <v>242</v>
      </c>
      <c r="J44" s="48">
        <f t="shared" si="0"/>
        <v>33</v>
      </c>
    </row>
    <row r="45" spans="1:10" ht="21" customHeight="1">
      <c r="A45" s="47">
        <v>40009044</v>
      </c>
      <c r="B45" s="48">
        <v>0</v>
      </c>
      <c r="C45" s="48">
        <v>2</v>
      </c>
      <c r="D45" s="48">
        <v>50</v>
      </c>
      <c r="E45" s="48">
        <v>60</v>
      </c>
      <c r="F45" s="48" t="s">
        <v>242</v>
      </c>
      <c r="G45" s="48" t="s">
        <v>242</v>
      </c>
      <c r="H45" s="48" t="s">
        <v>241</v>
      </c>
      <c r="I45" s="48" t="s">
        <v>256</v>
      </c>
      <c r="J45" s="48">
        <f t="shared" si="0"/>
        <v>50</v>
      </c>
    </row>
    <row r="46" spans="1:10" ht="21" customHeight="1">
      <c r="A46" s="47">
        <v>40009045</v>
      </c>
      <c r="B46" s="48">
        <v>0</v>
      </c>
      <c r="C46" s="48">
        <v>1</v>
      </c>
      <c r="D46" s="48">
        <v>100</v>
      </c>
      <c r="E46" s="48">
        <v>60</v>
      </c>
      <c r="F46" s="48" t="s">
        <v>255</v>
      </c>
      <c r="G46" s="48" t="s">
        <v>242</v>
      </c>
      <c r="H46" s="48" t="s">
        <v>242</v>
      </c>
      <c r="I46" s="48" t="s">
        <v>242</v>
      </c>
      <c r="J46" s="48">
        <f t="shared" si="0"/>
        <v>100</v>
      </c>
    </row>
    <row r="47" spans="1:10" ht="21" customHeight="1">
      <c r="A47" s="47">
        <v>40009046</v>
      </c>
      <c r="B47" s="48">
        <v>0</v>
      </c>
      <c r="C47" s="48">
        <v>2</v>
      </c>
      <c r="D47" s="48">
        <v>100</v>
      </c>
      <c r="E47" s="48" t="s">
        <v>312</v>
      </c>
      <c r="F47" s="48" t="s">
        <v>255</v>
      </c>
      <c r="G47" s="48">
        <v>1</v>
      </c>
      <c r="H47" s="48">
        <v>1</v>
      </c>
      <c r="I47" s="48" t="s">
        <v>242</v>
      </c>
      <c r="J47" s="48">
        <f t="shared" ref="J47" si="1">D47</f>
        <v>100</v>
      </c>
    </row>
  </sheetData>
  <autoFilter ref="A1:G1"/>
  <phoneticPr fontId="5"/>
  <conditionalFormatting sqref="K1:K46 K48:K1048576">
    <cfRule type="duplicateValues" dxfId="1" priority="2"/>
  </conditionalFormatting>
  <conditionalFormatting sqref="K4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I39" sqref="I39"/>
    </sheetView>
  </sheetViews>
  <sheetFormatPr baseColWidth="12" defaultRowHeight="18" x14ac:dyDescent="0"/>
  <cols>
    <col min="17" max="18" width="19" bestFit="1" customWidth="1"/>
  </cols>
  <sheetData>
    <row r="1" spans="1:18">
      <c r="A1" s="65" t="s">
        <v>150</v>
      </c>
      <c r="B1" s="65" t="s">
        <v>151</v>
      </c>
      <c r="C1" s="66" t="s">
        <v>152</v>
      </c>
      <c r="D1" s="72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>
      <c r="A2" s="98">
        <v>40009</v>
      </c>
      <c r="B2" s="98">
        <v>1</v>
      </c>
      <c r="C2" s="99" t="str">
        <f t="shared" ref="C2:C11" si="0">A2&amp; "_"&amp;B2</f>
        <v>40009_1</v>
      </c>
      <c r="D2" s="99" t="str">
        <f>VLOOKUP(C2,[2]stages!$A:$AE,31,FALSE)</f>
        <v>everyone</v>
      </c>
      <c r="E2" s="98">
        <v>1</v>
      </c>
      <c r="F2" s="98" t="s">
        <v>168</v>
      </c>
      <c r="G2" s="98">
        <v>40000</v>
      </c>
      <c r="H2" s="98" t="s">
        <v>89</v>
      </c>
      <c r="I2" s="98">
        <v>1</v>
      </c>
      <c r="J2" s="98">
        <v>1</v>
      </c>
      <c r="K2" s="98">
        <v>0</v>
      </c>
      <c r="L2" s="98">
        <v>0</v>
      </c>
      <c r="M2" s="98">
        <v>0</v>
      </c>
      <c r="N2" s="98">
        <v>0</v>
      </c>
      <c r="O2" s="98">
        <v>1</v>
      </c>
      <c r="P2" s="98">
        <v>150</v>
      </c>
      <c r="Q2" s="98" t="s">
        <v>169</v>
      </c>
      <c r="R2" s="98" t="s">
        <v>170</v>
      </c>
    </row>
    <row r="3" spans="1:18">
      <c r="A3" s="98">
        <v>40009</v>
      </c>
      <c r="B3" s="98">
        <v>1</v>
      </c>
      <c r="C3" s="99" t="str">
        <f t="shared" si="0"/>
        <v>40009_1</v>
      </c>
      <c r="D3" s="99" t="str">
        <f>VLOOKUP(C3,[2]stages!$A:$AE,31,FALSE)</f>
        <v>everyone</v>
      </c>
      <c r="E3" s="98">
        <v>2</v>
      </c>
      <c r="F3" s="98" t="s">
        <v>215</v>
      </c>
      <c r="G3" s="98">
        <v>30</v>
      </c>
      <c r="H3" s="98" t="s">
        <v>216</v>
      </c>
      <c r="I3" s="98">
        <v>1</v>
      </c>
      <c r="J3" s="98">
        <v>1</v>
      </c>
      <c r="K3" s="98">
        <v>0</v>
      </c>
      <c r="L3" s="98">
        <v>0</v>
      </c>
      <c r="M3" s="98">
        <v>0</v>
      </c>
      <c r="N3" s="98">
        <v>0</v>
      </c>
      <c r="O3" s="98">
        <v>1</v>
      </c>
      <c r="P3" s="98">
        <v>150</v>
      </c>
      <c r="Q3" s="98" t="s">
        <v>169</v>
      </c>
      <c r="R3" s="98" t="s">
        <v>170</v>
      </c>
    </row>
    <row r="4" spans="1:18">
      <c r="A4" s="98">
        <v>40009</v>
      </c>
      <c r="B4" s="98">
        <v>1</v>
      </c>
      <c r="C4" s="99" t="str">
        <f t="shared" si="0"/>
        <v>40009_1</v>
      </c>
      <c r="D4" s="99" t="str">
        <f>VLOOKUP(C4,[2]stages!$A:$AE,31,FALSE)</f>
        <v>everyone</v>
      </c>
      <c r="E4" s="98">
        <v>3</v>
      </c>
      <c r="F4" s="98" t="s">
        <v>217</v>
      </c>
      <c r="G4" s="98">
        <v>341</v>
      </c>
      <c r="H4" s="98">
        <v>1</v>
      </c>
      <c r="I4" s="98">
        <v>1</v>
      </c>
      <c r="J4" s="98">
        <v>1</v>
      </c>
      <c r="K4" s="98">
        <v>0</v>
      </c>
      <c r="L4" s="98">
        <v>0</v>
      </c>
      <c r="M4" s="98">
        <v>0</v>
      </c>
      <c r="N4" s="98">
        <v>0</v>
      </c>
      <c r="O4" s="98">
        <v>1</v>
      </c>
      <c r="P4" s="98">
        <v>28</v>
      </c>
      <c r="Q4" s="98" t="s">
        <v>169</v>
      </c>
      <c r="R4" s="98" t="s">
        <v>170</v>
      </c>
    </row>
    <row r="5" spans="1:18">
      <c r="A5" s="98">
        <v>40009</v>
      </c>
      <c r="B5" s="98">
        <v>1</v>
      </c>
      <c r="C5" s="99" t="str">
        <f t="shared" si="0"/>
        <v>40009_1</v>
      </c>
      <c r="D5" s="99" t="str">
        <f>VLOOKUP(C5,[2]stages!$A:$AE,31,FALSE)</f>
        <v>everyone</v>
      </c>
      <c r="E5" s="98">
        <v>4</v>
      </c>
      <c r="F5" s="98" t="s">
        <v>217</v>
      </c>
      <c r="G5" s="98">
        <v>342</v>
      </c>
      <c r="H5" s="98">
        <v>1</v>
      </c>
      <c r="I5" s="98">
        <v>1</v>
      </c>
      <c r="J5" s="98">
        <v>1</v>
      </c>
      <c r="K5" s="98">
        <v>0</v>
      </c>
      <c r="L5" s="98">
        <v>0</v>
      </c>
      <c r="M5" s="98">
        <v>0</v>
      </c>
      <c r="N5" s="98">
        <v>0</v>
      </c>
      <c r="O5" s="98">
        <v>1</v>
      </c>
      <c r="P5" s="98">
        <v>112</v>
      </c>
      <c r="Q5" s="98" t="s">
        <v>169</v>
      </c>
      <c r="R5" s="98" t="s">
        <v>170</v>
      </c>
    </row>
    <row r="6" spans="1:18">
      <c r="A6" s="98">
        <v>40009</v>
      </c>
      <c r="B6" s="98">
        <v>1</v>
      </c>
      <c r="C6" s="99" t="str">
        <f t="shared" si="0"/>
        <v>40009_1</v>
      </c>
      <c r="D6" s="99" t="str">
        <f>VLOOKUP(C6,[2]stages!$A:$AE,31,FALSE)</f>
        <v>everyone</v>
      </c>
      <c r="E6" s="98">
        <v>5</v>
      </c>
      <c r="F6" s="98" t="s">
        <v>217</v>
      </c>
      <c r="G6" s="98">
        <v>121</v>
      </c>
      <c r="H6" s="98">
        <v>1</v>
      </c>
      <c r="I6" s="98">
        <v>1</v>
      </c>
      <c r="J6" s="98">
        <v>1</v>
      </c>
      <c r="K6" s="98">
        <v>0</v>
      </c>
      <c r="L6" s="98">
        <v>0</v>
      </c>
      <c r="M6" s="98">
        <v>0</v>
      </c>
      <c r="N6" s="98">
        <v>0</v>
      </c>
      <c r="O6" s="98">
        <v>1</v>
      </c>
      <c r="P6" s="98">
        <v>50</v>
      </c>
      <c r="Q6" s="98" t="s">
        <v>169</v>
      </c>
      <c r="R6" s="98" t="s">
        <v>170</v>
      </c>
    </row>
    <row r="7" spans="1:18">
      <c r="A7" s="98">
        <v>40009</v>
      </c>
      <c r="B7" s="98">
        <v>1</v>
      </c>
      <c r="C7" s="99" t="str">
        <f t="shared" si="0"/>
        <v>40009_1</v>
      </c>
      <c r="D7" s="99" t="str">
        <f>VLOOKUP(C7,[2]stages!$A:$AE,31,FALSE)</f>
        <v>everyone</v>
      </c>
      <c r="E7" s="98">
        <v>6</v>
      </c>
      <c r="F7" s="98" t="s">
        <v>217</v>
      </c>
      <c r="G7" s="98">
        <v>122</v>
      </c>
      <c r="H7" s="98">
        <v>1</v>
      </c>
      <c r="I7" s="98">
        <v>1</v>
      </c>
      <c r="J7" s="98">
        <v>1</v>
      </c>
      <c r="K7" s="98">
        <v>0</v>
      </c>
      <c r="L7" s="98">
        <v>0</v>
      </c>
      <c r="M7" s="98">
        <v>0</v>
      </c>
      <c r="N7" s="98">
        <v>0</v>
      </c>
      <c r="O7" s="98">
        <v>1</v>
      </c>
      <c r="P7" s="98">
        <v>50</v>
      </c>
      <c r="Q7" s="98" t="s">
        <v>169</v>
      </c>
      <c r="R7" s="98" t="s">
        <v>170</v>
      </c>
    </row>
    <row r="8" spans="1:18">
      <c r="A8" s="98">
        <v>40009</v>
      </c>
      <c r="B8" s="98">
        <v>1</v>
      </c>
      <c r="C8" s="99" t="str">
        <f t="shared" si="0"/>
        <v>40009_1</v>
      </c>
      <c r="D8" s="99" t="str">
        <f>VLOOKUP(C8,[2]stages!$A:$AE,31,FALSE)</f>
        <v>everyone</v>
      </c>
      <c r="E8" s="98">
        <v>7</v>
      </c>
      <c r="F8" s="98" t="s">
        <v>217</v>
      </c>
      <c r="G8" s="98">
        <v>123</v>
      </c>
      <c r="H8" s="98">
        <v>1</v>
      </c>
      <c r="I8" s="98">
        <v>1</v>
      </c>
      <c r="J8" s="98">
        <v>1</v>
      </c>
      <c r="K8" s="98">
        <v>0</v>
      </c>
      <c r="L8" s="98">
        <v>0</v>
      </c>
      <c r="M8" s="98">
        <v>0</v>
      </c>
      <c r="N8" s="98">
        <v>0</v>
      </c>
      <c r="O8" s="98">
        <v>1</v>
      </c>
      <c r="P8" s="98">
        <v>50</v>
      </c>
      <c r="Q8" s="98" t="s">
        <v>169</v>
      </c>
      <c r="R8" s="98" t="s">
        <v>170</v>
      </c>
    </row>
    <row r="9" spans="1:18">
      <c r="A9" s="98">
        <v>40009</v>
      </c>
      <c r="B9" s="98">
        <v>1</v>
      </c>
      <c r="C9" s="99" t="str">
        <f t="shared" si="0"/>
        <v>40009_1</v>
      </c>
      <c r="D9" s="99" t="str">
        <f>VLOOKUP(C9,[2]stages!$A:$AE,31,FALSE)</f>
        <v>everyone</v>
      </c>
      <c r="E9" s="98">
        <v>8</v>
      </c>
      <c r="F9" s="98" t="s">
        <v>217</v>
      </c>
      <c r="G9" s="98">
        <v>125</v>
      </c>
      <c r="H9" s="98">
        <v>1</v>
      </c>
      <c r="I9" s="98">
        <v>1</v>
      </c>
      <c r="J9" s="98">
        <v>1</v>
      </c>
      <c r="K9" s="98">
        <v>0</v>
      </c>
      <c r="L9" s="98">
        <v>0</v>
      </c>
      <c r="M9" s="98">
        <v>0</v>
      </c>
      <c r="N9" s="98">
        <v>0</v>
      </c>
      <c r="O9" s="98">
        <v>1</v>
      </c>
      <c r="P9" s="98">
        <v>10</v>
      </c>
      <c r="Q9" s="98" t="s">
        <v>169</v>
      </c>
      <c r="R9" s="98" t="s">
        <v>170</v>
      </c>
    </row>
    <row r="10" spans="1:18">
      <c r="A10" s="98">
        <v>40009</v>
      </c>
      <c r="B10" s="98">
        <v>1</v>
      </c>
      <c r="C10" s="99" t="str">
        <f t="shared" si="0"/>
        <v>40009_1</v>
      </c>
      <c r="D10" s="99" t="str">
        <f>VLOOKUP(C10,[2]stages!$A:$AE,31,FALSE)</f>
        <v>everyone</v>
      </c>
      <c r="E10" s="98">
        <v>9</v>
      </c>
      <c r="F10" s="98" t="s">
        <v>217</v>
      </c>
      <c r="G10" s="98">
        <v>581</v>
      </c>
      <c r="H10" s="98">
        <v>1</v>
      </c>
      <c r="I10" s="98">
        <v>1</v>
      </c>
      <c r="J10" s="98">
        <v>1</v>
      </c>
      <c r="K10" s="98">
        <v>0</v>
      </c>
      <c r="L10" s="98">
        <v>0</v>
      </c>
      <c r="M10" s="98">
        <v>0</v>
      </c>
      <c r="N10" s="98">
        <v>0</v>
      </c>
      <c r="O10" s="98">
        <v>1</v>
      </c>
      <c r="P10" s="98">
        <v>250</v>
      </c>
      <c r="Q10" s="98" t="s">
        <v>169</v>
      </c>
      <c r="R10" s="98" t="s">
        <v>170</v>
      </c>
    </row>
    <row r="11" spans="1:18">
      <c r="A11" s="98">
        <v>40009</v>
      </c>
      <c r="B11" s="98">
        <v>1</v>
      </c>
      <c r="C11" s="99" t="str">
        <f t="shared" si="0"/>
        <v>40009_1</v>
      </c>
      <c r="D11" s="99" t="str">
        <f>VLOOKUP(C11,[2]stages!$A:$AE,31,FALSE)</f>
        <v>everyone</v>
      </c>
      <c r="E11" s="98">
        <v>10</v>
      </c>
      <c r="F11" s="98" t="s">
        <v>217</v>
      </c>
      <c r="G11" s="98">
        <v>352</v>
      </c>
      <c r="H11" s="98">
        <v>1</v>
      </c>
      <c r="I11" s="98">
        <v>1</v>
      </c>
      <c r="J11" s="98">
        <v>1</v>
      </c>
      <c r="K11" s="98">
        <v>0</v>
      </c>
      <c r="L11" s="98">
        <v>0</v>
      </c>
      <c r="M11" s="98">
        <v>0</v>
      </c>
      <c r="N11" s="98">
        <v>0</v>
      </c>
      <c r="O11" s="98">
        <v>1</v>
      </c>
      <c r="P11" s="98">
        <v>150</v>
      </c>
      <c r="Q11" s="98" t="s">
        <v>169</v>
      </c>
      <c r="R11" s="98" t="s">
        <v>170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L20" sqref="L20"/>
    </sheetView>
  </sheetViews>
  <sheetFormatPr baseColWidth="12" defaultColWidth="13" defaultRowHeight="18" outlineLevelCol="1" x14ac:dyDescent="0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7" t="s">
        <v>187</v>
      </c>
      <c r="B1" s="73" t="s">
        <v>188</v>
      </c>
      <c r="C1" s="78" t="s">
        <v>189</v>
      </c>
      <c r="D1" s="78" t="s">
        <v>33</v>
      </c>
      <c r="E1" s="73" t="s">
        <v>190</v>
      </c>
      <c r="F1" s="78" t="s">
        <v>191</v>
      </c>
      <c r="G1" s="78" t="s">
        <v>33</v>
      </c>
      <c r="H1" s="73" t="s">
        <v>192</v>
      </c>
      <c r="I1" s="92" t="s">
        <v>194</v>
      </c>
      <c r="J1" s="80" t="s">
        <v>126</v>
      </c>
      <c r="K1" s="79" t="s">
        <v>186</v>
      </c>
      <c r="L1" s="93" t="s">
        <v>185</v>
      </c>
      <c r="M1" s="81" t="s">
        <v>195</v>
      </c>
    </row>
    <row r="2" spans="1:13">
      <c r="A2" s="82" t="s">
        <v>200</v>
      </c>
      <c r="B2" s="83">
        <f>floors!$C$2</f>
        <v>40009</v>
      </c>
      <c r="C2" s="84" t="str">
        <f ca="1">VLOOKUP($B2,OFFSET([2]quests!$A$1,0,0,COUNTA([2]quests!$A:$A),MATCH(C$1,[2]quests!$1:$1,0)-MATCH($B$1,[2]quests!$1:$1,0)+1),MATCH(C$1,[2]quests!$1:$1,0)-MATCH($B$1,[2]quests!$1:$1,0)+1,FALSE)</f>
        <v>フギンとムニン襲来！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降臨9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降臨9</v>
      </c>
      <c r="H2" s="86">
        <v>1</v>
      </c>
      <c r="I2">
        <v>12</v>
      </c>
      <c r="J2" s="85" t="s">
        <v>197</v>
      </c>
      <c r="K2" s="94" t="str">
        <f>VLOOKUP(I2,[7]stage_hints!$A:$C,3,FALSE)</f>
        <v>ユニットのお気に入り登録</v>
      </c>
      <c r="L2" s="95" t="str">
        <f>VLOOKUP(I2,[7]stage_hints!$A:$D,4,FALSE)</f>
        <v>大事なユニットを誤って消さないように_x000D_フォルダから「お気に入り登録」しましょう</v>
      </c>
      <c r="M2" s="57" t="s">
        <v>210</v>
      </c>
    </row>
    <row r="3" spans="1:13">
      <c r="A3" s="82" t="s">
        <v>200</v>
      </c>
      <c r="B3" s="83">
        <f>floors!$C$2</f>
        <v>40009</v>
      </c>
      <c r="C3" s="84" t="str">
        <f ca="1">VLOOKUP($B3,OFFSET([2]quests!$A$1,0,0,COUNTA([2]quests!$A:$A),MATCH(C$1,[2]quests!$1:$1,0)-MATCH($B$1,[2]quests!$1:$1,0)+1),MATCH(C$1,[2]quests!$1:$1,0)-MATCH($B$1,[2]quests!$1:$1,0)+1,FALSE)</f>
        <v>フギンとムニン襲来！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降臨9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降臨9</v>
      </c>
      <c r="H3" s="86">
        <v>1</v>
      </c>
      <c r="I3">
        <v>17</v>
      </c>
      <c r="J3" s="85" t="s">
        <v>197</v>
      </c>
      <c r="K3" s="94" t="str">
        <f>VLOOKUP(I3,[7]stage_hints!$A:$C,3,FALSE)</f>
        <v>リンクガチャ</v>
      </c>
      <c r="L3" s="95" t="str">
        <f>VLOOKUP(I3,[7]stage_hints!$A:$D,4,FALSE)</f>
        <v>無料のリンクガチャを回して_x000D_経験値素材や売却素材を獲得しましょう</v>
      </c>
      <c r="M3" s="57" t="s">
        <v>210</v>
      </c>
    </row>
    <row r="4" spans="1:13">
      <c r="A4" s="82" t="s">
        <v>200</v>
      </c>
      <c r="B4" s="83">
        <f>floors!$C$2</f>
        <v>40009</v>
      </c>
      <c r="C4" s="84" t="str">
        <f ca="1">VLOOKUP($B4,OFFSET([2]quests!$A$1,0,0,COUNTA([2]quests!$A:$A),MATCH(C$1,[2]quests!$1:$1,0)-MATCH($B$1,[2]quests!$1:$1,0)+1),MATCH(C$1,[2]quests!$1:$1,0)-MATCH($B$1,[2]quests!$1:$1,0)+1,FALSE)</f>
        <v>フギンとムニン襲来！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降臨9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降臨9</v>
      </c>
      <c r="H4" s="86">
        <v>1</v>
      </c>
      <c r="I4">
        <v>19</v>
      </c>
      <c r="J4" s="85" t="s">
        <v>197</v>
      </c>
      <c r="K4" s="94" t="str">
        <f>VLOOKUP(I4,[7]stage_hints!$A:$C,3,FALSE)</f>
        <v>ソロ専用チャレンジタワー</v>
      </c>
      <c r="L4" s="95" t="str">
        <f>VLOOKUP(I4,[7]stage_hints!$A:$D,4,FALSE)</f>
        <v>ソロ専用の「チャレンジタワー」では_x000D_各フロアごとにクリア報酬がもらえます</v>
      </c>
      <c r="M4" s="57" t="s">
        <v>210</v>
      </c>
    </row>
    <row r="5" spans="1:13">
      <c r="A5" s="82" t="s">
        <v>200</v>
      </c>
      <c r="B5" s="83">
        <f>floors!$C$2</f>
        <v>40009</v>
      </c>
      <c r="C5" s="84" t="str">
        <f ca="1">VLOOKUP($B5,OFFSET([2]quests!$A$1,0,0,COUNTA([2]quests!$A:$A),MATCH(C$1,[2]quests!$1:$1,0)-MATCH($B$1,[2]quests!$1:$1,0)+1),MATCH(C$1,[2]quests!$1:$1,0)-MATCH($B$1,[2]quests!$1:$1,0)+1,FALSE)</f>
        <v>フギンとムニン襲来！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降臨9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降臨9</v>
      </c>
      <c r="H5" s="86">
        <v>1</v>
      </c>
      <c r="I5">
        <v>21</v>
      </c>
      <c r="J5" s="85" t="s">
        <v>197</v>
      </c>
      <c r="K5" s="94" t="str">
        <f>VLOOKUP(I5,[7]stage_hints!$A:$C,3,FALSE)</f>
        <v>スキルを有効に</v>
      </c>
      <c r="L5" s="95" t="str">
        <f>VLOOKUP(I5,[7]stage_hints!$A:$D,4,FALSE)</f>
        <v>ターン経過でユニットのスキルが使えます_x000D_強力スキルでバトルを有利に進めましょう</v>
      </c>
      <c r="M5" s="57" t="s">
        <v>210</v>
      </c>
    </row>
    <row r="6" spans="1:13">
      <c r="A6" s="82" t="s">
        <v>200</v>
      </c>
      <c r="B6" s="83">
        <f>floors!$C$2</f>
        <v>40009</v>
      </c>
      <c r="C6" s="84" t="str">
        <f ca="1">VLOOKUP($B6,OFFSET([2]quests!$A$1,0,0,COUNTA([2]quests!$A:$A),MATCH(C$1,[2]quests!$1:$1,0)-MATCH($B$1,[2]quests!$1:$1,0)+1),MATCH(C$1,[2]quests!$1:$1,0)-MATCH($B$1,[2]quests!$1:$1,0)+1,FALSE)</f>
        <v>フギンとムニン襲来！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降臨9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降臨9</v>
      </c>
      <c r="H6" s="86">
        <v>1</v>
      </c>
      <c r="I6">
        <v>29</v>
      </c>
      <c r="J6" s="85" t="s">
        <v>197</v>
      </c>
      <c r="K6" s="94" t="str">
        <f>VLOOKUP(I6,[7]stage_hints!$A:$C,3,FALSE)</f>
        <v>「バグ」のメリット</v>
      </c>
      <c r="L6" s="95" t="str">
        <f>VLOOKUP(I6,[7]stage_hints!$A:$D,4,FALSE)</f>
        <v>ユニットの「バグ」を増やすと_x000D_報酬をもらえる確率がアップします</v>
      </c>
      <c r="M6" s="57" t="s">
        <v>210</v>
      </c>
    </row>
    <row r="7" spans="1:13">
      <c r="A7" s="82" t="s">
        <v>200</v>
      </c>
      <c r="B7" s="83">
        <f>floors!$C$2</f>
        <v>40009</v>
      </c>
      <c r="C7" s="84" t="str">
        <f ca="1">VLOOKUP($B7,OFFSET([2]quests!$A$1,0,0,COUNTA([2]quests!$A:$A),MATCH(C$1,[2]quests!$1:$1,0)-MATCH($B$1,[2]quests!$1:$1,0)+1),MATCH(C$1,[2]quests!$1:$1,0)-MATCH($B$1,[2]quests!$1:$1,0)+1,FALSE)</f>
        <v>フギンとムニン襲来！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降臨9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降臨9</v>
      </c>
      <c r="H7" s="86">
        <v>1</v>
      </c>
      <c r="I7">
        <v>30</v>
      </c>
      <c r="J7" s="85" t="s">
        <v>197</v>
      </c>
      <c r="K7" s="94" t="str">
        <f>VLOOKUP(I7,[7]stage_hints!$A:$C,3,FALSE)</f>
        <v>「バグ」の増やし方</v>
      </c>
      <c r="L7" s="95" t="str">
        <f>VLOOKUP(I7,[7]stage_hints!$A:$D,4,FALSE)</f>
        <v>同じユニット同士を強化で合成すると_x000D_「バグ」を増やすことができます</v>
      </c>
      <c r="M7" s="57" t="s">
        <v>210</v>
      </c>
    </row>
    <row r="8" spans="1:13">
      <c r="A8" s="82" t="s">
        <v>200</v>
      </c>
      <c r="B8" s="83">
        <f>floors!$C$2</f>
        <v>40009</v>
      </c>
      <c r="C8" s="84" t="str">
        <f ca="1">VLOOKUP($B8,OFFSET([2]quests!$A$1,0,0,COUNTA([2]quests!$A:$A),MATCH(C$1,[2]quests!$1:$1,0)-MATCH($B$1,[2]quests!$1:$1,0)+1),MATCH(C$1,[2]quests!$1:$1,0)-MATCH($B$1,[2]quests!$1:$1,0)+1,FALSE)</f>
        <v>フギンとムニン襲来！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降臨9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降臨9</v>
      </c>
      <c r="H8" s="86">
        <v>1</v>
      </c>
      <c r="I8">
        <v>32</v>
      </c>
      <c r="J8" s="85" t="s">
        <v>197</v>
      </c>
      <c r="K8" s="94" t="str">
        <f>VLOOKUP(I8,[7]stage_hints!$A:$C,3,FALSE)</f>
        <v>敵の連続攻撃には</v>
      </c>
      <c r="L8" s="95" t="str">
        <f>VLOOKUP(I8,[7]stage_hints!$A:$D,4,FALSE)</f>
        <v>カウンタースキルを持つユニットがいれば_x000D_ダメージ回数分の反撃ができます</v>
      </c>
      <c r="M8" s="57" t="s">
        <v>210</v>
      </c>
    </row>
    <row r="9" spans="1:13">
      <c r="A9" s="82" t="s">
        <v>200</v>
      </c>
      <c r="B9" s="83">
        <f>floors!$C$2</f>
        <v>40009</v>
      </c>
      <c r="C9" s="84" t="str">
        <f ca="1">VLOOKUP($B9,OFFSET([2]quests!$A$1,0,0,COUNTA([2]quests!$A:$A),MATCH(C$1,[2]quests!$1:$1,0)-MATCH($B$1,[2]quests!$1:$1,0)+1),MATCH(C$1,[2]quests!$1:$1,0)-MATCH($B$1,[2]quests!$1:$1,0)+1,FALSE)</f>
        <v>フギンとムニン襲来！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降臨9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降臨9</v>
      </c>
      <c r="H9" s="86">
        <v>1</v>
      </c>
      <c r="I9">
        <v>33</v>
      </c>
      <c r="J9" s="85" t="s">
        <v>197</v>
      </c>
      <c r="K9" s="94" t="str">
        <f>VLOOKUP(I9,[7]stage_hints!$A:$C,3,FALSE)</f>
        <v>敵のカウンター攻撃には</v>
      </c>
      <c r="L9" s="95" t="str">
        <f>VLOOKUP(I9,[7]stage_hints!$A:$D,4,FALSE)</f>
        <v>カウンターブレイクスキルを持っていれば_x000D_敵のカウンターを解除して攻撃ができます</v>
      </c>
      <c r="M9" s="57" t="s">
        <v>210</v>
      </c>
    </row>
    <row r="10" spans="1:13">
      <c r="A10" s="82" t="s">
        <v>200</v>
      </c>
      <c r="B10" s="83">
        <f>floors!$C$2</f>
        <v>40009</v>
      </c>
      <c r="C10" s="84" t="str">
        <f ca="1">VLOOKUP($B10,OFFSET([2]quests!$A$1,0,0,COUNTA([2]quests!$A:$A),MATCH(C$1,[2]quests!$1:$1,0)-MATCH($B$1,[2]quests!$1:$1,0)+1),MATCH(C$1,[2]quests!$1:$1,0)-MATCH($B$1,[2]quests!$1:$1,0)+1,FALSE)</f>
        <v>フギンとムニン襲来！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降臨9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降臨9</v>
      </c>
      <c r="H10" s="86">
        <v>1</v>
      </c>
      <c r="I10">
        <v>34</v>
      </c>
      <c r="J10" s="85" t="s">
        <v>197</v>
      </c>
      <c r="K10" s="94" t="str">
        <f>VLOOKUP(I10,[7]stage_hints!$A:$C,3,FALSE)</f>
        <v>ステータスをスキルで下げられたら</v>
      </c>
      <c r="L10" s="95" t="str">
        <f>VLOOKUP(I10,[7]stage_hints!$A:$D,4,FALSE)</f>
        <v>ステータスダウンのスキルを受けたら_x000D_ステータスアップスキルで上書きしましょう</v>
      </c>
      <c r="M10" s="57" t="s">
        <v>210</v>
      </c>
    </row>
    <row r="11" spans="1:13">
      <c r="A11" s="82" t="s">
        <v>200</v>
      </c>
      <c r="B11" s="83">
        <f>floors!$C$2</f>
        <v>40009</v>
      </c>
      <c r="C11" s="84" t="str">
        <f ca="1">VLOOKUP($B11,OFFSET([2]quests!$A$1,0,0,COUNTA([2]quests!$A:$A),MATCH(C$1,[2]quests!$1:$1,0)-MATCH($B$1,[2]quests!$1:$1,0)+1),MATCH(C$1,[2]quests!$1:$1,0)-MATCH($B$1,[2]quests!$1:$1,0)+1,FALSE)</f>
        <v>フギンとムニン襲来！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降臨9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降臨9</v>
      </c>
      <c r="H11" s="86">
        <v>1</v>
      </c>
      <c r="I11">
        <v>35</v>
      </c>
      <c r="J11" s="85" t="s">
        <v>197</v>
      </c>
      <c r="K11" s="94" t="str">
        <f>VLOOKUP(I11,[7]stage_hints!$A:$C,3,FALSE)</f>
        <v>敵のステータスがスキルで上がったら</v>
      </c>
      <c r="L11" s="95" t="str">
        <f>VLOOKUP(I11,[7]stage_hints!$A:$D,4,FALSE)</f>
        <v>敵のステータスがスキルでアップしたときは_x000D_ステータスダウンスキルで上書きしましょう</v>
      </c>
      <c r="M11" s="57" t="s">
        <v>210</v>
      </c>
    </row>
    <row r="12" spans="1:13">
      <c r="A12" s="82" t="s">
        <v>200</v>
      </c>
      <c r="B12" s="83">
        <f>floors!$C$2</f>
        <v>40009</v>
      </c>
      <c r="C12" s="84" t="str">
        <f ca="1">VLOOKUP($B12,OFFSET([2]quests!$A$1,0,0,COUNTA([2]quests!$A:$A),MATCH(C$1,[2]quests!$1:$1,0)-MATCH($B$1,[2]quests!$1:$1,0)+1),MATCH(C$1,[2]quests!$1:$1,0)-MATCH($B$1,[2]quests!$1:$1,0)+1,FALSE)</f>
        <v>フギンとムニン襲来！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降臨9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降臨9</v>
      </c>
      <c r="H12" s="86">
        <v>1</v>
      </c>
      <c r="I12">
        <v>36</v>
      </c>
      <c r="J12" s="85" t="s">
        <v>197</v>
      </c>
      <c r="K12" s="94" t="str">
        <f>VLOOKUP(I12,[7]stage_hints!$A:$C,3,FALSE)</f>
        <v>チャレンジタワーのボス</v>
      </c>
      <c r="L12" s="95" t="str">
        <f>VLOOKUP(I12,[7]stage_hints!$A:$D,4,FALSE)</f>
        <v>チャレンジタワーでのみ登場するボスは_x000D_一定確率で獲得することができます</v>
      </c>
      <c r="M12" s="57" t="s">
        <v>210</v>
      </c>
    </row>
    <row r="13" spans="1:13">
      <c r="A13" s="82" t="s">
        <v>200</v>
      </c>
      <c r="B13" s="83">
        <f>floors!$C$2</f>
        <v>40009</v>
      </c>
      <c r="C13" s="84" t="str">
        <f ca="1">VLOOKUP($B13,OFFSET([2]quests!$A$1,0,0,COUNTA([2]quests!$A:$A),MATCH(C$1,[2]quests!$1:$1,0)-MATCH($B$1,[2]quests!$1:$1,0)+1),MATCH(C$1,[2]quests!$1:$1,0)-MATCH($B$1,[2]quests!$1:$1,0)+1,FALSE)</f>
        <v>フギンとムニン襲来！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降臨9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降臨9</v>
      </c>
      <c r="H13" s="86">
        <v>1</v>
      </c>
      <c r="I13">
        <v>37</v>
      </c>
      <c r="J13" s="85" t="s">
        <v>197</v>
      </c>
      <c r="K13" s="94" t="str">
        <f>VLOOKUP(I13,[7]stage_hints!$A:$C,3,FALSE)</f>
        <v>限界突破値の引き継ぎ</v>
      </c>
      <c r="L13" s="95" t="str">
        <f>VLOOKUP(I13,[7]stage_hints!$A:$D,4,FALSE)</f>
        <v>同じユニットを強化で合成すると_x000D_限界突破値を引き継げます（覚醒前後も可）</v>
      </c>
      <c r="M13" s="57" t="s">
        <v>210</v>
      </c>
    </row>
    <row r="14" spans="1:13">
      <c r="A14" s="82" t="s">
        <v>200</v>
      </c>
      <c r="B14" s="83">
        <f>floors!$C$2</f>
        <v>40009</v>
      </c>
      <c r="C14" s="84" t="str">
        <f ca="1">VLOOKUP($B14,OFFSET([2]quests!$A$1,0,0,COUNTA([2]quests!$A:$A),MATCH(C$1,[2]quests!$1:$1,0)-MATCH($B$1,[2]quests!$1:$1,0)+1),MATCH(C$1,[2]quests!$1:$1,0)-MATCH($B$1,[2]quests!$1:$1,0)+1,FALSE)</f>
        <v>フギンとムニン襲来！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降臨9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降臨9</v>
      </c>
      <c r="H14" s="86">
        <v>1</v>
      </c>
      <c r="I14">
        <v>39</v>
      </c>
      <c r="J14" s="85" t="s">
        <v>197</v>
      </c>
      <c r="K14" s="94" t="str">
        <f>VLOOKUP(I14,[7]stage_hints!$A:$C,3,FALSE)</f>
        <v>システム適合者を確認</v>
      </c>
      <c r="L14" s="95" t="str">
        <f>VLOOKUP(I14,[7]stage_hints!$A:$D,4,FALSE)</f>
        <v>ALICEが「アナタ」を呼んでいます</v>
      </c>
      <c r="M14" s="57" t="s">
        <v>210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I16" sqref="I16"/>
    </sheetView>
  </sheetViews>
  <sheetFormatPr baseColWidth="12" defaultColWidth="13" defaultRowHeight="18" outlineLevelCol="1" x14ac:dyDescent="0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7" t="s">
        <v>187</v>
      </c>
      <c r="B1" s="73" t="s">
        <v>150</v>
      </c>
      <c r="C1" s="78" t="s">
        <v>189</v>
      </c>
      <c r="D1" s="78" t="s">
        <v>33</v>
      </c>
      <c r="E1" s="73" t="s">
        <v>190</v>
      </c>
      <c r="F1" s="78" t="s">
        <v>18</v>
      </c>
      <c r="G1" s="78" t="s">
        <v>33</v>
      </c>
      <c r="H1" s="73" t="s">
        <v>192</v>
      </c>
      <c r="I1" s="90" t="s">
        <v>193</v>
      </c>
      <c r="J1" s="92" t="s">
        <v>194</v>
      </c>
      <c r="K1" s="80" t="s">
        <v>126</v>
      </c>
      <c r="L1" s="79" t="s">
        <v>186</v>
      </c>
      <c r="M1" s="93" t="s">
        <v>185</v>
      </c>
      <c r="N1" s="81" t="s">
        <v>195</v>
      </c>
    </row>
    <row r="2" spans="1:14">
      <c r="A2" s="82" t="s">
        <v>196</v>
      </c>
      <c r="B2" s="83">
        <f>floors!$C$2</f>
        <v>40009</v>
      </c>
      <c r="C2" s="84" t="str">
        <f ca="1">VLOOKUP($B2,OFFSET([2]quests!$A$1,0,0,COUNTA([2]quests!$A:$A),MATCH(C$1,[2]quests!$1:$1,0)-MATCH($B$1,[2]quests!$1:$1,0)+1),MATCH(C$1,[2]quests!$1:$1,0)-MATCH($B$1,[2]quests!$1:$1,0)+1,FALSE)</f>
        <v>フギンとムニン襲来！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降臨9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降臨9</v>
      </c>
      <c r="H2" s="86">
        <v>1</v>
      </c>
      <c r="I2" s="91">
        <f>ROW()-1</f>
        <v>1</v>
      </c>
      <c r="J2" s="87" t="str">
        <f>B2&amp;TEXT(I2,"00")</f>
        <v>4000901</v>
      </c>
      <c r="K2" s="85" t="s">
        <v>127</v>
      </c>
      <c r="L2" s="88" t="s">
        <v>198</v>
      </c>
      <c r="M2" s="107" t="s">
        <v>407</v>
      </c>
      <c r="N2" s="57" t="s">
        <v>199</v>
      </c>
    </row>
    <row r="3" spans="1:14" ht="29">
      <c r="A3" s="82" t="s">
        <v>196</v>
      </c>
      <c r="B3" s="83">
        <f>floors!$C$2</f>
        <v>40009</v>
      </c>
      <c r="C3" s="84" t="str">
        <f ca="1">VLOOKUP($B3,OFFSET([2]quests!$A$1,0,0,COUNTA([2]quests!$A:$A),MATCH(C$1,[2]quests!$1:$1,0)-MATCH($B$1,[2]quests!$1:$1,0)+1),MATCH(C$1,[2]quests!$1:$1,0)-MATCH($B$1,[2]quests!$1:$1,0)+1,FALSE)</f>
        <v>フギンとムニン襲来！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降臨9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降臨9</v>
      </c>
      <c r="H3" s="86">
        <v>1</v>
      </c>
      <c r="I3" s="91">
        <f>ROW()-1</f>
        <v>2</v>
      </c>
      <c r="J3" s="87" t="str">
        <f>B3&amp;TEXT(I3,"00")</f>
        <v>4000902</v>
      </c>
      <c r="K3" s="85" t="s">
        <v>197</v>
      </c>
      <c r="L3" s="88" t="s">
        <v>198</v>
      </c>
      <c r="M3" s="107" t="s">
        <v>406</v>
      </c>
      <c r="N3" s="57" t="s">
        <v>199</v>
      </c>
    </row>
    <row r="4" spans="1:14" ht="29">
      <c r="A4" s="82" t="s">
        <v>196</v>
      </c>
      <c r="B4" s="83">
        <f>floors!$C$2</f>
        <v>40009</v>
      </c>
      <c r="C4" s="84" t="str">
        <f ca="1">VLOOKUP($B4,OFFSET([2]quests!$A$1,0,0,COUNTA([2]quests!$A:$A),MATCH(C$1,[2]quests!$1:$1,0)-MATCH($B$1,[2]quests!$1:$1,0)+1),MATCH(C$1,[2]quests!$1:$1,0)-MATCH($B$1,[2]quests!$1:$1,0)+1,FALSE)</f>
        <v>フギンとムニン襲来！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降臨9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降臨9</v>
      </c>
      <c r="H4" s="86">
        <v>2</v>
      </c>
      <c r="I4" s="91">
        <f t="shared" ref="I4:I7" si="0">ROW()-1</f>
        <v>3</v>
      </c>
      <c r="J4" s="87" t="str">
        <f t="shared" ref="J4:J6" si="1">B4&amp;TEXT(I4,"00")</f>
        <v>4000903</v>
      </c>
      <c r="K4" s="85" t="s">
        <v>127</v>
      </c>
      <c r="L4" s="88" t="s">
        <v>198</v>
      </c>
      <c r="M4" s="107" t="s">
        <v>397</v>
      </c>
      <c r="N4" s="57" t="s">
        <v>199</v>
      </c>
    </row>
    <row r="5" spans="1:14" ht="29">
      <c r="A5" s="82" t="s">
        <v>196</v>
      </c>
      <c r="B5" s="83">
        <f>floors!$C$2</f>
        <v>40009</v>
      </c>
      <c r="C5" s="84" t="str">
        <f ca="1">VLOOKUP($B5,OFFSET([2]quests!$A$1,0,0,COUNTA([2]quests!$A:$A),MATCH(C$1,[2]quests!$1:$1,0)-MATCH($B$1,[2]quests!$1:$1,0)+1),MATCH(C$1,[2]quests!$1:$1,0)-MATCH($B$1,[2]quests!$1:$1,0)+1,FALSE)</f>
        <v>フギンとムニン襲来！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降臨9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降臨9</v>
      </c>
      <c r="H5" s="86">
        <v>3</v>
      </c>
      <c r="I5" s="91">
        <f t="shared" si="0"/>
        <v>4</v>
      </c>
      <c r="J5" s="87" t="str">
        <f t="shared" si="1"/>
        <v>4000904</v>
      </c>
      <c r="K5" s="85" t="s">
        <v>127</v>
      </c>
      <c r="L5" s="88" t="s">
        <v>198</v>
      </c>
      <c r="M5" s="107" t="s">
        <v>404</v>
      </c>
      <c r="N5" s="57" t="s">
        <v>199</v>
      </c>
    </row>
    <row r="6" spans="1:14" ht="42">
      <c r="A6" s="82" t="s">
        <v>196</v>
      </c>
      <c r="B6" s="83">
        <f>floors!$C$2</f>
        <v>40009</v>
      </c>
      <c r="C6" s="84" t="str">
        <f ca="1">VLOOKUP($B6,OFFSET([2]quests!$A$1,0,0,COUNTA([2]quests!$A:$A),MATCH(C$1,[2]quests!$1:$1,0)-MATCH($B$1,[2]quests!$1:$1,0)+1),MATCH(C$1,[2]quests!$1:$1,0)-MATCH($B$1,[2]quests!$1:$1,0)+1,FALSE)</f>
        <v>フギンとムニン襲来！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降臨9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降臨9</v>
      </c>
      <c r="H6" s="86">
        <v>4</v>
      </c>
      <c r="I6" s="91">
        <f t="shared" si="0"/>
        <v>5</v>
      </c>
      <c r="J6" s="87" t="str">
        <f t="shared" si="1"/>
        <v>4000905</v>
      </c>
      <c r="K6" s="85" t="s">
        <v>127</v>
      </c>
      <c r="L6" s="88" t="s">
        <v>198</v>
      </c>
      <c r="M6" s="107" t="s">
        <v>408</v>
      </c>
      <c r="N6" s="57" t="s">
        <v>199</v>
      </c>
    </row>
    <row r="7" spans="1:14" ht="29">
      <c r="A7" s="82" t="s">
        <v>196</v>
      </c>
      <c r="B7" s="83">
        <f>floors!$C$2</f>
        <v>40009</v>
      </c>
      <c r="C7" s="84" t="str">
        <f ca="1">VLOOKUP($B7,OFFSET([2]quests!$A$1,0,0,COUNTA([2]quests!$A:$A),MATCH(C$1,[2]quests!$1:$1,0)-MATCH($B$1,[2]quests!$1:$1,0)+1),MATCH(C$1,[2]quests!$1:$1,0)-MATCH($B$1,[2]quests!$1:$1,0)+1,FALSE)</f>
        <v>フギンとムニン襲来！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降臨9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【ウィザード級】フギンとムニン襲来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降臨9</v>
      </c>
      <c r="H7" s="86">
        <v>4</v>
      </c>
      <c r="I7" s="91">
        <f t="shared" si="0"/>
        <v>6</v>
      </c>
      <c r="J7" s="87" t="str">
        <f t="shared" ref="J7" si="2">B7&amp;TEXT(I7,"00")</f>
        <v>4000906</v>
      </c>
      <c r="K7" s="85" t="s">
        <v>127</v>
      </c>
      <c r="L7" s="88" t="s">
        <v>198</v>
      </c>
      <c r="M7" s="107" t="s">
        <v>405</v>
      </c>
      <c r="N7" s="57" t="s">
        <v>199</v>
      </c>
    </row>
    <row r="13" spans="1:14">
      <c r="M13" s="108"/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pm</cp:lastModifiedBy>
  <dcterms:created xsi:type="dcterms:W3CDTF">2015-01-30T13:36:44Z</dcterms:created>
  <dcterms:modified xsi:type="dcterms:W3CDTF">2016-02-08T06:49:11Z</dcterms:modified>
</cp:coreProperties>
</file>