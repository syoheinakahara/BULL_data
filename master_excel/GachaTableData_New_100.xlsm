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1120" yWindow="-880" windowWidth="28800" windowHeight="16420" tabRatio="943" firstSheet="1" activeTab="7"/>
  </bookViews>
  <sheets>
    <sheet name="gacha_100_base" sheetId="94" r:id="rId1"/>
    <sheet name="gacha_select_tables_100" sheetId="82" r:id="rId2"/>
    <sheet name="gacha_settle_tables_100" sheetId="96" r:id="rId3"/>
    <sheet name="gacha_bonus_tables_100" sheetId="98" r:id="rId4"/>
    <sheet name="gacha_select_tables_100.tmp" sheetId="87" r:id="rId5"/>
    <sheet name="gacha_settle_tables_100.tmp" sheetId="97" r:id="rId6"/>
    <sheet name="gacha_bonus_tables_100.tmp" sheetId="99" r:id="rId7"/>
    <sheet name="gifts_tmp_100.tmp" sheetId="100" r:id="rId8"/>
    <sheet name="gifts_i18n_100.tmp" sheetId="101" r:id="rId9"/>
  </sheets>
  <externalReferences>
    <externalReference r:id="rId10"/>
  </externalReferences>
  <definedNames>
    <definedName name="_xlnm._FilterDatabase" localSheetId="0" hidden="1">gacha_100_base!$A$57:$B$83</definedName>
    <definedName name="_xlnm._FilterDatabase" localSheetId="3" hidden="1">gacha_bonus_tables_100!$B$1:$G$10</definedName>
    <definedName name="_xlnm._FilterDatabase" localSheetId="1" hidden="1">gacha_select_tables_100!$B$1:$M$155</definedName>
    <definedName name="_xlnm._FilterDatabase" localSheetId="2" hidden="1">gacha_settle_tables_100!$B$1:$M$11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99" l="1"/>
  <c r="C1" i="100"/>
  <c r="C1" i="101"/>
  <c r="A1" i="100"/>
  <c r="A1" i="101"/>
  <c r="A12" i="101"/>
  <c r="B1" i="101"/>
  <c r="F12" i="101"/>
  <c r="E12" i="101"/>
  <c r="D12" i="101"/>
  <c r="C12" i="101"/>
  <c r="B12" i="101"/>
  <c r="A11" i="101"/>
  <c r="F11" i="101"/>
  <c r="E11" i="101"/>
  <c r="D11" i="101"/>
  <c r="C11" i="101"/>
  <c r="B11" i="101"/>
  <c r="A10" i="101"/>
  <c r="F10" i="101"/>
  <c r="E10" i="101"/>
  <c r="D10" i="101"/>
  <c r="C10" i="101"/>
  <c r="B10" i="101"/>
  <c r="A9" i="101"/>
  <c r="F9" i="101"/>
  <c r="E9" i="101"/>
  <c r="D9" i="101"/>
  <c r="C9" i="101"/>
  <c r="B9" i="101"/>
  <c r="A8" i="101"/>
  <c r="F8" i="101"/>
  <c r="E8" i="101"/>
  <c r="D8" i="101"/>
  <c r="C8" i="101"/>
  <c r="B8" i="101"/>
  <c r="A7" i="101"/>
  <c r="F7" i="101"/>
  <c r="E7" i="101"/>
  <c r="D7" i="101"/>
  <c r="C7" i="101"/>
  <c r="B7" i="101"/>
  <c r="A6" i="101"/>
  <c r="F6" i="101"/>
  <c r="E6" i="101"/>
  <c r="D6" i="101"/>
  <c r="C6" i="101"/>
  <c r="B6" i="101"/>
  <c r="A5" i="101"/>
  <c r="F5" i="101"/>
  <c r="E5" i="101"/>
  <c r="D5" i="101"/>
  <c r="C5" i="101"/>
  <c r="B5" i="101"/>
  <c r="A4" i="101"/>
  <c r="F4" i="101"/>
  <c r="E4" i="101"/>
  <c r="D4" i="101"/>
  <c r="C4" i="101"/>
  <c r="B4" i="101"/>
  <c r="A3" i="101"/>
  <c r="F3" i="101"/>
  <c r="E3" i="101"/>
  <c r="D3" i="101"/>
  <c r="C3" i="101"/>
  <c r="B3" i="101"/>
  <c r="A3" i="100"/>
  <c r="B1" i="100"/>
  <c r="G3" i="100"/>
  <c r="A4" i="100"/>
  <c r="G4" i="100"/>
  <c r="B4" i="100"/>
  <c r="C4" i="100"/>
  <c r="D4" i="100"/>
  <c r="E4" i="100"/>
  <c r="F4" i="100"/>
  <c r="H4" i="100"/>
  <c r="I4" i="100"/>
  <c r="A5" i="100"/>
  <c r="B5" i="100"/>
  <c r="C5" i="100"/>
  <c r="D5" i="100"/>
  <c r="E5" i="100"/>
  <c r="F5" i="100"/>
  <c r="G5" i="100"/>
  <c r="H5" i="100"/>
  <c r="I5" i="100"/>
  <c r="A6" i="100"/>
  <c r="B6" i="100"/>
  <c r="C6" i="100"/>
  <c r="D6" i="100"/>
  <c r="E6" i="100"/>
  <c r="F6" i="100"/>
  <c r="G6" i="100"/>
  <c r="H6" i="100"/>
  <c r="I6" i="100"/>
  <c r="A7" i="100"/>
  <c r="B7" i="100"/>
  <c r="C7" i="100"/>
  <c r="D7" i="100"/>
  <c r="E7" i="100"/>
  <c r="F7" i="100"/>
  <c r="G7" i="100"/>
  <c r="H7" i="100"/>
  <c r="I7" i="100"/>
  <c r="A8" i="100"/>
  <c r="B8" i="100"/>
  <c r="C8" i="100"/>
  <c r="D8" i="100"/>
  <c r="E8" i="100"/>
  <c r="F8" i="100"/>
  <c r="G8" i="100"/>
  <c r="H8" i="100"/>
  <c r="I8" i="100"/>
  <c r="A9" i="100"/>
  <c r="B9" i="100"/>
  <c r="C9" i="100"/>
  <c r="D9" i="100"/>
  <c r="E9" i="100"/>
  <c r="F9" i="100"/>
  <c r="G9" i="100"/>
  <c r="H9" i="100"/>
  <c r="I9" i="100"/>
  <c r="A10" i="100"/>
  <c r="B10" i="100"/>
  <c r="C10" i="100"/>
  <c r="D10" i="100"/>
  <c r="E10" i="100"/>
  <c r="F10" i="100"/>
  <c r="G10" i="100"/>
  <c r="H10" i="100"/>
  <c r="I10" i="100"/>
  <c r="A11" i="100"/>
  <c r="B11" i="100"/>
  <c r="C11" i="100"/>
  <c r="D11" i="100"/>
  <c r="E11" i="100"/>
  <c r="F11" i="100"/>
  <c r="G11" i="100"/>
  <c r="H11" i="100"/>
  <c r="I11" i="100"/>
  <c r="A12" i="100"/>
  <c r="B12" i="100"/>
  <c r="C12" i="100"/>
  <c r="D12" i="100"/>
  <c r="E12" i="100"/>
  <c r="F12" i="100"/>
  <c r="G12" i="100"/>
  <c r="H12" i="100"/>
  <c r="I12" i="100"/>
  <c r="I3" i="100"/>
  <c r="C3" i="100"/>
  <c r="D3" i="100"/>
  <c r="E3" i="100"/>
  <c r="F3" i="100"/>
  <c r="H3" i="100"/>
  <c r="B3" i="100"/>
  <c r="A1" i="99"/>
  <c r="A3" i="99"/>
  <c r="B1" i="99"/>
  <c r="C3" i="99"/>
  <c r="A4" i="99"/>
  <c r="D4" i="99"/>
  <c r="A5" i="99"/>
  <c r="D5" i="99"/>
  <c r="A6" i="99"/>
  <c r="D6" i="99"/>
  <c r="A7" i="99"/>
  <c r="D7" i="99"/>
  <c r="A8" i="99"/>
  <c r="D8" i="99"/>
  <c r="A9" i="99"/>
  <c r="D9" i="99"/>
  <c r="A10" i="99"/>
  <c r="D10" i="99"/>
  <c r="A11" i="99"/>
  <c r="D11" i="99"/>
  <c r="A12" i="99"/>
  <c r="D12" i="99"/>
  <c r="D3" i="99"/>
  <c r="B4" i="99"/>
  <c r="B5" i="99"/>
  <c r="B6" i="99"/>
  <c r="B7" i="99"/>
  <c r="B8" i="99"/>
  <c r="B9" i="99"/>
  <c r="B10" i="99"/>
  <c r="B11" i="99"/>
  <c r="B12" i="99"/>
  <c r="B3" i="99"/>
  <c r="C4" i="99"/>
  <c r="C5" i="99"/>
  <c r="C6" i="99"/>
  <c r="C7" i="99"/>
  <c r="C8" i="99"/>
  <c r="C9" i="99"/>
  <c r="C10" i="99"/>
  <c r="C11" i="99"/>
  <c r="C12" i="99"/>
  <c r="C1" i="97"/>
  <c r="A1" i="97"/>
  <c r="A3" i="97"/>
  <c r="A3" i="98"/>
  <c r="A4" i="98"/>
  <c r="A5" i="98"/>
  <c r="A6" i="98"/>
  <c r="A7" i="98"/>
  <c r="A8" i="98"/>
  <c r="A9" i="98"/>
  <c r="A10" i="98"/>
  <c r="A11" i="98"/>
  <c r="A2" i="98"/>
  <c r="A4" i="97"/>
  <c r="C1" i="87"/>
  <c r="A1" i="87"/>
  <c r="A3" i="87"/>
  <c r="B1" i="87"/>
  <c r="C3" i="87"/>
  <c r="G23" i="82"/>
  <c r="H23" i="82"/>
  <c r="C23" i="82"/>
  <c r="M23" i="82"/>
  <c r="A156" i="87"/>
  <c r="J156" i="87"/>
  <c r="I156" i="87"/>
  <c r="H156" i="87"/>
  <c r="G156" i="87"/>
  <c r="F156" i="87"/>
  <c r="G155" i="82"/>
  <c r="H155" i="82"/>
  <c r="C155" i="82"/>
  <c r="M155" i="82"/>
  <c r="E156" i="87"/>
  <c r="D156" i="87"/>
  <c r="C156" i="87"/>
  <c r="B156" i="87"/>
  <c r="A155" i="87"/>
  <c r="J155" i="87"/>
  <c r="I155" i="87"/>
  <c r="H155" i="87"/>
  <c r="G155" i="87"/>
  <c r="F155" i="87"/>
  <c r="G154" i="82"/>
  <c r="H154" i="82"/>
  <c r="C154" i="82"/>
  <c r="M154" i="82"/>
  <c r="E155" i="87"/>
  <c r="D155" i="87"/>
  <c r="C155" i="87"/>
  <c r="B155" i="87"/>
  <c r="A154" i="87"/>
  <c r="J154" i="87"/>
  <c r="I154" i="87"/>
  <c r="H154" i="87"/>
  <c r="G154" i="87"/>
  <c r="F154" i="87"/>
  <c r="G153" i="82"/>
  <c r="H153" i="82"/>
  <c r="C153" i="82"/>
  <c r="M153" i="82"/>
  <c r="E154" i="87"/>
  <c r="D154" i="87"/>
  <c r="C154" i="87"/>
  <c r="B154" i="87"/>
  <c r="A153" i="87"/>
  <c r="J153" i="87"/>
  <c r="I153" i="87"/>
  <c r="H153" i="87"/>
  <c r="G153" i="87"/>
  <c r="F153" i="87"/>
  <c r="G152" i="82"/>
  <c r="H152" i="82"/>
  <c r="C152" i="82"/>
  <c r="M152" i="82"/>
  <c r="E153" i="87"/>
  <c r="D153" i="87"/>
  <c r="C153" i="87"/>
  <c r="B153" i="87"/>
  <c r="A152" i="87"/>
  <c r="J152" i="87"/>
  <c r="I152" i="87"/>
  <c r="H152" i="87"/>
  <c r="G152" i="87"/>
  <c r="F152" i="87"/>
  <c r="G151" i="82"/>
  <c r="H151" i="82"/>
  <c r="C151" i="82"/>
  <c r="M151" i="82"/>
  <c r="E152" i="87"/>
  <c r="D152" i="87"/>
  <c r="C152" i="87"/>
  <c r="B152" i="87"/>
  <c r="A151" i="87"/>
  <c r="J151" i="87"/>
  <c r="I151" i="87"/>
  <c r="H151" i="87"/>
  <c r="G151" i="87"/>
  <c r="F151" i="87"/>
  <c r="G150" i="82"/>
  <c r="H150" i="82"/>
  <c r="C150" i="82"/>
  <c r="M150" i="82"/>
  <c r="E151" i="87"/>
  <c r="D151" i="87"/>
  <c r="C151" i="87"/>
  <c r="B151" i="87"/>
  <c r="A150" i="87"/>
  <c r="J150" i="87"/>
  <c r="I150" i="87"/>
  <c r="H150" i="87"/>
  <c r="G150" i="87"/>
  <c r="F150" i="87"/>
  <c r="G149" i="82"/>
  <c r="H149" i="82"/>
  <c r="C149" i="82"/>
  <c r="M149" i="82"/>
  <c r="E150" i="87"/>
  <c r="D150" i="87"/>
  <c r="C150" i="87"/>
  <c r="B150" i="87"/>
  <c r="A149" i="87"/>
  <c r="J149" i="87"/>
  <c r="I149" i="87"/>
  <c r="H149" i="87"/>
  <c r="G149" i="87"/>
  <c r="F149" i="87"/>
  <c r="G148" i="82"/>
  <c r="H148" i="82"/>
  <c r="C148" i="82"/>
  <c r="M148" i="82"/>
  <c r="E149" i="87"/>
  <c r="D149" i="87"/>
  <c r="C149" i="87"/>
  <c r="B149" i="87"/>
  <c r="A148" i="87"/>
  <c r="J148" i="87"/>
  <c r="I148" i="87"/>
  <c r="H148" i="87"/>
  <c r="G148" i="87"/>
  <c r="F148" i="87"/>
  <c r="G147" i="82"/>
  <c r="H147" i="82"/>
  <c r="C147" i="82"/>
  <c r="M147" i="82"/>
  <c r="E148" i="87"/>
  <c r="D148" i="87"/>
  <c r="C148" i="87"/>
  <c r="B148" i="87"/>
  <c r="A147" i="87"/>
  <c r="J147" i="87"/>
  <c r="I147" i="87"/>
  <c r="H147" i="87"/>
  <c r="G147" i="87"/>
  <c r="F147" i="87"/>
  <c r="G146" i="82"/>
  <c r="H146" i="82"/>
  <c r="C146" i="82"/>
  <c r="E147" i="87"/>
  <c r="D147" i="87"/>
  <c r="C147" i="87"/>
  <c r="B147" i="87"/>
  <c r="A146" i="87"/>
  <c r="J146" i="87"/>
  <c r="I146" i="87"/>
  <c r="H146" i="87"/>
  <c r="G146" i="87"/>
  <c r="F146" i="87"/>
  <c r="G145" i="82"/>
  <c r="H145" i="82"/>
  <c r="C145" i="82"/>
  <c r="M145" i="82"/>
  <c r="E146" i="87"/>
  <c r="D146" i="87"/>
  <c r="C146" i="87"/>
  <c r="B146" i="87"/>
  <c r="A145" i="87"/>
  <c r="J145" i="87"/>
  <c r="I145" i="87"/>
  <c r="H145" i="87"/>
  <c r="G145" i="87"/>
  <c r="F145" i="87"/>
  <c r="G144" i="82"/>
  <c r="H144" i="82"/>
  <c r="C144" i="82"/>
  <c r="M144" i="82"/>
  <c r="E145" i="87"/>
  <c r="D145" i="87"/>
  <c r="C145" i="87"/>
  <c r="B145" i="87"/>
  <c r="A144" i="87"/>
  <c r="J144" i="87"/>
  <c r="I144" i="87"/>
  <c r="H144" i="87"/>
  <c r="G144" i="87"/>
  <c r="F144" i="87"/>
  <c r="G143" i="82"/>
  <c r="H143" i="82"/>
  <c r="C143" i="82"/>
  <c r="M143" i="82"/>
  <c r="E144" i="87"/>
  <c r="D144" i="87"/>
  <c r="C144" i="87"/>
  <c r="B144" i="87"/>
  <c r="A143" i="87"/>
  <c r="J143" i="87"/>
  <c r="I143" i="87"/>
  <c r="H143" i="87"/>
  <c r="G143" i="87"/>
  <c r="F143" i="87"/>
  <c r="G142" i="82"/>
  <c r="H142" i="82"/>
  <c r="C142" i="82"/>
  <c r="M142" i="82"/>
  <c r="E143" i="87"/>
  <c r="D143" i="87"/>
  <c r="C143" i="87"/>
  <c r="B143" i="87"/>
  <c r="A142" i="87"/>
  <c r="J142" i="87"/>
  <c r="I142" i="87"/>
  <c r="H142" i="87"/>
  <c r="G142" i="87"/>
  <c r="F142" i="87"/>
  <c r="G141" i="82"/>
  <c r="H141" i="82"/>
  <c r="C141" i="82"/>
  <c r="M141" i="82"/>
  <c r="E142" i="87"/>
  <c r="D142" i="87"/>
  <c r="C142" i="87"/>
  <c r="B142" i="87"/>
  <c r="A141" i="87"/>
  <c r="J141" i="87"/>
  <c r="I141" i="87"/>
  <c r="H141" i="87"/>
  <c r="G141" i="87"/>
  <c r="F141" i="87"/>
  <c r="G140" i="82"/>
  <c r="H140" i="82"/>
  <c r="C140" i="82"/>
  <c r="M140" i="82"/>
  <c r="E141" i="87"/>
  <c r="D141" i="87"/>
  <c r="C141" i="87"/>
  <c r="B141" i="87"/>
  <c r="A140" i="87"/>
  <c r="J140" i="87"/>
  <c r="I140" i="87"/>
  <c r="H140" i="87"/>
  <c r="G140" i="87"/>
  <c r="F140" i="87"/>
  <c r="G139" i="82"/>
  <c r="H139" i="82"/>
  <c r="C139" i="82"/>
  <c r="M139" i="82"/>
  <c r="E140" i="87"/>
  <c r="D140" i="87"/>
  <c r="C140" i="87"/>
  <c r="B140" i="87"/>
  <c r="A139" i="87"/>
  <c r="J139" i="87"/>
  <c r="I139" i="87"/>
  <c r="H139" i="87"/>
  <c r="G139" i="87"/>
  <c r="F139" i="87"/>
  <c r="G138" i="82"/>
  <c r="H138" i="82"/>
  <c r="C138" i="82"/>
  <c r="M138" i="82"/>
  <c r="E139" i="87"/>
  <c r="D139" i="87"/>
  <c r="C139" i="87"/>
  <c r="B139" i="87"/>
  <c r="A138" i="87"/>
  <c r="J138" i="87"/>
  <c r="I138" i="87"/>
  <c r="H138" i="87"/>
  <c r="G138" i="87"/>
  <c r="F138" i="87"/>
  <c r="G137" i="82"/>
  <c r="H137" i="82"/>
  <c r="C137" i="82"/>
  <c r="M137" i="82"/>
  <c r="E138" i="87"/>
  <c r="D138" i="87"/>
  <c r="C138" i="87"/>
  <c r="B138" i="87"/>
  <c r="A137" i="87"/>
  <c r="J137" i="87"/>
  <c r="I137" i="87"/>
  <c r="H137" i="87"/>
  <c r="G137" i="87"/>
  <c r="F137" i="87"/>
  <c r="G136" i="82"/>
  <c r="H136" i="82"/>
  <c r="C136" i="82"/>
  <c r="M136" i="82"/>
  <c r="E137" i="87"/>
  <c r="D137" i="87"/>
  <c r="C137" i="87"/>
  <c r="B137" i="87"/>
  <c r="A136" i="87"/>
  <c r="J136" i="87"/>
  <c r="I136" i="87"/>
  <c r="H136" i="87"/>
  <c r="G136" i="87"/>
  <c r="F136" i="87"/>
  <c r="G135" i="82"/>
  <c r="H135" i="82"/>
  <c r="C135" i="82"/>
  <c r="M135" i="82"/>
  <c r="E136" i="87"/>
  <c r="D136" i="87"/>
  <c r="C136" i="87"/>
  <c r="B136" i="87"/>
  <c r="A135" i="87"/>
  <c r="J135" i="87"/>
  <c r="I135" i="87"/>
  <c r="H135" i="87"/>
  <c r="G135" i="87"/>
  <c r="F135" i="87"/>
  <c r="G134" i="82"/>
  <c r="H134" i="82"/>
  <c r="C134" i="82"/>
  <c r="M134" i="82"/>
  <c r="E135" i="87"/>
  <c r="D135" i="87"/>
  <c r="C135" i="87"/>
  <c r="B135" i="87"/>
  <c r="A134" i="87"/>
  <c r="J134" i="87"/>
  <c r="I134" i="87"/>
  <c r="H134" i="87"/>
  <c r="G134" i="87"/>
  <c r="F134" i="87"/>
  <c r="G133" i="82"/>
  <c r="H133" i="82"/>
  <c r="C133" i="82"/>
  <c r="M133" i="82"/>
  <c r="E134" i="87"/>
  <c r="D134" i="87"/>
  <c r="C134" i="87"/>
  <c r="B134" i="87"/>
  <c r="A133" i="87"/>
  <c r="J133" i="87"/>
  <c r="I133" i="87"/>
  <c r="H133" i="87"/>
  <c r="G133" i="87"/>
  <c r="F133" i="87"/>
  <c r="G132" i="82"/>
  <c r="H132" i="82"/>
  <c r="C132" i="82"/>
  <c r="M132" i="82"/>
  <c r="E133" i="87"/>
  <c r="D133" i="87"/>
  <c r="C133" i="87"/>
  <c r="B133" i="87"/>
  <c r="A132" i="87"/>
  <c r="J132" i="87"/>
  <c r="I132" i="87"/>
  <c r="H132" i="87"/>
  <c r="G132" i="87"/>
  <c r="F132" i="87"/>
  <c r="G131" i="82"/>
  <c r="H131" i="82"/>
  <c r="C131" i="82"/>
  <c r="M131" i="82"/>
  <c r="E132" i="87"/>
  <c r="D132" i="87"/>
  <c r="C132" i="87"/>
  <c r="B132" i="87"/>
  <c r="A131" i="87"/>
  <c r="J131" i="87"/>
  <c r="I131" i="87"/>
  <c r="H131" i="87"/>
  <c r="G131" i="87"/>
  <c r="F131" i="87"/>
  <c r="G130" i="82"/>
  <c r="H130" i="82"/>
  <c r="C130" i="82"/>
  <c r="M130" i="82"/>
  <c r="E131" i="87"/>
  <c r="D131" i="87"/>
  <c r="C131" i="87"/>
  <c r="B131" i="87"/>
  <c r="A130" i="87"/>
  <c r="J130" i="87"/>
  <c r="I130" i="87"/>
  <c r="H130" i="87"/>
  <c r="G130" i="87"/>
  <c r="F130" i="87"/>
  <c r="G129" i="82"/>
  <c r="H129" i="82"/>
  <c r="C129" i="82"/>
  <c r="M129" i="82"/>
  <c r="E130" i="87"/>
  <c r="D130" i="87"/>
  <c r="C130" i="87"/>
  <c r="B130" i="87"/>
  <c r="A129" i="87"/>
  <c r="J129" i="87"/>
  <c r="I129" i="87"/>
  <c r="H129" i="87"/>
  <c r="G129" i="87"/>
  <c r="F129" i="87"/>
  <c r="G128" i="82"/>
  <c r="H128" i="82"/>
  <c r="C128" i="82"/>
  <c r="M128" i="82"/>
  <c r="E129" i="87"/>
  <c r="D129" i="87"/>
  <c r="C129" i="87"/>
  <c r="B129" i="87"/>
  <c r="A128" i="87"/>
  <c r="J128" i="87"/>
  <c r="I128" i="87"/>
  <c r="H128" i="87"/>
  <c r="G128" i="87"/>
  <c r="F128" i="87"/>
  <c r="G127" i="82"/>
  <c r="H127" i="82"/>
  <c r="C127" i="82"/>
  <c r="M127" i="82"/>
  <c r="E128" i="87"/>
  <c r="D128" i="87"/>
  <c r="C128" i="87"/>
  <c r="B128" i="87"/>
  <c r="A127" i="87"/>
  <c r="J127" i="87"/>
  <c r="I127" i="87"/>
  <c r="H127" i="87"/>
  <c r="G127" i="87"/>
  <c r="F127" i="87"/>
  <c r="G126" i="82"/>
  <c r="H126" i="82"/>
  <c r="C126" i="82"/>
  <c r="M126" i="82"/>
  <c r="E127" i="87"/>
  <c r="D127" i="87"/>
  <c r="C127" i="87"/>
  <c r="B127" i="87"/>
  <c r="A126" i="87"/>
  <c r="J126" i="87"/>
  <c r="I126" i="87"/>
  <c r="H126" i="87"/>
  <c r="G126" i="87"/>
  <c r="F126" i="87"/>
  <c r="G125" i="82"/>
  <c r="H125" i="82"/>
  <c r="C125" i="82"/>
  <c r="M125" i="82"/>
  <c r="E126" i="87"/>
  <c r="D126" i="87"/>
  <c r="C126" i="87"/>
  <c r="B126" i="87"/>
  <c r="A125" i="87"/>
  <c r="J125" i="87"/>
  <c r="I125" i="87"/>
  <c r="H125" i="87"/>
  <c r="G125" i="87"/>
  <c r="F125" i="87"/>
  <c r="G124" i="82"/>
  <c r="H124" i="82"/>
  <c r="C124" i="82"/>
  <c r="M124" i="82"/>
  <c r="E125" i="87"/>
  <c r="D125" i="87"/>
  <c r="C125" i="87"/>
  <c r="B125" i="87"/>
  <c r="A124" i="87"/>
  <c r="J124" i="87"/>
  <c r="I124" i="87"/>
  <c r="H124" i="87"/>
  <c r="G124" i="87"/>
  <c r="F124" i="87"/>
  <c r="G123" i="82"/>
  <c r="H123" i="82"/>
  <c r="C123" i="82"/>
  <c r="M123" i="82"/>
  <c r="E124" i="87"/>
  <c r="D124" i="87"/>
  <c r="C124" i="87"/>
  <c r="B124" i="87"/>
  <c r="A123" i="87"/>
  <c r="J123" i="87"/>
  <c r="I123" i="87"/>
  <c r="H123" i="87"/>
  <c r="G123" i="87"/>
  <c r="F123" i="87"/>
  <c r="G122" i="82"/>
  <c r="H122" i="82"/>
  <c r="C122" i="82"/>
  <c r="M122" i="82"/>
  <c r="E123" i="87"/>
  <c r="D123" i="87"/>
  <c r="C123" i="87"/>
  <c r="B123" i="87"/>
  <c r="A122" i="87"/>
  <c r="J122" i="87"/>
  <c r="I122" i="87"/>
  <c r="H122" i="87"/>
  <c r="G122" i="87"/>
  <c r="F122" i="87"/>
  <c r="G121" i="82"/>
  <c r="H121" i="82"/>
  <c r="C121" i="82"/>
  <c r="M121" i="82"/>
  <c r="E122" i="87"/>
  <c r="D122" i="87"/>
  <c r="C122" i="87"/>
  <c r="B122" i="87"/>
  <c r="A121" i="87"/>
  <c r="J121" i="87"/>
  <c r="I121" i="87"/>
  <c r="H121" i="87"/>
  <c r="G121" i="87"/>
  <c r="F121" i="87"/>
  <c r="G120" i="82"/>
  <c r="H120" i="82"/>
  <c r="C120" i="82"/>
  <c r="M120" i="82"/>
  <c r="E121" i="87"/>
  <c r="D121" i="87"/>
  <c r="C121" i="87"/>
  <c r="B121" i="87"/>
  <c r="A120" i="87"/>
  <c r="J120" i="87"/>
  <c r="I120" i="87"/>
  <c r="H120" i="87"/>
  <c r="G120" i="87"/>
  <c r="F120" i="87"/>
  <c r="G119" i="82"/>
  <c r="H119" i="82"/>
  <c r="C119" i="82"/>
  <c r="M119" i="82"/>
  <c r="E120" i="87"/>
  <c r="D120" i="87"/>
  <c r="C120" i="87"/>
  <c r="B120" i="87"/>
  <c r="A119" i="87"/>
  <c r="J119" i="87"/>
  <c r="I119" i="87"/>
  <c r="H119" i="87"/>
  <c r="G119" i="87"/>
  <c r="F119" i="87"/>
  <c r="G118" i="82"/>
  <c r="H118" i="82"/>
  <c r="C118" i="82"/>
  <c r="M118" i="82"/>
  <c r="E119" i="87"/>
  <c r="D119" i="87"/>
  <c r="C119" i="87"/>
  <c r="B119" i="87"/>
  <c r="A118" i="87"/>
  <c r="J118" i="87"/>
  <c r="I118" i="87"/>
  <c r="H118" i="87"/>
  <c r="G118" i="87"/>
  <c r="F118" i="87"/>
  <c r="G117" i="82"/>
  <c r="H117" i="82"/>
  <c r="C117" i="82"/>
  <c r="M117" i="82"/>
  <c r="E118" i="87"/>
  <c r="D118" i="87"/>
  <c r="C118" i="87"/>
  <c r="B118" i="87"/>
  <c r="A117" i="87"/>
  <c r="J117" i="87"/>
  <c r="I117" i="87"/>
  <c r="H117" i="87"/>
  <c r="G117" i="87"/>
  <c r="F117" i="87"/>
  <c r="G116" i="82"/>
  <c r="H116" i="82"/>
  <c r="C116" i="82"/>
  <c r="M116" i="82"/>
  <c r="E117" i="87"/>
  <c r="D117" i="87"/>
  <c r="C117" i="87"/>
  <c r="B117" i="87"/>
  <c r="A116" i="87"/>
  <c r="J116" i="87"/>
  <c r="I116" i="87"/>
  <c r="H116" i="87"/>
  <c r="G116" i="87"/>
  <c r="F116" i="87"/>
  <c r="G115" i="82"/>
  <c r="H115" i="82"/>
  <c r="C115" i="82"/>
  <c r="M115" i="82"/>
  <c r="E116" i="87"/>
  <c r="D116" i="87"/>
  <c r="C116" i="87"/>
  <c r="B116" i="87"/>
  <c r="A115" i="87"/>
  <c r="J115" i="87"/>
  <c r="I115" i="87"/>
  <c r="H115" i="87"/>
  <c r="G115" i="87"/>
  <c r="F115" i="87"/>
  <c r="G114" i="82"/>
  <c r="H114" i="82"/>
  <c r="C114" i="82"/>
  <c r="M114" i="82"/>
  <c r="E115" i="87"/>
  <c r="D115" i="87"/>
  <c r="C115" i="87"/>
  <c r="B115" i="87"/>
  <c r="A114" i="87"/>
  <c r="J114" i="87"/>
  <c r="I114" i="87"/>
  <c r="H114" i="87"/>
  <c r="G114" i="87"/>
  <c r="F114" i="87"/>
  <c r="G113" i="82"/>
  <c r="H113" i="82"/>
  <c r="C113" i="82"/>
  <c r="M113" i="82"/>
  <c r="E114" i="87"/>
  <c r="D114" i="87"/>
  <c r="C114" i="87"/>
  <c r="B114" i="87"/>
  <c r="A113" i="87"/>
  <c r="J113" i="87"/>
  <c r="I113" i="87"/>
  <c r="H113" i="87"/>
  <c r="G113" i="87"/>
  <c r="F113" i="87"/>
  <c r="G112" i="82"/>
  <c r="H112" i="82"/>
  <c r="C112" i="82"/>
  <c r="M112" i="82"/>
  <c r="E113" i="87"/>
  <c r="D113" i="87"/>
  <c r="C113" i="87"/>
  <c r="B113" i="87"/>
  <c r="A112" i="87"/>
  <c r="J112" i="87"/>
  <c r="I112" i="87"/>
  <c r="H112" i="87"/>
  <c r="G112" i="87"/>
  <c r="F112" i="87"/>
  <c r="G111" i="82"/>
  <c r="H111" i="82"/>
  <c r="C111" i="82"/>
  <c r="M111" i="82"/>
  <c r="E112" i="87"/>
  <c r="D112" i="87"/>
  <c r="C112" i="87"/>
  <c r="B112" i="87"/>
  <c r="A111" i="87"/>
  <c r="J111" i="87"/>
  <c r="I111" i="87"/>
  <c r="H111" i="87"/>
  <c r="G111" i="87"/>
  <c r="F111" i="87"/>
  <c r="G110" i="82"/>
  <c r="H110" i="82"/>
  <c r="C110" i="82"/>
  <c r="M110" i="82"/>
  <c r="E111" i="87"/>
  <c r="D111" i="87"/>
  <c r="C111" i="87"/>
  <c r="B111" i="87"/>
  <c r="A110" i="87"/>
  <c r="J110" i="87"/>
  <c r="I110" i="87"/>
  <c r="H110" i="87"/>
  <c r="G110" i="87"/>
  <c r="F110" i="87"/>
  <c r="G109" i="82"/>
  <c r="H109" i="82"/>
  <c r="C109" i="82"/>
  <c r="M109" i="82"/>
  <c r="E110" i="87"/>
  <c r="D110" i="87"/>
  <c r="C110" i="87"/>
  <c r="B110" i="87"/>
  <c r="A109" i="87"/>
  <c r="J109" i="87"/>
  <c r="I109" i="87"/>
  <c r="H109" i="87"/>
  <c r="G109" i="87"/>
  <c r="F109" i="87"/>
  <c r="G108" i="82"/>
  <c r="H108" i="82"/>
  <c r="C108" i="82"/>
  <c r="M108" i="82"/>
  <c r="E109" i="87"/>
  <c r="D109" i="87"/>
  <c r="C109" i="87"/>
  <c r="B109" i="87"/>
  <c r="A108" i="87"/>
  <c r="J108" i="87"/>
  <c r="I108" i="87"/>
  <c r="H108" i="87"/>
  <c r="G108" i="87"/>
  <c r="F108" i="87"/>
  <c r="G107" i="82"/>
  <c r="H107" i="82"/>
  <c r="C107" i="82"/>
  <c r="M107" i="82"/>
  <c r="E108" i="87"/>
  <c r="D108" i="87"/>
  <c r="C108" i="87"/>
  <c r="B108" i="87"/>
  <c r="A107" i="87"/>
  <c r="J107" i="87"/>
  <c r="I107" i="87"/>
  <c r="H107" i="87"/>
  <c r="G107" i="87"/>
  <c r="F107" i="87"/>
  <c r="G106" i="82"/>
  <c r="H106" i="82"/>
  <c r="C106" i="82"/>
  <c r="M106" i="82"/>
  <c r="E107" i="87"/>
  <c r="D107" i="87"/>
  <c r="C107" i="87"/>
  <c r="B107" i="87"/>
  <c r="A106" i="87"/>
  <c r="J106" i="87"/>
  <c r="I106" i="87"/>
  <c r="H106" i="87"/>
  <c r="G106" i="87"/>
  <c r="F106" i="87"/>
  <c r="G105" i="82"/>
  <c r="H105" i="82"/>
  <c r="C105" i="82"/>
  <c r="M105" i="82"/>
  <c r="E106" i="87"/>
  <c r="D106" i="87"/>
  <c r="C106" i="87"/>
  <c r="B106" i="87"/>
  <c r="A105" i="87"/>
  <c r="J105" i="87"/>
  <c r="I105" i="87"/>
  <c r="H105" i="87"/>
  <c r="G105" i="87"/>
  <c r="F105" i="87"/>
  <c r="G104" i="82"/>
  <c r="H104" i="82"/>
  <c r="C104" i="82"/>
  <c r="M104" i="82"/>
  <c r="E105" i="87"/>
  <c r="D105" i="87"/>
  <c r="C105" i="87"/>
  <c r="B105" i="87"/>
  <c r="A104" i="87"/>
  <c r="J104" i="87"/>
  <c r="I104" i="87"/>
  <c r="H104" i="87"/>
  <c r="G104" i="87"/>
  <c r="F104" i="87"/>
  <c r="G103" i="82"/>
  <c r="H103" i="82"/>
  <c r="C103" i="82"/>
  <c r="M103" i="82"/>
  <c r="E104" i="87"/>
  <c r="D104" i="87"/>
  <c r="C104" i="87"/>
  <c r="B104" i="87"/>
  <c r="A103" i="87"/>
  <c r="J103" i="87"/>
  <c r="I103" i="87"/>
  <c r="H103" i="87"/>
  <c r="G103" i="87"/>
  <c r="F103" i="87"/>
  <c r="G102" i="82"/>
  <c r="H102" i="82"/>
  <c r="C102" i="82"/>
  <c r="M102" i="82"/>
  <c r="E103" i="87"/>
  <c r="D103" i="87"/>
  <c r="C103" i="87"/>
  <c r="B103" i="87"/>
  <c r="A102" i="87"/>
  <c r="J102" i="87"/>
  <c r="I102" i="87"/>
  <c r="H102" i="87"/>
  <c r="G102" i="87"/>
  <c r="F102" i="87"/>
  <c r="G101" i="82"/>
  <c r="H101" i="82"/>
  <c r="C101" i="82"/>
  <c r="M101" i="82"/>
  <c r="E102" i="87"/>
  <c r="D102" i="87"/>
  <c r="C102" i="87"/>
  <c r="B102" i="87"/>
  <c r="A101" i="87"/>
  <c r="J101" i="87"/>
  <c r="I101" i="87"/>
  <c r="H101" i="87"/>
  <c r="G101" i="87"/>
  <c r="F101" i="87"/>
  <c r="G100" i="82"/>
  <c r="H100" i="82"/>
  <c r="C100" i="82"/>
  <c r="M100" i="82"/>
  <c r="E101" i="87"/>
  <c r="D101" i="87"/>
  <c r="C101" i="87"/>
  <c r="B101" i="87"/>
  <c r="A100" i="87"/>
  <c r="J100" i="87"/>
  <c r="I100" i="87"/>
  <c r="H100" i="87"/>
  <c r="G100" i="87"/>
  <c r="F100" i="87"/>
  <c r="G99" i="82"/>
  <c r="H99" i="82"/>
  <c r="C99" i="82"/>
  <c r="M99" i="82"/>
  <c r="E100" i="87"/>
  <c r="D100" i="87"/>
  <c r="C100" i="87"/>
  <c r="B100" i="87"/>
  <c r="A99" i="87"/>
  <c r="J99" i="87"/>
  <c r="I99" i="87"/>
  <c r="H99" i="87"/>
  <c r="G99" i="87"/>
  <c r="F99" i="87"/>
  <c r="G98" i="82"/>
  <c r="H98" i="82"/>
  <c r="C98" i="82"/>
  <c r="M98" i="82"/>
  <c r="E99" i="87"/>
  <c r="D99" i="87"/>
  <c r="C99" i="87"/>
  <c r="B99" i="87"/>
  <c r="A98" i="87"/>
  <c r="J98" i="87"/>
  <c r="I98" i="87"/>
  <c r="H98" i="87"/>
  <c r="G98" i="87"/>
  <c r="F98" i="87"/>
  <c r="G97" i="82"/>
  <c r="H97" i="82"/>
  <c r="C97" i="82"/>
  <c r="M97" i="82"/>
  <c r="E98" i="87"/>
  <c r="D98" i="87"/>
  <c r="C98" i="87"/>
  <c r="B98" i="87"/>
  <c r="A97" i="87"/>
  <c r="J97" i="87"/>
  <c r="I97" i="87"/>
  <c r="H97" i="87"/>
  <c r="G97" i="87"/>
  <c r="F97" i="87"/>
  <c r="G96" i="82"/>
  <c r="H96" i="82"/>
  <c r="C96" i="82"/>
  <c r="M96" i="82"/>
  <c r="E97" i="87"/>
  <c r="D97" i="87"/>
  <c r="C97" i="87"/>
  <c r="B97" i="87"/>
  <c r="A96" i="87"/>
  <c r="J96" i="87"/>
  <c r="I96" i="87"/>
  <c r="H96" i="87"/>
  <c r="G96" i="87"/>
  <c r="F96" i="87"/>
  <c r="G95" i="82"/>
  <c r="H95" i="82"/>
  <c r="C95" i="82"/>
  <c r="M95" i="82"/>
  <c r="E96" i="87"/>
  <c r="D96" i="87"/>
  <c r="C96" i="87"/>
  <c r="B96" i="87"/>
  <c r="A95" i="87"/>
  <c r="J95" i="87"/>
  <c r="I95" i="87"/>
  <c r="H95" i="87"/>
  <c r="G95" i="87"/>
  <c r="F95" i="87"/>
  <c r="G94" i="82"/>
  <c r="H94" i="82"/>
  <c r="C94" i="82"/>
  <c r="M94" i="82"/>
  <c r="E95" i="87"/>
  <c r="D95" i="87"/>
  <c r="C95" i="87"/>
  <c r="B95" i="87"/>
  <c r="A94" i="87"/>
  <c r="J94" i="87"/>
  <c r="I94" i="87"/>
  <c r="H94" i="87"/>
  <c r="G94" i="87"/>
  <c r="F94" i="87"/>
  <c r="G93" i="82"/>
  <c r="H93" i="82"/>
  <c r="C93" i="82"/>
  <c r="M93" i="82"/>
  <c r="E94" i="87"/>
  <c r="D94" i="87"/>
  <c r="C94" i="87"/>
  <c r="B94" i="87"/>
  <c r="A93" i="87"/>
  <c r="J93" i="87"/>
  <c r="I93" i="87"/>
  <c r="H93" i="87"/>
  <c r="G93" i="87"/>
  <c r="F93" i="87"/>
  <c r="G92" i="82"/>
  <c r="H92" i="82"/>
  <c r="C92" i="82"/>
  <c r="M92" i="82"/>
  <c r="E93" i="87"/>
  <c r="D93" i="87"/>
  <c r="C93" i="87"/>
  <c r="B93" i="87"/>
  <c r="A92" i="87"/>
  <c r="J92" i="87"/>
  <c r="I92" i="87"/>
  <c r="H92" i="87"/>
  <c r="G92" i="87"/>
  <c r="F92" i="87"/>
  <c r="G91" i="82"/>
  <c r="H91" i="82"/>
  <c r="C91" i="82"/>
  <c r="M91" i="82"/>
  <c r="E92" i="87"/>
  <c r="D92" i="87"/>
  <c r="C92" i="87"/>
  <c r="B92" i="87"/>
  <c r="A91" i="87"/>
  <c r="J91" i="87"/>
  <c r="I91" i="87"/>
  <c r="H91" i="87"/>
  <c r="G91" i="87"/>
  <c r="F91" i="87"/>
  <c r="G90" i="82"/>
  <c r="H90" i="82"/>
  <c r="C90" i="82"/>
  <c r="M90" i="82"/>
  <c r="E91" i="87"/>
  <c r="D91" i="87"/>
  <c r="C91" i="87"/>
  <c r="B91" i="87"/>
  <c r="A90" i="87"/>
  <c r="J90" i="87"/>
  <c r="I90" i="87"/>
  <c r="H90" i="87"/>
  <c r="G90" i="87"/>
  <c r="F90" i="87"/>
  <c r="G89" i="82"/>
  <c r="H89" i="82"/>
  <c r="C89" i="82"/>
  <c r="M89" i="82"/>
  <c r="E90" i="87"/>
  <c r="D90" i="87"/>
  <c r="C90" i="87"/>
  <c r="B90" i="87"/>
  <c r="A89" i="87"/>
  <c r="J89" i="87"/>
  <c r="I89" i="87"/>
  <c r="H89" i="87"/>
  <c r="G89" i="87"/>
  <c r="F89" i="87"/>
  <c r="G88" i="82"/>
  <c r="H88" i="82"/>
  <c r="C88" i="82"/>
  <c r="M88" i="82"/>
  <c r="E89" i="87"/>
  <c r="D89" i="87"/>
  <c r="C89" i="87"/>
  <c r="B89" i="87"/>
  <c r="A88" i="87"/>
  <c r="J88" i="87"/>
  <c r="I88" i="87"/>
  <c r="H88" i="87"/>
  <c r="G88" i="87"/>
  <c r="F88" i="87"/>
  <c r="G87" i="82"/>
  <c r="H87" i="82"/>
  <c r="C87" i="82"/>
  <c r="M87" i="82"/>
  <c r="E88" i="87"/>
  <c r="D88" i="87"/>
  <c r="C88" i="87"/>
  <c r="B88" i="87"/>
  <c r="A87" i="87"/>
  <c r="J87" i="87"/>
  <c r="I87" i="87"/>
  <c r="H87" i="87"/>
  <c r="G87" i="87"/>
  <c r="F87" i="87"/>
  <c r="G86" i="82"/>
  <c r="H86" i="82"/>
  <c r="C86" i="82"/>
  <c r="M86" i="82"/>
  <c r="E87" i="87"/>
  <c r="D87" i="87"/>
  <c r="C87" i="87"/>
  <c r="B87" i="87"/>
  <c r="A86" i="87"/>
  <c r="J86" i="87"/>
  <c r="I86" i="87"/>
  <c r="H86" i="87"/>
  <c r="G86" i="87"/>
  <c r="F86" i="87"/>
  <c r="G85" i="82"/>
  <c r="H85" i="82"/>
  <c r="C85" i="82"/>
  <c r="M85" i="82"/>
  <c r="E86" i="87"/>
  <c r="D86" i="87"/>
  <c r="C86" i="87"/>
  <c r="B86" i="87"/>
  <c r="A85" i="87"/>
  <c r="J85" i="87"/>
  <c r="I85" i="87"/>
  <c r="H85" i="87"/>
  <c r="G85" i="87"/>
  <c r="F85" i="87"/>
  <c r="G84" i="82"/>
  <c r="H84" i="82"/>
  <c r="C84" i="82"/>
  <c r="M84" i="82"/>
  <c r="E85" i="87"/>
  <c r="D85" i="87"/>
  <c r="C85" i="87"/>
  <c r="B85" i="87"/>
  <c r="A84" i="87"/>
  <c r="J84" i="87"/>
  <c r="I84" i="87"/>
  <c r="H84" i="87"/>
  <c r="G84" i="87"/>
  <c r="F84" i="87"/>
  <c r="G83" i="82"/>
  <c r="H83" i="82"/>
  <c r="C83" i="82"/>
  <c r="M83" i="82"/>
  <c r="E84" i="87"/>
  <c r="D84" i="87"/>
  <c r="C84" i="87"/>
  <c r="B84" i="87"/>
  <c r="A83" i="87"/>
  <c r="J83" i="87"/>
  <c r="I83" i="87"/>
  <c r="H83" i="87"/>
  <c r="G83" i="87"/>
  <c r="F83" i="87"/>
  <c r="G82" i="82"/>
  <c r="H82" i="82"/>
  <c r="C82" i="82"/>
  <c r="M82" i="82"/>
  <c r="E83" i="87"/>
  <c r="D83" i="87"/>
  <c r="C83" i="87"/>
  <c r="B83" i="87"/>
  <c r="A82" i="87"/>
  <c r="J82" i="87"/>
  <c r="I82" i="87"/>
  <c r="H82" i="87"/>
  <c r="G82" i="87"/>
  <c r="F82" i="87"/>
  <c r="G81" i="82"/>
  <c r="H81" i="82"/>
  <c r="C81" i="82"/>
  <c r="M81" i="82"/>
  <c r="E82" i="87"/>
  <c r="D82" i="87"/>
  <c r="C82" i="87"/>
  <c r="B82" i="87"/>
  <c r="A81" i="87"/>
  <c r="J81" i="87"/>
  <c r="I81" i="87"/>
  <c r="H81" i="87"/>
  <c r="G81" i="87"/>
  <c r="F81" i="87"/>
  <c r="G80" i="82"/>
  <c r="H80" i="82"/>
  <c r="C80" i="82"/>
  <c r="M80" i="82"/>
  <c r="E81" i="87"/>
  <c r="D81" i="87"/>
  <c r="C81" i="87"/>
  <c r="B81" i="87"/>
  <c r="A80" i="87"/>
  <c r="J80" i="87"/>
  <c r="I80" i="87"/>
  <c r="H80" i="87"/>
  <c r="G80" i="87"/>
  <c r="F80" i="87"/>
  <c r="G79" i="82"/>
  <c r="H79" i="82"/>
  <c r="C79" i="82"/>
  <c r="M79" i="82"/>
  <c r="E80" i="87"/>
  <c r="D80" i="87"/>
  <c r="C80" i="87"/>
  <c r="B80" i="87"/>
  <c r="A79" i="87"/>
  <c r="J79" i="87"/>
  <c r="I79" i="87"/>
  <c r="H79" i="87"/>
  <c r="G79" i="87"/>
  <c r="F79" i="87"/>
  <c r="G78" i="82"/>
  <c r="H78" i="82"/>
  <c r="C78" i="82"/>
  <c r="M78" i="82"/>
  <c r="E79" i="87"/>
  <c r="D79" i="87"/>
  <c r="C79" i="87"/>
  <c r="B79" i="87"/>
  <c r="A78" i="87"/>
  <c r="J78" i="87"/>
  <c r="I78" i="87"/>
  <c r="H78" i="87"/>
  <c r="G78" i="87"/>
  <c r="F78" i="87"/>
  <c r="G77" i="82"/>
  <c r="H77" i="82"/>
  <c r="C77" i="82"/>
  <c r="M77" i="82"/>
  <c r="E78" i="87"/>
  <c r="D78" i="87"/>
  <c r="C78" i="87"/>
  <c r="B78" i="87"/>
  <c r="A77" i="87"/>
  <c r="J77" i="87"/>
  <c r="I77" i="87"/>
  <c r="H77" i="87"/>
  <c r="G77" i="87"/>
  <c r="F77" i="87"/>
  <c r="G76" i="82"/>
  <c r="H76" i="82"/>
  <c r="C76" i="82"/>
  <c r="M76" i="82"/>
  <c r="E77" i="87"/>
  <c r="D77" i="87"/>
  <c r="C77" i="87"/>
  <c r="B77" i="87"/>
  <c r="A76" i="87"/>
  <c r="J76" i="87"/>
  <c r="I76" i="87"/>
  <c r="H76" i="87"/>
  <c r="G76" i="87"/>
  <c r="F76" i="87"/>
  <c r="G75" i="82"/>
  <c r="H75" i="82"/>
  <c r="C75" i="82"/>
  <c r="M75" i="82"/>
  <c r="E76" i="87"/>
  <c r="D76" i="87"/>
  <c r="C76" i="87"/>
  <c r="B76" i="87"/>
  <c r="A75" i="87"/>
  <c r="J75" i="87"/>
  <c r="I75" i="87"/>
  <c r="H75" i="87"/>
  <c r="G75" i="87"/>
  <c r="F75" i="87"/>
  <c r="G74" i="82"/>
  <c r="H74" i="82"/>
  <c r="C74" i="82"/>
  <c r="M74" i="82"/>
  <c r="E75" i="87"/>
  <c r="D75" i="87"/>
  <c r="C75" i="87"/>
  <c r="B75" i="87"/>
  <c r="A74" i="87"/>
  <c r="J74" i="87"/>
  <c r="I74" i="87"/>
  <c r="H74" i="87"/>
  <c r="G74" i="87"/>
  <c r="F74" i="87"/>
  <c r="G73" i="82"/>
  <c r="H73" i="82"/>
  <c r="C73" i="82"/>
  <c r="M73" i="82"/>
  <c r="E74" i="87"/>
  <c r="D74" i="87"/>
  <c r="C74" i="87"/>
  <c r="B74" i="87"/>
  <c r="A73" i="87"/>
  <c r="J73" i="87"/>
  <c r="I73" i="87"/>
  <c r="H73" i="87"/>
  <c r="G73" i="87"/>
  <c r="F73" i="87"/>
  <c r="G72" i="82"/>
  <c r="H72" i="82"/>
  <c r="C72" i="82"/>
  <c r="M72" i="82"/>
  <c r="E73" i="87"/>
  <c r="D73" i="87"/>
  <c r="C73" i="87"/>
  <c r="B73" i="87"/>
  <c r="A72" i="87"/>
  <c r="J72" i="87"/>
  <c r="I72" i="87"/>
  <c r="H72" i="87"/>
  <c r="G72" i="87"/>
  <c r="F72" i="87"/>
  <c r="G71" i="82"/>
  <c r="H71" i="82"/>
  <c r="C71" i="82"/>
  <c r="M71" i="82"/>
  <c r="E72" i="87"/>
  <c r="D72" i="87"/>
  <c r="C72" i="87"/>
  <c r="B72" i="87"/>
  <c r="A71" i="87"/>
  <c r="J71" i="87"/>
  <c r="I71" i="87"/>
  <c r="H71" i="87"/>
  <c r="G71" i="87"/>
  <c r="F71" i="87"/>
  <c r="G70" i="82"/>
  <c r="H70" i="82"/>
  <c r="C70" i="82"/>
  <c r="M70" i="82"/>
  <c r="E71" i="87"/>
  <c r="D71" i="87"/>
  <c r="C71" i="87"/>
  <c r="B71" i="87"/>
  <c r="A70" i="87"/>
  <c r="J70" i="87"/>
  <c r="I70" i="87"/>
  <c r="H70" i="87"/>
  <c r="G70" i="87"/>
  <c r="F70" i="87"/>
  <c r="G69" i="82"/>
  <c r="H69" i="82"/>
  <c r="C69" i="82"/>
  <c r="M69" i="82"/>
  <c r="E70" i="87"/>
  <c r="D70" i="87"/>
  <c r="C70" i="87"/>
  <c r="B70" i="87"/>
  <c r="A69" i="87"/>
  <c r="J69" i="87"/>
  <c r="I69" i="87"/>
  <c r="H69" i="87"/>
  <c r="G69" i="87"/>
  <c r="F69" i="87"/>
  <c r="G68" i="82"/>
  <c r="H68" i="82"/>
  <c r="C68" i="82"/>
  <c r="M68" i="82"/>
  <c r="E69" i="87"/>
  <c r="D69" i="87"/>
  <c r="C69" i="87"/>
  <c r="B69" i="87"/>
  <c r="A68" i="87"/>
  <c r="J68" i="87"/>
  <c r="I68" i="87"/>
  <c r="H68" i="87"/>
  <c r="G68" i="87"/>
  <c r="F68" i="87"/>
  <c r="G67" i="82"/>
  <c r="H67" i="82"/>
  <c r="C67" i="82"/>
  <c r="M67" i="82"/>
  <c r="E68" i="87"/>
  <c r="D68" i="87"/>
  <c r="C68" i="87"/>
  <c r="B68" i="87"/>
  <c r="A67" i="87"/>
  <c r="J67" i="87"/>
  <c r="I67" i="87"/>
  <c r="H67" i="87"/>
  <c r="G67" i="87"/>
  <c r="F67" i="87"/>
  <c r="G66" i="82"/>
  <c r="H66" i="82"/>
  <c r="C66" i="82"/>
  <c r="M66" i="82"/>
  <c r="E67" i="87"/>
  <c r="D67" i="87"/>
  <c r="C67" i="87"/>
  <c r="B67" i="87"/>
  <c r="A66" i="87"/>
  <c r="J66" i="87"/>
  <c r="I66" i="87"/>
  <c r="H66" i="87"/>
  <c r="G66" i="87"/>
  <c r="F66" i="87"/>
  <c r="G65" i="82"/>
  <c r="H65" i="82"/>
  <c r="C65" i="82"/>
  <c r="M65" i="82"/>
  <c r="E66" i="87"/>
  <c r="D66" i="87"/>
  <c r="C66" i="87"/>
  <c r="B66" i="87"/>
  <c r="A65" i="87"/>
  <c r="J65" i="87"/>
  <c r="I65" i="87"/>
  <c r="H65" i="87"/>
  <c r="G65" i="87"/>
  <c r="F65" i="87"/>
  <c r="G64" i="82"/>
  <c r="H64" i="82"/>
  <c r="C64" i="82"/>
  <c r="M64" i="82"/>
  <c r="E65" i="87"/>
  <c r="D65" i="87"/>
  <c r="C65" i="87"/>
  <c r="B65" i="87"/>
  <c r="A64" i="87"/>
  <c r="J64" i="87"/>
  <c r="I64" i="87"/>
  <c r="H64" i="87"/>
  <c r="G64" i="87"/>
  <c r="F64" i="87"/>
  <c r="G63" i="82"/>
  <c r="H63" i="82"/>
  <c r="C63" i="82"/>
  <c r="M63" i="82"/>
  <c r="E64" i="87"/>
  <c r="D64" i="87"/>
  <c r="C64" i="87"/>
  <c r="B64" i="87"/>
  <c r="A63" i="87"/>
  <c r="J63" i="87"/>
  <c r="I63" i="87"/>
  <c r="H63" i="87"/>
  <c r="G63" i="87"/>
  <c r="F63" i="87"/>
  <c r="G62" i="82"/>
  <c r="H62" i="82"/>
  <c r="C62" i="82"/>
  <c r="M62" i="82"/>
  <c r="E63" i="87"/>
  <c r="D63" i="87"/>
  <c r="C63" i="87"/>
  <c r="B63" i="87"/>
  <c r="A62" i="87"/>
  <c r="J62" i="87"/>
  <c r="I62" i="87"/>
  <c r="H62" i="87"/>
  <c r="G62" i="87"/>
  <c r="F62" i="87"/>
  <c r="G61" i="82"/>
  <c r="H61" i="82"/>
  <c r="C61" i="82"/>
  <c r="M61" i="82"/>
  <c r="E62" i="87"/>
  <c r="D62" i="87"/>
  <c r="C62" i="87"/>
  <c r="B62" i="87"/>
  <c r="A61" i="87"/>
  <c r="J61" i="87"/>
  <c r="I61" i="87"/>
  <c r="H61" i="87"/>
  <c r="G61" i="87"/>
  <c r="F61" i="87"/>
  <c r="G60" i="82"/>
  <c r="H60" i="82"/>
  <c r="C60" i="82"/>
  <c r="M60" i="82"/>
  <c r="E61" i="87"/>
  <c r="D61" i="87"/>
  <c r="C61" i="87"/>
  <c r="B61" i="87"/>
  <c r="A60" i="87"/>
  <c r="J60" i="87"/>
  <c r="I60" i="87"/>
  <c r="H60" i="87"/>
  <c r="G60" i="87"/>
  <c r="F60" i="87"/>
  <c r="G59" i="82"/>
  <c r="H59" i="82"/>
  <c r="C59" i="82"/>
  <c r="M59" i="82"/>
  <c r="E60" i="87"/>
  <c r="D60" i="87"/>
  <c r="C60" i="87"/>
  <c r="B60" i="87"/>
  <c r="A59" i="87"/>
  <c r="J59" i="87"/>
  <c r="I59" i="87"/>
  <c r="H59" i="87"/>
  <c r="G59" i="87"/>
  <c r="F59" i="87"/>
  <c r="G58" i="82"/>
  <c r="H58" i="82"/>
  <c r="C58" i="82"/>
  <c r="M58" i="82"/>
  <c r="E59" i="87"/>
  <c r="D59" i="87"/>
  <c r="C59" i="87"/>
  <c r="B59" i="87"/>
  <c r="A58" i="87"/>
  <c r="J58" i="87"/>
  <c r="I58" i="87"/>
  <c r="H58" i="87"/>
  <c r="G58" i="87"/>
  <c r="F58" i="87"/>
  <c r="G57" i="82"/>
  <c r="H57" i="82"/>
  <c r="C57" i="82"/>
  <c r="M57" i="82"/>
  <c r="E58" i="87"/>
  <c r="D58" i="87"/>
  <c r="C58" i="87"/>
  <c r="B58" i="87"/>
  <c r="A57" i="87"/>
  <c r="J57" i="87"/>
  <c r="I57" i="87"/>
  <c r="H57" i="87"/>
  <c r="G57" i="87"/>
  <c r="F57" i="87"/>
  <c r="G56" i="82"/>
  <c r="H56" i="82"/>
  <c r="C56" i="82"/>
  <c r="M56" i="82"/>
  <c r="E57" i="87"/>
  <c r="D57" i="87"/>
  <c r="C57" i="87"/>
  <c r="B57" i="87"/>
  <c r="A56" i="87"/>
  <c r="J56" i="87"/>
  <c r="I56" i="87"/>
  <c r="H56" i="87"/>
  <c r="G56" i="87"/>
  <c r="F56" i="87"/>
  <c r="G55" i="82"/>
  <c r="H55" i="82"/>
  <c r="C55" i="82"/>
  <c r="M55" i="82"/>
  <c r="E56" i="87"/>
  <c r="D56" i="87"/>
  <c r="C56" i="87"/>
  <c r="B56" i="87"/>
  <c r="A55" i="87"/>
  <c r="J55" i="87"/>
  <c r="I55" i="87"/>
  <c r="H55" i="87"/>
  <c r="G55" i="87"/>
  <c r="F55" i="87"/>
  <c r="G54" i="82"/>
  <c r="H54" i="82"/>
  <c r="C54" i="82"/>
  <c r="M54" i="82"/>
  <c r="E55" i="87"/>
  <c r="D55" i="87"/>
  <c r="C55" i="87"/>
  <c r="B55" i="87"/>
  <c r="A54" i="87"/>
  <c r="J54" i="87"/>
  <c r="I54" i="87"/>
  <c r="H54" i="87"/>
  <c r="G54" i="87"/>
  <c r="F54" i="87"/>
  <c r="G53" i="82"/>
  <c r="H53" i="82"/>
  <c r="C53" i="82"/>
  <c r="M53" i="82"/>
  <c r="E54" i="87"/>
  <c r="D54" i="87"/>
  <c r="C54" i="87"/>
  <c r="B54" i="87"/>
  <c r="A53" i="87"/>
  <c r="J53" i="87"/>
  <c r="I53" i="87"/>
  <c r="H53" i="87"/>
  <c r="G53" i="87"/>
  <c r="F53" i="87"/>
  <c r="G52" i="82"/>
  <c r="H52" i="82"/>
  <c r="C52" i="82"/>
  <c r="M52" i="82"/>
  <c r="E53" i="87"/>
  <c r="D53" i="87"/>
  <c r="C53" i="87"/>
  <c r="B53" i="87"/>
  <c r="A52" i="87"/>
  <c r="J52" i="87"/>
  <c r="I52" i="87"/>
  <c r="H52" i="87"/>
  <c r="G52" i="87"/>
  <c r="F52" i="87"/>
  <c r="G51" i="82"/>
  <c r="H51" i="82"/>
  <c r="C51" i="82"/>
  <c r="M51" i="82"/>
  <c r="E52" i="87"/>
  <c r="D52" i="87"/>
  <c r="C52" i="87"/>
  <c r="B52" i="87"/>
  <c r="A51" i="87"/>
  <c r="J51" i="87"/>
  <c r="I51" i="87"/>
  <c r="H51" i="87"/>
  <c r="G51" i="87"/>
  <c r="F51" i="87"/>
  <c r="G50" i="82"/>
  <c r="H50" i="82"/>
  <c r="C50" i="82"/>
  <c r="M50" i="82"/>
  <c r="E51" i="87"/>
  <c r="D51" i="87"/>
  <c r="C51" i="87"/>
  <c r="B51" i="87"/>
  <c r="A50" i="87"/>
  <c r="J50" i="87"/>
  <c r="I50" i="87"/>
  <c r="H50" i="87"/>
  <c r="G50" i="87"/>
  <c r="F50" i="87"/>
  <c r="G49" i="82"/>
  <c r="H49" i="82"/>
  <c r="C49" i="82"/>
  <c r="M49" i="82"/>
  <c r="E50" i="87"/>
  <c r="D50" i="87"/>
  <c r="C50" i="87"/>
  <c r="B50" i="87"/>
  <c r="A49" i="87"/>
  <c r="J49" i="87"/>
  <c r="I49" i="87"/>
  <c r="H49" i="87"/>
  <c r="G49" i="87"/>
  <c r="F49" i="87"/>
  <c r="G48" i="82"/>
  <c r="H48" i="82"/>
  <c r="C48" i="82"/>
  <c r="M48" i="82"/>
  <c r="E49" i="87"/>
  <c r="D49" i="87"/>
  <c r="C49" i="87"/>
  <c r="B49" i="87"/>
  <c r="A48" i="87"/>
  <c r="J48" i="87"/>
  <c r="I48" i="87"/>
  <c r="H48" i="87"/>
  <c r="G48" i="87"/>
  <c r="F48" i="87"/>
  <c r="G47" i="82"/>
  <c r="H47" i="82"/>
  <c r="C47" i="82"/>
  <c r="M47" i="82"/>
  <c r="E48" i="87"/>
  <c r="D48" i="87"/>
  <c r="C48" i="87"/>
  <c r="B48" i="87"/>
  <c r="A47" i="87"/>
  <c r="J47" i="87"/>
  <c r="I47" i="87"/>
  <c r="H47" i="87"/>
  <c r="G47" i="87"/>
  <c r="F47" i="87"/>
  <c r="G46" i="82"/>
  <c r="H46" i="82"/>
  <c r="C46" i="82"/>
  <c r="M46" i="82"/>
  <c r="E47" i="87"/>
  <c r="D47" i="87"/>
  <c r="C47" i="87"/>
  <c r="B47" i="87"/>
  <c r="A46" i="87"/>
  <c r="J46" i="87"/>
  <c r="I46" i="87"/>
  <c r="H46" i="87"/>
  <c r="G46" i="87"/>
  <c r="F46" i="87"/>
  <c r="G45" i="82"/>
  <c r="H45" i="82"/>
  <c r="C45" i="82"/>
  <c r="M45" i="82"/>
  <c r="E46" i="87"/>
  <c r="D46" i="87"/>
  <c r="C46" i="87"/>
  <c r="B46" i="87"/>
  <c r="A45" i="87"/>
  <c r="J45" i="87"/>
  <c r="I45" i="87"/>
  <c r="H45" i="87"/>
  <c r="G45" i="87"/>
  <c r="F45" i="87"/>
  <c r="G44" i="82"/>
  <c r="H44" i="82"/>
  <c r="C44" i="82"/>
  <c r="M44" i="82"/>
  <c r="E45" i="87"/>
  <c r="D45" i="87"/>
  <c r="C45" i="87"/>
  <c r="B45" i="87"/>
  <c r="A44" i="87"/>
  <c r="J44" i="87"/>
  <c r="I44" i="87"/>
  <c r="H44" i="87"/>
  <c r="G44" i="87"/>
  <c r="F44" i="87"/>
  <c r="G43" i="82"/>
  <c r="H43" i="82"/>
  <c r="C43" i="82"/>
  <c r="M43" i="82"/>
  <c r="E44" i="87"/>
  <c r="D44" i="87"/>
  <c r="C44" i="87"/>
  <c r="B44" i="87"/>
  <c r="A43" i="87"/>
  <c r="J43" i="87"/>
  <c r="I43" i="87"/>
  <c r="H43" i="87"/>
  <c r="G43" i="87"/>
  <c r="F43" i="87"/>
  <c r="G42" i="82"/>
  <c r="H42" i="82"/>
  <c r="C42" i="82"/>
  <c r="M42" i="82"/>
  <c r="E43" i="87"/>
  <c r="D43" i="87"/>
  <c r="C43" i="87"/>
  <c r="B43" i="87"/>
  <c r="A42" i="87"/>
  <c r="J42" i="87"/>
  <c r="I42" i="87"/>
  <c r="H42" i="87"/>
  <c r="G42" i="87"/>
  <c r="F42" i="87"/>
  <c r="G41" i="82"/>
  <c r="H41" i="82"/>
  <c r="C41" i="82"/>
  <c r="M41" i="82"/>
  <c r="E42" i="87"/>
  <c r="D42" i="87"/>
  <c r="C42" i="87"/>
  <c r="B42" i="87"/>
  <c r="A41" i="87"/>
  <c r="J41" i="87"/>
  <c r="I41" i="87"/>
  <c r="H41" i="87"/>
  <c r="G41" i="87"/>
  <c r="F41" i="87"/>
  <c r="G40" i="82"/>
  <c r="H40" i="82"/>
  <c r="C40" i="82"/>
  <c r="M40" i="82"/>
  <c r="E41" i="87"/>
  <c r="D41" i="87"/>
  <c r="C41" i="87"/>
  <c r="B41" i="87"/>
  <c r="A40" i="87"/>
  <c r="J40" i="87"/>
  <c r="I40" i="87"/>
  <c r="H40" i="87"/>
  <c r="G40" i="87"/>
  <c r="F40" i="87"/>
  <c r="G39" i="82"/>
  <c r="H39" i="82"/>
  <c r="C39" i="82"/>
  <c r="M39" i="82"/>
  <c r="E40" i="87"/>
  <c r="D40" i="87"/>
  <c r="C40" i="87"/>
  <c r="B40" i="87"/>
  <c r="A39" i="87"/>
  <c r="J39" i="87"/>
  <c r="I39" i="87"/>
  <c r="H39" i="87"/>
  <c r="G39" i="87"/>
  <c r="F39" i="87"/>
  <c r="G38" i="82"/>
  <c r="H38" i="82"/>
  <c r="C38" i="82"/>
  <c r="M38" i="82"/>
  <c r="E39" i="87"/>
  <c r="D39" i="87"/>
  <c r="C39" i="87"/>
  <c r="B39" i="87"/>
  <c r="A38" i="87"/>
  <c r="J38" i="87"/>
  <c r="I38" i="87"/>
  <c r="H38" i="87"/>
  <c r="G38" i="87"/>
  <c r="F38" i="87"/>
  <c r="G37" i="82"/>
  <c r="H37" i="82"/>
  <c r="C37" i="82"/>
  <c r="M37" i="82"/>
  <c r="E38" i="87"/>
  <c r="D38" i="87"/>
  <c r="C38" i="87"/>
  <c r="B38" i="87"/>
  <c r="A37" i="87"/>
  <c r="J37" i="87"/>
  <c r="I37" i="87"/>
  <c r="H37" i="87"/>
  <c r="G37" i="87"/>
  <c r="F37" i="87"/>
  <c r="G36" i="82"/>
  <c r="H36" i="82"/>
  <c r="C36" i="82"/>
  <c r="M36" i="82"/>
  <c r="E37" i="87"/>
  <c r="D37" i="87"/>
  <c r="C37" i="87"/>
  <c r="B37" i="87"/>
  <c r="A36" i="87"/>
  <c r="J36" i="87"/>
  <c r="I36" i="87"/>
  <c r="H36" i="87"/>
  <c r="G36" i="87"/>
  <c r="F36" i="87"/>
  <c r="G35" i="82"/>
  <c r="H35" i="82"/>
  <c r="C35" i="82"/>
  <c r="M35" i="82"/>
  <c r="E36" i="87"/>
  <c r="D36" i="87"/>
  <c r="C36" i="87"/>
  <c r="B36" i="87"/>
  <c r="A35" i="87"/>
  <c r="J35" i="87"/>
  <c r="I35" i="87"/>
  <c r="H35" i="87"/>
  <c r="G35" i="87"/>
  <c r="F35" i="87"/>
  <c r="G34" i="82"/>
  <c r="H34" i="82"/>
  <c r="C34" i="82"/>
  <c r="M34" i="82"/>
  <c r="E35" i="87"/>
  <c r="D35" i="87"/>
  <c r="C35" i="87"/>
  <c r="B35" i="87"/>
  <c r="A34" i="87"/>
  <c r="J34" i="87"/>
  <c r="I34" i="87"/>
  <c r="H34" i="87"/>
  <c r="G34" i="87"/>
  <c r="F34" i="87"/>
  <c r="G33" i="82"/>
  <c r="H33" i="82"/>
  <c r="C33" i="82"/>
  <c r="M33" i="82"/>
  <c r="E34" i="87"/>
  <c r="D34" i="87"/>
  <c r="C34" i="87"/>
  <c r="B34" i="87"/>
  <c r="A33" i="87"/>
  <c r="J33" i="87"/>
  <c r="I33" i="87"/>
  <c r="H33" i="87"/>
  <c r="G33" i="87"/>
  <c r="F33" i="87"/>
  <c r="G32" i="82"/>
  <c r="H32" i="82"/>
  <c r="C32" i="82"/>
  <c r="M32" i="82"/>
  <c r="E33" i="87"/>
  <c r="D33" i="87"/>
  <c r="C33" i="87"/>
  <c r="B33" i="87"/>
  <c r="A32" i="87"/>
  <c r="J32" i="87"/>
  <c r="I32" i="87"/>
  <c r="H32" i="87"/>
  <c r="G32" i="87"/>
  <c r="F32" i="87"/>
  <c r="G31" i="82"/>
  <c r="H31" i="82"/>
  <c r="C31" i="82"/>
  <c r="M31" i="82"/>
  <c r="E32" i="87"/>
  <c r="D32" i="87"/>
  <c r="C32" i="87"/>
  <c r="B32" i="87"/>
  <c r="A31" i="87"/>
  <c r="J31" i="87"/>
  <c r="I31" i="87"/>
  <c r="H31" i="87"/>
  <c r="G31" i="87"/>
  <c r="F31" i="87"/>
  <c r="G30" i="82"/>
  <c r="H30" i="82"/>
  <c r="C30" i="82"/>
  <c r="M30" i="82"/>
  <c r="E31" i="87"/>
  <c r="D31" i="87"/>
  <c r="C31" i="87"/>
  <c r="B31" i="87"/>
  <c r="A30" i="87"/>
  <c r="J30" i="87"/>
  <c r="I30" i="87"/>
  <c r="H30" i="87"/>
  <c r="G30" i="87"/>
  <c r="F30" i="87"/>
  <c r="G29" i="82"/>
  <c r="H29" i="82"/>
  <c r="C29" i="82"/>
  <c r="M29" i="82"/>
  <c r="E30" i="87"/>
  <c r="D30" i="87"/>
  <c r="C30" i="87"/>
  <c r="B30" i="87"/>
  <c r="A29" i="87"/>
  <c r="J29" i="87"/>
  <c r="I29" i="87"/>
  <c r="H29" i="87"/>
  <c r="G29" i="87"/>
  <c r="F29" i="87"/>
  <c r="G28" i="82"/>
  <c r="H28" i="82"/>
  <c r="C28" i="82"/>
  <c r="M28" i="82"/>
  <c r="E29" i="87"/>
  <c r="D29" i="87"/>
  <c r="C29" i="87"/>
  <c r="B29" i="87"/>
  <c r="A28" i="87"/>
  <c r="J28" i="87"/>
  <c r="I28" i="87"/>
  <c r="H28" i="87"/>
  <c r="G28" i="87"/>
  <c r="F28" i="87"/>
  <c r="G27" i="82"/>
  <c r="H27" i="82"/>
  <c r="C27" i="82"/>
  <c r="M27" i="82"/>
  <c r="E28" i="87"/>
  <c r="D28" i="87"/>
  <c r="C28" i="87"/>
  <c r="B28" i="87"/>
  <c r="A27" i="87"/>
  <c r="J27" i="87"/>
  <c r="I27" i="87"/>
  <c r="H27" i="87"/>
  <c r="G27" i="87"/>
  <c r="F27" i="87"/>
  <c r="G26" i="82"/>
  <c r="H26" i="82"/>
  <c r="C26" i="82"/>
  <c r="M26" i="82"/>
  <c r="E27" i="87"/>
  <c r="D27" i="87"/>
  <c r="C27" i="87"/>
  <c r="B27" i="87"/>
  <c r="A26" i="87"/>
  <c r="J26" i="87"/>
  <c r="I26" i="87"/>
  <c r="H26" i="87"/>
  <c r="G26" i="87"/>
  <c r="F26" i="87"/>
  <c r="G25" i="82"/>
  <c r="H25" i="82"/>
  <c r="C25" i="82"/>
  <c r="M25" i="82"/>
  <c r="E26" i="87"/>
  <c r="D26" i="87"/>
  <c r="C26" i="87"/>
  <c r="B26" i="87"/>
  <c r="A25" i="87"/>
  <c r="J25" i="87"/>
  <c r="I25" i="87"/>
  <c r="H25" i="87"/>
  <c r="G25" i="87"/>
  <c r="F25" i="87"/>
  <c r="G24" i="82"/>
  <c r="H24" i="82"/>
  <c r="C24" i="82"/>
  <c r="M24" i="82"/>
  <c r="E25" i="87"/>
  <c r="D25" i="87"/>
  <c r="C25" i="87"/>
  <c r="B25" i="87"/>
  <c r="A24" i="87"/>
  <c r="J24" i="87"/>
  <c r="I24" i="87"/>
  <c r="H24" i="87"/>
  <c r="G24" i="87"/>
  <c r="F24" i="87"/>
  <c r="E24" i="87"/>
  <c r="D24" i="87"/>
  <c r="C24" i="87"/>
  <c r="B24" i="87"/>
  <c r="A23" i="87"/>
  <c r="J23" i="87"/>
  <c r="I23" i="87"/>
  <c r="H23" i="87"/>
  <c r="G23" i="87"/>
  <c r="F23" i="87"/>
  <c r="G22" i="82"/>
  <c r="H22" i="82"/>
  <c r="C22" i="82"/>
  <c r="M22" i="82"/>
  <c r="E23" i="87"/>
  <c r="D23" i="87"/>
  <c r="C23" i="87"/>
  <c r="B23" i="87"/>
  <c r="A22" i="87"/>
  <c r="J22" i="87"/>
  <c r="I22" i="87"/>
  <c r="H22" i="87"/>
  <c r="G22" i="87"/>
  <c r="F22" i="87"/>
  <c r="G21" i="82"/>
  <c r="H21" i="82"/>
  <c r="C21" i="82"/>
  <c r="M21" i="82"/>
  <c r="E22" i="87"/>
  <c r="D22" i="87"/>
  <c r="C22" i="87"/>
  <c r="B22" i="87"/>
  <c r="A21" i="87"/>
  <c r="J21" i="87"/>
  <c r="I21" i="87"/>
  <c r="H21" i="87"/>
  <c r="G21" i="87"/>
  <c r="F21" i="87"/>
  <c r="G20" i="82"/>
  <c r="H20" i="82"/>
  <c r="C20" i="82"/>
  <c r="M20" i="82"/>
  <c r="E21" i="87"/>
  <c r="D21" i="87"/>
  <c r="C21" i="87"/>
  <c r="B21" i="87"/>
  <c r="A20" i="87"/>
  <c r="J20" i="87"/>
  <c r="I20" i="87"/>
  <c r="H20" i="87"/>
  <c r="G20" i="87"/>
  <c r="F20" i="87"/>
  <c r="G19" i="82"/>
  <c r="H19" i="82"/>
  <c r="C19" i="82"/>
  <c r="M19" i="82"/>
  <c r="E20" i="87"/>
  <c r="D20" i="87"/>
  <c r="C20" i="87"/>
  <c r="B20" i="87"/>
  <c r="A19" i="87"/>
  <c r="J19" i="87"/>
  <c r="I19" i="87"/>
  <c r="H19" i="87"/>
  <c r="G19" i="87"/>
  <c r="F19" i="87"/>
  <c r="G18" i="82"/>
  <c r="H18" i="82"/>
  <c r="C18" i="82"/>
  <c r="M18" i="82"/>
  <c r="E19" i="87"/>
  <c r="D19" i="87"/>
  <c r="C19" i="87"/>
  <c r="B19" i="87"/>
  <c r="A18" i="87"/>
  <c r="J18" i="87"/>
  <c r="I18" i="87"/>
  <c r="H18" i="87"/>
  <c r="G18" i="87"/>
  <c r="F18" i="87"/>
  <c r="G17" i="82"/>
  <c r="H17" i="82"/>
  <c r="C17" i="82"/>
  <c r="M17" i="82"/>
  <c r="E18" i="87"/>
  <c r="D18" i="87"/>
  <c r="C18" i="87"/>
  <c r="B18" i="87"/>
  <c r="A17" i="87"/>
  <c r="J17" i="87"/>
  <c r="I17" i="87"/>
  <c r="H17" i="87"/>
  <c r="G17" i="87"/>
  <c r="F17" i="87"/>
  <c r="G16" i="82"/>
  <c r="H16" i="82"/>
  <c r="C16" i="82"/>
  <c r="M16" i="82"/>
  <c r="E17" i="87"/>
  <c r="D17" i="87"/>
  <c r="C17" i="87"/>
  <c r="B17" i="87"/>
  <c r="A16" i="87"/>
  <c r="J16" i="87"/>
  <c r="I16" i="87"/>
  <c r="H16" i="87"/>
  <c r="G16" i="87"/>
  <c r="F16" i="87"/>
  <c r="G15" i="82"/>
  <c r="H15" i="82"/>
  <c r="C15" i="82"/>
  <c r="M15" i="82"/>
  <c r="E16" i="87"/>
  <c r="D16" i="87"/>
  <c r="C16" i="87"/>
  <c r="B16" i="87"/>
  <c r="A15" i="87"/>
  <c r="J15" i="87"/>
  <c r="I15" i="87"/>
  <c r="H15" i="87"/>
  <c r="G15" i="87"/>
  <c r="F15" i="87"/>
  <c r="G14" i="82"/>
  <c r="H14" i="82"/>
  <c r="C14" i="82"/>
  <c r="M14" i="82"/>
  <c r="E15" i="87"/>
  <c r="D15" i="87"/>
  <c r="C15" i="87"/>
  <c r="B15" i="87"/>
  <c r="A14" i="87"/>
  <c r="J14" i="87"/>
  <c r="I14" i="87"/>
  <c r="H14" i="87"/>
  <c r="G14" i="87"/>
  <c r="F14" i="87"/>
  <c r="G13" i="82"/>
  <c r="H13" i="82"/>
  <c r="C13" i="82"/>
  <c r="M13" i="82"/>
  <c r="E14" i="87"/>
  <c r="D14" i="87"/>
  <c r="C14" i="87"/>
  <c r="B14" i="87"/>
  <c r="A13" i="87"/>
  <c r="J13" i="87"/>
  <c r="I13" i="87"/>
  <c r="H13" i="87"/>
  <c r="G13" i="87"/>
  <c r="F13" i="87"/>
  <c r="G12" i="82"/>
  <c r="H12" i="82"/>
  <c r="C12" i="82"/>
  <c r="M12" i="82"/>
  <c r="E13" i="87"/>
  <c r="D13" i="87"/>
  <c r="C13" i="87"/>
  <c r="B13" i="87"/>
  <c r="A12" i="87"/>
  <c r="J12" i="87"/>
  <c r="I12" i="87"/>
  <c r="H12" i="87"/>
  <c r="G12" i="87"/>
  <c r="F12" i="87"/>
  <c r="G11" i="82"/>
  <c r="H11" i="82"/>
  <c r="C11" i="82"/>
  <c r="M11" i="82"/>
  <c r="E12" i="87"/>
  <c r="D12" i="87"/>
  <c r="C12" i="87"/>
  <c r="B12" i="87"/>
  <c r="A11" i="87"/>
  <c r="J11" i="87"/>
  <c r="I11" i="87"/>
  <c r="H11" i="87"/>
  <c r="G11" i="87"/>
  <c r="F11" i="87"/>
  <c r="G10" i="82"/>
  <c r="H10" i="82"/>
  <c r="C10" i="82"/>
  <c r="M10" i="82"/>
  <c r="E11" i="87"/>
  <c r="D11" i="87"/>
  <c r="C11" i="87"/>
  <c r="B11" i="87"/>
  <c r="A10" i="87"/>
  <c r="J10" i="87"/>
  <c r="I10" i="87"/>
  <c r="H10" i="87"/>
  <c r="G10" i="87"/>
  <c r="F10" i="87"/>
  <c r="G9" i="82"/>
  <c r="H9" i="82"/>
  <c r="C9" i="82"/>
  <c r="M9" i="82"/>
  <c r="E10" i="87"/>
  <c r="D10" i="87"/>
  <c r="C10" i="87"/>
  <c r="B10" i="87"/>
  <c r="A9" i="87"/>
  <c r="J9" i="87"/>
  <c r="I9" i="87"/>
  <c r="H9" i="87"/>
  <c r="G9" i="87"/>
  <c r="F9" i="87"/>
  <c r="G8" i="82"/>
  <c r="H8" i="82"/>
  <c r="C8" i="82"/>
  <c r="M8" i="82"/>
  <c r="E9" i="87"/>
  <c r="D9" i="87"/>
  <c r="C9" i="87"/>
  <c r="B9" i="87"/>
  <c r="A8" i="87"/>
  <c r="J8" i="87"/>
  <c r="I8" i="87"/>
  <c r="H8" i="87"/>
  <c r="G8" i="87"/>
  <c r="F8" i="87"/>
  <c r="G7" i="82"/>
  <c r="H7" i="82"/>
  <c r="C7" i="82"/>
  <c r="M7" i="82"/>
  <c r="E8" i="87"/>
  <c r="D8" i="87"/>
  <c r="C8" i="87"/>
  <c r="B8" i="87"/>
  <c r="A7" i="87"/>
  <c r="J7" i="87"/>
  <c r="I7" i="87"/>
  <c r="H7" i="87"/>
  <c r="G7" i="87"/>
  <c r="F7" i="87"/>
  <c r="G6" i="82"/>
  <c r="H6" i="82"/>
  <c r="C6" i="82"/>
  <c r="M6" i="82"/>
  <c r="E7" i="87"/>
  <c r="D7" i="87"/>
  <c r="C7" i="87"/>
  <c r="B7" i="87"/>
  <c r="A6" i="87"/>
  <c r="J6" i="87"/>
  <c r="I6" i="87"/>
  <c r="H6" i="87"/>
  <c r="G6" i="87"/>
  <c r="F6" i="87"/>
  <c r="G5" i="82"/>
  <c r="H5" i="82"/>
  <c r="C5" i="82"/>
  <c r="M5" i="82"/>
  <c r="E6" i="87"/>
  <c r="D6" i="87"/>
  <c r="C6" i="87"/>
  <c r="B6" i="87"/>
  <c r="A5" i="87"/>
  <c r="J5" i="87"/>
  <c r="I5" i="87"/>
  <c r="H5" i="87"/>
  <c r="G5" i="87"/>
  <c r="F5" i="87"/>
  <c r="G4" i="82"/>
  <c r="H4" i="82"/>
  <c r="C4" i="82"/>
  <c r="M4" i="82"/>
  <c r="E5" i="87"/>
  <c r="D5" i="87"/>
  <c r="C5" i="87"/>
  <c r="B5" i="87"/>
  <c r="A4" i="87"/>
  <c r="J4" i="87"/>
  <c r="I4" i="87"/>
  <c r="H4" i="87"/>
  <c r="G4" i="87"/>
  <c r="F4" i="87"/>
  <c r="G3" i="82"/>
  <c r="H3" i="82"/>
  <c r="C3" i="82"/>
  <c r="M3" i="82"/>
  <c r="E4" i="87"/>
  <c r="D4" i="87"/>
  <c r="C4" i="87"/>
  <c r="B4" i="87"/>
  <c r="B1" i="97"/>
  <c r="A12" i="97"/>
  <c r="J12" i="97"/>
  <c r="I12" i="97"/>
  <c r="H12" i="97"/>
  <c r="G12" i="97"/>
  <c r="F12" i="97"/>
  <c r="G11" i="96"/>
  <c r="H11" i="96"/>
  <c r="C11" i="96"/>
  <c r="A4" i="94"/>
  <c r="A5" i="94"/>
  <c r="A6" i="94"/>
  <c r="A7" i="94"/>
  <c r="G4" i="94"/>
  <c r="H4" i="94"/>
  <c r="E24" i="94"/>
  <c r="I4" i="94"/>
  <c r="J4" i="94"/>
  <c r="K4" i="94"/>
  <c r="G5" i="94"/>
  <c r="H5" i="94"/>
  <c r="I5" i="94"/>
  <c r="J5" i="94"/>
  <c r="K5" i="94"/>
  <c r="G6" i="94"/>
  <c r="H6" i="94"/>
  <c r="I6" i="94"/>
  <c r="J6" i="94"/>
  <c r="K6" i="94"/>
  <c r="G7" i="94"/>
  <c r="H7" i="94"/>
  <c r="I7" i="94"/>
  <c r="J7" i="94"/>
  <c r="K7" i="94"/>
  <c r="A8" i="94"/>
  <c r="G8" i="94"/>
  <c r="H8" i="94"/>
  <c r="I8" i="94"/>
  <c r="J8" i="94"/>
  <c r="K8" i="94"/>
  <c r="A9" i="94"/>
  <c r="G9" i="94"/>
  <c r="H9" i="94"/>
  <c r="I9" i="94"/>
  <c r="J9" i="94"/>
  <c r="K9" i="94"/>
  <c r="A10" i="94"/>
  <c r="G10" i="94"/>
  <c r="H10" i="94"/>
  <c r="I10" i="94"/>
  <c r="J10" i="94"/>
  <c r="K10" i="94"/>
  <c r="A11" i="94"/>
  <c r="G11" i="94"/>
  <c r="H11" i="94"/>
  <c r="I11" i="94"/>
  <c r="J11" i="94"/>
  <c r="K11" i="94"/>
  <c r="A12" i="94"/>
  <c r="G12" i="94"/>
  <c r="H12" i="94"/>
  <c r="I12" i="94"/>
  <c r="J12" i="94"/>
  <c r="K12" i="94"/>
  <c r="A13" i="94"/>
  <c r="G13" i="94"/>
  <c r="H13" i="94"/>
  <c r="I13" i="94"/>
  <c r="J13" i="94"/>
  <c r="K13" i="94"/>
  <c r="A14" i="94"/>
  <c r="G14" i="94"/>
  <c r="H14" i="94"/>
  <c r="I14" i="94"/>
  <c r="J14" i="94"/>
  <c r="K14" i="94"/>
  <c r="A15" i="94"/>
  <c r="G15" i="94"/>
  <c r="H15" i="94"/>
  <c r="I15" i="94"/>
  <c r="J15" i="94"/>
  <c r="K15" i="94"/>
  <c r="A16" i="94"/>
  <c r="G16" i="94"/>
  <c r="H16" i="94"/>
  <c r="I16" i="94"/>
  <c r="J16" i="94"/>
  <c r="K16" i="94"/>
  <c r="A17" i="94"/>
  <c r="G17" i="94"/>
  <c r="H17" i="94"/>
  <c r="I17" i="94"/>
  <c r="J17" i="94"/>
  <c r="K17" i="94"/>
  <c r="A18" i="94"/>
  <c r="G18" i="94"/>
  <c r="H18" i="94"/>
  <c r="I18" i="94"/>
  <c r="J18" i="94"/>
  <c r="K18" i="94"/>
  <c r="A19" i="94"/>
  <c r="G19" i="94"/>
  <c r="H19" i="94"/>
  <c r="I19" i="94"/>
  <c r="J19" i="94"/>
  <c r="K19" i="94"/>
  <c r="A20" i="94"/>
  <c r="G20" i="94"/>
  <c r="H20" i="94"/>
  <c r="I20" i="94"/>
  <c r="J20" i="94"/>
  <c r="K20" i="94"/>
  <c r="A21" i="94"/>
  <c r="G21" i="94"/>
  <c r="H21" i="94"/>
  <c r="I21" i="94"/>
  <c r="J21" i="94"/>
  <c r="K21" i="94"/>
  <c r="A22" i="94"/>
  <c r="G22" i="94"/>
  <c r="H22" i="94"/>
  <c r="I22" i="94"/>
  <c r="J22" i="94"/>
  <c r="K22" i="94"/>
  <c r="A23" i="94"/>
  <c r="G23" i="94"/>
  <c r="H23" i="94"/>
  <c r="I23" i="94"/>
  <c r="J23" i="94"/>
  <c r="K23" i="94"/>
  <c r="F24" i="94"/>
  <c r="G24" i="94"/>
  <c r="I24" i="94"/>
  <c r="M11" i="96"/>
  <c r="E12" i="97"/>
  <c r="D12" i="97"/>
  <c r="C12" i="97"/>
  <c r="B12" i="97"/>
  <c r="A11" i="97"/>
  <c r="J11" i="97"/>
  <c r="I11" i="97"/>
  <c r="H11" i="97"/>
  <c r="G11" i="97"/>
  <c r="F11" i="97"/>
  <c r="G10" i="96"/>
  <c r="H10" i="96"/>
  <c r="C10" i="96"/>
  <c r="M10" i="96"/>
  <c r="E11" i="97"/>
  <c r="D11" i="97"/>
  <c r="C11" i="97"/>
  <c r="B11" i="97"/>
  <c r="A10" i="97"/>
  <c r="J10" i="97"/>
  <c r="I10" i="97"/>
  <c r="H10" i="97"/>
  <c r="G10" i="97"/>
  <c r="F10" i="97"/>
  <c r="G9" i="96"/>
  <c r="H9" i="96"/>
  <c r="C9" i="96"/>
  <c r="E10" i="97"/>
  <c r="D10" i="97"/>
  <c r="C10" i="97"/>
  <c r="B10" i="97"/>
  <c r="A9" i="97"/>
  <c r="J9" i="97"/>
  <c r="I9" i="97"/>
  <c r="H9" i="97"/>
  <c r="G9" i="97"/>
  <c r="F9" i="97"/>
  <c r="G8" i="96"/>
  <c r="H8" i="96"/>
  <c r="C8" i="96"/>
  <c r="M8" i="96"/>
  <c r="E9" i="97"/>
  <c r="D9" i="97"/>
  <c r="C9" i="97"/>
  <c r="B9" i="97"/>
  <c r="A8" i="97"/>
  <c r="J8" i="97"/>
  <c r="I8" i="97"/>
  <c r="H8" i="97"/>
  <c r="G8" i="97"/>
  <c r="F8" i="97"/>
  <c r="G7" i="96"/>
  <c r="H7" i="96"/>
  <c r="C7" i="96"/>
  <c r="M7" i="96"/>
  <c r="E8" i="97"/>
  <c r="D8" i="97"/>
  <c r="C8" i="97"/>
  <c r="B8" i="97"/>
  <c r="A7" i="97"/>
  <c r="J7" i="97"/>
  <c r="I7" i="97"/>
  <c r="H7" i="97"/>
  <c r="G7" i="97"/>
  <c r="F7" i="97"/>
  <c r="G6" i="96"/>
  <c r="H6" i="96"/>
  <c r="C6" i="96"/>
  <c r="M6" i="96"/>
  <c r="E7" i="97"/>
  <c r="D7" i="97"/>
  <c r="C7" i="97"/>
  <c r="B7" i="97"/>
  <c r="A6" i="97"/>
  <c r="J6" i="97"/>
  <c r="I6" i="97"/>
  <c r="H6" i="97"/>
  <c r="G6" i="97"/>
  <c r="F6" i="97"/>
  <c r="G5" i="96"/>
  <c r="H5" i="96"/>
  <c r="C5" i="96"/>
  <c r="M5" i="96"/>
  <c r="E6" i="97"/>
  <c r="D6" i="97"/>
  <c r="C6" i="97"/>
  <c r="B6" i="97"/>
  <c r="A5" i="97"/>
  <c r="J5" i="97"/>
  <c r="I5" i="97"/>
  <c r="H5" i="97"/>
  <c r="G5" i="97"/>
  <c r="F5" i="97"/>
  <c r="G4" i="96"/>
  <c r="H4" i="96"/>
  <c r="C4" i="96"/>
  <c r="M4" i="96"/>
  <c r="E5" i="97"/>
  <c r="D5" i="97"/>
  <c r="C5" i="97"/>
  <c r="B5" i="97"/>
  <c r="J4" i="97"/>
  <c r="I4" i="97"/>
  <c r="H4" i="97"/>
  <c r="G4" i="97"/>
  <c r="F4" i="97"/>
  <c r="G3" i="96"/>
  <c r="H3" i="96"/>
  <c r="C3" i="96"/>
  <c r="M3" i="96"/>
  <c r="E4" i="97"/>
  <c r="D4" i="97"/>
  <c r="C4" i="97"/>
  <c r="B4" i="97"/>
  <c r="J3" i="97"/>
  <c r="I3" i="97"/>
  <c r="H3" i="97"/>
  <c r="G3" i="97"/>
  <c r="F3" i="97"/>
  <c r="G2" i="96"/>
  <c r="H2" i="96"/>
  <c r="C2" i="96"/>
  <c r="M2" i="96"/>
  <c r="E3" i="97"/>
  <c r="D3" i="97"/>
  <c r="C3" i="97"/>
  <c r="B3" i="97"/>
  <c r="D11" i="96"/>
  <c r="K11" i="96"/>
  <c r="J11" i="96"/>
  <c r="I11" i="96"/>
  <c r="F11" i="96"/>
  <c r="A11" i="96"/>
  <c r="D10" i="96"/>
  <c r="K10" i="96"/>
  <c r="J10" i="96"/>
  <c r="I10" i="96"/>
  <c r="F10" i="96"/>
  <c r="A10" i="96"/>
  <c r="D9" i="96"/>
  <c r="K9" i="96"/>
  <c r="J9" i="96"/>
  <c r="I9" i="96"/>
  <c r="F9" i="96"/>
  <c r="A9" i="96"/>
  <c r="D8" i="96"/>
  <c r="K8" i="96"/>
  <c r="J8" i="96"/>
  <c r="I8" i="96"/>
  <c r="F8" i="96"/>
  <c r="A8" i="96"/>
  <c r="D7" i="96"/>
  <c r="K7" i="96"/>
  <c r="J7" i="96"/>
  <c r="I7" i="96"/>
  <c r="F7" i="96"/>
  <c r="A7" i="96"/>
  <c r="D6" i="96"/>
  <c r="K6" i="96"/>
  <c r="J6" i="96"/>
  <c r="I6" i="96"/>
  <c r="F6" i="96"/>
  <c r="A6" i="96"/>
  <c r="D5" i="96"/>
  <c r="K5" i="96"/>
  <c r="J5" i="96"/>
  <c r="I5" i="96"/>
  <c r="F5" i="96"/>
  <c r="A5" i="96"/>
  <c r="D4" i="96"/>
  <c r="K4" i="96"/>
  <c r="J4" i="96"/>
  <c r="I4" i="96"/>
  <c r="F4" i="96"/>
  <c r="A4" i="96"/>
  <c r="D3" i="96"/>
  <c r="K3" i="96"/>
  <c r="J3" i="96"/>
  <c r="I3" i="96"/>
  <c r="F3" i="96"/>
  <c r="A3" i="96"/>
  <c r="D2" i="96"/>
  <c r="K2" i="96"/>
  <c r="J2" i="96"/>
  <c r="I2" i="96"/>
  <c r="F2" i="96"/>
  <c r="A2" i="96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D155" i="82"/>
  <c r="D154" i="82"/>
  <c r="D153" i="82"/>
  <c r="D152" i="82"/>
  <c r="D151" i="82"/>
  <c r="D150" i="82"/>
  <c r="D149" i="82"/>
  <c r="D148" i="82"/>
  <c r="D147" i="82"/>
  <c r="D146" i="82"/>
  <c r="D145" i="82"/>
  <c r="D144" i="82"/>
  <c r="D143" i="82"/>
  <c r="D142" i="82"/>
  <c r="D141" i="82"/>
  <c r="D140" i="82"/>
  <c r="D139" i="82"/>
  <c r="D138" i="82"/>
  <c r="D137" i="82"/>
  <c r="D136" i="82"/>
  <c r="D135" i="82"/>
  <c r="D134" i="82"/>
  <c r="D133" i="82"/>
  <c r="D132" i="82"/>
  <c r="D131" i="82"/>
  <c r="D130" i="82"/>
  <c r="D129" i="82"/>
  <c r="D128" i="82"/>
  <c r="D127" i="82"/>
  <c r="D126" i="82"/>
  <c r="D125" i="82"/>
  <c r="D124" i="82"/>
  <c r="D123" i="82"/>
  <c r="D122" i="82"/>
  <c r="D121" i="82"/>
  <c r="D120" i="82"/>
  <c r="D119" i="82"/>
  <c r="D118" i="82"/>
  <c r="D117" i="82"/>
  <c r="D116" i="82"/>
  <c r="D115" i="82"/>
  <c r="D114" i="82"/>
  <c r="D113" i="82"/>
  <c r="D112" i="82"/>
  <c r="D111" i="82"/>
  <c r="D110" i="82"/>
  <c r="D109" i="82"/>
  <c r="D108" i="82"/>
  <c r="D107" i="82"/>
  <c r="D106" i="82"/>
  <c r="D105" i="82"/>
  <c r="D104" i="82"/>
  <c r="D103" i="82"/>
  <c r="D102" i="82"/>
  <c r="D101" i="82"/>
  <c r="D100" i="82"/>
  <c r="D99" i="82"/>
  <c r="D98" i="82"/>
  <c r="D97" i="82"/>
  <c r="D96" i="82"/>
  <c r="D95" i="82"/>
  <c r="D94" i="82"/>
  <c r="D93" i="82"/>
  <c r="D92" i="82"/>
  <c r="D91" i="82"/>
  <c r="D90" i="82"/>
  <c r="D89" i="82"/>
  <c r="D88" i="82"/>
  <c r="D87" i="82"/>
  <c r="D86" i="82"/>
  <c r="D85" i="82"/>
  <c r="D84" i="82"/>
  <c r="D83" i="82"/>
  <c r="D82" i="82"/>
  <c r="D81" i="82"/>
  <c r="D80" i="82"/>
  <c r="D79" i="82"/>
  <c r="D78" i="82"/>
  <c r="D77" i="82"/>
  <c r="D76" i="82"/>
  <c r="D75" i="82"/>
  <c r="D74" i="82"/>
  <c r="D73" i="82"/>
  <c r="D72" i="82"/>
  <c r="D71" i="82"/>
  <c r="D70" i="82"/>
  <c r="D69" i="82"/>
  <c r="D68" i="82"/>
  <c r="D67" i="82"/>
  <c r="D66" i="82"/>
  <c r="D65" i="82"/>
  <c r="D64" i="82"/>
  <c r="D63" i="82"/>
  <c r="D62" i="82"/>
  <c r="D61" i="82"/>
  <c r="D60" i="82"/>
  <c r="D59" i="82"/>
  <c r="D58" i="82"/>
  <c r="D57" i="82"/>
  <c r="D56" i="82"/>
  <c r="D55" i="82"/>
  <c r="D54" i="82"/>
  <c r="D53" i="82"/>
  <c r="D52" i="82"/>
  <c r="D51" i="82"/>
  <c r="D50" i="82"/>
  <c r="D49" i="82"/>
  <c r="D48" i="82"/>
  <c r="D47" i="82"/>
  <c r="D46" i="82"/>
  <c r="D45" i="82"/>
  <c r="D44" i="82"/>
  <c r="D43" i="82"/>
  <c r="D42" i="82"/>
  <c r="D41" i="82"/>
  <c r="D40" i="82"/>
  <c r="D39" i="82"/>
  <c r="D38" i="82"/>
  <c r="D37" i="82"/>
  <c r="D36" i="82"/>
  <c r="D35" i="82"/>
  <c r="D34" i="82"/>
  <c r="D33" i="82"/>
  <c r="D32" i="82"/>
  <c r="D31" i="82"/>
  <c r="D30" i="82"/>
  <c r="D29" i="82"/>
  <c r="D28" i="82"/>
  <c r="D27" i="82"/>
  <c r="D26" i="82"/>
  <c r="D25" i="82"/>
  <c r="D24" i="82"/>
  <c r="D23" i="82"/>
  <c r="D22" i="82"/>
  <c r="D21" i="82"/>
  <c r="D20" i="82"/>
  <c r="D19" i="82"/>
  <c r="D18" i="82"/>
  <c r="D17" i="82"/>
  <c r="D16" i="82"/>
  <c r="D15" i="82"/>
  <c r="D14" i="82"/>
  <c r="D13" i="82"/>
  <c r="D12" i="82"/>
  <c r="D11" i="82"/>
  <c r="D10" i="82"/>
  <c r="D9" i="82"/>
  <c r="D8" i="82"/>
  <c r="D7" i="82"/>
  <c r="D6" i="82"/>
  <c r="D5" i="82"/>
  <c r="D4" i="82"/>
  <c r="D3" i="82"/>
  <c r="G2" i="82"/>
  <c r="H2" i="82"/>
  <c r="D2" i="82"/>
  <c r="C2" i="82"/>
  <c r="M2" i="82"/>
  <c r="J3" i="87"/>
  <c r="I3" i="87"/>
  <c r="H3" i="87"/>
  <c r="G3" i="87"/>
  <c r="F3" i="87"/>
  <c r="E3" i="87"/>
  <c r="D3" i="87"/>
  <c r="B3" i="87"/>
  <c r="K155" i="82"/>
  <c r="J155" i="82"/>
  <c r="I155" i="82"/>
  <c r="F155" i="82"/>
  <c r="K154" i="82"/>
  <c r="J154" i="82"/>
  <c r="I154" i="82"/>
  <c r="F154" i="82"/>
  <c r="K153" i="82"/>
  <c r="J153" i="82"/>
  <c r="I153" i="82"/>
  <c r="F153" i="82"/>
  <c r="K152" i="82"/>
  <c r="J152" i="82"/>
  <c r="I152" i="82"/>
  <c r="F152" i="82"/>
  <c r="K151" i="82"/>
  <c r="J151" i="82"/>
  <c r="I151" i="82"/>
  <c r="F151" i="82"/>
  <c r="K150" i="82"/>
  <c r="J150" i="82"/>
  <c r="I150" i="82"/>
  <c r="F150" i="82"/>
  <c r="K149" i="82"/>
  <c r="J149" i="82"/>
  <c r="I149" i="82"/>
  <c r="F149" i="82"/>
  <c r="K148" i="82"/>
  <c r="J148" i="82"/>
  <c r="I148" i="82"/>
  <c r="F148" i="82"/>
  <c r="K147" i="82"/>
  <c r="J147" i="82"/>
  <c r="I147" i="82"/>
  <c r="F147" i="82"/>
  <c r="K146" i="82"/>
  <c r="J146" i="82"/>
  <c r="I146" i="82"/>
  <c r="F146" i="82"/>
  <c r="K145" i="82"/>
  <c r="J145" i="82"/>
  <c r="I145" i="82"/>
  <c r="F145" i="82"/>
  <c r="K144" i="82"/>
  <c r="J144" i="82"/>
  <c r="I144" i="82"/>
  <c r="F144" i="82"/>
  <c r="K143" i="82"/>
  <c r="J143" i="82"/>
  <c r="I143" i="82"/>
  <c r="F143" i="82"/>
  <c r="K142" i="82"/>
  <c r="J142" i="82"/>
  <c r="I142" i="82"/>
  <c r="F142" i="82"/>
  <c r="K141" i="82"/>
  <c r="J141" i="82"/>
  <c r="I141" i="82"/>
  <c r="F141" i="82"/>
  <c r="K140" i="82"/>
  <c r="J140" i="82"/>
  <c r="I140" i="82"/>
  <c r="F140" i="82"/>
  <c r="K139" i="82"/>
  <c r="J139" i="82"/>
  <c r="I139" i="82"/>
  <c r="F139" i="82"/>
  <c r="K138" i="82"/>
  <c r="J138" i="82"/>
  <c r="I138" i="82"/>
  <c r="F138" i="82"/>
  <c r="K137" i="82"/>
  <c r="J137" i="82"/>
  <c r="I137" i="82"/>
  <c r="F137" i="82"/>
  <c r="K136" i="82"/>
  <c r="J136" i="82"/>
  <c r="I136" i="82"/>
  <c r="F136" i="82"/>
  <c r="K135" i="82"/>
  <c r="J135" i="82"/>
  <c r="I135" i="82"/>
  <c r="F135" i="82"/>
  <c r="K134" i="82"/>
  <c r="J134" i="82"/>
  <c r="I134" i="82"/>
  <c r="F134" i="82"/>
  <c r="K133" i="82"/>
  <c r="J133" i="82"/>
  <c r="I133" i="82"/>
  <c r="F133" i="82"/>
  <c r="K132" i="82"/>
  <c r="J132" i="82"/>
  <c r="I132" i="82"/>
  <c r="F132" i="82"/>
  <c r="K131" i="82"/>
  <c r="J131" i="82"/>
  <c r="I131" i="82"/>
  <c r="F131" i="82"/>
  <c r="K130" i="82"/>
  <c r="J130" i="82"/>
  <c r="I130" i="82"/>
  <c r="F130" i="82"/>
  <c r="K129" i="82"/>
  <c r="J129" i="82"/>
  <c r="I129" i="82"/>
  <c r="F129" i="82"/>
  <c r="K128" i="82"/>
  <c r="J128" i="82"/>
  <c r="I128" i="82"/>
  <c r="F128" i="82"/>
  <c r="K127" i="82"/>
  <c r="J127" i="82"/>
  <c r="I127" i="82"/>
  <c r="F127" i="82"/>
  <c r="K126" i="82"/>
  <c r="J126" i="82"/>
  <c r="I126" i="82"/>
  <c r="F126" i="82"/>
  <c r="K125" i="82"/>
  <c r="J125" i="82"/>
  <c r="I125" i="82"/>
  <c r="F125" i="82"/>
  <c r="K124" i="82"/>
  <c r="J124" i="82"/>
  <c r="I124" i="82"/>
  <c r="F124" i="82"/>
  <c r="K123" i="82"/>
  <c r="J123" i="82"/>
  <c r="I123" i="82"/>
  <c r="F123" i="82"/>
  <c r="K122" i="82"/>
  <c r="J122" i="82"/>
  <c r="I122" i="82"/>
  <c r="F122" i="82"/>
  <c r="K121" i="82"/>
  <c r="J121" i="82"/>
  <c r="I121" i="82"/>
  <c r="F121" i="82"/>
  <c r="K120" i="82"/>
  <c r="J120" i="82"/>
  <c r="I120" i="82"/>
  <c r="F120" i="82"/>
  <c r="K119" i="82"/>
  <c r="J119" i="82"/>
  <c r="I119" i="82"/>
  <c r="F119" i="82"/>
  <c r="K118" i="82"/>
  <c r="J118" i="82"/>
  <c r="I118" i="82"/>
  <c r="F118" i="82"/>
  <c r="K117" i="82"/>
  <c r="J117" i="82"/>
  <c r="I117" i="82"/>
  <c r="F117" i="82"/>
  <c r="K116" i="82"/>
  <c r="J116" i="82"/>
  <c r="I116" i="82"/>
  <c r="F116" i="82"/>
  <c r="K115" i="82"/>
  <c r="J115" i="82"/>
  <c r="I115" i="82"/>
  <c r="F115" i="82"/>
  <c r="K114" i="82"/>
  <c r="J114" i="82"/>
  <c r="I114" i="82"/>
  <c r="F114" i="82"/>
  <c r="K113" i="82"/>
  <c r="J113" i="82"/>
  <c r="I113" i="82"/>
  <c r="F113" i="82"/>
  <c r="K112" i="82"/>
  <c r="J112" i="82"/>
  <c r="I112" i="82"/>
  <c r="F112" i="82"/>
  <c r="K111" i="82"/>
  <c r="J111" i="82"/>
  <c r="I111" i="82"/>
  <c r="F111" i="82"/>
  <c r="K110" i="82"/>
  <c r="J110" i="82"/>
  <c r="I110" i="82"/>
  <c r="F110" i="82"/>
  <c r="K109" i="82"/>
  <c r="J109" i="82"/>
  <c r="I109" i="82"/>
  <c r="F109" i="82"/>
  <c r="K108" i="82"/>
  <c r="J108" i="82"/>
  <c r="I108" i="82"/>
  <c r="F108" i="82"/>
  <c r="K107" i="82"/>
  <c r="J107" i="82"/>
  <c r="I107" i="82"/>
  <c r="F107" i="82"/>
  <c r="K106" i="82"/>
  <c r="J106" i="82"/>
  <c r="I106" i="82"/>
  <c r="F106" i="82"/>
  <c r="K105" i="82"/>
  <c r="J105" i="82"/>
  <c r="I105" i="82"/>
  <c r="F105" i="82"/>
  <c r="K104" i="82"/>
  <c r="J104" i="82"/>
  <c r="I104" i="82"/>
  <c r="F104" i="82"/>
  <c r="K103" i="82"/>
  <c r="J103" i="82"/>
  <c r="I103" i="82"/>
  <c r="F103" i="82"/>
  <c r="K102" i="82"/>
  <c r="J102" i="82"/>
  <c r="I102" i="82"/>
  <c r="F102" i="82"/>
  <c r="K101" i="82"/>
  <c r="J101" i="82"/>
  <c r="I101" i="82"/>
  <c r="F101" i="82"/>
  <c r="K100" i="82"/>
  <c r="J100" i="82"/>
  <c r="I100" i="82"/>
  <c r="F100" i="82"/>
  <c r="K99" i="82"/>
  <c r="J99" i="82"/>
  <c r="I99" i="82"/>
  <c r="F99" i="82"/>
  <c r="K98" i="82"/>
  <c r="J98" i="82"/>
  <c r="I98" i="82"/>
  <c r="F98" i="82"/>
  <c r="K97" i="82"/>
  <c r="J97" i="82"/>
  <c r="I97" i="82"/>
  <c r="F97" i="82"/>
  <c r="K96" i="82"/>
  <c r="J96" i="82"/>
  <c r="I96" i="82"/>
  <c r="F96" i="82"/>
  <c r="K95" i="82"/>
  <c r="J95" i="82"/>
  <c r="I95" i="82"/>
  <c r="F95" i="82"/>
  <c r="K94" i="82"/>
  <c r="J94" i="82"/>
  <c r="I94" i="82"/>
  <c r="F94" i="82"/>
  <c r="K93" i="82"/>
  <c r="J93" i="82"/>
  <c r="I93" i="82"/>
  <c r="F93" i="82"/>
  <c r="K92" i="82"/>
  <c r="J92" i="82"/>
  <c r="I92" i="82"/>
  <c r="F92" i="82"/>
  <c r="K91" i="82"/>
  <c r="J91" i="82"/>
  <c r="I91" i="82"/>
  <c r="F91" i="82"/>
  <c r="K90" i="82"/>
  <c r="J90" i="82"/>
  <c r="I90" i="82"/>
  <c r="F90" i="82"/>
  <c r="K89" i="82"/>
  <c r="J89" i="82"/>
  <c r="I89" i="82"/>
  <c r="F89" i="82"/>
  <c r="K88" i="82"/>
  <c r="J88" i="82"/>
  <c r="I88" i="82"/>
  <c r="F88" i="82"/>
  <c r="K87" i="82"/>
  <c r="J87" i="82"/>
  <c r="I87" i="82"/>
  <c r="F87" i="82"/>
  <c r="K86" i="82"/>
  <c r="J86" i="82"/>
  <c r="I86" i="82"/>
  <c r="F86" i="82"/>
  <c r="K85" i="82"/>
  <c r="J85" i="82"/>
  <c r="I85" i="82"/>
  <c r="F85" i="82"/>
  <c r="K84" i="82"/>
  <c r="J84" i="82"/>
  <c r="I84" i="82"/>
  <c r="F84" i="82"/>
  <c r="K83" i="82"/>
  <c r="J83" i="82"/>
  <c r="I83" i="82"/>
  <c r="F83" i="82"/>
  <c r="K82" i="82"/>
  <c r="J82" i="82"/>
  <c r="I82" i="82"/>
  <c r="F82" i="82"/>
  <c r="K81" i="82"/>
  <c r="J81" i="82"/>
  <c r="I81" i="82"/>
  <c r="F81" i="82"/>
  <c r="K80" i="82"/>
  <c r="J80" i="82"/>
  <c r="I80" i="82"/>
  <c r="F80" i="82"/>
  <c r="K79" i="82"/>
  <c r="J79" i="82"/>
  <c r="I79" i="82"/>
  <c r="F79" i="82"/>
  <c r="K78" i="82"/>
  <c r="J78" i="82"/>
  <c r="I78" i="82"/>
  <c r="F78" i="82"/>
  <c r="K77" i="82"/>
  <c r="J77" i="82"/>
  <c r="I77" i="82"/>
  <c r="F77" i="82"/>
  <c r="K76" i="82"/>
  <c r="J76" i="82"/>
  <c r="I76" i="82"/>
  <c r="F76" i="82"/>
  <c r="K75" i="82"/>
  <c r="J75" i="82"/>
  <c r="I75" i="82"/>
  <c r="F75" i="82"/>
  <c r="K74" i="82"/>
  <c r="J74" i="82"/>
  <c r="I74" i="82"/>
  <c r="F74" i="82"/>
  <c r="K73" i="82"/>
  <c r="J73" i="82"/>
  <c r="I73" i="82"/>
  <c r="F73" i="82"/>
  <c r="K72" i="82"/>
  <c r="J72" i="82"/>
  <c r="I72" i="82"/>
  <c r="F72" i="82"/>
  <c r="K71" i="82"/>
  <c r="J71" i="82"/>
  <c r="I71" i="82"/>
  <c r="F71" i="82"/>
  <c r="K70" i="82"/>
  <c r="J70" i="82"/>
  <c r="I70" i="82"/>
  <c r="F70" i="82"/>
  <c r="K69" i="82"/>
  <c r="J69" i="82"/>
  <c r="I69" i="82"/>
  <c r="F69" i="82"/>
  <c r="K68" i="82"/>
  <c r="J68" i="82"/>
  <c r="I68" i="82"/>
  <c r="F68" i="82"/>
  <c r="K67" i="82"/>
  <c r="J67" i="82"/>
  <c r="I67" i="82"/>
  <c r="F67" i="82"/>
  <c r="K66" i="82"/>
  <c r="J66" i="82"/>
  <c r="I66" i="82"/>
  <c r="F66" i="82"/>
  <c r="K65" i="82"/>
  <c r="J65" i="82"/>
  <c r="I65" i="82"/>
  <c r="F65" i="82"/>
  <c r="K64" i="82"/>
  <c r="J64" i="82"/>
  <c r="I64" i="82"/>
  <c r="F64" i="82"/>
  <c r="K63" i="82"/>
  <c r="J63" i="82"/>
  <c r="I63" i="82"/>
  <c r="F63" i="82"/>
  <c r="K62" i="82"/>
  <c r="J62" i="82"/>
  <c r="I62" i="82"/>
  <c r="F62" i="82"/>
  <c r="K61" i="82"/>
  <c r="J61" i="82"/>
  <c r="I61" i="82"/>
  <c r="F61" i="82"/>
  <c r="K60" i="82"/>
  <c r="J60" i="82"/>
  <c r="I60" i="82"/>
  <c r="F60" i="82"/>
  <c r="K59" i="82"/>
  <c r="J59" i="82"/>
  <c r="I59" i="82"/>
  <c r="F59" i="82"/>
  <c r="K58" i="82"/>
  <c r="J58" i="82"/>
  <c r="I58" i="82"/>
  <c r="F58" i="82"/>
  <c r="K57" i="82"/>
  <c r="J57" i="82"/>
  <c r="I57" i="82"/>
  <c r="F57" i="82"/>
  <c r="K56" i="82"/>
  <c r="J56" i="82"/>
  <c r="I56" i="82"/>
  <c r="F56" i="82"/>
  <c r="K55" i="82"/>
  <c r="J55" i="82"/>
  <c r="I55" i="82"/>
  <c r="F55" i="82"/>
  <c r="K54" i="82"/>
  <c r="J54" i="82"/>
  <c r="I54" i="82"/>
  <c r="F54" i="82"/>
  <c r="K53" i="82"/>
  <c r="J53" i="82"/>
  <c r="I53" i="82"/>
  <c r="F53" i="82"/>
  <c r="K52" i="82"/>
  <c r="J52" i="82"/>
  <c r="I52" i="82"/>
  <c r="F52" i="82"/>
  <c r="K51" i="82"/>
  <c r="J51" i="82"/>
  <c r="I51" i="82"/>
  <c r="F51" i="82"/>
  <c r="K50" i="82"/>
  <c r="J50" i="82"/>
  <c r="I50" i="82"/>
  <c r="F50" i="82"/>
  <c r="K49" i="82"/>
  <c r="J49" i="82"/>
  <c r="I49" i="82"/>
  <c r="F49" i="82"/>
  <c r="K48" i="82"/>
  <c r="J48" i="82"/>
  <c r="I48" i="82"/>
  <c r="F48" i="82"/>
  <c r="K47" i="82"/>
  <c r="J47" i="82"/>
  <c r="I47" i="82"/>
  <c r="F47" i="82"/>
  <c r="K46" i="82"/>
  <c r="J46" i="82"/>
  <c r="I46" i="82"/>
  <c r="F46" i="82"/>
  <c r="K45" i="82"/>
  <c r="J45" i="82"/>
  <c r="I45" i="82"/>
  <c r="F45" i="82"/>
  <c r="K44" i="82"/>
  <c r="J44" i="82"/>
  <c r="I44" i="82"/>
  <c r="F44" i="82"/>
  <c r="K43" i="82"/>
  <c r="J43" i="82"/>
  <c r="I43" i="82"/>
  <c r="F43" i="82"/>
  <c r="K42" i="82"/>
  <c r="J42" i="82"/>
  <c r="I42" i="82"/>
  <c r="F42" i="82"/>
  <c r="K41" i="82"/>
  <c r="J41" i="82"/>
  <c r="I41" i="82"/>
  <c r="F41" i="82"/>
  <c r="K40" i="82"/>
  <c r="J40" i="82"/>
  <c r="I40" i="82"/>
  <c r="F40" i="82"/>
  <c r="K39" i="82"/>
  <c r="J39" i="82"/>
  <c r="I39" i="82"/>
  <c r="F39" i="82"/>
  <c r="K38" i="82"/>
  <c r="J38" i="82"/>
  <c r="I38" i="82"/>
  <c r="F38" i="82"/>
  <c r="K37" i="82"/>
  <c r="J37" i="82"/>
  <c r="I37" i="82"/>
  <c r="F37" i="82"/>
  <c r="K36" i="82"/>
  <c r="J36" i="82"/>
  <c r="I36" i="82"/>
  <c r="F36" i="82"/>
  <c r="K35" i="82"/>
  <c r="J35" i="82"/>
  <c r="I35" i="82"/>
  <c r="F35" i="82"/>
  <c r="K34" i="82"/>
  <c r="J34" i="82"/>
  <c r="I34" i="82"/>
  <c r="F34" i="82"/>
  <c r="K33" i="82"/>
  <c r="J33" i="82"/>
  <c r="I33" i="82"/>
  <c r="F33" i="82"/>
  <c r="K32" i="82"/>
  <c r="J32" i="82"/>
  <c r="I32" i="82"/>
  <c r="F32" i="82"/>
  <c r="K31" i="82"/>
  <c r="J31" i="82"/>
  <c r="I31" i="82"/>
  <c r="F31" i="82"/>
  <c r="K30" i="82"/>
  <c r="J30" i="82"/>
  <c r="I30" i="82"/>
  <c r="F30" i="82"/>
  <c r="K29" i="82"/>
  <c r="J29" i="82"/>
  <c r="I29" i="82"/>
  <c r="F29" i="82"/>
  <c r="K28" i="82"/>
  <c r="J28" i="82"/>
  <c r="I28" i="82"/>
  <c r="F28" i="82"/>
  <c r="K27" i="82"/>
  <c r="J27" i="82"/>
  <c r="I27" i="82"/>
  <c r="F27" i="82"/>
  <c r="K26" i="82"/>
  <c r="J26" i="82"/>
  <c r="I26" i="82"/>
  <c r="F26" i="82"/>
  <c r="K25" i="82"/>
  <c r="J25" i="82"/>
  <c r="I25" i="82"/>
  <c r="F25" i="82"/>
  <c r="K24" i="82"/>
  <c r="J24" i="82"/>
  <c r="I24" i="82"/>
  <c r="F24" i="82"/>
  <c r="K23" i="82"/>
  <c r="J23" i="82"/>
  <c r="I23" i="82"/>
  <c r="F23" i="82"/>
  <c r="K22" i="82"/>
  <c r="J22" i="82"/>
  <c r="I22" i="82"/>
  <c r="F22" i="82"/>
  <c r="K21" i="82"/>
  <c r="J21" i="82"/>
  <c r="I21" i="82"/>
  <c r="F21" i="82"/>
  <c r="K20" i="82"/>
  <c r="J20" i="82"/>
  <c r="I20" i="82"/>
  <c r="F20" i="82"/>
  <c r="K19" i="82"/>
  <c r="J19" i="82"/>
  <c r="I19" i="82"/>
  <c r="F19" i="82"/>
  <c r="K18" i="82"/>
  <c r="J18" i="82"/>
  <c r="I18" i="82"/>
  <c r="F18" i="82"/>
  <c r="K17" i="82"/>
  <c r="J17" i="82"/>
  <c r="I17" i="82"/>
  <c r="F17" i="82"/>
  <c r="K16" i="82"/>
  <c r="J16" i="82"/>
  <c r="I16" i="82"/>
  <c r="F16" i="82"/>
  <c r="K15" i="82"/>
  <c r="J15" i="82"/>
  <c r="I15" i="82"/>
  <c r="F15" i="82"/>
  <c r="K14" i="82"/>
  <c r="J14" i="82"/>
  <c r="I14" i="82"/>
  <c r="F14" i="82"/>
  <c r="K13" i="82"/>
  <c r="J13" i="82"/>
  <c r="I13" i="82"/>
  <c r="F13" i="82"/>
  <c r="K12" i="82"/>
  <c r="J12" i="82"/>
  <c r="I12" i="82"/>
  <c r="F12" i="82"/>
  <c r="K11" i="82"/>
  <c r="J11" i="82"/>
  <c r="I11" i="82"/>
  <c r="F11" i="82"/>
  <c r="K10" i="82"/>
  <c r="J10" i="82"/>
  <c r="I10" i="82"/>
  <c r="F10" i="82"/>
  <c r="K9" i="82"/>
  <c r="J9" i="82"/>
  <c r="I9" i="82"/>
  <c r="F9" i="82"/>
  <c r="K8" i="82"/>
  <c r="J8" i="82"/>
  <c r="I8" i="82"/>
  <c r="F8" i="82"/>
  <c r="K7" i="82"/>
  <c r="J7" i="82"/>
  <c r="I7" i="82"/>
  <c r="F7" i="82"/>
  <c r="K6" i="82"/>
  <c r="J6" i="82"/>
  <c r="I6" i="82"/>
  <c r="F6" i="82"/>
  <c r="K5" i="82"/>
  <c r="J5" i="82"/>
  <c r="I5" i="82"/>
  <c r="F5" i="82"/>
  <c r="K4" i="82"/>
  <c r="J4" i="82"/>
  <c r="I4" i="82"/>
  <c r="F4" i="82"/>
  <c r="K3" i="82"/>
  <c r="J3" i="82"/>
  <c r="I3" i="82"/>
  <c r="F3" i="82"/>
  <c r="K2" i="82"/>
  <c r="J2" i="82"/>
  <c r="I2" i="82"/>
  <c r="F2" i="82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<sst xmlns="http://schemas.openxmlformats.org/spreadsheetml/2006/main" count="221" uniqueCount="85">
  <si>
    <t>character_id</t>
  </si>
  <si>
    <t>character_id</t>
    <phoneticPr fontId="7"/>
  </si>
  <si>
    <t>unit_level</t>
    <phoneticPr fontId="7"/>
  </si>
  <si>
    <t>weight</t>
    <phoneticPr fontId="7"/>
  </si>
  <si>
    <t>rare</t>
    <phoneticPr fontId="7"/>
  </si>
  <si>
    <t>name</t>
    <phoneticPr fontId="7"/>
  </si>
  <si>
    <t>drop_label</t>
    <phoneticPr fontId="7"/>
  </si>
  <si>
    <t>color</t>
    <phoneticPr fontId="7"/>
  </si>
  <si>
    <t>character_type_id</t>
    <phoneticPr fontId="7"/>
  </si>
  <si>
    <t>character_tribe_id</t>
    <phoneticPr fontId="7"/>
  </si>
  <si>
    <t>temp_gacha</t>
  </si>
  <si>
    <t>temp_gacha</t>
    <phoneticPr fontId="7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</si>
  <si>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</si>
  <si>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</si>
  <si>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</si>
  <si>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</si>
  <si>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</si>
  <si>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</si>
  <si>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</si>
  <si>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7"/>
  </si>
  <si>
    <t>label</t>
    <phoneticPr fontId="7"/>
  </si>
  <si>
    <t>pickup_flg</t>
    <phoneticPr fontId="7"/>
  </si>
  <si>
    <t>レアリティ</t>
  </si>
  <si>
    <t>ラベル</t>
  </si>
  <si>
    <t>ラベル別出現率</t>
  </si>
  <si>
    <t>全体出現率</t>
  </si>
  <si>
    <t>出現確率</t>
  </si>
  <si>
    <t>出現枚数</t>
  </si>
  <si>
    <t>出現率</t>
  </si>
  <si>
    <t>全体比率</t>
  </si>
  <si>
    <t>個別比率</t>
  </si>
  <si>
    <t>一体確率</t>
  </si>
  <si>
    <t>個別比率×1000</t>
  </si>
  <si>
    <t>R3</t>
  </si>
  <si>
    <t>PremiumW</t>
  </si>
  <si>
    <t>PremiumN</t>
  </si>
  <si>
    <t>PremiumS</t>
  </si>
  <si>
    <t>R4</t>
  </si>
  <si>
    <t>PremiumSS</t>
  </si>
  <si>
    <t>R5</t>
  </si>
  <si>
    <t>合計</t>
  </si>
  <si>
    <t>PremiumWpick</t>
    <phoneticPr fontId="7"/>
  </si>
  <si>
    <t>PremiumNpick</t>
    <phoneticPr fontId="7"/>
  </si>
  <si>
    <t>PremiumSpick</t>
    <phoneticPr fontId="7"/>
  </si>
  <si>
    <t>PremiumSpick</t>
    <phoneticPr fontId="7"/>
  </si>
  <si>
    <t>PremiumSSpick</t>
    <phoneticPr fontId="7"/>
  </si>
  <si>
    <t>-</t>
    <phoneticPr fontId="7"/>
  </si>
  <si>
    <t>-</t>
    <phoneticPr fontId="7"/>
  </si>
  <si>
    <t>-</t>
    <phoneticPr fontId="7"/>
  </si>
  <si>
    <t>通常テーブル</t>
    <rPh sb="0" eb="2">
      <t>ツウジョウ</t>
    </rPh>
    <phoneticPr fontId="7"/>
  </si>
  <si>
    <t>汎用ラベル</t>
    <rPh sb="0" eb="2">
      <t>ハンヨウ</t>
    </rPh>
    <phoneticPr fontId="7"/>
  </si>
  <si>
    <t>select_table_no</t>
    <phoneticPr fontId="7"/>
  </si>
  <si>
    <t>100-10</t>
    <phoneticPr fontId="7"/>
  </si>
  <si>
    <t>select_table_no</t>
    <phoneticPr fontId="7"/>
  </si>
  <si>
    <t>bonus_table_no</t>
    <phoneticPr fontId="7"/>
  </si>
  <si>
    <t>bonus_table_no</t>
    <phoneticPr fontId="7"/>
  </si>
  <si>
    <t>weight</t>
    <phoneticPr fontId="7"/>
  </si>
  <si>
    <t>gift_id</t>
    <phoneticPr fontId="7"/>
  </si>
  <si>
    <t>gift_id</t>
    <phoneticPr fontId="7"/>
  </si>
  <si>
    <t>gift_type</t>
    <phoneticPr fontId="7"/>
  </si>
  <si>
    <t>gift_value</t>
    <phoneticPr fontId="7"/>
  </si>
  <si>
    <t>gift_count</t>
    <phoneticPr fontId="7"/>
  </si>
  <si>
    <t>language</t>
    <phoneticPr fontId="7"/>
  </si>
  <si>
    <t>title</t>
    <phoneticPr fontId="7"/>
  </si>
  <si>
    <t>detail</t>
    <phoneticPr fontId="7"/>
  </si>
  <si>
    <t>message</t>
    <phoneticPr fontId="7"/>
  </si>
  <si>
    <t>タイトル</t>
    <phoneticPr fontId="7"/>
  </si>
  <si>
    <t>一覧の説明</t>
    <rPh sb="0" eb="2">
      <t>イチラン</t>
    </rPh>
    <rPh sb="3" eb="5">
      <t>セツメイ</t>
    </rPh>
    <phoneticPr fontId="7"/>
  </si>
  <si>
    <t>タップした時のメッセージ</t>
    <rPh sb="5" eb="6">
      <t>トキ</t>
    </rPh>
    <phoneticPr fontId="7"/>
  </si>
  <si>
    <t>polygon</t>
  </si>
  <si>
    <t>NULL</t>
  </si>
  <si>
    <t>gift_id</t>
    <phoneticPr fontId="7"/>
  </si>
  <si>
    <t>gift_value</t>
    <phoneticPr fontId="7"/>
  </si>
  <si>
    <t>gift_value</t>
    <phoneticPr fontId="7"/>
  </si>
  <si>
    <t>↓aapl向け</t>
    <rPh sb="5" eb="6">
      <t>ム</t>
    </rPh>
    <phoneticPr fontId="7"/>
  </si>
  <si>
    <t>↓goog向け</t>
    <rPh sb="5" eb="6">
      <t>ム</t>
    </rPh>
    <phoneticPr fontId="7"/>
  </si>
  <si>
    <t>↓amzn向け</t>
    <rPh sb="5" eb="6">
      <t>ム</t>
    </rPh>
    <phoneticPr fontId="7"/>
  </si>
  <si>
    <t>gift_count</t>
    <phoneticPr fontId="7"/>
  </si>
  <si>
    <t>language</t>
    <phoneticPr fontId="7"/>
  </si>
  <si>
    <t>title</t>
    <phoneticPr fontId="7"/>
  </si>
  <si>
    <t>detail</t>
    <phoneticPr fontId="7"/>
  </si>
  <si>
    <t>message</t>
    <phoneticPr fontId="7"/>
  </si>
  <si>
    <t>ja</t>
    <phoneticPr fontId="7"/>
  </si>
  <si>
    <t>unit</t>
  </si>
  <si>
    <t>gift_type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</si>
</sst>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4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2"/>
      <name val="ＭＳ Ｐゴシック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rgb="FF000000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974">
    <xf numFmtId="0" fontId="0" fillId="0" borderId="0"/>
    <xf numFmtId="0" fontId="6" fillId="0" borderId="0"/>
    <xf numFmtId="0" fontId="1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5" fillId="0" borderId="0"/>
    <xf numFmtId="0" fontId="19" fillId="7" borderId="2" applyNumberFormat="0" applyAlignment="0" applyProtection="0"/>
    <xf numFmtId="0" fontId="20" fillId="8" borderId="0" applyNumberFormat="0" applyBorder="0" applyAlignment="0" applyProtection="0"/>
    <xf numFmtId="0" fontId="21" fillId="9" borderId="3" applyNumberFormat="0" applyAlignment="0" applyProtection="0"/>
    <xf numFmtId="0" fontId="22" fillId="0" borderId="0" applyNumberFormat="0" applyFill="0" applyBorder="0" applyAlignment="0" applyProtection="0"/>
    <xf numFmtId="0" fontId="23" fillId="10" borderId="0" applyNumberFormat="0" applyBorder="0" applyAlignment="0" applyProtection="0"/>
    <xf numFmtId="0" fontId="24" fillId="11" borderId="4" applyNumberFormat="0" applyAlignment="0" applyProtection="0"/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9" borderId="0" applyNumberFormat="0" applyBorder="0" applyAlignment="0" applyProtection="0"/>
    <xf numFmtId="0" fontId="29" fillId="8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3" borderId="0" applyNumberFormat="0" applyBorder="0" applyAlignment="0" applyProtection="0"/>
    <xf numFmtId="0" fontId="29" fillId="7" borderId="0" applyNumberFormat="0" applyBorder="0" applyAlignment="0" applyProtection="0"/>
    <xf numFmtId="0" fontId="29" fillId="9" borderId="0" applyNumberFormat="0" applyBorder="0" applyAlignment="0" applyProtection="0"/>
    <xf numFmtId="0" fontId="29" fillId="14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5" borderId="0" applyNumberFormat="0" applyBorder="0" applyAlignment="0" applyProtection="0"/>
    <xf numFmtId="0" fontId="29" fillId="8" borderId="0" applyNumberFormat="0" applyBorder="0" applyAlignment="0" applyProtection="0"/>
    <xf numFmtId="0" fontId="30" fillId="16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6" borderId="0" applyNumberFormat="0" applyBorder="0" applyAlignment="0" applyProtection="0"/>
    <xf numFmtId="0" fontId="30" fillId="8" borderId="0" applyNumberFormat="0" applyBorder="0" applyAlignment="0" applyProtection="0"/>
    <xf numFmtId="0" fontId="22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2" borderId="0" applyNumberFormat="0" applyBorder="0" applyAlignment="0" applyProtection="0"/>
    <xf numFmtId="0" fontId="30" fillId="18" borderId="0" applyNumberFormat="0" applyBorder="0" applyAlignment="0" applyProtection="0"/>
    <xf numFmtId="0" fontId="30" fillId="16" borderId="0" applyNumberFormat="0" applyBorder="0" applyAlignment="0" applyProtection="0"/>
    <xf numFmtId="0" fontId="30" fillId="14" borderId="0" applyNumberFormat="0" applyBorder="0" applyAlignment="0" applyProtection="0"/>
    <xf numFmtId="0" fontId="31" fillId="19" borderId="0" applyNumberFormat="0" applyBorder="0" applyAlignment="0" applyProtection="0"/>
    <xf numFmtId="0" fontId="20" fillId="8" borderId="0" applyNumberFormat="0" applyBorder="0" applyAlignment="0" applyProtection="0"/>
    <xf numFmtId="0" fontId="32" fillId="0" borderId="8" applyNumberFormat="0" applyFill="0" applyAlignment="0" applyProtection="0"/>
    <xf numFmtId="0" fontId="33" fillId="9" borderId="9" applyNumberFormat="0" applyAlignment="0" applyProtection="0"/>
    <xf numFmtId="0" fontId="33" fillId="20" borderId="9" applyNumberFormat="0" applyAlignment="0" applyProtection="0"/>
    <xf numFmtId="0" fontId="21" fillId="8" borderId="3" applyNumberFormat="0" applyAlignment="0" applyProtection="0"/>
    <xf numFmtId="0" fontId="34" fillId="0" borderId="10" applyNumberFormat="0" applyFill="0" applyAlignment="0" applyProtection="0"/>
    <xf numFmtId="0" fontId="35" fillId="20" borderId="3" applyNumberFormat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1" applyNumberFormat="0" applyFill="0" applyAlignment="0" applyProtection="0"/>
    <xf numFmtId="38" fontId="5" fillId="0" borderId="0" applyFont="0" applyFill="0" applyBorder="0" applyAlignment="0" applyProtection="0">
      <alignment vertical="center"/>
    </xf>
    <xf numFmtId="0" fontId="38" fillId="21" borderId="0" applyNumberFormat="0" applyBorder="0" applyAlignment="0" applyProtection="0"/>
    <xf numFmtId="0" fontId="39" fillId="22" borderId="0" applyNumberFormat="0" applyBorder="0" applyAlignment="0" applyProtection="0"/>
    <xf numFmtId="0" fontId="5" fillId="0" borderId="0"/>
    <xf numFmtId="0" fontId="40" fillId="22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12" fillId="0" borderId="0" xfId="2" applyFont="1" applyAlignment="1">
      <alignment vertical="center"/>
    </xf>
    <xf numFmtId="0" fontId="12" fillId="0" borderId="1" xfId="2" applyFont="1" applyBorder="1" applyAlignment="1">
      <alignment vertical="center"/>
    </xf>
    <xf numFmtId="0" fontId="12" fillId="3" borderId="1" xfId="2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4" borderId="1" xfId="2" applyFont="1" applyFill="1" applyBorder="1" applyAlignment="1">
      <alignment vertical="center"/>
    </xf>
    <xf numFmtId="0" fontId="11" fillId="4" borderId="1" xfId="0" applyFont="1" applyFill="1" applyBorder="1" applyAlignment="1">
      <alignment horizontal="right" vertical="center"/>
    </xf>
    <xf numFmtId="0" fontId="17" fillId="5" borderId="0" xfId="2" applyFont="1" applyFill="1" applyAlignment="1">
      <alignment vertical="center"/>
    </xf>
    <xf numFmtId="0" fontId="5" fillId="0" borderId="0" xfId="19"/>
    <xf numFmtId="0" fontId="12" fillId="3" borderId="1" xfId="2" applyFont="1" applyFill="1" applyBorder="1" applyAlignment="1">
      <alignment vertical="center"/>
    </xf>
    <xf numFmtId="0" fontId="5" fillId="6" borderId="0" xfId="70" applyFont="1" applyFill="1"/>
    <xf numFmtId="176" fontId="5" fillId="6" borderId="0" xfId="70" applyNumberFormat="1" applyFont="1" applyFill="1"/>
    <xf numFmtId="0" fontId="14" fillId="5" borderId="0" xfId="19" applyFont="1" applyFill="1"/>
    <xf numFmtId="0" fontId="5" fillId="2" borderId="0" xfId="19" applyFill="1"/>
    <xf numFmtId="0" fontId="17" fillId="5" borderId="0" xfId="70" applyFont="1" applyFill="1" applyBorder="1"/>
    <xf numFmtId="0" fontId="18" fillId="0" borderId="0" xfId="70" applyFont="1" applyFill="1" applyBorder="1"/>
    <xf numFmtId="0" fontId="41" fillId="23" borderId="1" xfId="0" applyFont="1" applyFill="1" applyBorder="1" applyAlignment="1">
      <alignment horizontal="center" vertical="center"/>
    </xf>
    <xf numFmtId="0" fontId="41" fillId="0" borderId="12" xfId="0" applyFont="1" applyBorder="1" applyAlignment="1">
      <alignment vertical="center"/>
    </xf>
    <xf numFmtId="0" fontId="13" fillId="4" borderId="1" xfId="0" applyFont="1" applyFill="1" applyBorder="1" applyAlignment="1">
      <alignment vertical="center"/>
    </xf>
    <xf numFmtId="0" fontId="12" fillId="3" borderId="12" xfId="2" applyFont="1" applyFill="1" applyBorder="1" applyAlignment="1">
      <alignment vertical="center"/>
    </xf>
    <xf numFmtId="0" fontId="12" fillId="4" borderId="12" xfId="2" applyFont="1" applyFill="1" applyBorder="1" applyAlignment="1">
      <alignment vertical="center"/>
    </xf>
    <xf numFmtId="0" fontId="12" fillId="3" borderId="14" xfId="2" applyFont="1" applyFill="1" applyBorder="1" applyAlignment="1">
      <alignment vertical="center"/>
    </xf>
    <xf numFmtId="0" fontId="12" fillId="4" borderId="14" xfId="2" applyFont="1" applyFill="1" applyBorder="1" applyAlignment="1">
      <alignment vertical="center"/>
    </xf>
    <xf numFmtId="0" fontId="11" fillId="4" borderId="14" xfId="0" applyFont="1" applyFill="1" applyBorder="1" applyAlignment="1">
      <alignment horizontal="right" vertical="center"/>
    </xf>
    <xf numFmtId="0" fontId="12" fillId="0" borderId="13" xfId="2" applyFont="1" applyBorder="1" applyAlignment="1">
      <alignment vertical="center"/>
    </xf>
    <xf numFmtId="0" fontId="11" fillId="4" borderId="12" xfId="0" applyFont="1" applyFill="1" applyBorder="1" applyAlignment="1">
      <alignment horizontal="right" vertical="center"/>
    </xf>
    <xf numFmtId="0" fontId="41" fillId="0" borderId="1" xfId="0" applyFont="1" applyBorder="1" applyAlignment="1">
      <alignment vertical="center"/>
    </xf>
    <xf numFmtId="0" fontId="41" fillId="0" borderId="14" xfId="0" applyFont="1" applyBorder="1" applyAlignment="1">
      <alignment vertical="center"/>
    </xf>
    <xf numFmtId="0" fontId="11" fillId="4" borderId="15" xfId="0" applyFont="1" applyFill="1" applyBorder="1" applyAlignment="1">
      <alignment horizontal="right" vertical="center"/>
    </xf>
    <xf numFmtId="0" fontId="12" fillId="4" borderId="16" xfId="2" applyFont="1" applyFill="1" applyBorder="1" applyAlignment="1">
      <alignment vertical="center"/>
    </xf>
    <xf numFmtId="0" fontId="11" fillId="4" borderId="16" xfId="0" applyFont="1" applyFill="1" applyBorder="1" applyAlignment="1">
      <alignment horizontal="right" vertical="center"/>
    </xf>
    <xf numFmtId="0" fontId="12" fillId="3" borderId="16" xfId="2" applyFont="1" applyFill="1" applyBorder="1" applyAlignment="1">
      <alignment vertical="center"/>
    </xf>
    <xf numFmtId="0" fontId="41" fillId="0" borderId="16" xfId="0" applyFont="1" applyBorder="1" applyAlignment="1">
      <alignment vertical="center"/>
    </xf>
    <xf numFmtId="0" fontId="12" fillId="0" borderId="17" xfId="2" applyFont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/>
    <xf numFmtId="0" fontId="0" fillId="24" borderId="24" xfId="0" applyFill="1" applyBorder="1" applyAlignment="1">
      <alignment horizontal="center" vertical="center"/>
    </xf>
    <xf numFmtId="0" fontId="0" fillId="24" borderId="25" xfId="0" applyFill="1" applyBorder="1" applyAlignment="1">
      <alignment horizontal="center" vertical="center"/>
    </xf>
    <xf numFmtId="0" fontId="42" fillId="24" borderId="25" xfId="0" applyFont="1" applyFill="1" applyBorder="1" applyAlignment="1">
      <alignment horizontal="center" vertical="center"/>
    </xf>
    <xf numFmtId="0" fontId="0" fillId="24" borderId="26" xfId="0" applyFill="1" applyBorder="1" applyAlignment="1">
      <alignment horizontal="center" vertical="center"/>
    </xf>
    <xf numFmtId="0" fontId="0" fillId="24" borderId="25" xfId="0" applyFill="1" applyBorder="1" applyAlignment="1">
      <alignment vertical="center"/>
    </xf>
    <xf numFmtId="10" fontId="0" fillId="0" borderId="22" xfId="0" applyNumberFormat="1" applyBorder="1" applyAlignment="1">
      <alignment vertical="center"/>
    </xf>
    <xf numFmtId="10" fontId="43" fillId="0" borderId="22" xfId="0" applyNumberFormat="1" applyFont="1" applyBorder="1" applyAlignment="1">
      <alignment vertical="center"/>
    </xf>
    <xf numFmtId="0" fontId="0" fillId="24" borderId="22" xfId="0" applyFill="1" applyBorder="1" applyAlignment="1">
      <alignment vertical="center"/>
    </xf>
    <xf numFmtId="0" fontId="0" fillId="0" borderId="22" xfId="0" applyBorder="1" applyAlignment="1">
      <alignment vertical="center"/>
    </xf>
    <xf numFmtId="10" fontId="43" fillId="0" borderId="27" xfId="0" applyNumberFormat="1" applyFont="1" applyBorder="1" applyAlignment="1">
      <alignment vertical="center"/>
    </xf>
    <xf numFmtId="0" fontId="0" fillId="23" borderId="22" xfId="0" applyFill="1" applyBorder="1" applyAlignment="1">
      <alignment vertical="center"/>
    </xf>
    <xf numFmtId="10" fontId="0" fillId="0" borderId="28" xfId="0" applyNumberFormat="1" applyBorder="1" applyAlignment="1">
      <alignment vertical="center"/>
    </xf>
    <xf numFmtId="10" fontId="43" fillId="0" borderId="28" xfId="0" applyNumberFormat="1" applyFont="1" applyBorder="1" applyAlignment="1">
      <alignment vertical="center"/>
    </xf>
    <xf numFmtId="0" fontId="0" fillId="24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10" fontId="43" fillId="0" borderId="29" xfId="0" applyNumberFormat="1" applyFont="1" applyBorder="1" applyAlignment="1">
      <alignment vertical="center"/>
    </xf>
    <xf numFmtId="0" fontId="0" fillId="23" borderId="28" xfId="0" applyFill="1" applyBorder="1" applyAlignment="1">
      <alignment vertical="center"/>
    </xf>
    <xf numFmtId="0" fontId="0" fillId="25" borderId="28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10" fontId="0" fillId="0" borderId="12" xfId="0" applyNumberFormat="1" applyBorder="1" applyAlignment="1">
      <alignment vertical="center"/>
    </xf>
    <xf numFmtId="0" fontId="0" fillId="24" borderId="30" xfId="0" applyFill="1" applyBorder="1" applyAlignment="1">
      <alignment horizontal="center" vertical="center"/>
    </xf>
    <xf numFmtId="0" fontId="0" fillId="26" borderId="22" xfId="0" applyFont="1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12" fillId="2" borderId="1" xfId="2" applyFont="1" applyFill="1" applyBorder="1" applyAlignment="1">
      <alignment horizontal="left" vertical="center"/>
    </xf>
    <xf numFmtId="0" fontId="12" fillId="3" borderId="1" xfId="2" applyFont="1" applyFill="1" applyBorder="1" applyAlignment="1">
      <alignment horizontal="left" vertical="center"/>
    </xf>
    <xf numFmtId="0" fontId="4" fillId="2" borderId="0" xfId="19" applyFont="1" applyFill="1"/>
    <xf numFmtId="0" fontId="0" fillId="0" borderId="1" xfId="0" applyFill="1" applyBorder="1"/>
    <xf numFmtId="0" fontId="41" fillId="23" borderId="1" xfId="0" applyFont="1" applyFill="1" applyBorder="1" applyAlignment="1">
      <alignment horizontal="left" vertical="center"/>
    </xf>
    <xf numFmtId="0" fontId="44" fillId="0" borderId="0" xfId="19" applyFont="1" applyFill="1"/>
    <xf numFmtId="10" fontId="0" fillId="26" borderId="22" xfId="0" applyNumberFormat="1" applyFont="1" applyFill="1" applyBorder="1" applyAlignment="1">
      <alignment vertical="center"/>
    </xf>
    <xf numFmtId="0" fontId="3" fillId="2" borderId="0" xfId="19" applyFont="1" applyFill="1"/>
    <xf numFmtId="0" fontId="12" fillId="5" borderId="0" xfId="2" applyFont="1" applyFill="1" applyAlignment="1">
      <alignment vertical="center"/>
    </xf>
    <xf numFmtId="0" fontId="3" fillId="6" borderId="0" xfId="70" applyFont="1" applyFill="1"/>
    <xf numFmtId="0" fontId="41" fillId="27" borderId="1" xfId="0" applyFont="1" applyFill="1" applyBorder="1" applyAlignment="1">
      <alignment horizontal="left" vertical="center"/>
    </xf>
    <xf numFmtId="0" fontId="41" fillId="0" borderId="12" xfId="0" applyFont="1" applyFill="1" applyBorder="1" applyAlignment="1">
      <alignment vertical="center"/>
    </xf>
    <xf numFmtId="0" fontId="2" fillId="2" borderId="0" xfId="19" applyFont="1" applyFill="1"/>
    <xf numFmtId="0" fontId="1" fillId="2" borderId="0" xfId="19" applyFont="1" applyFill="1"/>
    <xf numFmtId="0" fontId="0" fillId="24" borderId="19" xfId="0" applyFill="1" applyBorder="1" applyAlignment="1">
      <alignment horizontal="center" vertical="center"/>
    </xf>
    <xf numFmtId="0" fontId="0" fillId="24" borderId="20" xfId="0" applyFill="1" applyBorder="1" applyAlignment="1">
      <alignment horizontal="center" vertical="center"/>
    </xf>
    <xf numFmtId="0" fontId="42" fillId="24" borderId="30" xfId="0" applyFont="1" applyFill="1" applyBorder="1" applyAlignment="1">
      <alignment horizontal="center" vertical="center"/>
    </xf>
    <xf numFmtId="0" fontId="42" fillId="24" borderId="21" xfId="0" applyFont="1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</cellXfs>
  <cellStyles count="297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K83"/>
  <sheetViews>
    <sheetView workbookViewId="0"/>
  </sheetViews>
  <sheetFormatPr baseColWidth="12" defaultRowHeight="14" x14ac:dyDescent="0"/>
  <cols>
    <col min="1" max="1" width="15.1640625" customWidth="1"/>
  </cols>
  <sheetData>
    <row r="1" spans="1:11">
      <c r="B1" t="s">
        <v>49</v>
      </c>
    </row>
    <row r="2" spans="1:11">
      <c r="B2" s="73" t="s">
        <v>22</v>
      </c>
      <c r="C2" s="74"/>
      <c r="D2" s="75" t="s">
        <v>23</v>
      </c>
      <c r="E2" s="76"/>
      <c r="F2" s="56" t="s">
        <v>24</v>
      </c>
      <c r="G2" s="73" t="s">
        <v>25</v>
      </c>
      <c r="H2" s="77"/>
      <c r="I2" s="77"/>
      <c r="J2" s="77"/>
      <c r="K2" s="74"/>
    </row>
    <row r="3" spans="1:11">
      <c r="A3" t="s">
        <v>50</v>
      </c>
      <c r="B3" s="36" t="s">
        <v>22</v>
      </c>
      <c r="C3" s="36" t="s">
        <v>26</v>
      </c>
      <c r="D3" s="38" t="s">
        <v>23</v>
      </c>
      <c r="E3" s="37" t="s">
        <v>27</v>
      </c>
      <c r="F3" s="37" t="s">
        <v>28</v>
      </c>
      <c r="G3" s="39" t="s">
        <v>28</v>
      </c>
      <c r="H3" s="39" t="s">
        <v>31</v>
      </c>
      <c r="I3" s="39" t="s">
        <v>29</v>
      </c>
      <c r="J3" s="39" t="s">
        <v>30</v>
      </c>
      <c r="K3" s="40" t="s">
        <v>32</v>
      </c>
    </row>
    <row r="4" spans="1:11">
      <c r="A4" t="str">
        <f>D4&amp;RIGHT(B4,1)</f>
        <v>PremiumW3</v>
      </c>
      <c r="B4" s="58" t="s">
        <v>33</v>
      </c>
      <c r="C4" s="42">
        <v>0.71</v>
      </c>
      <c r="D4" s="43" t="s">
        <v>34</v>
      </c>
      <c r="E4" s="44">
        <v>20</v>
      </c>
      <c r="F4" s="45">
        <v>0.43</v>
      </c>
      <c r="G4" s="65">
        <f>C4*F4</f>
        <v>0.30529999999999996</v>
      </c>
      <c r="H4" s="65">
        <f>IFERROR(G4/E4,0)</f>
        <v>1.5264999999999997E-2</v>
      </c>
      <c r="I4" s="57">
        <f>$E$24*G4</f>
        <v>47.016199999999991</v>
      </c>
      <c r="J4" s="57">
        <f>$E$24*H4</f>
        <v>2.3508099999999996</v>
      </c>
      <c r="K4" s="46">
        <f>ROUND(J4*1000,0)</f>
        <v>2351</v>
      </c>
    </row>
    <row r="5" spans="1:11">
      <c r="A5" t="str">
        <f t="shared" ref="A5:A23" si="0">D5&amp;RIGHT(B5,1)</f>
        <v>PremiumWpick3</v>
      </c>
      <c r="B5" s="58" t="s">
        <v>33</v>
      </c>
      <c r="C5" s="42">
        <v>0.71</v>
      </c>
      <c r="D5" s="53" t="s">
        <v>41</v>
      </c>
      <c r="E5" s="50">
        <v>0</v>
      </c>
      <c r="F5" s="51">
        <v>0</v>
      </c>
      <c r="G5" s="65">
        <f t="shared" ref="G5:G23" si="1">C5*F5</f>
        <v>0</v>
      </c>
      <c r="H5" s="65">
        <f>IFERROR(G5/E5,0)</f>
        <v>0</v>
      </c>
      <c r="I5" s="57">
        <f t="shared" ref="I5:I23" si="2">$E$24*G5</f>
        <v>0</v>
      </c>
      <c r="J5" s="57">
        <f t="shared" ref="J5:J23" si="3">$E$24*H5</f>
        <v>0</v>
      </c>
      <c r="K5" s="46">
        <f t="shared" ref="K5:K23" si="4">ROUND(J5*1000,0)</f>
        <v>0</v>
      </c>
    </row>
    <row r="6" spans="1:11">
      <c r="A6" t="str">
        <f t="shared" si="0"/>
        <v>PremiumN3</v>
      </c>
      <c r="B6" s="58" t="s">
        <v>33</v>
      </c>
      <c r="C6" s="42">
        <v>0.71</v>
      </c>
      <c r="D6" s="49" t="s">
        <v>35</v>
      </c>
      <c r="E6" s="50">
        <v>20</v>
      </c>
      <c r="F6" s="51">
        <v>0.44500000000000001</v>
      </c>
      <c r="G6" s="65">
        <f t="shared" si="1"/>
        <v>0.31595000000000001</v>
      </c>
      <c r="H6" s="65">
        <f t="shared" ref="H6:H23" si="5">IFERROR(G6/E6,0)</f>
        <v>1.5797499999999999E-2</v>
      </c>
      <c r="I6" s="57">
        <f t="shared" si="2"/>
        <v>48.656300000000002</v>
      </c>
      <c r="J6" s="57">
        <f t="shared" si="3"/>
        <v>2.4328149999999997</v>
      </c>
      <c r="K6" s="46">
        <f t="shared" si="4"/>
        <v>2433</v>
      </c>
    </row>
    <row r="7" spans="1:11">
      <c r="A7" t="str">
        <f t="shared" si="0"/>
        <v>PremiumNpick3</v>
      </c>
      <c r="B7" s="58" t="s">
        <v>33</v>
      </c>
      <c r="C7" s="42">
        <v>0.71</v>
      </c>
      <c r="D7" s="53" t="s">
        <v>42</v>
      </c>
      <c r="E7" s="50">
        <v>0</v>
      </c>
      <c r="F7" s="51">
        <v>0</v>
      </c>
      <c r="G7" s="65">
        <f t="shared" si="1"/>
        <v>0</v>
      </c>
      <c r="H7" s="65">
        <f t="shared" si="5"/>
        <v>0</v>
      </c>
      <c r="I7" s="57">
        <f t="shared" si="2"/>
        <v>0</v>
      </c>
      <c r="J7" s="57">
        <f t="shared" si="3"/>
        <v>0</v>
      </c>
      <c r="K7" s="46">
        <f t="shared" si="4"/>
        <v>0</v>
      </c>
    </row>
    <row r="8" spans="1:11">
      <c r="A8" t="str">
        <f t="shared" si="0"/>
        <v>PremiumS3</v>
      </c>
      <c r="B8" s="58" t="s">
        <v>33</v>
      </c>
      <c r="C8" s="42">
        <v>0.71</v>
      </c>
      <c r="D8" s="49" t="s">
        <v>36</v>
      </c>
      <c r="E8" s="50">
        <v>12</v>
      </c>
      <c r="F8" s="51">
        <v>2.5000000000000001E-2</v>
      </c>
      <c r="G8" s="65">
        <f t="shared" si="1"/>
        <v>1.7749999999999998E-2</v>
      </c>
      <c r="H8" s="65">
        <f t="shared" si="5"/>
        <v>1.4791666666666666E-3</v>
      </c>
      <c r="I8" s="57">
        <f t="shared" si="2"/>
        <v>2.7334999999999998</v>
      </c>
      <c r="J8" s="57">
        <f t="shared" si="3"/>
        <v>0.22779166666666667</v>
      </c>
      <c r="K8" s="46">
        <f t="shared" si="4"/>
        <v>228</v>
      </c>
    </row>
    <row r="9" spans="1:11">
      <c r="A9" t="str">
        <f t="shared" si="0"/>
        <v>PremiumSpick3</v>
      </c>
      <c r="B9" s="58" t="s">
        <v>33</v>
      </c>
      <c r="C9" s="42">
        <v>0.71</v>
      </c>
      <c r="D9" s="53" t="s">
        <v>43</v>
      </c>
      <c r="E9" s="50">
        <v>2</v>
      </c>
      <c r="F9" s="51">
        <v>0.1</v>
      </c>
      <c r="G9" s="65">
        <f t="shared" si="1"/>
        <v>7.0999999999999994E-2</v>
      </c>
      <c r="H9" s="65">
        <f t="shared" si="5"/>
        <v>3.5499999999999997E-2</v>
      </c>
      <c r="I9" s="57">
        <f t="shared" si="2"/>
        <v>10.933999999999999</v>
      </c>
      <c r="J9" s="57">
        <f t="shared" si="3"/>
        <v>5.4669999999999996</v>
      </c>
      <c r="K9" s="46">
        <f t="shared" si="4"/>
        <v>5467</v>
      </c>
    </row>
    <row r="10" spans="1:11">
      <c r="A10" t="str">
        <f t="shared" si="0"/>
        <v>PremiumW4</v>
      </c>
      <c r="B10" s="58" t="s">
        <v>37</v>
      </c>
      <c r="C10" s="48">
        <v>0.25</v>
      </c>
      <c r="D10" s="49" t="s">
        <v>34</v>
      </c>
      <c r="E10" s="50">
        <v>20</v>
      </c>
      <c r="F10" s="51">
        <v>0.41880000000000001</v>
      </c>
      <c r="G10" s="65">
        <f t="shared" si="1"/>
        <v>0.1047</v>
      </c>
      <c r="H10" s="65">
        <f t="shared" si="5"/>
        <v>5.2350000000000001E-3</v>
      </c>
      <c r="I10" s="57">
        <f t="shared" si="2"/>
        <v>16.123799999999999</v>
      </c>
      <c r="J10" s="57">
        <f t="shared" si="3"/>
        <v>0.80618999999999996</v>
      </c>
      <c r="K10" s="46">
        <f t="shared" si="4"/>
        <v>806</v>
      </c>
    </row>
    <row r="11" spans="1:11">
      <c r="A11" t="str">
        <f t="shared" si="0"/>
        <v>PremiumWpick4</v>
      </c>
      <c r="B11" s="58" t="s">
        <v>37</v>
      </c>
      <c r="C11" s="48">
        <v>0.25</v>
      </c>
      <c r="D11" s="53" t="s">
        <v>41</v>
      </c>
      <c r="E11" s="50">
        <v>0</v>
      </c>
      <c r="F11" s="51">
        <v>0</v>
      </c>
      <c r="G11" s="65">
        <f t="shared" si="1"/>
        <v>0</v>
      </c>
      <c r="H11" s="65">
        <f t="shared" si="5"/>
        <v>0</v>
      </c>
      <c r="I11" s="57">
        <f t="shared" si="2"/>
        <v>0</v>
      </c>
      <c r="J11" s="57">
        <f t="shared" si="3"/>
        <v>0</v>
      </c>
      <c r="K11" s="46">
        <f t="shared" si="4"/>
        <v>0</v>
      </c>
    </row>
    <row r="12" spans="1:11">
      <c r="A12" t="str">
        <f t="shared" si="0"/>
        <v>PremiumN4</v>
      </c>
      <c r="B12" s="58" t="s">
        <v>37</v>
      </c>
      <c r="C12" s="48">
        <v>0.25</v>
      </c>
      <c r="D12" s="49" t="s">
        <v>35</v>
      </c>
      <c r="E12" s="50">
        <v>20</v>
      </c>
      <c r="F12" s="51">
        <v>0.37119999999999997</v>
      </c>
      <c r="G12" s="65">
        <f t="shared" si="1"/>
        <v>9.2799999999999994E-2</v>
      </c>
      <c r="H12" s="65">
        <f t="shared" si="5"/>
        <v>4.64E-3</v>
      </c>
      <c r="I12" s="57">
        <f t="shared" si="2"/>
        <v>14.2912</v>
      </c>
      <c r="J12" s="57">
        <f t="shared" si="3"/>
        <v>0.71455999999999997</v>
      </c>
      <c r="K12" s="46">
        <f t="shared" si="4"/>
        <v>715</v>
      </c>
    </row>
    <row r="13" spans="1:11">
      <c r="A13" t="str">
        <f t="shared" si="0"/>
        <v>PremiumNpick4</v>
      </c>
      <c r="B13" s="58" t="s">
        <v>37</v>
      </c>
      <c r="C13" s="48">
        <v>0.25</v>
      </c>
      <c r="D13" s="53" t="s">
        <v>42</v>
      </c>
      <c r="E13" s="50">
        <v>0</v>
      </c>
      <c r="F13" s="51">
        <v>0</v>
      </c>
      <c r="G13" s="65">
        <f t="shared" si="1"/>
        <v>0</v>
      </c>
      <c r="H13" s="65">
        <f t="shared" si="5"/>
        <v>0</v>
      </c>
      <c r="I13" s="57">
        <f t="shared" si="2"/>
        <v>0</v>
      </c>
      <c r="J13" s="57">
        <f t="shared" si="3"/>
        <v>0</v>
      </c>
      <c r="K13" s="46">
        <f t="shared" si="4"/>
        <v>0</v>
      </c>
    </row>
    <row r="14" spans="1:11">
      <c r="A14" t="str">
        <f t="shared" si="0"/>
        <v>PremiumS4</v>
      </c>
      <c r="B14" s="58" t="s">
        <v>37</v>
      </c>
      <c r="C14" s="48">
        <v>0.25</v>
      </c>
      <c r="D14" s="49" t="s">
        <v>36</v>
      </c>
      <c r="E14" s="50">
        <v>12</v>
      </c>
      <c r="F14" s="51">
        <v>2.5000000000000001E-2</v>
      </c>
      <c r="G14" s="65">
        <f t="shared" si="1"/>
        <v>6.2500000000000003E-3</v>
      </c>
      <c r="H14" s="65">
        <f t="shared" si="5"/>
        <v>5.2083333333333333E-4</v>
      </c>
      <c r="I14" s="57">
        <f t="shared" si="2"/>
        <v>0.96250000000000002</v>
      </c>
      <c r="J14" s="57">
        <f t="shared" si="3"/>
        <v>8.0208333333333326E-2</v>
      </c>
      <c r="K14" s="46">
        <f t="shared" si="4"/>
        <v>80</v>
      </c>
    </row>
    <row r="15" spans="1:11">
      <c r="A15" t="str">
        <f t="shared" si="0"/>
        <v>PremiumSpick4</v>
      </c>
      <c r="B15" s="58" t="s">
        <v>37</v>
      </c>
      <c r="C15" s="48">
        <v>0.25</v>
      </c>
      <c r="D15" s="53" t="s">
        <v>44</v>
      </c>
      <c r="E15" s="50">
        <v>2</v>
      </c>
      <c r="F15" s="51">
        <v>0.1</v>
      </c>
      <c r="G15" s="65">
        <f t="shared" si="1"/>
        <v>2.5000000000000001E-2</v>
      </c>
      <c r="H15" s="65">
        <f t="shared" si="5"/>
        <v>1.2500000000000001E-2</v>
      </c>
      <c r="I15" s="57">
        <f t="shared" si="2"/>
        <v>3.85</v>
      </c>
      <c r="J15" s="57">
        <f t="shared" si="3"/>
        <v>1.925</v>
      </c>
      <c r="K15" s="46">
        <f t="shared" si="4"/>
        <v>1925</v>
      </c>
    </row>
    <row r="16" spans="1:11">
      <c r="A16" t="str">
        <f t="shared" si="0"/>
        <v>PremiumSS4</v>
      </c>
      <c r="B16" s="58" t="s">
        <v>37</v>
      </c>
      <c r="C16" s="48">
        <v>0.25</v>
      </c>
      <c r="D16" s="49" t="s">
        <v>38</v>
      </c>
      <c r="E16" s="50">
        <v>4</v>
      </c>
      <c r="F16" s="51">
        <v>1.4999999999999999E-2</v>
      </c>
      <c r="G16" s="65">
        <f t="shared" si="1"/>
        <v>3.7499999999999999E-3</v>
      </c>
      <c r="H16" s="65">
        <f t="shared" si="5"/>
        <v>9.3749999999999997E-4</v>
      </c>
      <c r="I16" s="57">
        <f t="shared" si="2"/>
        <v>0.57750000000000001</v>
      </c>
      <c r="J16" s="57">
        <f t="shared" si="3"/>
        <v>0.144375</v>
      </c>
      <c r="K16" s="46">
        <f t="shared" si="4"/>
        <v>144</v>
      </c>
    </row>
    <row r="17" spans="1:11">
      <c r="A17" t="str">
        <f t="shared" si="0"/>
        <v>PremiumSSpick4</v>
      </c>
      <c r="B17" s="58" t="s">
        <v>37</v>
      </c>
      <c r="C17" s="48">
        <v>0.25</v>
      </c>
      <c r="D17" s="53" t="s">
        <v>45</v>
      </c>
      <c r="E17" s="50">
        <v>2</v>
      </c>
      <c r="F17" s="51">
        <v>7.0000000000000007E-2</v>
      </c>
      <c r="G17" s="65">
        <f t="shared" si="1"/>
        <v>1.7500000000000002E-2</v>
      </c>
      <c r="H17" s="65">
        <f t="shared" si="5"/>
        <v>8.7500000000000008E-3</v>
      </c>
      <c r="I17" s="57">
        <f t="shared" si="2"/>
        <v>2.6950000000000003</v>
      </c>
      <c r="J17" s="57">
        <f t="shared" si="3"/>
        <v>1.3475000000000001</v>
      </c>
      <c r="K17" s="46">
        <f t="shared" si="4"/>
        <v>1348</v>
      </c>
    </row>
    <row r="18" spans="1:11">
      <c r="A18" t="str">
        <f t="shared" si="0"/>
        <v>PremiumN5</v>
      </c>
      <c r="B18" s="58" t="s">
        <v>39</v>
      </c>
      <c r="C18" s="48">
        <v>0.04</v>
      </c>
      <c r="D18" s="49" t="s">
        <v>35</v>
      </c>
      <c r="E18" s="50">
        <v>20</v>
      </c>
      <c r="F18" s="51">
        <v>0.78120000000000001</v>
      </c>
      <c r="G18" s="65">
        <f t="shared" si="1"/>
        <v>3.1248000000000001E-2</v>
      </c>
      <c r="H18" s="65">
        <f t="shared" si="5"/>
        <v>1.5624E-3</v>
      </c>
      <c r="I18" s="57">
        <f t="shared" si="2"/>
        <v>4.8121920000000005</v>
      </c>
      <c r="J18" s="57">
        <f t="shared" si="3"/>
        <v>0.24060960000000001</v>
      </c>
      <c r="K18" s="46">
        <f t="shared" si="4"/>
        <v>241</v>
      </c>
    </row>
    <row r="19" spans="1:11">
      <c r="A19" t="str">
        <f t="shared" si="0"/>
        <v>PremiumNpick5</v>
      </c>
      <c r="B19" s="58" t="s">
        <v>39</v>
      </c>
      <c r="C19" s="48">
        <v>0.04</v>
      </c>
      <c r="D19" s="53" t="s">
        <v>42</v>
      </c>
      <c r="E19" s="50">
        <v>0</v>
      </c>
      <c r="F19" s="51">
        <v>0</v>
      </c>
      <c r="G19" s="65">
        <f t="shared" si="1"/>
        <v>0</v>
      </c>
      <c r="H19" s="65">
        <f t="shared" si="5"/>
        <v>0</v>
      </c>
      <c r="I19" s="57">
        <f t="shared" si="2"/>
        <v>0</v>
      </c>
      <c r="J19" s="57">
        <f t="shared" si="3"/>
        <v>0</v>
      </c>
      <c r="K19" s="46">
        <f t="shared" si="4"/>
        <v>0</v>
      </c>
    </row>
    <row r="20" spans="1:11">
      <c r="A20" t="str">
        <f t="shared" si="0"/>
        <v>PremiumS5</v>
      </c>
      <c r="B20" s="58" t="s">
        <v>39</v>
      </c>
      <c r="C20" s="48">
        <v>0.04</v>
      </c>
      <c r="D20" s="49" t="s">
        <v>36</v>
      </c>
      <c r="E20" s="50">
        <v>12</v>
      </c>
      <c r="F20" s="51">
        <v>2.5000000000000001E-2</v>
      </c>
      <c r="G20" s="65">
        <f t="shared" si="1"/>
        <v>1E-3</v>
      </c>
      <c r="H20" s="65">
        <f t="shared" si="5"/>
        <v>8.3333333333333331E-5</v>
      </c>
      <c r="I20" s="57">
        <f t="shared" si="2"/>
        <v>0.154</v>
      </c>
      <c r="J20" s="57">
        <f t="shared" si="3"/>
        <v>1.2833333333333334E-2</v>
      </c>
      <c r="K20" s="46">
        <f t="shared" si="4"/>
        <v>13</v>
      </c>
    </row>
    <row r="21" spans="1:11">
      <c r="A21" t="str">
        <f t="shared" si="0"/>
        <v>PremiumSpick5</v>
      </c>
      <c r="B21" s="58" t="s">
        <v>39</v>
      </c>
      <c r="C21" s="48">
        <v>0.04</v>
      </c>
      <c r="D21" s="53" t="s">
        <v>43</v>
      </c>
      <c r="E21" s="50">
        <v>2</v>
      </c>
      <c r="F21" s="51">
        <v>0.1</v>
      </c>
      <c r="G21" s="65">
        <f t="shared" si="1"/>
        <v>4.0000000000000001E-3</v>
      </c>
      <c r="H21" s="65">
        <f t="shared" si="5"/>
        <v>2E-3</v>
      </c>
      <c r="I21" s="57">
        <f t="shared" si="2"/>
        <v>0.61599999999999999</v>
      </c>
      <c r="J21" s="57">
        <f t="shared" si="3"/>
        <v>0.308</v>
      </c>
      <c r="K21" s="46">
        <f t="shared" si="4"/>
        <v>308</v>
      </c>
    </row>
    <row r="22" spans="1:11">
      <c r="A22" t="str">
        <f t="shared" si="0"/>
        <v>PremiumSS5</v>
      </c>
      <c r="B22" s="58" t="s">
        <v>39</v>
      </c>
      <c r="C22" s="48">
        <v>0.04</v>
      </c>
      <c r="D22" s="49" t="s">
        <v>38</v>
      </c>
      <c r="E22" s="50">
        <v>4</v>
      </c>
      <c r="F22" s="51">
        <v>3.1300000000000001E-2</v>
      </c>
      <c r="G22" s="65">
        <f t="shared" si="1"/>
        <v>1.2520000000000001E-3</v>
      </c>
      <c r="H22" s="65">
        <f t="shared" si="5"/>
        <v>3.1300000000000002E-4</v>
      </c>
      <c r="I22" s="57">
        <f t="shared" si="2"/>
        <v>0.19280800000000001</v>
      </c>
      <c r="J22" s="57">
        <f t="shared" si="3"/>
        <v>4.8202000000000002E-2</v>
      </c>
      <c r="K22" s="46">
        <f t="shared" si="4"/>
        <v>48</v>
      </c>
    </row>
    <row r="23" spans="1:11">
      <c r="A23" t="str">
        <f t="shared" si="0"/>
        <v>PremiumSSpick5</v>
      </c>
      <c r="B23" s="58" t="s">
        <v>39</v>
      </c>
      <c r="C23" s="48">
        <v>0.04</v>
      </c>
      <c r="D23" s="53" t="s">
        <v>45</v>
      </c>
      <c r="E23" s="50">
        <v>2</v>
      </c>
      <c r="F23" s="51">
        <v>6.25E-2</v>
      </c>
      <c r="G23" s="65">
        <f t="shared" si="1"/>
        <v>2.5000000000000001E-3</v>
      </c>
      <c r="H23" s="65">
        <f t="shared" si="5"/>
        <v>1.25E-3</v>
      </c>
      <c r="I23" s="57">
        <f t="shared" si="2"/>
        <v>0.38500000000000001</v>
      </c>
      <c r="J23" s="57">
        <f t="shared" si="3"/>
        <v>0.1925</v>
      </c>
      <c r="K23" s="46">
        <f t="shared" si="4"/>
        <v>193</v>
      </c>
    </row>
    <row r="24" spans="1:11">
      <c r="B24" s="54"/>
      <c r="C24" s="55">
        <v>1</v>
      </c>
      <c r="D24" s="49" t="s">
        <v>40</v>
      </c>
      <c r="E24" s="50">
        <f>SUM(E4:E23)</f>
        <v>154</v>
      </c>
      <c r="F24" s="41">
        <f>SUM(F4:F22)</f>
        <v>2.9375</v>
      </c>
      <c r="G24" s="47">
        <f>SUM(G4:G23)</f>
        <v>1</v>
      </c>
      <c r="H24" s="47" t="s">
        <v>46</v>
      </c>
      <c r="I24" s="50">
        <f>SUM(I4:I23)</f>
        <v>154</v>
      </c>
      <c r="J24" s="50" t="s">
        <v>47</v>
      </c>
      <c r="K24" s="52" t="s">
        <v>48</v>
      </c>
    </row>
    <row r="58" spans="1:1">
      <c r="A58" s="34"/>
    </row>
    <row r="59" spans="1:1">
      <c r="A59" s="34"/>
    </row>
    <row r="60" spans="1:1">
      <c r="A60" s="34"/>
    </row>
    <row r="61" spans="1:1">
      <c r="A61" s="18"/>
    </row>
    <row r="62" spans="1:1">
      <c r="A62" s="34"/>
    </row>
    <row r="63" spans="1:1">
      <c r="A63" s="34"/>
    </row>
    <row r="64" spans="1:1">
      <c r="A64" s="34"/>
    </row>
    <row r="65" spans="1:1">
      <c r="A65" s="18"/>
    </row>
    <row r="66" spans="1:1">
      <c r="A66" s="34"/>
    </row>
    <row r="67" spans="1:1">
      <c r="A67" s="18"/>
    </row>
    <row r="68" spans="1:1">
      <c r="A68" s="34"/>
    </row>
    <row r="69" spans="1:1">
      <c r="A69" s="34"/>
    </row>
    <row r="70" spans="1:1">
      <c r="A70" s="18"/>
    </row>
    <row r="71" spans="1:1">
      <c r="A71" s="34"/>
    </row>
    <row r="72" spans="1:1">
      <c r="A72" s="18"/>
    </row>
    <row r="73" spans="1:1">
      <c r="A73" s="34"/>
    </row>
    <row r="74" spans="1:1">
      <c r="A74" s="34"/>
    </row>
    <row r="75" spans="1:1">
      <c r="A75" s="34"/>
    </row>
    <row r="76" spans="1:1">
      <c r="A76" s="18"/>
    </row>
    <row r="77" spans="1:1">
      <c r="A77" s="34"/>
    </row>
    <row r="78" spans="1:1">
      <c r="A78" s="18"/>
    </row>
    <row r="79" spans="1:1">
      <c r="A79" s="34"/>
    </row>
    <row r="80" spans="1:1">
      <c r="A80" s="34"/>
    </row>
    <row r="81" spans="1:1">
      <c r="A81" s="18"/>
    </row>
    <row r="82" spans="1:1">
      <c r="A82" s="34"/>
    </row>
    <row r="83" spans="1:1">
      <c r="A83" s="18"/>
    </row>
  </sheetData>
  <mergeCells count="3">
    <mergeCell ref="B2:C2"/>
    <mergeCell ref="D2:E2"/>
    <mergeCell ref="G2:K2"/>
  </mergeCells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R15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T34" sqref="T34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11</v>
      </c>
      <c r="B1" s="59" t="s">
        <v>51</v>
      </c>
      <c r="C1" s="3" t="s">
        <v>20</v>
      </c>
      <c r="D1" s="60" t="s">
        <v>21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A2" s="7" t="str">
        <f t="shared" ref="A2:A30" si="0">B2&amp;E2&amp;L2</f>
        <v>1001261</v>
      </c>
      <c r="B2" s="2">
        <v>100</v>
      </c>
      <c r="C2" s="9" t="str">
        <f t="shared" ref="C2:C30" ca="1" si="1">G2&amp;D2&amp;H2</f>
        <v>PremiumW3</v>
      </c>
      <c r="D2" s="9" t="str">
        <f t="shared" ref="D2:D30" si="2">IF(OR(E2=380,E2=381,E2=382,E2=383,E2=384,E2=385,E2=386,E2=387,E2=388,E2=389),"pick","")</f>
        <v/>
      </c>
      <c r="E2" s="25">
        <v>126</v>
      </c>
      <c r="F2" s="19" t="str">
        <f ca="1">VLOOKUP($E2,OFFSET([1]characters!$A$2,0,0,COUNTA([1]characters!$A:$A),MATCH(F$1,[1]characters!$2:$2,0)-MATCH($E$1,[1]characters!$2:$2,0)+1),MATCH(F$1,[1]characters!$2:$2,0)-MATCH($E$1,[1]characters!$2:$2,0)+1,FALSE)</f>
        <v>骨器使い ユノ</v>
      </c>
      <c r="G2" s="19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9">
        <f ca="1">VLOOKUP($E2,OFFSET([1]characters!$A$2,0,0,COUNTA([1]characters!$A:$A),MATCH(H$1,[1]characters!$2:$2,0)-MATCH($E$1,[1]characters!$2:$2,0)+1),MATCH(H$1,[1]characters!$2:$2,0)-MATCH($E$1,[1]characters!$2:$2,0)+1,FALSE)</f>
        <v>3</v>
      </c>
      <c r="I2" s="19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9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9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0">
        <v>1</v>
      </c>
      <c r="M2" s="35">
        <f ca="1">VLOOKUP(C2,gacha_100_base!A:K,11,FALSE)</f>
        <v>2351</v>
      </c>
      <c r="N2" s="17">
        <v>0</v>
      </c>
      <c r="O2" s="17">
        <v>0</v>
      </c>
      <c r="P2" s="17">
        <v>0</v>
      </c>
      <c r="Q2" s="17">
        <v>0</v>
      </c>
      <c r="R2" s="17">
        <v>1</v>
      </c>
    </row>
    <row r="3" spans="1:18" ht="21" customHeight="1">
      <c r="A3" s="7" t="str">
        <f t="shared" si="0"/>
        <v>1001281</v>
      </c>
      <c r="B3" s="2">
        <v>100</v>
      </c>
      <c r="C3" s="9" t="str">
        <f t="shared" ca="1" si="1"/>
        <v>PremiumW3</v>
      </c>
      <c r="D3" s="9" t="str">
        <f t="shared" si="2"/>
        <v/>
      </c>
      <c r="E3" s="25">
        <v>128</v>
      </c>
      <c r="F3" s="19" t="str">
        <f ca="1">VLOOKUP($E3,OFFSET([1]characters!$A$2,0,0,COUNTA([1]characters!$A:$A),MATCH(F$1,[1]characters!$2:$2,0)-MATCH($E$1,[1]characters!$2:$2,0)+1),MATCH(F$1,[1]characters!$2:$2,0)-MATCH($E$1,[1]characters!$2:$2,0)+1,FALSE)</f>
        <v>野生児 アマラ</v>
      </c>
      <c r="G3" s="19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9">
        <f ca="1">VLOOKUP($E3,OFFSET([1]characters!$A$2,0,0,COUNTA([1]characters!$A:$A),MATCH(H$1,[1]characters!$2:$2,0)-MATCH($E$1,[1]characters!$2:$2,0)+1),MATCH(H$1,[1]characters!$2:$2,0)-MATCH($E$1,[1]characters!$2:$2,0)+1,FALSE)</f>
        <v>3</v>
      </c>
      <c r="I3" s="19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9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9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20">
        <v>1</v>
      </c>
      <c r="M3" s="35">
        <f ca="1">VLOOKUP(C3,gacha_100_base!A:K,11,FALSE)</f>
        <v>2351</v>
      </c>
      <c r="N3" s="17">
        <v>0</v>
      </c>
      <c r="O3" s="17">
        <v>0</v>
      </c>
      <c r="P3" s="17">
        <v>0</v>
      </c>
      <c r="Q3" s="17">
        <v>0</v>
      </c>
      <c r="R3" s="17">
        <v>1</v>
      </c>
    </row>
    <row r="4" spans="1:18" ht="21" customHeight="1">
      <c r="A4" s="7" t="str">
        <f t="shared" si="0"/>
        <v>1001301</v>
      </c>
      <c r="B4" s="2">
        <v>100</v>
      </c>
      <c r="C4" s="9" t="str">
        <f t="shared" ca="1" si="1"/>
        <v>PremiumW3</v>
      </c>
      <c r="D4" s="9" t="str">
        <f t="shared" si="2"/>
        <v/>
      </c>
      <c r="E4" s="6">
        <v>130</v>
      </c>
      <c r="F4" s="9" t="str">
        <f ca="1">VLOOKUP($E4,OFFSET([1]characters!$A$2,0,0,COUNTA([1]characters!$A:$A),MATCH(F$1,[1]characters!$2:$2,0)-MATCH($E$1,[1]characters!$2:$2,0)+1),MATCH(F$1,[1]characters!$2:$2,0)-MATCH($E$1,[1]characters!$2:$2,0)+1,FALSE)</f>
        <v>狼男 ローレンス</v>
      </c>
      <c r="G4" s="9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9">
        <f ca="1">VLOOKUP($E4,OFFSET([1]characters!$A$2,0,0,COUNTA([1]characters!$A:$A),MATCH(H$1,[1]characters!$2:$2,0)-MATCH($E$1,[1]characters!$2:$2,0)+1),MATCH(H$1,[1]characters!$2:$2,0)-MATCH($E$1,[1]characters!$2:$2,0)+1,FALSE)</f>
        <v>3</v>
      </c>
      <c r="I4" s="9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9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9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5">
        <v>1</v>
      </c>
      <c r="M4" s="35">
        <f ca="1">VLOOKUP(C4,gacha_100_base!A:K,11,FALSE)</f>
        <v>2351</v>
      </c>
      <c r="N4" s="26">
        <v>0</v>
      </c>
      <c r="O4" s="26">
        <v>0</v>
      </c>
      <c r="P4" s="26">
        <v>0</v>
      </c>
      <c r="Q4" s="26">
        <v>0</v>
      </c>
      <c r="R4" s="26">
        <v>1</v>
      </c>
    </row>
    <row r="5" spans="1:18" ht="21" customHeight="1">
      <c r="A5" s="7" t="str">
        <f t="shared" si="0"/>
        <v>1001321</v>
      </c>
      <c r="B5" s="2">
        <v>100</v>
      </c>
      <c r="C5" s="9" t="str">
        <f t="shared" ca="1" si="1"/>
        <v>PremiumW3</v>
      </c>
      <c r="D5" s="9" t="str">
        <f t="shared" si="2"/>
        <v/>
      </c>
      <c r="E5" s="6">
        <v>132</v>
      </c>
      <c r="F5" s="9" t="str">
        <f ca="1">VLOOKUP($E5,OFFSET([1]characters!$A$2,0,0,COUNTA([1]characters!$A:$A),MATCH(F$1,[1]characters!$2:$2,0)-MATCH($E$1,[1]characters!$2:$2,0)+1),MATCH(F$1,[1]characters!$2:$2,0)-MATCH($E$1,[1]characters!$2:$2,0)+1,FALSE)</f>
        <v>鳥人ハヤト</v>
      </c>
      <c r="G5" s="9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9">
        <f ca="1">VLOOKUP($E5,OFFSET([1]characters!$A$2,0,0,COUNTA([1]characters!$A:$A),MATCH(H$1,[1]characters!$2:$2,0)-MATCH($E$1,[1]characters!$2:$2,0)+1),MATCH(H$1,[1]characters!$2:$2,0)-MATCH($E$1,[1]characters!$2:$2,0)+1,FALSE)</f>
        <v>3</v>
      </c>
      <c r="I5" s="9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9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9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5">
        <v>1</v>
      </c>
      <c r="M5" s="35">
        <f ca="1">VLOOKUP(C5,gacha_100_base!A:K,11,FALSE)</f>
        <v>2351</v>
      </c>
      <c r="N5" s="26">
        <v>0</v>
      </c>
      <c r="O5" s="26">
        <v>0</v>
      </c>
      <c r="P5" s="26">
        <v>0</v>
      </c>
      <c r="Q5" s="26">
        <v>0</v>
      </c>
      <c r="R5" s="26">
        <v>1</v>
      </c>
    </row>
    <row r="6" spans="1:18" ht="21" customHeight="1">
      <c r="A6" s="7" t="str">
        <f t="shared" si="0"/>
        <v>1001341</v>
      </c>
      <c r="B6" s="2">
        <v>100</v>
      </c>
      <c r="C6" s="9" t="str">
        <f t="shared" ca="1" si="1"/>
        <v>PremiumW3</v>
      </c>
      <c r="D6" s="9" t="str">
        <f t="shared" si="2"/>
        <v/>
      </c>
      <c r="E6" s="6">
        <v>134</v>
      </c>
      <c r="F6" s="9" t="str">
        <f ca="1">VLOOKUP($E6,OFFSET([1]characters!$A$2,0,0,COUNTA([1]characters!$A:$A),MATCH(F$1,[1]characters!$2:$2,0)-MATCH($E$1,[1]characters!$2:$2,0)+1),MATCH(F$1,[1]characters!$2:$2,0)-MATCH($E$1,[1]characters!$2:$2,0)+1,FALSE)</f>
        <v>妖炎の夕霧</v>
      </c>
      <c r="G6" s="9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9">
        <f ca="1">VLOOKUP($E6,OFFSET([1]characters!$A$2,0,0,COUNTA([1]characters!$A:$A),MATCH(H$1,[1]characters!$2:$2,0)-MATCH($E$1,[1]characters!$2:$2,0)+1),MATCH(H$1,[1]characters!$2:$2,0)-MATCH($E$1,[1]characters!$2:$2,0)+1,FALSE)</f>
        <v>3</v>
      </c>
      <c r="I6" s="9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9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9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5">
        <v>1</v>
      </c>
      <c r="M6" s="35">
        <f ca="1">VLOOKUP(C6,gacha_100_base!A:K,11,FALSE)</f>
        <v>2351</v>
      </c>
      <c r="N6" s="26">
        <v>0</v>
      </c>
      <c r="O6" s="26">
        <v>0</v>
      </c>
      <c r="P6" s="26">
        <v>0</v>
      </c>
      <c r="Q6" s="26">
        <v>0</v>
      </c>
      <c r="R6" s="26">
        <v>1</v>
      </c>
    </row>
    <row r="7" spans="1:18" ht="21" customHeight="1">
      <c r="A7" s="7" t="str">
        <f t="shared" si="0"/>
        <v>1001361</v>
      </c>
      <c r="B7" s="2">
        <v>100</v>
      </c>
      <c r="C7" s="9" t="str">
        <f t="shared" ca="1" si="1"/>
        <v>PremiumW3</v>
      </c>
      <c r="D7" s="9" t="str">
        <f t="shared" si="2"/>
        <v/>
      </c>
      <c r="E7" s="6">
        <v>136</v>
      </c>
      <c r="F7" s="9" t="str">
        <f ca="1">VLOOKUP($E7,OFFSET([1]characters!$A$2,0,0,COUNTA([1]characters!$A:$A),MATCH(F$1,[1]characters!$2:$2,0)-MATCH($E$1,[1]characters!$2:$2,0)+1),MATCH(F$1,[1]characters!$2:$2,0)-MATCH($E$1,[1]characters!$2:$2,0)+1,FALSE)</f>
        <v>お針子チハヤ</v>
      </c>
      <c r="G7" s="9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9">
        <f ca="1">VLOOKUP($E7,OFFSET([1]characters!$A$2,0,0,COUNTA([1]characters!$A:$A),MATCH(H$1,[1]characters!$2:$2,0)-MATCH($E$1,[1]characters!$2:$2,0)+1),MATCH(H$1,[1]characters!$2:$2,0)-MATCH($E$1,[1]characters!$2:$2,0)+1,FALSE)</f>
        <v>3</v>
      </c>
      <c r="I7" s="9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9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9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5">
        <v>1</v>
      </c>
      <c r="M7" s="35">
        <f ca="1">VLOOKUP(C7,gacha_100_base!A:K,11,FALSE)</f>
        <v>2351</v>
      </c>
      <c r="N7" s="26">
        <v>0</v>
      </c>
      <c r="O7" s="26">
        <v>0</v>
      </c>
      <c r="P7" s="26">
        <v>0</v>
      </c>
      <c r="Q7" s="26">
        <v>0</v>
      </c>
      <c r="R7" s="26">
        <v>1</v>
      </c>
    </row>
    <row r="8" spans="1:18" ht="21" customHeight="1">
      <c r="A8" s="7" t="str">
        <f t="shared" si="0"/>
        <v>1001381</v>
      </c>
      <c r="B8" s="2">
        <v>100</v>
      </c>
      <c r="C8" s="9" t="str">
        <f t="shared" ca="1" si="1"/>
        <v>PremiumW3</v>
      </c>
      <c r="D8" s="9" t="str">
        <f t="shared" si="2"/>
        <v/>
      </c>
      <c r="E8" s="6">
        <v>138</v>
      </c>
      <c r="F8" s="9" t="str">
        <f ca="1">VLOOKUP($E8,OFFSET([1]characters!$A$2,0,0,COUNTA([1]characters!$A:$A),MATCH(F$1,[1]characters!$2:$2,0)-MATCH($E$1,[1]characters!$2:$2,0)+1),MATCH(F$1,[1]characters!$2:$2,0)-MATCH($E$1,[1]characters!$2:$2,0)+1,FALSE)</f>
        <v>蒼薙のトモエ</v>
      </c>
      <c r="G8" s="9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9">
        <f ca="1">VLOOKUP($E8,OFFSET([1]characters!$A$2,0,0,COUNTA([1]characters!$A:$A),MATCH(H$1,[1]characters!$2:$2,0)-MATCH($E$1,[1]characters!$2:$2,0)+1),MATCH(H$1,[1]characters!$2:$2,0)-MATCH($E$1,[1]characters!$2:$2,0)+1,FALSE)</f>
        <v>3</v>
      </c>
      <c r="I8" s="9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9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9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5">
        <v>1</v>
      </c>
      <c r="M8" s="35">
        <f ca="1">VLOOKUP(C8,gacha_100_base!A:K,11,FALSE)</f>
        <v>2351</v>
      </c>
      <c r="N8" s="26">
        <v>0</v>
      </c>
      <c r="O8" s="26">
        <v>0</v>
      </c>
      <c r="P8" s="26">
        <v>0</v>
      </c>
      <c r="Q8" s="26">
        <v>0</v>
      </c>
      <c r="R8" s="26">
        <v>1</v>
      </c>
    </row>
    <row r="9" spans="1:18" ht="21" customHeight="1">
      <c r="A9" s="7" t="str">
        <f t="shared" si="0"/>
        <v>1001401</v>
      </c>
      <c r="B9" s="2">
        <v>100</v>
      </c>
      <c r="C9" s="9" t="str">
        <f t="shared" ca="1" si="1"/>
        <v>PremiumW3</v>
      </c>
      <c r="D9" s="9" t="str">
        <f t="shared" si="2"/>
        <v/>
      </c>
      <c r="E9" s="6">
        <v>140</v>
      </c>
      <c r="F9" s="9" t="str">
        <f ca="1">VLOOKUP($E9,OFFSET([1]characters!$A$2,0,0,COUNTA([1]characters!$A:$A),MATCH(F$1,[1]characters!$2:$2,0)-MATCH($E$1,[1]characters!$2:$2,0)+1),MATCH(F$1,[1]characters!$2:$2,0)-MATCH($E$1,[1]characters!$2:$2,0)+1,FALSE)</f>
        <v>秋祭のタマモ</v>
      </c>
      <c r="G9" s="9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9">
        <f ca="1">VLOOKUP($E9,OFFSET([1]characters!$A$2,0,0,COUNTA([1]characters!$A:$A),MATCH(H$1,[1]characters!$2:$2,0)-MATCH($E$1,[1]characters!$2:$2,0)+1),MATCH(H$1,[1]characters!$2:$2,0)-MATCH($E$1,[1]characters!$2:$2,0)+1,FALSE)</f>
        <v>3</v>
      </c>
      <c r="I9" s="9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9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9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5">
        <v>1</v>
      </c>
      <c r="M9" s="35">
        <f ca="1">VLOOKUP(C9,gacha_100_base!A:K,11,FALSE)</f>
        <v>2351</v>
      </c>
      <c r="N9" s="26">
        <v>0</v>
      </c>
      <c r="O9" s="26">
        <v>0</v>
      </c>
      <c r="P9" s="26">
        <v>0</v>
      </c>
      <c r="Q9" s="26">
        <v>0</v>
      </c>
      <c r="R9" s="26">
        <v>1</v>
      </c>
    </row>
    <row r="10" spans="1:18" ht="21" customHeight="1">
      <c r="A10" s="7" t="str">
        <f t="shared" si="0"/>
        <v>1001421</v>
      </c>
      <c r="B10" s="2">
        <v>100</v>
      </c>
      <c r="C10" s="9" t="str">
        <f t="shared" ca="1" si="1"/>
        <v>PremiumW3</v>
      </c>
      <c r="D10" s="9" t="str">
        <f t="shared" si="2"/>
        <v/>
      </c>
      <c r="E10" s="6">
        <v>142</v>
      </c>
      <c r="F10" s="9" t="str">
        <f ca="1">VLOOKUP($E10,OFFSET([1]characters!$A$2,0,0,COUNTA([1]characters!$A:$A),MATCH(F$1,[1]characters!$2:$2,0)-MATCH($E$1,[1]characters!$2:$2,0)+1),MATCH(F$1,[1]characters!$2:$2,0)-MATCH($E$1,[1]characters!$2:$2,0)+1,FALSE)</f>
        <v>赤ずきん</v>
      </c>
      <c r="G10" s="9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9">
        <f ca="1">VLOOKUP($E10,OFFSET([1]characters!$A$2,0,0,COUNTA([1]characters!$A:$A),MATCH(H$1,[1]characters!$2:$2,0)-MATCH($E$1,[1]characters!$2:$2,0)+1),MATCH(H$1,[1]characters!$2:$2,0)-MATCH($E$1,[1]characters!$2:$2,0)+1,FALSE)</f>
        <v>3</v>
      </c>
      <c r="I10" s="9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9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9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5">
        <v>1</v>
      </c>
      <c r="M10" s="35">
        <f ca="1">VLOOKUP(C10,gacha_100_base!A:K,11,FALSE)</f>
        <v>2351</v>
      </c>
      <c r="N10" s="26">
        <v>0</v>
      </c>
      <c r="O10" s="26">
        <v>0</v>
      </c>
      <c r="P10" s="26">
        <v>0</v>
      </c>
      <c r="Q10" s="26">
        <v>0</v>
      </c>
      <c r="R10" s="26">
        <v>1</v>
      </c>
    </row>
    <row r="11" spans="1:18" ht="21" customHeight="1">
      <c r="A11" s="7" t="str">
        <f t="shared" si="0"/>
        <v>1001441</v>
      </c>
      <c r="B11" s="2">
        <v>100</v>
      </c>
      <c r="C11" s="9" t="str">
        <f t="shared" ca="1" si="1"/>
        <v>PremiumW3</v>
      </c>
      <c r="D11" s="9" t="str">
        <f t="shared" si="2"/>
        <v/>
      </c>
      <c r="E11" s="6">
        <v>144</v>
      </c>
      <c r="F11" s="9" t="str">
        <f ca="1">VLOOKUP($E11,OFFSET([1]characters!$A$2,0,0,COUNTA([1]characters!$A:$A),MATCH(F$1,[1]characters!$2:$2,0)-MATCH($E$1,[1]characters!$2:$2,0)+1),MATCH(F$1,[1]characters!$2:$2,0)-MATCH($E$1,[1]characters!$2:$2,0)+1,FALSE)</f>
        <v>かぐや</v>
      </c>
      <c r="G11" s="9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9">
        <f ca="1">VLOOKUP($E11,OFFSET([1]characters!$A$2,0,0,COUNTA([1]characters!$A:$A),MATCH(H$1,[1]characters!$2:$2,0)-MATCH($E$1,[1]characters!$2:$2,0)+1),MATCH(H$1,[1]characters!$2:$2,0)-MATCH($E$1,[1]characters!$2:$2,0)+1,FALSE)</f>
        <v>3</v>
      </c>
      <c r="I11" s="9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9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9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5">
        <v>1</v>
      </c>
      <c r="M11" s="35">
        <f ca="1">VLOOKUP(C11,gacha_100_base!A:K,11,FALSE)</f>
        <v>2351</v>
      </c>
      <c r="N11" s="26">
        <v>0</v>
      </c>
      <c r="O11" s="26">
        <v>0</v>
      </c>
      <c r="P11" s="26">
        <v>0</v>
      </c>
      <c r="Q11" s="26">
        <v>0</v>
      </c>
      <c r="R11" s="26">
        <v>1</v>
      </c>
    </row>
    <row r="12" spans="1:18" ht="21" customHeight="1">
      <c r="A12" s="7" t="str">
        <f t="shared" si="0"/>
        <v>1001461</v>
      </c>
      <c r="B12" s="2">
        <v>100</v>
      </c>
      <c r="C12" s="9" t="str">
        <f t="shared" ca="1" si="1"/>
        <v>PremiumW3</v>
      </c>
      <c r="D12" s="9" t="str">
        <f t="shared" si="2"/>
        <v/>
      </c>
      <c r="E12" s="6">
        <v>146</v>
      </c>
      <c r="F12" s="9" t="str">
        <f ca="1">VLOOKUP($E12,OFFSET([1]characters!$A$2,0,0,COUNTA([1]characters!$A:$A),MATCH(F$1,[1]characters!$2:$2,0)-MATCH($E$1,[1]characters!$2:$2,0)+1),MATCH(F$1,[1]characters!$2:$2,0)-MATCH($E$1,[1]characters!$2:$2,0)+1,FALSE)</f>
        <v>マーメイド</v>
      </c>
      <c r="G12" s="9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9">
        <f ca="1">VLOOKUP($E12,OFFSET([1]characters!$A$2,0,0,COUNTA([1]characters!$A:$A),MATCH(H$1,[1]characters!$2:$2,0)-MATCH($E$1,[1]characters!$2:$2,0)+1),MATCH(H$1,[1]characters!$2:$2,0)-MATCH($E$1,[1]characters!$2:$2,0)+1,FALSE)</f>
        <v>3</v>
      </c>
      <c r="I12" s="9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9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9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5">
        <v>1</v>
      </c>
      <c r="M12" s="35">
        <f ca="1">VLOOKUP(C12,gacha_100_base!A:K,11,FALSE)</f>
        <v>2351</v>
      </c>
      <c r="N12" s="26">
        <v>0</v>
      </c>
      <c r="O12" s="26">
        <v>0</v>
      </c>
      <c r="P12" s="26">
        <v>0</v>
      </c>
      <c r="Q12" s="26">
        <v>0</v>
      </c>
      <c r="R12" s="26">
        <v>1</v>
      </c>
    </row>
    <row r="13" spans="1:18" ht="21" customHeight="1">
      <c r="A13" s="7" t="str">
        <f t="shared" si="0"/>
        <v>1001481</v>
      </c>
      <c r="B13" s="2">
        <v>100</v>
      </c>
      <c r="C13" s="9" t="str">
        <f t="shared" ca="1" si="1"/>
        <v>PremiumW3</v>
      </c>
      <c r="D13" s="9" t="str">
        <f t="shared" si="2"/>
        <v/>
      </c>
      <c r="E13" s="6">
        <v>148</v>
      </c>
      <c r="F13" s="9" t="str">
        <f ca="1">VLOOKUP($E13,OFFSET([1]characters!$A$2,0,0,COUNTA([1]characters!$A:$A),MATCH(F$1,[1]characters!$2:$2,0)-MATCH($E$1,[1]characters!$2:$2,0)+1),MATCH(F$1,[1]characters!$2:$2,0)-MATCH($E$1,[1]characters!$2:$2,0)+1,FALSE)</f>
        <v>シンデレラ</v>
      </c>
      <c r="G13" s="9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9">
        <f ca="1">VLOOKUP($E13,OFFSET([1]characters!$A$2,0,0,COUNTA([1]characters!$A:$A),MATCH(H$1,[1]characters!$2:$2,0)-MATCH($E$1,[1]characters!$2:$2,0)+1),MATCH(H$1,[1]characters!$2:$2,0)-MATCH($E$1,[1]characters!$2:$2,0)+1,FALSE)</f>
        <v>3</v>
      </c>
      <c r="I13" s="9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9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9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5">
        <v>1</v>
      </c>
      <c r="M13" s="35">
        <f ca="1">VLOOKUP(C13,gacha_100_base!A:K,11,FALSE)</f>
        <v>2351</v>
      </c>
      <c r="N13" s="26">
        <v>0</v>
      </c>
      <c r="O13" s="26">
        <v>0</v>
      </c>
      <c r="P13" s="26">
        <v>0</v>
      </c>
      <c r="Q13" s="26">
        <v>0</v>
      </c>
      <c r="R13" s="26">
        <v>1</v>
      </c>
    </row>
    <row r="14" spans="1:18" ht="21" customHeight="1">
      <c r="A14" s="7" t="str">
        <f t="shared" si="0"/>
        <v>1001501</v>
      </c>
      <c r="B14" s="2">
        <v>100</v>
      </c>
      <c r="C14" s="9" t="str">
        <f t="shared" ca="1" si="1"/>
        <v>PremiumW3</v>
      </c>
      <c r="D14" s="9" t="str">
        <f t="shared" si="2"/>
        <v/>
      </c>
      <c r="E14" s="6">
        <v>150</v>
      </c>
      <c r="F14" s="9" t="str">
        <f ca="1">VLOOKUP($E14,OFFSET([1]characters!$A$2,0,0,COUNTA([1]characters!$A:$A),MATCH(F$1,[1]characters!$2:$2,0)-MATCH($E$1,[1]characters!$2:$2,0)+1),MATCH(F$1,[1]characters!$2:$2,0)-MATCH($E$1,[1]characters!$2:$2,0)+1,FALSE)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4" s="9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9">
        <f ca="1">VLOOKUP($E14,OFFSET([1]characters!$A$2,0,0,COUNTA([1]characters!$A:$A),MATCH(H$1,[1]characters!$2:$2,0)-MATCH($E$1,[1]characters!$2:$2,0)+1),MATCH(H$1,[1]characters!$2:$2,0)-MATCH($E$1,[1]characters!$2:$2,0)+1,FALSE)</f>
        <v>3</v>
      </c>
      <c r="I14" s="9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9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9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5">
        <v>1</v>
      </c>
      <c r="M14" s="35">
        <f ca="1">VLOOKUP(C14,gacha_100_base!A:K,11,FALSE)</f>
        <v>2351</v>
      </c>
      <c r="N14" s="26">
        <v>0</v>
      </c>
      <c r="O14" s="26">
        <v>0</v>
      </c>
      <c r="P14" s="26">
        <v>0</v>
      </c>
      <c r="Q14" s="26">
        <v>0</v>
      </c>
      <c r="R14" s="26">
        <v>1</v>
      </c>
    </row>
    <row r="15" spans="1:18" ht="21" customHeight="1">
      <c r="A15" s="7" t="str">
        <f t="shared" si="0"/>
        <v>1001521</v>
      </c>
      <c r="B15" s="2">
        <v>100</v>
      </c>
      <c r="C15" s="9" t="str">
        <f t="shared" ca="1" si="1"/>
        <v>PremiumW3</v>
      </c>
      <c r="D15" s="9" t="str">
        <f t="shared" si="2"/>
        <v/>
      </c>
      <c r="E15" s="6">
        <v>152</v>
      </c>
      <c r="F15" s="9" t="str">
        <f ca="1">VLOOKUP($E15,OFFSET([1]characters!$A$2,0,0,COUNTA([1]characters!$A:$A),MATCH(F$1,[1]characters!$2:$2,0)-MATCH($E$1,[1]characters!$2:$2,0)+1),MATCH(F$1,[1]characters!$2:$2,0)-MATCH($E$1,[1]characters!$2:$2,0)+1,FALSE)</f>
        <v>功夫少女ランラン</v>
      </c>
      <c r="G15" s="9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9">
        <f ca="1">VLOOKUP($E15,OFFSET([1]characters!$A$2,0,0,COUNTA([1]characters!$A:$A),MATCH(H$1,[1]characters!$2:$2,0)-MATCH($E$1,[1]characters!$2:$2,0)+1),MATCH(H$1,[1]characters!$2:$2,0)-MATCH($E$1,[1]characters!$2:$2,0)+1,FALSE)</f>
        <v>3</v>
      </c>
      <c r="I15" s="9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9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9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5">
        <v>1</v>
      </c>
      <c r="M15" s="35">
        <f ca="1">VLOOKUP(C15,gacha_100_base!A:K,11,FALSE)</f>
        <v>2351</v>
      </c>
      <c r="N15" s="26">
        <v>0</v>
      </c>
      <c r="O15" s="26">
        <v>0</v>
      </c>
      <c r="P15" s="26">
        <v>0</v>
      </c>
      <c r="Q15" s="26">
        <v>0</v>
      </c>
      <c r="R15" s="26">
        <v>1</v>
      </c>
    </row>
    <row r="16" spans="1:18" ht="21" customHeight="1">
      <c r="A16" s="7" t="str">
        <f t="shared" si="0"/>
        <v>1001541</v>
      </c>
      <c r="B16" s="2">
        <v>100</v>
      </c>
      <c r="C16" s="9" t="str">
        <f t="shared" ca="1" si="1"/>
        <v>PremiumW3</v>
      </c>
      <c r="D16" s="9" t="str">
        <f t="shared" si="2"/>
        <v/>
      </c>
      <c r="E16" s="6">
        <v>154</v>
      </c>
      <c r="F16" s="9" t="str">
        <f ca="1">VLOOKUP($E16,OFFSET([1]characters!$A$2,0,0,COUNTA([1]characters!$A:$A),MATCH(F$1,[1]characters!$2:$2,0)-MATCH($E$1,[1]characters!$2:$2,0)+1),MATCH(F$1,[1]characters!$2:$2,0)-MATCH($E$1,[1]characters!$2:$2,0)+1,FALSE)</f>
        <v>始末屋 ハンナ</v>
      </c>
      <c r="G16" s="9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9">
        <f ca="1">VLOOKUP($E16,OFFSET([1]characters!$A$2,0,0,COUNTA([1]characters!$A:$A),MATCH(H$1,[1]characters!$2:$2,0)-MATCH($E$1,[1]characters!$2:$2,0)+1),MATCH(H$1,[1]characters!$2:$2,0)-MATCH($E$1,[1]characters!$2:$2,0)+1,FALSE)</f>
        <v>3</v>
      </c>
      <c r="I16" s="9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9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9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5">
        <v>1</v>
      </c>
      <c r="M16" s="35">
        <f ca="1">VLOOKUP(C16,gacha_100_base!A:K,11,FALSE)</f>
        <v>2351</v>
      </c>
      <c r="N16" s="26">
        <v>0</v>
      </c>
      <c r="O16" s="26">
        <v>0</v>
      </c>
      <c r="P16" s="26">
        <v>0</v>
      </c>
      <c r="Q16" s="26">
        <v>0</v>
      </c>
      <c r="R16" s="26">
        <v>1</v>
      </c>
    </row>
    <row r="17" spans="1:18" ht="21" customHeight="1">
      <c r="A17" s="7" t="str">
        <f t="shared" si="0"/>
        <v>1001561</v>
      </c>
      <c r="B17" s="2">
        <v>100</v>
      </c>
      <c r="C17" s="9" t="str">
        <f t="shared" ca="1" si="1"/>
        <v>PremiumW3</v>
      </c>
      <c r="D17" s="9" t="str">
        <f t="shared" si="2"/>
        <v/>
      </c>
      <c r="E17" s="6">
        <v>156</v>
      </c>
      <c r="F17" s="9" t="str">
        <f ca="1">VLOOKUP($E17,OFFSET([1]characters!$A$2,0,0,COUNTA([1]characters!$A:$A),MATCH(F$1,[1]characters!$2:$2,0)-MATCH($E$1,[1]characters!$2:$2,0)+1),MATCH(F$1,[1]characters!$2:$2,0)-MATCH($E$1,[1]characters!$2:$2,0)+1,FALSE)</f>
        <v>踊り子 エレナ</v>
      </c>
      <c r="G17" s="9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9">
        <f ca="1">VLOOKUP($E17,OFFSET([1]characters!$A$2,0,0,COUNTA([1]characters!$A:$A),MATCH(H$1,[1]characters!$2:$2,0)-MATCH($E$1,[1]characters!$2:$2,0)+1),MATCH(H$1,[1]characters!$2:$2,0)-MATCH($E$1,[1]characters!$2:$2,0)+1,FALSE)</f>
        <v>3</v>
      </c>
      <c r="I17" s="9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9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9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5">
        <v>1</v>
      </c>
      <c r="M17" s="35">
        <f ca="1">VLOOKUP(C17,gacha_100_base!A:K,11,FALSE)</f>
        <v>2351</v>
      </c>
      <c r="N17" s="26">
        <v>0</v>
      </c>
      <c r="O17" s="26">
        <v>0</v>
      </c>
      <c r="P17" s="26">
        <v>0</v>
      </c>
      <c r="Q17" s="26">
        <v>0</v>
      </c>
      <c r="R17" s="26">
        <v>1</v>
      </c>
    </row>
    <row r="18" spans="1:18" ht="21" customHeight="1">
      <c r="A18" s="7" t="str">
        <f t="shared" si="0"/>
        <v>1001581</v>
      </c>
      <c r="B18" s="2">
        <v>100</v>
      </c>
      <c r="C18" s="9" t="str">
        <f t="shared" ca="1" si="1"/>
        <v>PremiumW3</v>
      </c>
      <c r="D18" s="9" t="str">
        <f t="shared" si="2"/>
        <v/>
      </c>
      <c r="E18" s="6">
        <v>158</v>
      </c>
      <c r="F18" s="9" t="str">
        <f ca="1">VLOOKUP($E18,OFFSET([1]characters!$A$2,0,0,COUNTA([1]characters!$A:$A),MATCH(F$1,[1]characters!$2:$2,0)-MATCH($E$1,[1]characters!$2:$2,0)+1),MATCH(F$1,[1]characters!$2:$2,0)-MATCH($E$1,[1]characters!$2:$2,0)+1,FALSE)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8" s="9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9">
        <f ca="1">VLOOKUP($E18,OFFSET([1]characters!$A$2,0,0,COUNTA([1]characters!$A:$A),MATCH(H$1,[1]characters!$2:$2,0)-MATCH($E$1,[1]characters!$2:$2,0)+1),MATCH(H$1,[1]characters!$2:$2,0)-MATCH($E$1,[1]characters!$2:$2,0)+1,FALSE)</f>
        <v>3</v>
      </c>
      <c r="I18" s="9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9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9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5">
        <v>1</v>
      </c>
      <c r="M18" s="35">
        <f ca="1">VLOOKUP(C18,gacha_100_base!A:K,11,FALSE)</f>
        <v>2351</v>
      </c>
      <c r="N18" s="26">
        <v>0</v>
      </c>
      <c r="O18" s="26">
        <v>0</v>
      </c>
      <c r="P18" s="26">
        <v>0</v>
      </c>
      <c r="Q18" s="26">
        <v>0</v>
      </c>
      <c r="R18" s="26">
        <v>1</v>
      </c>
    </row>
    <row r="19" spans="1:18" ht="21" customHeight="1">
      <c r="A19" s="7" t="str">
        <f t="shared" si="0"/>
        <v>1001601</v>
      </c>
      <c r="B19" s="2">
        <v>100</v>
      </c>
      <c r="C19" s="9" t="str">
        <f t="shared" ca="1" si="1"/>
        <v>PremiumW3</v>
      </c>
      <c r="D19" s="9" t="str">
        <f t="shared" si="2"/>
        <v/>
      </c>
      <c r="E19" s="6">
        <v>160</v>
      </c>
      <c r="F19" s="9" t="str">
        <f ca="1">VLOOKUP($E19,OFFSET([1]characters!$A$2,0,0,COUNTA([1]characters!$A:$A),MATCH(F$1,[1]characters!$2:$2,0)-MATCH($E$1,[1]characters!$2:$2,0)+1),MATCH(F$1,[1]characters!$2:$2,0)-MATCH($E$1,[1]characters!$2:$2,0)+1,FALSE)</f>
        <v>反逆者 クリエ</v>
      </c>
      <c r="G19" s="9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9">
        <f ca="1">VLOOKUP($E19,OFFSET([1]characters!$A$2,0,0,COUNTA([1]characters!$A:$A),MATCH(H$1,[1]characters!$2:$2,0)-MATCH($E$1,[1]characters!$2:$2,0)+1),MATCH(H$1,[1]characters!$2:$2,0)-MATCH($E$1,[1]characters!$2:$2,0)+1,FALSE)</f>
        <v>3</v>
      </c>
      <c r="I19" s="9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9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9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5">
        <v>1</v>
      </c>
      <c r="M19" s="35">
        <f ca="1">VLOOKUP(C19,gacha_100_base!A:K,11,FALSE)</f>
        <v>2351</v>
      </c>
      <c r="N19" s="26">
        <v>0</v>
      </c>
      <c r="O19" s="26">
        <v>0</v>
      </c>
      <c r="P19" s="26">
        <v>0</v>
      </c>
      <c r="Q19" s="26">
        <v>0</v>
      </c>
      <c r="R19" s="26">
        <v>1</v>
      </c>
    </row>
    <row r="20" spans="1:18" ht="21" customHeight="1">
      <c r="A20" s="7" t="str">
        <f t="shared" si="0"/>
        <v>1001621</v>
      </c>
      <c r="B20" s="2">
        <v>100</v>
      </c>
      <c r="C20" s="9" t="str">
        <f t="shared" ca="1" si="1"/>
        <v>PremiumW3</v>
      </c>
      <c r="D20" s="9" t="str">
        <f t="shared" si="2"/>
        <v/>
      </c>
      <c r="E20" s="6">
        <v>162</v>
      </c>
      <c r="F20" s="9" t="str">
        <f ca="1">VLOOKUP($E20,OFFSET([1]characters!$A$2,0,0,COUNTA([1]characters!$A:$A),MATCH(F$1,[1]characters!$2:$2,0)-MATCH($E$1,[1]characters!$2:$2,0)+1),MATCH(F$1,[1]characters!$2:$2,0)-MATCH($E$1,[1]characters!$2:$2,0)+1,FALSE)</f>
        <v>狂女 クララ</v>
      </c>
      <c r="G20" s="9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9">
        <f ca="1">VLOOKUP($E20,OFFSET([1]characters!$A$2,0,0,COUNTA([1]characters!$A:$A),MATCH(H$1,[1]characters!$2:$2,0)-MATCH($E$1,[1]characters!$2:$2,0)+1),MATCH(H$1,[1]characters!$2:$2,0)-MATCH($E$1,[1]characters!$2:$2,0)+1,FALSE)</f>
        <v>3</v>
      </c>
      <c r="I20" s="9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9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9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5">
        <v>1</v>
      </c>
      <c r="M20" s="35">
        <f ca="1">VLOOKUP(C20,gacha_100_base!A:K,11,FALSE)</f>
        <v>2351</v>
      </c>
      <c r="N20" s="26">
        <v>0</v>
      </c>
      <c r="O20" s="26">
        <v>0</v>
      </c>
      <c r="P20" s="26">
        <v>0</v>
      </c>
      <c r="Q20" s="26">
        <v>0</v>
      </c>
      <c r="R20" s="26">
        <v>1</v>
      </c>
    </row>
    <row r="21" spans="1:18" ht="21" customHeight="1">
      <c r="A21" s="7" t="str">
        <f t="shared" si="0"/>
        <v>1001641</v>
      </c>
      <c r="B21" s="2">
        <v>100</v>
      </c>
      <c r="C21" s="9" t="str">
        <f t="shared" ca="1" si="1"/>
        <v>PremiumW3</v>
      </c>
      <c r="D21" s="9" t="str">
        <f t="shared" si="2"/>
        <v/>
      </c>
      <c r="E21" s="6">
        <v>164</v>
      </c>
      <c r="F21" s="9" t="str">
        <f ca="1">VLOOKUP($E21,OFFSET([1]characters!$A$2,0,0,COUNTA([1]characters!$A:$A),MATCH(F$1,[1]characters!$2:$2,0)-MATCH($E$1,[1]characters!$2:$2,0)+1),MATCH(F$1,[1]characters!$2:$2,0)-MATCH($E$1,[1]characters!$2:$2,0)+1,FALSE)</f>
        <v>イブとトモダチ</v>
      </c>
      <c r="G21" s="9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9">
        <f ca="1">VLOOKUP($E21,OFFSET([1]characters!$A$2,0,0,COUNTA([1]characters!$A:$A),MATCH(H$1,[1]characters!$2:$2,0)-MATCH($E$1,[1]characters!$2:$2,0)+1),MATCH(H$1,[1]characters!$2:$2,0)-MATCH($E$1,[1]characters!$2:$2,0)+1,FALSE)</f>
        <v>3</v>
      </c>
      <c r="I21" s="9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9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9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5">
        <v>1</v>
      </c>
      <c r="M21" s="35">
        <f ca="1">VLOOKUP(C21,gacha_100_base!A:K,11,FALSE)</f>
        <v>2351</v>
      </c>
      <c r="N21" s="26">
        <v>0</v>
      </c>
      <c r="O21" s="26">
        <v>0</v>
      </c>
      <c r="P21" s="26">
        <v>0</v>
      </c>
      <c r="Q21" s="26">
        <v>0</v>
      </c>
      <c r="R21" s="26">
        <v>1</v>
      </c>
    </row>
    <row r="22" spans="1:18" ht="21" customHeight="1">
      <c r="A22" s="7" t="str">
        <f t="shared" si="0"/>
        <v>1001661</v>
      </c>
      <c r="B22" s="2">
        <v>100</v>
      </c>
      <c r="C22" s="9" t="str">
        <f t="shared" ca="1" si="1"/>
        <v>PremiumN3</v>
      </c>
      <c r="D22" s="9" t="str">
        <f t="shared" si="2"/>
        <v/>
      </c>
      <c r="E22" s="6">
        <v>166</v>
      </c>
      <c r="F22" s="9" t="str">
        <f ca="1">VLOOKUP($E22,OFFSET([1]characters!$A$2,0,0,COUNTA([1]characters!$A:$A),MATCH(F$1,[1]characters!$2:$2,0)-MATCH($E$1,[1]characters!$2:$2,0)+1),MATCH(F$1,[1]characters!$2:$2,0)-MATCH($E$1,[1]characters!$2:$2,0)+1,FALSE)</f>
        <v>ベリアル</v>
      </c>
      <c r="G22" s="9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9">
        <f ca="1">VLOOKUP($E22,OFFSET([1]characters!$A$2,0,0,COUNTA([1]characters!$A:$A),MATCH(H$1,[1]characters!$2:$2,0)-MATCH($E$1,[1]characters!$2:$2,0)+1),MATCH(H$1,[1]characters!$2:$2,0)-MATCH($E$1,[1]characters!$2:$2,0)+1,FALSE)</f>
        <v>3</v>
      </c>
      <c r="I22" s="9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9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9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5">
        <v>1</v>
      </c>
      <c r="M22" s="35">
        <f ca="1">VLOOKUP(C22,gacha_100_base!A:K,11,FALSE)</f>
        <v>2433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</row>
    <row r="23" spans="1:18" ht="21" customHeight="1">
      <c r="A23" s="7" t="str">
        <f t="shared" si="0"/>
        <v>1001691</v>
      </c>
      <c r="B23" s="2">
        <v>100</v>
      </c>
      <c r="C23" s="9" t="str">
        <f t="shared" ca="1" si="1"/>
        <v>PremiumN3</v>
      </c>
      <c r="D23" s="9" t="str">
        <f t="shared" si="2"/>
        <v/>
      </c>
      <c r="E23" s="6">
        <v>169</v>
      </c>
      <c r="F23" s="9" t="str">
        <f ca="1">VLOOKUP($E23,OFFSET([1]characters!$A$2,0,0,COUNTA([1]characters!$A:$A),MATCH(F$1,[1]characters!$2:$2,0)-MATCH($E$1,[1]characters!$2:$2,0)+1),MATCH(F$1,[1]characters!$2:$2,0)-MATCH($E$1,[1]characters!$2:$2,0)+1,FALSE)</f>
        <v>オセ</v>
      </c>
      <c r="G23" s="9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9">
        <f ca="1">VLOOKUP($E23,OFFSET([1]characters!$A$2,0,0,COUNTA([1]characters!$A:$A),MATCH(H$1,[1]characters!$2:$2,0)-MATCH($E$1,[1]characters!$2:$2,0)+1),MATCH(H$1,[1]characters!$2:$2,0)-MATCH($E$1,[1]characters!$2:$2,0)+1,FALSE)</f>
        <v>3</v>
      </c>
      <c r="I23" s="9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9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9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5">
        <v>1</v>
      </c>
      <c r="M23" s="35">
        <f ca="1">VLOOKUP(C23,gacha_100_base!A:K,11,FALSE)</f>
        <v>2433</v>
      </c>
      <c r="N23" s="26">
        <v>0</v>
      </c>
      <c r="O23" s="26">
        <v>0</v>
      </c>
      <c r="P23" s="26">
        <v>0</v>
      </c>
      <c r="Q23" s="26">
        <v>0</v>
      </c>
      <c r="R23" s="26">
        <v>1</v>
      </c>
    </row>
    <row r="24" spans="1:18" ht="21" customHeight="1">
      <c r="A24" s="7" t="str">
        <f t="shared" si="0"/>
        <v>1001721</v>
      </c>
      <c r="B24" s="2">
        <v>100</v>
      </c>
      <c r="C24" s="9" t="str">
        <f t="shared" ca="1" si="1"/>
        <v>PremiumN3</v>
      </c>
      <c r="D24" s="9" t="str">
        <f t="shared" si="2"/>
        <v/>
      </c>
      <c r="E24" s="6">
        <v>172</v>
      </c>
      <c r="F24" s="9" t="str">
        <f ca="1">VLOOKUP($E24,OFFSET([1]characters!$A$2,0,0,COUNTA([1]characters!$A:$A),MATCH(F$1,[1]characters!$2:$2,0)-MATCH($E$1,[1]characters!$2:$2,0)+1),MATCH(F$1,[1]characters!$2:$2,0)-MATCH($E$1,[1]characters!$2:$2,0)+1,FALSE)</f>
        <v>フォルネウス</v>
      </c>
      <c r="G24" s="9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9">
        <f ca="1">VLOOKUP($E24,OFFSET([1]characters!$A$2,0,0,COUNTA([1]characters!$A:$A),MATCH(H$1,[1]characters!$2:$2,0)-MATCH($E$1,[1]characters!$2:$2,0)+1),MATCH(H$1,[1]characters!$2:$2,0)-MATCH($E$1,[1]characters!$2:$2,0)+1,FALSE)</f>
        <v>3</v>
      </c>
      <c r="I24" s="9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9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9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5">
        <v>1</v>
      </c>
      <c r="M24" s="35">
        <f ca="1">VLOOKUP(C24,gacha_100_base!A:K,11,FALSE)</f>
        <v>2433</v>
      </c>
      <c r="N24" s="26">
        <v>0</v>
      </c>
      <c r="O24" s="26">
        <v>0</v>
      </c>
      <c r="P24" s="26">
        <v>0</v>
      </c>
      <c r="Q24" s="26">
        <v>0</v>
      </c>
      <c r="R24" s="26">
        <v>1</v>
      </c>
    </row>
    <row r="25" spans="1:18" ht="21" customHeight="1">
      <c r="A25" s="7" t="str">
        <f t="shared" si="0"/>
        <v>1001751</v>
      </c>
      <c r="B25" s="2">
        <v>100</v>
      </c>
      <c r="C25" s="9" t="str">
        <f t="shared" ca="1" si="1"/>
        <v>PremiumN3</v>
      </c>
      <c r="D25" s="9" t="str">
        <f t="shared" si="2"/>
        <v/>
      </c>
      <c r="E25" s="6">
        <v>175</v>
      </c>
      <c r="F25" s="9" t="str">
        <f ca="1">VLOOKUP($E25,OFFSET([1]characters!$A$2,0,0,COUNTA([1]characters!$A:$A),MATCH(F$1,[1]characters!$2:$2,0)-MATCH($E$1,[1]characters!$2:$2,0)+1),MATCH(F$1,[1]characters!$2:$2,0)-MATCH($E$1,[1]characters!$2:$2,0)+1,FALSE)</f>
        <v>バフォメット</v>
      </c>
      <c r="G25" s="9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9">
        <f ca="1">VLOOKUP($E25,OFFSET([1]characters!$A$2,0,0,COUNTA([1]characters!$A:$A),MATCH(H$1,[1]characters!$2:$2,0)-MATCH($E$1,[1]characters!$2:$2,0)+1),MATCH(H$1,[1]characters!$2:$2,0)-MATCH($E$1,[1]characters!$2:$2,0)+1,FALSE)</f>
        <v>3</v>
      </c>
      <c r="I25" s="9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9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9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5">
        <v>1</v>
      </c>
      <c r="M25" s="35">
        <f ca="1">VLOOKUP(C25,gacha_100_base!A:K,11,FALSE)</f>
        <v>2433</v>
      </c>
      <c r="N25" s="26">
        <v>0</v>
      </c>
      <c r="O25" s="26">
        <v>0</v>
      </c>
      <c r="P25" s="26">
        <v>0</v>
      </c>
      <c r="Q25" s="26">
        <v>0</v>
      </c>
      <c r="R25" s="26">
        <v>1</v>
      </c>
    </row>
    <row r="26" spans="1:18" ht="21" customHeight="1">
      <c r="A26" s="7" t="str">
        <f t="shared" si="0"/>
        <v>1001781</v>
      </c>
      <c r="B26" s="2">
        <v>100</v>
      </c>
      <c r="C26" s="9" t="str">
        <f t="shared" ca="1" si="1"/>
        <v>PremiumN3</v>
      </c>
      <c r="D26" s="9" t="str">
        <f t="shared" si="2"/>
        <v/>
      </c>
      <c r="E26" s="6">
        <v>178</v>
      </c>
      <c r="F26" s="9" t="str">
        <f ca="1">VLOOKUP($E26,OFFSET([1]characters!$A$2,0,0,COUNTA([1]characters!$A:$A),MATCH(F$1,[1]characters!$2:$2,0)-MATCH($E$1,[1]characters!$2:$2,0)+1),MATCH(F$1,[1]characters!$2:$2,0)-MATCH($E$1,[1]characters!$2:$2,0)+1,FALSE)</f>
        <v>ケルベロス</v>
      </c>
      <c r="G26" s="9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9">
        <f ca="1">VLOOKUP($E26,OFFSET([1]characters!$A$2,0,0,COUNTA([1]characters!$A:$A),MATCH(H$1,[1]characters!$2:$2,0)-MATCH($E$1,[1]characters!$2:$2,0)+1),MATCH(H$1,[1]characters!$2:$2,0)-MATCH($E$1,[1]characters!$2:$2,0)+1,FALSE)</f>
        <v>3</v>
      </c>
      <c r="I26" s="9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9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9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5">
        <v>1</v>
      </c>
      <c r="M26" s="35">
        <f ca="1">VLOOKUP(C26,gacha_100_base!A:K,11,FALSE)</f>
        <v>2433</v>
      </c>
      <c r="N26" s="26">
        <v>0</v>
      </c>
      <c r="O26" s="26">
        <v>0</v>
      </c>
      <c r="P26" s="26">
        <v>0</v>
      </c>
      <c r="Q26" s="26">
        <v>0</v>
      </c>
      <c r="R26" s="26">
        <v>1</v>
      </c>
    </row>
    <row r="27" spans="1:18" ht="21" customHeight="1">
      <c r="A27" s="7" t="str">
        <f t="shared" si="0"/>
        <v>1001811</v>
      </c>
      <c r="B27" s="2">
        <v>100</v>
      </c>
      <c r="C27" s="9" t="str">
        <f t="shared" ca="1" si="1"/>
        <v>PremiumN3</v>
      </c>
      <c r="D27" s="9" t="str">
        <f t="shared" si="2"/>
        <v/>
      </c>
      <c r="E27" s="6">
        <v>181</v>
      </c>
      <c r="F27" s="9" t="str">
        <f ca="1">VLOOKUP($E27,OFFSET([1]characters!$A$2,0,0,COUNTA([1]characters!$A:$A),MATCH(F$1,[1]characters!$2:$2,0)-MATCH($E$1,[1]characters!$2:$2,0)+1),MATCH(F$1,[1]characters!$2:$2,0)-MATCH($E$1,[1]characters!$2:$2,0)+1,FALSE)</f>
        <v>ベヒモス</v>
      </c>
      <c r="G27" s="9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9">
        <f ca="1">VLOOKUP($E27,OFFSET([1]characters!$A$2,0,0,COUNTA([1]characters!$A:$A),MATCH(H$1,[1]characters!$2:$2,0)-MATCH($E$1,[1]characters!$2:$2,0)+1),MATCH(H$1,[1]characters!$2:$2,0)-MATCH($E$1,[1]characters!$2:$2,0)+1,FALSE)</f>
        <v>3</v>
      </c>
      <c r="I27" s="9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9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9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5">
        <v>1</v>
      </c>
      <c r="M27" s="35">
        <f ca="1">VLOOKUP(C27,gacha_100_base!A:K,11,FALSE)</f>
        <v>2433</v>
      </c>
      <c r="N27" s="26">
        <v>0</v>
      </c>
      <c r="O27" s="26">
        <v>0</v>
      </c>
      <c r="P27" s="26">
        <v>0</v>
      </c>
      <c r="Q27" s="26">
        <v>0</v>
      </c>
      <c r="R27" s="26">
        <v>1</v>
      </c>
    </row>
    <row r="28" spans="1:18" ht="21" customHeight="1">
      <c r="A28" s="7" t="str">
        <f t="shared" si="0"/>
        <v>1001841</v>
      </c>
      <c r="B28" s="2">
        <v>100</v>
      </c>
      <c r="C28" s="9" t="str">
        <f t="shared" ca="1" si="1"/>
        <v>PremiumN3</v>
      </c>
      <c r="D28" s="9" t="str">
        <f t="shared" si="2"/>
        <v/>
      </c>
      <c r="E28" s="6">
        <v>184</v>
      </c>
      <c r="F28" s="9" t="str">
        <f ca="1">VLOOKUP($E28,OFFSET([1]characters!$A$2,0,0,COUNTA([1]characters!$A:$A),MATCH(F$1,[1]characters!$2:$2,0)-MATCH($E$1,[1]characters!$2:$2,0)+1),MATCH(F$1,[1]characters!$2:$2,0)-MATCH($E$1,[1]characters!$2:$2,0)+1,FALSE)</f>
        <v>クラーケン</v>
      </c>
      <c r="G28" s="9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9">
        <f ca="1">VLOOKUP($E28,OFFSET([1]characters!$A$2,0,0,COUNTA([1]characters!$A:$A),MATCH(H$1,[1]characters!$2:$2,0)-MATCH($E$1,[1]characters!$2:$2,0)+1),MATCH(H$1,[1]characters!$2:$2,0)-MATCH($E$1,[1]characters!$2:$2,0)+1,FALSE)</f>
        <v>3</v>
      </c>
      <c r="I28" s="9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9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9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5">
        <v>1</v>
      </c>
      <c r="M28" s="35">
        <f ca="1">VLOOKUP(C28,gacha_100_base!A:K,11,FALSE)</f>
        <v>2433</v>
      </c>
      <c r="N28" s="26">
        <v>0</v>
      </c>
      <c r="O28" s="26">
        <v>0</v>
      </c>
      <c r="P28" s="26">
        <v>0</v>
      </c>
      <c r="Q28" s="26">
        <v>0</v>
      </c>
      <c r="R28" s="26">
        <v>1</v>
      </c>
    </row>
    <row r="29" spans="1:18" ht="21" customHeight="1">
      <c r="A29" s="7" t="str">
        <f t="shared" si="0"/>
        <v>1001871</v>
      </c>
      <c r="B29" s="2">
        <v>100</v>
      </c>
      <c r="C29" s="9" t="str">
        <f t="shared" ca="1" si="1"/>
        <v>PremiumN3</v>
      </c>
      <c r="D29" s="9" t="str">
        <f t="shared" si="2"/>
        <v/>
      </c>
      <c r="E29" s="6">
        <v>187</v>
      </c>
      <c r="F29" s="9" t="str">
        <f ca="1">VLOOKUP($E29,OFFSET([1]characters!$A$2,0,0,COUNTA([1]characters!$A:$A),MATCH(F$1,[1]characters!$2:$2,0)-MATCH($E$1,[1]characters!$2:$2,0)+1),MATCH(F$1,[1]characters!$2:$2,0)-MATCH($E$1,[1]characters!$2:$2,0)+1,FALSE)</f>
        <v>ホルス</v>
      </c>
      <c r="G29" s="9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9">
        <f ca="1">VLOOKUP($E29,OFFSET([1]characters!$A$2,0,0,COUNTA([1]characters!$A:$A),MATCH(H$1,[1]characters!$2:$2,0)-MATCH($E$1,[1]characters!$2:$2,0)+1),MATCH(H$1,[1]characters!$2:$2,0)-MATCH($E$1,[1]characters!$2:$2,0)+1,FALSE)</f>
        <v>3</v>
      </c>
      <c r="I29" s="9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9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9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5">
        <v>1</v>
      </c>
      <c r="M29" s="35">
        <f ca="1">VLOOKUP(C29,gacha_100_base!A:K,11,FALSE)</f>
        <v>2433</v>
      </c>
      <c r="N29" s="26">
        <v>0</v>
      </c>
      <c r="O29" s="26">
        <v>0</v>
      </c>
      <c r="P29" s="26">
        <v>0</v>
      </c>
      <c r="Q29" s="26">
        <v>0</v>
      </c>
      <c r="R29" s="26">
        <v>1</v>
      </c>
    </row>
    <row r="30" spans="1:18" ht="21" customHeight="1">
      <c r="A30" s="7" t="str">
        <f t="shared" si="0"/>
        <v>1001901</v>
      </c>
      <c r="B30" s="2">
        <v>100</v>
      </c>
      <c r="C30" s="9" t="str">
        <f t="shared" ca="1" si="1"/>
        <v>PremiumN3</v>
      </c>
      <c r="D30" s="9" t="str">
        <f t="shared" si="2"/>
        <v/>
      </c>
      <c r="E30" s="6">
        <v>190</v>
      </c>
      <c r="F30" s="9" t="str">
        <f ca="1">VLOOKUP($E30,OFFSET([1]characters!$A$2,0,0,COUNTA([1]characters!$A:$A),MATCH(F$1,[1]characters!$2:$2,0)-MATCH($E$1,[1]characters!$2:$2,0)+1),MATCH(F$1,[1]characters!$2:$2,0)-MATCH($E$1,[1]characters!$2:$2,0)+1,FALSE)</f>
        <v>卑弥呼</v>
      </c>
      <c r="G30" s="9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9">
        <f ca="1">VLOOKUP($E30,OFFSET([1]characters!$A$2,0,0,COUNTA([1]characters!$A:$A),MATCH(H$1,[1]characters!$2:$2,0)-MATCH($E$1,[1]characters!$2:$2,0)+1),MATCH(H$1,[1]characters!$2:$2,0)-MATCH($E$1,[1]characters!$2:$2,0)+1,FALSE)</f>
        <v>3</v>
      </c>
      <c r="I30" s="9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9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9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5">
        <v>1</v>
      </c>
      <c r="M30" s="35">
        <f ca="1">VLOOKUP(C30,gacha_100_base!A:K,11,FALSE)</f>
        <v>2433</v>
      </c>
      <c r="N30" s="26">
        <v>0</v>
      </c>
      <c r="O30" s="26">
        <v>0</v>
      </c>
      <c r="P30" s="26">
        <v>0</v>
      </c>
      <c r="Q30" s="26">
        <v>0</v>
      </c>
      <c r="R30" s="26">
        <v>1</v>
      </c>
    </row>
    <row r="31" spans="1:18" ht="21" customHeight="1">
      <c r="A31" s="7" t="str">
        <f t="shared" ref="A31:A94" si="3">B31&amp;E31&amp;L31</f>
        <v>1001931</v>
      </c>
      <c r="B31" s="2">
        <v>100</v>
      </c>
      <c r="C31" s="9" t="str">
        <f t="shared" ref="C31:C94" ca="1" si="4">G31&amp;D31&amp;H31</f>
        <v>PremiumN3</v>
      </c>
      <c r="D31" s="9" t="str">
        <f t="shared" ref="D31:D94" si="5">IF(OR(E31=380,E31=381,E31=382,E31=383,E31=384,E31=385,E31=386,E31=387,E31=388,E31=389),"pick","")</f>
        <v/>
      </c>
      <c r="E31" s="6">
        <v>193</v>
      </c>
      <c r="F31" s="9" t="str">
        <f ca="1">VLOOKUP($E31,OFFSET([1]characters!$A$2,0,0,COUNTA([1]characters!$A:$A),MATCH(F$1,[1]characters!$2:$2,0)-MATCH($E$1,[1]characters!$2:$2,0)+1),MATCH(F$1,[1]characters!$2:$2,0)-MATCH($E$1,[1]characters!$2:$2,0)+1,FALSE)</f>
        <v>ロビンフッド</v>
      </c>
      <c r="G31" s="9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9">
        <f ca="1">VLOOKUP($E31,OFFSET([1]characters!$A$2,0,0,COUNTA([1]characters!$A:$A),MATCH(H$1,[1]characters!$2:$2,0)-MATCH($E$1,[1]characters!$2:$2,0)+1),MATCH(H$1,[1]characters!$2:$2,0)-MATCH($E$1,[1]characters!$2:$2,0)+1,FALSE)</f>
        <v>3</v>
      </c>
      <c r="I31" s="9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9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9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5">
        <v>1</v>
      </c>
      <c r="M31" s="35">
        <f ca="1">VLOOKUP(C31,gacha_100_base!A:K,11,FALSE)</f>
        <v>2433</v>
      </c>
      <c r="N31" s="26">
        <v>0</v>
      </c>
      <c r="O31" s="26">
        <v>0</v>
      </c>
      <c r="P31" s="26">
        <v>0</v>
      </c>
      <c r="Q31" s="26">
        <v>0</v>
      </c>
      <c r="R31" s="26">
        <v>1</v>
      </c>
    </row>
    <row r="32" spans="1:18" ht="21" customHeight="1">
      <c r="A32" s="7" t="str">
        <f t="shared" si="3"/>
        <v>1001961</v>
      </c>
      <c r="B32" s="2">
        <v>100</v>
      </c>
      <c r="C32" s="9" t="str">
        <f t="shared" ca="1" si="4"/>
        <v>PremiumN3</v>
      </c>
      <c r="D32" s="9" t="str">
        <f t="shared" si="5"/>
        <v/>
      </c>
      <c r="E32" s="6">
        <v>196</v>
      </c>
      <c r="F32" s="9" t="str">
        <f ca="1">VLOOKUP($E32,OFFSET([1]characters!$A$2,0,0,COUNTA([1]characters!$A:$A),MATCH(F$1,[1]characters!$2:$2,0)-MATCH($E$1,[1]characters!$2:$2,0)+1),MATCH(F$1,[1]characters!$2:$2,0)-MATCH($E$1,[1]characters!$2:$2,0)+1,FALSE)</f>
        <v>アキレス</v>
      </c>
      <c r="G32" s="9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9">
        <f ca="1">VLOOKUP($E32,OFFSET([1]characters!$A$2,0,0,COUNTA([1]characters!$A:$A),MATCH(H$1,[1]characters!$2:$2,0)-MATCH($E$1,[1]characters!$2:$2,0)+1),MATCH(H$1,[1]characters!$2:$2,0)-MATCH($E$1,[1]characters!$2:$2,0)+1,FALSE)</f>
        <v>3</v>
      </c>
      <c r="I32" s="9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9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9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5">
        <v>1</v>
      </c>
      <c r="M32" s="35">
        <f ca="1">VLOOKUP(C32,gacha_100_base!A:K,11,FALSE)</f>
        <v>2433</v>
      </c>
      <c r="N32" s="26">
        <v>0</v>
      </c>
      <c r="O32" s="26">
        <v>0</v>
      </c>
      <c r="P32" s="26">
        <v>0</v>
      </c>
      <c r="Q32" s="26">
        <v>0</v>
      </c>
      <c r="R32" s="26">
        <v>1</v>
      </c>
    </row>
    <row r="33" spans="1:18" ht="21" customHeight="1">
      <c r="A33" s="7" t="str">
        <f t="shared" si="3"/>
        <v>1001991</v>
      </c>
      <c r="B33" s="2">
        <v>100</v>
      </c>
      <c r="C33" s="9" t="str">
        <f t="shared" ca="1" si="4"/>
        <v>PremiumN3</v>
      </c>
      <c r="D33" s="9" t="str">
        <f t="shared" si="5"/>
        <v/>
      </c>
      <c r="E33" s="6">
        <v>199</v>
      </c>
      <c r="F33" s="9" t="str">
        <f ca="1">VLOOKUP($E33,OFFSET([1]characters!$A$2,0,0,COUNTA([1]characters!$A:$A),MATCH(F$1,[1]characters!$2:$2,0)-MATCH($E$1,[1]characters!$2:$2,0)+1),MATCH(F$1,[1]characters!$2:$2,0)-MATCH($E$1,[1]characters!$2:$2,0)+1,FALSE)</f>
        <v>ジークフリート</v>
      </c>
      <c r="G33" s="9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9">
        <f ca="1">VLOOKUP($E33,OFFSET([1]characters!$A$2,0,0,COUNTA([1]characters!$A:$A),MATCH(H$1,[1]characters!$2:$2,0)-MATCH($E$1,[1]characters!$2:$2,0)+1),MATCH(H$1,[1]characters!$2:$2,0)-MATCH($E$1,[1]characters!$2:$2,0)+1,FALSE)</f>
        <v>3</v>
      </c>
      <c r="I33" s="9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9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9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5">
        <v>1</v>
      </c>
      <c r="M33" s="35">
        <f ca="1">VLOOKUP(C33,gacha_100_base!A:K,11,FALSE)</f>
        <v>2433</v>
      </c>
      <c r="N33" s="26">
        <v>0</v>
      </c>
      <c r="O33" s="26">
        <v>0</v>
      </c>
      <c r="P33" s="26">
        <v>0</v>
      </c>
      <c r="Q33" s="26">
        <v>0</v>
      </c>
      <c r="R33" s="26">
        <v>1</v>
      </c>
    </row>
    <row r="34" spans="1:18" ht="21" customHeight="1">
      <c r="A34" s="7" t="str">
        <f t="shared" si="3"/>
        <v>1002021</v>
      </c>
      <c r="B34" s="2">
        <v>100</v>
      </c>
      <c r="C34" s="9" t="str">
        <f t="shared" ca="1" si="4"/>
        <v>PremiumN3</v>
      </c>
      <c r="D34" s="9" t="str">
        <f t="shared" si="5"/>
        <v/>
      </c>
      <c r="E34" s="6">
        <v>202</v>
      </c>
      <c r="F34" s="9" t="str">
        <f ca="1">VLOOKUP($E34,OFFSET([1]characters!$A$2,0,0,COUNTA([1]characters!$A:$A),MATCH(F$1,[1]characters!$2:$2,0)-MATCH($E$1,[1]characters!$2:$2,0)+1),MATCH(F$1,[1]characters!$2:$2,0)-MATCH($E$1,[1]characters!$2:$2,0)+1,FALSE)</f>
        <v>プロメテウス</v>
      </c>
      <c r="G34" s="9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9">
        <f ca="1">VLOOKUP($E34,OFFSET([1]characters!$A$2,0,0,COUNTA([1]characters!$A:$A),MATCH(H$1,[1]characters!$2:$2,0)-MATCH($E$1,[1]characters!$2:$2,0)+1),MATCH(H$1,[1]characters!$2:$2,0)-MATCH($E$1,[1]characters!$2:$2,0)+1,FALSE)</f>
        <v>3</v>
      </c>
      <c r="I34" s="9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9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9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5">
        <v>1</v>
      </c>
      <c r="M34" s="35">
        <f ca="1">VLOOKUP(C34,gacha_100_base!A:K,11,FALSE)</f>
        <v>2433</v>
      </c>
      <c r="N34" s="26">
        <v>0</v>
      </c>
      <c r="O34" s="26">
        <v>0</v>
      </c>
      <c r="P34" s="26">
        <v>0</v>
      </c>
      <c r="Q34" s="26">
        <v>0</v>
      </c>
      <c r="R34" s="26">
        <v>1</v>
      </c>
    </row>
    <row r="35" spans="1:18" ht="21" customHeight="1">
      <c r="A35" s="7" t="str">
        <f t="shared" si="3"/>
        <v>1002051</v>
      </c>
      <c r="B35" s="2">
        <v>100</v>
      </c>
      <c r="C35" s="9" t="str">
        <f t="shared" ca="1" si="4"/>
        <v>PremiumN3</v>
      </c>
      <c r="D35" s="9" t="str">
        <f t="shared" si="5"/>
        <v/>
      </c>
      <c r="E35" s="6">
        <v>205</v>
      </c>
      <c r="F35" s="9" t="str">
        <f ca="1">VLOOKUP($E35,OFFSET([1]characters!$A$2,0,0,COUNTA([1]characters!$A:$A),MATCH(F$1,[1]characters!$2:$2,0)-MATCH($E$1,[1]characters!$2:$2,0)+1),MATCH(F$1,[1]characters!$2:$2,0)-MATCH($E$1,[1]characters!$2:$2,0)+1,FALSE)</f>
        <v>アフロディーテ</v>
      </c>
      <c r="G35" s="9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9">
        <f ca="1">VLOOKUP($E35,OFFSET([1]characters!$A$2,0,0,COUNTA([1]characters!$A:$A),MATCH(H$1,[1]characters!$2:$2,0)-MATCH($E$1,[1]characters!$2:$2,0)+1),MATCH(H$1,[1]characters!$2:$2,0)-MATCH($E$1,[1]characters!$2:$2,0)+1,FALSE)</f>
        <v>3</v>
      </c>
      <c r="I35" s="9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9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9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5">
        <v>1</v>
      </c>
      <c r="M35" s="35">
        <f ca="1">VLOOKUP(C35,gacha_100_base!A:K,11,FALSE)</f>
        <v>2433</v>
      </c>
      <c r="N35" s="26">
        <v>0</v>
      </c>
      <c r="O35" s="26">
        <v>0</v>
      </c>
      <c r="P35" s="26">
        <v>0</v>
      </c>
      <c r="Q35" s="26">
        <v>0</v>
      </c>
      <c r="R35" s="26">
        <v>1</v>
      </c>
    </row>
    <row r="36" spans="1:18" ht="21" customHeight="1">
      <c r="A36" s="7" t="str">
        <f t="shared" si="3"/>
        <v>1002081</v>
      </c>
      <c r="B36" s="2">
        <v>100</v>
      </c>
      <c r="C36" s="9" t="str">
        <f t="shared" ca="1" si="4"/>
        <v>PremiumN3</v>
      </c>
      <c r="D36" s="9" t="str">
        <f t="shared" si="5"/>
        <v/>
      </c>
      <c r="E36" s="6">
        <v>208</v>
      </c>
      <c r="F36" s="9" t="str">
        <f ca="1">VLOOKUP($E36,OFFSET([1]characters!$A$2,0,0,COUNTA([1]characters!$A:$A),MATCH(F$1,[1]characters!$2:$2,0)-MATCH($E$1,[1]characters!$2:$2,0)+1),MATCH(F$1,[1]characters!$2:$2,0)-MATCH($E$1,[1]characters!$2:$2,0)+1,FALSE)</f>
        <v>テティス</v>
      </c>
      <c r="G36" s="9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9">
        <f ca="1">VLOOKUP($E36,OFFSET([1]characters!$A$2,0,0,COUNTA([1]characters!$A:$A),MATCH(H$1,[1]characters!$2:$2,0)-MATCH($E$1,[1]characters!$2:$2,0)+1),MATCH(H$1,[1]characters!$2:$2,0)-MATCH($E$1,[1]characters!$2:$2,0)+1,FALSE)</f>
        <v>3</v>
      </c>
      <c r="I36" s="9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9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9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5">
        <v>1</v>
      </c>
      <c r="M36" s="35">
        <f ca="1">VLOOKUP(C36,gacha_100_base!A:K,11,FALSE)</f>
        <v>2433</v>
      </c>
      <c r="N36" s="26">
        <v>0</v>
      </c>
      <c r="O36" s="26">
        <v>0</v>
      </c>
      <c r="P36" s="26">
        <v>0</v>
      </c>
      <c r="Q36" s="26">
        <v>0</v>
      </c>
      <c r="R36" s="26">
        <v>1</v>
      </c>
    </row>
    <row r="37" spans="1:18" ht="21" customHeight="1">
      <c r="A37" s="7" t="str">
        <f t="shared" si="3"/>
        <v>1002111</v>
      </c>
      <c r="B37" s="2">
        <v>100</v>
      </c>
      <c r="C37" s="9" t="str">
        <f t="shared" ca="1" si="4"/>
        <v>PremiumN3</v>
      </c>
      <c r="D37" s="9" t="str">
        <f t="shared" si="5"/>
        <v/>
      </c>
      <c r="E37" s="6">
        <v>211</v>
      </c>
      <c r="F37" s="9" t="str">
        <f ca="1">VLOOKUP($E37,OFFSET([1]characters!$A$2,0,0,COUNTA([1]characters!$A:$A),MATCH(F$1,[1]characters!$2:$2,0)-MATCH($E$1,[1]characters!$2:$2,0)+1),MATCH(F$1,[1]characters!$2:$2,0)-MATCH($E$1,[1]characters!$2:$2,0)+1,FALSE)</f>
        <v>アストライアー</v>
      </c>
      <c r="G37" s="9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9">
        <f ca="1">VLOOKUP($E37,OFFSET([1]characters!$A$2,0,0,COUNTA([1]characters!$A:$A),MATCH(H$1,[1]characters!$2:$2,0)-MATCH($E$1,[1]characters!$2:$2,0)+1),MATCH(H$1,[1]characters!$2:$2,0)-MATCH($E$1,[1]characters!$2:$2,0)+1,FALSE)</f>
        <v>3</v>
      </c>
      <c r="I37" s="9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9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9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5">
        <v>1</v>
      </c>
      <c r="M37" s="35">
        <f ca="1">VLOOKUP(C37,gacha_100_base!A:K,11,FALSE)</f>
        <v>2433</v>
      </c>
      <c r="N37" s="26">
        <v>0</v>
      </c>
      <c r="O37" s="26">
        <v>0</v>
      </c>
      <c r="P37" s="26">
        <v>0</v>
      </c>
      <c r="Q37" s="26">
        <v>0</v>
      </c>
      <c r="R37" s="26">
        <v>1</v>
      </c>
    </row>
    <row r="38" spans="1:18" ht="21" customHeight="1">
      <c r="A38" s="7" t="str">
        <f t="shared" si="3"/>
        <v>1002141</v>
      </c>
      <c r="B38" s="2">
        <v>100</v>
      </c>
      <c r="C38" s="9" t="str">
        <f t="shared" ca="1" si="4"/>
        <v>PremiumN3</v>
      </c>
      <c r="D38" s="9" t="str">
        <f t="shared" si="5"/>
        <v/>
      </c>
      <c r="E38" s="6">
        <v>214</v>
      </c>
      <c r="F38" s="9" t="str">
        <f ca="1">VLOOKUP($E38,OFFSET([1]characters!$A$2,0,0,COUNTA([1]characters!$A:$A),MATCH(F$1,[1]characters!$2:$2,0)-MATCH($E$1,[1]characters!$2:$2,0)+1),MATCH(F$1,[1]characters!$2:$2,0)-MATCH($E$1,[1]characters!$2:$2,0)+1,FALSE)</f>
        <v>アズラエル</v>
      </c>
      <c r="G38" s="9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9">
        <f ca="1">VLOOKUP($E38,OFFSET([1]characters!$A$2,0,0,COUNTA([1]characters!$A:$A),MATCH(H$1,[1]characters!$2:$2,0)-MATCH($E$1,[1]characters!$2:$2,0)+1),MATCH(H$1,[1]characters!$2:$2,0)-MATCH($E$1,[1]characters!$2:$2,0)+1,FALSE)</f>
        <v>3</v>
      </c>
      <c r="I38" s="9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9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9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5">
        <v>1</v>
      </c>
      <c r="M38" s="35">
        <f ca="1">VLOOKUP(C38,gacha_100_base!A:K,11,FALSE)</f>
        <v>2433</v>
      </c>
      <c r="N38" s="26">
        <v>0</v>
      </c>
      <c r="O38" s="26">
        <v>0</v>
      </c>
      <c r="P38" s="26">
        <v>0</v>
      </c>
      <c r="Q38" s="26">
        <v>0</v>
      </c>
      <c r="R38" s="26">
        <v>1</v>
      </c>
    </row>
    <row r="39" spans="1:18" ht="21" customHeight="1">
      <c r="A39" s="7" t="str">
        <f t="shared" si="3"/>
        <v>1002171</v>
      </c>
      <c r="B39" s="2">
        <v>100</v>
      </c>
      <c r="C39" s="9" t="str">
        <f t="shared" ca="1" si="4"/>
        <v>PremiumN3</v>
      </c>
      <c r="D39" s="9" t="str">
        <f t="shared" si="5"/>
        <v/>
      </c>
      <c r="E39" s="6">
        <v>217</v>
      </c>
      <c r="F39" s="9" t="str">
        <f ca="1">VLOOKUP($E39,OFFSET([1]characters!$A$2,0,0,COUNTA([1]characters!$A:$A),MATCH(F$1,[1]characters!$2:$2,0)-MATCH($E$1,[1]characters!$2:$2,0)+1),MATCH(F$1,[1]characters!$2:$2,0)-MATCH($E$1,[1]characters!$2:$2,0)+1,FALSE)</f>
        <v>ケツァクアトル</v>
      </c>
      <c r="G39" s="9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9">
        <f ca="1">VLOOKUP($E39,OFFSET([1]characters!$A$2,0,0,COUNTA([1]characters!$A:$A),MATCH(H$1,[1]characters!$2:$2,0)-MATCH($E$1,[1]characters!$2:$2,0)+1),MATCH(H$1,[1]characters!$2:$2,0)-MATCH($E$1,[1]characters!$2:$2,0)+1,FALSE)</f>
        <v>3</v>
      </c>
      <c r="I39" s="9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9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9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5">
        <v>1</v>
      </c>
      <c r="M39" s="35">
        <f ca="1">VLOOKUP(C39,gacha_100_base!A:K,11,FALSE)</f>
        <v>2433</v>
      </c>
      <c r="N39" s="26">
        <v>0</v>
      </c>
      <c r="O39" s="26">
        <v>0</v>
      </c>
      <c r="P39" s="26">
        <v>0</v>
      </c>
      <c r="Q39" s="26">
        <v>0</v>
      </c>
      <c r="R39" s="26">
        <v>1</v>
      </c>
    </row>
    <row r="40" spans="1:18" ht="21" customHeight="1">
      <c r="A40" s="7" t="str">
        <f t="shared" si="3"/>
        <v>1002201</v>
      </c>
      <c r="B40" s="2">
        <v>100</v>
      </c>
      <c r="C40" s="9" t="str">
        <f t="shared" ca="1" si="4"/>
        <v>PremiumN3</v>
      </c>
      <c r="D40" s="9" t="str">
        <f t="shared" si="5"/>
        <v/>
      </c>
      <c r="E40" s="6">
        <v>220</v>
      </c>
      <c r="F40" s="9" t="str">
        <f ca="1">VLOOKUP($E40,OFFSET([1]characters!$A$2,0,0,COUNTA([1]characters!$A:$A),MATCH(F$1,[1]characters!$2:$2,0)-MATCH($E$1,[1]characters!$2:$2,0)+1),MATCH(F$1,[1]characters!$2:$2,0)-MATCH($E$1,[1]characters!$2:$2,0)+1,FALSE)</f>
        <v>ルキフグス</v>
      </c>
      <c r="G40" s="9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9">
        <f ca="1">VLOOKUP($E40,OFFSET([1]characters!$A$2,0,0,COUNTA([1]characters!$A:$A),MATCH(H$1,[1]characters!$2:$2,0)-MATCH($E$1,[1]characters!$2:$2,0)+1),MATCH(H$1,[1]characters!$2:$2,0)-MATCH($E$1,[1]characters!$2:$2,0)+1,FALSE)</f>
        <v>3</v>
      </c>
      <c r="I40" s="9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9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9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5">
        <v>1</v>
      </c>
      <c r="M40" s="35">
        <f ca="1">VLOOKUP(C40,gacha_100_base!A:K,11,FALSE)</f>
        <v>2433</v>
      </c>
      <c r="N40" s="26">
        <v>0</v>
      </c>
      <c r="O40" s="26">
        <v>0</v>
      </c>
      <c r="P40" s="26">
        <v>0</v>
      </c>
      <c r="Q40" s="26">
        <v>0</v>
      </c>
      <c r="R40" s="26">
        <v>1</v>
      </c>
    </row>
    <row r="41" spans="1:18" ht="21" customHeight="1">
      <c r="A41" s="7" t="str">
        <f t="shared" si="3"/>
        <v>1002231</v>
      </c>
      <c r="B41" s="2">
        <v>100</v>
      </c>
      <c r="C41" s="9" t="str">
        <f t="shared" ca="1" si="4"/>
        <v>PremiumN3</v>
      </c>
      <c r="D41" s="9" t="str">
        <f t="shared" si="5"/>
        <v/>
      </c>
      <c r="E41" s="6">
        <v>223</v>
      </c>
      <c r="F41" s="9" t="str">
        <f ca="1">VLOOKUP($E41,OFFSET([1]characters!$A$2,0,0,COUNTA([1]characters!$A:$A),MATCH(F$1,[1]characters!$2:$2,0)-MATCH($E$1,[1]characters!$2:$2,0)+1),MATCH(F$1,[1]characters!$2:$2,0)-MATCH($E$1,[1]characters!$2:$2,0)+1,FALSE)</f>
        <v>ヘラクレス</v>
      </c>
      <c r="G41" s="9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9">
        <f ca="1">VLOOKUP($E41,OFFSET([1]characters!$A$2,0,0,COUNTA([1]characters!$A:$A),MATCH(H$1,[1]characters!$2:$2,0)-MATCH($E$1,[1]characters!$2:$2,0)+1),MATCH(H$1,[1]characters!$2:$2,0)-MATCH($E$1,[1]characters!$2:$2,0)+1,FALSE)</f>
        <v>3</v>
      </c>
      <c r="I41" s="9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9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9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5">
        <v>1</v>
      </c>
      <c r="M41" s="35">
        <f ca="1">VLOOKUP(C41,gacha_100_base!A:K,11,FALSE)</f>
        <v>2433</v>
      </c>
      <c r="N41" s="26">
        <v>0</v>
      </c>
      <c r="O41" s="26">
        <v>0</v>
      </c>
      <c r="P41" s="26">
        <v>0</v>
      </c>
      <c r="Q41" s="26">
        <v>0</v>
      </c>
      <c r="R41" s="26">
        <v>1</v>
      </c>
    </row>
    <row r="42" spans="1:18" ht="21" customHeight="1">
      <c r="A42" s="7" t="str">
        <f t="shared" si="3"/>
        <v>1002261</v>
      </c>
      <c r="B42" s="2">
        <v>100</v>
      </c>
      <c r="C42" s="9" t="str">
        <f t="shared" ca="1" si="4"/>
        <v>PremiumS3</v>
      </c>
      <c r="D42" s="9" t="str">
        <f t="shared" si="5"/>
        <v/>
      </c>
      <c r="E42" s="6">
        <v>226</v>
      </c>
      <c r="F42" s="9" t="str">
        <f ca="1">VLOOKUP($E42,OFFSET([1]characters!$A$2,0,0,COUNTA([1]characters!$A:$A),MATCH(F$1,[1]characters!$2:$2,0)-MATCH($E$1,[1]characters!$2:$2,0)+1),MATCH(F$1,[1]characters!$2:$2,0)-MATCH($E$1,[1]characters!$2:$2,0)+1,FALSE)</f>
        <v>アレス</v>
      </c>
      <c r="G42" s="9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9">
        <f ca="1">VLOOKUP($E42,OFFSET([1]characters!$A$2,0,0,COUNTA([1]characters!$A:$A),MATCH(H$1,[1]characters!$2:$2,0)-MATCH($E$1,[1]characters!$2:$2,0)+1),MATCH(H$1,[1]characters!$2:$2,0)-MATCH($E$1,[1]characters!$2:$2,0)+1,FALSE)</f>
        <v>3</v>
      </c>
      <c r="I42" s="9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9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9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5">
        <v>1</v>
      </c>
      <c r="M42" s="35">
        <f ca="1">VLOOKUP(C42,gacha_100_base!A:K,11,FALSE)</f>
        <v>228</v>
      </c>
      <c r="N42" s="26">
        <v>0</v>
      </c>
      <c r="O42" s="26">
        <v>0</v>
      </c>
      <c r="P42" s="26">
        <v>0</v>
      </c>
      <c r="Q42" s="26">
        <v>0</v>
      </c>
      <c r="R42" s="26">
        <v>1</v>
      </c>
    </row>
    <row r="43" spans="1:18" ht="21" customHeight="1">
      <c r="A43" s="7" t="str">
        <f t="shared" si="3"/>
        <v>1002291</v>
      </c>
      <c r="B43" s="2">
        <v>100</v>
      </c>
      <c r="C43" s="9" t="str">
        <f t="shared" ca="1" si="4"/>
        <v>PremiumS3</v>
      </c>
      <c r="D43" s="9" t="str">
        <f t="shared" si="5"/>
        <v/>
      </c>
      <c r="E43" s="6">
        <v>229</v>
      </c>
      <c r="F43" s="9" t="str">
        <f ca="1">VLOOKUP($E43,OFFSET([1]characters!$A$2,0,0,COUNTA([1]characters!$A:$A),MATCH(F$1,[1]characters!$2:$2,0)-MATCH($E$1,[1]characters!$2:$2,0)+1),MATCH(F$1,[1]characters!$2:$2,0)-MATCH($E$1,[1]characters!$2:$2,0)+1,FALSE)</f>
        <v>ヨルムンガンド</v>
      </c>
      <c r="G43" s="9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9">
        <f ca="1">VLOOKUP($E43,OFFSET([1]characters!$A$2,0,0,COUNTA([1]characters!$A:$A),MATCH(H$1,[1]characters!$2:$2,0)-MATCH($E$1,[1]characters!$2:$2,0)+1),MATCH(H$1,[1]characters!$2:$2,0)-MATCH($E$1,[1]characters!$2:$2,0)+1,FALSE)</f>
        <v>3</v>
      </c>
      <c r="I43" s="9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9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9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5">
        <v>1</v>
      </c>
      <c r="M43" s="35">
        <f ca="1">VLOOKUP(C43,gacha_100_base!A:K,11,FALSE)</f>
        <v>228</v>
      </c>
      <c r="N43" s="26">
        <v>0</v>
      </c>
      <c r="O43" s="26">
        <v>0</v>
      </c>
      <c r="P43" s="26">
        <v>0</v>
      </c>
      <c r="Q43" s="26">
        <v>0</v>
      </c>
      <c r="R43" s="26">
        <v>1</v>
      </c>
    </row>
    <row r="44" spans="1:18" ht="21" customHeight="1">
      <c r="A44" s="7" t="str">
        <f t="shared" si="3"/>
        <v>1002321</v>
      </c>
      <c r="B44" s="2">
        <v>100</v>
      </c>
      <c r="C44" s="9" t="str">
        <f t="shared" ca="1" si="4"/>
        <v>PremiumS3</v>
      </c>
      <c r="D44" s="9" t="str">
        <f t="shared" si="5"/>
        <v/>
      </c>
      <c r="E44" s="6">
        <v>232</v>
      </c>
      <c r="F44" s="9" t="str">
        <f ca="1">VLOOKUP($E44,OFFSET([1]characters!$A$2,0,0,COUNTA([1]characters!$A:$A),MATCH(F$1,[1]characters!$2:$2,0)-MATCH($E$1,[1]characters!$2:$2,0)+1),MATCH(F$1,[1]characters!$2:$2,0)-MATCH($E$1,[1]characters!$2:$2,0)+1,FALSE)</f>
        <v>パーシヴァル</v>
      </c>
      <c r="G44" s="9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9">
        <f ca="1">VLOOKUP($E44,OFFSET([1]characters!$A$2,0,0,COUNTA([1]characters!$A:$A),MATCH(H$1,[1]characters!$2:$2,0)-MATCH($E$1,[1]characters!$2:$2,0)+1),MATCH(H$1,[1]characters!$2:$2,0)-MATCH($E$1,[1]characters!$2:$2,0)+1,FALSE)</f>
        <v>3</v>
      </c>
      <c r="I44" s="9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9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9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5">
        <v>1</v>
      </c>
      <c r="M44" s="35">
        <f ca="1">VLOOKUP(C44,gacha_100_base!A:K,11,FALSE)</f>
        <v>228</v>
      </c>
      <c r="N44" s="26">
        <v>0</v>
      </c>
      <c r="O44" s="26">
        <v>0</v>
      </c>
      <c r="P44" s="26">
        <v>0</v>
      </c>
      <c r="Q44" s="26">
        <v>0</v>
      </c>
      <c r="R44" s="26">
        <v>1</v>
      </c>
    </row>
    <row r="45" spans="1:18" ht="21" customHeight="1">
      <c r="A45" s="7" t="str">
        <f t="shared" si="3"/>
        <v>1002351</v>
      </c>
      <c r="B45" s="2">
        <v>100</v>
      </c>
      <c r="C45" s="9" t="str">
        <f t="shared" ca="1" si="4"/>
        <v>PremiumS3</v>
      </c>
      <c r="D45" s="9" t="str">
        <f t="shared" si="5"/>
        <v/>
      </c>
      <c r="E45" s="6">
        <v>235</v>
      </c>
      <c r="F45" s="9" t="str">
        <f ca="1">VLOOKUP($E45,OFFSET([1]characters!$A$2,0,0,COUNTA([1]characters!$A:$A),MATCH(F$1,[1]characters!$2:$2,0)-MATCH($E$1,[1]characters!$2:$2,0)+1),MATCH(F$1,[1]characters!$2:$2,0)-MATCH($E$1,[1]characters!$2:$2,0)+1,FALSE)</f>
        <v>イザナミ</v>
      </c>
      <c r="G45" s="9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9">
        <f ca="1">VLOOKUP($E45,OFFSET([1]characters!$A$2,0,0,COUNTA([1]characters!$A:$A),MATCH(H$1,[1]characters!$2:$2,0)-MATCH($E$1,[1]characters!$2:$2,0)+1),MATCH(H$1,[1]characters!$2:$2,0)-MATCH($E$1,[1]characters!$2:$2,0)+1,FALSE)</f>
        <v>3</v>
      </c>
      <c r="I45" s="9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9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9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5">
        <v>1</v>
      </c>
      <c r="M45" s="35">
        <f ca="1">VLOOKUP(C45,gacha_100_base!A:K,11,FALSE)</f>
        <v>228</v>
      </c>
      <c r="N45" s="26">
        <v>0</v>
      </c>
      <c r="O45" s="26">
        <v>0</v>
      </c>
      <c r="P45" s="26">
        <v>0</v>
      </c>
      <c r="Q45" s="26">
        <v>0</v>
      </c>
      <c r="R45" s="26">
        <v>1</v>
      </c>
    </row>
    <row r="46" spans="1:18" ht="21" customHeight="1">
      <c r="A46" s="7" t="str">
        <f t="shared" si="3"/>
        <v>1001271</v>
      </c>
      <c r="B46" s="2">
        <v>100</v>
      </c>
      <c r="C46" s="9" t="str">
        <f t="shared" ca="1" si="4"/>
        <v>PremiumW4</v>
      </c>
      <c r="D46" s="9" t="str">
        <f t="shared" si="5"/>
        <v/>
      </c>
      <c r="E46" s="6">
        <v>127</v>
      </c>
      <c r="F46" s="9" t="str">
        <f ca="1">VLOOKUP($E46,OFFSET([1]characters!$A$2,0,0,COUNTA([1]characters!$A:$A),MATCH(F$1,[1]characters!$2:$2,0)-MATCH($E$1,[1]characters!$2:$2,0)+1),MATCH(F$1,[1]characters!$2:$2,0)-MATCH($E$1,[1]characters!$2:$2,0)+1,FALSE)</f>
        <v>狂喜の賢者 ユノ</v>
      </c>
      <c r="G46" s="9" t="str">
        <f ca="1">VLOOKUP($E46,OFFSET([1]characters!$A$2,0,0,COUNTA([1]characters!$A:$A),MATCH(G$1,[1]characters!$2:$2,0)-MATCH($E$1,[1]characters!$2:$2,0)+1),MATCH(G$1,[1]characters!$2:$2,0)-MATCH($E$1,[1]characters!$2:$2,0)+1,FALSE)</f>
        <v>PremiumW</v>
      </c>
      <c r="H46" s="9">
        <f ca="1">VLOOKUP($E46,OFFSET([1]characters!$A$2,0,0,COUNTA([1]characters!$A:$A),MATCH(H$1,[1]characters!$2:$2,0)-MATCH($E$1,[1]characters!$2:$2,0)+1),MATCH(H$1,[1]characters!$2:$2,0)-MATCH($E$1,[1]characters!$2:$2,0)+1,FALSE)</f>
        <v>4</v>
      </c>
      <c r="I46" s="9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9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9" t="str">
        <f ca="1">VLOOKUP($E46,OFFSET([1]characters!$A$2,0,0,COUNTA([1]characters!$A:$A),MATCH($K$1,[1]characters!$1:$1,0)-MATCH($E$1,[1]characters!$2:$2,0)+2),MATCH($K$1,[1]characters!$1:$1,0)-MATCH($E$1,[1]characters!$2:$2,0)+2,FALSE)</f>
        <v>ヒューマン</v>
      </c>
      <c r="L46" s="5">
        <v>1</v>
      </c>
      <c r="M46" s="35">
        <f ca="1">VLOOKUP(C46,gacha_100_base!A:K,11,FALSE)</f>
        <v>806</v>
      </c>
      <c r="N46" s="26">
        <v>0</v>
      </c>
      <c r="O46" s="26">
        <v>0</v>
      </c>
      <c r="P46" s="26">
        <v>0</v>
      </c>
      <c r="Q46" s="26">
        <v>0</v>
      </c>
      <c r="R46" s="26">
        <v>1</v>
      </c>
    </row>
    <row r="47" spans="1:18" ht="21" customHeight="1">
      <c r="A47" s="7" t="str">
        <f t="shared" si="3"/>
        <v>1001291</v>
      </c>
      <c r="B47" s="2">
        <v>100</v>
      </c>
      <c r="C47" s="9" t="str">
        <f t="shared" ca="1" si="4"/>
        <v>PremiumW4</v>
      </c>
      <c r="D47" s="9" t="str">
        <f t="shared" si="5"/>
        <v/>
      </c>
      <c r="E47" s="6">
        <v>129</v>
      </c>
      <c r="F47" s="9" t="str">
        <f ca="1">VLOOKUP($E47,OFFSET([1]characters!$A$2,0,0,COUNTA([1]characters!$A:$A),MATCH(F$1,[1]characters!$2:$2,0)-MATCH($E$1,[1]characters!$2:$2,0)+1),MATCH(F$1,[1]characters!$2:$2,0)-MATCH($E$1,[1]characters!$2:$2,0)+1,FALSE)</f>
        <v>孤高の狼憑き アマラ</v>
      </c>
      <c r="G47" s="9" t="str">
        <f ca="1">VLOOKUP($E47,OFFSET([1]characters!$A$2,0,0,COUNTA([1]characters!$A:$A),MATCH(G$1,[1]characters!$2:$2,0)-MATCH($E$1,[1]characters!$2:$2,0)+1),MATCH(G$1,[1]characters!$2:$2,0)-MATCH($E$1,[1]characters!$2:$2,0)+1,FALSE)</f>
        <v>PremiumW</v>
      </c>
      <c r="H47" s="9">
        <f ca="1">VLOOKUP($E47,OFFSET([1]characters!$A$2,0,0,COUNTA([1]characters!$A:$A),MATCH(H$1,[1]characters!$2:$2,0)-MATCH($E$1,[1]characters!$2:$2,0)+1),MATCH(H$1,[1]characters!$2:$2,0)-MATCH($E$1,[1]characters!$2:$2,0)+1,FALSE)</f>
        <v>4</v>
      </c>
      <c r="I47" s="9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9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9" t="str">
        <f ca="1">VLOOKUP($E47,OFFSET([1]characters!$A$2,0,0,COUNTA([1]characters!$A:$A),MATCH($K$1,[1]characters!$1:$1,0)-MATCH($E$1,[1]characters!$2:$2,0)+2),MATCH($K$1,[1]characters!$1:$1,0)-MATCH($E$1,[1]characters!$2:$2,0)+2,FALSE)</f>
        <v>ヒューマン</v>
      </c>
      <c r="L47" s="5">
        <v>1</v>
      </c>
      <c r="M47" s="35">
        <f ca="1">VLOOKUP(C47,gacha_100_base!A:K,11,FALSE)</f>
        <v>806</v>
      </c>
      <c r="N47" s="26">
        <v>0</v>
      </c>
      <c r="O47" s="26">
        <v>0</v>
      </c>
      <c r="P47" s="26">
        <v>0</v>
      </c>
      <c r="Q47" s="26">
        <v>0</v>
      </c>
      <c r="R47" s="26">
        <v>1</v>
      </c>
    </row>
    <row r="48" spans="1:18" ht="21" customHeight="1">
      <c r="A48" s="7" t="str">
        <f t="shared" si="3"/>
        <v>1001311</v>
      </c>
      <c r="B48" s="2">
        <v>100</v>
      </c>
      <c r="C48" s="9" t="str">
        <f t="shared" ca="1" si="4"/>
        <v>PremiumW4</v>
      </c>
      <c r="D48" s="9" t="str">
        <f t="shared" si="5"/>
        <v/>
      </c>
      <c r="E48" s="6">
        <v>131</v>
      </c>
      <c r="F48" s="9" t="str">
        <f ca="1">VLOOKUP($E48,OFFSET([1]characters!$A$2,0,0,COUNTA([1]characters!$A:$A),MATCH(F$1,[1]characters!$2:$2,0)-MATCH($E$1,[1]characters!$2:$2,0)+1),MATCH(F$1,[1]characters!$2:$2,0)-MATCH($E$1,[1]characters!$2:$2,0)+1,FALSE)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8" s="9" t="str">
        <f ca="1">VLOOKUP($E48,OFFSET([1]characters!$A$2,0,0,COUNTA([1]characters!$A:$A),MATCH(G$1,[1]characters!$2:$2,0)-MATCH($E$1,[1]characters!$2:$2,0)+1),MATCH(G$1,[1]characters!$2:$2,0)-MATCH($E$1,[1]characters!$2:$2,0)+1,FALSE)</f>
        <v>PremiumW</v>
      </c>
      <c r="H48" s="9">
        <f ca="1">VLOOKUP($E48,OFFSET([1]characters!$A$2,0,0,COUNTA([1]characters!$A:$A),MATCH(H$1,[1]characters!$2:$2,0)-MATCH($E$1,[1]characters!$2:$2,0)+1),MATCH(H$1,[1]characters!$2:$2,0)-MATCH($E$1,[1]characters!$2:$2,0)+1,FALSE)</f>
        <v>4</v>
      </c>
      <c r="I48" s="9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9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9" t="str">
        <f ca="1">VLOOKUP($E48,OFFSET([1]characters!$A$2,0,0,COUNTA([1]characters!$A:$A),MATCH($K$1,[1]characters!$1:$1,0)-MATCH($E$1,[1]characters!$2:$2,0)+2),MATCH($K$1,[1]characters!$1:$1,0)-MATCH($E$1,[1]characters!$2:$2,0)+2,FALSE)</f>
        <v>アニマル</v>
      </c>
      <c r="L48" s="5">
        <v>1</v>
      </c>
      <c r="M48" s="35">
        <f ca="1">VLOOKUP(C48,gacha_100_base!A:K,11,FALSE)</f>
        <v>806</v>
      </c>
      <c r="N48" s="26">
        <v>0</v>
      </c>
      <c r="O48" s="26">
        <v>0</v>
      </c>
      <c r="P48" s="26">
        <v>0</v>
      </c>
      <c r="Q48" s="26">
        <v>0</v>
      </c>
      <c r="R48" s="26">
        <v>1</v>
      </c>
    </row>
    <row r="49" spans="1:18" ht="21" customHeight="1">
      <c r="A49" s="7" t="str">
        <f t="shared" si="3"/>
        <v>1001331</v>
      </c>
      <c r="B49" s="2">
        <v>100</v>
      </c>
      <c r="C49" s="9" t="str">
        <f t="shared" ca="1" si="4"/>
        <v>PremiumW4</v>
      </c>
      <c r="D49" s="9" t="str">
        <f t="shared" si="5"/>
        <v/>
      </c>
      <c r="E49" s="6">
        <v>133</v>
      </c>
      <c r="F49" s="9" t="str">
        <f ca="1">VLOOKUP($E49,OFFSET([1]characters!$A$2,0,0,COUNTA([1]characters!$A:$A),MATCH(F$1,[1]characters!$2:$2,0)-MATCH($E$1,[1]characters!$2:$2,0)+1),MATCH(F$1,[1]characters!$2:$2,0)-MATCH($E$1,[1]characters!$2:$2,0)+1,FALSE)</f>
        <v>迅雷の刀剣 ハヤト</v>
      </c>
      <c r="G49" s="9" t="str">
        <f ca="1">VLOOKUP($E49,OFFSET([1]characters!$A$2,0,0,COUNTA([1]characters!$A:$A),MATCH(G$1,[1]characters!$2:$2,0)-MATCH($E$1,[1]characters!$2:$2,0)+1),MATCH(G$1,[1]characters!$2:$2,0)-MATCH($E$1,[1]characters!$2:$2,0)+1,FALSE)</f>
        <v>PremiumW</v>
      </c>
      <c r="H49" s="9">
        <f ca="1">VLOOKUP($E49,OFFSET([1]characters!$A$2,0,0,COUNTA([1]characters!$A:$A),MATCH(H$1,[1]characters!$2:$2,0)-MATCH($E$1,[1]characters!$2:$2,0)+1),MATCH(H$1,[1]characters!$2:$2,0)-MATCH($E$1,[1]characters!$2:$2,0)+1,FALSE)</f>
        <v>4</v>
      </c>
      <c r="I49" s="9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9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9" t="str">
        <f ca="1">VLOOKUP($E49,OFFSET([1]characters!$A$2,0,0,COUNTA([1]characters!$A:$A),MATCH($K$1,[1]characters!$1:$1,0)-MATCH($E$1,[1]characters!$2:$2,0)+2),MATCH($K$1,[1]characters!$1:$1,0)-MATCH($E$1,[1]characters!$2:$2,0)+2,FALSE)</f>
        <v>ヒューマン</v>
      </c>
      <c r="L49" s="5">
        <v>1</v>
      </c>
      <c r="M49" s="35">
        <f ca="1">VLOOKUP(C49,gacha_100_base!A:K,11,FALSE)</f>
        <v>806</v>
      </c>
      <c r="N49" s="26">
        <v>0</v>
      </c>
      <c r="O49" s="26">
        <v>0</v>
      </c>
      <c r="P49" s="26">
        <v>0</v>
      </c>
      <c r="Q49" s="26">
        <v>0</v>
      </c>
      <c r="R49" s="26">
        <v>1</v>
      </c>
    </row>
    <row r="50" spans="1:18" ht="21" customHeight="1">
      <c r="A50" s="7" t="str">
        <f t="shared" si="3"/>
        <v>1001351</v>
      </c>
      <c r="B50" s="2">
        <v>100</v>
      </c>
      <c r="C50" s="9" t="str">
        <f t="shared" ca="1" si="4"/>
        <v>PremiumW4</v>
      </c>
      <c r="D50" s="9" t="str">
        <f t="shared" si="5"/>
        <v/>
      </c>
      <c r="E50" s="6">
        <v>135</v>
      </c>
      <c r="F50" s="9" t="str">
        <f ca="1">VLOOKUP($E50,OFFSET([1]characters!$A$2,0,0,COUNTA([1]characters!$A:$A),MATCH(F$1,[1]characters!$2:$2,0)-MATCH($E$1,[1]characters!$2:$2,0)+1),MATCH(F$1,[1]characters!$2:$2,0)-MATCH($E$1,[1]characters!$2:$2,0)+1,FALSE)</f>
        <v>京の炎華夕霧</v>
      </c>
      <c r="G50" s="9" t="str">
        <f ca="1">VLOOKUP($E50,OFFSET([1]characters!$A$2,0,0,COUNTA([1]characters!$A:$A),MATCH(G$1,[1]characters!$2:$2,0)-MATCH($E$1,[1]characters!$2:$2,0)+1),MATCH(G$1,[1]characters!$2:$2,0)-MATCH($E$1,[1]characters!$2:$2,0)+1,FALSE)</f>
        <v>PremiumW</v>
      </c>
      <c r="H50" s="9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9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9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9" t="str">
        <f ca="1">VLOOKUP($E50,OFFSET([1]characters!$A$2,0,0,COUNTA([1]characters!$A:$A),MATCH($K$1,[1]characters!$1:$1,0)-MATCH($E$1,[1]characters!$2:$2,0)+2),MATCH($K$1,[1]characters!$1:$1,0)-MATCH($E$1,[1]characters!$2:$2,0)+2,FALSE)</f>
        <v>ヒューマン</v>
      </c>
      <c r="L50" s="5">
        <v>1</v>
      </c>
      <c r="M50" s="35">
        <f ca="1">VLOOKUP(C50,gacha_100_base!A:K,11,FALSE)</f>
        <v>806</v>
      </c>
      <c r="N50" s="26">
        <v>0</v>
      </c>
      <c r="O50" s="26">
        <v>0</v>
      </c>
      <c r="P50" s="26">
        <v>0</v>
      </c>
      <c r="Q50" s="26">
        <v>0</v>
      </c>
      <c r="R50" s="26">
        <v>1</v>
      </c>
    </row>
    <row r="51" spans="1:18" ht="21" customHeight="1">
      <c r="A51" s="7" t="str">
        <f t="shared" si="3"/>
        <v>1001371</v>
      </c>
      <c r="B51" s="2">
        <v>100</v>
      </c>
      <c r="C51" s="9" t="str">
        <f t="shared" ca="1" si="4"/>
        <v>PremiumW4</v>
      </c>
      <c r="D51" s="9" t="str">
        <f t="shared" si="5"/>
        <v/>
      </c>
      <c r="E51" s="6">
        <v>137</v>
      </c>
      <c r="F51" s="9" t="str">
        <f ca="1">VLOOKUP($E51,OFFSET([1]characters!$A$2,0,0,COUNTA([1]characters!$A:$A),MATCH(F$1,[1]characters!$2:$2,0)-MATCH($E$1,[1]characters!$2:$2,0)+1),MATCH(F$1,[1]characters!$2:$2,0)-MATCH($E$1,[1]characters!$2:$2,0)+1,FALSE)</f>
        <v>清福の仕立屋 チハヤ</v>
      </c>
      <c r="G51" s="9" t="str">
        <f ca="1">VLOOKUP($E51,OFFSET([1]characters!$A$2,0,0,COUNTA([1]characters!$A:$A),MATCH(G$1,[1]characters!$2:$2,0)-MATCH($E$1,[1]characters!$2:$2,0)+1),MATCH(G$1,[1]characters!$2:$2,0)-MATCH($E$1,[1]characters!$2:$2,0)+1,FALSE)</f>
        <v>PremiumW</v>
      </c>
      <c r="H51" s="9">
        <f ca="1">VLOOKUP($E51,OFFSET([1]characters!$A$2,0,0,COUNTA([1]characters!$A:$A),MATCH(H$1,[1]characters!$2:$2,0)-MATCH($E$1,[1]characters!$2:$2,0)+1),MATCH(H$1,[1]characters!$2:$2,0)-MATCH($E$1,[1]characters!$2:$2,0)+1,FALSE)</f>
        <v>4</v>
      </c>
      <c r="I51" s="9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9" t="str">
        <f ca="1">VLOOKUP($E51,OFFSET([1]characters!$A$2,0,0,COUNTA([1]characters!$A:$A),MATCH("タイプ",[1]characters!$1:$1,0)-MATCH($E$1,[1]characters!$2:$2,0)+2),MATCH("タイプ",[1]characters!$1:$1,0)-MATCH($E$1,[1]characters!$2:$2,0)+2,FALSE)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1" s="9" t="str">
        <f ca="1">VLOOKUP($E51,OFFSET([1]characters!$A$2,0,0,COUNTA([1]characters!$A:$A),MATCH($K$1,[1]characters!$1:$1,0)-MATCH($E$1,[1]characters!$2:$2,0)+2),MATCH($K$1,[1]characters!$1:$1,0)-MATCH($E$1,[1]characters!$2:$2,0)+2,FALSE)</f>
        <v>ヒューマン</v>
      </c>
      <c r="L51" s="5">
        <v>1</v>
      </c>
      <c r="M51" s="35">
        <f ca="1">VLOOKUP(C51,gacha_100_base!A:K,11,FALSE)</f>
        <v>806</v>
      </c>
      <c r="N51" s="26">
        <v>0</v>
      </c>
      <c r="O51" s="26">
        <v>0</v>
      </c>
      <c r="P51" s="26">
        <v>0</v>
      </c>
      <c r="Q51" s="26">
        <v>0</v>
      </c>
      <c r="R51" s="26">
        <v>1</v>
      </c>
    </row>
    <row r="52" spans="1:18" ht="21" customHeight="1">
      <c r="A52" s="7" t="str">
        <f t="shared" si="3"/>
        <v>1001391</v>
      </c>
      <c r="B52" s="2">
        <v>100</v>
      </c>
      <c r="C52" s="9" t="str">
        <f t="shared" ca="1" si="4"/>
        <v>PremiumW4</v>
      </c>
      <c r="D52" s="9" t="str">
        <f t="shared" si="5"/>
        <v/>
      </c>
      <c r="E52" s="6">
        <v>139</v>
      </c>
      <c r="F52" s="9" t="str">
        <f ca="1">VLOOKUP($E52,OFFSET([1]characters!$A$2,0,0,COUNTA([1]characters!$A:$A),MATCH(F$1,[1]characters!$2:$2,0)-MATCH($E$1,[1]characters!$2:$2,0)+1),MATCH(F$1,[1]characters!$2:$2,0)-MATCH($E$1,[1]characters!$2:$2,0)+1,FALSE)</f>
        <v>蒼昇刃姫 トモエ</v>
      </c>
      <c r="G52" s="9" t="str">
        <f ca="1">VLOOKUP($E52,OFFSET([1]characters!$A$2,0,0,COUNTA([1]characters!$A:$A),MATCH(G$1,[1]characters!$2:$2,0)-MATCH($E$1,[1]characters!$2:$2,0)+1),MATCH(G$1,[1]characters!$2:$2,0)-MATCH($E$1,[1]characters!$2:$2,0)+1,FALSE)</f>
        <v>PremiumW</v>
      </c>
      <c r="H52" s="9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9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9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9" t="str">
        <f ca="1">VLOOKUP($E52,OFFSET([1]characters!$A$2,0,0,COUNTA([1]characters!$A:$A),MATCH($K$1,[1]characters!$1:$1,0)-MATCH($E$1,[1]characters!$2:$2,0)+2),MATCH($K$1,[1]characters!$1:$1,0)-MATCH($E$1,[1]characters!$2:$2,0)+2,FALSE)</f>
        <v>ヒューマン</v>
      </c>
      <c r="L52" s="5">
        <v>1</v>
      </c>
      <c r="M52" s="35">
        <f ca="1">VLOOKUP(C52,gacha_100_base!A:K,11,FALSE)</f>
        <v>806</v>
      </c>
      <c r="N52" s="26">
        <v>0</v>
      </c>
      <c r="O52" s="26">
        <v>0</v>
      </c>
      <c r="P52" s="26">
        <v>0</v>
      </c>
      <c r="Q52" s="26">
        <v>0</v>
      </c>
      <c r="R52" s="26">
        <v>1</v>
      </c>
    </row>
    <row r="53" spans="1:18" ht="21" customHeight="1">
      <c r="A53" s="7" t="str">
        <f t="shared" si="3"/>
        <v>1001411</v>
      </c>
      <c r="B53" s="2">
        <v>100</v>
      </c>
      <c r="C53" s="9" t="str">
        <f t="shared" ca="1" si="4"/>
        <v>PremiumW4</v>
      </c>
      <c r="D53" s="9" t="str">
        <f t="shared" si="5"/>
        <v/>
      </c>
      <c r="E53" s="6">
        <v>141</v>
      </c>
      <c r="F53" s="9" t="str">
        <f ca="1">VLOOKUP($E53,OFFSET([1]characters!$A$2,0,0,COUNTA([1]characters!$A:$A),MATCH(F$1,[1]characters!$2:$2,0)-MATCH($E$1,[1]characters!$2:$2,0)+1),MATCH(F$1,[1]characters!$2:$2,0)-MATCH($E$1,[1]characters!$2:$2,0)+1,FALSE)</f>
        <v>妖狐演舞 タマモ</v>
      </c>
      <c r="G53" s="9" t="str">
        <f ca="1">VLOOKUP($E53,OFFSET([1]characters!$A$2,0,0,COUNTA([1]characters!$A:$A),MATCH(G$1,[1]characters!$2:$2,0)-MATCH($E$1,[1]characters!$2:$2,0)+1),MATCH(G$1,[1]characters!$2:$2,0)-MATCH($E$1,[1]characters!$2:$2,0)+1,FALSE)</f>
        <v>PremiumW</v>
      </c>
      <c r="H53" s="9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9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9" t="str">
        <f ca="1">VLOOKUP($E53,OFFSET([1]characters!$A$2,0,0,COUNTA([1]characters!$A:$A),MATCH("タイプ",[1]characters!$1:$1,0)-MATCH($E$1,[1]characters!$2:$2,0)+2),MATCH("タイプ",[1]characters!$1:$1,0)-MATCH($E$1,[1]characters!$2:$2,0)+2,FALSE)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3" s="9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5">
        <v>1</v>
      </c>
      <c r="M53" s="35">
        <f ca="1">VLOOKUP(C53,gacha_100_base!A:K,11,FALSE)</f>
        <v>806</v>
      </c>
      <c r="N53" s="26">
        <v>0</v>
      </c>
      <c r="O53" s="26">
        <v>0</v>
      </c>
      <c r="P53" s="26">
        <v>0</v>
      </c>
      <c r="Q53" s="26">
        <v>0</v>
      </c>
      <c r="R53" s="26">
        <v>1</v>
      </c>
    </row>
    <row r="54" spans="1:18" ht="21" customHeight="1">
      <c r="A54" s="7" t="str">
        <f t="shared" si="3"/>
        <v>1001431</v>
      </c>
      <c r="B54" s="2">
        <v>100</v>
      </c>
      <c r="C54" s="9" t="str">
        <f t="shared" ca="1" si="4"/>
        <v>PremiumW4</v>
      </c>
      <c r="D54" s="9" t="str">
        <f t="shared" si="5"/>
        <v/>
      </c>
      <c r="E54" s="6">
        <v>143</v>
      </c>
      <c r="F54" s="9" t="str">
        <f ca="1">VLOOKUP($E54,OFFSET([1]characters!$A$2,0,0,COUNTA([1]characters!$A:$A),MATCH(F$1,[1]characters!$2:$2,0)-MATCH($E$1,[1]characters!$2:$2,0)+1),MATCH(F$1,[1]characters!$2:$2,0)-MATCH($E$1,[1]characters!$2:$2,0)+1,FALSE)</f>
        <v>深紅の死神 赤ずきん</v>
      </c>
      <c r="G54" s="9" t="str">
        <f ca="1">VLOOKUP($E54,OFFSET([1]characters!$A$2,0,0,COUNTA([1]characters!$A:$A),MATCH(G$1,[1]characters!$2:$2,0)-MATCH($E$1,[1]characters!$2:$2,0)+1),MATCH(G$1,[1]characters!$2:$2,0)-MATCH($E$1,[1]characters!$2:$2,0)+1,FALSE)</f>
        <v>PremiumW</v>
      </c>
      <c r="H54" s="9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9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9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9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5">
        <v>1</v>
      </c>
      <c r="M54" s="35">
        <f ca="1">VLOOKUP(C54,gacha_100_base!A:K,11,FALSE)</f>
        <v>806</v>
      </c>
      <c r="N54" s="26">
        <v>0</v>
      </c>
      <c r="O54" s="26">
        <v>0</v>
      </c>
      <c r="P54" s="26">
        <v>0</v>
      </c>
      <c r="Q54" s="26">
        <v>0</v>
      </c>
      <c r="R54" s="26">
        <v>1</v>
      </c>
    </row>
    <row r="55" spans="1:18" ht="21" customHeight="1">
      <c r="A55" s="7" t="str">
        <f t="shared" si="3"/>
        <v>1001451</v>
      </c>
      <c r="B55" s="2">
        <v>100</v>
      </c>
      <c r="C55" s="9" t="str">
        <f t="shared" ca="1" si="4"/>
        <v>PremiumW4</v>
      </c>
      <c r="D55" s="9" t="str">
        <f t="shared" si="5"/>
        <v/>
      </c>
      <c r="E55" s="6">
        <v>145</v>
      </c>
      <c r="F55" s="9" t="str">
        <f ca="1">VLOOKUP($E55,OFFSET([1]characters!$A$2,0,0,COUNTA([1]characters!$A:$A),MATCH(F$1,[1]characters!$2:$2,0)-MATCH($E$1,[1]characters!$2:$2,0)+1),MATCH(F$1,[1]characters!$2:$2,0)-MATCH($E$1,[1]characters!$2:$2,0)+1,FALSE)</f>
        <v>魔性妖艶 かぐや</v>
      </c>
      <c r="G55" s="9" t="str">
        <f ca="1">VLOOKUP($E55,OFFSET([1]characters!$A$2,0,0,COUNTA([1]characters!$A:$A),MATCH(G$1,[1]characters!$2:$2,0)-MATCH($E$1,[1]characters!$2:$2,0)+1),MATCH(G$1,[1]characters!$2:$2,0)-MATCH($E$1,[1]characters!$2:$2,0)+1,FALSE)</f>
        <v>PremiumW</v>
      </c>
      <c r="H55" s="9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9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9" t="str">
        <f ca="1">VLOOKUP($E55,OFFSET([1]characters!$A$2,0,0,COUNTA([1]characters!$A:$A),MATCH("タイプ",[1]characters!$1:$1,0)-MATCH($E$1,[1]characters!$2:$2,0)+2),MATCH("タイプ",[1]characters!$1:$1,0)-MATCH($E$1,[1]characters!$2:$2,0)+2,FALSE)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5" s="9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5">
        <v>1</v>
      </c>
      <c r="M55" s="35">
        <f ca="1">VLOOKUP(C55,gacha_100_base!A:K,11,FALSE)</f>
        <v>806</v>
      </c>
      <c r="N55" s="26">
        <v>0</v>
      </c>
      <c r="O55" s="26">
        <v>0</v>
      </c>
      <c r="P55" s="26">
        <v>0</v>
      </c>
      <c r="Q55" s="26">
        <v>0</v>
      </c>
      <c r="R55" s="26">
        <v>1</v>
      </c>
    </row>
    <row r="56" spans="1:18" ht="21" customHeight="1">
      <c r="A56" s="7" t="str">
        <f t="shared" si="3"/>
        <v>1001471</v>
      </c>
      <c r="B56" s="2">
        <v>100</v>
      </c>
      <c r="C56" s="9" t="str">
        <f t="shared" ca="1" si="4"/>
        <v>PremiumW4</v>
      </c>
      <c r="D56" s="9" t="str">
        <f t="shared" si="5"/>
        <v/>
      </c>
      <c r="E56" s="6">
        <v>147</v>
      </c>
      <c r="F56" s="9" t="str">
        <f ca="1">VLOOKUP($E56,OFFSET([1]characters!$A$2,0,0,COUNTA([1]characters!$A:$A),MATCH(F$1,[1]characters!$2:$2,0)-MATCH($E$1,[1]characters!$2:$2,0)+1),MATCH(F$1,[1]characters!$2:$2,0)-MATCH($E$1,[1]characters!$2:$2,0)+1,FALSE)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56" s="9" t="str">
        <f ca="1">VLOOKUP($E56,OFFSET([1]characters!$A$2,0,0,COUNTA([1]characters!$A:$A),MATCH(G$1,[1]characters!$2:$2,0)-MATCH($E$1,[1]characters!$2:$2,0)+1),MATCH(G$1,[1]characters!$2:$2,0)-MATCH($E$1,[1]characters!$2:$2,0)+1,FALSE)</f>
        <v>PremiumW</v>
      </c>
      <c r="H56" s="9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9" t="str">
        <f ca="1">VLOOKUP($E56,OFFSET([1]characters!$A$2,0,0,COUNTA([1]characters!$A:$A),MATCH(I$1,[1]characters!$2:$2,0)-MATCH($E$1,[1]characters!$2:$2,0)+1),MATCH(I$1,[1]characters!$2:$2,0)-MATCH($E$1,[1]characters!$2:$2,0)+1,FALSE)</f>
        <v>blue</v>
      </c>
      <c r="J56" s="9" t="str">
        <f ca="1">VLOOKUP($E56,OFFSET([1]characters!$A$2,0,0,COUNTA([1]characters!$A:$A),MATCH("タイプ",[1]characters!$1:$1,0)-MATCH($E$1,[1]characters!$2:$2,0)+2),MATCH("タイプ",[1]characters!$1:$1,0)-MATCH($E$1,[1]characters!$2:$2,0)+2,FALSE)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6" s="9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5">
        <v>1</v>
      </c>
      <c r="M56" s="35">
        <f ca="1">VLOOKUP(C56,gacha_100_base!A:K,11,FALSE)</f>
        <v>806</v>
      </c>
      <c r="N56" s="26">
        <v>0</v>
      </c>
      <c r="O56" s="26">
        <v>0</v>
      </c>
      <c r="P56" s="26">
        <v>0</v>
      </c>
      <c r="Q56" s="26">
        <v>0</v>
      </c>
      <c r="R56" s="26">
        <v>1</v>
      </c>
    </row>
    <row r="57" spans="1:18" ht="21" customHeight="1">
      <c r="A57" s="7" t="str">
        <f t="shared" si="3"/>
        <v>1001491</v>
      </c>
      <c r="B57" s="2">
        <v>100</v>
      </c>
      <c r="C57" s="9" t="str">
        <f t="shared" ca="1" si="4"/>
        <v>PremiumW4</v>
      </c>
      <c r="D57" s="9" t="str">
        <f t="shared" si="5"/>
        <v/>
      </c>
      <c r="E57" s="6">
        <v>149</v>
      </c>
      <c r="F57" s="9" t="str">
        <f ca="1">VLOOKUP($E57,OFFSET([1]characters!$A$2,0,0,COUNTA([1]characters!$A:$A),MATCH(F$1,[1]characters!$2:$2,0)-MATCH($E$1,[1]characters!$2:$2,0)+1),MATCH(F$1,[1]characters!$2:$2,0)-MATCH($E$1,[1]characters!$2:$2,0)+1,FALSE)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57" s="9" t="str">
        <f ca="1">VLOOKUP($E57,OFFSET([1]characters!$A$2,0,0,COUNTA([1]characters!$A:$A),MATCH(G$1,[1]characters!$2:$2,0)-MATCH($E$1,[1]characters!$2:$2,0)+1),MATCH(G$1,[1]characters!$2:$2,0)-MATCH($E$1,[1]characters!$2:$2,0)+1,FALSE)</f>
        <v>PremiumW</v>
      </c>
      <c r="H57" s="9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9" t="str">
        <f ca="1">VLOOKUP($E57,OFFSET([1]characters!$A$2,0,0,COUNTA([1]characters!$A:$A),MATCH(I$1,[1]characters!$2:$2,0)-MATCH($E$1,[1]characters!$2:$2,0)+1),MATCH(I$1,[1]characters!$2:$2,0)-MATCH($E$1,[1]characters!$2:$2,0)+1,FALSE)</f>
        <v>yellow</v>
      </c>
      <c r="J57" s="9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9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5">
        <v>1</v>
      </c>
      <c r="M57" s="35">
        <f ca="1">VLOOKUP(C57,gacha_100_base!A:K,11,FALSE)</f>
        <v>806</v>
      </c>
      <c r="N57" s="26">
        <v>0</v>
      </c>
      <c r="O57" s="26">
        <v>0</v>
      </c>
      <c r="P57" s="26">
        <v>0</v>
      </c>
      <c r="Q57" s="26">
        <v>0</v>
      </c>
      <c r="R57" s="26">
        <v>1</v>
      </c>
    </row>
    <row r="58" spans="1:18" ht="21" customHeight="1">
      <c r="A58" s="7" t="str">
        <f t="shared" si="3"/>
        <v>1001511</v>
      </c>
      <c r="B58" s="2">
        <v>100</v>
      </c>
      <c r="C58" s="9" t="str">
        <f t="shared" ca="1" si="4"/>
        <v>PremiumW4</v>
      </c>
      <c r="D58" s="9" t="str">
        <f t="shared" si="5"/>
        <v/>
      </c>
      <c r="E58" s="6">
        <v>151</v>
      </c>
      <c r="F58" s="9" t="str">
        <f ca="1">VLOOKUP($E58,OFFSET([1]characters!$A$2,0,0,COUNTA([1]characters!$A:$A),MATCH(F$1,[1]characters!$2:$2,0)-MATCH($E$1,[1]characters!$2:$2,0)+1),MATCH(F$1,[1]characters!$2:$2,0)-MATCH($E$1,[1]characters!$2:$2,0)+1,FALSE)</f>
        <v>毒煙の処刑人サキ</v>
      </c>
      <c r="G58" s="9" t="str">
        <f ca="1">VLOOKUP($E58,OFFSET([1]characters!$A$2,0,0,COUNTA([1]characters!$A:$A),MATCH(G$1,[1]characters!$2:$2,0)-MATCH($E$1,[1]characters!$2:$2,0)+1),MATCH(G$1,[1]characters!$2:$2,0)-MATCH($E$1,[1]characters!$2:$2,0)+1,FALSE)</f>
        <v>PremiumW</v>
      </c>
      <c r="H58" s="9">
        <f ca="1">VLOOKUP($E58,OFFSET([1]characters!$A$2,0,0,COUNTA([1]characters!$A:$A),MATCH(H$1,[1]characters!$2:$2,0)-MATCH($E$1,[1]characters!$2:$2,0)+1),MATCH(H$1,[1]characters!$2:$2,0)-MATCH($E$1,[1]characters!$2:$2,0)+1,FALSE)</f>
        <v>4</v>
      </c>
      <c r="I58" s="9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9" t="str">
        <f ca="1">VLOOKUP($E58,OFFSET([1]characters!$A$2,0,0,COUNTA([1]characters!$A:$A),MATCH("タイプ",[1]characters!$1:$1,0)-MATCH($E$1,[1]characters!$2:$2,0)+2),MATCH("タイプ",[1]characters!$1:$1,0)-MATCH($E$1,[1]characters!$2:$2,0)+2,FALSE)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8" s="9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5">
        <v>1</v>
      </c>
      <c r="M58" s="35">
        <f ca="1">VLOOKUP(C58,gacha_100_base!A:K,11,FALSE)</f>
        <v>806</v>
      </c>
      <c r="N58" s="26">
        <v>0</v>
      </c>
      <c r="O58" s="26">
        <v>0</v>
      </c>
      <c r="P58" s="26">
        <v>0</v>
      </c>
      <c r="Q58" s="26">
        <v>0</v>
      </c>
      <c r="R58" s="26">
        <v>1</v>
      </c>
    </row>
    <row r="59" spans="1:18" ht="21" customHeight="1">
      <c r="A59" s="7" t="str">
        <f t="shared" si="3"/>
        <v>1001531</v>
      </c>
      <c r="B59" s="2">
        <v>100</v>
      </c>
      <c r="C59" s="9" t="str">
        <f t="shared" ca="1" si="4"/>
        <v>PremiumW4</v>
      </c>
      <c r="D59" s="9" t="str">
        <f t="shared" si="5"/>
        <v/>
      </c>
      <c r="E59" s="6">
        <v>153</v>
      </c>
      <c r="F59" s="9" t="str">
        <f ca="1">VLOOKUP($E59,OFFSET([1]characters!$A$2,0,0,COUNTA([1]characters!$A:$A),MATCH(F$1,[1]characters!$2:$2,0)-MATCH($E$1,[1]characters!$2:$2,0)+1),MATCH(F$1,[1]characters!$2:$2,0)-MATCH($E$1,[1]characters!$2:$2,0)+1,FALSE)</f>
        <v>拳聖ランラン</v>
      </c>
      <c r="G59" s="9" t="str">
        <f ca="1">VLOOKUP($E59,OFFSET([1]characters!$A$2,0,0,COUNTA([1]characters!$A:$A),MATCH(G$1,[1]characters!$2:$2,0)-MATCH($E$1,[1]characters!$2:$2,0)+1),MATCH(G$1,[1]characters!$2:$2,0)-MATCH($E$1,[1]characters!$2:$2,0)+1,FALSE)</f>
        <v>PremiumW</v>
      </c>
      <c r="H59" s="9">
        <f ca="1">VLOOKUP($E59,OFFSET([1]characters!$A$2,0,0,COUNTA([1]characters!$A:$A),MATCH(H$1,[1]characters!$2:$2,0)-MATCH($E$1,[1]characters!$2:$2,0)+1),MATCH(H$1,[1]characters!$2:$2,0)-MATCH($E$1,[1]characters!$2:$2,0)+1,FALSE)</f>
        <v>4</v>
      </c>
      <c r="I59" s="9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9" t="str">
        <f ca="1">VLOOKUP($E59,OFFSET([1]characters!$A$2,0,0,COUNTA([1]characters!$A:$A),MATCH("タイプ",[1]characters!$1:$1,0)-MATCH($E$1,[1]characters!$2:$2,0)+2),MATCH("タイプ",[1]characters!$1:$1,0)-MATCH($E$1,[1]characters!$2:$2,0)+2,FALSE)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9" s="9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5">
        <v>1</v>
      </c>
      <c r="M59" s="35">
        <f ca="1">VLOOKUP(C59,gacha_100_base!A:K,11,FALSE)</f>
        <v>806</v>
      </c>
      <c r="N59" s="26">
        <v>0</v>
      </c>
      <c r="O59" s="26">
        <v>0</v>
      </c>
      <c r="P59" s="26">
        <v>0</v>
      </c>
      <c r="Q59" s="26">
        <v>0</v>
      </c>
      <c r="R59" s="26">
        <v>1</v>
      </c>
    </row>
    <row r="60" spans="1:18" ht="21" customHeight="1">
      <c r="A60" s="7" t="str">
        <f t="shared" si="3"/>
        <v>1001551</v>
      </c>
      <c r="B60" s="2">
        <v>100</v>
      </c>
      <c r="C60" s="9" t="str">
        <f t="shared" ca="1" si="4"/>
        <v>PremiumW4</v>
      </c>
      <c r="D60" s="9" t="str">
        <f t="shared" si="5"/>
        <v/>
      </c>
      <c r="E60" s="6">
        <v>155</v>
      </c>
      <c r="F60" s="9" t="str">
        <f ca="1">VLOOKUP($E60,OFFSET([1]characters!$A$2,0,0,COUNTA([1]characters!$A:$A),MATCH(F$1,[1]characters!$2:$2,0)-MATCH($E$1,[1]characters!$2:$2,0)+1),MATCH(F$1,[1]characters!$2:$2,0)-MATCH($E$1,[1]characters!$2:$2,0)+1,FALSE)</f>
        <v>隻眼の掃除屋 ハンナ</v>
      </c>
      <c r="G60" s="9" t="str">
        <f ca="1">VLOOKUP($E60,OFFSET([1]characters!$A$2,0,0,COUNTA([1]characters!$A:$A),MATCH(G$1,[1]characters!$2:$2,0)-MATCH($E$1,[1]characters!$2:$2,0)+1),MATCH(G$1,[1]characters!$2:$2,0)-MATCH($E$1,[1]characters!$2:$2,0)+1,FALSE)</f>
        <v>PremiumW</v>
      </c>
      <c r="H60" s="9">
        <f ca="1">VLOOKUP($E60,OFFSET([1]characters!$A$2,0,0,COUNTA([1]characters!$A:$A),MATCH(H$1,[1]characters!$2:$2,0)-MATCH($E$1,[1]characters!$2:$2,0)+1),MATCH(H$1,[1]characters!$2:$2,0)-MATCH($E$1,[1]characters!$2:$2,0)+1,FALSE)</f>
        <v>4</v>
      </c>
      <c r="I60" s="9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9" t="str">
        <f ca="1">VLOOKUP($E60,OFFSET([1]characters!$A$2,0,0,COUNTA([1]characters!$A:$A),MATCH("タイプ",[1]characters!$1:$1,0)-MATCH($E$1,[1]characters!$2:$2,0)+2),MATCH("タイプ",[1]characters!$1:$1,0)-MATCH($E$1,[1]characters!$2:$2,0)+2,FALSE)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0" s="9" t="str">
        <f ca="1">VLOOKUP($E60,OFFSET([1]characters!$A$2,0,0,COUNTA([1]characters!$A:$A),MATCH($K$1,[1]characters!$1:$1,0)-MATCH($E$1,[1]characters!$2:$2,0)+2),MATCH($K$1,[1]characters!$1:$1,0)-MATCH($E$1,[1]characters!$2:$2,0)+2,FALSE)</f>
        <v>ヒューマン</v>
      </c>
      <c r="L60" s="5">
        <v>1</v>
      </c>
      <c r="M60" s="35">
        <f ca="1">VLOOKUP(C60,gacha_100_base!A:K,11,FALSE)</f>
        <v>806</v>
      </c>
      <c r="N60" s="26">
        <v>0</v>
      </c>
      <c r="O60" s="26">
        <v>0</v>
      </c>
      <c r="P60" s="26">
        <v>0</v>
      </c>
      <c r="Q60" s="26">
        <v>0</v>
      </c>
      <c r="R60" s="26">
        <v>1</v>
      </c>
    </row>
    <row r="61" spans="1:18" ht="21" customHeight="1">
      <c r="A61" s="7" t="str">
        <f t="shared" si="3"/>
        <v>1001571</v>
      </c>
      <c r="B61" s="2">
        <v>100</v>
      </c>
      <c r="C61" s="9" t="str">
        <f t="shared" ca="1" si="4"/>
        <v>PremiumW4</v>
      </c>
      <c r="D61" s="9" t="str">
        <f t="shared" si="5"/>
        <v/>
      </c>
      <c r="E61" s="6">
        <v>157</v>
      </c>
      <c r="F61" s="9" t="str">
        <f ca="1">VLOOKUP($E61,OFFSET([1]characters!$A$2,0,0,COUNTA([1]characters!$A:$A),MATCH(F$1,[1]characters!$2:$2,0)-MATCH($E$1,[1]characters!$2:$2,0)+1),MATCH(F$1,[1]characters!$2:$2,0)-MATCH($E$1,[1]characters!$2:$2,0)+1,FALSE)</f>
        <v>雷光舞姫 エレナ</v>
      </c>
      <c r="G61" s="9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9">
        <f ca="1">VLOOKUP($E61,OFFSET([1]characters!$A$2,0,0,COUNTA([1]characters!$A:$A),MATCH(H$1,[1]characters!$2:$2,0)-MATCH($E$1,[1]characters!$2:$2,0)+1),MATCH(H$1,[1]characters!$2:$2,0)-MATCH($E$1,[1]characters!$2:$2,0)+1,FALSE)</f>
        <v>4</v>
      </c>
      <c r="I61" s="9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9" t="str">
        <f ca="1">VLOOKUP($E61,OFFSET([1]characters!$A$2,0,0,COUNTA([1]characters!$A:$A),MATCH("タイプ",[1]characters!$1:$1,0)-MATCH($E$1,[1]characters!$2:$2,0)+2),MATCH("タイプ",[1]characters!$1:$1,0)-MATCH($E$1,[1]characters!$2:$2,0)+2,FALSE)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1" s="9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5">
        <v>1</v>
      </c>
      <c r="M61" s="35">
        <f ca="1">VLOOKUP(C61,gacha_100_base!A:K,11,FALSE)</f>
        <v>806</v>
      </c>
      <c r="N61" s="26">
        <v>0</v>
      </c>
      <c r="O61" s="26">
        <v>0</v>
      </c>
      <c r="P61" s="26">
        <v>0</v>
      </c>
      <c r="Q61" s="26">
        <v>0</v>
      </c>
      <c r="R61" s="26">
        <v>1</v>
      </c>
    </row>
    <row r="62" spans="1:18" ht="21" customHeight="1">
      <c r="A62" s="7" t="str">
        <f t="shared" si="3"/>
        <v>1001591</v>
      </c>
      <c r="B62" s="2">
        <v>100</v>
      </c>
      <c r="C62" s="9" t="str">
        <f t="shared" ca="1" si="4"/>
        <v>PremiumW4</v>
      </c>
      <c r="D62" s="9" t="str">
        <f t="shared" si="5"/>
        <v/>
      </c>
      <c r="E62" s="6">
        <v>159</v>
      </c>
      <c r="F62" s="9" t="str">
        <f ca="1">VLOOKUP($E62,OFFSET([1]characters!$A$2,0,0,COUNTA([1]characters!$A:$A),MATCH(F$1,[1]characters!$2:$2,0)-MATCH($E$1,[1]characters!$2:$2,0)+1),MATCH(F$1,[1]characters!$2:$2,0)-MATCH($E$1,[1]characters!$2:$2,0)+1,FALSE)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62" s="9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9">
        <f ca="1">VLOOKUP($E62,OFFSET([1]characters!$A$2,0,0,COUNTA([1]characters!$A:$A),MATCH(H$1,[1]characters!$2:$2,0)-MATCH($E$1,[1]characters!$2:$2,0)+1),MATCH(H$1,[1]characters!$2:$2,0)-MATCH($E$1,[1]characters!$2:$2,0)+1,FALSE)</f>
        <v>4</v>
      </c>
      <c r="I62" s="9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9" t="str">
        <f ca="1">VLOOKUP($E62,OFFSET([1]characters!$A$2,0,0,COUNTA([1]characters!$A:$A),MATCH("タイプ",[1]characters!$1:$1,0)-MATCH($E$1,[1]characters!$2:$2,0)+2),MATCH("タイプ",[1]characters!$1:$1,0)-MATCH($E$1,[1]characters!$2:$2,0)+2,FALSE)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2" s="9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5">
        <v>1</v>
      </c>
      <c r="M62" s="35">
        <f ca="1">VLOOKUP(C62,gacha_100_base!A:K,11,FALSE)</f>
        <v>806</v>
      </c>
      <c r="N62" s="26">
        <v>0</v>
      </c>
      <c r="O62" s="26">
        <v>0</v>
      </c>
      <c r="P62" s="26">
        <v>0</v>
      </c>
      <c r="Q62" s="26">
        <v>0</v>
      </c>
      <c r="R62" s="26">
        <v>1</v>
      </c>
    </row>
    <row r="63" spans="1:18" ht="21" customHeight="1">
      <c r="A63" s="7" t="str">
        <f t="shared" si="3"/>
        <v>1001611</v>
      </c>
      <c r="B63" s="2">
        <v>100</v>
      </c>
      <c r="C63" s="9" t="str">
        <f t="shared" ca="1" si="4"/>
        <v>PremiumW4</v>
      </c>
      <c r="D63" s="9" t="str">
        <f t="shared" si="5"/>
        <v/>
      </c>
      <c r="E63" s="6">
        <v>161</v>
      </c>
      <c r="F63" s="9" t="str">
        <f ca="1">VLOOKUP($E63,OFFSET([1]characters!$A$2,0,0,COUNTA([1]characters!$A:$A),MATCH(F$1,[1]characters!$2:$2,0)-MATCH($E$1,[1]characters!$2:$2,0)+1),MATCH(F$1,[1]characters!$2:$2,0)-MATCH($E$1,[1]characters!$2:$2,0)+1,FALSE)</f>
        <v>咆哮の先導者 クリエ</v>
      </c>
      <c r="G63" s="9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9">
        <f ca="1">VLOOKUP($E63,OFFSET([1]characters!$A$2,0,0,COUNTA([1]characters!$A:$A),MATCH(H$1,[1]characters!$2:$2,0)-MATCH($E$1,[1]characters!$2:$2,0)+1),MATCH(H$1,[1]characters!$2:$2,0)-MATCH($E$1,[1]characters!$2:$2,0)+1,FALSE)</f>
        <v>4</v>
      </c>
      <c r="I63" s="9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9" t="str">
        <f ca="1">VLOOKUP($E63,OFFSET([1]characters!$A$2,0,0,COUNTA([1]characters!$A:$A),MATCH("タイプ",[1]characters!$1:$1,0)-MATCH($E$1,[1]characters!$2:$2,0)+2),MATCH("タイプ",[1]characters!$1:$1,0)-MATCH($E$1,[1]characters!$2:$2,0)+2,FALSE)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3" s="9" t="str">
        <f ca="1">VLOOKUP($E63,OFFSET([1]characters!$A$2,0,0,COUNTA([1]characters!$A:$A),MATCH($K$1,[1]characters!$1:$1,0)-MATCH($E$1,[1]characters!$2:$2,0)+2),MATCH($K$1,[1]characters!$1:$1,0)-MATCH($E$1,[1]characters!$2:$2,0)+2,FALSE)</f>
        <v>ヒューマン</v>
      </c>
      <c r="L63" s="5">
        <v>1</v>
      </c>
      <c r="M63" s="35">
        <f ca="1">VLOOKUP(C63,gacha_100_base!A:K,11,FALSE)</f>
        <v>806</v>
      </c>
      <c r="N63" s="26">
        <v>0</v>
      </c>
      <c r="O63" s="26">
        <v>0</v>
      </c>
      <c r="P63" s="26">
        <v>0</v>
      </c>
      <c r="Q63" s="26">
        <v>0</v>
      </c>
      <c r="R63" s="26">
        <v>1</v>
      </c>
    </row>
    <row r="64" spans="1:18" ht="21" customHeight="1">
      <c r="A64" s="7" t="str">
        <f t="shared" si="3"/>
        <v>1001631</v>
      </c>
      <c r="B64" s="2">
        <v>100</v>
      </c>
      <c r="C64" s="9" t="str">
        <f t="shared" ca="1" si="4"/>
        <v>PremiumW4</v>
      </c>
      <c r="D64" s="9" t="str">
        <f t="shared" si="5"/>
        <v/>
      </c>
      <c r="E64" s="6">
        <v>163</v>
      </c>
      <c r="F64" s="9" t="str">
        <f ca="1">VLOOKUP($E64,OFFSET([1]characters!$A$2,0,0,COUNTA([1]characters!$A:$A),MATCH(F$1,[1]characters!$2:$2,0)-MATCH($E$1,[1]characters!$2:$2,0)+1),MATCH(F$1,[1]characters!$2:$2,0)-MATCH($E$1,[1]characters!$2:$2,0)+1,FALSE)</f>
        <v>冷酷な狂嬢 クララ</v>
      </c>
      <c r="G64" s="9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9">
        <f ca="1">VLOOKUP($E64,OFFSET([1]characters!$A$2,0,0,COUNTA([1]characters!$A:$A),MATCH(H$1,[1]characters!$2:$2,0)-MATCH($E$1,[1]characters!$2:$2,0)+1),MATCH(H$1,[1]characters!$2:$2,0)-MATCH($E$1,[1]characters!$2:$2,0)+1,FALSE)</f>
        <v>4</v>
      </c>
      <c r="I64" s="9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9" t="str">
        <f ca="1">VLOOKUP($E64,OFFSET([1]characters!$A$2,0,0,COUNTA([1]characters!$A:$A),MATCH("タイプ",[1]characters!$1:$1,0)-MATCH($E$1,[1]characters!$2:$2,0)+2),MATCH("タイプ",[1]characters!$1:$1,0)-MATCH($E$1,[1]characters!$2:$2,0)+2,FALSE)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4" s="9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5">
        <v>1</v>
      </c>
      <c r="M64" s="35">
        <f ca="1">VLOOKUP(C64,gacha_100_base!A:K,11,FALSE)</f>
        <v>806</v>
      </c>
      <c r="N64" s="26">
        <v>0</v>
      </c>
      <c r="O64" s="26">
        <v>0</v>
      </c>
      <c r="P64" s="26">
        <v>0</v>
      </c>
      <c r="Q64" s="26">
        <v>0</v>
      </c>
      <c r="R64" s="26">
        <v>1</v>
      </c>
    </row>
    <row r="65" spans="1:18" ht="21" customHeight="1">
      <c r="A65" s="7" t="str">
        <f t="shared" si="3"/>
        <v>1001651</v>
      </c>
      <c r="B65" s="2">
        <v>100</v>
      </c>
      <c r="C65" s="9" t="str">
        <f t="shared" ca="1" si="4"/>
        <v>PremiumW4</v>
      </c>
      <c r="D65" s="9" t="str">
        <f t="shared" si="5"/>
        <v/>
      </c>
      <c r="E65" s="6">
        <v>165</v>
      </c>
      <c r="F65" s="9" t="str">
        <f ca="1">VLOOKUP($E65,OFFSET([1]characters!$A$2,0,0,COUNTA([1]characters!$A:$A),MATCH(F$1,[1]characters!$2:$2,0)-MATCH($E$1,[1]characters!$2:$2,0)+1),MATCH(F$1,[1]characters!$2:$2,0)-MATCH($E$1,[1]characters!$2:$2,0)+1,FALSE)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65" s="9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9">
        <f ca="1">VLOOKUP($E65,OFFSET([1]characters!$A$2,0,0,COUNTA([1]characters!$A:$A),MATCH(H$1,[1]characters!$2:$2,0)-MATCH($E$1,[1]characters!$2:$2,0)+1),MATCH(H$1,[1]characters!$2:$2,0)-MATCH($E$1,[1]characters!$2:$2,0)+1,FALSE)</f>
        <v>4</v>
      </c>
      <c r="I65" s="9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9" t="str">
        <f ca="1">VLOOKUP($E65,OFFSET([1]characters!$A$2,0,0,COUNTA([1]characters!$A:$A),MATCH("タイプ",[1]characters!$1:$1,0)-MATCH($E$1,[1]characters!$2:$2,0)+2),MATCH("タイプ",[1]characters!$1:$1,0)-MATCH($E$1,[1]characters!$2:$2,0)+2,FALSE)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5" s="9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5">
        <v>1</v>
      </c>
      <c r="M65" s="35">
        <f ca="1">VLOOKUP(C65,gacha_100_base!A:K,11,FALSE)</f>
        <v>806</v>
      </c>
      <c r="N65" s="26">
        <v>0</v>
      </c>
      <c r="O65" s="26">
        <v>0</v>
      </c>
      <c r="P65" s="26">
        <v>0</v>
      </c>
      <c r="Q65" s="26">
        <v>0</v>
      </c>
      <c r="R65" s="26">
        <v>1</v>
      </c>
    </row>
    <row r="66" spans="1:18" ht="21" customHeight="1">
      <c r="A66" s="7" t="str">
        <f t="shared" si="3"/>
        <v>1001671</v>
      </c>
      <c r="B66" s="2">
        <v>100</v>
      </c>
      <c r="C66" s="9" t="str">
        <f t="shared" ca="1" si="4"/>
        <v>PremiumN4</v>
      </c>
      <c r="D66" s="9" t="str">
        <f t="shared" si="5"/>
        <v/>
      </c>
      <c r="E66" s="6">
        <v>167</v>
      </c>
      <c r="F66" s="9" t="str">
        <f ca="1">VLOOKUP($E66,OFFSET([1]characters!$A$2,0,0,COUNTA([1]characters!$A:$A),MATCH(F$1,[1]characters!$2:$2,0)-MATCH($E$1,[1]characters!$2:$2,0)+1),MATCH(F$1,[1]characters!$2:$2,0)-MATCH($E$1,[1]characters!$2:$2,0)+1,FALSE)</f>
        <v>逆徒 ベリアル</v>
      </c>
      <c r="G66" s="9" t="str">
        <f ca="1">VLOOKUP($E66,OFFSET([1]characters!$A$2,0,0,COUNTA([1]characters!$A:$A),MATCH(G$1,[1]characters!$2:$2,0)-MATCH($E$1,[1]characters!$2:$2,0)+1),MATCH(G$1,[1]characters!$2:$2,0)-MATCH($E$1,[1]characters!$2:$2,0)+1,FALSE)</f>
        <v>PremiumN</v>
      </c>
      <c r="H66" s="9">
        <f ca="1">VLOOKUP($E66,OFFSET([1]characters!$A$2,0,0,COUNTA([1]characters!$A:$A),MATCH(H$1,[1]characters!$2:$2,0)-MATCH($E$1,[1]characters!$2:$2,0)+1),MATCH(H$1,[1]characters!$2:$2,0)-MATCH($E$1,[1]characters!$2:$2,0)+1,FALSE)</f>
        <v>4</v>
      </c>
      <c r="I66" s="9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9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9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5">
        <v>1</v>
      </c>
      <c r="M66" s="35">
        <f ca="1">VLOOKUP(C66,gacha_100_base!A:K,11,FALSE)</f>
        <v>715</v>
      </c>
      <c r="N66" s="26">
        <v>0</v>
      </c>
      <c r="O66" s="26">
        <v>0</v>
      </c>
      <c r="P66" s="26">
        <v>0</v>
      </c>
      <c r="Q66" s="26">
        <v>0</v>
      </c>
      <c r="R66" s="26">
        <v>1</v>
      </c>
    </row>
    <row r="67" spans="1:18" ht="21" customHeight="1">
      <c r="A67" s="7" t="str">
        <f t="shared" si="3"/>
        <v>1001701</v>
      </c>
      <c r="B67" s="2">
        <v>100</v>
      </c>
      <c r="C67" s="9" t="str">
        <f t="shared" ca="1" si="4"/>
        <v>PremiumN4</v>
      </c>
      <c r="D67" s="9" t="str">
        <f t="shared" si="5"/>
        <v/>
      </c>
      <c r="E67" s="6">
        <v>170</v>
      </c>
      <c r="F67" s="9" t="str">
        <f ca="1">VLOOKUP($E67,OFFSET([1]characters!$A$2,0,0,COUNTA([1]characters!$A:$A),MATCH(F$1,[1]characters!$2:$2,0)-MATCH($E$1,[1]characters!$2:$2,0)+1),MATCH(F$1,[1]characters!$2:$2,0)-MATCH($E$1,[1]characters!$2:$2,0)+1,FALSE)</f>
        <v>識徒 オセ</v>
      </c>
      <c r="G67" s="9" t="str">
        <f ca="1">VLOOKUP($E67,OFFSET([1]characters!$A$2,0,0,COUNTA([1]characters!$A:$A),MATCH(G$1,[1]characters!$2:$2,0)-MATCH($E$1,[1]characters!$2:$2,0)+1),MATCH(G$1,[1]characters!$2:$2,0)-MATCH($E$1,[1]characters!$2:$2,0)+1,FALSE)</f>
        <v>PremiumN</v>
      </c>
      <c r="H67" s="9">
        <f ca="1">VLOOKUP($E67,OFFSET([1]characters!$A$2,0,0,COUNTA([1]characters!$A:$A),MATCH(H$1,[1]characters!$2:$2,0)-MATCH($E$1,[1]characters!$2:$2,0)+1),MATCH(H$1,[1]characters!$2:$2,0)-MATCH($E$1,[1]characters!$2:$2,0)+1,FALSE)</f>
        <v>4</v>
      </c>
      <c r="I67" s="9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9" t="str">
        <f ca="1">VLOOKUP($E67,OFFSET([1]characters!$A$2,0,0,COUNTA([1]characters!$A:$A),MATCH("タイプ",[1]characters!$1:$1,0)-MATCH($E$1,[1]characters!$2:$2,0)+2),MATCH("タイプ",[1]characters!$1:$1,0)-MATCH($E$1,[1]characters!$2:$2,0)+2,FALSE)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7" s="9" t="str">
        <f ca="1">VLOOKUP($E67,OFFSET([1]characters!$A$2,0,0,COUNTA([1]characters!$A:$A),MATCH($K$1,[1]characters!$1:$1,0)-MATCH($E$1,[1]characters!$2:$2,0)+2),MATCH($K$1,[1]characters!$1:$1,0)-MATCH($E$1,[1]characters!$2:$2,0)+2,FALSE)</f>
        <v>ゴッド</v>
      </c>
      <c r="L67" s="5">
        <v>1</v>
      </c>
      <c r="M67" s="35">
        <f ca="1">VLOOKUP(C67,gacha_100_base!A:K,11,FALSE)</f>
        <v>715</v>
      </c>
      <c r="N67" s="26">
        <v>0</v>
      </c>
      <c r="O67" s="26">
        <v>0</v>
      </c>
      <c r="P67" s="26">
        <v>0</v>
      </c>
      <c r="Q67" s="26">
        <v>0</v>
      </c>
      <c r="R67" s="26">
        <v>1</v>
      </c>
    </row>
    <row r="68" spans="1:18" ht="21" customHeight="1">
      <c r="A68" s="7" t="str">
        <f t="shared" si="3"/>
        <v>1001731</v>
      </c>
      <c r="B68" s="2">
        <v>100</v>
      </c>
      <c r="C68" s="9" t="str">
        <f t="shared" ca="1" si="4"/>
        <v>PremiumN4</v>
      </c>
      <c r="D68" s="9" t="str">
        <f t="shared" si="5"/>
        <v/>
      </c>
      <c r="E68" s="6">
        <v>173</v>
      </c>
      <c r="F68" s="9" t="str">
        <f ca="1">VLOOKUP($E68,OFFSET([1]characters!$A$2,0,0,COUNTA([1]characters!$A:$A),MATCH(F$1,[1]characters!$2:$2,0)-MATCH($E$1,[1]characters!$2:$2,0)+1),MATCH(F$1,[1]characters!$2:$2,0)-MATCH($E$1,[1]characters!$2:$2,0)+1,FALSE)</f>
        <v>公爵 フォルネウス</v>
      </c>
      <c r="G68" s="9" t="str">
        <f ca="1">VLOOKUP($E68,OFFSET([1]characters!$A$2,0,0,COUNTA([1]characters!$A:$A),MATCH(G$1,[1]characters!$2:$2,0)-MATCH($E$1,[1]characters!$2:$2,0)+1),MATCH(G$1,[1]characters!$2:$2,0)-MATCH($E$1,[1]characters!$2:$2,0)+1,FALSE)</f>
        <v>PremiumN</v>
      </c>
      <c r="H68" s="9">
        <f ca="1">VLOOKUP($E68,OFFSET([1]characters!$A$2,0,0,COUNTA([1]characters!$A:$A),MATCH(H$1,[1]characters!$2:$2,0)-MATCH($E$1,[1]characters!$2:$2,0)+1),MATCH(H$1,[1]characters!$2:$2,0)-MATCH($E$1,[1]characters!$2:$2,0)+1,FALSE)</f>
        <v>4</v>
      </c>
      <c r="I68" s="9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9" t="str">
        <f ca="1">VLOOKUP($E68,OFFSET([1]characters!$A$2,0,0,COUNTA([1]characters!$A:$A),MATCH("タイプ",[1]characters!$1:$1,0)-MATCH($E$1,[1]characters!$2:$2,0)+2),MATCH("タイプ",[1]characters!$1:$1,0)-MATCH($E$1,[1]characters!$2:$2,0)+2,FALSE)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8" s="9" t="str">
        <f ca="1">VLOOKUP($E68,OFFSET([1]characters!$A$2,0,0,COUNTA([1]characters!$A:$A),MATCH($K$1,[1]characters!$1:$1,0)-MATCH($E$1,[1]characters!$2:$2,0)+2),MATCH($K$1,[1]characters!$1:$1,0)-MATCH($E$1,[1]characters!$2:$2,0)+2,FALSE)</f>
        <v>ゴッド</v>
      </c>
      <c r="L68" s="5">
        <v>1</v>
      </c>
      <c r="M68" s="35">
        <f ca="1">VLOOKUP(C68,gacha_100_base!A:K,11,FALSE)</f>
        <v>715</v>
      </c>
      <c r="N68" s="26">
        <v>0</v>
      </c>
      <c r="O68" s="26">
        <v>0</v>
      </c>
      <c r="P68" s="26">
        <v>0</v>
      </c>
      <c r="Q68" s="26">
        <v>0</v>
      </c>
      <c r="R68" s="26">
        <v>1</v>
      </c>
    </row>
    <row r="69" spans="1:18" ht="21" customHeight="1">
      <c r="A69" s="7" t="str">
        <f t="shared" si="3"/>
        <v>1001761</v>
      </c>
      <c r="B69" s="2">
        <v>100</v>
      </c>
      <c r="C69" s="9" t="str">
        <f t="shared" ca="1" si="4"/>
        <v>PremiumN4</v>
      </c>
      <c r="D69" s="9" t="str">
        <f t="shared" si="5"/>
        <v/>
      </c>
      <c r="E69" s="6">
        <v>176</v>
      </c>
      <c r="F69" s="9" t="str">
        <f ca="1">VLOOKUP($E69,OFFSET([1]characters!$A$2,0,0,COUNTA([1]characters!$A:$A),MATCH(F$1,[1]characters!$2:$2,0)-MATCH($E$1,[1]characters!$2:$2,0)+1),MATCH(F$1,[1]characters!$2:$2,0)-MATCH($E$1,[1]characters!$2:$2,0)+1,FALSE)</f>
        <v>異教徒 バフォメット</v>
      </c>
      <c r="G69" s="9" t="str">
        <f ca="1">VLOOKUP($E69,OFFSET([1]characters!$A$2,0,0,COUNTA([1]characters!$A:$A),MATCH(G$1,[1]characters!$2:$2,0)-MATCH($E$1,[1]characters!$2:$2,0)+1),MATCH(G$1,[1]characters!$2:$2,0)-MATCH($E$1,[1]characters!$2:$2,0)+1,FALSE)</f>
        <v>PremiumN</v>
      </c>
      <c r="H69" s="9">
        <f ca="1">VLOOKUP($E69,OFFSET([1]characters!$A$2,0,0,COUNTA([1]characters!$A:$A),MATCH(H$1,[1]characters!$2:$2,0)-MATCH($E$1,[1]characters!$2:$2,0)+1),MATCH(H$1,[1]characters!$2:$2,0)-MATCH($E$1,[1]characters!$2:$2,0)+1,FALSE)</f>
        <v>4</v>
      </c>
      <c r="I69" s="9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9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9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5">
        <v>1</v>
      </c>
      <c r="M69" s="35">
        <f ca="1">VLOOKUP(C69,gacha_100_base!A:K,11,FALSE)</f>
        <v>715</v>
      </c>
      <c r="N69" s="26">
        <v>0</v>
      </c>
      <c r="O69" s="26">
        <v>0</v>
      </c>
      <c r="P69" s="26">
        <v>0</v>
      </c>
      <c r="Q69" s="26">
        <v>0</v>
      </c>
      <c r="R69" s="26">
        <v>1</v>
      </c>
    </row>
    <row r="70" spans="1:18" ht="21" customHeight="1">
      <c r="A70" s="7" t="str">
        <f t="shared" si="3"/>
        <v>1001791</v>
      </c>
      <c r="B70" s="2">
        <v>100</v>
      </c>
      <c r="C70" s="9" t="str">
        <f t="shared" ca="1" si="4"/>
        <v>PremiumN4</v>
      </c>
      <c r="D70" s="9" t="str">
        <f t="shared" si="5"/>
        <v/>
      </c>
      <c r="E70" s="6">
        <v>179</v>
      </c>
      <c r="F70" s="9" t="str">
        <f ca="1">VLOOKUP($E70,OFFSET([1]characters!$A$2,0,0,COUNTA([1]characters!$A:$A),MATCH(F$1,[1]characters!$2:$2,0)-MATCH($E$1,[1]characters!$2:$2,0)+1),MATCH(F$1,[1]characters!$2:$2,0)-MATCH($E$1,[1]characters!$2:$2,0)+1,FALSE)</f>
        <v>番犬 ケルベロス</v>
      </c>
      <c r="G70" s="9" t="str">
        <f ca="1">VLOOKUP($E70,OFFSET([1]characters!$A$2,0,0,COUNTA([1]characters!$A:$A),MATCH(G$1,[1]characters!$2:$2,0)-MATCH($E$1,[1]characters!$2:$2,0)+1),MATCH(G$1,[1]characters!$2:$2,0)-MATCH($E$1,[1]characters!$2:$2,0)+1,FALSE)</f>
        <v>PremiumN</v>
      </c>
      <c r="H70" s="9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9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9" t="str">
        <f ca="1">VLOOKUP($E70,OFFSET([1]characters!$A$2,0,0,COUNTA([1]characters!$A:$A),MATCH("タイプ",[1]characters!$1:$1,0)-MATCH($E$1,[1]characters!$2:$2,0)+2),MATCH("タイプ",[1]characters!$1:$1,0)-MATCH($E$1,[1]characters!$2:$2,0)+2,FALSE)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0" s="9" t="str">
        <f ca="1">VLOOKUP($E70,OFFSET([1]characters!$A$2,0,0,COUNTA([1]characters!$A:$A),MATCH($K$1,[1]characters!$1:$1,0)-MATCH($E$1,[1]characters!$2:$2,0)+2),MATCH($K$1,[1]characters!$1:$1,0)-MATCH($E$1,[1]characters!$2:$2,0)+2,FALSE)</f>
        <v>アニマル</v>
      </c>
      <c r="L70" s="5">
        <v>1</v>
      </c>
      <c r="M70" s="35">
        <f ca="1">VLOOKUP(C70,gacha_100_base!A:K,11,FALSE)</f>
        <v>715</v>
      </c>
      <c r="N70" s="26">
        <v>0</v>
      </c>
      <c r="O70" s="26">
        <v>0</v>
      </c>
      <c r="P70" s="26">
        <v>0</v>
      </c>
      <c r="Q70" s="26">
        <v>0</v>
      </c>
      <c r="R70" s="26">
        <v>1</v>
      </c>
    </row>
    <row r="71" spans="1:18" ht="21" customHeight="1">
      <c r="A71" s="7" t="str">
        <f t="shared" si="3"/>
        <v>1001821</v>
      </c>
      <c r="B71" s="2">
        <v>100</v>
      </c>
      <c r="C71" s="9" t="str">
        <f t="shared" ca="1" si="4"/>
        <v>PremiumN4</v>
      </c>
      <c r="D71" s="9" t="str">
        <f t="shared" si="5"/>
        <v/>
      </c>
      <c r="E71" s="6">
        <v>182</v>
      </c>
      <c r="F71" s="9" t="str">
        <f ca="1">VLOOKUP($E71,OFFSET([1]characters!$A$2,0,0,COUNTA([1]characters!$A:$A),MATCH(F$1,[1]characters!$2:$2,0)-MATCH($E$1,[1]characters!$2:$2,0)+1),MATCH(F$1,[1]characters!$2:$2,0)-MATCH($E$1,[1]characters!$2:$2,0)+1,FALSE)</f>
        <v>放蕩者 ベヒモス</v>
      </c>
      <c r="G71" s="9" t="str">
        <f ca="1">VLOOKUP($E71,OFFSET([1]characters!$A$2,0,0,COUNTA([1]characters!$A:$A),MATCH(G$1,[1]characters!$2:$2,0)-MATCH($E$1,[1]characters!$2:$2,0)+1),MATCH(G$1,[1]characters!$2:$2,0)-MATCH($E$1,[1]characters!$2:$2,0)+1,FALSE)</f>
        <v>PremiumN</v>
      </c>
      <c r="H71" s="9">
        <f ca="1">VLOOKUP($E71,OFFSET([1]characters!$A$2,0,0,COUNTA([1]characters!$A:$A),MATCH(H$1,[1]characters!$2:$2,0)-MATCH($E$1,[1]characters!$2:$2,0)+1),MATCH(H$1,[1]characters!$2:$2,0)-MATCH($E$1,[1]characters!$2:$2,0)+1,FALSE)</f>
        <v>4</v>
      </c>
      <c r="I71" s="9" t="str">
        <f ca="1">VLOOKUP($E71,OFFSET([1]characters!$A$2,0,0,COUNTA([1]characters!$A:$A),MATCH(I$1,[1]characters!$2:$2,0)-MATCH($E$1,[1]characters!$2:$2,0)+1),MATCH(I$1,[1]characters!$2:$2,0)-MATCH($E$1,[1]characters!$2:$2,0)+1,FALSE)</f>
        <v>green</v>
      </c>
      <c r="J71" s="9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9" t="str">
        <f ca="1">VLOOKUP($E71,OFFSET([1]characters!$A$2,0,0,COUNTA([1]characters!$A:$A),MATCH($K$1,[1]characters!$1:$1,0)-MATCH($E$1,[1]characters!$2:$2,0)+2),MATCH($K$1,[1]characters!$1:$1,0)-MATCH($E$1,[1]characters!$2:$2,0)+2,FALSE)</f>
        <v>アニマル</v>
      </c>
      <c r="L71" s="5">
        <v>1</v>
      </c>
      <c r="M71" s="35">
        <f ca="1">VLOOKUP(C71,gacha_100_base!A:K,11,FALSE)</f>
        <v>715</v>
      </c>
      <c r="N71" s="26">
        <v>0</v>
      </c>
      <c r="O71" s="26">
        <v>0</v>
      </c>
      <c r="P71" s="26">
        <v>0</v>
      </c>
      <c r="Q71" s="26">
        <v>0</v>
      </c>
      <c r="R71" s="26">
        <v>1</v>
      </c>
    </row>
    <row r="72" spans="1:18" ht="21" customHeight="1">
      <c r="A72" s="7" t="str">
        <f t="shared" si="3"/>
        <v>1001851</v>
      </c>
      <c r="B72" s="2">
        <v>100</v>
      </c>
      <c r="C72" s="9" t="str">
        <f t="shared" ca="1" si="4"/>
        <v>PremiumN4</v>
      </c>
      <c r="D72" s="9" t="str">
        <f t="shared" si="5"/>
        <v/>
      </c>
      <c r="E72" s="6">
        <v>185</v>
      </c>
      <c r="F72" s="9" t="str">
        <f ca="1">VLOOKUP($E72,OFFSET([1]characters!$A$2,0,0,COUNTA([1]characters!$A:$A),MATCH(F$1,[1]characters!$2:$2,0)-MATCH($E$1,[1]characters!$2:$2,0)+1),MATCH(F$1,[1]characters!$2:$2,0)-MATCH($E$1,[1]characters!$2:$2,0)+1,FALSE)</f>
        <v>海姫 クラーケン</v>
      </c>
      <c r="G72" s="9" t="str">
        <f ca="1">VLOOKUP($E72,OFFSET([1]characters!$A$2,0,0,COUNTA([1]characters!$A:$A),MATCH(G$1,[1]characters!$2:$2,0)-MATCH($E$1,[1]characters!$2:$2,0)+1),MATCH(G$1,[1]characters!$2:$2,0)-MATCH($E$1,[1]characters!$2:$2,0)+1,FALSE)</f>
        <v>PremiumN</v>
      </c>
      <c r="H72" s="9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9" t="str">
        <f ca="1">VLOOKUP($E72,OFFSET([1]characters!$A$2,0,0,COUNTA([1]characters!$A:$A),MATCH(I$1,[1]characters!$2:$2,0)-MATCH($E$1,[1]characters!$2:$2,0)+1),MATCH(I$1,[1]characters!$2:$2,0)-MATCH($E$1,[1]characters!$2:$2,0)+1,FALSE)</f>
        <v>blue</v>
      </c>
      <c r="J72" s="9" t="str">
        <f ca="1">VLOOKUP($E72,OFFSET([1]characters!$A$2,0,0,COUNTA([1]characters!$A:$A),MATCH("タイプ",[1]characters!$1:$1,0)-MATCH($E$1,[1]characters!$2:$2,0)+2),MATCH("タイプ",[1]characters!$1:$1,0)-MATCH($E$1,[1]characters!$2:$2,0)+2,FALSE)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2" s="9" t="str">
        <f ca="1">VLOOKUP($E72,OFFSET([1]characters!$A$2,0,0,COUNTA([1]characters!$A:$A),MATCH($K$1,[1]characters!$1:$1,0)-MATCH($E$1,[1]characters!$2:$2,0)+2),MATCH($K$1,[1]characters!$1:$1,0)-MATCH($E$1,[1]characters!$2:$2,0)+2,FALSE)</f>
        <v>アニマル</v>
      </c>
      <c r="L72" s="5">
        <v>1</v>
      </c>
      <c r="M72" s="35">
        <f ca="1">VLOOKUP(C72,gacha_100_base!A:K,11,FALSE)</f>
        <v>715</v>
      </c>
      <c r="N72" s="26">
        <v>0</v>
      </c>
      <c r="O72" s="26">
        <v>0</v>
      </c>
      <c r="P72" s="26">
        <v>0</v>
      </c>
      <c r="Q72" s="26">
        <v>0</v>
      </c>
      <c r="R72" s="26">
        <v>1</v>
      </c>
    </row>
    <row r="73" spans="1:18" ht="21" customHeight="1">
      <c r="A73" s="7" t="str">
        <f t="shared" si="3"/>
        <v>1001881</v>
      </c>
      <c r="B73" s="2">
        <v>100</v>
      </c>
      <c r="C73" s="9" t="str">
        <f t="shared" ca="1" si="4"/>
        <v>PremiumN4</v>
      </c>
      <c r="D73" s="9" t="str">
        <f t="shared" si="5"/>
        <v/>
      </c>
      <c r="E73" s="6">
        <v>188</v>
      </c>
      <c r="F73" s="9" t="str">
        <f ca="1">VLOOKUP($E73,OFFSET([1]characters!$A$2,0,0,COUNTA([1]characters!$A:$A),MATCH(F$1,[1]characters!$2:$2,0)-MATCH($E$1,[1]characters!$2:$2,0)+1),MATCH(F$1,[1]characters!$2:$2,0)-MATCH($E$1,[1]characters!$2:$2,0)+1,FALSE)</f>
        <v>猛禽 ホルス</v>
      </c>
      <c r="G73" s="9" t="str">
        <f ca="1">VLOOKUP($E73,OFFSET([1]characters!$A$2,0,0,COUNTA([1]characters!$A:$A),MATCH(G$1,[1]characters!$2:$2,0)-MATCH($E$1,[1]characters!$2:$2,0)+1),MATCH(G$1,[1]characters!$2:$2,0)-MATCH($E$1,[1]characters!$2:$2,0)+1,FALSE)</f>
        <v>PremiumN</v>
      </c>
      <c r="H73" s="9">
        <f ca="1">VLOOKUP($E73,OFFSET([1]characters!$A$2,0,0,COUNTA([1]characters!$A:$A),MATCH(H$1,[1]characters!$2:$2,0)-MATCH($E$1,[1]characters!$2:$2,0)+1),MATCH(H$1,[1]characters!$2:$2,0)-MATCH($E$1,[1]characters!$2:$2,0)+1,FALSE)</f>
        <v>4</v>
      </c>
      <c r="I73" s="9" t="str">
        <f ca="1">VLOOKUP($E73,OFFSET([1]characters!$A$2,0,0,COUNTA([1]characters!$A:$A),MATCH(I$1,[1]characters!$2:$2,0)-MATCH($E$1,[1]characters!$2:$2,0)+1),MATCH(I$1,[1]characters!$2:$2,0)-MATCH($E$1,[1]characters!$2:$2,0)+1,FALSE)</f>
        <v>yellow</v>
      </c>
      <c r="J73" s="9" t="str">
        <f ca="1">VLOOKUP($E73,OFFSET([1]characters!$A$2,0,0,COUNTA([1]characters!$A:$A),MATCH("タイプ",[1]characters!$1:$1,0)-MATCH($E$1,[1]characters!$2:$2,0)+2),MATCH("タイプ",[1]characters!$1:$1,0)-MATCH($E$1,[1]characters!$2:$2,0)+2,FALSE)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3" s="9" t="str">
        <f ca="1">VLOOKUP($E73,OFFSET([1]characters!$A$2,0,0,COUNTA([1]characters!$A:$A),MATCH($K$1,[1]characters!$1:$1,0)-MATCH($E$1,[1]characters!$2:$2,0)+2),MATCH($K$1,[1]characters!$1:$1,0)-MATCH($E$1,[1]characters!$2:$2,0)+2,FALSE)</f>
        <v>アニマル</v>
      </c>
      <c r="L73" s="5">
        <v>1</v>
      </c>
      <c r="M73" s="35">
        <f ca="1">VLOOKUP(C73,gacha_100_base!A:K,11,FALSE)</f>
        <v>715</v>
      </c>
      <c r="N73" s="26">
        <v>0</v>
      </c>
      <c r="O73" s="26">
        <v>0</v>
      </c>
      <c r="P73" s="26">
        <v>0</v>
      </c>
      <c r="Q73" s="26">
        <v>0</v>
      </c>
      <c r="R73" s="26">
        <v>1</v>
      </c>
    </row>
    <row r="74" spans="1:18" ht="21" customHeight="1">
      <c r="A74" s="7" t="str">
        <f t="shared" si="3"/>
        <v>1001911</v>
      </c>
      <c r="B74" s="2">
        <v>100</v>
      </c>
      <c r="C74" s="9" t="str">
        <f t="shared" ca="1" si="4"/>
        <v>PremiumN4</v>
      </c>
      <c r="D74" s="9" t="str">
        <f t="shared" si="5"/>
        <v/>
      </c>
      <c r="E74" s="6">
        <v>191</v>
      </c>
      <c r="F74" s="9" t="str">
        <f ca="1">VLOOKUP($E74,OFFSET([1]characters!$A$2,0,0,COUNTA([1]characters!$A:$A),MATCH(F$1,[1]characters!$2:$2,0)-MATCH($E$1,[1]characters!$2:$2,0)+1),MATCH(F$1,[1]characters!$2:$2,0)-MATCH($E$1,[1]characters!$2:$2,0)+1,FALSE)</f>
        <v>始祖 卑弥呼</v>
      </c>
      <c r="G74" s="9" t="str">
        <f ca="1">VLOOKUP($E74,OFFSET([1]characters!$A$2,0,0,COUNTA([1]characters!$A:$A),MATCH(G$1,[1]characters!$2:$2,0)-MATCH($E$1,[1]characters!$2:$2,0)+1),MATCH(G$1,[1]characters!$2:$2,0)-MATCH($E$1,[1]characters!$2:$2,0)+1,FALSE)</f>
        <v>PremiumN</v>
      </c>
      <c r="H74" s="9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9" t="str">
        <f ca="1">VLOOKUP($E74,OFFSET([1]characters!$A$2,0,0,COUNTA([1]characters!$A:$A),MATCH(I$1,[1]characters!$2:$2,0)-MATCH($E$1,[1]characters!$2:$2,0)+1),MATCH(I$1,[1]characters!$2:$2,0)-MATCH($E$1,[1]characters!$2:$2,0)+1,FALSE)</f>
        <v>red</v>
      </c>
      <c r="J74" s="9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9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5">
        <v>1</v>
      </c>
      <c r="M74" s="35">
        <f ca="1">VLOOKUP(C74,gacha_100_base!A:K,11,FALSE)</f>
        <v>715</v>
      </c>
      <c r="N74" s="26">
        <v>0</v>
      </c>
      <c r="O74" s="26">
        <v>0</v>
      </c>
      <c r="P74" s="26">
        <v>0</v>
      </c>
      <c r="Q74" s="26">
        <v>0</v>
      </c>
      <c r="R74" s="26">
        <v>1</v>
      </c>
    </row>
    <row r="75" spans="1:18" ht="21" customHeight="1">
      <c r="A75" s="7" t="str">
        <f t="shared" si="3"/>
        <v>1001941</v>
      </c>
      <c r="B75" s="2">
        <v>100</v>
      </c>
      <c r="C75" s="9" t="str">
        <f t="shared" ca="1" si="4"/>
        <v>PremiumN4</v>
      </c>
      <c r="D75" s="9" t="str">
        <f t="shared" si="5"/>
        <v/>
      </c>
      <c r="E75" s="6">
        <v>194</v>
      </c>
      <c r="F75" s="9" t="str">
        <f ca="1">VLOOKUP($E75,OFFSET([1]characters!$A$2,0,0,COUNTA([1]characters!$A:$A),MATCH(F$1,[1]characters!$2:$2,0)-MATCH($E$1,[1]characters!$2:$2,0)+1),MATCH(F$1,[1]characters!$2:$2,0)-MATCH($E$1,[1]characters!$2:$2,0)+1,FALSE)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75" s="9" t="str">
        <f ca="1">VLOOKUP($E75,OFFSET([1]characters!$A$2,0,0,COUNTA([1]characters!$A:$A),MATCH(G$1,[1]characters!$2:$2,0)-MATCH($E$1,[1]characters!$2:$2,0)+1),MATCH(G$1,[1]characters!$2:$2,0)-MATCH($E$1,[1]characters!$2:$2,0)+1,FALSE)</f>
        <v>PremiumN</v>
      </c>
      <c r="H75" s="9">
        <f ca="1">VLOOKUP($E75,OFFSET([1]characters!$A$2,0,0,COUNTA([1]characters!$A:$A),MATCH(H$1,[1]characters!$2:$2,0)-MATCH($E$1,[1]characters!$2:$2,0)+1),MATCH(H$1,[1]characters!$2:$2,0)-MATCH($E$1,[1]characters!$2:$2,0)+1,FALSE)</f>
        <v>4</v>
      </c>
      <c r="I75" s="9" t="str">
        <f ca="1">VLOOKUP($E75,OFFSET([1]characters!$A$2,0,0,COUNTA([1]characters!$A:$A),MATCH(I$1,[1]characters!$2:$2,0)-MATCH($E$1,[1]characters!$2:$2,0)+1),MATCH(I$1,[1]characters!$2:$2,0)-MATCH($E$1,[1]characters!$2:$2,0)+1,FALSE)</f>
        <v>green</v>
      </c>
      <c r="J75" s="9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9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5">
        <v>1</v>
      </c>
      <c r="M75" s="35">
        <f ca="1">VLOOKUP(C75,gacha_100_base!A:K,11,FALSE)</f>
        <v>715</v>
      </c>
      <c r="N75" s="26">
        <v>0</v>
      </c>
      <c r="O75" s="26">
        <v>0</v>
      </c>
      <c r="P75" s="26">
        <v>0</v>
      </c>
      <c r="Q75" s="26">
        <v>0</v>
      </c>
      <c r="R75" s="26">
        <v>1</v>
      </c>
    </row>
    <row r="76" spans="1:18" ht="21" customHeight="1">
      <c r="A76" s="7" t="str">
        <f t="shared" si="3"/>
        <v>1001971</v>
      </c>
      <c r="B76" s="2">
        <v>100</v>
      </c>
      <c r="C76" s="9" t="str">
        <f t="shared" ca="1" si="4"/>
        <v>PremiumN4</v>
      </c>
      <c r="D76" s="9" t="str">
        <f t="shared" si="5"/>
        <v/>
      </c>
      <c r="E76" s="6">
        <v>197</v>
      </c>
      <c r="F76" s="9" t="str">
        <f ca="1">VLOOKUP($E76,OFFSET([1]characters!$A$2,0,0,COUNTA([1]characters!$A:$A),MATCH(F$1,[1]characters!$2:$2,0)-MATCH($E$1,[1]characters!$2:$2,0)+1),MATCH(F$1,[1]characters!$2:$2,0)-MATCH($E$1,[1]characters!$2:$2,0)+1,FALSE)</f>
        <v>鉄腕 アキレス</v>
      </c>
      <c r="G76" s="9" t="str">
        <f ca="1">VLOOKUP($E76,OFFSET([1]characters!$A$2,0,0,COUNTA([1]characters!$A:$A),MATCH(G$1,[1]characters!$2:$2,0)-MATCH($E$1,[1]characters!$2:$2,0)+1),MATCH(G$1,[1]characters!$2:$2,0)-MATCH($E$1,[1]characters!$2:$2,0)+1,FALSE)</f>
        <v>PremiumN</v>
      </c>
      <c r="H76" s="9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9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9" t="str">
        <f ca="1">VLOOKUP($E76,OFFSET([1]characters!$A$2,0,0,COUNTA([1]characters!$A:$A),MATCH("タイプ",[1]characters!$1:$1,0)-MATCH($E$1,[1]characters!$2:$2,0)+2),MATCH("タイプ",[1]characters!$1:$1,0)-MATCH($E$1,[1]characters!$2:$2,0)+2,FALSE)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6" s="9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5">
        <v>1</v>
      </c>
      <c r="M76" s="35">
        <f ca="1">VLOOKUP(C76,gacha_100_base!A:K,11,FALSE)</f>
        <v>715</v>
      </c>
      <c r="N76" s="26">
        <v>0</v>
      </c>
      <c r="O76" s="26">
        <v>0</v>
      </c>
      <c r="P76" s="26">
        <v>0</v>
      </c>
      <c r="Q76" s="26">
        <v>0</v>
      </c>
      <c r="R76" s="26">
        <v>1</v>
      </c>
    </row>
    <row r="77" spans="1:18" ht="21" customHeight="1">
      <c r="A77" s="7" t="str">
        <f t="shared" si="3"/>
        <v>1002001</v>
      </c>
      <c r="B77" s="2">
        <v>100</v>
      </c>
      <c r="C77" s="9" t="str">
        <f t="shared" ca="1" si="4"/>
        <v>PremiumN4</v>
      </c>
      <c r="D77" s="9" t="str">
        <f t="shared" si="5"/>
        <v/>
      </c>
      <c r="E77" s="6">
        <v>200</v>
      </c>
      <c r="F77" s="9" t="str">
        <f ca="1">VLOOKUP($E77,OFFSET([1]characters!$A$2,0,0,COUNTA([1]characters!$A:$A),MATCH(F$1,[1]characters!$2:$2,0)-MATCH($E$1,[1]characters!$2:$2,0)+1),MATCH(F$1,[1]characters!$2:$2,0)-MATCH($E$1,[1]characters!$2:$2,0)+1,FALSE)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77" s="9" t="str">
        <f ca="1">VLOOKUP($E77,OFFSET([1]characters!$A$2,0,0,COUNTA([1]characters!$A:$A),MATCH(G$1,[1]characters!$2:$2,0)-MATCH($E$1,[1]characters!$2:$2,0)+1),MATCH(G$1,[1]characters!$2:$2,0)-MATCH($E$1,[1]characters!$2:$2,0)+1,FALSE)</f>
        <v>PremiumN</v>
      </c>
      <c r="H77" s="9">
        <f ca="1">VLOOKUP($E77,OFFSET([1]characters!$A$2,0,0,COUNTA([1]characters!$A:$A),MATCH(H$1,[1]characters!$2:$2,0)-MATCH($E$1,[1]characters!$2:$2,0)+1),MATCH(H$1,[1]characters!$2:$2,0)-MATCH($E$1,[1]characters!$2:$2,0)+1,FALSE)</f>
        <v>4</v>
      </c>
      <c r="I77" s="9" t="str">
        <f ca="1">VLOOKUP($E77,OFFSET([1]characters!$A$2,0,0,COUNTA([1]characters!$A:$A),MATCH(I$1,[1]characters!$2:$2,0)-MATCH($E$1,[1]characters!$2:$2,0)+1),MATCH(I$1,[1]characters!$2:$2,0)-MATCH($E$1,[1]characters!$2:$2,0)+1,FALSE)</f>
        <v>blue</v>
      </c>
      <c r="J77" s="9" t="str">
        <f ca="1">VLOOKUP($E77,OFFSET([1]characters!$A$2,0,0,COUNTA([1]characters!$A:$A),MATCH("タイプ",[1]characters!$1:$1,0)-MATCH($E$1,[1]characters!$2:$2,0)+2),MATCH("タイプ",[1]characters!$1:$1,0)-MATCH($E$1,[1]characters!$2:$2,0)+2,FALSE)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7" s="9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5">
        <v>1</v>
      </c>
      <c r="M77" s="35">
        <f ca="1">VLOOKUP(C77,gacha_100_base!A:K,11,FALSE)</f>
        <v>715</v>
      </c>
      <c r="N77" s="26">
        <v>0</v>
      </c>
      <c r="O77" s="26">
        <v>0</v>
      </c>
      <c r="P77" s="26">
        <v>0</v>
      </c>
      <c r="Q77" s="26">
        <v>0</v>
      </c>
      <c r="R77" s="26">
        <v>1</v>
      </c>
    </row>
    <row r="78" spans="1:18" ht="21" customHeight="1">
      <c r="A78" s="7" t="str">
        <f t="shared" si="3"/>
        <v>1002031</v>
      </c>
      <c r="B78" s="2">
        <v>100</v>
      </c>
      <c r="C78" s="9" t="str">
        <f t="shared" ca="1" si="4"/>
        <v>PremiumN4</v>
      </c>
      <c r="D78" s="9" t="str">
        <f t="shared" si="5"/>
        <v/>
      </c>
      <c r="E78" s="6">
        <v>203</v>
      </c>
      <c r="F78" s="9" t="str">
        <f ca="1">VLOOKUP($E78,OFFSET([1]characters!$A$2,0,0,COUNTA([1]characters!$A:$A),MATCH(F$1,[1]characters!$2:$2,0)-MATCH($E$1,[1]characters!$2:$2,0)+1),MATCH(F$1,[1]characters!$2:$2,0)-MATCH($E$1,[1]characters!$2:$2,0)+1,FALSE)</f>
        <v>焔神 プロメテウス</v>
      </c>
      <c r="G78" s="9" t="str">
        <f ca="1">VLOOKUP($E78,OFFSET([1]characters!$A$2,0,0,COUNTA([1]characters!$A:$A),MATCH(G$1,[1]characters!$2:$2,0)-MATCH($E$1,[1]characters!$2:$2,0)+1),MATCH(G$1,[1]characters!$2:$2,0)-MATCH($E$1,[1]characters!$2:$2,0)+1,FALSE)</f>
        <v>PremiumN</v>
      </c>
      <c r="H78" s="9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9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9" t="str">
        <f ca="1">VLOOKUP($E78,OFFSET([1]characters!$A$2,0,0,COUNTA([1]characters!$A:$A),MATCH("タイプ",[1]characters!$1:$1,0)-MATCH($E$1,[1]characters!$2:$2,0)+2),MATCH("タイプ",[1]characters!$1:$1,0)-MATCH($E$1,[1]characters!$2:$2,0)+2,FALSE)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8" s="9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5">
        <v>1</v>
      </c>
      <c r="M78" s="35">
        <f ca="1">VLOOKUP(C78,gacha_100_base!A:K,11,FALSE)</f>
        <v>715</v>
      </c>
      <c r="N78" s="26">
        <v>0</v>
      </c>
      <c r="O78" s="26">
        <v>0</v>
      </c>
      <c r="P78" s="26">
        <v>0</v>
      </c>
      <c r="Q78" s="26">
        <v>0</v>
      </c>
      <c r="R78" s="26">
        <v>1</v>
      </c>
    </row>
    <row r="79" spans="1:18" ht="21" customHeight="1">
      <c r="A79" s="7" t="str">
        <f t="shared" si="3"/>
        <v>1002061</v>
      </c>
      <c r="B79" s="2">
        <v>100</v>
      </c>
      <c r="C79" s="9" t="str">
        <f t="shared" ca="1" si="4"/>
        <v>PremiumN4</v>
      </c>
      <c r="D79" s="9" t="str">
        <f t="shared" si="5"/>
        <v/>
      </c>
      <c r="E79" s="6">
        <v>206</v>
      </c>
      <c r="F79" s="9" t="str">
        <f ca="1">VLOOKUP($E79,OFFSET([1]characters!$A$2,0,0,COUNTA([1]characters!$A:$A),MATCH(F$1,[1]characters!$2:$2,0)-MATCH($E$1,[1]characters!$2:$2,0)+1),MATCH(F$1,[1]characters!$2:$2,0)-MATCH($E$1,[1]characters!$2:$2,0)+1,FALSE)</f>
        <v>美神 アフロディーテ</v>
      </c>
      <c r="G79" s="9" t="str">
        <f ca="1">VLOOKUP($E79,OFFSET([1]characters!$A$2,0,0,COUNTA([1]characters!$A:$A),MATCH(G$1,[1]characters!$2:$2,0)-MATCH($E$1,[1]characters!$2:$2,0)+1),MATCH(G$1,[1]characters!$2:$2,0)-MATCH($E$1,[1]characters!$2:$2,0)+1,FALSE)</f>
        <v>PremiumN</v>
      </c>
      <c r="H79" s="9">
        <f ca="1">VLOOKUP($E79,OFFSET([1]characters!$A$2,0,0,COUNTA([1]characters!$A:$A),MATCH(H$1,[1]characters!$2:$2,0)-MATCH($E$1,[1]characters!$2:$2,0)+1),MATCH(H$1,[1]characters!$2:$2,0)-MATCH($E$1,[1]characters!$2:$2,0)+1,FALSE)</f>
        <v>4</v>
      </c>
      <c r="I79" s="9" t="str">
        <f ca="1">VLOOKUP($E79,OFFSET([1]characters!$A$2,0,0,COUNTA([1]characters!$A:$A),MATCH(I$1,[1]characters!$2:$2,0)-MATCH($E$1,[1]characters!$2:$2,0)+1),MATCH(I$1,[1]characters!$2:$2,0)-MATCH($E$1,[1]characters!$2:$2,0)+1,FALSE)</f>
        <v>green</v>
      </c>
      <c r="J79" s="9" t="str">
        <f ca="1">VLOOKUP($E79,OFFSET([1]characters!$A$2,0,0,COUNTA([1]characters!$A:$A),MATCH("タイプ",[1]characters!$1:$1,0)-MATCH($E$1,[1]characters!$2:$2,0)+2),MATCH("タイプ",[1]characters!$1:$1,0)-MATCH($E$1,[1]characters!$2:$2,0)+2,FALSE)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9" s="9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5">
        <v>1</v>
      </c>
      <c r="M79" s="35">
        <f ca="1">VLOOKUP(C79,gacha_100_base!A:K,11,FALSE)</f>
        <v>715</v>
      </c>
      <c r="N79" s="26">
        <v>0</v>
      </c>
      <c r="O79" s="26">
        <v>0</v>
      </c>
      <c r="P79" s="26">
        <v>0</v>
      </c>
      <c r="Q79" s="26">
        <v>0</v>
      </c>
      <c r="R79" s="26">
        <v>1</v>
      </c>
    </row>
    <row r="80" spans="1:18" ht="21" customHeight="1">
      <c r="A80" s="7" t="str">
        <f t="shared" si="3"/>
        <v>1002091</v>
      </c>
      <c r="B80" s="2">
        <v>100</v>
      </c>
      <c r="C80" s="9" t="str">
        <f t="shared" ca="1" si="4"/>
        <v>PremiumN4</v>
      </c>
      <c r="D80" s="9" t="str">
        <f t="shared" si="5"/>
        <v/>
      </c>
      <c r="E80" s="6">
        <v>209</v>
      </c>
      <c r="F80" s="9" t="str">
        <f ca="1">VLOOKUP($E80,OFFSET([1]characters!$A$2,0,0,COUNTA([1]characters!$A:$A),MATCH(F$1,[1]characters!$2:$2,0)-MATCH($E$1,[1]characters!$2:$2,0)+1),MATCH(F$1,[1]characters!$2:$2,0)-MATCH($E$1,[1]characters!$2:$2,0)+1,FALSE)</f>
        <v>孤神 テティス</v>
      </c>
      <c r="G80" s="9" t="str">
        <f ca="1">VLOOKUP($E80,OFFSET([1]characters!$A$2,0,0,COUNTA([1]characters!$A:$A),MATCH(G$1,[1]characters!$2:$2,0)-MATCH($E$1,[1]characters!$2:$2,0)+1),MATCH(G$1,[1]characters!$2:$2,0)-MATCH($E$1,[1]characters!$2:$2,0)+1,FALSE)</f>
        <v>PremiumN</v>
      </c>
      <c r="H80" s="9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9" t="str">
        <f ca="1">VLOOKUP($E80,OFFSET([1]characters!$A$2,0,0,COUNTA([1]characters!$A:$A),MATCH(I$1,[1]characters!$2:$2,0)-MATCH($E$1,[1]characters!$2:$2,0)+1),MATCH(I$1,[1]characters!$2:$2,0)-MATCH($E$1,[1]characters!$2:$2,0)+1,FALSE)</f>
        <v>blue</v>
      </c>
      <c r="J80" s="9" t="str">
        <f ca="1">VLOOKUP($E80,OFFSET([1]characters!$A$2,0,0,COUNTA([1]characters!$A:$A),MATCH("タイプ",[1]characters!$1:$1,0)-MATCH($E$1,[1]characters!$2:$2,0)+2),MATCH("タイプ",[1]characters!$1:$1,0)-MATCH($E$1,[1]characters!$2:$2,0)+2,FALSE)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0" s="9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5">
        <v>1</v>
      </c>
      <c r="M80" s="35">
        <f ca="1">VLOOKUP(C80,gacha_100_base!A:K,11,FALSE)</f>
        <v>715</v>
      </c>
      <c r="N80" s="26">
        <v>0</v>
      </c>
      <c r="O80" s="26">
        <v>0</v>
      </c>
      <c r="P80" s="26">
        <v>0</v>
      </c>
      <c r="Q80" s="26">
        <v>0</v>
      </c>
      <c r="R80" s="26">
        <v>1</v>
      </c>
    </row>
    <row r="81" spans="1:18" ht="21" customHeight="1">
      <c r="A81" s="7" t="str">
        <f t="shared" si="3"/>
        <v>1002121</v>
      </c>
      <c r="B81" s="2">
        <v>100</v>
      </c>
      <c r="C81" s="9" t="str">
        <f t="shared" ca="1" si="4"/>
        <v>PremiumN4</v>
      </c>
      <c r="D81" s="9" t="str">
        <f t="shared" si="5"/>
        <v/>
      </c>
      <c r="E81" s="6">
        <v>212</v>
      </c>
      <c r="F81" s="9" t="str">
        <f ca="1">VLOOKUP($E81,OFFSET([1]characters!$A$2,0,0,COUNTA([1]characters!$A:$A),MATCH(F$1,[1]characters!$2:$2,0)-MATCH($E$1,[1]characters!$2:$2,0)+1),MATCH(F$1,[1]characters!$2:$2,0)-MATCH($E$1,[1]characters!$2:$2,0)+1,FALSE)</f>
        <v>星神 アストライアー</v>
      </c>
      <c r="G81" s="9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9">
        <f ca="1">VLOOKUP($E81,OFFSET([1]characters!$A$2,0,0,COUNTA([1]characters!$A:$A),MATCH(H$1,[1]characters!$2:$2,0)-MATCH($E$1,[1]characters!$2:$2,0)+1),MATCH(H$1,[1]characters!$2:$2,0)-MATCH($E$1,[1]characters!$2:$2,0)+1,FALSE)</f>
        <v>4</v>
      </c>
      <c r="I81" s="9" t="str">
        <f ca="1">VLOOKUP($E81,OFFSET([1]characters!$A$2,0,0,COUNTA([1]characters!$A:$A),MATCH(I$1,[1]characters!$2:$2,0)-MATCH($E$1,[1]characters!$2:$2,0)+1),MATCH(I$1,[1]characters!$2:$2,0)-MATCH($E$1,[1]characters!$2:$2,0)+1,FALSE)</f>
        <v>yellow</v>
      </c>
      <c r="J81" s="9" t="str">
        <f ca="1">VLOOKUP($E81,OFFSET([1]characters!$A$2,0,0,COUNTA([1]characters!$A:$A),MATCH("タイプ",[1]characters!$1:$1,0)-MATCH($E$1,[1]characters!$2:$2,0)+2),MATCH("タイプ",[1]characters!$1:$1,0)-MATCH($E$1,[1]characters!$2:$2,0)+2,FALSE)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1" s="9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5">
        <v>1</v>
      </c>
      <c r="M81" s="35">
        <f ca="1">VLOOKUP(C81,gacha_100_base!A:K,11,FALSE)</f>
        <v>715</v>
      </c>
      <c r="N81" s="26">
        <v>0</v>
      </c>
      <c r="O81" s="26">
        <v>0</v>
      </c>
      <c r="P81" s="26">
        <v>0</v>
      </c>
      <c r="Q81" s="26">
        <v>0</v>
      </c>
      <c r="R81" s="26">
        <v>1</v>
      </c>
    </row>
    <row r="82" spans="1:18" ht="21" customHeight="1">
      <c r="A82" s="7" t="str">
        <f t="shared" si="3"/>
        <v>1002151</v>
      </c>
      <c r="B82" s="2">
        <v>100</v>
      </c>
      <c r="C82" s="9" t="str">
        <f t="shared" ca="1" si="4"/>
        <v>PremiumN4</v>
      </c>
      <c r="D82" s="9" t="str">
        <f t="shared" si="5"/>
        <v/>
      </c>
      <c r="E82" s="6">
        <v>215</v>
      </c>
      <c r="F82" s="9" t="str">
        <f ca="1">VLOOKUP($E82,OFFSET([1]characters!$A$2,0,0,COUNTA([1]characters!$A:$A),MATCH(F$1,[1]characters!$2:$2,0)-MATCH($E$1,[1]characters!$2:$2,0)+1),MATCH(F$1,[1]characters!$2:$2,0)-MATCH($E$1,[1]characters!$2:$2,0)+1,FALSE)</f>
        <v>死導者 アズラエル</v>
      </c>
      <c r="G82" s="9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9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9" t="str">
        <f ca="1">VLOOKUP($E82,OFFSET([1]characters!$A$2,0,0,COUNTA([1]characters!$A:$A),MATCH(I$1,[1]characters!$2:$2,0)-MATCH($E$1,[1]characters!$2:$2,0)+1),MATCH(I$1,[1]characters!$2:$2,0)-MATCH($E$1,[1]characters!$2:$2,0)+1,FALSE)</f>
        <v>red</v>
      </c>
      <c r="J82" s="9" t="str">
        <f ca="1">VLOOKUP($E82,OFFSET([1]characters!$A$2,0,0,COUNTA([1]characters!$A:$A),MATCH("タイプ",[1]characters!$1:$1,0)-MATCH($E$1,[1]characters!$2:$2,0)+2),MATCH("タイプ",[1]characters!$1:$1,0)-MATCH($E$1,[1]characters!$2:$2,0)+2,FALSE)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2" s="9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5">
        <v>1</v>
      </c>
      <c r="M82" s="35">
        <f ca="1">VLOOKUP(C82,gacha_100_base!A:K,11,FALSE)</f>
        <v>715</v>
      </c>
      <c r="N82" s="26">
        <v>0</v>
      </c>
      <c r="O82" s="26">
        <v>0</v>
      </c>
      <c r="P82" s="26">
        <v>0</v>
      </c>
      <c r="Q82" s="26">
        <v>0</v>
      </c>
      <c r="R82" s="26">
        <v>1</v>
      </c>
    </row>
    <row r="83" spans="1:18" ht="21" customHeight="1">
      <c r="A83" s="7" t="str">
        <f t="shared" si="3"/>
        <v>1002181</v>
      </c>
      <c r="B83" s="2">
        <v>100</v>
      </c>
      <c r="C83" s="9" t="str">
        <f t="shared" ca="1" si="4"/>
        <v>PremiumN4</v>
      </c>
      <c r="D83" s="9" t="str">
        <f t="shared" si="5"/>
        <v/>
      </c>
      <c r="E83" s="6">
        <v>218</v>
      </c>
      <c r="F83" s="9" t="str">
        <f ca="1">VLOOKUP($E83,OFFSET([1]characters!$A$2,0,0,COUNTA([1]characters!$A:$A),MATCH(F$1,[1]characters!$2:$2,0)-MATCH($E$1,[1]characters!$2:$2,0)+1),MATCH(F$1,[1]characters!$2:$2,0)-MATCH($E$1,[1]characters!$2:$2,0)+1,FALSE)</f>
        <v>聖蛇 ケツァクアトル</v>
      </c>
      <c r="G83" s="9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9">
        <f ca="1">VLOOKUP($E83,OFFSET([1]characters!$A$2,0,0,COUNTA([1]characters!$A:$A),MATCH(H$1,[1]characters!$2:$2,0)-MATCH($E$1,[1]characters!$2:$2,0)+1),MATCH(H$1,[1]characters!$2:$2,0)-MATCH($E$1,[1]characters!$2:$2,0)+1,FALSE)</f>
        <v>4</v>
      </c>
      <c r="I83" s="9" t="str">
        <f ca="1">VLOOKUP($E83,OFFSET([1]characters!$A$2,0,0,COUNTA([1]characters!$A:$A),MATCH(I$1,[1]characters!$2:$2,0)-MATCH($E$1,[1]characters!$2:$2,0)+1),MATCH(I$1,[1]characters!$2:$2,0)-MATCH($E$1,[1]characters!$2:$2,0)+1,FALSE)</f>
        <v>green</v>
      </c>
      <c r="J83" s="9" t="str">
        <f ca="1">VLOOKUP($E83,OFFSET([1]characters!$A$2,0,0,COUNTA([1]characters!$A:$A),MATCH("タイプ",[1]characters!$1:$1,0)-MATCH($E$1,[1]characters!$2:$2,0)+2),MATCH("タイプ",[1]characters!$1:$1,0)-MATCH($E$1,[1]characters!$2:$2,0)+2,FALSE)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3" s="9" t="str">
        <f ca="1">VLOOKUP($E83,OFFSET([1]characters!$A$2,0,0,COUNTA([1]characters!$A:$A),MATCH($K$1,[1]characters!$1:$1,0)-MATCH($E$1,[1]characters!$2:$2,0)+2),MATCH($K$1,[1]characters!$1:$1,0)-MATCH($E$1,[1]characters!$2:$2,0)+2,FALSE)</f>
        <v>ドラゴン</v>
      </c>
      <c r="L83" s="5">
        <v>1</v>
      </c>
      <c r="M83" s="35">
        <f ca="1">VLOOKUP(C83,gacha_100_base!A:K,11,FALSE)</f>
        <v>715</v>
      </c>
      <c r="N83" s="26">
        <v>0</v>
      </c>
      <c r="O83" s="26">
        <v>0</v>
      </c>
      <c r="P83" s="26">
        <v>0</v>
      </c>
      <c r="Q83" s="26">
        <v>0</v>
      </c>
      <c r="R83" s="26">
        <v>1</v>
      </c>
    </row>
    <row r="84" spans="1:18" ht="21" customHeight="1">
      <c r="A84" s="7" t="str">
        <f t="shared" si="3"/>
        <v>1002211</v>
      </c>
      <c r="B84" s="2">
        <v>100</v>
      </c>
      <c r="C84" s="9" t="str">
        <f t="shared" ca="1" si="4"/>
        <v>PremiumN4</v>
      </c>
      <c r="D84" s="9" t="str">
        <f t="shared" si="5"/>
        <v/>
      </c>
      <c r="E84" s="6">
        <v>221</v>
      </c>
      <c r="F84" s="9" t="str">
        <f ca="1">VLOOKUP($E84,OFFSET([1]characters!$A$2,0,0,COUNTA([1]characters!$A:$A),MATCH(F$1,[1]characters!$2:$2,0)-MATCH($E$1,[1]characters!$2:$2,0)+1),MATCH(F$1,[1]characters!$2:$2,0)-MATCH($E$1,[1]characters!$2:$2,0)+1,FALSE)</f>
        <v>宰相 ルキフグス</v>
      </c>
      <c r="G84" s="9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9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9" t="str">
        <f ca="1">VLOOKUP($E84,OFFSET([1]characters!$A$2,0,0,COUNTA([1]characters!$A:$A),MATCH(I$1,[1]characters!$2:$2,0)-MATCH($E$1,[1]characters!$2:$2,0)+1),MATCH(I$1,[1]characters!$2:$2,0)-MATCH($E$1,[1]characters!$2:$2,0)+1,FALSE)</f>
        <v>blue</v>
      </c>
      <c r="J84" s="9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9" t="str">
        <f ca="1">VLOOKUP($E84,OFFSET([1]characters!$A$2,0,0,COUNTA([1]characters!$A:$A),MATCH($K$1,[1]characters!$1:$1,0)-MATCH($E$1,[1]characters!$2:$2,0)+2),MATCH($K$1,[1]characters!$1:$1,0)-MATCH($E$1,[1]characters!$2:$2,0)+2,FALSE)</f>
        <v>ゴッド</v>
      </c>
      <c r="L84" s="5">
        <v>1</v>
      </c>
      <c r="M84" s="35">
        <f ca="1">VLOOKUP(C84,gacha_100_base!A:K,11,FALSE)</f>
        <v>715</v>
      </c>
      <c r="N84" s="26">
        <v>0</v>
      </c>
      <c r="O84" s="26">
        <v>0</v>
      </c>
      <c r="P84" s="26">
        <v>0</v>
      </c>
      <c r="Q84" s="26">
        <v>0</v>
      </c>
      <c r="R84" s="26">
        <v>1</v>
      </c>
    </row>
    <row r="85" spans="1:18" ht="21" customHeight="1">
      <c r="A85" s="7" t="str">
        <f t="shared" si="3"/>
        <v>1002241</v>
      </c>
      <c r="B85" s="2">
        <v>100</v>
      </c>
      <c r="C85" s="9" t="str">
        <f t="shared" ca="1" si="4"/>
        <v>PremiumN4</v>
      </c>
      <c r="D85" s="9" t="str">
        <f t="shared" si="5"/>
        <v/>
      </c>
      <c r="E85" s="6">
        <v>224</v>
      </c>
      <c r="F85" s="9" t="str">
        <f ca="1">VLOOKUP($E85,OFFSET([1]characters!$A$2,0,0,COUNTA([1]characters!$A:$A),MATCH(F$1,[1]characters!$2:$2,0)-MATCH($E$1,[1]characters!$2:$2,0)+1),MATCH(F$1,[1]characters!$2:$2,0)-MATCH($E$1,[1]characters!$2:$2,0)+1,FALSE)</f>
        <v>巨腕 ヘラクレス</v>
      </c>
      <c r="G85" s="9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9">
        <f ca="1">VLOOKUP($E85,OFFSET([1]characters!$A$2,0,0,COUNTA([1]characters!$A:$A),MATCH(H$1,[1]characters!$2:$2,0)-MATCH($E$1,[1]characters!$2:$2,0)+1),MATCH(H$1,[1]characters!$2:$2,0)-MATCH($E$1,[1]characters!$2:$2,0)+1,FALSE)</f>
        <v>4</v>
      </c>
      <c r="I85" s="9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9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9" t="str">
        <f ca="1">VLOOKUP($E85,OFFSET([1]characters!$A$2,0,0,COUNTA([1]characters!$A:$A),MATCH($K$1,[1]characters!$1:$1,0)-MATCH($E$1,[1]characters!$2:$2,0)+2),MATCH($K$1,[1]characters!$1:$1,0)-MATCH($E$1,[1]characters!$2:$2,0)+2,FALSE)</f>
        <v>ヒューマン</v>
      </c>
      <c r="L85" s="5">
        <v>1</v>
      </c>
      <c r="M85" s="35">
        <f ca="1">VLOOKUP(C85,gacha_100_base!A:K,11,FALSE)</f>
        <v>715</v>
      </c>
      <c r="N85" s="26">
        <v>0</v>
      </c>
      <c r="O85" s="26">
        <v>0</v>
      </c>
      <c r="P85" s="26">
        <v>0</v>
      </c>
      <c r="Q85" s="26">
        <v>0</v>
      </c>
      <c r="R85" s="26">
        <v>1</v>
      </c>
    </row>
    <row r="86" spans="1:18" ht="21" customHeight="1">
      <c r="A86" s="7" t="str">
        <f t="shared" si="3"/>
        <v>1002271</v>
      </c>
      <c r="B86" s="2">
        <v>100</v>
      </c>
      <c r="C86" s="9" t="str">
        <f t="shared" ca="1" si="4"/>
        <v>PremiumS4</v>
      </c>
      <c r="D86" s="9" t="str">
        <f t="shared" si="5"/>
        <v/>
      </c>
      <c r="E86" s="6">
        <v>227</v>
      </c>
      <c r="F86" s="9" t="str">
        <f ca="1">VLOOKUP($E86,OFFSET([1]characters!$A$2,0,0,COUNTA([1]characters!$A:$A),MATCH(F$1,[1]characters!$2:$2,0)-MATCH($E$1,[1]characters!$2:$2,0)+1),MATCH(F$1,[1]characters!$2:$2,0)-MATCH($E$1,[1]characters!$2:$2,0)+1,FALSE)</f>
        <v>滅弾 アレス</v>
      </c>
      <c r="G86" s="9" t="str">
        <f ca="1">VLOOKUP($E86,OFFSET([1]characters!$A$2,0,0,COUNTA([1]characters!$A:$A),MATCH(G$1,[1]characters!$2:$2,0)-MATCH($E$1,[1]characters!$2:$2,0)+1),MATCH(G$1,[1]characters!$2:$2,0)-MATCH($E$1,[1]characters!$2:$2,0)+1,FALSE)</f>
        <v>PremiumS</v>
      </c>
      <c r="H86" s="9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9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9" t="str">
        <f ca="1">VLOOKUP($E86,OFFSET([1]characters!$A$2,0,0,COUNTA([1]characters!$A:$A),MATCH("タイプ",[1]characters!$1:$1,0)-MATCH($E$1,[1]characters!$2:$2,0)+2),MATCH("タイプ",[1]characters!$1:$1,0)-MATCH($E$1,[1]characters!$2:$2,0)+2,FALSE)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6" s="9" t="str">
        <f ca="1">VLOOKUP($E86,OFFSET([1]characters!$A$2,0,0,COUNTA([1]characters!$A:$A),MATCH($K$1,[1]characters!$1:$1,0)-MATCH($E$1,[1]characters!$2:$2,0)+2),MATCH($K$1,[1]characters!$1:$1,0)-MATCH($E$1,[1]characters!$2:$2,0)+2,FALSE)</f>
        <v>ゴッド</v>
      </c>
      <c r="L86" s="5">
        <v>1</v>
      </c>
      <c r="M86" s="35">
        <f ca="1">VLOOKUP(C86,gacha_100_base!A:K,11,FALSE)</f>
        <v>80</v>
      </c>
      <c r="N86" s="26">
        <v>0</v>
      </c>
      <c r="O86" s="26">
        <v>0</v>
      </c>
      <c r="P86" s="26">
        <v>0</v>
      </c>
      <c r="Q86" s="26">
        <v>0</v>
      </c>
      <c r="R86" s="26">
        <v>1</v>
      </c>
    </row>
    <row r="87" spans="1:18" ht="21" customHeight="1">
      <c r="A87" s="7" t="str">
        <f t="shared" si="3"/>
        <v>1002301</v>
      </c>
      <c r="B87" s="2">
        <v>100</v>
      </c>
      <c r="C87" s="9" t="str">
        <f t="shared" ca="1" si="4"/>
        <v>PremiumS4</v>
      </c>
      <c r="D87" s="9" t="str">
        <f t="shared" si="5"/>
        <v/>
      </c>
      <c r="E87" s="6">
        <v>230</v>
      </c>
      <c r="F87" s="9" t="str">
        <f ca="1">VLOOKUP($E87,OFFSET([1]characters!$A$2,0,0,COUNTA([1]characters!$A:$A),MATCH(F$1,[1]characters!$2:$2,0)-MATCH($E$1,[1]characters!$2:$2,0)+1),MATCH(F$1,[1]characters!$2:$2,0)-MATCH($E$1,[1]characters!$2:$2,0)+1,FALSE)</f>
        <v>毒銃 ヨルムンガンド</v>
      </c>
      <c r="G87" s="9" t="str">
        <f ca="1">VLOOKUP($E87,OFFSET([1]characters!$A$2,0,0,COUNTA([1]characters!$A:$A),MATCH(G$1,[1]characters!$2:$2,0)-MATCH($E$1,[1]characters!$2:$2,0)+1),MATCH(G$1,[1]characters!$2:$2,0)-MATCH($E$1,[1]characters!$2:$2,0)+1,FALSE)</f>
        <v>PremiumS</v>
      </c>
      <c r="H87" s="9">
        <f ca="1">VLOOKUP($E87,OFFSET([1]characters!$A$2,0,0,COUNTA([1]characters!$A:$A),MATCH(H$1,[1]characters!$2:$2,0)-MATCH($E$1,[1]characters!$2:$2,0)+1),MATCH(H$1,[1]characters!$2:$2,0)-MATCH($E$1,[1]characters!$2:$2,0)+1,FALSE)</f>
        <v>4</v>
      </c>
      <c r="I87" s="9" t="str">
        <f ca="1">VLOOKUP($E87,OFFSET([1]characters!$A$2,0,0,COUNTA([1]characters!$A:$A),MATCH(I$1,[1]characters!$2:$2,0)-MATCH($E$1,[1]characters!$2:$2,0)+1),MATCH(I$1,[1]characters!$2:$2,0)-MATCH($E$1,[1]characters!$2:$2,0)+1,FALSE)</f>
        <v>green</v>
      </c>
      <c r="J87" s="9" t="str">
        <f ca="1">VLOOKUP($E87,OFFSET([1]characters!$A$2,0,0,COUNTA([1]characters!$A:$A),MATCH("タイプ",[1]characters!$1:$1,0)-MATCH($E$1,[1]characters!$2:$2,0)+2),MATCH("タイプ",[1]characters!$1:$1,0)-MATCH($E$1,[1]characters!$2:$2,0)+2,FALSE)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7" s="9" t="str">
        <f ca="1">VLOOKUP($E87,OFFSET([1]characters!$A$2,0,0,COUNTA([1]characters!$A:$A),MATCH($K$1,[1]characters!$1:$1,0)-MATCH($E$1,[1]characters!$2:$2,0)+2),MATCH($K$1,[1]characters!$1:$1,0)-MATCH($E$1,[1]characters!$2:$2,0)+2,FALSE)</f>
        <v>ドラゴン</v>
      </c>
      <c r="L87" s="5">
        <v>1</v>
      </c>
      <c r="M87" s="35">
        <f ca="1">VLOOKUP(C87,gacha_100_base!A:K,11,FALSE)</f>
        <v>80</v>
      </c>
      <c r="N87" s="26">
        <v>0</v>
      </c>
      <c r="O87" s="26">
        <v>0</v>
      </c>
      <c r="P87" s="26">
        <v>0</v>
      </c>
      <c r="Q87" s="26">
        <v>0</v>
      </c>
      <c r="R87" s="26">
        <v>1</v>
      </c>
    </row>
    <row r="88" spans="1:18" ht="21" customHeight="1">
      <c r="A88" s="7" t="str">
        <f t="shared" si="3"/>
        <v>1002331</v>
      </c>
      <c r="B88" s="2">
        <v>100</v>
      </c>
      <c r="C88" s="9" t="str">
        <f t="shared" ca="1" si="4"/>
        <v>PremiumS4</v>
      </c>
      <c r="D88" s="9" t="str">
        <f t="shared" si="5"/>
        <v/>
      </c>
      <c r="E88" s="6">
        <v>233</v>
      </c>
      <c r="F88" s="9" t="str">
        <f ca="1">VLOOKUP($E88,OFFSET([1]characters!$A$2,0,0,COUNTA([1]characters!$A:$A),MATCH(F$1,[1]characters!$2:$2,0)-MATCH($E$1,[1]characters!$2:$2,0)+1),MATCH(F$1,[1]characters!$2:$2,0)-MATCH($E$1,[1]characters!$2:$2,0)+1,FALSE)</f>
        <v>遂行 パーシヴァル</v>
      </c>
      <c r="G88" s="9" t="str">
        <f ca="1">VLOOKUP($E88,OFFSET([1]characters!$A$2,0,0,COUNTA([1]characters!$A:$A),MATCH(G$1,[1]characters!$2:$2,0)-MATCH($E$1,[1]characters!$2:$2,0)+1),MATCH(G$1,[1]characters!$2:$2,0)-MATCH($E$1,[1]characters!$2:$2,0)+1,FALSE)</f>
        <v>PremiumS</v>
      </c>
      <c r="H88" s="9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9" t="str">
        <f ca="1">VLOOKUP($E88,OFFSET([1]characters!$A$2,0,0,COUNTA([1]characters!$A:$A),MATCH(I$1,[1]characters!$2:$2,0)-MATCH($E$1,[1]characters!$2:$2,0)+1),MATCH(I$1,[1]characters!$2:$2,0)-MATCH($E$1,[1]characters!$2:$2,0)+1,FALSE)</f>
        <v>blue</v>
      </c>
      <c r="J88" s="9" t="str">
        <f ca="1">VLOOKUP($E88,OFFSET([1]characters!$A$2,0,0,COUNTA([1]characters!$A:$A),MATCH("タイプ",[1]characters!$1:$1,0)-MATCH($E$1,[1]characters!$2:$2,0)+2),MATCH("タイプ",[1]characters!$1:$1,0)-MATCH($E$1,[1]characters!$2:$2,0)+2,FALSE)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8" s="9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5">
        <v>1</v>
      </c>
      <c r="M88" s="35">
        <f ca="1">VLOOKUP(C88,gacha_100_base!A:K,11,FALSE)</f>
        <v>80</v>
      </c>
      <c r="N88" s="26">
        <v>0</v>
      </c>
      <c r="O88" s="26">
        <v>0</v>
      </c>
      <c r="P88" s="26">
        <v>0</v>
      </c>
      <c r="Q88" s="26">
        <v>0</v>
      </c>
      <c r="R88" s="26">
        <v>1</v>
      </c>
    </row>
    <row r="89" spans="1:18" ht="21" customHeight="1">
      <c r="A89" s="7" t="str">
        <f t="shared" si="3"/>
        <v>1002361</v>
      </c>
      <c r="B89" s="2">
        <v>100</v>
      </c>
      <c r="C89" s="9" t="str">
        <f t="shared" ca="1" si="4"/>
        <v>PremiumS4</v>
      </c>
      <c r="D89" s="9" t="str">
        <f t="shared" si="5"/>
        <v/>
      </c>
      <c r="E89" s="6">
        <v>236</v>
      </c>
      <c r="F89" s="9" t="str">
        <f ca="1">VLOOKUP($E89,OFFSET([1]characters!$A$2,0,0,COUNTA([1]characters!$A:$A),MATCH(F$1,[1]characters!$2:$2,0)-MATCH($E$1,[1]characters!$2:$2,0)+1),MATCH(F$1,[1]characters!$2:$2,0)-MATCH($E$1,[1]characters!$2:$2,0)+1,FALSE)</f>
        <v>神産 イザナミ</v>
      </c>
      <c r="G89" s="9" t="str">
        <f ca="1">VLOOKUP($E89,OFFSET([1]characters!$A$2,0,0,COUNTA([1]characters!$A:$A),MATCH(G$1,[1]characters!$2:$2,0)-MATCH($E$1,[1]characters!$2:$2,0)+1),MATCH(G$1,[1]characters!$2:$2,0)-MATCH($E$1,[1]characters!$2:$2,0)+1,FALSE)</f>
        <v>PremiumS</v>
      </c>
      <c r="H89" s="9">
        <f ca="1">VLOOKUP($E89,OFFSET([1]characters!$A$2,0,0,COUNTA([1]characters!$A:$A),MATCH(H$1,[1]characters!$2:$2,0)-MATCH($E$1,[1]characters!$2:$2,0)+1),MATCH(H$1,[1]characters!$2:$2,0)-MATCH($E$1,[1]characters!$2:$2,0)+1,FALSE)</f>
        <v>4</v>
      </c>
      <c r="I89" s="9" t="str">
        <f ca="1">VLOOKUP($E89,OFFSET([1]characters!$A$2,0,0,COUNTA([1]characters!$A:$A),MATCH(I$1,[1]characters!$2:$2,0)-MATCH($E$1,[1]characters!$2:$2,0)+1),MATCH(I$1,[1]characters!$2:$2,0)-MATCH($E$1,[1]characters!$2:$2,0)+1,FALSE)</f>
        <v>yellow</v>
      </c>
      <c r="J89" s="9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9" t="str">
        <f ca="1">VLOOKUP($E89,OFFSET([1]characters!$A$2,0,0,COUNTA([1]characters!$A:$A),MATCH($K$1,[1]characters!$1:$1,0)-MATCH($E$1,[1]characters!$2:$2,0)+2),MATCH($K$1,[1]characters!$1:$1,0)-MATCH($E$1,[1]characters!$2:$2,0)+2,FALSE)</f>
        <v>ゴッド</v>
      </c>
      <c r="L89" s="5">
        <v>1</v>
      </c>
      <c r="M89" s="35">
        <f ca="1">VLOOKUP(C89,gacha_100_base!A:K,11,FALSE)</f>
        <v>80</v>
      </c>
      <c r="N89" s="26">
        <v>0</v>
      </c>
      <c r="O89" s="26">
        <v>0</v>
      </c>
      <c r="P89" s="26">
        <v>0</v>
      </c>
      <c r="Q89" s="26">
        <v>0</v>
      </c>
      <c r="R89" s="26">
        <v>1</v>
      </c>
    </row>
    <row r="90" spans="1:18" ht="21" customHeight="1">
      <c r="A90" s="7" t="str">
        <f t="shared" si="3"/>
        <v>1001681</v>
      </c>
      <c r="B90" s="2">
        <v>100</v>
      </c>
      <c r="C90" s="9" t="str">
        <f t="shared" ca="1" si="4"/>
        <v>PremiumN5</v>
      </c>
      <c r="D90" s="9" t="str">
        <f t="shared" si="5"/>
        <v/>
      </c>
      <c r="E90" s="6">
        <v>168</v>
      </c>
      <c r="F90" s="9" t="str">
        <f ca="1">VLOOKUP($E90,OFFSET([1]characters!$A$2,0,0,COUNTA([1]characters!$A:$A),MATCH(F$1,[1]characters!$2:$2,0)-MATCH($E$1,[1]characters!$2:$2,0)+1),MATCH(F$1,[1]characters!$2:$2,0)-MATCH($E$1,[1]characters!$2:$2,0)+1,FALSE)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90" s="9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9">
        <f ca="1">VLOOKUP($E90,OFFSET([1]characters!$A$2,0,0,COUNTA([1]characters!$A:$A),MATCH(H$1,[1]characters!$2:$2,0)-MATCH($E$1,[1]characters!$2:$2,0)+1),MATCH(H$1,[1]characters!$2:$2,0)-MATCH($E$1,[1]characters!$2:$2,0)+1,FALSE)</f>
        <v>5</v>
      </c>
      <c r="I90" s="9" t="str">
        <f ca="1">VLOOKUP($E90,OFFSET([1]characters!$A$2,0,0,COUNTA([1]characters!$A:$A),MATCH(I$1,[1]characters!$2:$2,0)-MATCH($E$1,[1]characters!$2:$2,0)+1),MATCH(I$1,[1]characters!$2:$2,0)-MATCH($E$1,[1]characters!$2:$2,0)+1,FALSE)</f>
        <v>red</v>
      </c>
      <c r="J90" s="9" t="str">
        <f ca="1">VLOOKUP($E90,OFFSET([1]characters!$A$2,0,0,COUNTA([1]characters!$A:$A),MATCH("タイプ",[1]characters!$1:$1,0)-MATCH($E$1,[1]characters!$2:$2,0)+2),MATCH("タイプ",[1]characters!$1:$1,0)-MATCH($E$1,[1]characters!$2:$2,0)+2,FALSE)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0" s="9" t="str">
        <f ca="1">VLOOKUP($E90,OFFSET([1]characters!$A$2,0,0,COUNTA([1]characters!$A:$A),MATCH($K$1,[1]characters!$1:$1,0)-MATCH($E$1,[1]characters!$2:$2,0)+2),MATCH($K$1,[1]characters!$1:$1,0)-MATCH($E$1,[1]characters!$2:$2,0)+2,FALSE)</f>
        <v>ゴッド</v>
      </c>
      <c r="L90" s="5">
        <v>1</v>
      </c>
      <c r="M90" s="35">
        <f ca="1">VLOOKUP(C90,gacha_100_base!A:K,11,FALSE)</f>
        <v>241</v>
      </c>
      <c r="N90" s="26">
        <v>0</v>
      </c>
      <c r="O90" s="26">
        <v>0</v>
      </c>
      <c r="P90" s="26">
        <v>0</v>
      </c>
      <c r="Q90" s="26">
        <v>0</v>
      </c>
      <c r="R90" s="26">
        <v>1</v>
      </c>
    </row>
    <row r="91" spans="1:18" ht="21" customHeight="1">
      <c r="A91" s="7" t="str">
        <f t="shared" si="3"/>
        <v>1001711</v>
      </c>
      <c r="B91" s="2">
        <v>100</v>
      </c>
      <c r="C91" s="9" t="str">
        <f t="shared" ca="1" si="4"/>
        <v>PremiumN5</v>
      </c>
      <c r="D91" s="9" t="str">
        <f t="shared" si="5"/>
        <v/>
      </c>
      <c r="E91" s="6">
        <v>171</v>
      </c>
      <c r="F91" s="9" t="str">
        <f ca="1">VLOOKUP($E91,OFFSET([1]characters!$A$2,0,0,COUNTA([1]characters!$A:$A),MATCH(F$1,[1]characters!$2:$2,0)-MATCH($E$1,[1]characters!$2:$2,0)+1),MATCH(F$1,[1]characters!$2:$2,0)-MATCH($E$1,[1]characters!$2:$2,0)+1,FALSE)</f>
        <v>精解の預知者 オセ</v>
      </c>
      <c r="G91" s="9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9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9" t="str">
        <f ca="1">VLOOKUP($E91,OFFSET([1]characters!$A$2,0,0,COUNTA([1]characters!$A:$A),MATCH(I$1,[1]characters!$2:$2,0)-MATCH($E$1,[1]characters!$2:$2,0)+1),MATCH(I$1,[1]characters!$2:$2,0)-MATCH($E$1,[1]characters!$2:$2,0)+1,FALSE)</f>
        <v>green</v>
      </c>
      <c r="J91" s="9" t="str">
        <f ca="1">VLOOKUP($E91,OFFSET([1]characters!$A$2,0,0,COUNTA([1]characters!$A:$A),MATCH("タイプ",[1]characters!$1:$1,0)-MATCH($E$1,[1]characters!$2:$2,0)+2),MATCH("タイプ",[1]characters!$1:$1,0)-MATCH($E$1,[1]characters!$2:$2,0)+2,FALSE)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1" s="9" t="str">
        <f ca="1">VLOOKUP($E91,OFFSET([1]characters!$A$2,0,0,COUNTA([1]characters!$A:$A),MATCH($K$1,[1]characters!$1:$1,0)-MATCH($E$1,[1]characters!$2:$2,0)+2),MATCH($K$1,[1]characters!$1:$1,0)-MATCH($E$1,[1]characters!$2:$2,0)+2,FALSE)</f>
        <v>ゴッド</v>
      </c>
      <c r="L91" s="5">
        <v>1</v>
      </c>
      <c r="M91" s="35">
        <f ca="1">VLOOKUP(C91,gacha_100_base!A:K,11,FALSE)</f>
        <v>241</v>
      </c>
      <c r="N91" s="26">
        <v>0</v>
      </c>
      <c r="O91" s="26">
        <v>0</v>
      </c>
      <c r="P91" s="26">
        <v>0</v>
      </c>
      <c r="Q91" s="26">
        <v>0</v>
      </c>
      <c r="R91" s="26">
        <v>1</v>
      </c>
    </row>
    <row r="92" spans="1:18" ht="21" customHeight="1">
      <c r="A92" s="7" t="str">
        <f t="shared" si="3"/>
        <v>1001741</v>
      </c>
      <c r="B92" s="2">
        <v>100</v>
      </c>
      <c r="C92" s="9" t="str">
        <f t="shared" ca="1" si="4"/>
        <v>PremiumN5</v>
      </c>
      <c r="D92" s="9" t="str">
        <f t="shared" si="5"/>
        <v/>
      </c>
      <c r="E92" s="6">
        <v>174</v>
      </c>
      <c r="F92" s="9" t="str">
        <f ca="1">VLOOKUP($E92,OFFSET([1]characters!$A$2,0,0,COUNTA([1]characters!$A:$A),MATCH(F$1,[1]characters!$2:$2,0)-MATCH($E$1,[1]characters!$2:$2,0)+1),MATCH(F$1,[1]characters!$2:$2,0)-MATCH($E$1,[1]characters!$2:$2,0)+1,FALSE)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92" s="9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9">
        <f ca="1">VLOOKUP($E92,OFFSET([1]characters!$A$2,0,0,COUNTA([1]characters!$A:$A),MATCH(H$1,[1]characters!$2:$2,0)-MATCH($E$1,[1]characters!$2:$2,0)+1),MATCH(H$1,[1]characters!$2:$2,0)-MATCH($E$1,[1]characters!$2:$2,0)+1,FALSE)</f>
        <v>5</v>
      </c>
      <c r="I92" s="9" t="str">
        <f ca="1">VLOOKUP($E92,OFFSET([1]characters!$A$2,0,0,COUNTA([1]characters!$A:$A),MATCH(I$1,[1]characters!$2:$2,0)-MATCH($E$1,[1]characters!$2:$2,0)+1),MATCH(I$1,[1]characters!$2:$2,0)-MATCH($E$1,[1]characters!$2:$2,0)+1,FALSE)</f>
        <v>blue</v>
      </c>
      <c r="J92" s="9" t="str">
        <f ca="1">VLOOKUP($E92,OFFSET([1]characters!$A$2,0,0,COUNTA([1]characters!$A:$A),MATCH("タイプ",[1]characters!$1:$1,0)-MATCH($E$1,[1]characters!$2:$2,0)+2),MATCH("タイプ",[1]characters!$1:$1,0)-MATCH($E$1,[1]characters!$2:$2,0)+2,FALSE)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2" s="9" t="str">
        <f ca="1">VLOOKUP($E92,OFFSET([1]characters!$A$2,0,0,COUNTA([1]characters!$A:$A),MATCH($K$1,[1]characters!$1:$1,0)-MATCH($E$1,[1]characters!$2:$2,0)+2),MATCH($K$1,[1]characters!$1:$1,0)-MATCH($E$1,[1]characters!$2:$2,0)+2,FALSE)</f>
        <v>ゴッド</v>
      </c>
      <c r="L92" s="5">
        <v>1</v>
      </c>
      <c r="M92" s="35">
        <f ca="1">VLOOKUP(C92,gacha_100_base!A:K,11,FALSE)</f>
        <v>241</v>
      </c>
      <c r="N92" s="26">
        <v>0</v>
      </c>
      <c r="O92" s="26">
        <v>0</v>
      </c>
      <c r="P92" s="26">
        <v>0</v>
      </c>
      <c r="Q92" s="26">
        <v>0</v>
      </c>
      <c r="R92" s="26">
        <v>1</v>
      </c>
    </row>
    <row r="93" spans="1:18" ht="21" customHeight="1">
      <c r="A93" s="7" t="str">
        <f t="shared" si="3"/>
        <v>1001771</v>
      </c>
      <c r="B93" s="2">
        <v>100</v>
      </c>
      <c r="C93" s="9" t="str">
        <f t="shared" ca="1" si="4"/>
        <v>PremiumN5</v>
      </c>
      <c r="D93" s="9" t="str">
        <f t="shared" si="5"/>
        <v/>
      </c>
      <c r="E93" s="6">
        <v>177</v>
      </c>
      <c r="F93" s="9" t="str">
        <f ca="1">VLOOKUP($E93,OFFSET([1]characters!$A$2,0,0,COUNTA([1]characters!$A:$A),MATCH(F$1,[1]characters!$2:$2,0)-MATCH($E$1,[1]characters!$2:$2,0)+1),MATCH(F$1,[1]characters!$2:$2,0)-MATCH($E$1,[1]characters!$2:$2,0)+1,FALSE)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93" s="9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9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9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9" t="str">
        <f ca="1">VLOOKUP($E93,OFFSET([1]characters!$A$2,0,0,COUNTA([1]characters!$A:$A),MATCH("タイプ",[1]characters!$1:$1,0)-MATCH($E$1,[1]characters!$2:$2,0)+2),MATCH("タイプ",[1]characters!$1:$1,0)-MATCH($E$1,[1]characters!$2:$2,0)+2,FALSE)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3" s="9" t="str">
        <f ca="1">VLOOKUP($E93,OFFSET([1]characters!$A$2,0,0,COUNTA([1]characters!$A:$A),MATCH($K$1,[1]characters!$1:$1,0)-MATCH($E$1,[1]characters!$2:$2,0)+2),MATCH($K$1,[1]characters!$1:$1,0)-MATCH($E$1,[1]characters!$2:$2,0)+2,FALSE)</f>
        <v>ゴッド</v>
      </c>
      <c r="L93" s="5">
        <v>1</v>
      </c>
      <c r="M93" s="35">
        <f ca="1">VLOOKUP(C93,gacha_100_base!A:K,11,FALSE)</f>
        <v>241</v>
      </c>
      <c r="N93" s="26">
        <v>0</v>
      </c>
      <c r="O93" s="26">
        <v>0</v>
      </c>
      <c r="P93" s="26">
        <v>0</v>
      </c>
      <c r="Q93" s="26">
        <v>0</v>
      </c>
      <c r="R93" s="26">
        <v>1</v>
      </c>
    </row>
    <row r="94" spans="1:18" ht="21" customHeight="1">
      <c r="A94" s="7" t="str">
        <f t="shared" si="3"/>
        <v>1001801</v>
      </c>
      <c r="B94" s="2">
        <v>100</v>
      </c>
      <c r="C94" s="9" t="str">
        <f t="shared" ca="1" si="4"/>
        <v>PremiumN5</v>
      </c>
      <c r="D94" s="9" t="str">
        <f t="shared" si="5"/>
        <v/>
      </c>
      <c r="E94" s="6">
        <v>180</v>
      </c>
      <c r="F94" s="9" t="str">
        <f ca="1">VLOOKUP($E94,OFFSET([1]characters!$A$2,0,0,COUNTA([1]characters!$A:$A),MATCH(F$1,[1]characters!$2:$2,0)-MATCH($E$1,[1]characters!$2:$2,0)+1),MATCH(F$1,[1]characters!$2:$2,0)-MATCH($E$1,[1]characters!$2:$2,0)+1,FALSE)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94" s="9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9">
        <f ca="1">VLOOKUP($E94,OFFSET([1]characters!$A$2,0,0,COUNTA([1]characters!$A:$A),MATCH(H$1,[1]characters!$2:$2,0)-MATCH($E$1,[1]characters!$2:$2,0)+1),MATCH(H$1,[1]characters!$2:$2,0)-MATCH($E$1,[1]characters!$2:$2,0)+1,FALSE)</f>
        <v>5</v>
      </c>
      <c r="I94" s="9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9" t="str">
        <f ca="1">VLOOKUP($E94,OFFSET([1]characters!$A$2,0,0,COUNTA([1]characters!$A:$A),MATCH("タイプ",[1]characters!$1:$1,0)-MATCH($E$1,[1]characters!$2:$2,0)+2),MATCH("タイプ",[1]characters!$1:$1,0)-MATCH($E$1,[1]characters!$2:$2,0)+2,FALSE)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4" s="9" t="str">
        <f ca="1">VLOOKUP($E94,OFFSET([1]characters!$A$2,0,0,COUNTA([1]characters!$A:$A),MATCH($K$1,[1]characters!$1:$1,0)-MATCH($E$1,[1]characters!$2:$2,0)+2),MATCH($K$1,[1]characters!$1:$1,0)-MATCH($E$1,[1]characters!$2:$2,0)+2,FALSE)</f>
        <v>アニマル</v>
      </c>
      <c r="L94" s="5">
        <v>1</v>
      </c>
      <c r="M94" s="35">
        <f ca="1">VLOOKUP(C94,gacha_100_base!A:K,11,FALSE)</f>
        <v>241</v>
      </c>
      <c r="N94" s="26">
        <v>0</v>
      </c>
      <c r="O94" s="26">
        <v>0</v>
      </c>
      <c r="P94" s="26">
        <v>0</v>
      </c>
      <c r="Q94" s="26">
        <v>0</v>
      </c>
      <c r="R94" s="26">
        <v>1</v>
      </c>
    </row>
    <row r="95" spans="1:18" ht="21" customHeight="1">
      <c r="A95" s="7" t="str">
        <f t="shared" ref="A95:A155" si="6">B95&amp;E95&amp;L95</f>
        <v>1001831</v>
      </c>
      <c r="B95" s="2">
        <v>100</v>
      </c>
      <c r="C95" s="9" t="str">
        <f t="shared" ref="C95:C155" ca="1" si="7">G95&amp;D95&amp;H95</f>
        <v>PremiumN5</v>
      </c>
      <c r="D95" s="9" t="str">
        <f t="shared" ref="D95:D155" si="8">IF(OR(E95=380,E95=381,E95=382,E95=383,E95=384,E95=385,E95=386,E95=387,E95=388,E95=389),"pick","")</f>
        <v/>
      </c>
      <c r="E95" s="6">
        <v>183</v>
      </c>
      <c r="F95" s="9" t="str">
        <f ca="1">VLOOKUP($E95,OFFSET([1]characters!$A$2,0,0,COUNTA([1]characters!$A:$A),MATCH(F$1,[1]characters!$2:$2,0)-MATCH($E$1,[1]characters!$2:$2,0)+1),MATCH(F$1,[1]characters!$2:$2,0)-MATCH($E$1,[1]characters!$2:$2,0)+1,FALSE)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95" s="9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9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9" t="str">
        <f ca="1">VLOOKUP($E95,OFFSET([1]characters!$A$2,0,0,COUNTA([1]characters!$A:$A),MATCH(I$1,[1]characters!$2:$2,0)-MATCH($E$1,[1]characters!$2:$2,0)+1),MATCH(I$1,[1]characters!$2:$2,0)-MATCH($E$1,[1]characters!$2:$2,0)+1,FALSE)</f>
        <v>green</v>
      </c>
      <c r="J95" s="9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9" t="str">
        <f ca="1">VLOOKUP($E95,OFFSET([1]characters!$A$2,0,0,COUNTA([1]characters!$A:$A),MATCH($K$1,[1]characters!$1:$1,0)-MATCH($E$1,[1]characters!$2:$2,0)+2),MATCH($K$1,[1]characters!$1:$1,0)-MATCH($E$1,[1]characters!$2:$2,0)+2,FALSE)</f>
        <v>アニマル</v>
      </c>
      <c r="L95" s="5">
        <v>1</v>
      </c>
      <c r="M95" s="35">
        <f ca="1">VLOOKUP(C95,gacha_100_base!A:K,11,FALSE)</f>
        <v>241</v>
      </c>
      <c r="N95" s="26">
        <v>0</v>
      </c>
      <c r="O95" s="26">
        <v>0</v>
      </c>
      <c r="P95" s="26">
        <v>0</v>
      </c>
      <c r="Q95" s="26">
        <v>0</v>
      </c>
      <c r="R95" s="26">
        <v>1</v>
      </c>
    </row>
    <row r="96" spans="1:18" ht="21" customHeight="1">
      <c r="A96" s="7" t="str">
        <f t="shared" si="6"/>
        <v>1001861</v>
      </c>
      <c r="B96" s="2">
        <v>100</v>
      </c>
      <c r="C96" s="9" t="str">
        <f t="shared" ca="1" si="7"/>
        <v>PremiumN5</v>
      </c>
      <c r="D96" s="9" t="str">
        <f t="shared" si="8"/>
        <v/>
      </c>
      <c r="E96" s="6">
        <v>186</v>
      </c>
      <c r="F96" s="9" t="str">
        <f ca="1">VLOOKUP($E96,OFFSET([1]characters!$A$2,0,0,COUNTA([1]characters!$A:$A),MATCH(F$1,[1]characters!$2:$2,0)-MATCH($E$1,[1]characters!$2:$2,0)+1),MATCH(F$1,[1]characters!$2:$2,0)-MATCH($E$1,[1]characters!$2:$2,0)+1,FALSE)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96" s="9" t="str">
        <f ca="1">VLOOKUP($E96,OFFSET([1]characters!$A$2,0,0,COUNTA([1]characters!$A:$A),MATCH(G$1,[1]characters!$2:$2,0)-MATCH($E$1,[1]characters!$2:$2,0)+1),MATCH(G$1,[1]characters!$2:$2,0)-MATCH($E$1,[1]characters!$2:$2,0)+1,FALSE)</f>
        <v>PremiumN</v>
      </c>
      <c r="H96" s="9">
        <f ca="1">VLOOKUP($E96,OFFSET([1]characters!$A$2,0,0,COUNTA([1]characters!$A:$A),MATCH(H$1,[1]characters!$2:$2,0)-MATCH($E$1,[1]characters!$2:$2,0)+1),MATCH(H$1,[1]characters!$2:$2,0)-MATCH($E$1,[1]characters!$2:$2,0)+1,FALSE)</f>
        <v>5</v>
      </c>
      <c r="I96" s="9" t="str">
        <f ca="1">VLOOKUP($E96,OFFSET([1]characters!$A$2,0,0,COUNTA([1]characters!$A:$A),MATCH(I$1,[1]characters!$2:$2,0)-MATCH($E$1,[1]characters!$2:$2,0)+1),MATCH(I$1,[1]characters!$2:$2,0)-MATCH($E$1,[1]characters!$2:$2,0)+1,FALSE)</f>
        <v>blue</v>
      </c>
      <c r="J96" s="9" t="str">
        <f ca="1">VLOOKUP($E96,OFFSET([1]characters!$A$2,0,0,COUNTA([1]characters!$A:$A),MATCH("タイプ",[1]characters!$1:$1,0)-MATCH($E$1,[1]characters!$2:$2,0)+2),MATCH("タイプ",[1]characters!$1:$1,0)-MATCH($E$1,[1]characters!$2:$2,0)+2,FALSE)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6" s="9" t="str">
        <f ca="1">VLOOKUP($E96,OFFSET([1]characters!$A$2,0,0,COUNTA([1]characters!$A:$A),MATCH($K$1,[1]characters!$1:$1,0)-MATCH($E$1,[1]characters!$2:$2,0)+2),MATCH($K$1,[1]characters!$1:$1,0)-MATCH($E$1,[1]characters!$2:$2,0)+2,FALSE)</f>
        <v>アニマル</v>
      </c>
      <c r="L96" s="5">
        <v>1</v>
      </c>
      <c r="M96" s="35">
        <f ca="1">VLOOKUP(C96,gacha_100_base!A:K,11,FALSE)</f>
        <v>241</v>
      </c>
      <c r="N96" s="26">
        <v>0</v>
      </c>
      <c r="O96" s="26">
        <v>0</v>
      </c>
      <c r="P96" s="26">
        <v>0</v>
      </c>
      <c r="Q96" s="26">
        <v>0</v>
      </c>
      <c r="R96" s="26">
        <v>1</v>
      </c>
    </row>
    <row r="97" spans="1:18" ht="21" customHeight="1">
      <c r="A97" s="7" t="str">
        <f t="shared" si="6"/>
        <v>1001891</v>
      </c>
      <c r="B97" s="2">
        <v>100</v>
      </c>
      <c r="C97" s="9" t="str">
        <f t="shared" ca="1" si="7"/>
        <v>PremiumN5</v>
      </c>
      <c r="D97" s="9" t="str">
        <f t="shared" si="8"/>
        <v/>
      </c>
      <c r="E97" s="6">
        <v>189</v>
      </c>
      <c r="F97" s="9" t="str">
        <f ca="1">VLOOKUP($E97,OFFSET([1]characters!$A$2,0,0,COUNTA([1]characters!$A:$A),MATCH(F$1,[1]characters!$2:$2,0)-MATCH($E$1,[1]characters!$2:$2,0)+1),MATCH(F$1,[1]characters!$2:$2,0)-MATCH($E$1,[1]characters!$2:$2,0)+1,FALSE)</f>
        <v>迅雷の王禽 ホルス</v>
      </c>
      <c r="G97" s="9" t="str">
        <f ca="1">VLOOKUP($E97,OFFSET([1]characters!$A$2,0,0,COUNTA([1]characters!$A:$A),MATCH(G$1,[1]characters!$2:$2,0)-MATCH($E$1,[1]characters!$2:$2,0)+1),MATCH(G$1,[1]characters!$2:$2,0)-MATCH($E$1,[1]characters!$2:$2,0)+1,FALSE)</f>
        <v>PremiumN</v>
      </c>
      <c r="H97" s="9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9" t="str">
        <f ca="1">VLOOKUP($E97,OFFSET([1]characters!$A$2,0,0,COUNTA([1]characters!$A:$A),MATCH(I$1,[1]characters!$2:$2,0)-MATCH($E$1,[1]characters!$2:$2,0)+1),MATCH(I$1,[1]characters!$2:$2,0)-MATCH($E$1,[1]characters!$2:$2,0)+1,FALSE)</f>
        <v>yellow</v>
      </c>
      <c r="J97" s="9" t="str">
        <f ca="1">VLOOKUP($E97,OFFSET([1]characters!$A$2,0,0,COUNTA([1]characters!$A:$A),MATCH("タイプ",[1]characters!$1:$1,0)-MATCH($E$1,[1]characters!$2:$2,0)+2),MATCH("タイプ",[1]characters!$1:$1,0)-MATCH($E$1,[1]characters!$2:$2,0)+2,FALSE)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7" s="9" t="str">
        <f ca="1">VLOOKUP($E97,OFFSET([1]characters!$A$2,0,0,COUNTA([1]characters!$A:$A),MATCH($K$1,[1]characters!$1:$1,0)-MATCH($E$1,[1]characters!$2:$2,0)+2),MATCH($K$1,[1]characters!$1:$1,0)-MATCH($E$1,[1]characters!$2:$2,0)+2,FALSE)</f>
        <v>アニマル</v>
      </c>
      <c r="L97" s="5">
        <v>1</v>
      </c>
      <c r="M97" s="35">
        <f ca="1">VLOOKUP(C97,gacha_100_base!A:K,11,FALSE)</f>
        <v>241</v>
      </c>
      <c r="N97" s="26">
        <v>0</v>
      </c>
      <c r="O97" s="26">
        <v>0</v>
      </c>
      <c r="P97" s="26">
        <v>0</v>
      </c>
      <c r="Q97" s="26">
        <v>0</v>
      </c>
      <c r="R97" s="26">
        <v>1</v>
      </c>
    </row>
    <row r="98" spans="1:18" ht="21" customHeight="1">
      <c r="A98" s="7" t="str">
        <f t="shared" si="6"/>
        <v>1001921</v>
      </c>
      <c r="B98" s="2">
        <v>100</v>
      </c>
      <c r="C98" s="9" t="str">
        <f t="shared" ca="1" si="7"/>
        <v>PremiumN5</v>
      </c>
      <c r="D98" s="9" t="str">
        <f t="shared" si="8"/>
        <v/>
      </c>
      <c r="E98" s="6">
        <v>192</v>
      </c>
      <c r="F98" s="9" t="str">
        <f ca="1">VLOOKUP($E98,OFFSET([1]characters!$A$2,0,0,COUNTA([1]characters!$A:$A),MATCH(F$1,[1]characters!$2:$2,0)-MATCH($E$1,[1]characters!$2:$2,0)+1),MATCH(F$1,[1]characters!$2:$2,0)-MATCH($E$1,[1]characters!$2:$2,0)+1,FALSE)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98" s="9" t="str">
        <f ca="1">VLOOKUP($E98,OFFSET([1]characters!$A$2,0,0,COUNTA([1]characters!$A:$A),MATCH(G$1,[1]characters!$2:$2,0)-MATCH($E$1,[1]characters!$2:$2,0)+1),MATCH(G$1,[1]characters!$2:$2,0)-MATCH($E$1,[1]characters!$2:$2,0)+1,FALSE)</f>
        <v>PremiumN</v>
      </c>
      <c r="H98" s="9">
        <f ca="1">VLOOKUP($E98,OFFSET([1]characters!$A$2,0,0,COUNTA([1]characters!$A:$A),MATCH(H$1,[1]characters!$2:$2,0)-MATCH($E$1,[1]characters!$2:$2,0)+1),MATCH(H$1,[1]characters!$2:$2,0)-MATCH($E$1,[1]characters!$2:$2,0)+1,FALSE)</f>
        <v>5</v>
      </c>
      <c r="I98" s="9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9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9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5">
        <v>1</v>
      </c>
      <c r="M98" s="35">
        <f ca="1">VLOOKUP(C98,gacha_100_base!A:K,11,FALSE)</f>
        <v>241</v>
      </c>
      <c r="N98" s="26">
        <v>0</v>
      </c>
      <c r="O98" s="26">
        <v>0</v>
      </c>
      <c r="P98" s="26">
        <v>0</v>
      </c>
      <c r="Q98" s="26">
        <v>0</v>
      </c>
      <c r="R98" s="26">
        <v>1</v>
      </c>
    </row>
    <row r="99" spans="1:18" ht="21" customHeight="1">
      <c r="A99" s="7" t="str">
        <f t="shared" si="6"/>
        <v>1001951</v>
      </c>
      <c r="B99" s="2">
        <v>100</v>
      </c>
      <c r="C99" s="9" t="str">
        <f t="shared" ca="1" si="7"/>
        <v>PremiumN5</v>
      </c>
      <c r="D99" s="9" t="str">
        <f t="shared" si="8"/>
        <v/>
      </c>
      <c r="E99" s="6">
        <v>195</v>
      </c>
      <c r="F99" s="9" t="str">
        <f ca="1">VLOOKUP($E99,OFFSET([1]characters!$A$2,0,0,COUNTA([1]characters!$A:$A),MATCH(F$1,[1]characters!$2:$2,0)-MATCH($E$1,[1]characters!$2:$2,0)+1),MATCH(F$1,[1]characters!$2:$2,0)-MATCH($E$1,[1]characters!$2:$2,0)+1,FALSE)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99" s="9" t="str">
        <f ca="1">VLOOKUP($E99,OFFSET([1]characters!$A$2,0,0,COUNTA([1]characters!$A:$A),MATCH(G$1,[1]characters!$2:$2,0)-MATCH($E$1,[1]characters!$2:$2,0)+1),MATCH(G$1,[1]characters!$2:$2,0)-MATCH($E$1,[1]characters!$2:$2,0)+1,FALSE)</f>
        <v>PremiumN</v>
      </c>
      <c r="H99" s="9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9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9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9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5">
        <v>1</v>
      </c>
      <c r="M99" s="35">
        <f ca="1">VLOOKUP(C99,gacha_100_base!A:K,11,FALSE)</f>
        <v>241</v>
      </c>
      <c r="N99" s="26">
        <v>0</v>
      </c>
      <c r="O99" s="26">
        <v>0</v>
      </c>
      <c r="P99" s="26">
        <v>0</v>
      </c>
      <c r="Q99" s="26">
        <v>0</v>
      </c>
      <c r="R99" s="26">
        <v>1</v>
      </c>
    </row>
    <row r="100" spans="1:18" ht="21" customHeight="1">
      <c r="A100" s="7" t="str">
        <f t="shared" si="6"/>
        <v>1001981</v>
      </c>
      <c r="B100" s="2">
        <v>100</v>
      </c>
      <c r="C100" s="9" t="str">
        <f t="shared" ca="1" si="7"/>
        <v>PremiumN5</v>
      </c>
      <c r="D100" s="9" t="str">
        <f t="shared" si="8"/>
        <v/>
      </c>
      <c r="E100" s="6">
        <v>198</v>
      </c>
      <c r="F100" s="9" t="str">
        <f ca="1">VLOOKUP($E100,OFFSET([1]characters!$A$2,0,0,COUNTA([1]characters!$A:$A),MATCH(F$1,[1]characters!$2:$2,0)-MATCH($E$1,[1]characters!$2:$2,0)+1),MATCH(F$1,[1]characters!$2:$2,0)-MATCH($E$1,[1]characters!$2:$2,0)+1,FALSE)</f>
        <v>砕骨の剛腕 アキレス</v>
      </c>
      <c r="G100" s="9" t="str">
        <f ca="1">VLOOKUP($E100,OFFSET([1]characters!$A$2,0,0,COUNTA([1]characters!$A:$A),MATCH(G$1,[1]characters!$2:$2,0)-MATCH($E$1,[1]characters!$2:$2,0)+1),MATCH(G$1,[1]characters!$2:$2,0)-MATCH($E$1,[1]characters!$2:$2,0)+1,FALSE)</f>
        <v>PremiumN</v>
      </c>
      <c r="H100" s="9">
        <f ca="1">VLOOKUP($E100,OFFSET([1]characters!$A$2,0,0,COUNTA([1]characters!$A:$A),MATCH(H$1,[1]characters!$2:$2,0)-MATCH($E$1,[1]characters!$2:$2,0)+1),MATCH(H$1,[1]characters!$2:$2,0)-MATCH($E$1,[1]characters!$2:$2,0)+1,FALSE)</f>
        <v>5</v>
      </c>
      <c r="I100" s="9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9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9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5">
        <v>1</v>
      </c>
      <c r="M100" s="35">
        <f ca="1">VLOOKUP(C100,gacha_100_base!A:K,11,FALSE)</f>
        <v>241</v>
      </c>
      <c r="N100" s="26">
        <v>0</v>
      </c>
      <c r="O100" s="26">
        <v>0</v>
      </c>
      <c r="P100" s="26">
        <v>0</v>
      </c>
      <c r="Q100" s="26">
        <v>0</v>
      </c>
      <c r="R100" s="26">
        <v>1</v>
      </c>
    </row>
    <row r="101" spans="1:18" ht="21" customHeight="1">
      <c r="A101" s="7" t="str">
        <f t="shared" si="6"/>
        <v>1002011</v>
      </c>
      <c r="B101" s="2">
        <v>100</v>
      </c>
      <c r="C101" s="9" t="str">
        <f t="shared" ca="1" si="7"/>
        <v>PremiumN5</v>
      </c>
      <c r="D101" s="9" t="str">
        <f t="shared" si="8"/>
        <v/>
      </c>
      <c r="E101" s="6">
        <v>201</v>
      </c>
      <c r="F101" s="9" t="str">
        <f ca="1">VLOOKUP($E101,OFFSET([1]characters!$A$2,0,0,COUNTA([1]characters!$A:$A),MATCH(F$1,[1]characters!$2:$2,0)-MATCH($E$1,[1]characters!$2:$2,0)+1),MATCH(F$1,[1]characters!$2:$2,0)-MATCH($E$1,[1]characters!$2:$2,0)+1,FALSE)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01" s="9" t="str">
        <f ca="1">VLOOKUP($E101,OFFSET([1]characters!$A$2,0,0,COUNTA([1]characters!$A:$A),MATCH(G$1,[1]characters!$2:$2,0)-MATCH($E$1,[1]characters!$2:$2,0)+1),MATCH(G$1,[1]characters!$2:$2,0)-MATCH($E$1,[1]characters!$2:$2,0)+1,FALSE)</f>
        <v>PremiumN</v>
      </c>
      <c r="H101" s="9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9" t="str">
        <f ca="1">VLOOKUP($E101,OFFSET([1]characters!$A$2,0,0,COUNTA([1]characters!$A:$A),MATCH(I$1,[1]characters!$2:$2,0)-MATCH($E$1,[1]characters!$2:$2,0)+1),MATCH(I$1,[1]characters!$2:$2,0)-MATCH($E$1,[1]characters!$2:$2,0)+1,FALSE)</f>
        <v>blue</v>
      </c>
      <c r="J101" s="9" t="str">
        <f ca="1">VLOOKUP($E101,OFFSET([1]characters!$A$2,0,0,COUNTA([1]characters!$A:$A),MATCH("タイプ",[1]characters!$1:$1,0)-MATCH($E$1,[1]characters!$2:$2,0)+2),MATCH("タイプ",[1]characters!$1:$1,0)-MATCH($E$1,[1]characters!$2:$2,0)+2,FALSE)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1" s="9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5">
        <v>1</v>
      </c>
      <c r="M101" s="35">
        <f ca="1">VLOOKUP(C101,gacha_100_base!A:K,11,FALSE)</f>
        <v>241</v>
      </c>
      <c r="N101" s="26">
        <v>0</v>
      </c>
      <c r="O101" s="26">
        <v>0</v>
      </c>
      <c r="P101" s="26">
        <v>0</v>
      </c>
      <c r="Q101" s="26">
        <v>0</v>
      </c>
      <c r="R101" s="26">
        <v>1</v>
      </c>
    </row>
    <row r="102" spans="1:18" ht="21" customHeight="1">
      <c r="A102" s="7" t="str">
        <f t="shared" si="6"/>
        <v>1002041</v>
      </c>
      <c r="B102" s="2">
        <v>100</v>
      </c>
      <c r="C102" s="9" t="str">
        <f t="shared" ca="1" si="7"/>
        <v>PremiumN5</v>
      </c>
      <c r="D102" s="9" t="str">
        <f t="shared" si="8"/>
        <v/>
      </c>
      <c r="E102" s="6">
        <v>204</v>
      </c>
      <c r="F102" s="9" t="str">
        <f ca="1">VLOOKUP($E102,OFFSET([1]characters!$A$2,0,0,COUNTA([1]characters!$A:$A),MATCH(F$1,[1]characters!$2:$2,0)-MATCH($E$1,[1]characters!$2:$2,0)+1),MATCH(F$1,[1]characters!$2:$2,0)-MATCH($E$1,[1]characters!$2:$2,0)+1,FALSE)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02" s="9" t="str">
        <f ca="1">VLOOKUP($E102,OFFSET([1]characters!$A$2,0,0,COUNTA([1]characters!$A:$A),MATCH(G$1,[1]characters!$2:$2,0)-MATCH($E$1,[1]characters!$2:$2,0)+1),MATCH(G$1,[1]characters!$2:$2,0)-MATCH($E$1,[1]characters!$2:$2,0)+1,FALSE)</f>
        <v>PremiumN</v>
      </c>
      <c r="H102" s="9">
        <f ca="1">VLOOKUP($E102,OFFSET([1]characters!$A$2,0,0,COUNTA([1]characters!$A:$A),MATCH(H$1,[1]characters!$2:$2,0)-MATCH($E$1,[1]characters!$2:$2,0)+1),MATCH(H$1,[1]characters!$2:$2,0)-MATCH($E$1,[1]characters!$2:$2,0)+1,FALSE)</f>
        <v>5</v>
      </c>
      <c r="I102" s="9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9" t="str">
        <f ca="1">VLOOKUP($E102,OFFSET([1]characters!$A$2,0,0,COUNTA([1]characters!$A:$A),MATCH("タイプ",[1]characters!$1:$1,0)-MATCH($E$1,[1]characters!$2:$2,0)+2),MATCH("タイプ",[1]characters!$1:$1,0)-MATCH($E$1,[1]characters!$2:$2,0)+2,FALSE)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2" s="9" t="str">
        <f ca="1">VLOOKUP($E102,OFFSET([1]characters!$A$2,0,0,COUNTA([1]characters!$A:$A),MATCH($K$1,[1]characters!$1:$1,0)-MATCH($E$1,[1]characters!$2:$2,0)+2),MATCH($K$1,[1]characters!$1:$1,0)-MATCH($E$1,[1]characters!$2:$2,0)+2,FALSE)</f>
        <v>ゴッド</v>
      </c>
      <c r="L102" s="5">
        <v>1</v>
      </c>
      <c r="M102" s="35">
        <f ca="1">VLOOKUP(C102,gacha_100_base!A:K,11,FALSE)</f>
        <v>241</v>
      </c>
      <c r="N102" s="26">
        <v>0</v>
      </c>
      <c r="O102" s="26">
        <v>0</v>
      </c>
      <c r="P102" s="26">
        <v>0</v>
      </c>
      <c r="Q102" s="26">
        <v>0</v>
      </c>
      <c r="R102" s="26">
        <v>1</v>
      </c>
    </row>
    <row r="103" spans="1:18" ht="21" customHeight="1">
      <c r="A103" s="7" t="str">
        <f t="shared" si="6"/>
        <v>1002071</v>
      </c>
      <c r="B103" s="2">
        <v>100</v>
      </c>
      <c r="C103" s="9" t="str">
        <f t="shared" ca="1" si="7"/>
        <v>PremiumN5</v>
      </c>
      <c r="D103" s="9" t="str">
        <f t="shared" si="8"/>
        <v/>
      </c>
      <c r="E103" s="6">
        <v>207</v>
      </c>
      <c r="F103" s="9" t="str">
        <f ca="1">VLOOKUP($E103,OFFSET([1]characters!$A$2,0,0,COUNTA([1]characters!$A:$A),MATCH(F$1,[1]characters!$2:$2,0)-MATCH($E$1,[1]characters!$2:$2,0)+1),MATCH(F$1,[1]characters!$2:$2,0)-MATCH($E$1,[1]characters!$2:$2,0)+1,FALSE)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03" s="9" t="str">
        <f ca="1">VLOOKUP($E103,OFFSET([1]characters!$A$2,0,0,COUNTA([1]characters!$A:$A),MATCH(G$1,[1]characters!$2:$2,0)-MATCH($E$1,[1]characters!$2:$2,0)+1),MATCH(G$1,[1]characters!$2:$2,0)-MATCH($E$1,[1]characters!$2:$2,0)+1,FALSE)</f>
        <v>PremiumN</v>
      </c>
      <c r="H103" s="9">
        <f ca="1">VLOOKUP($E103,OFFSET([1]characters!$A$2,0,0,COUNTA([1]characters!$A:$A),MATCH(H$1,[1]characters!$2:$2,0)-MATCH($E$1,[1]characters!$2:$2,0)+1),MATCH(H$1,[1]characters!$2:$2,0)-MATCH($E$1,[1]characters!$2:$2,0)+1,FALSE)</f>
        <v>5</v>
      </c>
      <c r="I103" s="9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9" t="str">
        <f ca="1">VLOOKUP($E103,OFFSET([1]characters!$A$2,0,0,COUNTA([1]characters!$A:$A),MATCH("タイプ",[1]characters!$1:$1,0)-MATCH($E$1,[1]characters!$2:$2,0)+2),MATCH("タイプ",[1]characters!$1:$1,0)-MATCH($E$1,[1]characters!$2:$2,0)+2,FALSE)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3" s="9" t="str">
        <f ca="1">VLOOKUP($E103,OFFSET([1]characters!$A$2,0,0,COUNTA([1]characters!$A:$A),MATCH($K$1,[1]characters!$1:$1,0)-MATCH($E$1,[1]characters!$2:$2,0)+2),MATCH($K$1,[1]characters!$1:$1,0)-MATCH($E$1,[1]characters!$2:$2,0)+2,FALSE)</f>
        <v>ゴッド</v>
      </c>
      <c r="L103" s="5">
        <v>1</v>
      </c>
      <c r="M103" s="35">
        <f ca="1">VLOOKUP(C103,gacha_100_base!A:K,11,FALSE)</f>
        <v>241</v>
      </c>
      <c r="N103" s="26">
        <v>0</v>
      </c>
      <c r="O103" s="26">
        <v>0</v>
      </c>
      <c r="P103" s="26">
        <v>0</v>
      </c>
      <c r="Q103" s="26">
        <v>0</v>
      </c>
      <c r="R103" s="26">
        <v>1</v>
      </c>
    </row>
    <row r="104" spans="1:18" ht="21" customHeight="1">
      <c r="A104" s="7" t="str">
        <f t="shared" si="6"/>
        <v>1002101</v>
      </c>
      <c r="B104" s="2">
        <v>100</v>
      </c>
      <c r="C104" s="9" t="str">
        <f t="shared" ca="1" si="7"/>
        <v>PremiumN5</v>
      </c>
      <c r="D104" s="9" t="str">
        <f t="shared" si="8"/>
        <v/>
      </c>
      <c r="E104" s="6">
        <v>210</v>
      </c>
      <c r="F104" s="9" t="str">
        <f ca="1">VLOOKUP($E104,OFFSET([1]characters!$A$2,0,0,COUNTA([1]characters!$A:$A),MATCH(F$1,[1]characters!$2:$2,0)-MATCH($E$1,[1]characters!$2:$2,0)+1),MATCH(F$1,[1]characters!$2:$2,0)-MATCH($E$1,[1]characters!$2:$2,0)+1,FALSE)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04" s="9" t="str">
        <f ca="1">VLOOKUP($E104,OFFSET([1]characters!$A$2,0,0,COUNTA([1]characters!$A:$A),MATCH(G$1,[1]characters!$2:$2,0)-MATCH($E$1,[1]characters!$2:$2,0)+1),MATCH(G$1,[1]characters!$2:$2,0)-MATCH($E$1,[1]characters!$2:$2,0)+1,FALSE)</f>
        <v>PremiumN</v>
      </c>
      <c r="H104" s="9">
        <f ca="1">VLOOKUP($E104,OFFSET([1]characters!$A$2,0,0,COUNTA([1]characters!$A:$A),MATCH(H$1,[1]characters!$2:$2,0)-MATCH($E$1,[1]characters!$2:$2,0)+1),MATCH(H$1,[1]characters!$2:$2,0)-MATCH($E$1,[1]characters!$2:$2,0)+1,FALSE)</f>
        <v>5</v>
      </c>
      <c r="I104" s="9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9" t="str">
        <f ca="1">VLOOKUP($E104,OFFSET([1]characters!$A$2,0,0,COUNTA([1]characters!$A:$A),MATCH("タイプ",[1]characters!$1:$1,0)-MATCH($E$1,[1]characters!$2:$2,0)+2),MATCH("タイプ",[1]characters!$1:$1,0)-MATCH($E$1,[1]characters!$2:$2,0)+2,FALSE)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4" s="9" t="str">
        <f ca="1">VLOOKUP($E104,OFFSET([1]characters!$A$2,0,0,COUNTA([1]characters!$A:$A),MATCH($K$1,[1]characters!$1:$1,0)-MATCH($E$1,[1]characters!$2:$2,0)+2),MATCH($K$1,[1]characters!$1:$1,0)-MATCH($E$1,[1]characters!$2:$2,0)+2,FALSE)</f>
        <v>ゴッド</v>
      </c>
      <c r="L104" s="5">
        <v>1</v>
      </c>
      <c r="M104" s="35">
        <f ca="1">VLOOKUP(C104,gacha_100_base!A:K,11,FALSE)</f>
        <v>241</v>
      </c>
      <c r="N104" s="26">
        <v>0</v>
      </c>
      <c r="O104" s="26">
        <v>0</v>
      </c>
      <c r="P104" s="26">
        <v>0</v>
      </c>
      <c r="Q104" s="26">
        <v>0</v>
      </c>
      <c r="R104" s="26">
        <v>1</v>
      </c>
    </row>
    <row r="105" spans="1:18" ht="21" customHeight="1">
      <c r="A105" s="7" t="str">
        <f t="shared" si="6"/>
        <v>1002131</v>
      </c>
      <c r="B105" s="2">
        <v>100</v>
      </c>
      <c r="C105" s="9" t="str">
        <f t="shared" ca="1" si="7"/>
        <v>PremiumN5</v>
      </c>
      <c r="D105" s="9" t="str">
        <f t="shared" si="8"/>
        <v/>
      </c>
      <c r="E105" s="6">
        <v>213</v>
      </c>
      <c r="F105" s="9" t="str">
        <f ca="1">VLOOKUP($E105,OFFSET([1]characters!$A$2,0,0,COUNTA([1]characters!$A:$A),MATCH(F$1,[1]characters!$2:$2,0)-MATCH($E$1,[1]characters!$2:$2,0)+1),MATCH(F$1,[1]characters!$2:$2,0)-MATCH($E$1,[1]characters!$2:$2,0)+1,FALSE)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05" s="9" t="str">
        <f ca="1">VLOOKUP($E105,OFFSET([1]characters!$A$2,0,0,COUNTA([1]characters!$A:$A),MATCH(G$1,[1]characters!$2:$2,0)-MATCH($E$1,[1]characters!$2:$2,0)+1),MATCH(G$1,[1]characters!$2:$2,0)-MATCH($E$1,[1]characters!$2:$2,0)+1,FALSE)</f>
        <v>PremiumN</v>
      </c>
      <c r="H105" s="9">
        <f ca="1">VLOOKUP($E105,OFFSET([1]characters!$A$2,0,0,COUNTA([1]characters!$A:$A),MATCH(H$1,[1]characters!$2:$2,0)-MATCH($E$1,[1]characters!$2:$2,0)+1),MATCH(H$1,[1]characters!$2:$2,0)-MATCH($E$1,[1]characters!$2:$2,0)+1,FALSE)</f>
        <v>5</v>
      </c>
      <c r="I105" s="9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9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9" t="str">
        <f ca="1">VLOOKUP($E105,OFFSET([1]characters!$A$2,0,0,COUNTA([1]characters!$A:$A),MATCH($K$1,[1]characters!$1:$1,0)-MATCH($E$1,[1]characters!$2:$2,0)+2),MATCH($K$1,[1]characters!$1:$1,0)-MATCH($E$1,[1]characters!$2:$2,0)+2,FALSE)</f>
        <v>ゴッド</v>
      </c>
      <c r="L105" s="5">
        <v>1</v>
      </c>
      <c r="M105" s="35">
        <f ca="1">VLOOKUP(C105,gacha_100_base!A:K,11,FALSE)</f>
        <v>241</v>
      </c>
      <c r="N105" s="26">
        <v>0</v>
      </c>
      <c r="O105" s="26">
        <v>0</v>
      </c>
      <c r="P105" s="26">
        <v>0</v>
      </c>
      <c r="Q105" s="26">
        <v>0</v>
      </c>
      <c r="R105" s="26">
        <v>1</v>
      </c>
    </row>
    <row r="106" spans="1:18" ht="21" customHeight="1">
      <c r="A106" s="7" t="str">
        <f t="shared" si="6"/>
        <v>1002161</v>
      </c>
      <c r="B106" s="2">
        <v>100</v>
      </c>
      <c r="C106" s="9" t="str">
        <f t="shared" ca="1" si="7"/>
        <v>PremiumN5</v>
      </c>
      <c r="D106" s="9" t="str">
        <f t="shared" si="8"/>
        <v/>
      </c>
      <c r="E106" s="6">
        <v>216</v>
      </c>
      <c r="F106" s="9" t="str">
        <f ca="1">VLOOKUP($E106,OFFSET([1]characters!$A$2,0,0,COUNTA([1]characters!$A:$A),MATCH(F$1,[1]characters!$2:$2,0)-MATCH($E$1,[1]characters!$2:$2,0)+1),MATCH(F$1,[1]characters!$2:$2,0)-MATCH($E$1,[1]characters!$2:$2,0)+1,FALSE)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06" s="9" t="str">
        <f ca="1">VLOOKUP($E106,OFFSET([1]characters!$A$2,0,0,COUNTA([1]characters!$A:$A),MATCH(G$1,[1]characters!$2:$2,0)-MATCH($E$1,[1]characters!$2:$2,0)+1),MATCH(G$1,[1]characters!$2:$2,0)-MATCH($E$1,[1]characters!$2:$2,0)+1,FALSE)</f>
        <v>PremiumN</v>
      </c>
      <c r="H106" s="9">
        <f ca="1">VLOOKUP($E106,OFFSET([1]characters!$A$2,0,0,COUNTA([1]characters!$A:$A),MATCH(H$1,[1]characters!$2:$2,0)-MATCH($E$1,[1]characters!$2:$2,0)+1),MATCH(H$1,[1]characters!$2:$2,0)-MATCH($E$1,[1]characters!$2:$2,0)+1,FALSE)</f>
        <v>5</v>
      </c>
      <c r="I106" s="9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9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9" t="str">
        <f ca="1">VLOOKUP($E106,OFFSET([1]characters!$A$2,0,0,COUNTA([1]characters!$A:$A),MATCH($K$1,[1]characters!$1:$1,0)-MATCH($E$1,[1]characters!$2:$2,0)+2),MATCH($K$1,[1]characters!$1:$1,0)-MATCH($E$1,[1]characters!$2:$2,0)+2,FALSE)</f>
        <v>ゴッド</v>
      </c>
      <c r="L106" s="5">
        <v>1</v>
      </c>
      <c r="M106" s="35">
        <f ca="1">VLOOKUP(C106,gacha_100_base!A:K,11,FALSE)</f>
        <v>241</v>
      </c>
      <c r="N106" s="26">
        <v>0</v>
      </c>
      <c r="O106" s="26">
        <v>0</v>
      </c>
      <c r="P106" s="26">
        <v>0</v>
      </c>
      <c r="Q106" s="26">
        <v>0</v>
      </c>
      <c r="R106" s="26">
        <v>1</v>
      </c>
    </row>
    <row r="107" spans="1:18" ht="21" customHeight="1">
      <c r="A107" s="7" t="str">
        <f t="shared" si="6"/>
        <v>1002191</v>
      </c>
      <c r="B107" s="2">
        <v>100</v>
      </c>
      <c r="C107" s="9" t="str">
        <f t="shared" ca="1" si="7"/>
        <v>PremiumN5</v>
      </c>
      <c r="D107" s="9" t="str">
        <f t="shared" si="8"/>
        <v/>
      </c>
      <c r="E107" s="6">
        <v>219</v>
      </c>
      <c r="F107" s="9" t="str">
        <f ca="1">VLOOKUP($E107,OFFSET([1]characters!$A$2,0,0,COUNTA([1]characters!$A:$A),MATCH(F$1,[1]characters!$2:$2,0)-MATCH($E$1,[1]characters!$2:$2,0)+1),MATCH(F$1,[1]characters!$2:$2,0)-MATCH($E$1,[1]characters!$2:$2,0)+1,FALSE)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07" s="9" t="str">
        <f ca="1">VLOOKUP($E107,OFFSET([1]characters!$A$2,0,0,COUNTA([1]characters!$A:$A),MATCH(G$1,[1]characters!$2:$2,0)-MATCH($E$1,[1]characters!$2:$2,0)+1),MATCH(G$1,[1]characters!$2:$2,0)-MATCH($E$1,[1]characters!$2:$2,0)+1,FALSE)</f>
        <v>PremiumN</v>
      </c>
      <c r="H107" s="9">
        <f ca="1">VLOOKUP($E107,OFFSET([1]characters!$A$2,0,0,COUNTA([1]characters!$A:$A),MATCH(H$1,[1]characters!$2:$2,0)-MATCH($E$1,[1]characters!$2:$2,0)+1),MATCH(H$1,[1]characters!$2:$2,0)-MATCH($E$1,[1]characters!$2:$2,0)+1,FALSE)</f>
        <v>5</v>
      </c>
      <c r="I107" s="9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9" t="str">
        <f ca="1">VLOOKUP($E107,OFFSET([1]characters!$A$2,0,0,COUNTA([1]characters!$A:$A),MATCH("タイプ",[1]characters!$1:$1,0)-MATCH($E$1,[1]characters!$2:$2,0)+2),MATCH("タイプ",[1]characters!$1:$1,0)-MATCH($E$1,[1]characters!$2:$2,0)+2,FALSE)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7" s="9" t="str">
        <f ca="1">VLOOKUP($E107,OFFSET([1]characters!$A$2,0,0,COUNTA([1]characters!$A:$A),MATCH($K$1,[1]characters!$1:$1,0)-MATCH($E$1,[1]characters!$2:$2,0)+2),MATCH($K$1,[1]characters!$1:$1,0)-MATCH($E$1,[1]characters!$2:$2,0)+2,FALSE)</f>
        <v>ドラゴン</v>
      </c>
      <c r="L107" s="5">
        <v>1</v>
      </c>
      <c r="M107" s="35">
        <f ca="1">VLOOKUP(C107,gacha_100_base!A:K,11,FALSE)</f>
        <v>241</v>
      </c>
      <c r="N107" s="26">
        <v>0</v>
      </c>
      <c r="O107" s="26">
        <v>0</v>
      </c>
      <c r="P107" s="26">
        <v>0</v>
      </c>
      <c r="Q107" s="26">
        <v>0</v>
      </c>
      <c r="R107" s="26">
        <v>1</v>
      </c>
    </row>
    <row r="108" spans="1:18" ht="21" customHeight="1">
      <c r="A108" s="7" t="str">
        <f t="shared" si="6"/>
        <v>1002221</v>
      </c>
      <c r="B108" s="2">
        <v>100</v>
      </c>
      <c r="C108" s="9" t="str">
        <f t="shared" ca="1" si="7"/>
        <v>PremiumN5</v>
      </c>
      <c r="D108" s="9" t="str">
        <f t="shared" si="8"/>
        <v/>
      </c>
      <c r="E108" s="6">
        <v>222</v>
      </c>
      <c r="F108" s="9" t="str">
        <f ca="1">VLOOKUP($E108,OFFSET([1]characters!$A$2,0,0,COUNTA([1]characters!$A:$A),MATCH(F$1,[1]characters!$2:$2,0)-MATCH($E$1,[1]characters!$2:$2,0)+1),MATCH(F$1,[1]characters!$2:$2,0)-MATCH($E$1,[1]characters!$2:$2,0)+1,FALSE)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108" s="9" t="str">
        <f ca="1">VLOOKUP($E108,OFFSET([1]characters!$A$2,0,0,COUNTA([1]characters!$A:$A),MATCH(G$1,[1]characters!$2:$2,0)-MATCH($E$1,[1]characters!$2:$2,0)+1),MATCH(G$1,[1]characters!$2:$2,0)-MATCH($E$1,[1]characters!$2:$2,0)+1,FALSE)</f>
        <v>PremiumN</v>
      </c>
      <c r="H108" s="9">
        <f ca="1">VLOOKUP($E108,OFFSET([1]characters!$A$2,0,0,COUNTA([1]characters!$A:$A),MATCH(H$1,[1]characters!$2:$2,0)-MATCH($E$1,[1]characters!$2:$2,0)+1),MATCH(H$1,[1]characters!$2:$2,0)-MATCH($E$1,[1]characters!$2:$2,0)+1,FALSE)</f>
        <v>5</v>
      </c>
      <c r="I108" s="9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9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9" t="str">
        <f ca="1">VLOOKUP($E108,OFFSET([1]characters!$A$2,0,0,COUNTA([1]characters!$A:$A),MATCH($K$1,[1]characters!$1:$1,0)-MATCH($E$1,[1]characters!$2:$2,0)+2),MATCH($K$1,[1]characters!$1:$1,0)-MATCH($E$1,[1]characters!$2:$2,0)+2,FALSE)</f>
        <v>ゴッド</v>
      </c>
      <c r="L108" s="5">
        <v>1</v>
      </c>
      <c r="M108" s="35">
        <f ca="1">VLOOKUP(C108,gacha_100_base!A:K,11,FALSE)</f>
        <v>241</v>
      </c>
      <c r="N108" s="26">
        <v>0</v>
      </c>
      <c r="O108" s="26">
        <v>0</v>
      </c>
      <c r="P108" s="26">
        <v>0</v>
      </c>
      <c r="Q108" s="26">
        <v>0</v>
      </c>
      <c r="R108" s="26">
        <v>1</v>
      </c>
    </row>
    <row r="109" spans="1:18" ht="21" customHeight="1">
      <c r="A109" s="7" t="str">
        <f t="shared" si="6"/>
        <v>1002251</v>
      </c>
      <c r="B109" s="2">
        <v>100</v>
      </c>
      <c r="C109" s="9" t="str">
        <f t="shared" ca="1" si="7"/>
        <v>PremiumN5</v>
      </c>
      <c r="D109" s="9" t="str">
        <f t="shared" si="8"/>
        <v/>
      </c>
      <c r="E109" s="6">
        <v>225</v>
      </c>
      <c r="F109" s="9" t="str">
        <f ca="1">VLOOKUP($E109,OFFSET([1]characters!$A$2,0,0,COUNTA([1]characters!$A:$A),MATCH(F$1,[1]characters!$2:$2,0)-MATCH($E$1,[1]characters!$2:$2,0)+1),MATCH(F$1,[1]characters!$2:$2,0)-MATCH($E$1,[1]characters!$2:$2,0)+1,FALSE)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109" s="9" t="str">
        <f ca="1">VLOOKUP($E109,OFFSET([1]characters!$A$2,0,0,COUNTA([1]characters!$A:$A),MATCH(G$1,[1]characters!$2:$2,0)-MATCH($E$1,[1]characters!$2:$2,0)+1),MATCH(G$1,[1]characters!$2:$2,0)-MATCH($E$1,[1]characters!$2:$2,0)+1,FALSE)</f>
        <v>PremiumN</v>
      </c>
      <c r="H109" s="9">
        <f ca="1">VLOOKUP($E109,OFFSET([1]characters!$A$2,0,0,COUNTA([1]characters!$A:$A),MATCH(H$1,[1]characters!$2:$2,0)-MATCH($E$1,[1]characters!$2:$2,0)+1),MATCH(H$1,[1]characters!$2:$2,0)-MATCH($E$1,[1]characters!$2:$2,0)+1,FALSE)</f>
        <v>5</v>
      </c>
      <c r="I109" s="9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9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9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5">
        <v>1</v>
      </c>
      <c r="M109" s="35">
        <f ca="1">VLOOKUP(C109,gacha_100_base!A:K,11,FALSE)</f>
        <v>241</v>
      </c>
      <c r="N109" s="26">
        <v>0</v>
      </c>
      <c r="O109" s="26">
        <v>0</v>
      </c>
      <c r="P109" s="26">
        <v>0</v>
      </c>
      <c r="Q109" s="26">
        <v>0</v>
      </c>
      <c r="R109" s="26">
        <v>1</v>
      </c>
    </row>
    <row r="110" spans="1:18" ht="21" customHeight="1">
      <c r="A110" s="7" t="str">
        <f t="shared" si="6"/>
        <v>1002281</v>
      </c>
      <c r="B110" s="2">
        <v>100</v>
      </c>
      <c r="C110" s="9" t="str">
        <f t="shared" ca="1" si="7"/>
        <v>PremiumS5</v>
      </c>
      <c r="D110" s="9" t="str">
        <f t="shared" si="8"/>
        <v/>
      </c>
      <c r="E110" s="6">
        <v>228</v>
      </c>
      <c r="F110" s="9" t="str">
        <f ca="1">VLOOKUP($E110,OFFSET([1]characters!$A$2,0,0,COUNTA([1]characters!$A:$A),MATCH(F$1,[1]characters!$2:$2,0)-MATCH($E$1,[1]characters!$2:$2,0)+1),MATCH(F$1,[1]characters!$2:$2,0)-MATCH($E$1,[1]characters!$2:$2,0)+1,FALSE)</f>
        <v>殲滅の掃射砲 アレス</v>
      </c>
      <c r="G110" s="9" t="str">
        <f ca="1">VLOOKUP($E110,OFFSET([1]characters!$A$2,0,0,COUNTA([1]characters!$A:$A),MATCH(G$1,[1]characters!$2:$2,0)-MATCH($E$1,[1]characters!$2:$2,0)+1),MATCH(G$1,[1]characters!$2:$2,0)-MATCH($E$1,[1]characters!$2:$2,0)+1,FALSE)</f>
        <v>PremiumS</v>
      </c>
      <c r="H110" s="9">
        <f ca="1">VLOOKUP($E110,OFFSET([1]characters!$A$2,0,0,COUNTA([1]characters!$A:$A),MATCH(H$1,[1]characters!$2:$2,0)-MATCH($E$1,[1]characters!$2:$2,0)+1),MATCH(H$1,[1]characters!$2:$2,0)-MATCH($E$1,[1]characters!$2:$2,0)+1,FALSE)</f>
        <v>5</v>
      </c>
      <c r="I110" s="9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9" t="str">
        <f ca="1">VLOOKUP($E110,OFFSET([1]characters!$A$2,0,0,COUNTA([1]characters!$A:$A),MATCH("タイプ",[1]characters!$1:$1,0)-MATCH($E$1,[1]characters!$2:$2,0)+2),MATCH("タイプ",[1]characters!$1:$1,0)-MATCH($E$1,[1]characters!$2:$2,0)+2,FALSE)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0" s="9" t="str">
        <f ca="1">VLOOKUP($E110,OFFSET([1]characters!$A$2,0,0,COUNTA([1]characters!$A:$A),MATCH($K$1,[1]characters!$1:$1,0)-MATCH($E$1,[1]characters!$2:$2,0)+2),MATCH($K$1,[1]characters!$1:$1,0)-MATCH($E$1,[1]characters!$2:$2,0)+2,FALSE)</f>
        <v>ゴッド</v>
      </c>
      <c r="L110" s="5">
        <v>1</v>
      </c>
      <c r="M110" s="35">
        <f ca="1">VLOOKUP(C110,gacha_100_base!A:K,11,FALSE)</f>
        <v>13</v>
      </c>
      <c r="N110" s="26">
        <v>0</v>
      </c>
      <c r="O110" s="26">
        <v>0</v>
      </c>
      <c r="P110" s="26">
        <v>0</v>
      </c>
      <c r="Q110" s="26">
        <v>0</v>
      </c>
      <c r="R110" s="26">
        <v>1</v>
      </c>
    </row>
    <row r="111" spans="1:18" ht="21" customHeight="1">
      <c r="A111" s="7" t="str">
        <f t="shared" si="6"/>
        <v>1002311</v>
      </c>
      <c r="B111" s="2">
        <v>100</v>
      </c>
      <c r="C111" s="9" t="str">
        <f t="shared" ca="1" si="7"/>
        <v>PremiumS5</v>
      </c>
      <c r="D111" s="9" t="str">
        <f t="shared" si="8"/>
        <v/>
      </c>
      <c r="E111" s="6">
        <v>231</v>
      </c>
      <c r="F111" s="9" t="str">
        <f ca="1">VLOOKUP($E111,OFFSET([1]characters!$A$2,0,0,COUNTA([1]characters!$A:$A),MATCH(F$1,[1]characters!$2:$2,0)-MATCH($E$1,[1]characters!$2:$2,0)+1),MATCH(F$1,[1]characters!$2:$2,0)-MATCH($E$1,[1]characters!$2:$2,0)+1,FALSE)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11" s="9" t="str">
        <f ca="1">VLOOKUP($E111,OFFSET([1]characters!$A$2,0,0,COUNTA([1]characters!$A:$A),MATCH(G$1,[1]characters!$2:$2,0)-MATCH($E$1,[1]characters!$2:$2,0)+1),MATCH(G$1,[1]characters!$2:$2,0)-MATCH($E$1,[1]characters!$2:$2,0)+1,FALSE)</f>
        <v>PremiumS</v>
      </c>
      <c r="H111" s="9">
        <f ca="1">VLOOKUP($E111,OFFSET([1]characters!$A$2,0,0,COUNTA([1]characters!$A:$A),MATCH(H$1,[1]characters!$2:$2,0)-MATCH($E$1,[1]characters!$2:$2,0)+1),MATCH(H$1,[1]characters!$2:$2,0)-MATCH($E$1,[1]characters!$2:$2,0)+1,FALSE)</f>
        <v>5</v>
      </c>
      <c r="I111" s="9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9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1" s="9" t="str">
        <f ca="1">VLOOKUP($E111,OFFSET([1]characters!$A$2,0,0,COUNTA([1]characters!$A:$A),MATCH($K$1,[1]characters!$1:$1,0)-MATCH($E$1,[1]characters!$2:$2,0)+2),MATCH($K$1,[1]characters!$1:$1,0)-MATCH($E$1,[1]characters!$2:$2,0)+2,FALSE)</f>
        <v>ドラゴン</v>
      </c>
      <c r="L111" s="5">
        <v>1</v>
      </c>
      <c r="M111" s="35">
        <f ca="1">VLOOKUP(C111,gacha_100_base!A:K,11,FALSE)</f>
        <v>13</v>
      </c>
      <c r="N111" s="26">
        <v>0</v>
      </c>
      <c r="O111" s="26">
        <v>0</v>
      </c>
      <c r="P111" s="26">
        <v>0</v>
      </c>
      <c r="Q111" s="26">
        <v>0</v>
      </c>
      <c r="R111" s="26">
        <v>1</v>
      </c>
    </row>
    <row r="112" spans="1:18" ht="21" customHeight="1">
      <c r="A112" s="7" t="str">
        <f t="shared" si="6"/>
        <v>1002341</v>
      </c>
      <c r="B112" s="2">
        <v>100</v>
      </c>
      <c r="C112" s="9" t="str">
        <f t="shared" ca="1" si="7"/>
        <v>PremiumS5</v>
      </c>
      <c r="D112" s="9" t="str">
        <f t="shared" si="8"/>
        <v/>
      </c>
      <c r="E112" s="6">
        <v>234</v>
      </c>
      <c r="F112" s="9" t="str">
        <f ca="1">VLOOKUP($E112,OFFSET([1]characters!$A$2,0,0,COUNTA([1]characters!$A:$A),MATCH(F$1,[1]characters!$2:$2,0)-MATCH($E$1,[1]characters!$2:$2,0)+1),MATCH(F$1,[1]characters!$2:$2,0)-MATCH($E$1,[1]characters!$2:$2,0)+1,FALSE)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112" s="9" t="str">
        <f ca="1">VLOOKUP($E112,OFFSET([1]characters!$A$2,0,0,COUNTA([1]characters!$A:$A),MATCH(G$1,[1]characters!$2:$2,0)-MATCH($E$1,[1]characters!$2:$2,0)+1),MATCH(G$1,[1]characters!$2:$2,0)-MATCH($E$1,[1]characters!$2:$2,0)+1,FALSE)</f>
        <v>PremiumS</v>
      </c>
      <c r="H112" s="9">
        <f ca="1">VLOOKUP($E112,OFFSET([1]characters!$A$2,0,0,COUNTA([1]characters!$A:$A),MATCH(H$1,[1]characters!$2:$2,0)-MATCH($E$1,[1]characters!$2:$2,0)+1),MATCH(H$1,[1]characters!$2:$2,0)-MATCH($E$1,[1]characters!$2:$2,0)+1,FALSE)</f>
        <v>5</v>
      </c>
      <c r="I112" s="9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9" t="str">
        <f ca="1">VLOOKUP($E112,OFFSET([1]characters!$A$2,0,0,COUNTA([1]characters!$A:$A),MATCH("タイプ",[1]characters!$1:$1,0)-MATCH($E$1,[1]characters!$2:$2,0)+2),MATCH("タイプ",[1]characters!$1:$1,0)-MATCH($E$1,[1]characters!$2:$2,0)+2,FALSE)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2" s="9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5">
        <v>1</v>
      </c>
      <c r="M112" s="35">
        <f ca="1">VLOOKUP(C112,gacha_100_base!A:K,11,FALSE)</f>
        <v>13</v>
      </c>
      <c r="N112" s="26">
        <v>0</v>
      </c>
      <c r="O112" s="26">
        <v>0</v>
      </c>
      <c r="P112" s="26">
        <v>0</v>
      </c>
      <c r="Q112" s="26">
        <v>0</v>
      </c>
      <c r="R112" s="26">
        <v>1</v>
      </c>
    </row>
    <row r="113" spans="1:18" s="24" customFormat="1" ht="21" customHeight="1" thickBot="1">
      <c r="A113" s="7" t="str">
        <f t="shared" si="6"/>
        <v>1002371</v>
      </c>
      <c r="B113" s="2">
        <v>100</v>
      </c>
      <c r="C113" s="9" t="str">
        <f t="shared" ca="1" si="7"/>
        <v>PremiumS5</v>
      </c>
      <c r="D113" s="9" t="str">
        <f t="shared" si="8"/>
        <v/>
      </c>
      <c r="E113" s="6">
        <v>237</v>
      </c>
      <c r="F113" s="9" t="str">
        <f ca="1">VLOOKUP($E113,OFFSET([1]characters!$A$2,0,0,COUNTA([1]characters!$A:$A),MATCH(F$1,[1]characters!$2:$2,0)-MATCH($E$1,[1]characters!$2:$2,0)+1),MATCH(F$1,[1]characters!$2:$2,0)-MATCH($E$1,[1]characters!$2:$2,0)+1,FALSE)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13" s="9" t="str">
        <f ca="1">VLOOKUP($E113,OFFSET([1]characters!$A$2,0,0,COUNTA([1]characters!$A:$A),MATCH(G$1,[1]characters!$2:$2,0)-MATCH($E$1,[1]characters!$2:$2,0)+1),MATCH(G$1,[1]characters!$2:$2,0)-MATCH($E$1,[1]characters!$2:$2,0)+1,FALSE)</f>
        <v>PremiumS</v>
      </c>
      <c r="H113" s="9">
        <f ca="1">VLOOKUP($E113,OFFSET([1]characters!$A$2,0,0,COUNTA([1]characters!$A:$A),MATCH(H$1,[1]characters!$2:$2,0)-MATCH($E$1,[1]characters!$2:$2,0)+1),MATCH(H$1,[1]characters!$2:$2,0)-MATCH($E$1,[1]characters!$2:$2,0)+1,FALSE)</f>
        <v>5</v>
      </c>
      <c r="I113" s="9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9" t="str">
        <f ca="1">VLOOKUP($E113,OFFSET([1]characters!$A$2,0,0,COUNTA([1]characters!$A:$A),MATCH("タイプ",[1]characters!$1:$1,0)-MATCH($E$1,[1]characters!$2:$2,0)+2),MATCH("タイプ",[1]characters!$1:$1,0)-MATCH($E$1,[1]characters!$2:$2,0)+2,FALSE)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3" s="9" t="str">
        <f ca="1">VLOOKUP($E113,OFFSET([1]characters!$A$2,0,0,COUNTA([1]characters!$A:$A),MATCH($K$1,[1]characters!$1:$1,0)-MATCH($E$1,[1]characters!$2:$2,0)+2),MATCH($K$1,[1]characters!$1:$1,0)-MATCH($E$1,[1]characters!$2:$2,0)+2,FALSE)</f>
        <v>ゴッド</v>
      </c>
      <c r="L113" s="5">
        <v>1</v>
      </c>
      <c r="M113" s="35">
        <f ca="1">VLOOKUP(C113,gacha_100_base!A:K,11,FALSE)</f>
        <v>13</v>
      </c>
      <c r="N113" s="26">
        <v>0</v>
      </c>
      <c r="O113" s="26">
        <v>0</v>
      </c>
      <c r="P113" s="26">
        <v>0</v>
      </c>
      <c r="Q113" s="26">
        <v>0</v>
      </c>
      <c r="R113" s="26">
        <v>1</v>
      </c>
    </row>
    <row r="114" spans="1:18" ht="21" customHeight="1">
      <c r="A114" s="7" t="str">
        <f t="shared" si="6"/>
        <v>1002381</v>
      </c>
      <c r="B114" s="2">
        <v>100</v>
      </c>
      <c r="C114" s="9" t="str">
        <f t="shared" ca="1" si="7"/>
        <v>PremiumS3</v>
      </c>
      <c r="D114" s="9" t="str">
        <f t="shared" si="8"/>
        <v/>
      </c>
      <c r="E114" s="18">
        <v>238</v>
      </c>
      <c r="F114" s="9" t="str">
        <f ca="1">VLOOKUP($E114,OFFSET([1]characters!$A$2,0,0,COUNTA([1]characters!$A:$A),MATCH(F$1,[1]characters!$2:$2,0)-MATCH($E$1,[1]characters!$2:$2,0)+1),MATCH(F$1,[1]characters!$2:$2,0)-MATCH($E$1,[1]characters!$2:$2,0)+1,FALSE)</f>
        <v>ウリエル</v>
      </c>
      <c r="G114" s="9" t="str">
        <f ca="1">VLOOKUP($E114,OFFSET([1]characters!$A$2,0,0,COUNTA([1]characters!$A:$A),MATCH(G$1,[1]characters!$2:$2,0)-MATCH($E$1,[1]characters!$2:$2,0)+1),MATCH(G$1,[1]characters!$2:$2,0)-MATCH($E$1,[1]characters!$2:$2,0)+1,FALSE)</f>
        <v>PremiumS</v>
      </c>
      <c r="H114" s="9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9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9" t="str">
        <f ca="1">VLOOKUP($E114,OFFSET([1]characters!$A$2,0,0,COUNTA([1]characters!$A:$A),MATCH("タイプ",[1]characters!$1:$1,0)-MATCH($E$1,[1]characters!$2:$2,0)+2),MATCH("タイプ",[1]characters!$1:$1,0)-MATCH($E$1,[1]characters!$2:$2,0)+2,FALSE)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4" s="9" t="str">
        <f ca="1">VLOOKUP($E114,OFFSET([1]characters!$A$2,0,0,COUNTA([1]characters!$A:$A),MATCH($K$1,[1]characters!$1:$1,0)-MATCH($E$1,[1]characters!$2:$2,0)+2),MATCH($K$1,[1]characters!$1:$1,0)-MATCH($E$1,[1]characters!$2:$2,0)+2,FALSE)</f>
        <v>マシン</v>
      </c>
      <c r="L114" s="5">
        <v>1</v>
      </c>
      <c r="M114" s="35">
        <f ca="1">VLOOKUP(C114,gacha_100_base!A:K,11,FALSE)</f>
        <v>228</v>
      </c>
      <c r="N114" s="26">
        <v>0</v>
      </c>
      <c r="O114" s="26">
        <v>0</v>
      </c>
      <c r="P114" s="26">
        <v>0</v>
      </c>
      <c r="Q114" s="26">
        <v>0</v>
      </c>
      <c r="R114" s="26">
        <v>1</v>
      </c>
    </row>
    <row r="115" spans="1:18" ht="21" customHeight="1">
      <c r="A115" s="7" t="str">
        <f t="shared" si="6"/>
        <v>1002391</v>
      </c>
      <c r="B115" s="2">
        <v>100</v>
      </c>
      <c r="C115" s="9" t="str">
        <f t="shared" ca="1" si="7"/>
        <v>PremiumS4</v>
      </c>
      <c r="D115" s="9" t="str">
        <f t="shared" si="8"/>
        <v/>
      </c>
      <c r="E115" s="18">
        <v>239</v>
      </c>
      <c r="F115" s="9" t="str">
        <f ca="1">VLOOKUP($E115,OFFSET([1]characters!$A$2,0,0,COUNTA([1]characters!$A:$A),MATCH(F$1,[1]characters!$2:$2,0)-MATCH($E$1,[1]characters!$2:$2,0)+1),MATCH(F$1,[1]characters!$2:$2,0)-MATCH($E$1,[1]characters!$2:$2,0)+1,FALSE)</f>
        <v>豪炎の天使 ウリエル</v>
      </c>
      <c r="G115" s="9" t="str">
        <f ca="1">VLOOKUP($E115,OFFSET([1]characters!$A$2,0,0,COUNTA([1]characters!$A:$A),MATCH(G$1,[1]characters!$2:$2,0)-MATCH($E$1,[1]characters!$2:$2,0)+1),MATCH(G$1,[1]characters!$2:$2,0)-MATCH($E$1,[1]characters!$2:$2,0)+1,FALSE)</f>
        <v>PremiumS</v>
      </c>
      <c r="H115" s="9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9" t="str">
        <f ca="1">VLOOKUP($E115,OFFSET([1]characters!$A$2,0,0,COUNTA([1]characters!$A:$A),MATCH(I$1,[1]characters!$2:$2,0)-MATCH($E$1,[1]characters!$2:$2,0)+1),MATCH(I$1,[1]characters!$2:$2,0)-MATCH($E$1,[1]characters!$2:$2,0)+1,FALSE)</f>
        <v>red</v>
      </c>
      <c r="J115" s="9" t="str">
        <f ca="1">VLOOKUP($E115,OFFSET([1]characters!$A$2,0,0,COUNTA([1]characters!$A:$A),MATCH("タイプ",[1]characters!$1:$1,0)-MATCH($E$1,[1]characters!$2:$2,0)+2),MATCH("タイプ",[1]characters!$1:$1,0)-MATCH($E$1,[1]characters!$2:$2,0)+2,FALSE)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5" s="9" t="str">
        <f ca="1">VLOOKUP($E115,OFFSET([1]characters!$A$2,0,0,COUNTA([1]characters!$A:$A),MATCH($K$1,[1]characters!$1:$1,0)-MATCH($E$1,[1]characters!$2:$2,0)+2),MATCH($K$1,[1]characters!$1:$1,0)-MATCH($E$1,[1]characters!$2:$2,0)+2,FALSE)</f>
        <v>マシン</v>
      </c>
      <c r="L115" s="5">
        <v>1</v>
      </c>
      <c r="M115" s="35">
        <f ca="1">VLOOKUP(C115,gacha_100_base!A:K,11,FALSE)</f>
        <v>80</v>
      </c>
      <c r="N115" s="26">
        <v>0</v>
      </c>
      <c r="O115" s="26">
        <v>0</v>
      </c>
      <c r="P115" s="26">
        <v>0</v>
      </c>
      <c r="Q115" s="26">
        <v>0</v>
      </c>
      <c r="R115" s="26">
        <v>1</v>
      </c>
    </row>
    <row r="116" spans="1:18" ht="21" customHeight="1">
      <c r="A116" s="7" t="str">
        <f t="shared" si="6"/>
        <v>1002401</v>
      </c>
      <c r="B116" s="2">
        <v>100</v>
      </c>
      <c r="C116" s="9" t="str">
        <f t="shared" ca="1" si="7"/>
        <v>PremiumS5</v>
      </c>
      <c r="D116" s="9" t="str">
        <f t="shared" si="8"/>
        <v/>
      </c>
      <c r="E116" s="18">
        <v>240</v>
      </c>
      <c r="F116" s="9" t="str">
        <f ca="1">VLOOKUP($E116,OFFSET([1]characters!$A$2,0,0,COUNTA([1]characters!$A:$A),MATCH(F$1,[1]characters!$2:$2,0)-MATCH($E$1,[1]characters!$2:$2,0)+1),MATCH(F$1,[1]characters!$2:$2,0)-MATCH($E$1,[1]characters!$2:$2,0)+1,FALSE)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116" s="9" t="str">
        <f ca="1">VLOOKUP($E116,OFFSET([1]characters!$A$2,0,0,COUNTA([1]characters!$A:$A),MATCH(G$1,[1]characters!$2:$2,0)-MATCH($E$1,[1]characters!$2:$2,0)+1),MATCH(G$1,[1]characters!$2:$2,0)-MATCH($E$1,[1]characters!$2:$2,0)+1,FALSE)</f>
        <v>PremiumS</v>
      </c>
      <c r="H116" s="9">
        <f ca="1">VLOOKUP($E116,OFFSET([1]characters!$A$2,0,0,COUNTA([1]characters!$A:$A),MATCH(H$1,[1]characters!$2:$2,0)-MATCH($E$1,[1]characters!$2:$2,0)+1),MATCH(H$1,[1]characters!$2:$2,0)-MATCH($E$1,[1]characters!$2:$2,0)+1,FALSE)</f>
        <v>5</v>
      </c>
      <c r="I116" s="9" t="str">
        <f ca="1">VLOOKUP($E116,OFFSET([1]characters!$A$2,0,0,COUNTA([1]characters!$A:$A),MATCH(I$1,[1]characters!$2:$2,0)-MATCH($E$1,[1]characters!$2:$2,0)+1),MATCH(I$1,[1]characters!$2:$2,0)-MATCH($E$1,[1]characters!$2:$2,0)+1,FALSE)</f>
        <v>red</v>
      </c>
      <c r="J116" s="9" t="str">
        <f ca="1">VLOOKUP($E116,OFFSET([1]characters!$A$2,0,0,COUNTA([1]characters!$A:$A),MATCH("タイプ",[1]characters!$1:$1,0)-MATCH($E$1,[1]characters!$2:$2,0)+2),MATCH("タイプ",[1]characters!$1:$1,0)-MATCH($E$1,[1]characters!$2:$2,0)+2,FALSE)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6" s="9" t="str">
        <f ca="1">VLOOKUP($E116,OFFSET([1]characters!$A$2,0,0,COUNTA([1]characters!$A:$A),MATCH($K$1,[1]characters!$1:$1,0)-MATCH($E$1,[1]characters!$2:$2,0)+2),MATCH($K$1,[1]characters!$1:$1,0)-MATCH($E$1,[1]characters!$2:$2,0)+2,FALSE)</f>
        <v>マシン</v>
      </c>
      <c r="L116" s="5">
        <v>1</v>
      </c>
      <c r="M116" s="35">
        <f ca="1">VLOOKUP(C116,gacha_100_base!A:K,11,FALSE)</f>
        <v>13</v>
      </c>
      <c r="N116" s="26">
        <v>0</v>
      </c>
      <c r="O116" s="26">
        <v>0</v>
      </c>
      <c r="P116" s="26">
        <v>0</v>
      </c>
      <c r="Q116" s="26">
        <v>0</v>
      </c>
      <c r="R116" s="26">
        <v>1</v>
      </c>
    </row>
    <row r="117" spans="1:18" ht="21" customHeight="1">
      <c r="A117" s="7" t="str">
        <f t="shared" si="6"/>
        <v>1002411</v>
      </c>
      <c r="B117" s="2">
        <v>100</v>
      </c>
      <c r="C117" s="9" t="str">
        <f t="shared" ca="1" si="7"/>
        <v>PremiumS3</v>
      </c>
      <c r="D117" s="9" t="str">
        <f t="shared" si="8"/>
        <v/>
      </c>
      <c r="E117" s="18">
        <v>241</v>
      </c>
      <c r="F117" s="9" t="str">
        <f ca="1">VLOOKUP($E117,OFFSET([1]characters!$A$2,0,0,COUNTA([1]characters!$A:$A),MATCH(F$1,[1]characters!$2:$2,0)-MATCH($E$1,[1]characters!$2:$2,0)+1),MATCH(F$1,[1]characters!$2:$2,0)-MATCH($E$1,[1]characters!$2:$2,0)+1,FALSE)</f>
        <v>ガブリエル</v>
      </c>
      <c r="G117" s="9" t="str">
        <f ca="1">VLOOKUP($E117,OFFSET([1]characters!$A$2,0,0,COUNTA([1]characters!$A:$A),MATCH(G$1,[1]characters!$2:$2,0)-MATCH($E$1,[1]characters!$2:$2,0)+1),MATCH(G$1,[1]characters!$2:$2,0)-MATCH($E$1,[1]characters!$2:$2,0)+1,FALSE)</f>
        <v>PremiumS</v>
      </c>
      <c r="H117" s="9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9" t="str">
        <f ca="1">VLOOKUP($E117,OFFSET([1]characters!$A$2,0,0,COUNTA([1]characters!$A:$A),MATCH(I$1,[1]characters!$2:$2,0)-MATCH($E$1,[1]characters!$2:$2,0)+1),MATCH(I$1,[1]characters!$2:$2,0)-MATCH($E$1,[1]characters!$2:$2,0)+1,FALSE)</f>
        <v>green</v>
      </c>
      <c r="J117" s="9" t="str">
        <f ca="1">VLOOKUP($E117,OFFSET([1]characters!$A$2,0,0,COUNTA([1]characters!$A:$A),MATCH("タイプ",[1]characters!$1:$1,0)-MATCH($E$1,[1]characters!$2:$2,0)+2),MATCH("タイプ",[1]characters!$1:$1,0)-MATCH($E$1,[1]characters!$2:$2,0)+2,FALSE)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7" s="9" t="str">
        <f ca="1">VLOOKUP($E117,OFFSET([1]characters!$A$2,0,0,COUNTA([1]characters!$A:$A),MATCH($K$1,[1]characters!$1:$1,0)-MATCH($E$1,[1]characters!$2:$2,0)+2),MATCH($K$1,[1]characters!$1:$1,0)-MATCH($E$1,[1]characters!$2:$2,0)+2,FALSE)</f>
        <v>マシン</v>
      </c>
      <c r="L117" s="5">
        <v>1</v>
      </c>
      <c r="M117" s="35">
        <f ca="1">VLOOKUP(C117,gacha_100_base!A:K,11,FALSE)</f>
        <v>228</v>
      </c>
      <c r="N117" s="26">
        <v>0</v>
      </c>
      <c r="O117" s="26">
        <v>0</v>
      </c>
      <c r="P117" s="26">
        <v>0</v>
      </c>
      <c r="Q117" s="26">
        <v>0</v>
      </c>
      <c r="R117" s="26">
        <v>1</v>
      </c>
    </row>
    <row r="118" spans="1:18" ht="21" customHeight="1">
      <c r="A118" s="7" t="str">
        <f t="shared" si="6"/>
        <v>1002421</v>
      </c>
      <c r="B118" s="2">
        <v>100</v>
      </c>
      <c r="C118" s="9" t="str">
        <f t="shared" ca="1" si="7"/>
        <v>PremiumS4</v>
      </c>
      <c r="D118" s="9" t="str">
        <f t="shared" si="8"/>
        <v/>
      </c>
      <c r="E118" s="18">
        <v>242</v>
      </c>
      <c r="F118" s="9" t="str">
        <f ca="1">VLOOKUP($E118,OFFSET([1]characters!$A$2,0,0,COUNTA([1]characters!$A:$A),MATCH(F$1,[1]characters!$2:$2,0)-MATCH($E$1,[1]characters!$2:$2,0)+1),MATCH(F$1,[1]characters!$2:$2,0)-MATCH($E$1,[1]characters!$2:$2,0)+1,FALSE)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18" s="9" t="str">
        <f ca="1">VLOOKUP($E118,OFFSET([1]characters!$A$2,0,0,COUNTA([1]characters!$A:$A),MATCH(G$1,[1]characters!$2:$2,0)-MATCH($E$1,[1]characters!$2:$2,0)+1),MATCH(G$1,[1]characters!$2:$2,0)-MATCH($E$1,[1]characters!$2:$2,0)+1,FALSE)</f>
        <v>PremiumS</v>
      </c>
      <c r="H118" s="9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9" t="str">
        <f ca="1">VLOOKUP($E118,OFFSET([1]characters!$A$2,0,0,COUNTA([1]characters!$A:$A),MATCH(I$1,[1]characters!$2:$2,0)-MATCH($E$1,[1]characters!$2:$2,0)+1),MATCH(I$1,[1]characters!$2:$2,0)-MATCH($E$1,[1]characters!$2:$2,0)+1,FALSE)</f>
        <v>green</v>
      </c>
      <c r="J118" s="9" t="str">
        <f ca="1">VLOOKUP($E118,OFFSET([1]characters!$A$2,0,0,COUNTA([1]characters!$A:$A),MATCH("タイプ",[1]characters!$1:$1,0)-MATCH($E$1,[1]characters!$2:$2,0)+2),MATCH("タイプ",[1]characters!$1:$1,0)-MATCH($E$1,[1]characters!$2:$2,0)+2,FALSE)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8" s="9" t="str">
        <f ca="1">VLOOKUP($E118,OFFSET([1]characters!$A$2,0,0,COUNTA([1]characters!$A:$A),MATCH($K$1,[1]characters!$1:$1,0)-MATCH($E$1,[1]characters!$2:$2,0)+2),MATCH($K$1,[1]characters!$1:$1,0)-MATCH($E$1,[1]characters!$2:$2,0)+2,FALSE)</f>
        <v>マシン</v>
      </c>
      <c r="L118" s="5">
        <v>1</v>
      </c>
      <c r="M118" s="35">
        <f ca="1">VLOOKUP(C118,gacha_100_base!A:K,11,FALSE)</f>
        <v>80</v>
      </c>
      <c r="N118" s="26">
        <v>0</v>
      </c>
      <c r="O118" s="26">
        <v>0</v>
      </c>
      <c r="P118" s="26">
        <v>0</v>
      </c>
      <c r="Q118" s="26">
        <v>0</v>
      </c>
      <c r="R118" s="26">
        <v>1</v>
      </c>
    </row>
    <row r="119" spans="1:18" ht="21" customHeight="1">
      <c r="A119" s="7" t="str">
        <f t="shared" si="6"/>
        <v>1002431</v>
      </c>
      <c r="B119" s="2">
        <v>100</v>
      </c>
      <c r="C119" s="9" t="str">
        <f t="shared" ca="1" si="7"/>
        <v>PremiumS5</v>
      </c>
      <c r="D119" s="9" t="str">
        <f t="shared" si="8"/>
        <v/>
      </c>
      <c r="E119" s="18">
        <v>243</v>
      </c>
      <c r="F119" s="9" t="str">
        <f ca="1">VLOOKUP($E119,OFFSET([1]characters!$A$2,0,0,COUNTA([1]characters!$A:$A),MATCH(F$1,[1]characters!$2:$2,0)-MATCH($E$1,[1]characters!$2:$2,0)+1),MATCH(F$1,[1]characters!$2:$2,0)-MATCH($E$1,[1]characters!$2:$2,0)+1,FALSE)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119" s="9" t="str">
        <f ca="1">VLOOKUP($E119,OFFSET([1]characters!$A$2,0,0,COUNTA([1]characters!$A:$A),MATCH(G$1,[1]characters!$2:$2,0)-MATCH($E$1,[1]characters!$2:$2,0)+1),MATCH(G$1,[1]characters!$2:$2,0)-MATCH($E$1,[1]characters!$2:$2,0)+1,FALSE)</f>
        <v>PremiumS</v>
      </c>
      <c r="H119" s="9">
        <f ca="1">VLOOKUP($E119,OFFSET([1]characters!$A$2,0,0,COUNTA([1]characters!$A:$A),MATCH(H$1,[1]characters!$2:$2,0)-MATCH($E$1,[1]characters!$2:$2,0)+1),MATCH(H$1,[1]characters!$2:$2,0)-MATCH($E$1,[1]characters!$2:$2,0)+1,FALSE)</f>
        <v>5</v>
      </c>
      <c r="I119" s="9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9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9" t="str">
        <f ca="1">VLOOKUP($E119,OFFSET([1]characters!$A$2,0,0,COUNTA([1]characters!$A:$A),MATCH($K$1,[1]characters!$1:$1,0)-MATCH($E$1,[1]characters!$2:$2,0)+2),MATCH($K$1,[1]characters!$1:$1,0)-MATCH($E$1,[1]characters!$2:$2,0)+2,FALSE)</f>
        <v>マシン</v>
      </c>
      <c r="L119" s="5">
        <v>1</v>
      </c>
      <c r="M119" s="35">
        <f ca="1">VLOOKUP(C119,gacha_100_base!A:K,11,FALSE)</f>
        <v>13</v>
      </c>
      <c r="N119" s="26">
        <v>0</v>
      </c>
      <c r="O119" s="26">
        <v>0</v>
      </c>
      <c r="P119" s="26">
        <v>0</v>
      </c>
      <c r="Q119" s="26">
        <v>0</v>
      </c>
      <c r="R119" s="26">
        <v>1</v>
      </c>
    </row>
    <row r="120" spans="1:18" ht="21" customHeight="1">
      <c r="A120" s="7" t="str">
        <f t="shared" si="6"/>
        <v>1002441</v>
      </c>
      <c r="B120" s="2">
        <v>100</v>
      </c>
      <c r="C120" s="9" t="str">
        <f t="shared" ca="1" si="7"/>
        <v>PremiumS3</v>
      </c>
      <c r="D120" s="9" t="str">
        <f t="shared" si="8"/>
        <v/>
      </c>
      <c r="E120" s="18">
        <v>244</v>
      </c>
      <c r="F120" s="9" t="str">
        <f ca="1">VLOOKUP($E120,OFFSET([1]characters!$A$2,0,0,COUNTA([1]characters!$A:$A),MATCH(F$1,[1]characters!$2:$2,0)-MATCH($E$1,[1]characters!$2:$2,0)+1),MATCH(F$1,[1]characters!$2:$2,0)-MATCH($E$1,[1]characters!$2:$2,0)+1,FALSE)</f>
        <v>ラファエル</v>
      </c>
      <c r="G120" s="9" t="str">
        <f ca="1">VLOOKUP($E120,OFFSET([1]characters!$A$2,0,0,COUNTA([1]characters!$A:$A),MATCH(G$1,[1]characters!$2:$2,0)-MATCH($E$1,[1]characters!$2:$2,0)+1),MATCH(G$1,[1]characters!$2:$2,0)-MATCH($E$1,[1]characters!$2:$2,0)+1,FALSE)</f>
        <v>PremiumS</v>
      </c>
      <c r="H120" s="9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9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9" t="str">
        <f ca="1">VLOOKUP($E120,OFFSET([1]characters!$A$2,0,0,COUNTA([1]characters!$A:$A),MATCH("タイプ",[1]characters!$1:$1,0)-MATCH($E$1,[1]characters!$2:$2,0)+2),MATCH("タイプ",[1]characters!$1:$1,0)-MATCH($E$1,[1]characters!$2:$2,0)+2,FALSE)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0" s="9" t="str">
        <f ca="1">VLOOKUP($E120,OFFSET([1]characters!$A$2,0,0,COUNTA([1]characters!$A:$A),MATCH($K$1,[1]characters!$1:$1,0)-MATCH($E$1,[1]characters!$2:$2,0)+2),MATCH($K$1,[1]characters!$1:$1,0)-MATCH($E$1,[1]characters!$2:$2,0)+2,FALSE)</f>
        <v>マシン</v>
      </c>
      <c r="L120" s="5">
        <v>1</v>
      </c>
      <c r="M120" s="35">
        <f ca="1">VLOOKUP(C120,gacha_100_base!A:K,11,FALSE)</f>
        <v>228</v>
      </c>
      <c r="N120" s="26">
        <v>0</v>
      </c>
      <c r="O120" s="26">
        <v>0</v>
      </c>
      <c r="P120" s="26">
        <v>0</v>
      </c>
      <c r="Q120" s="26">
        <v>0</v>
      </c>
      <c r="R120" s="26">
        <v>1</v>
      </c>
    </row>
    <row r="121" spans="1:18" ht="21" customHeight="1">
      <c r="A121" s="7" t="str">
        <f t="shared" si="6"/>
        <v>1002451</v>
      </c>
      <c r="B121" s="2">
        <v>100</v>
      </c>
      <c r="C121" s="9" t="str">
        <f t="shared" ca="1" si="7"/>
        <v>PremiumS4</v>
      </c>
      <c r="D121" s="9" t="str">
        <f t="shared" si="8"/>
        <v/>
      </c>
      <c r="E121" s="18">
        <v>245</v>
      </c>
      <c r="F121" s="9" t="str">
        <f ca="1">VLOOKUP($E121,OFFSET([1]characters!$A$2,0,0,COUNTA([1]characters!$A:$A),MATCH(F$1,[1]characters!$2:$2,0)-MATCH($E$1,[1]characters!$2:$2,0)+1),MATCH(F$1,[1]characters!$2:$2,0)-MATCH($E$1,[1]characters!$2:$2,0)+1,FALSE)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21" s="9" t="str">
        <f ca="1">VLOOKUP($E121,OFFSET([1]characters!$A$2,0,0,COUNTA([1]characters!$A:$A),MATCH(G$1,[1]characters!$2:$2,0)-MATCH($E$1,[1]characters!$2:$2,0)+1),MATCH(G$1,[1]characters!$2:$2,0)-MATCH($E$1,[1]characters!$2:$2,0)+1,FALSE)</f>
        <v>PremiumS</v>
      </c>
      <c r="H121" s="9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9" t="str">
        <f ca="1">VLOOKUP($E121,OFFSET([1]characters!$A$2,0,0,COUNTA([1]characters!$A:$A),MATCH(I$1,[1]characters!$2:$2,0)-MATCH($E$1,[1]characters!$2:$2,0)+1),MATCH(I$1,[1]characters!$2:$2,0)-MATCH($E$1,[1]characters!$2:$2,0)+1,FALSE)</f>
        <v>blue</v>
      </c>
      <c r="J121" s="9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9" t="str">
        <f ca="1">VLOOKUP($E121,OFFSET([1]characters!$A$2,0,0,COUNTA([1]characters!$A:$A),MATCH($K$1,[1]characters!$1:$1,0)-MATCH($E$1,[1]characters!$2:$2,0)+2),MATCH($K$1,[1]characters!$1:$1,0)-MATCH($E$1,[1]characters!$2:$2,0)+2,FALSE)</f>
        <v>マシン</v>
      </c>
      <c r="L121" s="5">
        <v>1</v>
      </c>
      <c r="M121" s="35">
        <f ca="1">VLOOKUP(C121,gacha_100_base!A:K,11,FALSE)</f>
        <v>80</v>
      </c>
      <c r="N121" s="26">
        <v>0</v>
      </c>
      <c r="O121" s="26">
        <v>0</v>
      </c>
      <c r="P121" s="26">
        <v>0</v>
      </c>
      <c r="Q121" s="26">
        <v>0</v>
      </c>
      <c r="R121" s="26">
        <v>1</v>
      </c>
    </row>
    <row r="122" spans="1:18" ht="21" customHeight="1">
      <c r="A122" s="7" t="str">
        <f t="shared" si="6"/>
        <v>1002461</v>
      </c>
      <c r="B122" s="2">
        <v>100</v>
      </c>
      <c r="C122" s="9" t="str">
        <f t="shared" ca="1" si="7"/>
        <v>PremiumS5</v>
      </c>
      <c r="D122" s="9" t="str">
        <f t="shared" si="8"/>
        <v/>
      </c>
      <c r="E122" s="18">
        <v>246</v>
      </c>
      <c r="F122" s="9" t="str">
        <f ca="1">VLOOKUP($E122,OFFSET([1]characters!$A$2,0,0,COUNTA([1]characters!$A:$A),MATCH(F$1,[1]characters!$2:$2,0)-MATCH($E$1,[1]characters!$2:$2,0)+1),MATCH(F$1,[1]characters!$2:$2,0)-MATCH($E$1,[1]characters!$2:$2,0)+1,FALSE)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122" s="9" t="str">
        <f ca="1">VLOOKUP($E122,OFFSET([1]characters!$A$2,0,0,COUNTA([1]characters!$A:$A),MATCH(G$1,[1]characters!$2:$2,0)-MATCH($E$1,[1]characters!$2:$2,0)+1),MATCH(G$1,[1]characters!$2:$2,0)-MATCH($E$1,[1]characters!$2:$2,0)+1,FALSE)</f>
        <v>PremiumS</v>
      </c>
      <c r="H122" s="9">
        <f ca="1">VLOOKUP($E122,OFFSET([1]characters!$A$2,0,0,COUNTA([1]characters!$A:$A),MATCH(H$1,[1]characters!$2:$2,0)-MATCH($E$1,[1]characters!$2:$2,0)+1),MATCH(H$1,[1]characters!$2:$2,0)-MATCH($E$1,[1]characters!$2:$2,0)+1,FALSE)</f>
        <v>5</v>
      </c>
      <c r="I122" s="9" t="str">
        <f ca="1">VLOOKUP($E122,OFFSET([1]characters!$A$2,0,0,COUNTA([1]characters!$A:$A),MATCH(I$1,[1]characters!$2:$2,0)-MATCH($E$1,[1]characters!$2:$2,0)+1),MATCH(I$1,[1]characters!$2:$2,0)-MATCH($E$1,[1]characters!$2:$2,0)+1,FALSE)</f>
        <v>blue</v>
      </c>
      <c r="J122" s="9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9" t="str">
        <f ca="1">VLOOKUP($E122,OFFSET([1]characters!$A$2,0,0,COUNTA([1]characters!$A:$A),MATCH($K$1,[1]characters!$1:$1,0)-MATCH($E$1,[1]characters!$2:$2,0)+2),MATCH($K$1,[1]characters!$1:$1,0)-MATCH($E$1,[1]characters!$2:$2,0)+2,FALSE)</f>
        <v>マシン</v>
      </c>
      <c r="L122" s="5">
        <v>1</v>
      </c>
      <c r="M122" s="35">
        <f ca="1">VLOOKUP(C122,gacha_100_base!A:K,11,FALSE)</f>
        <v>13</v>
      </c>
      <c r="N122" s="26">
        <v>0</v>
      </c>
      <c r="O122" s="26">
        <v>0</v>
      </c>
      <c r="P122" s="26">
        <v>0</v>
      </c>
      <c r="Q122" s="26">
        <v>0</v>
      </c>
      <c r="R122" s="26">
        <v>1</v>
      </c>
    </row>
    <row r="123" spans="1:18" ht="21" customHeight="1">
      <c r="A123" s="7" t="str">
        <f t="shared" si="6"/>
        <v>1002471</v>
      </c>
      <c r="B123" s="2">
        <v>100</v>
      </c>
      <c r="C123" s="9" t="str">
        <f t="shared" ca="1" si="7"/>
        <v>PremiumS3</v>
      </c>
      <c r="D123" s="9" t="str">
        <f t="shared" si="8"/>
        <v/>
      </c>
      <c r="E123" s="18">
        <v>247</v>
      </c>
      <c r="F123" s="9" t="str">
        <f ca="1">VLOOKUP($E123,OFFSET([1]characters!$A$2,0,0,COUNTA([1]characters!$A:$A),MATCH(F$1,[1]characters!$2:$2,0)-MATCH($E$1,[1]characters!$2:$2,0)+1),MATCH(F$1,[1]characters!$2:$2,0)-MATCH($E$1,[1]characters!$2:$2,0)+1,FALSE)</f>
        <v>ミカエル</v>
      </c>
      <c r="G123" s="9" t="str">
        <f ca="1">VLOOKUP($E123,OFFSET([1]characters!$A$2,0,0,COUNTA([1]characters!$A:$A),MATCH(G$1,[1]characters!$2:$2,0)-MATCH($E$1,[1]characters!$2:$2,0)+1),MATCH(G$1,[1]characters!$2:$2,0)-MATCH($E$1,[1]characters!$2:$2,0)+1,FALSE)</f>
        <v>PremiumS</v>
      </c>
      <c r="H123" s="9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9" t="str">
        <f ca="1">VLOOKUP($E123,OFFSET([1]characters!$A$2,0,0,COUNTA([1]characters!$A:$A),MATCH(I$1,[1]characters!$2:$2,0)-MATCH($E$1,[1]characters!$2:$2,0)+1),MATCH(I$1,[1]characters!$2:$2,0)-MATCH($E$1,[1]characters!$2:$2,0)+1,FALSE)</f>
        <v>yellow</v>
      </c>
      <c r="J123" s="9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9" t="str">
        <f ca="1">VLOOKUP($E123,OFFSET([1]characters!$A$2,0,0,COUNTA([1]characters!$A:$A),MATCH($K$1,[1]characters!$1:$1,0)-MATCH($E$1,[1]characters!$2:$2,0)+2),MATCH($K$1,[1]characters!$1:$1,0)-MATCH($E$1,[1]characters!$2:$2,0)+2,FALSE)</f>
        <v>マシン</v>
      </c>
      <c r="L123" s="5">
        <v>1</v>
      </c>
      <c r="M123" s="35">
        <f ca="1">VLOOKUP(C123,gacha_100_base!A:K,11,FALSE)</f>
        <v>228</v>
      </c>
      <c r="N123" s="26">
        <v>0</v>
      </c>
      <c r="O123" s="26">
        <v>0</v>
      </c>
      <c r="P123" s="26">
        <v>0</v>
      </c>
      <c r="Q123" s="26">
        <v>0</v>
      </c>
      <c r="R123" s="26">
        <v>1</v>
      </c>
    </row>
    <row r="124" spans="1:18" ht="21" customHeight="1">
      <c r="A124" s="7" t="str">
        <f t="shared" si="6"/>
        <v>1002481</v>
      </c>
      <c r="B124" s="2">
        <v>100</v>
      </c>
      <c r="C124" s="9" t="str">
        <f t="shared" ca="1" si="7"/>
        <v>PremiumS4</v>
      </c>
      <c r="D124" s="9" t="str">
        <f t="shared" si="8"/>
        <v/>
      </c>
      <c r="E124" s="18">
        <v>248</v>
      </c>
      <c r="F124" s="9" t="str">
        <f ca="1">VLOOKUP($E124,OFFSET([1]characters!$A$2,0,0,COUNTA([1]characters!$A:$A),MATCH(F$1,[1]characters!$2:$2,0)-MATCH($E$1,[1]characters!$2:$2,0)+1),MATCH(F$1,[1]characters!$2:$2,0)-MATCH($E$1,[1]characters!$2:$2,0)+1,FALSE)</f>
        <v>彩電の天使 ミカエル</v>
      </c>
      <c r="G124" s="9" t="str">
        <f ca="1">VLOOKUP($E124,OFFSET([1]characters!$A$2,0,0,COUNTA([1]characters!$A:$A),MATCH(G$1,[1]characters!$2:$2,0)-MATCH($E$1,[1]characters!$2:$2,0)+1),MATCH(G$1,[1]characters!$2:$2,0)-MATCH($E$1,[1]characters!$2:$2,0)+1,FALSE)</f>
        <v>PremiumS</v>
      </c>
      <c r="H124" s="9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9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9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9" t="str">
        <f ca="1">VLOOKUP($E124,OFFSET([1]characters!$A$2,0,0,COUNTA([1]characters!$A:$A),MATCH($K$1,[1]characters!$1:$1,0)-MATCH($E$1,[1]characters!$2:$2,0)+2),MATCH($K$1,[1]characters!$1:$1,0)-MATCH($E$1,[1]characters!$2:$2,0)+2,FALSE)</f>
        <v>マシン</v>
      </c>
      <c r="L124" s="5">
        <v>1</v>
      </c>
      <c r="M124" s="35">
        <f ca="1">VLOOKUP(C124,gacha_100_base!A:K,11,FALSE)</f>
        <v>80</v>
      </c>
      <c r="N124" s="26">
        <v>0</v>
      </c>
      <c r="O124" s="26">
        <v>0</v>
      </c>
      <c r="P124" s="26">
        <v>0</v>
      </c>
      <c r="Q124" s="26">
        <v>0</v>
      </c>
      <c r="R124" s="26">
        <v>1</v>
      </c>
    </row>
    <row r="125" spans="1:18" s="24" customFormat="1" ht="21" customHeight="1" thickBot="1">
      <c r="A125" s="7" t="str">
        <f t="shared" si="6"/>
        <v>1002491</v>
      </c>
      <c r="B125" s="2">
        <v>100</v>
      </c>
      <c r="C125" s="9" t="str">
        <f t="shared" ca="1" si="7"/>
        <v>PremiumS5</v>
      </c>
      <c r="D125" s="9" t="str">
        <f t="shared" si="8"/>
        <v/>
      </c>
      <c r="E125" s="18">
        <v>249</v>
      </c>
      <c r="F125" s="9" t="str">
        <f ca="1">VLOOKUP($E125,OFFSET([1]characters!$A$2,0,0,COUNTA([1]characters!$A:$A),MATCH(F$1,[1]characters!$2:$2,0)-MATCH($E$1,[1]characters!$2:$2,0)+1),MATCH(F$1,[1]characters!$2:$2,0)-MATCH($E$1,[1]characters!$2:$2,0)+1,FALSE)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125" s="9" t="str">
        <f ca="1">VLOOKUP($E125,OFFSET([1]characters!$A$2,0,0,COUNTA([1]characters!$A:$A),MATCH(G$1,[1]characters!$2:$2,0)-MATCH($E$1,[1]characters!$2:$2,0)+1),MATCH(G$1,[1]characters!$2:$2,0)-MATCH($E$1,[1]characters!$2:$2,0)+1,FALSE)</f>
        <v>PremiumS</v>
      </c>
      <c r="H125" s="9">
        <f ca="1">VLOOKUP($E125,OFFSET([1]characters!$A$2,0,0,COUNTA([1]characters!$A:$A),MATCH(H$1,[1]characters!$2:$2,0)-MATCH($E$1,[1]characters!$2:$2,0)+1),MATCH(H$1,[1]characters!$2:$2,0)-MATCH($E$1,[1]characters!$2:$2,0)+1,FALSE)</f>
        <v>5</v>
      </c>
      <c r="I125" s="9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9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9" t="str">
        <f ca="1">VLOOKUP($E125,OFFSET([1]characters!$A$2,0,0,COUNTA([1]characters!$A:$A),MATCH($K$1,[1]characters!$1:$1,0)-MATCH($E$1,[1]characters!$2:$2,0)+2),MATCH($K$1,[1]characters!$1:$1,0)-MATCH($E$1,[1]characters!$2:$2,0)+2,FALSE)</f>
        <v>マシン</v>
      </c>
      <c r="L125" s="5">
        <v>1</v>
      </c>
      <c r="M125" s="35">
        <f ca="1">VLOOKUP(C125,gacha_100_base!A:K,11,FALSE)</f>
        <v>13</v>
      </c>
      <c r="N125" s="26">
        <v>0</v>
      </c>
      <c r="O125" s="26">
        <v>0</v>
      </c>
      <c r="P125" s="26">
        <v>0</v>
      </c>
      <c r="Q125" s="26">
        <v>0</v>
      </c>
      <c r="R125" s="26">
        <v>1</v>
      </c>
    </row>
    <row r="126" spans="1:18" s="24" customFormat="1" ht="21" customHeight="1" thickBot="1">
      <c r="A126" s="7" t="str">
        <f t="shared" si="6"/>
        <v>1002501</v>
      </c>
      <c r="B126" s="2">
        <v>100</v>
      </c>
      <c r="C126" s="9" t="str">
        <f t="shared" ca="1" si="7"/>
        <v>PremiumS3</v>
      </c>
      <c r="D126" s="9" t="str">
        <f t="shared" si="8"/>
        <v/>
      </c>
      <c r="E126" s="6">
        <v>250</v>
      </c>
      <c r="F126" s="9" t="str">
        <f ca="1">VLOOKUP($E126,OFFSET([1]characters!$A$2,0,0,COUNTA([1]characters!$A:$A),MATCH(F$1,[1]characters!$2:$2,0)-MATCH($E$1,[1]characters!$2:$2,0)+1),MATCH(F$1,[1]characters!$2:$2,0)-MATCH($E$1,[1]characters!$2:$2,0)+1,FALSE)</f>
        <v>マンモン</v>
      </c>
      <c r="G126" s="9" t="str">
        <f ca="1">VLOOKUP($E126,OFFSET([1]characters!$A$2,0,0,COUNTA([1]characters!$A:$A),MATCH(G$1,[1]characters!$2:$2,0)-MATCH($E$1,[1]characters!$2:$2,0)+1),MATCH(G$1,[1]characters!$2:$2,0)-MATCH($E$1,[1]characters!$2:$2,0)+1,FALSE)</f>
        <v>PremiumS</v>
      </c>
      <c r="H126" s="9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9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9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9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5">
        <v>1</v>
      </c>
      <c r="M126" s="35">
        <f ca="1">VLOOKUP(C126,gacha_100_base!A:K,11,FALSE)</f>
        <v>228</v>
      </c>
      <c r="N126" s="26">
        <v>0</v>
      </c>
      <c r="O126" s="26">
        <v>0</v>
      </c>
      <c r="P126" s="26">
        <v>0</v>
      </c>
      <c r="Q126" s="26">
        <v>0</v>
      </c>
      <c r="R126" s="26">
        <v>1</v>
      </c>
    </row>
    <row r="127" spans="1:18" ht="21" customHeight="1">
      <c r="A127" s="7" t="str">
        <f t="shared" si="6"/>
        <v>1002511</v>
      </c>
      <c r="B127" s="2">
        <v>100</v>
      </c>
      <c r="C127" s="9" t="str">
        <f t="shared" ca="1" si="7"/>
        <v>PremiumS4</v>
      </c>
      <c r="D127" s="9" t="str">
        <f t="shared" si="8"/>
        <v/>
      </c>
      <c r="E127" s="6">
        <v>251</v>
      </c>
      <c r="F127" s="9" t="str">
        <f ca="1">VLOOKUP($E127,OFFSET([1]characters!$A$2,0,0,COUNTA([1]characters!$A:$A),MATCH(F$1,[1]characters!$2:$2,0)-MATCH($E$1,[1]characters!$2:$2,0)+1),MATCH(F$1,[1]characters!$2:$2,0)-MATCH($E$1,[1]characters!$2:$2,0)+1,FALSE)</f>
        <v>強欲 マンモン</v>
      </c>
      <c r="G127" s="9" t="str">
        <f ca="1">VLOOKUP($E127,OFFSET([1]characters!$A$2,0,0,COUNTA([1]characters!$A:$A),MATCH(G$1,[1]characters!$2:$2,0)-MATCH($E$1,[1]characters!$2:$2,0)+1),MATCH(G$1,[1]characters!$2:$2,0)-MATCH($E$1,[1]characters!$2:$2,0)+1,FALSE)</f>
        <v>PremiumS</v>
      </c>
      <c r="H127" s="9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9" t="str">
        <f ca="1">VLOOKUP($E127,OFFSET([1]characters!$A$2,0,0,COUNTA([1]characters!$A:$A),MATCH(I$1,[1]characters!$2:$2,0)-MATCH($E$1,[1]characters!$2:$2,0)+1),MATCH(I$1,[1]characters!$2:$2,0)-MATCH($E$1,[1]characters!$2:$2,0)+1,FALSE)</f>
        <v>red</v>
      </c>
      <c r="J127" s="9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7" s="9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5">
        <v>1</v>
      </c>
      <c r="M127" s="35">
        <f ca="1">VLOOKUP(C127,gacha_100_base!A:K,11,FALSE)</f>
        <v>80</v>
      </c>
      <c r="N127" s="26">
        <v>0</v>
      </c>
      <c r="O127" s="26">
        <v>0</v>
      </c>
      <c r="P127" s="26">
        <v>0</v>
      </c>
      <c r="Q127" s="26">
        <v>0</v>
      </c>
      <c r="R127" s="26">
        <v>1</v>
      </c>
    </row>
    <row r="128" spans="1:18" ht="21" customHeight="1">
      <c r="A128" s="7" t="str">
        <f t="shared" si="6"/>
        <v>1002521</v>
      </c>
      <c r="B128" s="2">
        <v>100</v>
      </c>
      <c r="C128" s="9" t="str">
        <f t="shared" ca="1" si="7"/>
        <v>PremiumS5</v>
      </c>
      <c r="D128" s="9" t="str">
        <f t="shared" si="8"/>
        <v/>
      </c>
      <c r="E128" s="6">
        <v>252</v>
      </c>
      <c r="F128" s="9" t="str">
        <f ca="1">VLOOKUP($E128,OFFSET([1]characters!$A$2,0,0,COUNTA([1]characters!$A:$A),MATCH(F$1,[1]characters!$2:$2,0)-MATCH($E$1,[1]characters!$2:$2,0)+1),MATCH(F$1,[1]characters!$2:$2,0)-MATCH($E$1,[1]characters!$2:$2,0)+1,FALSE)</f>
        <v>強欲の沸騰 マンモン</v>
      </c>
      <c r="G128" s="9" t="str">
        <f ca="1">VLOOKUP($E128,OFFSET([1]characters!$A$2,0,0,COUNTA([1]characters!$A:$A),MATCH(G$1,[1]characters!$2:$2,0)-MATCH($E$1,[1]characters!$2:$2,0)+1),MATCH(G$1,[1]characters!$2:$2,0)-MATCH($E$1,[1]characters!$2:$2,0)+1,FALSE)</f>
        <v>PremiumS</v>
      </c>
      <c r="H128" s="9">
        <f ca="1">VLOOKUP($E128,OFFSET([1]characters!$A$2,0,0,COUNTA([1]characters!$A:$A),MATCH(H$1,[1]characters!$2:$2,0)-MATCH($E$1,[1]characters!$2:$2,0)+1),MATCH(H$1,[1]characters!$2:$2,0)-MATCH($E$1,[1]characters!$2:$2,0)+1,FALSE)</f>
        <v>5</v>
      </c>
      <c r="I128" s="9" t="str">
        <f ca="1">VLOOKUP($E128,OFFSET([1]characters!$A$2,0,0,COUNTA([1]characters!$A:$A),MATCH(I$1,[1]characters!$2:$2,0)-MATCH($E$1,[1]characters!$2:$2,0)+1),MATCH(I$1,[1]characters!$2:$2,0)-MATCH($E$1,[1]characters!$2:$2,0)+1,FALSE)</f>
        <v>red</v>
      </c>
      <c r="J128" s="9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9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5">
        <v>1</v>
      </c>
      <c r="M128" s="35">
        <f ca="1">VLOOKUP(C128,gacha_100_base!A:K,11,FALSE)</f>
        <v>13</v>
      </c>
      <c r="N128" s="26">
        <v>0</v>
      </c>
      <c r="O128" s="26">
        <v>0</v>
      </c>
      <c r="P128" s="26">
        <v>0</v>
      </c>
      <c r="Q128" s="26">
        <v>0</v>
      </c>
      <c r="R128" s="26">
        <v>1</v>
      </c>
    </row>
    <row r="129" spans="1:18" ht="21" customHeight="1">
      <c r="A129" s="7" t="str">
        <f t="shared" si="6"/>
        <v>1002531</v>
      </c>
      <c r="B129" s="2">
        <v>100</v>
      </c>
      <c r="C129" s="9" t="str">
        <f t="shared" ca="1" si="7"/>
        <v>PremiumS3</v>
      </c>
      <c r="D129" s="9" t="str">
        <f t="shared" si="8"/>
        <v/>
      </c>
      <c r="E129" s="6">
        <v>253</v>
      </c>
      <c r="F129" s="9" t="str">
        <f ca="1">VLOOKUP($E129,OFFSET([1]characters!$A$2,0,0,COUNTA([1]characters!$A:$A),MATCH(F$1,[1]characters!$2:$2,0)-MATCH($E$1,[1]characters!$2:$2,0)+1),MATCH(F$1,[1]characters!$2:$2,0)-MATCH($E$1,[1]characters!$2:$2,0)+1,FALSE)</f>
        <v>ベルフェゴール</v>
      </c>
      <c r="G129" s="9" t="str">
        <f ca="1">VLOOKUP($E129,OFFSET([1]characters!$A$2,0,0,COUNTA([1]characters!$A:$A),MATCH(G$1,[1]characters!$2:$2,0)-MATCH($E$1,[1]characters!$2:$2,0)+1),MATCH(G$1,[1]characters!$2:$2,0)-MATCH($E$1,[1]characters!$2:$2,0)+1,FALSE)</f>
        <v>PremiumS</v>
      </c>
      <c r="H129" s="9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9" t="str">
        <f ca="1">VLOOKUP($E129,OFFSET([1]characters!$A$2,0,0,COUNTA([1]characters!$A:$A),MATCH(I$1,[1]characters!$2:$2,0)-MATCH($E$1,[1]characters!$2:$2,0)+1),MATCH(I$1,[1]characters!$2:$2,0)-MATCH($E$1,[1]characters!$2:$2,0)+1,FALSE)</f>
        <v>green</v>
      </c>
      <c r="J129" s="9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9" s="9" t="str">
        <f ca="1">VLOOKUP($E129,OFFSET([1]characters!$A$2,0,0,COUNTA([1]characters!$A:$A),MATCH($K$1,[1]characters!$1:$1,0)-MATCH($E$1,[1]characters!$2:$2,0)+2),MATCH($K$1,[1]characters!$1:$1,0)-MATCH($E$1,[1]characters!$2:$2,0)+2,FALSE)</f>
        <v>ゴッド</v>
      </c>
      <c r="L129" s="5">
        <v>1</v>
      </c>
      <c r="M129" s="35">
        <f ca="1">VLOOKUP(C129,gacha_100_base!A:K,11,FALSE)</f>
        <v>228</v>
      </c>
      <c r="N129" s="26">
        <v>0</v>
      </c>
      <c r="O129" s="26">
        <v>0</v>
      </c>
      <c r="P129" s="26">
        <v>0</v>
      </c>
      <c r="Q129" s="26">
        <v>0</v>
      </c>
      <c r="R129" s="26">
        <v>1</v>
      </c>
    </row>
    <row r="130" spans="1:18" ht="21" customHeight="1">
      <c r="A130" s="7" t="str">
        <f t="shared" si="6"/>
        <v>1002541</v>
      </c>
      <c r="B130" s="2">
        <v>100</v>
      </c>
      <c r="C130" s="9" t="str">
        <f t="shared" ca="1" si="7"/>
        <v>PremiumS4</v>
      </c>
      <c r="D130" s="9" t="str">
        <f t="shared" si="8"/>
        <v/>
      </c>
      <c r="E130" s="6">
        <v>254</v>
      </c>
      <c r="F130" s="9" t="str">
        <f ca="1">VLOOKUP($E130,OFFSET([1]characters!$A$2,0,0,COUNTA([1]characters!$A:$A),MATCH(F$1,[1]characters!$2:$2,0)-MATCH($E$1,[1]characters!$2:$2,0)+1),MATCH(F$1,[1]characters!$2:$2,0)-MATCH($E$1,[1]characters!$2:$2,0)+1,FALSE)</f>
        <v>怠惰 ベルフェゴール</v>
      </c>
      <c r="G130" s="9" t="str">
        <f ca="1">VLOOKUP($E130,OFFSET([1]characters!$A$2,0,0,COUNTA([1]characters!$A:$A),MATCH(G$1,[1]characters!$2:$2,0)-MATCH($E$1,[1]characters!$2:$2,0)+1),MATCH(G$1,[1]characters!$2:$2,0)-MATCH($E$1,[1]characters!$2:$2,0)+1,FALSE)</f>
        <v>PremiumS</v>
      </c>
      <c r="H130" s="9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9" t="str">
        <f ca="1">VLOOKUP($E130,OFFSET([1]characters!$A$2,0,0,COUNTA([1]characters!$A:$A),MATCH(I$1,[1]characters!$2:$2,0)-MATCH($E$1,[1]characters!$2:$2,0)+1),MATCH(I$1,[1]characters!$2:$2,0)-MATCH($E$1,[1]characters!$2:$2,0)+1,FALSE)</f>
        <v>green</v>
      </c>
      <c r="J130" s="9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0" s="9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5">
        <v>1</v>
      </c>
      <c r="M130" s="35">
        <f ca="1">VLOOKUP(C130,gacha_100_base!A:K,11,FALSE)</f>
        <v>80</v>
      </c>
      <c r="N130" s="26">
        <v>0</v>
      </c>
      <c r="O130" s="26">
        <v>0</v>
      </c>
      <c r="P130" s="26">
        <v>0</v>
      </c>
      <c r="Q130" s="26">
        <v>0</v>
      </c>
      <c r="R130" s="26">
        <v>1</v>
      </c>
    </row>
    <row r="131" spans="1:18" ht="21" customHeight="1">
      <c r="A131" s="7" t="str">
        <f t="shared" si="6"/>
        <v>1002551</v>
      </c>
      <c r="B131" s="2">
        <v>100</v>
      </c>
      <c r="C131" s="9" t="str">
        <f t="shared" ca="1" si="7"/>
        <v>PremiumS5</v>
      </c>
      <c r="D131" s="9" t="str">
        <f t="shared" si="8"/>
        <v/>
      </c>
      <c r="E131" s="6">
        <v>255</v>
      </c>
      <c r="F131" s="9" t="str">
        <f ca="1">VLOOKUP($E131,OFFSET([1]characters!$A$2,0,0,COUNTA([1]characters!$A:$A),MATCH(F$1,[1]characters!$2:$2,0)-MATCH($E$1,[1]characters!$2:$2,0)+1),MATCH(F$1,[1]characters!$2:$2,0)-MATCH($E$1,[1]characters!$2:$2,0)+1,FALSE)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131" s="9" t="str">
        <f ca="1">VLOOKUP($E131,OFFSET([1]characters!$A$2,0,0,COUNTA([1]characters!$A:$A),MATCH(G$1,[1]characters!$2:$2,0)-MATCH($E$1,[1]characters!$2:$2,0)+1),MATCH(G$1,[1]characters!$2:$2,0)-MATCH($E$1,[1]characters!$2:$2,0)+1,FALSE)</f>
        <v>PremiumS</v>
      </c>
      <c r="H131" s="9">
        <f ca="1">VLOOKUP($E131,OFFSET([1]characters!$A$2,0,0,COUNTA([1]characters!$A:$A),MATCH(H$1,[1]characters!$2:$2,0)-MATCH($E$1,[1]characters!$2:$2,0)+1),MATCH(H$1,[1]characters!$2:$2,0)-MATCH($E$1,[1]characters!$2:$2,0)+1,FALSE)</f>
        <v>5</v>
      </c>
      <c r="I131" s="9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9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1" s="9" t="str">
        <f ca="1">VLOOKUP($E131,OFFSET([1]characters!$A$2,0,0,COUNTA([1]characters!$A:$A),MATCH($K$1,[1]characters!$1:$1,0)-MATCH($E$1,[1]characters!$2:$2,0)+2),MATCH($K$1,[1]characters!$1:$1,0)-MATCH($E$1,[1]characters!$2:$2,0)+2,FALSE)</f>
        <v>ゴッド</v>
      </c>
      <c r="L131" s="5">
        <v>1</v>
      </c>
      <c r="M131" s="35">
        <f ca="1">VLOOKUP(C131,gacha_100_base!A:K,11,FALSE)</f>
        <v>13</v>
      </c>
      <c r="N131" s="26">
        <v>0</v>
      </c>
      <c r="O131" s="26">
        <v>0</v>
      </c>
      <c r="P131" s="26">
        <v>0</v>
      </c>
      <c r="Q131" s="26">
        <v>0</v>
      </c>
      <c r="R131" s="26">
        <v>1</v>
      </c>
    </row>
    <row r="132" spans="1:18" ht="21" customHeight="1">
      <c r="A132" s="7" t="str">
        <f t="shared" si="6"/>
        <v>1002561</v>
      </c>
      <c r="B132" s="2">
        <v>100</v>
      </c>
      <c r="C132" s="9" t="str">
        <f t="shared" ca="1" si="7"/>
        <v>PremiumS3</v>
      </c>
      <c r="D132" s="9" t="str">
        <f t="shared" si="8"/>
        <v/>
      </c>
      <c r="E132" s="6">
        <v>256</v>
      </c>
      <c r="F132" s="9" t="str">
        <f ca="1">VLOOKUP($E132,OFFSET([1]characters!$A$2,0,0,COUNTA([1]characters!$A:$A),MATCH(F$1,[1]characters!$2:$2,0)-MATCH($E$1,[1]characters!$2:$2,0)+1),MATCH(F$1,[1]characters!$2:$2,0)-MATCH($E$1,[1]characters!$2:$2,0)+1,FALSE)</f>
        <v>アスモデウス</v>
      </c>
      <c r="G132" s="9" t="str">
        <f ca="1">VLOOKUP($E132,OFFSET([1]characters!$A$2,0,0,COUNTA([1]characters!$A:$A),MATCH(G$1,[1]characters!$2:$2,0)-MATCH($E$1,[1]characters!$2:$2,0)+1),MATCH(G$1,[1]characters!$2:$2,0)-MATCH($E$1,[1]characters!$2:$2,0)+1,FALSE)</f>
        <v>PremiumS</v>
      </c>
      <c r="H132" s="9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9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9" t="str">
        <f ca="1">VLOOKUP($E132,OFFSET([1]characters!$A$2,0,0,COUNTA([1]characters!$A:$A),MATCH("タイプ",[1]characters!$1:$1,0)-MATCH($E$1,[1]characters!$2:$2,0)+2),MATCH("タイプ",[1]characters!$1:$1,0)-MATCH($E$1,[1]characters!$2:$2,0)+2,FALSE)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2" s="9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5">
        <v>1</v>
      </c>
      <c r="M132" s="35">
        <f ca="1">VLOOKUP(C132,gacha_100_base!A:K,11,FALSE)</f>
        <v>228</v>
      </c>
      <c r="N132" s="26">
        <v>0</v>
      </c>
      <c r="O132" s="26">
        <v>0</v>
      </c>
      <c r="P132" s="26">
        <v>0</v>
      </c>
      <c r="Q132" s="26">
        <v>0</v>
      </c>
      <c r="R132" s="26">
        <v>1</v>
      </c>
    </row>
    <row r="133" spans="1:18" ht="21" customHeight="1">
      <c r="A133" s="7" t="str">
        <f t="shared" si="6"/>
        <v>1002571</v>
      </c>
      <c r="B133" s="2">
        <v>100</v>
      </c>
      <c r="C133" s="9" t="str">
        <f t="shared" ca="1" si="7"/>
        <v>PremiumS4</v>
      </c>
      <c r="D133" s="9" t="str">
        <f t="shared" si="8"/>
        <v/>
      </c>
      <c r="E133" s="6">
        <v>257</v>
      </c>
      <c r="F133" s="9" t="str">
        <f ca="1">VLOOKUP($E133,OFFSET([1]characters!$A$2,0,0,COUNTA([1]characters!$A:$A),MATCH(F$1,[1]characters!$2:$2,0)-MATCH($E$1,[1]characters!$2:$2,0)+1),MATCH(F$1,[1]characters!$2:$2,0)-MATCH($E$1,[1]characters!$2:$2,0)+1,FALSE)</f>
        <v>色欲 アスモデウス</v>
      </c>
      <c r="G133" s="9" t="str">
        <f ca="1">VLOOKUP($E133,OFFSET([1]characters!$A$2,0,0,COUNTA([1]characters!$A:$A),MATCH(G$1,[1]characters!$2:$2,0)-MATCH($E$1,[1]characters!$2:$2,0)+1),MATCH(G$1,[1]characters!$2:$2,0)-MATCH($E$1,[1]characters!$2:$2,0)+1,FALSE)</f>
        <v>PremiumS</v>
      </c>
      <c r="H133" s="9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9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9" t="str">
        <f ca="1">VLOOKUP($E133,OFFSET([1]characters!$A$2,0,0,COUNTA([1]characters!$A:$A),MATCH("タイプ",[1]characters!$1:$1,0)-MATCH($E$1,[1]characters!$2:$2,0)+2),MATCH("タイプ",[1]characters!$1:$1,0)-MATCH($E$1,[1]characters!$2:$2,0)+2,FALSE)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3" s="9" t="str">
        <f ca="1">VLOOKUP($E133,OFFSET([1]characters!$A$2,0,0,COUNTA([1]characters!$A:$A),MATCH($K$1,[1]characters!$1:$1,0)-MATCH($E$1,[1]characters!$2:$2,0)+2),MATCH($K$1,[1]characters!$1:$1,0)-MATCH($E$1,[1]characters!$2:$2,0)+2,FALSE)</f>
        <v>ゴッド</v>
      </c>
      <c r="L133" s="5">
        <v>1</v>
      </c>
      <c r="M133" s="35">
        <f ca="1">VLOOKUP(C133,gacha_100_base!A:K,11,FALSE)</f>
        <v>80</v>
      </c>
      <c r="N133" s="26">
        <v>0</v>
      </c>
      <c r="O133" s="26">
        <v>0</v>
      </c>
      <c r="P133" s="26">
        <v>0</v>
      </c>
      <c r="Q133" s="26">
        <v>0</v>
      </c>
      <c r="R133" s="26">
        <v>1</v>
      </c>
    </row>
    <row r="134" spans="1:18" ht="21" customHeight="1">
      <c r="A134" s="7" t="str">
        <f t="shared" si="6"/>
        <v>1002581</v>
      </c>
      <c r="B134" s="2">
        <v>100</v>
      </c>
      <c r="C134" s="9" t="str">
        <f t="shared" ca="1" si="7"/>
        <v>PremiumS5</v>
      </c>
      <c r="D134" s="9" t="str">
        <f t="shared" si="8"/>
        <v/>
      </c>
      <c r="E134" s="6">
        <v>258</v>
      </c>
      <c r="F134" s="9" t="str">
        <f ca="1">VLOOKUP($E134,OFFSET([1]characters!$A$2,0,0,COUNTA([1]characters!$A:$A),MATCH(F$1,[1]characters!$2:$2,0)-MATCH($E$1,[1]characters!$2:$2,0)+1),MATCH(F$1,[1]characters!$2:$2,0)-MATCH($E$1,[1]characters!$2:$2,0)+1,FALSE)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134" s="9" t="str">
        <f ca="1">VLOOKUP($E134,OFFSET([1]characters!$A$2,0,0,COUNTA([1]characters!$A:$A),MATCH(G$1,[1]characters!$2:$2,0)-MATCH($E$1,[1]characters!$2:$2,0)+1),MATCH(G$1,[1]characters!$2:$2,0)-MATCH($E$1,[1]characters!$2:$2,0)+1,FALSE)</f>
        <v>PremiumS</v>
      </c>
      <c r="H134" s="9">
        <f ca="1">VLOOKUP($E134,OFFSET([1]characters!$A$2,0,0,COUNTA([1]characters!$A:$A),MATCH(H$1,[1]characters!$2:$2,0)-MATCH($E$1,[1]characters!$2:$2,0)+1),MATCH(H$1,[1]characters!$2:$2,0)-MATCH($E$1,[1]characters!$2:$2,0)+1,FALSE)</f>
        <v>5</v>
      </c>
      <c r="I134" s="9" t="str">
        <f ca="1">VLOOKUP($E134,OFFSET([1]characters!$A$2,0,0,COUNTA([1]characters!$A:$A),MATCH(I$1,[1]characters!$2:$2,0)-MATCH($E$1,[1]characters!$2:$2,0)+1),MATCH(I$1,[1]characters!$2:$2,0)-MATCH($E$1,[1]characters!$2:$2,0)+1,FALSE)</f>
        <v>blue</v>
      </c>
      <c r="J134" s="9" t="str">
        <f ca="1">VLOOKUP($E134,OFFSET([1]characters!$A$2,0,0,COUNTA([1]characters!$A:$A),MATCH("タイプ",[1]characters!$1:$1,0)-MATCH($E$1,[1]characters!$2:$2,0)+2),MATCH("タイプ",[1]characters!$1:$1,0)-MATCH($E$1,[1]characters!$2:$2,0)+2,FALSE)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4" s="9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5">
        <v>1</v>
      </c>
      <c r="M134" s="35">
        <f ca="1">VLOOKUP(C134,gacha_100_base!A:K,11,FALSE)</f>
        <v>13</v>
      </c>
      <c r="N134" s="26">
        <v>0</v>
      </c>
      <c r="O134" s="26">
        <v>0</v>
      </c>
      <c r="P134" s="26">
        <v>0</v>
      </c>
      <c r="Q134" s="26">
        <v>0</v>
      </c>
      <c r="R134" s="26">
        <v>1</v>
      </c>
    </row>
    <row r="135" spans="1:18" ht="21" customHeight="1">
      <c r="A135" s="7" t="str">
        <f t="shared" si="6"/>
        <v>1002591</v>
      </c>
      <c r="B135" s="2">
        <v>100</v>
      </c>
      <c r="C135" s="9" t="str">
        <f t="shared" ca="1" si="7"/>
        <v>PremiumS3</v>
      </c>
      <c r="D135" s="9" t="str">
        <f t="shared" si="8"/>
        <v/>
      </c>
      <c r="E135" s="6">
        <v>259</v>
      </c>
      <c r="F135" s="9" t="str">
        <f ca="1">VLOOKUP($E135,OFFSET([1]characters!$A$2,0,0,COUNTA([1]characters!$A:$A),MATCH(F$1,[1]characters!$2:$2,0)-MATCH($E$1,[1]characters!$2:$2,0)+1),MATCH(F$1,[1]characters!$2:$2,0)-MATCH($E$1,[1]characters!$2:$2,0)+1,FALSE)</f>
        <v>ウロボロス</v>
      </c>
      <c r="G135" s="9" t="str">
        <f ca="1">VLOOKUP($E135,OFFSET([1]characters!$A$2,0,0,COUNTA([1]characters!$A:$A),MATCH(G$1,[1]characters!$2:$2,0)-MATCH($E$1,[1]characters!$2:$2,0)+1),MATCH(G$1,[1]characters!$2:$2,0)-MATCH($E$1,[1]characters!$2:$2,0)+1,FALSE)</f>
        <v>PremiumS</v>
      </c>
      <c r="H135" s="9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9" t="str">
        <f ca="1">VLOOKUP($E135,OFFSET([1]characters!$A$2,0,0,COUNTA([1]characters!$A:$A),MATCH(I$1,[1]characters!$2:$2,0)-MATCH($E$1,[1]characters!$2:$2,0)+1),MATCH(I$1,[1]characters!$2:$2,0)-MATCH($E$1,[1]characters!$2:$2,0)+1,FALSE)</f>
        <v>yellow</v>
      </c>
      <c r="J135" s="9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9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5">
        <v>1</v>
      </c>
      <c r="M135" s="35">
        <f ca="1">VLOOKUP(C135,gacha_100_base!A:K,11,FALSE)</f>
        <v>228</v>
      </c>
      <c r="N135" s="26">
        <v>0</v>
      </c>
      <c r="O135" s="26">
        <v>0</v>
      </c>
      <c r="P135" s="26">
        <v>0</v>
      </c>
      <c r="Q135" s="26">
        <v>0</v>
      </c>
      <c r="R135" s="26">
        <v>1</v>
      </c>
    </row>
    <row r="136" spans="1:18" ht="21" customHeight="1">
      <c r="A136" s="7" t="str">
        <f t="shared" si="6"/>
        <v>1002601</v>
      </c>
      <c r="B136" s="2">
        <v>100</v>
      </c>
      <c r="C136" s="9" t="str">
        <f t="shared" ca="1" si="7"/>
        <v>PremiumS4</v>
      </c>
      <c r="D136" s="9" t="str">
        <f t="shared" si="8"/>
        <v/>
      </c>
      <c r="E136" s="6">
        <v>260</v>
      </c>
      <c r="F136" s="9" t="str">
        <f ca="1">VLOOKUP($E136,OFFSET([1]characters!$A$2,0,0,COUNTA([1]characters!$A:$A),MATCH(F$1,[1]characters!$2:$2,0)-MATCH($E$1,[1]characters!$2:$2,0)+1),MATCH(F$1,[1]characters!$2:$2,0)-MATCH($E$1,[1]characters!$2:$2,0)+1,FALSE)</f>
        <v>輪廻 ウロボロス</v>
      </c>
      <c r="G136" s="9" t="str">
        <f ca="1">VLOOKUP($E136,OFFSET([1]characters!$A$2,0,0,COUNTA([1]characters!$A:$A),MATCH(G$1,[1]characters!$2:$2,0)-MATCH($E$1,[1]characters!$2:$2,0)+1),MATCH(G$1,[1]characters!$2:$2,0)-MATCH($E$1,[1]characters!$2:$2,0)+1,FALSE)</f>
        <v>PremiumS</v>
      </c>
      <c r="H136" s="9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9" t="str">
        <f ca="1">VLOOKUP($E136,OFFSET([1]characters!$A$2,0,0,COUNTA([1]characters!$A:$A),MATCH(I$1,[1]characters!$2:$2,0)-MATCH($E$1,[1]characters!$2:$2,0)+1),MATCH(I$1,[1]characters!$2:$2,0)-MATCH($E$1,[1]characters!$2:$2,0)+1,FALSE)</f>
        <v>yellow</v>
      </c>
      <c r="J136" s="9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9" t="str">
        <f ca="1">VLOOKUP($E136,OFFSET([1]characters!$A$2,0,0,COUNTA([1]characters!$A:$A),MATCH($K$1,[1]characters!$1:$1,0)-MATCH($E$1,[1]characters!$2:$2,0)+2),MATCH($K$1,[1]characters!$1:$1,0)-MATCH($E$1,[1]characters!$2:$2,0)+2,FALSE)</f>
        <v>ドラゴン</v>
      </c>
      <c r="L136" s="5">
        <v>1</v>
      </c>
      <c r="M136" s="35">
        <f ca="1">VLOOKUP(C136,gacha_100_base!A:K,11,FALSE)</f>
        <v>80</v>
      </c>
      <c r="N136" s="26">
        <v>0</v>
      </c>
      <c r="O136" s="26">
        <v>0</v>
      </c>
      <c r="P136" s="26">
        <v>0</v>
      </c>
      <c r="Q136" s="26">
        <v>0</v>
      </c>
      <c r="R136" s="26">
        <v>1</v>
      </c>
    </row>
    <row r="137" spans="1:18" ht="21" customHeight="1">
      <c r="A137" s="7" t="str">
        <f t="shared" si="6"/>
        <v>1002611</v>
      </c>
      <c r="B137" s="2">
        <v>100</v>
      </c>
      <c r="C137" s="9" t="str">
        <f t="shared" ca="1" si="7"/>
        <v>PremiumS5</v>
      </c>
      <c r="D137" s="9" t="str">
        <f t="shared" si="8"/>
        <v/>
      </c>
      <c r="E137" s="6">
        <v>261</v>
      </c>
      <c r="F137" s="9" t="str">
        <f ca="1">VLOOKUP($E137,OFFSET([1]characters!$A$2,0,0,COUNTA([1]characters!$A:$A),MATCH(F$1,[1]characters!$2:$2,0)-MATCH($E$1,[1]characters!$2:$2,0)+1),MATCH(F$1,[1]characters!$2:$2,0)-MATCH($E$1,[1]characters!$2:$2,0)+1,FALSE)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137" s="9" t="str">
        <f ca="1">VLOOKUP($E137,OFFSET([1]characters!$A$2,0,0,COUNTA([1]characters!$A:$A),MATCH(G$1,[1]characters!$2:$2,0)-MATCH($E$1,[1]characters!$2:$2,0)+1),MATCH(G$1,[1]characters!$2:$2,0)-MATCH($E$1,[1]characters!$2:$2,0)+1,FALSE)</f>
        <v>PremiumS</v>
      </c>
      <c r="H137" s="9">
        <f ca="1">VLOOKUP($E137,OFFSET([1]characters!$A$2,0,0,COUNTA([1]characters!$A:$A),MATCH(H$1,[1]characters!$2:$2,0)-MATCH($E$1,[1]characters!$2:$2,0)+1),MATCH(H$1,[1]characters!$2:$2,0)-MATCH($E$1,[1]characters!$2:$2,0)+1,FALSE)</f>
        <v>5</v>
      </c>
      <c r="I137" s="9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9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9" t="str">
        <f ca="1">VLOOKUP($E137,OFFSET([1]characters!$A$2,0,0,COUNTA([1]characters!$A:$A),MATCH($K$1,[1]characters!$1:$1,0)-MATCH($E$1,[1]characters!$2:$2,0)+2),MATCH($K$1,[1]characters!$1:$1,0)-MATCH($E$1,[1]characters!$2:$2,0)+2,FALSE)</f>
        <v>ドラゴン</v>
      </c>
      <c r="L137" s="5">
        <v>1</v>
      </c>
      <c r="M137" s="35">
        <f ca="1">VLOOKUP(C137,gacha_100_base!A:K,11,FALSE)</f>
        <v>13</v>
      </c>
      <c r="N137" s="26">
        <v>0</v>
      </c>
      <c r="O137" s="26">
        <v>0</v>
      </c>
      <c r="P137" s="26">
        <v>0</v>
      </c>
      <c r="Q137" s="26">
        <v>0</v>
      </c>
      <c r="R137" s="26">
        <v>1</v>
      </c>
    </row>
    <row r="138" spans="1:18" ht="21" customHeight="1">
      <c r="A138" s="7" t="str">
        <f t="shared" si="6"/>
        <v>1003201</v>
      </c>
      <c r="B138" s="2">
        <v>100</v>
      </c>
      <c r="C138" s="9" t="str">
        <f t="shared" ca="1" si="7"/>
        <v>PremiumSS4</v>
      </c>
      <c r="D138" s="9" t="str">
        <f t="shared" si="8"/>
        <v/>
      </c>
      <c r="E138" s="25">
        <v>320</v>
      </c>
      <c r="F138" s="19" t="str">
        <f ca="1">VLOOKUP($E138,OFFSET([1]characters!$A$2,0,0,COUNTA([1]characters!$A:$A),MATCH(F$1,[1]characters!$2:$2,0)-MATCH($E$1,[1]characters!$2:$2,0)+1),MATCH(F$1,[1]characters!$2:$2,0)-MATCH($E$1,[1]characters!$2:$2,0)+1,FALSE)</f>
        <v>烈志士 近藤勇</v>
      </c>
      <c r="G138" s="19" t="str">
        <f ca="1">VLOOKUP($E138,OFFSET([1]characters!$A$2,0,0,COUNTA([1]characters!$A:$A),MATCH(G$1,[1]characters!$2:$2,0)-MATCH($E$1,[1]characters!$2:$2,0)+1),MATCH(G$1,[1]characters!$2:$2,0)-MATCH($E$1,[1]characters!$2:$2,0)+1,FALSE)</f>
        <v>PremiumSS</v>
      </c>
      <c r="H138" s="19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9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9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9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20">
        <v>1</v>
      </c>
      <c r="M138" s="35">
        <f ca="1">VLOOKUP(C138,gacha_100_base!A:K,11,FALSE)</f>
        <v>144</v>
      </c>
      <c r="N138" s="17">
        <v>0</v>
      </c>
      <c r="O138" s="17">
        <v>0</v>
      </c>
      <c r="P138" s="17">
        <v>0</v>
      </c>
      <c r="Q138" s="17">
        <v>0</v>
      </c>
      <c r="R138" s="17">
        <v>1</v>
      </c>
    </row>
    <row r="139" spans="1:18" ht="21" customHeight="1">
      <c r="A139" s="7" t="str">
        <f t="shared" si="6"/>
        <v>1003211</v>
      </c>
      <c r="B139" s="2">
        <v>100</v>
      </c>
      <c r="C139" s="9" t="str">
        <f t="shared" ca="1" si="7"/>
        <v>PremiumSS5</v>
      </c>
      <c r="D139" s="9" t="str">
        <f t="shared" si="8"/>
        <v/>
      </c>
      <c r="E139" s="6">
        <v>321</v>
      </c>
      <c r="F139" s="9" t="str">
        <f ca="1">VLOOKUP($E139,OFFSET([1]characters!$A$2,0,0,COUNTA([1]characters!$A:$A),MATCH(F$1,[1]characters!$2:$2,0)-MATCH($E$1,[1]characters!$2:$2,0)+1),MATCH(F$1,[1]characters!$2:$2,0)-MATCH($E$1,[1]characters!$2:$2,0)+1,FALSE)</f>
        <v>巌鉄の烈志士 近藤勇</v>
      </c>
      <c r="G139" s="9" t="str">
        <f ca="1">VLOOKUP($E139,OFFSET([1]characters!$A$2,0,0,COUNTA([1]characters!$A:$A),MATCH(G$1,[1]characters!$2:$2,0)-MATCH($E$1,[1]characters!$2:$2,0)+1),MATCH(G$1,[1]characters!$2:$2,0)-MATCH($E$1,[1]characters!$2:$2,0)+1,FALSE)</f>
        <v>PremiumSS</v>
      </c>
      <c r="H139" s="9">
        <f ca="1">VLOOKUP($E139,OFFSET([1]characters!$A$2,0,0,COUNTA([1]characters!$A:$A),MATCH(H$1,[1]characters!$2:$2,0)-MATCH($E$1,[1]characters!$2:$2,0)+1),MATCH(H$1,[1]characters!$2:$2,0)-MATCH($E$1,[1]characters!$2:$2,0)+1,FALSE)</f>
        <v>5</v>
      </c>
      <c r="I139" s="9" t="str">
        <f ca="1">VLOOKUP($E139,OFFSET([1]characters!$A$2,0,0,COUNTA([1]characters!$A:$A),MATCH(I$1,[1]characters!$2:$2,0)-MATCH($E$1,[1]characters!$2:$2,0)+1),MATCH(I$1,[1]characters!$2:$2,0)-MATCH($E$1,[1]characters!$2:$2,0)+1,FALSE)</f>
        <v>red</v>
      </c>
      <c r="J139" s="9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9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5">
        <v>1</v>
      </c>
      <c r="M139" s="35">
        <f ca="1">VLOOKUP(C139,gacha_100_base!A:K,11,FALSE)</f>
        <v>48</v>
      </c>
      <c r="N139" s="26">
        <v>0</v>
      </c>
      <c r="O139" s="26">
        <v>0</v>
      </c>
      <c r="P139" s="26">
        <v>0</v>
      </c>
      <c r="Q139" s="26">
        <v>0</v>
      </c>
      <c r="R139" s="26">
        <v>1</v>
      </c>
    </row>
    <row r="140" spans="1:18" ht="21" customHeight="1">
      <c r="A140" s="7" t="str">
        <f t="shared" si="6"/>
        <v>1003221</v>
      </c>
      <c r="B140" s="2">
        <v>100</v>
      </c>
      <c r="C140" s="9" t="str">
        <f t="shared" ca="1" si="7"/>
        <v>PremiumSS4</v>
      </c>
      <c r="D140" s="9" t="str">
        <f t="shared" si="8"/>
        <v/>
      </c>
      <c r="E140" s="6">
        <v>322</v>
      </c>
      <c r="F140" s="9" t="str">
        <f ca="1">VLOOKUP($E140,OFFSET([1]characters!$A$2,0,0,COUNTA([1]characters!$A:$A),MATCH(F$1,[1]characters!$2:$2,0)-MATCH($E$1,[1]characters!$2:$2,0)+1),MATCH(F$1,[1]characters!$2:$2,0)-MATCH($E$1,[1]characters!$2:$2,0)+1,FALSE)</f>
        <v>愛志士 土方歳三</v>
      </c>
      <c r="G140" s="9" t="str">
        <f ca="1">VLOOKUP($E140,OFFSET([1]characters!$A$2,0,0,COUNTA([1]characters!$A:$A),MATCH(G$1,[1]characters!$2:$2,0)-MATCH($E$1,[1]characters!$2:$2,0)+1),MATCH(G$1,[1]characters!$2:$2,0)-MATCH($E$1,[1]characters!$2:$2,0)+1,FALSE)</f>
        <v>PremiumSS</v>
      </c>
      <c r="H140" s="9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9" t="str">
        <f ca="1">VLOOKUP($E140,OFFSET([1]characters!$A$2,0,0,COUNTA([1]characters!$A:$A),MATCH(I$1,[1]characters!$2:$2,0)-MATCH($E$1,[1]characters!$2:$2,0)+1),MATCH(I$1,[1]characters!$2:$2,0)-MATCH($E$1,[1]characters!$2:$2,0)+1,FALSE)</f>
        <v>green</v>
      </c>
      <c r="J140" s="9" t="str">
        <f ca="1">VLOOKUP($E140,OFFSET([1]characters!$A$2,0,0,COUNTA([1]characters!$A:$A),MATCH("タイプ",[1]characters!$1:$1,0)-MATCH($E$1,[1]characters!$2:$2,0)+2),MATCH("タイプ",[1]characters!$1:$1,0)-MATCH($E$1,[1]characters!$2:$2,0)+2,FALSE)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0" s="9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5">
        <v>1</v>
      </c>
      <c r="M140" s="35">
        <f ca="1">VLOOKUP(C140,gacha_100_base!A:K,11,FALSE)</f>
        <v>144</v>
      </c>
      <c r="N140" s="26">
        <v>0</v>
      </c>
      <c r="O140" s="26">
        <v>0</v>
      </c>
      <c r="P140" s="26">
        <v>0</v>
      </c>
      <c r="Q140" s="26">
        <v>0</v>
      </c>
      <c r="R140" s="26">
        <v>1</v>
      </c>
    </row>
    <row r="141" spans="1:18" ht="21" customHeight="1">
      <c r="A141" s="7" t="str">
        <f t="shared" si="6"/>
        <v>1003231</v>
      </c>
      <c r="B141" s="2">
        <v>100</v>
      </c>
      <c r="C141" s="9" t="str">
        <f t="shared" ca="1" si="7"/>
        <v>PremiumSS5</v>
      </c>
      <c r="D141" s="9" t="str">
        <f t="shared" si="8"/>
        <v/>
      </c>
      <c r="E141" s="6">
        <v>323</v>
      </c>
      <c r="F141" s="9" t="str">
        <f ca="1">VLOOKUP($E141,OFFSET([1]characters!$A$2,0,0,COUNTA([1]characters!$A:$A),MATCH(F$1,[1]characters!$2:$2,0)-MATCH($E$1,[1]characters!$2:$2,0)+1),MATCH(F$1,[1]characters!$2:$2,0)-MATCH($E$1,[1]characters!$2:$2,0)+1,FALSE)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141" s="9" t="str">
        <f ca="1">VLOOKUP($E141,OFFSET([1]characters!$A$2,0,0,COUNTA([1]characters!$A:$A),MATCH(G$1,[1]characters!$2:$2,0)-MATCH($E$1,[1]characters!$2:$2,0)+1),MATCH(G$1,[1]characters!$2:$2,0)-MATCH($E$1,[1]characters!$2:$2,0)+1,FALSE)</f>
        <v>PremiumSS</v>
      </c>
      <c r="H141" s="9">
        <f ca="1">VLOOKUP($E141,OFFSET([1]characters!$A$2,0,0,COUNTA([1]characters!$A:$A),MATCH(H$1,[1]characters!$2:$2,0)-MATCH($E$1,[1]characters!$2:$2,0)+1),MATCH(H$1,[1]characters!$2:$2,0)-MATCH($E$1,[1]characters!$2:$2,0)+1,FALSE)</f>
        <v>5</v>
      </c>
      <c r="I141" s="9" t="str">
        <f ca="1">VLOOKUP($E141,OFFSET([1]characters!$A$2,0,0,COUNTA([1]characters!$A:$A),MATCH(I$1,[1]characters!$2:$2,0)-MATCH($E$1,[1]characters!$2:$2,0)+1),MATCH(I$1,[1]characters!$2:$2,0)-MATCH($E$1,[1]characters!$2:$2,0)+1,FALSE)</f>
        <v>green</v>
      </c>
      <c r="J141" s="9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9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5">
        <v>1</v>
      </c>
      <c r="M141" s="35">
        <f ca="1">VLOOKUP(C141,gacha_100_base!A:K,11,FALSE)</f>
        <v>48</v>
      </c>
      <c r="N141" s="26">
        <v>0</v>
      </c>
      <c r="O141" s="26">
        <v>0</v>
      </c>
      <c r="P141" s="26">
        <v>0</v>
      </c>
      <c r="Q141" s="26">
        <v>0</v>
      </c>
      <c r="R141" s="26">
        <v>1</v>
      </c>
    </row>
    <row r="142" spans="1:18" ht="21" customHeight="1">
      <c r="A142" s="7" t="str">
        <f t="shared" si="6"/>
        <v>1003241</v>
      </c>
      <c r="B142" s="2">
        <v>100</v>
      </c>
      <c r="C142" s="9" t="str">
        <f t="shared" ca="1" si="7"/>
        <v>PremiumSS4</v>
      </c>
      <c r="D142" s="9" t="str">
        <f t="shared" si="8"/>
        <v/>
      </c>
      <c r="E142" s="6">
        <v>324</v>
      </c>
      <c r="F142" s="9" t="str">
        <f ca="1">VLOOKUP($E142,OFFSET([1]characters!$A$2,0,0,COUNTA([1]characters!$A:$A),MATCH(F$1,[1]characters!$2:$2,0)-MATCH($E$1,[1]characters!$2:$2,0)+1),MATCH(F$1,[1]characters!$2:$2,0)-MATCH($E$1,[1]characters!$2:$2,0)+1,FALSE)</f>
        <v>凛志士 沖田総司</v>
      </c>
      <c r="G142" s="9" t="str">
        <f ca="1">VLOOKUP($E142,OFFSET([1]characters!$A$2,0,0,COUNTA([1]characters!$A:$A),MATCH(G$1,[1]characters!$2:$2,0)-MATCH($E$1,[1]characters!$2:$2,0)+1),MATCH(G$1,[1]characters!$2:$2,0)-MATCH($E$1,[1]characters!$2:$2,0)+1,FALSE)</f>
        <v>PremiumSS</v>
      </c>
      <c r="H142" s="9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9" t="str">
        <f ca="1">VLOOKUP($E142,OFFSET([1]characters!$A$2,0,0,COUNTA([1]characters!$A:$A),MATCH(I$1,[1]characters!$2:$2,0)-MATCH($E$1,[1]characters!$2:$2,0)+1),MATCH(I$1,[1]characters!$2:$2,0)-MATCH($E$1,[1]characters!$2:$2,0)+1,FALSE)</f>
        <v>blue</v>
      </c>
      <c r="J142" s="9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9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5">
        <v>1</v>
      </c>
      <c r="M142" s="35">
        <f ca="1">VLOOKUP(C142,gacha_100_base!A:K,11,FALSE)</f>
        <v>144</v>
      </c>
      <c r="N142" s="26">
        <v>0</v>
      </c>
      <c r="O142" s="26">
        <v>0</v>
      </c>
      <c r="P142" s="26">
        <v>0</v>
      </c>
      <c r="Q142" s="26">
        <v>0</v>
      </c>
      <c r="R142" s="26">
        <v>1</v>
      </c>
    </row>
    <row r="143" spans="1:18" ht="21" customHeight="1">
      <c r="A143" s="7" t="str">
        <f t="shared" si="6"/>
        <v>1003251</v>
      </c>
      <c r="B143" s="2">
        <v>100</v>
      </c>
      <c r="C143" s="9" t="str">
        <f t="shared" ca="1" si="7"/>
        <v>PremiumSS5</v>
      </c>
      <c r="D143" s="9" t="str">
        <f t="shared" si="8"/>
        <v/>
      </c>
      <c r="E143" s="6">
        <v>325</v>
      </c>
      <c r="F143" s="9" t="str">
        <f ca="1">VLOOKUP($E143,OFFSET([1]characters!$A$2,0,0,COUNTA([1]characters!$A:$A),MATCH(F$1,[1]characters!$2:$2,0)-MATCH($E$1,[1]characters!$2:$2,0)+1),MATCH(F$1,[1]characters!$2:$2,0)-MATCH($E$1,[1]characters!$2:$2,0)+1,FALSE)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143" s="9" t="str">
        <f ca="1">VLOOKUP($E143,OFFSET([1]characters!$A$2,0,0,COUNTA([1]characters!$A:$A),MATCH(G$1,[1]characters!$2:$2,0)-MATCH($E$1,[1]characters!$2:$2,0)+1),MATCH(G$1,[1]characters!$2:$2,0)-MATCH($E$1,[1]characters!$2:$2,0)+1,FALSE)</f>
        <v>PremiumSS</v>
      </c>
      <c r="H143" s="9">
        <f ca="1">VLOOKUP($E143,OFFSET([1]characters!$A$2,0,0,COUNTA([1]characters!$A:$A),MATCH(H$1,[1]characters!$2:$2,0)-MATCH($E$1,[1]characters!$2:$2,0)+1),MATCH(H$1,[1]characters!$2:$2,0)-MATCH($E$1,[1]characters!$2:$2,0)+1,FALSE)</f>
        <v>5</v>
      </c>
      <c r="I143" s="9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9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9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5">
        <v>1</v>
      </c>
      <c r="M143" s="35">
        <f ca="1">VLOOKUP(C143,gacha_100_base!A:K,11,FALSE)</f>
        <v>48</v>
      </c>
      <c r="N143" s="26">
        <v>0</v>
      </c>
      <c r="O143" s="26">
        <v>0</v>
      </c>
      <c r="P143" s="26">
        <v>0</v>
      </c>
      <c r="Q143" s="26">
        <v>0</v>
      </c>
      <c r="R143" s="26">
        <v>1</v>
      </c>
    </row>
    <row r="144" spans="1:18" ht="21" customHeight="1">
      <c r="A144" s="7" t="str">
        <f t="shared" si="6"/>
        <v>1003261</v>
      </c>
      <c r="B144" s="2">
        <v>100</v>
      </c>
      <c r="C144" s="9" t="str">
        <f t="shared" ca="1" si="7"/>
        <v>PremiumSS4</v>
      </c>
      <c r="D144" s="9" t="str">
        <f t="shared" si="8"/>
        <v/>
      </c>
      <c r="E144" s="30">
        <v>326</v>
      </c>
      <c r="F144" s="31" t="str">
        <f ca="1">VLOOKUP($E144,OFFSET([1]characters!$A$2,0,0,COUNTA([1]characters!$A:$A),MATCH(F$1,[1]characters!$2:$2,0)-MATCH($E$1,[1]characters!$2:$2,0)+1),MATCH(F$1,[1]characters!$2:$2,0)-MATCH($E$1,[1]characters!$2:$2,0)+1,FALSE)</f>
        <v>妖志士 斎藤一</v>
      </c>
      <c r="G144" s="31" t="str">
        <f ca="1">VLOOKUP($E144,OFFSET([1]characters!$A$2,0,0,COUNTA([1]characters!$A:$A),MATCH(G$1,[1]characters!$2:$2,0)-MATCH($E$1,[1]characters!$2:$2,0)+1),MATCH(G$1,[1]characters!$2:$2,0)-MATCH($E$1,[1]characters!$2:$2,0)+1,FALSE)</f>
        <v>PremiumSS</v>
      </c>
      <c r="H144" s="31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31" t="str">
        <f ca="1">VLOOKUP($E144,OFFSET([1]characters!$A$2,0,0,COUNTA([1]characters!$A:$A),MATCH(I$1,[1]characters!$2:$2,0)-MATCH($E$1,[1]characters!$2:$2,0)+1),MATCH(I$1,[1]characters!$2:$2,0)-MATCH($E$1,[1]characters!$2:$2,0)+1,FALSE)</f>
        <v>yellow</v>
      </c>
      <c r="J144" s="31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31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29">
        <v>1</v>
      </c>
      <c r="M144" s="35">
        <f ca="1">VLOOKUP(C144,gacha_100_base!A:K,11,FALSE)</f>
        <v>144</v>
      </c>
      <c r="N144" s="32">
        <v>0</v>
      </c>
      <c r="O144" s="32">
        <v>0</v>
      </c>
      <c r="P144" s="32">
        <v>0</v>
      </c>
      <c r="Q144" s="32">
        <v>0</v>
      </c>
      <c r="R144" s="32">
        <v>1</v>
      </c>
    </row>
    <row r="145" spans="1:18" ht="21" customHeight="1">
      <c r="A145" s="7" t="str">
        <f t="shared" si="6"/>
        <v>1003271</v>
      </c>
      <c r="B145" s="2">
        <v>100</v>
      </c>
      <c r="C145" s="9" t="str">
        <f t="shared" ca="1" si="7"/>
        <v>PremiumSS5</v>
      </c>
      <c r="D145" s="9" t="str">
        <f t="shared" si="8"/>
        <v/>
      </c>
      <c r="E145" s="6">
        <v>327</v>
      </c>
      <c r="F145" s="9" t="str">
        <f ca="1">VLOOKUP($E145,OFFSET([1]characters!$A$2,0,0,COUNTA([1]characters!$A:$A),MATCH(F$1,[1]characters!$2:$2,0)-MATCH($E$1,[1]characters!$2:$2,0)+1),MATCH(F$1,[1]characters!$2:$2,0)-MATCH($E$1,[1]characters!$2:$2,0)+1,FALSE)</f>
        <v>千殺の妖志士 斎藤一</v>
      </c>
      <c r="G145" s="9" t="str">
        <f ca="1">VLOOKUP($E145,OFFSET([1]characters!$A$2,0,0,COUNTA([1]characters!$A:$A),MATCH(G$1,[1]characters!$2:$2,0)-MATCH($E$1,[1]characters!$2:$2,0)+1),MATCH(G$1,[1]characters!$2:$2,0)-MATCH($E$1,[1]characters!$2:$2,0)+1,FALSE)</f>
        <v>PremiumSS</v>
      </c>
      <c r="H145" s="9">
        <f ca="1">VLOOKUP($E145,OFFSET([1]characters!$A$2,0,0,COUNTA([1]characters!$A:$A),MATCH(H$1,[1]characters!$2:$2,0)-MATCH($E$1,[1]characters!$2:$2,0)+1),MATCH(H$1,[1]characters!$2:$2,0)-MATCH($E$1,[1]characters!$2:$2,0)+1,FALSE)</f>
        <v>5</v>
      </c>
      <c r="I145" s="9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9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5" s="9" t="str">
        <f ca="1">VLOOKUP($E145,OFFSET([1]characters!$A$2,0,0,COUNTA([1]characters!$A:$A),MATCH($K$1,[1]characters!$1:$1,0)-MATCH($E$1,[1]characters!$2:$2,0)+2),MATCH($K$1,[1]characters!$1:$1,0)-MATCH($E$1,[1]characters!$2:$2,0)+2,FALSE)</f>
        <v>ヒューマン</v>
      </c>
      <c r="L145" s="5">
        <v>1</v>
      </c>
      <c r="M145" s="35">
        <f ca="1">VLOOKUP(C145,gacha_100_base!A:K,11,FALSE)</f>
        <v>48</v>
      </c>
      <c r="N145" s="26">
        <v>0</v>
      </c>
      <c r="O145" s="26">
        <v>0</v>
      </c>
      <c r="P145" s="26">
        <v>0</v>
      </c>
      <c r="Q145" s="26">
        <v>0</v>
      </c>
      <c r="R145" s="26">
        <v>1</v>
      </c>
    </row>
    <row r="146" spans="1:18" ht="21" customHeight="1">
      <c r="A146" s="7" t="str">
        <f t="shared" si="6"/>
        <v>1003801</v>
      </c>
      <c r="B146" s="2">
        <v>100</v>
      </c>
      <c r="C146" s="9" t="str">
        <f t="shared" ca="1" si="7"/>
        <v>PremiumSpick3</v>
      </c>
      <c r="D146" s="9" t="str">
        <f t="shared" si="8"/>
        <v>pick</v>
      </c>
      <c r="E146" s="25">
        <v>380</v>
      </c>
      <c r="F146" s="19" t="str">
        <f ca="1">VLOOKUP($E146,OFFSET([1]characters!$A$2,0,0,COUNTA([1]characters!$A:$A),MATCH(F$1,[1]characters!$2:$2,0)-MATCH($E$1,[1]characters!$2:$2,0)+1),MATCH(F$1,[1]characters!$2:$2,0)-MATCH($E$1,[1]characters!$2:$2,0)+1,FALSE)</f>
        <v>バハムート</v>
      </c>
      <c r="G146" s="19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9">
        <f ca="1">VLOOKUP($E146,OFFSET([1]characters!$A$2,0,0,COUNTA([1]characters!$A:$A),MATCH(H$1,[1]characters!$2:$2,0)-MATCH($E$1,[1]characters!$2:$2,0)+1),MATCH(H$1,[1]characters!$2:$2,0)-MATCH($E$1,[1]characters!$2:$2,0)+1,FALSE)</f>
        <v>3</v>
      </c>
      <c r="I146" s="19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9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6" s="19" t="str">
        <f ca="1">VLOOKUP($E146,OFFSET([1]characters!$A$2,0,0,COUNTA([1]characters!$A:$A),MATCH($K$1,[1]characters!$1:$1,0)-MATCH($E$1,[1]characters!$2:$2,0)+2),MATCH($K$1,[1]characters!$1:$1,0)-MATCH($E$1,[1]characters!$2:$2,0)+2,FALSE)</f>
        <v>ドラゴン</v>
      </c>
      <c r="L146" s="20">
        <v>1</v>
      </c>
      <c r="M146" s="35">
        <v>5469</v>
      </c>
      <c r="N146" s="17">
        <v>0</v>
      </c>
      <c r="O146" s="17">
        <v>0</v>
      </c>
      <c r="P146" s="17">
        <v>0</v>
      </c>
      <c r="Q146" s="17">
        <v>0</v>
      </c>
      <c r="R146" s="17">
        <v>1</v>
      </c>
    </row>
    <row r="147" spans="1:18" ht="21" customHeight="1">
      <c r="A147" s="7" t="str">
        <f t="shared" si="6"/>
        <v>1003811</v>
      </c>
      <c r="B147" s="2">
        <v>100</v>
      </c>
      <c r="C147" s="9" t="str">
        <f t="shared" ca="1" si="7"/>
        <v>PremiumSpick4</v>
      </c>
      <c r="D147" s="9" t="str">
        <f t="shared" si="8"/>
        <v>pick</v>
      </c>
      <c r="E147" s="25">
        <v>381</v>
      </c>
      <c r="F147" s="9" t="str">
        <f ca="1">VLOOKUP($E147,OFFSET([1]characters!$A$2,0,0,COUNTA([1]characters!$A:$A),MATCH(F$1,[1]characters!$2:$2,0)-MATCH($E$1,[1]characters!$2:$2,0)+1),MATCH(F$1,[1]characters!$2:$2,0)-MATCH($E$1,[1]characters!$2:$2,0)+1,FALSE)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147" s="9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9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9" t="str">
        <f ca="1">VLOOKUP($E147,OFFSET([1]characters!$A$2,0,0,COUNTA([1]characters!$A:$A),MATCH(I$1,[1]characters!$2:$2,0)-MATCH($E$1,[1]characters!$2:$2,0)+1),MATCH(I$1,[1]characters!$2:$2,0)-MATCH($E$1,[1]characters!$2:$2,0)+1,FALSE)</f>
        <v>red</v>
      </c>
      <c r="J147" s="9" t="str">
        <f ca="1">VLOOKUP($E147,OFFSET([1]characters!$A$2,0,0,COUNTA([1]characters!$A:$A),MATCH("タイプ",[1]characters!$1:$1,0)-MATCH($E$1,[1]characters!$2:$2,0)+2),MATCH("タイプ",[1]characters!$1:$1,0)-MATCH($E$1,[1]characters!$2:$2,0)+2,FALSE)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7" s="9" t="str">
        <f ca="1">VLOOKUP($E147,OFFSET([1]characters!$A$2,0,0,COUNTA([1]characters!$A:$A),MATCH($K$1,[1]characters!$1:$1,0)-MATCH($E$1,[1]characters!$2:$2,0)+2),MATCH($K$1,[1]characters!$1:$1,0)-MATCH($E$1,[1]characters!$2:$2,0)+2,FALSE)</f>
        <v>ドラゴン</v>
      </c>
      <c r="L147" s="5">
        <v>1</v>
      </c>
      <c r="M147" s="35">
        <f ca="1">VLOOKUP(C147,gacha_100_base!A:K,11,FALSE)</f>
        <v>1925</v>
      </c>
      <c r="N147" s="26">
        <v>0</v>
      </c>
      <c r="O147" s="26">
        <v>0</v>
      </c>
      <c r="P147" s="26">
        <v>0</v>
      </c>
      <c r="Q147" s="26">
        <v>0</v>
      </c>
      <c r="R147" s="26">
        <v>1</v>
      </c>
    </row>
    <row r="148" spans="1:18" ht="21" customHeight="1">
      <c r="A148" s="7" t="str">
        <f t="shared" si="6"/>
        <v>1003821</v>
      </c>
      <c r="B148" s="2">
        <v>100</v>
      </c>
      <c r="C148" s="9" t="str">
        <f t="shared" ca="1" si="7"/>
        <v>PremiumSpick5</v>
      </c>
      <c r="D148" s="9" t="str">
        <f t="shared" si="8"/>
        <v>pick</v>
      </c>
      <c r="E148" s="25">
        <v>382</v>
      </c>
      <c r="F148" s="9" t="str">
        <f ca="1">VLOOKUP($E148,OFFSET([1]characters!$A$2,0,0,COUNTA([1]characters!$A:$A),MATCH(F$1,[1]characters!$2:$2,0)-MATCH($E$1,[1]characters!$2:$2,0)+1),MATCH(F$1,[1]characters!$2:$2,0)-MATCH($E$1,[1]characters!$2:$2,0)+1,FALSE)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148" s="9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9">
        <f ca="1">VLOOKUP($E148,OFFSET([1]characters!$A$2,0,0,COUNTA([1]characters!$A:$A),MATCH(H$1,[1]characters!$2:$2,0)-MATCH($E$1,[1]characters!$2:$2,0)+1),MATCH(H$1,[1]characters!$2:$2,0)-MATCH($E$1,[1]characters!$2:$2,0)+1,FALSE)</f>
        <v>5</v>
      </c>
      <c r="I148" s="9" t="str">
        <f ca="1">VLOOKUP($E148,OFFSET([1]characters!$A$2,0,0,COUNTA([1]characters!$A:$A),MATCH(I$1,[1]characters!$2:$2,0)-MATCH($E$1,[1]characters!$2:$2,0)+1),MATCH(I$1,[1]characters!$2:$2,0)-MATCH($E$1,[1]characters!$2:$2,0)+1,FALSE)</f>
        <v>red</v>
      </c>
      <c r="J148" s="9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9" t="str">
        <f ca="1">VLOOKUP($E148,OFFSET([1]characters!$A$2,0,0,COUNTA([1]characters!$A:$A),MATCH($K$1,[1]characters!$1:$1,0)-MATCH($E$1,[1]characters!$2:$2,0)+2),MATCH($K$1,[1]characters!$1:$1,0)-MATCH($E$1,[1]characters!$2:$2,0)+2,FALSE)</f>
        <v>ドラゴン</v>
      </c>
      <c r="L148" s="5">
        <v>1</v>
      </c>
      <c r="M148" s="35">
        <f ca="1">VLOOKUP(C148,gacha_100_base!A:K,11,FALSE)</f>
        <v>308</v>
      </c>
      <c r="N148" s="26">
        <v>0</v>
      </c>
      <c r="O148" s="26">
        <v>0</v>
      </c>
      <c r="P148" s="26">
        <v>0</v>
      </c>
      <c r="Q148" s="26">
        <v>0</v>
      </c>
      <c r="R148" s="26">
        <v>1</v>
      </c>
    </row>
    <row r="149" spans="1:18" ht="21" customHeight="1">
      <c r="A149" s="7" t="str">
        <f t="shared" si="6"/>
        <v>1003831</v>
      </c>
      <c r="B149" s="2">
        <v>100</v>
      </c>
      <c r="C149" s="9" t="str">
        <f t="shared" ca="1" si="7"/>
        <v>PremiumSSpick4</v>
      </c>
      <c r="D149" s="9" t="str">
        <f t="shared" si="8"/>
        <v>pick</v>
      </c>
      <c r="E149" s="25">
        <v>383</v>
      </c>
      <c r="F149" s="9" t="str">
        <f ca="1">VLOOKUP($E149,OFFSET([1]characters!$A$2,0,0,COUNTA([1]characters!$A:$A),MATCH(F$1,[1]characters!$2:$2,0)-MATCH($E$1,[1]characters!$2:$2,0)+1),MATCH(F$1,[1]characters!$2:$2,0)-MATCH($E$1,[1]characters!$2:$2,0)+1,FALSE)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149" s="9" t="str">
        <f ca="1">VLOOKUP($E149,OFFSET([1]characters!$A$2,0,0,COUNTA([1]characters!$A:$A),MATCH(G$1,[1]characters!$2:$2,0)-MATCH($E$1,[1]characters!$2:$2,0)+1),MATCH(G$1,[1]characters!$2:$2,0)-MATCH($E$1,[1]characters!$2:$2,0)+1,FALSE)</f>
        <v>PremiumSS</v>
      </c>
      <c r="H149" s="9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9" t="str">
        <f ca="1">VLOOKUP($E149,OFFSET([1]characters!$A$2,0,0,COUNTA([1]characters!$A:$A),MATCH(I$1,[1]characters!$2:$2,0)-MATCH($E$1,[1]characters!$2:$2,0)+1),MATCH(I$1,[1]characters!$2:$2,0)-MATCH($E$1,[1]characters!$2:$2,0)+1,FALSE)</f>
        <v>green</v>
      </c>
      <c r="J149" s="9" t="str">
        <f ca="1">VLOOKUP($E149,OFFSET([1]characters!$A$2,0,0,COUNTA([1]characters!$A:$A),MATCH("タイプ",[1]characters!$1:$1,0)-MATCH($E$1,[1]characters!$2:$2,0)+2),MATCH("タイプ",[1]characters!$1:$1,0)-MATCH($E$1,[1]characters!$2:$2,0)+2,FALSE)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9" s="9" t="str">
        <f ca="1">VLOOKUP($E149,OFFSET([1]characters!$A$2,0,0,COUNTA([1]characters!$A:$A),MATCH($K$1,[1]characters!$1:$1,0)-MATCH($E$1,[1]characters!$2:$2,0)+2),MATCH($K$1,[1]characters!$1:$1,0)-MATCH($E$1,[1]characters!$2:$2,0)+2,FALSE)</f>
        <v>ドラゴン</v>
      </c>
      <c r="L149" s="5">
        <v>1</v>
      </c>
      <c r="M149" s="35">
        <f ca="1">VLOOKUP(C149,gacha_100_base!A:K,11,FALSE)</f>
        <v>1348</v>
      </c>
      <c r="N149" s="26">
        <v>0</v>
      </c>
      <c r="O149" s="26">
        <v>0</v>
      </c>
      <c r="P149" s="26">
        <v>0</v>
      </c>
      <c r="Q149" s="26">
        <v>0</v>
      </c>
      <c r="R149" s="26">
        <v>1</v>
      </c>
    </row>
    <row r="150" spans="1:18" ht="21" customHeight="1">
      <c r="A150" s="7" t="str">
        <f t="shared" si="6"/>
        <v>1003841</v>
      </c>
      <c r="B150" s="2">
        <v>100</v>
      </c>
      <c r="C150" s="9" t="str">
        <f t="shared" ca="1" si="7"/>
        <v>PremiumSSpick5</v>
      </c>
      <c r="D150" s="9" t="str">
        <f t="shared" si="8"/>
        <v>pick</v>
      </c>
      <c r="E150" s="25">
        <v>384</v>
      </c>
      <c r="F150" s="9" t="str">
        <f ca="1">VLOOKUP($E150,OFFSET([1]characters!$A$2,0,0,COUNTA([1]characters!$A:$A),MATCH(F$1,[1]characters!$2:$2,0)-MATCH($E$1,[1]characters!$2:$2,0)+1),MATCH(F$1,[1]characters!$2:$2,0)-MATCH($E$1,[1]characters!$2:$2,0)+1,FALSE)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150" s="9" t="str">
        <f ca="1">VLOOKUP($E150,OFFSET([1]characters!$A$2,0,0,COUNTA([1]characters!$A:$A),MATCH(G$1,[1]characters!$2:$2,0)-MATCH($E$1,[1]characters!$2:$2,0)+1),MATCH(G$1,[1]characters!$2:$2,0)-MATCH($E$1,[1]characters!$2:$2,0)+1,FALSE)</f>
        <v>PremiumSS</v>
      </c>
      <c r="H150" s="9">
        <f ca="1">VLOOKUP($E150,OFFSET([1]characters!$A$2,0,0,COUNTA([1]characters!$A:$A),MATCH(H$1,[1]characters!$2:$2,0)-MATCH($E$1,[1]characters!$2:$2,0)+1),MATCH(H$1,[1]characters!$2:$2,0)-MATCH($E$1,[1]characters!$2:$2,0)+1,FALSE)</f>
        <v>5</v>
      </c>
      <c r="I150" s="9" t="str">
        <f ca="1">VLOOKUP($E150,OFFSET([1]characters!$A$2,0,0,COUNTA([1]characters!$A:$A),MATCH(I$1,[1]characters!$2:$2,0)-MATCH($E$1,[1]characters!$2:$2,0)+1),MATCH(I$1,[1]characters!$2:$2,0)-MATCH($E$1,[1]characters!$2:$2,0)+1,FALSE)</f>
        <v>green</v>
      </c>
      <c r="J150" s="9" t="str">
        <f ca="1">VLOOKUP($E150,OFFSET([1]characters!$A$2,0,0,COUNTA([1]characters!$A:$A),MATCH("タイプ",[1]characters!$1:$1,0)-MATCH($E$1,[1]characters!$2:$2,0)+2),MATCH("タイプ",[1]characters!$1:$1,0)-MATCH($E$1,[1]characters!$2:$2,0)+2,FALSE)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0" s="9" t="str">
        <f ca="1">VLOOKUP($E150,OFFSET([1]characters!$A$2,0,0,COUNTA([1]characters!$A:$A),MATCH($K$1,[1]characters!$1:$1,0)-MATCH($E$1,[1]characters!$2:$2,0)+2),MATCH($K$1,[1]characters!$1:$1,0)-MATCH($E$1,[1]characters!$2:$2,0)+2,FALSE)</f>
        <v>ドラゴン</v>
      </c>
      <c r="L150" s="5">
        <v>1</v>
      </c>
      <c r="M150" s="35">
        <f ca="1">VLOOKUP(C150,gacha_100_base!A:K,11,FALSE)</f>
        <v>193</v>
      </c>
      <c r="N150" s="26">
        <v>0</v>
      </c>
      <c r="O150" s="26">
        <v>0</v>
      </c>
      <c r="P150" s="26">
        <v>0</v>
      </c>
      <c r="Q150" s="26">
        <v>0</v>
      </c>
      <c r="R150" s="26">
        <v>1</v>
      </c>
    </row>
    <row r="151" spans="1:18" ht="21" customHeight="1">
      <c r="A151" s="7" t="str">
        <f t="shared" si="6"/>
        <v>1003851</v>
      </c>
      <c r="B151" s="2">
        <v>100</v>
      </c>
      <c r="C151" s="9" t="str">
        <f t="shared" ca="1" si="7"/>
        <v>PremiumSSpick4</v>
      </c>
      <c r="D151" s="9" t="str">
        <f t="shared" si="8"/>
        <v>pick</v>
      </c>
      <c r="E151" s="25">
        <v>385</v>
      </c>
      <c r="F151" s="9" t="str">
        <f ca="1">VLOOKUP($E151,OFFSET([1]characters!$A$2,0,0,COUNTA([1]characters!$A:$A),MATCH(F$1,[1]characters!$2:$2,0)-MATCH($E$1,[1]characters!$2:$2,0)+1),MATCH(F$1,[1]characters!$2:$2,0)-MATCH($E$1,[1]characters!$2:$2,0)+1,FALSE)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151" s="9" t="str">
        <f ca="1">VLOOKUP($E151,OFFSET([1]characters!$A$2,0,0,COUNTA([1]characters!$A:$A),MATCH(G$1,[1]characters!$2:$2,0)-MATCH($E$1,[1]characters!$2:$2,0)+1),MATCH(G$1,[1]characters!$2:$2,0)-MATCH($E$1,[1]characters!$2:$2,0)+1,FALSE)</f>
        <v>PremiumSS</v>
      </c>
      <c r="H151" s="9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9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9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9" t="str">
        <f ca="1">VLOOKUP($E151,OFFSET([1]characters!$A$2,0,0,COUNTA([1]characters!$A:$A),MATCH($K$1,[1]characters!$1:$1,0)-MATCH($E$1,[1]characters!$2:$2,0)+2),MATCH($K$1,[1]characters!$1:$1,0)-MATCH($E$1,[1]characters!$2:$2,0)+2,FALSE)</f>
        <v>ドラゴン</v>
      </c>
      <c r="L151" s="5">
        <v>1</v>
      </c>
      <c r="M151" s="35">
        <f ca="1">VLOOKUP(C151,gacha_100_base!A:K,11,FALSE)</f>
        <v>1348</v>
      </c>
      <c r="N151" s="26">
        <v>0</v>
      </c>
      <c r="O151" s="26">
        <v>0</v>
      </c>
      <c r="P151" s="26">
        <v>0</v>
      </c>
      <c r="Q151" s="26">
        <v>0</v>
      </c>
      <c r="R151" s="26">
        <v>1</v>
      </c>
    </row>
    <row r="152" spans="1:18" ht="21" customHeight="1">
      <c r="A152" s="7" t="str">
        <f t="shared" si="6"/>
        <v>1003861</v>
      </c>
      <c r="B152" s="2">
        <v>100</v>
      </c>
      <c r="C152" s="9" t="str">
        <f t="shared" ca="1" si="7"/>
        <v>PremiumSSpick5</v>
      </c>
      <c r="D152" s="9" t="str">
        <f t="shared" si="8"/>
        <v>pick</v>
      </c>
      <c r="E152" s="28">
        <v>386</v>
      </c>
      <c r="F152" s="31" t="str">
        <f ca="1">VLOOKUP($E152,OFFSET([1]characters!$A$2,0,0,COUNTA([1]characters!$A:$A),MATCH(F$1,[1]characters!$2:$2,0)-MATCH($E$1,[1]characters!$2:$2,0)+1),MATCH(F$1,[1]characters!$2:$2,0)-MATCH($E$1,[1]characters!$2:$2,0)+1,FALSE)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152" s="31" t="str">
        <f ca="1">VLOOKUP($E152,OFFSET([1]characters!$A$2,0,0,COUNTA([1]characters!$A:$A),MATCH(G$1,[1]characters!$2:$2,0)-MATCH($E$1,[1]characters!$2:$2,0)+1),MATCH(G$1,[1]characters!$2:$2,0)-MATCH($E$1,[1]characters!$2:$2,0)+1,FALSE)</f>
        <v>PremiumSS</v>
      </c>
      <c r="H152" s="31">
        <f ca="1">VLOOKUP($E152,OFFSET([1]characters!$A$2,0,0,COUNTA([1]characters!$A:$A),MATCH(H$1,[1]characters!$2:$2,0)-MATCH($E$1,[1]characters!$2:$2,0)+1),MATCH(H$1,[1]characters!$2:$2,0)-MATCH($E$1,[1]characters!$2:$2,0)+1,FALSE)</f>
        <v>5</v>
      </c>
      <c r="I152" s="31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31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31" t="str">
        <f ca="1">VLOOKUP($E152,OFFSET([1]characters!$A$2,0,0,COUNTA([1]characters!$A:$A),MATCH($K$1,[1]characters!$1:$1,0)-MATCH($E$1,[1]characters!$2:$2,0)+2),MATCH($K$1,[1]characters!$1:$1,0)-MATCH($E$1,[1]characters!$2:$2,0)+2,FALSE)</f>
        <v>ドラゴン</v>
      </c>
      <c r="L152" s="29">
        <v>1</v>
      </c>
      <c r="M152" s="35">
        <f ca="1">VLOOKUP(C152,gacha_100_base!A:K,11,FALSE)</f>
        <v>193</v>
      </c>
      <c r="N152" s="32">
        <v>0</v>
      </c>
      <c r="O152" s="32">
        <v>0</v>
      </c>
      <c r="P152" s="32">
        <v>0</v>
      </c>
      <c r="Q152" s="32">
        <v>0</v>
      </c>
      <c r="R152" s="32">
        <v>1</v>
      </c>
    </row>
    <row r="153" spans="1:18" ht="21" customHeight="1">
      <c r="A153" s="7" t="str">
        <f t="shared" si="6"/>
        <v>1003871</v>
      </c>
      <c r="B153" s="2">
        <v>100</v>
      </c>
      <c r="C153" s="9" t="str">
        <f t="shared" ca="1" si="7"/>
        <v>PremiumSpick3</v>
      </c>
      <c r="D153" s="9" t="str">
        <f t="shared" si="8"/>
        <v>pick</v>
      </c>
      <c r="E153" s="6">
        <v>387</v>
      </c>
      <c r="F153" s="9" t="str">
        <f ca="1">VLOOKUP($E153,OFFSET([1]characters!$A$2,0,0,COUNTA([1]characters!$A:$A),MATCH(F$1,[1]characters!$2:$2,0)-MATCH($E$1,[1]characters!$2:$2,0)+1),MATCH(F$1,[1]characters!$2:$2,0)-MATCH($E$1,[1]characters!$2:$2,0)+1,FALSE)</f>
        <v>スフィンクス</v>
      </c>
      <c r="G153" s="9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9">
        <f ca="1">VLOOKUP($E153,OFFSET([1]characters!$A$2,0,0,COUNTA([1]characters!$A:$A),MATCH(H$1,[1]characters!$2:$2,0)-MATCH($E$1,[1]characters!$2:$2,0)+1),MATCH(H$1,[1]characters!$2:$2,0)-MATCH($E$1,[1]characters!$2:$2,0)+1,FALSE)</f>
        <v>3</v>
      </c>
      <c r="I153" s="9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9" t="str">
        <f ca="1">VLOOKUP($E153,OFFSET([1]characters!$A$2,0,0,COUNTA([1]characters!$A:$A),MATCH("タイプ",[1]characters!$1:$1,0)-MATCH($E$1,[1]characters!$2:$2,0)+2),MATCH("タイプ",[1]characters!$1:$1,0)-MATCH($E$1,[1]characters!$2:$2,0)+2,FALSE)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3" s="9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5">
        <v>1</v>
      </c>
      <c r="M153" s="35">
        <f ca="1">VLOOKUP(C153,gacha_100_base!A:K,11,FALSE)</f>
        <v>5467</v>
      </c>
      <c r="N153" s="26">
        <v>0</v>
      </c>
      <c r="O153" s="26">
        <v>0</v>
      </c>
      <c r="P153" s="26">
        <v>0</v>
      </c>
      <c r="Q153" s="26">
        <v>0</v>
      </c>
      <c r="R153" s="26">
        <v>1</v>
      </c>
    </row>
    <row r="154" spans="1:18" ht="21" customHeight="1">
      <c r="A154" s="7" t="str">
        <f t="shared" si="6"/>
        <v>1003881</v>
      </c>
      <c r="B154" s="2">
        <v>100</v>
      </c>
      <c r="C154" s="9" t="str">
        <f t="shared" ca="1" si="7"/>
        <v>PremiumSpick4</v>
      </c>
      <c r="D154" s="9" t="str">
        <f t="shared" si="8"/>
        <v>pick</v>
      </c>
      <c r="E154" s="30">
        <v>388</v>
      </c>
      <c r="F154" s="31" t="str">
        <f ca="1">VLOOKUP($E154,OFFSET([1]characters!$A$2,0,0,COUNTA([1]characters!$A:$A),MATCH(F$1,[1]characters!$2:$2,0)-MATCH($E$1,[1]characters!$2:$2,0)+1),MATCH(F$1,[1]characters!$2:$2,0)-MATCH($E$1,[1]characters!$2:$2,0)+1,FALSE)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54" s="31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31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31" t="str">
        <f ca="1">VLOOKUP($E154,OFFSET([1]characters!$A$2,0,0,COUNTA([1]characters!$A:$A),MATCH(I$1,[1]characters!$2:$2,0)-MATCH($E$1,[1]characters!$2:$2,0)+1),MATCH(I$1,[1]characters!$2:$2,0)-MATCH($E$1,[1]characters!$2:$2,0)+1,FALSE)</f>
        <v>yellow</v>
      </c>
      <c r="J154" s="31" t="str">
        <f ca="1">VLOOKUP($E154,OFFSET([1]characters!$A$2,0,0,COUNTA([1]characters!$A:$A),MATCH("タイプ",[1]characters!$1:$1,0)-MATCH($E$1,[1]characters!$2:$2,0)+2),MATCH("タイプ",[1]characters!$1:$1,0)-MATCH($E$1,[1]characters!$2:$2,0)+2,FALSE)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4" s="31" t="str">
        <f ca="1">VLOOKUP($E154,OFFSET([1]characters!$A$2,0,0,COUNTA([1]characters!$A:$A),MATCH($K$1,[1]characters!$1:$1,0)-MATCH($E$1,[1]characters!$2:$2,0)+2),MATCH($K$1,[1]characters!$1:$1,0)-MATCH($E$1,[1]characters!$2:$2,0)+2,FALSE)</f>
        <v>アニマル</v>
      </c>
      <c r="L154" s="29">
        <v>1</v>
      </c>
      <c r="M154" s="35">
        <f ca="1">VLOOKUP(C154,gacha_100_base!A:K,11,FALSE)</f>
        <v>1925</v>
      </c>
      <c r="N154" s="32">
        <v>0</v>
      </c>
      <c r="O154" s="32">
        <v>0</v>
      </c>
      <c r="P154" s="32">
        <v>0</v>
      </c>
      <c r="Q154" s="32">
        <v>0</v>
      </c>
      <c r="R154" s="32">
        <v>1</v>
      </c>
    </row>
    <row r="155" spans="1:18" s="33" customFormat="1" ht="21" customHeight="1" thickBot="1">
      <c r="A155" s="7" t="str">
        <f t="shared" si="6"/>
        <v>1003891</v>
      </c>
      <c r="B155" s="2">
        <v>100</v>
      </c>
      <c r="C155" s="9" t="str">
        <f t="shared" ca="1" si="7"/>
        <v>PremiumSpick5</v>
      </c>
      <c r="D155" s="9" t="str">
        <f t="shared" si="8"/>
        <v>pick</v>
      </c>
      <c r="E155" s="23">
        <v>389</v>
      </c>
      <c r="F155" s="21" t="str">
        <f ca="1">VLOOKUP($E155,OFFSET([1]characters!$A$2,0,0,COUNTA([1]characters!$A:$A),MATCH(F$1,[1]characters!$2:$2,0)-MATCH($E$1,[1]characters!$2:$2,0)+1),MATCH(F$1,[1]characters!$2:$2,0)-MATCH($E$1,[1]characters!$2:$2,0)+1,FALSE)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55" s="21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21">
        <f ca="1">VLOOKUP($E155,OFFSET([1]characters!$A$2,0,0,COUNTA([1]characters!$A:$A),MATCH(H$1,[1]characters!$2:$2,0)-MATCH($E$1,[1]characters!$2:$2,0)+1),MATCH(H$1,[1]characters!$2:$2,0)-MATCH($E$1,[1]characters!$2:$2,0)+1,FALSE)</f>
        <v>5</v>
      </c>
      <c r="I155" s="21" t="str">
        <f ca="1">VLOOKUP($E155,OFFSET([1]characters!$A$2,0,0,COUNTA([1]characters!$A:$A),MATCH(I$1,[1]characters!$2:$2,0)-MATCH($E$1,[1]characters!$2:$2,0)+1),MATCH(I$1,[1]characters!$2:$2,0)-MATCH($E$1,[1]characters!$2:$2,0)+1,FALSE)</f>
        <v>yellow</v>
      </c>
      <c r="J155" s="21" t="str">
        <f ca="1">VLOOKUP($E155,OFFSET([1]characters!$A$2,0,0,COUNTA([1]characters!$A:$A),MATCH("タイプ",[1]characters!$1:$1,0)-MATCH($E$1,[1]characters!$2:$2,0)+2),MATCH("タイプ",[1]characters!$1:$1,0)-MATCH($E$1,[1]characters!$2:$2,0)+2,FALSE)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5" s="21" t="str">
        <f ca="1">VLOOKUP($E155,OFFSET([1]characters!$A$2,0,0,COUNTA([1]characters!$A:$A),MATCH($K$1,[1]characters!$1:$1,0)-MATCH($E$1,[1]characters!$2:$2,0)+2),MATCH($K$1,[1]characters!$1:$1,0)-MATCH($E$1,[1]characters!$2:$2,0)+2,FALSE)</f>
        <v>アニマル</v>
      </c>
      <c r="L155" s="22">
        <v>1</v>
      </c>
      <c r="M155" s="35">
        <f ca="1">VLOOKUP(C155,gacha_100_base!A:K,11,FALSE)</f>
        <v>308</v>
      </c>
      <c r="N155" s="27">
        <v>0</v>
      </c>
      <c r="O155" s="27">
        <v>0</v>
      </c>
      <c r="P155" s="27">
        <v>0</v>
      </c>
      <c r="Q155" s="27">
        <v>0</v>
      </c>
      <c r="R155" s="27">
        <v>1</v>
      </c>
    </row>
  </sheetData>
  <autoFilter ref="B1:M155"/>
  <phoneticPr fontId="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M10" sqref="M1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11</v>
      </c>
      <c r="B1" s="59" t="s">
        <v>51</v>
      </c>
      <c r="C1" s="3" t="s">
        <v>19</v>
      </c>
      <c r="D1" s="60" t="s">
        <v>21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A2" s="7" t="str">
        <f t="shared" ref="A2:A11" si="0">B2&amp;E2&amp;L2</f>
        <v>100-103801</v>
      </c>
      <c r="B2" s="2" t="s">
        <v>52</v>
      </c>
      <c r="C2" s="9" t="str">
        <f t="shared" ref="C2:C11" ca="1" si="1">G2&amp;D2&amp;H2</f>
        <v>PremiumSpick3</v>
      </c>
      <c r="D2" s="9" t="str">
        <f t="shared" ref="D2:D11" si="2">IF(OR(E2=380,E2=381,E2=382,E2=383,E2=384,E2=385,E2=386,E2=387,E2=388,E2=389),"pick","")</f>
        <v>pick</v>
      </c>
      <c r="E2" s="25">
        <v>380</v>
      </c>
      <c r="F2" s="19" t="str">
        <f ca="1">VLOOKUP($E2,OFFSET([1]characters!$A$2,0,0,COUNTA([1]characters!$A:$A),MATCH(F$1,[1]characters!$2:$2,0)-MATCH($E$1,[1]characters!$2:$2,0)+1),MATCH(F$1,[1]characters!$2:$2,0)-MATCH($E$1,[1]characters!$2:$2,0)+1,FALSE)</f>
        <v>バハムート</v>
      </c>
      <c r="G2" s="19" t="str">
        <f ca="1">VLOOKUP($E2,OFFSET([1]characters!$A$2,0,0,COUNTA([1]characters!$A:$A),MATCH(G$1,[1]characters!$2:$2,0)-MATCH($E$1,[1]characters!$2:$2,0)+1),MATCH(G$1,[1]characters!$2:$2,0)-MATCH($E$1,[1]characters!$2:$2,0)+1,FALSE)</f>
        <v>PremiumS</v>
      </c>
      <c r="H2" s="19">
        <f ca="1">VLOOKUP($E2,OFFSET([1]characters!$A$2,0,0,COUNTA([1]characters!$A:$A),MATCH(H$1,[1]characters!$2:$2,0)-MATCH($E$1,[1]characters!$2:$2,0)+1),MATCH(H$1,[1]characters!$2:$2,0)-MATCH($E$1,[1]characters!$2:$2,0)+1,FALSE)</f>
        <v>3</v>
      </c>
      <c r="I2" s="19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9" t="str">
        <f ca="1">VLOOKUP($E2,OFFSET([1]characters!$A$2,0,0,COUNTA([1]characters!$A:$A),MATCH("タイプ",[1]characters!$1:$1,0)-MATCH($E$1,[1]characters!$2:$2,0)+2),MATCH("タイプ",[1]characters!$1:$1,0)-MATCH($E$1,[1]characters!$2:$2,0)+2,FALSE)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" s="19" t="str">
        <f ca="1">VLOOKUP($E2,OFFSET([1]characters!$A$2,0,0,COUNTA([1]characters!$A:$A),MATCH($K$1,[1]characters!$1:$1,0)-MATCH($E$1,[1]characters!$2:$2,0)+2),MATCH($K$1,[1]characters!$1:$1,0)-MATCH($E$1,[1]characters!$2:$2,0)+2,FALSE)</f>
        <v>ドラゴン</v>
      </c>
      <c r="L2" s="20">
        <v>1</v>
      </c>
      <c r="M2" s="35">
        <f ca="1">VLOOKUP(C2,gacha_100_base!A:K,11,FALSE)</f>
        <v>5467</v>
      </c>
      <c r="N2" s="17">
        <v>0</v>
      </c>
      <c r="O2" s="17">
        <v>0</v>
      </c>
      <c r="P2" s="17">
        <v>0</v>
      </c>
      <c r="Q2" s="17">
        <v>0</v>
      </c>
      <c r="R2" s="17">
        <v>1</v>
      </c>
    </row>
    <row r="3" spans="1:18" ht="21" customHeight="1">
      <c r="A3" s="7" t="str">
        <f t="shared" si="0"/>
        <v>100-103811</v>
      </c>
      <c r="B3" s="2" t="s">
        <v>52</v>
      </c>
      <c r="C3" s="9" t="str">
        <f t="shared" ca="1" si="1"/>
        <v>PremiumSpick4</v>
      </c>
      <c r="D3" s="9" t="str">
        <f t="shared" si="2"/>
        <v>pick</v>
      </c>
      <c r="E3" s="25">
        <v>381</v>
      </c>
      <c r="F3" s="9" t="str">
        <f ca="1">VLOOKUP($E3,OFFSET([1]characters!$A$2,0,0,COUNTA([1]characters!$A:$A),MATCH(F$1,[1]characters!$2:$2,0)-MATCH($E$1,[1]characters!$2:$2,0)+1),MATCH(F$1,[1]characters!$2:$2,0)-MATCH($E$1,[1]characters!$2:$2,0)+1,FALSE)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3" s="9" t="str">
        <f ca="1">VLOOKUP($E3,OFFSET([1]characters!$A$2,0,0,COUNTA([1]characters!$A:$A),MATCH(G$1,[1]characters!$2:$2,0)-MATCH($E$1,[1]characters!$2:$2,0)+1),MATCH(G$1,[1]characters!$2:$2,0)-MATCH($E$1,[1]characters!$2:$2,0)+1,FALSE)</f>
        <v>PremiumS</v>
      </c>
      <c r="H3" s="9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9" t="str">
        <f ca="1">VLOOKUP($E3,OFFSET([1]characters!$A$2,0,0,COUNTA([1]characters!$A:$A),MATCH(I$1,[1]characters!$2:$2,0)-MATCH($E$1,[1]characters!$2:$2,0)+1),MATCH(I$1,[1]characters!$2:$2,0)-MATCH($E$1,[1]characters!$2:$2,0)+1,FALSE)</f>
        <v>red</v>
      </c>
      <c r="J3" s="9" t="str">
        <f ca="1">VLOOKUP($E3,OFFSET([1]characters!$A$2,0,0,COUNTA([1]characters!$A:$A),MATCH("タイプ",[1]characters!$1:$1,0)-MATCH($E$1,[1]characters!$2:$2,0)+2),MATCH("タイプ",[1]characters!$1:$1,0)-MATCH($E$1,[1]characters!$2:$2,0)+2,FALSE)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3" s="9" t="str">
        <f ca="1">VLOOKUP($E3,OFFSET([1]characters!$A$2,0,0,COUNTA([1]characters!$A:$A),MATCH($K$1,[1]characters!$1:$1,0)-MATCH($E$1,[1]characters!$2:$2,0)+2),MATCH($K$1,[1]characters!$1:$1,0)-MATCH($E$1,[1]characters!$2:$2,0)+2,FALSE)</f>
        <v>ドラゴン</v>
      </c>
      <c r="L3" s="5">
        <v>1</v>
      </c>
      <c r="M3" s="35">
        <f ca="1">VLOOKUP(C3,gacha_100_base!A:K,11,FALSE)</f>
        <v>1925</v>
      </c>
      <c r="N3" s="26">
        <v>0</v>
      </c>
      <c r="O3" s="26">
        <v>0</v>
      </c>
      <c r="P3" s="26">
        <v>0</v>
      </c>
      <c r="Q3" s="26">
        <v>0</v>
      </c>
      <c r="R3" s="26">
        <v>1</v>
      </c>
    </row>
    <row r="4" spans="1:18" ht="21" customHeight="1">
      <c r="A4" s="7" t="str">
        <f t="shared" si="0"/>
        <v>100-103821</v>
      </c>
      <c r="B4" s="2" t="s">
        <v>52</v>
      </c>
      <c r="C4" s="9" t="str">
        <f t="shared" ca="1" si="1"/>
        <v>PremiumSpick5</v>
      </c>
      <c r="D4" s="9" t="str">
        <f t="shared" si="2"/>
        <v>pick</v>
      </c>
      <c r="E4" s="25">
        <v>382</v>
      </c>
      <c r="F4" s="9" t="str">
        <f ca="1">VLOOKUP($E4,OFFSET([1]characters!$A$2,0,0,COUNTA([1]characters!$A:$A),MATCH(F$1,[1]characters!$2:$2,0)-MATCH($E$1,[1]characters!$2:$2,0)+1),MATCH(F$1,[1]characters!$2:$2,0)-MATCH($E$1,[1]characters!$2:$2,0)+1,FALSE)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4" s="9" t="str">
        <f ca="1">VLOOKUP($E4,OFFSET([1]characters!$A$2,0,0,COUNTA([1]characters!$A:$A),MATCH(G$1,[1]characters!$2:$2,0)-MATCH($E$1,[1]characters!$2:$2,0)+1),MATCH(G$1,[1]characters!$2:$2,0)-MATCH($E$1,[1]characters!$2:$2,0)+1,FALSE)</f>
        <v>PremiumS</v>
      </c>
      <c r="H4" s="9">
        <f ca="1">VLOOKUP($E4,OFFSET([1]characters!$A$2,0,0,COUNTA([1]characters!$A:$A),MATCH(H$1,[1]characters!$2:$2,0)-MATCH($E$1,[1]characters!$2:$2,0)+1),MATCH(H$1,[1]characters!$2:$2,0)-MATCH($E$1,[1]characters!$2:$2,0)+1,FALSE)</f>
        <v>5</v>
      </c>
      <c r="I4" s="9" t="str">
        <f ca="1">VLOOKUP($E4,OFFSET([1]characters!$A$2,0,0,COUNTA([1]characters!$A:$A),MATCH(I$1,[1]characters!$2:$2,0)-MATCH($E$1,[1]characters!$2:$2,0)+1),MATCH(I$1,[1]characters!$2:$2,0)-MATCH($E$1,[1]characters!$2:$2,0)+1,FALSE)</f>
        <v>red</v>
      </c>
      <c r="J4" s="9" t="str">
        <f ca="1">VLOOKUP($E4,OFFSET([1]characters!$A$2,0,0,COUNTA([1]characters!$A:$A),MATCH("タイプ",[1]characters!$1:$1,0)-MATCH($E$1,[1]characters!$2:$2,0)+2),MATCH("タイプ",[1]characters!$1:$1,0)-MATCH($E$1,[1]characters!$2:$2,0)+2,FALSE)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" s="9" t="str">
        <f ca="1">VLOOKUP($E4,OFFSET([1]characters!$A$2,0,0,COUNTA([1]characters!$A:$A),MATCH($K$1,[1]characters!$1:$1,0)-MATCH($E$1,[1]characters!$2:$2,0)+2),MATCH($K$1,[1]characters!$1:$1,0)-MATCH($E$1,[1]characters!$2:$2,0)+2,FALSE)</f>
        <v>ドラゴン</v>
      </c>
      <c r="L4" s="5">
        <v>1</v>
      </c>
      <c r="M4" s="35">
        <f ca="1">VLOOKUP(C4,gacha_100_base!A:K,11,FALSE)</f>
        <v>308</v>
      </c>
      <c r="N4" s="26">
        <v>0</v>
      </c>
      <c r="O4" s="26">
        <v>0</v>
      </c>
      <c r="P4" s="26">
        <v>0</v>
      </c>
      <c r="Q4" s="26">
        <v>0</v>
      </c>
      <c r="R4" s="26">
        <v>1</v>
      </c>
    </row>
    <row r="5" spans="1:18" ht="21" customHeight="1">
      <c r="A5" s="7" t="str">
        <f t="shared" si="0"/>
        <v>100-103831</v>
      </c>
      <c r="B5" s="2" t="s">
        <v>52</v>
      </c>
      <c r="C5" s="9" t="str">
        <f t="shared" ca="1" si="1"/>
        <v>PremiumSSpick4</v>
      </c>
      <c r="D5" s="9" t="str">
        <f t="shared" si="2"/>
        <v>pick</v>
      </c>
      <c r="E5" s="25">
        <v>383</v>
      </c>
      <c r="F5" s="9" t="str">
        <f ca="1">VLOOKUP($E5,OFFSET([1]characters!$A$2,0,0,COUNTA([1]characters!$A:$A),MATCH(F$1,[1]characters!$2:$2,0)-MATCH($E$1,[1]characters!$2:$2,0)+1),MATCH(F$1,[1]characters!$2:$2,0)-MATCH($E$1,[1]characters!$2:$2,0)+1,FALSE)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5" s="9" t="str">
        <f ca="1">VLOOKUP($E5,OFFSET([1]characters!$A$2,0,0,COUNTA([1]characters!$A:$A),MATCH(G$1,[1]characters!$2:$2,0)-MATCH($E$1,[1]characters!$2:$2,0)+1),MATCH(G$1,[1]characters!$2:$2,0)-MATCH($E$1,[1]characters!$2:$2,0)+1,FALSE)</f>
        <v>PremiumSS</v>
      </c>
      <c r="H5" s="9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9" t="str">
        <f ca="1">VLOOKUP($E5,OFFSET([1]characters!$A$2,0,0,COUNTA([1]characters!$A:$A),MATCH(I$1,[1]characters!$2:$2,0)-MATCH($E$1,[1]characters!$2:$2,0)+1),MATCH(I$1,[1]characters!$2:$2,0)-MATCH($E$1,[1]characters!$2:$2,0)+1,FALSE)</f>
        <v>green</v>
      </c>
      <c r="J5" s="9" t="str">
        <f ca="1">VLOOKUP($E5,OFFSET([1]characters!$A$2,0,0,COUNTA([1]characters!$A:$A),MATCH("タイプ",[1]characters!$1:$1,0)-MATCH($E$1,[1]characters!$2:$2,0)+2),MATCH("タイプ",[1]characters!$1:$1,0)-MATCH($E$1,[1]characters!$2:$2,0)+2,FALSE)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" s="9" t="str">
        <f ca="1">VLOOKUP($E5,OFFSET([1]characters!$A$2,0,0,COUNTA([1]characters!$A:$A),MATCH($K$1,[1]characters!$1:$1,0)-MATCH($E$1,[1]characters!$2:$2,0)+2),MATCH($K$1,[1]characters!$1:$1,0)-MATCH($E$1,[1]characters!$2:$2,0)+2,FALSE)</f>
        <v>ドラゴン</v>
      </c>
      <c r="L5" s="5">
        <v>1</v>
      </c>
      <c r="M5" s="35">
        <f ca="1">VLOOKUP(C5,gacha_100_base!A:K,11,FALSE)</f>
        <v>1348</v>
      </c>
      <c r="N5" s="26">
        <v>0</v>
      </c>
      <c r="O5" s="26">
        <v>0</v>
      </c>
      <c r="P5" s="26">
        <v>0</v>
      </c>
      <c r="Q5" s="26">
        <v>0</v>
      </c>
      <c r="R5" s="26">
        <v>1</v>
      </c>
    </row>
    <row r="6" spans="1:18" ht="21" customHeight="1">
      <c r="A6" s="7" t="str">
        <f t="shared" si="0"/>
        <v>100-103841</v>
      </c>
      <c r="B6" s="2" t="s">
        <v>52</v>
      </c>
      <c r="C6" s="9" t="str">
        <f t="shared" ca="1" si="1"/>
        <v>PremiumSSpick5</v>
      </c>
      <c r="D6" s="9" t="str">
        <f t="shared" si="2"/>
        <v>pick</v>
      </c>
      <c r="E6" s="25">
        <v>384</v>
      </c>
      <c r="F6" s="9" t="str">
        <f ca="1">VLOOKUP($E6,OFFSET([1]characters!$A$2,0,0,COUNTA([1]characters!$A:$A),MATCH(F$1,[1]characters!$2:$2,0)-MATCH($E$1,[1]characters!$2:$2,0)+1),MATCH(F$1,[1]characters!$2:$2,0)-MATCH($E$1,[1]characters!$2:$2,0)+1,FALSE)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6" s="9" t="str">
        <f ca="1">VLOOKUP($E6,OFFSET([1]characters!$A$2,0,0,COUNTA([1]characters!$A:$A),MATCH(G$1,[1]characters!$2:$2,0)-MATCH($E$1,[1]characters!$2:$2,0)+1),MATCH(G$1,[1]characters!$2:$2,0)-MATCH($E$1,[1]characters!$2:$2,0)+1,FALSE)</f>
        <v>PremiumSS</v>
      </c>
      <c r="H6" s="9">
        <f ca="1">VLOOKUP($E6,OFFSET([1]characters!$A$2,0,0,COUNTA([1]characters!$A:$A),MATCH(H$1,[1]characters!$2:$2,0)-MATCH($E$1,[1]characters!$2:$2,0)+1),MATCH(H$1,[1]characters!$2:$2,0)-MATCH($E$1,[1]characters!$2:$2,0)+1,FALSE)</f>
        <v>5</v>
      </c>
      <c r="I6" s="9" t="str">
        <f ca="1">VLOOKUP($E6,OFFSET([1]characters!$A$2,0,0,COUNTA([1]characters!$A:$A),MATCH(I$1,[1]characters!$2:$2,0)-MATCH($E$1,[1]characters!$2:$2,0)+1),MATCH(I$1,[1]characters!$2:$2,0)-MATCH($E$1,[1]characters!$2:$2,0)+1,FALSE)</f>
        <v>green</v>
      </c>
      <c r="J6" s="9" t="str">
        <f ca="1">VLOOKUP($E6,OFFSET([1]characters!$A$2,0,0,COUNTA([1]characters!$A:$A),MATCH("タイプ",[1]characters!$1:$1,0)-MATCH($E$1,[1]characters!$2:$2,0)+2),MATCH("タイプ",[1]characters!$1:$1,0)-MATCH($E$1,[1]characters!$2:$2,0)+2,FALSE)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" s="9" t="str">
        <f ca="1">VLOOKUP($E6,OFFSET([1]characters!$A$2,0,0,COUNTA([1]characters!$A:$A),MATCH($K$1,[1]characters!$1:$1,0)-MATCH($E$1,[1]characters!$2:$2,0)+2),MATCH($K$1,[1]characters!$1:$1,0)-MATCH($E$1,[1]characters!$2:$2,0)+2,FALSE)</f>
        <v>ドラゴン</v>
      </c>
      <c r="L6" s="5">
        <v>1</v>
      </c>
      <c r="M6" s="35">
        <f ca="1">VLOOKUP(C6,gacha_100_base!A:K,11,FALSE)</f>
        <v>193</v>
      </c>
      <c r="N6" s="26">
        <v>0</v>
      </c>
      <c r="O6" s="26">
        <v>0</v>
      </c>
      <c r="P6" s="26">
        <v>0</v>
      </c>
      <c r="Q6" s="26">
        <v>0</v>
      </c>
      <c r="R6" s="26">
        <v>1</v>
      </c>
    </row>
    <row r="7" spans="1:18" ht="21" customHeight="1">
      <c r="A7" s="7" t="str">
        <f t="shared" si="0"/>
        <v>100-103851</v>
      </c>
      <c r="B7" s="2" t="s">
        <v>52</v>
      </c>
      <c r="C7" s="9" t="str">
        <f t="shared" ca="1" si="1"/>
        <v>PremiumSSpick4</v>
      </c>
      <c r="D7" s="9" t="str">
        <f t="shared" si="2"/>
        <v>pick</v>
      </c>
      <c r="E7" s="25">
        <v>385</v>
      </c>
      <c r="F7" s="9" t="str">
        <f ca="1">VLOOKUP($E7,OFFSET([1]characters!$A$2,0,0,COUNTA([1]characters!$A:$A),MATCH(F$1,[1]characters!$2:$2,0)-MATCH($E$1,[1]characters!$2:$2,0)+1),MATCH(F$1,[1]characters!$2:$2,0)-MATCH($E$1,[1]characters!$2:$2,0)+1,FALSE)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7" s="9" t="str">
        <f ca="1">VLOOKUP($E7,OFFSET([1]characters!$A$2,0,0,COUNTA([1]characters!$A:$A),MATCH(G$1,[1]characters!$2:$2,0)-MATCH($E$1,[1]characters!$2:$2,0)+1),MATCH(G$1,[1]characters!$2:$2,0)-MATCH($E$1,[1]characters!$2:$2,0)+1,FALSE)</f>
        <v>PremiumSS</v>
      </c>
      <c r="H7" s="9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9" t="str">
        <f ca="1">VLOOKUP($E7,OFFSET([1]characters!$A$2,0,0,COUNTA([1]characters!$A:$A),MATCH(I$1,[1]characters!$2:$2,0)-MATCH($E$1,[1]characters!$2:$2,0)+1),MATCH(I$1,[1]characters!$2:$2,0)-MATCH($E$1,[1]characters!$2:$2,0)+1,FALSE)</f>
        <v>blue</v>
      </c>
      <c r="J7" s="9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9" t="str">
        <f ca="1">VLOOKUP($E7,OFFSET([1]characters!$A$2,0,0,COUNTA([1]characters!$A:$A),MATCH($K$1,[1]characters!$1:$1,0)-MATCH($E$1,[1]characters!$2:$2,0)+2),MATCH($K$1,[1]characters!$1:$1,0)-MATCH($E$1,[1]characters!$2:$2,0)+2,FALSE)</f>
        <v>ドラゴン</v>
      </c>
      <c r="L7" s="5">
        <v>1</v>
      </c>
      <c r="M7" s="35">
        <f ca="1">VLOOKUP(C7,gacha_100_base!A:K,11,FALSE)</f>
        <v>1348</v>
      </c>
      <c r="N7" s="26">
        <v>0</v>
      </c>
      <c r="O7" s="26">
        <v>0</v>
      </c>
      <c r="P7" s="26">
        <v>0</v>
      </c>
      <c r="Q7" s="26">
        <v>0</v>
      </c>
      <c r="R7" s="26">
        <v>1</v>
      </c>
    </row>
    <row r="8" spans="1:18" ht="21" customHeight="1">
      <c r="A8" s="7" t="str">
        <f t="shared" si="0"/>
        <v>100-103861</v>
      </c>
      <c r="B8" s="2" t="s">
        <v>52</v>
      </c>
      <c r="C8" s="9" t="str">
        <f t="shared" ca="1" si="1"/>
        <v>PremiumSSpick5</v>
      </c>
      <c r="D8" s="9" t="str">
        <f t="shared" si="2"/>
        <v>pick</v>
      </c>
      <c r="E8" s="28">
        <v>386</v>
      </c>
      <c r="F8" s="31" t="str">
        <f ca="1">VLOOKUP($E8,OFFSET([1]characters!$A$2,0,0,COUNTA([1]characters!$A:$A),MATCH(F$1,[1]characters!$2:$2,0)-MATCH($E$1,[1]characters!$2:$2,0)+1),MATCH(F$1,[1]characters!$2:$2,0)-MATCH($E$1,[1]characters!$2:$2,0)+1,FALSE)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8" s="31" t="str">
        <f ca="1">VLOOKUP($E8,OFFSET([1]characters!$A$2,0,0,COUNTA([1]characters!$A:$A),MATCH(G$1,[1]characters!$2:$2,0)-MATCH($E$1,[1]characters!$2:$2,0)+1),MATCH(G$1,[1]characters!$2:$2,0)-MATCH($E$1,[1]characters!$2:$2,0)+1,FALSE)</f>
        <v>PremiumSS</v>
      </c>
      <c r="H8" s="31">
        <f ca="1">VLOOKUP($E8,OFFSET([1]characters!$A$2,0,0,COUNTA([1]characters!$A:$A),MATCH(H$1,[1]characters!$2:$2,0)-MATCH($E$1,[1]characters!$2:$2,0)+1),MATCH(H$1,[1]characters!$2:$2,0)-MATCH($E$1,[1]characters!$2:$2,0)+1,FALSE)</f>
        <v>5</v>
      </c>
      <c r="I8" s="31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31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31" t="str">
        <f ca="1">VLOOKUP($E8,OFFSET([1]characters!$A$2,0,0,COUNTA([1]characters!$A:$A),MATCH($K$1,[1]characters!$1:$1,0)-MATCH($E$1,[1]characters!$2:$2,0)+2),MATCH($K$1,[1]characters!$1:$1,0)-MATCH($E$1,[1]characters!$2:$2,0)+2,FALSE)</f>
        <v>ドラゴン</v>
      </c>
      <c r="L8" s="29">
        <v>1</v>
      </c>
      <c r="M8" s="35">
        <f ca="1">VLOOKUP(C8,gacha_100_base!A:K,11,FALSE)</f>
        <v>193</v>
      </c>
      <c r="N8" s="32">
        <v>0</v>
      </c>
      <c r="O8" s="32">
        <v>0</v>
      </c>
      <c r="P8" s="32">
        <v>0</v>
      </c>
      <c r="Q8" s="32">
        <v>0</v>
      </c>
      <c r="R8" s="32">
        <v>1</v>
      </c>
    </row>
    <row r="9" spans="1:18" ht="21" customHeight="1">
      <c r="A9" s="7" t="str">
        <f t="shared" si="0"/>
        <v>100-103871</v>
      </c>
      <c r="B9" s="2" t="s">
        <v>52</v>
      </c>
      <c r="C9" s="9" t="str">
        <f t="shared" ca="1" si="1"/>
        <v>PremiumSpick3</v>
      </c>
      <c r="D9" s="9" t="str">
        <f t="shared" si="2"/>
        <v>pick</v>
      </c>
      <c r="E9" s="6">
        <v>387</v>
      </c>
      <c r="F9" s="9" t="str">
        <f ca="1">VLOOKUP($E9,OFFSET([1]characters!$A$2,0,0,COUNTA([1]characters!$A:$A),MATCH(F$1,[1]characters!$2:$2,0)-MATCH($E$1,[1]characters!$2:$2,0)+1),MATCH(F$1,[1]characters!$2:$2,0)-MATCH($E$1,[1]characters!$2:$2,0)+1,FALSE)</f>
        <v>スフィンクス</v>
      </c>
      <c r="G9" s="9" t="str">
        <f ca="1">VLOOKUP($E9,OFFSET([1]characters!$A$2,0,0,COUNTA([1]characters!$A:$A),MATCH(G$1,[1]characters!$2:$2,0)-MATCH($E$1,[1]characters!$2:$2,0)+1),MATCH(G$1,[1]characters!$2:$2,0)-MATCH($E$1,[1]characters!$2:$2,0)+1,FALSE)</f>
        <v>PremiumS</v>
      </c>
      <c r="H9" s="9">
        <f ca="1">VLOOKUP($E9,OFFSET([1]characters!$A$2,0,0,COUNTA([1]characters!$A:$A),MATCH(H$1,[1]characters!$2:$2,0)-MATCH($E$1,[1]characters!$2:$2,0)+1),MATCH(H$1,[1]characters!$2:$2,0)-MATCH($E$1,[1]characters!$2:$2,0)+1,FALSE)</f>
        <v>3</v>
      </c>
      <c r="I9" s="9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9" t="str">
        <f ca="1">VLOOKUP($E9,OFFSET([1]characters!$A$2,0,0,COUNTA([1]characters!$A:$A),MATCH("タイプ",[1]characters!$1:$1,0)-MATCH($E$1,[1]characters!$2:$2,0)+2),MATCH("タイプ",[1]characters!$1:$1,0)-MATCH($E$1,[1]characters!$2:$2,0)+2,FALSE)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" s="9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5">
        <v>1</v>
      </c>
      <c r="M9" s="35">
        <v>5468</v>
      </c>
      <c r="N9" s="26">
        <v>0</v>
      </c>
      <c r="O9" s="26">
        <v>0</v>
      </c>
      <c r="P9" s="26">
        <v>0</v>
      </c>
      <c r="Q9" s="26">
        <v>0</v>
      </c>
      <c r="R9" s="26">
        <v>1</v>
      </c>
    </row>
    <row r="10" spans="1:18" ht="21" customHeight="1">
      <c r="A10" s="7" t="str">
        <f t="shared" si="0"/>
        <v>100-103881</v>
      </c>
      <c r="B10" s="2" t="s">
        <v>52</v>
      </c>
      <c r="C10" s="9" t="str">
        <f t="shared" ca="1" si="1"/>
        <v>PremiumSpick4</v>
      </c>
      <c r="D10" s="9" t="str">
        <f t="shared" si="2"/>
        <v>pick</v>
      </c>
      <c r="E10" s="30">
        <v>388</v>
      </c>
      <c r="F10" s="31" t="str">
        <f ca="1">VLOOKUP($E10,OFFSET([1]characters!$A$2,0,0,COUNTA([1]characters!$A:$A),MATCH(F$1,[1]characters!$2:$2,0)-MATCH($E$1,[1]characters!$2:$2,0)+1),MATCH(F$1,[1]characters!$2:$2,0)-MATCH($E$1,[1]characters!$2:$2,0)+1,FALSE)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" s="31" t="str">
        <f ca="1">VLOOKUP($E10,OFFSET([1]characters!$A$2,0,0,COUNTA([1]characters!$A:$A),MATCH(G$1,[1]characters!$2:$2,0)-MATCH($E$1,[1]characters!$2:$2,0)+1),MATCH(G$1,[1]characters!$2:$2,0)-MATCH($E$1,[1]characters!$2:$2,0)+1,FALSE)</f>
        <v>PremiumS</v>
      </c>
      <c r="H10" s="31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31" t="str">
        <f ca="1">VLOOKUP($E10,OFFSET([1]characters!$A$2,0,0,COUNTA([1]characters!$A:$A),MATCH(I$1,[1]characters!$2:$2,0)-MATCH($E$1,[1]characters!$2:$2,0)+1),MATCH(I$1,[1]characters!$2:$2,0)-MATCH($E$1,[1]characters!$2:$2,0)+1,FALSE)</f>
        <v>yellow</v>
      </c>
      <c r="J10" s="31" t="str">
        <f ca="1">VLOOKUP($E10,OFFSET([1]characters!$A$2,0,0,COUNTA([1]characters!$A:$A),MATCH("タイプ",[1]characters!$1:$1,0)-MATCH($E$1,[1]characters!$2:$2,0)+2),MATCH("タイプ",[1]characters!$1:$1,0)-MATCH($E$1,[1]characters!$2:$2,0)+2,FALSE)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" s="31" t="str">
        <f ca="1">VLOOKUP($E10,OFFSET([1]characters!$A$2,0,0,COUNTA([1]characters!$A:$A),MATCH($K$1,[1]characters!$1:$1,0)-MATCH($E$1,[1]characters!$2:$2,0)+2),MATCH($K$1,[1]characters!$1:$1,0)-MATCH($E$1,[1]characters!$2:$2,0)+2,FALSE)</f>
        <v>アニマル</v>
      </c>
      <c r="L10" s="29">
        <v>1</v>
      </c>
      <c r="M10" s="35">
        <f ca="1">VLOOKUP(C10,gacha_100_base!A:K,11,FALSE)</f>
        <v>1925</v>
      </c>
      <c r="N10" s="32">
        <v>0</v>
      </c>
      <c r="O10" s="32">
        <v>0</v>
      </c>
      <c r="P10" s="32">
        <v>0</v>
      </c>
      <c r="Q10" s="32">
        <v>0</v>
      </c>
      <c r="R10" s="32">
        <v>1</v>
      </c>
    </row>
    <row r="11" spans="1:18" s="33" customFormat="1" ht="21" customHeight="1" thickBot="1">
      <c r="A11" s="7" t="str">
        <f t="shared" si="0"/>
        <v>100-103891</v>
      </c>
      <c r="B11" s="2" t="s">
        <v>52</v>
      </c>
      <c r="C11" s="9" t="str">
        <f t="shared" ca="1" si="1"/>
        <v>PremiumSpick5</v>
      </c>
      <c r="D11" s="9" t="str">
        <f t="shared" si="2"/>
        <v>pick</v>
      </c>
      <c r="E11" s="23">
        <v>389</v>
      </c>
      <c r="F11" s="21" t="str">
        <f ca="1">VLOOKUP($E11,OFFSET([1]characters!$A$2,0,0,COUNTA([1]characters!$A:$A),MATCH(F$1,[1]characters!$2:$2,0)-MATCH($E$1,[1]characters!$2:$2,0)+1),MATCH(F$1,[1]characters!$2:$2,0)-MATCH($E$1,[1]characters!$2:$2,0)+1,FALSE)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1" s="21" t="str">
        <f ca="1">VLOOKUP($E11,OFFSET([1]characters!$A$2,0,0,COUNTA([1]characters!$A:$A),MATCH(G$1,[1]characters!$2:$2,0)-MATCH($E$1,[1]characters!$2:$2,0)+1),MATCH(G$1,[1]characters!$2:$2,0)-MATCH($E$1,[1]characters!$2:$2,0)+1,FALSE)</f>
        <v>PremiumS</v>
      </c>
      <c r="H11" s="21">
        <f ca="1">VLOOKUP($E11,OFFSET([1]characters!$A$2,0,0,COUNTA([1]characters!$A:$A),MATCH(H$1,[1]characters!$2:$2,0)-MATCH($E$1,[1]characters!$2:$2,0)+1),MATCH(H$1,[1]characters!$2:$2,0)-MATCH($E$1,[1]characters!$2:$2,0)+1,FALSE)</f>
        <v>5</v>
      </c>
      <c r="I11" s="21" t="str">
        <f ca="1">VLOOKUP($E11,OFFSET([1]characters!$A$2,0,0,COUNTA([1]characters!$A:$A),MATCH(I$1,[1]characters!$2:$2,0)-MATCH($E$1,[1]characters!$2:$2,0)+1),MATCH(I$1,[1]characters!$2:$2,0)-MATCH($E$1,[1]characters!$2:$2,0)+1,FALSE)</f>
        <v>yellow</v>
      </c>
      <c r="J11" s="21" t="str">
        <f ca="1">VLOOKUP($E11,OFFSET([1]characters!$A$2,0,0,COUNTA([1]characters!$A:$A),MATCH("タイプ",[1]characters!$1:$1,0)-MATCH($E$1,[1]characters!$2:$2,0)+2),MATCH("タイプ",[1]characters!$1:$1,0)-MATCH($E$1,[1]characters!$2:$2,0)+2,FALSE)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" s="21" t="str">
        <f ca="1">VLOOKUP($E11,OFFSET([1]characters!$A$2,0,0,COUNTA([1]characters!$A:$A),MATCH($K$1,[1]characters!$1:$1,0)-MATCH($E$1,[1]characters!$2:$2,0)+2),MATCH($K$1,[1]characters!$1:$1,0)-MATCH($E$1,[1]characters!$2:$2,0)+2,FALSE)</f>
        <v>アニマル</v>
      </c>
      <c r="L11" s="22">
        <v>1</v>
      </c>
      <c r="M11" s="35">
        <f ca="1">VLOOKUP(C11,gacha_100_base!A:K,11,FALSE)</f>
        <v>308</v>
      </c>
      <c r="N11" s="27">
        <v>0</v>
      </c>
      <c r="O11" s="27">
        <v>0</v>
      </c>
      <c r="P11" s="27">
        <v>0</v>
      </c>
      <c r="Q11" s="27">
        <v>0</v>
      </c>
      <c r="R11" s="27">
        <v>1</v>
      </c>
    </row>
  </sheetData>
  <autoFilter ref="B1:M11"/>
  <phoneticPr fontId="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M24" sqref="M24"/>
      <selection pane="bottomLeft" activeCell="F12" sqref="F12"/>
    </sheetView>
  </sheetViews>
  <sheetFormatPr baseColWidth="12" defaultRowHeight="21" customHeight="1" outlineLevelCol="1" x14ac:dyDescent="0"/>
  <cols>
    <col min="1" max="1" width="12.83203125" style="67"/>
    <col min="2" max="2" width="14.6640625" style="1" bestFit="1" customWidth="1"/>
    <col min="3" max="3" width="14.1640625" style="1" bestFit="1" customWidth="1"/>
    <col min="4" max="6" width="14.164062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11</v>
      </c>
      <c r="B1" s="59" t="s">
        <v>54</v>
      </c>
      <c r="C1" s="63" t="s">
        <v>57</v>
      </c>
      <c r="D1" s="69" t="s">
        <v>59</v>
      </c>
      <c r="E1" s="69" t="s">
        <v>60</v>
      </c>
      <c r="F1" s="69" t="s">
        <v>61</v>
      </c>
      <c r="G1" s="59" t="s">
        <v>3</v>
      </c>
      <c r="H1" s="59" t="s">
        <v>62</v>
      </c>
      <c r="I1" s="59" t="s">
        <v>63</v>
      </c>
      <c r="J1" s="59" t="s">
        <v>64</v>
      </c>
      <c r="K1" s="59" t="s">
        <v>65</v>
      </c>
    </row>
    <row r="2" spans="1:11" ht="21" customHeight="1">
      <c r="A2" s="7" t="str">
        <f>B2&amp;C2</f>
        <v>1001</v>
      </c>
      <c r="B2" s="2">
        <v>100</v>
      </c>
      <c r="C2" s="17">
        <v>1</v>
      </c>
      <c r="D2" s="70" t="s">
        <v>69</v>
      </c>
      <c r="E2" s="70">
        <v>1</v>
      </c>
      <c r="F2" s="70" t="s">
        <v>70</v>
      </c>
      <c r="G2" s="62">
        <v>100</v>
      </c>
      <c r="H2" s="62" t="s">
        <v>82</v>
      </c>
      <c r="I2" s="62" t="s">
        <v>66</v>
      </c>
      <c r="J2" s="62" t="s">
        <v>67</v>
      </c>
      <c r="K2" s="62" t="s">
        <v>68</v>
      </c>
    </row>
    <row r="3" spans="1:11" ht="21" customHeight="1">
      <c r="A3" s="7" t="str">
        <f t="shared" ref="A3:A11" si="0">B3&amp;C3</f>
        <v>1002</v>
      </c>
      <c r="B3" s="2">
        <v>100</v>
      </c>
      <c r="C3" s="17">
        <v>2</v>
      </c>
      <c r="D3" s="70" t="s">
        <v>69</v>
      </c>
      <c r="E3" s="70">
        <v>1</v>
      </c>
      <c r="F3" s="70" t="s">
        <v>70</v>
      </c>
      <c r="G3" s="62">
        <v>100</v>
      </c>
      <c r="H3" s="62" t="s">
        <v>82</v>
      </c>
      <c r="I3" s="62" t="s">
        <v>66</v>
      </c>
      <c r="J3" s="62" t="s">
        <v>67</v>
      </c>
      <c r="K3" s="62" t="s">
        <v>68</v>
      </c>
    </row>
    <row r="4" spans="1:11" ht="21" customHeight="1">
      <c r="A4" s="7" t="str">
        <f t="shared" si="0"/>
        <v>1003</v>
      </c>
      <c r="B4" s="2">
        <v>100</v>
      </c>
      <c r="C4" s="17">
        <v>3</v>
      </c>
      <c r="D4" s="70" t="s">
        <v>69</v>
      </c>
      <c r="E4" s="70">
        <v>1</v>
      </c>
      <c r="F4" s="70" t="s">
        <v>70</v>
      </c>
      <c r="G4" s="62">
        <v>100</v>
      </c>
      <c r="H4" s="62" t="s">
        <v>82</v>
      </c>
      <c r="I4" s="62" t="s">
        <v>66</v>
      </c>
      <c r="J4" s="62" t="s">
        <v>67</v>
      </c>
      <c r="K4" s="62" t="s">
        <v>68</v>
      </c>
    </row>
    <row r="5" spans="1:11" ht="21" customHeight="1">
      <c r="A5" s="7" t="str">
        <f t="shared" si="0"/>
        <v>1004</v>
      </c>
      <c r="B5" s="2">
        <v>100</v>
      </c>
      <c r="C5" s="17">
        <v>4</v>
      </c>
      <c r="D5" s="70" t="s">
        <v>69</v>
      </c>
      <c r="E5" s="70">
        <v>1</v>
      </c>
      <c r="F5" s="70" t="s">
        <v>70</v>
      </c>
      <c r="G5" s="62">
        <v>100</v>
      </c>
      <c r="H5" s="62" t="s">
        <v>82</v>
      </c>
      <c r="I5" s="62" t="s">
        <v>66</v>
      </c>
      <c r="J5" s="62" t="s">
        <v>67</v>
      </c>
      <c r="K5" s="62" t="s">
        <v>68</v>
      </c>
    </row>
    <row r="6" spans="1:11" ht="21" customHeight="1">
      <c r="A6" s="7" t="str">
        <f t="shared" si="0"/>
        <v>1005</v>
      </c>
      <c r="B6" s="2">
        <v>100</v>
      </c>
      <c r="C6" s="17">
        <v>5</v>
      </c>
      <c r="D6" s="70" t="s">
        <v>69</v>
      </c>
      <c r="E6" s="70">
        <v>1</v>
      </c>
      <c r="F6" s="70" t="s">
        <v>70</v>
      </c>
      <c r="G6" s="62">
        <v>100</v>
      </c>
      <c r="H6" s="62" t="s">
        <v>82</v>
      </c>
      <c r="I6" s="62" t="s">
        <v>66</v>
      </c>
      <c r="J6" s="62" t="s">
        <v>67</v>
      </c>
      <c r="K6" s="62" t="s">
        <v>68</v>
      </c>
    </row>
    <row r="7" spans="1:11" ht="21" customHeight="1">
      <c r="A7" s="7" t="str">
        <f t="shared" si="0"/>
        <v>1006</v>
      </c>
      <c r="B7" s="2">
        <v>100</v>
      </c>
      <c r="C7" s="17">
        <v>6</v>
      </c>
      <c r="D7" s="70" t="s">
        <v>69</v>
      </c>
      <c r="E7" s="70">
        <v>1</v>
      </c>
      <c r="F7" s="70" t="s">
        <v>70</v>
      </c>
      <c r="G7" s="62">
        <v>100</v>
      </c>
      <c r="H7" s="62" t="s">
        <v>82</v>
      </c>
      <c r="I7" s="62" t="s">
        <v>66</v>
      </c>
      <c r="J7" s="62" t="s">
        <v>67</v>
      </c>
      <c r="K7" s="62" t="s">
        <v>68</v>
      </c>
    </row>
    <row r="8" spans="1:11" ht="21" customHeight="1">
      <c r="A8" s="7" t="str">
        <f t="shared" si="0"/>
        <v>1007</v>
      </c>
      <c r="B8" s="2">
        <v>100</v>
      </c>
      <c r="C8" s="17">
        <v>7</v>
      </c>
      <c r="D8" s="70" t="s">
        <v>69</v>
      </c>
      <c r="E8" s="70">
        <v>1</v>
      </c>
      <c r="F8" s="70" t="s">
        <v>70</v>
      </c>
      <c r="G8" s="62">
        <v>100</v>
      </c>
      <c r="H8" s="62" t="s">
        <v>82</v>
      </c>
      <c r="I8" s="62" t="s">
        <v>66</v>
      </c>
      <c r="J8" s="62" t="s">
        <v>67</v>
      </c>
      <c r="K8" s="62" t="s">
        <v>68</v>
      </c>
    </row>
    <row r="9" spans="1:11" ht="21" customHeight="1">
      <c r="A9" s="7" t="str">
        <f t="shared" si="0"/>
        <v>1008</v>
      </c>
      <c r="B9" s="2">
        <v>100</v>
      </c>
      <c r="C9" s="17">
        <v>8</v>
      </c>
      <c r="D9" s="70" t="s">
        <v>69</v>
      </c>
      <c r="E9" s="70">
        <v>1</v>
      </c>
      <c r="F9" s="70" t="s">
        <v>70</v>
      </c>
      <c r="G9" s="62">
        <v>100</v>
      </c>
      <c r="H9" s="62" t="s">
        <v>82</v>
      </c>
      <c r="I9" s="62" t="s">
        <v>66</v>
      </c>
      <c r="J9" s="62" t="s">
        <v>67</v>
      </c>
      <c r="K9" s="62" t="s">
        <v>68</v>
      </c>
    </row>
    <row r="10" spans="1:11" ht="21" customHeight="1">
      <c r="A10" s="7" t="str">
        <f t="shared" si="0"/>
        <v>1009</v>
      </c>
      <c r="B10" s="2">
        <v>100</v>
      </c>
      <c r="C10" s="17">
        <v>9</v>
      </c>
      <c r="D10" s="70" t="s">
        <v>69</v>
      </c>
      <c r="E10" s="70">
        <v>1</v>
      </c>
      <c r="F10" s="70" t="s">
        <v>70</v>
      </c>
      <c r="G10" s="62">
        <v>100</v>
      </c>
      <c r="H10" s="62" t="s">
        <v>82</v>
      </c>
      <c r="I10" s="62" t="s">
        <v>66</v>
      </c>
      <c r="J10" s="62" t="s">
        <v>67</v>
      </c>
      <c r="K10" s="62" t="s">
        <v>68</v>
      </c>
    </row>
    <row r="11" spans="1:11" ht="21" customHeight="1">
      <c r="A11" s="7" t="str">
        <f t="shared" si="0"/>
        <v>10010</v>
      </c>
      <c r="B11" s="2">
        <v>100</v>
      </c>
      <c r="C11" s="17">
        <v>10</v>
      </c>
      <c r="D11" s="70" t="s">
        <v>83</v>
      </c>
      <c r="E11" s="70">
        <v>130</v>
      </c>
      <c r="F11" s="70">
        <v>1</v>
      </c>
      <c r="G11" s="62">
        <v>100</v>
      </c>
      <c r="H11" s="62" t="s">
        <v>82</v>
      </c>
      <c r="I11" s="62" t="s">
        <v>66</v>
      </c>
      <c r="J11" s="62" t="s">
        <v>67</v>
      </c>
      <c r="K11" s="62" t="s">
        <v>68</v>
      </c>
    </row>
  </sheetData>
  <autoFilter ref="B1:G10"/>
  <phoneticPr fontId="7"/>
  <dataValidations count="3">
    <dataValidation type="list" allowBlank="1" showInputMessage="1" showErrorMessage="1" sqref="D2:D11">
      <formula1>"unit,polygon,bit,link"</formula1>
    </dataValidation>
    <dataValidation type="list" allowBlank="1" showInputMessage="1" sqref="F2:F11">
      <formula1>"1,2,3,4,5,...,NULL"</formula1>
    </dataValidation>
    <dataValidation errorStyle="warning" showInputMessage="1" showErrorMessage="1" errorTitle="空白禁止です" sqref="E3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J256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M19" sqref="M19"/>
    </sheetView>
  </sheetViews>
  <sheetFormatPr baseColWidth="12" defaultRowHeight="18" x14ac:dyDescent="0"/>
  <cols>
    <col min="1" max="1" width="11.1640625" style="12" bestFit="1" customWidth="1"/>
    <col min="2" max="2" width="13.83203125" style="8" bestFit="1" customWidth="1"/>
    <col min="3" max="3" width="19.33203125" style="8" bestFit="1" customWidth="1"/>
    <col min="4" max="4" width="11.6640625" style="8" bestFit="1" customWidth="1"/>
    <col min="5" max="5" width="9.1640625" style="8" bestFit="1" customWidth="1"/>
    <col min="6" max="6" width="7" style="8" bestFit="1" customWidth="1"/>
    <col min="7" max="16384" width="12.8320312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tr">
        <f>SUBSTITUTE(RIGHT(CELL("filename",$C$1),LEN(CELL("filename",$C$1))-FIND("]",CELL("filename",$C$1))),".tmp","")</f>
        <v>gacha_select_tables_100</v>
      </c>
    </row>
    <row r="2" spans="1:10" s="13" customFormat="1">
      <c r="A2" s="12" t="s">
        <v>10</v>
      </c>
      <c r="B2" s="61" t="s">
        <v>53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66" si="0">INDIRECT(ADDRESS(ROW()+$A$1,COLUMN(),1,TRUE,$C$1))</f>
        <v>1001261</v>
      </c>
      <c r="B3" s="15">
        <f t="shared" ref="B3:J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3" s="15">
        <f t="shared" ref="C3:J3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126</v>
      </c>
      <c r="D3" s="15">
        <f t="shared" si="2"/>
        <v>1</v>
      </c>
      <c r="E3" s="15">
        <f t="shared" si="2"/>
        <v>2351</v>
      </c>
      <c r="F3" s="15">
        <f t="shared" si="2"/>
        <v>0</v>
      </c>
      <c r="G3" s="15">
        <f t="shared" si="2"/>
        <v>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1001281</v>
      </c>
      <c r="B4" s="15">
        <f t="shared" si="1"/>
        <v>100</v>
      </c>
      <c r="C4" s="15">
        <f t="shared" si="1"/>
        <v>128</v>
      </c>
      <c r="D4" s="15">
        <f t="shared" si="1"/>
        <v>1</v>
      </c>
      <c r="E4" s="15">
        <f t="shared" si="1"/>
        <v>2351</v>
      </c>
      <c r="F4" s="15">
        <f t="shared" si="1"/>
        <v>0</v>
      </c>
      <c r="G4" s="15">
        <f t="shared" si="1"/>
        <v>0</v>
      </c>
      <c r="H4" s="15">
        <f t="shared" si="1"/>
        <v>0</v>
      </c>
      <c r="I4" s="15">
        <f t="shared" si="1"/>
        <v>0</v>
      </c>
      <c r="J4" s="15">
        <f t="shared" si="1"/>
        <v>1</v>
      </c>
    </row>
    <row r="5" spans="1:10">
      <c r="A5" s="14" t="str">
        <f t="shared" si="0"/>
        <v>1001301</v>
      </c>
      <c r="B5" s="15">
        <f t="shared" si="1"/>
        <v>100</v>
      </c>
      <c r="C5" s="15">
        <f t="shared" si="1"/>
        <v>130</v>
      </c>
      <c r="D5" s="15">
        <f t="shared" si="1"/>
        <v>1</v>
      </c>
      <c r="E5" s="15">
        <f t="shared" si="1"/>
        <v>2351</v>
      </c>
      <c r="F5" s="15">
        <f t="shared" si="1"/>
        <v>0</v>
      </c>
      <c r="G5" s="15">
        <f t="shared" si="1"/>
        <v>0</v>
      </c>
      <c r="H5" s="15">
        <f t="shared" si="1"/>
        <v>0</v>
      </c>
      <c r="I5" s="15">
        <f t="shared" si="1"/>
        <v>0</v>
      </c>
      <c r="J5" s="15">
        <f t="shared" si="1"/>
        <v>1</v>
      </c>
    </row>
    <row r="6" spans="1:10">
      <c r="A6" s="14" t="str">
        <f t="shared" si="0"/>
        <v>1001321</v>
      </c>
      <c r="B6" s="15">
        <f t="shared" si="1"/>
        <v>100</v>
      </c>
      <c r="C6" s="15">
        <f t="shared" si="1"/>
        <v>132</v>
      </c>
      <c r="D6" s="15">
        <f t="shared" si="1"/>
        <v>1</v>
      </c>
      <c r="E6" s="15">
        <f t="shared" si="1"/>
        <v>2351</v>
      </c>
      <c r="F6" s="15">
        <f t="shared" si="1"/>
        <v>0</v>
      </c>
      <c r="G6" s="15">
        <f t="shared" si="1"/>
        <v>0</v>
      </c>
      <c r="H6" s="15">
        <f t="shared" si="1"/>
        <v>0</v>
      </c>
      <c r="I6" s="15">
        <f t="shared" si="1"/>
        <v>0</v>
      </c>
      <c r="J6" s="15">
        <f t="shared" si="1"/>
        <v>1</v>
      </c>
    </row>
    <row r="7" spans="1:10">
      <c r="A7" s="14" t="str">
        <f t="shared" si="0"/>
        <v>1001341</v>
      </c>
      <c r="B7" s="15">
        <f t="shared" si="1"/>
        <v>100</v>
      </c>
      <c r="C7" s="15">
        <f t="shared" si="1"/>
        <v>134</v>
      </c>
      <c r="D7" s="15">
        <f t="shared" si="1"/>
        <v>1</v>
      </c>
      <c r="E7" s="15">
        <f t="shared" si="1"/>
        <v>2351</v>
      </c>
      <c r="F7" s="15">
        <f t="shared" si="1"/>
        <v>0</v>
      </c>
      <c r="G7" s="15">
        <f t="shared" si="1"/>
        <v>0</v>
      </c>
      <c r="H7" s="15">
        <f t="shared" si="1"/>
        <v>0</v>
      </c>
      <c r="I7" s="15">
        <f t="shared" si="1"/>
        <v>0</v>
      </c>
      <c r="J7" s="15">
        <f t="shared" si="1"/>
        <v>1</v>
      </c>
    </row>
    <row r="8" spans="1:10">
      <c r="A8" s="14" t="str">
        <f t="shared" si="0"/>
        <v>1001361</v>
      </c>
      <c r="B8" s="15">
        <f t="shared" si="1"/>
        <v>100</v>
      </c>
      <c r="C8" s="15">
        <f t="shared" si="1"/>
        <v>136</v>
      </c>
      <c r="D8" s="15">
        <f t="shared" si="1"/>
        <v>1</v>
      </c>
      <c r="E8" s="15">
        <f t="shared" si="1"/>
        <v>2351</v>
      </c>
      <c r="F8" s="15">
        <f t="shared" si="1"/>
        <v>0</v>
      </c>
      <c r="G8" s="15">
        <f t="shared" si="1"/>
        <v>0</v>
      </c>
      <c r="H8" s="15">
        <f t="shared" si="1"/>
        <v>0</v>
      </c>
      <c r="I8" s="15">
        <f t="shared" si="1"/>
        <v>0</v>
      </c>
      <c r="J8" s="15">
        <f t="shared" si="1"/>
        <v>1</v>
      </c>
    </row>
    <row r="9" spans="1:10">
      <c r="A9" s="14" t="str">
        <f t="shared" si="0"/>
        <v>1001381</v>
      </c>
      <c r="B9" s="15">
        <f t="shared" si="1"/>
        <v>100</v>
      </c>
      <c r="C9" s="15">
        <f t="shared" si="1"/>
        <v>138</v>
      </c>
      <c r="D9" s="15">
        <f t="shared" si="1"/>
        <v>1</v>
      </c>
      <c r="E9" s="15">
        <f t="shared" si="1"/>
        <v>2351</v>
      </c>
      <c r="F9" s="15">
        <f t="shared" si="1"/>
        <v>0</v>
      </c>
      <c r="G9" s="15">
        <f t="shared" si="1"/>
        <v>0</v>
      </c>
      <c r="H9" s="15">
        <f t="shared" si="1"/>
        <v>0</v>
      </c>
      <c r="I9" s="15">
        <f t="shared" si="1"/>
        <v>0</v>
      </c>
      <c r="J9" s="15">
        <f t="shared" si="1"/>
        <v>1</v>
      </c>
    </row>
    <row r="10" spans="1:10">
      <c r="A10" s="14" t="str">
        <f t="shared" si="0"/>
        <v>1001401</v>
      </c>
      <c r="B10" s="15">
        <f t="shared" si="1"/>
        <v>100</v>
      </c>
      <c r="C10" s="15">
        <f t="shared" si="1"/>
        <v>140</v>
      </c>
      <c r="D10" s="15">
        <f t="shared" si="1"/>
        <v>1</v>
      </c>
      <c r="E10" s="15">
        <f t="shared" si="1"/>
        <v>2351</v>
      </c>
      <c r="F10" s="15">
        <f t="shared" si="1"/>
        <v>0</v>
      </c>
      <c r="G10" s="15">
        <f t="shared" si="1"/>
        <v>0</v>
      </c>
      <c r="H10" s="15">
        <f t="shared" si="1"/>
        <v>0</v>
      </c>
      <c r="I10" s="15">
        <f t="shared" si="1"/>
        <v>0</v>
      </c>
      <c r="J10" s="15">
        <f t="shared" si="1"/>
        <v>1</v>
      </c>
    </row>
    <row r="11" spans="1:10">
      <c r="A11" s="14" t="str">
        <f t="shared" si="0"/>
        <v>1001421</v>
      </c>
      <c r="B11" s="15">
        <f t="shared" si="1"/>
        <v>100</v>
      </c>
      <c r="C11" s="15">
        <f t="shared" si="1"/>
        <v>142</v>
      </c>
      <c r="D11" s="15">
        <f t="shared" si="1"/>
        <v>1</v>
      </c>
      <c r="E11" s="15">
        <f t="shared" si="1"/>
        <v>2351</v>
      </c>
      <c r="F11" s="15">
        <f t="shared" si="1"/>
        <v>0</v>
      </c>
      <c r="G11" s="15">
        <f t="shared" si="1"/>
        <v>0</v>
      </c>
      <c r="H11" s="15">
        <f t="shared" si="1"/>
        <v>0</v>
      </c>
      <c r="I11" s="15">
        <f t="shared" si="1"/>
        <v>0</v>
      </c>
      <c r="J11" s="15">
        <f t="shared" si="1"/>
        <v>1</v>
      </c>
    </row>
    <row r="12" spans="1:10">
      <c r="A12" s="14" t="str">
        <f t="shared" si="0"/>
        <v>1001441</v>
      </c>
      <c r="B12" s="15">
        <f t="shared" si="1"/>
        <v>100</v>
      </c>
      <c r="C12" s="15">
        <f t="shared" si="1"/>
        <v>144</v>
      </c>
      <c r="D12" s="15">
        <f t="shared" si="1"/>
        <v>1</v>
      </c>
      <c r="E12" s="15">
        <f t="shared" si="1"/>
        <v>2351</v>
      </c>
      <c r="F12" s="15">
        <f t="shared" si="1"/>
        <v>0</v>
      </c>
      <c r="G12" s="15">
        <f t="shared" si="1"/>
        <v>0</v>
      </c>
      <c r="H12" s="15">
        <f t="shared" si="1"/>
        <v>0</v>
      </c>
      <c r="I12" s="15">
        <f t="shared" si="1"/>
        <v>0</v>
      </c>
      <c r="J12" s="15">
        <f t="shared" si="1"/>
        <v>1</v>
      </c>
    </row>
    <row r="13" spans="1:10">
      <c r="A13" s="14" t="str">
        <f t="shared" si="0"/>
        <v>1001461</v>
      </c>
      <c r="B13" s="15">
        <f t="shared" si="1"/>
        <v>100</v>
      </c>
      <c r="C13" s="15">
        <f t="shared" si="1"/>
        <v>146</v>
      </c>
      <c r="D13" s="15">
        <f t="shared" si="1"/>
        <v>1</v>
      </c>
      <c r="E13" s="15">
        <f t="shared" si="1"/>
        <v>2351</v>
      </c>
      <c r="F13" s="15">
        <f t="shared" si="1"/>
        <v>0</v>
      </c>
      <c r="G13" s="15">
        <f t="shared" si="1"/>
        <v>0</v>
      </c>
      <c r="H13" s="15">
        <f t="shared" si="1"/>
        <v>0</v>
      </c>
      <c r="I13" s="15">
        <f t="shared" si="1"/>
        <v>0</v>
      </c>
      <c r="J13" s="15">
        <f t="shared" si="1"/>
        <v>1</v>
      </c>
    </row>
    <row r="14" spans="1:10">
      <c r="A14" s="14" t="str">
        <f t="shared" si="0"/>
        <v>1001481</v>
      </c>
      <c r="B14" s="15">
        <f t="shared" si="1"/>
        <v>100</v>
      </c>
      <c r="C14" s="15">
        <f t="shared" si="1"/>
        <v>148</v>
      </c>
      <c r="D14" s="15">
        <f t="shared" si="1"/>
        <v>1</v>
      </c>
      <c r="E14" s="15">
        <f t="shared" si="1"/>
        <v>2351</v>
      </c>
      <c r="F14" s="15">
        <f t="shared" si="1"/>
        <v>0</v>
      </c>
      <c r="G14" s="15">
        <f t="shared" si="1"/>
        <v>0</v>
      </c>
      <c r="H14" s="15">
        <f t="shared" si="1"/>
        <v>0</v>
      </c>
      <c r="I14" s="15">
        <f t="shared" si="1"/>
        <v>0</v>
      </c>
      <c r="J14" s="15">
        <f t="shared" si="1"/>
        <v>1</v>
      </c>
    </row>
    <row r="15" spans="1:10">
      <c r="A15" s="14" t="str">
        <f t="shared" si="0"/>
        <v>1001501</v>
      </c>
      <c r="B15" s="15">
        <f t="shared" si="1"/>
        <v>100</v>
      </c>
      <c r="C15" s="15">
        <f t="shared" si="1"/>
        <v>150</v>
      </c>
      <c r="D15" s="15">
        <f t="shared" si="1"/>
        <v>1</v>
      </c>
      <c r="E15" s="15">
        <f t="shared" si="1"/>
        <v>2351</v>
      </c>
      <c r="F15" s="15">
        <f t="shared" si="1"/>
        <v>0</v>
      </c>
      <c r="G15" s="15">
        <f t="shared" si="1"/>
        <v>0</v>
      </c>
      <c r="H15" s="15">
        <f t="shared" si="1"/>
        <v>0</v>
      </c>
      <c r="I15" s="15">
        <f t="shared" si="1"/>
        <v>0</v>
      </c>
      <c r="J15" s="15">
        <f t="shared" si="1"/>
        <v>1</v>
      </c>
    </row>
    <row r="16" spans="1:10">
      <c r="A16" s="14" t="str">
        <f t="shared" si="0"/>
        <v>1001521</v>
      </c>
      <c r="B16" s="15">
        <f t="shared" si="1"/>
        <v>100</v>
      </c>
      <c r="C16" s="15">
        <f t="shared" si="1"/>
        <v>152</v>
      </c>
      <c r="D16" s="15">
        <f t="shared" si="1"/>
        <v>1</v>
      </c>
      <c r="E16" s="15">
        <f t="shared" si="1"/>
        <v>2351</v>
      </c>
      <c r="F16" s="15">
        <f t="shared" si="1"/>
        <v>0</v>
      </c>
      <c r="G16" s="15">
        <f t="shared" si="1"/>
        <v>0</v>
      </c>
      <c r="H16" s="15">
        <f t="shared" si="1"/>
        <v>0</v>
      </c>
      <c r="I16" s="15">
        <f t="shared" si="1"/>
        <v>0</v>
      </c>
      <c r="J16" s="15">
        <f t="shared" si="1"/>
        <v>1</v>
      </c>
    </row>
    <row r="17" spans="1:10">
      <c r="A17" s="14" t="str">
        <f t="shared" si="0"/>
        <v>1001541</v>
      </c>
      <c r="B17" s="15">
        <f t="shared" si="1"/>
        <v>100</v>
      </c>
      <c r="C17" s="15">
        <f t="shared" si="1"/>
        <v>154</v>
      </c>
      <c r="D17" s="15">
        <f t="shared" si="1"/>
        <v>1</v>
      </c>
      <c r="E17" s="15">
        <f t="shared" si="1"/>
        <v>2351</v>
      </c>
      <c r="F17" s="15">
        <f t="shared" si="1"/>
        <v>0</v>
      </c>
      <c r="G17" s="15">
        <f t="shared" si="1"/>
        <v>0</v>
      </c>
      <c r="H17" s="15">
        <f t="shared" si="1"/>
        <v>0</v>
      </c>
      <c r="I17" s="15">
        <f t="shared" si="1"/>
        <v>0</v>
      </c>
      <c r="J17" s="15">
        <f t="shared" si="1"/>
        <v>1</v>
      </c>
    </row>
    <row r="18" spans="1:10">
      <c r="A18" s="14" t="str">
        <f t="shared" si="0"/>
        <v>1001561</v>
      </c>
      <c r="B18" s="15">
        <f t="shared" si="1"/>
        <v>100</v>
      </c>
      <c r="C18" s="15">
        <f t="shared" si="1"/>
        <v>156</v>
      </c>
      <c r="D18" s="15">
        <f t="shared" si="1"/>
        <v>1</v>
      </c>
      <c r="E18" s="15">
        <f t="shared" si="1"/>
        <v>2351</v>
      </c>
      <c r="F18" s="15">
        <f t="shared" si="1"/>
        <v>0</v>
      </c>
      <c r="G18" s="15">
        <f t="shared" si="1"/>
        <v>0</v>
      </c>
      <c r="H18" s="15">
        <f t="shared" si="1"/>
        <v>0</v>
      </c>
      <c r="I18" s="15">
        <f t="shared" si="1"/>
        <v>0</v>
      </c>
      <c r="J18" s="15">
        <f t="shared" si="1"/>
        <v>1</v>
      </c>
    </row>
    <row r="19" spans="1:10">
      <c r="A19" s="14" t="str">
        <f t="shared" si="0"/>
        <v>1001581</v>
      </c>
      <c r="B19" s="15">
        <f t="shared" ref="B19:J47" si="3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19" s="15">
        <f t="shared" si="3"/>
        <v>158</v>
      </c>
      <c r="D19" s="15">
        <f t="shared" si="3"/>
        <v>1</v>
      </c>
      <c r="E19" s="15">
        <f t="shared" si="3"/>
        <v>2351</v>
      </c>
      <c r="F19" s="15">
        <f t="shared" si="3"/>
        <v>0</v>
      </c>
      <c r="G19" s="15">
        <f t="shared" si="3"/>
        <v>0</v>
      </c>
      <c r="H19" s="15">
        <f t="shared" si="3"/>
        <v>0</v>
      </c>
      <c r="I19" s="15">
        <f t="shared" si="3"/>
        <v>0</v>
      </c>
      <c r="J19" s="15">
        <f t="shared" si="3"/>
        <v>1</v>
      </c>
    </row>
    <row r="20" spans="1:10">
      <c r="A20" s="14" t="str">
        <f t="shared" si="0"/>
        <v>1001601</v>
      </c>
      <c r="B20" s="15">
        <f t="shared" si="3"/>
        <v>100</v>
      </c>
      <c r="C20" s="15">
        <f t="shared" si="3"/>
        <v>160</v>
      </c>
      <c r="D20" s="15">
        <f t="shared" si="3"/>
        <v>1</v>
      </c>
      <c r="E20" s="15">
        <f t="shared" si="3"/>
        <v>2351</v>
      </c>
      <c r="F20" s="15">
        <f t="shared" si="3"/>
        <v>0</v>
      </c>
      <c r="G20" s="15">
        <f t="shared" si="3"/>
        <v>0</v>
      </c>
      <c r="H20" s="15">
        <f t="shared" si="3"/>
        <v>0</v>
      </c>
      <c r="I20" s="15">
        <f t="shared" si="3"/>
        <v>0</v>
      </c>
      <c r="J20" s="15">
        <f t="shared" si="3"/>
        <v>1</v>
      </c>
    </row>
    <row r="21" spans="1:10">
      <c r="A21" s="14" t="str">
        <f t="shared" si="0"/>
        <v>1001621</v>
      </c>
      <c r="B21" s="15">
        <f t="shared" si="3"/>
        <v>100</v>
      </c>
      <c r="C21" s="15">
        <f t="shared" si="3"/>
        <v>162</v>
      </c>
      <c r="D21" s="15">
        <f t="shared" si="3"/>
        <v>1</v>
      </c>
      <c r="E21" s="15">
        <f t="shared" si="3"/>
        <v>2351</v>
      </c>
      <c r="F21" s="15">
        <f t="shared" si="3"/>
        <v>0</v>
      </c>
      <c r="G21" s="15">
        <f t="shared" si="3"/>
        <v>0</v>
      </c>
      <c r="H21" s="15">
        <f t="shared" si="3"/>
        <v>0</v>
      </c>
      <c r="I21" s="15">
        <f t="shared" si="3"/>
        <v>0</v>
      </c>
      <c r="J21" s="15">
        <f t="shared" si="3"/>
        <v>1</v>
      </c>
    </row>
    <row r="22" spans="1:10">
      <c r="A22" s="14" t="str">
        <f t="shared" si="0"/>
        <v>1001641</v>
      </c>
      <c r="B22" s="15">
        <f t="shared" si="3"/>
        <v>100</v>
      </c>
      <c r="C22" s="15">
        <f t="shared" si="3"/>
        <v>164</v>
      </c>
      <c r="D22" s="15">
        <f t="shared" si="3"/>
        <v>1</v>
      </c>
      <c r="E22" s="15">
        <f t="shared" si="3"/>
        <v>2351</v>
      </c>
      <c r="F22" s="15">
        <f t="shared" si="3"/>
        <v>0</v>
      </c>
      <c r="G22" s="15">
        <f t="shared" si="3"/>
        <v>0</v>
      </c>
      <c r="H22" s="15">
        <f t="shared" si="3"/>
        <v>0</v>
      </c>
      <c r="I22" s="15">
        <f t="shared" si="3"/>
        <v>0</v>
      </c>
      <c r="J22" s="15">
        <f t="shared" si="3"/>
        <v>1</v>
      </c>
    </row>
    <row r="23" spans="1:10">
      <c r="A23" s="14" t="str">
        <f t="shared" si="0"/>
        <v>1001661</v>
      </c>
      <c r="B23" s="15">
        <f t="shared" si="3"/>
        <v>100</v>
      </c>
      <c r="C23" s="15">
        <f t="shared" si="3"/>
        <v>166</v>
      </c>
      <c r="D23" s="15">
        <f t="shared" si="3"/>
        <v>1</v>
      </c>
      <c r="E23" s="15">
        <f t="shared" si="3"/>
        <v>2433</v>
      </c>
      <c r="F23" s="15">
        <f t="shared" si="3"/>
        <v>0</v>
      </c>
      <c r="G23" s="15">
        <f t="shared" si="3"/>
        <v>0</v>
      </c>
      <c r="H23" s="15">
        <f t="shared" si="3"/>
        <v>0</v>
      </c>
      <c r="I23" s="15">
        <f t="shared" si="3"/>
        <v>0</v>
      </c>
      <c r="J23" s="15">
        <f t="shared" si="3"/>
        <v>1</v>
      </c>
    </row>
    <row r="24" spans="1:10">
      <c r="A24" s="14" t="str">
        <f t="shared" si="0"/>
        <v>1001691</v>
      </c>
      <c r="B24" s="15">
        <f t="shared" si="3"/>
        <v>100</v>
      </c>
      <c r="C24" s="15">
        <f t="shared" si="3"/>
        <v>169</v>
      </c>
      <c r="D24" s="15">
        <f t="shared" si="3"/>
        <v>1</v>
      </c>
      <c r="E24" s="15">
        <f t="shared" si="3"/>
        <v>2433</v>
      </c>
      <c r="F24" s="15">
        <f t="shared" si="3"/>
        <v>0</v>
      </c>
      <c r="G24" s="15">
        <f t="shared" si="3"/>
        <v>0</v>
      </c>
      <c r="H24" s="15">
        <f t="shared" si="3"/>
        <v>0</v>
      </c>
      <c r="I24" s="15">
        <f t="shared" si="3"/>
        <v>0</v>
      </c>
      <c r="J24" s="15">
        <f t="shared" si="3"/>
        <v>1</v>
      </c>
    </row>
    <row r="25" spans="1:10">
      <c r="A25" s="14" t="str">
        <f t="shared" si="0"/>
        <v>1001721</v>
      </c>
      <c r="B25" s="15">
        <f t="shared" si="3"/>
        <v>100</v>
      </c>
      <c r="C25" s="15">
        <f t="shared" si="3"/>
        <v>172</v>
      </c>
      <c r="D25" s="15">
        <f t="shared" si="3"/>
        <v>1</v>
      </c>
      <c r="E25" s="15">
        <f t="shared" si="3"/>
        <v>2433</v>
      </c>
      <c r="F25" s="15">
        <f t="shared" si="3"/>
        <v>0</v>
      </c>
      <c r="G25" s="15">
        <f t="shared" si="3"/>
        <v>0</v>
      </c>
      <c r="H25" s="15">
        <f t="shared" si="3"/>
        <v>0</v>
      </c>
      <c r="I25" s="15">
        <f t="shared" si="3"/>
        <v>0</v>
      </c>
      <c r="J25" s="15">
        <f t="shared" si="3"/>
        <v>1</v>
      </c>
    </row>
    <row r="26" spans="1:10">
      <c r="A26" s="14" t="str">
        <f t="shared" si="0"/>
        <v>1001751</v>
      </c>
      <c r="B26" s="15">
        <f t="shared" si="3"/>
        <v>100</v>
      </c>
      <c r="C26" s="15">
        <f t="shared" si="3"/>
        <v>175</v>
      </c>
      <c r="D26" s="15">
        <f t="shared" si="3"/>
        <v>1</v>
      </c>
      <c r="E26" s="15">
        <f t="shared" si="3"/>
        <v>2433</v>
      </c>
      <c r="F26" s="15">
        <f t="shared" si="3"/>
        <v>0</v>
      </c>
      <c r="G26" s="15">
        <f t="shared" si="3"/>
        <v>0</v>
      </c>
      <c r="H26" s="15">
        <f t="shared" si="3"/>
        <v>0</v>
      </c>
      <c r="I26" s="15">
        <f t="shared" si="3"/>
        <v>0</v>
      </c>
      <c r="J26" s="15">
        <f t="shared" si="3"/>
        <v>1</v>
      </c>
    </row>
    <row r="27" spans="1:10">
      <c r="A27" s="14" t="str">
        <f t="shared" si="0"/>
        <v>1001781</v>
      </c>
      <c r="B27" s="15">
        <f t="shared" si="3"/>
        <v>100</v>
      </c>
      <c r="C27" s="15">
        <f t="shared" si="3"/>
        <v>178</v>
      </c>
      <c r="D27" s="15">
        <f t="shared" si="3"/>
        <v>1</v>
      </c>
      <c r="E27" s="15">
        <f t="shared" si="3"/>
        <v>2433</v>
      </c>
      <c r="F27" s="15">
        <f t="shared" si="3"/>
        <v>0</v>
      </c>
      <c r="G27" s="15">
        <f t="shared" si="3"/>
        <v>0</v>
      </c>
      <c r="H27" s="15">
        <f t="shared" si="3"/>
        <v>0</v>
      </c>
      <c r="I27" s="15">
        <f t="shared" si="3"/>
        <v>0</v>
      </c>
      <c r="J27" s="15">
        <f t="shared" si="3"/>
        <v>1</v>
      </c>
    </row>
    <row r="28" spans="1:10">
      <c r="A28" s="14" t="str">
        <f t="shared" si="0"/>
        <v>1001811</v>
      </c>
      <c r="B28" s="15">
        <f t="shared" si="3"/>
        <v>100</v>
      </c>
      <c r="C28" s="15">
        <f t="shared" si="3"/>
        <v>181</v>
      </c>
      <c r="D28" s="15">
        <f t="shared" si="3"/>
        <v>1</v>
      </c>
      <c r="E28" s="15">
        <f t="shared" si="3"/>
        <v>2433</v>
      </c>
      <c r="F28" s="15">
        <f t="shared" si="3"/>
        <v>0</v>
      </c>
      <c r="G28" s="15">
        <f t="shared" si="3"/>
        <v>0</v>
      </c>
      <c r="H28" s="15">
        <f t="shared" si="3"/>
        <v>0</v>
      </c>
      <c r="I28" s="15">
        <f t="shared" si="3"/>
        <v>0</v>
      </c>
      <c r="J28" s="15">
        <f t="shared" si="3"/>
        <v>1</v>
      </c>
    </row>
    <row r="29" spans="1:10">
      <c r="A29" s="14" t="str">
        <f t="shared" si="0"/>
        <v>1001841</v>
      </c>
      <c r="B29" s="15">
        <f t="shared" si="3"/>
        <v>100</v>
      </c>
      <c r="C29" s="15">
        <f t="shared" si="3"/>
        <v>184</v>
      </c>
      <c r="D29" s="15">
        <f t="shared" si="3"/>
        <v>1</v>
      </c>
      <c r="E29" s="15">
        <f t="shared" si="3"/>
        <v>2433</v>
      </c>
      <c r="F29" s="15">
        <f t="shared" si="3"/>
        <v>0</v>
      </c>
      <c r="G29" s="15">
        <f t="shared" si="3"/>
        <v>0</v>
      </c>
      <c r="H29" s="15">
        <f t="shared" si="3"/>
        <v>0</v>
      </c>
      <c r="I29" s="15">
        <f t="shared" si="3"/>
        <v>0</v>
      </c>
      <c r="J29" s="15">
        <f t="shared" si="3"/>
        <v>1</v>
      </c>
    </row>
    <row r="30" spans="1:10">
      <c r="A30" s="14" t="str">
        <f t="shared" si="0"/>
        <v>1001871</v>
      </c>
      <c r="B30" s="15">
        <f t="shared" si="3"/>
        <v>100</v>
      </c>
      <c r="C30" s="15">
        <f t="shared" si="3"/>
        <v>187</v>
      </c>
      <c r="D30" s="15">
        <f t="shared" si="3"/>
        <v>1</v>
      </c>
      <c r="E30" s="15">
        <f t="shared" si="3"/>
        <v>2433</v>
      </c>
      <c r="F30" s="15">
        <f t="shared" si="3"/>
        <v>0</v>
      </c>
      <c r="G30" s="15">
        <f t="shared" si="3"/>
        <v>0</v>
      </c>
      <c r="H30" s="15">
        <f t="shared" si="3"/>
        <v>0</v>
      </c>
      <c r="I30" s="15">
        <f t="shared" si="3"/>
        <v>0</v>
      </c>
      <c r="J30" s="15">
        <f t="shared" si="3"/>
        <v>1</v>
      </c>
    </row>
    <row r="31" spans="1:10">
      <c r="A31" s="14" t="str">
        <f t="shared" si="0"/>
        <v>1001901</v>
      </c>
      <c r="B31" s="15">
        <f t="shared" si="3"/>
        <v>100</v>
      </c>
      <c r="C31" s="15">
        <f t="shared" si="3"/>
        <v>190</v>
      </c>
      <c r="D31" s="15">
        <f t="shared" si="3"/>
        <v>1</v>
      </c>
      <c r="E31" s="15">
        <f t="shared" si="3"/>
        <v>2433</v>
      </c>
      <c r="F31" s="15">
        <f t="shared" si="3"/>
        <v>0</v>
      </c>
      <c r="G31" s="15">
        <f t="shared" si="3"/>
        <v>0</v>
      </c>
      <c r="H31" s="15">
        <f t="shared" si="3"/>
        <v>0</v>
      </c>
      <c r="I31" s="15">
        <f t="shared" si="3"/>
        <v>0</v>
      </c>
      <c r="J31" s="15">
        <f t="shared" si="3"/>
        <v>1</v>
      </c>
    </row>
    <row r="32" spans="1:10">
      <c r="A32" s="14" t="str">
        <f t="shared" si="0"/>
        <v>1001931</v>
      </c>
      <c r="B32" s="15">
        <f t="shared" si="3"/>
        <v>100</v>
      </c>
      <c r="C32" s="15">
        <f t="shared" si="3"/>
        <v>193</v>
      </c>
      <c r="D32" s="15">
        <f t="shared" si="3"/>
        <v>1</v>
      </c>
      <c r="E32" s="15">
        <f t="shared" si="3"/>
        <v>2433</v>
      </c>
      <c r="F32" s="15">
        <f t="shared" si="3"/>
        <v>0</v>
      </c>
      <c r="G32" s="15">
        <f t="shared" si="3"/>
        <v>0</v>
      </c>
      <c r="H32" s="15">
        <f t="shared" si="3"/>
        <v>0</v>
      </c>
      <c r="I32" s="15">
        <f t="shared" si="3"/>
        <v>0</v>
      </c>
      <c r="J32" s="15">
        <f t="shared" si="3"/>
        <v>1</v>
      </c>
    </row>
    <row r="33" spans="1:10">
      <c r="A33" s="14" t="str">
        <f t="shared" si="0"/>
        <v>1001961</v>
      </c>
      <c r="B33" s="15">
        <f t="shared" si="3"/>
        <v>100</v>
      </c>
      <c r="C33" s="15">
        <f t="shared" si="3"/>
        <v>196</v>
      </c>
      <c r="D33" s="15">
        <f t="shared" si="3"/>
        <v>1</v>
      </c>
      <c r="E33" s="15">
        <f t="shared" si="3"/>
        <v>2433</v>
      </c>
      <c r="F33" s="15">
        <f t="shared" si="3"/>
        <v>0</v>
      </c>
      <c r="G33" s="15">
        <f t="shared" si="3"/>
        <v>0</v>
      </c>
      <c r="H33" s="15">
        <f t="shared" si="3"/>
        <v>0</v>
      </c>
      <c r="I33" s="15">
        <f t="shared" si="3"/>
        <v>0</v>
      </c>
      <c r="J33" s="15">
        <f t="shared" si="3"/>
        <v>1</v>
      </c>
    </row>
    <row r="34" spans="1:10">
      <c r="A34" s="14" t="str">
        <f t="shared" si="0"/>
        <v>1001991</v>
      </c>
      <c r="B34" s="15">
        <f t="shared" si="3"/>
        <v>100</v>
      </c>
      <c r="C34" s="15">
        <f t="shared" si="3"/>
        <v>199</v>
      </c>
      <c r="D34" s="15">
        <f t="shared" si="3"/>
        <v>1</v>
      </c>
      <c r="E34" s="15">
        <f t="shared" si="3"/>
        <v>2433</v>
      </c>
      <c r="F34" s="15">
        <f t="shared" si="3"/>
        <v>0</v>
      </c>
      <c r="G34" s="15">
        <f t="shared" si="3"/>
        <v>0</v>
      </c>
      <c r="H34" s="15">
        <f t="shared" si="3"/>
        <v>0</v>
      </c>
      <c r="I34" s="15">
        <f t="shared" si="3"/>
        <v>0</v>
      </c>
      <c r="J34" s="15">
        <f t="shared" si="3"/>
        <v>1</v>
      </c>
    </row>
    <row r="35" spans="1:10">
      <c r="A35" s="14" t="str">
        <f t="shared" si="0"/>
        <v>1002021</v>
      </c>
      <c r="B35" s="15">
        <f t="shared" si="3"/>
        <v>100</v>
      </c>
      <c r="C35" s="15">
        <f t="shared" si="3"/>
        <v>202</v>
      </c>
      <c r="D35" s="15">
        <f t="shared" si="3"/>
        <v>1</v>
      </c>
      <c r="E35" s="15">
        <f t="shared" si="3"/>
        <v>2433</v>
      </c>
      <c r="F35" s="15">
        <f t="shared" si="3"/>
        <v>0</v>
      </c>
      <c r="G35" s="15">
        <f t="shared" si="3"/>
        <v>0</v>
      </c>
      <c r="H35" s="15">
        <f t="shared" si="3"/>
        <v>0</v>
      </c>
      <c r="I35" s="15">
        <f t="shared" si="3"/>
        <v>0</v>
      </c>
      <c r="J35" s="15">
        <f t="shared" si="3"/>
        <v>1</v>
      </c>
    </row>
    <row r="36" spans="1:10">
      <c r="A36" s="14" t="str">
        <f t="shared" si="0"/>
        <v>1002051</v>
      </c>
      <c r="B36" s="15">
        <f t="shared" si="3"/>
        <v>100</v>
      </c>
      <c r="C36" s="15">
        <f t="shared" si="3"/>
        <v>205</v>
      </c>
      <c r="D36" s="15">
        <f t="shared" si="3"/>
        <v>1</v>
      </c>
      <c r="E36" s="15">
        <f t="shared" si="3"/>
        <v>2433</v>
      </c>
      <c r="F36" s="15">
        <f t="shared" si="3"/>
        <v>0</v>
      </c>
      <c r="G36" s="15">
        <f t="shared" si="3"/>
        <v>0</v>
      </c>
      <c r="H36" s="15">
        <f t="shared" si="3"/>
        <v>0</v>
      </c>
      <c r="I36" s="15">
        <f t="shared" si="3"/>
        <v>0</v>
      </c>
      <c r="J36" s="15">
        <f t="shared" si="3"/>
        <v>1</v>
      </c>
    </row>
    <row r="37" spans="1:10">
      <c r="A37" s="14" t="str">
        <f t="shared" si="0"/>
        <v>1002081</v>
      </c>
      <c r="B37" s="15">
        <f t="shared" si="3"/>
        <v>100</v>
      </c>
      <c r="C37" s="15">
        <f t="shared" si="3"/>
        <v>208</v>
      </c>
      <c r="D37" s="15">
        <f t="shared" si="3"/>
        <v>1</v>
      </c>
      <c r="E37" s="15">
        <f t="shared" si="3"/>
        <v>2433</v>
      </c>
      <c r="F37" s="15">
        <f t="shared" si="3"/>
        <v>0</v>
      </c>
      <c r="G37" s="15">
        <f t="shared" si="3"/>
        <v>0</v>
      </c>
      <c r="H37" s="15">
        <f t="shared" si="3"/>
        <v>0</v>
      </c>
      <c r="I37" s="15">
        <f t="shared" si="3"/>
        <v>0</v>
      </c>
      <c r="J37" s="15">
        <f t="shared" si="3"/>
        <v>1</v>
      </c>
    </row>
    <row r="38" spans="1:10">
      <c r="A38" s="14" t="str">
        <f t="shared" si="0"/>
        <v>1002111</v>
      </c>
      <c r="B38" s="15">
        <f t="shared" si="3"/>
        <v>100</v>
      </c>
      <c r="C38" s="15">
        <f t="shared" si="3"/>
        <v>211</v>
      </c>
      <c r="D38" s="15">
        <f t="shared" si="3"/>
        <v>1</v>
      </c>
      <c r="E38" s="15">
        <f t="shared" si="3"/>
        <v>2433</v>
      </c>
      <c r="F38" s="15">
        <f t="shared" si="3"/>
        <v>0</v>
      </c>
      <c r="G38" s="15">
        <f t="shared" si="3"/>
        <v>0</v>
      </c>
      <c r="H38" s="15">
        <f t="shared" si="3"/>
        <v>0</v>
      </c>
      <c r="I38" s="15">
        <f t="shared" si="3"/>
        <v>0</v>
      </c>
      <c r="J38" s="15">
        <f t="shared" si="3"/>
        <v>1</v>
      </c>
    </row>
    <row r="39" spans="1:10">
      <c r="A39" s="14" t="str">
        <f t="shared" si="0"/>
        <v>1002141</v>
      </c>
      <c r="B39" s="15">
        <f t="shared" si="3"/>
        <v>100</v>
      </c>
      <c r="C39" s="15">
        <f t="shared" si="3"/>
        <v>214</v>
      </c>
      <c r="D39" s="15">
        <f t="shared" si="3"/>
        <v>1</v>
      </c>
      <c r="E39" s="15">
        <f t="shared" si="3"/>
        <v>2433</v>
      </c>
      <c r="F39" s="15">
        <f t="shared" si="3"/>
        <v>0</v>
      </c>
      <c r="G39" s="15">
        <f t="shared" si="3"/>
        <v>0</v>
      </c>
      <c r="H39" s="15">
        <f t="shared" si="3"/>
        <v>0</v>
      </c>
      <c r="I39" s="15">
        <f t="shared" si="3"/>
        <v>0</v>
      </c>
      <c r="J39" s="15">
        <f t="shared" si="3"/>
        <v>1</v>
      </c>
    </row>
    <row r="40" spans="1:10">
      <c r="A40" s="14" t="str">
        <f t="shared" si="0"/>
        <v>1002171</v>
      </c>
      <c r="B40" s="15">
        <f t="shared" si="3"/>
        <v>100</v>
      </c>
      <c r="C40" s="15">
        <f t="shared" si="3"/>
        <v>217</v>
      </c>
      <c r="D40" s="15">
        <f t="shared" si="3"/>
        <v>1</v>
      </c>
      <c r="E40" s="15">
        <f t="shared" si="3"/>
        <v>2433</v>
      </c>
      <c r="F40" s="15">
        <f t="shared" si="3"/>
        <v>0</v>
      </c>
      <c r="G40" s="15">
        <f t="shared" si="3"/>
        <v>0</v>
      </c>
      <c r="H40" s="15">
        <f t="shared" si="3"/>
        <v>0</v>
      </c>
      <c r="I40" s="15">
        <f t="shared" si="3"/>
        <v>0</v>
      </c>
      <c r="J40" s="15">
        <f t="shared" si="3"/>
        <v>1</v>
      </c>
    </row>
    <row r="41" spans="1:10">
      <c r="A41" s="14" t="str">
        <f t="shared" si="0"/>
        <v>1002201</v>
      </c>
      <c r="B41" s="15">
        <f t="shared" si="3"/>
        <v>100</v>
      </c>
      <c r="C41" s="15">
        <f t="shared" si="3"/>
        <v>220</v>
      </c>
      <c r="D41" s="15">
        <f t="shared" si="3"/>
        <v>1</v>
      </c>
      <c r="E41" s="15">
        <f t="shared" si="3"/>
        <v>2433</v>
      </c>
      <c r="F41" s="15">
        <f t="shared" si="3"/>
        <v>0</v>
      </c>
      <c r="G41" s="15">
        <f t="shared" si="3"/>
        <v>0</v>
      </c>
      <c r="H41" s="15">
        <f t="shared" si="3"/>
        <v>0</v>
      </c>
      <c r="I41" s="15">
        <f t="shared" si="3"/>
        <v>0</v>
      </c>
      <c r="J41" s="15">
        <f t="shared" si="3"/>
        <v>1</v>
      </c>
    </row>
    <row r="42" spans="1:10">
      <c r="A42" s="14" t="str">
        <f t="shared" si="0"/>
        <v>1002231</v>
      </c>
      <c r="B42" s="15">
        <f t="shared" si="3"/>
        <v>100</v>
      </c>
      <c r="C42" s="15">
        <f t="shared" si="3"/>
        <v>223</v>
      </c>
      <c r="D42" s="15">
        <f t="shared" si="3"/>
        <v>1</v>
      </c>
      <c r="E42" s="15">
        <f t="shared" si="3"/>
        <v>2433</v>
      </c>
      <c r="F42" s="15">
        <f t="shared" si="3"/>
        <v>0</v>
      </c>
      <c r="G42" s="15">
        <f t="shared" si="3"/>
        <v>0</v>
      </c>
      <c r="H42" s="15">
        <f t="shared" si="3"/>
        <v>0</v>
      </c>
      <c r="I42" s="15">
        <f t="shared" si="3"/>
        <v>0</v>
      </c>
      <c r="J42" s="15">
        <f t="shared" si="3"/>
        <v>1</v>
      </c>
    </row>
    <row r="43" spans="1:10">
      <c r="A43" s="14" t="str">
        <f t="shared" si="0"/>
        <v>1002261</v>
      </c>
      <c r="B43" s="15">
        <f t="shared" si="3"/>
        <v>100</v>
      </c>
      <c r="C43" s="15">
        <f t="shared" si="3"/>
        <v>226</v>
      </c>
      <c r="D43" s="15">
        <f t="shared" si="3"/>
        <v>1</v>
      </c>
      <c r="E43" s="15">
        <f t="shared" si="3"/>
        <v>228</v>
      </c>
      <c r="F43" s="15">
        <f t="shared" si="3"/>
        <v>0</v>
      </c>
      <c r="G43" s="15">
        <f t="shared" si="3"/>
        <v>0</v>
      </c>
      <c r="H43" s="15">
        <f t="shared" si="3"/>
        <v>0</v>
      </c>
      <c r="I43" s="15">
        <f t="shared" si="3"/>
        <v>0</v>
      </c>
      <c r="J43" s="15">
        <f t="shared" si="3"/>
        <v>1</v>
      </c>
    </row>
    <row r="44" spans="1:10">
      <c r="A44" s="14" t="str">
        <f t="shared" si="0"/>
        <v>1002291</v>
      </c>
      <c r="B44" s="15">
        <f t="shared" si="3"/>
        <v>100</v>
      </c>
      <c r="C44" s="15">
        <f t="shared" si="3"/>
        <v>229</v>
      </c>
      <c r="D44" s="15">
        <f t="shared" si="3"/>
        <v>1</v>
      </c>
      <c r="E44" s="15">
        <f t="shared" si="3"/>
        <v>228</v>
      </c>
      <c r="F44" s="15">
        <f t="shared" si="3"/>
        <v>0</v>
      </c>
      <c r="G44" s="15">
        <f t="shared" si="3"/>
        <v>0</v>
      </c>
      <c r="H44" s="15">
        <f t="shared" si="3"/>
        <v>0</v>
      </c>
      <c r="I44" s="15">
        <f t="shared" si="3"/>
        <v>0</v>
      </c>
      <c r="J44" s="15">
        <f t="shared" si="3"/>
        <v>1</v>
      </c>
    </row>
    <row r="45" spans="1:10">
      <c r="A45" s="14" t="str">
        <f t="shared" si="0"/>
        <v>1002321</v>
      </c>
      <c r="B45" s="15">
        <f t="shared" si="3"/>
        <v>100</v>
      </c>
      <c r="C45" s="15">
        <f t="shared" si="3"/>
        <v>232</v>
      </c>
      <c r="D45" s="15">
        <f t="shared" si="3"/>
        <v>1</v>
      </c>
      <c r="E45" s="15">
        <f t="shared" si="3"/>
        <v>228</v>
      </c>
      <c r="F45" s="15">
        <f t="shared" si="3"/>
        <v>0</v>
      </c>
      <c r="G45" s="15">
        <f t="shared" si="3"/>
        <v>0</v>
      </c>
      <c r="H45" s="15">
        <f t="shared" si="3"/>
        <v>0</v>
      </c>
      <c r="I45" s="15">
        <f t="shared" si="3"/>
        <v>0</v>
      </c>
      <c r="J45" s="15">
        <f t="shared" si="3"/>
        <v>1</v>
      </c>
    </row>
    <row r="46" spans="1:10">
      <c r="A46" s="14" t="str">
        <f t="shared" si="0"/>
        <v>1002351</v>
      </c>
      <c r="B46" s="15">
        <f t="shared" si="3"/>
        <v>100</v>
      </c>
      <c r="C46" s="15">
        <f t="shared" si="3"/>
        <v>235</v>
      </c>
      <c r="D46" s="15">
        <f t="shared" si="3"/>
        <v>1</v>
      </c>
      <c r="E46" s="15">
        <f t="shared" si="3"/>
        <v>228</v>
      </c>
      <c r="F46" s="15">
        <f t="shared" si="3"/>
        <v>0</v>
      </c>
      <c r="G46" s="15">
        <f t="shared" si="3"/>
        <v>0</v>
      </c>
      <c r="H46" s="15">
        <f t="shared" si="3"/>
        <v>0</v>
      </c>
      <c r="I46" s="15">
        <f t="shared" si="3"/>
        <v>0</v>
      </c>
      <c r="J46" s="15">
        <f t="shared" si="3"/>
        <v>1</v>
      </c>
    </row>
    <row r="47" spans="1:10">
      <c r="A47" s="14" t="str">
        <f t="shared" si="0"/>
        <v>1001271</v>
      </c>
      <c r="B47" s="15">
        <f t="shared" si="3"/>
        <v>100</v>
      </c>
      <c r="C47" s="15">
        <f t="shared" si="3"/>
        <v>127</v>
      </c>
      <c r="D47" s="15">
        <f t="shared" si="3"/>
        <v>1</v>
      </c>
      <c r="E47" s="15">
        <f t="shared" ref="E47:J78" si="4">VLOOKUP($A47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806</v>
      </c>
      <c r="F47" s="15">
        <f t="shared" si="4"/>
        <v>0</v>
      </c>
      <c r="G47" s="15">
        <f t="shared" si="4"/>
        <v>0</v>
      </c>
      <c r="H47" s="15">
        <f t="shared" si="4"/>
        <v>0</v>
      </c>
      <c r="I47" s="15">
        <f t="shared" si="4"/>
        <v>0</v>
      </c>
      <c r="J47" s="15">
        <f t="shared" si="4"/>
        <v>1</v>
      </c>
    </row>
    <row r="48" spans="1:10">
      <c r="A48" s="14" t="str">
        <f t="shared" si="0"/>
        <v>1001291</v>
      </c>
      <c r="B48" s="15">
        <f t="shared" ref="B48:J96" si="5">VLOOKUP($A48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48" s="15">
        <f t="shared" si="5"/>
        <v>129</v>
      </c>
      <c r="D48" s="15">
        <f t="shared" si="5"/>
        <v>1</v>
      </c>
      <c r="E48" s="15">
        <f t="shared" si="4"/>
        <v>806</v>
      </c>
      <c r="F48" s="15">
        <f t="shared" si="4"/>
        <v>0</v>
      </c>
      <c r="G48" s="15">
        <f t="shared" si="4"/>
        <v>0</v>
      </c>
      <c r="H48" s="15">
        <f t="shared" si="4"/>
        <v>0</v>
      </c>
      <c r="I48" s="15">
        <f t="shared" si="4"/>
        <v>0</v>
      </c>
      <c r="J48" s="15">
        <f t="shared" si="4"/>
        <v>1</v>
      </c>
    </row>
    <row r="49" spans="1:10">
      <c r="A49" s="14" t="str">
        <f t="shared" si="0"/>
        <v>1001311</v>
      </c>
      <c r="B49" s="15">
        <f t="shared" si="5"/>
        <v>100</v>
      </c>
      <c r="C49" s="15">
        <f t="shared" si="5"/>
        <v>131</v>
      </c>
      <c r="D49" s="15">
        <f t="shared" si="5"/>
        <v>1</v>
      </c>
      <c r="E49" s="15">
        <f t="shared" si="4"/>
        <v>806</v>
      </c>
      <c r="F49" s="15">
        <f t="shared" si="4"/>
        <v>0</v>
      </c>
      <c r="G49" s="15">
        <f t="shared" si="4"/>
        <v>0</v>
      </c>
      <c r="H49" s="15">
        <f t="shared" si="4"/>
        <v>0</v>
      </c>
      <c r="I49" s="15">
        <f t="shared" si="4"/>
        <v>0</v>
      </c>
      <c r="J49" s="15">
        <f t="shared" si="4"/>
        <v>1</v>
      </c>
    </row>
    <row r="50" spans="1:10">
      <c r="A50" s="14" t="str">
        <f t="shared" si="0"/>
        <v>1001331</v>
      </c>
      <c r="B50" s="15">
        <f t="shared" si="5"/>
        <v>100</v>
      </c>
      <c r="C50" s="15">
        <f t="shared" si="5"/>
        <v>133</v>
      </c>
      <c r="D50" s="15">
        <f t="shared" si="5"/>
        <v>1</v>
      </c>
      <c r="E50" s="15">
        <f t="shared" si="4"/>
        <v>806</v>
      </c>
      <c r="F50" s="15">
        <f t="shared" si="4"/>
        <v>0</v>
      </c>
      <c r="G50" s="15">
        <f t="shared" si="4"/>
        <v>0</v>
      </c>
      <c r="H50" s="15">
        <f t="shared" si="4"/>
        <v>0</v>
      </c>
      <c r="I50" s="15">
        <f t="shared" si="4"/>
        <v>0</v>
      </c>
      <c r="J50" s="15">
        <f t="shared" si="4"/>
        <v>1</v>
      </c>
    </row>
    <row r="51" spans="1:10">
      <c r="A51" s="14" t="str">
        <f t="shared" si="0"/>
        <v>1001351</v>
      </c>
      <c r="B51" s="15">
        <f t="shared" si="5"/>
        <v>100</v>
      </c>
      <c r="C51" s="15">
        <f t="shared" si="5"/>
        <v>135</v>
      </c>
      <c r="D51" s="15">
        <f t="shared" si="5"/>
        <v>1</v>
      </c>
      <c r="E51" s="15">
        <f t="shared" si="4"/>
        <v>806</v>
      </c>
      <c r="F51" s="15">
        <f t="shared" si="4"/>
        <v>0</v>
      </c>
      <c r="G51" s="15">
        <f t="shared" si="4"/>
        <v>0</v>
      </c>
      <c r="H51" s="15">
        <f t="shared" si="4"/>
        <v>0</v>
      </c>
      <c r="I51" s="15">
        <f t="shared" si="4"/>
        <v>0</v>
      </c>
      <c r="J51" s="15">
        <f t="shared" si="4"/>
        <v>1</v>
      </c>
    </row>
    <row r="52" spans="1:10">
      <c r="A52" s="14" t="str">
        <f t="shared" si="0"/>
        <v>1001371</v>
      </c>
      <c r="B52" s="15">
        <f t="shared" si="5"/>
        <v>100</v>
      </c>
      <c r="C52" s="15">
        <f t="shared" si="5"/>
        <v>137</v>
      </c>
      <c r="D52" s="15">
        <f t="shared" si="5"/>
        <v>1</v>
      </c>
      <c r="E52" s="15">
        <f t="shared" si="4"/>
        <v>806</v>
      </c>
      <c r="F52" s="15">
        <f t="shared" si="4"/>
        <v>0</v>
      </c>
      <c r="G52" s="15">
        <f t="shared" si="4"/>
        <v>0</v>
      </c>
      <c r="H52" s="15">
        <f t="shared" si="4"/>
        <v>0</v>
      </c>
      <c r="I52" s="15">
        <f t="shared" si="4"/>
        <v>0</v>
      </c>
      <c r="J52" s="15">
        <f t="shared" si="4"/>
        <v>1</v>
      </c>
    </row>
    <row r="53" spans="1:10">
      <c r="A53" s="14" t="str">
        <f t="shared" si="0"/>
        <v>1001391</v>
      </c>
      <c r="B53" s="15">
        <f t="shared" si="5"/>
        <v>100</v>
      </c>
      <c r="C53" s="15">
        <f t="shared" si="5"/>
        <v>139</v>
      </c>
      <c r="D53" s="15">
        <f t="shared" si="5"/>
        <v>1</v>
      </c>
      <c r="E53" s="15">
        <f t="shared" si="4"/>
        <v>806</v>
      </c>
      <c r="F53" s="15">
        <f t="shared" si="4"/>
        <v>0</v>
      </c>
      <c r="G53" s="15">
        <f t="shared" si="4"/>
        <v>0</v>
      </c>
      <c r="H53" s="15">
        <f t="shared" si="4"/>
        <v>0</v>
      </c>
      <c r="I53" s="15">
        <f t="shared" si="4"/>
        <v>0</v>
      </c>
      <c r="J53" s="15">
        <f t="shared" si="4"/>
        <v>1</v>
      </c>
    </row>
    <row r="54" spans="1:10">
      <c r="A54" s="14" t="str">
        <f t="shared" si="0"/>
        <v>1001411</v>
      </c>
      <c r="B54" s="15">
        <f t="shared" si="5"/>
        <v>100</v>
      </c>
      <c r="C54" s="15">
        <f t="shared" si="5"/>
        <v>141</v>
      </c>
      <c r="D54" s="15">
        <f t="shared" si="5"/>
        <v>1</v>
      </c>
      <c r="E54" s="15">
        <f t="shared" si="4"/>
        <v>806</v>
      </c>
      <c r="F54" s="15">
        <f t="shared" si="4"/>
        <v>0</v>
      </c>
      <c r="G54" s="15">
        <f t="shared" si="4"/>
        <v>0</v>
      </c>
      <c r="H54" s="15">
        <f t="shared" si="4"/>
        <v>0</v>
      </c>
      <c r="I54" s="15">
        <f t="shared" si="4"/>
        <v>0</v>
      </c>
      <c r="J54" s="15">
        <f t="shared" si="4"/>
        <v>1</v>
      </c>
    </row>
    <row r="55" spans="1:10">
      <c r="A55" s="14" t="str">
        <f t="shared" si="0"/>
        <v>1001431</v>
      </c>
      <c r="B55" s="15">
        <f t="shared" si="5"/>
        <v>100</v>
      </c>
      <c r="C55" s="15">
        <f t="shared" si="5"/>
        <v>143</v>
      </c>
      <c r="D55" s="15">
        <f t="shared" si="5"/>
        <v>1</v>
      </c>
      <c r="E55" s="15">
        <f t="shared" si="4"/>
        <v>806</v>
      </c>
      <c r="F55" s="15">
        <f t="shared" si="4"/>
        <v>0</v>
      </c>
      <c r="G55" s="15">
        <f t="shared" si="4"/>
        <v>0</v>
      </c>
      <c r="H55" s="15">
        <f t="shared" si="4"/>
        <v>0</v>
      </c>
      <c r="I55" s="15">
        <f t="shared" si="4"/>
        <v>0</v>
      </c>
      <c r="J55" s="15">
        <f t="shared" si="4"/>
        <v>1</v>
      </c>
    </row>
    <row r="56" spans="1:10">
      <c r="A56" s="14" t="str">
        <f t="shared" si="0"/>
        <v>1001451</v>
      </c>
      <c r="B56" s="15">
        <f t="shared" si="5"/>
        <v>100</v>
      </c>
      <c r="C56" s="15">
        <f t="shared" si="5"/>
        <v>145</v>
      </c>
      <c r="D56" s="15">
        <f t="shared" si="5"/>
        <v>1</v>
      </c>
      <c r="E56" s="15">
        <f t="shared" si="4"/>
        <v>806</v>
      </c>
      <c r="F56" s="15">
        <f t="shared" si="4"/>
        <v>0</v>
      </c>
      <c r="G56" s="15">
        <f t="shared" si="4"/>
        <v>0</v>
      </c>
      <c r="H56" s="15">
        <f t="shared" si="4"/>
        <v>0</v>
      </c>
      <c r="I56" s="15">
        <f t="shared" si="4"/>
        <v>0</v>
      </c>
      <c r="J56" s="15">
        <f t="shared" si="4"/>
        <v>1</v>
      </c>
    </row>
    <row r="57" spans="1:10">
      <c r="A57" s="14" t="str">
        <f t="shared" si="0"/>
        <v>1001471</v>
      </c>
      <c r="B57" s="15">
        <f t="shared" si="5"/>
        <v>100</v>
      </c>
      <c r="C57" s="15">
        <f t="shared" si="5"/>
        <v>147</v>
      </c>
      <c r="D57" s="15">
        <f t="shared" si="5"/>
        <v>1</v>
      </c>
      <c r="E57" s="15">
        <f t="shared" si="4"/>
        <v>806</v>
      </c>
      <c r="F57" s="15">
        <f t="shared" si="4"/>
        <v>0</v>
      </c>
      <c r="G57" s="15">
        <f t="shared" si="4"/>
        <v>0</v>
      </c>
      <c r="H57" s="15">
        <f t="shared" si="4"/>
        <v>0</v>
      </c>
      <c r="I57" s="15">
        <f t="shared" si="4"/>
        <v>0</v>
      </c>
      <c r="J57" s="15">
        <f t="shared" si="4"/>
        <v>1</v>
      </c>
    </row>
    <row r="58" spans="1:10">
      <c r="A58" s="14" t="str">
        <f t="shared" si="0"/>
        <v>1001491</v>
      </c>
      <c r="B58" s="15">
        <f t="shared" si="5"/>
        <v>100</v>
      </c>
      <c r="C58" s="15">
        <f t="shared" si="5"/>
        <v>149</v>
      </c>
      <c r="D58" s="15">
        <f t="shared" si="5"/>
        <v>1</v>
      </c>
      <c r="E58" s="15">
        <f t="shared" si="4"/>
        <v>806</v>
      </c>
      <c r="F58" s="15">
        <f t="shared" si="4"/>
        <v>0</v>
      </c>
      <c r="G58" s="15">
        <f t="shared" si="4"/>
        <v>0</v>
      </c>
      <c r="H58" s="15">
        <f t="shared" si="4"/>
        <v>0</v>
      </c>
      <c r="I58" s="15">
        <f t="shared" si="4"/>
        <v>0</v>
      </c>
      <c r="J58" s="15">
        <f t="shared" si="4"/>
        <v>1</v>
      </c>
    </row>
    <row r="59" spans="1:10">
      <c r="A59" s="14" t="str">
        <f t="shared" si="0"/>
        <v>1001511</v>
      </c>
      <c r="B59" s="15">
        <f t="shared" si="5"/>
        <v>100</v>
      </c>
      <c r="C59" s="15">
        <f t="shared" si="5"/>
        <v>151</v>
      </c>
      <c r="D59" s="15">
        <f t="shared" si="5"/>
        <v>1</v>
      </c>
      <c r="E59" s="15">
        <f t="shared" si="4"/>
        <v>806</v>
      </c>
      <c r="F59" s="15">
        <f t="shared" si="4"/>
        <v>0</v>
      </c>
      <c r="G59" s="15">
        <f t="shared" si="4"/>
        <v>0</v>
      </c>
      <c r="H59" s="15">
        <f t="shared" si="4"/>
        <v>0</v>
      </c>
      <c r="I59" s="15">
        <f t="shared" si="4"/>
        <v>0</v>
      </c>
      <c r="J59" s="15">
        <f t="shared" si="4"/>
        <v>1</v>
      </c>
    </row>
    <row r="60" spans="1:10">
      <c r="A60" s="14" t="str">
        <f t="shared" si="0"/>
        <v>1001531</v>
      </c>
      <c r="B60" s="15">
        <f t="shared" si="5"/>
        <v>100</v>
      </c>
      <c r="C60" s="15">
        <f t="shared" si="5"/>
        <v>153</v>
      </c>
      <c r="D60" s="15">
        <f t="shared" si="5"/>
        <v>1</v>
      </c>
      <c r="E60" s="15">
        <f t="shared" si="4"/>
        <v>806</v>
      </c>
      <c r="F60" s="15">
        <f t="shared" si="4"/>
        <v>0</v>
      </c>
      <c r="G60" s="15">
        <f t="shared" si="4"/>
        <v>0</v>
      </c>
      <c r="H60" s="15">
        <f t="shared" si="4"/>
        <v>0</v>
      </c>
      <c r="I60" s="15">
        <f t="shared" si="4"/>
        <v>0</v>
      </c>
      <c r="J60" s="15">
        <f t="shared" si="4"/>
        <v>1</v>
      </c>
    </row>
    <row r="61" spans="1:10">
      <c r="A61" s="14" t="str">
        <f t="shared" si="0"/>
        <v>1001551</v>
      </c>
      <c r="B61" s="15">
        <f t="shared" si="5"/>
        <v>100</v>
      </c>
      <c r="C61" s="15">
        <f t="shared" si="5"/>
        <v>155</v>
      </c>
      <c r="D61" s="15">
        <f t="shared" si="5"/>
        <v>1</v>
      </c>
      <c r="E61" s="15">
        <f t="shared" si="4"/>
        <v>806</v>
      </c>
      <c r="F61" s="15">
        <f t="shared" si="4"/>
        <v>0</v>
      </c>
      <c r="G61" s="15">
        <f t="shared" si="4"/>
        <v>0</v>
      </c>
      <c r="H61" s="15">
        <f t="shared" si="4"/>
        <v>0</v>
      </c>
      <c r="I61" s="15">
        <f t="shared" si="4"/>
        <v>0</v>
      </c>
      <c r="J61" s="15">
        <f t="shared" si="4"/>
        <v>1</v>
      </c>
    </row>
    <row r="62" spans="1:10">
      <c r="A62" s="14" t="str">
        <f t="shared" si="0"/>
        <v>1001571</v>
      </c>
      <c r="B62" s="15">
        <f t="shared" si="5"/>
        <v>100</v>
      </c>
      <c r="C62" s="15">
        <f t="shared" si="5"/>
        <v>157</v>
      </c>
      <c r="D62" s="15">
        <f t="shared" si="5"/>
        <v>1</v>
      </c>
      <c r="E62" s="15">
        <f t="shared" si="4"/>
        <v>806</v>
      </c>
      <c r="F62" s="15">
        <f t="shared" si="4"/>
        <v>0</v>
      </c>
      <c r="G62" s="15">
        <f t="shared" si="4"/>
        <v>0</v>
      </c>
      <c r="H62" s="15">
        <f t="shared" si="4"/>
        <v>0</v>
      </c>
      <c r="I62" s="15">
        <f t="shared" si="4"/>
        <v>0</v>
      </c>
      <c r="J62" s="15">
        <f t="shared" si="4"/>
        <v>1</v>
      </c>
    </row>
    <row r="63" spans="1:10">
      <c r="A63" s="14" t="str">
        <f t="shared" si="0"/>
        <v>1001591</v>
      </c>
      <c r="B63" s="15">
        <f t="shared" si="5"/>
        <v>100</v>
      </c>
      <c r="C63" s="15">
        <f t="shared" si="5"/>
        <v>159</v>
      </c>
      <c r="D63" s="15">
        <f t="shared" si="5"/>
        <v>1</v>
      </c>
      <c r="E63" s="15">
        <f t="shared" si="4"/>
        <v>806</v>
      </c>
      <c r="F63" s="15">
        <f t="shared" si="4"/>
        <v>0</v>
      </c>
      <c r="G63" s="15">
        <f t="shared" si="4"/>
        <v>0</v>
      </c>
      <c r="H63" s="15">
        <f t="shared" si="4"/>
        <v>0</v>
      </c>
      <c r="I63" s="15">
        <f t="shared" si="4"/>
        <v>0</v>
      </c>
      <c r="J63" s="15">
        <f t="shared" si="4"/>
        <v>1</v>
      </c>
    </row>
    <row r="64" spans="1:10">
      <c r="A64" s="14" t="str">
        <f t="shared" si="0"/>
        <v>1001611</v>
      </c>
      <c r="B64" s="15">
        <f t="shared" si="5"/>
        <v>100</v>
      </c>
      <c r="C64" s="15">
        <f t="shared" si="5"/>
        <v>161</v>
      </c>
      <c r="D64" s="15">
        <f t="shared" si="5"/>
        <v>1</v>
      </c>
      <c r="E64" s="15">
        <f t="shared" si="4"/>
        <v>806</v>
      </c>
      <c r="F64" s="15">
        <f t="shared" si="4"/>
        <v>0</v>
      </c>
      <c r="G64" s="15">
        <f t="shared" si="4"/>
        <v>0</v>
      </c>
      <c r="H64" s="15">
        <f t="shared" si="4"/>
        <v>0</v>
      </c>
      <c r="I64" s="15">
        <f t="shared" si="4"/>
        <v>0</v>
      </c>
      <c r="J64" s="15">
        <f t="shared" si="4"/>
        <v>1</v>
      </c>
    </row>
    <row r="65" spans="1:10">
      <c r="A65" s="14" t="str">
        <f t="shared" si="0"/>
        <v>1001631</v>
      </c>
      <c r="B65" s="15">
        <f t="shared" si="5"/>
        <v>100</v>
      </c>
      <c r="C65" s="15">
        <f t="shared" si="5"/>
        <v>163</v>
      </c>
      <c r="D65" s="15">
        <f t="shared" si="5"/>
        <v>1</v>
      </c>
      <c r="E65" s="15">
        <f t="shared" si="4"/>
        <v>806</v>
      </c>
      <c r="F65" s="15">
        <f t="shared" si="4"/>
        <v>0</v>
      </c>
      <c r="G65" s="15">
        <f t="shared" si="4"/>
        <v>0</v>
      </c>
      <c r="H65" s="15">
        <f t="shared" si="4"/>
        <v>0</v>
      </c>
      <c r="I65" s="15">
        <f t="shared" si="4"/>
        <v>0</v>
      </c>
      <c r="J65" s="15">
        <f t="shared" si="4"/>
        <v>1</v>
      </c>
    </row>
    <row r="66" spans="1:10">
      <c r="A66" s="14" t="str">
        <f t="shared" si="0"/>
        <v>1001651</v>
      </c>
      <c r="B66" s="15">
        <f t="shared" si="5"/>
        <v>100</v>
      </c>
      <c r="C66" s="15">
        <f t="shared" si="5"/>
        <v>165</v>
      </c>
      <c r="D66" s="15">
        <f t="shared" si="5"/>
        <v>1</v>
      </c>
      <c r="E66" s="15">
        <f t="shared" si="4"/>
        <v>806</v>
      </c>
      <c r="F66" s="15">
        <f t="shared" si="4"/>
        <v>0</v>
      </c>
      <c r="G66" s="15">
        <f t="shared" si="4"/>
        <v>0</v>
      </c>
      <c r="H66" s="15">
        <f t="shared" si="4"/>
        <v>0</v>
      </c>
      <c r="I66" s="15">
        <f t="shared" si="4"/>
        <v>0</v>
      </c>
      <c r="J66" s="15">
        <f t="shared" si="4"/>
        <v>1</v>
      </c>
    </row>
    <row r="67" spans="1:10">
      <c r="A67" s="14" t="str">
        <f t="shared" ref="A67:A130" si="6">INDIRECT(ADDRESS(ROW()+$A$1,COLUMN(),1,TRUE,$C$1))</f>
        <v>1001671</v>
      </c>
      <c r="B67" s="15">
        <f t="shared" si="5"/>
        <v>100</v>
      </c>
      <c r="C67" s="15">
        <f t="shared" si="5"/>
        <v>167</v>
      </c>
      <c r="D67" s="15">
        <f t="shared" si="5"/>
        <v>1</v>
      </c>
      <c r="E67" s="15">
        <f t="shared" si="4"/>
        <v>715</v>
      </c>
      <c r="F67" s="15">
        <f t="shared" si="4"/>
        <v>0</v>
      </c>
      <c r="G67" s="15">
        <f t="shared" si="4"/>
        <v>0</v>
      </c>
      <c r="H67" s="15">
        <f t="shared" si="4"/>
        <v>0</v>
      </c>
      <c r="I67" s="15">
        <f t="shared" si="4"/>
        <v>0</v>
      </c>
      <c r="J67" s="15">
        <f t="shared" si="4"/>
        <v>1</v>
      </c>
    </row>
    <row r="68" spans="1:10">
      <c r="A68" s="14" t="str">
        <f t="shared" si="6"/>
        <v>1001701</v>
      </c>
      <c r="B68" s="15">
        <f t="shared" si="5"/>
        <v>100</v>
      </c>
      <c r="C68" s="15">
        <f t="shared" si="5"/>
        <v>170</v>
      </c>
      <c r="D68" s="15">
        <f t="shared" si="5"/>
        <v>1</v>
      </c>
      <c r="E68" s="15">
        <f t="shared" si="4"/>
        <v>715</v>
      </c>
      <c r="F68" s="15">
        <f t="shared" si="4"/>
        <v>0</v>
      </c>
      <c r="G68" s="15">
        <f t="shared" si="4"/>
        <v>0</v>
      </c>
      <c r="H68" s="15">
        <f t="shared" si="4"/>
        <v>0</v>
      </c>
      <c r="I68" s="15">
        <f t="shared" si="4"/>
        <v>0</v>
      </c>
      <c r="J68" s="15">
        <f t="shared" si="4"/>
        <v>1</v>
      </c>
    </row>
    <row r="69" spans="1:10">
      <c r="A69" s="14" t="str">
        <f t="shared" si="6"/>
        <v>1001731</v>
      </c>
      <c r="B69" s="15">
        <f t="shared" si="5"/>
        <v>100</v>
      </c>
      <c r="C69" s="15">
        <f t="shared" si="5"/>
        <v>173</v>
      </c>
      <c r="D69" s="15">
        <f t="shared" si="5"/>
        <v>1</v>
      </c>
      <c r="E69" s="15">
        <f t="shared" si="4"/>
        <v>715</v>
      </c>
      <c r="F69" s="15">
        <f t="shared" si="4"/>
        <v>0</v>
      </c>
      <c r="G69" s="15">
        <f t="shared" si="4"/>
        <v>0</v>
      </c>
      <c r="H69" s="15">
        <f t="shared" si="4"/>
        <v>0</v>
      </c>
      <c r="I69" s="15">
        <f t="shared" si="4"/>
        <v>0</v>
      </c>
      <c r="J69" s="15">
        <f t="shared" si="4"/>
        <v>1</v>
      </c>
    </row>
    <row r="70" spans="1:10">
      <c r="A70" s="14" t="str">
        <f t="shared" si="6"/>
        <v>1001761</v>
      </c>
      <c r="B70" s="15">
        <f t="shared" si="5"/>
        <v>100</v>
      </c>
      <c r="C70" s="15">
        <f t="shared" si="5"/>
        <v>176</v>
      </c>
      <c r="D70" s="15">
        <f t="shared" si="5"/>
        <v>1</v>
      </c>
      <c r="E70" s="15">
        <f t="shared" si="4"/>
        <v>715</v>
      </c>
      <c r="F70" s="15">
        <f t="shared" si="4"/>
        <v>0</v>
      </c>
      <c r="G70" s="15">
        <f t="shared" si="4"/>
        <v>0</v>
      </c>
      <c r="H70" s="15">
        <f t="shared" si="4"/>
        <v>0</v>
      </c>
      <c r="I70" s="15">
        <f t="shared" si="4"/>
        <v>0</v>
      </c>
      <c r="J70" s="15">
        <f t="shared" si="4"/>
        <v>1</v>
      </c>
    </row>
    <row r="71" spans="1:10">
      <c r="A71" s="14" t="str">
        <f t="shared" si="6"/>
        <v>1001791</v>
      </c>
      <c r="B71" s="15">
        <f t="shared" si="5"/>
        <v>100</v>
      </c>
      <c r="C71" s="15">
        <f t="shared" si="5"/>
        <v>179</v>
      </c>
      <c r="D71" s="15">
        <f t="shared" si="5"/>
        <v>1</v>
      </c>
      <c r="E71" s="15">
        <f t="shared" si="4"/>
        <v>715</v>
      </c>
      <c r="F71" s="15">
        <f t="shared" si="4"/>
        <v>0</v>
      </c>
      <c r="G71" s="15">
        <f t="shared" si="4"/>
        <v>0</v>
      </c>
      <c r="H71" s="15">
        <f t="shared" si="4"/>
        <v>0</v>
      </c>
      <c r="I71" s="15">
        <f t="shared" si="4"/>
        <v>0</v>
      </c>
      <c r="J71" s="15">
        <f t="shared" si="4"/>
        <v>1</v>
      </c>
    </row>
    <row r="72" spans="1:10">
      <c r="A72" s="14" t="str">
        <f t="shared" si="6"/>
        <v>1001821</v>
      </c>
      <c r="B72" s="15">
        <f t="shared" si="5"/>
        <v>100</v>
      </c>
      <c r="C72" s="15">
        <f t="shared" si="5"/>
        <v>182</v>
      </c>
      <c r="D72" s="15">
        <f t="shared" si="5"/>
        <v>1</v>
      </c>
      <c r="E72" s="15">
        <f t="shared" si="4"/>
        <v>715</v>
      </c>
      <c r="F72" s="15">
        <f t="shared" si="4"/>
        <v>0</v>
      </c>
      <c r="G72" s="15">
        <f t="shared" si="4"/>
        <v>0</v>
      </c>
      <c r="H72" s="15">
        <f t="shared" si="4"/>
        <v>0</v>
      </c>
      <c r="I72" s="15">
        <f t="shared" si="4"/>
        <v>0</v>
      </c>
      <c r="J72" s="15">
        <f t="shared" si="4"/>
        <v>1</v>
      </c>
    </row>
    <row r="73" spans="1:10">
      <c r="A73" s="14" t="str">
        <f t="shared" si="6"/>
        <v>1001851</v>
      </c>
      <c r="B73" s="15">
        <f t="shared" si="5"/>
        <v>100</v>
      </c>
      <c r="C73" s="15">
        <f t="shared" si="5"/>
        <v>185</v>
      </c>
      <c r="D73" s="15">
        <f t="shared" si="5"/>
        <v>1</v>
      </c>
      <c r="E73" s="15">
        <f t="shared" si="4"/>
        <v>715</v>
      </c>
      <c r="F73" s="15">
        <f t="shared" si="4"/>
        <v>0</v>
      </c>
      <c r="G73" s="15">
        <f t="shared" si="4"/>
        <v>0</v>
      </c>
      <c r="H73" s="15">
        <f t="shared" si="4"/>
        <v>0</v>
      </c>
      <c r="I73" s="15">
        <f t="shared" si="4"/>
        <v>0</v>
      </c>
      <c r="J73" s="15">
        <f t="shared" si="4"/>
        <v>1</v>
      </c>
    </row>
    <row r="74" spans="1:10">
      <c r="A74" s="14" t="str">
        <f t="shared" si="6"/>
        <v>1001881</v>
      </c>
      <c r="B74" s="15">
        <f t="shared" si="5"/>
        <v>100</v>
      </c>
      <c r="C74" s="15">
        <f t="shared" si="5"/>
        <v>188</v>
      </c>
      <c r="D74" s="15">
        <f t="shared" si="5"/>
        <v>1</v>
      </c>
      <c r="E74" s="15">
        <f t="shared" si="4"/>
        <v>715</v>
      </c>
      <c r="F74" s="15">
        <f t="shared" si="4"/>
        <v>0</v>
      </c>
      <c r="G74" s="15">
        <f t="shared" si="4"/>
        <v>0</v>
      </c>
      <c r="H74" s="15">
        <f t="shared" si="4"/>
        <v>0</v>
      </c>
      <c r="I74" s="15">
        <f t="shared" si="4"/>
        <v>0</v>
      </c>
      <c r="J74" s="15">
        <f t="shared" si="4"/>
        <v>1</v>
      </c>
    </row>
    <row r="75" spans="1:10">
      <c r="A75" s="14" t="str">
        <f t="shared" si="6"/>
        <v>1001911</v>
      </c>
      <c r="B75" s="15">
        <f t="shared" si="5"/>
        <v>100</v>
      </c>
      <c r="C75" s="15">
        <f t="shared" si="5"/>
        <v>191</v>
      </c>
      <c r="D75" s="15">
        <f t="shared" si="5"/>
        <v>1</v>
      </c>
      <c r="E75" s="15">
        <f t="shared" si="4"/>
        <v>715</v>
      </c>
      <c r="F75" s="15">
        <f t="shared" si="4"/>
        <v>0</v>
      </c>
      <c r="G75" s="15">
        <f t="shared" si="4"/>
        <v>0</v>
      </c>
      <c r="H75" s="15">
        <f t="shared" si="4"/>
        <v>0</v>
      </c>
      <c r="I75" s="15">
        <f t="shared" si="4"/>
        <v>0</v>
      </c>
      <c r="J75" s="15">
        <f t="shared" si="4"/>
        <v>1</v>
      </c>
    </row>
    <row r="76" spans="1:10">
      <c r="A76" s="14" t="str">
        <f t="shared" si="6"/>
        <v>1001941</v>
      </c>
      <c r="B76" s="15">
        <f t="shared" si="5"/>
        <v>100</v>
      </c>
      <c r="C76" s="15">
        <f t="shared" si="5"/>
        <v>194</v>
      </c>
      <c r="D76" s="15">
        <f t="shared" si="5"/>
        <v>1</v>
      </c>
      <c r="E76" s="15">
        <f t="shared" si="4"/>
        <v>715</v>
      </c>
      <c r="F76" s="15">
        <f t="shared" si="4"/>
        <v>0</v>
      </c>
      <c r="G76" s="15">
        <f t="shared" si="4"/>
        <v>0</v>
      </c>
      <c r="H76" s="15">
        <f t="shared" si="4"/>
        <v>0</v>
      </c>
      <c r="I76" s="15">
        <f t="shared" si="4"/>
        <v>0</v>
      </c>
      <c r="J76" s="15">
        <f t="shared" si="4"/>
        <v>1</v>
      </c>
    </row>
    <row r="77" spans="1:10">
      <c r="A77" s="14" t="str">
        <f t="shared" si="6"/>
        <v>1001971</v>
      </c>
      <c r="B77" s="15">
        <f t="shared" si="5"/>
        <v>100</v>
      </c>
      <c r="C77" s="15">
        <f t="shared" si="5"/>
        <v>197</v>
      </c>
      <c r="D77" s="15">
        <f t="shared" si="5"/>
        <v>1</v>
      </c>
      <c r="E77" s="15">
        <f t="shared" si="4"/>
        <v>715</v>
      </c>
      <c r="F77" s="15">
        <f t="shared" si="4"/>
        <v>0</v>
      </c>
      <c r="G77" s="15">
        <f t="shared" si="4"/>
        <v>0</v>
      </c>
      <c r="H77" s="15">
        <f t="shared" si="4"/>
        <v>0</v>
      </c>
      <c r="I77" s="15">
        <f t="shared" si="4"/>
        <v>0</v>
      </c>
      <c r="J77" s="15">
        <f t="shared" si="4"/>
        <v>1</v>
      </c>
    </row>
    <row r="78" spans="1:10">
      <c r="A78" s="14" t="str">
        <f t="shared" si="6"/>
        <v>1002001</v>
      </c>
      <c r="B78" s="15">
        <f t="shared" si="5"/>
        <v>100</v>
      </c>
      <c r="C78" s="15">
        <f t="shared" si="5"/>
        <v>200</v>
      </c>
      <c r="D78" s="15">
        <f t="shared" si="5"/>
        <v>1</v>
      </c>
      <c r="E78" s="15">
        <f t="shared" si="4"/>
        <v>715</v>
      </c>
      <c r="F78" s="15">
        <f t="shared" si="4"/>
        <v>0</v>
      </c>
      <c r="G78" s="15">
        <f t="shared" si="4"/>
        <v>0</v>
      </c>
      <c r="H78" s="15">
        <f t="shared" si="4"/>
        <v>0</v>
      </c>
      <c r="I78" s="15">
        <f t="shared" si="4"/>
        <v>0</v>
      </c>
      <c r="J78" s="15">
        <f t="shared" si="4"/>
        <v>1</v>
      </c>
    </row>
    <row r="79" spans="1:10">
      <c r="A79" s="14" t="str">
        <f t="shared" si="6"/>
        <v>1002031</v>
      </c>
      <c r="B79" s="15">
        <f t="shared" si="5"/>
        <v>100</v>
      </c>
      <c r="C79" s="15">
        <f t="shared" si="5"/>
        <v>203</v>
      </c>
      <c r="D79" s="15">
        <f t="shared" si="5"/>
        <v>1</v>
      </c>
      <c r="E79" s="15">
        <f t="shared" si="5"/>
        <v>715</v>
      </c>
      <c r="F79" s="15">
        <f t="shared" si="5"/>
        <v>0</v>
      </c>
      <c r="G79" s="15">
        <f t="shared" si="5"/>
        <v>0</v>
      </c>
      <c r="H79" s="15">
        <f t="shared" si="5"/>
        <v>0</v>
      </c>
      <c r="I79" s="15">
        <f t="shared" si="5"/>
        <v>0</v>
      </c>
      <c r="J79" s="15">
        <f t="shared" si="5"/>
        <v>1</v>
      </c>
    </row>
    <row r="80" spans="1:10">
      <c r="A80" s="14" t="str">
        <f t="shared" si="6"/>
        <v>1002061</v>
      </c>
      <c r="B80" s="15">
        <f t="shared" si="5"/>
        <v>100</v>
      </c>
      <c r="C80" s="15">
        <f t="shared" si="5"/>
        <v>206</v>
      </c>
      <c r="D80" s="15">
        <f t="shared" si="5"/>
        <v>1</v>
      </c>
      <c r="E80" s="15">
        <f t="shared" si="5"/>
        <v>715</v>
      </c>
      <c r="F80" s="15">
        <f t="shared" si="5"/>
        <v>0</v>
      </c>
      <c r="G80" s="15">
        <f t="shared" si="5"/>
        <v>0</v>
      </c>
      <c r="H80" s="15">
        <f t="shared" si="5"/>
        <v>0</v>
      </c>
      <c r="I80" s="15">
        <f t="shared" si="5"/>
        <v>0</v>
      </c>
      <c r="J80" s="15">
        <f t="shared" si="5"/>
        <v>1</v>
      </c>
    </row>
    <row r="81" spans="1:10">
      <c r="A81" s="14" t="str">
        <f t="shared" si="6"/>
        <v>1002091</v>
      </c>
      <c r="B81" s="15">
        <f t="shared" si="5"/>
        <v>100</v>
      </c>
      <c r="C81" s="15">
        <f t="shared" si="5"/>
        <v>209</v>
      </c>
      <c r="D81" s="15">
        <f t="shared" si="5"/>
        <v>1</v>
      </c>
      <c r="E81" s="15">
        <f t="shared" si="5"/>
        <v>715</v>
      </c>
      <c r="F81" s="15">
        <f t="shared" si="5"/>
        <v>0</v>
      </c>
      <c r="G81" s="15">
        <f t="shared" si="5"/>
        <v>0</v>
      </c>
      <c r="H81" s="15">
        <f t="shared" si="5"/>
        <v>0</v>
      </c>
      <c r="I81" s="15">
        <f t="shared" si="5"/>
        <v>0</v>
      </c>
      <c r="J81" s="15">
        <f t="shared" si="5"/>
        <v>1</v>
      </c>
    </row>
    <row r="82" spans="1:10">
      <c r="A82" s="14" t="str">
        <f t="shared" si="6"/>
        <v>1002121</v>
      </c>
      <c r="B82" s="15">
        <f t="shared" si="5"/>
        <v>100</v>
      </c>
      <c r="C82" s="15">
        <f t="shared" si="5"/>
        <v>212</v>
      </c>
      <c r="D82" s="15">
        <f t="shared" si="5"/>
        <v>1</v>
      </c>
      <c r="E82" s="15">
        <f t="shared" si="5"/>
        <v>715</v>
      </c>
      <c r="F82" s="15">
        <f t="shared" si="5"/>
        <v>0</v>
      </c>
      <c r="G82" s="15">
        <f t="shared" si="5"/>
        <v>0</v>
      </c>
      <c r="H82" s="15">
        <f t="shared" si="5"/>
        <v>0</v>
      </c>
      <c r="I82" s="15">
        <f t="shared" si="5"/>
        <v>0</v>
      </c>
      <c r="J82" s="15">
        <f t="shared" si="5"/>
        <v>1</v>
      </c>
    </row>
    <row r="83" spans="1:10">
      <c r="A83" s="14" t="str">
        <f t="shared" si="6"/>
        <v>1002151</v>
      </c>
      <c r="B83" s="15">
        <f t="shared" si="5"/>
        <v>100</v>
      </c>
      <c r="C83" s="15">
        <f t="shared" si="5"/>
        <v>215</v>
      </c>
      <c r="D83" s="15">
        <f t="shared" si="5"/>
        <v>1</v>
      </c>
      <c r="E83" s="15">
        <f t="shared" si="5"/>
        <v>715</v>
      </c>
      <c r="F83" s="15">
        <f t="shared" si="5"/>
        <v>0</v>
      </c>
      <c r="G83" s="15">
        <f t="shared" si="5"/>
        <v>0</v>
      </c>
      <c r="H83" s="15">
        <f t="shared" si="5"/>
        <v>0</v>
      </c>
      <c r="I83" s="15">
        <f t="shared" si="5"/>
        <v>0</v>
      </c>
      <c r="J83" s="15">
        <f t="shared" si="5"/>
        <v>1</v>
      </c>
    </row>
    <row r="84" spans="1:10">
      <c r="A84" s="14" t="str">
        <f t="shared" si="6"/>
        <v>1002181</v>
      </c>
      <c r="B84" s="15">
        <f t="shared" si="5"/>
        <v>100</v>
      </c>
      <c r="C84" s="15">
        <f t="shared" si="5"/>
        <v>218</v>
      </c>
      <c r="D84" s="15">
        <f t="shared" si="5"/>
        <v>1</v>
      </c>
      <c r="E84" s="15">
        <f t="shared" si="5"/>
        <v>715</v>
      </c>
      <c r="F84" s="15">
        <f t="shared" si="5"/>
        <v>0</v>
      </c>
      <c r="G84" s="15">
        <f t="shared" si="5"/>
        <v>0</v>
      </c>
      <c r="H84" s="15">
        <f t="shared" si="5"/>
        <v>0</v>
      </c>
      <c r="I84" s="15">
        <f t="shared" si="5"/>
        <v>0</v>
      </c>
      <c r="J84" s="15">
        <f t="shared" si="5"/>
        <v>1</v>
      </c>
    </row>
    <row r="85" spans="1:10">
      <c r="A85" s="14" t="str">
        <f t="shared" si="6"/>
        <v>1002211</v>
      </c>
      <c r="B85" s="15">
        <f t="shared" si="5"/>
        <v>100</v>
      </c>
      <c r="C85" s="15">
        <f t="shared" si="5"/>
        <v>221</v>
      </c>
      <c r="D85" s="15">
        <f t="shared" si="5"/>
        <v>1</v>
      </c>
      <c r="E85" s="15">
        <f t="shared" si="5"/>
        <v>715</v>
      </c>
      <c r="F85" s="15">
        <f t="shared" si="5"/>
        <v>0</v>
      </c>
      <c r="G85" s="15">
        <f t="shared" si="5"/>
        <v>0</v>
      </c>
      <c r="H85" s="15">
        <f t="shared" si="5"/>
        <v>0</v>
      </c>
      <c r="I85" s="15">
        <f t="shared" si="5"/>
        <v>0</v>
      </c>
      <c r="J85" s="15">
        <f t="shared" si="5"/>
        <v>1</v>
      </c>
    </row>
    <row r="86" spans="1:10">
      <c r="A86" s="14" t="str">
        <f t="shared" si="6"/>
        <v>1002241</v>
      </c>
      <c r="B86" s="15">
        <f t="shared" si="5"/>
        <v>100</v>
      </c>
      <c r="C86" s="15">
        <f t="shared" si="5"/>
        <v>224</v>
      </c>
      <c r="D86" s="15">
        <f t="shared" si="5"/>
        <v>1</v>
      </c>
      <c r="E86" s="15">
        <f t="shared" si="5"/>
        <v>715</v>
      </c>
      <c r="F86" s="15">
        <f t="shared" si="5"/>
        <v>0</v>
      </c>
      <c r="G86" s="15">
        <f t="shared" si="5"/>
        <v>0</v>
      </c>
      <c r="H86" s="15">
        <f t="shared" si="5"/>
        <v>0</v>
      </c>
      <c r="I86" s="15">
        <f t="shared" si="5"/>
        <v>0</v>
      </c>
      <c r="J86" s="15">
        <f t="shared" si="5"/>
        <v>1</v>
      </c>
    </row>
    <row r="87" spans="1:10">
      <c r="A87" s="14" t="str">
        <f t="shared" si="6"/>
        <v>1002271</v>
      </c>
      <c r="B87" s="15">
        <f t="shared" si="5"/>
        <v>100</v>
      </c>
      <c r="C87" s="15">
        <f t="shared" si="5"/>
        <v>227</v>
      </c>
      <c r="D87" s="15">
        <f t="shared" si="5"/>
        <v>1</v>
      </c>
      <c r="E87" s="15">
        <f t="shared" si="5"/>
        <v>80</v>
      </c>
      <c r="F87" s="15">
        <f t="shared" si="5"/>
        <v>0</v>
      </c>
      <c r="G87" s="15">
        <f t="shared" si="5"/>
        <v>0</v>
      </c>
      <c r="H87" s="15">
        <f t="shared" si="5"/>
        <v>0</v>
      </c>
      <c r="I87" s="15">
        <f t="shared" si="5"/>
        <v>0</v>
      </c>
      <c r="J87" s="15">
        <f t="shared" si="5"/>
        <v>1</v>
      </c>
    </row>
    <row r="88" spans="1:10">
      <c r="A88" s="14" t="str">
        <f t="shared" si="6"/>
        <v>1002301</v>
      </c>
      <c r="B88" s="15">
        <f t="shared" si="5"/>
        <v>100</v>
      </c>
      <c r="C88" s="15">
        <f t="shared" si="5"/>
        <v>230</v>
      </c>
      <c r="D88" s="15">
        <f t="shared" si="5"/>
        <v>1</v>
      </c>
      <c r="E88" s="15">
        <f t="shared" si="5"/>
        <v>80</v>
      </c>
      <c r="F88" s="15">
        <f t="shared" si="5"/>
        <v>0</v>
      </c>
      <c r="G88" s="15">
        <f t="shared" si="5"/>
        <v>0</v>
      </c>
      <c r="H88" s="15">
        <f t="shared" si="5"/>
        <v>0</v>
      </c>
      <c r="I88" s="15">
        <f t="shared" si="5"/>
        <v>0</v>
      </c>
      <c r="J88" s="15">
        <f t="shared" si="5"/>
        <v>1</v>
      </c>
    </row>
    <row r="89" spans="1:10">
      <c r="A89" s="14" t="str">
        <f t="shared" si="6"/>
        <v>1002331</v>
      </c>
      <c r="B89" s="15">
        <f t="shared" si="5"/>
        <v>100</v>
      </c>
      <c r="C89" s="15">
        <f t="shared" si="5"/>
        <v>233</v>
      </c>
      <c r="D89" s="15">
        <f t="shared" si="5"/>
        <v>1</v>
      </c>
      <c r="E89" s="15">
        <f t="shared" si="5"/>
        <v>80</v>
      </c>
      <c r="F89" s="15">
        <f t="shared" si="5"/>
        <v>0</v>
      </c>
      <c r="G89" s="15">
        <f t="shared" si="5"/>
        <v>0</v>
      </c>
      <c r="H89" s="15">
        <f t="shared" si="5"/>
        <v>0</v>
      </c>
      <c r="I89" s="15">
        <f t="shared" si="5"/>
        <v>0</v>
      </c>
      <c r="J89" s="15">
        <f t="shared" si="5"/>
        <v>1</v>
      </c>
    </row>
    <row r="90" spans="1:10">
      <c r="A90" s="14" t="str">
        <f t="shared" si="6"/>
        <v>1002361</v>
      </c>
      <c r="B90" s="15">
        <f t="shared" si="5"/>
        <v>100</v>
      </c>
      <c r="C90" s="15">
        <f t="shared" si="5"/>
        <v>236</v>
      </c>
      <c r="D90" s="15">
        <f t="shared" si="5"/>
        <v>1</v>
      </c>
      <c r="E90" s="15">
        <f t="shared" si="5"/>
        <v>80</v>
      </c>
      <c r="F90" s="15">
        <f t="shared" si="5"/>
        <v>0</v>
      </c>
      <c r="G90" s="15">
        <f t="shared" si="5"/>
        <v>0</v>
      </c>
      <c r="H90" s="15">
        <f t="shared" si="5"/>
        <v>0</v>
      </c>
      <c r="I90" s="15">
        <f t="shared" si="5"/>
        <v>0</v>
      </c>
      <c r="J90" s="15">
        <f t="shared" si="5"/>
        <v>1</v>
      </c>
    </row>
    <row r="91" spans="1:10">
      <c r="A91" s="14" t="str">
        <f t="shared" si="6"/>
        <v>1001681</v>
      </c>
      <c r="B91" s="15">
        <f t="shared" si="5"/>
        <v>100</v>
      </c>
      <c r="C91" s="15">
        <f t="shared" si="5"/>
        <v>168</v>
      </c>
      <c r="D91" s="15">
        <f t="shared" si="5"/>
        <v>1</v>
      </c>
      <c r="E91" s="15">
        <f t="shared" si="5"/>
        <v>241</v>
      </c>
      <c r="F91" s="15">
        <f t="shared" si="5"/>
        <v>0</v>
      </c>
      <c r="G91" s="15">
        <f t="shared" si="5"/>
        <v>0</v>
      </c>
      <c r="H91" s="15">
        <f t="shared" si="5"/>
        <v>0</v>
      </c>
      <c r="I91" s="15">
        <f t="shared" si="5"/>
        <v>0</v>
      </c>
      <c r="J91" s="15">
        <f t="shared" si="5"/>
        <v>1</v>
      </c>
    </row>
    <row r="92" spans="1:10">
      <c r="A92" s="14" t="str">
        <f t="shared" si="6"/>
        <v>1001711</v>
      </c>
      <c r="B92" s="15">
        <f t="shared" si="5"/>
        <v>100</v>
      </c>
      <c r="C92" s="15">
        <f t="shared" si="5"/>
        <v>171</v>
      </c>
      <c r="D92" s="15">
        <f t="shared" si="5"/>
        <v>1</v>
      </c>
      <c r="E92" s="15">
        <f t="shared" si="5"/>
        <v>241</v>
      </c>
      <c r="F92" s="15">
        <f t="shared" si="5"/>
        <v>0</v>
      </c>
      <c r="G92" s="15">
        <f t="shared" si="5"/>
        <v>0</v>
      </c>
      <c r="H92" s="15">
        <f t="shared" si="5"/>
        <v>0</v>
      </c>
      <c r="I92" s="15">
        <f t="shared" si="5"/>
        <v>0</v>
      </c>
      <c r="J92" s="15">
        <f t="shared" si="5"/>
        <v>1</v>
      </c>
    </row>
    <row r="93" spans="1:10">
      <c r="A93" s="14" t="str">
        <f t="shared" si="6"/>
        <v>1001741</v>
      </c>
      <c r="B93" s="15">
        <f t="shared" si="5"/>
        <v>100</v>
      </c>
      <c r="C93" s="15">
        <f t="shared" si="5"/>
        <v>174</v>
      </c>
      <c r="D93" s="15">
        <f t="shared" si="5"/>
        <v>1</v>
      </c>
      <c r="E93" s="15">
        <f t="shared" si="5"/>
        <v>241</v>
      </c>
      <c r="F93" s="15">
        <f t="shared" si="5"/>
        <v>0</v>
      </c>
      <c r="G93" s="15">
        <f t="shared" si="5"/>
        <v>0</v>
      </c>
      <c r="H93" s="15">
        <f t="shared" si="5"/>
        <v>0</v>
      </c>
      <c r="I93" s="15">
        <f t="shared" si="5"/>
        <v>0</v>
      </c>
      <c r="J93" s="15">
        <f t="shared" si="5"/>
        <v>1</v>
      </c>
    </row>
    <row r="94" spans="1:10">
      <c r="A94" s="14" t="str">
        <f t="shared" si="6"/>
        <v>1001771</v>
      </c>
      <c r="B94" s="15">
        <f t="shared" si="5"/>
        <v>100</v>
      </c>
      <c r="C94" s="15">
        <f t="shared" si="5"/>
        <v>177</v>
      </c>
      <c r="D94" s="15">
        <f t="shared" si="5"/>
        <v>1</v>
      </c>
      <c r="E94" s="15">
        <f t="shared" si="5"/>
        <v>241</v>
      </c>
      <c r="F94" s="15">
        <f t="shared" si="5"/>
        <v>0</v>
      </c>
      <c r="G94" s="15">
        <f t="shared" si="5"/>
        <v>0</v>
      </c>
      <c r="H94" s="15">
        <f t="shared" si="5"/>
        <v>0</v>
      </c>
      <c r="I94" s="15">
        <f t="shared" si="5"/>
        <v>0</v>
      </c>
      <c r="J94" s="15">
        <f t="shared" si="5"/>
        <v>1</v>
      </c>
    </row>
    <row r="95" spans="1:10">
      <c r="A95" s="14" t="str">
        <f t="shared" si="6"/>
        <v>1001801</v>
      </c>
      <c r="B95" s="15">
        <f t="shared" si="5"/>
        <v>100</v>
      </c>
      <c r="C95" s="15">
        <f t="shared" si="5"/>
        <v>180</v>
      </c>
      <c r="D95" s="15">
        <f t="shared" si="5"/>
        <v>1</v>
      </c>
      <c r="E95" s="15">
        <f t="shared" si="5"/>
        <v>241</v>
      </c>
      <c r="F95" s="15">
        <f t="shared" si="5"/>
        <v>0</v>
      </c>
      <c r="G95" s="15">
        <f t="shared" si="5"/>
        <v>0</v>
      </c>
      <c r="H95" s="15">
        <f t="shared" si="5"/>
        <v>0</v>
      </c>
      <c r="I95" s="15">
        <f t="shared" si="5"/>
        <v>0</v>
      </c>
      <c r="J95" s="15">
        <f t="shared" si="5"/>
        <v>1</v>
      </c>
    </row>
    <row r="96" spans="1:10">
      <c r="A96" s="14" t="str">
        <f t="shared" si="6"/>
        <v>1001831</v>
      </c>
      <c r="B96" s="15">
        <f t="shared" si="5"/>
        <v>100</v>
      </c>
      <c r="C96" s="15">
        <f t="shared" si="5"/>
        <v>183</v>
      </c>
      <c r="D96" s="15">
        <f t="shared" si="5"/>
        <v>1</v>
      </c>
      <c r="E96" s="15">
        <f t="shared" si="5"/>
        <v>241</v>
      </c>
      <c r="F96" s="15">
        <f t="shared" si="5"/>
        <v>0</v>
      </c>
      <c r="G96" s="15">
        <f t="shared" si="5"/>
        <v>0</v>
      </c>
      <c r="H96" s="15">
        <f t="shared" si="5"/>
        <v>0</v>
      </c>
      <c r="I96" s="15">
        <f t="shared" si="5"/>
        <v>0</v>
      </c>
      <c r="J96" s="15">
        <f t="shared" si="5"/>
        <v>1</v>
      </c>
    </row>
    <row r="97" spans="1:10">
      <c r="A97" s="14" t="str">
        <f t="shared" si="6"/>
        <v>1001861</v>
      </c>
      <c r="B97" s="15">
        <f t="shared" ref="B97:J125" si="7">VLOOKUP($A97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97" s="15">
        <f t="shared" si="7"/>
        <v>186</v>
      </c>
      <c r="D97" s="15">
        <f t="shared" si="7"/>
        <v>1</v>
      </c>
      <c r="E97" s="15">
        <f t="shared" si="7"/>
        <v>241</v>
      </c>
      <c r="F97" s="15">
        <f t="shared" si="7"/>
        <v>0</v>
      </c>
      <c r="G97" s="15">
        <f t="shared" si="7"/>
        <v>0</v>
      </c>
      <c r="H97" s="15">
        <f t="shared" si="7"/>
        <v>0</v>
      </c>
      <c r="I97" s="15">
        <f t="shared" si="7"/>
        <v>0</v>
      </c>
      <c r="J97" s="15">
        <f t="shared" si="7"/>
        <v>1</v>
      </c>
    </row>
    <row r="98" spans="1:10">
      <c r="A98" s="14" t="str">
        <f t="shared" si="6"/>
        <v>1001891</v>
      </c>
      <c r="B98" s="15">
        <f t="shared" si="7"/>
        <v>100</v>
      </c>
      <c r="C98" s="15">
        <f t="shared" si="7"/>
        <v>189</v>
      </c>
      <c r="D98" s="15">
        <f t="shared" si="7"/>
        <v>1</v>
      </c>
      <c r="E98" s="15">
        <f t="shared" si="7"/>
        <v>241</v>
      </c>
      <c r="F98" s="15">
        <f t="shared" si="7"/>
        <v>0</v>
      </c>
      <c r="G98" s="15">
        <f t="shared" si="7"/>
        <v>0</v>
      </c>
      <c r="H98" s="15">
        <f t="shared" si="7"/>
        <v>0</v>
      </c>
      <c r="I98" s="15">
        <f t="shared" si="7"/>
        <v>0</v>
      </c>
      <c r="J98" s="15">
        <f t="shared" si="7"/>
        <v>1</v>
      </c>
    </row>
    <row r="99" spans="1:10">
      <c r="A99" s="14" t="str">
        <f t="shared" si="6"/>
        <v>1001921</v>
      </c>
      <c r="B99" s="15">
        <f t="shared" si="7"/>
        <v>100</v>
      </c>
      <c r="C99" s="15">
        <f t="shared" si="7"/>
        <v>192</v>
      </c>
      <c r="D99" s="15">
        <f t="shared" si="7"/>
        <v>1</v>
      </c>
      <c r="E99" s="15">
        <f t="shared" si="7"/>
        <v>241</v>
      </c>
      <c r="F99" s="15">
        <f t="shared" si="7"/>
        <v>0</v>
      </c>
      <c r="G99" s="15">
        <f t="shared" si="7"/>
        <v>0</v>
      </c>
      <c r="H99" s="15">
        <f t="shared" si="7"/>
        <v>0</v>
      </c>
      <c r="I99" s="15">
        <f t="shared" si="7"/>
        <v>0</v>
      </c>
      <c r="J99" s="15">
        <f t="shared" si="7"/>
        <v>1</v>
      </c>
    </row>
    <row r="100" spans="1:10">
      <c r="A100" s="14" t="str">
        <f t="shared" si="6"/>
        <v>1001951</v>
      </c>
      <c r="B100" s="15">
        <f t="shared" si="7"/>
        <v>100</v>
      </c>
      <c r="C100" s="15">
        <f t="shared" si="7"/>
        <v>195</v>
      </c>
      <c r="D100" s="15">
        <f t="shared" si="7"/>
        <v>1</v>
      </c>
      <c r="E100" s="15">
        <f t="shared" si="7"/>
        <v>241</v>
      </c>
      <c r="F100" s="15">
        <f t="shared" si="7"/>
        <v>0</v>
      </c>
      <c r="G100" s="15">
        <f t="shared" si="7"/>
        <v>0</v>
      </c>
      <c r="H100" s="15">
        <f t="shared" si="7"/>
        <v>0</v>
      </c>
      <c r="I100" s="15">
        <f t="shared" si="7"/>
        <v>0</v>
      </c>
      <c r="J100" s="15">
        <f t="shared" si="7"/>
        <v>1</v>
      </c>
    </row>
    <row r="101" spans="1:10">
      <c r="A101" s="14" t="str">
        <f t="shared" si="6"/>
        <v>1001981</v>
      </c>
      <c r="B101" s="15">
        <f t="shared" si="7"/>
        <v>100</v>
      </c>
      <c r="C101" s="15">
        <f t="shared" si="7"/>
        <v>198</v>
      </c>
      <c r="D101" s="15">
        <f t="shared" si="7"/>
        <v>1</v>
      </c>
      <c r="E101" s="15">
        <f t="shared" si="7"/>
        <v>241</v>
      </c>
      <c r="F101" s="15">
        <f t="shared" si="7"/>
        <v>0</v>
      </c>
      <c r="G101" s="15">
        <f t="shared" si="7"/>
        <v>0</v>
      </c>
      <c r="H101" s="15">
        <f t="shared" si="7"/>
        <v>0</v>
      </c>
      <c r="I101" s="15">
        <f t="shared" si="7"/>
        <v>0</v>
      </c>
      <c r="J101" s="15">
        <f t="shared" si="7"/>
        <v>1</v>
      </c>
    </row>
    <row r="102" spans="1:10">
      <c r="A102" s="14" t="str">
        <f t="shared" si="6"/>
        <v>1002011</v>
      </c>
      <c r="B102" s="15">
        <f t="shared" si="7"/>
        <v>100</v>
      </c>
      <c r="C102" s="15">
        <f t="shared" si="7"/>
        <v>201</v>
      </c>
      <c r="D102" s="15">
        <f t="shared" si="7"/>
        <v>1</v>
      </c>
      <c r="E102" s="15">
        <f t="shared" si="7"/>
        <v>241</v>
      </c>
      <c r="F102" s="15">
        <f t="shared" si="7"/>
        <v>0</v>
      </c>
      <c r="G102" s="15">
        <f t="shared" si="7"/>
        <v>0</v>
      </c>
      <c r="H102" s="15">
        <f t="shared" si="7"/>
        <v>0</v>
      </c>
      <c r="I102" s="15">
        <f t="shared" si="7"/>
        <v>0</v>
      </c>
      <c r="J102" s="15">
        <f t="shared" si="7"/>
        <v>1</v>
      </c>
    </row>
    <row r="103" spans="1:10">
      <c r="A103" s="14" t="str">
        <f t="shared" si="6"/>
        <v>1002041</v>
      </c>
      <c r="B103" s="15">
        <f t="shared" si="7"/>
        <v>100</v>
      </c>
      <c r="C103" s="15">
        <f t="shared" si="7"/>
        <v>204</v>
      </c>
      <c r="D103" s="15">
        <f t="shared" si="7"/>
        <v>1</v>
      </c>
      <c r="E103" s="15">
        <f t="shared" si="7"/>
        <v>241</v>
      </c>
      <c r="F103" s="15">
        <f t="shared" si="7"/>
        <v>0</v>
      </c>
      <c r="G103" s="15">
        <f t="shared" si="7"/>
        <v>0</v>
      </c>
      <c r="H103" s="15">
        <f t="shared" si="7"/>
        <v>0</v>
      </c>
      <c r="I103" s="15">
        <f t="shared" si="7"/>
        <v>0</v>
      </c>
      <c r="J103" s="15">
        <f t="shared" si="7"/>
        <v>1</v>
      </c>
    </row>
    <row r="104" spans="1:10">
      <c r="A104" s="14" t="str">
        <f t="shared" si="6"/>
        <v>1002071</v>
      </c>
      <c r="B104" s="15">
        <f t="shared" si="7"/>
        <v>100</v>
      </c>
      <c r="C104" s="15">
        <f t="shared" si="7"/>
        <v>207</v>
      </c>
      <c r="D104" s="15">
        <f t="shared" si="7"/>
        <v>1</v>
      </c>
      <c r="E104" s="15">
        <f t="shared" si="7"/>
        <v>241</v>
      </c>
      <c r="F104" s="15">
        <f t="shared" si="7"/>
        <v>0</v>
      </c>
      <c r="G104" s="15">
        <f t="shared" si="7"/>
        <v>0</v>
      </c>
      <c r="H104" s="15">
        <f t="shared" si="7"/>
        <v>0</v>
      </c>
      <c r="I104" s="15">
        <f t="shared" si="7"/>
        <v>0</v>
      </c>
      <c r="J104" s="15">
        <f t="shared" si="7"/>
        <v>1</v>
      </c>
    </row>
    <row r="105" spans="1:10">
      <c r="A105" s="14" t="str">
        <f t="shared" si="6"/>
        <v>1002101</v>
      </c>
      <c r="B105" s="15">
        <f t="shared" si="7"/>
        <v>100</v>
      </c>
      <c r="C105" s="15">
        <f t="shared" si="7"/>
        <v>210</v>
      </c>
      <c r="D105" s="15">
        <f t="shared" si="7"/>
        <v>1</v>
      </c>
      <c r="E105" s="15">
        <f t="shared" si="7"/>
        <v>241</v>
      </c>
      <c r="F105" s="15">
        <f t="shared" si="7"/>
        <v>0</v>
      </c>
      <c r="G105" s="15">
        <f t="shared" si="7"/>
        <v>0</v>
      </c>
      <c r="H105" s="15">
        <f t="shared" si="7"/>
        <v>0</v>
      </c>
      <c r="I105" s="15">
        <f t="shared" si="7"/>
        <v>0</v>
      </c>
      <c r="J105" s="15">
        <f t="shared" si="7"/>
        <v>1</v>
      </c>
    </row>
    <row r="106" spans="1:10">
      <c r="A106" s="14" t="str">
        <f t="shared" si="6"/>
        <v>1002131</v>
      </c>
      <c r="B106" s="15">
        <f t="shared" si="7"/>
        <v>100</v>
      </c>
      <c r="C106" s="15">
        <f t="shared" si="7"/>
        <v>213</v>
      </c>
      <c r="D106" s="15">
        <f t="shared" si="7"/>
        <v>1</v>
      </c>
      <c r="E106" s="15">
        <f t="shared" si="7"/>
        <v>241</v>
      </c>
      <c r="F106" s="15">
        <f t="shared" si="7"/>
        <v>0</v>
      </c>
      <c r="G106" s="15">
        <f t="shared" si="7"/>
        <v>0</v>
      </c>
      <c r="H106" s="15">
        <f t="shared" si="7"/>
        <v>0</v>
      </c>
      <c r="I106" s="15">
        <f t="shared" si="7"/>
        <v>0</v>
      </c>
      <c r="J106" s="15">
        <f t="shared" si="7"/>
        <v>1</v>
      </c>
    </row>
    <row r="107" spans="1:10">
      <c r="A107" s="14" t="str">
        <f t="shared" si="6"/>
        <v>1002161</v>
      </c>
      <c r="B107" s="15">
        <f t="shared" si="7"/>
        <v>100</v>
      </c>
      <c r="C107" s="15">
        <f t="shared" si="7"/>
        <v>216</v>
      </c>
      <c r="D107" s="15">
        <f t="shared" si="7"/>
        <v>1</v>
      </c>
      <c r="E107" s="15">
        <f t="shared" si="7"/>
        <v>241</v>
      </c>
      <c r="F107" s="15">
        <f t="shared" si="7"/>
        <v>0</v>
      </c>
      <c r="G107" s="15">
        <f t="shared" si="7"/>
        <v>0</v>
      </c>
      <c r="H107" s="15">
        <f t="shared" si="7"/>
        <v>0</v>
      </c>
      <c r="I107" s="15">
        <f t="shared" si="7"/>
        <v>0</v>
      </c>
      <c r="J107" s="15">
        <f t="shared" si="7"/>
        <v>1</v>
      </c>
    </row>
    <row r="108" spans="1:10">
      <c r="A108" s="14" t="str">
        <f t="shared" si="6"/>
        <v>1002191</v>
      </c>
      <c r="B108" s="15">
        <f t="shared" si="7"/>
        <v>100</v>
      </c>
      <c r="C108" s="15">
        <f t="shared" si="7"/>
        <v>219</v>
      </c>
      <c r="D108" s="15">
        <f t="shared" si="7"/>
        <v>1</v>
      </c>
      <c r="E108" s="15">
        <f t="shared" si="7"/>
        <v>241</v>
      </c>
      <c r="F108" s="15">
        <f t="shared" si="7"/>
        <v>0</v>
      </c>
      <c r="G108" s="15">
        <f t="shared" si="7"/>
        <v>0</v>
      </c>
      <c r="H108" s="15">
        <f t="shared" si="7"/>
        <v>0</v>
      </c>
      <c r="I108" s="15">
        <f t="shared" si="7"/>
        <v>0</v>
      </c>
      <c r="J108" s="15">
        <f t="shared" si="7"/>
        <v>1</v>
      </c>
    </row>
    <row r="109" spans="1:10">
      <c r="A109" s="14" t="str">
        <f t="shared" si="6"/>
        <v>1002221</v>
      </c>
      <c r="B109" s="15">
        <f t="shared" si="7"/>
        <v>100</v>
      </c>
      <c r="C109" s="15">
        <f t="shared" si="7"/>
        <v>222</v>
      </c>
      <c r="D109" s="15">
        <f t="shared" si="7"/>
        <v>1</v>
      </c>
      <c r="E109" s="15">
        <f t="shared" si="7"/>
        <v>241</v>
      </c>
      <c r="F109" s="15">
        <f t="shared" si="7"/>
        <v>0</v>
      </c>
      <c r="G109" s="15">
        <f t="shared" si="7"/>
        <v>0</v>
      </c>
      <c r="H109" s="15">
        <f t="shared" si="7"/>
        <v>0</v>
      </c>
      <c r="I109" s="15">
        <f t="shared" si="7"/>
        <v>0</v>
      </c>
      <c r="J109" s="15">
        <f t="shared" si="7"/>
        <v>1</v>
      </c>
    </row>
    <row r="110" spans="1:10">
      <c r="A110" s="14" t="str">
        <f t="shared" si="6"/>
        <v>1002251</v>
      </c>
      <c r="B110" s="15">
        <f t="shared" si="7"/>
        <v>100</v>
      </c>
      <c r="C110" s="15">
        <f t="shared" si="7"/>
        <v>225</v>
      </c>
      <c r="D110" s="15">
        <f t="shared" si="7"/>
        <v>1</v>
      </c>
      <c r="E110" s="15">
        <f t="shared" si="7"/>
        <v>241</v>
      </c>
      <c r="F110" s="15">
        <f t="shared" si="7"/>
        <v>0</v>
      </c>
      <c r="G110" s="15">
        <f t="shared" si="7"/>
        <v>0</v>
      </c>
      <c r="H110" s="15">
        <f t="shared" si="7"/>
        <v>0</v>
      </c>
      <c r="I110" s="15">
        <f t="shared" si="7"/>
        <v>0</v>
      </c>
      <c r="J110" s="15">
        <f t="shared" si="7"/>
        <v>1</v>
      </c>
    </row>
    <row r="111" spans="1:10">
      <c r="A111" s="14" t="str">
        <f t="shared" si="6"/>
        <v>1002281</v>
      </c>
      <c r="B111" s="15">
        <f t="shared" si="7"/>
        <v>100</v>
      </c>
      <c r="C111" s="15">
        <f t="shared" si="7"/>
        <v>228</v>
      </c>
      <c r="D111" s="15">
        <f t="shared" si="7"/>
        <v>1</v>
      </c>
      <c r="E111" s="15">
        <f t="shared" si="7"/>
        <v>13</v>
      </c>
      <c r="F111" s="15">
        <f t="shared" si="7"/>
        <v>0</v>
      </c>
      <c r="G111" s="15">
        <f t="shared" si="7"/>
        <v>0</v>
      </c>
      <c r="H111" s="15">
        <f t="shared" si="7"/>
        <v>0</v>
      </c>
      <c r="I111" s="15">
        <f t="shared" si="7"/>
        <v>0</v>
      </c>
      <c r="J111" s="15">
        <f t="shared" si="7"/>
        <v>1</v>
      </c>
    </row>
    <row r="112" spans="1:10">
      <c r="A112" s="14" t="str">
        <f t="shared" si="6"/>
        <v>1002311</v>
      </c>
      <c r="B112" s="15">
        <f t="shared" si="7"/>
        <v>100</v>
      </c>
      <c r="C112" s="15">
        <f t="shared" si="7"/>
        <v>231</v>
      </c>
      <c r="D112" s="15">
        <f t="shared" si="7"/>
        <v>1</v>
      </c>
      <c r="E112" s="15">
        <f t="shared" si="7"/>
        <v>13</v>
      </c>
      <c r="F112" s="15">
        <f t="shared" si="7"/>
        <v>0</v>
      </c>
      <c r="G112" s="15">
        <f t="shared" si="7"/>
        <v>0</v>
      </c>
      <c r="H112" s="15">
        <f t="shared" si="7"/>
        <v>0</v>
      </c>
      <c r="I112" s="15">
        <f t="shared" si="7"/>
        <v>0</v>
      </c>
      <c r="J112" s="15">
        <f t="shared" si="7"/>
        <v>1</v>
      </c>
    </row>
    <row r="113" spans="1:10">
      <c r="A113" s="14" t="str">
        <f t="shared" si="6"/>
        <v>1002341</v>
      </c>
      <c r="B113" s="15">
        <f t="shared" si="7"/>
        <v>100</v>
      </c>
      <c r="C113" s="15">
        <f t="shared" si="7"/>
        <v>234</v>
      </c>
      <c r="D113" s="15">
        <f t="shared" si="7"/>
        <v>1</v>
      </c>
      <c r="E113" s="15">
        <f t="shared" si="7"/>
        <v>13</v>
      </c>
      <c r="F113" s="15">
        <f t="shared" si="7"/>
        <v>0</v>
      </c>
      <c r="G113" s="15">
        <f t="shared" si="7"/>
        <v>0</v>
      </c>
      <c r="H113" s="15">
        <f t="shared" si="7"/>
        <v>0</v>
      </c>
      <c r="I113" s="15">
        <f t="shared" si="7"/>
        <v>0</v>
      </c>
      <c r="J113" s="15">
        <f t="shared" si="7"/>
        <v>1</v>
      </c>
    </row>
    <row r="114" spans="1:10">
      <c r="A114" s="14" t="str">
        <f t="shared" si="6"/>
        <v>1002371</v>
      </c>
      <c r="B114" s="15">
        <f t="shared" si="7"/>
        <v>100</v>
      </c>
      <c r="C114" s="15">
        <f t="shared" si="7"/>
        <v>237</v>
      </c>
      <c r="D114" s="15">
        <f t="shared" si="7"/>
        <v>1</v>
      </c>
      <c r="E114" s="15">
        <f t="shared" si="7"/>
        <v>13</v>
      </c>
      <c r="F114" s="15">
        <f t="shared" si="7"/>
        <v>0</v>
      </c>
      <c r="G114" s="15">
        <f t="shared" si="7"/>
        <v>0</v>
      </c>
      <c r="H114" s="15">
        <f t="shared" si="7"/>
        <v>0</v>
      </c>
      <c r="I114" s="15">
        <f t="shared" si="7"/>
        <v>0</v>
      </c>
      <c r="J114" s="15">
        <f t="shared" si="7"/>
        <v>1</v>
      </c>
    </row>
    <row r="115" spans="1:10">
      <c r="A115" s="14" t="str">
        <f t="shared" si="6"/>
        <v>1002381</v>
      </c>
      <c r="B115" s="15">
        <f t="shared" si="7"/>
        <v>100</v>
      </c>
      <c r="C115" s="15">
        <f t="shared" si="7"/>
        <v>238</v>
      </c>
      <c r="D115" s="15">
        <f t="shared" si="7"/>
        <v>1</v>
      </c>
      <c r="E115" s="15">
        <f t="shared" si="7"/>
        <v>228</v>
      </c>
      <c r="F115" s="15">
        <f t="shared" si="7"/>
        <v>0</v>
      </c>
      <c r="G115" s="15">
        <f t="shared" si="7"/>
        <v>0</v>
      </c>
      <c r="H115" s="15">
        <f t="shared" si="7"/>
        <v>0</v>
      </c>
      <c r="I115" s="15">
        <f t="shared" si="7"/>
        <v>0</v>
      </c>
      <c r="J115" s="15">
        <f t="shared" si="7"/>
        <v>1</v>
      </c>
    </row>
    <row r="116" spans="1:10">
      <c r="A116" s="14" t="str">
        <f t="shared" si="6"/>
        <v>1002391</v>
      </c>
      <c r="B116" s="15">
        <f t="shared" si="7"/>
        <v>100</v>
      </c>
      <c r="C116" s="15">
        <f t="shared" si="7"/>
        <v>239</v>
      </c>
      <c r="D116" s="15">
        <f t="shared" si="7"/>
        <v>1</v>
      </c>
      <c r="E116" s="15">
        <f t="shared" si="7"/>
        <v>80</v>
      </c>
      <c r="F116" s="15">
        <f t="shared" si="7"/>
        <v>0</v>
      </c>
      <c r="G116" s="15">
        <f t="shared" si="7"/>
        <v>0</v>
      </c>
      <c r="H116" s="15">
        <f t="shared" si="7"/>
        <v>0</v>
      </c>
      <c r="I116" s="15">
        <f t="shared" si="7"/>
        <v>0</v>
      </c>
      <c r="J116" s="15">
        <f t="shared" si="7"/>
        <v>1</v>
      </c>
    </row>
    <row r="117" spans="1:10">
      <c r="A117" s="14" t="str">
        <f t="shared" si="6"/>
        <v>1002401</v>
      </c>
      <c r="B117" s="15">
        <f t="shared" si="7"/>
        <v>100</v>
      </c>
      <c r="C117" s="15">
        <f t="shared" si="7"/>
        <v>240</v>
      </c>
      <c r="D117" s="15">
        <f t="shared" si="7"/>
        <v>1</v>
      </c>
      <c r="E117" s="15">
        <f t="shared" si="7"/>
        <v>13</v>
      </c>
      <c r="F117" s="15">
        <f t="shared" si="7"/>
        <v>0</v>
      </c>
      <c r="G117" s="15">
        <f t="shared" si="7"/>
        <v>0</v>
      </c>
      <c r="H117" s="15">
        <f t="shared" si="7"/>
        <v>0</v>
      </c>
      <c r="I117" s="15">
        <f t="shared" si="7"/>
        <v>0</v>
      </c>
      <c r="J117" s="15">
        <f t="shared" si="7"/>
        <v>1</v>
      </c>
    </row>
    <row r="118" spans="1:10">
      <c r="A118" s="14" t="str">
        <f t="shared" si="6"/>
        <v>1002411</v>
      </c>
      <c r="B118" s="15">
        <f t="shared" si="7"/>
        <v>100</v>
      </c>
      <c r="C118" s="15">
        <f t="shared" si="7"/>
        <v>241</v>
      </c>
      <c r="D118" s="15">
        <f t="shared" si="7"/>
        <v>1</v>
      </c>
      <c r="E118" s="15">
        <f t="shared" si="7"/>
        <v>228</v>
      </c>
      <c r="F118" s="15">
        <f t="shared" si="7"/>
        <v>0</v>
      </c>
      <c r="G118" s="15">
        <f t="shared" si="7"/>
        <v>0</v>
      </c>
      <c r="H118" s="15">
        <f t="shared" si="7"/>
        <v>0</v>
      </c>
      <c r="I118" s="15">
        <f t="shared" si="7"/>
        <v>0</v>
      </c>
      <c r="J118" s="15">
        <f t="shared" si="7"/>
        <v>1</v>
      </c>
    </row>
    <row r="119" spans="1:10">
      <c r="A119" s="14" t="str">
        <f t="shared" si="6"/>
        <v>1002421</v>
      </c>
      <c r="B119" s="15">
        <f t="shared" si="7"/>
        <v>100</v>
      </c>
      <c r="C119" s="15">
        <f t="shared" si="7"/>
        <v>242</v>
      </c>
      <c r="D119" s="15">
        <f t="shared" si="7"/>
        <v>1</v>
      </c>
      <c r="E119" s="15">
        <f t="shared" si="7"/>
        <v>80</v>
      </c>
      <c r="F119" s="15">
        <f t="shared" si="7"/>
        <v>0</v>
      </c>
      <c r="G119" s="15">
        <f t="shared" si="7"/>
        <v>0</v>
      </c>
      <c r="H119" s="15">
        <f t="shared" si="7"/>
        <v>0</v>
      </c>
      <c r="I119" s="15">
        <f t="shared" si="7"/>
        <v>0</v>
      </c>
      <c r="J119" s="15">
        <f t="shared" si="7"/>
        <v>1</v>
      </c>
    </row>
    <row r="120" spans="1:10">
      <c r="A120" s="14" t="str">
        <f t="shared" si="6"/>
        <v>1002431</v>
      </c>
      <c r="B120" s="15">
        <f t="shared" si="7"/>
        <v>100</v>
      </c>
      <c r="C120" s="15">
        <f t="shared" si="7"/>
        <v>243</v>
      </c>
      <c r="D120" s="15">
        <f t="shared" si="7"/>
        <v>1</v>
      </c>
      <c r="E120" s="15">
        <f t="shared" si="7"/>
        <v>13</v>
      </c>
      <c r="F120" s="15">
        <f t="shared" si="7"/>
        <v>0</v>
      </c>
      <c r="G120" s="15">
        <f t="shared" si="7"/>
        <v>0</v>
      </c>
      <c r="H120" s="15">
        <f t="shared" si="7"/>
        <v>0</v>
      </c>
      <c r="I120" s="15">
        <f t="shared" si="7"/>
        <v>0</v>
      </c>
      <c r="J120" s="15">
        <f t="shared" si="7"/>
        <v>1</v>
      </c>
    </row>
    <row r="121" spans="1:10">
      <c r="A121" s="14" t="str">
        <f t="shared" si="6"/>
        <v>1002441</v>
      </c>
      <c r="B121" s="15">
        <f t="shared" si="7"/>
        <v>100</v>
      </c>
      <c r="C121" s="15">
        <f t="shared" si="7"/>
        <v>244</v>
      </c>
      <c r="D121" s="15">
        <f t="shared" si="7"/>
        <v>1</v>
      </c>
      <c r="E121" s="15">
        <f t="shared" si="7"/>
        <v>228</v>
      </c>
      <c r="F121" s="15">
        <f t="shared" si="7"/>
        <v>0</v>
      </c>
      <c r="G121" s="15">
        <f t="shared" si="7"/>
        <v>0</v>
      </c>
      <c r="H121" s="15">
        <f t="shared" si="7"/>
        <v>0</v>
      </c>
      <c r="I121" s="15">
        <f t="shared" si="7"/>
        <v>0</v>
      </c>
      <c r="J121" s="15">
        <f t="shared" si="7"/>
        <v>1</v>
      </c>
    </row>
    <row r="122" spans="1:10">
      <c r="A122" s="14" t="str">
        <f t="shared" si="6"/>
        <v>1002451</v>
      </c>
      <c r="B122" s="15">
        <f t="shared" si="7"/>
        <v>100</v>
      </c>
      <c r="C122" s="15">
        <f t="shared" si="7"/>
        <v>245</v>
      </c>
      <c r="D122" s="15">
        <f t="shared" si="7"/>
        <v>1</v>
      </c>
      <c r="E122" s="15">
        <f t="shared" si="7"/>
        <v>80</v>
      </c>
      <c r="F122" s="15">
        <f t="shared" si="7"/>
        <v>0</v>
      </c>
      <c r="G122" s="15">
        <f t="shared" si="7"/>
        <v>0</v>
      </c>
      <c r="H122" s="15">
        <f t="shared" si="7"/>
        <v>0</v>
      </c>
      <c r="I122" s="15">
        <f t="shared" si="7"/>
        <v>0</v>
      </c>
      <c r="J122" s="15">
        <f t="shared" si="7"/>
        <v>1</v>
      </c>
    </row>
    <row r="123" spans="1:10">
      <c r="A123" s="14" t="str">
        <f t="shared" si="6"/>
        <v>1002461</v>
      </c>
      <c r="B123" s="15">
        <f t="shared" si="7"/>
        <v>100</v>
      </c>
      <c r="C123" s="15">
        <f t="shared" si="7"/>
        <v>246</v>
      </c>
      <c r="D123" s="15">
        <f t="shared" si="7"/>
        <v>1</v>
      </c>
      <c r="E123" s="15">
        <f t="shared" si="7"/>
        <v>13</v>
      </c>
      <c r="F123" s="15">
        <f t="shared" si="7"/>
        <v>0</v>
      </c>
      <c r="G123" s="15">
        <f t="shared" si="7"/>
        <v>0</v>
      </c>
      <c r="H123" s="15">
        <f t="shared" si="7"/>
        <v>0</v>
      </c>
      <c r="I123" s="15">
        <f t="shared" si="7"/>
        <v>0</v>
      </c>
      <c r="J123" s="15">
        <f t="shared" si="7"/>
        <v>1</v>
      </c>
    </row>
    <row r="124" spans="1:10">
      <c r="A124" s="14" t="str">
        <f t="shared" si="6"/>
        <v>1002471</v>
      </c>
      <c r="B124" s="15">
        <f t="shared" si="7"/>
        <v>100</v>
      </c>
      <c r="C124" s="15">
        <f t="shared" si="7"/>
        <v>247</v>
      </c>
      <c r="D124" s="15">
        <f t="shared" si="7"/>
        <v>1</v>
      </c>
      <c r="E124" s="15">
        <f t="shared" si="7"/>
        <v>228</v>
      </c>
      <c r="F124" s="15">
        <f t="shared" si="7"/>
        <v>0</v>
      </c>
      <c r="G124" s="15">
        <f t="shared" si="7"/>
        <v>0</v>
      </c>
      <c r="H124" s="15">
        <f t="shared" si="7"/>
        <v>0</v>
      </c>
      <c r="I124" s="15">
        <f t="shared" si="7"/>
        <v>0</v>
      </c>
      <c r="J124" s="15">
        <f t="shared" si="7"/>
        <v>1</v>
      </c>
    </row>
    <row r="125" spans="1:10">
      <c r="A125" s="14" t="str">
        <f t="shared" si="6"/>
        <v>1002481</v>
      </c>
      <c r="B125" s="15">
        <f t="shared" si="7"/>
        <v>100</v>
      </c>
      <c r="C125" s="15">
        <f t="shared" si="7"/>
        <v>248</v>
      </c>
      <c r="D125" s="15">
        <f t="shared" si="7"/>
        <v>1</v>
      </c>
      <c r="E125" s="15">
        <f t="shared" ref="E125:J156" si="8">VLOOKUP($A125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80</v>
      </c>
      <c r="F125" s="15">
        <f t="shared" si="8"/>
        <v>0</v>
      </c>
      <c r="G125" s="15">
        <f t="shared" si="8"/>
        <v>0</v>
      </c>
      <c r="H125" s="15">
        <f t="shared" si="8"/>
        <v>0</v>
      </c>
      <c r="I125" s="15">
        <f t="shared" si="8"/>
        <v>0</v>
      </c>
      <c r="J125" s="15">
        <f t="shared" si="8"/>
        <v>1</v>
      </c>
    </row>
    <row r="126" spans="1:10">
      <c r="A126" s="14" t="str">
        <f t="shared" si="6"/>
        <v>1002491</v>
      </c>
      <c r="B126" s="15">
        <f t="shared" ref="B126:D156" si="9">VLOOKUP($A126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126" s="15">
        <f t="shared" si="9"/>
        <v>249</v>
      </c>
      <c r="D126" s="15">
        <f t="shared" si="9"/>
        <v>1</v>
      </c>
      <c r="E126" s="15">
        <f t="shared" si="8"/>
        <v>13</v>
      </c>
      <c r="F126" s="15">
        <f t="shared" si="8"/>
        <v>0</v>
      </c>
      <c r="G126" s="15">
        <f t="shared" si="8"/>
        <v>0</v>
      </c>
      <c r="H126" s="15">
        <f t="shared" si="8"/>
        <v>0</v>
      </c>
      <c r="I126" s="15">
        <f t="shared" si="8"/>
        <v>0</v>
      </c>
      <c r="J126" s="15">
        <f t="shared" si="8"/>
        <v>1</v>
      </c>
    </row>
    <row r="127" spans="1:10">
      <c r="A127" s="14" t="str">
        <f t="shared" si="6"/>
        <v>1002501</v>
      </c>
      <c r="B127" s="15">
        <f t="shared" si="9"/>
        <v>100</v>
      </c>
      <c r="C127" s="15">
        <f t="shared" si="9"/>
        <v>250</v>
      </c>
      <c r="D127" s="15">
        <f t="shared" si="9"/>
        <v>1</v>
      </c>
      <c r="E127" s="15">
        <f t="shared" si="8"/>
        <v>228</v>
      </c>
      <c r="F127" s="15">
        <f t="shared" si="8"/>
        <v>0</v>
      </c>
      <c r="G127" s="15">
        <f t="shared" si="8"/>
        <v>0</v>
      </c>
      <c r="H127" s="15">
        <f t="shared" si="8"/>
        <v>0</v>
      </c>
      <c r="I127" s="15">
        <f t="shared" si="8"/>
        <v>0</v>
      </c>
      <c r="J127" s="15">
        <f t="shared" si="8"/>
        <v>1</v>
      </c>
    </row>
    <row r="128" spans="1:10">
      <c r="A128" s="14" t="str">
        <f t="shared" si="6"/>
        <v>1002511</v>
      </c>
      <c r="B128" s="15">
        <f t="shared" si="9"/>
        <v>100</v>
      </c>
      <c r="C128" s="15">
        <f t="shared" si="9"/>
        <v>251</v>
      </c>
      <c r="D128" s="15">
        <f t="shared" si="9"/>
        <v>1</v>
      </c>
      <c r="E128" s="15">
        <f t="shared" si="8"/>
        <v>80</v>
      </c>
      <c r="F128" s="15">
        <f t="shared" si="8"/>
        <v>0</v>
      </c>
      <c r="G128" s="15">
        <f t="shared" si="8"/>
        <v>0</v>
      </c>
      <c r="H128" s="15">
        <f t="shared" si="8"/>
        <v>0</v>
      </c>
      <c r="I128" s="15">
        <f t="shared" si="8"/>
        <v>0</v>
      </c>
      <c r="J128" s="15">
        <f t="shared" si="8"/>
        <v>1</v>
      </c>
    </row>
    <row r="129" spans="1:10">
      <c r="A129" s="14" t="str">
        <f t="shared" si="6"/>
        <v>1002521</v>
      </c>
      <c r="B129" s="15">
        <f t="shared" si="9"/>
        <v>100</v>
      </c>
      <c r="C129" s="15">
        <f t="shared" si="9"/>
        <v>252</v>
      </c>
      <c r="D129" s="15">
        <f t="shared" si="9"/>
        <v>1</v>
      </c>
      <c r="E129" s="15">
        <f t="shared" si="8"/>
        <v>13</v>
      </c>
      <c r="F129" s="15">
        <f t="shared" si="8"/>
        <v>0</v>
      </c>
      <c r="G129" s="15">
        <f t="shared" si="8"/>
        <v>0</v>
      </c>
      <c r="H129" s="15">
        <f t="shared" si="8"/>
        <v>0</v>
      </c>
      <c r="I129" s="15">
        <f t="shared" si="8"/>
        <v>0</v>
      </c>
      <c r="J129" s="15">
        <f t="shared" si="8"/>
        <v>1</v>
      </c>
    </row>
    <row r="130" spans="1:10">
      <c r="A130" s="14" t="str">
        <f t="shared" si="6"/>
        <v>1002531</v>
      </c>
      <c r="B130" s="15">
        <f t="shared" si="9"/>
        <v>100</v>
      </c>
      <c r="C130" s="15">
        <f t="shared" si="9"/>
        <v>253</v>
      </c>
      <c r="D130" s="15">
        <f t="shared" si="9"/>
        <v>1</v>
      </c>
      <c r="E130" s="15">
        <f t="shared" si="8"/>
        <v>228</v>
      </c>
      <c r="F130" s="15">
        <f t="shared" si="8"/>
        <v>0</v>
      </c>
      <c r="G130" s="15">
        <f t="shared" si="8"/>
        <v>0</v>
      </c>
      <c r="H130" s="15">
        <f t="shared" si="8"/>
        <v>0</v>
      </c>
      <c r="I130" s="15">
        <f t="shared" si="8"/>
        <v>0</v>
      </c>
      <c r="J130" s="15">
        <f t="shared" si="8"/>
        <v>1</v>
      </c>
    </row>
    <row r="131" spans="1:10">
      <c r="A131" s="14" t="str">
        <f t="shared" ref="A131:A156" si="10">INDIRECT(ADDRESS(ROW()+$A$1,COLUMN(),1,TRUE,$C$1))</f>
        <v>1002541</v>
      </c>
      <c r="B131" s="15">
        <f t="shared" si="9"/>
        <v>100</v>
      </c>
      <c r="C131" s="15">
        <f t="shared" si="9"/>
        <v>254</v>
      </c>
      <c r="D131" s="15">
        <f t="shared" si="9"/>
        <v>1</v>
      </c>
      <c r="E131" s="15">
        <f t="shared" si="8"/>
        <v>80</v>
      </c>
      <c r="F131" s="15">
        <f t="shared" si="8"/>
        <v>0</v>
      </c>
      <c r="G131" s="15">
        <f t="shared" si="8"/>
        <v>0</v>
      </c>
      <c r="H131" s="15">
        <f t="shared" si="8"/>
        <v>0</v>
      </c>
      <c r="I131" s="15">
        <f t="shared" si="8"/>
        <v>0</v>
      </c>
      <c r="J131" s="15">
        <f t="shared" si="8"/>
        <v>1</v>
      </c>
    </row>
    <row r="132" spans="1:10">
      <c r="A132" s="14" t="str">
        <f t="shared" si="10"/>
        <v>1002551</v>
      </c>
      <c r="B132" s="15">
        <f t="shared" si="9"/>
        <v>100</v>
      </c>
      <c r="C132" s="15">
        <f t="shared" si="9"/>
        <v>255</v>
      </c>
      <c r="D132" s="15">
        <f t="shared" si="9"/>
        <v>1</v>
      </c>
      <c r="E132" s="15">
        <f t="shared" si="8"/>
        <v>13</v>
      </c>
      <c r="F132" s="15">
        <f t="shared" si="8"/>
        <v>0</v>
      </c>
      <c r="G132" s="15">
        <f t="shared" si="8"/>
        <v>0</v>
      </c>
      <c r="H132" s="15">
        <f t="shared" si="8"/>
        <v>0</v>
      </c>
      <c r="I132" s="15">
        <f t="shared" si="8"/>
        <v>0</v>
      </c>
      <c r="J132" s="15">
        <f t="shared" si="8"/>
        <v>1</v>
      </c>
    </row>
    <row r="133" spans="1:10">
      <c r="A133" s="14" t="str">
        <f t="shared" si="10"/>
        <v>1002561</v>
      </c>
      <c r="B133" s="15">
        <f t="shared" si="9"/>
        <v>100</v>
      </c>
      <c r="C133" s="15">
        <f t="shared" si="9"/>
        <v>256</v>
      </c>
      <c r="D133" s="15">
        <f t="shared" si="9"/>
        <v>1</v>
      </c>
      <c r="E133" s="15">
        <f t="shared" si="8"/>
        <v>228</v>
      </c>
      <c r="F133" s="15">
        <f t="shared" si="8"/>
        <v>0</v>
      </c>
      <c r="G133" s="15">
        <f t="shared" si="8"/>
        <v>0</v>
      </c>
      <c r="H133" s="15">
        <f t="shared" si="8"/>
        <v>0</v>
      </c>
      <c r="I133" s="15">
        <f t="shared" si="8"/>
        <v>0</v>
      </c>
      <c r="J133" s="15">
        <f t="shared" si="8"/>
        <v>1</v>
      </c>
    </row>
    <row r="134" spans="1:10">
      <c r="A134" s="14" t="str">
        <f t="shared" si="10"/>
        <v>1002571</v>
      </c>
      <c r="B134" s="15">
        <f t="shared" si="9"/>
        <v>100</v>
      </c>
      <c r="C134" s="15">
        <f t="shared" si="9"/>
        <v>257</v>
      </c>
      <c r="D134" s="15">
        <f t="shared" si="9"/>
        <v>1</v>
      </c>
      <c r="E134" s="15">
        <f t="shared" si="8"/>
        <v>80</v>
      </c>
      <c r="F134" s="15">
        <f t="shared" si="8"/>
        <v>0</v>
      </c>
      <c r="G134" s="15">
        <f t="shared" si="8"/>
        <v>0</v>
      </c>
      <c r="H134" s="15">
        <f t="shared" si="8"/>
        <v>0</v>
      </c>
      <c r="I134" s="15">
        <f t="shared" si="8"/>
        <v>0</v>
      </c>
      <c r="J134" s="15">
        <f t="shared" si="8"/>
        <v>1</v>
      </c>
    </row>
    <row r="135" spans="1:10">
      <c r="A135" s="14" t="str">
        <f t="shared" si="10"/>
        <v>1002581</v>
      </c>
      <c r="B135" s="15">
        <f t="shared" si="9"/>
        <v>100</v>
      </c>
      <c r="C135" s="15">
        <f t="shared" si="9"/>
        <v>258</v>
      </c>
      <c r="D135" s="15">
        <f t="shared" si="9"/>
        <v>1</v>
      </c>
      <c r="E135" s="15">
        <f t="shared" si="8"/>
        <v>13</v>
      </c>
      <c r="F135" s="15">
        <f t="shared" si="8"/>
        <v>0</v>
      </c>
      <c r="G135" s="15">
        <f t="shared" si="8"/>
        <v>0</v>
      </c>
      <c r="H135" s="15">
        <f t="shared" si="8"/>
        <v>0</v>
      </c>
      <c r="I135" s="15">
        <f t="shared" si="8"/>
        <v>0</v>
      </c>
      <c r="J135" s="15">
        <f t="shared" si="8"/>
        <v>1</v>
      </c>
    </row>
    <row r="136" spans="1:10">
      <c r="A136" s="14" t="str">
        <f t="shared" si="10"/>
        <v>1002591</v>
      </c>
      <c r="B136" s="15">
        <f t="shared" si="9"/>
        <v>100</v>
      </c>
      <c r="C136" s="15">
        <f t="shared" si="9"/>
        <v>259</v>
      </c>
      <c r="D136" s="15">
        <f t="shared" si="9"/>
        <v>1</v>
      </c>
      <c r="E136" s="15">
        <f t="shared" si="8"/>
        <v>228</v>
      </c>
      <c r="F136" s="15">
        <f t="shared" si="8"/>
        <v>0</v>
      </c>
      <c r="G136" s="15">
        <f t="shared" si="8"/>
        <v>0</v>
      </c>
      <c r="H136" s="15">
        <f t="shared" si="8"/>
        <v>0</v>
      </c>
      <c r="I136" s="15">
        <f t="shared" si="8"/>
        <v>0</v>
      </c>
      <c r="J136" s="15">
        <f t="shared" si="8"/>
        <v>1</v>
      </c>
    </row>
    <row r="137" spans="1:10">
      <c r="A137" s="14" t="str">
        <f t="shared" si="10"/>
        <v>1002601</v>
      </c>
      <c r="B137" s="15">
        <f t="shared" si="9"/>
        <v>100</v>
      </c>
      <c r="C137" s="15">
        <f t="shared" si="9"/>
        <v>260</v>
      </c>
      <c r="D137" s="15">
        <f t="shared" si="9"/>
        <v>1</v>
      </c>
      <c r="E137" s="15">
        <f t="shared" si="8"/>
        <v>80</v>
      </c>
      <c r="F137" s="15">
        <f t="shared" si="8"/>
        <v>0</v>
      </c>
      <c r="G137" s="15">
        <f t="shared" si="8"/>
        <v>0</v>
      </c>
      <c r="H137" s="15">
        <f t="shared" si="8"/>
        <v>0</v>
      </c>
      <c r="I137" s="15">
        <f t="shared" si="8"/>
        <v>0</v>
      </c>
      <c r="J137" s="15">
        <f t="shared" si="8"/>
        <v>1</v>
      </c>
    </row>
    <row r="138" spans="1:10">
      <c r="A138" s="14" t="str">
        <f t="shared" si="10"/>
        <v>1002611</v>
      </c>
      <c r="B138" s="15">
        <f t="shared" si="9"/>
        <v>100</v>
      </c>
      <c r="C138" s="15">
        <f t="shared" si="9"/>
        <v>261</v>
      </c>
      <c r="D138" s="15">
        <f t="shared" si="9"/>
        <v>1</v>
      </c>
      <c r="E138" s="15">
        <f t="shared" si="8"/>
        <v>13</v>
      </c>
      <c r="F138" s="15">
        <f t="shared" si="8"/>
        <v>0</v>
      </c>
      <c r="G138" s="15">
        <f t="shared" si="8"/>
        <v>0</v>
      </c>
      <c r="H138" s="15">
        <f t="shared" si="8"/>
        <v>0</v>
      </c>
      <c r="I138" s="15">
        <f t="shared" si="8"/>
        <v>0</v>
      </c>
      <c r="J138" s="15">
        <f t="shared" si="8"/>
        <v>1</v>
      </c>
    </row>
    <row r="139" spans="1:10">
      <c r="A139" s="14" t="str">
        <f t="shared" si="10"/>
        <v>1003201</v>
      </c>
      <c r="B139" s="15">
        <f t="shared" si="9"/>
        <v>100</v>
      </c>
      <c r="C139" s="15">
        <f t="shared" si="9"/>
        <v>320</v>
      </c>
      <c r="D139" s="15">
        <f t="shared" si="9"/>
        <v>1</v>
      </c>
      <c r="E139" s="15">
        <f t="shared" si="8"/>
        <v>144</v>
      </c>
      <c r="F139" s="15">
        <f t="shared" si="8"/>
        <v>0</v>
      </c>
      <c r="G139" s="15">
        <f t="shared" si="8"/>
        <v>0</v>
      </c>
      <c r="H139" s="15">
        <f t="shared" si="8"/>
        <v>0</v>
      </c>
      <c r="I139" s="15">
        <f t="shared" si="8"/>
        <v>0</v>
      </c>
      <c r="J139" s="15">
        <f t="shared" si="8"/>
        <v>1</v>
      </c>
    </row>
    <row r="140" spans="1:10">
      <c r="A140" s="14" t="str">
        <f t="shared" si="10"/>
        <v>1003211</v>
      </c>
      <c r="B140" s="15">
        <f t="shared" si="9"/>
        <v>100</v>
      </c>
      <c r="C140" s="15">
        <f t="shared" si="9"/>
        <v>321</v>
      </c>
      <c r="D140" s="15">
        <f t="shared" si="9"/>
        <v>1</v>
      </c>
      <c r="E140" s="15">
        <f t="shared" si="8"/>
        <v>48</v>
      </c>
      <c r="F140" s="15">
        <f t="shared" si="8"/>
        <v>0</v>
      </c>
      <c r="G140" s="15">
        <f t="shared" si="8"/>
        <v>0</v>
      </c>
      <c r="H140" s="15">
        <f t="shared" si="8"/>
        <v>0</v>
      </c>
      <c r="I140" s="15">
        <f t="shared" si="8"/>
        <v>0</v>
      </c>
      <c r="J140" s="15">
        <f t="shared" si="8"/>
        <v>1</v>
      </c>
    </row>
    <row r="141" spans="1:10">
      <c r="A141" s="14" t="str">
        <f t="shared" si="10"/>
        <v>1003221</v>
      </c>
      <c r="B141" s="15">
        <f t="shared" si="9"/>
        <v>100</v>
      </c>
      <c r="C141" s="15">
        <f t="shared" si="9"/>
        <v>322</v>
      </c>
      <c r="D141" s="15">
        <f t="shared" si="9"/>
        <v>1</v>
      </c>
      <c r="E141" s="15">
        <f t="shared" si="8"/>
        <v>144</v>
      </c>
      <c r="F141" s="15">
        <f t="shared" si="8"/>
        <v>0</v>
      </c>
      <c r="G141" s="15">
        <f t="shared" si="8"/>
        <v>0</v>
      </c>
      <c r="H141" s="15">
        <f t="shared" si="8"/>
        <v>0</v>
      </c>
      <c r="I141" s="15">
        <f t="shared" si="8"/>
        <v>0</v>
      </c>
      <c r="J141" s="15">
        <f t="shared" si="8"/>
        <v>1</v>
      </c>
    </row>
    <row r="142" spans="1:10">
      <c r="A142" s="14" t="str">
        <f t="shared" si="10"/>
        <v>1003231</v>
      </c>
      <c r="B142" s="15">
        <f t="shared" si="9"/>
        <v>100</v>
      </c>
      <c r="C142" s="15">
        <f t="shared" si="9"/>
        <v>323</v>
      </c>
      <c r="D142" s="15">
        <f t="shared" si="9"/>
        <v>1</v>
      </c>
      <c r="E142" s="15">
        <f t="shared" si="8"/>
        <v>48</v>
      </c>
      <c r="F142" s="15">
        <f t="shared" si="8"/>
        <v>0</v>
      </c>
      <c r="G142" s="15">
        <f t="shared" si="8"/>
        <v>0</v>
      </c>
      <c r="H142" s="15">
        <f t="shared" si="8"/>
        <v>0</v>
      </c>
      <c r="I142" s="15">
        <f t="shared" si="8"/>
        <v>0</v>
      </c>
      <c r="J142" s="15">
        <f t="shared" si="8"/>
        <v>1</v>
      </c>
    </row>
    <row r="143" spans="1:10">
      <c r="A143" s="14" t="str">
        <f t="shared" si="10"/>
        <v>1003241</v>
      </c>
      <c r="B143" s="15">
        <f t="shared" si="9"/>
        <v>100</v>
      </c>
      <c r="C143" s="15">
        <f t="shared" si="9"/>
        <v>324</v>
      </c>
      <c r="D143" s="15">
        <f t="shared" si="9"/>
        <v>1</v>
      </c>
      <c r="E143" s="15">
        <f t="shared" si="8"/>
        <v>144</v>
      </c>
      <c r="F143" s="15">
        <f t="shared" si="8"/>
        <v>0</v>
      </c>
      <c r="G143" s="15">
        <f t="shared" si="8"/>
        <v>0</v>
      </c>
      <c r="H143" s="15">
        <f t="shared" si="8"/>
        <v>0</v>
      </c>
      <c r="I143" s="15">
        <f t="shared" si="8"/>
        <v>0</v>
      </c>
      <c r="J143" s="15">
        <f t="shared" si="8"/>
        <v>1</v>
      </c>
    </row>
    <row r="144" spans="1:10">
      <c r="A144" s="14" t="str">
        <f t="shared" si="10"/>
        <v>1003251</v>
      </c>
      <c r="B144" s="15">
        <f t="shared" si="9"/>
        <v>100</v>
      </c>
      <c r="C144" s="15">
        <f t="shared" si="9"/>
        <v>325</v>
      </c>
      <c r="D144" s="15">
        <f t="shared" si="9"/>
        <v>1</v>
      </c>
      <c r="E144" s="15">
        <f t="shared" si="8"/>
        <v>48</v>
      </c>
      <c r="F144" s="15">
        <f t="shared" si="8"/>
        <v>0</v>
      </c>
      <c r="G144" s="15">
        <f t="shared" si="8"/>
        <v>0</v>
      </c>
      <c r="H144" s="15">
        <f t="shared" si="8"/>
        <v>0</v>
      </c>
      <c r="I144" s="15">
        <f t="shared" si="8"/>
        <v>0</v>
      </c>
      <c r="J144" s="15">
        <f t="shared" si="8"/>
        <v>1</v>
      </c>
    </row>
    <row r="145" spans="1:10">
      <c r="A145" s="14" t="str">
        <f t="shared" si="10"/>
        <v>1003261</v>
      </c>
      <c r="B145" s="15">
        <f t="shared" si="9"/>
        <v>100</v>
      </c>
      <c r="C145" s="15">
        <f t="shared" si="9"/>
        <v>326</v>
      </c>
      <c r="D145" s="15">
        <f t="shared" si="9"/>
        <v>1</v>
      </c>
      <c r="E145" s="15">
        <f t="shared" si="8"/>
        <v>144</v>
      </c>
      <c r="F145" s="15">
        <f t="shared" si="8"/>
        <v>0</v>
      </c>
      <c r="G145" s="15">
        <f t="shared" si="8"/>
        <v>0</v>
      </c>
      <c r="H145" s="15">
        <f t="shared" si="8"/>
        <v>0</v>
      </c>
      <c r="I145" s="15">
        <f t="shared" si="8"/>
        <v>0</v>
      </c>
      <c r="J145" s="15">
        <f t="shared" si="8"/>
        <v>1</v>
      </c>
    </row>
    <row r="146" spans="1:10">
      <c r="A146" s="14" t="str">
        <f t="shared" si="10"/>
        <v>1003271</v>
      </c>
      <c r="B146" s="15">
        <f t="shared" si="9"/>
        <v>100</v>
      </c>
      <c r="C146" s="15">
        <f t="shared" si="9"/>
        <v>327</v>
      </c>
      <c r="D146" s="15">
        <f t="shared" si="9"/>
        <v>1</v>
      </c>
      <c r="E146" s="15">
        <f t="shared" si="8"/>
        <v>48</v>
      </c>
      <c r="F146" s="15">
        <f t="shared" si="8"/>
        <v>0</v>
      </c>
      <c r="G146" s="15">
        <f t="shared" si="8"/>
        <v>0</v>
      </c>
      <c r="H146" s="15">
        <f t="shared" si="8"/>
        <v>0</v>
      </c>
      <c r="I146" s="15">
        <f t="shared" si="8"/>
        <v>0</v>
      </c>
      <c r="J146" s="15">
        <f t="shared" si="8"/>
        <v>1</v>
      </c>
    </row>
    <row r="147" spans="1:10">
      <c r="A147" s="14" t="str">
        <f t="shared" si="10"/>
        <v>1003801</v>
      </c>
      <c r="B147" s="15">
        <f t="shared" si="9"/>
        <v>100</v>
      </c>
      <c r="C147" s="15">
        <f t="shared" si="9"/>
        <v>380</v>
      </c>
      <c r="D147" s="15">
        <f t="shared" si="9"/>
        <v>1</v>
      </c>
      <c r="E147" s="15">
        <f t="shared" si="8"/>
        <v>5469</v>
      </c>
      <c r="F147" s="15">
        <f t="shared" si="8"/>
        <v>0</v>
      </c>
      <c r="G147" s="15">
        <f t="shared" si="8"/>
        <v>0</v>
      </c>
      <c r="H147" s="15">
        <f t="shared" si="8"/>
        <v>0</v>
      </c>
      <c r="I147" s="15">
        <f t="shared" si="8"/>
        <v>0</v>
      </c>
      <c r="J147" s="15">
        <f t="shared" si="8"/>
        <v>1</v>
      </c>
    </row>
    <row r="148" spans="1:10">
      <c r="A148" s="14" t="str">
        <f t="shared" si="10"/>
        <v>1003811</v>
      </c>
      <c r="B148" s="15">
        <f t="shared" si="9"/>
        <v>100</v>
      </c>
      <c r="C148" s="15">
        <f t="shared" si="9"/>
        <v>381</v>
      </c>
      <c r="D148" s="15">
        <f t="shared" si="9"/>
        <v>1</v>
      </c>
      <c r="E148" s="15">
        <f t="shared" si="8"/>
        <v>1925</v>
      </c>
      <c r="F148" s="15">
        <f t="shared" si="8"/>
        <v>0</v>
      </c>
      <c r="G148" s="15">
        <f t="shared" si="8"/>
        <v>0</v>
      </c>
      <c r="H148" s="15">
        <f t="shared" si="8"/>
        <v>0</v>
      </c>
      <c r="I148" s="15">
        <f t="shared" si="8"/>
        <v>0</v>
      </c>
      <c r="J148" s="15">
        <f t="shared" si="8"/>
        <v>1</v>
      </c>
    </row>
    <row r="149" spans="1:10">
      <c r="A149" s="14" t="str">
        <f t="shared" si="10"/>
        <v>1003821</v>
      </c>
      <c r="B149" s="15">
        <f t="shared" si="9"/>
        <v>100</v>
      </c>
      <c r="C149" s="15">
        <f t="shared" si="9"/>
        <v>382</v>
      </c>
      <c r="D149" s="15">
        <f t="shared" si="9"/>
        <v>1</v>
      </c>
      <c r="E149" s="15">
        <f t="shared" si="8"/>
        <v>308</v>
      </c>
      <c r="F149" s="15">
        <f t="shared" si="8"/>
        <v>0</v>
      </c>
      <c r="G149" s="15">
        <f t="shared" si="8"/>
        <v>0</v>
      </c>
      <c r="H149" s="15">
        <f t="shared" si="8"/>
        <v>0</v>
      </c>
      <c r="I149" s="15">
        <f t="shared" si="8"/>
        <v>0</v>
      </c>
      <c r="J149" s="15">
        <f t="shared" si="8"/>
        <v>1</v>
      </c>
    </row>
    <row r="150" spans="1:10">
      <c r="A150" s="14" t="str">
        <f t="shared" si="10"/>
        <v>1003831</v>
      </c>
      <c r="B150" s="15">
        <f t="shared" si="9"/>
        <v>100</v>
      </c>
      <c r="C150" s="15">
        <f t="shared" si="9"/>
        <v>383</v>
      </c>
      <c r="D150" s="15">
        <f t="shared" si="9"/>
        <v>1</v>
      </c>
      <c r="E150" s="15">
        <f t="shared" si="8"/>
        <v>1348</v>
      </c>
      <c r="F150" s="15">
        <f t="shared" si="8"/>
        <v>0</v>
      </c>
      <c r="G150" s="15">
        <f t="shared" si="8"/>
        <v>0</v>
      </c>
      <c r="H150" s="15">
        <f t="shared" si="8"/>
        <v>0</v>
      </c>
      <c r="I150" s="15">
        <f t="shared" si="8"/>
        <v>0</v>
      </c>
      <c r="J150" s="15">
        <f t="shared" si="8"/>
        <v>1</v>
      </c>
    </row>
    <row r="151" spans="1:10">
      <c r="A151" s="14" t="str">
        <f t="shared" si="10"/>
        <v>1003841</v>
      </c>
      <c r="B151" s="15">
        <f t="shared" si="9"/>
        <v>100</v>
      </c>
      <c r="C151" s="15">
        <f t="shared" si="9"/>
        <v>384</v>
      </c>
      <c r="D151" s="15">
        <f t="shared" si="9"/>
        <v>1</v>
      </c>
      <c r="E151" s="15">
        <f t="shared" si="8"/>
        <v>193</v>
      </c>
      <c r="F151" s="15">
        <f t="shared" si="8"/>
        <v>0</v>
      </c>
      <c r="G151" s="15">
        <f t="shared" si="8"/>
        <v>0</v>
      </c>
      <c r="H151" s="15">
        <f t="shared" si="8"/>
        <v>0</v>
      </c>
      <c r="I151" s="15">
        <f t="shared" si="8"/>
        <v>0</v>
      </c>
      <c r="J151" s="15">
        <f t="shared" si="8"/>
        <v>1</v>
      </c>
    </row>
    <row r="152" spans="1:10">
      <c r="A152" s="14" t="str">
        <f t="shared" si="10"/>
        <v>1003851</v>
      </c>
      <c r="B152" s="15">
        <f t="shared" si="9"/>
        <v>100</v>
      </c>
      <c r="C152" s="15">
        <f t="shared" si="9"/>
        <v>385</v>
      </c>
      <c r="D152" s="15">
        <f t="shared" si="9"/>
        <v>1</v>
      </c>
      <c r="E152" s="15">
        <f t="shared" si="8"/>
        <v>1348</v>
      </c>
      <c r="F152" s="15">
        <f t="shared" si="8"/>
        <v>0</v>
      </c>
      <c r="G152" s="15">
        <f t="shared" si="8"/>
        <v>0</v>
      </c>
      <c r="H152" s="15">
        <f t="shared" si="8"/>
        <v>0</v>
      </c>
      <c r="I152" s="15">
        <f t="shared" si="8"/>
        <v>0</v>
      </c>
      <c r="J152" s="15">
        <f t="shared" si="8"/>
        <v>1</v>
      </c>
    </row>
    <row r="153" spans="1:10">
      <c r="A153" s="14" t="str">
        <f t="shared" si="10"/>
        <v>1003861</v>
      </c>
      <c r="B153" s="15">
        <f t="shared" si="9"/>
        <v>100</v>
      </c>
      <c r="C153" s="15">
        <f t="shared" si="9"/>
        <v>386</v>
      </c>
      <c r="D153" s="15">
        <f t="shared" si="9"/>
        <v>1</v>
      </c>
      <c r="E153" s="15">
        <f t="shared" si="8"/>
        <v>193</v>
      </c>
      <c r="F153" s="15">
        <f t="shared" si="8"/>
        <v>0</v>
      </c>
      <c r="G153" s="15">
        <f t="shared" si="8"/>
        <v>0</v>
      </c>
      <c r="H153" s="15">
        <f t="shared" si="8"/>
        <v>0</v>
      </c>
      <c r="I153" s="15">
        <f t="shared" si="8"/>
        <v>0</v>
      </c>
      <c r="J153" s="15">
        <f t="shared" si="8"/>
        <v>1</v>
      </c>
    </row>
    <row r="154" spans="1:10">
      <c r="A154" s="14" t="str">
        <f t="shared" si="10"/>
        <v>1003871</v>
      </c>
      <c r="B154" s="15">
        <f t="shared" si="9"/>
        <v>100</v>
      </c>
      <c r="C154" s="15">
        <f t="shared" si="9"/>
        <v>387</v>
      </c>
      <c r="D154" s="15">
        <f t="shared" si="9"/>
        <v>1</v>
      </c>
      <c r="E154" s="15">
        <f t="shared" si="8"/>
        <v>5467</v>
      </c>
      <c r="F154" s="15">
        <f t="shared" si="8"/>
        <v>0</v>
      </c>
      <c r="G154" s="15">
        <f t="shared" si="8"/>
        <v>0</v>
      </c>
      <c r="H154" s="15">
        <f t="shared" si="8"/>
        <v>0</v>
      </c>
      <c r="I154" s="15">
        <f t="shared" si="8"/>
        <v>0</v>
      </c>
      <c r="J154" s="15">
        <f t="shared" si="8"/>
        <v>1</v>
      </c>
    </row>
    <row r="155" spans="1:10">
      <c r="A155" s="14" t="str">
        <f t="shared" si="10"/>
        <v>1003881</v>
      </c>
      <c r="B155" s="15">
        <f t="shared" si="9"/>
        <v>100</v>
      </c>
      <c r="C155" s="15">
        <f t="shared" si="9"/>
        <v>388</v>
      </c>
      <c r="D155" s="15">
        <f t="shared" si="9"/>
        <v>1</v>
      </c>
      <c r="E155" s="15">
        <f t="shared" si="8"/>
        <v>1925</v>
      </c>
      <c r="F155" s="15">
        <f t="shared" si="8"/>
        <v>0</v>
      </c>
      <c r="G155" s="15">
        <f t="shared" si="8"/>
        <v>0</v>
      </c>
      <c r="H155" s="15">
        <f t="shared" si="8"/>
        <v>0</v>
      </c>
      <c r="I155" s="15">
        <f t="shared" si="8"/>
        <v>0</v>
      </c>
      <c r="J155" s="15">
        <f t="shared" si="8"/>
        <v>1</v>
      </c>
    </row>
    <row r="156" spans="1:10">
      <c r="A156" s="14" t="str">
        <f t="shared" si="10"/>
        <v>1003891</v>
      </c>
      <c r="B156" s="15">
        <f t="shared" si="9"/>
        <v>100</v>
      </c>
      <c r="C156" s="15">
        <f t="shared" si="9"/>
        <v>389</v>
      </c>
      <c r="D156" s="15">
        <f t="shared" si="9"/>
        <v>1</v>
      </c>
      <c r="E156" s="15">
        <f t="shared" si="8"/>
        <v>308</v>
      </c>
      <c r="F156" s="15">
        <f t="shared" si="8"/>
        <v>0</v>
      </c>
      <c r="G156" s="15">
        <f t="shared" si="8"/>
        <v>0</v>
      </c>
      <c r="H156" s="15">
        <f t="shared" si="8"/>
        <v>0</v>
      </c>
      <c r="I156" s="15">
        <f t="shared" si="8"/>
        <v>0</v>
      </c>
      <c r="J156" s="15">
        <f t="shared" si="8"/>
        <v>1</v>
      </c>
    </row>
    <row r="157" spans="1:10" customFormat="1" ht="14"/>
    <row r="158" spans="1:10" customFormat="1" ht="14"/>
    <row r="159" spans="1:10" customFormat="1" ht="14"/>
    <row r="160" spans="1:10" customFormat="1" ht="14"/>
    <row r="161" customFormat="1" ht="14"/>
    <row r="162" customFormat="1" ht="14"/>
    <row r="163" customFormat="1" ht="14"/>
    <row r="164" customFormat="1" ht="14"/>
    <row r="165" customFormat="1" ht="14"/>
    <row r="166" customFormat="1" ht="14"/>
    <row r="167" customFormat="1" ht="14"/>
    <row r="168" customFormat="1" ht="14"/>
    <row r="169" customFormat="1" ht="14"/>
    <row r="170" customFormat="1" ht="14"/>
    <row r="171" customFormat="1" ht="14"/>
    <row r="172" customFormat="1" ht="14"/>
    <row r="173" customFormat="1" ht="14"/>
    <row r="174" customFormat="1" ht="14"/>
    <row r="175" customFormat="1" ht="14"/>
    <row r="176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  <row r="238" customFormat="1" ht="14"/>
    <row r="239" customFormat="1" ht="14"/>
    <row r="240" customFormat="1" ht="14"/>
    <row r="241" customFormat="1" ht="14"/>
    <row r="242" customFormat="1" ht="14"/>
    <row r="243" customFormat="1" ht="14"/>
    <row r="244" customFormat="1" ht="14"/>
    <row r="245" customFormat="1" ht="14"/>
    <row r="246" customFormat="1" ht="14"/>
    <row r="247" customFormat="1" ht="14"/>
    <row r="248" customFormat="1" ht="14"/>
    <row r="249" customFormat="1" ht="14"/>
    <row r="250" customFormat="1" ht="14"/>
    <row r="251" customFormat="1" ht="14"/>
    <row r="252" customFormat="1" ht="14"/>
    <row r="253" customFormat="1" ht="14"/>
    <row r="254" customFormat="1" ht="14"/>
    <row r="255" customFormat="1" ht="14"/>
    <row r="256" customFormat="1" ht="14"/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J1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D3" sqref="D3"/>
    </sheetView>
  </sheetViews>
  <sheetFormatPr baseColWidth="12" defaultRowHeight="18" x14ac:dyDescent="0"/>
  <cols>
    <col min="1" max="1" width="11.1640625" style="12" bestFit="1" customWidth="1"/>
    <col min="2" max="2" width="13.83203125" style="8" bestFit="1" customWidth="1"/>
    <col min="3" max="3" width="24" style="8" bestFit="1" customWidth="1"/>
    <col min="4" max="4" width="11.6640625" style="8" bestFit="1" customWidth="1"/>
    <col min="5" max="5" width="9.1640625" style="8" bestFit="1" customWidth="1"/>
    <col min="6" max="6" width="7" style="8" bestFit="1" customWidth="1"/>
    <col min="7" max="16384" width="12.8320312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tr">
        <f>SUBSTITUTE(RIGHT(CELL("filename",$C$1),LEN(CELL("filename",$C$1))-FIND("]",CELL("filename",$C$1))),".tmp","")</f>
        <v>gacha_settle_tables_100</v>
      </c>
    </row>
    <row r="2" spans="1:10" s="13" customFormat="1">
      <c r="A2" s="12" t="s">
        <v>10</v>
      </c>
      <c r="B2" s="61" t="s">
        <v>53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12" si="0">INDIRECT(ADDRESS(ROW()+$A$1,COLUMN(),1,TRUE,$C$1))</f>
        <v>100-103801</v>
      </c>
      <c r="B3" s="15" t="str">
        <f t="shared" ref="B3:B12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100-10</v>
      </c>
      <c r="C3" s="15">
        <f t="shared" ref="C3:J12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380</v>
      </c>
      <c r="D3" s="15">
        <f t="shared" si="2"/>
        <v>1</v>
      </c>
      <c r="E3" s="15">
        <f t="shared" si="2"/>
        <v>5467</v>
      </c>
      <c r="F3" s="15">
        <f t="shared" si="2"/>
        <v>0</v>
      </c>
      <c r="G3" s="15">
        <f t="shared" si="2"/>
        <v>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100-103811</v>
      </c>
      <c r="B4" s="15" t="str">
        <f t="shared" si="1"/>
        <v>100-10</v>
      </c>
      <c r="C4" s="15">
        <f t="shared" si="2"/>
        <v>381</v>
      </c>
      <c r="D4" s="15">
        <f t="shared" si="2"/>
        <v>1</v>
      </c>
      <c r="E4" s="15">
        <f t="shared" si="2"/>
        <v>1925</v>
      </c>
      <c r="F4" s="15">
        <f t="shared" si="2"/>
        <v>0</v>
      </c>
      <c r="G4" s="15">
        <f t="shared" si="2"/>
        <v>0</v>
      </c>
      <c r="H4" s="15">
        <f t="shared" si="2"/>
        <v>0</v>
      </c>
      <c r="I4" s="15">
        <f t="shared" si="2"/>
        <v>0</v>
      </c>
      <c r="J4" s="15">
        <f t="shared" si="2"/>
        <v>1</v>
      </c>
    </row>
    <row r="5" spans="1:10">
      <c r="A5" s="14" t="str">
        <f t="shared" si="0"/>
        <v>100-103821</v>
      </c>
      <c r="B5" s="15" t="str">
        <f t="shared" si="1"/>
        <v>100-10</v>
      </c>
      <c r="C5" s="15">
        <f t="shared" si="2"/>
        <v>382</v>
      </c>
      <c r="D5" s="15">
        <f t="shared" si="2"/>
        <v>1</v>
      </c>
      <c r="E5" s="15">
        <f t="shared" si="2"/>
        <v>308</v>
      </c>
      <c r="F5" s="15">
        <f t="shared" si="2"/>
        <v>0</v>
      </c>
      <c r="G5" s="15">
        <f t="shared" si="2"/>
        <v>0</v>
      </c>
      <c r="H5" s="15">
        <f t="shared" si="2"/>
        <v>0</v>
      </c>
      <c r="I5" s="15">
        <f t="shared" si="2"/>
        <v>0</v>
      </c>
      <c r="J5" s="15">
        <f t="shared" si="2"/>
        <v>1</v>
      </c>
    </row>
    <row r="6" spans="1:10">
      <c r="A6" s="14" t="str">
        <f t="shared" si="0"/>
        <v>100-103831</v>
      </c>
      <c r="B6" s="15" t="str">
        <f t="shared" si="1"/>
        <v>100-10</v>
      </c>
      <c r="C6" s="15">
        <f t="shared" si="2"/>
        <v>383</v>
      </c>
      <c r="D6" s="15">
        <f t="shared" si="2"/>
        <v>1</v>
      </c>
      <c r="E6" s="15">
        <f t="shared" si="2"/>
        <v>1348</v>
      </c>
      <c r="F6" s="15">
        <f t="shared" si="2"/>
        <v>0</v>
      </c>
      <c r="G6" s="15">
        <f t="shared" si="2"/>
        <v>0</v>
      </c>
      <c r="H6" s="15">
        <f t="shared" si="2"/>
        <v>0</v>
      </c>
      <c r="I6" s="15">
        <f t="shared" si="2"/>
        <v>0</v>
      </c>
      <c r="J6" s="15">
        <f t="shared" si="2"/>
        <v>1</v>
      </c>
    </row>
    <row r="7" spans="1:10">
      <c r="A7" s="14" t="str">
        <f t="shared" si="0"/>
        <v>100-103841</v>
      </c>
      <c r="B7" s="15" t="str">
        <f t="shared" si="1"/>
        <v>100-10</v>
      </c>
      <c r="C7" s="15">
        <f t="shared" si="2"/>
        <v>384</v>
      </c>
      <c r="D7" s="15">
        <f t="shared" si="2"/>
        <v>1</v>
      </c>
      <c r="E7" s="15">
        <f t="shared" si="2"/>
        <v>193</v>
      </c>
      <c r="F7" s="15">
        <f t="shared" si="2"/>
        <v>0</v>
      </c>
      <c r="G7" s="15">
        <f t="shared" si="2"/>
        <v>0</v>
      </c>
      <c r="H7" s="15">
        <f t="shared" si="2"/>
        <v>0</v>
      </c>
      <c r="I7" s="15">
        <f t="shared" si="2"/>
        <v>0</v>
      </c>
      <c r="J7" s="15">
        <f t="shared" si="2"/>
        <v>1</v>
      </c>
    </row>
    <row r="8" spans="1:10">
      <c r="A8" s="14" t="str">
        <f t="shared" si="0"/>
        <v>100-103851</v>
      </c>
      <c r="B8" s="15" t="str">
        <f t="shared" si="1"/>
        <v>100-10</v>
      </c>
      <c r="C8" s="15">
        <f t="shared" si="2"/>
        <v>385</v>
      </c>
      <c r="D8" s="15">
        <f t="shared" si="2"/>
        <v>1</v>
      </c>
      <c r="E8" s="15">
        <f t="shared" si="2"/>
        <v>1348</v>
      </c>
      <c r="F8" s="15">
        <f t="shared" si="2"/>
        <v>0</v>
      </c>
      <c r="G8" s="15">
        <f t="shared" si="2"/>
        <v>0</v>
      </c>
      <c r="H8" s="15">
        <f t="shared" si="2"/>
        <v>0</v>
      </c>
      <c r="I8" s="15">
        <f t="shared" si="2"/>
        <v>0</v>
      </c>
      <c r="J8" s="15">
        <f t="shared" si="2"/>
        <v>1</v>
      </c>
    </row>
    <row r="9" spans="1:10">
      <c r="A9" s="14" t="str">
        <f t="shared" si="0"/>
        <v>100-103861</v>
      </c>
      <c r="B9" s="15" t="str">
        <f t="shared" si="1"/>
        <v>100-10</v>
      </c>
      <c r="C9" s="15">
        <f t="shared" si="2"/>
        <v>386</v>
      </c>
      <c r="D9" s="15">
        <f t="shared" si="2"/>
        <v>1</v>
      </c>
      <c r="E9" s="15">
        <f t="shared" si="2"/>
        <v>193</v>
      </c>
      <c r="F9" s="15">
        <f t="shared" si="2"/>
        <v>0</v>
      </c>
      <c r="G9" s="15">
        <f t="shared" si="2"/>
        <v>0</v>
      </c>
      <c r="H9" s="15">
        <f t="shared" si="2"/>
        <v>0</v>
      </c>
      <c r="I9" s="15">
        <f t="shared" si="2"/>
        <v>0</v>
      </c>
      <c r="J9" s="15">
        <f t="shared" si="2"/>
        <v>1</v>
      </c>
    </row>
    <row r="10" spans="1:10">
      <c r="A10" s="14" t="str">
        <f t="shared" si="0"/>
        <v>100-103871</v>
      </c>
      <c r="B10" s="15" t="str">
        <f t="shared" si="1"/>
        <v>100-10</v>
      </c>
      <c r="C10" s="15">
        <f t="shared" si="2"/>
        <v>387</v>
      </c>
      <c r="D10" s="15">
        <f t="shared" si="2"/>
        <v>1</v>
      </c>
      <c r="E10" s="15">
        <f t="shared" si="2"/>
        <v>5468</v>
      </c>
      <c r="F10" s="15">
        <f t="shared" si="2"/>
        <v>0</v>
      </c>
      <c r="G10" s="15">
        <f t="shared" si="2"/>
        <v>0</v>
      </c>
      <c r="H10" s="15">
        <f t="shared" si="2"/>
        <v>0</v>
      </c>
      <c r="I10" s="15">
        <f t="shared" si="2"/>
        <v>0</v>
      </c>
      <c r="J10" s="15">
        <f t="shared" si="2"/>
        <v>1</v>
      </c>
    </row>
    <row r="11" spans="1:10">
      <c r="A11" s="14" t="str">
        <f t="shared" si="0"/>
        <v>100-103881</v>
      </c>
      <c r="B11" s="15" t="str">
        <f t="shared" si="1"/>
        <v>100-10</v>
      </c>
      <c r="C11" s="15">
        <f t="shared" si="2"/>
        <v>388</v>
      </c>
      <c r="D11" s="15">
        <f t="shared" si="2"/>
        <v>1</v>
      </c>
      <c r="E11" s="15">
        <f t="shared" si="2"/>
        <v>1925</v>
      </c>
      <c r="F11" s="15">
        <f t="shared" si="2"/>
        <v>0</v>
      </c>
      <c r="G11" s="15">
        <f t="shared" si="2"/>
        <v>0</v>
      </c>
      <c r="H11" s="15">
        <f t="shared" si="2"/>
        <v>0</v>
      </c>
      <c r="I11" s="15">
        <f t="shared" si="2"/>
        <v>0</v>
      </c>
      <c r="J11" s="15">
        <f t="shared" si="2"/>
        <v>1</v>
      </c>
    </row>
    <row r="12" spans="1:10">
      <c r="A12" s="14" t="str">
        <f t="shared" si="0"/>
        <v>100-103891</v>
      </c>
      <c r="B12" s="15" t="str">
        <f t="shared" si="1"/>
        <v>100-10</v>
      </c>
      <c r="C12" s="15">
        <f t="shared" si="2"/>
        <v>389</v>
      </c>
      <c r="D12" s="15">
        <f t="shared" si="2"/>
        <v>1</v>
      </c>
      <c r="E12" s="15">
        <f t="shared" si="2"/>
        <v>308</v>
      </c>
      <c r="F12" s="15">
        <f t="shared" si="2"/>
        <v>0</v>
      </c>
      <c r="G12" s="15">
        <f t="shared" si="2"/>
        <v>0</v>
      </c>
      <c r="H12" s="15">
        <f t="shared" si="2"/>
        <v>0</v>
      </c>
      <c r="I12" s="15">
        <f t="shared" si="2"/>
        <v>0</v>
      </c>
      <c r="J12" s="15">
        <f t="shared" si="2"/>
        <v>1</v>
      </c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D12"/>
  <sheetViews>
    <sheetView workbookViewId="0">
      <pane xSplit="2" ySplit="2" topLeftCell="C3" activePane="bottomRight" state="frozen"/>
      <selection activeCell="M24" sqref="M24"/>
      <selection pane="topRight" activeCell="M24" sqref="M24"/>
      <selection pane="bottomLeft" activeCell="M24" sqref="M24"/>
      <selection pane="bottomRight" activeCell="H18" sqref="H18"/>
    </sheetView>
  </sheetViews>
  <sheetFormatPr baseColWidth="12" defaultRowHeight="18" x14ac:dyDescent="0"/>
  <cols>
    <col min="1" max="1" width="12.83203125" style="8"/>
    <col min="2" max="2" width="13.83203125" style="64" bestFit="1" customWidth="1"/>
    <col min="3" max="3" width="13.83203125" style="8" bestFit="1" customWidth="1"/>
    <col min="4" max="4" width="24" style="8" bestFit="1" customWidth="1"/>
    <col min="5" max="16384" width="12.83203125" style="8"/>
  </cols>
  <sheetData>
    <row r="1" spans="1:4" s="10" customFormat="1">
      <c r="A1" s="10">
        <f>MATCH(A2,INDIRECT(C1&amp;"!A:A"),0)-2</f>
        <v>-1</v>
      </c>
      <c r="B1" s="11" t="str">
        <f>"$"&amp;2+$A$1&amp;":$"&amp;2+$A$1</f>
        <v>$1:$1</v>
      </c>
      <c r="C1" s="10" t="str">
        <f>SUBSTITUTE(RIGHT(CELL("filename",$D$1),LEN(CELL("filename",$D$1))-FIND("]",CELL("filename",$D$1))),".tmp","")</f>
        <v>gacha_bonus_tables_100</v>
      </c>
    </row>
    <row r="2" spans="1:4" s="13" customFormat="1">
      <c r="A2" s="12" t="s">
        <v>10</v>
      </c>
      <c r="B2" s="61" t="s">
        <v>55</v>
      </c>
      <c r="C2" s="66" t="s">
        <v>58</v>
      </c>
      <c r="D2" s="61" t="s">
        <v>56</v>
      </c>
    </row>
    <row r="3" spans="1:4">
      <c r="A3" s="8" t="str">
        <f>INDIRECT(ADDRESS(ROW()+$A$1,COLUMN(),1,TRUE,$C$1))</f>
        <v>1001</v>
      </c>
      <c r="B3" s="15">
        <f t="shared" ref="B3:B12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3" s="15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5">
        <f>VLOOKUP($A3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100</v>
      </c>
    </row>
    <row r="4" spans="1:4">
      <c r="A4" s="8" t="str">
        <f t="shared" ref="A4:A12" si="1">INDIRECT(ADDRESS(ROW()+$A$1,COLUMN(),1,TRUE,$C$1))</f>
        <v>1002</v>
      </c>
      <c r="B4" s="15">
        <f t="shared" si="0"/>
        <v>100</v>
      </c>
      <c r="C4" s="15">
        <f t="shared" ref="C4:D12" si="2"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</v>
      </c>
      <c r="D4" s="15">
        <f t="shared" si="2"/>
        <v>100</v>
      </c>
    </row>
    <row r="5" spans="1:4">
      <c r="A5" s="8" t="str">
        <f t="shared" si="1"/>
        <v>1003</v>
      </c>
      <c r="B5" s="15">
        <f t="shared" si="0"/>
        <v>100</v>
      </c>
      <c r="C5" s="15">
        <f t="shared" si="2"/>
        <v>3</v>
      </c>
      <c r="D5" s="15">
        <f t="shared" si="2"/>
        <v>100</v>
      </c>
    </row>
    <row r="6" spans="1:4">
      <c r="A6" s="8" t="str">
        <f t="shared" si="1"/>
        <v>1004</v>
      </c>
      <c r="B6" s="15">
        <f t="shared" si="0"/>
        <v>100</v>
      </c>
      <c r="C6" s="15">
        <f t="shared" si="2"/>
        <v>4</v>
      </c>
      <c r="D6" s="15">
        <f t="shared" si="2"/>
        <v>100</v>
      </c>
    </row>
    <row r="7" spans="1:4">
      <c r="A7" s="8" t="str">
        <f t="shared" si="1"/>
        <v>1005</v>
      </c>
      <c r="B7" s="15">
        <f t="shared" si="0"/>
        <v>100</v>
      </c>
      <c r="C7" s="15">
        <f t="shared" si="2"/>
        <v>5</v>
      </c>
      <c r="D7" s="15">
        <f t="shared" si="2"/>
        <v>100</v>
      </c>
    </row>
    <row r="8" spans="1:4">
      <c r="A8" s="8" t="str">
        <f t="shared" si="1"/>
        <v>1006</v>
      </c>
      <c r="B8" s="15">
        <f t="shared" si="0"/>
        <v>100</v>
      </c>
      <c r="C8" s="15">
        <f t="shared" si="2"/>
        <v>6</v>
      </c>
      <c r="D8" s="15">
        <f t="shared" si="2"/>
        <v>100</v>
      </c>
    </row>
    <row r="9" spans="1:4">
      <c r="A9" s="8" t="str">
        <f t="shared" si="1"/>
        <v>1007</v>
      </c>
      <c r="B9" s="15">
        <f t="shared" si="0"/>
        <v>100</v>
      </c>
      <c r="C9" s="15">
        <f t="shared" si="2"/>
        <v>7</v>
      </c>
      <c r="D9" s="15">
        <f t="shared" si="2"/>
        <v>100</v>
      </c>
    </row>
    <row r="10" spans="1:4">
      <c r="A10" s="8" t="str">
        <f t="shared" si="1"/>
        <v>1008</v>
      </c>
      <c r="B10" s="15">
        <f t="shared" si="0"/>
        <v>100</v>
      </c>
      <c r="C10" s="15">
        <f t="shared" si="2"/>
        <v>8</v>
      </c>
      <c r="D10" s="15">
        <f t="shared" si="2"/>
        <v>100</v>
      </c>
    </row>
    <row r="11" spans="1:4">
      <c r="A11" s="8" t="str">
        <f t="shared" si="1"/>
        <v>1009</v>
      </c>
      <c r="B11" s="15">
        <f t="shared" si="0"/>
        <v>100</v>
      </c>
      <c r="C11" s="15">
        <f t="shared" si="2"/>
        <v>9</v>
      </c>
      <c r="D11" s="15">
        <f t="shared" si="2"/>
        <v>100</v>
      </c>
    </row>
    <row r="12" spans="1:4">
      <c r="A12" s="8" t="str">
        <f t="shared" si="1"/>
        <v>10010</v>
      </c>
      <c r="B12" s="15">
        <f t="shared" si="0"/>
        <v>100</v>
      </c>
      <c r="C12" s="15">
        <f t="shared" si="2"/>
        <v>10</v>
      </c>
      <c r="D12" s="15">
        <f t="shared" si="2"/>
        <v>100</v>
      </c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12"/>
  <sheetViews>
    <sheetView tabSelected="1" workbookViewId="0">
      <selection activeCell="C2" sqref="C2"/>
    </sheetView>
  </sheetViews>
  <sheetFormatPr baseColWidth="12" defaultRowHeight="14" x14ac:dyDescent="0"/>
  <cols>
    <col min="3" max="3" width="31.33203125" customWidth="1"/>
  </cols>
  <sheetData>
    <row r="1" spans="1:9" s="10" customFormat="1" ht="18">
      <c r="A1" s="10">
        <f>MATCH(A2,INDIRECT(C1&amp;"!A:A"),0)-2</f>
        <v>-1</v>
      </c>
      <c r="B1" s="11" t="str">
        <f>"$"&amp;2+$A$1&amp;":$"&amp;2+$A$1</f>
        <v>$1:$1</v>
      </c>
      <c r="C1" s="68" t="str">
        <f>"gacha_bonus_tables"&amp;LEFT(RIGHT(CELL("filename",$C$1),8),4)</f>
        <v>gacha_bonus_tables_100</v>
      </c>
      <c r="D1" s="68" t="s">
        <v>74</v>
      </c>
      <c r="E1" s="68" t="s">
        <v>75</v>
      </c>
      <c r="F1" s="68" t="s">
        <v>76</v>
      </c>
      <c r="G1" s="68" t="s">
        <v>74</v>
      </c>
      <c r="H1" s="68" t="s">
        <v>75</v>
      </c>
      <c r="I1" s="68" t="s">
        <v>76</v>
      </c>
    </row>
    <row r="2" spans="1:9" s="13" customFormat="1" ht="18">
      <c r="A2" s="12" t="s">
        <v>10</v>
      </c>
      <c r="B2" s="66" t="s">
        <v>71</v>
      </c>
      <c r="C2" s="72" t="s">
        <v>84</v>
      </c>
      <c r="D2" s="66" t="s">
        <v>72</v>
      </c>
      <c r="E2" s="66" t="s">
        <v>73</v>
      </c>
      <c r="F2" s="66" t="s">
        <v>73</v>
      </c>
      <c r="G2" s="66" t="s">
        <v>77</v>
      </c>
      <c r="H2" s="66" t="s">
        <v>77</v>
      </c>
      <c r="I2" s="66" t="s">
        <v>77</v>
      </c>
    </row>
    <row r="3" spans="1:9" ht="18">
      <c r="A3" s="8" t="str">
        <f>INDIRECT(ADDRESS(ROW()+$A$1,COLUMN(),1,TRUE,$C$1))</f>
        <v>1001</v>
      </c>
      <c r="B3" s="15">
        <f t="shared" ref="B3:I12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</v>
      </c>
      <c r="C3" s="15" t="str">
        <f t="shared" si="0"/>
        <v>polygon</v>
      </c>
      <c r="D3" s="15">
        <f t="shared" si="0"/>
        <v>1</v>
      </c>
      <c r="E3" s="15">
        <f t="shared" si="0"/>
        <v>1</v>
      </c>
      <c r="F3" s="15">
        <f t="shared" si="0"/>
        <v>1</v>
      </c>
      <c r="G3" s="15" t="str">
        <f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NULL</v>
      </c>
      <c r="H3" s="15" t="str">
        <f t="shared" si="0"/>
        <v>NULL</v>
      </c>
      <c r="I3" s="15" t="str">
        <f>VLOOKUP($A3,OFFSET(INDIRECT($C$1&amp;"!$A1"),0,0,COUNTA(INDIRECT($C$1&amp;"!$A:$A"))+1,MATCH(I$2,INDIRECT($C$1&amp;"!"&amp;$B$1),0)-MATCH($A$2,INDIRECT($C$1&amp;"!"&amp;$B$1),0)+1),MATCH(I$2,INDIRECT($C$1&amp;"!"&amp;$B$1),0)-MATCH($A$2,INDIRECT($C$1&amp;"!"&amp;$B$1),0)+1,FALSE)</f>
        <v>NULL</v>
      </c>
    </row>
    <row r="4" spans="1:9" ht="18">
      <c r="A4" s="8" t="str">
        <f t="shared" ref="A4:A12" si="1">INDIRECT(ADDRESS(ROW()+$A$1,COLUMN(),1,TRUE,$C$1))</f>
        <v>1002</v>
      </c>
      <c r="B4" s="15">
        <f t="shared" si="0"/>
        <v>2</v>
      </c>
      <c r="C4" s="15" t="str">
        <f t="shared" si="0"/>
        <v>polygon</v>
      </c>
      <c r="D4" s="15">
        <f t="shared" si="0"/>
        <v>1</v>
      </c>
      <c r="E4" s="15">
        <f t="shared" si="0"/>
        <v>1</v>
      </c>
      <c r="F4" s="15">
        <f t="shared" si="0"/>
        <v>1</v>
      </c>
      <c r="G4" s="15" t="str">
        <f>VLOOKUP($A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NULL</v>
      </c>
      <c r="H4" s="15" t="str">
        <f t="shared" si="0"/>
        <v>NULL</v>
      </c>
      <c r="I4" s="15" t="str">
        <f t="shared" si="0"/>
        <v>NULL</v>
      </c>
    </row>
    <row r="5" spans="1:9" ht="18">
      <c r="A5" s="8" t="str">
        <f t="shared" si="1"/>
        <v>1003</v>
      </c>
      <c r="B5" s="15">
        <f t="shared" si="0"/>
        <v>3</v>
      </c>
      <c r="C5" s="15" t="str">
        <f t="shared" si="0"/>
        <v>polygon</v>
      </c>
      <c r="D5" s="15">
        <f t="shared" si="0"/>
        <v>1</v>
      </c>
      <c r="E5" s="15">
        <f t="shared" si="0"/>
        <v>1</v>
      </c>
      <c r="F5" s="15">
        <f t="shared" si="0"/>
        <v>1</v>
      </c>
      <c r="G5" s="15" t="str">
        <f t="shared" si="0"/>
        <v>NULL</v>
      </c>
      <c r="H5" s="15" t="str">
        <f t="shared" si="0"/>
        <v>NULL</v>
      </c>
      <c r="I5" s="15" t="str">
        <f t="shared" si="0"/>
        <v>NULL</v>
      </c>
    </row>
    <row r="6" spans="1:9" ht="18">
      <c r="A6" s="8" t="str">
        <f t="shared" si="1"/>
        <v>1004</v>
      </c>
      <c r="B6" s="15">
        <f t="shared" si="0"/>
        <v>4</v>
      </c>
      <c r="C6" s="15" t="str">
        <f t="shared" si="0"/>
        <v>polygon</v>
      </c>
      <c r="D6" s="15">
        <f t="shared" si="0"/>
        <v>1</v>
      </c>
      <c r="E6" s="15">
        <f t="shared" si="0"/>
        <v>1</v>
      </c>
      <c r="F6" s="15">
        <f t="shared" si="0"/>
        <v>1</v>
      </c>
      <c r="G6" s="15" t="str">
        <f t="shared" si="0"/>
        <v>NULL</v>
      </c>
      <c r="H6" s="15" t="str">
        <f t="shared" si="0"/>
        <v>NULL</v>
      </c>
      <c r="I6" s="15" t="str">
        <f t="shared" si="0"/>
        <v>NULL</v>
      </c>
    </row>
    <row r="7" spans="1:9" ht="18">
      <c r="A7" s="8" t="str">
        <f t="shared" si="1"/>
        <v>1005</v>
      </c>
      <c r="B7" s="15">
        <f t="shared" si="0"/>
        <v>5</v>
      </c>
      <c r="C7" s="15" t="str">
        <f t="shared" si="0"/>
        <v>polygon</v>
      </c>
      <c r="D7" s="15">
        <f t="shared" si="0"/>
        <v>1</v>
      </c>
      <c r="E7" s="15">
        <f t="shared" si="0"/>
        <v>1</v>
      </c>
      <c r="F7" s="15">
        <f t="shared" si="0"/>
        <v>1</v>
      </c>
      <c r="G7" s="15" t="str">
        <f t="shared" si="0"/>
        <v>NULL</v>
      </c>
      <c r="H7" s="15" t="str">
        <f t="shared" si="0"/>
        <v>NULL</v>
      </c>
      <c r="I7" s="15" t="str">
        <f t="shared" si="0"/>
        <v>NULL</v>
      </c>
    </row>
    <row r="8" spans="1:9" ht="18">
      <c r="A8" s="8" t="str">
        <f t="shared" si="1"/>
        <v>1006</v>
      </c>
      <c r="B8" s="15">
        <f t="shared" si="0"/>
        <v>6</v>
      </c>
      <c r="C8" s="15" t="str">
        <f t="shared" si="0"/>
        <v>polygon</v>
      </c>
      <c r="D8" s="15">
        <f t="shared" si="0"/>
        <v>1</v>
      </c>
      <c r="E8" s="15">
        <f t="shared" si="0"/>
        <v>1</v>
      </c>
      <c r="F8" s="15">
        <f t="shared" si="0"/>
        <v>1</v>
      </c>
      <c r="G8" s="15" t="str">
        <f t="shared" si="0"/>
        <v>NULL</v>
      </c>
      <c r="H8" s="15" t="str">
        <f t="shared" si="0"/>
        <v>NULL</v>
      </c>
      <c r="I8" s="15" t="str">
        <f t="shared" si="0"/>
        <v>NULL</v>
      </c>
    </row>
    <row r="9" spans="1:9" ht="18">
      <c r="A9" s="8" t="str">
        <f t="shared" si="1"/>
        <v>1007</v>
      </c>
      <c r="B9" s="15">
        <f t="shared" si="0"/>
        <v>7</v>
      </c>
      <c r="C9" s="15" t="str">
        <f t="shared" si="0"/>
        <v>polygon</v>
      </c>
      <c r="D9" s="15">
        <f t="shared" si="0"/>
        <v>1</v>
      </c>
      <c r="E9" s="15">
        <f t="shared" si="0"/>
        <v>1</v>
      </c>
      <c r="F9" s="15">
        <f t="shared" si="0"/>
        <v>1</v>
      </c>
      <c r="G9" s="15" t="str">
        <f t="shared" si="0"/>
        <v>NULL</v>
      </c>
      <c r="H9" s="15" t="str">
        <f t="shared" si="0"/>
        <v>NULL</v>
      </c>
      <c r="I9" s="15" t="str">
        <f t="shared" si="0"/>
        <v>NULL</v>
      </c>
    </row>
    <row r="10" spans="1:9" ht="18">
      <c r="A10" s="8" t="str">
        <f t="shared" si="1"/>
        <v>1008</v>
      </c>
      <c r="B10" s="15">
        <f t="shared" si="0"/>
        <v>8</v>
      </c>
      <c r="C10" s="15" t="str">
        <f t="shared" si="0"/>
        <v>polygon</v>
      </c>
      <c r="D10" s="15">
        <f t="shared" si="0"/>
        <v>1</v>
      </c>
      <c r="E10" s="15">
        <f t="shared" si="0"/>
        <v>1</v>
      </c>
      <c r="F10" s="15">
        <f t="shared" si="0"/>
        <v>1</v>
      </c>
      <c r="G10" s="15" t="str">
        <f t="shared" si="0"/>
        <v>NULL</v>
      </c>
      <c r="H10" s="15" t="str">
        <f t="shared" si="0"/>
        <v>NULL</v>
      </c>
      <c r="I10" s="15" t="str">
        <f t="shared" si="0"/>
        <v>NULL</v>
      </c>
    </row>
    <row r="11" spans="1:9" ht="18">
      <c r="A11" s="8" t="str">
        <f t="shared" si="1"/>
        <v>1009</v>
      </c>
      <c r="B11" s="15">
        <f t="shared" si="0"/>
        <v>9</v>
      </c>
      <c r="C11" s="15" t="str">
        <f t="shared" si="0"/>
        <v>polygon</v>
      </c>
      <c r="D11" s="15">
        <f t="shared" si="0"/>
        <v>1</v>
      </c>
      <c r="E11" s="15">
        <f t="shared" si="0"/>
        <v>1</v>
      </c>
      <c r="F11" s="15">
        <f t="shared" si="0"/>
        <v>1</v>
      </c>
      <c r="G11" s="15" t="str">
        <f t="shared" si="0"/>
        <v>NULL</v>
      </c>
      <c r="H11" s="15" t="str">
        <f t="shared" si="0"/>
        <v>NULL</v>
      </c>
      <c r="I11" s="15" t="str">
        <f t="shared" si="0"/>
        <v>NULL</v>
      </c>
    </row>
    <row r="12" spans="1:9" ht="18">
      <c r="A12" s="8" t="str">
        <f t="shared" si="1"/>
        <v>10010</v>
      </c>
      <c r="B12" s="15">
        <f t="shared" si="0"/>
        <v>10</v>
      </c>
      <c r="C12" s="15" t="str">
        <f t="shared" si="0"/>
        <v>unit</v>
      </c>
      <c r="D12" s="15">
        <f t="shared" si="0"/>
        <v>130</v>
      </c>
      <c r="E12" s="15">
        <f t="shared" si="0"/>
        <v>130</v>
      </c>
      <c r="F12" s="15">
        <f t="shared" si="0"/>
        <v>130</v>
      </c>
      <c r="G12" s="15">
        <f t="shared" si="0"/>
        <v>1</v>
      </c>
      <c r="H12" s="15">
        <f t="shared" si="0"/>
        <v>1</v>
      </c>
      <c r="I12" s="15">
        <f t="shared" si="0"/>
        <v>1</v>
      </c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2"/>
  <sheetViews>
    <sheetView workbookViewId="0">
      <selection activeCell="C2" sqref="C2"/>
    </sheetView>
  </sheetViews>
  <sheetFormatPr baseColWidth="12" defaultRowHeight="14" x14ac:dyDescent="0"/>
  <sheetData>
    <row r="1" spans="1:6" s="10" customFormat="1" ht="18">
      <c r="A1" s="10">
        <f>MATCH(A2,INDIRECT(C1&amp;"!A:A"),0)-2</f>
        <v>-1</v>
      </c>
      <c r="B1" s="11" t="str">
        <f>"$"&amp;2+$A$1&amp;":$"&amp;2+$A$1</f>
        <v>$1:$1</v>
      </c>
      <c r="C1" s="68" t="str">
        <f>"gacha_bonus_tables"&amp;LEFT(RIGHT(CELL("filename",$C$1),8),4)</f>
        <v>gacha_bonus_tables_100</v>
      </c>
      <c r="D1" s="68"/>
      <c r="E1" s="68"/>
      <c r="F1" s="68"/>
    </row>
    <row r="2" spans="1:6" s="13" customFormat="1" ht="18">
      <c r="A2" s="12" t="s">
        <v>10</v>
      </c>
      <c r="B2" s="66" t="s">
        <v>57</v>
      </c>
      <c r="C2" s="71" t="s">
        <v>78</v>
      </c>
      <c r="D2" s="71" t="s">
        <v>79</v>
      </c>
      <c r="E2" s="71" t="s">
        <v>80</v>
      </c>
      <c r="F2" s="71" t="s">
        <v>81</v>
      </c>
    </row>
    <row r="3" spans="1:6" ht="18">
      <c r="A3" s="8" t="str">
        <f>INDIRECT(ADDRESS(ROW()+$A$1,COLUMN(),1,TRUE,$C$1))</f>
        <v>1001</v>
      </c>
      <c r="B3" s="15">
        <f t="shared" ref="B3:F12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</v>
      </c>
      <c r="C3" s="15" t="str">
        <f t="shared" si="0"/>
        <v>ja</v>
      </c>
      <c r="D3" s="15" t="str">
        <f t="shared" si="0"/>
        <v>タイトル</v>
      </c>
      <c r="E3" s="15" t="str">
        <f t="shared" si="0"/>
        <v>一覧の説明</v>
      </c>
      <c r="F3" s="15" t="str">
        <f t="shared" si="0"/>
        <v>タップした時のメッセージ</v>
      </c>
    </row>
    <row r="4" spans="1:6" ht="18">
      <c r="A4" s="8" t="str">
        <f t="shared" ref="A4:A12" si="1">INDIRECT(ADDRESS(ROW()+$A$1,COLUMN(),1,TRUE,$C$1))</f>
        <v>1002</v>
      </c>
      <c r="B4" s="15">
        <f t="shared" si="0"/>
        <v>2</v>
      </c>
      <c r="C4" s="15" t="str">
        <f t="shared" si="0"/>
        <v>ja</v>
      </c>
      <c r="D4" s="15" t="str">
        <f t="shared" si="0"/>
        <v>タイトル</v>
      </c>
      <c r="E4" s="15" t="str">
        <f t="shared" si="0"/>
        <v>一覧の説明</v>
      </c>
      <c r="F4" s="15" t="str">
        <f t="shared" si="0"/>
        <v>タップした時のメッセージ</v>
      </c>
    </row>
    <row r="5" spans="1:6" ht="18">
      <c r="A5" s="8" t="str">
        <f t="shared" si="1"/>
        <v>1003</v>
      </c>
      <c r="B5" s="15">
        <f t="shared" si="0"/>
        <v>3</v>
      </c>
      <c r="C5" s="15" t="str">
        <f t="shared" si="0"/>
        <v>ja</v>
      </c>
      <c r="D5" s="15" t="str">
        <f t="shared" si="0"/>
        <v>タイトル</v>
      </c>
      <c r="E5" s="15" t="str">
        <f t="shared" si="0"/>
        <v>一覧の説明</v>
      </c>
      <c r="F5" s="15" t="str">
        <f t="shared" si="0"/>
        <v>タップした時のメッセージ</v>
      </c>
    </row>
    <row r="6" spans="1:6" ht="18">
      <c r="A6" s="8" t="str">
        <f t="shared" si="1"/>
        <v>1004</v>
      </c>
      <c r="B6" s="15">
        <f t="shared" si="0"/>
        <v>4</v>
      </c>
      <c r="C6" s="15" t="str">
        <f t="shared" si="0"/>
        <v>ja</v>
      </c>
      <c r="D6" s="15" t="str">
        <f t="shared" si="0"/>
        <v>タイトル</v>
      </c>
      <c r="E6" s="15" t="str">
        <f t="shared" si="0"/>
        <v>一覧の説明</v>
      </c>
      <c r="F6" s="15" t="str">
        <f t="shared" si="0"/>
        <v>タップした時のメッセージ</v>
      </c>
    </row>
    <row r="7" spans="1:6" ht="18">
      <c r="A7" s="8" t="str">
        <f t="shared" si="1"/>
        <v>1005</v>
      </c>
      <c r="B7" s="15">
        <f t="shared" si="0"/>
        <v>5</v>
      </c>
      <c r="C7" s="15" t="str">
        <f t="shared" si="0"/>
        <v>ja</v>
      </c>
      <c r="D7" s="15" t="str">
        <f t="shared" si="0"/>
        <v>タイトル</v>
      </c>
      <c r="E7" s="15" t="str">
        <f t="shared" si="0"/>
        <v>一覧の説明</v>
      </c>
      <c r="F7" s="15" t="str">
        <f t="shared" si="0"/>
        <v>タップした時のメッセージ</v>
      </c>
    </row>
    <row r="8" spans="1:6" ht="18">
      <c r="A8" s="8" t="str">
        <f t="shared" si="1"/>
        <v>1006</v>
      </c>
      <c r="B8" s="15">
        <f t="shared" si="0"/>
        <v>6</v>
      </c>
      <c r="C8" s="15" t="str">
        <f t="shared" si="0"/>
        <v>ja</v>
      </c>
      <c r="D8" s="15" t="str">
        <f t="shared" si="0"/>
        <v>タイトル</v>
      </c>
      <c r="E8" s="15" t="str">
        <f t="shared" si="0"/>
        <v>一覧の説明</v>
      </c>
      <c r="F8" s="15" t="str">
        <f t="shared" si="0"/>
        <v>タップした時のメッセージ</v>
      </c>
    </row>
    <row r="9" spans="1:6" ht="18">
      <c r="A9" s="8" t="str">
        <f t="shared" si="1"/>
        <v>1007</v>
      </c>
      <c r="B9" s="15">
        <f t="shared" si="0"/>
        <v>7</v>
      </c>
      <c r="C9" s="15" t="str">
        <f t="shared" si="0"/>
        <v>ja</v>
      </c>
      <c r="D9" s="15" t="str">
        <f t="shared" si="0"/>
        <v>タイトル</v>
      </c>
      <c r="E9" s="15" t="str">
        <f t="shared" si="0"/>
        <v>一覧の説明</v>
      </c>
      <c r="F9" s="15" t="str">
        <f t="shared" si="0"/>
        <v>タップした時のメッセージ</v>
      </c>
    </row>
    <row r="10" spans="1:6" ht="18">
      <c r="A10" s="8" t="str">
        <f t="shared" si="1"/>
        <v>1008</v>
      </c>
      <c r="B10" s="15">
        <f t="shared" si="0"/>
        <v>8</v>
      </c>
      <c r="C10" s="15" t="str">
        <f t="shared" si="0"/>
        <v>ja</v>
      </c>
      <c r="D10" s="15" t="str">
        <f t="shared" si="0"/>
        <v>タイトル</v>
      </c>
      <c r="E10" s="15" t="str">
        <f t="shared" si="0"/>
        <v>一覧の説明</v>
      </c>
      <c r="F10" s="15" t="str">
        <f t="shared" si="0"/>
        <v>タップした時のメッセージ</v>
      </c>
    </row>
    <row r="11" spans="1:6" ht="18">
      <c r="A11" s="8" t="str">
        <f t="shared" si="1"/>
        <v>1009</v>
      </c>
      <c r="B11" s="15">
        <f t="shared" si="0"/>
        <v>9</v>
      </c>
      <c r="C11" s="15" t="str">
        <f t="shared" si="0"/>
        <v>ja</v>
      </c>
      <c r="D11" s="15" t="str">
        <f t="shared" si="0"/>
        <v>タイトル</v>
      </c>
      <c r="E11" s="15" t="str">
        <f t="shared" si="0"/>
        <v>一覧の説明</v>
      </c>
      <c r="F11" s="15" t="str">
        <f t="shared" si="0"/>
        <v>タップした時のメッセージ</v>
      </c>
    </row>
    <row r="12" spans="1:6" ht="18">
      <c r="A12" s="8" t="str">
        <f t="shared" si="1"/>
        <v>10010</v>
      </c>
      <c r="B12" s="15">
        <f t="shared" si="0"/>
        <v>10</v>
      </c>
      <c r="C12" s="15" t="str">
        <f t="shared" si="0"/>
        <v>ja</v>
      </c>
      <c r="D12" s="15" t="str">
        <f t="shared" si="0"/>
        <v>タイトル</v>
      </c>
      <c r="E12" s="15" t="str">
        <f t="shared" si="0"/>
        <v>一覧の説明</v>
      </c>
      <c r="F12" s="15" t="str">
        <f t="shared" si="0"/>
        <v>タップした時のメッセージ</v>
      </c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gacha_100_base</vt:lpstr>
      <vt:lpstr>gacha_select_tables_100</vt:lpstr>
      <vt:lpstr>gacha_settle_tables_100</vt:lpstr>
      <vt:lpstr>gacha_bonus_tables_100</vt:lpstr>
      <vt:lpstr>gacha_select_tables_100.tmp</vt:lpstr>
      <vt:lpstr>gacha_settle_tables_100.tmp</vt:lpstr>
      <vt:lpstr>gacha_bonus_tables_100.tmp</vt:lpstr>
      <vt:lpstr>gifts_tmp_100.tmp</vt:lpstr>
      <vt:lpstr>gifts_i18n_100.tmp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2015-10-05T07:59:12Z</dcterms:modified>
</cp:coreProperties>
</file>