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00" windowHeight="16000" tabRatio="721" activeTab="1"/>
  </bookViews>
  <sheets>
    <sheet name="output" sheetId="10" r:id="rId1"/>
    <sheet name="stage_hints" sheetId="3" r:id="rId2"/>
  </sheets>
  <externalReferences>
    <externalReference r:id="rId3"/>
    <externalReference r:id="rId4"/>
  </externalReferences>
  <definedNames>
    <definedName name="_xlnm._FilterDatabase" localSheetId="1" hidden="1">stage_hints!$C$1:$M$2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3" l="1"/>
  <c r="M3" i="3"/>
  <c r="L4" i="3"/>
  <c r="M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L40" i="3"/>
  <c r="M4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L51" i="3"/>
  <c r="M51" i="3"/>
  <c r="L52" i="3"/>
  <c r="M52" i="3"/>
  <c r="L53" i="3"/>
  <c r="M53" i="3"/>
  <c r="L54" i="3"/>
  <c r="M54" i="3"/>
  <c r="L55" i="3"/>
  <c r="M55" i="3"/>
  <c r="L56" i="3"/>
  <c r="M56" i="3"/>
  <c r="L57" i="3"/>
  <c r="M57" i="3"/>
  <c r="L58" i="3"/>
  <c r="M58" i="3"/>
  <c r="L59" i="3"/>
  <c r="M59" i="3"/>
  <c r="L60" i="3"/>
  <c r="M60" i="3"/>
  <c r="L61" i="3"/>
  <c r="M61" i="3"/>
  <c r="L62" i="3"/>
  <c r="M62" i="3"/>
  <c r="L63" i="3"/>
  <c r="M63" i="3"/>
  <c r="L64" i="3"/>
  <c r="M64" i="3"/>
  <c r="L65" i="3"/>
  <c r="M65" i="3"/>
  <c r="L66" i="3"/>
  <c r="M66" i="3"/>
  <c r="L67" i="3"/>
  <c r="M67" i="3"/>
  <c r="L68" i="3"/>
  <c r="M68" i="3"/>
  <c r="L69" i="3"/>
  <c r="M69" i="3"/>
  <c r="L70" i="3"/>
  <c r="M70" i="3"/>
  <c r="L71" i="3"/>
  <c r="M71" i="3"/>
  <c r="L72" i="3"/>
  <c r="M72" i="3"/>
  <c r="L73" i="3"/>
  <c r="M73" i="3"/>
  <c r="L74" i="3"/>
  <c r="M74" i="3"/>
  <c r="L75" i="3"/>
  <c r="M75" i="3"/>
  <c r="L76" i="3"/>
  <c r="M76" i="3"/>
  <c r="L77" i="3"/>
  <c r="M77" i="3"/>
  <c r="L78" i="3"/>
  <c r="M78" i="3"/>
  <c r="L79" i="3"/>
  <c r="M79" i="3"/>
  <c r="L80" i="3"/>
  <c r="M80" i="3"/>
  <c r="L81" i="3"/>
  <c r="M81" i="3"/>
  <c r="L82" i="3"/>
  <c r="M82" i="3"/>
  <c r="L83" i="3"/>
  <c r="M83" i="3"/>
  <c r="L84" i="3"/>
  <c r="M84" i="3"/>
  <c r="L85" i="3"/>
  <c r="M85" i="3"/>
  <c r="L86" i="3"/>
  <c r="M86" i="3"/>
  <c r="L87" i="3"/>
  <c r="M87" i="3"/>
  <c r="L88" i="3"/>
  <c r="M88" i="3"/>
  <c r="L89" i="3"/>
  <c r="M89" i="3"/>
  <c r="L90" i="3"/>
  <c r="M90" i="3"/>
  <c r="L91" i="3"/>
  <c r="M91" i="3"/>
  <c r="L92" i="3"/>
  <c r="M92" i="3"/>
  <c r="L93" i="3"/>
  <c r="M93" i="3"/>
  <c r="L94" i="3"/>
  <c r="M94" i="3"/>
  <c r="L95" i="3"/>
  <c r="M95" i="3"/>
  <c r="L96" i="3"/>
  <c r="M96" i="3"/>
  <c r="L97" i="3"/>
  <c r="M97" i="3"/>
  <c r="L98" i="3"/>
  <c r="M98" i="3"/>
  <c r="L99" i="3"/>
  <c r="M99" i="3"/>
  <c r="L100" i="3"/>
  <c r="M100" i="3"/>
  <c r="L101" i="3"/>
  <c r="M101" i="3"/>
  <c r="L102" i="3"/>
  <c r="M102" i="3"/>
  <c r="L103" i="3"/>
  <c r="M103" i="3"/>
  <c r="L104" i="3"/>
  <c r="M104" i="3"/>
  <c r="L105" i="3"/>
  <c r="M105" i="3"/>
  <c r="L106" i="3"/>
  <c r="M106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L135" i="3"/>
  <c r="M135" i="3"/>
  <c r="L136" i="3"/>
  <c r="M136" i="3"/>
  <c r="L137" i="3"/>
  <c r="M137" i="3"/>
  <c r="L138" i="3"/>
  <c r="M138" i="3"/>
  <c r="L139" i="3"/>
  <c r="M139" i="3"/>
  <c r="L140" i="3"/>
  <c r="M140" i="3"/>
  <c r="L141" i="3"/>
  <c r="M141" i="3"/>
  <c r="L142" i="3"/>
  <c r="M142" i="3"/>
  <c r="L143" i="3"/>
  <c r="M143" i="3"/>
  <c r="L144" i="3"/>
  <c r="M144" i="3"/>
  <c r="L145" i="3"/>
  <c r="M145" i="3"/>
  <c r="L146" i="3"/>
  <c r="M146" i="3"/>
  <c r="L147" i="3"/>
  <c r="M147" i="3"/>
  <c r="L148" i="3"/>
  <c r="M148" i="3"/>
  <c r="L149" i="3"/>
  <c r="M149" i="3"/>
  <c r="L150" i="3"/>
  <c r="M150" i="3"/>
  <c r="L151" i="3"/>
  <c r="M151" i="3"/>
  <c r="L152" i="3"/>
  <c r="M152" i="3"/>
  <c r="L153" i="3"/>
  <c r="M153" i="3"/>
  <c r="L154" i="3"/>
  <c r="M154" i="3"/>
  <c r="L155" i="3"/>
  <c r="M155" i="3"/>
  <c r="L156" i="3"/>
  <c r="M156" i="3"/>
  <c r="L157" i="3"/>
  <c r="M157" i="3"/>
  <c r="L158" i="3"/>
  <c r="M158" i="3"/>
  <c r="L159" i="3"/>
  <c r="M159" i="3"/>
  <c r="L160" i="3"/>
  <c r="M160" i="3"/>
  <c r="L161" i="3"/>
  <c r="M161" i="3"/>
  <c r="L162" i="3"/>
  <c r="M162" i="3"/>
  <c r="L163" i="3"/>
  <c r="M163" i="3"/>
  <c r="L164" i="3"/>
  <c r="M164" i="3"/>
  <c r="L165" i="3"/>
  <c r="M165" i="3"/>
  <c r="L166" i="3"/>
  <c r="M166" i="3"/>
  <c r="L167" i="3"/>
  <c r="M167" i="3"/>
  <c r="L168" i="3"/>
  <c r="M168" i="3"/>
  <c r="L169" i="3"/>
  <c r="M169" i="3"/>
  <c r="L170" i="3"/>
  <c r="M170" i="3"/>
  <c r="L171" i="3"/>
  <c r="M171" i="3"/>
  <c r="L172" i="3"/>
  <c r="M172" i="3"/>
  <c r="L173" i="3"/>
  <c r="M173" i="3"/>
  <c r="L174" i="3"/>
  <c r="M174" i="3"/>
  <c r="L175" i="3"/>
  <c r="M175" i="3"/>
  <c r="L176" i="3"/>
  <c r="M176" i="3"/>
  <c r="L177" i="3"/>
  <c r="M177" i="3"/>
  <c r="L178" i="3"/>
  <c r="M178" i="3"/>
  <c r="L179" i="3"/>
  <c r="M179" i="3"/>
  <c r="L180" i="3"/>
  <c r="M180" i="3"/>
  <c r="L181" i="3"/>
  <c r="M181" i="3"/>
  <c r="L182" i="3"/>
  <c r="M182" i="3"/>
  <c r="L183" i="3"/>
  <c r="M183" i="3"/>
  <c r="L184" i="3"/>
  <c r="M184" i="3"/>
  <c r="L185" i="3"/>
  <c r="M185" i="3"/>
  <c r="L186" i="3"/>
  <c r="M186" i="3"/>
  <c r="L187" i="3"/>
  <c r="M187" i="3"/>
  <c r="L188" i="3"/>
  <c r="M188" i="3"/>
  <c r="L189" i="3"/>
  <c r="M189" i="3"/>
  <c r="L190" i="3"/>
  <c r="M190" i="3"/>
  <c r="L191" i="3"/>
  <c r="M191" i="3"/>
  <c r="L192" i="3"/>
  <c r="M192" i="3"/>
  <c r="L193" i="3"/>
  <c r="M193" i="3"/>
  <c r="L194" i="3"/>
  <c r="M194" i="3"/>
  <c r="L195" i="3"/>
  <c r="M195" i="3"/>
  <c r="L196" i="3"/>
  <c r="M196" i="3"/>
  <c r="L197" i="3"/>
  <c r="M197" i="3"/>
  <c r="L198" i="3"/>
  <c r="M198" i="3"/>
  <c r="L199" i="3"/>
  <c r="M199" i="3"/>
  <c r="L200" i="3"/>
  <c r="M200" i="3"/>
  <c r="L201" i="3"/>
  <c r="M201" i="3"/>
  <c r="L202" i="3"/>
  <c r="M202" i="3"/>
  <c r="L203" i="3"/>
  <c r="M203" i="3"/>
  <c r="L204" i="3"/>
  <c r="M204" i="3"/>
  <c r="L205" i="3"/>
  <c r="M205" i="3"/>
  <c r="L206" i="3"/>
  <c r="M206" i="3"/>
  <c r="L207" i="3"/>
  <c r="M207" i="3"/>
  <c r="L208" i="3"/>
  <c r="M208" i="3"/>
  <c r="L209" i="3"/>
  <c r="M209" i="3"/>
  <c r="L210" i="3"/>
  <c r="M210" i="3"/>
  <c r="L211" i="3"/>
  <c r="M211" i="3"/>
  <c r="L212" i="3"/>
  <c r="M212" i="3"/>
  <c r="L213" i="3"/>
  <c r="M213" i="3"/>
  <c r="L214" i="3"/>
  <c r="M214" i="3"/>
  <c r="L215" i="3"/>
  <c r="M215" i="3"/>
  <c r="L216" i="3"/>
  <c r="M216" i="3"/>
  <c r="L217" i="3"/>
  <c r="M217" i="3"/>
  <c r="L218" i="3"/>
  <c r="M218" i="3"/>
  <c r="L219" i="3"/>
  <c r="M219" i="3"/>
  <c r="L220" i="3"/>
  <c r="M220" i="3"/>
  <c r="L221" i="3"/>
  <c r="M221" i="3"/>
  <c r="L222" i="3"/>
  <c r="M222" i="3"/>
  <c r="L223" i="3"/>
  <c r="M223" i="3"/>
  <c r="L224" i="3"/>
  <c r="M224" i="3"/>
  <c r="L225" i="3"/>
  <c r="M225" i="3"/>
  <c r="L226" i="3"/>
  <c r="M226" i="3"/>
  <c r="L227" i="3"/>
  <c r="M227" i="3"/>
  <c r="L228" i="3"/>
  <c r="M228" i="3"/>
  <c r="L229" i="3"/>
  <c r="M229" i="3"/>
  <c r="L230" i="3"/>
  <c r="M230" i="3"/>
  <c r="L231" i="3"/>
  <c r="M231" i="3"/>
  <c r="L232" i="3"/>
  <c r="M232" i="3"/>
  <c r="L233" i="3"/>
  <c r="M233" i="3"/>
  <c r="L234" i="3"/>
  <c r="M234" i="3"/>
  <c r="L235" i="3"/>
  <c r="M235" i="3"/>
  <c r="L236" i="3"/>
  <c r="M236" i="3"/>
  <c r="L237" i="3"/>
  <c r="M237" i="3"/>
  <c r="L238" i="3"/>
  <c r="M238" i="3"/>
  <c r="L239" i="3"/>
  <c r="M239" i="3"/>
  <c r="L240" i="3"/>
  <c r="M240" i="3"/>
  <c r="L241" i="3"/>
  <c r="M241" i="3"/>
  <c r="L242" i="3"/>
  <c r="M242" i="3"/>
  <c r="L243" i="3"/>
  <c r="M243" i="3"/>
  <c r="L244" i="3"/>
  <c r="M244" i="3"/>
  <c r="L245" i="3"/>
  <c r="M245" i="3"/>
  <c r="L246" i="3"/>
  <c r="M246" i="3"/>
  <c r="L247" i="3"/>
  <c r="M247" i="3"/>
  <c r="L248" i="3"/>
  <c r="M248" i="3"/>
  <c r="L249" i="3"/>
  <c r="M249" i="3"/>
  <c r="L250" i="3"/>
  <c r="M250" i="3"/>
  <c r="L251" i="3"/>
  <c r="M251" i="3"/>
  <c r="L252" i="3"/>
  <c r="M252" i="3"/>
  <c r="L253" i="3"/>
  <c r="M253" i="3"/>
  <c r="L254" i="3"/>
  <c r="M254" i="3"/>
  <c r="L255" i="3"/>
  <c r="M255" i="3"/>
  <c r="L256" i="3"/>
  <c r="M256" i="3"/>
  <c r="L257" i="3"/>
  <c r="M257" i="3"/>
  <c r="L258" i="3"/>
  <c r="M258" i="3"/>
  <c r="L259" i="3"/>
  <c r="M259" i="3"/>
  <c r="L260" i="3"/>
  <c r="M260" i="3"/>
  <c r="L261" i="3"/>
  <c r="M261" i="3"/>
  <c r="L262" i="3"/>
  <c r="M262" i="3"/>
  <c r="L263" i="3"/>
  <c r="M263" i="3"/>
  <c r="L264" i="3"/>
  <c r="M264" i="3"/>
  <c r="L265" i="3"/>
  <c r="M265" i="3"/>
  <c r="L266" i="3"/>
  <c r="M266" i="3"/>
  <c r="L267" i="3"/>
  <c r="M267" i="3"/>
  <c r="L268" i="3"/>
  <c r="M268" i="3"/>
  <c r="L269" i="3"/>
  <c r="M269" i="3"/>
  <c r="L270" i="3"/>
  <c r="M270" i="3"/>
  <c r="L271" i="3"/>
  <c r="M271" i="3"/>
  <c r="L272" i="3"/>
  <c r="M272" i="3"/>
  <c r="L273" i="3"/>
  <c r="M273" i="3"/>
  <c r="L274" i="3"/>
  <c r="M274" i="3"/>
  <c r="L275" i="3"/>
  <c r="M275" i="3"/>
  <c r="L276" i="3"/>
  <c r="M276" i="3"/>
  <c r="L277" i="3"/>
  <c r="M277" i="3"/>
  <c r="L278" i="3"/>
  <c r="M278" i="3"/>
  <c r="L279" i="3"/>
  <c r="M279" i="3"/>
  <c r="L280" i="3"/>
  <c r="M280" i="3"/>
  <c r="L281" i="3"/>
  <c r="M281" i="3"/>
  <c r="L282" i="3"/>
  <c r="M282" i="3"/>
  <c r="L283" i="3"/>
  <c r="M283" i="3"/>
  <c r="L284" i="3"/>
  <c r="M284" i="3"/>
  <c r="L285" i="3"/>
  <c r="M285" i="3"/>
  <c r="M2" i="3"/>
  <c r="L2" i="3"/>
  <c r="H285" i="3"/>
  <c r="G285" i="3"/>
  <c r="E285" i="3"/>
  <c r="D285" i="3"/>
  <c r="A285" i="3"/>
  <c r="H284" i="3"/>
  <c r="G284" i="3"/>
  <c r="E284" i="3"/>
  <c r="D284" i="3"/>
  <c r="A284" i="3"/>
  <c r="H283" i="3"/>
  <c r="G283" i="3"/>
  <c r="E283" i="3"/>
  <c r="D283" i="3"/>
  <c r="A283" i="3"/>
  <c r="H282" i="3"/>
  <c r="G282" i="3"/>
  <c r="E282" i="3"/>
  <c r="D282" i="3"/>
  <c r="A282" i="3"/>
  <c r="H281" i="3"/>
  <c r="G281" i="3"/>
  <c r="E281" i="3"/>
  <c r="D281" i="3"/>
  <c r="A281" i="3"/>
  <c r="H280" i="3"/>
  <c r="G280" i="3"/>
  <c r="E280" i="3"/>
  <c r="D280" i="3"/>
  <c r="A280" i="3"/>
  <c r="H279" i="3"/>
  <c r="G279" i="3"/>
  <c r="E279" i="3"/>
  <c r="D279" i="3"/>
  <c r="A279" i="3"/>
  <c r="H278" i="3"/>
  <c r="G278" i="3"/>
  <c r="E278" i="3"/>
  <c r="D278" i="3"/>
  <c r="A278" i="3"/>
  <c r="H277" i="3"/>
  <c r="G277" i="3"/>
  <c r="E277" i="3"/>
  <c r="D277" i="3"/>
  <c r="A277" i="3"/>
  <c r="H276" i="3"/>
  <c r="G276" i="3"/>
  <c r="E276" i="3"/>
  <c r="D276" i="3"/>
  <c r="A276" i="3"/>
  <c r="H275" i="3"/>
  <c r="G275" i="3"/>
  <c r="E275" i="3"/>
  <c r="D275" i="3"/>
  <c r="A275" i="3"/>
  <c r="H274" i="3"/>
  <c r="G274" i="3"/>
  <c r="E274" i="3"/>
  <c r="D274" i="3"/>
  <c r="A274" i="3"/>
  <c r="H273" i="3"/>
  <c r="G273" i="3"/>
  <c r="E273" i="3"/>
  <c r="D273" i="3"/>
  <c r="A273" i="3"/>
  <c r="H272" i="3"/>
  <c r="G272" i="3"/>
  <c r="E272" i="3"/>
  <c r="D272" i="3"/>
  <c r="A272" i="3"/>
  <c r="H271" i="3"/>
  <c r="G271" i="3"/>
  <c r="E271" i="3"/>
  <c r="D271" i="3"/>
  <c r="A271" i="3"/>
  <c r="H270" i="3"/>
  <c r="G270" i="3"/>
  <c r="E270" i="3"/>
  <c r="D270" i="3"/>
  <c r="A270" i="3"/>
  <c r="H269" i="3"/>
  <c r="G269" i="3"/>
  <c r="E269" i="3"/>
  <c r="D269" i="3"/>
  <c r="A269" i="3"/>
  <c r="H268" i="3"/>
  <c r="G268" i="3"/>
  <c r="E268" i="3"/>
  <c r="D268" i="3"/>
  <c r="A268" i="3"/>
  <c r="H267" i="3"/>
  <c r="G267" i="3"/>
  <c r="E267" i="3"/>
  <c r="D267" i="3"/>
  <c r="A267" i="3"/>
  <c r="H266" i="3"/>
  <c r="G266" i="3"/>
  <c r="E266" i="3"/>
  <c r="D266" i="3"/>
  <c r="A266" i="3"/>
  <c r="H265" i="3"/>
  <c r="G265" i="3"/>
  <c r="E265" i="3"/>
  <c r="D265" i="3"/>
  <c r="A265" i="3"/>
  <c r="H264" i="3"/>
  <c r="G264" i="3"/>
  <c r="E264" i="3"/>
  <c r="D264" i="3"/>
  <c r="A264" i="3"/>
  <c r="H263" i="3"/>
  <c r="G263" i="3"/>
  <c r="E263" i="3"/>
  <c r="D263" i="3"/>
  <c r="A263" i="3"/>
  <c r="H262" i="3"/>
  <c r="G262" i="3"/>
  <c r="E262" i="3"/>
  <c r="D262" i="3"/>
  <c r="A262" i="3"/>
  <c r="H261" i="3"/>
  <c r="G261" i="3"/>
  <c r="E261" i="3"/>
  <c r="D261" i="3"/>
  <c r="A261" i="3"/>
  <c r="H260" i="3"/>
  <c r="G260" i="3"/>
  <c r="E260" i="3"/>
  <c r="D260" i="3"/>
  <c r="A260" i="3"/>
  <c r="H259" i="3"/>
  <c r="G259" i="3"/>
  <c r="E259" i="3"/>
  <c r="D259" i="3"/>
  <c r="A259" i="3"/>
  <c r="H258" i="3"/>
  <c r="G258" i="3"/>
  <c r="E258" i="3"/>
  <c r="D258" i="3"/>
  <c r="A258" i="3"/>
  <c r="H257" i="3"/>
  <c r="G257" i="3"/>
  <c r="E257" i="3"/>
  <c r="D257" i="3"/>
  <c r="A257" i="3"/>
  <c r="H256" i="3"/>
  <c r="G256" i="3"/>
  <c r="E256" i="3"/>
  <c r="D256" i="3"/>
  <c r="A256" i="3"/>
  <c r="H255" i="3"/>
  <c r="G255" i="3"/>
  <c r="E255" i="3"/>
  <c r="D255" i="3"/>
  <c r="A255" i="3"/>
  <c r="H254" i="3"/>
  <c r="G254" i="3"/>
  <c r="E254" i="3"/>
  <c r="D254" i="3"/>
  <c r="A254" i="3"/>
  <c r="H253" i="3"/>
  <c r="G253" i="3"/>
  <c r="E253" i="3"/>
  <c r="D253" i="3"/>
  <c r="A253" i="3"/>
  <c r="H252" i="3"/>
  <c r="G252" i="3"/>
  <c r="E252" i="3"/>
  <c r="D252" i="3"/>
  <c r="A252" i="3"/>
  <c r="H251" i="3"/>
  <c r="G251" i="3"/>
  <c r="E251" i="3"/>
  <c r="D251" i="3"/>
  <c r="A251" i="3"/>
  <c r="H250" i="3"/>
  <c r="G250" i="3"/>
  <c r="E250" i="3"/>
  <c r="D250" i="3"/>
  <c r="A250" i="3"/>
  <c r="H249" i="3"/>
  <c r="G249" i="3"/>
  <c r="E249" i="3"/>
  <c r="D249" i="3"/>
  <c r="A249" i="3"/>
  <c r="H248" i="3"/>
  <c r="G248" i="3"/>
  <c r="E248" i="3"/>
  <c r="D248" i="3"/>
  <c r="A248" i="3"/>
  <c r="H247" i="3"/>
  <c r="G247" i="3"/>
  <c r="E247" i="3"/>
  <c r="D247" i="3"/>
  <c r="A247" i="3"/>
  <c r="H246" i="3"/>
  <c r="G246" i="3"/>
  <c r="E246" i="3"/>
  <c r="D246" i="3"/>
  <c r="A246" i="3"/>
  <c r="H245" i="3"/>
  <c r="G245" i="3"/>
  <c r="E245" i="3"/>
  <c r="D245" i="3"/>
  <c r="A245" i="3"/>
  <c r="H244" i="3"/>
  <c r="G244" i="3"/>
  <c r="E244" i="3"/>
  <c r="D244" i="3"/>
  <c r="A244" i="3"/>
  <c r="H243" i="3"/>
  <c r="G243" i="3"/>
  <c r="E243" i="3"/>
  <c r="D243" i="3"/>
  <c r="A243" i="3"/>
  <c r="H242" i="3"/>
  <c r="G242" i="3"/>
  <c r="E242" i="3"/>
  <c r="D242" i="3"/>
  <c r="A242" i="3"/>
  <c r="H241" i="3"/>
  <c r="G241" i="3"/>
  <c r="E241" i="3"/>
  <c r="D241" i="3"/>
  <c r="A241" i="3"/>
  <c r="H240" i="3"/>
  <c r="G240" i="3"/>
  <c r="E240" i="3"/>
  <c r="D240" i="3"/>
  <c r="A240" i="3"/>
  <c r="H239" i="3"/>
  <c r="G239" i="3"/>
  <c r="E239" i="3"/>
  <c r="D239" i="3"/>
  <c r="A239" i="3"/>
  <c r="H238" i="3"/>
  <c r="G238" i="3"/>
  <c r="E238" i="3"/>
  <c r="D238" i="3"/>
  <c r="A238" i="3"/>
  <c r="H237" i="3"/>
  <c r="G237" i="3"/>
  <c r="E237" i="3"/>
  <c r="D237" i="3"/>
  <c r="A237" i="3"/>
  <c r="H236" i="3"/>
  <c r="G236" i="3"/>
  <c r="E236" i="3"/>
  <c r="D236" i="3"/>
  <c r="A236" i="3"/>
  <c r="H235" i="3"/>
  <c r="G235" i="3"/>
  <c r="E235" i="3"/>
  <c r="D235" i="3"/>
  <c r="A235" i="3"/>
  <c r="H234" i="3"/>
  <c r="G234" i="3"/>
  <c r="E234" i="3"/>
  <c r="D234" i="3"/>
  <c r="A234" i="3"/>
  <c r="H233" i="3"/>
  <c r="G233" i="3"/>
  <c r="E233" i="3"/>
  <c r="D233" i="3"/>
  <c r="A233" i="3"/>
  <c r="H232" i="3"/>
  <c r="G232" i="3"/>
  <c r="E232" i="3"/>
  <c r="D232" i="3"/>
  <c r="A232" i="3"/>
  <c r="H231" i="3"/>
  <c r="G231" i="3"/>
  <c r="E231" i="3"/>
  <c r="D231" i="3"/>
  <c r="A231" i="3"/>
  <c r="H230" i="3"/>
  <c r="G230" i="3"/>
  <c r="E230" i="3"/>
  <c r="D230" i="3"/>
  <c r="A230" i="3"/>
  <c r="H229" i="3"/>
  <c r="G229" i="3"/>
  <c r="E229" i="3"/>
  <c r="D229" i="3"/>
  <c r="A229" i="3"/>
  <c r="H228" i="3"/>
  <c r="G228" i="3"/>
  <c r="E228" i="3"/>
  <c r="D228" i="3"/>
  <c r="A228" i="3"/>
  <c r="H227" i="3"/>
  <c r="G227" i="3"/>
  <c r="E227" i="3"/>
  <c r="D227" i="3"/>
  <c r="A227" i="3"/>
  <c r="H226" i="3"/>
  <c r="G226" i="3"/>
  <c r="E226" i="3"/>
  <c r="D226" i="3"/>
  <c r="A226" i="3"/>
  <c r="H225" i="3"/>
  <c r="G225" i="3"/>
  <c r="E225" i="3"/>
  <c r="D225" i="3"/>
  <c r="A225" i="3"/>
  <c r="H224" i="3"/>
  <c r="G224" i="3"/>
  <c r="E224" i="3"/>
  <c r="D224" i="3"/>
  <c r="A224" i="3"/>
  <c r="H223" i="3"/>
  <c r="G223" i="3"/>
  <c r="E223" i="3"/>
  <c r="D223" i="3"/>
  <c r="A223" i="3"/>
  <c r="H222" i="3"/>
  <c r="G222" i="3"/>
  <c r="E222" i="3"/>
  <c r="D222" i="3"/>
  <c r="A222" i="3"/>
  <c r="H221" i="3"/>
  <c r="G221" i="3"/>
  <c r="E221" i="3"/>
  <c r="D221" i="3"/>
  <c r="A221" i="3"/>
  <c r="H220" i="3"/>
  <c r="G220" i="3"/>
  <c r="E220" i="3"/>
  <c r="D220" i="3"/>
  <c r="A220" i="3"/>
  <c r="H219" i="3"/>
  <c r="G219" i="3"/>
  <c r="E219" i="3"/>
  <c r="D219" i="3"/>
  <c r="A219" i="3"/>
  <c r="H218" i="3"/>
  <c r="G218" i="3"/>
  <c r="E218" i="3"/>
  <c r="D218" i="3"/>
  <c r="A218" i="3"/>
  <c r="H217" i="3"/>
  <c r="G217" i="3"/>
  <c r="E217" i="3"/>
  <c r="D217" i="3"/>
  <c r="A217" i="3"/>
  <c r="H216" i="3"/>
  <c r="G216" i="3"/>
  <c r="E216" i="3"/>
  <c r="D216" i="3"/>
  <c r="A216" i="3"/>
  <c r="H215" i="3"/>
  <c r="G215" i="3"/>
  <c r="E215" i="3"/>
  <c r="D215" i="3"/>
  <c r="A215" i="3"/>
  <c r="H214" i="3"/>
  <c r="G214" i="3"/>
  <c r="E214" i="3"/>
  <c r="D214" i="3"/>
  <c r="A214" i="3"/>
  <c r="H213" i="3"/>
  <c r="G213" i="3"/>
  <c r="E213" i="3"/>
  <c r="D213" i="3"/>
  <c r="A213" i="3"/>
  <c r="H212" i="3"/>
  <c r="G212" i="3"/>
  <c r="E212" i="3"/>
  <c r="D212" i="3"/>
  <c r="A212" i="3"/>
  <c r="H211" i="3"/>
  <c r="G211" i="3"/>
  <c r="E211" i="3"/>
  <c r="D211" i="3"/>
  <c r="A211" i="3"/>
  <c r="H210" i="3"/>
  <c r="G210" i="3"/>
  <c r="E210" i="3"/>
  <c r="D210" i="3"/>
  <c r="A210" i="3"/>
  <c r="H209" i="3"/>
  <c r="G209" i="3"/>
  <c r="E209" i="3"/>
  <c r="D209" i="3"/>
  <c r="A209" i="3"/>
  <c r="H208" i="3"/>
  <c r="G208" i="3"/>
  <c r="E208" i="3"/>
  <c r="D208" i="3"/>
  <c r="A208" i="3"/>
  <c r="H207" i="3"/>
  <c r="G207" i="3"/>
  <c r="E207" i="3"/>
  <c r="D207" i="3"/>
  <c r="A207" i="3"/>
  <c r="H206" i="3"/>
  <c r="G206" i="3"/>
  <c r="E206" i="3"/>
  <c r="D206" i="3"/>
  <c r="A206" i="3"/>
  <c r="H205" i="3"/>
  <c r="G205" i="3"/>
  <c r="E205" i="3"/>
  <c r="D205" i="3"/>
  <c r="A205" i="3"/>
  <c r="H204" i="3"/>
  <c r="G204" i="3"/>
  <c r="E204" i="3"/>
  <c r="D204" i="3"/>
  <c r="A204" i="3"/>
  <c r="H203" i="3"/>
  <c r="G203" i="3"/>
  <c r="E203" i="3"/>
  <c r="D203" i="3"/>
  <c r="A203" i="3"/>
  <c r="H202" i="3"/>
  <c r="G202" i="3"/>
  <c r="E202" i="3"/>
  <c r="D202" i="3"/>
  <c r="A202" i="3"/>
  <c r="H201" i="3"/>
  <c r="G201" i="3"/>
  <c r="E201" i="3"/>
  <c r="D201" i="3"/>
  <c r="A201" i="3"/>
  <c r="H200" i="3"/>
  <c r="G200" i="3"/>
  <c r="E200" i="3"/>
  <c r="D200" i="3"/>
  <c r="A200" i="3"/>
  <c r="H199" i="3"/>
  <c r="G199" i="3"/>
  <c r="E199" i="3"/>
  <c r="D199" i="3"/>
  <c r="A199" i="3"/>
  <c r="H198" i="3"/>
  <c r="G198" i="3"/>
  <c r="E198" i="3"/>
  <c r="D198" i="3"/>
  <c r="A198" i="3"/>
  <c r="H197" i="3"/>
  <c r="G197" i="3"/>
  <c r="E197" i="3"/>
  <c r="D197" i="3"/>
  <c r="A197" i="3"/>
  <c r="H196" i="3"/>
  <c r="G196" i="3"/>
  <c r="E196" i="3"/>
  <c r="D196" i="3"/>
  <c r="A196" i="3"/>
  <c r="H195" i="3"/>
  <c r="G195" i="3"/>
  <c r="E195" i="3"/>
  <c r="D195" i="3"/>
  <c r="A195" i="3"/>
  <c r="H194" i="3"/>
  <c r="G194" i="3"/>
  <c r="E194" i="3"/>
  <c r="D194" i="3"/>
  <c r="A194" i="3"/>
  <c r="H193" i="3"/>
  <c r="G193" i="3"/>
  <c r="E193" i="3"/>
  <c r="D193" i="3"/>
  <c r="A193" i="3"/>
  <c r="H192" i="3"/>
  <c r="G192" i="3"/>
  <c r="E192" i="3"/>
  <c r="D192" i="3"/>
  <c r="A192" i="3"/>
  <c r="H191" i="3"/>
  <c r="G191" i="3"/>
  <c r="E191" i="3"/>
  <c r="D191" i="3"/>
  <c r="A191" i="3"/>
  <c r="H190" i="3"/>
  <c r="G190" i="3"/>
  <c r="E190" i="3"/>
  <c r="D190" i="3"/>
  <c r="A190" i="3"/>
  <c r="H189" i="3"/>
  <c r="G189" i="3"/>
  <c r="E189" i="3"/>
  <c r="D189" i="3"/>
  <c r="A189" i="3"/>
  <c r="H188" i="3"/>
  <c r="G188" i="3"/>
  <c r="E188" i="3"/>
  <c r="D188" i="3"/>
  <c r="A188" i="3"/>
  <c r="H187" i="3"/>
  <c r="G187" i="3"/>
  <c r="E187" i="3"/>
  <c r="D187" i="3"/>
  <c r="A187" i="3"/>
  <c r="H186" i="3"/>
  <c r="G186" i="3"/>
  <c r="E186" i="3"/>
  <c r="D186" i="3"/>
  <c r="A186" i="3"/>
  <c r="H185" i="3"/>
  <c r="G185" i="3"/>
  <c r="E185" i="3"/>
  <c r="D185" i="3"/>
  <c r="A185" i="3"/>
  <c r="H184" i="3"/>
  <c r="G184" i="3"/>
  <c r="E184" i="3"/>
  <c r="D184" i="3"/>
  <c r="A184" i="3"/>
  <c r="H183" i="3"/>
  <c r="G183" i="3"/>
  <c r="E183" i="3"/>
  <c r="D183" i="3"/>
  <c r="A183" i="3"/>
  <c r="H182" i="3"/>
  <c r="G182" i="3"/>
  <c r="E182" i="3"/>
  <c r="D182" i="3"/>
  <c r="A182" i="3"/>
  <c r="H181" i="3"/>
  <c r="G181" i="3"/>
  <c r="E181" i="3"/>
  <c r="D181" i="3"/>
  <c r="A181" i="3"/>
  <c r="H180" i="3"/>
  <c r="G180" i="3"/>
  <c r="E180" i="3"/>
  <c r="D180" i="3"/>
  <c r="A180" i="3"/>
  <c r="H179" i="3"/>
  <c r="G179" i="3"/>
  <c r="E179" i="3"/>
  <c r="D179" i="3"/>
  <c r="A179" i="3"/>
  <c r="H178" i="3"/>
  <c r="G178" i="3"/>
  <c r="E178" i="3"/>
  <c r="D178" i="3"/>
  <c r="A178" i="3"/>
  <c r="H177" i="3"/>
  <c r="G177" i="3"/>
  <c r="E177" i="3"/>
  <c r="D177" i="3"/>
  <c r="A177" i="3"/>
  <c r="H176" i="3"/>
  <c r="G176" i="3"/>
  <c r="E176" i="3"/>
  <c r="D176" i="3"/>
  <c r="A176" i="3"/>
  <c r="H175" i="3"/>
  <c r="G175" i="3"/>
  <c r="E175" i="3"/>
  <c r="D175" i="3"/>
  <c r="A175" i="3"/>
  <c r="H174" i="3"/>
  <c r="G174" i="3"/>
  <c r="E174" i="3"/>
  <c r="D174" i="3"/>
  <c r="A174" i="3"/>
  <c r="H173" i="3"/>
  <c r="G173" i="3"/>
  <c r="E173" i="3"/>
  <c r="D173" i="3"/>
  <c r="A173" i="3"/>
  <c r="H172" i="3"/>
  <c r="G172" i="3"/>
  <c r="E172" i="3"/>
  <c r="D172" i="3"/>
  <c r="A172" i="3"/>
  <c r="H171" i="3"/>
  <c r="G171" i="3"/>
  <c r="E171" i="3"/>
  <c r="D171" i="3"/>
  <c r="A171" i="3"/>
  <c r="H170" i="3"/>
  <c r="G170" i="3"/>
  <c r="E170" i="3"/>
  <c r="D170" i="3"/>
  <c r="A170" i="3"/>
  <c r="H169" i="3"/>
  <c r="G169" i="3"/>
  <c r="E169" i="3"/>
  <c r="D169" i="3"/>
  <c r="A169" i="3"/>
  <c r="H168" i="3"/>
  <c r="G168" i="3"/>
  <c r="E168" i="3"/>
  <c r="D168" i="3"/>
  <c r="A168" i="3"/>
  <c r="H167" i="3"/>
  <c r="G167" i="3"/>
  <c r="E167" i="3"/>
  <c r="D167" i="3"/>
  <c r="A167" i="3"/>
  <c r="H166" i="3"/>
  <c r="G166" i="3"/>
  <c r="E166" i="3"/>
  <c r="D166" i="3"/>
  <c r="A166" i="3"/>
  <c r="H165" i="3"/>
  <c r="G165" i="3"/>
  <c r="E165" i="3"/>
  <c r="D165" i="3"/>
  <c r="A165" i="3"/>
  <c r="H164" i="3"/>
  <c r="G164" i="3"/>
  <c r="E164" i="3"/>
  <c r="D164" i="3"/>
  <c r="A164" i="3"/>
  <c r="H163" i="3"/>
  <c r="G163" i="3"/>
  <c r="E163" i="3"/>
  <c r="D163" i="3"/>
  <c r="A163" i="3"/>
  <c r="H162" i="3"/>
  <c r="G162" i="3"/>
  <c r="E162" i="3"/>
  <c r="D162" i="3"/>
  <c r="A162" i="3"/>
  <c r="H161" i="3"/>
  <c r="G161" i="3"/>
  <c r="E161" i="3"/>
  <c r="D161" i="3"/>
  <c r="A161" i="3"/>
  <c r="H160" i="3"/>
  <c r="G160" i="3"/>
  <c r="E160" i="3"/>
  <c r="D160" i="3"/>
  <c r="A160" i="3"/>
  <c r="H159" i="3"/>
  <c r="G159" i="3"/>
  <c r="E159" i="3"/>
  <c r="D159" i="3"/>
  <c r="A159" i="3"/>
  <c r="H158" i="3"/>
  <c r="G158" i="3"/>
  <c r="E158" i="3"/>
  <c r="D158" i="3"/>
  <c r="A158" i="3"/>
  <c r="H157" i="3"/>
  <c r="G157" i="3"/>
  <c r="E157" i="3"/>
  <c r="D157" i="3"/>
  <c r="A157" i="3"/>
  <c r="H156" i="3"/>
  <c r="G156" i="3"/>
  <c r="E156" i="3"/>
  <c r="D156" i="3"/>
  <c r="A156" i="3"/>
  <c r="H155" i="3"/>
  <c r="G155" i="3"/>
  <c r="E155" i="3"/>
  <c r="D155" i="3"/>
  <c r="A155" i="3"/>
  <c r="H154" i="3"/>
  <c r="G154" i="3"/>
  <c r="E154" i="3"/>
  <c r="D154" i="3"/>
  <c r="A154" i="3"/>
  <c r="H153" i="3"/>
  <c r="G153" i="3"/>
  <c r="E153" i="3"/>
  <c r="D153" i="3"/>
  <c r="A153" i="3"/>
  <c r="H152" i="3"/>
  <c r="G152" i="3"/>
  <c r="E152" i="3"/>
  <c r="D152" i="3"/>
  <c r="A152" i="3"/>
  <c r="H151" i="3"/>
  <c r="G151" i="3"/>
  <c r="E151" i="3"/>
  <c r="D151" i="3"/>
  <c r="A151" i="3"/>
  <c r="H150" i="3"/>
  <c r="G150" i="3"/>
  <c r="E150" i="3"/>
  <c r="D150" i="3"/>
  <c r="A150" i="3"/>
  <c r="H149" i="3"/>
  <c r="G149" i="3"/>
  <c r="E149" i="3"/>
  <c r="D149" i="3"/>
  <c r="A149" i="3"/>
  <c r="H148" i="3"/>
  <c r="G148" i="3"/>
  <c r="E148" i="3"/>
  <c r="D148" i="3"/>
  <c r="A148" i="3"/>
  <c r="H147" i="3"/>
  <c r="G147" i="3"/>
  <c r="E147" i="3"/>
  <c r="D147" i="3"/>
  <c r="A147" i="3"/>
  <c r="H146" i="3"/>
  <c r="G146" i="3"/>
  <c r="E146" i="3"/>
  <c r="D146" i="3"/>
  <c r="A146" i="3"/>
  <c r="H145" i="3"/>
  <c r="G145" i="3"/>
  <c r="E145" i="3"/>
  <c r="D145" i="3"/>
  <c r="A145" i="3"/>
  <c r="H144" i="3"/>
  <c r="G144" i="3"/>
  <c r="E144" i="3"/>
  <c r="D144" i="3"/>
  <c r="A144" i="3"/>
  <c r="H143" i="3"/>
  <c r="G143" i="3"/>
  <c r="E143" i="3"/>
  <c r="D143" i="3"/>
  <c r="A143" i="3"/>
  <c r="H142" i="3"/>
  <c r="G142" i="3"/>
  <c r="E142" i="3"/>
  <c r="D142" i="3"/>
  <c r="A142" i="3"/>
  <c r="H141" i="3"/>
  <c r="G141" i="3"/>
  <c r="E141" i="3"/>
  <c r="D141" i="3"/>
  <c r="A141" i="3"/>
  <c r="H140" i="3"/>
  <c r="G140" i="3"/>
  <c r="E140" i="3"/>
  <c r="D140" i="3"/>
  <c r="A140" i="3"/>
  <c r="H139" i="3"/>
  <c r="G139" i="3"/>
  <c r="E139" i="3"/>
  <c r="D139" i="3"/>
  <c r="A139" i="3"/>
  <c r="H138" i="3"/>
  <c r="G138" i="3"/>
  <c r="E138" i="3"/>
  <c r="D138" i="3"/>
  <c r="A138" i="3"/>
  <c r="H137" i="3"/>
  <c r="G137" i="3"/>
  <c r="E137" i="3"/>
  <c r="D137" i="3"/>
  <c r="A137" i="3"/>
  <c r="H136" i="3"/>
  <c r="G136" i="3"/>
  <c r="E136" i="3"/>
  <c r="D136" i="3"/>
  <c r="A136" i="3"/>
  <c r="H135" i="3"/>
  <c r="G135" i="3"/>
  <c r="E135" i="3"/>
  <c r="D135" i="3"/>
  <c r="A135" i="3"/>
  <c r="H134" i="3"/>
  <c r="G134" i="3"/>
  <c r="E134" i="3"/>
  <c r="D134" i="3"/>
  <c r="A134" i="3"/>
  <c r="H133" i="3"/>
  <c r="G133" i="3"/>
  <c r="E133" i="3"/>
  <c r="D133" i="3"/>
  <c r="A133" i="3"/>
  <c r="H132" i="3"/>
  <c r="G132" i="3"/>
  <c r="E132" i="3"/>
  <c r="D132" i="3"/>
  <c r="A132" i="3"/>
  <c r="H131" i="3"/>
  <c r="G131" i="3"/>
  <c r="E131" i="3"/>
  <c r="D131" i="3"/>
  <c r="A131" i="3"/>
  <c r="H130" i="3"/>
  <c r="G130" i="3"/>
  <c r="E130" i="3"/>
  <c r="D130" i="3"/>
  <c r="A130" i="3"/>
  <c r="H129" i="3"/>
  <c r="G129" i="3"/>
  <c r="E129" i="3"/>
  <c r="D129" i="3"/>
  <c r="A129" i="3"/>
  <c r="H128" i="3"/>
  <c r="G128" i="3"/>
  <c r="E128" i="3"/>
  <c r="D128" i="3"/>
  <c r="A128" i="3"/>
  <c r="H127" i="3"/>
  <c r="G127" i="3"/>
  <c r="E127" i="3"/>
  <c r="D127" i="3"/>
  <c r="A127" i="3"/>
  <c r="H126" i="3"/>
  <c r="G126" i="3"/>
  <c r="E126" i="3"/>
  <c r="D126" i="3"/>
  <c r="A126" i="3"/>
  <c r="H125" i="3"/>
  <c r="G125" i="3"/>
  <c r="E125" i="3"/>
  <c r="D125" i="3"/>
  <c r="A125" i="3"/>
  <c r="H124" i="3"/>
  <c r="G124" i="3"/>
  <c r="E124" i="3"/>
  <c r="D124" i="3"/>
  <c r="A124" i="3"/>
  <c r="H123" i="3"/>
  <c r="G123" i="3"/>
  <c r="E123" i="3"/>
  <c r="D123" i="3"/>
  <c r="A123" i="3"/>
  <c r="H122" i="3"/>
  <c r="G122" i="3"/>
  <c r="E122" i="3"/>
  <c r="D122" i="3"/>
  <c r="A122" i="3"/>
  <c r="H121" i="3"/>
  <c r="G121" i="3"/>
  <c r="E121" i="3"/>
  <c r="D121" i="3"/>
  <c r="A121" i="3"/>
  <c r="H120" i="3"/>
  <c r="G120" i="3"/>
  <c r="E120" i="3"/>
  <c r="D120" i="3"/>
  <c r="A120" i="3"/>
  <c r="H119" i="3"/>
  <c r="G119" i="3"/>
  <c r="E119" i="3"/>
  <c r="D119" i="3"/>
  <c r="A119" i="3"/>
  <c r="H118" i="3"/>
  <c r="G118" i="3"/>
  <c r="E118" i="3"/>
  <c r="D118" i="3"/>
  <c r="A118" i="3"/>
  <c r="H117" i="3"/>
  <c r="G117" i="3"/>
  <c r="E117" i="3"/>
  <c r="D117" i="3"/>
  <c r="A117" i="3"/>
  <c r="H116" i="3"/>
  <c r="G116" i="3"/>
  <c r="E116" i="3"/>
  <c r="D116" i="3"/>
  <c r="A116" i="3"/>
  <c r="H115" i="3"/>
  <c r="G115" i="3"/>
  <c r="E115" i="3"/>
  <c r="D115" i="3"/>
  <c r="A115" i="3"/>
  <c r="H114" i="3"/>
  <c r="G114" i="3"/>
  <c r="E114" i="3"/>
  <c r="D114" i="3"/>
  <c r="A114" i="3"/>
  <c r="H113" i="3"/>
  <c r="G113" i="3"/>
  <c r="E113" i="3"/>
  <c r="D113" i="3"/>
  <c r="A113" i="3"/>
  <c r="H112" i="3"/>
  <c r="G112" i="3"/>
  <c r="E112" i="3"/>
  <c r="D112" i="3"/>
  <c r="A112" i="3"/>
  <c r="H111" i="3"/>
  <c r="G111" i="3"/>
  <c r="E111" i="3"/>
  <c r="D111" i="3"/>
  <c r="A111" i="3"/>
  <c r="H110" i="3"/>
  <c r="G110" i="3"/>
  <c r="E110" i="3"/>
  <c r="D110" i="3"/>
  <c r="A110" i="3"/>
  <c r="H109" i="3"/>
  <c r="G109" i="3"/>
  <c r="E109" i="3"/>
  <c r="D109" i="3"/>
  <c r="A109" i="3"/>
  <c r="H108" i="3"/>
  <c r="G108" i="3"/>
  <c r="E108" i="3"/>
  <c r="D108" i="3"/>
  <c r="A108" i="3"/>
  <c r="H107" i="3"/>
  <c r="G107" i="3"/>
  <c r="E107" i="3"/>
  <c r="D107" i="3"/>
  <c r="A107" i="3"/>
  <c r="H106" i="3"/>
  <c r="G106" i="3"/>
  <c r="E106" i="3"/>
  <c r="D106" i="3"/>
  <c r="A106" i="3"/>
  <c r="H105" i="3"/>
  <c r="G105" i="3"/>
  <c r="E105" i="3"/>
  <c r="D105" i="3"/>
  <c r="A105" i="3"/>
  <c r="H104" i="3"/>
  <c r="G104" i="3"/>
  <c r="E104" i="3"/>
  <c r="D104" i="3"/>
  <c r="A104" i="3"/>
  <c r="H103" i="3"/>
  <c r="G103" i="3"/>
  <c r="E103" i="3"/>
  <c r="D103" i="3"/>
  <c r="A103" i="3"/>
  <c r="H102" i="3"/>
  <c r="G102" i="3"/>
  <c r="E102" i="3"/>
  <c r="D102" i="3"/>
  <c r="A102" i="3"/>
  <c r="H101" i="3"/>
  <c r="G101" i="3"/>
  <c r="E101" i="3"/>
  <c r="D101" i="3"/>
  <c r="A101" i="3"/>
  <c r="H100" i="3"/>
  <c r="G100" i="3"/>
  <c r="E100" i="3"/>
  <c r="D100" i="3"/>
  <c r="A100" i="3"/>
  <c r="H99" i="3"/>
  <c r="G99" i="3"/>
  <c r="E99" i="3"/>
  <c r="D99" i="3"/>
  <c r="A99" i="3"/>
  <c r="H98" i="3"/>
  <c r="G98" i="3"/>
  <c r="E98" i="3"/>
  <c r="D98" i="3"/>
  <c r="A98" i="3"/>
  <c r="H97" i="3"/>
  <c r="G97" i="3"/>
  <c r="E97" i="3"/>
  <c r="D97" i="3"/>
  <c r="A97" i="3"/>
  <c r="H96" i="3"/>
  <c r="G96" i="3"/>
  <c r="E96" i="3"/>
  <c r="D96" i="3"/>
  <c r="A96" i="3"/>
  <c r="H95" i="3"/>
  <c r="G95" i="3"/>
  <c r="E95" i="3"/>
  <c r="D95" i="3"/>
  <c r="A95" i="3"/>
  <c r="H94" i="3"/>
  <c r="G94" i="3"/>
  <c r="E94" i="3"/>
  <c r="D94" i="3"/>
  <c r="A94" i="3"/>
  <c r="H93" i="3"/>
  <c r="G93" i="3"/>
  <c r="E93" i="3"/>
  <c r="D93" i="3"/>
  <c r="A93" i="3"/>
  <c r="H92" i="3"/>
  <c r="G92" i="3"/>
  <c r="E92" i="3"/>
  <c r="D92" i="3"/>
  <c r="A92" i="3"/>
  <c r="H91" i="3"/>
  <c r="G91" i="3"/>
  <c r="E91" i="3"/>
  <c r="D91" i="3"/>
  <c r="A91" i="3"/>
  <c r="H90" i="3"/>
  <c r="G90" i="3"/>
  <c r="E90" i="3"/>
  <c r="D90" i="3"/>
  <c r="A90" i="3"/>
  <c r="H89" i="3"/>
  <c r="G89" i="3"/>
  <c r="E89" i="3"/>
  <c r="D89" i="3"/>
  <c r="A89" i="3"/>
  <c r="H88" i="3"/>
  <c r="G88" i="3"/>
  <c r="E88" i="3"/>
  <c r="D88" i="3"/>
  <c r="A88" i="3"/>
  <c r="H87" i="3"/>
  <c r="G87" i="3"/>
  <c r="E87" i="3"/>
  <c r="D87" i="3"/>
  <c r="A87" i="3"/>
  <c r="H86" i="3"/>
  <c r="G86" i="3"/>
  <c r="E86" i="3"/>
  <c r="D86" i="3"/>
  <c r="A86" i="3"/>
  <c r="H85" i="3"/>
  <c r="G85" i="3"/>
  <c r="E85" i="3"/>
  <c r="D85" i="3"/>
  <c r="A85" i="3"/>
  <c r="H84" i="3"/>
  <c r="G84" i="3"/>
  <c r="E84" i="3"/>
  <c r="D84" i="3"/>
  <c r="A84" i="3"/>
  <c r="H83" i="3"/>
  <c r="G83" i="3"/>
  <c r="E83" i="3"/>
  <c r="D83" i="3"/>
  <c r="A83" i="3"/>
  <c r="H82" i="3"/>
  <c r="G82" i="3"/>
  <c r="E82" i="3"/>
  <c r="D82" i="3"/>
  <c r="A82" i="3"/>
  <c r="H81" i="3"/>
  <c r="G81" i="3"/>
  <c r="E81" i="3"/>
  <c r="D81" i="3"/>
  <c r="A81" i="3"/>
  <c r="H80" i="3"/>
  <c r="G80" i="3"/>
  <c r="E80" i="3"/>
  <c r="D80" i="3"/>
  <c r="A80" i="3"/>
  <c r="H79" i="3"/>
  <c r="G79" i="3"/>
  <c r="E79" i="3"/>
  <c r="D79" i="3"/>
  <c r="A79" i="3"/>
  <c r="H78" i="3"/>
  <c r="G78" i="3"/>
  <c r="E78" i="3"/>
  <c r="D78" i="3"/>
  <c r="A78" i="3"/>
  <c r="H77" i="3"/>
  <c r="G77" i="3"/>
  <c r="E77" i="3"/>
  <c r="D77" i="3"/>
  <c r="A77" i="3"/>
  <c r="H76" i="3"/>
  <c r="G76" i="3"/>
  <c r="E76" i="3"/>
  <c r="D76" i="3"/>
  <c r="A76" i="3"/>
  <c r="H75" i="3"/>
  <c r="G75" i="3"/>
  <c r="E75" i="3"/>
  <c r="D75" i="3"/>
  <c r="A75" i="3"/>
  <c r="H74" i="3"/>
  <c r="G74" i="3"/>
  <c r="E74" i="3"/>
  <c r="D74" i="3"/>
  <c r="A74" i="3"/>
  <c r="H73" i="3"/>
  <c r="G73" i="3"/>
  <c r="E73" i="3"/>
  <c r="D73" i="3"/>
  <c r="A73" i="3"/>
  <c r="H72" i="3"/>
  <c r="G72" i="3"/>
  <c r="E72" i="3"/>
  <c r="D72" i="3"/>
  <c r="A72" i="3"/>
  <c r="H71" i="3"/>
  <c r="G71" i="3"/>
  <c r="E71" i="3"/>
  <c r="D71" i="3"/>
  <c r="A71" i="3"/>
  <c r="H70" i="3"/>
  <c r="G70" i="3"/>
  <c r="E70" i="3"/>
  <c r="D70" i="3"/>
  <c r="A70" i="3"/>
  <c r="H69" i="3"/>
  <c r="G69" i="3"/>
  <c r="E69" i="3"/>
  <c r="D69" i="3"/>
  <c r="A69" i="3"/>
  <c r="H68" i="3"/>
  <c r="G68" i="3"/>
  <c r="E68" i="3"/>
  <c r="D68" i="3"/>
  <c r="A68" i="3"/>
  <c r="H67" i="3"/>
  <c r="G67" i="3"/>
  <c r="E67" i="3"/>
  <c r="D67" i="3"/>
  <c r="A67" i="3"/>
  <c r="H66" i="3"/>
  <c r="G66" i="3"/>
  <c r="E66" i="3"/>
  <c r="D66" i="3"/>
  <c r="A66" i="3"/>
  <c r="H65" i="3"/>
  <c r="G65" i="3"/>
  <c r="E65" i="3"/>
  <c r="D65" i="3"/>
  <c r="A65" i="3"/>
  <c r="H64" i="3"/>
  <c r="G64" i="3"/>
  <c r="E64" i="3"/>
  <c r="D64" i="3"/>
  <c r="A64" i="3"/>
  <c r="H63" i="3"/>
  <c r="G63" i="3"/>
  <c r="E63" i="3"/>
  <c r="D63" i="3"/>
  <c r="A63" i="3"/>
  <c r="H62" i="3"/>
  <c r="G62" i="3"/>
  <c r="E62" i="3"/>
  <c r="D62" i="3"/>
  <c r="A62" i="3"/>
  <c r="H61" i="3"/>
  <c r="G61" i="3"/>
  <c r="E61" i="3"/>
  <c r="D61" i="3"/>
  <c r="A61" i="3"/>
  <c r="H60" i="3"/>
  <c r="G60" i="3"/>
  <c r="E60" i="3"/>
  <c r="D60" i="3"/>
  <c r="A60" i="3"/>
  <c r="H59" i="3"/>
  <c r="G59" i="3"/>
  <c r="E59" i="3"/>
  <c r="D59" i="3"/>
  <c r="A59" i="3"/>
  <c r="H58" i="3"/>
  <c r="G58" i="3"/>
  <c r="E58" i="3"/>
  <c r="D58" i="3"/>
  <c r="A58" i="3"/>
  <c r="H57" i="3"/>
  <c r="G57" i="3"/>
  <c r="E57" i="3"/>
  <c r="D57" i="3"/>
  <c r="A57" i="3"/>
  <c r="H56" i="3"/>
  <c r="G56" i="3"/>
  <c r="E56" i="3"/>
  <c r="D56" i="3"/>
  <c r="A56" i="3"/>
  <c r="H55" i="3"/>
  <c r="G55" i="3"/>
  <c r="E55" i="3"/>
  <c r="D55" i="3"/>
  <c r="A55" i="3"/>
  <c r="H54" i="3"/>
  <c r="G54" i="3"/>
  <c r="E54" i="3"/>
  <c r="D54" i="3"/>
  <c r="A54" i="3"/>
  <c r="H53" i="3"/>
  <c r="G53" i="3"/>
  <c r="E53" i="3"/>
  <c r="D53" i="3"/>
  <c r="A53" i="3"/>
  <c r="H52" i="3"/>
  <c r="G52" i="3"/>
  <c r="E52" i="3"/>
  <c r="D52" i="3"/>
  <c r="A52" i="3"/>
  <c r="H51" i="3"/>
  <c r="G51" i="3"/>
  <c r="E51" i="3"/>
  <c r="D51" i="3"/>
  <c r="A51" i="3"/>
  <c r="H50" i="3"/>
  <c r="G50" i="3"/>
  <c r="E50" i="3"/>
  <c r="D50" i="3"/>
  <c r="A50" i="3"/>
  <c r="H49" i="3"/>
  <c r="G49" i="3"/>
  <c r="E49" i="3"/>
  <c r="D49" i="3"/>
  <c r="A49" i="3"/>
  <c r="H48" i="3"/>
  <c r="G48" i="3"/>
  <c r="E48" i="3"/>
  <c r="D48" i="3"/>
  <c r="A48" i="3"/>
  <c r="H47" i="3"/>
  <c r="G47" i="3"/>
  <c r="E47" i="3"/>
  <c r="D47" i="3"/>
  <c r="A47" i="3"/>
  <c r="H46" i="3"/>
  <c r="G46" i="3"/>
  <c r="E46" i="3"/>
  <c r="D46" i="3"/>
  <c r="A46" i="3"/>
  <c r="H45" i="3"/>
  <c r="G45" i="3"/>
  <c r="E45" i="3"/>
  <c r="D45" i="3"/>
  <c r="A45" i="3"/>
  <c r="H44" i="3"/>
  <c r="G44" i="3"/>
  <c r="E44" i="3"/>
  <c r="D44" i="3"/>
  <c r="A44" i="3"/>
  <c r="H43" i="3"/>
  <c r="G43" i="3"/>
  <c r="E43" i="3"/>
  <c r="D43" i="3"/>
  <c r="A43" i="3"/>
  <c r="H42" i="3"/>
  <c r="G42" i="3"/>
  <c r="E42" i="3"/>
  <c r="D42" i="3"/>
  <c r="A42" i="3"/>
  <c r="H41" i="3"/>
  <c r="G41" i="3"/>
  <c r="E41" i="3"/>
  <c r="D41" i="3"/>
  <c r="A41" i="3"/>
  <c r="H40" i="3"/>
  <c r="G40" i="3"/>
  <c r="E40" i="3"/>
  <c r="D40" i="3"/>
  <c r="A40" i="3"/>
  <c r="H39" i="3"/>
  <c r="G39" i="3"/>
  <c r="E39" i="3"/>
  <c r="D39" i="3"/>
  <c r="A39" i="3"/>
  <c r="H38" i="3"/>
  <c r="G38" i="3"/>
  <c r="E38" i="3"/>
  <c r="D38" i="3"/>
  <c r="A38" i="3"/>
  <c r="H37" i="3"/>
  <c r="G37" i="3"/>
  <c r="E37" i="3"/>
  <c r="D37" i="3"/>
  <c r="A37" i="3"/>
  <c r="H36" i="3"/>
  <c r="G36" i="3"/>
  <c r="E36" i="3"/>
  <c r="D36" i="3"/>
  <c r="A36" i="3"/>
  <c r="H35" i="3"/>
  <c r="G35" i="3"/>
  <c r="E35" i="3"/>
  <c r="D35" i="3"/>
  <c r="A35" i="3"/>
  <c r="H34" i="3"/>
  <c r="G34" i="3"/>
  <c r="E34" i="3"/>
  <c r="D34" i="3"/>
  <c r="A34" i="3"/>
  <c r="H33" i="3"/>
  <c r="G33" i="3"/>
  <c r="E33" i="3"/>
  <c r="D33" i="3"/>
  <c r="A33" i="3"/>
  <c r="H32" i="3"/>
  <c r="G32" i="3"/>
  <c r="E32" i="3"/>
  <c r="D32" i="3"/>
  <c r="A32" i="3"/>
  <c r="H31" i="3"/>
  <c r="G31" i="3"/>
  <c r="E31" i="3"/>
  <c r="D31" i="3"/>
  <c r="A31" i="3"/>
  <c r="H30" i="3"/>
  <c r="G30" i="3"/>
  <c r="E30" i="3"/>
  <c r="D30" i="3"/>
  <c r="A30" i="3"/>
  <c r="H29" i="3"/>
  <c r="G29" i="3"/>
  <c r="E29" i="3"/>
  <c r="D29" i="3"/>
  <c r="A29" i="3"/>
  <c r="H28" i="3"/>
  <c r="G28" i="3"/>
  <c r="E28" i="3"/>
  <c r="D28" i="3"/>
  <c r="A28" i="3"/>
  <c r="H27" i="3"/>
  <c r="G27" i="3"/>
  <c r="E27" i="3"/>
  <c r="D27" i="3"/>
  <c r="A27" i="3"/>
  <c r="H26" i="3"/>
  <c r="G26" i="3"/>
  <c r="E26" i="3"/>
  <c r="D26" i="3"/>
  <c r="A26" i="3"/>
  <c r="H25" i="3"/>
  <c r="G25" i="3"/>
  <c r="E25" i="3"/>
  <c r="D25" i="3"/>
  <c r="A25" i="3"/>
  <c r="H24" i="3"/>
  <c r="G24" i="3"/>
  <c r="E24" i="3"/>
  <c r="D24" i="3"/>
  <c r="A24" i="3"/>
  <c r="H23" i="3"/>
  <c r="G23" i="3"/>
  <c r="E23" i="3"/>
  <c r="D23" i="3"/>
  <c r="A23" i="3"/>
  <c r="H22" i="3"/>
  <c r="G22" i="3"/>
  <c r="E22" i="3"/>
  <c r="D22" i="3"/>
  <c r="A22" i="3"/>
  <c r="H21" i="3"/>
  <c r="G21" i="3"/>
  <c r="E21" i="3"/>
  <c r="D21" i="3"/>
  <c r="A21" i="3"/>
  <c r="H20" i="3"/>
  <c r="G20" i="3"/>
  <c r="E20" i="3"/>
  <c r="D20" i="3"/>
  <c r="A20" i="3"/>
  <c r="H19" i="3"/>
  <c r="G19" i="3"/>
  <c r="E19" i="3"/>
  <c r="D19" i="3"/>
  <c r="A19" i="3"/>
  <c r="H18" i="3"/>
  <c r="G18" i="3"/>
  <c r="E18" i="3"/>
  <c r="D18" i="3"/>
  <c r="A18" i="3"/>
  <c r="H17" i="3"/>
  <c r="G17" i="3"/>
  <c r="E17" i="3"/>
  <c r="D17" i="3"/>
  <c r="A17" i="3"/>
  <c r="H16" i="3"/>
  <c r="G16" i="3"/>
  <c r="E16" i="3"/>
  <c r="D16" i="3"/>
  <c r="A16" i="3"/>
  <c r="H15" i="3"/>
  <c r="G15" i="3"/>
  <c r="E15" i="3"/>
  <c r="D15" i="3"/>
  <c r="A15" i="3"/>
  <c r="H14" i="3"/>
  <c r="G14" i="3"/>
  <c r="E14" i="3"/>
  <c r="D14" i="3"/>
  <c r="A14" i="3"/>
  <c r="H13" i="3"/>
  <c r="G13" i="3"/>
  <c r="E13" i="3"/>
  <c r="D13" i="3"/>
  <c r="A13" i="3"/>
  <c r="H12" i="3"/>
  <c r="G12" i="3"/>
  <c r="E12" i="3"/>
  <c r="D12" i="3"/>
  <c r="A12" i="3"/>
  <c r="H11" i="3"/>
  <c r="G11" i="3"/>
  <c r="E11" i="3"/>
  <c r="D11" i="3"/>
  <c r="A11" i="3"/>
  <c r="H10" i="3"/>
  <c r="G10" i="3"/>
  <c r="E10" i="3"/>
  <c r="D10" i="3"/>
  <c r="A10" i="3"/>
  <c r="H9" i="3"/>
  <c r="G9" i="3"/>
  <c r="E9" i="3"/>
  <c r="D9" i="3"/>
  <c r="A9" i="3"/>
  <c r="H8" i="3"/>
  <c r="G8" i="3"/>
  <c r="E8" i="3"/>
  <c r="D8" i="3"/>
  <c r="A8" i="3"/>
  <c r="H7" i="3"/>
  <c r="G7" i="3"/>
  <c r="E7" i="3"/>
  <c r="D7" i="3"/>
  <c r="A7" i="3"/>
  <c r="H6" i="3"/>
  <c r="G6" i="3"/>
  <c r="E6" i="3"/>
  <c r="D6" i="3"/>
  <c r="A6" i="3"/>
  <c r="H5" i="3"/>
  <c r="G5" i="3"/>
  <c r="E5" i="3"/>
  <c r="D5" i="3"/>
  <c r="A5" i="3"/>
  <c r="H4" i="3"/>
  <c r="G4" i="3"/>
  <c r="E4" i="3"/>
  <c r="D4" i="3"/>
  <c r="A4" i="3"/>
  <c r="H3" i="3"/>
  <c r="G3" i="3"/>
  <c r="E3" i="3"/>
  <c r="D3" i="3"/>
  <c r="A3" i="3"/>
  <c r="H2" i="3"/>
  <c r="G2" i="3"/>
  <c r="E2" i="3"/>
  <c r="D2" i="3"/>
  <c r="A2" i="3"/>
  <c r="E3" i="10"/>
  <c r="E2" i="10"/>
</calcChain>
</file>

<file path=xl/sharedStrings.xml><?xml version="1.0" encoding="utf-8"?>
<sst xmlns="http://schemas.openxmlformats.org/spreadsheetml/2006/main" count="894" uniqueCount="141">
  <si>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</si>
  <si>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</si>
  <si>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</si>
  <si>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</si>
  <si>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</si>
  <si>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</si>
  <si>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</si>
  <si>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</si>
  <si>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</si>
  <si>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</si>
  <si>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</si>
  <si>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</si>
  <si>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</si>
  <si>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</si>
  <si>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</si>
  <si>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</si>
  <si>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</si>
  <si>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</si>
  <si>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</si>
  <si>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filename</t>
  </si>
  <si>
    <t>filename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</si>
  <si>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</si>
  <si>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</si>
  <si>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</si>
  <si>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</si>
  <si>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hint_type</t>
    <phoneticPr fontId="5"/>
  </si>
  <si>
    <t>len check</t>
    <phoneticPr fontId="5"/>
  </si>
  <si>
    <t>challenge</t>
    <phoneticPr fontId="5"/>
  </si>
  <si>
    <t>hint_type</t>
    <phoneticPr fontId="5"/>
  </si>
  <si>
    <t>quest_id</t>
    <phoneticPr fontId="5"/>
  </si>
  <si>
    <t>name</t>
    <phoneticPr fontId="5"/>
  </si>
  <si>
    <t>floor_id</t>
    <phoneticPr fontId="5"/>
  </si>
  <si>
    <t>complete</t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</si>
  <si>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</si>
  <si>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</si>
  <si>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</si>
  <si>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</si>
  <si>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</si>
  <si>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</si>
  <si>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</si>
  <si>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</si>
  <si>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</si>
  <si>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</si>
  <si>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</si>
  <si>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</si>
  <si>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</si>
  <si>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</si>
  <si>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</si>
  <si>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</si>
  <si>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</si>
  <si>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</si>
  <si>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</si>
  <si>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</si>
  <si>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</si>
  <si>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</si>
  <si>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</si>
  <si>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</si>
  <si>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</si>
  <si>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</si>
  <si>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</si>
  <si>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</si>
  <si>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</si>
  <si>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</si>
  <si>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</si>
  <si>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</si>
  <si>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</si>
  <si>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</si>
  <si>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</si>
  <si>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</si>
  <si>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</si>
  <si>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</si>
  <si>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</si>
  <si>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</si>
  <si>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</si>
  <si>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</si>
  <si>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</si>
  <si>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</si>
  <si>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</si>
  <si>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</si>
  <si>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</si>
  <si>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</si>
  <si>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</si>
  <si>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</si>
  <si>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</si>
  <si>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</si>
  <si>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</si>
  <si>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</si>
  <si>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</si>
  <si>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</si>
  <si>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</si>
  <si>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</si>
  <si>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</si>
  <si>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</si>
  <si>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</si>
  <si>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</si>
  <si>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</si>
  <si>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</si>
  <si>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</si>
  <si>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</si>
  <si>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</si>
  <si>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</si>
  <si>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</si>
  <si>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</si>
  <si>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</si>
  <si>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</si>
  <si>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</si>
  <si>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</si>
  <si>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</si>
  <si>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</si>
  <si>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</si>
  <si>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</si>
  <si>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</si>
  <si>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</si>
  <si>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</si>
  <si>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</si>
  <si>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</si>
  <si>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</si>
  <si>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</si>
  <si>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</si>
  <si>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</si>
  <si>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</si>
  <si>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</si>
  <si>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</si>
  <si>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</si>
  <si>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</si>
  <si>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</si>
  <si>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</si>
  <si>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</si>
  <si>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</si>
  <si>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</si>
  <si>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</si>
  <si>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</si>
  <si>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</si>
  <si>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</si>
  <si>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</si>
  <si>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</si>
  <si>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</si>
  <si>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</si>
  <si>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</si>
  <si>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</si>
  <si>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skip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</si>
</sst>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01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7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>
      <alignment horizontal="left" indent="1"/>
    </xf>
    <xf numFmtId="0" fontId="6" fillId="0" borderId="0" xfId="0" applyFont="1" applyFill="1" applyBorder="1"/>
    <xf numFmtId="0" fontId="12" fillId="0" borderId="0" xfId="0" applyFont="1" applyFill="1" applyBorder="1" applyAlignment="1">
      <alignment horizontal="left" indent="1"/>
    </xf>
    <xf numFmtId="0" fontId="39" fillId="24" borderId="1" xfId="0" applyFont="1" applyFill="1" applyBorder="1"/>
    <xf numFmtId="38" fontId="7" fillId="24" borderId="1" xfId="784" applyFont="1" applyFill="1" applyBorder="1" applyAlignment="1"/>
    <xf numFmtId="0" fontId="0" fillId="0" borderId="1" xfId="0" applyFont="1" applyFill="1" applyBorder="1"/>
    <xf numFmtId="0" fontId="7" fillId="0" borderId="1" xfId="0" applyFont="1" applyFill="1" applyBorder="1" applyAlignment="1">
      <alignment wrapText="1"/>
    </xf>
    <xf numFmtId="0" fontId="0" fillId="0" borderId="1" xfId="0" applyFill="1" applyBorder="1"/>
  </cellXfs>
  <cellStyles count="801">
    <cellStyle name="" xfId="458"/>
    <cellStyle name="_" xfId="459"/>
    <cellStyle name="__" xfId="460"/>
    <cellStyle name="__÷" xfId="461"/>
    <cellStyle name="«¢" xfId="462"/>
    <cellStyle name="`FbN Z" xfId="463"/>
    <cellStyle name="^Cg" xfId="464"/>
    <cellStyle name="©oµ 1" xfId="465"/>
    <cellStyle name="©oµ 2" xfId="466"/>
    <cellStyle name="©oµ 3" xfId="467"/>
    <cellStyle name="©oµ 4" xfId="468"/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à¾¶" xfId="487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Ç¢" xfId="494"/>
    <cellStyle name="Ê" xfId="495"/>
    <cellStyle name="Excel Built-in Normal" xfId="496"/>
    <cellStyle name="N Z" xfId="497"/>
    <cellStyle name="o_" xfId="498"/>
    <cellStyle name="oÍ" xfId="499"/>
    <cellStyle name="üÍ" xfId="500"/>
    <cellStyle name="v" xfId="501"/>
    <cellStyle name="vZ" xfId="502"/>
    <cellStyle name="x¶" xfId="503"/>
    <cellStyle name="x÷" xfId="504"/>
    <cellStyle name="ýo_ 1" xfId="50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桁区切り 2" xfId="139"/>
    <cellStyle name="桁区切り 2 2" xfId="784"/>
    <cellStyle name="青字強調" xfId="506"/>
    <cellStyle name="赤字強調" xfId="507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無題1" xfId="51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11214</v>
          </cell>
        </row>
        <row r="70">
          <cell r="A70">
            <v>11215</v>
          </cell>
        </row>
        <row r="71">
          <cell r="A71">
            <v>11216</v>
          </cell>
        </row>
        <row r="72">
          <cell r="A72">
            <v>11217</v>
          </cell>
        </row>
        <row r="73">
          <cell r="A73">
            <v>12001</v>
          </cell>
        </row>
        <row r="74">
          <cell r="A74">
            <v>12002</v>
          </cell>
        </row>
        <row r="75">
          <cell r="A75">
            <v>12003</v>
          </cell>
        </row>
        <row r="76">
          <cell r="A76">
            <v>11210</v>
          </cell>
        </row>
        <row r="77">
          <cell r="A77">
            <v>13001</v>
          </cell>
        </row>
        <row r="78">
          <cell r="A78">
            <v>20001</v>
          </cell>
        </row>
        <row r="79">
          <cell r="A79">
            <v>20002</v>
          </cell>
        </row>
        <row r="80">
          <cell r="A80">
            <v>20003</v>
          </cell>
        </row>
        <row r="81">
          <cell r="A81">
            <v>20004</v>
          </cell>
        </row>
        <row r="82">
          <cell r="A82">
            <v>20005</v>
          </cell>
        </row>
        <row r="83">
          <cell r="A83">
            <v>20006</v>
          </cell>
        </row>
        <row r="84">
          <cell r="A84">
            <v>20007</v>
          </cell>
        </row>
        <row r="85">
          <cell r="A85">
            <v>20008</v>
          </cell>
        </row>
        <row r="86">
          <cell r="A86">
            <v>20009</v>
          </cell>
        </row>
        <row r="87">
          <cell r="A87">
            <v>20010</v>
          </cell>
        </row>
        <row r="88">
          <cell r="A88">
            <v>20011</v>
          </cell>
        </row>
        <row r="89">
          <cell r="A89">
            <v>20012</v>
          </cell>
        </row>
        <row r="90">
          <cell r="A90">
            <v>30001</v>
          </cell>
        </row>
        <row r="91">
          <cell r="A91">
            <v>30002</v>
          </cell>
        </row>
        <row r="92">
          <cell r="A92">
            <v>30003</v>
          </cell>
        </row>
        <row r="93">
          <cell r="A93">
            <v>30004</v>
          </cell>
        </row>
        <row r="94">
          <cell r="A94">
            <v>30005</v>
          </cell>
        </row>
        <row r="95">
          <cell r="A95">
            <v>30006</v>
          </cell>
        </row>
        <row r="96">
          <cell r="A96">
            <v>30007</v>
          </cell>
        </row>
        <row r="97">
          <cell r="A97">
            <v>30008</v>
          </cell>
        </row>
        <row r="98">
          <cell r="A98">
            <v>30009</v>
          </cell>
        </row>
        <row r="99">
          <cell r="A99">
            <v>30010</v>
          </cell>
        </row>
        <row r="100">
          <cell r="A100">
            <v>30011</v>
          </cell>
        </row>
        <row r="101">
          <cell r="A101">
            <v>30012</v>
          </cell>
        </row>
        <row r="102">
          <cell r="A102">
            <v>30013</v>
          </cell>
        </row>
        <row r="103">
          <cell r="A103">
            <v>30014</v>
          </cell>
        </row>
        <row r="104">
          <cell r="A104">
            <v>30015</v>
          </cell>
        </row>
        <row r="105">
          <cell r="A105">
            <v>30016</v>
          </cell>
        </row>
        <row r="106">
          <cell r="A106">
            <v>30017</v>
          </cell>
        </row>
        <row r="107">
          <cell r="A107">
            <v>30018</v>
          </cell>
        </row>
        <row r="108">
          <cell r="A108">
            <v>30019</v>
          </cell>
        </row>
        <row r="109">
          <cell r="A109">
            <v>30020</v>
          </cell>
        </row>
        <row r="110">
          <cell r="A110">
            <v>30021</v>
          </cell>
        </row>
        <row r="111">
          <cell r="A111">
            <v>40001</v>
          </cell>
        </row>
        <row r="112">
          <cell r="A112">
            <v>40002</v>
          </cell>
        </row>
        <row r="113">
          <cell r="A113">
            <v>40003</v>
          </cell>
        </row>
        <row r="114">
          <cell r="A114">
            <v>40004</v>
          </cell>
        </row>
        <row r="115">
          <cell r="A115">
            <v>40005</v>
          </cell>
        </row>
        <row r="116">
          <cell r="A116">
            <v>40006</v>
          </cell>
        </row>
        <row r="117">
          <cell r="A117">
            <v>50001</v>
          </cell>
        </row>
        <row r="118">
          <cell r="A118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12001_1</v>
          </cell>
        </row>
        <row r="261">
          <cell r="A261" t="str">
            <v>12001_2</v>
          </cell>
        </row>
        <row r="262">
          <cell r="A262" t="str">
            <v>12001_3</v>
          </cell>
        </row>
        <row r="263">
          <cell r="A263" t="str">
            <v>12002_3</v>
          </cell>
        </row>
        <row r="264">
          <cell r="A264" t="str">
            <v>12002_2</v>
          </cell>
        </row>
        <row r="265">
          <cell r="A265" t="str">
            <v>12002_1</v>
          </cell>
        </row>
        <row r="266">
          <cell r="A266" t="str">
            <v>12003_1</v>
          </cell>
        </row>
        <row r="267">
          <cell r="A267" t="str">
            <v>12003_2</v>
          </cell>
        </row>
        <row r="268">
          <cell r="A268" t="str">
            <v>12003_3</v>
          </cell>
        </row>
        <row r="269">
          <cell r="A269" t="str">
            <v>12003_4</v>
          </cell>
        </row>
        <row r="270">
          <cell r="A270" t="str">
            <v>13001_1</v>
          </cell>
        </row>
        <row r="271">
          <cell r="A271" t="str">
            <v>13001_2</v>
          </cell>
        </row>
        <row r="272">
          <cell r="A272" t="str">
            <v>13001_3</v>
          </cell>
        </row>
        <row r="273">
          <cell r="A273" t="str">
            <v>13001_4</v>
          </cell>
        </row>
        <row r="274">
          <cell r="A274" t="str">
            <v>13001_5</v>
          </cell>
        </row>
        <row r="275">
          <cell r="A275" t="str">
            <v>13001_6</v>
          </cell>
        </row>
        <row r="276">
          <cell r="A276" t="str">
            <v>13001_7</v>
          </cell>
        </row>
        <row r="277">
          <cell r="A277" t="str">
            <v>13001_8</v>
          </cell>
        </row>
        <row r="278">
          <cell r="A278" t="str">
            <v>13001_9</v>
          </cell>
        </row>
        <row r="279">
          <cell r="A279" t="str">
            <v>13001_10</v>
          </cell>
        </row>
        <row r="280">
          <cell r="A280" t="str">
            <v>13001_11</v>
          </cell>
        </row>
        <row r="281">
          <cell r="A281" t="str">
            <v>13001_12</v>
          </cell>
        </row>
        <row r="282">
          <cell r="A282" t="str">
            <v>13001_13</v>
          </cell>
        </row>
        <row r="283">
          <cell r="A283" t="str">
            <v>13001_14</v>
          </cell>
        </row>
        <row r="284">
          <cell r="A284" t="str">
            <v>13001_15</v>
          </cell>
        </row>
        <row r="285">
          <cell r="A285" t="str">
            <v>13001_16</v>
          </cell>
        </row>
        <row r="286">
          <cell r="A286" t="str">
            <v>13001_17</v>
          </cell>
        </row>
        <row r="287">
          <cell r="A287" t="str">
            <v>13001_18</v>
          </cell>
        </row>
        <row r="288">
          <cell r="A288" t="str">
            <v>13001_19</v>
          </cell>
        </row>
        <row r="289">
          <cell r="A289" t="str">
            <v>13001_20</v>
          </cell>
        </row>
        <row r="290">
          <cell r="A290" t="str">
            <v>13001_21</v>
          </cell>
        </row>
        <row r="291">
          <cell r="A291" t="str">
            <v>13001_22</v>
          </cell>
        </row>
        <row r="292">
          <cell r="A292" t="str">
            <v>13001_23</v>
          </cell>
        </row>
        <row r="293">
          <cell r="A293" t="str">
            <v>13001_24</v>
          </cell>
        </row>
        <row r="294">
          <cell r="A294" t="str">
            <v>13001_25</v>
          </cell>
        </row>
        <row r="295">
          <cell r="A295" t="str">
            <v>20001_1</v>
          </cell>
        </row>
        <row r="296">
          <cell r="A296" t="str">
            <v>20001_2</v>
          </cell>
        </row>
        <row r="297">
          <cell r="A297" t="str">
            <v>20001_3</v>
          </cell>
        </row>
        <row r="298">
          <cell r="A298" t="str">
            <v>20002_1</v>
          </cell>
        </row>
        <row r="299">
          <cell r="A299" t="str">
            <v>20002_2</v>
          </cell>
        </row>
        <row r="300">
          <cell r="A300" t="str">
            <v>20002_3</v>
          </cell>
        </row>
        <row r="301">
          <cell r="A301" t="str">
            <v>20003_1</v>
          </cell>
        </row>
        <row r="302">
          <cell r="A302" t="str">
            <v>20003_2</v>
          </cell>
        </row>
        <row r="303">
          <cell r="A303" t="str">
            <v>20003_3</v>
          </cell>
        </row>
        <row r="304">
          <cell r="A304" t="str">
            <v>20004_1</v>
          </cell>
        </row>
        <row r="305">
          <cell r="A305" t="str">
            <v>20004_2</v>
          </cell>
        </row>
        <row r="306">
          <cell r="A306" t="str">
            <v>20004_3</v>
          </cell>
        </row>
        <row r="307">
          <cell r="A307" t="str">
            <v>20005_1</v>
          </cell>
        </row>
        <row r="308">
          <cell r="A308" t="str">
            <v>20005_2</v>
          </cell>
        </row>
        <row r="309">
          <cell r="A309" t="str">
            <v>20005_3</v>
          </cell>
        </row>
        <row r="310">
          <cell r="A310" t="str">
            <v>20006_1</v>
          </cell>
        </row>
        <row r="311">
          <cell r="A311" t="str">
            <v>20006_2</v>
          </cell>
        </row>
        <row r="312">
          <cell r="A312" t="str">
            <v>20006_3</v>
          </cell>
        </row>
        <row r="313">
          <cell r="A313" t="str">
            <v>20007_1</v>
          </cell>
        </row>
        <row r="314">
          <cell r="A314" t="str">
            <v>20007_2</v>
          </cell>
        </row>
        <row r="315">
          <cell r="A315" t="str">
            <v>20007_3</v>
          </cell>
        </row>
        <row r="316">
          <cell r="A316" t="str">
            <v>20008_1</v>
          </cell>
        </row>
        <row r="317">
          <cell r="A317" t="str">
            <v>20008_2</v>
          </cell>
        </row>
        <row r="318">
          <cell r="A318" t="str">
            <v>20008_3</v>
          </cell>
        </row>
        <row r="319">
          <cell r="A319" t="str">
            <v>20009_1</v>
          </cell>
        </row>
        <row r="320">
          <cell r="A320" t="str">
            <v>20009_2</v>
          </cell>
        </row>
        <row r="321">
          <cell r="A321" t="str">
            <v>20009_3</v>
          </cell>
        </row>
        <row r="322">
          <cell r="A322" t="str">
            <v>20010_1</v>
          </cell>
        </row>
        <row r="323">
          <cell r="A323" t="str">
            <v>20010_2</v>
          </cell>
        </row>
        <row r="324">
          <cell r="A324" t="str">
            <v>20010_3</v>
          </cell>
        </row>
        <row r="325">
          <cell r="A325" t="str">
            <v>20011_1</v>
          </cell>
        </row>
        <row r="326">
          <cell r="A326" t="str">
            <v>20011_2</v>
          </cell>
        </row>
        <row r="327">
          <cell r="A327" t="str">
            <v>20011_3</v>
          </cell>
        </row>
        <row r="328">
          <cell r="A328" t="str">
            <v>20012_1</v>
          </cell>
        </row>
        <row r="329">
          <cell r="A329" t="str">
            <v>20012_2</v>
          </cell>
        </row>
        <row r="330">
          <cell r="A330" t="str">
            <v>20012_3</v>
          </cell>
        </row>
        <row r="331">
          <cell r="A331" t="str">
            <v>30001_1</v>
          </cell>
        </row>
        <row r="332">
          <cell r="A332" t="str">
            <v>30001_2</v>
          </cell>
        </row>
        <row r="333">
          <cell r="A333" t="str">
            <v>30001_3</v>
          </cell>
        </row>
        <row r="334">
          <cell r="A334" t="str">
            <v>30002_1</v>
          </cell>
        </row>
        <row r="335">
          <cell r="A335" t="str">
            <v>30002_2</v>
          </cell>
        </row>
        <row r="336">
          <cell r="A336" t="str">
            <v>30002_3</v>
          </cell>
        </row>
        <row r="337">
          <cell r="A337" t="str">
            <v>30003_1</v>
          </cell>
        </row>
        <row r="338">
          <cell r="A338" t="str">
            <v>30003_2</v>
          </cell>
        </row>
        <row r="339">
          <cell r="A339" t="str">
            <v>30003_3</v>
          </cell>
        </row>
        <row r="340">
          <cell r="A340" t="str">
            <v>30004_1</v>
          </cell>
        </row>
        <row r="341">
          <cell r="A341" t="str">
            <v>30004_2</v>
          </cell>
        </row>
        <row r="342">
          <cell r="A342" t="str">
            <v>30004_3</v>
          </cell>
        </row>
        <row r="343">
          <cell r="A343" t="str">
            <v>30005_1</v>
          </cell>
        </row>
        <row r="344">
          <cell r="A344" t="str">
            <v>30005_2</v>
          </cell>
        </row>
        <row r="345">
          <cell r="A345" t="str">
            <v>30005_3</v>
          </cell>
        </row>
        <row r="346">
          <cell r="A346" t="str">
            <v>30006_1</v>
          </cell>
        </row>
        <row r="347">
          <cell r="A347" t="str">
            <v>30006_2</v>
          </cell>
        </row>
        <row r="348">
          <cell r="A348" t="str">
            <v>30006_3</v>
          </cell>
        </row>
        <row r="349">
          <cell r="A349" t="str">
            <v>30007_1</v>
          </cell>
        </row>
        <row r="350">
          <cell r="A350" t="str">
            <v>30007_2</v>
          </cell>
        </row>
        <row r="351">
          <cell r="A351" t="str">
            <v>30007_3</v>
          </cell>
        </row>
        <row r="352">
          <cell r="A352" t="str">
            <v>30008_1</v>
          </cell>
        </row>
        <row r="353">
          <cell r="A353" t="str">
            <v>30008_2</v>
          </cell>
        </row>
        <row r="354">
          <cell r="A354" t="str">
            <v>30008_3</v>
          </cell>
        </row>
        <row r="355">
          <cell r="A355" t="str">
            <v>30009_3</v>
          </cell>
        </row>
        <row r="356">
          <cell r="A356" t="str">
            <v>30009_1</v>
          </cell>
        </row>
        <row r="357">
          <cell r="A357" t="str">
            <v>30009_2</v>
          </cell>
        </row>
        <row r="358">
          <cell r="A358" t="str">
            <v>30010_1</v>
          </cell>
        </row>
        <row r="359">
          <cell r="A359" t="str">
            <v>30010_2</v>
          </cell>
        </row>
        <row r="360">
          <cell r="A360" t="str">
            <v>30010_3</v>
          </cell>
        </row>
        <row r="361">
          <cell r="A361" t="str">
            <v>30011_1</v>
          </cell>
        </row>
        <row r="362">
          <cell r="A362" t="str">
            <v>30011_2</v>
          </cell>
        </row>
        <row r="363">
          <cell r="A363" t="str">
            <v>30011_3</v>
          </cell>
        </row>
        <row r="364">
          <cell r="A364" t="str">
            <v>30012_1</v>
          </cell>
        </row>
        <row r="365">
          <cell r="A365" t="str">
            <v>30012_2</v>
          </cell>
        </row>
        <row r="366">
          <cell r="A366" t="str">
            <v>30012_3</v>
          </cell>
        </row>
        <row r="367">
          <cell r="A367" t="str">
            <v>30013_1</v>
          </cell>
        </row>
        <row r="368">
          <cell r="A368" t="str">
            <v>30013_2</v>
          </cell>
        </row>
        <row r="369">
          <cell r="A369" t="str">
            <v>30014_1</v>
          </cell>
        </row>
        <row r="370">
          <cell r="A370" t="str">
            <v>30014_2</v>
          </cell>
        </row>
        <row r="371">
          <cell r="A371" t="str">
            <v>30015_1</v>
          </cell>
        </row>
        <row r="372">
          <cell r="A372" t="str">
            <v>30015_2</v>
          </cell>
        </row>
        <row r="373">
          <cell r="A373" t="str">
            <v>30016_1</v>
          </cell>
        </row>
        <row r="374">
          <cell r="A374" t="str">
            <v>30016_2</v>
          </cell>
        </row>
        <row r="375">
          <cell r="A375" t="str">
            <v>30017_1</v>
          </cell>
        </row>
        <row r="376">
          <cell r="A376" t="str">
            <v>30017_2</v>
          </cell>
        </row>
        <row r="377">
          <cell r="A377" t="str">
            <v>30018_1</v>
          </cell>
        </row>
        <row r="378">
          <cell r="A378" t="str">
            <v>30018_2</v>
          </cell>
        </row>
        <row r="379">
          <cell r="A379" t="str">
            <v>30019_1</v>
          </cell>
        </row>
        <row r="380">
          <cell r="A380" t="str">
            <v>30019_2</v>
          </cell>
        </row>
        <row r="381">
          <cell r="A381" t="str">
            <v>30020_1</v>
          </cell>
        </row>
        <row r="382">
          <cell r="A382" t="str">
            <v>30020_2</v>
          </cell>
        </row>
        <row r="383">
          <cell r="A383" t="str">
            <v>30021_1</v>
          </cell>
        </row>
        <row r="384">
          <cell r="A384" t="str">
            <v>30021_2</v>
          </cell>
        </row>
        <row r="385">
          <cell r="A385" t="str">
            <v>30021_3</v>
          </cell>
        </row>
        <row r="386">
          <cell r="A386" t="str">
            <v>40001_1</v>
          </cell>
        </row>
        <row r="387">
          <cell r="A387" t="str">
            <v>40002_1</v>
          </cell>
        </row>
        <row r="388">
          <cell r="A388" t="str">
            <v>40002_2</v>
          </cell>
        </row>
        <row r="389">
          <cell r="A389" t="str">
            <v>40002_3</v>
          </cell>
        </row>
        <row r="390">
          <cell r="A390" t="str">
            <v>40003_1</v>
          </cell>
        </row>
        <row r="391">
          <cell r="A391" t="str">
            <v>40004_1</v>
          </cell>
        </row>
        <row r="392">
          <cell r="A392" t="str">
            <v>40005_1</v>
          </cell>
        </row>
        <row r="393">
          <cell r="A393" t="str">
            <v>40006_1</v>
          </cell>
        </row>
        <row r="394">
          <cell r="A394" t="str">
            <v>50001_1</v>
          </cell>
        </row>
        <row r="395">
          <cell r="A395" t="str">
            <v>65535_1</v>
          </cell>
        </row>
        <row r="396">
          <cell r="A396" t="str">
            <v>65535_2</v>
          </cell>
        </row>
        <row r="397">
          <cell r="A397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敵の属性に対抗しよう！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メタルダックをつかって強化しよう！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ゲリラを見逃すな！</v>
          </cell>
          <cell r="D9" t="str">
            <v>時間限定の「【緊急!!】アヒル捕獲作戦」では_x000D_経験値素材ユニットが多く手に入ります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ゴールドダックを売却すると大量ビット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土日クエストで大量ビットをGET！！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ランク開放クエスト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お気に入り登録</v>
          </cell>
          <cell r="D13" t="str">
            <v>大事なユニットは_x000D_フォルダから「お気に入り登録」しましょう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ユニットを覚醒させよう！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覚醒するにはレベルをMAXに！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覚醒素材をGETしよう！</v>
          </cell>
          <cell r="D16" t="str">
            <v>「曜日クエスト」では_x000D_覚醒に必要な覚醒素材が手に入ります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マルチプレイが熱い！　その1</v>
          </cell>
          <cell r="D17" t="str">
            <v>マルチプレイをすると_x000D_初顔合わせボーナスで_x000D_100人までポリゴンがもらえます</v>
          </cell>
        </row>
        <row r="18">
          <cell r="A18">
            <v>17</v>
          </cell>
          <cell r="B18" t="str">
            <v>ja</v>
          </cell>
          <cell r="C18" t="str">
            <v>リンクガチャを引いてみよう</v>
          </cell>
          <cell r="D18" t="str">
            <v>リンクガチャを回して_x000D_メタルダックやゴールドダックを獲得しましょう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マルチプレイが熱い！　その2</v>
          </cell>
          <cell r="D19" t="str">
            <v>マルチプレイなら_x000D_2倍のリンクがもらえます</v>
          </cell>
        </row>
        <row r="20">
          <cell r="A20">
            <v>19</v>
          </cell>
          <cell r="B20" t="str">
            <v>ja</v>
          </cell>
          <cell r="C20" t="str">
            <v>チャレンジタワー</v>
          </cell>
          <cell r="D20" t="str">
            <v>「チャレンジタワー」をクリアすると_x000D_各フロアごとに報酬がもらえます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マルチプレイが熱い！　その3</v>
          </cell>
          <cell r="D21" t="str">
            <v>マルチプレイへの参加は_x000D_エナジー消費がありません</v>
          </cell>
        </row>
        <row r="22">
          <cell r="A22">
            <v>21</v>
          </cell>
          <cell r="B22" t="str">
            <v>ja</v>
          </cell>
          <cell r="C22" t="str">
            <v>スキルを有効に使おう</v>
          </cell>
          <cell r="D22" t="str">
            <v>ターン経過でユニットは_x000D_強力なスキルが使えるようになります</v>
          </cell>
        </row>
        <row r="23">
          <cell r="A23">
            <v>22</v>
          </cell>
          <cell r="B23" t="str">
            <v>ja</v>
          </cell>
          <cell r="C23" t="str">
            <v>フィーバーを使って一発逆転</v>
          </cell>
          <cell r="D23" t="str">
            <v>ピンチの時はフィーバーで_x000D_一発逆転を狙いましょう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フィーバーは虹パネルを狙おう！</v>
          </cell>
          <cell r="D24" t="str">
            <v>フィーバー中は虹色のパネルを壊して_x000D_大ダメージを狙いましょう</v>
          </cell>
        </row>
        <row r="25">
          <cell r="A25">
            <v>24</v>
          </cell>
          <cell r="B25" t="str">
            <v>ja</v>
          </cell>
          <cell r="C25" t="str">
            <v>リンゴをつかって限界突破！</v>
          </cell>
          <cell r="D25" t="str">
            <v>赤りんご(攻撃力)、青りんご(回復力)、_x000D_緑りんご(体力)は_x000D_合計99個までステータスを上げられます</v>
          </cell>
        </row>
        <row r="26">
          <cell r="A26">
            <v>25</v>
          </cell>
          <cell r="B26" t="str">
            <v>ja</v>
          </cell>
          <cell r="C26" t="str">
            <v>クリスタルリンゴはスキルLvUP！</v>
          </cell>
          <cell r="D26" t="str">
            <v>「クリスタルのりんご」を強化に使うと_x000D_スキルLvを上げることができます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スキルLv</v>
          </cell>
          <cell r="D27" t="str">
            <v>スキルLvが上がると_x000D_短いターンでスキルを使うことができます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ホーム画面からデッキを編成！</v>
          </cell>
          <cell r="D28" t="str">
            <v>ホームでユニットを長押しすると_x000D_すぐにパーティ編成に移動できます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詳細情報は長押しで！</v>
          </cell>
          <cell r="D29" t="str">
            <v>ユニットのアイコンを長押しすると_x000D_ステータス情報を見ることができます</v>
          </cell>
        </row>
        <row r="30">
          <cell r="A30">
            <v>29</v>
          </cell>
          <cell r="B30" t="str">
            <v>ja</v>
          </cell>
          <cell r="C30" t="str">
            <v>ステータスのバグって何？</v>
          </cell>
          <cell r="D30" t="str">
            <v>「バグ」を上げると_x000D_報酬をもらえる確率がアップします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ステータスのバグを増やす方法</v>
          </cell>
          <cell r="D31" t="str">
            <v>同じユニット同士を強化すると_x000D_「バグ」を増やすことができます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イベントを見逃すな！</v>
          </cell>
          <cell r="D32" t="str">
            <v>特定のイベントでしか入手できない_x000D_ユニットがいるようです</v>
          </cell>
        </row>
        <row r="33">
          <cell r="A33">
            <v>38</v>
          </cell>
          <cell r="B33" t="str">
            <v>ja</v>
          </cell>
          <cell r="C33" t="str">
            <v>お邪魔はフィーバーで落とせ！</v>
          </cell>
          <cell r="D33" t="str">
            <v>消せない「お邪魔パネル」は_x000D_フィーバーで落としてしまいましょう</v>
          </cell>
        </row>
        <row r="34">
          <cell r="A34">
            <v>32</v>
          </cell>
          <cell r="B34" t="str">
            <v>ja</v>
          </cell>
          <cell r="C34" t="str">
            <v>連続攻撃をしてくる敵には</v>
          </cell>
          <cell r="D34" t="str">
            <v>敵の連続攻撃には「カウンター」スキルが有効！_x000D_ダメージ回数分の攻撃を返せます</v>
          </cell>
        </row>
        <row r="35">
          <cell r="A35">
            <v>33</v>
          </cell>
          <cell r="B35" t="str">
            <v>ja</v>
          </cell>
          <cell r="C35" t="str">
            <v>カウンターブレイク！</v>
          </cell>
          <cell r="D35" t="str">
            <v>敵のカウンターには「カウンターブレイク」！_x000D_カウンターを解除して攻撃をしかけましょう</v>
          </cell>
        </row>
        <row r="36">
          <cell r="A36">
            <v>34</v>
          </cell>
          <cell r="B36" t="str">
            <v>ja</v>
          </cell>
          <cell r="C36" t="str">
            <v>敵のDOWNを上書きしよう！</v>
          </cell>
          <cell r="D36" t="str">
            <v>攻撃力ダウンを受けたときは_x000D_攻撃力アップスキルで効果を上書きできます</v>
          </cell>
        </row>
        <row r="37">
          <cell r="A37">
            <v>35</v>
          </cell>
          <cell r="B37" t="str">
            <v>ja</v>
          </cell>
          <cell r="C37" t="str">
            <v>敵のUPを上書きしよう！</v>
          </cell>
          <cell r="D37" t="str">
            <v>敵の攻撃力がアップしたときは_x000D_攻撃力ダウンスキルで効果を上書きできます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チャレンジタワー15F、20F、25Fのボスは_x000D_一定確率でドロップするようです</v>
          </cell>
        </row>
        <row r="39">
          <cell r="A39">
            <v>37</v>
          </cell>
          <cell r="B39" t="str">
            <v>ja</v>
          </cell>
          <cell r="C39" t="str">
            <v>限界突破の引継</v>
          </cell>
          <cell r="D39" t="str">
            <v>限界突破の+値は同じユニットなら_x000D_覚醒前後でも強化で引き継がれます</v>
          </cell>
        </row>
        <row r="40">
          <cell r="A40">
            <v>65535</v>
          </cell>
          <cell r="B40" t="str">
            <v>ja</v>
          </cell>
          <cell r="C40" t="str">
            <v>文字数テスト</v>
          </cell>
          <cell r="D40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B12" sqref="B12"/>
    </sheetView>
  </sheetViews>
  <sheetFormatPr baseColWidth="12" defaultRowHeight="18" x14ac:dyDescent="0"/>
  <cols>
    <col min="1" max="1" width="12.83203125" style="10"/>
    <col min="2" max="2" width="17.1640625" style="10" bestFit="1" customWidth="1"/>
    <col min="3" max="4" width="12.83203125" style="10"/>
    <col min="5" max="5" width="20.5" style="10" bestFit="1" customWidth="1"/>
    <col min="6" max="6" width="16" style="10" bestFit="1" customWidth="1"/>
    <col min="7" max="16384" width="12.83203125" style="10"/>
  </cols>
  <sheetData>
    <row r="1" spans="1:11">
      <c r="A1" s="14" t="s">
        <v>16</v>
      </c>
      <c r="B1" s="8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9"/>
      <c r="I1" s="9"/>
      <c r="J1" s="17"/>
      <c r="K1" s="17"/>
    </row>
    <row r="2" spans="1:11">
      <c r="A2" s="15" t="s">
        <v>17</v>
      </c>
      <c r="B2" s="24" t="s">
        <v>23</v>
      </c>
      <c r="C2" s="24" t="s">
        <v>27</v>
      </c>
      <c r="D2" s="24" t="s">
        <v>22</v>
      </c>
      <c r="E2" s="9" t="str">
        <f t="shared" ref="E2:E3" si="0">B2&amp;C2&amp;D2</f>
        <v>stage_hints_data_challenge.tmp</v>
      </c>
      <c r="F2" s="11" t="s">
        <v>9</v>
      </c>
      <c r="G2" s="1" t="s">
        <v>5</v>
      </c>
      <c r="H2" s="1" t="s">
        <v>0</v>
      </c>
      <c r="I2" s="16" t="s">
        <v>6</v>
      </c>
      <c r="J2" s="18" t="s">
        <v>18</v>
      </c>
      <c r="K2" s="23" t="s">
        <v>25</v>
      </c>
    </row>
    <row r="3" spans="1:11">
      <c r="A3" s="24" t="s">
        <v>140</v>
      </c>
      <c r="B3" s="24" t="s">
        <v>24</v>
      </c>
      <c r="C3" s="24" t="s">
        <v>27</v>
      </c>
      <c r="D3" s="24" t="s">
        <v>22</v>
      </c>
      <c r="E3" s="9" t="str">
        <f t="shared" si="0"/>
        <v>stage_hints_i18n_challenge.tmp</v>
      </c>
      <c r="F3" s="11" t="s">
        <v>9</v>
      </c>
      <c r="G3" s="16" t="s">
        <v>6</v>
      </c>
      <c r="H3" s="12" t="s">
        <v>7</v>
      </c>
      <c r="I3" s="1" t="s">
        <v>8</v>
      </c>
      <c r="J3" s="20" t="s">
        <v>19</v>
      </c>
      <c r="K3" s="23" t="s">
        <v>21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O1608"/>
  <sheetViews>
    <sheetView showGridLines="0" tabSelected="1" workbookViewId="0">
      <pane ySplit="1" topLeftCell="A2" activePane="bottomLeft" state="frozen"/>
      <selection pane="bottomLeft" activeCell="J10" sqref="J10"/>
    </sheetView>
  </sheetViews>
  <sheetFormatPr baseColWidth="12" defaultColWidth="13" defaultRowHeight="18" outlineLevelCol="1" x14ac:dyDescent="0"/>
  <cols>
    <col min="2" max="2" width="13" style="2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2" width="11.1640625" customWidth="1"/>
    <col min="13" max="13" width="35.33203125" customWidth="1"/>
  </cols>
  <sheetData>
    <row r="1" spans="1:15">
      <c r="A1" s="3" t="s">
        <v>2</v>
      </c>
      <c r="B1" s="26" t="s">
        <v>28</v>
      </c>
      <c r="C1" s="1" t="s">
        <v>29</v>
      </c>
      <c r="D1" s="7" t="s">
        <v>30</v>
      </c>
      <c r="E1" s="7" t="s">
        <v>4</v>
      </c>
      <c r="F1" s="1" t="s">
        <v>0</v>
      </c>
      <c r="G1" s="7" t="s">
        <v>3</v>
      </c>
      <c r="H1" s="7" t="s">
        <v>4</v>
      </c>
      <c r="I1" s="1" t="s">
        <v>31</v>
      </c>
      <c r="J1" s="25" t="s">
        <v>6</v>
      </c>
      <c r="K1" s="13" t="s">
        <v>7</v>
      </c>
      <c r="L1" s="13" t="s">
        <v>21</v>
      </c>
      <c r="M1" s="2" t="s">
        <v>1</v>
      </c>
      <c r="N1" s="21" t="s">
        <v>20</v>
      </c>
      <c r="O1" t="s">
        <v>26</v>
      </c>
    </row>
    <row r="2" spans="1:15">
      <c r="A2" s="29" t="e">
        <f>C2&amp;"_"&amp;F2&amp;"_"&amp;#REF!</f>
        <v>#REF!</v>
      </c>
      <c r="B2" s="27" t="s">
        <v>32</v>
      </c>
      <c r="C2" s="5">
        <v>13001</v>
      </c>
      <c r="D2" s="4" t="str">
        <f ca="1">VLOOKUP($C2,OFFSET([1]quests!$A$1,0,0,COUNTA([1]quests!$A:$A),MATCH(D$1,[1]quests!$1:$1,0)-MATCH($C$1,[1]quests!$1:$1,0)+1),MATCH(D$1,[1]quests!$1:$1,0)-MATCH($C$1,[1]quests!$1:$1,0)+1,FALSE)</f>
        <v>チャレンジタワー(ソロ専用)</v>
      </c>
      <c r="E2" s="4" t="str">
        <f ca="1">VLOOKUP($C2,OFFSET([1]quests!$A$1,0,0,COUNTA([1]quests!$A:$A),MATCH(E$1,[1]quests!$1:$1,0)-MATCH($C$1,[1]quests!$1:$1,0)+1),MATCH(E$1,[1]quests!$1:$1,0)-MATCH($C$1,[1]quests!$1:$1,0)+1,FALSE)</f>
        <v>試練の塔</v>
      </c>
      <c r="F2" s="6">
        <v>1</v>
      </c>
      <c r="G2" s="4" t="str">
        <f ca="1">VLOOKUP($C2&amp;"_"&amp;$F2,OFFSET([1]stages!$A$1,0,0,COUNTA([1]stages!$A:$A),MATCH(G$1,[1]stages!$2:$2,0)-MATCH("temp_stage",[1]stages!$2:$2,0)+1),MATCH(G$1,[1]stages!$2:$2,0)-MATCH("temp_stage",[1]stages!$2:$2,0)+1,FALSE)</f>
        <v>チャレンジタワー 1F</v>
      </c>
      <c r="H2" s="4" t="str">
        <f ca="1">VLOOKUP($C2&amp;"_"&amp;$F2,OFFSET([1]stages!$A$1,0,0,COUNTA([1]stages!$A:$A),MATCH(H$1,[1]stages!$2:$2,0)-MATCH("temp_stage",[1]stages!$2:$2,0)+1),MATCH(H$1,[1]stages!$2:$2,0)-MATCH("temp_stage",[1]stages!$2:$2,0)+1,FALSE)</f>
        <v>試練の塔</v>
      </c>
      <c r="I2" s="19">
        <v>0</v>
      </c>
      <c r="J2">
        <v>1</v>
      </c>
      <c r="K2" s="6" t="s">
        <v>33</v>
      </c>
      <c r="L2" s="32" t="str">
        <f>VLOOKUP(J2,[2]stage_hints!$A:$C,3,FALSE)</f>
        <v>長くつなげて大ダメージ</v>
      </c>
      <c r="M2" s="33" t="str">
        <f>VLOOKUP(J2,[2]stage_hints!$A:$D,4,FALSE)</f>
        <v>パネルを長くつなげるほど_x000D_大ダメージを与えることができます</v>
      </c>
      <c r="N2" s="22" t="s">
        <v>34</v>
      </c>
      <c r="O2">
        <v>1</v>
      </c>
    </row>
    <row r="3" spans="1:15">
      <c r="A3" s="29" t="e">
        <f>C3&amp;"_"&amp;F3&amp;"_"&amp;#REF!</f>
        <v>#REF!</v>
      </c>
      <c r="B3" s="27" t="s">
        <v>32</v>
      </c>
      <c r="C3" s="5">
        <v>13001</v>
      </c>
      <c r="D3" s="4" t="str">
        <f ca="1">VLOOKUP($C3,OFFSET([1]quests!$A$1,0,0,COUNTA([1]quests!$A:$A),MATCH(D$1,[1]quests!$1:$1,0)-MATCH($C$1,[1]quests!$1:$1,0)+1),MATCH(D$1,[1]quests!$1:$1,0)-MATCH($C$1,[1]quests!$1:$1,0)+1,FALSE)</f>
        <v>チャレンジタワー(ソロ専用)</v>
      </c>
      <c r="E3" s="4" t="str">
        <f ca="1">VLOOKUP($C3,OFFSET([1]quests!$A$1,0,0,COUNTA([1]quests!$A:$A),MATCH(E$1,[1]quests!$1:$1,0)-MATCH($C$1,[1]quests!$1:$1,0)+1),MATCH(E$1,[1]quests!$1:$1,0)-MATCH($C$1,[1]quests!$1:$1,0)+1,FALSE)</f>
        <v>試練の塔</v>
      </c>
      <c r="F3" s="6">
        <v>1</v>
      </c>
      <c r="G3" s="4" t="str">
        <f ca="1">VLOOKUP($C3&amp;"_"&amp;$F3,OFFSET([1]stages!$A$1,0,0,COUNTA([1]stages!$A:$A),MATCH(G$1,[1]stages!$2:$2,0)-MATCH("temp_stage",[1]stages!$2:$2,0)+1),MATCH(G$1,[1]stages!$2:$2,0)-MATCH("temp_stage",[1]stages!$2:$2,0)+1,FALSE)</f>
        <v>チャレンジタワー 1F</v>
      </c>
      <c r="H3" s="4" t="str">
        <f ca="1">VLOOKUP($C3&amp;"_"&amp;$F3,OFFSET([1]stages!$A$1,0,0,COUNTA([1]stages!$A:$A),MATCH(H$1,[1]stages!$2:$2,0)-MATCH("temp_stage",[1]stages!$2:$2,0)+1),MATCH(H$1,[1]stages!$2:$2,0)-MATCH("temp_stage",[1]stages!$2:$2,0)+1,FALSE)</f>
        <v>試練の塔</v>
      </c>
      <c r="I3" s="19">
        <v>0</v>
      </c>
      <c r="J3">
        <v>2</v>
      </c>
      <c r="K3" s="6" t="s">
        <v>35</v>
      </c>
      <c r="L3" s="32" t="str">
        <f>VLOOKUP(J3,[2]stage_hints!$A:$C,3,FALSE)</f>
        <v>敵の属性に対抗しよう！</v>
      </c>
      <c r="M3" s="33" t="str">
        <f>VLOOKUP(J3,[2]stage_hints!$A:$D,4,FALSE)</f>
        <v>赤＞青　青＞黄　黄＞緑　緑＞赤_x000D_敵属性に最適なパーティがオススメです</v>
      </c>
      <c r="N3" s="22" t="s">
        <v>36</v>
      </c>
      <c r="O3">
        <v>2</v>
      </c>
    </row>
    <row r="4" spans="1:15">
      <c r="A4" s="29" t="e">
        <f>C4&amp;"_"&amp;F4&amp;"_"&amp;#REF!</f>
        <v>#REF!</v>
      </c>
      <c r="B4" s="27" t="s">
        <v>32</v>
      </c>
      <c r="C4" s="5">
        <v>13001</v>
      </c>
      <c r="D4" s="4" t="str">
        <f ca="1">VLOOKUP($C4,OFFSET([1]quests!$A$1,0,0,COUNTA([1]quests!$A:$A),MATCH(D$1,[1]quests!$1:$1,0)-MATCH($C$1,[1]quests!$1:$1,0)+1),MATCH(D$1,[1]quests!$1:$1,0)-MATCH($C$1,[1]quests!$1:$1,0)+1,FALSE)</f>
        <v>チャレンジタワー(ソロ専用)</v>
      </c>
      <c r="E4" s="4" t="str">
        <f ca="1">VLOOKUP($C4,OFFSET([1]quests!$A$1,0,0,COUNTA([1]quests!$A:$A),MATCH(E$1,[1]quests!$1:$1,0)-MATCH($C$1,[1]quests!$1:$1,0)+1),MATCH(E$1,[1]quests!$1:$1,0)-MATCH($C$1,[1]quests!$1:$1,0)+1,FALSE)</f>
        <v>試練の塔</v>
      </c>
      <c r="F4" s="6">
        <v>1</v>
      </c>
      <c r="G4" s="4" t="str">
        <f ca="1">VLOOKUP($C4&amp;"_"&amp;$F4,OFFSET([1]stages!$A$1,0,0,COUNTA([1]stages!$A:$A),MATCH(G$1,[1]stages!$2:$2,0)-MATCH("temp_stage",[1]stages!$2:$2,0)+1),MATCH(G$1,[1]stages!$2:$2,0)-MATCH("temp_stage",[1]stages!$2:$2,0)+1,FALSE)</f>
        <v>チャレンジタワー 1F</v>
      </c>
      <c r="H4" s="4" t="str">
        <f ca="1">VLOOKUP($C4&amp;"_"&amp;$F4,OFFSET([1]stages!$A$1,0,0,COUNTA([1]stages!$A:$A),MATCH(H$1,[1]stages!$2:$2,0)-MATCH("temp_stage",[1]stages!$2:$2,0)+1),MATCH(H$1,[1]stages!$2:$2,0)-MATCH("temp_stage",[1]stages!$2:$2,0)+1,FALSE)</f>
        <v>試練の塔</v>
      </c>
      <c r="I4" s="19">
        <v>0</v>
      </c>
      <c r="J4">
        <v>3</v>
      </c>
      <c r="K4" s="6" t="s">
        <v>33</v>
      </c>
      <c r="L4" s="32" t="str">
        <f>VLOOKUP(J4,[2]stage_hints!$A:$C,3,FALSE)</f>
        <v>ターゲット</v>
      </c>
      <c r="M4" s="33" t="str">
        <f>VLOOKUP(J4,[2]stage_hints!$A:$D,4,FALSE)</f>
        <v>敵ユニットをタップすると_x000D_その敵を狙い撃ちできます</v>
      </c>
      <c r="N4" s="22" t="s">
        <v>37</v>
      </c>
      <c r="O4">
        <v>3</v>
      </c>
    </row>
    <row r="5" spans="1:15">
      <c r="A5" s="29" t="e">
        <f>C5&amp;"_"&amp;F5&amp;"_"&amp;#REF!</f>
        <v>#REF!</v>
      </c>
      <c r="B5" s="27" t="s">
        <v>32</v>
      </c>
      <c r="C5" s="5">
        <v>13001</v>
      </c>
      <c r="D5" s="4" t="str">
        <f ca="1">VLOOKUP($C5,OFFSET([1]quests!$A$1,0,0,COUNTA([1]quests!$A:$A),MATCH(D$1,[1]quests!$1:$1,0)-MATCH($C$1,[1]quests!$1:$1,0)+1),MATCH(D$1,[1]quests!$1:$1,0)-MATCH($C$1,[1]quests!$1:$1,0)+1,FALSE)</f>
        <v>チャレンジタワー(ソロ専用)</v>
      </c>
      <c r="E5" s="4" t="str">
        <f ca="1">VLOOKUP($C5,OFFSET([1]quests!$A$1,0,0,COUNTA([1]quests!$A:$A),MATCH(E$1,[1]quests!$1:$1,0)-MATCH($C$1,[1]quests!$1:$1,0)+1),MATCH(E$1,[1]quests!$1:$1,0)-MATCH($C$1,[1]quests!$1:$1,0)+1,FALSE)</f>
        <v>試練の塔</v>
      </c>
      <c r="F5" s="6">
        <v>1</v>
      </c>
      <c r="G5" s="4" t="str">
        <f ca="1">VLOOKUP($C5&amp;"_"&amp;$F5,OFFSET([1]stages!$A$1,0,0,COUNTA([1]stages!$A:$A),MATCH(G$1,[1]stages!$2:$2,0)-MATCH("temp_stage",[1]stages!$2:$2,0)+1),MATCH(G$1,[1]stages!$2:$2,0)-MATCH("temp_stage",[1]stages!$2:$2,0)+1,FALSE)</f>
        <v>チャレンジタワー 1F</v>
      </c>
      <c r="H5" s="4" t="str">
        <f ca="1">VLOOKUP($C5&amp;"_"&amp;$F5,OFFSET([1]stages!$A$1,0,0,COUNTA([1]stages!$A:$A),MATCH(H$1,[1]stages!$2:$2,0)-MATCH("temp_stage",[1]stages!$2:$2,0)+1),MATCH(H$1,[1]stages!$2:$2,0)-MATCH("temp_stage",[1]stages!$2:$2,0)+1,FALSE)</f>
        <v>試練の塔</v>
      </c>
      <c r="I5" s="19">
        <v>0</v>
      </c>
      <c r="J5">
        <v>4</v>
      </c>
      <c r="K5" s="6" t="s">
        <v>33</v>
      </c>
      <c r="L5" s="32" t="str">
        <f>VLOOKUP(J5,[2]stage_hints!$A:$C,3,FALSE)</f>
        <v>ボーナスクエスト</v>
      </c>
      <c r="M5" s="33" t="str">
        <f>VLOOKUP(J5,[2]stage_hints!$A:$D,4,FALSE)</f>
        <v>ノーマルクエストを進めると_x000D_嬉しいボーナスクエストが登場します</v>
      </c>
      <c r="N5" s="22" t="s">
        <v>34</v>
      </c>
      <c r="O5">
        <v>4</v>
      </c>
    </row>
    <row r="6" spans="1:15">
      <c r="A6" s="29" t="e">
        <f>C6&amp;"_"&amp;F6&amp;"_"&amp;#REF!</f>
        <v>#REF!</v>
      </c>
      <c r="B6" s="27" t="s">
        <v>32</v>
      </c>
      <c r="C6" s="5">
        <v>13001</v>
      </c>
      <c r="D6" s="4" t="str">
        <f ca="1">VLOOKUP($C6,OFFSET([1]quests!$A$1,0,0,COUNTA([1]quests!$A:$A),MATCH(D$1,[1]quests!$1:$1,0)-MATCH($C$1,[1]quests!$1:$1,0)+1),MATCH(D$1,[1]quests!$1:$1,0)-MATCH($C$1,[1]quests!$1:$1,0)+1,FALSE)</f>
        <v>チャレンジタワー(ソロ専用)</v>
      </c>
      <c r="E6" s="4" t="str">
        <f ca="1">VLOOKUP($C6,OFFSET([1]quests!$A$1,0,0,COUNTA([1]quests!$A:$A),MATCH(E$1,[1]quests!$1:$1,0)-MATCH($C$1,[1]quests!$1:$1,0)+1),MATCH(E$1,[1]quests!$1:$1,0)-MATCH($C$1,[1]quests!$1:$1,0)+1,FALSE)</f>
        <v>試練の塔</v>
      </c>
      <c r="F6" s="6">
        <v>2</v>
      </c>
      <c r="G6" s="4" t="str">
        <f ca="1">VLOOKUP($C6&amp;"_"&amp;$F6,OFFSET([1]stages!$A$1,0,0,COUNTA([1]stages!$A:$A),MATCH(G$1,[1]stages!$2:$2,0)-MATCH("temp_stage",[1]stages!$2:$2,0)+1),MATCH(G$1,[1]stages!$2:$2,0)-MATCH("temp_stage",[1]stages!$2:$2,0)+1,FALSE)</f>
        <v>チャレンジタワー 2F</v>
      </c>
      <c r="H6" s="4" t="str">
        <f ca="1">VLOOKUP($C6&amp;"_"&amp;$F6,OFFSET([1]stages!$A$1,0,0,COUNTA([1]stages!$A:$A),MATCH(H$1,[1]stages!$2:$2,0)-MATCH("temp_stage",[1]stages!$2:$2,0)+1),MATCH(H$1,[1]stages!$2:$2,0)-MATCH("temp_stage",[1]stages!$2:$2,0)+1,FALSE)</f>
        <v>試練の塔</v>
      </c>
      <c r="I6" s="19">
        <v>0</v>
      </c>
      <c r="J6">
        <v>3</v>
      </c>
      <c r="K6" s="6" t="s">
        <v>33</v>
      </c>
      <c r="L6" s="32" t="str">
        <f>VLOOKUP(J6,[2]stage_hints!$A:$C,3,FALSE)</f>
        <v>ターゲット</v>
      </c>
      <c r="M6" s="33" t="str">
        <f>VLOOKUP(J6,[2]stage_hints!$A:$D,4,FALSE)</f>
        <v>敵ユニットをタップすると_x000D_その敵を狙い撃ちできます</v>
      </c>
      <c r="N6" s="22" t="s">
        <v>37</v>
      </c>
      <c r="O6">
        <v>3</v>
      </c>
    </row>
    <row r="7" spans="1:15">
      <c r="A7" s="29" t="e">
        <f>C7&amp;"_"&amp;F7&amp;"_"&amp;#REF!</f>
        <v>#REF!</v>
      </c>
      <c r="B7" s="27" t="s">
        <v>32</v>
      </c>
      <c r="C7" s="5">
        <v>13001</v>
      </c>
      <c r="D7" s="4" t="str">
        <f ca="1">VLOOKUP($C7,OFFSET([1]quests!$A$1,0,0,COUNTA([1]quests!$A:$A),MATCH(D$1,[1]quests!$1:$1,0)-MATCH($C$1,[1]quests!$1:$1,0)+1),MATCH(D$1,[1]quests!$1:$1,0)-MATCH($C$1,[1]quests!$1:$1,0)+1,FALSE)</f>
        <v>チャレンジタワー(ソロ専用)</v>
      </c>
      <c r="E7" s="4" t="str">
        <f ca="1">VLOOKUP($C7,OFFSET([1]quests!$A$1,0,0,COUNTA([1]quests!$A:$A),MATCH(E$1,[1]quests!$1:$1,0)-MATCH($C$1,[1]quests!$1:$1,0)+1),MATCH(E$1,[1]quests!$1:$1,0)-MATCH($C$1,[1]quests!$1:$1,0)+1,FALSE)</f>
        <v>試練の塔</v>
      </c>
      <c r="F7" s="6">
        <v>2</v>
      </c>
      <c r="G7" s="4" t="str">
        <f ca="1">VLOOKUP($C7&amp;"_"&amp;$F7,OFFSET([1]stages!$A$1,0,0,COUNTA([1]stages!$A:$A),MATCH(G$1,[1]stages!$2:$2,0)-MATCH("temp_stage",[1]stages!$2:$2,0)+1),MATCH(G$1,[1]stages!$2:$2,0)-MATCH("temp_stage",[1]stages!$2:$2,0)+1,FALSE)</f>
        <v>チャレンジタワー 2F</v>
      </c>
      <c r="H7" s="4" t="str">
        <f ca="1">VLOOKUP($C7&amp;"_"&amp;$F7,OFFSET([1]stages!$A$1,0,0,COUNTA([1]stages!$A:$A),MATCH(H$1,[1]stages!$2:$2,0)-MATCH("temp_stage",[1]stages!$2:$2,0)+1),MATCH(H$1,[1]stages!$2:$2,0)-MATCH("temp_stage",[1]stages!$2:$2,0)+1,FALSE)</f>
        <v>試練の塔</v>
      </c>
      <c r="I7" s="19">
        <v>0</v>
      </c>
      <c r="J7">
        <v>5</v>
      </c>
      <c r="K7" s="6" t="s">
        <v>38</v>
      </c>
      <c r="L7" s="32" t="str">
        <f>VLOOKUP(J7,[2]stage_hints!$A:$C,3,FALSE)</f>
        <v>ユニット強化</v>
      </c>
      <c r="M7" s="33" t="str">
        <f>VLOOKUP(J7,[2]stage_hints!$A:$D,4,FALSE)</f>
        <v>「ユニット強化」でレベルアップすると_x000D_勝てない敵にも勝てるようになります</v>
      </c>
      <c r="N7" s="22" t="s">
        <v>39</v>
      </c>
      <c r="O7">
        <v>5</v>
      </c>
    </row>
    <row r="8" spans="1:15">
      <c r="A8" s="29" t="e">
        <f>C8&amp;"_"&amp;F8&amp;"_"&amp;#REF!</f>
        <v>#REF!</v>
      </c>
      <c r="B8" s="27" t="s">
        <v>32</v>
      </c>
      <c r="C8" s="5">
        <v>13001</v>
      </c>
      <c r="D8" s="4" t="str">
        <f ca="1">VLOOKUP($C8,OFFSET([1]quests!$A$1,0,0,COUNTA([1]quests!$A:$A),MATCH(D$1,[1]quests!$1:$1,0)-MATCH($C$1,[1]quests!$1:$1,0)+1),MATCH(D$1,[1]quests!$1:$1,0)-MATCH($C$1,[1]quests!$1:$1,0)+1,FALSE)</f>
        <v>チャレンジタワー(ソロ専用)</v>
      </c>
      <c r="E8" s="4" t="str">
        <f ca="1">VLOOKUP($C8,OFFSET([1]quests!$A$1,0,0,COUNTA([1]quests!$A:$A),MATCH(E$1,[1]quests!$1:$1,0)-MATCH($C$1,[1]quests!$1:$1,0)+1),MATCH(E$1,[1]quests!$1:$1,0)-MATCH($C$1,[1]quests!$1:$1,0)+1,FALSE)</f>
        <v>試練の塔</v>
      </c>
      <c r="F8" s="6">
        <v>2</v>
      </c>
      <c r="G8" s="4" t="str">
        <f ca="1">VLOOKUP($C8&amp;"_"&amp;$F8,OFFSET([1]stages!$A$1,0,0,COUNTA([1]stages!$A:$A),MATCH(G$1,[1]stages!$2:$2,0)-MATCH("temp_stage",[1]stages!$2:$2,0)+1),MATCH(G$1,[1]stages!$2:$2,0)-MATCH("temp_stage",[1]stages!$2:$2,0)+1,FALSE)</f>
        <v>チャレンジタワー 2F</v>
      </c>
      <c r="H8" s="4" t="str">
        <f ca="1">VLOOKUP($C8&amp;"_"&amp;$F8,OFFSET([1]stages!$A$1,0,0,COUNTA([1]stages!$A:$A),MATCH(H$1,[1]stages!$2:$2,0)-MATCH("temp_stage",[1]stages!$2:$2,0)+1),MATCH(H$1,[1]stages!$2:$2,0)-MATCH("temp_stage",[1]stages!$2:$2,0)+1,FALSE)</f>
        <v>試練の塔</v>
      </c>
      <c r="I8" s="19">
        <v>0</v>
      </c>
      <c r="J8">
        <v>6</v>
      </c>
      <c r="K8" s="6" t="s">
        <v>33</v>
      </c>
      <c r="L8" s="32" t="str">
        <f>VLOOKUP(J8,[2]stage_hints!$A:$C,3,FALSE)</f>
        <v>強化の属性ボーナス</v>
      </c>
      <c r="M8" s="33" t="str">
        <f>VLOOKUP(J8,[2]stage_hints!$A:$D,4,FALSE)</f>
        <v>同属性ユニットを強化素材にすると_x000D_経験値が多くもらえます</v>
      </c>
      <c r="N8" s="22" t="s">
        <v>39</v>
      </c>
      <c r="O8">
        <v>6</v>
      </c>
    </row>
    <row r="9" spans="1:15">
      <c r="A9" s="29" t="e">
        <f>C9&amp;"_"&amp;F9&amp;"_"&amp;#REF!</f>
        <v>#REF!</v>
      </c>
      <c r="B9" s="27" t="s">
        <v>32</v>
      </c>
      <c r="C9" s="5">
        <v>13001</v>
      </c>
      <c r="D9" s="4" t="str">
        <f ca="1">VLOOKUP($C9,OFFSET([1]quests!$A$1,0,0,COUNTA([1]quests!$A:$A),MATCH(D$1,[1]quests!$1:$1,0)-MATCH($C$1,[1]quests!$1:$1,0)+1),MATCH(D$1,[1]quests!$1:$1,0)-MATCH($C$1,[1]quests!$1:$1,0)+1,FALSE)</f>
        <v>チャレンジタワー(ソロ専用)</v>
      </c>
      <c r="E9" s="4" t="str">
        <f ca="1">VLOOKUP($C9,OFFSET([1]quests!$A$1,0,0,COUNTA([1]quests!$A:$A),MATCH(E$1,[1]quests!$1:$1,0)-MATCH($C$1,[1]quests!$1:$1,0)+1),MATCH(E$1,[1]quests!$1:$1,0)-MATCH($C$1,[1]quests!$1:$1,0)+1,FALSE)</f>
        <v>試練の塔</v>
      </c>
      <c r="F9" s="6">
        <v>2</v>
      </c>
      <c r="G9" s="4" t="str">
        <f ca="1">VLOOKUP($C9&amp;"_"&amp;$F9,OFFSET([1]stages!$A$1,0,0,COUNTA([1]stages!$A:$A),MATCH(G$1,[1]stages!$2:$2,0)-MATCH("temp_stage",[1]stages!$2:$2,0)+1),MATCH(G$1,[1]stages!$2:$2,0)-MATCH("temp_stage",[1]stages!$2:$2,0)+1,FALSE)</f>
        <v>チャレンジタワー 2F</v>
      </c>
      <c r="H9" s="4" t="str">
        <f ca="1">VLOOKUP($C9&amp;"_"&amp;$F9,OFFSET([1]stages!$A$1,0,0,COUNTA([1]stages!$A:$A),MATCH(H$1,[1]stages!$2:$2,0)-MATCH("temp_stage",[1]stages!$2:$2,0)+1),MATCH(H$1,[1]stages!$2:$2,0)-MATCH("temp_stage",[1]stages!$2:$2,0)+1,FALSE)</f>
        <v>試練の塔</v>
      </c>
      <c r="I9" s="19">
        <v>0</v>
      </c>
      <c r="J9">
        <v>7</v>
      </c>
      <c r="K9" s="6" t="s">
        <v>33</v>
      </c>
      <c r="L9" s="32" t="str">
        <f>VLOOKUP(J9,[2]stage_hints!$A:$C,3,FALSE)</f>
        <v>メタルダックをつかって強化しよう！</v>
      </c>
      <c r="M9" s="33" t="str">
        <f>VLOOKUP(J9,[2]stage_hints!$A:$D,4,FALSE)</f>
        <v>「メタルなアヒル」を強化素材にすると_x000D_大量の経験値がもらえます</v>
      </c>
      <c r="N9" s="22" t="s">
        <v>34</v>
      </c>
      <c r="O9">
        <v>7</v>
      </c>
    </row>
    <row r="10" spans="1:15">
      <c r="A10" s="29" t="e">
        <f>C10&amp;"_"&amp;F10&amp;"_"&amp;#REF!</f>
        <v>#REF!</v>
      </c>
      <c r="B10" s="27" t="s">
        <v>32</v>
      </c>
      <c r="C10" s="5">
        <v>13001</v>
      </c>
      <c r="D10" s="4" t="str">
        <f ca="1">VLOOKUP($C10,OFFSET([1]quests!$A$1,0,0,COUNTA([1]quests!$A:$A),MATCH(D$1,[1]quests!$1:$1,0)-MATCH($C$1,[1]quests!$1:$1,0)+1),MATCH(D$1,[1]quests!$1:$1,0)-MATCH($C$1,[1]quests!$1:$1,0)+1,FALSE)</f>
        <v>チャレンジタワー(ソロ専用)</v>
      </c>
      <c r="E10" s="4" t="str">
        <f ca="1">VLOOKUP($C10,OFFSET([1]quests!$A$1,0,0,COUNTA([1]quests!$A:$A),MATCH(E$1,[1]quests!$1:$1,0)-MATCH($C$1,[1]quests!$1:$1,0)+1),MATCH(E$1,[1]quests!$1:$1,0)-MATCH($C$1,[1]quests!$1:$1,0)+1,FALSE)</f>
        <v>試練の塔</v>
      </c>
      <c r="F10" s="6">
        <v>2</v>
      </c>
      <c r="G10" s="4" t="str">
        <f ca="1">VLOOKUP($C10&amp;"_"&amp;$F10,OFFSET([1]stages!$A$1,0,0,COUNTA([1]stages!$A:$A),MATCH(G$1,[1]stages!$2:$2,0)-MATCH("temp_stage",[1]stages!$2:$2,0)+1),MATCH(G$1,[1]stages!$2:$2,0)-MATCH("temp_stage",[1]stages!$2:$2,0)+1,FALSE)</f>
        <v>チャレンジタワー 2F</v>
      </c>
      <c r="H10" s="4" t="str">
        <f ca="1">VLOOKUP($C10&amp;"_"&amp;$F10,OFFSET([1]stages!$A$1,0,0,COUNTA([1]stages!$A:$A),MATCH(H$1,[1]stages!$2:$2,0)-MATCH("temp_stage",[1]stages!$2:$2,0)+1),MATCH(H$1,[1]stages!$2:$2,0)-MATCH("temp_stage",[1]stages!$2:$2,0)+1,FALSE)</f>
        <v>試練の塔</v>
      </c>
      <c r="I10" s="19">
        <v>0</v>
      </c>
      <c r="J10">
        <v>8</v>
      </c>
      <c r="K10" s="6" t="s">
        <v>33</v>
      </c>
      <c r="L10" s="32" t="str">
        <f>VLOOKUP(J10,[2]stage_hints!$A:$C,3,FALSE)</f>
        <v>ゲリラを見逃すな！</v>
      </c>
      <c r="M10" s="33" t="str">
        <f>VLOOKUP(J10,[2]stage_hints!$A:$D,4,FALSE)</f>
        <v>時間限定の「【緊急!!】アヒル捕獲作戦」では_x000D_経験値素材ユニットが多く手に入ります</v>
      </c>
      <c r="N10" s="22" t="s">
        <v>42</v>
      </c>
      <c r="O10">
        <v>8</v>
      </c>
    </row>
    <row r="11" spans="1:15">
      <c r="A11" s="29" t="e">
        <f>C11&amp;"_"&amp;F11&amp;"_"&amp;#REF!</f>
        <v>#REF!</v>
      </c>
      <c r="B11" s="27" t="s">
        <v>32</v>
      </c>
      <c r="C11" s="5">
        <v>13001</v>
      </c>
      <c r="D11" s="4" t="str">
        <f ca="1">VLOOKUP($C11,OFFSET([1]quests!$A$1,0,0,COUNTA([1]quests!$A:$A),MATCH(D$1,[1]quests!$1:$1,0)-MATCH($C$1,[1]quests!$1:$1,0)+1),MATCH(D$1,[1]quests!$1:$1,0)-MATCH($C$1,[1]quests!$1:$1,0)+1,FALSE)</f>
        <v>チャレンジタワー(ソロ専用)</v>
      </c>
      <c r="E11" s="4" t="str">
        <f ca="1">VLOOKUP($C11,OFFSET([1]quests!$A$1,0,0,COUNTA([1]quests!$A:$A),MATCH(E$1,[1]quests!$1:$1,0)-MATCH($C$1,[1]quests!$1:$1,0)+1),MATCH(E$1,[1]quests!$1:$1,0)-MATCH($C$1,[1]quests!$1:$1,0)+1,FALSE)</f>
        <v>試練の塔</v>
      </c>
      <c r="F11" s="6">
        <v>3</v>
      </c>
      <c r="G11" s="4" t="str">
        <f ca="1">VLOOKUP($C11&amp;"_"&amp;$F11,OFFSET([1]stages!$A$1,0,0,COUNTA([1]stages!$A:$A),MATCH(G$1,[1]stages!$2:$2,0)-MATCH("temp_stage",[1]stages!$2:$2,0)+1),MATCH(G$1,[1]stages!$2:$2,0)-MATCH("temp_stage",[1]stages!$2:$2,0)+1,FALSE)</f>
        <v>チャレンジタワー 3F</v>
      </c>
      <c r="H11" s="4" t="str">
        <f ca="1">VLOOKUP($C11&amp;"_"&amp;$F11,OFFSET([1]stages!$A$1,0,0,COUNTA([1]stages!$A:$A),MATCH(H$1,[1]stages!$2:$2,0)-MATCH("temp_stage",[1]stages!$2:$2,0)+1),MATCH(H$1,[1]stages!$2:$2,0)-MATCH("temp_stage",[1]stages!$2:$2,0)+1,FALSE)</f>
        <v>試練の塔</v>
      </c>
      <c r="I11" s="19">
        <v>0</v>
      </c>
      <c r="J11">
        <v>3</v>
      </c>
      <c r="K11" s="6" t="s">
        <v>38</v>
      </c>
      <c r="L11" s="32" t="str">
        <f>VLOOKUP(J11,[2]stage_hints!$A:$C,3,FALSE)</f>
        <v>ターゲット</v>
      </c>
      <c r="M11" s="33" t="str">
        <f>VLOOKUP(J11,[2]stage_hints!$A:$D,4,FALSE)</f>
        <v>敵ユニットをタップすると_x000D_その敵を狙い撃ちできます</v>
      </c>
      <c r="N11" s="22" t="s">
        <v>37</v>
      </c>
      <c r="O11">
        <v>3</v>
      </c>
    </row>
    <row r="12" spans="1:15">
      <c r="A12" s="29" t="e">
        <f>C12&amp;"_"&amp;F12&amp;"_"&amp;#REF!</f>
        <v>#REF!</v>
      </c>
      <c r="B12" s="27" t="s">
        <v>32</v>
      </c>
      <c r="C12" s="5">
        <v>13001</v>
      </c>
      <c r="D12" s="4" t="str">
        <f ca="1">VLOOKUP($C12,OFFSET([1]quests!$A$1,0,0,COUNTA([1]quests!$A:$A),MATCH(D$1,[1]quests!$1:$1,0)-MATCH($C$1,[1]quests!$1:$1,0)+1),MATCH(D$1,[1]quests!$1:$1,0)-MATCH($C$1,[1]quests!$1:$1,0)+1,FALSE)</f>
        <v>チャレンジタワー(ソロ専用)</v>
      </c>
      <c r="E12" s="4" t="str">
        <f ca="1">VLOOKUP($C12,OFFSET([1]quests!$A$1,0,0,COUNTA([1]quests!$A:$A),MATCH(E$1,[1]quests!$1:$1,0)-MATCH($C$1,[1]quests!$1:$1,0)+1),MATCH(E$1,[1]quests!$1:$1,0)-MATCH($C$1,[1]quests!$1:$1,0)+1,FALSE)</f>
        <v>試練の塔</v>
      </c>
      <c r="F12" s="6">
        <v>3</v>
      </c>
      <c r="G12" s="4" t="str">
        <f ca="1">VLOOKUP($C12&amp;"_"&amp;$F12,OFFSET([1]stages!$A$1,0,0,COUNTA([1]stages!$A:$A),MATCH(G$1,[1]stages!$2:$2,0)-MATCH("temp_stage",[1]stages!$2:$2,0)+1),MATCH(G$1,[1]stages!$2:$2,0)-MATCH("temp_stage",[1]stages!$2:$2,0)+1,FALSE)</f>
        <v>チャレンジタワー 3F</v>
      </c>
      <c r="H12" s="4" t="str">
        <f ca="1">VLOOKUP($C12&amp;"_"&amp;$F12,OFFSET([1]stages!$A$1,0,0,COUNTA([1]stages!$A:$A),MATCH(H$1,[1]stages!$2:$2,0)-MATCH("temp_stage",[1]stages!$2:$2,0)+1),MATCH(H$1,[1]stages!$2:$2,0)-MATCH("temp_stage",[1]stages!$2:$2,0)+1,FALSE)</f>
        <v>試練の塔</v>
      </c>
      <c r="I12" s="19">
        <v>0</v>
      </c>
      <c r="J12">
        <v>5</v>
      </c>
      <c r="K12" s="6" t="s">
        <v>38</v>
      </c>
      <c r="L12" s="32" t="str">
        <f>VLOOKUP(J12,[2]stage_hints!$A:$C,3,FALSE)</f>
        <v>ユニット強化</v>
      </c>
      <c r="M12" s="33" t="str">
        <f>VLOOKUP(J12,[2]stage_hints!$A:$D,4,FALSE)</f>
        <v>「ユニット強化」でレベルアップすると_x000D_勝てない敵にも勝てるようになります</v>
      </c>
      <c r="N12" s="22" t="s">
        <v>43</v>
      </c>
      <c r="O12">
        <v>5</v>
      </c>
    </row>
    <row r="13" spans="1:15">
      <c r="A13" s="29" t="e">
        <f>C13&amp;"_"&amp;F13&amp;"_"&amp;#REF!</f>
        <v>#REF!</v>
      </c>
      <c r="B13" s="27" t="s">
        <v>32</v>
      </c>
      <c r="C13" s="5">
        <v>13001</v>
      </c>
      <c r="D13" s="4" t="str">
        <f ca="1">VLOOKUP($C13,OFFSET([1]quests!$A$1,0,0,COUNTA([1]quests!$A:$A),MATCH(D$1,[1]quests!$1:$1,0)-MATCH($C$1,[1]quests!$1:$1,0)+1),MATCH(D$1,[1]quests!$1:$1,0)-MATCH($C$1,[1]quests!$1:$1,0)+1,FALSE)</f>
        <v>チャレンジタワー(ソロ専用)</v>
      </c>
      <c r="E13" s="4" t="str">
        <f ca="1">VLOOKUP($C13,OFFSET([1]quests!$A$1,0,0,COUNTA([1]quests!$A:$A),MATCH(E$1,[1]quests!$1:$1,0)-MATCH($C$1,[1]quests!$1:$1,0)+1),MATCH(E$1,[1]quests!$1:$1,0)-MATCH($C$1,[1]quests!$1:$1,0)+1,FALSE)</f>
        <v>試練の塔</v>
      </c>
      <c r="F13" s="6">
        <v>3</v>
      </c>
      <c r="G13" s="4" t="str">
        <f ca="1">VLOOKUP($C13&amp;"_"&amp;$F13,OFFSET([1]stages!$A$1,0,0,COUNTA([1]stages!$A:$A),MATCH(G$1,[1]stages!$2:$2,0)-MATCH("temp_stage",[1]stages!$2:$2,0)+1),MATCH(G$1,[1]stages!$2:$2,0)-MATCH("temp_stage",[1]stages!$2:$2,0)+1,FALSE)</f>
        <v>チャレンジタワー 3F</v>
      </c>
      <c r="H13" s="4" t="str">
        <f ca="1">VLOOKUP($C13&amp;"_"&amp;$F13,OFFSET([1]stages!$A$1,0,0,COUNTA([1]stages!$A:$A),MATCH(H$1,[1]stages!$2:$2,0)-MATCH("temp_stage",[1]stages!$2:$2,0)+1),MATCH(H$1,[1]stages!$2:$2,0)-MATCH("temp_stage",[1]stages!$2:$2,0)+1,FALSE)</f>
        <v>試練の塔</v>
      </c>
      <c r="I13" s="19">
        <v>0</v>
      </c>
      <c r="J13">
        <v>6</v>
      </c>
      <c r="K13" s="6" t="s">
        <v>33</v>
      </c>
      <c r="L13" s="32" t="str">
        <f>VLOOKUP(J13,[2]stage_hints!$A:$C,3,FALSE)</f>
        <v>強化の属性ボーナス</v>
      </c>
      <c r="M13" s="33" t="str">
        <f>VLOOKUP(J13,[2]stage_hints!$A:$D,4,FALSE)</f>
        <v>同属性ユニットを強化素材にすると_x000D_経験値が多くもらえます</v>
      </c>
      <c r="N13" s="22" t="s">
        <v>39</v>
      </c>
      <c r="O13">
        <v>6</v>
      </c>
    </row>
    <row r="14" spans="1:15">
      <c r="A14" s="29" t="e">
        <f>C14&amp;"_"&amp;F14&amp;"_"&amp;#REF!</f>
        <v>#REF!</v>
      </c>
      <c r="B14" s="27" t="s">
        <v>32</v>
      </c>
      <c r="C14" s="5">
        <v>13001</v>
      </c>
      <c r="D14" s="4" t="str">
        <f ca="1">VLOOKUP($C14,OFFSET([1]quests!$A$1,0,0,COUNTA([1]quests!$A:$A),MATCH(D$1,[1]quests!$1:$1,0)-MATCH($C$1,[1]quests!$1:$1,0)+1),MATCH(D$1,[1]quests!$1:$1,0)-MATCH($C$1,[1]quests!$1:$1,0)+1,FALSE)</f>
        <v>チャレンジタワー(ソロ専用)</v>
      </c>
      <c r="E14" s="4" t="str">
        <f ca="1">VLOOKUP($C14,OFFSET([1]quests!$A$1,0,0,COUNTA([1]quests!$A:$A),MATCH(E$1,[1]quests!$1:$1,0)-MATCH($C$1,[1]quests!$1:$1,0)+1),MATCH(E$1,[1]quests!$1:$1,0)-MATCH($C$1,[1]quests!$1:$1,0)+1,FALSE)</f>
        <v>試練の塔</v>
      </c>
      <c r="F14" s="6">
        <v>3</v>
      </c>
      <c r="G14" s="4" t="str">
        <f ca="1">VLOOKUP($C14&amp;"_"&amp;$F14,OFFSET([1]stages!$A$1,0,0,COUNTA([1]stages!$A:$A),MATCH(G$1,[1]stages!$2:$2,0)-MATCH("temp_stage",[1]stages!$2:$2,0)+1),MATCH(G$1,[1]stages!$2:$2,0)-MATCH("temp_stage",[1]stages!$2:$2,0)+1,FALSE)</f>
        <v>チャレンジタワー 3F</v>
      </c>
      <c r="H14" s="4" t="str">
        <f ca="1">VLOOKUP($C14&amp;"_"&amp;$F14,OFFSET([1]stages!$A$1,0,0,COUNTA([1]stages!$A:$A),MATCH(H$1,[1]stages!$2:$2,0)-MATCH("temp_stage",[1]stages!$2:$2,0)+1),MATCH(H$1,[1]stages!$2:$2,0)-MATCH("temp_stage",[1]stages!$2:$2,0)+1,FALSE)</f>
        <v>試練の塔</v>
      </c>
      <c r="I14" s="19">
        <v>0</v>
      </c>
      <c r="J14">
        <v>7</v>
      </c>
      <c r="K14" s="6" t="s">
        <v>33</v>
      </c>
      <c r="L14" s="32" t="str">
        <f>VLOOKUP(J14,[2]stage_hints!$A:$C,3,FALSE)</f>
        <v>メタルダックをつかって強化しよう！</v>
      </c>
      <c r="M14" s="33" t="str">
        <f>VLOOKUP(J14,[2]stage_hints!$A:$D,4,FALSE)</f>
        <v>「メタルなアヒル」を強化素材にすると_x000D_大量の経験値がもらえます</v>
      </c>
      <c r="N14" s="22" t="s">
        <v>34</v>
      </c>
      <c r="O14">
        <v>7</v>
      </c>
    </row>
    <row r="15" spans="1:15">
      <c r="A15" s="29" t="e">
        <f>C15&amp;"_"&amp;F15&amp;"_"&amp;#REF!</f>
        <v>#REF!</v>
      </c>
      <c r="B15" s="27" t="s">
        <v>32</v>
      </c>
      <c r="C15" s="5">
        <v>13001</v>
      </c>
      <c r="D15" s="4" t="str">
        <f ca="1">VLOOKUP($C15,OFFSET([1]quests!$A$1,0,0,COUNTA([1]quests!$A:$A),MATCH(D$1,[1]quests!$1:$1,0)-MATCH($C$1,[1]quests!$1:$1,0)+1),MATCH(D$1,[1]quests!$1:$1,0)-MATCH($C$1,[1]quests!$1:$1,0)+1,FALSE)</f>
        <v>チャレンジタワー(ソロ専用)</v>
      </c>
      <c r="E15" s="4" t="str">
        <f ca="1">VLOOKUP($C15,OFFSET([1]quests!$A$1,0,0,COUNTA([1]quests!$A:$A),MATCH(E$1,[1]quests!$1:$1,0)-MATCH($C$1,[1]quests!$1:$1,0)+1),MATCH(E$1,[1]quests!$1:$1,0)-MATCH($C$1,[1]quests!$1:$1,0)+1,FALSE)</f>
        <v>試練の塔</v>
      </c>
      <c r="F15" s="6">
        <v>3</v>
      </c>
      <c r="G15" s="4" t="str">
        <f ca="1">VLOOKUP($C15&amp;"_"&amp;$F15,OFFSET([1]stages!$A$1,0,0,COUNTA([1]stages!$A:$A),MATCH(G$1,[1]stages!$2:$2,0)-MATCH("temp_stage",[1]stages!$2:$2,0)+1),MATCH(G$1,[1]stages!$2:$2,0)-MATCH("temp_stage",[1]stages!$2:$2,0)+1,FALSE)</f>
        <v>チャレンジタワー 3F</v>
      </c>
      <c r="H15" s="4" t="str">
        <f ca="1">VLOOKUP($C15&amp;"_"&amp;$F15,OFFSET([1]stages!$A$1,0,0,COUNTA([1]stages!$A:$A),MATCH(H$1,[1]stages!$2:$2,0)-MATCH("temp_stage",[1]stages!$2:$2,0)+1),MATCH(H$1,[1]stages!$2:$2,0)-MATCH("temp_stage",[1]stages!$2:$2,0)+1,FALSE)</f>
        <v>試練の塔</v>
      </c>
      <c r="I15" s="19">
        <v>0</v>
      </c>
      <c r="J15">
        <v>8</v>
      </c>
      <c r="K15" s="6" t="s">
        <v>38</v>
      </c>
      <c r="L15" s="32" t="str">
        <f>VLOOKUP(J15,[2]stage_hints!$A:$C,3,FALSE)</f>
        <v>ゲリラを見逃すな！</v>
      </c>
      <c r="M15" s="33" t="str">
        <f>VLOOKUP(J15,[2]stage_hints!$A:$D,4,FALSE)</f>
        <v>時間限定の「【緊急!!】アヒル捕獲作戦」では_x000D_経験値素材ユニットが多く手に入ります</v>
      </c>
      <c r="N15" s="22" t="s">
        <v>39</v>
      </c>
      <c r="O15">
        <v>8</v>
      </c>
    </row>
    <row r="16" spans="1:15">
      <c r="A16" s="29" t="e">
        <f>C16&amp;"_"&amp;F16&amp;"_"&amp;#REF!</f>
        <v>#REF!</v>
      </c>
      <c r="B16" s="27" t="s">
        <v>32</v>
      </c>
      <c r="C16" s="5">
        <v>13001</v>
      </c>
      <c r="D16" s="4" t="str">
        <f ca="1">VLOOKUP($C16,OFFSET([1]quests!$A$1,0,0,COUNTA([1]quests!$A:$A),MATCH(D$1,[1]quests!$1:$1,0)-MATCH($C$1,[1]quests!$1:$1,0)+1),MATCH(D$1,[1]quests!$1:$1,0)-MATCH($C$1,[1]quests!$1:$1,0)+1,FALSE)</f>
        <v>チャレンジタワー(ソロ専用)</v>
      </c>
      <c r="E16" s="4" t="str">
        <f ca="1">VLOOKUP($C16,OFFSET([1]quests!$A$1,0,0,COUNTA([1]quests!$A:$A),MATCH(E$1,[1]quests!$1:$1,0)-MATCH($C$1,[1]quests!$1:$1,0)+1),MATCH(E$1,[1]quests!$1:$1,0)-MATCH($C$1,[1]quests!$1:$1,0)+1,FALSE)</f>
        <v>試練の塔</v>
      </c>
      <c r="F16" s="6">
        <v>3</v>
      </c>
      <c r="G16" s="4" t="str">
        <f ca="1">VLOOKUP($C16&amp;"_"&amp;$F16,OFFSET([1]stages!$A$1,0,0,COUNTA([1]stages!$A:$A),MATCH(G$1,[1]stages!$2:$2,0)-MATCH("temp_stage",[1]stages!$2:$2,0)+1),MATCH(G$1,[1]stages!$2:$2,0)-MATCH("temp_stage",[1]stages!$2:$2,0)+1,FALSE)</f>
        <v>チャレンジタワー 3F</v>
      </c>
      <c r="H16" s="4" t="str">
        <f ca="1">VLOOKUP($C16&amp;"_"&amp;$F16,OFFSET([1]stages!$A$1,0,0,COUNTA([1]stages!$A:$A),MATCH(H$1,[1]stages!$2:$2,0)-MATCH("temp_stage",[1]stages!$2:$2,0)+1),MATCH(H$1,[1]stages!$2:$2,0)-MATCH("temp_stage",[1]stages!$2:$2,0)+1,FALSE)</f>
        <v>試練の塔</v>
      </c>
      <c r="I16" s="19">
        <v>0</v>
      </c>
      <c r="J16">
        <v>9</v>
      </c>
      <c r="K16" s="6" t="s">
        <v>38</v>
      </c>
      <c r="L16" s="32" t="str">
        <f>VLOOKUP(J16,[2]stage_hints!$A:$C,3,FALSE)</f>
        <v>ゴールドダックを売却すると大量ビット</v>
      </c>
      <c r="M16" s="33" t="str">
        <f>VLOOKUP(J16,[2]stage_hints!$A:$D,4,FALSE)</f>
        <v>「ゴールドなアヒル」を売却すると_x000D_大量のビットがもらえます</v>
      </c>
      <c r="N16" s="22" t="s">
        <v>43</v>
      </c>
      <c r="O16">
        <v>9</v>
      </c>
    </row>
    <row r="17" spans="1:15">
      <c r="A17" s="29" t="e">
        <f>C17&amp;"_"&amp;F17&amp;"_"&amp;#REF!</f>
        <v>#REF!</v>
      </c>
      <c r="B17" s="27" t="s">
        <v>32</v>
      </c>
      <c r="C17" s="5">
        <v>13001</v>
      </c>
      <c r="D17" s="4" t="str">
        <f ca="1">VLOOKUP($C17,OFFSET([1]quests!$A$1,0,0,COUNTA([1]quests!$A:$A),MATCH(D$1,[1]quests!$1:$1,0)-MATCH($C$1,[1]quests!$1:$1,0)+1),MATCH(D$1,[1]quests!$1:$1,0)-MATCH($C$1,[1]quests!$1:$1,0)+1,FALSE)</f>
        <v>チャレンジタワー(ソロ専用)</v>
      </c>
      <c r="E17" s="4" t="str">
        <f ca="1">VLOOKUP($C17,OFFSET([1]quests!$A$1,0,0,COUNTA([1]quests!$A:$A),MATCH(E$1,[1]quests!$1:$1,0)-MATCH($C$1,[1]quests!$1:$1,0)+1),MATCH(E$1,[1]quests!$1:$1,0)-MATCH($C$1,[1]quests!$1:$1,0)+1,FALSE)</f>
        <v>試練の塔</v>
      </c>
      <c r="F17" s="6">
        <v>3</v>
      </c>
      <c r="G17" s="4" t="str">
        <f ca="1">VLOOKUP($C17&amp;"_"&amp;$F17,OFFSET([1]stages!$A$1,0,0,COUNTA([1]stages!$A:$A),MATCH(G$1,[1]stages!$2:$2,0)-MATCH("temp_stage",[1]stages!$2:$2,0)+1),MATCH(G$1,[1]stages!$2:$2,0)-MATCH("temp_stage",[1]stages!$2:$2,0)+1,FALSE)</f>
        <v>チャレンジタワー 3F</v>
      </c>
      <c r="H17" s="4" t="str">
        <f ca="1">VLOOKUP($C17&amp;"_"&amp;$F17,OFFSET([1]stages!$A$1,0,0,COUNTA([1]stages!$A:$A),MATCH(H$1,[1]stages!$2:$2,0)-MATCH("temp_stage",[1]stages!$2:$2,0)+1),MATCH(H$1,[1]stages!$2:$2,0)-MATCH("temp_stage",[1]stages!$2:$2,0)+1,FALSE)</f>
        <v>試練の塔</v>
      </c>
      <c r="I17" s="19">
        <v>0</v>
      </c>
      <c r="J17">
        <v>10</v>
      </c>
      <c r="K17" s="6" t="s">
        <v>33</v>
      </c>
      <c r="L17" s="32" t="str">
        <f>VLOOKUP(J17,[2]stage_hints!$A:$C,3,FALSE)</f>
        <v>土日クエストで大量ビットをGET！！</v>
      </c>
      <c r="M17" s="33" t="str">
        <f>VLOOKUP(J17,[2]stage_hints!$A:$D,4,FALSE)</f>
        <v>土日限定の「ゴールドカジノ」では_x000D_売却素材ユニットが多く手に入ります</v>
      </c>
      <c r="N17" s="22" t="s">
        <v>34</v>
      </c>
      <c r="O17">
        <v>10</v>
      </c>
    </row>
    <row r="18" spans="1:15">
      <c r="A18" s="29" t="e">
        <f>C18&amp;"_"&amp;F18&amp;"_"&amp;#REF!</f>
        <v>#REF!</v>
      </c>
      <c r="B18" s="27" t="s">
        <v>32</v>
      </c>
      <c r="C18" s="5">
        <v>13001</v>
      </c>
      <c r="D18" s="4" t="str">
        <f ca="1">VLOOKUP($C18,OFFSET([1]quests!$A$1,0,0,COUNTA([1]quests!$A:$A),MATCH(D$1,[1]quests!$1:$1,0)-MATCH($C$1,[1]quests!$1:$1,0)+1),MATCH(D$1,[1]quests!$1:$1,0)-MATCH($C$1,[1]quests!$1:$1,0)+1,FALSE)</f>
        <v>チャレンジタワー(ソロ専用)</v>
      </c>
      <c r="E18" s="4" t="str">
        <f ca="1">VLOOKUP($C18,OFFSET([1]quests!$A$1,0,0,COUNTA([1]quests!$A:$A),MATCH(E$1,[1]quests!$1:$1,0)-MATCH($C$1,[1]quests!$1:$1,0)+1),MATCH(E$1,[1]quests!$1:$1,0)-MATCH($C$1,[1]quests!$1:$1,0)+1,FALSE)</f>
        <v>試練の塔</v>
      </c>
      <c r="F18" s="6">
        <v>3</v>
      </c>
      <c r="G18" s="4" t="str">
        <f ca="1">VLOOKUP($C18&amp;"_"&amp;$F18,OFFSET([1]stages!$A$1,0,0,COUNTA([1]stages!$A:$A),MATCH(G$1,[1]stages!$2:$2,0)-MATCH("temp_stage",[1]stages!$2:$2,0)+1),MATCH(G$1,[1]stages!$2:$2,0)-MATCH("temp_stage",[1]stages!$2:$2,0)+1,FALSE)</f>
        <v>チャレンジタワー 3F</v>
      </c>
      <c r="H18" s="4" t="str">
        <f ca="1">VLOOKUP($C18&amp;"_"&amp;$F18,OFFSET([1]stages!$A$1,0,0,COUNTA([1]stages!$A:$A),MATCH(H$1,[1]stages!$2:$2,0)-MATCH("temp_stage",[1]stages!$2:$2,0)+1),MATCH(H$1,[1]stages!$2:$2,0)-MATCH("temp_stage",[1]stages!$2:$2,0)+1,FALSE)</f>
        <v>試練の塔</v>
      </c>
      <c r="I18" s="19">
        <v>0</v>
      </c>
      <c r="J18">
        <v>11</v>
      </c>
      <c r="K18" s="6" t="s">
        <v>47</v>
      </c>
      <c r="L18" s="32" t="str">
        <f>VLOOKUP(J18,[2]stage_hints!$A:$C,3,FALSE)</f>
        <v>ランク開放クエスト</v>
      </c>
      <c r="M18" s="33" t="str">
        <f>VLOOKUP(J18,[2]stage_hints!$A:$D,4,FALSE)</f>
        <v>一定ランクに到達すると_x000D_報酬付きのランク開放クエストが現れます</v>
      </c>
      <c r="N18" s="22" t="s">
        <v>48</v>
      </c>
      <c r="O18">
        <v>11</v>
      </c>
    </row>
    <row r="19" spans="1:15">
      <c r="A19" s="29" t="e">
        <f>C19&amp;"_"&amp;F19&amp;"_"&amp;#REF!</f>
        <v>#REF!</v>
      </c>
      <c r="B19" s="27" t="s">
        <v>32</v>
      </c>
      <c r="C19" s="5">
        <v>13001</v>
      </c>
      <c r="D19" s="4" t="str">
        <f ca="1">VLOOKUP($C19,OFFSET([1]quests!$A$1,0,0,COUNTA([1]quests!$A:$A),MATCH(D$1,[1]quests!$1:$1,0)-MATCH($C$1,[1]quests!$1:$1,0)+1),MATCH(D$1,[1]quests!$1:$1,0)-MATCH($C$1,[1]quests!$1:$1,0)+1,FALSE)</f>
        <v>チャレンジタワー(ソロ専用)</v>
      </c>
      <c r="E19" s="4" t="str">
        <f ca="1">VLOOKUP($C19,OFFSET([1]quests!$A$1,0,0,COUNTA([1]quests!$A:$A),MATCH(E$1,[1]quests!$1:$1,0)-MATCH($C$1,[1]quests!$1:$1,0)+1),MATCH(E$1,[1]quests!$1:$1,0)-MATCH($C$1,[1]quests!$1:$1,0)+1,FALSE)</f>
        <v>試練の塔</v>
      </c>
      <c r="F19" s="6">
        <v>3</v>
      </c>
      <c r="G19" s="4" t="str">
        <f ca="1">VLOOKUP($C19&amp;"_"&amp;$F19,OFFSET([1]stages!$A$1,0,0,COUNTA([1]stages!$A:$A),MATCH(G$1,[1]stages!$2:$2,0)-MATCH("temp_stage",[1]stages!$2:$2,0)+1),MATCH(G$1,[1]stages!$2:$2,0)-MATCH("temp_stage",[1]stages!$2:$2,0)+1,FALSE)</f>
        <v>チャレンジタワー 3F</v>
      </c>
      <c r="H19" s="4" t="str">
        <f ca="1">VLOOKUP($C19&amp;"_"&amp;$F19,OFFSET([1]stages!$A$1,0,0,COUNTA([1]stages!$A:$A),MATCH(H$1,[1]stages!$2:$2,0)-MATCH("temp_stage",[1]stages!$2:$2,0)+1),MATCH(H$1,[1]stages!$2:$2,0)-MATCH("temp_stage",[1]stages!$2:$2,0)+1,FALSE)</f>
        <v>試練の塔</v>
      </c>
      <c r="I19" s="19">
        <v>0</v>
      </c>
      <c r="J19">
        <v>12</v>
      </c>
      <c r="K19" s="6" t="s">
        <v>33</v>
      </c>
      <c r="L19" s="32" t="str">
        <f>VLOOKUP(J19,[2]stage_hints!$A:$C,3,FALSE)</f>
        <v>お気に入り登録</v>
      </c>
      <c r="M19" s="33" t="str">
        <f>VLOOKUP(J19,[2]stage_hints!$A:$D,4,FALSE)</f>
        <v>大事なユニットは_x000D_フォルダから「お気に入り登録」しましょう</v>
      </c>
      <c r="N19" s="22" t="s">
        <v>39</v>
      </c>
      <c r="O19">
        <v>12</v>
      </c>
    </row>
    <row r="20" spans="1:15">
      <c r="A20" s="29" t="e">
        <f>C20&amp;"_"&amp;F20&amp;"_"&amp;#REF!</f>
        <v>#REF!</v>
      </c>
      <c r="B20" s="27" t="s">
        <v>32</v>
      </c>
      <c r="C20" s="5">
        <v>13001</v>
      </c>
      <c r="D20" s="4" t="str">
        <f ca="1">VLOOKUP($C20,OFFSET([1]quests!$A$1,0,0,COUNTA([1]quests!$A:$A),MATCH(D$1,[1]quests!$1:$1,0)-MATCH($C$1,[1]quests!$1:$1,0)+1),MATCH(D$1,[1]quests!$1:$1,0)-MATCH($C$1,[1]quests!$1:$1,0)+1,FALSE)</f>
        <v>チャレンジタワー(ソロ専用)</v>
      </c>
      <c r="E20" s="4" t="str">
        <f ca="1">VLOOKUP($C20,OFFSET([1]quests!$A$1,0,0,COUNTA([1]quests!$A:$A),MATCH(E$1,[1]quests!$1:$1,0)-MATCH($C$1,[1]quests!$1:$1,0)+1),MATCH(E$1,[1]quests!$1:$1,0)-MATCH($C$1,[1]quests!$1:$1,0)+1,FALSE)</f>
        <v>試練の塔</v>
      </c>
      <c r="F20" s="6">
        <v>4</v>
      </c>
      <c r="G20" s="4" t="str">
        <f ca="1">VLOOKUP($C20&amp;"_"&amp;$F20,OFFSET([1]stages!$A$1,0,0,COUNTA([1]stages!$A:$A),MATCH(G$1,[1]stages!$2:$2,0)-MATCH("temp_stage",[1]stages!$2:$2,0)+1),MATCH(G$1,[1]stages!$2:$2,0)-MATCH("temp_stage",[1]stages!$2:$2,0)+1,FALSE)</f>
        <v>チャレンジタワー 4F</v>
      </c>
      <c r="H20" s="4" t="str">
        <f ca="1">VLOOKUP($C20&amp;"_"&amp;$F20,OFFSET([1]stages!$A$1,0,0,COUNTA([1]stages!$A:$A),MATCH(H$1,[1]stages!$2:$2,0)-MATCH("temp_stage",[1]stages!$2:$2,0)+1),MATCH(H$1,[1]stages!$2:$2,0)-MATCH("temp_stage",[1]stages!$2:$2,0)+1,FALSE)</f>
        <v>試練の塔</v>
      </c>
      <c r="I20" s="19">
        <v>0</v>
      </c>
      <c r="J20">
        <v>3</v>
      </c>
      <c r="K20" s="6" t="s">
        <v>33</v>
      </c>
      <c r="L20" s="32" t="str">
        <f>VLOOKUP(J20,[2]stage_hints!$A:$C,3,FALSE)</f>
        <v>ターゲット</v>
      </c>
      <c r="M20" s="33" t="str">
        <f>VLOOKUP(J20,[2]stage_hints!$A:$D,4,FALSE)</f>
        <v>敵ユニットをタップすると_x000D_その敵を狙い撃ちできます</v>
      </c>
      <c r="N20" s="22" t="s">
        <v>40</v>
      </c>
      <c r="O20">
        <v>3</v>
      </c>
    </row>
    <row r="21" spans="1:15">
      <c r="A21" s="29" t="e">
        <f>C21&amp;"_"&amp;F21&amp;"_"&amp;#REF!</f>
        <v>#REF!</v>
      </c>
      <c r="B21" s="27" t="s">
        <v>32</v>
      </c>
      <c r="C21" s="5">
        <v>13001</v>
      </c>
      <c r="D21" s="4" t="str">
        <f ca="1">VLOOKUP($C21,OFFSET([1]quests!$A$1,0,0,COUNTA([1]quests!$A:$A),MATCH(D$1,[1]quests!$1:$1,0)-MATCH($C$1,[1]quests!$1:$1,0)+1),MATCH(D$1,[1]quests!$1:$1,0)-MATCH($C$1,[1]quests!$1:$1,0)+1,FALSE)</f>
        <v>チャレンジタワー(ソロ専用)</v>
      </c>
      <c r="E21" s="4" t="str">
        <f ca="1">VLOOKUP($C21,OFFSET([1]quests!$A$1,0,0,COUNTA([1]quests!$A:$A),MATCH(E$1,[1]quests!$1:$1,0)-MATCH($C$1,[1]quests!$1:$1,0)+1),MATCH(E$1,[1]quests!$1:$1,0)-MATCH($C$1,[1]quests!$1:$1,0)+1,FALSE)</f>
        <v>試練の塔</v>
      </c>
      <c r="F21" s="6">
        <v>4</v>
      </c>
      <c r="G21" s="4" t="str">
        <f ca="1">VLOOKUP($C21&amp;"_"&amp;$F21,OFFSET([1]stages!$A$1,0,0,COUNTA([1]stages!$A:$A),MATCH(G$1,[1]stages!$2:$2,0)-MATCH("temp_stage",[1]stages!$2:$2,0)+1),MATCH(G$1,[1]stages!$2:$2,0)-MATCH("temp_stage",[1]stages!$2:$2,0)+1,FALSE)</f>
        <v>チャレンジタワー 4F</v>
      </c>
      <c r="H21" s="4" t="str">
        <f ca="1">VLOOKUP($C21&amp;"_"&amp;$F21,OFFSET([1]stages!$A$1,0,0,COUNTA([1]stages!$A:$A),MATCH(H$1,[1]stages!$2:$2,0)-MATCH("temp_stage",[1]stages!$2:$2,0)+1),MATCH(H$1,[1]stages!$2:$2,0)-MATCH("temp_stage",[1]stages!$2:$2,0)+1,FALSE)</f>
        <v>試練の塔</v>
      </c>
      <c r="I21" s="19">
        <v>0</v>
      </c>
      <c r="J21">
        <v>5</v>
      </c>
      <c r="K21" s="6" t="s">
        <v>33</v>
      </c>
      <c r="L21" s="32" t="str">
        <f>VLOOKUP(J21,[2]stage_hints!$A:$C,3,FALSE)</f>
        <v>ユニット強化</v>
      </c>
      <c r="M21" s="33" t="str">
        <f>VLOOKUP(J21,[2]stage_hints!$A:$D,4,FALSE)</f>
        <v>「ユニット強化」でレベルアップすると_x000D_勝てない敵にも勝てるようになります</v>
      </c>
      <c r="N21" s="22" t="s">
        <v>50</v>
      </c>
      <c r="O21">
        <v>5</v>
      </c>
    </row>
    <row r="22" spans="1:15">
      <c r="A22" s="29" t="e">
        <f>C22&amp;"_"&amp;F22&amp;"_"&amp;#REF!</f>
        <v>#REF!</v>
      </c>
      <c r="B22" s="27" t="s">
        <v>32</v>
      </c>
      <c r="C22" s="5">
        <v>13001</v>
      </c>
      <c r="D22" s="4" t="str">
        <f ca="1">VLOOKUP($C22,OFFSET([1]quests!$A$1,0,0,COUNTA([1]quests!$A:$A),MATCH(D$1,[1]quests!$1:$1,0)-MATCH($C$1,[1]quests!$1:$1,0)+1),MATCH(D$1,[1]quests!$1:$1,0)-MATCH($C$1,[1]quests!$1:$1,0)+1,FALSE)</f>
        <v>チャレンジタワー(ソロ専用)</v>
      </c>
      <c r="E22" s="4" t="str">
        <f ca="1">VLOOKUP($C22,OFFSET([1]quests!$A$1,0,0,COUNTA([1]quests!$A:$A),MATCH(E$1,[1]quests!$1:$1,0)-MATCH($C$1,[1]quests!$1:$1,0)+1),MATCH(E$1,[1]quests!$1:$1,0)-MATCH($C$1,[1]quests!$1:$1,0)+1,FALSE)</f>
        <v>試練の塔</v>
      </c>
      <c r="F22" s="6">
        <v>4</v>
      </c>
      <c r="G22" s="4" t="str">
        <f ca="1">VLOOKUP($C22&amp;"_"&amp;$F22,OFFSET([1]stages!$A$1,0,0,COUNTA([1]stages!$A:$A),MATCH(G$1,[1]stages!$2:$2,0)-MATCH("temp_stage",[1]stages!$2:$2,0)+1),MATCH(G$1,[1]stages!$2:$2,0)-MATCH("temp_stage",[1]stages!$2:$2,0)+1,FALSE)</f>
        <v>チャレンジタワー 4F</v>
      </c>
      <c r="H22" s="4" t="str">
        <f ca="1">VLOOKUP($C22&amp;"_"&amp;$F22,OFFSET([1]stages!$A$1,0,0,COUNTA([1]stages!$A:$A),MATCH(H$1,[1]stages!$2:$2,0)-MATCH("temp_stage",[1]stages!$2:$2,0)+1),MATCH(H$1,[1]stages!$2:$2,0)-MATCH("temp_stage",[1]stages!$2:$2,0)+1,FALSE)</f>
        <v>試練の塔</v>
      </c>
      <c r="I22" s="19">
        <v>0</v>
      </c>
      <c r="J22">
        <v>6</v>
      </c>
      <c r="K22" s="6" t="s">
        <v>33</v>
      </c>
      <c r="L22" s="32" t="str">
        <f>VLOOKUP(J22,[2]stage_hints!$A:$C,3,FALSE)</f>
        <v>強化の属性ボーナス</v>
      </c>
      <c r="M22" s="33" t="str">
        <f>VLOOKUP(J22,[2]stage_hints!$A:$D,4,FALSE)</f>
        <v>同属性ユニットを強化素材にすると_x000D_経験値が多くもらえます</v>
      </c>
      <c r="N22" s="22" t="s">
        <v>39</v>
      </c>
      <c r="O22">
        <v>6</v>
      </c>
    </row>
    <row r="23" spans="1:15">
      <c r="A23" s="29" t="e">
        <f>C23&amp;"_"&amp;F23&amp;"_"&amp;#REF!</f>
        <v>#REF!</v>
      </c>
      <c r="B23" s="27" t="s">
        <v>32</v>
      </c>
      <c r="C23" s="5">
        <v>13001</v>
      </c>
      <c r="D23" s="4" t="str">
        <f ca="1">VLOOKUP($C23,OFFSET([1]quests!$A$1,0,0,COUNTA([1]quests!$A:$A),MATCH(D$1,[1]quests!$1:$1,0)-MATCH($C$1,[1]quests!$1:$1,0)+1),MATCH(D$1,[1]quests!$1:$1,0)-MATCH($C$1,[1]quests!$1:$1,0)+1,FALSE)</f>
        <v>チャレンジタワー(ソロ専用)</v>
      </c>
      <c r="E23" s="4" t="str">
        <f ca="1">VLOOKUP($C23,OFFSET([1]quests!$A$1,0,0,COUNTA([1]quests!$A:$A),MATCH(E$1,[1]quests!$1:$1,0)-MATCH($C$1,[1]quests!$1:$1,0)+1),MATCH(E$1,[1]quests!$1:$1,0)-MATCH($C$1,[1]quests!$1:$1,0)+1,FALSE)</f>
        <v>試練の塔</v>
      </c>
      <c r="F23" s="6">
        <v>4</v>
      </c>
      <c r="G23" s="4" t="str">
        <f ca="1">VLOOKUP($C23&amp;"_"&amp;$F23,OFFSET([1]stages!$A$1,0,0,COUNTA([1]stages!$A:$A),MATCH(G$1,[1]stages!$2:$2,0)-MATCH("temp_stage",[1]stages!$2:$2,0)+1),MATCH(G$1,[1]stages!$2:$2,0)-MATCH("temp_stage",[1]stages!$2:$2,0)+1,FALSE)</f>
        <v>チャレンジタワー 4F</v>
      </c>
      <c r="H23" s="4" t="str">
        <f ca="1">VLOOKUP($C23&amp;"_"&amp;$F23,OFFSET([1]stages!$A$1,0,0,COUNTA([1]stages!$A:$A),MATCH(H$1,[1]stages!$2:$2,0)-MATCH("temp_stage",[1]stages!$2:$2,0)+1),MATCH(H$1,[1]stages!$2:$2,0)-MATCH("temp_stage",[1]stages!$2:$2,0)+1,FALSE)</f>
        <v>試練の塔</v>
      </c>
      <c r="I23" s="19">
        <v>0</v>
      </c>
      <c r="J23">
        <v>7</v>
      </c>
      <c r="K23" s="6" t="s">
        <v>33</v>
      </c>
      <c r="L23" s="32" t="str">
        <f>VLOOKUP(J23,[2]stage_hints!$A:$C,3,FALSE)</f>
        <v>メタルダックをつかって強化しよう！</v>
      </c>
      <c r="M23" s="33" t="str">
        <f>VLOOKUP(J23,[2]stage_hints!$A:$D,4,FALSE)</f>
        <v>「メタルなアヒル」を強化素材にすると_x000D_大量の経験値がもらえます</v>
      </c>
      <c r="N23" s="22" t="s">
        <v>51</v>
      </c>
      <c r="O23">
        <v>7</v>
      </c>
    </row>
    <row r="24" spans="1:15">
      <c r="A24" s="29" t="e">
        <f>C24&amp;"_"&amp;F24&amp;"_"&amp;#REF!</f>
        <v>#REF!</v>
      </c>
      <c r="B24" s="27" t="s">
        <v>32</v>
      </c>
      <c r="C24" s="5">
        <v>13001</v>
      </c>
      <c r="D24" s="4" t="str">
        <f ca="1">VLOOKUP($C24,OFFSET([1]quests!$A$1,0,0,COUNTA([1]quests!$A:$A),MATCH(D$1,[1]quests!$1:$1,0)-MATCH($C$1,[1]quests!$1:$1,0)+1),MATCH(D$1,[1]quests!$1:$1,0)-MATCH($C$1,[1]quests!$1:$1,0)+1,FALSE)</f>
        <v>チャレンジタワー(ソロ専用)</v>
      </c>
      <c r="E24" s="4" t="str">
        <f ca="1">VLOOKUP($C24,OFFSET([1]quests!$A$1,0,0,COUNTA([1]quests!$A:$A),MATCH(E$1,[1]quests!$1:$1,0)-MATCH($C$1,[1]quests!$1:$1,0)+1),MATCH(E$1,[1]quests!$1:$1,0)-MATCH($C$1,[1]quests!$1:$1,0)+1,FALSE)</f>
        <v>試練の塔</v>
      </c>
      <c r="F24" s="6">
        <v>4</v>
      </c>
      <c r="G24" s="4" t="str">
        <f ca="1">VLOOKUP($C24&amp;"_"&amp;$F24,OFFSET([1]stages!$A$1,0,0,COUNTA([1]stages!$A:$A),MATCH(G$1,[1]stages!$2:$2,0)-MATCH("temp_stage",[1]stages!$2:$2,0)+1),MATCH(G$1,[1]stages!$2:$2,0)-MATCH("temp_stage",[1]stages!$2:$2,0)+1,FALSE)</f>
        <v>チャレンジタワー 4F</v>
      </c>
      <c r="H24" s="4" t="str">
        <f ca="1">VLOOKUP($C24&amp;"_"&amp;$F24,OFFSET([1]stages!$A$1,0,0,COUNTA([1]stages!$A:$A),MATCH(H$1,[1]stages!$2:$2,0)-MATCH("temp_stage",[1]stages!$2:$2,0)+1),MATCH(H$1,[1]stages!$2:$2,0)-MATCH("temp_stage",[1]stages!$2:$2,0)+1,FALSE)</f>
        <v>試練の塔</v>
      </c>
      <c r="I24" s="19">
        <v>0</v>
      </c>
      <c r="J24">
        <v>8</v>
      </c>
      <c r="K24" s="6" t="s">
        <v>33</v>
      </c>
      <c r="L24" s="32" t="str">
        <f>VLOOKUP(J24,[2]stage_hints!$A:$C,3,FALSE)</f>
        <v>ゲリラを見逃すな！</v>
      </c>
      <c r="M24" s="33" t="str">
        <f>VLOOKUP(J24,[2]stage_hints!$A:$D,4,FALSE)</f>
        <v>時間限定の「【緊急!!】アヒル捕獲作戦」では_x000D_経験値素材ユニットが多く手に入ります</v>
      </c>
      <c r="N24" s="22" t="s">
        <v>39</v>
      </c>
      <c r="O24">
        <v>8</v>
      </c>
    </row>
    <row r="25" spans="1:15">
      <c r="A25" s="29" t="e">
        <f>C25&amp;"_"&amp;F25&amp;"_"&amp;#REF!</f>
        <v>#REF!</v>
      </c>
      <c r="B25" s="27" t="s">
        <v>32</v>
      </c>
      <c r="C25" s="5">
        <v>13001</v>
      </c>
      <c r="D25" s="4" t="str">
        <f ca="1">VLOOKUP($C25,OFFSET([1]quests!$A$1,0,0,COUNTA([1]quests!$A:$A),MATCH(D$1,[1]quests!$1:$1,0)-MATCH($C$1,[1]quests!$1:$1,0)+1),MATCH(D$1,[1]quests!$1:$1,0)-MATCH($C$1,[1]quests!$1:$1,0)+1,FALSE)</f>
        <v>チャレンジタワー(ソロ専用)</v>
      </c>
      <c r="E25" s="4" t="str">
        <f ca="1">VLOOKUP($C25,OFFSET([1]quests!$A$1,0,0,COUNTA([1]quests!$A:$A),MATCH(E$1,[1]quests!$1:$1,0)-MATCH($C$1,[1]quests!$1:$1,0)+1),MATCH(E$1,[1]quests!$1:$1,0)-MATCH($C$1,[1]quests!$1:$1,0)+1,FALSE)</f>
        <v>試練の塔</v>
      </c>
      <c r="F25" s="6">
        <v>4</v>
      </c>
      <c r="G25" s="4" t="str">
        <f ca="1">VLOOKUP($C25&amp;"_"&amp;$F25,OFFSET([1]stages!$A$1,0,0,COUNTA([1]stages!$A:$A),MATCH(G$1,[1]stages!$2:$2,0)-MATCH("temp_stage",[1]stages!$2:$2,0)+1),MATCH(G$1,[1]stages!$2:$2,0)-MATCH("temp_stage",[1]stages!$2:$2,0)+1,FALSE)</f>
        <v>チャレンジタワー 4F</v>
      </c>
      <c r="H25" s="4" t="str">
        <f ca="1">VLOOKUP($C25&amp;"_"&amp;$F25,OFFSET([1]stages!$A$1,0,0,COUNTA([1]stages!$A:$A),MATCH(H$1,[1]stages!$2:$2,0)-MATCH("temp_stage",[1]stages!$2:$2,0)+1),MATCH(H$1,[1]stages!$2:$2,0)-MATCH("temp_stage",[1]stages!$2:$2,0)+1,FALSE)</f>
        <v>試練の塔</v>
      </c>
      <c r="I25" s="19">
        <v>0</v>
      </c>
      <c r="J25">
        <v>9</v>
      </c>
      <c r="K25" s="6" t="s">
        <v>33</v>
      </c>
      <c r="L25" s="32" t="str">
        <f>VLOOKUP(J25,[2]stage_hints!$A:$C,3,FALSE)</f>
        <v>ゴールドダックを売却すると大量ビット</v>
      </c>
      <c r="M25" s="33" t="str">
        <f>VLOOKUP(J25,[2]stage_hints!$A:$D,4,FALSE)</f>
        <v>「ゴールドなアヒル」を売却すると_x000D_大量のビットがもらえます</v>
      </c>
      <c r="N25" s="22" t="s">
        <v>45</v>
      </c>
      <c r="O25">
        <v>9</v>
      </c>
    </row>
    <row r="26" spans="1:15">
      <c r="A26" s="29" t="e">
        <f>C26&amp;"_"&amp;F26&amp;"_"&amp;#REF!</f>
        <v>#REF!</v>
      </c>
      <c r="B26" s="27" t="s">
        <v>32</v>
      </c>
      <c r="C26" s="5">
        <v>13001</v>
      </c>
      <c r="D26" s="4" t="str">
        <f ca="1">VLOOKUP($C26,OFFSET([1]quests!$A$1,0,0,COUNTA([1]quests!$A:$A),MATCH(D$1,[1]quests!$1:$1,0)-MATCH($C$1,[1]quests!$1:$1,0)+1),MATCH(D$1,[1]quests!$1:$1,0)-MATCH($C$1,[1]quests!$1:$1,0)+1,FALSE)</f>
        <v>チャレンジタワー(ソロ専用)</v>
      </c>
      <c r="E26" s="4" t="str">
        <f ca="1">VLOOKUP($C26,OFFSET([1]quests!$A$1,0,0,COUNTA([1]quests!$A:$A),MATCH(E$1,[1]quests!$1:$1,0)-MATCH($C$1,[1]quests!$1:$1,0)+1),MATCH(E$1,[1]quests!$1:$1,0)-MATCH($C$1,[1]quests!$1:$1,0)+1,FALSE)</f>
        <v>試練の塔</v>
      </c>
      <c r="F26" s="6">
        <v>4</v>
      </c>
      <c r="G26" s="4" t="str">
        <f ca="1">VLOOKUP($C26&amp;"_"&amp;$F26,OFFSET([1]stages!$A$1,0,0,COUNTA([1]stages!$A:$A),MATCH(G$1,[1]stages!$2:$2,0)-MATCH("temp_stage",[1]stages!$2:$2,0)+1),MATCH(G$1,[1]stages!$2:$2,0)-MATCH("temp_stage",[1]stages!$2:$2,0)+1,FALSE)</f>
        <v>チャレンジタワー 4F</v>
      </c>
      <c r="H26" s="4" t="str">
        <f ca="1">VLOOKUP($C26&amp;"_"&amp;$F26,OFFSET([1]stages!$A$1,0,0,COUNTA([1]stages!$A:$A),MATCH(H$1,[1]stages!$2:$2,0)-MATCH("temp_stage",[1]stages!$2:$2,0)+1),MATCH(H$1,[1]stages!$2:$2,0)-MATCH("temp_stage",[1]stages!$2:$2,0)+1,FALSE)</f>
        <v>試練の塔</v>
      </c>
      <c r="I26" s="19">
        <v>0</v>
      </c>
      <c r="J26">
        <v>10</v>
      </c>
      <c r="K26" s="6" t="s">
        <v>33</v>
      </c>
      <c r="L26" s="32" t="str">
        <f>VLOOKUP(J26,[2]stage_hints!$A:$C,3,FALSE)</f>
        <v>土日クエストで大量ビットをGET！！</v>
      </c>
      <c r="M26" s="33" t="str">
        <f>VLOOKUP(J26,[2]stage_hints!$A:$D,4,FALSE)</f>
        <v>土日限定の「ゴールドカジノ」では_x000D_売却素材ユニットが多く手に入ります</v>
      </c>
      <c r="N26" s="22" t="s">
        <v>34</v>
      </c>
      <c r="O26">
        <v>10</v>
      </c>
    </row>
    <row r="27" spans="1:15">
      <c r="A27" s="29" t="e">
        <f>C27&amp;"_"&amp;F27&amp;"_"&amp;#REF!</f>
        <v>#REF!</v>
      </c>
      <c r="B27" s="27" t="s">
        <v>32</v>
      </c>
      <c r="C27" s="5">
        <v>13001</v>
      </c>
      <c r="D27" s="4" t="str">
        <f ca="1">VLOOKUP($C27,OFFSET([1]quests!$A$1,0,0,COUNTA([1]quests!$A:$A),MATCH(D$1,[1]quests!$1:$1,0)-MATCH($C$1,[1]quests!$1:$1,0)+1),MATCH(D$1,[1]quests!$1:$1,0)-MATCH($C$1,[1]quests!$1:$1,0)+1,FALSE)</f>
        <v>チャレンジタワー(ソロ専用)</v>
      </c>
      <c r="E27" s="4" t="str">
        <f ca="1">VLOOKUP($C27,OFFSET([1]quests!$A$1,0,0,COUNTA([1]quests!$A:$A),MATCH(E$1,[1]quests!$1:$1,0)-MATCH($C$1,[1]quests!$1:$1,0)+1),MATCH(E$1,[1]quests!$1:$1,0)-MATCH($C$1,[1]quests!$1:$1,0)+1,FALSE)</f>
        <v>試練の塔</v>
      </c>
      <c r="F27" s="6">
        <v>4</v>
      </c>
      <c r="G27" s="4" t="str">
        <f ca="1">VLOOKUP($C27&amp;"_"&amp;$F27,OFFSET([1]stages!$A$1,0,0,COUNTA([1]stages!$A:$A),MATCH(G$1,[1]stages!$2:$2,0)-MATCH("temp_stage",[1]stages!$2:$2,0)+1),MATCH(G$1,[1]stages!$2:$2,0)-MATCH("temp_stage",[1]stages!$2:$2,0)+1,FALSE)</f>
        <v>チャレンジタワー 4F</v>
      </c>
      <c r="H27" s="4" t="str">
        <f ca="1">VLOOKUP($C27&amp;"_"&amp;$F27,OFFSET([1]stages!$A$1,0,0,COUNTA([1]stages!$A:$A),MATCH(H$1,[1]stages!$2:$2,0)-MATCH("temp_stage",[1]stages!$2:$2,0)+1),MATCH(H$1,[1]stages!$2:$2,0)-MATCH("temp_stage",[1]stages!$2:$2,0)+1,FALSE)</f>
        <v>試練の塔</v>
      </c>
      <c r="I27" s="19">
        <v>0</v>
      </c>
      <c r="J27">
        <v>11</v>
      </c>
      <c r="K27" s="6" t="s">
        <v>33</v>
      </c>
      <c r="L27" s="32" t="str">
        <f>VLOOKUP(J27,[2]stage_hints!$A:$C,3,FALSE)</f>
        <v>ランク開放クエスト</v>
      </c>
      <c r="M27" s="33" t="str">
        <f>VLOOKUP(J27,[2]stage_hints!$A:$D,4,FALSE)</f>
        <v>一定ランクに到達すると_x000D_報酬付きのランク開放クエストが現れます</v>
      </c>
      <c r="N27" s="22" t="s">
        <v>52</v>
      </c>
      <c r="O27">
        <v>11</v>
      </c>
    </row>
    <row r="28" spans="1:15">
      <c r="A28" s="29" t="e">
        <f>C28&amp;"_"&amp;F28&amp;"_"&amp;#REF!</f>
        <v>#REF!</v>
      </c>
      <c r="B28" s="27" t="s">
        <v>32</v>
      </c>
      <c r="C28" s="5">
        <v>13001</v>
      </c>
      <c r="D28" s="4" t="str">
        <f ca="1">VLOOKUP($C28,OFFSET([1]quests!$A$1,0,0,COUNTA([1]quests!$A:$A),MATCH(D$1,[1]quests!$1:$1,0)-MATCH($C$1,[1]quests!$1:$1,0)+1),MATCH(D$1,[1]quests!$1:$1,0)-MATCH($C$1,[1]quests!$1:$1,0)+1,FALSE)</f>
        <v>チャレンジタワー(ソロ専用)</v>
      </c>
      <c r="E28" s="4" t="str">
        <f ca="1">VLOOKUP($C28,OFFSET([1]quests!$A$1,0,0,COUNTA([1]quests!$A:$A),MATCH(E$1,[1]quests!$1:$1,0)-MATCH($C$1,[1]quests!$1:$1,0)+1),MATCH(E$1,[1]quests!$1:$1,0)-MATCH($C$1,[1]quests!$1:$1,0)+1,FALSE)</f>
        <v>試練の塔</v>
      </c>
      <c r="F28" s="6">
        <v>4</v>
      </c>
      <c r="G28" s="4" t="str">
        <f ca="1">VLOOKUP($C28&amp;"_"&amp;$F28,OFFSET([1]stages!$A$1,0,0,COUNTA([1]stages!$A:$A),MATCH(G$1,[1]stages!$2:$2,0)-MATCH("temp_stage",[1]stages!$2:$2,0)+1),MATCH(G$1,[1]stages!$2:$2,0)-MATCH("temp_stage",[1]stages!$2:$2,0)+1,FALSE)</f>
        <v>チャレンジタワー 4F</v>
      </c>
      <c r="H28" s="4" t="str">
        <f ca="1">VLOOKUP($C28&amp;"_"&amp;$F28,OFFSET([1]stages!$A$1,0,0,COUNTA([1]stages!$A:$A),MATCH(H$1,[1]stages!$2:$2,0)-MATCH("temp_stage",[1]stages!$2:$2,0)+1),MATCH(H$1,[1]stages!$2:$2,0)-MATCH("temp_stage",[1]stages!$2:$2,0)+1,FALSE)</f>
        <v>試練の塔</v>
      </c>
      <c r="I28" s="19">
        <v>0</v>
      </c>
      <c r="J28">
        <v>12</v>
      </c>
      <c r="K28" s="6" t="s">
        <v>33</v>
      </c>
      <c r="L28" s="32" t="str">
        <f>VLOOKUP(J28,[2]stage_hints!$A:$C,3,FALSE)</f>
        <v>お気に入り登録</v>
      </c>
      <c r="M28" s="33" t="str">
        <f>VLOOKUP(J28,[2]stage_hints!$A:$D,4,FALSE)</f>
        <v>大事なユニットは_x000D_フォルダから「お気に入り登録」しましょう</v>
      </c>
      <c r="N28" s="22" t="s">
        <v>39</v>
      </c>
      <c r="O28">
        <v>12</v>
      </c>
    </row>
    <row r="29" spans="1:15">
      <c r="A29" s="29" t="e">
        <f>C29&amp;"_"&amp;F29&amp;"_"&amp;#REF!</f>
        <v>#REF!</v>
      </c>
      <c r="B29" s="27" t="s">
        <v>32</v>
      </c>
      <c r="C29" s="5">
        <v>13001</v>
      </c>
      <c r="D29" s="4" t="str">
        <f ca="1">VLOOKUP($C29,OFFSET([1]quests!$A$1,0,0,COUNTA([1]quests!$A:$A),MATCH(D$1,[1]quests!$1:$1,0)-MATCH($C$1,[1]quests!$1:$1,0)+1),MATCH(D$1,[1]quests!$1:$1,0)-MATCH($C$1,[1]quests!$1:$1,0)+1,FALSE)</f>
        <v>チャレンジタワー(ソロ専用)</v>
      </c>
      <c r="E29" s="4" t="str">
        <f ca="1">VLOOKUP($C29,OFFSET([1]quests!$A$1,0,0,COUNTA([1]quests!$A:$A),MATCH(E$1,[1]quests!$1:$1,0)-MATCH($C$1,[1]quests!$1:$1,0)+1),MATCH(E$1,[1]quests!$1:$1,0)-MATCH($C$1,[1]quests!$1:$1,0)+1,FALSE)</f>
        <v>試練の塔</v>
      </c>
      <c r="F29" s="6">
        <v>4</v>
      </c>
      <c r="G29" s="4" t="str">
        <f ca="1">VLOOKUP($C29&amp;"_"&amp;$F29,OFFSET([1]stages!$A$1,0,0,COUNTA([1]stages!$A:$A),MATCH(G$1,[1]stages!$2:$2,0)-MATCH("temp_stage",[1]stages!$2:$2,0)+1),MATCH(G$1,[1]stages!$2:$2,0)-MATCH("temp_stage",[1]stages!$2:$2,0)+1,FALSE)</f>
        <v>チャレンジタワー 4F</v>
      </c>
      <c r="H29" s="4" t="str">
        <f ca="1">VLOOKUP($C29&amp;"_"&amp;$F29,OFFSET([1]stages!$A$1,0,0,COUNTA([1]stages!$A:$A),MATCH(H$1,[1]stages!$2:$2,0)-MATCH("temp_stage",[1]stages!$2:$2,0)+1),MATCH(H$1,[1]stages!$2:$2,0)-MATCH("temp_stage",[1]stages!$2:$2,0)+1,FALSE)</f>
        <v>試練の塔</v>
      </c>
      <c r="I29" s="19">
        <v>0</v>
      </c>
      <c r="J29">
        <v>13</v>
      </c>
      <c r="K29" s="6" t="s">
        <v>33</v>
      </c>
      <c r="L29" s="32" t="str">
        <f>VLOOKUP(J29,[2]stage_hints!$A:$C,3,FALSE)</f>
        <v>ユニットを覚醒させよう！</v>
      </c>
      <c r="M29" s="33" t="str">
        <f>VLOOKUP(J29,[2]stage_hints!$A:$D,4,FALSE)</f>
        <v>ユニットを覚醒させると_x000D_比べものにならない強さが手に入ります</v>
      </c>
      <c r="N29" s="22" t="s">
        <v>53</v>
      </c>
      <c r="O29">
        <v>13</v>
      </c>
    </row>
    <row r="30" spans="1:15">
      <c r="A30" s="29" t="e">
        <f>C30&amp;"_"&amp;F30&amp;"_"&amp;#REF!</f>
        <v>#REF!</v>
      </c>
      <c r="B30" s="27" t="s">
        <v>32</v>
      </c>
      <c r="C30" s="5">
        <v>13001</v>
      </c>
      <c r="D30" s="4" t="str">
        <f ca="1">VLOOKUP($C30,OFFSET([1]quests!$A$1,0,0,COUNTA([1]quests!$A:$A),MATCH(D$1,[1]quests!$1:$1,0)-MATCH($C$1,[1]quests!$1:$1,0)+1),MATCH(D$1,[1]quests!$1:$1,0)-MATCH($C$1,[1]quests!$1:$1,0)+1,FALSE)</f>
        <v>チャレンジタワー(ソロ専用)</v>
      </c>
      <c r="E30" s="4" t="str">
        <f ca="1">VLOOKUP($C30,OFFSET([1]quests!$A$1,0,0,COUNTA([1]quests!$A:$A),MATCH(E$1,[1]quests!$1:$1,0)-MATCH($C$1,[1]quests!$1:$1,0)+1),MATCH(E$1,[1]quests!$1:$1,0)-MATCH($C$1,[1]quests!$1:$1,0)+1,FALSE)</f>
        <v>試練の塔</v>
      </c>
      <c r="F30" s="6">
        <v>4</v>
      </c>
      <c r="G30" s="4" t="str">
        <f ca="1">VLOOKUP($C30&amp;"_"&amp;$F30,OFFSET([1]stages!$A$1,0,0,COUNTA([1]stages!$A:$A),MATCH(G$1,[1]stages!$2:$2,0)-MATCH("temp_stage",[1]stages!$2:$2,0)+1),MATCH(G$1,[1]stages!$2:$2,0)-MATCH("temp_stage",[1]stages!$2:$2,0)+1,FALSE)</f>
        <v>チャレンジタワー 4F</v>
      </c>
      <c r="H30" s="4" t="str">
        <f ca="1">VLOOKUP($C30&amp;"_"&amp;$F30,OFFSET([1]stages!$A$1,0,0,COUNTA([1]stages!$A:$A),MATCH(H$1,[1]stages!$2:$2,0)-MATCH("temp_stage",[1]stages!$2:$2,0)+1),MATCH(H$1,[1]stages!$2:$2,0)-MATCH("temp_stage",[1]stages!$2:$2,0)+1,FALSE)</f>
        <v>試練の塔</v>
      </c>
      <c r="I30" s="19">
        <v>0</v>
      </c>
      <c r="J30">
        <v>14</v>
      </c>
      <c r="K30" s="6" t="s">
        <v>33</v>
      </c>
      <c r="L30" s="32" t="str">
        <f>VLOOKUP(J30,[2]stage_hints!$A:$C,3,FALSE)</f>
        <v>覚醒するにはレベルをMAXに！</v>
      </c>
      <c r="M30" s="33" t="str">
        <f>VLOOKUP(J30,[2]stage_hints!$A:$D,4,FALSE)</f>
        <v>覚醒するにはユニットのレベルを_x000D_最大まで上げる必要があります</v>
      </c>
      <c r="N30" s="22" t="s">
        <v>56</v>
      </c>
      <c r="O30">
        <v>14</v>
      </c>
    </row>
    <row r="31" spans="1:15">
      <c r="A31" s="29" t="e">
        <f>C31&amp;"_"&amp;F31&amp;"_"&amp;#REF!</f>
        <v>#REF!</v>
      </c>
      <c r="B31" s="27" t="s">
        <v>32</v>
      </c>
      <c r="C31" s="5">
        <v>13001</v>
      </c>
      <c r="D31" s="4" t="str">
        <f ca="1">VLOOKUP($C31,OFFSET([1]quests!$A$1,0,0,COUNTA([1]quests!$A:$A),MATCH(D$1,[1]quests!$1:$1,0)-MATCH($C$1,[1]quests!$1:$1,0)+1),MATCH(D$1,[1]quests!$1:$1,0)-MATCH($C$1,[1]quests!$1:$1,0)+1,FALSE)</f>
        <v>チャレンジタワー(ソロ専用)</v>
      </c>
      <c r="E31" s="4" t="str">
        <f ca="1">VLOOKUP($C31,OFFSET([1]quests!$A$1,0,0,COUNTA([1]quests!$A:$A),MATCH(E$1,[1]quests!$1:$1,0)-MATCH($C$1,[1]quests!$1:$1,0)+1),MATCH(E$1,[1]quests!$1:$1,0)-MATCH($C$1,[1]quests!$1:$1,0)+1,FALSE)</f>
        <v>試練の塔</v>
      </c>
      <c r="F31" s="6">
        <v>4</v>
      </c>
      <c r="G31" s="4" t="str">
        <f ca="1">VLOOKUP($C31&amp;"_"&amp;$F31,OFFSET([1]stages!$A$1,0,0,COUNTA([1]stages!$A:$A),MATCH(G$1,[1]stages!$2:$2,0)-MATCH("temp_stage",[1]stages!$2:$2,0)+1),MATCH(G$1,[1]stages!$2:$2,0)-MATCH("temp_stage",[1]stages!$2:$2,0)+1,FALSE)</f>
        <v>チャレンジタワー 4F</v>
      </c>
      <c r="H31" s="4" t="str">
        <f ca="1">VLOOKUP($C31&amp;"_"&amp;$F31,OFFSET([1]stages!$A$1,0,0,COUNTA([1]stages!$A:$A),MATCH(H$1,[1]stages!$2:$2,0)-MATCH("temp_stage",[1]stages!$2:$2,0)+1),MATCH(H$1,[1]stages!$2:$2,0)-MATCH("temp_stage",[1]stages!$2:$2,0)+1,FALSE)</f>
        <v>試練の塔</v>
      </c>
      <c r="I31" s="19">
        <v>0</v>
      </c>
      <c r="J31">
        <v>15</v>
      </c>
      <c r="K31" s="6" t="s">
        <v>33</v>
      </c>
      <c r="L31" s="32" t="str">
        <f>VLOOKUP(J31,[2]stage_hints!$A:$C,3,FALSE)</f>
        <v>覚醒素材をGETしよう！</v>
      </c>
      <c r="M31" s="33" t="str">
        <f>VLOOKUP(J31,[2]stage_hints!$A:$D,4,FALSE)</f>
        <v>「曜日クエスト」では_x000D_覚醒に必要な覚醒素材が手に入ります</v>
      </c>
      <c r="N31" s="22" t="s">
        <v>53</v>
      </c>
      <c r="O31">
        <v>15</v>
      </c>
    </row>
    <row r="32" spans="1:15">
      <c r="A32" s="29" t="e">
        <f>C32&amp;"_"&amp;F32&amp;"_"&amp;#REF!</f>
        <v>#REF!</v>
      </c>
      <c r="B32" s="27" t="s">
        <v>32</v>
      </c>
      <c r="C32" s="5">
        <v>13001</v>
      </c>
      <c r="D32" s="4" t="str">
        <f ca="1">VLOOKUP($C32,OFFSET([1]quests!$A$1,0,0,COUNTA([1]quests!$A:$A),MATCH(D$1,[1]quests!$1:$1,0)-MATCH($C$1,[1]quests!$1:$1,0)+1),MATCH(D$1,[1]quests!$1:$1,0)-MATCH($C$1,[1]quests!$1:$1,0)+1,FALSE)</f>
        <v>チャレンジタワー(ソロ専用)</v>
      </c>
      <c r="E32" s="4" t="str">
        <f ca="1">VLOOKUP($C32,OFFSET([1]quests!$A$1,0,0,COUNTA([1]quests!$A:$A),MATCH(E$1,[1]quests!$1:$1,0)-MATCH($C$1,[1]quests!$1:$1,0)+1),MATCH(E$1,[1]quests!$1:$1,0)-MATCH($C$1,[1]quests!$1:$1,0)+1,FALSE)</f>
        <v>試練の塔</v>
      </c>
      <c r="F32" s="6">
        <v>4</v>
      </c>
      <c r="G32" s="4" t="str">
        <f ca="1">VLOOKUP($C32&amp;"_"&amp;$F32,OFFSET([1]stages!$A$1,0,0,COUNTA([1]stages!$A:$A),MATCH(G$1,[1]stages!$2:$2,0)-MATCH("temp_stage",[1]stages!$2:$2,0)+1),MATCH(G$1,[1]stages!$2:$2,0)-MATCH("temp_stage",[1]stages!$2:$2,0)+1,FALSE)</f>
        <v>チャレンジタワー 4F</v>
      </c>
      <c r="H32" s="4" t="str">
        <f ca="1">VLOOKUP($C32&amp;"_"&amp;$F32,OFFSET([1]stages!$A$1,0,0,COUNTA([1]stages!$A:$A),MATCH(H$1,[1]stages!$2:$2,0)-MATCH("temp_stage",[1]stages!$2:$2,0)+1),MATCH(H$1,[1]stages!$2:$2,0)-MATCH("temp_stage",[1]stages!$2:$2,0)+1,FALSE)</f>
        <v>試練の塔</v>
      </c>
      <c r="I32" s="19">
        <v>0</v>
      </c>
      <c r="J32">
        <v>16</v>
      </c>
      <c r="K32" s="6" t="s">
        <v>33</v>
      </c>
      <c r="L32" s="32" t="str">
        <f>VLOOKUP(J32,[2]stage_hints!$A:$C,3,FALSE)</f>
        <v>マルチプレイが熱い！　その1</v>
      </c>
      <c r="M32" s="33" t="str">
        <f>VLOOKUP(J32,[2]stage_hints!$A:$D,4,FALSE)</f>
        <v>マルチプレイをすると_x000D_初顔合わせボーナスで_x000D_100人までポリゴンがもらえます</v>
      </c>
      <c r="N32" s="22" t="s">
        <v>34</v>
      </c>
      <c r="O32">
        <v>16</v>
      </c>
    </row>
    <row r="33" spans="1:15">
      <c r="A33" s="29" t="e">
        <f>C33&amp;"_"&amp;F33&amp;"_"&amp;#REF!</f>
        <v>#REF!</v>
      </c>
      <c r="B33" s="27" t="s">
        <v>32</v>
      </c>
      <c r="C33" s="5">
        <v>13001</v>
      </c>
      <c r="D33" s="4" t="str">
        <f ca="1">VLOOKUP($C33,OFFSET([1]quests!$A$1,0,0,COUNTA([1]quests!$A:$A),MATCH(D$1,[1]quests!$1:$1,0)-MATCH($C$1,[1]quests!$1:$1,0)+1),MATCH(D$1,[1]quests!$1:$1,0)-MATCH($C$1,[1]quests!$1:$1,0)+1,FALSE)</f>
        <v>チャレンジタワー(ソロ専用)</v>
      </c>
      <c r="E33" s="4" t="str">
        <f ca="1">VLOOKUP($C33,OFFSET([1]quests!$A$1,0,0,COUNTA([1]quests!$A:$A),MATCH(E$1,[1]quests!$1:$1,0)-MATCH($C$1,[1]quests!$1:$1,0)+1),MATCH(E$1,[1]quests!$1:$1,0)-MATCH($C$1,[1]quests!$1:$1,0)+1,FALSE)</f>
        <v>試練の塔</v>
      </c>
      <c r="F33" s="6">
        <v>5</v>
      </c>
      <c r="G33" s="4" t="str">
        <f ca="1">VLOOKUP($C33&amp;"_"&amp;$F33,OFFSET([1]stages!$A$1,0,0,COUNTA([1]stages!$A:$A),MATCH(G$1,[1]stages!$2:$2,0)-MATCH("temp_stage",[1]stages!$2:$2,0)+1),MATCH(G$1,[1]stages!$2:$2,0)-MATCH("temp_stage",[1]stages!$2:$2,0)+1,FALSE)</f>
        <v>チャレンジタワー 5F</v>
      </c>
      <c r="H33" s="4" t="str">
        <f ca="1">VLOOKUP($C33&amp;"_"&amp;$F33,OFFSET([1]stages!$A$1,0,0,COUNTA([1]stages!$A:$A),MATCH(H$1,[1]stages!$2:$2,0)-MATCH("temp_stage",[1]stages!$2:$2,0)+1),MATCH(H$1,[1]stages!$2:$2,0)-MATCH("temp_stage",[1]stages!$2:$2,0)+1,FALSE)</f>
        <v>試練の塔</v>
      </c>
      <c r="I33" s="19">
        <v>0</v>
      </c>
      <c r="J33">
        <v>3</v>
      </c>
      <c r="K33" s="6" t="s">
        <v>33</v>
      </c>
      <c r="L33" s="32" t="str">
        <f>VLOOKUP(J33,[2]stage_hints!$A:$C,3,FALSE)</f>
        <v>ターゲット</v>
      </c>
      <c r="M33" s="33" t="str">
        <f>VLOOKUP(J33,[2]stage_hints!$A:$D,4,FALSE)</f>
        <v>敵ユニットをタップすると_x000D_その敵を狙い撃ちできます</v>
      </c>
      <c r="N33" s="22" t="s">
        <v>37</v>
      </c>
      <c r="O33">
        <v>3</v>
      </c>
    </row>
    <row r="34" spans="1:15">
      <c r="A34" s="29" t="e">
        <f>C34&amp;"_"&amp;F34&amp;"_"&amp;#REF!</f>
        <v>#REF!</v>
      </c>
      <c r="B34" s="27" t="s">
        <v>32</v>
      </c>
      <c r="C34" s="5">
        <v>13001</v>
      </c>
      <c r="D34" s="4" t="str">
        <f ca="1">VLOOKUP($C34,OFFSET([1]quests!$A$1,0,0,COUNTA([1]quests!$A:$A),MATCH(D$1,[1]quests!$1:$1,0)-MATCH($C$1,[1]quests!$1:$1,0)+1),MATCH(D$1,[1]quests!$1:$1,0)-MATCH($C$1,[1]quests!$1:$1,0)+1,FALSE)</f>
        <v>チャレンジタワー(ソロ専用)</v>
      </c>
      <c r="E34" s="4" t="str">
        <f ca="1">VLOOKUP($C34,OFFSET([1]quests!$A$1,0,0,COUNTA([1]quests!$A:$A),MATCH(E$1,[1]quests!$1:$1,0)-MATCH($C$1,[1]quests!$1:$1,0)+1),MATCH(E$1,[1]quests!$1:$1,0)-MATCH($C$1,[1]quests!$1:$1,0)+1,FALSE)</f>
        <v>試練の塔</v>
      </c>
      <c r="F34" s="6">
        <v>5</v>
      </c>
      <c r="G34" s="4" t="str">
        <f ca="1">VLOOKUP($C34&amp;"_"&amp;$F34,OFFSET([1]stages!$A$1,0,0,COUNTA([1]stages!$A:$A),MATCH(G$1,[1]stages!$2:$2,0)-MATCH("temp_stage",[1]stages!$2:$2,0)+1),MATCH(G$1,[1]stages!$2:$2,0)-MATCH("temp_stage",[1]stages!$2:$2,0)+1,FALSE)</f>
        <v>チャレンジタワー 5F</v>
      </c>
      <c r="H34" s="4" t="str">
        <f ca="1">VLOOKUP($C34&amp;"_"&amp;$F34,OFFSET([1]stages!$A$1,0,0,COUNTA([1]stages!$A:$A),MATCH(H$1,[1]stages!$2:$2,0)-MATCH("temp_stage",[1]stages!$2:$2,0)+1),MATCH(H$1,[1]stages!$2:$2,0)-MATCH("temp_stage",[1]stages!$2:$2,0)+1,FALSE)</f>
        <v>試練の塔</v>
      </c>
      <c r="I34" s="19">
        <v>0</v>
      </c>
      <c r="J34">
        <v>5</v>
      </c>
      <c r="K34" s="6" t="s">
        <v>33</v>
      </c>
      <c r="L34" s="32" t="str">
        <f>VLOOKUP(J34,[2]stage_hints!$A:$C,3,FALSE)</f>
        <v>ユニット強化</v>
      </c>
      <c r="M34" s="33" t="str">
        <f>VLOOKUP(J34,[2]stage_hints!$A:$D,4,FALSE)</f>
        <v>「ユニット強化」でレベルアップすると_x000D_勝てない敵にも勝てるようになります</v>
      </c>
      <c r="N34" s="22" t="s">
        <v>39</v>
      </c>
      <c r="O34">
        <v>5</v>
      </c>
    </row>
    <row r="35" spans="1:15">
      <c r="A35" s="29" t="e">
        <f>C35&amp;"_"&amp;F35&amp;"_"&amp;#REF!</f>
        <v>#REF!</v>
      </c>
      <c r="B35" s="27" t="s">
        <v>32</v>
      </c>
      <c r="C35" s="5">
        <v>13001</v>
      </c>
      <c r="D35" s="4" t="str">
        <f ca="1">VLOOKUP($C35,OFFSET([1]quests!$A$1,0,0,COUNTA([1]quests!$A:$A),MATCH(D$1,[1]quests!$1:$1,0)-MATCH($C$1,[1]quests!$1:$1,0)+1),MATCH(D$1,[1]quests!$1:$1,0)-MATCH($C$1,[1]quests!$1:$1,0)+1,FALSE)</f>
        <v>チャレンジタワー(ソロ専用)</v>
      </c>
      <c r="E35" s="4" t="str">
        <f ca="1">VLOOKUP($C35,OFFSET([1]quests!$A$1,0,0,COUNTA([1]quests!$A:$A),MATCH(E$1,[1]quests!$1:$1,0)-MATCH($C$1,[1]quests!$1:$1,0)+1),MATCH(E$1,[1]quests!$1:$1,0)-MATCH($C$1,[1]quests!$1:$1,0)+1,FALSE)</f>
        <v>試練の塔</v>
      </c>
      <c r="F35" s="6">
        <v>5</v>
      </c>
      <c r="G35" s="4" t="str">
        <f ca="1">VLOOKUP($C35&amp;"_"&amp;$F35,OFFSET([1]stages!$A$1,0,0,COUNTA([1]stages!$A:$A),MATCH(G$1,[1]stages!$2:$2,0)-MATCH("temp_stage",[1]stages!$2:$2,0)+1),MATCH(G$1,[1]stages!$2:$2,0)-MATCH("temp_stage",[1]stages!$2:$2,0)+1,FALSE)</f>
        <v>チャレンジタワー 5F</v>
      </c>
      <c r="H35" s="4" t="str">
        <f ca="1">VLOOKUP($C35&amp;"_"&amp;$F35,OFFSET([1]stages!$A$1,0,0,COUNTA([1]stages!$A:$A),MATCH(H$1,[1]stages!$2:$2,0)-MATCH("temp_stage",[1]stages!$2:$2,0)+1),MATCH(H$1,[1]stages!$2:$2,0)-MATCH("temp_stage",[1]stages!$2:$2,0)+1,FALSE)</f>
        <v>試練の塔</v>
      </c>
      <c r="I35" s="19">
        <v>0</v>
      </c>
      <c r="J35">
        <v>6</v>
      </c>
      <c r="K35" s="6" t="s">
        <v>33</v>
      </c>
      <c r="L35" s="32" t="str">
        <f>VLOOKUP(J35,[2]stage_hints!$A:$C,3,FALSE)</f>
        <v>強化の属性ボーナス</v>
      </c>
      <c r="M35" s="33" t="str">
        <f>VLOOKUP(J35,[2]stage_hints!$A:$D,4,FALSE)</f>
        <v>同属性ユニットを強化素材にすると_x000D_経験値が多くもらえます</v>
      </c>
      <c r="N35" s="22" t="s">
        <v>34</v>
      </c>
      <c r="O35">
        <v>6</v>
      </c>
    </row>
    <row r="36" spans="1:15">
      <c r="A36" s="29" t="e">
        <f>C36&amp;"_"&amp;F36&amp;"_"&amp;#REF!</f>
        <v>#REF!</v>
      </c>
      <c r="B36" s="27" t="s">
        <v>32</v>
      </c>
      <c r="C36" s="5">
        <v>13001</v>
      </c>
      <c r="D36" s="4" t="str">
        <f ca="1">VLOOKUP($C36,OFFSET([1]quests!$A$1,0,0,COUNTA([1]quests!$A:$A),MATCH(D$1,[1]quests!$1:$1,0)-MATCH($C$1,[1]quests!$1:$1,0)+1),MATCH(D$1,[1]quests!$1:$1,0)-MATCH($C$1,[1]quests!$1:$1,0)+1,FALSE)</f>
        <v>チャレンジタワー(ソロ専用)</v>
      </c>
      <c r="E36" s="4" t="str">
        <f ca="1">VLOOKUP($C36,OFFSET([1]quests!$A$1,0,0,COUNTA([1]quests!$A:$A),MATCH(E$1,[1]quests!$1:$1,0)-MATCH($C$1,[1]quests!$1:$1,0)+1),MATCH(E$1,[1]quests!$1:$1,0)-MATCH($C$1,[1]quests!$1:$1,0)+1,FALSE)</f>
        <v>試練の塔</v>
      </c>
      <c r="F36" s="6">
        <v>5</v>
      </c>
      <c r="G36" s="4" t="str">
        <f ca="1">VLOOKUP($C36&amp;"_"&amp;$F36,OFFSET([1]stages!$A$1,0,0,COUNTA([1]stages!$A:$A),MATCH(G$1,[1]stages!$2:$2,0)-MATCH("temp_stage",[1]stages!$2:$2,0)+1),MATCH(G$1,[1]stages!$2:$2,0)-MATCH("temp_stage",[1]stages!$2:$2,0)+1,FALSE)</f>
        <v>チャレンジタワー 5F</v>
      </c>
      <c r="H36" s="4" t="str">
        <f ca="1">VLOOKUP($C36&amp;"_"&amp;$F36,OFFSET([1]stages!$A$1,0,0,COUNTA([1]stages!$A:$A),MATCH(H$1,[1]stages!$2:$2,0)-MATCH("temp_stage",[1]stages!$2:$2,0)+1),MATCH(H$1,[1]stages!$2:$2,0)-MATCH("temp_stage",[1]stages!$2:$2,0)+1,FALSE)</f>
        <v>試練の塔</v>
      </c>
      <c r="I36" s="19">
        <v>0</v>
      </c>
      <c r="J36">
        <v>7</v>
      </c>
      <c r="K36" s="6" t="s">
        <v>33</v>
      </c>
      <c r="L36" s="32" t="str">
        <f>VLOOKUP(J36,[2]stage_hints!$A:$C,3,FALSE)</f>
        <v>メタルダックをつかって強化しよう！</v>
      </c>
      <c r="M36" s="33" t="str">
        <f>VLOOKUP(J36,[2]stage_hints!$A:$D,4,FALSE)</f>
        <v>「メタルなアヒル」を強化素材にすると_x000D_大量の経験値がもらえます</v>
      </c>
      <c r="N36" s="22" t="s">
        <v>41</v>
      </c>
      <c r="O36">
        <v>7</v>
      </c>
    </row>
    <row r="37" spans="1:15">
      <c r="A37" s="29" t="e">
        <f>C37&amp;"_"&amp;F37&amp;"_"&amp;#REF!</f>
        <v>#REF!</v>
      </c>
      <c r="B37" s="27" t="s">
        <v>32</v>
      </c>
      <c r="C37" s="5">
        <v>13001</v>
      </c>
      <c r="D37" s="4" t="str">
        <f ca="1">VLOOKUP($C37,OFFSET([1]quests!$A$1,0,0,COUNTA([1]quests!$A:$A),MATCH(D$1,[1]quests!$1:$1,0)-MATCH($C$1,[1]quests!$1:$1,0)+1),MATCH(D$1,[1]quests!$1:$1,0)-MATCH($C$1,[1]quests!$1:$1,0)+1,FALSE)</f>
        <v>チャレンジタワー(ソロ専用)</v>
      </c>
      <c r="E37" s="4" t="str">
        <f ca="1">VLOOKUP($C37,OFFSET([1]quests!$A$1,0,0,COUNTA([1]quests!$A:$A),MATCH(E$1,[1]quests!$1:$1,0)-MATCH($C$1,[1]quests!$1:$1,0)+1),MATCH(E$1,[1]quests!$1:$1,0)-MATCH($C$1,[1]quests!$1:$1,0)+1,FALSE)</f>
        <v>試練の塔</v>
      </c>
      <c r="F37" s="6">
        <v>5</v>
      </c>
      <c r="G37" s="4" t="str">
        <f ca="1">VLOOKUP($C37&amp;"_"&amp;$F37,OFFSET([1]stages!$A$1,0,0,COUNTA([1]stages!$A:$A),MATCH(G$1,[1]stages!$2:$2,0)-MATCH("temp_stage",[1]stages!$2:$2,0)+1),MATCH(G$1,[1]stages!$2:$2,0)-MATCH("temp_stage",[1]stages!$2:$2,0)+1,FALSE)</f>
        <v>チャレンジタワー 5F</v>
      </c>
      <c r="H37" s="4" t="str">
        <f ca="1">VLOOKUP($C37&amp;"_"&amp;$F37,OFFSET([1]stages!$A$1,0,0,COUNTA([1]stages!$A:$A),MATCH(H$1,[1]stages!$2:$2,0)-MATCH("temp_stage",[1]stages!$2:$2,0)+1),MATCH(H$1,[1]stages!$2:$2,0)-MATCH("temp_stage",[1]stages!$2:$2,0)+1,FALSE)</f>
        <v>試練の塔</v>
      </c>
      <c r="I37" s="19">
        <v>0</v>
      </c>
      <c r="J37">
        <v>8</v>
      </c>
      <c r="K37" s="6" t="s">
        <v>33</v>
      </c>
      <c r="L37" s="32" t="str">
        <f>VLOOKUP(J37,[2]stage_hints!$A:$C,3,FALSE)</f>
        <v>ゲリラを見逃すな！</v>
      </c>
      <c r="M37" s="33" t="str">
        <f>VLOOKUP(J37,[2]stage_hints!$A:$D,4,FALSE)</f>
        <v>時間限定の「【緊急!!】アヒル捕獲作戦」では_x000D_経験値素材ユニットが多く手に入ります</v>
      </c>
      <c r="N37" s="22" t="s">
        <v>39</v>
      </c>
      <c r="O37">
        <v>8</v>
      </c>
    </row>
    <row r="38" spans="1:15">
      <c r="A38" s="29" t="e">
        <f>C38&amp;"_"&amp;F38&amp;"_"&amp;#REF!</f>
        <v>#REF!</v>
      </c>
      <c r="B38" s="27" t="s">
        <v>32</v>
      </c>
      <c r="C38" s="5">
        <v>13001</v>
      </c>
      <c r="D38" s="4" t="str">
        <f ca="1">VLOOKUP($C38,OFFSET([1]quests!$A$1,0,0,COUNTA([1]quests!$A:$A),MATCH(D$1,[1]quests!$1:$1,0)-MATCH($C$1,[1]quests!$1:$1,0)+1),MATCH(D$1,[1]quests!$1:$1,0)-MATCH($C$1,[1]quests!$1:$1,0)+1,FALSE)</f>
        <v>チャレンジタワー(ソロ専用)</v>
      </c>
      <c r="E38" s="4" t="str">
        <f ca="1">VLOOKUP($C38,OFFSET([1]quests!$A$1,0,0,COUNTA([1]quests!$A:$A),MATCH(E$1,[1]quests!$1:$1,0)-MATCH($C$1,[1]quests!$1:$1,0)+1),MATCH(E$1,[1]quests!$1:$1,0)-MATCH($C$1,[1]quests!$1:$1,0)+1,FALSE)</f>
        <v>試練の塔</v>
      </c>
      <c r="F38" s="6">
        <v>5</v>
      </c>
      <c r="G38" s="4" t="str">
        <f ca="1">VLOOKUP($C38&amp;"_"&amp;$F38,OFFSET([1]stages!$A$1,0,0,COUNTA([1]stages!$A:$A),MATCH(G$1,[1]stages!$2:$2,0)-MATCH("temp_stage",[1]stages!$2:$2,0)+1),MATCH(G$1,[1]stages!$2:$2,0)-MATCH("temp_stage",[1]stages!$2:$2,0)+1,FALSE)</f>
        <v>チャレンジタワー 5F</v>
      </c>
      <c r="H38" s="4" t="str">
        <f ca="1">VLOOKUP($C38&amp;"_"&amp;$F38,OFFSET([1]stages!$A$1,0,0,COUNTA([1]stages!$A:$A),MATCH(H$1,[1]stages!$2:$2,0)-MATCH("temp_stage",[1]stages!$2:$2,0)+1),MATCH(H$1,[1]stages!$2:$2,0)-MATCH("temp_stage",[1]stages!$2:$2,0)+1,FALSE)</f>
        <v>試練の塔</v>
      </c>
      <c r="I38" s="19">
        <v>0</v>
      </c>
      <c r="J38">
        <v>9</v>
      </c>
      <c r="K38" s="6" t="s">
        <v>64</v>
      </c>
      <c r="L38" s="32" t="str">
        <f>VLOOKUP(J38,[2]stage_hints!$A:$C,3,FALSE)</f>
        <v>ゴールドダックを売却すると大量ビット</v>
      </c>
      <c r="M38" s="33" t="str">
        <f>VLOOKUP(J38,[2]stage_hints!$A:$D,4,FALSE)</f>
        <v>「ゴールドなアヒル」を売却すると_x000D_大量のビットがもらえます</v>
      </c>
      <c r="N38" s="22" t="s">
        <v>65</v>
      </c>
      <c r="O38">
        <v>9</v>
      </c>
    </row>
    <row r="39" spans="1:15">
      <c r="A39" s="29" t="e">
        <f>C39&amp;"_"&amp;F39&amp;"_"&amp;#REF!</f>
        <v>#REF!</v>
      </c>
      <c r="B39" s="27" t="s">
        <v>32</v>
      </c>
      <c r="C39" s="5">
        <v>13001</v>
      </c>
      <c r="D39" s="4" t="str">
        <f ca="1">VLOOKUP($C39,OFFSET([1]quests!$A$1,0,0,COUNTA([1]quests!$A:$A),MATCH(D$1,[1]quests!$1:$1,0)-MATCH($C$1,[1]quests!$1:$1,0)+1),MATCH(D$1,[1]quests!$1:$1,0)-MATCH($C$1,[1]quests!$1:$1,0)+1,FALSE)</f>
        <v>チャレンジタワー(ソロ専用)</v>
      </c>
      <c r="E39" s="4" t="str">
        <f ca="1">VLOOKUP($C39,OFFSET([1]quests!$A$1,0,0,COUNTA([1]quests!$A:$A),MATCH(E$1,[1]quests!$1:$1,0)-MATCH($C$1,[1]quests!$1:$1,0)+1),MATCH(E$1,[1]quests!$1:$1,0)-MATCH($C$1,[1]quests!$1:$1,0)+1,FALSE)</f>
        <v>試練の塔</v>
      </c>
      <c r="F39" s="6">
        <v>5</v>
      </c>
      <c r="G39" s="4" t="str">
        <f ca="1">VLOOKUP($C39&amp;"_"&amp;$F39,OFFSET([1]stages!$A$1,0,0,COUNTA([1]stages!$A:$A),MATCH(G$1,[1]stages!$2:$2,0)-MATCH("temp_stage",[1]stages!$2:$2,0)+1),MATCH(G$1,[1]stages!$2:$2,0)-MATCH("temp_stage",[1]stages!$2:$2,0)+1,FALSE)</f>
        <v>チャレンジタワー 5F</v>
      </c>
      <c r="H39" s="4" t="str">
        <f ca="1">VLOOKUP($C39&amp;"_"&amp;$F39,OFFSET([1]stages!$A$1,0,0,COUNTA([1]stages!$A:$A),MATCH(H$1,[1]stages!$2:$2,0)-MATCH("temp_stage",[1]stages!$2:$2,0)+1),MATCH(H$1,[1]stages!$2:$2,0)-MATCH("temp_stage",[1]stages!$2:$2,0)+1,FALSE)</f>
        <v>試練の塔</v>
      </c>
      <c r="I39" s="19">
        <v>0</v>
      </c>
      <c r="J39">
        <v>10</v>
      </c>
      <c r="K39" s="6" t="s">
        <v>33</v>
      </c>
      <c r="L39" s="32" t="str">
        <f>VLOOKUP(J39,[2]stage_hints!$A:$C,3,FALSE)</f>
        <v>土日クエストで大量ビットをGET！！</v>
      </c>
      <c r="M39" s="33" t="str">
        <f>VLOOKUP(J39,[2]stage_hints!$A:$D,4,FALSE)</f>
        <v>土日限定の「ゴールドカジノ」では_x000D_売却素材ユニットが多く手に入ります</v>
      </c>
      <c r="N39" s="22" t="s">
        <v>34</v>
      </c>
      <c r="O39">
        <v>10</v>
      </c>
    </row>
    <row r="40" spans="1:15">
      <c r="A40" s="29" t="e">
        <f>C40&amp;"_"&amp;F40&amp;"_"&amp;#REF!</f>
        <v>#REF!</v>
      </c>
      <c r="B40" s="27" t="s">
        <v>32</v>
      </c>
      <c r="C40" s="5">
        <v>13001</v>
      </c>
      <c r="D40" s="4" t="str">
        <f ca="1">VLOOKUP($C40,OFFSET([1]quests!$A$1,0,0,COUNTA([1]quests!$A:$A),MATCH(D$1,[1]quests!$1:$1,0)-MATCH($C$1,[1]quests!$1:$1,0)+1),MATCH(D$1,[1]quests!$1:$1,0)-MATCH($C$1,[1]quests!$1:$1,0)+1,FALSE)</f>
        <v>チャレンジタワー(ソロ専用)</v>
      </c>
      <c r="E40" s="4" t="str">
        <f ca="1">VLOOKUP($C40,OFFSET([1]quests!$A$1,0,0,COUNTA([1]quests!$A:$A),MATCH(E$1,[1]quests!$1:$1,0)-MATCH($C$1,[1]quests!$1:$1,0)+1),MATCH(E$1,[1]quests!$1:$1,0)-MATCH($C$1,[1]quests!$1:$1,0)+1,FALSE)</f>
        <v>試練の塔</v>
      </c>
      <c r="F40" s="6">
        <v>5</v>
      </c>
      <c r="G40" s="4" t="str">
        <f ca="1">VLOOKUP($C40&amp;"_"&amp;$F40,OFFSET([1]stages!$A$1,0,0,COUNTA([1]stages!$A:$A),MATCH(G$1,[1]stages!$2:$2,0)-MATCH("temp_stage",[1]stages!$2:$2,0)+1),MATCH(G$1,[1]stages!$2:$2,0)-MATCH("temp_stage",[1]stages!$2:$2,0)+1,FALSE)</f>
        <v>チャレンジタワー 5F</v>
      </c>
      <c r="H40" s="4" t="str">
        <f ca="1">VLOOKUP($C40&amp;"_"&amp;$F40,OFFSET([1]stages!$A$1,0,0,COUNTA([1]stages!$A:$A),MATCH(H$1,[1]stages!$2:$2,0)-MATCH("temp_stage",[1]stages!$2:$2,0)+1),MATCH(H$1,[1]stages!$2:$2,0)-MATCH("temp_stage",[1]stages!$2:$2,0)+1,FALSE)</f>
        <v>試練の塔</v>
      </c>
      <c r="I40" s="19">
        <v>0</v>
      </c>
      <c r="J40">
        <v>11</v>
      </c>
      <c r="K40" s="6" t="s">
        <v>33</v>
      </c>
      <c r="L40" s="32" t="str">
        <f>VLOOKUP(J40,[2]stage_hints!$A:$C,3,FALSE)</f>
        <v>ランク開放クエスト</v>
      </c>
      <c r="M40" s="33" t="str">
        <f>VLOOKUP(J40,[2]stage_hints!$A:$D,4,FALSE)</f>
        <v>一定ランクに到達すると_x000D_報酬付きのランク開放クエストが現れます</v>
      </c>
      <c r="N40" s="22" t="s">
        <v>34</v>
      </c>
      <c r="O40">
        <v>11</v>
      </c>
    </row>
    <row r="41" spans="1:15">
      <c r="A41" s="29" t="e">
        <f>C41&amp;"_"&amp;F41&amp;"_"&amp;#REF!</f>
        <v>#REF!</v>
      </c>
      <c r="B41" s="27" t="s">
        <v>32</v>
      </c>
      <c r="C41" s="5">
        <v>13001</v>
      </c>
      <c r="D41" s="4" t="str">
        <f ca="1">VLOOKUP($C41,OFFSET([1]quests!$A$1,0,0,COUNTA([1]quests!$A:$A),MATCH(D$1,[1]quests!$1:$1,0)-MATCH($C$1,[1]quests!$1:$1,0)+1),MATCH(D$1,[1]quests!$1:$1,0)-MATCH($C$1,[1]quests!$1:$1,0)+1,FALSE)</f>
        <v>チャレンジタワー(ソロ専用)</v>
      </c>
      <c r="E41" s="4" t="str">
        <f ca="1">VLOOKUP($C41,OFFSET([1]quests!$A$1,0,0,COUNTA([1]quests!$A:$A),MATCH(E$1,[1]quests!$1:$1,0)-MATCH($C$1,[1]quests!$1:$1,0)+1),MATCH(E$1,[1]quests!$1:$1,0)-MATCH($C$1,[1]quests!$1:$1,0)+1,FALSE)</f>
        <v>試練の塔</v>
      </c>
      <c r="F41" s="6">
        <v>5</v>
      </c>
      <c r="G41" s="4" t="str">
        <f ca="1">VLOOKUP($C41&amp;"_"&amp;$F41,OFFSET([1]stages!$A$1,0,0,COUNTA([1]stages!$A:$A),MATCH(G$1,[1]stages!$2:$2,0)-MATCH("temp_stage",[1]stages!$2:$2,0)+1),MATCH(G$1,[1]stages!$2:$2,0)-MATCH("temp_stage",[1]stages!$2:$2,0)+1,FALSE)</f>
        <v>チャレンジタワー 5F</v>
      </c>
      <c r="H41" s="4" t="str">
        <f ca="1">VLOOKUP($C41&amp;"_"&amp;$F41,OFFSET([1]stages!$A$1,0,0,COUNTA([1]stages!$A:$A),MATCH(H$1,[1]stages!$2:$2,0)-MATCH("temp_stage",[1]stages!$2:$2,0)+1),MATCH(H$1,[1]stages!$2:$2,0)-MATCH("temp_stage",[1]stages!$2:$2,0)+1,FALSE)</f>
        <v>試練の塔</v>
      </c>
      <c r="I41" s="19">
        <v>0</v>
      </c>
      <c r="J41">
        <v>12</v>
      </c>
      <c r="K41" s="6" t="s">
        <v>33</v>
      </c>
      <c r="L41" s="32" t="str">
        <f>VLOOKUP(J41,[2]stage_hints!$A:$C,3,FALSE)</f>
        <v>お気に入り登録</v>
      </c>
      <c r="M41" s="33" t="str">
        <f>VLOOKUP(J41,[2]stage_hints!$A:$D,4,FALSE)</f>
        <v>大事なユニットは_x000D_フォルダから「お気に入り登録」しましょう</v>
      </c>
      <c r="N41" s="22" t="s">
        <v>39</v>
      </c>
      <c r="O41">
        <v>12</v>
      </c>
    </row>
    <row r="42" spans="1:15">
      <c r="A42" s="29" t="e">
        <f>C42&amp;"_"&amp;F42&amp;"_"&amp;#REF!</f>
        <v>#REF!</v>
      </c>
      <c r="B42" s="27" t="s">
        <v>32</v>
      </c>
      <c r="C42" s="5">
        <v>13001</v>
      </c>
      <c r="D42" s="4" t="str">
        <f ca="1">VLOOKUP($C42,OFFSET([1]quests!$A$1,0,0,COUNTA([1]quests!$A:$A),MATCH(D$1,[1]quests!$1:$1,0)-MATCH($C$1,[1]quests!$1:$1,0)+1),MATCH(D$1,[1]quests!$1:$1,0)-MATCH($C$1,[1]quests!$1:$1,0)+1,FALSE)</f>
        <v>チャレンジタワー(ソロ専用)</v>
      </c>
      <c r="E42" s="4" t="str">
        <f ca="1">VLOOKUP($C42,OFFSET([1]quests!$A$1,0,0,COUNTA([1]quests!$A:$A),MATCH(E$1,[1]quests!$1:$1,0)-MATCH($C$1,[1]quests!$1:$1,0)+1),MATCH(E$1,[1]quests!$1:$1,0)-MATCH($C$1,[1]quests!$1:$1,0)+1,FALSE)</f>
        <v>試練の塔</v>
      </c>
      <c r="F42" s="6">
        <v>5</v>
      </c>
      <c r="G42" s="4" t="str">
        <f ca="1">VLOOKUP($C42&amp;"_"&amp;$F42,OFFSET([1]stages!$A$1,0,0,COUNTA([1]stages!$A:$A),MATCH(G$1,[1]stages!$2:$2,0)-MATCH("temp_stage",[1]stages!$2:$2,0)+1),MATCH(G$1,[1]stages!$2:$2,0)-MATCH("temp_stage",[1]stages!$2:$2,0)+1,FALSE)</f>
        <v>チャレンジタワー 5F</v>
      </c>
      <c r="H42" s="4" t="str">
        <f ca="1">VLOOKUP($C42&amp;"_"&amp;$F42,OFFSET([1]stages!$A$1,0,0,COUNTA([1]stages!$A:$A),MATCH(H$1,[1]stages!$2:$2,0)-MATCH("temp_stage",[1]stages!$2:$2,0)+1),MATCH(H$1,[1]stages!$2:$2,0)-MATCH("temp_stage",[1]stages!$2:$2,0)+1,FALSE)</f>
        <v>試練の塔</v>
      </c>
      <c r="I42" s="19">
        <v>0</v>
      </c>
      <c r="J42">
        <v>13</v>
      </c>
      <c r="K42" s="6" t="s">
        <v>33</v>
      </c>
      <c r="L42" s="32" t="str">
        <f>VLOOKUP(J42,[2]stage_hints!$A:$C,3,FALSE)</f>
        <v>ユニットを覚醒させよう！</v>
      </c>
      <c r="M42" s="33" t="str">
        <f>VLOOKUP(J42,[2]stage_hints!$A:$D,4,FALSE)</f>
        <v>ユニットを覚醒させると_x000D_比べものにならない強さが手に入ります</v>
      </c>
      <c r="N42" s="22" t="s">
        <v>39</v>
      </c>
      <c r="O42">
        <v>13</v>
      </c>
    </row>
    <row r="43" spans="1:15">
      <c r="A43" s="29" t="e">
        <f>C43&amp;"_"&amp;F43&amp;"_"&amp;#REF!</f>
        <v>#REF!</v>
      </c>
      <c r="B43" s="27" t="s">
        <v>32</v>
      </c>
      <c r="C43" s="5">
        <v>13001</v>
      </c>
      <c r="D43" s="4" t="str">
        <f ca="1">VLOOKUP($C43,OFFSET([1]quests!$A$1,0,0,COUNTA([1]quests!$A:$A),MATCH(D$1,[1]quests!$1:$1,0)-MATCH($C$1,[1]quests!$1:$1,0)+1),MATCH(D$1,[1]quests!$1:$1,0)-MATCH($C$1,[1]quests!$1:$1,0)+1,FALSE)</f>
        <v>チャレンジタワー(ソロ専用)</v>
      </c>
      <c r="E43" s="4" t="str">
        <f ca="1">VLOOKUP($C43,OFFSET([1]quests!$A$1,0,0,COUNTA([1]quests!$A:$A),MATCH(E$1,[1]quests!$1:$1,0)-MATCH($C$1,[1]quests!$1:$1,0)+1),MATCH(E$1,[1]quests!$1:$1,0)-MATCH($C$1,[1]quests!$1:$1,0)+1,FALSE)</f>
        <v>試練の塔</v>
      </c>
      <c r="F43" s="6">
        <v>5</v>
      </c>
      <c r="G43" s="4" t="str">
        <f ca="1">VLOOKUP($C43&amp;"_"&amp;$F43,OFFSET([1]stages!$A$1,0,0,COUNTA([1]stages!$A:$A),MATCH(G$1,[1]stages!$2:$2,0)-MATCH("temp_stage",[1]stages!$2:$2,0)+1),MATCH(G$1,[1]stages!$2:$2,0)-MATCH("temp_stage",[1]stages!$2:$2,0)+1,FALSE)</f>
        <v>チャレンジタワー 5F</v>
      </c>
      <c r="H43" s="4" t="str">
        <f ca="1">VLOOKUP($C43&amp;"_"&amp;$F43,OFFSET([1]stages!$A$1,0,0,COUNTA([1]stages!$A:$A),MATCH(H$1,[1]stages!$2:$2,0)-MATCH("temp_stage",[1]stages!$2:$2,0)+1),MATCH(H$1,[1]stages!$2:$2,0)-MATCH("temp_stage",[1]stages!$2:$2,0)+1,FALSE)</f>
        <v>試練の塔</v>
      </c>
      <c r="I43" s="19">
        <v>0</v>
      </c>
      <c r="J43">
        <v>14</v>
      </c>
      <c r="K43" s="6" t="s">
        <v>33</v>
      </c>
      <c r="L43" s="32" t="str">
        <f>VLOOKUP(J43,[2]stage_hints!$A:$C,3,FALSE)</f>
        <v>覚醒するにはレベルをMAXに！</v>
      </c>
      <c r="M43" s="33" t="str">
        <f>VLOOKUP(J43,[2]stage_hints!$A:$D,4,FALSE)</f>
        <v>覚醒するにはユニットのレベルを_x000D_最大まで上げる必要があります</v>
      </c>
      <c r="N43" s="22" t="s">
        <v>34</v>
      </c>
      <c r="O43">
        <v>14</v>
      </c>
    </row>
    <row r="44" spans="1:15">
      <c r="A44" s="29" t="e">
        <f>C44&amp;"_"&amp;F44&amp;"_"&amp;#REF!</f>
        <v>#REF!</v>
      </c>
      <c r="B44" s="27" t="s">
        <v>32</v>
      </c>
      <c r="C44" s="5">
        <v>13001</v>
      </c>
      <c r="D44" s="4" t="str">
        <f ca="1">VLOOKUP($C44,OFFSET([1]quests!$A$1,0,0,COUNTA([1]quests!$A:$A),MATCH(D$1,[1]quests!$1:$1,0)-MATCH($C$1,[1]quests!$1:$1,0)+1),MATCH(D$1,[1]quests!$1:$1,0)-MATCH($C$1,[1]quests!$1:$1,0)+1,FALSE)</f>
        <v>チャレンジタワー(ソロ専用)</v>
      </c>
      <c r="E44" s="4" t="str">
        <f ca="1">VLOOKUP($C44,OFFSET([1]quests!$A$1,0,0,COUNTA([1]quests!$A:$A),MATCH(E$1,[1]quests!$1:$1,0)-MATCH($C$1,[1]quests!$1:$1,0)+1),MATCH(E$1,[1]quests!$1:$1,0)-MATCH($C$1,[1]quests!$1:$1,0)+1,FALSE)</f>
        <v>試練の塔</v>
      </c>
      <c r="F44" s="6">
        <v>5</v>
      </c>
      <c r="G44" s="4" t="str">
        <f ca="1">VLOOKUP($C44&amp;"_"&amp;$F44,OFFSET([1]stages!$A$1,0,0,COUNTA([1]stages!$A:$A),MATCH(G$1,[1]stages!$2:$2,0)-MATCH("temp_stage",[1]stages!$2:$2,0)+1),MATCH(G$1,[1]stages!$2:$2,0)-MATCH("temp_stage",[1]stages!$2:$2,0)+1,FALSE)</f>
        <v>チャレンジタワー 5F</v>
      </c>
      <c r="H44" s="4" t="str">
        <f ca="1">VLOOKUP($C44&amp;"_"&amp;$F44,OFFSET([1]stages!$A$1,0,0,COUNTA([1]stages!$A:$A),MATCH(H$1,[1]stages!$2:$2,0)-MATCH("temp_stage",[1]stages!$2:$2,0)+1),MATCH(H$1,[1]stages!$2:$2,0)-MATCH("temp_stage",[1]stages!$2:$2,0)+1,FALSE)</f>
        <v>試練の塔</v>
      </c>
      <c r="I44" s="19">
        <v>0</v>
      </c>
      <c r="J44">
        <v>15</v>
      </c>
      <c r="K44" s="6" t="s">
        <v>33</v>
      </c>
      <c r="L44" s="32" t="str">
        <f>VLOOKUP(J44,[2]stage_hints!$A:$C,3,FALSE)</f>
        <v>覚醒素材をGETしよう！</v>
      </c>
      <c r="M44" s="33" t="str">
        <f>VLOOKUP(J44,[2]stage_hints!$A:$D,4,FALSE)</f>
        <v>「曜日クエスト」では_x000D_覚醒に必要な覚醒素材が手に入ります</v>
      </c>
      <c r="N44" s="22" t="s">
        <v>34</v>
      </c>
      <c r="O44">
        <v>15</v>
      </c>
    </row>
    <row r="45" spans="1:15">
      <c r="A45" s="29" t="e">
        <f>C45&amp;"_"&amp;F45&amp;"_"&amp;#REF!</f>
        <v>#REF!</v>
      </c>
      <c r="B45" s="27" t="s">
        <v>32</v>
      </c>
      <c r="C45" s="5">
        <v>13001</v>
      </c>
      <c r="D45" s="4" t="str">
        <f ca="1">VLOOKUP($C45,OFFSET([1]quests!$A$1,0,0,COUNTA([1]quests!$A:$A),MATCH(D$1,[1]quests!$1:$1,0)-MATCH($C$1,[1]quests!$1:$1,0)+1),MATCH(D$1,[1]quests!$1:$1,0)-MATCH($C$1,[1]quests!$1:$1,0)+1,FALSE)</f>
        <v>チャレンジタワー(ソロ専用)</v>
      </c>
      <c r="E45" s="4" t="str">
        <f ca="1">VLOOKUP($C45,OFFSET([1]quests!$A$1,0,0,COUNTA([1]quests!$A:$A),MATCH(E$1,[1]quests!$1:$1,0)-MATCH($C$1,[1]quests!$1:$1,0)+1),MATCH(E$1,[1]quests!$1:$1,0)-MATCH($C$1,[1]quests!$1:$1,0)+1,FALSE)</f>
        <v>試練の塔</v>
      </c>
      <c r="F45" s="6">
        <v>5</v>
      </c>
      <c r="G45" s="4" t="str">
        <f ca="1">VLOOKUP($C45&amp;"_"&amp;$F45,OFFSET([1]stages!$A$1,0,0,COUNTA([1]stages!$A:$A),MATCH(G$1,[1]stages!$2:$2,0)-MATCH("temp_stage",[1]stages!$2:$2,0)+1),MATCH(G$1,[1]stages!$2:$2,0)-MATCH("temp_stage",[1]stages!$2:$2,0)+1,FALSE)</f>
        <v>チャレンジタワー 5F</v>
      </c>
      <c r="H45" s="4" t="str">
        <f ca="1">VLOOKUP($C45&amp;"_"&amp;$F45,OFFSET([1]stages!$A$1,0,0,COUNTA([1]stages!$A:$A),MATCH(H$1,[1]stages!$2:$2,0)-MATCH("temp_stage",[1]stages!$2:$2,0)+1),MATCH(H$1,[1]stages!$2:$2,0)-MATCH("temp_stage",[1]stages!$2:$2,0)+1,FALSE)</f>
        <v>試練の塔</v>
      </c>
      <c r="I45" s="19">
        <v>0</v>
      </c>
      <c r="J45">
        <v>16</v>
      </c>
      <c r="K45" s="6" t="s">
        <v>33</v>
      </c>
      <c r="L45" s="32" t="str">
        <f>VLOOKUP(J45,[2]stage_hints!$A:$C,3,FALSE)</f>
        <v>マルチプレイが熱い！　その1</v>
      </c>
      <c r="M45" s="33" t="str">
        <f>VLOOKUP(J45,[2]stage_hints!$A:$D,4,FALSE)</f>
        <v>マルチプレイをすると_x000D_初顔合わせボーナスで_x000D_100人までポリゴンがもらえます</v>
      </c>
      <c r="N45" s="22" t="s">
        <v>39</v>
      </c>
      <c r="O45">
        <v>16</v>
      </c>
    </row>
    <row r="46" spans="1:15">
      <c r="A46" s="29" t="e">
        <f>C46&amp;"_"&amp;F46&amp;"_"&amp;#REF!</f>
        <v>#REF!</v>
      </c>
      <c r="B46" s="27" t="s">
        <v>32</v>
      </c>
      <c r="C46" s="5">
        <v>13001</v>
      </c>
      <c r="D46" s="4" t="str">
        <f ca="1">VLOOKUP($C46,OFFSET([1]quests!$A$1,0,0,COUNTA([1]quests!$A:$A),MATCH(D$1,[1]quests!$1:$1,0)-MATCH($C$1,[1]quests!$1:$1,0)+1),MATCH(D$1,[1]quests!$1:$1,0)-MATCH($C$1,[1]quests!$1:$1,0)+1,FALSE)</f>
        <v>チャレンジタワー(ソロ専用)</v>
      </c>
      <c r="E46" s="4" t="str">
        <f ca="1">VLOOKUP($C46,OFFSET([1]quests!$A$1,0,0,COUNTA([1]quests!$A:$A),MATCH(E$1,[1]quests!$1:$1,0)-MATCH($C$1,[1]quests!$1:$1,0)+1),MATCH(E$1,[1]quests!$1:$1,0)-MATCH($C$1,[1]quests!$1:$1,0)+1,FALSE)</f>
        <v>試練の塔</v>
      </c>
      <c r="F46" s="6">
        <v>5</v>
      </c>
      <c r="G46" s="4" t="str">
        <f ca="1">VLOOKUP($C46&amp;"_"&amp;$F46,OFFSET([1]stages!$A$1,0,0,COUNTA([1]stages!$A:$A),MATCH(G$1,[1]stages!$2:$2,0)-MATCH("temp_stage",[1]stages!$2:$2,0)+1),MATCH(G$1,[1]stages!$2:$2,0)-MATCH("temp_stage",[1]stages!$2:$2,0)+1,FALSE)</f>
        <v>チャレンジタワー 5F</v>
      </c>
      <c r="H46" s="4" t="str">
        <f ca="1">VLOOKUP($C46&amp;"_"&amp;$F46,OFFSET([1]stages!$A$1,0,0,COUNTA([1]stages!$A:$A),MATCH(H$1,[1]stages!$2:$2,0)-MATCH("temp_stage",[1]stages!$2:$2,0)+1),MATCH(H$1,[1]stages!$2:$2,0)-MATCH("temp_stage",[1]stages!$2:$2,0)+1,FALSE)</f>
        <v>試練の塔</v>
      </c>
      <c r="I46" s="19">
        <v>0</v>
      </c>
      <c r="J46">
        <v>17</v>
      </c>
      <c r="K46" s="6" t="s">
        <v>60</v>
      </c>
      <c r="L46" s="32" t="str">
        <f>VLOOKUP(J46,[2]stage_hints!$A:$C,3,FALSE)</f>
        <v>リンクガチャを引いてみよう</v>
      </c>
      <c r="M46" s="33" t="str">
        <f>VLOOKUP(J46,[2]stage_hints!$A:$D,4,FALSE)</f>
        <v>リンクガチャを回して_x000D_メタルダックやゴールドダックを獲得しましょう</v>
      </c>
      <c r="N46" s="22" t="s">
        <v>63</v>
      </c>
      <c r="O46">
        <v>17</v>
      </c>
    </row>
    <row r="47" spans="1:15">
      <c r="A47" s="29" t="e">
        <f>C47&amp;"_"&amp;F47&amp;"_"&amp;#REF!</f>
        <v>#REF!</v>
      </c>
      <c r="B47" s="27" t="s">
        <v>32</v>
      </c>
      <c r="C47" s="5">
        <v>13001</v>
      </c>
      <c r="D47" s="4" t="str">
        <f ca="1">VLOOKUP($C47,OFFSET([1]quests!$A$1,0,0,COUNTA([1]quests!$A:$A),MATCH(D$1,[1]quests!$1:$1,0)-MATCH($C$1,[1]quests!$1:$1,0)+1),MATCH(D$1,[1]quests!$1:$1,0)-MATCH($C$1,[1]quests!$1:$1,0)+1,FALSE)</f>
        <v>チャレンジタワー(ソロ専用)</v>
      </c>
      <c r="E47" s="4" t="str">
        <f ca="1">VLOOKUP($C47,OFFSET([1]quests!$A$1,0,0,COUNTA([1]quests!$A:$A),MATCH(E$1,[1]quests!$1:$1,0)-MATCH($C$1,[1]quests!$1:$1,0)+1),MATCH(E$1,[1]quests!$1:$1,0)-MATCH($C$1,[1]quests!$1:$1,0)+1,FALSE)</f>
        <v>試練の塔</v>
      </c>
      <c r="F47" s="6">
        <v>5</v>
      </c>
      <c r="G47" s="4" t="str">
        <f ca="1">VLOOKUP($C47&amp;"_"&amp;$F47,OFFSET([1]stages!$A$1,0,0,COUNTA([1]stages!$A:$A),MATCH(G$1,[1]stages!$2:$2,0)-MATCH("temp_stage",[1]stages!$2:$2,0)+1),MATCH(G$1,[1]stages!$2:$2,0)-MATCH("temp_stage",[1]stages!$2:$2,0)+1,FALSE)</f>
        <v>チャレンジタワー 5F</v>
      </c>
      <c r="H47" s="4" t="str">
        <f ca="1">VLOOKUP($C47&amp;"_"&amp;$F47,OFFSET([1]stages!$A$1,0,0,COUNTA([1]stages!$A:$A),MATCH(H$1,[1]stages!$2:$2,0)-MATCH("temp_stage",[1]stages!$2:$2,0)+1),MATCH(H$1,[1]stages!$2:$2,0)-MATCH("temp_stage",[1]stages!$2:$2,0)+1,FALSE)</f>
        <v>試練の塔</v>
      </c>
      <c r="I47" s="19">
        <v>0</v>
      </c>
      <c r="J47">
        <v>18</v>
      </c>
      <c r="K47" s="6" t="s">
        <v>33</v>
      </c>
      <c r="L47" s="32" t="str">
        <f>VLOOKUP(J47,[2]stage_hints!$A:$C,3,FALSE)</f>
        <v>マルチプレイが熱い！　その2</v>
      </c>
      <c r="M47" s="33" t="str">
        <f>VLOOKUP(J47,[2]stage_hints!$A:$D,4,FALSE)</f>
        <v>マルチプレイなら_x000D_2倍のリンクがもらえます</v>
      </c>
      <c r="N47" s="22" t="s">
        <v>39</v>
      </c>
      <c r="O47">
        <v>18</v>
      </c>
    </row>
    <row r="48" spans="1:15">
      <c r="A48" s="29" t="e">
        <f>C48&amp;"_"&amp;F48&amp;"_"&amp;#REF!</f>
        <v>#REF!</v>
      </c>
      <c r="B48" s="27" t="s">
        <v>32</v>
      </c>
      <c r="C48" s="5">
        <v>13001</v>
      </c>
      <c r="D48" s="4" t="str">
        <f ca="1">VLOOKUP($C48,OFFSET([1]quests!$A$1,0,0,COUNTA([1]quests!$A:$A),MATCH(D$1,[1]quests!$1:$1,0)-MATCH($C$1,[1]quests!$1:$1,0)+1),MATCH(D$1,[1]quests!$1:$1,0)-MATCH($C$1,[1]quests!$1:$1,0)+1,FALSE)</f>
        <v>チャレンジタワー(ソロ専用)</v>
      </c>
      <c r="E48" s="4" t="str">
        <f ca="1">VLOOKUP($C48,OFFSET([1]quests!$A$1,0,0,COUNTA([1]quests!$A:$A),MATCH(E$1,[1]quests!$1:$1,0)-MATCH($C$1,[1]quests!$1:$1,0)+1),MATCH(E$1,[1]quests!$1:$1,0)-MATCH($C$1,[1]quests!$1:$1,0)+1,FALSE)</f>
        <v>試練の塔</v>
      </c>
      <c r="F48" s="6">
        <v>5</v>
      </c>
      <c r="G48" s="4" t="str">
        <f ca="1">VLOOKUP($C48&amp;"_"&amp;$F48,OFFSET([1]stages!$A$1,0,0,COUNTA([1]stages!$A:$A),MATCH(G$1,[1]stages!$2:$2,0)-MATCH("temp_stage",[1]stages!$2:$2,0)+1),MATCH(G$1,[1]stages!$2:$2,0)-MATCH("temp_stage",[1]stages!$2:$2,0)+1,FALSE)</f>
        <v>チャレンジタワー 5F</v>
      </c>
      <c r="H48" s="4" t="str">
        <f ca="1">VLOOKUP($C48&amp;"_"&amp;$F48,OFFSET([1]stages!$A$1,0,0,COUNTA([1]stages!$A:$A),MATCH(H$1,[1]stages!$2:$2,0)-MATCH("temp_stage",[1]stages!$2:$2,0)+1),MATCH(H$1,[1]stages!$2:$2,0)-MATCH("temp_stage",[1]stages!$2:$2,0)+1,FALSE)</f>
        <v>試練の塔</v>
      </c>
      <c r="I48" s="19">
        <v>0</v>
      </c>
      <c r="J48">
        <v>19</v>
      </c>
      <c r="K48" s="6" t="s">
        <v>33</v>
      </c>
      <c r="L48" s="32" t="str">
        <f>VLOOKUP(J48,[2]stage_hints!$A:$C,3,FALSE)</f>
        <v>チャレンジタワー</v>
      </c>
      <c r="M48" s="33" t="str">
        <f>VLOOKUP(J48,[2]stage_hints!$A:$D,4,FALSE)</f>
        <v>「チャレンジタワー」をクリアすると_x000D_各フロアごとに報酬がもらえます</v>
      </c>
      <c r="N48" s="22" t="s">
        <v>54</v>
      </c>
      <c r="O48">
        <v>19</v>
      </c>
    </row>
    <row r="49" spans="1:15">
      <c r="A49" s="29" t="e">
        <f>C49&amp;"_"&amp;F49&amp;"_"&amp;#REF!</f>
        <v>#REF!</v>
      </c>
      <c r="B49" s="27" t="s">
        <v>32</v>
      </c>
      <c r="C49" s="5">
        <v>13001</v>
      </c>
      <c r="D49" s="4" t="str">
        <f ca="1">VLOOKUP($C49,OFFSET([1]quests!$A$1,0,0,COUNTA([1]quests!$A:$A),MATCH(D$1,[1]quests!$1:$1,0)-MATCH($C$1,[1]quests!$1:$1,0)+1),MATCH(D$1,[1]quests!$1:$1,0)-MATCH($C$1,[1]quests!$1:$1,0)+1,FALSE)</f>
        <v>チャレンジタワー(ソロ専用)</v>
      </c>
      <c r="E49" s="4" t="str">
        <f ca="1">VLOOKUP($C49,OFFSET([1]quests!$A$1,0,0,COUNTA([1]quests!$A:$A),MATCH(E$1,[1]quests!$1:$1,0)-MATCH($C$1,[1]quests!$1:$1,0)+1),MATCH(E$1,[1]quests!$1:$1,0)-MATCH($C$1,[1]quests!$1:$1,0)+1,FALSE)</f>
        <v>試練の塔</v>
      </c>
      <c r="F49" s="6">
        <v>5</v>
      </c>
      <c r="G49" s="4" t="str">
        <f ca="1">VLOOKUP($C49&amp;"_"&amp;$F49,OFFSET([1]stages!$A$1,0,0,COUNTA([1]stages!$A:$A),MATCH(G$1,[1]stages!$2:$2,0)-MATCH("temp_stage",[1]stages!$2:$2,0)+1),MATCH(G$1,[1]stages!$2:$2,0)-MATCH("temp_stage",[1]stages!$2:$2,0)+1,FALSE)</f>
        <v>チャレンジタワー 5F</v>
      </c>
      <c r="H49" s="4" t="str">
        <f ca="1">VLOOKUP($C49&amp;"_"&amp;$F49,OFFSET([1]stages!$A$1,0,0,COUNTA([1]stages!$A:$A),MATCH(H$1,[1]stages!$2:$2,0)-MATCH("temp_stage",[1]stages!$2:$2,0)+1),MATCH(H$1,[1]stages!$2:$2,0)-MATCH("temp_stage",[1]stages!$2:$2,0)+1,FALSE)</f>
        <v>試練の塔</v>
      </c>
      <c r="I49" s="19">
        <v>0</v>
      </c>
      <c r="J49">
        <v>20</v>
      </c>
      <c r="K49" s="6" t="s">
        <v>33</v>
      </c>
      <c r="L49" s="32" t="str">
        <f>VLOOKUP(J49,[2]stage_hints!$A:$C,3,FALSE)</f>
        <v>マルチプレイが熱い！　その3</v>
      </c>
      <c r="M49" s="33" t="str">
        <f>VLOOKUP(J49,[2]stage_hints!$A:$D,4,FALSE)</f>
        <v>マルチプレイへの参加は_x000D_エナジー消費がありません</v>
      </c>
      <c r="N49" s="22" t="s">
        <v>54</v>
      </c>
      <c r="O49">
        <v>20</v>
      </c>
    </row>
    <row r="50" spans="1:15">
      <c r="A50" s="29" t="e">
        <f>C50&amp;"_"&amp;F50&amp;"_"&amp;#REF!</f>
        <v>#REF!</v>
      </c>
      <c r="B50" s="27" t="s">
        <v>32</v>
      </c>
      <c r="C50" s="5">
        <v>13001</v>
      </c>
      <c r="D50" s="4" t="str">
        <f ca="1">VLOOKUP($C50,OFFSET([1]quests!$A$1,0,0,COUNTA([1]quests!$A:$A),MATCH(D$1,[1]quests!$1:$1,0)-MATCH($C$1,[1]quests!$1:$1,0)+1),MATCH(D$1,[1]quests!$1:$1,0)-MATCH($C$1,[1]quests!$1:$1,0)+1,FALSE)</f>
        <v>チャレンジタワー(ソロ専用)</v>
      </c>
      <c r="E50" s="4" t="str">
        <f ca="1">VLOOKUP($C50,OFFSET([1]quests!$A$1,0,0,COUNTA([1]quests!$A:$A),MATCH(E$1,[1]quests!$1:$1,0)-MATCH($C$1,[1]quests!$1:$1,0)+1),MATCH(E$1,[1]quests!$1:$1,0)-MATCH($C$1,[1]quests!$1:$1,0)+1,FALSE)</f>
        <v>試練の塔</v>
      </c>
      <c r="F50" s="6">
        <v>6</v>
      </c>
      <c r="G50" s="4" t="str">
        <f ca="1">VLOOKUP($C50&amp;"_"&amp;$F50,OFFSET([1]stages!$A$1,0,0,COUNTA([1]stages!$A:$A),MATCH(G$1,[1]stages!$2:$2,0)-MATCH("temp_stage",[1]stages!$2:$2,0)+1),MATCH(G$1,[1]stages!$2:$2,0)-MATCH("temp_stage",[1]stages!$2:$2,0)+1,FALSE)</f>
        <v>チャレンジタワー 6F</v>
      </c>
      <c r="H50" s="4" t="str">
        <f ca="1">VLOOKUP($C50&amp;"_"&amp;$F50,OFFSET([1]stages!$A$1,0,0,COUNTA([1]stages!$A:$A),MATCH(H$1,[1]stages!$2:$2,0)-MATCH("temp_stage",[1]stages!$2:$2,0)+1),MATCH(H$1,[1]stages!$2:$2,0)-MATCH("temp_stage",[1]stages!$2:$2,0)+1,FALSE)</f>
        <v>試練の塔</v>
      </c>
      <c r="I50" s="19">
        <v>0</v>
      </c>
      <c r="J50">
        <v>3</v>
      </c>
      <c r="K50" s="6" t="s">
        <v>33</v>
      </c>
      <c r="L50" s="32" t="str">
        <f>VLOOKUP(J50,[2]stage_hints!$A:$C,3,FALSE)</f>
        <v>ターゲット</v>
      </c>
      <c r="M50" s="33" t="str">
        <f>VLOOKUP(J50,[2]stage_hints!$A:$D,4,FALSE)</f>
        <v>敵ユニットをタップすると_x000D_その敵を狙い撃ちできます</v>
      </c>
      <c r="N50" s="22" t="s">
        <v>57</v>
      </c>
      <c r="O50">
        <v>3</v>
      </c>
    </row>
    <row r="51" spans="1:15">
      <c r="A51" s="29" t="e">
        <f>C51&amp;"_"&amp;F51&amp;"_"&amp;#REF!</f>
        <v>#REF!</v>
      </c>
      <c r="B51" s="27" t="s">
        <v>32</v>
      </c>
      <c r="C51" s="5">
        <v>13001</v>
      </c>
      <c r="D51" s="4" t="str">
        <f ca="1">VLOOKUP($C51,OFFSET([1]quests!$A$1,0,0,COUNTA([1]quests!$A:$A),MATCH(D$1,[1]quests!$1:$1,0)-MATCH($C$1,[1]quests!$1:$1,0)+1),MATCH(D$1,[1]quests!$1:$1,0)-MATCH($C$1,[1]quests!$1:$1,0)+1,FALSE)</f>
        <v>チャレンジタワー(ソロ専用)</v>
      </c>
      <c r="E51" s="4" t="str">
        <f ca="1">VLOOKUP($C51,OFFSET([1]quests!$A$1,0,0,COUNTA([1]quests!$A:$A),MATCH(E$1,[1]quests!$1:$1,0)-MATCH($C$1,[1]quests!$1:$1,0)+1),MATCH(E$1,[1]quests!$1:$1,0)-MATCH($C$1,[1]quests!$1:$1,0)+1,FALSE)</f>
        <v>試練の塔</v>
      </c>
      <c r="F51" s="6">
        <v>6</v>
      </c>
      <c r="G51" s="4" t="str">
        <f ca="1">VLOOKUP($C51&amp;"_"&amp;$F51,OFFSET([1]stages!$A$1,0,0,COUNTA([1]stages!$A:$A),MATCH(G$1,[1]stages!$2:$2,0)-MATCH("temp_stage",[1]stages!$2:$2,0)+1),MATCH(G$1,[1]stages!$2:$2,0)-MATCH("temp_stage",[1]stages!$2:$2,0)+1,FALSE)</f>
        <v>チャレンジタワー 6F</v>
      </c>
      <c r="H51" s="4" t="str">
        <f ca="1">VLOOKUP($C51&amp;"_"&amp;$F51,OFFSET([1]stages!$A$1,0,0,COUNTA([1]stages!$A:$A),MATCH(H$1,[1]stages!$2:$2,0)-MATCH("temp_stage",[1]stages!$2:$2,0)+1),MATCH(H$1,[1]stages!$2:$2,0)-MATCH("temp_stage",[1]stages!$2:$2,0)+1,FALSE)</f>
        <v>試練の塔</v>
      </c>
      <c r="I51" s="19">
        <v>0</v>
      </c>
      <c r="J51">
        <v>5</v>
      </c>
      <c r="K51" s="6" t="s">
        <v>33</v>
      </c>
      <c r="L51" s="32" t="str">
        <f>VLOOKUP(J51,[2]stage_hints!$A:$C,3,FALSE)</f>
        <v>ユニット強化</v>
      </c>
      <c r="M51" s="33" t="str">
        <f>VLOOKUP(J51,[2]stage_hints!$A:$D,4,FALSE)</f>
        <v>「ユニット強化」でレベルアップすると_x000D_勝てない敵にも勝てるようになります</v>
      </c>
      <c r="N51" s="22" t="s">
        <v>50</v>
      </c>
      <c r="O51">
        <v>5</v>
      </c>
    </row>
    <row r="52" spans="1:15">
      <c r="A52" s="29" t="e">
        <f>C52&amp;"_"&amp;F52&amp;"_"&amp;#REF!</f>
        <v>#REF!</v>
      </c>
      <c r="B52" s="27" t="s">
        <v>32</v>
      </c>
      <c r="C52" s="5">
        <v>13001</v>
      </c>
      <c r="D52" s="4" t="str">
        <f ca="1">VLOOKUP($C52,OFFSET([1]quests!$A$1,0,0,COUNTA([1]quests!$A:$A),MATCH(D$1,[1]quests!$1:$1,0)-MATCH($C$1,[1]quests!$1:$1,0)+1),MATCH(D$1,[1]quests!$1:$1,0)-MATCH($C$1,[1]quests!$1:$1,0)+1,FALSE)</f>
        <v>チャレンジタワー(ソロ専用)</v>
      </c>
      <c r="E52" s="4" t="str">
        <f ca="1">VLOOKUP($C52,OFFSET([1]quests!$A$1,0,0,COUNTA([1]quests!$A:$A),MATCH(E$1,[1]quests!$1:$1,0)-MATCH($C$1,[1]quests!$1:$1,0)+1),MATCH(E$1,[1]quests!$1:$1,0)-MATCH($C$1,[1]quests!$1:$1,0)+1,FALSE)</f>
        <v>試練の塔</v>
      </c>
      <c r="F52" s="6">
        <v>6</v>
      </c>
      <c r="G52" s="4" t="str">
        <f ca="1">VLOOKUP($C52&amp;"_"&amp;$F52,OFFSET([1]stages!$A$1,0,0,COUNTA([1]stages!$A:$A),MATCH(G$1,[1]stages!$2:$2,0)-MATCH("temp_stage",[1]stages!$2:$2,0)+1),MATCH(G$1,[1]stages!$2:$2,0)-MATCH("temp_stage",[1]stages!$2:$2,0)+1,FALSE)</f>
        <v>チャレンジタワー 6F</v>
      </c>
      <c r="H52" s="4" t="str">
        <f ca="1">VLOOKUP($C52&amp;"_"&amp;$F52,OFFSET([1]stages!$A$1,0,0,COUNTA([1]stages!$A:$A),MATCH(H$1,[1]stages!$2:$2,0)-MATCH("temp_stage",[1]stages!$2:$2,0)+1),MATCH(H$1,[1]stages!$2:$2,0)-MATCH("temp_stage",[1]stages!$2:$2,0)+1,FALSE)</f>
        <v>試練の塔</v>
      </c>
      <c r="I52" s="19">
        <v>0</v>
      </c>
      <c r="J52">
        <v>6</v>
      </c>
      <c r="K52" s="6" t="s">
        <v>33</v>
      </c>
      <c r="L52" s="32" t="str">
        <f>VLOOKUP(J52,[2]stage_hints!$A:$C,3,FALSE)</f>
        <v>強化の属性ボーナス</v>
      </c>
      <c r="M52" s="33" t="str">
        <f>VLOOKUP(J52,[2]stage_hints!$A:$D,4,FALSE)</f>
        <v>同属性ユニットを強化素材にすると_x000D_経験値が多くもらえます</v>
      </c>
      <c r="N52" s="22" t="s">
        <v>68</v>
      </c>
      <c r="O52">
        <v>6</v>
      </c>
    </row>
    <row r="53" spans="1:15">
      <c r="A53" s="29" t="e">
        <f>C53&amp;"_"&amp;F53&amp;"_"&amp;#REF!</f>
        <v>#REF!</v>
      </c>
      <c r="B53" s="27" t="s">
        <v>32</v>
      </c>
      <c r="C53" s="5">
        <v>13001</v>
      </c>
      <c r="D53" s="4" t="str">
        <f ca="1">VLOOKUP($C53,OFFSET([1]quests!$A$1,0,0,COUNTA([1]quests!$A:$A),MATCH(D$1,[1]quests!$1:$1,0)-MATCH($C$1,[1]quests!$1:$1,0)+1),MATCH(D$1,[1]quests!$1:$1,0)-MATCH($C$1,[1]quests!$1:$1,0)+1,FALSE)</f>
        <v>チャレンジタワー(ソロ専用)</v>
      </c>
      <c r="E53" s="4" t="str">
        <f ca="1">VLOOKUP($C53,OFFSET([1]quests!$A$1,0,0,COUNTA([1]quests!$A:$A),MATCH(E$1,[1]quests!$1:$1,0)-MATCH($C$1,[1]quests!$1:$1,0)+1),MATCH(E$1,[1]quests!$1:$1,0)-MATCH($C$1,[1]quests!$1:$1,0)+1,FALSE)</f>
        <v>試練の塔</v>
      </c>
      <c r="F53" s="6">
        <v>6</v>
      </c>
      <c r="G53" s="4" t="str">
        <f ca="1">VLOOKUP($C53&amp;"_"&amp;$F53,OFFSET([1]stages!$A$1,0,0,COUNTA([1]stages!$A:$A),MATCH(G$1,[1]stages!$2:$2,0)-MATCH("temp_stage",[1]stages!$2:$2,0)+1),MATCH(G$1,[1]stages!$2:$2,0)-MATCH("temp_stage",[1]stages!$2:$2,0)+1,FALSE)</f>
        <v>チャレンジタワー 6F</v>
      </c>
      <c r="H53" s="4" t="str">
        <f ca="1">VLOOKUP($C53&amp;"_"&amp;$F53,OFFSET([1]stages!$A$1,0,0,COUNTA([1]stages!$A:$A),MATCH(H$1,[1]stages!$2:$2,0)-MATCH("temp_stage",[1]stages!$2:$2,0)+1),MATCH(H$1,[1]stages!$2:$2,0)-MATCH("temp_stage",[1]stages!$2:$2,0)+1,FALSE)</f>
        <v>試練の塔</v>
      </c>
      <c r="I53" s="19">
        <v>0</v>
      </c>
      <c r="J53">
        <v>7</v>
      </c>
      <c r="K53" s="6" t="s">
        <v>33</v>
      </c>
      <c r="L53" s="32" t="str">
        <f>VLOOKUP(J53,[2]stage_hints!$A:$C,3,FALSE)</f>
        <v>メタルダックをつかって強化しよう！</v>
      </c>
      <c r="M53" s="33" t="str">
        <f>VLOOKUP(J53,[2]stage_hints!$A:$D,4,FALSE)</f>
        <v>「メタルなアヒル」を強化素材にすると_x000D_大量の経験値がもらえます</v>
      </c>
      <c r="N53" s="22" t="s">
        <v>51</v>
      </c>
      <c r="O53">
        <v>7</v>
      </c>
    </row>
    <row r="54" spans="1:15">
      <c r="A54" s="29" t="e">
        <f>C54&amp;"_"&amp;F54&amp;"_"&amp;#REF!</f>
        <v>#REF!</v>
      </c>
      <c r="B54" s="27" t="s">
        <v>32</v>
      </c>
      <c r="C54" s="5">
        <v>13001</v>
      </c>
      <c r="D54" s="4" t="str">
        <f ca="1">VLOOKUP($C54,OFFSET([1]quests!$A$1,0,0,COUNTA([1]quests!$A:$A),MATCH(D$1,[1]quests!$1:$1,0)-MATCH($C$1,[1]quests!$1:$1,0)+1),MATCH(D$1,[1]quests!$1:$1,0)-MATCH($C$1,[1]quests!$1:$1,0)+1,FALSE)</f>
        <v>チャレンジタワー(ソロ専用)</v>
      </c>
      <c r="E54" s="4" t="str">
        <f ca="1">VLOOKUP($C54,OFFSET([1]quests!$A$1,0,0,COUNTA([1]quests!$A:$A),MATCH(E$1,[1]quests!$1:$1,0)-MATCH($C$1,[1]quests!$1:$1,0)+1),MATCH(E$1,[1]quests!$1:$1,0)-MATCH($C$1,[1]quests!$1:$1,0)+1,FALSE)</f>
        <v>試練の塔</v>
      </c>
      <c r="F54" s="6">
        <v>6</v>
      </c>
      <c r="G54" s="4" t="str">
        <f ca="1">VLOOKUP($C54&amp;"_"&amp;$F54,OFFSET([1]stages!$A$1,0,0,COUNTA([1]stages!$A:$A),MATCH(G$1,[1]stages!$2:$2,0)-MATCH("temp_stage",[1]stages!$2:$2,0)+1),MATCH(G$1,[1]stages!$2:$2,0)-MATCH("temp_stage",[1]stages!$2:$2,0)+1,FALSE)</f>
        <v>チャレンジタワー 6F</v>
      </c>
      <c r="H54" s="4" t="str">
        <f ca="1">VLOOKUP($C54&amp;"_"&amp;$F54,OFFSET([1]stages!$A$1,0,0,COUNTA([1]stages!$A:$A),MATCH(H$1,[1]stages!$2:$2,0)-MATCH("temp_stage",[1]stages!$2:$2,0)+1),MATCH(H$1,[1]stages!$2:$2,0)-MATCH("temp_stage",[1]stages!$2:$2,0)+1,FALSE)</f>
        <v>試練の塔</v>
      </c>
      <c r="I54" s="19">
        <v>0</v>
      </c>
      <c r="J54">
        <v>8</v>
      </c>
      <c r="K54" s="6" t="s">
        <v>33</v>
      </c>
      <c r="L54" s="32" t="str">
        <f>VLOOKUP(J54,[2]stage_hints!$A:$C,3,FALSE)</f>
        <v>ゲリラを見逃すな！</v>
      </c>
      <c r="M54" s="33" t="str">
        <f>VLOOKUP(J54,[2]stage_hints!$A:$D,4,FALSE)</f>
        <v>時間限定の「【緊急!!】アヒル捕獲作戦」では_x000D_経験値素材ユニットが多く手に入ります</v>
      </c>
      <c r="N54" s="22" t="s">
        <v>42</v>
      </c>
      <c r="O54">
        <v>8</v>
      </c>
    </row>
    <row r="55" spans="1:15">
      <c r="A55" s="29" t="e">
        <f>C55&amp;"_"&amp;F55&amp;"_"&amp;#REF!</f>
        <v>#REF!</v>
      </c>
      <c r="B55" s="27" t="s">
        <v>32</v>
      </c>
      <c r="C55" s="5">
        <v>13001</v>
      </c>
      <c r="D55" s="4" t="str">
        <f ca="1">VLOOKUP($C55,OFFSET([1]quests!$A$1,0,0,COUNTA([1]quests!$A:$A),MATCH(D$1,[1]quests!$1:$1,0)-MATCH($C$1,[1]quests!$1:$1,0)+1),MATCH(D$1,[1]quests!$1:$1,0)-MATCH($C$1,[1]quests!$1:$1,0)+1,FALSE)</f>
        <v>チャレンジタワー(ソロ専用)</v>
      </c>
      <c r="E55" s="4" t="str">
        <f ca="1">VLOOKUP($C55,OFFSET([1]quests!$A$1,0,0,COUNTA([1]quests!$A:$A),MATCH(E$1,[1]quests!$1:$1,0)-MATCH($C$1,[1]quests!$1:$1,0)+1),MATCH(E$1,[1]quests!$1:$1,0)-MATCH($C$1,[1]quests!$1:$1,0)+1,FALSE)</f>
        <v>試練の塔</v>
      </c>
      <c r="F55" s="6">
        <v>6</v>
      </c>
      <c r="G55" s="4" t="str">
        <f ca="1">VLOOKUP($C55&amp;"_"&amp;$F55,OFFSET([1]stages!$A$1,0,0,COUNTA([1]stages!$A:$A),MATCH(G$1,[1]stages!$2:$2,0)-MATCH("temp_stage",[1]stages!$2:$2,0)+1),MATCH(G$1,[1]stages!$2:$2,0)-MATCH("temp_stage",[1]stages!$2:$2,0)+1,FALSE)</f>
        <v>チャレンジタワー 6F</v>
      </c>
      <c r="H55" s="4" t="str">
        <f ca="1">VLOOKUP($C55&amp;"_"&amp;$F55,OFFSET([1]stages!$A$1,0,0,COUNTA([1]stages!$A:$A),MATCH(H$1,[1]stages!$2:$2,0)-MATCH("temp_stage",[1]stages!$2:$2,0)+1),MATCH(H$1,[1]stages!$2:$2,0)-MATCH("temp_stage",[1]stages!$2:$2,0)+1,FALSE)</f>
        <v>試練の塔</v>
      </c>
      <c r="I55" s="19">
        <v>0</v>
      </c>
      <c r="J55">
        <v>9</v>
      </c>
      <c r="K55" s="6" t="s">
        <v>58</v>
      </c>
      <c r="L55" s="32" t="str">
        <f>VLOOKUP(J55,[2]stage_hints!$A:$C,3,FALSE)</f>
        <v>ゴールドダックを売却すると大量ビット</v>
      </c>
      <c r="M55" s="33" t="str">
        <f>VLOOKUP(J55,[2]stage_hints!$A:$D,4,FALSE)</f>
        <v>「ゴールドなアヒル」を売却すると_x000D_大量のビットがもらえます</v>
      </c>
      <c r="N55" s="22" t="s">
        <v>66</v>
      </c>
      <c r="O55">
        <v>9</v>
      </c>
    </row>
    <row r="56" spans="1:15">
      <c r="A56" s="29" t="e">
        <f>C56&amp;"_"&amp;F56&amp;"_"&amp;#REF!</f>
        <v>#REF!</v>
      </c>
      <c r="B56" s="27" t="s">
        <v>32</v>
      </c>
      <c r="C56" s="5">
        <v>13001</v>
      </c>
      <c r="D56" s="4" t="str">
        <f ca="1">VLOOKUP($C56,OFFSET([1]quests!$A$1,0,0,COUNTA([1]quests!$A:$A),MATCH(D$1,[1]quests!$1:$1,0)-MATCH($C$1,[1]quests!$1:$1,0)+1),MATCH(D$1,[1]quests!$1:$1,0)-MATCH($C$1,[1]quests!$1:$1,0)+1,FALSE)</f>
        <v>チャレンジタワー(ソロ専用)</v>
      </c>
      <c r="E56" s="4" t="str">
        <f ca="1">VLOOKUP($C56,OFFSET([1]quests!$A$1,0,0,COUNTA([1]quests!$A:$A),MATCH(E$1,[1]quests!$1:$1,0)-MATCH($C$1,[1]quests!$1:$1,0)+1),MATCH(E$1,[1]quests!$1:$1,0)-MATCH($C$1,[1]quests!$1:$1,0)+1,FALSE)</f>
        <v>試練の塔</v>
      </c>
      <c r="F56" s="6">
        <v>6</v>
      </c>
      <c r="G56" s="4" t="str">
        <f ca="1">VLOOKUP($C56&amp;"_"&amp;$F56,OFFSET([1]stages!$A$1,0,0,COUNTA([1]stages!$A:$A),MATCH(G$1,[1]stages!$2:$2,0)-MATCH("temp_stage",[1]stages!$2:$2,0)+1),MATCH(G$1,[1]stages!$2:$2,0)-MATCH("temp_stage",[1]stages!$2:$2,0)+1,FALSE)</f>
        <v>チャレンジタワー 6F</v>
      </c>
      <c r="H56" s="4" t="str">
        <f ca="1">VLOOKUP($C56&amp;"_"&amp;$F56,OFFSET([1]stages!$A$1,0,0,COUNTA([1]stages!$A:$A),MATCH(H$1,[1]stages!$2:$2,0)-MATCH("temp_stage",[1]stages!$2:$2,0)+1),MATCH(H$1,[1]stages!$2:$2,0)-MATCH("temp_stage",[1]stages!$2:$2,0)+1,FALSE)</f>
        <v>試練の塔</v>
      </c>
      <c r="I56" s="19">
        <v>0</v>
      </c>
      <c r="J56">
        <v>10</v>
      </c>
      <c r="K56" s="6" t="s">
        <v>33</v>
      </c>
      <c r="L56" s="32" t="str">
        <f>VLOOKUP(J56,[2]stage_hints!$A:$C,3,FALSE)</f>
        <v>土日クエストで大量ビットをGET！！</v>
      </c>
      <c r="M56" s="33" t="str">
        <f>VLOOKUP(J56,[2]stage_hints!$A:$D,4,FALSE)</f>
        <v>土日限定の「ゴールドカジノ」では_x000D_売却素材ユニットが多く手に入ります</v>
      </c>
      <c r="N56" s="22" t="s">
        <v>34</v>
      </c>
      <c r="O56">
        <v>10</v>
      </c>
    </row>
    <row r="57" spans="1:15">
      <c r="A57" s="29" t="e">
        <f>C57&amp;"_"&amp;F57&amp;"_"&amp;#REF!</f>
        <v>#REF!</v>
      </c>
      <c r="B57" s="27" t="s">
        <v>32</v>
      </c>
      <c r="C57" s="5">
        <v>13001</v>
      </c>
      <c r="D57" s="4" t="str">
        <f ca="1">VLOOKUP($C57,OFFSET([1]quests!$A$1,0,0,COUNTA([1]quests!$A:$A),MATCH(D$1,[1]quests!$1:$1,0)-MATCH($C$1,[1]quests!$1:$1,0)+1),MATCH(D$1,[1]quests!$1:$1,0)-MATCH($C$1,[1]quests!$1:$1,0)+1,FALSE)</f>
        <v>チャレンジタワー(ソロ専用)</v>
      </c>
      <c r="E57" s="4" t="str">
        <f ca="1">VLOOKUP($C57,OFFSET([1]quests!$A$1,0,0,COUNTA([1]quests!$A:$A),MATCH(E$1,[1]quests!$1:$1,0)-MATCH($C$1,[1]quests!$1:$1,0)+1),MATCH(E$1,[1]quests!$1:$1,0)-MATCH($C$1,[1]quests!$1:$1,0)+1,FALSE)</f>
        <v>試練の塔</v>
      </c>
      <c r="F57" s="6">
        <v>6</v>
      </c>
      <c r="G57" s="4" t="str">
        <f ca="1">VLOOKUP($C57&amp;"_"&amp;$F57,OFFSET([1]stages!$A$1,0,0,COUNTA([1]stages!$A:$A),MATCH(G$1,[1]stages!$2:$2,0)-MATCH("temp_stage",[1]stages!$2:$2,0)+1),MATCH(G$1,[1]stages!$2:$2,0)-MATCH("temp_stage",[1]stages!$2:$2,0)+1,FALSE)</f>
        <v>チャレンジタワー 6F</v>
      </c>
      <c r="H57" s="4" t="str">
        <f ca="1">VLOOKUP($C57&amp;"_"&amp;$F57,OFFSET([1]stages!$A$1,0,0,COUNTA([1]stages!$A:$A),MATCH(H$1,[1]stages!$2:$2,0)-MATCH("temp_stage",[1]stages!$2:$2,0)+1),MATCH(H$1,[1]stages!$2:$2,0)-MATCH("temp_stage",[1]stages!$2:$2,0)+1,FALSE)</f>
        <v>試練の塔</v>
      </c>
      <c r="I57" s="19">
        <v>0</v>
      </c>
      <c r="J57">
        <v>11</v>
      </c>
      <c r="K57" s="6" t="s">
        <v>33</v>
      </c>
      <c r="L57" s="32" t="str">
        <f>VLOOKUP(J57,[2]stage_hints!$A:$C,3,FALSE)</f>
        <v>ランク開放クエスト</v>
      </c>
      <c r="M57" s="33" t="str">
        <f>VLOOKUP(J57,[2]stage_hints!$A:$D,4,FALSE)</f>
        <v>一定ランクに到達すると_x000D_報酬付きのランク開放クエストが現れます</v>
      </c>
      <c r="N57" s="22" t="s">
        <v>74</v>
      </c>
      <c r="O57">
        <v>11</v>
      </c>
    </row>
    <row r="58" spans="1:15">
      <c r="A58" s="29" t="e">
        <f>C58&amp;"_"&amp;F58&amp;"_"&amp;#REF!</f>
        <v>#REF!</v>
      </c>
      <c r="B58" s="27" t="s">
        <v>32</v>
      </c>
      <c r="C58" s="5">
        <v>13001</v>
      </c>
      <c r="D58" s="4" t="str">
        <f ca="1">VLOOKUP($C58,OFFSET([1]quests!$A$1,0,0,COUNTA([1]quests!$A:$A),MATCH(D$1,[1]quests!$1:$1,0)-MATCH($C$1,[1]quests!$1:$1,0)+1),MATCH(D$1,[1]quests!$1:$1,0)-MATCH($C$1,[1]quests!$1:$1,0)+1,FALSE)</f>
        <v>チャレンジタワー(ソロ専用)</v>
      </c>
      <c r="E58" s="4" t="str">
        <f ca="1">VLOOKUP($C58,OFFSET([1]quests!$A$1,0,0,COUNTA([1]quests!$A:$A),MATCH(E$1,[1]quests!$1:$1,0)-MATCH($C$1,[1]quests!$1:$1,0)+1),MATCH(E$1,[1]quests!$1:$1,0)-MATCH($C$1,[1]quests!$1:$1,0)+1,FALSE)</f>
        <v>試練の塔</v>
      </c>
      <c r="F58" s="6">
        <v>6</v>
      </c>
      <c r="G58" s="4" t="str">
        <f ca="1">VLOOKUP($C58&amp;"_"&amp;$F58,OFFSET([1]stages!$A$1,0,0,COUNTA([1]stages!$A:$A),MATCH(G$1,[1]stages!$2:$2,0)-MATCH("temp_stage",[1]stages!$2:$2,0)+1),MATCH(G$1,[1]stages!$2:$2,0)-MATCH("temp_stage",[1]stages!$2:$2,0)+1,FALSE)</f>
        <v>チャレンジタワー 6F</v>
      </c>
      <c r="H58" s="4" t="str">
        <f ca="1">VLOOKUP($C58&amp;"_"&amp;$F58,OFFSET([1]stages!$A$1,0,0,COUNTA([1]stages!$A:$A),MATCH(H$1,[1]stages!$2:$2,0)-MATCH("temp_stage",[1]stages!$2:$2,0)+1),MATCH(H$1,[1]stages!$2:$2,0)-MATCH("temp_stage",[1]stages!$2:$2,0)+1,FALSE)</f>
        <v>試練の塔</v>
      </c>
      <c r="I58" s="19">
        <v>0</v>
      </c>
      <c r="J58">
        <v>12</v>
      </c>
      <c r="K58" s="6" t="s">
        <v>75</v>
      </c>
      <c r="L58" s="32" t="str">
        <f>VLOOKUP(J58,[2]stage_hints!$A:$C,3,FALSE)</f>
        <v>お気に入り登録</v>
      </c>
      <c r="M58" s="33" t="str">
        <f>VLOOKUP(J58,[2]stage_hints!$A:$D,4,FALSE)</f>
        <v>大事なユニットは_x000D_フォルダから「お気に入り登録」しましょう</v>
      </c>
      <c r="N58" s="22" t="s">
        <v>76</v>
      </c>
      <c r="O58">
        <v>12</v>
      </c>
    </row>
    <row r="59" spans="1:15">
      <c r="A59" s="29" t="e">
        <f>C59&amp;"_"&amp;F59&amp;"_"&amp;#REF!</f>
        <v>#REF!</v>
      </c>
      <c r="B59" s="27" t="s">
        <v>32</v>
      </c>
      <c r="C59" s="5">
        <v>13001</v>
      </c>
      <c r="D59" s="4" t="str">
        <f ca="1">VLOOKUP($C59,OFFSET([1]quests!$A$1,0,0,COUNTA([1]quests!$A:$A),MATCH(D$1,[1]quests!$1:$1,0)-MATCH($C$1,[1]quests!$1:$1,0)+1),MATCH(D$1,[1]quests!$1:$1,0)-MATCH($C$1,[1]quests!$1:$1,0)+1,FALSE)</f>
        <v>チャレンジタワー(ソロ専用)</v>
      </c>
      <c r="E59" s="4" t="str">
        <f ca="1">VLOOKUP($C59,OFFSET([1]quests!$A$1,0,0,COUNTA([1]quests!$A:$A),MATCH(E$1,[1]quests!$1:$1,0)-MATCH($C$1,[1]quests!$1:$1,0)+1),MATCH(E$1,[1]quests!$1:$1,0)-MATCH($C$1,[1]quests!$1:$1,0)+1,FALSE)</f>
        <v>試練の塔</v>
      </c>
      <c r="F59" s="6">
        <v>6</v>
      </c>
      <c r="G59" s="4" t="str">
        <f ca="1">VLOOKUP($C59&amp;"_"&amp;$F59,OFFSET([1]stages!$A$1,0,0,COUNTA([1]stages!$A:$A),MATCH(G$1,[1]stages!$2:$2,0)-MATCH("temp_stage",[1]stages!$2:$2,0)+1),MATCH(G$1,[1]stages!$2:$2,0)-MATCH("temp_stage",[1]stages!$2:$2,0)+1,FALSE)</f>
        <v>チャレンジタワー 6F</v>
      </c>
      <c r="H59" s="4" t="str">
        <f ca="1">VLOOKUP($C59&amp;"_"&amp;$F59,OFFSET([1]stages!$A$1,0,0,COUNTA([1]stages!$A:$A),MATCH(H$1,[1]stages!$2:$2,0)-MATCH("temp_stage",[1]stages!$2:$2,0)+1),MATCH(H$1,[1]stages!$2:$2,0)-MATCH("temp_stage",[1]stages!$2:$2,0)+1,FALSE)</f>
        <v>試練の塔</v>
      </c>
      <c r="I59" s="19">
        <v>0</v>
      </c>
      <c r="J59">
        <v>13</v>
      </c>
      <c r="K59" s="6" t="s">
        <v>33</v>
      </c>
      <c r="L59" s="32" t="str">
        <f>VLOOKUP(J59,[2]stage_hints!$A:$C,3,FALSE)</f>
        <v>ユニットを覚醒させよう！</v>
      </c>
      <c r="M59" s="33" t="str">
        <f>VLOOKUP(J59,[2]stage_hints!$A:$D,4,FALSE)</f>
        <v>ユニットを覚醒させると_x000D_比べものにならない強さが手に入ります</v>
      </c>
      <c r="N59" s="22" t="s">
        <v>53</v>
      </c>
      <c r="O59">
        <v>13</v>
      </c>
    </row>
    <row r="60" spans="1:15">
      <c r="A60" s="29" t="e">
        <f>C60&amp;"_"&amp;F60&amp;"_"&amp;#REF!</f>
        <v>#REF!</v>
      </c>
      <c r="B60" s="27" t="s">
        <v>32</v>
      </c>
      <c r="C60" s="5">
        <v>13001</v>
      </c>
      <c r="D60" s="4" t="str">
        <f ca="1">VLOOKUP($C60,OFFSET([1]quests!$A$1,0,0,COUNTA([1]quests!$A:$A),MATCH(D$1,[1]quests!$1:$1,0)-MATCH($C$1,[1]quests!$1:$1,0)+1),MATCH(D$1,[1]quests!$1:$1,0)-MATCH($C$1,[1]quests!$1:$1,0)+1,FALSE)</f>
        <v>チャレンジタワー(ソロ専用)</v>
      </c>
      <c r="E60" s="4" t="str">
        <f ca="1">VLOOKUP($C60,OFFSET([1]quests!$A$1,0,0,COUNTA([1]quests!$A:$A),MATCH(E$1,[1]quests!$1:$1,0)-MATCH($C$1,[1]quests!$1:$1,0)+1),MATCH(E$1,[1]quests!$1:$1,0)-MATCH($C$1,[1]quests!$1:$1,0)+1,FALSE)</f>
        <v>試練の塔</v>
      </c>
      <c r="F60" s="6">
        <v>6</v>
      </c>
      <c r="G60" s="4" t="str">
        <f ca="1">VLOOKUP($C60&amp;"_"&amp;$F60,OFFSET([1]stages!$A$1,0,0,COUNTA([1]stages!$A:$A),MATCH(G$1,[1]stages!$2:$2,0)-MATCH("temp_stage",[1]stages!$2:$2,0)+1),MATCH(G$1,[1]stages!$2:$2,0)-MATCH("temp_stage",[1]stages!$2:$2,0)+1,FALSE)</f>
        <v>チャレンジタワー 6F</v>
      </c>
      <c r="H60" s="4" t="str">
        <f ca="1">VLOOKUP($C60&amp;"_"&amp;$F60,OFFSET([1]stages!$A$1,0,0,COUNTA([1]stages!$A:$A),MATCH(H$1,[1]stages!$2:$2,0)-MATCH("temp_stage",[1]stages!$2:$2,0)+1),MATCH(H$1,[1]stages!$2:$2,0)-MATCH("temp_stage",[1]stages!$2:$2,0)+1,FALSE)</f>
        <v>試練の塔</v>
      </c>
      <c r="I60" s="19">
        <v>0</v>
      </c>
      <c r="J60">
        <v>14</v>
      </c>
      <c r="K60" s="6" t="s">
        <v>77</v>
      </c>
      <c r="L60" s="32" t="str">
        <f>VLOOKUP(J60,[2]stage_hints!$A:$C,3,FALSE)</f>
        <v>覚醒するにはレベルをMAXに！</v>
      </c>
      <c r="M60" s="33" t="str">
        <f>VLOOKUP(J60,[2]stage_hints!$A:$D,4,FALSE)</f>
        <v>覚醒するにはユニットのレベルを_x000D_最大まで上げる必要があります</v>
      </c>
      <c r="N60" s="22" t="s">
        <v>56</v>
      </c>
      <c r="O60">
        <v>14</v>
      </c>
    </row>
    <row r="61" spans="1:15">
      <c r="A61" s="29" t="e">
        <f>C61&amp;"_"&amp;F61&amp;"_"&amp;#REF!</f>
        <v>#REF!</v>
      </c>
      <c r="B61" s="27" t="s">
        <v>32</v>
      </c>
      <c r="C61" s="5">
        <v>13001</v>
      </c>
      <c r="D61" s="4" t="str">
        <f ca="1">VLOOKUP($C61,OFFSET([1]quests!$A$1,0,0,COUNTA([1]quests!$A:$A),MATCH(D$1,[1]quests!$1:$1,0)-MATCH($C$1,[1]quests!$1:$1,0)+1),MATCH(D$1,[1]quests!$1:$1,0)-MATCH($C$1,[1]quests!$1:$1,0)+1,FALSE)</f>
        <v>チャレンジタワー(ソロ専用)</v>
      </c>
      <c r="E61" s="4" t="str">
        <f ca="1">VLOOKUP($C61,OFFSET([1]quests!$A$1,0,0,COUNTA([1]quests!$A:$A),MATCH(E$1,[1]quests!$1:$1,0)-MATCH($C$1,[1]quests!$1:$1,0)+1),MATCH(E$1,[1]quests!$1:$1,0)-MATCH($C$1,[1]quests!$1:$1,0)+1,FALSE)</f>
        <v>試練の塔</v>
      </c>
      <c r="F61" s="6">
        <v>6</v>
      </c>
      <c r="G61" s="4" t="str">
        <f ca="1">VLOOKUP($C61&amp;"_"&amp;$F61,OFFSET([1]stages!$A$1,0,0,COUNTA([1]stages!$A:$A),MATCH(G$1,[1]stages!$2:$2,0)-MATCH("temp_stage",[1]stages!$2:$2,0)+1),MATCH(G$1,[1]stages!$2:$2,0)-MATCH("temp_stage",[1]stages!$2:$2,0)+1,FALSE)</f>
        <v>チャレンジタワー 6F</v>
      </c>
      <c r="H61" s="4" t="str">
        <f ca="1">VLOOKUP($C61&amp;"_"&amp;$F61,OFFSET([1]stages!$A$1,0,0,COUNTA([1]stages!$A:$A),MATCH(H$1,[1]stages!$2:$2,0)-MATCH("temp_stage",[1]stages!$2:$2,0)+1),MATCH(H$1,[1]stages!$2:$2,0)-MATCH("temp_stage",[1]stages!$2:$2,0)+1,FALSE)</f>
        <v>試練の塔</v>
      </c>
      <c r="I61" s="19">
        <v>0</v>
      </c>
      <c r="J61">
        <v>15</v>
      </c>
      <c r="K61" s="6" t="s">
        <v>33</v>
      </c>
      <c r="L61" s="32" t="str">
        <f>VLOOKUP(J61,[2]stage_hints!$A:$C,3,FALSE)</f>
        <v>覚醒素材をGETしよう！</v>
      </c>
      <c r="M61" s="33" t="str">
        <f>VLOOKUP(J61,[2]stage_hints!$A:$D,4,FALSE)</f>
        <v>「曜日クエスト」では_x000D_覚醒に必要な覚醒素材が手に入ります</v>
      </c>
      <c r="N61" s="22" t="s">
        <v>34</v>
      </c>
      <c r="O61">
        <v>15</v>
      </c>
    </row>
    <row r="62" spans="1:15">
      <c r="A62" s="29" t="e">
        <f>C62&amp;"_"&amp;F62&amp;"_"&amp;#REF!</f>
        <v>#REF!</v>
      </c>
      <c r="B62" s="27" t="s">
        <v>32</v>
      </c>
      <c r="C62" s="5">
        <v>13001</v>
      </c>
      <c r="D62" s="4" t="str">
        <f ca="1">VLOOKUP($C62,OFFSET([1]quests!$A$1,0,0,COUNTA([1]quests!$A:$A),MATCH(D$1,[1]quests!$1:$1,0)-MATCH($C$1,[1]quests!$1:$1,0)+1),MATCH(D$1,[1]quests!$1:$1,0)-MATCH($C$1,[1]quests!$1:$1,0)+1,FALSE)</f>
        <v>チャレンジタワー(ソロ専用)</v>
      </c>
      <c r="E62" s="4" t="str">
        <f ca="1">VLOOKUP($C62,OFFSET([1]quests!$A$1,0,0,COUNTA([1]quests!$A:$A),MATCH(E$1,[1]quests!$1:$1,0)-MATCH($C$1,[1]quests!$1:$1,0)+1),MATCH(E$1,[1]quests!$1:$1,0)-MATCH($C$1,[1]quests!$1:$1,0)+1,FALSE)</f>
        <v>試練の塔</v>
      </c>
      <c r="F62" s="6">
        <v>6</v>
      </c>
      <c r="G62" s="4" t="str">
        <f ca="1">VLOOKUP($C62&amp;"_"&amp;$F62,OFFSET([1]stages!$A$1,0,0,COUNTA([1]stages!$A:$A),MATCH(G$1,[1]stages!$2:$2,0)-MATCH("temp_stage",[1]stages!$2:$2,0)+1),MATCH(G$1,[1]stages!$2:$2,0)-MATCH("temp_stage",[1]stages!$2:$2,0)+1,FALSE)</f>
        <v>チャレンジタワー 6F</v>
      </c>
      <c r="H62" s="4" t="str">
        <f ca="1">VLOOKUP($C62&amp;"_"&amp;$F62,OFFSET([1]stages!$A$1,0,0,COUNTA([1]stages!$A:$A),MATCH(H$1,[1]stages!$2:$2,0)-MATCH("temp_stage",[1]stages!$2:$2,0)+1),MATCH(H$1,[1]stages!$2:$2,0)-MATCH("temp_stage",[1]stages!$2:$2,0)+1,FALSE)</f>
        <v>試練の塔</v>
      </c>
      <c r="I62" s="19">
        <v>0</v>
      </c>
      <c r="J62">
        <v>16</v>
      </c>
      <c r="K62" s="6" t="s">
        <v>33</v>
      </c>
      <c r="L62" s="32" t="str">
        <f>VLOOKUP(J62,[2]stage_hints!$A:$C,3,FALSE)</f>
        <v>マルチプレイが熱い！　その1</v>
      </c>
      <c r="M62" s="33" t="str">
        <f>VLOOKUP(J62,[2]stage_hints!$A:$D,4,FALSE)</f>
        <v>マルチプレイをすると_x000D_初顔合わせボーナスで_x000D_100人までポリゴンがもらえます</v>
      </c>
      <c r="N62" s="22" t="s">
        <v>59</v>
      </c>
      <c r="O62">
        <v>16</v>
      </c>
    </row>
    <row r="63" spans="1:15">
      <c r="A63" s="29" t="e">
        <f>C63&amp;"_"&amp;F63&amp;"_"&amp;#REF!</f>
        <v>#REF!</v>
      </c>
      <c r="B63" s="27" t="s">
        <v>32</v>
      </c>
      <c r="C63" s="5">
        <v>13001</v>
      </c>
      <c r="D63" s="4" t="str">
        <f ca="1">VLOOKUP($C63,OFFSET([1]quests!$A$1,0,0,COUNTA([1]quests!$A:$A),MATCH(D$1,[1]quests!$1:$1,0)-MATCH($C$1,[1]quests!$1:$1,0)+1),MATCH(D$1,[1]quests!$1:$1,0)-MATCH($C$1,[1]quests!$1:$1,0)+1,FALSE)</f>
        <v>チャレンジタワー(ソロ専用)</v>
      </c>
      <c r="E63" s="4" t="str">
        <f ca="1">VLOOKUP($C63,OFFSET([1]quests!$A$1,0,0,COUNTA([1]quests!$A:$A),MATCH(E$1,[1]quests!$1:$1,0)-MATCH($C$1,[1]quests!$1:$1,0)+1),MATCH(E$1,[1]quests!$1:$1,0)-MATCH($C$1,[1]quests!$1:$1,0)+1,FALSE)</f>
        <v>試練の塔</v>
      </c>
      <c r="F63" s="6">
        <v>6</v>
      </c>
      <c r="G63" s="4" t="str">
        <f ca="1">VLOOKUP($C63&amp;"_"&amp;$F63,OFFSET([1]stages!$A$1,0,0,COUNTA([1]stages!$A:$A),MATCH(G$1,[1]stages!$2:$2,0)-MATCH("temp_stage",[1]stages!$2:$2,0)+1),MATCH(G$1,[1]stages!$2:$2,0)-MATCH("temp_stage",[1]stages!$2:$2,0)+1,FALSE)</f>
        <v>チャレンジタワー 6F</v>
      </c>
      <c r="H63" s="4" t="str">
        <f ca="1">VLOOKUP($C63&amp;"_"&amp;$F63,OFFSET([1]stages!$A$1,0,0,COUNTA([1]stages!$A:$A),MATCH(H$1,[1]stages!$2:$2,0)-MATCH("temp_stage",[1]stages!$2:$2,0)+1),MATCH(H$1,[1]stages!$2:$2,0)-MATCH("temp_stage",[1]stages!$2:$2,0)+1,FALSE)</f>
        <v>試練の塔</v>
      </c>
      <c r="I63" s="19">
        <v>0</v>
      </c>
      <c r="J63">
        <v>17</v>
      </c>
      <c r="K63" s="6" t="s">
        <v>33</v>
      </c>
      <c r="L63" s="32" t="str">
        <f>VLOOKUP(J63,[2]stage_hints!$A:$C,3,FALSE)</f>
        <v>リンクガチャを引いてみよう</v>
      </c>
      <c r="M63" s="33" t="str">
        <f>VLOOKUP(J63,[2]stage_hints!$A:$D,4,FALSE)</f>
        <v>リンクガチャを回して_x000D_メタルダックやゴールドダックを獲得しましょう</v>
      </c>
      <c r="N63" s="22" t="s">
        <v>63</v>
      </c>
      <c r="O63">
        <v>17</v>
      </c>
    </row>
    <row r="64" spans="1:15">
      <c r="A64" s="29" t="e">
        <f>C64&amp;"_"&amp;F64&amp;"_"&amp;#REF!</f>
        <v>#REF!</v>
      </c>
      <c r="B64" s="27" t="s">
        <v>32</v>
      </c>
      <c r="C64" s="5">
        <v>13001</v>
      </c>
      <c r="D64" s="4" t="str">
        <f ca="1">VLOOKUP($C64,OFFSET([1]quests!$A$1,0,0,COUNTA([1]quests!$A:$A),MATCH(D$1,[1]quests!$1:$1,0)-MATCH($C$1,[1]quests!$1:$1,0)+1),MATCH(D$1,[1]quests!$1:$1,0)-MATCH($C$1,[1]quests!$1:$1,0)+1,FALSE)</f>
        <v>チャレンジタワー(ソロ専用)</v>
      </c>
      <c r="E64" s="4" t="str">
        <f ca="1">VLOOKUP($C64,OFFSET([1]quests!$A$1,0,0,COUNTA([1]quests!$A:$A),MATCH(E$1,[1]quests!$1:$1,0)-MATCH($C$1,[1]quests!$1:$1,0)+1),MATCH(E$1,[1]quests!$1:$1,0)-MATCH($C$1,[1]quests!$1:$1,0)+1,FALSE)</f>
        <v>試練の塔</v>
      </c>
      <c r="F64" s="6">
        <v>6</v>
      </c>
      <c r="G64" s="4" t="str">
        <f ca="1">VLOOKUP($C64&amp;"_"&amp;$F64,OFFSET([1]stages!$A$1,0,0,COUNTA([1]stages!$A:$A),MATCH(G$1,[1]stages!$2:$2,0)-MATCH("temp_stage",[1]stages!$2:$2,0)+1),MATCH(G$1,[1]stages!$2:$2,0)-MATCH("temp_stage",[1]stages!$2:$2,0)+1,FALSE)</f>
        <v>チャレンジタワー 6F</v>
      </c>
      <c r="H64" s="4" t="str">
        <f ca="1">VLOOKUP($C64&amp;"_"&amp;$F64,OFFSET([1]stages!$A$1,0,0,COUNTA([1]stages!$A:$A),MATCH(H$1,[1]stages!$2:$2,0)-MATCH("temp_stage",[1]stages!$2:$2,0)+1),MATCH(H$1,[1]stages!$2:$2,0)-MATCH("temp_stage",[1]stages!$2:$2,0)+1,FALSE)</f>
        <v>試練の塔</v>
      </c>
      <c r="I64" s="19">
        <v>0</v>
      </c>
      <c r="J64">
        <v>18</v>
      </c>
      <c r="K64" s="6" t="s">
        <v>33</v>
      </c>
      <c r="L64" s="32" t="str">
        <f>VLOOKUP(J64,[2]stage_hints!$A:$C,3,FALSE)</f>
        <v>マルチプレイが熱い！　その2</v>
      </c>
      <c r="M64" s="33" t="str">
        <f>VLOOKUP(J64,[2]stage_hints!$A:$D,4,FALSE)</f>
        <v>マルチプレイなら_x000D_2倍のリンクがもらえます</v>
      </c>
      <c r="N64" s="22" t="s">
        <v>73</v>
      </c>
      <c r="O64">
        <v>18</v>
      </c>
    </row>
    <row r="65" spans="1:15">
      <c r="A65" s="29" t="e">
        <f>C65&amp;"_"&amp;F65&amp;"_"&amp;#REF!</f>
        <v>#REF!</v>
      </c>
      <c r="B65" s="27" t="s">
        <v>32</v>
      </c>
      <c r="C65" s="5">
        <v>13001</v>
      </c>
      <c r="D65" s="4" t="str">
        <f ca="1">VLOOKUP($C65,OFFSET([1]quests!$A$1,0,0,COUNTA([1]quests!$A:$A),MATCH(D$1,[1]quests!$1:$1,0)-MATCH($C$1,[1]quests!$1:$1,0)+1),MATCH(D$1,[1]quests!$1:$1,0)-MATCH($C$1,[1]quests!$1:$1,0)+1,FALSE)</f>
        <v>チャレンジタワー(ソロ専用)</v>
      </c>
      <c r="E65" s="4" t="str">
        <f ca="1">VLOOKUP($C65,OFFSET([1]quests!$A$1,0,0,COUNTA([1]quests!$A:$A),MATCH(E$1,[1]quests!$1:$1,0)-MATCH($C$1,[1]quests!$1:$1,0)+1),MATCH(E$1,[1]quests!$1:$1,0)-MATCH($C$1,[1]quests!$1:$1,0)+1,FALSE)</f>
        <v>試練の塔</v>
      </c>
      <c r="F65" s="6">
        <v>6</v>
      </c>
      <c r="G65" s="4" t="str">
        <f ca="1">VLOOKUP($C65&amp;"_"&amp;$F65,OFFSET([1]stages!$A$1,0,0,COUNTA([1]stages!$A:$A),MATCH(G$1,[1]stages!$2:$2,0)-MATCH("temp_stage",[1]stages!$2:$2,0)+1),MATCH(G$1,[1]stages!$2:$2,0)-MATCH("temp_stage",[1]stages!$2:$2,0)+1,FALSE)</f>
        <v>チャレンジタワー 6F</v>
      </c>
      <c r="H65" s="4" t="str">
        <f ca="1">VLOOKUP($C65&amp;"_"&amp;$F65,OFFSET([1]stages!$A$1,0,0,COUNTA([1]stages!$A:$A),MATCH(H$1,[1]stages!$2:$2,0)-MATCH("temp_stage",[1]stages!$2:$2,0)+1),MATCH(H$1,[1]stages!$2:$2,0)-MATCH("temp_stage",[1]stages!$2:$2,0)+1,FALSE)</f>
        <v>試練の塔</v>
      </c>
      <c r="I65" s="19">
        <v>0</v>
      </c>
      <c r="J65">
        <v>19</v>
      </c>
      <c r="K65" s="6" t="s">
        <v>33</v>
      </c>
      <c r="L65" s="32" t="str">
        <f>VLOOKUP(J65,[2]stage_hints!$A:$C,3,FALSE)</f>
        <v>チャレンジタワー</v>
      </c>
      <c r="M65" s="33" t="str">
        <f>VLOOKUP(J65,[2]stage_hints!$A:$D,4,FALSE)</f>
        <v>「チャレンジタワー」をクリアすると_x000D_各フロアごとに報酬がもらえます</v>
      </c>
      <c r="N65" s="22" t="s">
        <v>34</v>
      </c>
      <c r="O65">
        <v>19</v>
      </c>
    </row>
    <row r="66" spans="1:15">
      <c r="A66" s="29" t="e">
        <f>C66&amp;"_"&amp;F66&amp;"_"&amp;#REF!</f>
        <v>#REF!</v>
      </c>
      <c r="B66" s="27" t="s">
        <v>32</v>
      </c>
      <c r="C66" s="5">
        <v>13001</v>
      </c>
      <c r="D66" s="4" t="str">
        <f ca="1">VLOOKUP($C66,OFFSET([1]quests!$A$1,0,0,COUNTA([1]quests!$A:$A),MATCH(D$1,[1]quests!$1:$1,0)-MATCH($C$1,[1]quests!$1:$1,0)+1),MATCH(D$1,[1]quests!$1:$1,0)-MATCH($C$1,[1]quests!$1:$1,0)+1,FALSE)</f>
        <v>チャレンジタワー(ソロ専用)</v>
      </c>
      <c r="E66" s="4" t="str">
        <f ca="1">VLOOKUP($C66,OFFSET([1]quests!$A$1,0,0,COUNTA([1]quests!$A:$A),MATCH(E$1,[1]quests!$1:$1,0)-MATCH($C$1,[1]quests!$1:$1,0)+1),MATCH(E$1,[1]quests!$1:$1,0)-MATCH($C$1,[1]quests!$1:$1,0)+1,FALSE)</f>
        <v>試練の塔</v>
      </c>
      <c r="F66" s="6">
        <v>6</v>
      </c>
      <c r="G66" s="4" t="str">
        <f ca="1">VLOOKUP($C66&amp;"_"&amp;$F66,OFFSET([1]stages!$A$1,0,0,COUNTA([1]stages!$A:$A),MATCH(G$1,[1]stages!$2:$2,0)-MATCH("temp_stage",[1]stages!$2:$2,0)+1),MATCH(G$1,[1]stages!$2:$2,0)-MATCH("temp_stage",[1]stages!$2:$2,0)+1,FALSE)</f>
        <v>チャレンジタワー 6F</v>
      </c>
      <c r="H66" s="4" t="str">
        <f ca="1">VLOOKUP($C66&amp;"_"&amp;$F66,OFFSET([1]stages!$A$1,0,0,COUNTA([1]stages!$A:$A),MATCH(H$1,[1]stages!$2:$2,0)-MATCH("temp_stage",[1]stages!$2:$2,0)+1),MATCH(H$1,[1]stages!$2:$2,0)-MATCH("temp_stage",[1]stages!$2:$2,0)+1,FALSE)</f>
        <v>試練の塔</v>
      </c>
      <c r="I66" s="19">
        <v>0</v>
      </c>
      <c r="J66">
        <v>20</v>
      </c>
      <c r="K66" s="6" t="s">
        <v>33</v>
      </c>
      <c r="L66" s="32" t="str">
        <f>VLOOKUP(J66,[2]stage_hints!$A:$C,3,FALSE)</f>
        <v>マルチプレイが熱い！　その3</v>
      </c>
      <c r="M66" s="33" t="str">
        <f>VLOOKUP(J66,[2]stage_hints!$A:$D,4,FALSE)</f>
        <v>マルチプレイへの参加は_x000D_エナジー消費がありません</v>
      </c>
      <c r="N66" s="22" t="s">
        <v>45</v>
      </c>
      <c r="O66">
        <v>20</v>
      </c>
    </row>
    <row r="67" spans="1:15">
      <c r="A67" s="29" t="e">
        <f>C67&amp;"_"&amp;F67&amp;"_"&amp;#REF!</f>
        <v>#REF!</v>
      </c>
      <c r="B67" s="27" t="s">
        <v>32</v>
      </c>
      <c r="C67" s="5">
        <v>13001</v>
      </c>
      <c r="D67" s="4" t="str">
        <f ca="1">VLOOKUP($C67,OFFSET([1]quests!$A$1,0,0,COUNTA([1]quests!$A:$A),MATCH(D$1,[1]quests!$1:$1,0)-MATCH($C$1,[1]quests!$1:$1,0)+1),MATCH(D$1,[1]quests!$1:$1,0)-MATCH($C$1,[1]quests!$1:$1,0)+1,FALSE)</f>
        <v>チャレンジタワー(ソロ専用)</v>
      </c>
      <c r="E67" s="4" t="str">
        <f ca="1">VLOOKUP($C67,OFFSET([1]quests!$A$1,0,0,COUNTA([1]quests!$A:$A),MATCH(E$1,[1]quests!$1:$1,0)-MATCH($C$1,[1]quests!$1:$1,0)+1),MATCH(E$1,[1]quests!$1:$1,0)-MATCH($C$1,[1]quests!$1:$1,0)+1,FALSE)</f>
        <v>試練の塔</v>
      </c>
      <c r="F67" s="6">
        <v>6</v>
      </c>
      <c r="G67" s="4" t="str">
        <f ca="1">VLOOKUP($C67&amp;"_"&amp;$F67,OFFSET([1]stages!$A$1,0,0,COUNTA([1]stages!$A:$A),MATCH(G$1,[1]stages!$2:$2,0)-MATCH("temp_stage",[1]stages!$2:$2,0)+1),MATCH(G$1,[1]stages!$2:$2,0)-MATCH("temp_stage",[1]stages!$2:$2,0)+1,FALSE)</f>
        <v>チャレンジタワー 6F</v>
      </c>
      <c r="H67" s="4" t="str">
        <f ca="1">VLOOKUP($C67&amp;"_"&amp;$F67,OFFSET([1]stages!$A$1,0,0,COUNTA([1]stages!$A:$A),MATCH(H$1,[1]stages!$2:$2,0)-MATCH("temp_stage",[1]stages!$2:$2,0)+1),MATCH(H$1,[1]stages!$2:$2,0)-MATCH("temp_stage",[1]stages!$2:$2,0)+1,FALSE)</f>
        <v>試練の塔</v>
      </c>
      <c r="I67" s="19">
        <v>0</v>
      </c>
      <c r="J67">
        <v>21</v>
      </c>
      <c r="K67" s="6" t="s">
        <v>33</v>
      </c>
      <c r="L67" s="32" t="str">
        <f>VLOOKUP(J67,[2]stage_hints!$A:$C,3,FALSE)</f>
        <v>スキルを有効に使おう</v>
      </c>
      <c r="M67" s="33" t="str">
        <f>VLOOKUP(J67,[2]stage_hints!$A:$D,4,FALSE)</f>
        <v>ターン経過でユニットは_x000D_強力なスキルが使えるようになります</v>
      </c>
      <c r="N67" s="22" t="s">
        <v>78</v>
      </c>
      <c r="O67">
        <v>21</v>
      </c>
    </row>
    <row r="68" spans="1:15">
      <c r="A68" s="29" t="e">
        <f>C68&amp;"_"&amp;F68&amp;"_"&amp;#REF!</f>
        <v>#REF!</v>
      </c>
      <c r="B68" s="27" t="s">
        <v>32</v>
      </c>
      <c r="C68" s="5">
        <v>13001</v>
      </c>
      <c r="D68" s="4" t="str">
        <f ca="1">VLOOKUP($C68,OFFSET([1]quests!$A$1,0,0,COUNTA([1]quests!$A:$A),MATCH(D$1,[1]quests!$1:$1,0)-MATCH($C$1,[1]quests!$1:$1,0)+1),MATCH(D$1,[1]quests!$1:$1,0)-MATCH($C$1,[1]quests!$1:$1,0)+1,FALSE)</f>
        <v>チャレンジタワー(ソロ専用)</v>
      </c>
      <c r="E68" s="4" t="str">
        <f ca="1">VLOOKUP($C68,OFFSET([1]quests!$A$1,0,0,COUNTA([1]quests!$A:$A),MATCH(E$1,[1]quests!$1:$1,0)-MATCH($C$1,[1]quests!$1:$1,0)+1),MATCH(E$1,[1]quests!$1:$1,0)-MATCH($C$1,[1]quests!$1:$1,0)+1,FALSE)</f>
        <v>試練の塔</v>
      </c>
      <c r="F68" s="6">
        <v>6</v>
      </c>
      <c r="G68" s="4" t="str">
        <f ca="1">VLOOKUP($C68&amp;"_"&amp;$F68,OFFSET([1]stages!$A$1,0,0,COUNTA([1]stages!$A:$A),MATCH(G$1,[1]stages!$2:$2,0)-MATCH("temp_stage",[1]stages!$2:$2,0)+1),MATCH(G$1,[1]stages!$2:$2,0)-MATCH("temp_stage",[1]stages!$2:$2,0)+1,FALSE)</f>
        <v>チャレンジタワー 6F</v>
      </c>
      <c r="H68" s="4" t="str">
        <f ca="1">VLOOKUP($C68&amp;"_"&amp;$F68,OFFSET([1]stages!$A$1,0,0,COUNTA([1]stages!$A:$A),MATCH(H$1,[1]stages!$2:$2,0)-MATCH("temp_stage",[1]stages!$2:$2,0)+1),MATCH(H$1,[1]stages!$2:$2,0)-MATCH("temp_stage",[1]stages!$2:$2,0)+1,FALSE)</f>
        <v>試練の塔</v>
      </c>
      <c r="I68" s="19">
        <v>0</v>
      </c>
      <c r="J68">
        <v>22</v>
      </c>
      <c r="K68" s="6" t="s">
        <v>33</v>
      </c>
      <c r="L68" s="32" t="str">
        <f>VLOOKUP(J68,[2]stage_hints!$A:$C,3,FALSE)</f>
        <v>フィーバーを使って一発逆転</v>
      </c>
      <c r="M68" s="33" t="str">
        <f>VLOOKUP(J68,[2]stage_hints!$A:$D,4,FALSE)</f>
        <v>ピンチの時はフィーバーで_x000D_一発逆転を狙いましょう</v>
      </c>
      <c r="N68" s="22" t="s">
        <v>83</v>
      </c>
      <c r="O68">
        <v>22</v>
      </c>
    </row>
    <row r="69" spans="1:15">
      <c r="A69" s="29" t="e">
        <f>C69&amp;"_"&amp;F69&amp;"_"&amp;#REF!</f>
        <v>#REF!</v>
      </c>
      <c r="B69" s="27" t="s">
        <v>32</v>
      </c>
      <c r="C69" s="5">
        <v>13001</v>
      </c>
      <c r="D69" s="4" t="str">
        <f ca="1">VLOOKUP($C69,OFFSET([1]quests!$A$1,0,0,COUNTA([1]quests!$A:$A),MATCH(D$1,[1]quests!$1:$1,0)-MATCH($C$1,[1]quests!$1:$1,0)+1),MATCH(D$1,[1]quests!$1:$1,0)-MATCH($C$1,[1]quests!$1:$1,0)+1,FALSE)</f>
        <v>チャレンジタワー(ソロ専用)</v>
      </c>
      <c r="E69" s="4" t="str">
        <f ca="1">VLOOKUP($C69,OFFSET([1]quests!$A$1,0,0,COUNTA([1]quests!$A:$A),MATCH(E$1,[1]quests!$1:$1,0)-MATCH($C$1,[1]quests!$1:$1,0)+1),MATCH(E$1,[1]quests!$1:$1,0)-MATCH($C$1,[1]quests!$1:$1,0)+1,FALSE)</f>
        <v>試練の塔</v>
      </c>
      <c r="F69" s="6">
        <v>6</v>
      </c>
      <c r="G69" s="4" t="str">
        <f ca="1">VLOOKUP($C69&amp;"_"&amp;$F69,OFFSET([1]stages!$A$1,0,0,COUNTA([1]stages!$A:$A),MATCH(G$1,[1]stages!$2:$2,0)-MATCH("temp_stage",[1]stages!$2:$2,0)+1),MATCH(G$1,[1]stages!$2:$2,0)-MATCH("temp_stage",[1]stages!$2:$2,0)+1,FALSE)</f>
        <v>チャレンジタワー 6F</v>
      </c>
      <c r="H69" s="4" t="str">
        <f ca="1">VLOOKUP($C69&amp;"_"&amp;$F69,OFFSET([1]stages!$A$1,0,0,COUNTA([1]stages!$A:$A),MATCH(H$1,[1]stages!$2:$2,0)-MATCH("temp_stage",[1]stages!$2:$2,0)+1),MATCH(H$1,[1]stages!$2:$2,0)-MATCH("temp_stage",[1]stages!$2:$2,0)+1,FALSE)</f>
        <v>試練の塔</v>
      </c>
      <c r="I69" s="19">
        <v>0</v>
      </c>
      <c r="J69">
        <v>23</v>
      </c>
      <c r="K69" s="6" t="s">
        <v>33</v>
      </c>
      <c r="L69" s="32" t="str">
        <f>VLOOKUP(J69,[2]stage_hints!$A:$C,3,FALSE)</f>
        <v>フィーバーは虹パネルを狙おう！</v>
      </c>
      <c r="M69" s="33" t="str">
        <f>VLOOKUP(J69,[2]stage_hints!$A:$D,4,FALSE)</f>
        <v>フィーバー中は虹色のパネルを壊して_x000D_大ダメージを狙いましょう</v>
      </c>
      <c r="N69" s="22" t="s">
        <v>34</v>
      </c>
      <c r="O69">
        <v>23</v>
      </c>
    </row>
    <row r="70" spans="1:15">
      <c r="A70" s="29" t="e">
        <f>C70&amp;"_"&amp;F70&amp;"_"&amp;#REF!</f>
        <v>#REF!</v>
      </c>
      <c r="B70" s="27" t="s">
        <v>32</v>
      </c>
      <c r="C70" s="5">
        <v>13001</v>
      </c>
      <c r="D70" s="4" t="str">
        <f ca="1">VLOOKUP($C70,OFFSET([1]quests!$A$1,0,0,COUNTA([1]quests!$A:$A),MATCH(D$1,[1]quests!$1:$1,0)-MATCH($C$1,[1]quests!$1:$1,0)+1),MATCH(D$1,[1]quests!$1:$1,0)-MATCH($C$1,[1]quests!$1:$1,0)+1,FALSE)</f>
        <v>チャレンジタワー(ソロ専用)</v>
      </c>
      <c r="E70" s="4" t="str">
        <f ca="1">VLOOKUP($C70,OFFSET([1]quests!$A$1,0,0,COUNTA([1]quests!$A:$A),MATCH(E$1,[1]quests!$1:$1,0)-MATCH($C$1,[1]quests!$1:$1,0)+1),MATCH(E$1,[1]quests!$1:$1,0)-MATCH($C$1,[1]quests!$1:$1,0)+1,FALSE)</f>
        <v>試練の塔</v>
      </c>
      <c r="F70" s="6">
        <v>6</v>
      </c>
      <c r="G70" s="4" t="str">
        <f ca="1">VLOOKUP($C70&amp;"_"&amp;$F70,OFFSET([1]stages!$A$1,0,0,COUNTA([1]stages!$A:$A),MATCH(G$1,[1]stages!$2:$2,0)-MATCH("temp_stage",[1]stages!$2:$2,0)+1),MATCH(G$1,[1]stages!$2:$2,0)-MATCH("temp_stage",[1]stages!$2:$2,0)+1,FALSE)</f>
        <v>チャレンジタワー 6F</v>
      </c>
      <c r="H70" s="4" t="str">
        <f ca="1">VLOOKUP($C70&amp;"_"&amp;$F70,OFFSET([1]stages!$A$1,0,0,COUNTA([1]stages!$A:$A),MATCH(H$1,[1]stages!$2:$2,0)-MATCH("temp_stage",[1]stages!$2:$2,0)+1),MATCH(H$1,[1]stages!$2:$2,0)-MATCH("temp_stage",[1]stages!$2:$2,0)+1,FALSE)</f>
        <v>試練の塔</v>
      </c>
      <c r="I70" s="19">
        <v>0</v>
      </c>
      <c r="J70">
        <v>24</v>
      </c>
      <c r="K70" s="6" t="s">
        <v>33</v>
      </c>
      <c r="L70" s="32" t="str">
        <f>VLOOKUP(J70,[2]stage_hints!$A:$C,3,FALSE)</f>
        <v>リンゴをつかって限界突破！</v>
      </c>
      <c r="M70" s="33" t="str">
        <f>VLOOKUP(J70,[2]stage_hints!$A:$D,4,FALSE)</f>
        <v>赤りんご(攻撃力)、青りんご(回復力)、_x000D_緑りんご(体力)は_x000D_合計99個までステータスを上げられます</v>
      </c>
      <c r="N70" s="22" t="s">
        <v>89</v>
      </c>
      <c r="O70">
        <v>24</v>
      </c>
    </row>
    <row r="71" spans="1:15">
      <c r="A71" s="29" t="e">
        <f>C71&amp;"_"&amp;F71&amp;"_"&amp;#REF!</f>
        <v>#REF!</v>
      </c>
      <c r="B71" s="27" t="s">
        <v>32</v>
      </c>
      <c r="C71" s="5">
        <v>13001</v>
      </c>
      <c r="D71" s="4" t="str">
        <f ca="1">VLOOKUP($C71,OFFSET([1]quests!$A$1,0,0,COUNTA([1]quests!$A:$A),MATCH(D$1,[1]quests!$1:$1,0)-MATCH($C$1,[1]quests!$1:$1,0)+1),MATCH(D$1,[1]quests!$1:$1,0)-MATCH($C$1,[1]quests!$1:$1,0)+1,FALSE)</f>
        <v>チャレンジタワー(ソロ専用)</v>
      </c>
      <c r="E71" s="4" t="str">
        <f ca="1">VLOOKUP($C71,OFFSET([1]quests!$A$1,0,0,COUNTA([1]quests!$A:$A),MATCH(E$1,[1]quests!$1:$1,0)-MATCH($C$1,[1]quests!$1:$1,0)+1),MATCH(E$1,[1]quests!$1:$1,0)-MATCH($C$1,[1]quests!$1:$1,0)+1,FALSE)</f>
        <v>試練の塔</v>
      </c>
      <c r="F71" s="6">
        <v>7</v>
      </c>
      <c r="G71" s="4" t="str">
        <f ca="1">VLOOKUP($C71&amp;"_"&amp;$F71,OFFSET([1]stages!$A$1,0,0,COUNTA([1]stages!$A:$A),MATCH(G$1,[1]stages!$2:$2,0)-MATCH("temp_stage",[1]stages!$2:$2,0)+1),MATCH(G$1,[1]stages!$2:$2,0)-MATCH("temp_stage",[1]stages!$2:$2,0)+1,FALSE)</f>
        <v>チャレンジタワー 7F</v>
      </c>
      <c r="H71" s="4" t="str">
        <f ca="1">VLOOKUP($C71&amp;"_"&amp;$F71,OFFSET([1]stages!$A$1,0,0,COUNTA([1]stages!$A:$A),MATCH(H$1,[1]stages!$2:$2,0)-MATCH("temp_stage",[1]stages!$2:$2,0)+1),MATCH(H$1,[1]stages!$2:$2,0)-MATCH("temp_stage",[1]stages!$2:$2,0)+1,FALSE)</f>
        <v>試練の塔</v>
      </c>
      <c r="I71" s="19">
        <v>0</v>
      </c>
      <c r="J71">
        <v>3</v>
      </c>
      <c r="K71" s="6" t="s">
        <v>33</v>
      </c>
      <c r="L71" s="32" t="str">
        <f>VLOOKUP(J71,[2]stage_hints!$A:$C,3,FALSE)</f>
        <v>ターゲット</v>
      </c>
      <c r="M71" s="33" t="str">
        <f>VLOOKUP(J71,[2]stage_hints!$A:$D,4,FALSE)</f>
        <v>敵ユニットをタップすると_x000D_その敵を狙い撃ちできます</v>
      </c>
      <c r="N71" s="22" t="s">
        <v>39</v>
      </c>
      <c r="O71">
        <v>3</v>
      </c>
    </row>
    <row r="72" spans="1:15">
      <c r="A72" s="29" t="e">
        <f>C72&amp;"_"&amp;F72&amp;"_"&amp;#REF!</f>
        <v>#REF!</v>
      </c>
      <c r="B72" s="27" t="s">
        <v>32</v>
      </c>
      <c r="C72" s="5">
        <v>13001</v>
      </c>
      <c r="D72" s="4" t="str">
        <f ca="1">VLOOKUP($C72,OFFSET([1]quests!$A$1,0,0,COUNTA([1]quests!$A:$A),MATCH(D$1,[1]quests!$1:$1,0)-MATCH($C$1,[1]quests!$1:$1,0)+1),MATCH(D$1,[1]quests!$1:$1,0)-MATCH($C$1,[1]quests!$1:$1,0)+1,FALSE)</f>
        <v>チャレンジタワー(ソロ専用)</v>
      </c>
      <c r="E72" s="4" t="str">
        <f ca="1">VLOOKUP($C72,OFFSET([1]quests!$A$1,0,0,COUNTA([1]quests!$A:$A),MATCH(E$1,[1]quests!$1:$1,0)-MATCH($C$1,[1]quests!$1:$1,0)+1),MATCH(E$1,[1]quests!$1:$1,0)-MATCH($C$1,[1]quests!$1:$1,0)+1,FALSE)</f>
        <v>試練の塔</v>
      </c>
      <c r="F72" s="6">
        <v>7</v>
      </c>
      <c r="G72" s="4" t="str">
        <f ca="1">VLOOKUP($C72&amp;"_"&amp;$F72,OFFSET([1]stages!$A$1,0,0,COUNTA([1]stages!$A:$A),MATCH(G$1,[1]stages!$2:$2,0)-MATCH("temp_stage",[1]stages!$2:$2,0)+1),MATCH(G$1,[1]stages!$2:$2,0)-MATCH("temp_stage",[1]stages!$2:$2,0)+1,FALSE)</f>
        <v>チャレンジタワー 7F</v>
      </c>
      <c r="H72" s="4" t="str">
        <f ca="1">VLOOKUP($C72&amp;"_"&amp;$F72,OFFSET([1]stages!$A$1,0,0,COUNTA([1]stages!$A:$A),MATCH(H$1,[1]stages!$2:$2,0)-MATCH("temp_stage",[1]stages!$2:$2,0)+1),MATCH(H$1,[1]stages!$2:$2,0)-MATCH("temp_stage",[1]stages!$2:$2,0)+1,FALSE)</f>
        <v>試練の塔</v>
      </c>
      <c r="I72" s="19">
        <v>0</v>
      </c>
      <c r="J72">
        <v>5</v>
      </c>
      <c r="K72" s="6" t="s">
        <v>33</v>
      </c>
      <c r="L72" s="32" t="str">
        <f>VLOOKUP(J72,[2]stage_hints!$A:$C,3,FALSE)</f>
        <v>ユニット強化</v>
      </c>
      <c r="M72" s="33" t="str">
        <f>VLOOKUP(J72,[2]stage_hints!$A:$D,4,FALSE)</f>
        <v>「ユニット強化」でレベルアップすると_x000D_勝てない敵にも勝てるようになります</v>
      </c>
      <c r="N72" s="22" t="s">
        <v>84</v>
      </c>
      <c r="O72">
        <v>5</v>
      </c>
    </row>
    <row r="73" spans="1:15">
      <c r="A73" s="29" t="e">
        <f>C73&amp;"_"&amp;F73&amp;"_"&amp;#REF!</f>
        <v>#REF!</v>
      </c>
      <c r="B73" s="27" t="s">
        <v>32</v>
      </c>
      <c r="C73" s="5">
        <v>13001</v>
      </c>
      <c r="D73" s="4" t="str">
        <f ca="1">VLOOKUP($C73,OFFSET([1]quests!$A$1,0,0,COUNTA([1]quests!$A:$A),MATCH(D$1,[1]quests!$1:$1,0)-MATCH($C$1,[1]quests!$1:$1,0)+1),MATCH(D$1,[1]quests!$1:$1,0)-MATCH($C$1,[1]quests!$1:$1,0)+1,FALSE)</f>
        <v>チャレンジタワー(ソロ専用)</v>
      </c>
      <c r="E73" s="4" t="str">
        <f ca="1">VLOOKUP($C73,OFFSET([1]quests!$A$1,0,0,COUNTA([1]quests!$A:$A),MATCH(E$1,[1]quests!$1:$1,0)-MATCH($C$1,[1]quests!$1:$1,0)+1),MATCH(E$1,[1]quests!$1:$1,0)-MATCH($C$1,[1]quests!$1:$1,0)+1,FALSE)</f>
        <v>試練の塔</v>
      </c>
      <c r="F73" s="6">
        <v>7</v>
      </c>
      <c r="G73" s="4" t="str">
        <f ca="1">VLOOKUP($C73&amp;"_"&amp;$F73,OFFSET([1]stages!$A$1,0,0,COUNTA([1]stages!$A:$A),MATCH(G$1,[1]stages!$2:$2,0)-MATCH("temp_stage",[1]stages!$2:$2,0)+1),MATCH(G$1,[1]stages!$2:$2,0)-MATCH("temp_stage",[1]stages!$2:$2,0)+1,FALSE)</f>
        <v>チャレンジタワー 7F</v>
      </c>
      <c r="H73" s="4" t="str">
        <f ca="1">VLOOKUP($C73&amp;"_"&amp;$F73,OFFSET([1]stages!$A$1,0,0,COUNTA([1]stages!$A:$A),MATCH(H$1,[1]stages!$2:$2,0)-MATCH("temp_stage",[1]stages!$2:$2,0)+1),MATCH(H$1,[1]stages!$2:$2,0)-MATCH("temp_stage",[1]stages!$2:$2,0)+1,FALSE)</f>
        <v>試練の塔</v>
      </c>
      <c r="I73" s="19">
        <v>0</v>
      </c>
      <c r="J73">
        <v>6</v>
      </c>
      <c r="K73" s="6" t="s">
        <v>33</v>
      </c>
      <c r="L73" s="32" t="str">
        <f>VLOOKUP(J73,[2]stage_hints!$A:$C,3,FALSE)</f>
        <v>強化の属性ボーナス</v>
      </c>
      <c r="M73" s="33" t="str">
        <f>VLOOKUP(J73,[2]stage_hints!$A:$D,4,FALSE)</f>
        <v>同属性ユニットを強化素材にすると_x000D_経験値が多くもらえます</v>
      </c>
      <c r="N73" s="22" t="s">
        <v>71</v>
      </c>
      <c r="O73">
        <v>6</v>
      </c>
    </row>
    <row r="74" spans="1:15">
      <c r="A74" s="29" t="e">
        <f>C74&amp;"_"&amp;F74&amp;"_"&amp;#REF!</f>
        <v>#REF!</v>
      </c>
      <c r="B74" s="27" t="s">
        <v>32</v>
      </c>
      <c r="C74" s="5">
        <v>13001</v>
      </c>
      <c r="D74" s="4" t="str">
        <f ca="1">VLOOKUP($C74,OFFSET([1]quests!$A$1,0,0,COUNTA([1]quests!$A:$A),MATCH(D$1,[1]quests!$1:$1,0)-MATCH($C$1,[1]quests!$1:$1,0)+1),MATCH(D$1,[1]quests!$1:$1,0)-MATCH($C$1,[1]quests!$1:$1,0)+1,FALSE)</f>
        <v>チャレンジタワー(ソロ専用)</v>
      </c>
      <c r="E74" s="4" t="str">
        <f ca="1">VLOOKUP($C74,OFFSET([1]quests!$A$1,0,0,COUNTA([1]quests!$A:$A),MATCH(E$1,[1]quests!$1:$1,0)-MATCH($C$1,[1]quests!$1:$1,0)+1),MATCH(E$1,[1]quests!$1:$1,0)-MATCH($C$1,[1]quests!$1:$1,0)+1,FALSE)</f>
        <v>試練の塔</v>
      </c>
      <c r="F74" s="6">
        <v>7</v>
      </c>
      <c r="G74" s="4" t="str">
        <f ca="1">VLOOKUP($C74&amp;"_"&amp;$F74,OFFSET([1]stages!$A$1,0,0,COUNTA([1]stages!$A:$A),MATCH(G$1,[1]stages!$2:$2,0)-MATCH("temp_stage",[1]stages!$2:$2,0)+1),MATCH(G$1,[1]stages!$2:$2,0)-MATCH("temp_stage",[1]stages!$2:$2,0)+1,FALSE)</f>
        <v>チャレンジタワー 7F</v>
      </c>
      <c r="H74" s="4" t="str">
        <f ca="1">VLOOKUP($C74&amp;"_"&amp;$F74,OFFSET([1]stages!$A$1,0,0,COUNTA([1]stages!$A:$A),MATCH(H$1,[1]stages!$2:$2,0)-MATCH("temp_stage",[1]stages!$2:$2,0)+1),MATCH(H$1,[1]stages!$2:$2,0)-MATCH("temp_stage",[1]stages!$2:$2,0)+1,FALSE)</f>
        <v>試練の塔</v>
      </c>
      <c r="I74" s="19">
        <v>0</v>
      </c>
      <c r="J74">
        <v>7</v>
      </c>
      <c r="K74" s="6" t="s">
        <v>33</v>
      </c>
      <c r="L74" s="32" t="str">
        <f>VLOOKUP(J74,[2]stage_hints!$A:$C,3,FALSE)</f>
        <v>メタルダックをつかって強化しよう！</v>
      </c>
      <c r="M74" s="33" t="str">
        <f>VLOOKUP(J74,[2]stage_hints!$A:$D,4,FALSE)</f>
        <v>「メタルなアヒル」を強化素材にすると_x000D_大量の経験値がもらえます</v>
      </c>
      <c r="N74" s="22" t="s">
        <v>72</v>
      </c>
      <c r="O74">
        <v>7</v>
      </c>
    </row>
    <row r="75" spans="1:15">
      <c r="A75" s="29" t="e">
        <f>C75&amp;"_"&amp;F75&amp;"_"&amp;#REF!</f>
        <v>#REF!</v>
      </c>
      <c r="B75" s="27" t="s">
        <v>32</v>
      </c>
      <c r="C75" s="5">
        <v>13001</v>
      </c>
      <c r="D75" s="4" t="str">
        <f ca="1">VLOOKUP($C75,OFFSET([1]quests!$A$1,0,0,COUNTA([1]quests!$A:$A),MATCH(D$1,[1]quests!$1:$1,0)-MATCH($C$1,[1]quests!$1:$1,0)+1),MATCH(D$1,[1]quests!$1:$1,0)-MATCH($C$1,[1]quests!$1:$1,0)+1,FALSE)</f>
        <v>チャレンジタワー(ソロ専用)</v>
      </c>
      <c r="E75" s="4" t="str">
        <f ca="1">VLOOKUP($C75,OFFSET([1]quests!$A$1,0,0,COUNTA([1]quests!$A:$A),MATCH(E$1,[1]quests!$1:$1,0)-MATCH($C$1,[1]quests!$1:$1,0)+1),MATCH(E$1,[1]quests!$1:$1,0)-MATCH($C$1,[1]quests!$1:$1,0)+1,FALSE)</f>
        <v>試練の塔</v>
      </c>
      <c r="F75" s="6">
        <v>7</v>
      </c>
      <c r="G75" s="4" t="str">
        <f ca="1">VLOOKUP($C75&amp;"_"&amp;$F75,OFFSET([1]stages!$A$1,0,0,COUNTA([1]stages!$A:$A),MATCH(G$1,[1]stages!$2:$2,0)-MATCH("temp_stage",[1]stages!$2:$2,0)+1),MATCH(G$1,[1]stages!$2:$2,0)-MATCH("temp_stage",[1]stages!$2:$2,0)+1,FALSE)</f>
        <v>チャレンジタワー 7F</v>
      </c>
      <c r="H75" s="4" t="str">
        <f ca="1">VLOOKUP($C75&amp;"_"&amp;$F75,OFFSET([1]stages!$A$1,0,0,COUNTA([1]stages!$A:$A),MATCH(H$1,[1]stages!$2:$2,0)-MATCH("temp_stage",[1]stages!$2:$2,0)+1),MATCH(H$1,[1]stages!$2:$2,0)-MATCH("temp_stage",[1]stages!$2:$2,0)+1,FALSE)</f>
        <v>試練の塔</v>
      </c>
      <c r="I75" s="19">
        <v>0</v>
      </c>
      <c r="J75">
        <v>8</v>
      </c>
      <c r="K75" s="6" t="s">
        <v>33</v>
      </c>
      <c r="L75" s="32" t="str">
        <f>VLOOKUP(J75,[2]stage_hints!$A:$C,3,FALSE)</f>
        <v>ゲリラを見逃すな！</v>
      </c>
      <c r="M75" s="33" t="str">
        <f>VLOOKUP(J75,[2]stage_hints!$A:$D,4,FALSE)</f>
        <v>時間限定の「【緊急!!】アヒル捕獲作戦」では_x000D_経験値素材ユニットが多く手に入ります</v>
      </c>
      <c r="N75" s="22" t="s">
        <v>39</v>
      </c>
      <c r="O75">
        <v>8</v>
      </c>
    </row>
    <row r="76" spans="1:15">
      <c r="A76" s="29" t="e">
        <f>C76&amp;"_"&amp;F76&amp;"_"&amp;#REF!</f>
        <v>#REF!</v>
      </c>
      <c r="B76" s="27" t="s">
        <v>32</v>
      </c>
      <c r="C76" s="5">
        <v>13001</v>
      </c>
      <c r="D76" s="4" t="str">
        <f ca="1">VLOOKUP($C76,OFFSET([1]quests!$A$1,0,0,COUNTA([1]quests!$A:$A),MATCH(D$1,[1]quests!$1:$1,0)-MATCH($C$1,[1]quests!$1:$1,0)+1),MATCH(D$1,[1]quests!$1:$1,0)-MATCH($C$1,[1]quests!$1:$1,0)+1,FALSE)</f>
        <v>チャレンジタワー(ソロ専用)</v>
      </c>
      <c r="E76" s="4" t="str">
        <f ca="1">VLOOKUP($C76,OFFSET([1]quests!$A$1,0,0,COUNTA([1]quests!$A:$A),MATCH(E$1,[1]quests!$1:$1,0)-MATCH($C$1,[1]quests!$1:$1,0)+1),MATCH(E$1,[1]quests!$1:$1,0)-MATCH($C$1,[1]quests!$1:$1,0)+1,FALSE)</f>
        <v>試練の塔</v>
      </c>
      <c r="F76" s="6">
        <v>7</v>
      </c>
      <c r="G76" s="4" t="str">
        <f ca="1">VLOOKUP($C76&amp;"_"&amp;$F76,OFFSET([1]stages!$A$1,0,0,COUNTA([1]stages!$A:$A),MATCH(G$1,[1]stages!$2:$2,0)-MATCH("temp_stage",[1]stages!$2:$2,0)+1),MATCH(G$1,[1]stages!$2:$2,0)-MATCH("temp_stage",[1]stages!$2:$2,0)+1,FALSE)</f>
        <v>チャレンジタワー 7F</v>
      </c>
      <c r="H76" s="4" t="str">
        <f ca="1">VLOOKUP($C76&amp;"_"&amp;$F76,OFFSET([1]stages!$A$1,0,0,COUNTA([1]stages!$A:$A),MATCH(H$1,[1]stages!$2:$2,0)-MATCH("temp_stage",[1]stages!$2:$2,0)+1),MATCH(H$1,[1]stages!$2:$2,0)-MATCH("temp_stage",[1]stages!$2:$2,0)+1,FALSE)</f>
        <v>試練の塔</v>
      </c>
      <c r="I76" s="19">
        <v>0</v>
      </c>
      <c r="J76">
        <v>9</v>
      </c>
      <c r="K76" s="6" t="s">
        <v>33</v>
      </c>
      <c r="L76" s="32" t="str">
        <f>VLOOKUP(J76,[2]stage_hints!$A:$C,3,FALSE)</f>
        <v>ゴールドダックを売却すると大量ビット</v>
      </c>
      <c r="M76" s="33" t="str">
        <f>VLOOKUP(J76,[2]stage_hints!$A:$D,4,FALSE)</f>
        <v>「ゴールドなアヒル」を売却すると_x000D_大量のビットがもらえます</v>
      </c>
      <c r="N76" s="22" t="s">
        <v>41</v>
      </c>
      <c r="O76">
        <v>9</v>
      </c>
    </row>
    <row r="77" spans="1:15">
      <c r="A77" s="29" t="e">
        <f>C77&amp;"_"&amp;F77&amp;"_"&amp;#REF!</f>
        <v>#REF!</v>
      </c>
      <c r="B77" s="27" t="s">
        <v>32</v>
      </c>
      <c r="C77" s="5">
        <v>13001</v>
      </c>
      <c r="D77" s="4" t="str">
        <f ca="1">VLOOKUP($C77,OFFSET([1]quests!$A$1,0,0,COUNTA([1]quests!$A:$A),MATCH(D$1,[1]quests!$1:$1,0)-MATCH($C$1,[1]quests!$1:$1,0)+1),MATCH(D$1,[1]quests!$1:$1,0)-MATCH($C$1,[1]quests!$1:$1,0)+1,FALSE)</f>
        <v>チャレンジタワー(ソロ専用)</v>
      </c>
      <c r="E77" s="4" t="str">
        <f ca="1">VLOOKUP($C77,OFFSET([1]quests!$A$1,0,0,COUNTA([1]quests!$A:$A),MATCH(E$1,[1]quests!$1:$1,0)-MATCH($C$1,[1]quests!$1:$1,0)+1),MATCH(E$1,[1]quests!$1:$1,0)-MATCH($C$1,[1]quests!$1:$1,0)+1,FALSE)</f>
        <v>試練の塔</v>
      </c>
      <c r="F77" s="6">
        <v>7</v>
      </c>
      <c r="G77" s="4" t="str">
        <f ca="1">VLOOKUP($C77&amp;"_"&amp;$F77,OFFSET([1]stages!$A$1,0,0,COUNTA([1]stages!$A:$A),MATCH(G$1,[1]stages!$2:$2,0)-MATCH("temp_stage",[1]stages!$2:$2,0)+1),MATCH(G$1,[1]stages!$2:$2,0)-MATCH("temp_stage",[1]stages!$2:$2,0)+1,FALSE)</f>
        <v>チャレンジタワー 7F</v>
      </c>
      <c r="H77" s="4" t="str">
        <f ca="1">VLOOKUP($C77&amp;"_"&amp;$F77,OFFSET([1]stages!$A$1,0,0,COUNTA([1]stages!$A:$A),MATCH(H$1,[1]stages!$2:$2,0)-MATCH("temp_stage",[1]stages!$2:$2,0)+1),MATCH(H$1,[1]stages!$2:$2,0)-MATCH("temp_stage",[1]stages!$2:$2,0)+1,FALSE)</f>
        <v>試練の塔</v>
      </c>
      <c r="I77" s="19">
        <v>0</v>
      </c>
      <c r="J77">
        <v>10</v>
      </c>
      <c r="K77" s="6" t="s">
        <v>33</v>
      </c>
      <c r="L77" s="32" t="str">
        <f>VLOOKUP(J77,[2]stage_hints!$A:$C,3,FALSE)</f>
        <v>土日クエストで大量ビットをGET！！</v>
      </c>
      <c r="M77" s="33" t="str">
        <f>VLOOKUP(J77,[2]stage_hints!$A:$D,4,FALSE)</f>
        <v>土日限定の「ゴールドカジノ」では_x000D_売却素材ユニットが多く手に入ります</v>
      </c>
      <c r="N77" s="22" t="s">
        <v>34</v>
      </c>
      <c r="O77">
        <v>10</v>
      </c>
    </row>
    <row r="78" spans="1:15">
      <c r="A78" s="29" t="e">
        <f>C78&amp;"_"&amp;F78&amp;"_"&amp;#REF!</f>
        <v>#REF!</v>
      </c>
      <c r="B78" s="27" t="s">
        <v>32</v>
      </c>
      <c r="C78" s="5">
        <v>13001</v>
      </c>
      <c r="D78" s="4" t="str">
        <f ca="1">VLOOKUP($C78,OFFSET([1]quests!$A$1,0,0,COUNTA([1]quests!$A:$A),MATCH(D$1,[1]quests!$1:$1,0)-MATCH($C$1,[1]quests!$1:$1,0)+1),MATCH(D$1,[1]quests!$1:$1,0)-MATCH($C$1,[1]quests!$1:$1,0)+1,FALSE)</f>
        <v>チャレンジタワー(ソロ専用)</v>
      </c>
      <c r="E78" s="4" t="str">
        <f ca="1">VLOOKUP($C78,OFFSET([1]quests!$A$1,0,0,COUNTA([1]quests!$A:$A),MATCH(E$1,[1]quests!$1:$1,0)-MATCH($C$1,[1]quests!$1:$1,0)+1),MATCH(E$1,[1]quests!$1:$1,0)-MATCH($C$1,[1]quests!$1:$1,0)+1,FALSE)</f>
        <v>試練の塔</v>
      </c>
      <c r="F78" s="6">
        <v>7</v>
      </c>
      <c r="G78" s="4" t="str">
        <f ca="1">VLOOKUP($C78&amp;"_"&amp;$F78,OFFSET([1]stages!$A$1,0,0,COUNTA([1]stages!$A:$A),MATCH(G$1,[1]stages!$2:$2,0)-MATCH("temp_stage",[1]stages!$2:$2,0)+1),MATCH(G$1,[1]stages!$2:$2,0)-MATCH("temp_stage",[1]stages!$2:$2,0)+1,FALSE)</f>
        <v>チャレンジタワー 7F</v>
      </c>
      <c r="H78" s="4" t="str">
        <f ca="1">VLOOKUP($C78&amp;"_"&amp;$F78,OFFSET([1]stages!$A$1,0,0,COUNTA([1]stages!$A:$A),MATCH(H$1,[1]stages!$2:$2,0)-MATCH("temp_stage",[1]stages!$2:$2,0)+1),MATCH(H$1,[1]stages!$2:$2,0)-MATCH("temp_stage",[1]stages!$2:$2,0)+1,FALSE)</f>
        <v>試練の塔</v>
      </c>
      <c r="I78" s="19">
        <v>0</v>
      </c>
      <c r="J78">
        <v>11</v>
      </c>
      <c r="K78" s="6" t="s">
        <v>33</v>
      </c>
      <c r="L78" s="32" t="str">
        <f>VLOOKUP(J78,[2]stage_hints!$A:$C,3,FALSE)</f>
        <v>ランク開放クエスト</v>
      </c>
      <c r="M78" s="33" t="str">
        <f>VLOOKUP(J78,[2]stage_hints!$A:$D,4,FALSE)</f>
        <v>一定ランクに到達すると_x000D_報酬付きのランク開放クエストが現れます</v>
      </c>
      <c r="N78" s="22" t="s">
        <v>67</v>
      </c>
      <c r="O78">
        <v>11</v>
      </c>
    </row>
    <row r="79" spans="1:15">
      <c r="A79" s="29" t="e">
        <f>C79&amp;"_"&amp;F79&amp;"_"&amp;#REF!</f>
        <v>#REF!</v>
      </c>
      <c r="B79" s="27" t="s">
        <v>32</v>
      </c>
      <c r="C79" s="5">
        <v>13001</v>
      </c>
      <c r="D79" s="4" t="str">
        <f ca="1">VLOOKUP($C79,OFFSET([1]quests!$A$1,0,0,COUNTA([1]quests!$A:$A),MATCH(D$1,[1]quests!$1:$1,0)-MATCH($C$1,[1]quests!$1:$1,0)+1),MATCH(D$1,[1]quests!$1:$1,0)-MATCH($C$1,[1]quests!$1:$1,0)+1,FALSE)</f>
        <v>チャレンジタワー(ソロ専用)</v>
      </c>
      <c r="E79" s="4" t="str">
        <f ca="1">VLOOKUP($C79,OFFSET([1]quests!$A$1,0,0,COUNTA([1]quests!$A:$A),MATCH(E$1,[1]quests!$1:$1,0)-MATCH($C$1,[1]quests!$1:$1,0)+1),MATCH(E$1,[1]quests!$1:$1,0)-MATCH($C$1,[1]quests!$1:$1,0)+1,FALSE)</f>
        <v>試練の塔</v>
      </c>
      <c r="F79" s="6">
        <v>7</v>
      </c>
      <c r="G79" s="4" t="str">
        <f ca="1">VLOOKUP($C79&amp;"_"&amp;$F79,OFFSET([1]stages!$A$1,0,0,COUNTA([1]stages!$A:$A),MATCH(G$1,[1]stages!$2:$2,0)-MATCH("temp_stage",[1]stages!$2:$2,0)+1),MATCH(G$1,[1]stages!$2:$2,0)-MATCH("temp_stage",[1]stages!$2:$2,0)+1,FALSE)</f>
        <v>チャレンジタワー 7F</v>
      </c>
      <c r="H79" s="4" t="str">
        <f ca="1">VLOOKUP($C79&amp;"_"&amp;$F79,OFFSET([1]stages!$A$1,0,0,COUNTA([1]stages!$A:$A),MATCH(H$1,[1]stages!$2:$2,0)-MATCH("temp_stage",[1]stages!$2:$2,0)+1),MATCH(H$1,[1]stages!$2:$2,0)-MATCH("temp_stage",[1]stages!$2:$2,0)+1,FALSE)</f>
        <v>試練の塔</v>
      </c>
      <c r="I79" s="19">
        <v>0</v>
      </c>
      <c r="J79">
        <v>12</v>
      </c>
      <c r="K79" s="6" t="s">
        <v>33</v>
      </c>
      <c r="L79" s="32" t="str">
        <f>VLOOKUP(J79,[2]stage_hints!$A:$C,3,FALSE)</f>
        <v>お気に入り登録</v>
      </c>
      <c r="M79" s="33" t="str">
        <f>VLOOKUP(J79,[2]stage_hints!$A:$D,4,FALSE)</f>
        <v>大事なユニットは_x000D_フォルダから「お気に入り登録」しましょう</v>
      </c>
      <c r="N79" s="22" t="s">
        <v>34</v>
      </c>
      <c r="O79">
        <v>12</v>
      </c>
    </row>
    <row r="80" spans="1:15">
      <c r="A80" s="29" t="e">
        <f>C80&amp;"_"&amp;F80&amp;"_"&amp;#REF!</f>
        <v>#REF!</v>
      </c>
      <c r="B80" s="27" t="s">
        <v>32</v>
      </c>
      <c r="C80" s="5">
        <v>13001</v>
      </c>
      <c r="D80" s="4" t="str">
        <f ca="1">VLOOKUP($C80,OFFSET([1]quests!$A$1,0,0,COUNTA([1]quests!$A:$A),MATCH(D$1,[1]quests!$1:$1,0)-MATCH($C$1,[1]quests!$1:$1,0)+1),MATCH(D$1,[1]quests!$1:$1,0)-MATCH($C$1,[1]quests!$1:$1,0)+1,FALSE)</f>
        <v>チャレンジタワー(ソロ専用)</v>
      </c>
      <c r="E80" s="4" t="str">
        <f ca="1">VLOOKUP($C80,OFFSET([1]quests!$A$1,0,0,COUNTA([1]quests!$A:$A),MATCH(E$1,[1]quests!$1:$1,0)-MATCH($C$1,[1]quests!$1:$1,0)+1),MATCH(E$1,[1]quests!$1:$1,0)-MATCH($C$1,[1]quests!$1:$1,0)+1,FALSE)</f>
        <v>試練の塔</v>
      </c>
      <c r="F80" s="6">
        <v>7</v>
      </c>
      <c r="G80" s="4" t="str">
        <f ca="1">VLOOKUP($C80&amp;"_"&amp;$F80,OFFSET([1]stages!$A$1,0,0,COUNTA([1]stages!$A:$A),MATCH(G$1,[1]stages!$2:$2,0)-MATCH("temp_stage",[1]stages!$2:$2,0)+1),MATCH(G$1,[1]stages!$2:$2,0)-MATCH("temp_stage",[1]stages!$2:$2,0)+1,FALSE)</f>
        <v>チャレンジタワー 7F</v>
      </c>
      <c r="H80" s="4" t="str">
        <f ca="1">VLOOKUP($C80&amp;"_"&amp;$F80,OFFSET([1]stages!$A$1,0,0,COUNTA([1]stages!$A:$A),MATCH(H$1,[1]stages!$2:$2,0)-MATCH("temp_stage",[1]stages!$2:$2,0)+1),MATCH(H$1,[1]stages!$2:$2,0)-MATCH("temp_stage",[1]stages!$2:$2,0)+1,FALSE)</f>
        <v>試練の塔</v>
      </c>
      <c r="I80" s="19">
        <v>0</v>
      </c>
      <c r="J80">
        <v>13</v>
      </c>
      <c r="K80" s="6" t="s">
        <v>33</v>
      </c>
      <c r="L80" s="32" t="str">
        <f>VLOOKUP(J80,[2]stage_hints!$A:$C,3,FALSE)</f>
        <v>ユニットを覚醒させよう！</v>
      </c>
      <c r="M80" s="33" t="str">
        <f>VLOOKUP(J80,[2]stage_hints!$A:$D,4,FALSE)</f>
        <v>ユニットを覚醒させると_x000D_比べものにならない強さが手に入ります</v>
      </c>
      <c r="N80" s="22" t="s">
        <v>53</v>
      </c>
      <c r="O80">
        <v>13</v>
      </c>
    </row>
    <row r="81" spans="1:15">
      <c r="A81" s="29" t="e">
        <f>C81&amp;"_"&amp;F81&amp;"_"&amp;#REF!</f>
        <v>#REF!</v>
      </c>
      <c r="B81" s="27" t="s">
        <v>32</v>
      </c>
      <c r="C81" s="5">
        <v>13001</v>
      </c>
      <c r="D81" s="4" t="str">
        <f ca="1">VLOOKUP($C81,OFFSET([1]quests!$A$1,0,0,COUNTA([1]quests!$A:$A),MATCH(D$1,[1]quests!$1:$1,0)-MATCH($C$1,[1]quests!$1:$1,0)+1),MATCH(D$1,[1]quests!$1:$1,0)-MATCH($C$1,[1]quests!$1:$1,0)+1,FALSE)</f>
        <v>チャレンジタワー(ソロ専用)</v>
      </c>
      <c r="E81" s="4" t="str">
        <f ca="1">VLOOKUP($C81,OFFSET([1]quests!$A$1,0,0,COUNTA([1]quests!$A:$A),MATCH(E$1,[1]quests!$1:$1,0)-MATCH($C$1,[1]quests!$1:$1,0)+1),MATCH(E$1,[1]quests!$1:$1,0)-MATCH($C$1,[1]quests!$1:$1,0)+1,FALSE)</f>
        <v>試練の塔</v>
      </c>
      <c r="F81" s="6">
        <v>7</v>
      </c>
      <c r="G81" s="4" t="str">
        <f ca="1">VLOOKUP($C81&amp;"_"&amp;$F81,OFFSET([1]stages!$A$1,0,0,COUNTA([1]stages!$A:$A),MATCH(G$1,[1]stages!$2:$2,0)-MATCH("temp_stage",[1]stages!$2:$2,0)+1),MATCH(G$1,[1]stages!$2:$2,0)-MATCH("temp_stage",[1]stages!$2:$2,0)+1,FALSE)</f>
        <v>チャレンジタワー 7F</v>
      </c>
      <c r="H81" s="4" t="str">
        <f ca="1">VLOOKUP($C81&amp;"_"&amp;$F81,OFFSET([1]stages!$A$1,0,0,COUNTA([1]stages!$A:$A),MATCH(H$1,[1]stages!$2:$2,0)-MATCH("temp_stage",[1]stages!$2:$2,0)+1),MATCH(H$1,[1]stages!$2:$2,0)-MATCH("temp_stage",[1]stages!$2:$2,0)+1,FALSE)</f>
        <v>試練の塔</v>
      </c>
      <c r="I81" s="19">
        <v>0</v>
      </c>
      <c r="J81">
        <v>14</v>
      </c>
      <c r="K81" s="6" t="s">
        <v>33</v>
      </c>
      <c r="L81" s="32" t="str">
        <f>VLOOKUP(J81,[2]stage_hints!$A:$C,3,FALSE)</f>
        <v>覚醒するにはレベルをMAXに！</v>
      </c>
      <c r="M81" s="33" t="str">
        <f>VLOOKUP(J81,[2]stage_hints!$A:$D,4,FALSE)</f>
        <v>覚醒するにはユニットのレベルを_x000D_最大まで上げる必要があります</v>
      </c>
      <c r="N81" s="22" t="s">
        <v>34</v>
      </c>
      <c r="O81">
        <v>14</v>
      </c>
    </row>
    <row r="82" spans="1:15">
      <c r="A82" s="29" t="e">
        <f>C82&amp;"_"&amp;F82&amp;"_"&amp;#REF!</f>
        <v>#REF!</v>
      </c>
      <c r="B82" s="27" t="s">
        <v>32</v>
      </c>
      <c r="C82" s="5">
        <v>13001</v>
      </c>
      <c r="D82" s="4" t="str">
        <f ca="1">VLOOKUP($C82,OFFSET([1]quests!$A$1,0,0,COUNTA([1]quests!$A:$A),MATCH(D$1,[1]quests!$1:$1,0)-MATCH($C$1,[1]quests!$1:$1,0)+1),MATCH(D$1,[1]quests!$1:$1,0)-MATCH($C$1,[1]quests!$1:$1,0)+1,FALSE)</f>
        <v>チャレンジタワー(ソロ専用)</v>
      </c>
      <c r="E82" s="4" t="str">
        <f ca="1">VLOOKUP($C82,OFFSET([1]quests!$A$1,0,0,COUNTA([1]quests!$A:$A),MATCH(E$1,[1]quests!$1:$1,0)-MATCH($C$1,[1]quests!$1:$1,0)+1),MATCH(E$1,[1]quests!$1:$1,0)-MATCH($C$1,[1]quests!$1:$1,0)+1,FALSE)</f>
        <v>試練の塔</v>
      </c>
      <c r="F82" s="6">
        <v>7</v>
      </c>
      <c r="G82" s="4" t="str">
        <f ca="1">VLOOKUP($C82&amp;"_"&amp;$F82,OFFSET([1]stages!$A$1,0,0,COUNTA([1]stages!$A:$A),MATCH(G$1,[1]stages!$2:$2,0)-MATCH("temp_stage",[1]stages!$2:$2,0)+1),MATCH(G$1,[1]stages!$2:$2,0)-MATCH("temp_stage",[1]stages!$2:$2,0)+1,FALSE)</f>
        <v>チャレンジタワー 7F</v>
      </c>
      <c r="H82" s="4" t="str">
        <f ca="1">VLOOKUP($C82&amp;"_"&amp;$F82,OFFSET([1]stages!$A$1,0,0,COUNTA([1]stages!$A:$A),MATCH(H$1,[1]stages!$2:$2,0)-MATCH("temp_stage",[1]stages!$2:$2,0)+1),MATCH(H$1,[1]stages!$2:$2,0)-MATCH("temp_stage",[1]stages!$2:$2,0)+1,FALSE)</f>
        <v>試練の塔</v>
      </c>
      <c r="I82" s="19">
        <v>0</v>
      </c>
      <c r="J82">
        <v>15</v>
      </c>
      <c r="K82" s="6" t="s">
        <v>33</v>
      </c>
      <c r="L82" s="32" t="str">
        <f>VLOOKUP(J82,[2]stage_hints!$A:$C,3,FALSE)</f>
        <v>覚醒素材をGETしよう！</v>
      </c>
      <c r="M82" s="33" t="str">
        <f>VLOOKUP(J82,[2]stage_hints!$A:$D,4,FALSE)</f>
        <v>「曜日クエスト」では_x000D_覚醒に必要な覚醒素材が手に入ります</v>
      </c>
      <c r="N82" s="22" t="s">
        <v>89</v>
      </c>
      <c r="O82">
        <v>15</v>
      </c>
    </row>
    <row r="83" spans="1:15">
      <c r="A83" s="29" t="e">
        <f>C83&amp;"_"&amp;F83&amp;"_"&amp;#REF!</f>
        <v>#REF!</v>
      </c>
      <c r="B83" s="27" t="s">
        <v>32</v>
      </c>
      <c r="C83" s="5">
        <v>13001</v>
      </c>
      <c r="D83" s="4" t="str">
        <f ca="1">VLOOKUP($C83,OFFSET([1]quests!$A$1,0,0,COUNTA([1]quests!$A:$A),MATCH(D$1,[1]quests!$1:$1,0)-MATCH($C$1,[1]quests!$1:$1,0)+1),MATCH(D$1,[1]quests!$1:$1,0)-MATCH($C$1,[1]quests!$1:$1,0)+1,FALSE)</f>
        <v>チャレンジタワー(ソロ専用)</v>
      </c>
      <c r="E83" s="4" t="str">
        <f ca="1">VLOOKUP($C83,OFFSET([1]quests!$A$1,0,0,COUNTA([1]quests!$A:$A),MATCH(E$1,[1]quests!$1:$1,0)-MATCH($C$1,[1]quests!$1:$1,0)+1),MATCH(E$1,[1]quests!$1:$1,0)-MATCH($C$1,[1]quests!$1:$1,0)+1,FALSE)</f>
        <v>試練の塔</v>
      </c>
      <c r="F83" s="6">
        <v>7</v>
      </c>
      <c r="G83" s="4" t="str">
        <f ca="1">VLOOKUP($C83&amp;"_"&amp;$F83,OFFSET([1]stages!$A$1,0,0,COUNTA([1]stages!$A:$A),MATCH(G$1,[1]stages!$2:$2,0)-MATCH("temp_stage",[1]stages!$2:$2,0)+1),MATCH(G$1,[1]stages!$2:$2,0)-MATCH("temp_stage",[1]stages!$2:$2,0)+1,FALSE)</f>
        <v>チャレンジタワー 7F</v>
      </c>
      <c r="H83" s="4" t="str">
        <f ca="1">VLOOKUP($C83&amp;"_"&amp;$F83,OFFSET([1]stages!$A$1,0,0,COUNTA([1]stages!$A:$A),MATCH(H$1,[1]stages!$2:$2,0)-MATCH("temp_stage",[1]stages!$2:$2,0)+1),MATCH(H$1,[1]stages!$2:$2,0)-MATCH("temp_stage",[1]stages!$2:$2,0)+1,FALSE)</f>
        <v>試練の塔</v>
      </c>
      <c r="I83" s="19">
        <v>0</v>
      </c>
      <c r="J83">
        <v>16</v>
      </c>
      <c r="K83" s="6" t="s">
        <v>88</v>
      </c>
      <c r="L83" s="32" t="str">
        <f>VLOOKUP(J83,[2]stage_hints!$A:$C,3,FALSE)</f>
        <v>マルチプレイが熱い！　その1</v>
      </c>
      <c r="M83" s="33" t="str">
        <f>VLOOKUP(J83,[2]stage_hints!$A:$D,4,FALSE)</f>
        <v>マルチプレイをすると_x000D_初顔合わせボーナスで_x000D_100人までポリゴンがもらえます</v>
      </c>
      <c r="N83" s="22" t="s">
        <v>81</v>
      </c>
      <c r="O83">
        <v>16</v>
      </c>
    </row>
    <row r="84" spans="1:15">
      <c r="A84" s="29" t="e">
        <f>C84&amp;"_"&amp;F84&amp;"_"&amp;#REF!</f>
        <v>#REF!</v>
      </c>
      <c r="B84" s="27" t="s">
        <v>32</v>
      </c>
      <c r="C84" s="5">
        <v>13001</v>
      </c>
      <c r="D84" s="4" t="str">
        <f ca="1">VLOOKUP($C84,OFFSET([1]quests!$A$1,0,0,COUNTA([1]quests!$A:$A),MATCH(D$1,[1]quests!$1:$1,0)-MATCH($C$1,[1]quests!$1:$1,0)+1),MATCH(D$1,[1]quests!$1:$1,0)-MATCH($C$1,[1]quests!$1:$1,0)+1,FALSE)</f>
        <v>チャレンジタワー(ソロ専用)</v>
      </c>
      <c r="E84" s="4" t="str">
        <f ca="1">VLOOKUP($C84,OFFSET([1]quests!$A$1,0,0,COUNTA([1]quests!$A:$A),MATCH(E$1,[1]quests!$1:$1,0)-MATCH($C$1,[1]quests!$1:$1,0)+1),MATCH(E$1,[1]quests!$1:$1,0)-MATCH($C$1,[1]quests!$1:$1,0)+1,FALSE)</f>
        <v>試練の塔</v>
      </c>
      <c r="F84" s="6">
        <v>7</v>
      </c>
      <c r="G84" s="4" t="str">
        <f ca="1">VLOOKUP($C84&amp;"_"&amp;$F84,OFFSET([1]stages!$A$1,0,0,COUNTA([1]stages!$A:$A),MATCH(G$1,[1]stages!$2:$2,0)-MATCH("temp_stage",[1]stages!$2:$2,0)+1),MATCH(G$1,[1]stages!$2:$2,0)-MATCH("temp_stage",[1]stages!$2:$2,0)+1,FALSE)</f>
        <v>チャレンジタワー 7F</v>
      </c>
      <c r="H84" s="4" t="str">
        <f ca="1">VLOOKUP($C84&amp;"_"&amp;$F84,OFFSET([1]stages!$A$1,0,0,COUNTA([1]stages!$A:$A),MATCH(H$1,[1]stages!$2:$2,0)-MATCH("temp_stage",[1]stages!$2:$2,0)+1),MATCH(H$1,[1]stages!$2:$2,0)-MATCH("temp_stage",[1]stages!$2:$2,0)+1,FALSE)</f>
        <v>試練の塔</v>
      </c>
      <c r="I84" s="19">
        <v>0</v>
      </c>
      <c r="J84">
        <v>17</v>
      </c>
      <c r="K84" s="6" t="s">
        <v>33</v>
      </c>
      <c r="L84" s="32" t="str">
        <f>VLOOKUP(J84,[2]stage_hints!$A:$C,3,FALSE)</f>
        <v>リンクガチャを引いてみよう</v>
      </c>
      <c r="M84" s="33" t="str">
        <f>VLOOKUP(J84,[2]stage_hints!$A:$D,4,FALSE)</f>
        <v>リンクガチャを回して_x000D_メタルダックやゴールドダックを獲得しましょう</v>
      </c>
      <c r="N84" s="22" t="s">
        <v>70</v>
      </c>
      <c r="O84">
        <v>17</v>
      </c>
    </row>
    <row r="85" spans="1:15">
      <c r="A85" s="29" t="e">
        <f>C85&amp;"_"&amp;F85&amp;"_"&amp;#REF!</f>
        <v>#REF!</v>
      </c>
      <c r="B85" s="27" t="s">
        <v>32</v>
      </c>
      <c r="C85" s="5">
        <v>13001</v>
      </c>
      <c r="D85" s="4" t="str">
        <f ca="1">VLOOKUP($C85,OFFSET([1]quests!$A$1,0,0,COUNTA([1]quests!$A:$A),MATCH(D$1,[1]quests!$1:$1,0)-MATCH($C$1,[1]quests!$1:$1,0)+1),MATCH(D$1,[1]quests!$1:$1,0)-MATCH($C$1,[1]quests!$1:$1,0)+1,FALSE)</f>
        <v>チャレンジタワー(ソロ専用)</v>
      </c>
      <c r="E85" s="4" t="str">
        <f ca="1">VLOOKUP($C85,OFFSET([1]quests!$A$1,0,0,COUNTA([1]quests!$A:$A),MATCH(E$1,[1]quests!$1:$1,0)-MATCH($C$1,[1]quests!$1:$1,0)+1),MATCH(E$1,[1]quests!$1:$1,0)-MATCH($C$1,[1]quests!$1:$1,0)+1,FALSE)</f>
        <v>試練の塔</v>
      </c>
      <c r="F85" s="6">
        <v>7</v>
      </c>
      <c r="G85" s="4" t="str">
        <f ca="1">VLOOKUP($C85&amp;"_"&amp;$F85,OFFSET([1]stages!$A$1,0,0,COUNTA([1]stages!$A:$A),MATCH(G$1,[1]stages!$2:$2,0)-MATCH("temp_stage",[1]stages!$2:$2,0)+1),MATCH(G$1,[1]stages!$2:$2,0)-MATCH("temp_stage",[1]stages!$2:$2,0)+1,FALSE)</f>
        <v>チャレンジタワー 7F</v>
      </c>
      <c r="H85" s="4" t="str">
        <f ca="1">VLOOKUP($C85&amp;"_"&amp;$F85,OFFSET([1]stages!$A$1,0,0,COUNTA([1]stages!$A:$A),MATCH(H$1,[1]stages!$2:$2,0)-MATCH("temp_stage",[1]stages!$2:$2,0)+1),MATCH(H$1,[1]stages!$2:$2,0)-MATCH("temp_stage",[1]stages!$2:$2,0)+1,FALSE)</f>
        <v>試練の塔</v>
      </c>
      <c r="I85" s="19">
        <v>0</v>
      </c>
      <c r="J85">
        <v>18</v>
      </c>
      <c r="K85" s="6" t="s">
        <v>33</v>
      </c>
      <c r="L85" s="32" t="str">
        <f>VLOOKUP(J85,[2]stage_hints!$A:$C,3,FALSE)</f>
        <v>マルチプレイが熱い！　その2</v>
      </c>
      <c r="M85" s="33" t="str">
        <f>VLOOKUP(J85,[2]stage_hints!$A:$D,4,FALSE)</f>
        <v>マルチプレイなら_x000D_2倍のリンクがもらえます</v>
      </c>
      <c r="N85" s="22" t="s">
        <v>34</v>
      </c>
      <c r="O85">
        <v>18</v>
      </c>
    </row>
    <row r="86" spans="1:15">
      <c r="A86" s="29" t="e">
        <f>C86&amp;"_"&amp;F86&amp;"_"&amp;#REF!</f>
        <v>#REF!</v>
      </c>
      <c r="B86" s="27" t="s">
        <v>32</v>
      </c>
      <c r="C86" s="5">
        <v>13001</v>
      </c>
      <c r="D86" s="4" t="str">
        <f ca="1">VLOOKUP($C86,OFFSET([1]quests!$A$1,0,0,COUNTA([1]quests!$A:$A),MATCH(D$1,[1]quests!$1:$1,0)-MATCH($C$1,[1]quests!$1:$1,0)+1),MATCH(D$1,[1]quests!$1:$1,0)-MATCH($C$1,[1]quests!$1:$1,0)+1,FALSE)</f>
        <v>チャレンジタワー(ソロ専用)</v>
      </c>
      <c r="E86" s="4" t="str">
        <f ca="1">VLOOKUP($C86,OFFSET([1]quests!$A$1,0,0,COUNTA([1]quests!$A:$A),MATCH(E$1,[1]quests!$1:$1,0)-MATCH($C$1,[1]quests!$1:$1,0)+1),MATCH(E$1,[1]quests!$1:$1,0)-MATCH($C$1,[1]quests!$1:$1,0)+1,FALSE)</f>
        <v>試練の塔</v>
      </c>
      <c r="F86" s="6">
        <v>7</v>
      </c>
      <c r="G86" s="4" t="str">
        <f ca="1">VLOOKUP($C86&amp;"_"&amp;$F86,OFFSET([1]stages!$A$1,0,0,COUNTA([1]stages!$A:$A),MATCH(G$1,[1]stages!$2:$2,0)-MATCH("temp_stage",[1]stages!$2:$2,0)+1),MATCH(G$1,[1]stages!$2:$2,0)-MATCH("temp_stage",[1]stages!$2:$2,0)+1,FALSE)</f>
        <v>チャレンジタワー 7F</v>
      </c>
      <c r="H86" s="4" t="str">
        <f ca="1">VLOOKUP($C86&amp;"_"&amp;$F86,OFFSET([1]stages!$A$1,0,0,COUNTA([1]stages!$A:$A),MATCH(H$1,[1]stages!$2:$2,0)-MATCH("temp_stage",[1]stages!$2:$2,0)+1),MATCH(H$1,[1]stages!$2:$2,0)-MATCH("temp_stage",[1]stages!$2:$2,0)+1,FALSE)</f>
        <v>試練の塔</v>
      </c>
      <c r="I86" s="19">
        <v>0</v>
      </c>
      <c r="J86">
        <v>19</v>
      </c>
      <c r="K86" s="6" t="s">
        <v>33</v>
      </c>
      <c r="L86" s="32" t="str">
        <f>VLOOKUP(J86,[2]stage_hints!$A:$C,3,FALSE)</f>
        <v>チャレンジタワー</v>
      </c>
      <c r="M86" s="33" t="str">
        <f>VLOOKUP(J86,[2]stage_hints!$A:$D,4,FALSE)</f>
        <v>「チャレンジタワー」をクリアすると_x000D_各フロアごとに報酬がもらえます</v>
      </c>
      <c r="N86" s="22" t="s">
        <v>89</v>
      </c>
      <c r="O86">
        <v>19</v>
      </c>
    </row>
    <row r="87" spans="1:15">
      <c r="A87" s="29" t="e">
        <f>C87&amp;"_"&amp;F87&amp;"_"&amp;#REF!</f>
        <v>#REF!</v>
      </c>
      <c r="B87" s="27" t="s">
        <v>32</v>
      </c>
      <c r="C87" s="5">
        <v>13001</v>
      </c>
      <c r="D87" s="4" t="str">
        <f ca="1">VLOOKUP($C87,OFFSET([1]quests!$A$1,0,0,COUNTA([1]quests!$A:$A),MATCH(D$1,[1]quests!$1:$1,0)-MATCH($C$1,[1]quests!$1:$1,0)+1),MATCH(D$1,[1]quests!$1:$1,0)-MATCH($C$1,[1]quests!$1:$1,0)+1,FALSE)</f>
        <v>チャレンジタワー(ソロ専用)</v>
      </c>
      <c r="E87" s="4" t="str">
        <f ca="1">VLOOKUP($C87,OFFSET([1]quests!$A$1,0,0,COUNTA([1]quests!$A:$A),MATCH(E$1,[1]quests!$1:$1,0)-MATCH($C$1,[1]quests!$1:$1,0)+1),MATCH(E$1,[1]quests!$1:$1,0)-MATCH($C$1,[1]quests!$1:$1,0)+1,FALSE)</f>
        <v>試練の塔</v>
      </c>
      <c r="F87" s="6">
        <v>7</v>
      </c>
      <c r="G87" s="4" t="str">
        <f ca="1">VLOOKUP($C87&amp;"_"&amp;$F87,OFFSET([1]stages!$A$1,0,0,COUNTA([1]stages!$A:$A),MATCH(G$1,[1]stages!$2:$2,0)-MATCH("temp_stage",[1]stages!$2:$2,0)+1),MATCH(G$1,[1]stages!$2:$2,0)-MATCH("temp_stage",[1]stages!$2:$2,0)+1,FALSE)</f>
        <v>チャレンジタワー 7F</v>
      </c>
      <c r="H87" s="4" t="str">
        <f ca="1">VLOOKUP($C87&amp;"_"&amp;$F87,OFFSET([1]stages!$A$1,0,0,COUNTA([1]stages!$A:$A),MATCH(H$1,[1]stages!$2:$2,0)-MATCH("temp_stage",[1]stages!$2:$2,0)+1),MATCH(H$1,[1]stages!$2:$2,0)-MATCH("temp_stage",[1]stages!$2:$2,0)+1,FALSE)</f>
        <v>試練の塔</v>
      </c>
      <c r="I87" s="19">
        <v>0</v>
      </c>
      <c r="J87">
        <v>20</v>
      </c>
      <c r="K87" s="6" t="s">
        <v>33</v>
      </c>
      <c r="L87" s="32" t="str">
        <f>VLOOKUP(J87,[2]stage_hints!$A:$C,3,FALSE)</f>
        <v>マルチプレイが熱い！　その3</v>
      </c>
      <c r="M87" s="33" t="str">
        <f>VLOOKUP(J87,[2]stage_hints!$A:$D,4,FALSE)</f>
        <v>マルチプレイへの参加は_x000D_エナジー消費がありません</v>
      </c>
      <c r="N87" s="22" t="s">
        <v>89</v>
      </c>
      <c r="O87">
        <v>20</v>
      </c>
    </row>
    <row r="88" spans="1:15">
      <c r="A88" s="29" t="e">
        <f>C88&amp;"_"&amp;F88&amp;"_"&amp;#REF!</f>
        <v>#REF!</v>
      </c>
      <c r="B88" s="27" t="s">
        <v>32</v>
      </c>
      <c r="C88" s="5">
        <v>13001</v>
      </c>
      <c r="D88" s="4" t="str">
        <f ca="1">VLOOKUP($C88,OFFSET([1]quests!$A$1,0,0,COUNTA([1]quests!$A:$A),MATCH(D$1,[1]quests!$1:$1,0)-MATCH($C$1,[1]quests!$1:$1,0)+1),MATCH(D$1,[1]quests!$1:$1,0)-MATCH($C$1,[1]quests!$1:$1,0)+1,FALSE)</f>
        <v>チャレンジタワー(ソロ専用)</v>
      </c>
      <c r="E88" s="4" t="str">
        <f ca="1">VLOOKUP($C88,OFFSET([1]quests!$A$1,0,0,COUNTA([1]quests!$A:$A),MATCH(E$1,[1]quests!$1:$1,0)-MATCH($C$1,[1]quests!$1:$1,0)+1),MATCH(E$1,[1]quests!$1:$1,0)-MATCH($C$1,[1]quests!$1:$1,0)+1,FALSE)</f>
        <v>試練の塔</v>
      </c>
      <c r="F88" s="6">
        <v>7</v>
      </c>
      <c r="G88" s="4" t="str">
        <f ca="1">VLOOKUP($C88&amp;"_"&amp;$F88,OFFSET([1]stages!$A$1,0,0,COUNTA([1]stages!$A:$A),MATCH(G$1,[1]stages!$2:$2,0)-MATCH("temp_stage",[1]stages!$2:$2,0)+1),MATCH(G$1,[1]stages!$2:$2,0)-MATCH("temp_stage",[1]stages!$2:$2,0)+1,FALSE)</f>
        <v>チャレンジタワー 7F</v>
      </c>
      <c r="H88" s="4" t="str">
        <f ca="1">VLOOKUP($C88&amp;"_"&amp;$F88,OFFSET([1]stages!$A$1,0,0,COUNTA([1]stages!$A:$A),MATCH(H$1,[1]stages!$2:$2,0)-MATCH("temp_stage",[1]stages!$2:$2,0)+1),MATCH(H$1,[1]stages!$2:$2,0)-MATCH("temp_stage",[1]stages!$2:$2,0)+1,FALSE)</f>
        <v>試練の塔</v>
      </c>
      <c r="I88" s="19">
        <v>0</v>
      </c>
      <c r="J88">
        <v>21</v>
      </c>
      <c r="K88" s="6" t="s">
        <v>33</v>
      </c>
      <c r="L88" s="32" t="str">
        <f>VLOOKUP(J88,[2]stage_hints!$A:$C,3,FALSE)</f>
        <v>スキルを有効に使おう</v>
      </c>
      <c r="M88" s="33" t="str">
        <f>VLOOKUP(J88,[2]stage_hints!$A:$D,4,FALSE)</f>
        <v>ターン経過でユニットは_x000D_強力なスキルが使えるようになります</v>
      </c>
      <c r="N88" s="22" t="s">
        <v>78</v>
      </c>
      <c r="O88">
        <v>21</v>
      </c>
    </row>
    <row r="89" spans="1:15">
      <c r="A89" s="29" t="e">
        <f>C89&amp;"_"&amp;F89&amp;"_"&amp;#REF!</f>
        <v>#REF!</v>
      </c>
      <c r="B89" s="27" t="s">
        <v>32</v>
      </c>
      <c r="C89" s="5">
        <v>13001</v>
      </c>
      <c r="D89" s="4" t="str">
        <f ca="1">VLOOKUP($C89,OFFSET([1]quests!$A$1,0,0,COUNTA([1]quests!$A:$A),MATCH(D$1,[1]quests!$1:$1,0)-MATCH($C$1,[1]quests!$1:$1,0)+1),MATCH(D$1,[1]quests!$1:$1,0)-MATCH($C$1,[1]quests!$1:$1,0)+1,FALSE)</f>
        <v>チャレンジタワー(ソロ専用)</v>
      </c>
      <c r="E89" s="4" t="str">
        <f ca="1">VLOOKUP($C89,OFFSET([1]quests!$A$1,0,0,COUNTA([1]quests!$A:$A),MATCH(E$1,[1]quests!$1:$1,0)-MATCH($C$1,[1]quests!$1:$1,0)+1),MATCH(E$1,[1]quests!$1:$1,0)-MATCH($C$1,[1]quests!$1:$1,0)+1,FALSE)</f>
        <v>試練の塔</v>
      </c>
      <c r="F89" s="6">
        <v>7</v>
      </c>
      <c r="G89" s="4" t="str">
        <f ca="1">VLOOKUP($C89&amp;"_"&amp;$F89,OFFSET([1]stages!$A$1,0,0,COUNTA([1]stages!$A:$A),MATCH(G$1,[1]stages!$2:$2,0)-MATCH("temp_stage",[1]stages!$2:$2,0)+1),MATCH(G$1,[1]stages!$2:$2,0)-MATCH("temp_stage",[1]stages!$2:$2,0)+1,FALSE)</f>
        <v>チャレンジタワー 7F</v>
      </c>
      <c r="H89" s="4" t="str">
        <f ca="1">VLOOKUP($C89&amp;"_"&amp;$F89,OFFSET([1]stages!$A$1,0,0,COUNTA([1]stages!$A:$A),MATCH(H$1,[1]stages!$2:$2,0)-MATCH("temp_stage",[1]stages!$2:$2,0)+1),MATCH(H$1,[1]stages!$2:$2,0)-MATCH("temp_stage",[1]stages!$2:$2,0)+1,FALSE)</f>
        <v>試練の塔</v>
      </c>
      <c r="I89" s="19">
        <v>0</v>
      </c>
      <c r="J89">
        <v>22</v>
      </c>
      <c r="K89" s="6" t="s">
        <v>33</v>
      </c>
      <c r="L89" s="32" t="str">
        <f>VLOOKUP(J89,[2]stage_hints!$A:$C,3,FALSE)</f>
        <v>フィーバーを使って一発逆転</v>
      </c>
      <c r="M89" s="33" t="str">
        <f>VLOOKUP(J89,[2]stage_hints!$A:$D,4,FALSE)</f>
        <v>ピンチの時はフィーバーで_x000D_一発逆転を狙いましょう</v>
      </c>
      <c r="N89" s="22" t="s">
        <v>45</v>
      </c>
      <c r="O89">
        <v>22</v>
      </c>
    </row>
    <row r="90" spans="1:15">
      <c r="A90" s="29" t="e">
        <f>C90&amp;"_"&amp;F90&amp;"_"&amp;#REF!</f>
        <v>#REF!</v>
      </c>
      <c r="B90" s="27" t="s">
        <v>32</v>
      </c>
      <c r="C90" s="5">
        <v>13001</v>
      </c>
      <c r="D90" s="4" t="str">
        <f ca="1">VLOOKUP($C90,OFFSET([1]quests!$A$1,0,0,COUNTA([1]quests!$A:$A),MATCH(D$1,[1]quests!$1:$1,0)-MATCH($C$1,[1]quests!$1:$1,0)+1),MATCH(D$1,[1]quests!$1:$1,0)-MATCH($C$1,[1]quests!$1:$1,0)+1,FALSE)</f>
        <v>チャレンジタワー(ソロ専用)</v>
      </c>
      <c r="E90" s="4" t="str">
        <f ca="1">VLOOKUP($C90,OFFSET([1]quests!$A$1,0,0,COUNTA([1]quests!$A:$A),MATCH(E$1,[1]quests!$1:$1,0)-MATCH($C$1,[1]quests!$1:$1,0)+1),MATCH(E$1,[1]quests!$1:$1,0)-MATCH($C$1,[1]quests!$1:$1,0)+1,FALSE)</f>
        <v>試練の塔</v>
      </c>
      <c r="F90" s="6">
        <v>7</v>
      </c>
      <c r="G90" s="4" t="str">
        <f ca="1">VLOOKUP($C90&amp;"_"&amp;$F90,OFFSET([1]stages!$A$1,0,0,COUNTA([1]stages!$A:$A),MATCH(G$1,[1]stages!$2:$2,0)-MATCH("temp_stage",[1]stages!$2:$2,0)+1),MATCH(G$1,[1]stages!$2:$2,0)-MATCH("temp_stage",[1]stages!$2:$2,0)+1,FALSE)</f>
        <v>チャレンジタワー 7F</v>
      </c>
      <c r="H90" s="4" t="str">
        <f ca="1">VLOOKUP($C90&amp;"_"&amp;$F90,OFFSET([1]stages!$A$1,0,0,COUNTA([1]stages!$A:$A),MATCH(H$1,[1]stages!$2:$2,0)-MATCH("temp_stage",[1]stages!$2:$2,0)+1),MATCH(H$1,[1]stages!$2:$2,0)-MATCH("temp_stage",[1]stages!$2:$2,0)+1,FALSE)</f>
        <v>試練の塔</v>
      </c>
      <c r="I90" s="19">
        <v>0</v>
      </c>
      <c r="J90">
        <v>23</v>
      </c>
      <c r="K90" s="6" t="s">
        <v>44</v>
      </c>
      <c r="L90" s="32" t="str">
        <f>VLOOKUP(J90,[2]stage_hints!$A:$C,3,FALSE)</f>
        <v>フィーバーは虹パネルを狙おう！</v>
      </c>
      <c r="M90" s="33" t="str">
        <f>VLOOKUP(J90,[2]stage_hints!$A:$D,4,FALSE)</f>
        <v>フィーバー中は虹色のパネルを壊して_x000D_大ダメージを狙いましょう</v>
      </c>
      <c r="N90" s="22" t="s">
        <v>71</v>
      </c>
      <c r="O90">
        <v>23</v>
      </c>
    </row>
    <row r="91" spans="1:15">
      <c r="A91" s="29" t="e">
        <f>C91&amp;"_"&amp;F91&amp;"_"&amp;#REF!</f>
        <v>#REF!</v>
      </c>
      <c r="B91" s="27" t="s">
        <v>32</v>
      </c>
      <c r="C91" s="5">
        <v>13001</v>
      </c>
      <c r="D91" s="4" t="str">
        <f ca="1">VLOOKUP($C91,OFFSET([1]quests!$A$1,0,0,COUNTA([1]quests!$A:$A),MATCH(D$1,[1]quests!$1:$1,0)-MATCH($C$1,[1]quests!$1:$1,0)+1),MATCH(D$1,[1]quests!$1:$1,0)-MATCH($C$1,[1]quests!$1:$1,0)+1,FALSE)</f>
        <v>チャレンジタワー(ソロ専用)</v>
      </c>
      <c r="E91" s="4" t="str">
        <f ca="1">VLOOKUP($C91,OFFSET([1]quests!$A$1,0,0,COUNTA([1]quests!$A:$A),MATCH(E$1,[1]quests!$1:$1,0)-MATCH($C$1,[1]quests!$1:$1,0)+1),MATCH(E$1,[1]quests!$1:$1,0)-MATCH($C$1,[1]quests!$1:$1,0)+1,FALSE)</f>
        <v>試練の塔</v>
      </c>
      <c r="F91" s="6">
        <v>7</v>
      </c>
      <c r="G91" s="4" t="str">
        <f ca="1">VLOOKUP($C91&amp;"_"&amp;$F91,OFFSET([1]stages!$A$1,0,0,COUNTA([1]stages!$A:$A),MATCH(G$1,[1]stages!$2:$2,0)-MATCH("temp_stage",[1]stages!$2:$2,0)+1),MATCH(G$1,[1]stages!$2:$2,0)-MATCH("temp_stage",[1]stages!$2:$2,0)+1,FALSE)</f>
        <v>チャレンジタワー 7F</v>
      </c>
      <c r="H91" s="4" t="str">
        <f ca="1">VLOOKUP($C91&amp;"_"&amp;$F91,OFFSET([1]stages!$A$1,0,0,COUNTA([1]stages!$A:$A),MATCH(H$1,[1]stages!$2:$2,0)-MATCH("temp_stage",[1]stages!$2:$2,0)+1),MATCH(H$1,[1]stages!$2:$2,0)-MATCH("temp_stage",[1]stages!$2:$2,0)+1,FALSE)</f>
        <v>試練の塔</v>
      </c>
      <c r="I91" s="19">
        <v>0</v>
      </c>
      <c r="J91">
        <v>24</v>
      </c>
      <c r="K91" s="6" t="s">
        <v>33</v>
      </c>
      <c r="L91" s="32" t="str">
        <f>VLOOKUP(J91,[2]stage_hints!$A:$C,3,FALSE)</f>
        <v>リンゴをつかって限界突破！</v>
      </c>
      <c r="M91" s="33" t="str">
        <f>VLOOKUP(J91,[2]stage_hints!$A:$D,4,FALSE)</f>
        <v>赤りんご(攻撃力)、青りんご(回復力)、_x000D_緑りんご(体力)は_x000D_合計99個までステータスを上げられます</v>
      </c>
      <c r="N91" s="22" t="s">
        <v>34</v>
      </c>
      <c r="O91">
        <v>24</v>
      </c>
    </row>
    <row r="92" spans="1:15">
      <c r="A92" s="29" t="e">
        <f>C92&amp;"_"&amp;F92&amp;"_"&amp;#REF!</f>
        <v>#REF!</v>
      </c>
      <c r="B92" s="27" t="s">
        <v>32</v>
      </c>
      <c r="C92" s="5">
        <v>13001</v>
      </c>
      <c r="D92" s="4" t="str">
        <f ca="1">VLOOKUP($C92,OFFSET([1]quests!$A$1,0,0,COUNTA([1]quests!$A:$A),MATCH(D$1,[1]quests!$1:$1,0)-MATCH($C$1,[1]quests!$1:$1,0)+1),MATCH(D$1,[1]quests!$1:$1,0)-MATCH($C$1,[1]quests!$1:$1,0)+1,FALSE)</f>
        <v>チャレンジタワー(ソロ専用)</v>
      </c>
      <c r="E92" s="4" t="str">
        <f ca="1">VLOOKUP($C92,OFFSET([1]quests!$A$1,0,0,COUNTA([1]quests!$A:$A),MATCH(E$1,[1]quests!$1:$1,0)-MATCH($C$1,[1]quests!$1:$1,0)+1),MATCH(E$1,[1]quests!$1:$1,0)-MATCH($C$1,[1]quests!$1:$1,0)+1,FALSE)</f>
        <v>試練の塔</v>
      </c>
      <c r="F92" s="6">
        <v>7</v>
      </c>
      <c r="G92" s="4" t="str">
        <f ca="1">VLOOKUP($C92&amp;"_"&amp;$F92,OFFSET([1]stages!$A$1,0,0,COUNTA([1]stages!$A:$A),MATCH(G$1,[1]stages!$2:$2,0)-MATCH("temp_stage",[1]stages!$2:$2,0)+1),MATCH(G$1,[1]stages!$2:$2,0)-MATCH("temp_stage",[1]stages!$2:$2,0)+1,FALSE)</f>
        <v>チャレンジタワー 7F</v>
      </c>
      <c r="H92" s="4" t="str">
        <f ca="1">VLOOKUP($C92&amp;"_"&amp;$F92,OFFSET([1]stages!$A$1,0,0,COUNTA([1]stages!$A:$A),MATCH(H$1,[1]stages!$2:$2,0)-MATCH("temp_stage",[1]stages!$2:$2,0)+1),MATCH(H$1,[1]stages!$2:$2,0)-MATCH("temp_stage",[1]stages!$2:$2,0)+1,FALSE)</f>
        <v>試練の塔</v>
      </c>
      <c r="I92" s="19">
        <v>0</v>
      </c>
      <c r="J92">
        <v>25</v>
      </c>
      <c r="K92" s="6" t="s">
        <v>33</v>
      </c>
      <c r="L92" s="32" t="str">
        <f>VLOOKUP(J92,[2]stage_hints!$A:$C,3,FALSE)</f>
        <v>クリスタルリンゴはスキルLvUP！</v>
      </c>
      <c r="M92" s="33" t="str">
        <f>VLOOKUP(J92,[2]stage_hints!$A:$D,4,FALSE)</f>
        <v>「クリスタルのりんご」を強化に使うと_x000D_スキルLvを上げることができます</v>
      </c>
      <c r="N92" s="22" t="s">
        <v>90</v>
      </c>
      <c r="O92">
        <v>25</v>
      </c>
    </row>
    <row r="93" spans="1:15">
      <c r="A93" s="29" t="e">
        <f>C93&amp;"_"&amp;F93&amp;"_"&amp;#REF!</f>
        <v>#REF!</v>
      </c>
      <c r="B93" s="27" t="s">
        <v>32</v>
      </c>
      <c r="C93" s="5">
        <v>13001</v>
      </c>
      <c r="D93" s="4" t="str">
        <f ca="1">VLOOKUP($C93,OFFSET([1]quests!$A$1,0,0,COUNTA([1]quests!$A:$A),MATCH(D$1,[1]quests!$1:$1,0)-MATCH($C$1,[1]quests!$1:$1,0)+1),MATCH(D$1,[1]quests!$1:$1,0)-MATCH($C$1,[1]quests!$1:$1,0)+1,FALSE)</f>
        <v>チャレンジタワー(ソロ専用)</v>
      </c>
      <c r="E93" s="4" t="str">
        <f ca="1">VLOOKUP($C93,OFFSET([1]quests!$A$1,0,0,COUNTA([1]quests!$A:$A),MATCH(E$1,[1]quests!$1:$1,0)-MATCH($C$1,[1]quests!$1:$1,0)+1),MATCH(E$1,[1]quests!$1:$1,0)-MATCH($C$1,[1]quests!$1:$1,0)+1,FALSE)</f>
        <v>試練の塔</v>
      </c>
      <c r="F93" s="6">
        <v>7</v>
      </c>
      <c r="G93" s="4" t="str">
        <f ca="1">VLOOKUP($C93&amp;"_"&amp;$F93,OFFSET([1]stages!$A$1,0,0,COUNTA([1]stages!$A:$A),MATCH(G$1,[1]stages!$2:$2,0)-MATCH("temp_stage",[1]stages!$2:$2,0)+1),MATCH(G$1,[1]stages!$2:$2,0)-MATCH("temp_stage",[1]stages!$2:$2,0)+1,FALSE)</f>
        <v>チャレンジタワー 7F</v>
      </c>
      <c r="H93" s="4" t="str">
        <f ca="1">VLOOKUP($C93&amp;"_"&amp;$F93,OFFSET([1]stages!$A$1,0,0,COUNTA([1]stages!$A:$A),MATCH(H$1,[1]stages!$2:$2,0)-MATCH("temp_stage",[1]stages!$2:$2,0)+1),MATCH(H$1,[1]stages!$2:$2,0)-MATCH("temp_stage",[1]stages!$2:$2,0)+1,FALSE)</f>
        <v>試練の塔</v>
      </c>
      <c r="I93" s="19">
        <v>0</v>
      </c>
      <c r="J93">
        <v>26</v>
      </c>
      <c r="K93" s="6" t="s">
        <v>33</v>
      </c>
      <c r="L93" s="32" t="str">
        <f>VLOOKUP(J93,[2]stage_hints!$A:$C,3,FALSE)</f>
        <v>スキルLv</v>
      </c>
      <c r="M93" s="33" t="str">
        <f>VLOOKUP(J93,[2]stage_hints!$A:$D,4,FALSE)</f>
        <v>スキルLvが上がると_x000D_短いターンでスキルを使うことができます</v>
      </c>
      <c r="N93" s="22" t="s">
        <v>34</v>
      </c>
      <c r="O93">
        <v>26</v>
      </c>
    </row>
    <row r="94" spans="1:15">
      <c r="A94" s="29" t="e">
        <f>C94&amp;"_"&amp;F94&amp;"_"&amp;#REF!</f>
        <v>#REF!</v>
      </c>
      <c r="B94" s="27" t="s">
        <v>32</v>
      </c>
      <c r="C94" s="5">
        <v>13001</v>
      </c>
      <c r="D94" s="4" t="str">
        <f ca="1">VLOOKUP($C94,OFFSET([1]quests!$A$1,0,0,COUNTA([1]quests!$A:$A),MATCH(D$1,[1]quests!$1:$1,0)-MATCH($C$1,[1]quests!$1:$1,0)+1),MATCH(D$1,[1]quests!$1:$1,0)-MATCH($C$1,[1]quests!$1:$1,0)+1,FALSE)</f>
        <v>チャレンジタワー(ソロ専用)</v>
      </c>
      <c r="E94" s="4" t="str">
        <f ca="1">VLOOKUP($C94,OFFSET([1]quests!$A$1,0,0,COUNTA([1]quests!$A:$A),MATCH(E$1,[1]quests!$1:$1,0)-MATCH($C$1,[1]quests!$1:$1,0)+1),MATCH(E$1,[1]quests!$1:$1,0)-MATCH($C$1,[1]quests!$1:$1,0)+1,FALSE)</f>
        <v>試練の塔</v>
      </c>
      <c r="F94" s="6">
        <v>7</v>
      </c>
      <c r="G94" s="4" t="str">
        <f ca="1">VLOOKUP($C94&amp;"_"&amp;$F94,OFFSET([1]stages!$A$1,0,0,COUNTA([1]stages!$A:$A),MATCH(G$1,[1]stages!$2:$2,0)-MATCH("temp_stage",[1]stages!$2:$2,0)+1),MATCH(G$1,[1]stages!$2:$2,0)-MATCH("temp_stage",[1]stages!$2:$2,0)+1,FALSE)</f>
        <v>チャレンジタワー 7F</v>
      </c>
      <c r="H94" s="4" t="str">
        <f ca="1">VLOOKUP($C94&amp;"_"&amp;$F94,OFFSET([1]stages!$A$1,0,0,COUNTA([1]stages!$A:$A),MATCH(H$1,[1]stages!$2:$2,0)-MATCH("temp_stage",[1]stages!$2:$2,0)+1),MATCH(H$1,[1]stages!$2:$2,0)-MATCH("temp_stage",[1]stages!$2:$2,0)+1,FALSE)</f>
        <v>試練の塔</v>
      </c>
      <c r="I94" s="19">
        <v>0</v>
      </c>
      <c r="J94">
        <v>27</v>
      </c>
      <c r="K94" s="6" t="s">
        <v>33</v>
      </c>
      <c r="L94" s="32" t="str">
        <f>VLOOKUP(J94,[2]stage_hints!$A:$C,3,FALSE)</f>
        <v>ホーム画面からデッキを編成！</v>
      </c>
      <c r="M94" s="33" t="str">
        <f>VLOOKUP(J94,[2]stage_hints!$A:$D,4,FALSE)</f>
        <v>ホームでユニットを長押しすると_x000D_すぐにパーティ編成に移動できます</v>
      </c>
      <c r="N94" s="22" t="s">
        <v>91</v>
      </c>
      <c r="O94">
        <v>27</v>
      </c>
    </row>
    <row r="95" spans="1:15">
      <c r="A95" s="29" t="e">
        <f>C95&amp;"_"&amp;F95&amp;"_"&amp;#REF!</f>
        <v>#REF!</v>
      </c>
      <c r="B95" s="27" t="s">
        <v>32</v>
      </c>
      <c r="C95" s="5">
        <v>13001</v>
      </c>
      <c r="D95" s="4" t="str">
        <f ca="1">VLOOKUP($C95,OFFSET([1]quests!$A$1,0,0,COUNTA([1]quests!$A:$A),MATCH(D$1,[1]quests!$1:$1,0)-MATCH($C$1,[1]quests!$1:$1,0)+1),MATCH(D$1,[1]quests!$1:$1,0)-MATCH($C$1,[1]quests!$1:$1,0)+1,FALSE)</f>
        <v>チャレンジタワー(ソロ専用)</v>
      </c>
      <c r="E95" s="4" t="str">
        <f ca="1">VLOOKUP($C95,OFFSET([1]quests!$A$1,0,0,COUNTA([1]quests!$A:$A),MATCH(E$1,[1]quests!$1:$1,0)-MATCH($C$1,[1]quests!$1:$1,0)+1),MATCH(E$1,[1]quests!$1:$1,0)-MATCH($C$1,[1]quests!$1:$1,0)+1,FALSE)</f>
        <v>試練の塔</v>
      </c>
      <c r="F95" s="6">
        <v>7</v>
      </c>
      <c r="G95" s="4" t="str">
        <f ca="1">VLOOKUP($C95&amp;"_"&amp;$F95,OFFSET([1]stages!$A$1,0,0,COUNTA([1]stages!$A:$A),MATCH(G$1,[1]stages!$2:$2,0)-MATCH("temp_stage",[1]stages!$2:$2,0)+1),MATCH(G$1,[1]stages!$2:$2,0)-MATCH("temp_stage",[1]stages!$2:$2,0)+1,FALSE)</f>
        <v>チャレンジタワー 7F</v>
      </c>
      <c r="H95" s="4" t="str">
        <f ca="1">VLOOKUP($C95&amp;"_"&amp;$F95,OFFSET([1]stages!$A$1,0,0,COUNTA([1]stages!$A:$A),MATCH(H$1,[1]stages!$2:$2,0)-MATCH("temp_stage",[1]stages!$2:$2,0)+1),MATCH(H$1,[1]stages!$2:$2,0)-MATCH("temp_stage",[1]stages!$2:$2,0)+1,FALSE)</f>
        <v>試練の塔</v>
      </c>
      <c r="I95" s="19">
        <v>0</v>
      </c>
      <c r="J95">
        <v>28</v>
      </c>
      <c r="K95" s="6" t="s">
        <v>33</v>
      </c>
      <c r="L95" s="32" t="str">
        <f>VLOOKUP(J95,[2]stage_hints!$A:$C,3,FALSE)</f>
        <v>詳細情報は長押しで！</v>
      </c>
      <c r="M95" s="33" t="str">
        <f>VLOOKUP(J95,[2]stage_hints!$A:$D,4,FALSE)</f>
        <v>ユニットのアイコンを長押しすると_x000D_ステータス情報を見ることができます</v>
      </c>
      <c r="N95" s="22" t="s">
        <v>92</v>
      </c>
      <c r="O95">
        <v>28</v>
      </c>
    </row>
    <row r="96" spans="1:15">
      <c r="A96" s="29" t="e">
        <f>C96&amp;"_"&amp;F96&amp;"_"&amp;#REF!</f>
        <v>#REF!</v>
      </c>
      <c r="B96" s="27" t="s">
        <v>32</v>
      </c>
      <c r="C96" s="5">
        <v>13001</v>
      </c>
      <c r="D96" s="4" t="str">
        <f ca="1">VLOOKUP($C96,OFFSET([1]quests!$A$1,0,0,COUNTA([1]quests!$A:$A),MATCH(D$1,[1]quests!$1:$1,0)-MATCH($C$1,[1]quests!$1:$1,0)+1),MATCH(D$1,[1]quests!$1:$1,0)-MATCH($C$1,[1]quests!$1:$1,0)+1,FALSE)</f>
        <v>チャレンジタワー(ソロ専用)</v>
      </c>
      <c r="E96" s="4" t="str">
        <f ca="1">VLOOKUP($C96,OFFSET([1]quests!$A$1,0,0,COUNTA([1]quests!$A:$A),MATCH(E$1,[1]quests!$1:$1,0)-MATCH($C$1,[1]quests!$1:$1,0)+1),MATCH(E$1,[1]quests!$1:$1,0)-MATCH($C$1,[1]quests!$1:$1,0)+1,FALSE)</f>
        <v>試練の塔</v>
      </c>
      <c r="F96" s="6">
        <v>7</v>
      </c>
      <c r="G96" s="4" t="str">
        <f ca="1">VLOOKUP($C96&amp;"_"&amp;$F96,OFFSET([1]stages!$A$1,0,0,COUNTA([1]stages!$A:$A),MATCH(G$1,[1]stages!$2:$2,0)-MATCH("temp_stage",[1]stages!$2:$2,0)+1),MATCH(G$1,[1]stages!$2:$2,0)-MATCH("temp_stage",[1]stages!$2:$2,0)+1,FALSE)</f>
        <v>チャレンジタワー 7F</v>
      </c>
      <c r="H96" s="4" t="str">
        <f ca="1">VLOOKUP($C96&amp;"_"&amp;$F96,OFFSET([1]stages!$A$1,0,0,COUNTA([1]stages!$A:$A),MATCH(H$1,[1]stages!$2:$2,0)-MATCH("temp_stage",[1]stages!$2:$2,0)+1),MATCH(H$1,[1]stages!$2:$2,0)-MATCH("temp_stage",[1]stages!$2:$2,0)+1,FALSE)</f>
        <v>試練の塔</v>
      </c>
      <c r="I96" s="19">
        <v>0</v>
      </c>
      <c r="J96">
        <v>29</v>
      </c>
      <c r="K96" s="6" t="s">
        <v>33</v>
      </c>
      <c r="L96" s="32" t="str">
        <f>VLOOKUP(J96,[2]stage_hints!$A:$C,3,FALSE)</f>
        <v>ステータスのバグって何？</v>
      </c>
      <c r="M96" s="33" t="str">
        <f>VLOOKUP(J96,[2]stage_hints!$A:$D,4,FALSE)</f>
        <v>「バグ」を上げると_x000D_報酬をもらえる確率がアップします</v>
      </c>
      <c r="N96" s="22" t="s">
        <v>83</v>
      </c>
      <c r="O96">
        <v>29</v>
      </c>
    </row>
    <row r="97" spans="1:15">
      <c r="A97" s="29" t="e">
        <f>C97&amp;"_"&amp;F97&amp;"_"&amp;#REF!</f>
        <v>#REF!</v>
      </c>
      <c r="B97" s="27" t="s">
        <v>32</v>
      </c>
      <c r="C97" s="5">
        <v>13001</v>
      </c>
      <c r="D97" s="4" t="str">
        <f ca="1">VLOOKUP($C97,OFFSET([1]quests!$A$1,0,0,COUNTA([1]quests!$A:$A),MATCH(D$1,[1]quests!$1:$1,0)-MATCH($C$1,[1]quests!$1:$1,0)+1),MATCH(D$1,[1]quests!$1:$1,0)-MATCH($C$1,[1]quests!$1:$1,0)+1,FALSE)</f>
        <v>チャレンジタワー(ソロ専用)</v>
      </c>
      <c r="E97" s="4" t="str">
        <f ca="1">VLOOKUP($C97,OFFSET([1]quests!$A$1,0,0,COUNTA([1]quests!$A:$A),MATCH(E$1,[1]quests!$1:$1,0)-MATCH($C$1,[1]quests!$1:$1,0)+1),MATCH(E$1,[1]quests!$1:$1,0)-MATCH($C$1,[1]quests!$1:$1,0)+1,FALSE)</f>
        <v>試練の塔</v>
      </c>
      <c r="F97" s="6">
        <v>7</v>
      </c>
      <c r="G97" s="4" t="str">
        <f ca="1">VLOOKUP($C97&amp;"_"&amp;$F97,OFFSET([1]stages!$A$1,0,0,COUNTA([1]stages!$A:$A),MATCH(G$1,[1]stages!$2:$2,0)-MATCH("temp_stage",[1]stages!$2:$2,0)+1),MATCH(G$1,[1]stages!$2:$2,0)-MATCH("temp_stage",[1]stages!$2:$2,0)+1,FALSE)</f>
        <v>チャレンジタワー 7F</v>
      </c>
      <c r="H97" s="4" t="str">
        <f ca="1">VLOOKUP($C97&amp;"_"&amp;$F97,OFFSET([1]stages!$A$1,0,0,COUNTA([1]stages!$A:$A),MATCH(H$1,[1]stages!$2:$2,0)-MATCH("temp_stage",[1]stages!$2:$2,0)+1),MATCH(H$1,[1]stages!$2:$2,0)-MATCH("temp_stage",[1]stages!$2:$2,0)+1,FALSE)</f>
        <v>試練の塔</v>
      </c>
      <c r="I97" s="19">
        <v>0</v>
      </c>
      <c r="J97">
        <v>30</v>
      </c>
      <c r="K97" s="6" t="s">
        <v>33</v>
      </c>
      <c r="L97" s="32" t="str">
        <f>VLOOKUP(J97,[2]stage_hints!$A:$C,3,FALSE)</f>
        <v>ステータスのバグを増やす方法</v>
      </c>
      <c r="M97" s="33" t="str">
        <f>VLOOKUP(J97,[2]stage_hints!$A:$D,4,FALSE)</f>
        <v>同じユニット同士を強化すると_x000D_「バグ」を増やすことができます</v>
      </c>
      <c r="N97" s="22" t="s">
        <v>93</v>
      </c>
      <c r="O97">
        <v>30</v>
      </c>
    </row>
    <row r="98" spans="1:15">
      <c r="A98" s="29" t="e">
        <f>C98&amp;"_"&amp;F98&amp;"_"&amp;#REF!</f>
        <v>#REF!</v>
      </c>
      <c r="B98" s="27" t="s">
        <v>32</v>
      </c>
      <c r="C98" s="5">
        <v>13001</v>
      </c>
      <c r="D98" s="4" t="str">
        <f ca="1">VLOOKUP($C98,OFFSET([1]quests!$A$1,0,0,COUNTA([1]quests!$A:$A),MATCH(D$1,[1]quests!$1:$1,0)-MATCH($C$1,[1]quests!$1:$1,0)+1),MATCH(D$1,[1]quests!$1:$1,0)-MATCH($C$1,[1]quests!$1:$1,0)+1,FALSE)</f>
        <v>チャレンジタワー(ソロ専用)</v>
      </c>
      <c r="E98" s="4" t="str">
        <f ca="1">VLOOKUP($C98,OFFSET([1]quests!$A$1,0,0,COUNTA([1]quests!$A:$A),MATCH(E$1,[1]quests!$1:$1,0)-MATCH($C$1,[1]quests!$1:$1,0)+1),MATCH(E$1,[1]quests!$1:$1,0)-MATCH($C$1,[1]quests!$1:$1,0)+1,FALSE)</f>
        <v>試練の塔</v>
      </c>
      <c r="F98" s="6">
        <v>7</v>
      </c>
      <c r="G98" s="4" t="str">
        <f ca="1">VLOOKUP($C98&amp;"_"&amp;$F98,OFFSET([1]stages!$A$1,0,0,COUNTA([1]stages!$A:$A),MATCH(G$1,[1]stages!$2:$2,0)-MATCH("temp_stage",[1]stages!$2:$2,0)+1),MATCH(G$1,[1]stages!$2:$2,0)-MATCH("temp_stage",[1]stages!$2:$2,0)+1,FALSE)</f>
        <v>チャレンジタワー 7F</v>
      </c>
      <c r="H98" s="4" t="str">
        <f ca="1">VLOOKUP($C98&amp;"_"&amp;$F98,OFFSET([1]stages!$A$1,0,0,COUNTA([1]stages!$A:$A),MATCH(H$1,[1]stages!$2:$2,0)-MATCH("temp_stage",[1]stages!$2:$2,0)+1),MATCH(H$1,[1]stages!$2:$2,0)-MATCH("temp_stage",[1]stages!$2:$2,0)+1,FALSE)</f>
        <v>試練の塔</v>
      </c>
      <c r="I98" s="19">
        <v>0</v>
      </c>
      <c r="J98">
        <v>31</v>
      </c>
      <c r="K98" s="6" t="s">
        <v>33</v>
      </c>
      <c r="L98" s="32" t="str">
        <f>VLOOKUP(J98,[2]stage_hints!$A:$C,3,FALSE)</f>
        <v>イベントを見逃すな！</v>
      </c>
      <c r="M98" s="33" t="str">
        <f>VLOOKUP(J98,[2]stage_hints!$A:$D,4,FALSE)</f>
        <v>特定のイベントでしか入手できない_x000D_ユニットがいるようです</v>
      </c>
      <c r="N98" s="22" t="s">
        <v>94</v>
      </c>
      <c r="O98">
        <v>31</v>
      </c>
    </row>
    <row r="99" spans="1:15">
      <c r="A99" s="29" t="e">
        <f>C99&amp;"_"&amp;F99&amp;"_"&amp;#REF!</f>
        <v>#REF!</v>
      </c>
      <c r="B99" s="27" t="s">
        <v>32</v>
      </c>
      <c r="C99" s="5">
        <v>13001</v>
      </c>
      <c r="D99" s="4" t="str">
        <f ca="1">VLOOKUP($C99,OFFSET([1]quests!$A$1,0,0,COUNTA([1]quests!$A:$A),MATCH(D$1,[1]quests!$1:$1,0)-MATCH($C$1,[1]quests!$1:$1,0)+1),MATCH(D$1,[1]quests!$1:$1,0)-MATCH($C$1,[1]quests!$1:$1,0)+1,FALSE)</f>
        <v>チャレンジタワー(ソロ専用)</v>
      </c>
      <c r="E99" s="4" t="str">
        <f ca="1">VLOOKUP($C99,OFFSET([1]quests!$A$1,0,0,COUNTA([1]quests!$A:$A),MATCH(E$1,[1]quests!$1:$1,0)-MATCH($C$1,[1]quests!$1:$1,0)+1),MATCH(E$1,[1]quests!$1:$1,0)-MATCH($C$1,[1]quests!$1:$1,0)+1,FALSE)</f>
        <v>試練の塔</v>
      </c>
      <c r="F99" s="6">
        <v>7</v>
      </c>
      <c r="G99" s="4" t="str">
        <f ca="1">VLOOKUP($C99&amp;"_"&amp;$F99,OFFSET([1]stages!$A$1,0,0,COUNTA([1]stages!$A:$A),MATCH(G$1,[1]stages!$2:$2,0)-MATCH("temp_stage",[1]stages!$2:$2,0)+1),MATCH(G$1,[1]stages!$2:$2,0)-MATCH("temp_stage",[1]stages!$2:$2,0)+1,FALSE)</f>
        <v>チャレンジタワー 7F</v>
      </c>
      <c r="H99" s="4" t="str">
        <f ca="1">VLOOKUP($C99&amp;"_"&amp;$F99,OFFSET([1]stages!$A$1,0,0,COUNTA([1]stages!$A:$A),MATCH(H$1,[1]stages!$2:$2,0)-MATCH("temp_stage",[1]stages!$2:$2,0)+1),MATCH(H$1,[1]stages!$2:$2,0)-MATCH("temp_stage",[1]stages!$2:$2,0)+1,FALSE)</f>
        <v>試練の塔</v>
      </c>
      <c r="I99" s="19">
        <v>0</v>
      </c>
      <c r="J99">
        <v>38</v>
      </c>
      <c r="K99" s="6" t="s">
        <v>33</v>
      </c>
      <c r="L99" s="32" t="str">
        <f>VLOOKUP(J99,[2]stage_hints!$A:$C,3,FALSE)</f>
        <v>お邪魔はフィーバーで落とせ！</v>
      </c>
      <c r="M99" s="33" t="str">
        <f>VLOOKUP(J99,[2]stage_hints!$A:$D,4,FALSE)</f>
        <v>消せない「お邪魔パネル」は_x000D_フィーバーで落としてしまいましょう</v>
      </c>
      <c r="N99" s="22" t="s">
        <v>78</v>
      </c>
      <c r="O99">
        <v>38</v>
      </c>
    </row>
    <row r="100" spans="1:15">
      <c r="A100" s="29" t="e">
        <f>C100&amp;"_"&amp;F100&amp;"_"&amp;#REF!</f>
        <v>#REF!</v>
      </c>
      <c r="B100" s="27" t="s">
        <v>32</v>
      </c>
      <c r="C100" s="5">
        <v>13001</v>
      </c>
      <c r="D100" s="4" t="str">
        <f ca="1">VLOOKUP($C100,OFFSET([1]quests!$A$1,0,0,COUNTA([1]quests!$A:$A),MATCH(D$1,[1]quests!$1:$1,0)-MATCH($C$1,[1]quests!$1:$1,0)+1),MATCH(D$1,[1]quests!$1:$1,0)-MATCH($C$1,[1]quests!$1:$1,0)+1,FALSE)</f>
        <v>チャレンジタワー(ソロ専用)</v>
      </c>
      <c r="E100" s="4" t="str">
        <f ca="1">VLOOKUP($C100,OFFSET([1]quests!$A$1,0,0,COUNTA([1]quests!$A:$A),MATCH(E$1,[1]quests!$1:$1,0)-MATCH($C$1,[1]quests!$1:$1,0)+1),MATCH(E$1,[1]quests!$1:$1,0)-MATCH($C$1,[1]quests!$1:$1,0)+1,FALSE)</f>
        <v>試練の塔</v>
      </c>
      <c r="F100" s="6">
        <v>8</v>
      </c>
      <c r="G100" s="4" t="str">
        <f ca="1">VLOOKUP($C100&amp;"_"&amp;$F100,OFFSET([1]stages!$A$1,0,0,COUNTA([1]stages!$A:$A),MATCH(G$1,[1]stages!$2:$2,0)-MATCH("temp_stage",[1]stages!$2:$2,0)+1),MATCH(G$1,[1]stages!$2:$2,0)-MATCH("temp_stage",[1]stages!$2:$2,0)+1,FALSE)</f>
        <v>チャレンジタワー 8F</v>
      </c>
      <c r="H100" s="4" t="str">
        <f ca="1">VLOOKUP($C100&amp;"_"&amp;$F100,OFFSET([1]stages!$A$1,0,0,COUNTA([1]stages!$A:$A),MATCH(H$1,[1]stages!$2:$2,0)-MATCH("temp_stage",[1]stages!$2:$2,0)+1),MATCH(H$1,[1]stages!$2:$2,0)-MATCH("temp_stage",[1]stages!$2:$2,0)+1,FALSE)</f>
        <v>試練の塔</v>
      </c>
      <c r="I100" s="19">
        <v>0</v>
      </c>
      <c r="J100">
        <v>3</v>
      </c>
      <c r="K100" s="6" t="s">
        <v>99</v>
      </c>
      <c r="L100" s="32" t="str">
        <f>VLOOKUP(J100,[2]stage_hints!$A:$C,3,FALSE)</f>
        <v>ターゲット</v>
      </c>
      <c r="M100" s="33" t="str">
        <f>VLOOKUP(J100,[2]stage_hints!$A:$D,4,FALSE)</f>
        <v>敵ユニットをタップすると_x000D_その敵を狙い撃ちできます</v>
      </c>
      <c r="N100" s="22" t="s">
        <v>57</v>
      </c>
      <c r="O100">
        <v>3</v>
      </c>
    </row>
    <row r="101" spans="1:15">
      <c r="A101" s="29" t="e">
        <f>C101&amp;"_"&amp;F101&amp;"_"&amp;#REF!</f>
        <v>#REF!</v>
      </c>
      <c r="B101" s="27" t="s">
        <v>32</v>
      </c>
      <c r="C101" s="5">
        <v>13001</v>
      </c>
      <c r="D101" s="4" t="str">
        <f ca="1">VLOOKUP($C101,OFFSET([1]quests!$A$1,0,0,COUNTA([1]quests!$A:$A),MATCH(D$1,[1]quests!$1:$1,0)-MATCH($C$1,[1]quests!$1:$1,0)+1),MATCH(D$1,[1]quests!$1:$1,0)-MATCH($C$1,[1]quests!$1:$1,0)+1,FALSE)</f>
        <v>チャレンジタワー(ソロ専用)</v>
      </c>
      <c r="E101" s="4" t="str">
        <f ca="1">VLOOKUP($C101,OFFSET([1]quests!$A$1,0,0,COUNTA([1]quests!$A:$A),MATCH(E$1,[1]quests!$1:$1,0)-MATCH($C$1,[1]quests!$1:$1,0)+1),MATCH(E$1,[1]quests!$1:$1,0)-MATCH($C$1,[1]quests!$1:$1,0)+1,FALSE)</f>
        <v>試練の塔</v>
      </c>
      <c r="F101" s="6">
        <v>8</v>
      </c>
      <c r="G101" s="4" t="str">
        <f ca="1">VLOOKUP($C101&amp;"_"&amp;$F101,OFFSET([1]stages!$A$1,0,0,COUNTA([1]stages!$A:$A),MATCH(G$1,[1]stages!$2:$2,0)-MATCH("temp_stage",[1]stages!$2:$2,0)+1),MATCH(G$1,[1]stages!$2:$2,0)-MATCH("temp_stage",[1]stages!$2:$2,0)+1,FALSE)</f>
        <v>チャレンジタワー 8F</v>
      </c>
      <c r="H101" s="4" t="str">
        <f ca="1">VLOOKUP($C101&amp;"_"&amp;$F101,OFFSET([1]stages!$A$1,0,0,COUNTA([1]stages!$A:$A),MATCH(H$1,[1]stages!$2:$2,0)-MATCH("temp_stage",[1]stages!$2:$2,0)+1),MATCH(H$1,[1]stages!$2:$2,0)-MATCH("temp_stage",[1]stages!$2:$2,0)+1,FALSE)</f>
        <v>試練の塔</v>
      </c>
      <c r="I101" s="19">
        <v>0</v>
      </c>
      <c r="J101">
        <v>5</v>
      </c>
      <c r="K101" s="6" t="s">
        <v>33</v>
      </c>
      <c r="L101" s="32" t="str">
        <f>VLOOKUP(J101,[2]stage_hints!$A:$C,3,FALSE)</f>
        <v>ユニット強化</v>
      </c>
      <c r="M101" s="33" t="str">
        <f>VLOOKUP(J101,[2]stage_hints!$A:$D,4,FALSE)</f>
        <v>「ユニット強化」でレベルアップすると_x000D_勝てない敵にも勝てるようになります</v>
      </c>
      <c r="N101" s="22" t="s">
        <v>50</v>
      </c>
      <c r="O101">
        <v>5</v>
      </c>
    </row>
    <row r="102" spans="1:15">
      <c r="A102" s="29" t="e">
        <f>C102&amp;"_"&amp;F102&amp;"_"&amp;#REF!</f>
        <v>#REF!</v>
      </c>
      <c r="B102" s="27" t="s">
        <v>32</v>
      </c>
      <c r="C102" s="5">
        <v>13001</v>
      </c>
      <c r="D102" s="4" t="str">
        <f ca="1">VLOOKUP($C102,OFFSET([1]quests!$A$1,0,0,COUNTA([1]quests!$A:$A),MATCH(D$1,[1]quests!$1:$1,0)-MATCH($C$1,[1]quests!$1:$1,0)+1),MATCH(D$1,[1]quests!$1:$1,0)-MATCH($C$1,[1]quests!$1:$1,0)+1,FALSE)</f>
        <v>チャレンジタワー(ソロ専用)</v>
      </c>
      <c r="E102" s="4" t="str">
        <f ca="1">VLOOKUP($C102,OFFSET([1]quests!$A$1,0,0,COUNTA([1]quests!$A:$A),MATCH(E$1,[1]quests!$1:$1,0)-MATCH($C$1,[1]quests!$1:$1,0)+1),MATCH(E$1,[1]quests!$1:$1,0)-MATCH($C$1,[1]quests!$1:$1,0)+1,FALSE)</f>
        <v>試練の塔</v>
      </c>
      <c r="F102" s="6">
        <v>8</v>
      </c>
      <c r="G102" s="4" t="str">
        <f ca="1">VLOOKUP($C102&amp;"_"&amp;$F102,OFFSET([1]stages!$A$1,0,0,COUNTA([1]stages!$A:$A),MATCH(G$1,[1]stages!$2:$2,0)-MATCH("temp_stage",[1]stages!$2:$2,0)+1),MATCH(G$1,[1]stages!$2:$2,0)-MATCH("temp_stage",[1]stages!$2:$2,0)+1,FALSE)</f>
        <v>チャレンジタワー 8F</v>
      </c>
      <c r="H102" s="4" t="str">
        <f ca="1">VLOOKUP($C102&amp;"_"&amp;$F102,OFFSET([1]stages!$A$1,0,0,COUNTA([1]stages!$A:$A),MATCH(H$1,[1]stages!$2:$2,0)-MATCH("temp_stage",[1]stages!$2:$2,0)+1),MATCH(H$1,[1]stages!$2:$2,0)-MATCH("temp_stage",[1]stages!$2:$2,0)+1,FALSE)</f>
        <v>試練の塔</v>
      </c>
      <c r="I102" s="19">
        <v>0</v>
      </c>
      <c r="J102">
        <v>6</v>
      </c>
      <c r="K102" s="6" t="s">
        <v>33</v>
      </c>
      <c r="L102" s="32" t="str">
        <f>VLOOKUP(J102,[2]stage_hints!$A:$C,3,FALSE)</f>
        <v>強化の属性ボーナス</v>
      </c>
      <c r="M102" s="33" t="str">
        <f>VLOOKUP(J102,[2]stage_hints!$A:$D,4,FALSE)</f>
        <v>同属性ユニットを強化素材にすると_x000D_経験値が多くもらえます</v>
      </c>
      <c r="N102" s="22" t="s">
        <v>68</v>
      </c>
      <c r="O102">
        <v>6</v>
      </c>
    </row>
    <row r="103" spans="1:15">
      <c r="A103" s="29" t="e">
        <f>C103&amp;"_"&amp;F103&amp;"_"&amp;#REF!</f>
        <v>#REF!</v>
      </c>
      <c r="B103" s="27" t="s">
        <v>32</v>
      </c>
      <c r="C103" s="5">
        <v>13001</v>
      </c>
      <c r="D103" s="4" t="str">
        <f ca="1">VLOOKUP($C103,OFFSET([1]quests!$A$1,0,0,COUNTA([1]quests!$A:$A),MATCH(D$1,[1]quests!$1:$1,0)-MATCH($C$1,[1]quests!$1:$1,0)+1),MATCH(D$1,[1]quests!$1:$1,0)-MATCH($C$1,[1]quests!$1:$1,0)+1,FALSE)</f>
        <v>チャレンジタワー(ソロ専用)</v>
      </c>
      <c r="E103" s="4" t="str">
        <f ca="1">VLOOKUP($C103,OFFSET([1]quests!$A$1,0,0,COUNTA([1]quests!$A:$A),MATCH(E$1,[1]quests!$1:$1,0)-MATCH($C$1,[1]quests!$1:$1,0)+1),MATCH(E$1,[1]quests!$1:$1,0)-MATCH($C$1,[1]quests!$1:$1,0)+1,FALSE)</f>
        <v>試練の塔</v>
      </c>
      <c r="F103" s="6">
        <v>8</v>
      </c>
      <c r="G103" s="4" t="str">
        <f ca="1">VLOOKUP($C103&amp;"_"&amp;$F103,OFFSET([1]stages!$A$1,0,0,COUNTA([1]stages!$A:$A),MATCH(G$1,[1]stages!$2:$2,0)-MATCH("temp_stage",[1]stages!$2:$2,0)+1),MATCH(G$1,[1]stages!$2:$2,0)-MATCH("temp_stage",[1]stages!$2:$2,0)+1,FALSE)</f>
        <v>チャレンジタワー 8F</v>
      </c>
      <c r="H103" s="4" t="str">
        <f ca="1">VLOOKUP($C103&amp;"_"&amp;$F103,OFFSET([1]stages!$A$1,0,0,COUNTA([1]stages!$A:$A),MATCH(H$1,[1]stages!$2:$2,0)-MATCH("temp_stage",[1]stages!$2:$2,0)+1),MATCH(H$1,[1]stages!$2:$2,0)-MATCH("temp_stage",[1]stages!$2:$2,0)+1,FALSE)</f>
        <v>試練の塔</v>
      </c>
      <c r="I103" s="19">
        <v>0</v>
      </c>
      <c r="J103">
        <v>7</v>
      </c>
      <c r="K103" s="6" t="s">
        <v>33</v>
      </c>
      <c r="L103" s="32" t="str">
        <f>VLOOKUP(J103,[2]stage_hints!$A:$C,3,FALSE)</f>
        <v>メタルダックをつかって強化しよう！</v>
      </c>
      <c r="M103" s="33" t="str">
        <f>VLOOKUP(J103,[2]stage_hints!$A:$D,4,FALSE)</f>
        <v>「メタルなアヒル」を強化素材にすると_x000D_大量の経験値がもらえます</v>
      </c>
      <c r="N103" s="22" t="s">
        <v>51</v>
      </c>
      <c r="O103">
        <v>7</v>
      </c>
    </row>
    <row r="104" spans="1:15">
      <c r="A104" s="29" t="e">
        <f>C104&amp;"_"&amp;F104&amp;"_"&amp;#REF!</f>
        <v>#REF!</v>
      </c>
      <c r="B104" s="27" t="s">
        <v>32</v>
      </c>
      <c r="C104" s="5">
        <v>13001</v>
      </c>
      <c r="D104" s="4" t="str">
        <f ca="1">VLOOKUP($C104,OFFSET([1]quests!$A$1,0,0,COUNTA([1]quests!$A:$A),MATCH(D$1,[1]quests!$1:$1,0)-MATCH($C$1,[1]quests!$1:$1,0)+1),MATCH(D$1,[1]quests!$1:$1,0)-MATCH($C$1,[1]quests!$1:$1,0)+1,FALSE)</f>
        <v>チャレンジタワー(ソロ専用)</v>
      </c>
      <c r="E104" s="4" t="str">
        <f ca="1">VLOOKUP($C104,OFFSET([1]quests!$A$1,0,0,COUNTA([1]quests!$A:$A),MATCH(E$1,[1]quests!$1:$1,0)-MATCH($C$1,[1]quests!$1:$1,0)+1),MATCH(E$1,[1]quests!$1:$1,0)-MATCH($C$1,[1]quests!$1:$1,0)+1,FALSE)</f>
        <v>試練の塔</v>
      </c>
      <c r="F104" s="6">
        <v>8</v>
      </c>
      <c r="G104" s="4" t="str">
        <f ca="1">VLOOKUP($C104&amp;"_"&amp;$F104,OFFSET([1]stages!$A$1,0,0,COUNTA([1]stages!$A:$A),MATCH(G$1,[1]stages!$2:$2,0)-MATCH("temp_stage",[1]stages!$2:$2,0)+1),MATCH(G$1,[1]stages!$2:$2,0)-MATCH("temp_stage",[1]stages!$2:$2,0)+1,FALSE)</f>
        <v>チャレンジタワー 8F</v>
      </c>
      <c r="H104" s="4" t="str">
        <f ca="1">VLOOKUP($C104&amp;"_"&amp;$F104,OFFSET([1]stages!$A$1,0,0,COUNTA([1]stages!$A:$A),MATCH(H$1,[1]stages!$2:$2,0)-MATCH("temp_stage",[1]stages!$2:$2,0)+1),MATCH(H$1,[1]stages!$2:$2,0)-MATCH("temp_stage",[1]stages!$2:$2,0)+1,FALSE)</f>
        <v>試練の塔</v>
      </c>
      <c r="I104" s="19">
        <v>0</v>
      </c>
      <c r="J104">
        <v>8</v>
      </c>
      <c r="K104" s="6" t="s">
        <v>33</v>
      </c>
      <c r="L104" s="32" t="str">
        <f>VLOOKUP(J104,[2]stage_hints!$A:$C,3,FALSE)</f>
        <v>ゲリラを見逃すな！</v>
      </c>
      <c r="M104" s="33" t="str">
        <f>VLOOKUP(J104,[2]stage_hints!$A:$D,4,FALSE)</f>
        <v>時間限定の「【緊急!!】アヒル捕獲作戦」では_x000D_経験値素材ユニットが多く手に入ります</v>
      </c>
      <c r="N104" s="22" t="s">
        <v>42</v>
      </c>
      <c r="O104">
        <v>8</v>
      </c>
    </row>
    <row r="105" spans="1:15">
      <c r="A105" s="29" t="e">
        <f>C105&amp;"_"&amp;F105&amp;"_"&amp;#REF!</f>
        <v>#REF!</v>
      </c>
      <c r="B105" s="27" t="s">
        <v>32</v>
      </c>
      <c r="C105" s="5">
        <v>13001</v>
      </c>
      <c r="D105" s="4" t="str">
        <f ca="1">VLOOKUP($C105,OFFSET([1]quests!$A$1,0,0,COUNTA([1]quests!$A:$A),MATCH(D$1,[1]quests!$1:$1,0)-MATCH($C$1,[1]quests!$1:$1,0)+1),MATCH(D$1,[1]quests!$1:$1,0)-MATCH($C$1,[1]quests!$1:$1,0)+1,FALSE)</f>
        <v>チャレンジタワー(ソロ専用)</v>
      </c>
      <c r="E105" s="4" t="str">
        <f ca="1">VLOOKUP($C105,OFFSET([1]quests!$A$1,0,0,COUNTA([1]quests!$A:$A),MATCH(E$1,[1]quests!$1:$1,0)-MATCH($C$1,[1]quests!$1:$1,0)+1),MATCH(E$1,[1]quests!$1:$1,0)-MATCH($C$1,[1]quests!$1:$1,0)+1,FALSE)</f>
        <v>試練の塔</v>
      </c>
      <c r="F105" s="6">
        <v>8</v>
      </c>
      <c r="G105" s="4" t="str">
        <f ca="1">VLOOKUP($C105&amp;"_"&amp;$F105,OFFSET([1]stages!$A$1,0,0,COUNTA([1]stages!$A:$A),MATCH(G$1,[1]stages!$2:$2,0)-MATCH("temp_stage",[1]stages!$2:$2,0)+1),MATCH(G$1,[1]stages!$2:$2,0)-MATCH("temp_stage",[1]stages!$2:$2,0)+1,FALSE)</f>
        <v>チャレンジタワー 8F</v>
      </c>
      <c r="H105" s="4" t="str">
        <f ca="1">VLOOKUP($C105&amp;"_"&amp;$F105,OFFSET([1]stages!$A$1,0,0,COUNTA([1]stages!$A:$A),MATCH(H$1,[1]stages!$2:$2,0)-MATCH("temp_stage",[1]stages!$2:$2,0)+1),MATCH(H$1,[1]stages!$2:$2,0)-MATCH("temp_stage",[1]stages!$2:$2,0)+1,FALSE)</f>
        <v>試練の塔</v>
      </c>
      <c r="I105" s="19">
        <v>0</v>
      </c>
      <c r="J105">
        <v>9</v>
      </c>
      <c r="K105" s="6" t="s">
        <v>33</v>
      </c>
      <c r="L105" s="32" t="str">
        <f>VLOOKUP(J105,[2]stage_hints!$A:$C,3,FALSE)</f>
        <v>ゴールドダックを売却すると大量ビット</v>
      </c>
      <c r="M105" s="33" t="str">
        <f>VLOOKUP(J105,[2]stage_hints!$A:$D,4,FALSE)</f>
        <v>「ゴールドなアヒル」を売却すると_x000D_大量のビットがもらえます</v>
      </c>
      <c r="N105" s="22" t="s">
        <v>46</v>
      </c>
      <c r="O105">
        <v>9</v>
      </c>
    </row>
    <row r="106" spans="1:15">
      <c r="A106" s="29" t="e">
        <f>C106&amp;"_"&amp;F106&amp;"_"&amp;#REF!</f>
        <v>#REF!</v>
      </c>
      <c r="B106" s="27" t="s">
        <v>32</v>
      </c>
      <c r="C106" s="5">
        <v>13001</v>
      </c>
      <c r="D106" s="4" t="str">
        <f ca="1">VLOOKUP($C106,OFFSET([1]quests!$A$1,0,0,COUNTA([1]quests!$A:$A),MATCH(D$1,[1]quests!$1:$1,0)-MATCH($C$1,[1]quests!$1:$1,0)+1),MATCH(D$1,[1]quests!$1:$1,0)-MATCH($C$1,[1]quests!$1:$1,0)+1,FALSE)</f>
        <v>チャレンジタワー(ソロ専用)</v>
      </c>
      <c r="E106" s="4" t="str">
        <f ca="1">VLOOKUP($C106,OFFSET([1]quests!$A$1,0,0,COUNTA([1]quests!$A:$A),MATCH(E$1,[1]quests!$1:$1,0)-MATCH($C$1,[1]quests!$1:$1,0)+1),MATCH(E$1,[1]quests!$1:$1,0)-MATCH($C$1,[1]quests!$1:$1,0)+1,FALSE)</f>
        <v>試練の塔</v>
      </c>
      <c r="F106" s="6">
        <v>8</v>
      </c>
      <c r="G106" s="4" t="str">
        <f ca="1">VLOOKUP($C106&amp;"_"&amp;$F106,OFFSET([1]stages!$A$1,0,0,COUNTA([1]stages!$A:$A),MATCH(G$1,[1]stages!$2:$2,0)-MATCH("temp_stage",[1]stages!$2:$2,0)+1),MATCH(G$1,[1]stages!$2:$2,0)-MATCH("temp_stage",[1]stages!$2:$2,0)+1,FALSE)</f>
        <v>チャレンジタワー 8F</v>
      </c>
      <c r="H106" s="4" t="str">
        <f ca="1">VLOOKUP($C106&amp;"_"&amp;$F106,OFFSET([1]stages!$A$1,0,0,COUNTA([1]stages!$A:$A),MATCH(H$1,[1]stages!$2:$2,0)-MATCH("temp_stage",[1]stages!$2:$2,0)+1),MATCH(H$1,[1]stages!$2:$2,0)-MATCH("temp_stage",[1]stages!$2:$2,0)+1,FALSE)</f>
        <v>試練の塔</v>
      </c>
      <c r="I106" s="19">
        <v>0</v>
      </c>
      <c r="J106">
        <v>10</v>
      </c>
      <c r="K106" s="6" t="s">
        <v>33</v>
      </c>
      <c r="L106" s="32" t="str">
        <f>VLOOKUP(J106,[2]stage_hints!$A:$C,3,FALSE)</f>
        <v>土日クエストで大量ビットをGET！！</v>
      </c>
      <c r="M106" s="33" t="str">
        <f>VLOOKUP(J106,[2]stage_hints!$A:$D,4,FALSE)</f>
        <v>土日限定の「ゴールドカジノ」では_x000D_売却素材ユニットが多く手に入ります</v>
      </c>
      <c r="N106" s="22" t="s">
        <v>100</v>
      </c>
      <c r="O106">
        <v>10</v>
      </c>
    </row>
    <row r="107" spans="1:15">
      <c r="A107" s="29" t="e">
        <f>C107&amp;"_"&amp;F107&amp;"_"&amp;#REF!</f>
        <v>#REF!</v>
      </c>
      <c r="B107" s="27" t="s">
        <v>32</v>
      </c>
      <c r="C107" s="5">
        <v>13001</v>
      </c>
      <c r="D107" s="4" t="str">
        <f ca="1">VLOOKUP($C107,OFFSET([1]quests!$A$1,0,0,COUNTA([1]quests!$A:$A),MATCH(D$1,[1]quests!$1:$1,0)-MATCH($C$1,[1]quests!$1:$1,0)+1),MATCH(D$1,[1]quests!$1:$1,0)-MATCH($C$1,[1]quests!$1:$1,0)+1,FALSE)</f>
        <v>チャレンジタワー(ソロ専用)</v>
      </c>
      <c r="E107" s="4" t="str">
        <f ca="1">VLOOKUP($C107,OFFSET([1]quests!$A$1,0,0,COUNTA([1]quests!$A:$A),MATCH(E$1,[1]quests!$1:$1,0)-MATCH($C$1,[1]quests!$1:$1,0)+1),MATCH(E$1,[1]quests!$1:$1,0)-MATCH($C$1,[1]quests!$1:$1,0)+1,FALSE)</f>
        <v>試練の塔</v>
      </c>
      <c r="F107" s="6">
        <v>8</v>
      </c>
      <c r="G107" s="4" t="str">
        <f ca="1">VLOOKUP($C107&amp;"_"&amp;$F107,OFFSET([1]stages!$A$1,0,0,COUNTA([1]stages!$A:$A),MATCH(G$1,[1]stages!$2:$2,0)-MATCH("temp_stage",[1]stages!$2:$2,0)+1),MATCH(G$1,[1]stages!$2:$2,0)-MATCH("temp_stage",[1]stages!$2:$2,0)+1,FALSE)</f>
        <v>チャレンジタワー 8F</v>
      </c>
      <c r="H107" s="4" t="str">
        <f ca="1">VLOOKUP($C107&amp;"_"&amp;$F107,OFFSET([1]stages!$A$1,0,0,COUNTA([1]stages!$A:$A),MATCH(H$1,[1]stages!$2:$2,0)-MATCH("temp_stage",[1]stages!$2:$2,0)+1),MATCH(H$1,[1]stages!$2:$2,0)-MATCH("temp_stage",[1]stages!$2:$2,0)+1,FALSE)</f>
        <v>試練の塔</v>
      </c>
      <c r="I107" s="19">
        <v>0</v>
      </c>
      <c r="J107">
        <v>11</v>
      </c>
      <c r="K107" s="6" t="s">
        <v>33</v>
      </c>
      <c r="L107" s="32" t="str">
        <f>VLOOKUP(J107,[2]stage_hints!$A:$C,3,FALSE)</f>
        <v>ランク開放クエスト</v>
      </c>
      <c r="M107" s="33" t="str">
        <f>VLOOKUP(J107,[2]stage_hints!$A:$D,4,FALSE)</f>
        <v>一定ランクに到達すると_x000D_報酬付きのランク開放クエストが現れます</v>
      </c>
      <c r="N107" s="22" t="s">
        <v>52</v>
      </c>
      <c r="O107">
        <v>11</v>
      </c>
    </row>
    <row r="108" spans="1:15">
      <c r="A108" s="29" t="e">
        <f>C108&amp;"_"&amp;F108&amp;"_"&amp;#REF!</f>
        <v>#REF!</v>
      </c>
      <c r="B108" s="27" t="s">
        <v>32</v>
      </c>
      <c r="C108" s="5">
        <v>13001</v>
      </c>
      <c r="D108" s="4" t="str">
        <f ca="1">VLOOKUP($C108,OFFSET([1]quests!$A$1,0,0,COUNTA([1]quests!$A:$A),MATCH(D$1,[1]quests!$1:$1,0)-MATCH($C$1,[1]quests!$1:$1,0)+1),MATCH(D$1,[1]quests!$1:$1,0)-MATCH($C$1,[1]quests!$1:$1,0)+1,FALSE)</f>
        <v>チャレンジタワー(ソロ専用)</v>
      </c>
      <c r="E108" s="4" t="str">
        <f ca="1">VLOOKUP($C108,OFFSET([1]quests!$A$1,0,0,COUNTA([1]quests!$A:$A),MATCH(E$1,[1]quests!$1:$1,0)-MATCH($C$1,[1]quests!$1:$1,0)+1),MATCH(E$1,[1]quests!$1:$1,0)-MATCH($C$1,[1]quests!$1:$1,0)+1,FALSE)</f>
        <v>試練の塔</v>
      </c>
      <c r="F108" s="6">
        <v>8</v>
      </c>
      <c r="G108" s="4" t="str">
        <f ca="1">VLOOKUP($C108&amp;"_"&amp;$F108,OFFSET([1]stages!$A$1,0,0,COUNTA([1]stages!$A:$A),MATCH(G$1,[1]stages!$2:$2,0)-MATCH("temp_stage",[1]stages!$2:$2,0)+1),MATCH(G$1,[1]stages!$2:$2,0)-MATCH("temp_stage",[1]stages!$2:$2,0)+1,FALSE)</f>
        <v>チャレンジタワー 8F</v>
      </c>
      <c r="H108" s="4" t="str">
        <f ca="1">VLOOKUP($C108&amp;"_"&amp;$F108,OFFSET([1]stages!$A$1,0,0,COUNTA([1]stages!$A:$A),MATCH(H$1,[1]stages!$2:$2,0)-MATCH("temp_stage",[1]stages!$2:$2,0)+1),MATCH(H$1,[1]stages!$2:$2,0)-MATCH("temp_stage",[1]stages!$2:$2,0)+1,FALSE)</f>
        <v>試練の塔</v>
      </c>
      <c r="I108" s="19">
        <v>0</v>
      </c>
      <c r="J108">
        <v>12</v>
      </c>
      <c r="K108" s="6" t="s">
        <v>33</v>
      </c>
      <c r="L108" s="32" t="str">
        <f>VLOOKUP(J108,[2]stage_hints!$A:$C,3,FALSE)</f>
        <v>お気に入り登録</v>
      </c>
      <c r="M108" s="33" t="str">
        <f>VLOOKUP(J108,[2]stage_hints!$A:$D,4,FALSE)</f>
        <v>大事なユニットは_x000D_フォルダから「お気に入り登録」しましょう</v>
      </c>
      <c r="N108" s="22" t="s">
        <v>100</v>
      </c>
      <c r="O108">
        <v>12</v>
      </c>
    </row>
    <row r="109" spans="1:15">
      <c r="A109" s="29" t="e">
        <f>C109&amp;"_"&amp;F109&amp;"_"&amp;#REF!</f>
        <v>#REF!</v>
      </c>
      <c r="B109" s="27" t="s">
        <v>32</v>
      </c>
      <c r="C109" s="5">
        <v>13001</v>
      </c>
      <c r="D109" s="4" t="str">
        <f ca="1">VLOOKUP($C109,OFFSET([1]quests!$A$1,0,0,COUNTA([1]quests!$A:$A),MATCH(D$1,[1]quests!$1:$1,0)-MATCH($C$1,[1]quests!$1:$1,0)+1),MATCH(D$1,[1]quests!$1:$1,0)-MATCH($C$1,[1]quests!$1:$1,0)+1,FALSE)</f>
        <v>チャレンジタワー(ソロ専用)</v>
      </c>
      <c r="E109" s="4" t="str">
        <f ca="1">VLOOKUP($C109,OFFSET([1]quests!$A$1,0,0,COUNTA([1]quests!$A:$A),MATCH(E$1,[1]quests!$1:$1,0)-MATCH($C$1,[1]quests!$1:$1,0)+1),MATCH(E$1,[1]quests!$1:$1,0)-MATCH($C$1,[1]quests!$1:$1,0)+1,FALSE)</f>
        <v>試練の塔</v>
      </c>
      <c r="F109" s="6">
        <v>8</v>
      </c>
      <c r="G109" s="4" t="str">
        <f ca="1">VLOOKUP($C109&amp;"_"&amp;$F109,OFFSET([1]stages!$A$1,0,0,COUNTA([1]stages!$A:$A),MATCH(G$1,[1]stages!$2:$2,0)-MATCH("temp_stage",[1]stages!$2:$2,0)+1),MATCH(G$1,[1]stages!$2:$2,0)-MATCH("temp_stage",[1]stages!$2:$2,0)+1,FALSE)</f>
        <v>チャレンジタワー 8F</v>
      </c>
      <c r="H109" s="4" t="str">
        <f ca="1">VLOOKUP($C109&amp;"_"&amp;$F109,OFFSET([1]stages!$A$1,0,0,COUNTA([1]stages!$A:$A),MATCH(H$1,[1]stages!$2:$2,0)-MATCH("temp_stage",[1]stages!$2:$2,0)+1),MATCH(H$1,[1]stages!$2:$2,0)-MATCH("temp_stage",[1]stages!$2:$2,0)+1,FALSE)</f>
        <v>試練の塔</v>
      </c>
      <c r="I109" s="19">
        <v>0</v>
      </c>
      <c r="J109">
        <v>13</v>
      </c>
      <c r="K109" s="6" t="s">
        <v>33</v>
      </c>
      <c r="L109" s="32" t="str">
        <f>VLOOKUP(J109,[2]stage_hints!$A:$C,3,FALSE)</f>
        <v>ユニットを覚醒させよう！</v>
      </c>
      <c r="M109" s="33" t="str">
        <f>VLOOKUP(J109,[2]stage_hints!$A:$D,4,FALSE)</f>
        <v>ユニットを覚醒させると_x000D_比べものにならない強さが手に入ります</v>
      </c>
      <c r="N109" s="22" t="s">
        <v>79</v>
      </c>
      <c r="O109">
        <v>13</v>
      </c>
    </row>
    <row r="110" spans="1:15">
      <c r="A110" s="29" t="e">
        <f>C110&amp;"_"&amp;F110&amp;"_"&amp;#REF!</f>
        <v>#REF!</v>
      </c>
      <c r="B110" s="27" t="s">
        <v>32</v>
      </c>
      <c r="C110" s="5">
        <v>13001</v>
      </c>
      <c r="D110" s="4" t="str">
        <f ca="1">VLOOKUP($C110,OFFSET([1]quests!$A$1,0,0,COUNTA([1]quests!$A:$A),MATCH(D$1,[1]quests!$1:$1,0)-MATCH($C$1,[1]quests!$1:$1,0)+1),MATCH(D$1,[1]quests!$1:$1,0)-MATCH($C$1,[1]quests!$1:$1,0)+1,FALSE)</f>
        <v>チャレンジタワー(ソロ専用)</v>
      </c>
      <c r="E110" s="4" t="str">
        <f ca="1">VLOOKUP($C110,OFFSET([1]quests!$A$1,0,0,COUNTA([1]quests!$A:$A),MATCH(E$1,[1]quests!$1:$1,0)-MATCH($C$1,[1]quests!$1:$1,0)+1),MATCH(E$1,[1]quests!$1:$1,0)-MATCH($C$1,[1]quests!$1:$1,0)+1,FALSE)</f>
        <v>試練の塔</v>
      </c>
      <c r="F110" s="6">
        <v>8</v>
      </c>
      <c r="G110" s="4" t="str">
        <f ca="1">VLOOKUP($C110&amp;"_"&amp;$F110,OFFSET([1]stages!$A$1,0,0,COUNTA([1]stages!$A:$A),MATCH(G$1,[1]stages!$2:$2,0)-MATCH("temp_stage",[1]stages!$2:$2,0)+1),MATCH(G$1,[1]stages!$2:$2,0)-MATCH("temp_stage",[1]stages!$2:$2,0)+1,FALSE)</f>
        <v>チャレンジタワー 8F</v>
      </c>
      <c r="H110" s="4" t="str">
        <f ca="1">VLOOKUP($C110&amp;"_"&amp;$F110,OFFSET([1]stages!$A$1,0,0,COUNTA([1]stages!$A:$A),MATCH(H$1,[1]stages!$2:$2,0)-MATCH("temp_stage",[1]stages!$2:$2,0)+1),MATCH(H$1,[1]stages!$2:$2,0)-MATCH("temp_stage",[1]stages!$2:$2,0)+1,FALSE)</f>
        <v>試練の塔</v>
      </c>
      <c r="I110" s="19">
        <v>0</v>
      </c>
      <c r="J110">
        <v>14</v>
      </c>
      <c r="K110" s="6" t="s">
        <v>33</v>
      </c>
      <c r="L110" s="32" t="str">
        <f>VLOOKUP(J110,[2]stage_hints!$A:$C,3,FALSE)</f>
        <v>覚醒するにはレベルをMAXに！</v>
      </c>
      <c r="M110" s="33" t="str">
        <f>VLOOKUP(J110,[2]stage_hints!$A:$D,4,FALSE)</f>
        <v>覚醒するにはユニットのレベルを_x000D_最大まで上げる必要があります</v>
      </c>
      <c r="N110" s="22" t="s">
        <v>61</v>
      </c>
      <c r="O110">
        <v>14</v>
      </c>
    </row>
    <row r="111" spans="1:15">
      <c r="A111" s="29" t="e">
        <f>C111&amp;"_"&amp;F111&amp;"_"&amp;#REF!</f>
        <v>#REF!</v>
      </c>
      <c r="B111" s="27" t="s">
        <v>32</v>
      </c>
      <c r="C111" s="5">
        <v>13001</v>
      </c>
      <c r="D111" s="4" t="str">
        <f ca="1">VLOOKUP($C111,OFFSET([1]quests!$A$1,0,0,COUNTA([1]quests!$A:$A),MATCH(D$1,[1]quests!$1:$1,0)-MATCH($C$1,[1]quests!$1:$1,0)+1),MATCH(D$1,[1]quests!$1:$1,0)-MATCH($C$1,[1]quests!$1:$1,0)+1,FALSE)</f>
        <v>チャレンジタワー(ソロ専用)</v>
      </c>
      <c r="E111" s="4" t="str">
        <f ca="1">VLOOKUP($C111,OFFSET([1]quests!$A$1,0,0,COUNTA([1]quests!$A:$A),MATCH(E$1,[1]quests!$1:$1,0)-MATCH($C$1,[1]quests!$1:$1,0)+1),MATCH(E$1,[1]quests!$1:$1,0)-MATCH($C$1,[1]quests!$1:$1,0)+1,FALSE)</f>
        <v>試練の塔</v>
      </c>
      <c r="F111" s="6">
        <v>8</v>
      </c>
      <c r="G111" s="4" t="str">
        <f ca="1">VLOOKUP($C111&amp;"_"&amp;$F111,OFFSET([1]stages!$A$1,0,0,COUNTA([1]stages!$A:$A),MATCH(G$1,[1]stages!$2:$2,0)-MATCH("temp_stage",[1]stages!$2:$2,0)+1),MATCH(G$1,[1]stages!$2:$2,0)-MATCH("temp_stage",[1]stages!$2:$2,0)+1,FALSE)</f>
        <v>チャレンジタワー 8F</v>
      </c>
      <c r="H111" s="4" t="str">
        <f ca="1">VLOOKUP($C111&amp;"_"&amp;$F111,OFFSET([1]stages!$A$1,0,0,COUNTA([1]stages!$A:$A),MATCH(H$1,[1]stages!$2:$2,0)-MATCH("temp_stage",[1]stages!$2:$2,0)+1),MATCH(H$1,[1]stages!$2:$2,0)-MATCH("temp_stage",[1]stages!$2:$2,0)+1,FALSE)</f>
        <v>試練の塔</v>
      </c>
      <c r="I111" s="19">
        <v>0</v>
      </c>
      <c r="J111">
        <v>15</v>
      </c>
      <c r="K111" s="6" t="s">
        <v>33</v>
      </c>
      <c r="L111" s="32" t="str">
        <f>VLOOKUP(J111,[2]stage_hints!$A:$C,3,FALSE)</f>
        <v>覚醒素材をGETしよう！</v>
      </c>
      <c r="M111" s="33" t="str">
        <f>VLOOKUP(J111,[2]stage_hints!$A:$D,4,FALSE)</f>
        <v>「曜日クエスト」では_x000D_覚醒に必要な覚醒素材が手に入ります</v>
      </c>
      <c r="N111" s="22" t="s">
        <v>80</v>
      </c>
      <c r="O111">
        <v>15</v>
      </c>
    </row>
    <row r="112" spans="1:15">
      <c r="A112" s="29" t="e">
        <f>C112&amp;"_"&amp;F112&amp;"_"&amp;#REF!</f>
        <v>#REF!</v>
      </c>
      <c r="B112" s="27" t="s">
        <v>32</v>
      </c>
      <c r="C112" s="5">
        <v>13001</v>
      </c>
      <c r="D112" s="4" t="str">
        <f ca="1">VLOOKUP($C112,OFFSET([1]quests!$A$1,0,0,COUNTA([1]quests!$A:$A),MATCH(D$1,[1]quests!$1:$1,0)-MATCH($C$1,[1]quests!$1:$1,0)+1),MATCH(D$1,[1]quests!$1:$1,0)-MATCH($C$1,[1]quests!$1:$1,0)+1,FALSE)</f>
        <v>チャレンジタワー(ソロ専用)</v>
      </c>
      <c r="E112" s="4" t="str">
        <f ca="1">VLOOKUP($C112,OFFSET([1]quests!$A$1,0,0,COUNTA([1]quests!$A:$A),MATCH(E$1,[1]quests!$1:$1,0)-MATCH($C$1,[1]quests!$1:$1,0)+1),MATCH(E$1,[1]quests!$1:$1,0)-MATCH($C$1,[1]quests!$1:$1,0)+1,FALSE)</f>
        <v>試練の塔</v>
      </c>
      <c r="F112" s="6">
        <v>8</v>
      </c>
      <c r="G112" s="4" t="str">
        <f ca="1">VLOOKUP($C112&amp;"_"&amp;$F112,OFFSET([1]stages!$A$1,0,0,COUNTA([1]stages!$A:$A),MATCH(G$1,[1]stages!$2:$2,0)-MATCH("temp_stage",[1]stages!$2:$2,0)+1),MATCH(G$1,[1]stages!$2:$2,0)-MATCH("temp_stage",[1]stages!$2:$2,0)+1,FALSE)</f>
        <v>チャレンジタワー 8F</v>
      </c>
      <c r="H112" s="4" t="str">
        <f ca="1">VLOOKUP($C112&amp;"_"&amp;$F112,OFFSET([1]stages!$A$1,0,0,COUNTA([1]stages!$A:$A),MATCH(H$1,[1]stages!$2:$2,0)-MATCH("temp_stage",[1]stages!$2:$2,0)+1),MATCH(H$1,[1]stages!$2:$2,0)-MATCH("temp_stage",[1]stages!$2:$2,0)+1,FALSE)</f>
        <v>試練の塔</v>
      </c>
      <c r="I112" s="19">
        <v>0</v>
      </c>
      <c r="J112">
        <v>16</v>
      </c>
      <c r="K112" s="6" t="s">
        <v>33</v>
      </c>
      <c r="L112" s="32" t="str">
        <f>VLOOKUP(J112,[2]stage_hints!$A:$C,3,FALSE)</f>
        <v>マルチプレイが熱い！　その1</v>
      </c>
      <c r="M112" s="33" t="str">
        <f>VLOOKUP(J112,[2]stage_hints!$A:$D,4,FALSE)</f>
        <v>マルチプレイをすると_x000D_初顔合わせボーナスで_x000D_100人までポリゴンがもらえます</v>
      </c>
      <c r="N112" s="22" t="s">
        <v>59</v>
      </c>
      <c r="O112">
        <v>16</v>
      </c>
    </row>
    <row r="113" spans="1:15">
      <c r="A113" s="29" t="e">
        <f>C113&amp;"_"&amp;F113&amp;"_"&amp;#REF!</f>
        <v>#REF!</v>
      </c>
      <c r="B113" s="27" t="s">
        <v>32</v>
      </c>
      <c r="C113" s="5">
        <v>13001</v>
      </c>
      <c r="D113" s="4" t="str">
        <f ca="1">VLOOKUP($C113,OFFSET([1]quests!$A$1,0,0,COUNTA([1]quests!$A:$A),MATCH(D$1,[1]quests!$1:$1,0)-MATCH($C$1,[1]quests!$1:$1,0)+1),MATCH(D$1,[1]quests!$1:$1,0)-MATCH($C$1,[1]quests!$1:$1,0)+1,FALSE)</f>
        <v>チャレンジタワー(ソロ専用)</v>
      </c>
      <c r="E113" s="4" t="str">
        <f ca="1">VLOOKUP($C113,OFFSET([1]quests!$A$1,0,0,COUNTA([1]quests!$A:$A),MATCH(E$1,[1]quests!$1:$1,0)-MATCH($C$1,[1]quests!$1:$1,0)+1),MATCH(E$1,[1]quests!$1:$1,0)-MATCH($C$1,[1]quests!$1:$1,0)+1,FALSE)</f>
        <v>試練の塔</v>
      </c>
      <c r="F113" s="6">
        <v>8</v>
      </c>
      <c r="G113" s="4" t="str">
        <f ca="1">VLOOKUP($C113&amp;"_"&amp;$F113,OFFSET([1]stages!$A$1,0,0,COUNTA([1]stages!$A:$A),MATCH(G$1,[1]stages!$2:$2,0)-MATCH("temp_stage",[1]stages!$2:$2,0)+1),MATCH(G$1,[1]stages!$2:$2,0)-MATCH("temp_stage",[1]stages!$2:$2,0)+1,FALSE)</f>
        <v>チャレンジタワー 8F</v>
      </c>
      <c r="H113" s="4" t="str">
        <f ca="1">VLOOKUP($C113&amp;"_"&amp;$F113,OFFSET([1]stages!$A$1,0,0,COUNTA([1]stages!$A:$A),MATCH(H$1,[1]stages!$2:$2,0)-MATCH("temp_stage",[1]stages!$2:$2,0)+1),MATCH(H$1,[1]stages!$2:$2,0)-MATCH("temp_stage",[1]stages!$2:$2,0)+1,FALSE)</f>
        <v>試練の塔</v>
      </c>
      <c r="I113" s="19">
        <v>0</v>
      </c>
      <c r="J113">
        <v>17</v>
      </c>
      <c r="K113" s="6" t="s">
        <v>33</v>
      </c>
      <c r="L113" s="32" t="str">
        <f>VLOOKUP(J113,[2]stage_hints!$A:$C,3,FALSE)</f>
        <v>リンクガチャを引いてみよう</v>
      </c>
      <c r="M113" s="33" t="str">
        <f>VLOOKUP(J113,[2]stage_hints!$A:$D,4,FALSE)</f>
        <v>リンクガチャを回して_x000D_メタルダックやゴールドダックを獲得しましょう</v>
      </c>
      <c r="N113" s="22" t="s">
        <v>34</v>
      </c>
      <c r="O113">
        <v>17</v>
      </c>
    </row>
    <row r="114" spans="1:15">
      <c r="A114" s="29" t="e">
        <f>C114&amp;"_"&amp;F114&amp;"_"&amp;#REF!</f>
        <v>#REF!</v>
      </c>
      <c r="B114" s="27" t="s">
        <v>32</v>
      </c>
      <c r="C114" s="5">
        <v>13001</v>
      </c>
      <c r="D114" s="4" t="str">
        <f ca="1">VLOOKUP($C114,OFFSET([1]quests!$A$1,0,0,COUNTA([1]quests!$A:$A),MATCH(D$1,[1]quests!$1:$1,0)-MATCH($C$1,[1]quests!$1:$1,0)+1),MATCH(D$1,[1]quests!$1:$1,0)-MATCH($C$1,[1]quests!$1:$1,0)+1,FALSE)</f>
        <v>チャレンジタワー(ソロ専用)</v>
      </c>
      <c r="E114" s="4" t="str">
        <f ca="1">VLOOKUP($C114,OFFSET([1]quests!$A$1,0,0,COUNTA([1]quests!$A:$A),MATCH(E$1,[1]quests!$1:$1,0)-MATCH($C$1,[1]quests!$1:$1,0)+1),MATCH(E$1,[1]quests!$1:$1,0)-MATCH($C$1,[1]quests!$1:$1,0)+1,FALSE)</f>
        <v>試練の塔</v>
      </c>
      <c r="F114" s="6">
        <v>8</v>
      </c>
      <c r="G114" s="4" t="str">
        <f ca="1">VLOOKUP($C114&amp;"_"&amp;$F114,OFFSET([1]stages!$A$1,0,0,COUNTA([1]stages!$A:$A),MATCH(G$1,[1]stages!$2:$2,0)-MATCH("temp_stage",[1]stages!$2:$2,0)+1),MATCH(G$1,[1]stages!$2:$2,0)-MATCH("temp_stage",[1]stages!$2:$2,0)+1,FALSE)</f>
        <v>チャレンジタワー 8F</v>
      </c>
      <c r="H114" s="4" t="str">
        <f ca="1">VLOOKUP($C114&amp;"_"&amp;$F114,OFFSET([1]stages!$A$1,0,0,COUNTA([1]stages!$A:$A),MATCH(H$1,[1]stages!$2:$2,0)-MATCH("temp_stage",[1]stages!$2:$2,0)+1),MATCH(H$1,[1]stages!$2:$2,0)-MATCH("temp_stage",[1]stages!$2:$2,0)+1,FALSE)</f>
        <v>試練の塔</v>
      </c>
      <c r="I114" s="19">
        <v>0</v>
      </c>
      <c r="J114">
        <v>18</v>
      </c>
      <c r="K114" s="6" t="s">
        <v>33</v>
      </c>
      <c r="L114" s="32" t="str">
        <f>VLOOKUP(J114,[2]stage_hints!$A:$C,3,FALSE)</f>
        <v>マルチプレイが熱い！　その2</v>
      </c>
      <c r="M114" s="33" t="str">
        <f>VLOOKUP(J114,[2]stage_hints!$A:$D,4,FALSE)</f>
        <v>マルチプレイなら_x000D_2倍のリンクがもらえます</v>
      </c>
      <c r="N114" s="22" t="s">
        <v>73</v>
      </c>
      <c r="O114">
        <v>18</v>
      </c>
    </row>
    <row r="115" spans="1:15">
      <c r="A115" s="29" t="e">
        <f>C115&amp;"_"&amp;F115&amp;"_"&amp;#REF!</f>
        <v>#REF!</v>
      </c>
      <c r="B115" s="27" t="s">
        <v>32</v>
      </c>
      <c r="C115" s="5">
        <v>13001</v>
      </c>
      <c r="D115" s="4" t="str">
        <f ca="1">VLOOKUP($C115,OFFSET([1]quests!$A$1,0,0,COUNTA([1]quests!$A:$A),MATCH(D$1,[1]quests!$1:$1,0)-MATCH($C$1,[1]quests!$1:$1,0)+1),MATCH(D$1,[1]quests!$1:$1,0)-MATCH($C$1,[1]quests!$1:$1,0)+1,FALSE)</f>
        <v>チャレンジタワー(ソロ専用)</v>
      </c>
      <c r="E115" s="4" t="str">
        <f ca="1">VLOOKUP($C115,OFFSET([1]quests!$A$1,0,0,COUNTA([1]quests!$A:$A),MATCH(E$1,[1]quests!$1:$1,0)-MATCH($C$1,[1]quests!$1:$1,0)+1),MATCH(E$1,[1]quests!$1:$1,0)-MATCH($C$1,[1]quests!$1:$1,0)+1,FALSE)</f>
        <v>試練の塔</v>
      </c>
      <c r="F115" s="6">
        <v>8</v>
      </c>
      <c r="G115" s="4" t="str">
        <f ca="1">VLOOKUP($C115&amp;"_"&amp;$F115,OFFSET([1]stages!$A$1,0,0,COUNTA([1]stages!$A:$A),MATCH(G$1,[1]stages!$2:$2,0)-MATCH("temp_stage",[1]stages!$2:$2,0)+1),MATCH(G$1,[1]stages!$2:$2,0)-MATCH("temp_stage",[1]stages!$2:$2,0)+1,FALSE)</f>
        <v>チャレンジタワー 8F</v>
      </c>
      <c r="H115" s="4" t="str">
        <f ca="1">VLOOKUP($C115&amp;"_"&amp;$F115,OFFSET([1]stages!$A$1,0,0,COUNTA([1]stages!$A:$A),MATCH(H$1,[1]stages!$2:$2,0)-MATCH("temp_stage",[1]stages!$2:$2,0)+1),MATCH(H$1,[1]stages!$2:$2,0)-MATCH("temp_stage",[1]stages!$2:$2,0)+1,FALSE)</f>
        <v>試練の塔</v>
      </c>
      <c r="I115" s="19">
        <v>0</v>
      </c>
      <c r="J115">
        <v>19</v>
      </c>
      <c r="K115" s="6" t="s">
        <v>102</v>
      </c>
      <c r="L115" s="32" t="str">
        <f>VLOOKUP(J115,[2]stage_hints!$A:$C,3,FALSE)</f>
        <v>チャレンジタワー</v>
      </c>
      <c r="M115" s="33" t="str">
        <f>VLOOKUP(J115,[2]stage_hints!$A:$D,4,FALSE)</f>
        <v>「チャレンジタワー」をクリアすると_x000D_各フロアごとに報酬がもらえます</v>
      </c>
      <c r="N115" s="22" t="s">
        <v>41</v>
      </c>
      <c r="O115">
        <v>19</v>
      </c>
    </row>
    <row r="116" spans="1:15">
      <c r="A116" s="29" t="e">
        <f>C116&amp;"_"&amp;F116&amp;"_"&amp;#REF!</f>
        <v>#REF!</v>
      </c>
      <c r="B116" s="27" t="s">
        <v>32</v>
      </c>
      <c r="C116" s="5">
        <v>13001</v>
      </c>
      <c r="D116" s="4" t="str">
        <f ca="1">VLOOKUP($C116,OFFSET([1]quests!$A$1,0,0,COUNTA([1]quests!$A:$A),MATCH(D$1,[1]quests!$1:$1,0)-MATCH($C$1,[1]quests!$1:$1,0)+1),MATCH(D$1,[1]quests!$1:$1,0)-MATCH($C$1,[1]quests!$1:$1,0)+1,FALSE)</f>
        <v>チャレンジタワー(ソロ専用)</v>
      </c>
      <c r="E116" s="4" t="str">
        <f ca="1">VLOOKUP($C116,OFFSET([1]quests!$A$1,0,0,COUNTA([1]quests!$A:$A),MATCH(E$1,[1]quests!$1:$1,0)-MATCH($C$1,[1]quests!$1:$1,0)+1),MATCH(E$1,[1]quests!$1:$1,0)-MATCH($C$1,[1]quests!$1:$1,0)+1,FALSE)</f>
        <v>試練の塔</v>
      </c>
      <c r="F116" s="6">
        <v>8</v>
      </c>
      <c r="G116" s="4" t="str">
        <f ca="1">VLOOKUP($C116&amp;"_"&amp;$F116,OFFSET([1]stages!$A$1,0,0,COUNTA([1]stages!$A:$A),MATCH(G$1,[1]stages!$2:$2,0)-MATCH("temp_stage",[1]stages!$2:$2,0)+1),MATCH(G$1,[1]stages!$2:$2,0)-MATCH("temp_stage",[1]stages!$2:$2,0)+1,FALSE)</f>
        <v>チャレンジタワー 8F</v>
      </c>
      <c r="H116" s="4" t="str">
        <f ca="1">VLOOKUP($C116&amp;"_"&amp;$F116,OFFSET([1]stages!$A$1,0,0,COUNTA([1]stages!$A:$A),MATCH(H$1,[1]stages!$2:$2,0)-MATCH("temp_stage",[1]stages!$2:$2,0)+1),MATCH(H$1,[1]stages!$2:$2,0)-MATCH("temp_stage",[1]stages!$2:$2,0)+1,FALSE)</f>
        <v>試練の塔</v>
      </c>
      <c r="I116" s="19">
        <v>0</v>
      </c>
      <c r="J116">
        <v>20</v>
      </c>
      <c r="K116" s="6" t="s">
        <v>33</v>
      </c>
      <c r="L116" s="32" t="str">
        <f>VLOOKUP(J116,[2]stage_hints!$A:$C,3,FALSE)</f>
        <v>マルチプレイが熱い！　その3</v>
      </c>
      <c r="M116" s="33" t="str">
        <f>VLOOKUP(J116,[2]stage_hints!$A:$D,4,FALSE)</f>
        <v>マルチプレイへの参加は_x000D_エナジー消費がありません</v>
      </c>
      <c r="N116" s="22" t="s">
        <v>34</v>
      </c>
      <c r="O116">
        <v>20</v>
      </c>
    </row>
    <row r="117" spans="1:15">
      <c r="A117" s="29" t="e">
        <f>C117&amp;"_"&amp;F117&amp;"_"&amp;#REF!</f>
        <v>#REF!</v>
      </c>
      <c r="B117" s="27" t="s">
        <v>32</v>
      </c>
      <c r="C117" s="5">
        <v>13001</v>
      </c>
      <c r="D117" s="4" t="str">
        <f ca="1">VLOOKUP($C117,OFFSET([1]quests!$A$1,0,0,COUNTA([1]quests!$A:$A),MATCH(D$1,[1]quests!$1:$1,0)-MATCH($C$1,[1]quests!$1:$1,0)+1),MATCH(D$1,[1]quests!$1:$1,0)-MATCH($C$1,[1]quests!$1:$1,0)+1,FALSE)</f>
        <v>チャレンジタワー(ソロ専用)</v>
      </c>
      <c r="E117" s="4" t="str">
        <f ca="1">VLOOKUP($C117,OFFSET([1]quests!$A$1,0,0,COUNTA([1]quests!$A:$A),MATCH(E$1,[1]quests!$1:$1,0)-MATCH($C$1,[1]quests!$1:$1,0)+1),MATCH(E$1,[1]quests!$1:$1,0)-MATCH($C$1,[1]quests!$1:$1,0)+1,FALSE)</f>
        <v>試練の塔</v>
      </c>
      <c r="F117" s="6">
        <v>8</v>
      </c>
      <c r="G117" s="4" t="str">
        <f ca="1">VLOOKUP($C117&amp;"_"&amp;$F117,OFFSET([1]stages!$A$1,0,0,COUNTA([1]stages!$A:$A),MATCH(G$1,[1]stages!$2:$2,0)-MATCH("temp_stage",[1]stages!$2:$2,0)+1),MATCH(G$1,[1]stages!$2:$2,0)-MATCH("temp_stage",[1]stages!$2:$2,0)+1,FALSE)</f>
        <v>チャレンジタワー 8F</v>
      </c>
      <c r="H117" s="4" t="str">
        <f ca="1">VLOOKUP($C117&amp;"_"&amp;$F117,OFFSET([1]stages!$A$1,0,0,COUNTA([1]stages!$A:$A),MATCH(H$1,[1]stages!$2:$2,0)-MATCH("temp_stage",[1]stages!$2:$2,0)+1),MATCH(H$1,[1]stages!$2:$2,0)-MATCH("temp_stage",[1]stages!$2:$2,0)+1,FALSE)</f>
        <v>試練の塔</v>
      </c>
      <c r="I117" s="19">
        <v>0</v>
      </c>
      <c r="J117">
        <v>21</v>
      </c>
      <c r="K117" s="6" t="s">
        <v>33</v>
      </c>
      <c r="L117" s="32" t="str">
        <f>VLOOKUP(J117,[2]stage_hints!$A:$C,3,FALSE)</f>
        <v>スキルを有効に使おう</v>
      </c>
      <c r="M117" s="33" t="str">
        <f>VLOOKUP(J117,[2]stage_hints!$A:$D,4,FALSE)</f>
        <v>ターン経過でユニットは_x000D_強力なスキルが使えるようになります</v>
      </c>
      <c r="N117" s="22" t="s">
        <v>82</v>
      </c>
      <c r="O117">
        <v>21</v>
      </c>
    </row>
    <row r="118" spans="1:15">
      <c r="A118" s="29" t="e">
        <f>C118&amp;"_"&amp;F118&amp;"_"&amp;#REF!</f>
        <v>#REF!</v>
      </c>
      <c r="B118" s="27" t="s">
        <v>32</v>
      </c>
      <c r="C118" s="5">
        <v>13001</v>
      </c>
      <c r="D118" s="4" t="str">
        <f ca="1">VLOOKUP($C118,OFFSET([1]quests!$A$1,0,0,COUNTA([1]quests!$A:$A),MATCH(D$1,[1]quests!$1:$1,0)-MATCH($C$1,[1]quests!$1:$1,0)+1),MATCH(D$1,[1]quests!$1:$1,0)-MATCH($C$1,[1]quests!$1:$1,0)+1,FALSE)</f>
        <v>チャレンジタワー(ソロ専用)</v>
      </c>
      <c r="E118" s="4" t="str">
        <f ca="1">VLOOKUP($C118,OFFSET([1]quests!$A$1,0,0,COUNTA([1]quests!$A:$A),MATCH(E$1,[1]quests!$1:$1,0)-MATCH($C$1,[1]quests!$1:$1,0)+1),MATCH(E$1,[1]quests!$1:$1,0)-MATCH($C$1,[1]quests!$1:$1,0)+1,FALSE)</f>
        <v>試練の塔</v>
      </c>
      <c r="F118" s="6">
        <v>8</v>
      </c>
      <c r="G118" s="4" t="str">
        <f ca="1">VLOOKUP($C118&amp;"_"&amp;$F118,OFFSET([1]stages!$A$1,0,0,COUNTA([1]stages!$A:$A),MATCH(G$1,[1]stages!$2:$2,0)-MATCH("temp_stage",[1]stages!$2:$2,0)+1),MATCH(G$1,[1]stages!$2:$2,0)-MATCH("temp_stage",[1]stages!$2:$2,0)+1,FALSE)</f>
        <v>チャレンジタワー 8F</v>
      </c>
      <c r="H118" s="4" t="str">
        <f ca="1">VLOOKUP($C118&amp;"_"&amp;$F118,OFFSET([1]stages!$A$1,0,0,COUNTA([1]stages!$A:$A),MATCH(H$1,[1]stages!$2:$2,0)-MATCH("temp_stage",[1]stages!$2:$2,0)+1),MATCH(H$1,[1]stages!$2:$2,0)-MATCH("temp_stage",[1]stages!$2:$2,0)+1,FALSE)</f>
        <v>試練の塔</v>
      </c>
      <c r="I118" s="19">
        <v>0</v>
      </c>
      <c r="J118">
        <v>22</v>
      </c>
      <c r="K118" s="6" t="s">
        <v>33</v>
      </c>
      <c r="L118" s="32" t="str">
        <f>VLOOKUP(J118,[2]stage_hints!$A:$C,3,FALSE)</f>
        <v>フィーバーを使って一発逆転</v>
      </c>
      <c r="M118" s="33" t="str">
        <f>VLOOKUP(J118,[2]stage_hints!$A:$D,4,FALSE)</f>
        <v>ピンチの時はフィーバーで_x000D_一発逆転を狙いましょう</v>
      </c>
      <c r="N118" s="22" t="s">
        <v>83</v>
      </c>
      <c r="O118">
        <v>22</v>
      </c>
    </row>
    <row r="119" spans="1:15">
      <c r="A119" s="29" t="e">
        <f>C119&amp;"_"&amp;F119&amp;"_"&amp;#REF!</f>
        <v>#REF!</v>
      </c>
      <c r="B119" s="27" t="s">
        <v>32</v>
      </c>
      <c r="C119" s="5">
        <v>13001</v>
      </c>
      <c r="D119" s="4" t="str">
        <f ca="1">VLOOKUP($C119,OFFSET([1]quests!$A$1,0,0,COUNTA([1]quests!$A:$A),MATCH(D$1,[1]quests!$1:$1,0)-MATCH($C$1,[1]quests!$1:$1,0)+1),MATCH(D$1,[1]quests!$1:$1,0)-MATCH($C$1,[1]quests!$1:$1,0)+1,FALSE)</f>
        <v>チャレンジタワー(ソロ専用)</v>
      </c>
      <c r="E119" s="4" t="str">
        <f ca="1">VLOOKUP($C119,OFFSET([1]quests!$A$1,0,0,COUNTA([1]quests!$A:$A),MATCH(E$1,[1]quests!$1:$1,0)-MATCH($C$1,[1]quests!$1:$1,0)+1),MATCH(E$1,[1]quests!$1:$1,0)-MATCH($C$1,[1]quests!$1:$1,0)+1,FALSE)</f>
        <v>試練の塔</v>
      </c>
      <c r="F119" s="6">
        <v>8</v>
      </c>
      <c r="G119" s="4" t="str">
        <f ca="1">VLOOKUP($C119&amp;"_"&amp;$F119,OFFSET([1]stages!$A$1,0,0,COUNTA([1]stages!$A:$A),MATCH(G$1,[1]stages!$2:$2,0)-MATCH("temp_stage",[1]stages!$2:$2,0)+1),MATCH(G$1,[1]stages!$2:$2,0)-MATCH("temp_stage",[1]stages!$2:$2,0)+1,FALSE)</f>
        <v>チャレンジタワー 8F</v>
      </c>
      <c r="H119" s="4" t="str">
        <f ca="1">VLOOKUP($C119&amp;"_"&amp;$F119,OFFSET([1]stages!$A$1,0,0,COUNTA([1]stages!$A:$A),MATCH(H$1,[1]stages!$2:$2,0)-MATCH("temp_stage",[1]stages!$2:$2,0)+1),MATCH(H$1,[1]stages!$2:$2,0)-MATCH("temp_stage",[1]stages!$2:$2,0)+1,FALSE)</f>
        <v>試練の塔</v>
      </c>
      <c r="I119" s="19">
        <v>0</v>
      </c>
      <c r="J119">
        <v>23</v>
      </c>
      <c r="K119" s="6" t="s">
        <v>103</v>
      </c>
      <c r="L119" s="32" t="str">
        <f>VLOOKUP(J119,[2]stage_hints!$A:$C,3,FALSE)</f>
        <v>フィーバーは虹パネルを狙おう！</v>
      </c>
      <c r="M119" s="33" t="str">
        <f>VLOOKUP(J119,[2]stage_hints!$A:$D,4,FALSE)</f>
        <v>フィーバー中は虹色のパネルを壊して_x000D_大ダメージを狙いましょう</v>
      </c>
      <c r="N119" s="22" t="s">
        <v>97</v>
      </c>
      <c r="O119">
        <v>23</v>
      </c>
    </row>
    <row r="120" spans="1:15">
      <c r="A120" s="29" t="e">
        <f>C120&amp;"_"&amp;F120&amp;"_"&amp;#REF!</f>
        <v>#REF!</v>
      </c>
      <c r="B120" s="27" t="s">
        <v>32</v>
      </c>
      <c r="C120" s="5">
        <v>13001</v>
      </c>
      <c r="D120" s="4" t="str">
        <f ca="1">VLOOKUP($C120,OFFSET([1]quests!$A$1,0,0,COUNTA([1]quests!$A:$A),MATCH(D$1,[1]quests!$1:$1,0)-MATCH($C$1,[1]quests!$1:$1,0)+1),MATCH(D$1,[1]quests!$1:$1,0)-MATCH($C$1,[1]quests!$1:$1,0)+1,FALSE)</f>
        <v>チャレンジタワー(ソロ専用)</v>
      </c>
      <c r="E120" s="4" t="str">
        <f ca="1">VLOOKUP($C120,OFFSET([1]quests!$A$1,0,0,COUNTA([1]quests!$A:$A),MATCH(E$1,[1]quests!$1:$1,0)-MATCH($C$1,[1]quests!$1:$1,0)+1),MATCH(E$1,[1]quests!$1:$1,0)-MATCH($C$1,[1]quests!$1:$1,0)+1,FALSE)</f>
        <v>試練の塔</v>
      </c>
      <c r="F120" s="6">
        <v>8</v>
      </c>
      <c r="G120" s="4" t="str">
        <f ca="1">VLOOKUP($C120&amp;"_"&amp;$F120,OFFSET([1]stages!$A$1,0,0,COUNTA([1]stages!$A:$A),MATCH(G$1,[1]stages!$2:$2,0)-MATCH("temp_stage",[1]stages!$2:$2,0)+1),MATCH(G$1,[1]stages!$2:$2,0)-MATCH("temp_stage",[1]stages!$2:$2,0)+1,FALSE)</f>
        <v>チャレンジタワー 8F</v>
      </c>
      <c r="H120" s="4" t="str">
        <f ca="1">VLOOKUP($C120&amp;"_"&amp;$F120,OFFSET([1]stages!$A$1,0,0,COUNTA([1]stages!$A:$A),MATCH(H$1,[1]stages!$2:$2,0)-MATCH("temp_stage",[1]stages!$2:$2,0)+1),MATCH(H$1,[1]stages!$2:$2,0)-MATCH("temp_stage",[1]stages!$2:$2,0)+1,FALSE)</f>
        <v>試練の塔</v>
      </c>
      <c r="I120" s="19">
        <v>0</v>
      </c>
      <c r="J120">
        <v>24</v>
      </c>
      <c r="K120" s="6" t="s">
        <v>33</v>
      </c>
      <c r="L120" s="32" t="str">
        <f>VLOOKUP(J120,[2]stage_hints!$A:$C,3,FALSE)</f>
        <v>リンゴをつかって限界突破！</v>
      </c>
      <c r="M120" s="33" t="str">
        <f>VLOOKUP(J120,[2]stage_hints!$A:$D,4,FALSE)</f>
        <v>赤りんご(攻撃力)、青りんご(回復力)、_x000D_緑りんご(体力)は_x000D_合計99個までステータスを上げられます</v>
      </c>
      <c r="N120" s="22" t="s">
        <v>104</v>
      </c>
      <c r="O120">
        <v>24</v>
      </c>
    </row>
    <row r="121" spans="1:15">
      <c r="A121" s="29" t="e">
        <f>C121&amp;"_"&amp;F121&amp;"_"&amp;#REF!</f>
        <v>#REF!</v>
      </c>
      <c r="B121" s="27" t="s">
        <v>32</v>
      </c>
      <c r="C121" s="5">
        <v>13001</v>
      </c>
      <c r="D121" s="4" t="str">
        <f ca="1">VLOOKUP($C121,OFFSET([1]quests!$A$1,0,0,COUNTA([1]quests!$A:$A),MATCH(D$1,[1]quests!$1:$1,0)-MATCH($C$1,[1]quests!$1:$1,0)+1),MATCH(D$1,[1]quests!$1:$1,0)-MATCH($C$1,[1]quests!$1:$1,0)+1,FALSE)</f>
        <v>チャレンジタワー(ソロ専用)</v>
      </c>
      <c r="E121" s="4" t="str">
        <f ca="1">VLOOKUP($C121,OFFSET([1]quests!$A$1,0,0,COUNTA([1]quests!$A:$A),MATCH(E$1,[1]quests!$1:$1,0)-MATCH($C$1,[1]quests!$1:$1,0)+1),MATCH(E$1,[1]quests!$1:$1,0)-MATCH($C$1,[1]quests!$1:$1,0)+1,FALSE)</f>
        <v>試練の塔</v>
      </c>
      <c r="F121" s="6">
        <v>8</v>
      </c>
      <c r="G121" s="4" t="str">
        <f ca="1">VLOOKUP($C121&amp;"_"&amp;$F121,OFFSET([1]stages!$A$1,0,0,COUNTA([1]stages!$A:$A),MATCH(G$1,[1]stages!$2:$2,0)-MATCH("temp_stage",[1]stages!$2:$2,0)+1),MATCH(G$1,[1]stages!$2:$2,0)-MATCH("temp_stage",[1]stages!$2:$2,0)+1,FALSE)</f>
        <v>チャレンジタワー 8F</v>
      </c>
      <c r="H121" s="4" t="str">
        <f ca="1">VLOOKUP($C121&amp;"_"&amp;$F121,OFFSET([1]stages!$A$1,0,0,COUNTA([1]stages!$A:$A),MATCH(H$1,[1]stages!$2:$2,0)-MATCH("temp_stage",[1]stages!$2:$2,0)+1),MATCH(H$1,[1]stages!$2:$2,0)-MATCH("temp_stage",[1]stages!$2:$2,0)+1,FALSE)</f>
        <v>試練の塔</v>
      </c>
      <c r="I121" s="19">
        <v>0</v>
      </c>
      <c r="J121">
        <v>25</v>
      </c>
      <c r="K121" s="6" t="s">
        <v>33</v>
      </c>
      <c r="L121" s="32" t="str">
        <f>VLOOKUP(J121,[2]stage_hints!$A:$C,3,FALSE)</f>
        <v>クリスタルリンゴはスキルLvUP！</v>
      </c>
      <c r="M121" s="33" t="str">
        <f>VLOOKUP(J121,[2]stage_hints!$A:$D,4,FALSE)</f>
        <v>「クリスタルのりんご」を強化に使うと_x000D_スキルLvを上げることができます</v>
      </c>
      <c r="N121" s="22" t="s">
        <v>90</v>
      </c>
      <c r="O121">
        <v>25</v>
      </c>
    </row>
    <row r="122" spans="1:15">
      <c r="A122" s="29" t="e">
        <f>C122&amp;"_"&amp;F122&amp;"_"&amp;#REF!</f>
        <v>#REF!</v>
      </c>
      <c r="B122" s="27" t="s">
        <v>32</v>
      </c>
      <c r="C122" s="5">
        <v>13001</v>
      </c>
      <c r="D122" s="4" t="str">
        <f ca="1">VLOOKUP($C122,OFFSET([1]quests!$A$1,0,0,COUNTA([1]quests!$A:$A),MATCH(D$1,[1]quests!$1:$1,0)-MATCH($C$1,[1]quests!$1:$1,0)+1),MATCH(D$1,[1]quests!$1:$1,0)-MATCH($C$1,[1]quests!$1:$1,0)+1,FALSE)</f>
        <v>チャレンジタワー(ソロ専用)</v>
      </c>
      <c r="E122" s="4" t="str">
        <f ca="1">VLOOKUP($C122,OFFSET([1]quests!$A$1,0,0,COUNTA([1]quests!$A:$A),MATCH(E$1,[1]quests!$1:$1,0)-MATCH($C$1,[1]quests!$1:$1,0)+1),MATCH(E$1,[1]quests!$1:$1,0)-MATCH($C$1,[1]quests!$1:$1,0)+1,FALSE)</f>
        <v>試練の塔</v>
      </c>
      <c r="F122" s="6">
        <v>8</v>
      </c>
      <c r="G122" s="4" t="str">
        <f ca="1">VLOOKUP($C122&amp;"_"&amp;$F122,OFFSET([1]stages!$A$1,0,0,COUNTA([1]stages!$A:$A),MATCH(G$1,[1]stages!$2:$2,0)-MATCH("temp_stage",[1]stages!$2:$2,0)+1),MATCH(G$1,[1]stages!$2:$2,0)-MATCH("temp_stage",[1]stages!$2:$2,0)+1,FALSE)</f>
        <v>チャレンジタワー 8F</v>
      </c>
      <c r="H122" s="4" t="str">
        <f ca="1">VLOOKUP($C122&amp;"_"&amp;$F122,OFFSET([1]stages!$A$1,0,0,COUNTA([1]stages!$A:$A),MATCH(H$1,[1]stages!$2:$2,0)-MATCH("temp_stage",[1]stages!$2:$2,0)+1),MATCH(H$1,[1]stages!$2:$2,0)-MATCH("temp_stage",[1]stages!$2:$2,0)+1,FALSE)</f>
        <v>試練の塔</v>
      </c>
      <c r="I122" s="19">
        <v>0</v>
      </c>
      <c r="J122">
        <v>26</v>
      </c>
      <c r="K122" s="6" t="s">
        <v>33</v>
      </c>
      <c r="L122" s="32" t="str">
        <f>VLOOKUP(J122,[2]stage_hints!$A:$C,3,FALSE)</f>
        <v>スキルLv</v>
      </c>
      <c r="M122" s="33" t="str">
        <f>VLOOKUP(J122,[2]stage_hints!$A:$D,4,FALSE)</f>
        <v>スキルLvが上がると_x000D_短いターンでスキルを使うことができます</v>
      </c>
      <c r="N122" s="22" t="s">
        <v>39</v>
      </c>
      <c r="O122">
        <v>26</v>
      </c>
    </row>
    <row r="123" spans="1:15">
      <c r="A123" s="29" t="e">
        <f>C123&amp;"_"&amp;F123&amp;"_"&amp;#REF!</f>
        <v>#REF!</v>
      </c>
      <c r="B123" s="27" t="s">
        <v>32</v>
      </c>
      <c r="C123" s="5">
        <v>13001</v>
      </c>
      <c r="D123" s="4" t="str">
        <f ca="1">VLOOKUP($C123,OFFSET([1]quests!$A$1,0,0,COUNTA([1]quests!$A:$A),MATCH(D$1,[1]quests!$1:$1,0)-MATCH($C$1,[1]quests!$1:$1,0)+1),MATCH(D$1,[1]quests!$1:$1,0)-MATCH($C$1,[1]quests!$1:$1,0)+1,FALSE)</f>
        <v>チャレンジタワー(ソロ専用)</v>
      </c>
      <c r="E123" s="4" t="str">
        <f ca="1">VLOOKUP($C123,OFFSET([1]quests!$A$1,0,0,COUNTA([1]quests!$A:$A),MATCH(E$1,[1]quests!$1:$1,0)-MATCH($C$1,[1]quests!$1:$1,0)+1),MATCH(E$1,[1]quests!$1:$1,0)-MATCH($C$1,[1]quests!$1:$1,0)+1,FALSE)</f>
        <v>試練の塔</v>
      </c>
      <c r="F123" s="6">
        <v>8</v>
      </c>
      <c r="G123" s="4" t="str">
        <f ca="1">VLOOKUP($C123&amp;"_"&amp;$F123,OFFSET([1]stages!$A$1,0,0,COUNTA([1]stages!$A:$A),MATCH(G$1,[1]stages!$2:$2,0)-MATCH("temp_stage",[1]stages!$2:$2,0)+1),MATCH(G$1,[1]stages!$2:$2,0)-MATCH("temp_stage",[1]stages!$2:$2,0)+1,FALSE)</f>
        <v>チャレンジタワー 8F</v>
      </c>
      <c r="H123" s="4" t="str">
        <f ca="1">VLOOKUP($C123&amp;"_"&amp;$F123,OFFSET([1]stages!$A$1,0,0,COUNTA([1]stages!$A:$A),MATCH(H$1,[1]stages!$2:$2,0)-MATCH("temp_stage",[1]stages!$2:$2,0)+1),MATCH(H$1,[1]stages!$2:$2,0)-MATCH("temp_stage",[1]stages!$2:$2,0)+1,FALSE)</f>
        <v>試練の塔</v>
      </c>
      <c r="I123" s="19">
        <v>0</v>
      </c>
      <c r="J123">
        <v>27</v>
      </c>
      <c r="K123" s="6" t="s">
        <v>33</v>
      </c>
      <c r="L123" s="32" t="str">
        <f>VLOOKUP(J123,[2]stage_hints!$A:$C,3,FALSE)</f>
        <v>ホーム画面からデッキを編成！</v>
      </c>
      <c r="M123" s="33" t="str">
        <f>VLOOKUP(J123,[2]stage_hints!$A:$D,4,FALSE)</f>
        <v>ホームでユニットを長押しすると_x000D_すぐにパーティ編成に移動できます</v>
      </c>
      <c r="N123" s="22" t="s">
        <v>98</v>
      </c>
      <c r="O123">
        <v>27</v>
      </c>
    </row>
    <row r="124" spans="1:15">
      <c r="A124" s="29" t="e">
        <f>C124&amp;"_"&amp;F124&amp;"_"&amp;#REF!</f>
        <v>#REF!</v>
      </c>
      <c r="B124" s="27" t="s">
        <v>32</v>
      </c>
      <c r="C124" s="5">
        <v>13001</v>
      </c>
      <c r="D124" s="4" t="str">
        <f ca="1">VLOOKUP($C124,OFFSET([1]quests!$A$1,0,0,COUNTA([1]quests!$A:$A),MATCH(D$1,[1]quests!$1:$1,0)-MATCH($C$1,[1]quests!$1:$1,0)+1),MATCH(D$1,[1]quests!$1:$1,0)-MATCH($C$1,[1]quests!$1:$1,0)+1,FALSE)</f>
        <v>チャレンジタワー(ソロ専用)</v>
      </c>
      <c r="E124" s="4" t="str">
        <f ca="1">VLOOKUP($C124,OFFSET([1]quests!$A$1,0,0,COUNTA([1]quests!$A:$A),MATCH(E$1,[1]quests!$1:$1,0)-MATCH($C$1,[1]quests!$1:$1,0)+1),MATCH(E$1,[1]quests!$1:$1,0)-MATCH($C$1,[1]quests!$1:$1,0)+1,FALSE)</f>
        <v>試練の塔</v>
      </c>
      <c r="F124" s="6">
        <v>8</v>
      </c>
      <c r="G124" s="4" t="str">
        <f ca="1">VLOOKUP($C124&amp;"_"&amp;$F124,OFFSET([1]stages!$A$1,0,0,COUNTA([1]stages!$A:$A),MATCH(G$1,[1]stages!$2:$2,0)-MATCH("temp_stage",[1]stages!$2:$2,0)+1),MATCH(G$1,[1]stages!$2:$2,0)-MATCH("temp_stage",[1]stages!$2:$2,0)+1,FALSE)</f>
        <v>チャレンジタワー 8F</v>
      </c>
      <c r="H124" s="4" t="str">
        <f ca="1">VLOOKUP($C124&amp;"_"&amp;$F124,OFFSET([1]stages!$A$1,0,0,COUNTA([1]stages!$A:$A),MATCH(H$1,[1]stages!$2:$2,0)-MATCH("temp_stage",[1]stages!$2:$2,0)+1),MATCH(H$1,[1]stages!$2:$2,0)-MATCH("temp_stage",[1]stages!$2:$2,0)+1,FALSE)</f>
        <v>試練の塔</v>
      </c>
      <c r="I124" s="19">
        <v>0</v>
      </c>
      <c r="J124">
        <v>28</v>
      </c>
      <c r="K124" s="6" t="s">
        <v>33</v>
      </c>
      <c r="L124" s="32" t="str">
        <f>VLOOKUP(J124,[2]stage_hints!$A:$C,3,FALSE)</f>
        <v>詳細情報は長押しで！</v>
      </c>
      <c r="M124" s="33" t="str">
        <f>VLOOKUP(J124,[2]stage_hints!$A:$D,4,FALSE)</f>
        <v>ユニットのアイコンを長押しすると_x000D_ステータス情報を見ることができます</v>
      </c>
      <c r="N124" s="22" t="s">
        <v>105</v>
      </c>
      <c r="O124">
        <v>28</v>
      </c>
    </row>
    <row r="125" spans="1:15">
      <c r="A125" s="29" t="e">
        <f>C125&amp;"_"&amp;F125&amp;"_"&amp;#REF!</f>
        <v>#REF!</v>
      </c>
      <c r="B125" s="27" t="s">
        <v>32</v>
      </c>
      <c r="C125" s="5">
        <v>13001</v>
      </c>
      <c r="D125" s="4" t="str">
        <f ca="1">VLOOKUP($C125,OFFSET([1]quests!$A$1,0,0,COUNTA([1]quests!$A:$A),MATCH(D$1,[1]quests!$1:$1,0)-MATCH($C$1,[1]quests!$1:$1,0)+1),MATCH(D$1,[1]quests!$1:$1,0)-MATCH($C$1,[1]quests!$1:$1,0)+1,FALSE)</f>
        <v>チャレンジタワー(ソロ専用)</v>
      </c>
      <c r="E125" s="4" t="str">
        <f ca="1">VLOOKUP($C125,OFFSET([1]quests!$A$1,0,0,COUNTA([1]quests!$A:$A),MATCH(E$1,[1]quests!$1:$1,0)-MATCH($C$1,[1]quests!$1:$1,0)+1),MATCH(E$1,[1]quests!$1:$1,0)-MATCH($C$1,[1]quests!$1:$1,0)+1,FALSE)</f>
        <v>試練の塔</v>
      </c>
      <c r="F125" s="6">
        <v>8</v>
      </c>
      <c r="G125" s="4" t="str">
        <f ca="1">VLOOKUP($C125&amp;"_"&amp;$F125,OFFSET([1]stages!$A$1,0,0,COUNTA([1]stages!$A:$A),MATCH(G$1,[1]stages!$2:$2,0)-MATCH("temp_stage",[1]stages!$2:$2,0)+1),MATCH(G$1,[1]stages!$2:$2,0)-MATCH("temp_stage",[1]stages!$2:$2,0)+1,FALSE)</f>
        <v>チャレンジタワー 8F</v>
      </c>
      <c r="H125" s="4" t="str">
        <f ca="1">VLOOKUP($C125&amp;"_"&amp;$F125,OFFSET([1]stages!$A$1,0,0,COUNTA([1]stages!$A:$A),MATCH(H$1,[1]stages!$2:$2,0)-MATCH("temp_stage",[1]stages!$2:$2,0)+1),MATCH(H$1,[1]stages!$2:$2,0)-MATCH("temp_stage",[1]stages!$2:$2,0)+1,FALSE)</f>
        <v>試練の塔</v>
      </c>
      <c r="I125" s="19">
        <v>0</v>
      </c>
      <c r="J125">
        <v>29</v>
      </c>
      <c r="K125" s="6" t="s">
        <v>33</v>
      </c>
      <c r="L125" s="32" t="str">
        <f>VLOOKUP(J125,[2]stage_hints!$A:$C,3,FALSE)</f>
        <v>ステータスのバグって何？</v>
      </c>
      <c r="M125" s="33" t="str">
        <f>VLOOKUP(J125,[2]stage_hints!$A:$D,4,FALSE)</f>
        <v>「バグ」を上げると_x000D_報酬をもらえる確率がアップします</v>
      </c>
      <c r="N125" s="22" t="s">
        <v>39</v>
      </c>
      <c r="O125">
        <v>29</v>
      </c>
    </row>
    <row r="126" spans="1:15">
      <c r="A126" s="29" t="e">
        <f>C126&amp;"_"&amp;F126&amp;"_"&amp;#REF!</f>
        <v>#REF!</v>
      </c>
      <c r="B126" s="27" t="s">
        <v>32</v>
      </c>
      <c r="C126" s="5">
        <v>13001</v>
      </c>
      <c r="D126" s="4" t="str">
        <f ca="1">VLOOKUP($C126,OFFSET([1]quests!$A$1,0,0,COUNTA([1]quests!$A:$A),MATCH(D$1,[1]quests!$1:$1,0)-MATCH($C$1,[1]quests!$1:$1,0)+1),MATCH(D$1,[1]quests!$1:$1,0)-MATCH($C$1,[1]quests!$1:$1,0)+1,FALSE)</f>
        <v>チャレンジタワー(ソロ専用)</v>
      </c>
      <c r="E126" s="4" t="str">
        <f ca="1">VLOOKUP($C126,OFFSET([1]quests!$A$1,0,0,COUNTA([1]quests!$A:$A),MATCH(E$1,[1]quests!$1:$1,0)-MATCH($C$1,[1]quests!$1:$1,0)+1),MATCH(E$1,[1]quests!$1:$1,0)-MATCH($C$1,[1]quests!$1:$1,0)+1,FALSE)</f>
        <v>試練の塔</v>
      </c>
      <c r="F126" s="6">
        <v>8</v>
      </c>
      <c r="G126" s="4" t="str">
        <f ca="1">VLOOKUP($C126&amp;"_"&amp;$F126,OFFSET([1]stages!$A$1,0,0,COUNTA([1]stages!$A:$A),MATCH(G$1,[1]stages!$2:$2,0)-MATCH("temp_stage",[1]stages!$2:$2,0)+1),MATCH(G$1,[1]stages!$2:$2,0)-MATCH("temp_stage",[1]stages!$2:$2,0)+1,FALSE)</f>
        <v>チャレンジタワー 8F</v>
      </c>
      <c r="H126" s="4" t="str">
        <f ca="1">VLOOKUP($C126&amp;"_"&amp;$F126,OFFSET([1]stages!$A$1,0,0,COUNTA([1]stages!$A:$A),MATCH(H$1,[1]stages!$2:$2,0)-MATCH("temp_stage",[1]stages!$2:$2,0)+1),MATCH(H$1,[1]stages!$2:$2,0)-MATCH("temp_stage",[1]stages!$2:$2,0)+1,FALSE)</f>
        <v>試練の塔</v>
      </c>
      <c r="I126" s="19">
        <v>0</v>
      </c>
      <c r="J126">
        <v>30</v>
      </c>
      <c r="K126" s="6" t="s">
        <v>33</v>
      </c>
      <c r="L126" s="32" t="str">
        <f>VLOOKUP(J126,[2]stage_hints!$A:$C,3,FALSE)</f>
        <v>ステータスのバグを増やす方法</v>
      </c>
      <c r="M126" s="33" t="str">
        <f>VLOOKUP(J126,[2]stage_hints!$A:$D,4,FALSE)</f>
        <v>同じユニット同士を強化すると_x000D_「バグ」を増やすことができます</v>
      </c>
      <c r="N126" s="22" t="s">
        <v>106</v>
      </c>
      <c r="O126">
        <v>30</v>
      </c>
    </row>
    <row r="127" spans="1:15">
      <c r="A127" s="29" t="e">
        <f>C127&amp;"_"&amp;F127&amp;"_"&amp;#REF!</f>
        <v>#REF!</v>
      </c>
      <c r="B127" s="27" t="s">
        <v>32</v>
      </c>
      <c r="C127" s="5">
        <v>13001</v>
      </c>
      <c r="D127" s="4" t="str">
        <f ca="1">VLOOKUP($C127,OFFSET([1]quests!$A$1,0,0,COUNTA([1]quests!$A:$A),MATCH(D$1,[1]quests!$1:$1,0)-MATCH($C$1,[1]quests!$1:$1,0)+1),MATCH(D$1,[1]quests!$1:$1,0)-MATCH($C$1,[1]quests!$1:$1,0)+1,FALSE)</f>
        <v>チャレンジタワー(ソロ専用)</v>
      </c>
      <c r="E127" s="4" t="str">
        <f ca="1">VLOOKUP($C127,OFFSET([1]quests!$A$1,0,0,COUNTA([1]quests!$A:$A),MATCH(E$1,[1]quests!$1:$1,0)-MATCH($C$1,[1]quests!$1:$1,0)+1),MATCH(E$1,[1]quests!$1:$1,0)-MATCH($C$1,[1]quests!$1:$1,0)+1,FALSE)</f>
        <v>試練の塔</v>
      </c>
      <c r="F127" s="6">
        <v>8</v>
      </c>
      <c r="G127" s="4" t="str">
        <f ca="1">VLOOKUP($C127&amp;"_"&amp;$F127,OFFSET([1]stages!$A$1,0,0,COUNTA([1]stages!$A:$A),MATCH(G$1,[1]stages!$2:$2,0)-MATCH("temp_stage",[1]stages!$2:$2,0)+1),MATCH(G$1,[1]stages!$2:$2,0)-MATCH("temp_stage",[1]stages!$2:$2,0)+1,FALSE)</f>
        <v>チャレンジタワー 8F</v>
      </c>
      <c r="H127" s="4" t="str">
        <f ca="1">VLOOKUP($C127&amp;"_"&amp;$F127,OFFSET([1]stages!$A$1,0,0,COUNTA([1]stages!$A:$A),MATCH(H$1,[1]stages!$2:$2,0)-MATCH("temp_stage",[1]stages!$2:$2,0)+1),MATCH(H$1,[1]stages!$2:$2,0)-MATCH("temp_stage",[1]stages!$2:$2,0)+1,FALSE)</f>
        <v>試練の塔</v>
      </c>
      <c r="I127" s="19">
        <v>0</v>
      </c>
      <c r="J127">
        <v>31</v>
      </c>
      <c r="K127" s="6" t="s">
        <v>33</v>
      </c>
      <c r="L127" s="32" t="str">
        <f>VLOOKUP(J127,[2]stage_hints!$A:$C,3,FALSE)</f>
        <v>イベントを見逃すな！</v>
      </c>
      <c r="M127" s="33" t="str">
        <f>VLOOKUP(J127,[2]stage_hints!$A:$D,4,FALSE)</f>
        <v>特定のイベントでしか入手できない_x000D_ユニットがいるようです</v>
      </c>
      <c r="N127" s="22" t="s">
        <v>51</v>
      </c>
      <c r="O127">
        <v>31</v>
      </c>
    </row>
    <row r="128" spans="1:15">
      <c r="A128" s="29" t="e">
        <f>C128&amp;"_"&amp;F128&amp;"_"&amp;#REF!</f>
        <v>#REF!</v>
      </c>
      <c r="B128" s="27" t="s">
        <v>32</v>
      </c>
      <c r="C128" s="5">
        <v>13001</v>
      </c>
      <c r="D128" s="4" t="str">
        <f ca="1">VLOOKUP($C128,OFFSET([1]quests!$A$1,0,0,COUNTA([1]quests!$A:$A),MATCH(D$1,[1]quests!$1:$1,0)-MATCH($C$1,[1]quests!$1:$1,0)+1),MATCH(D$1,[1]quests!$1:$1,0)-MATCH($C$1,[1]quests!$1:$1,0)+1,FALSE)</f>
        <v>チャレンジタワー(ソロ専用)</v>
      </c>
      <c r="E128" s="4" t="str">
        <f ca="1">VLOOKUP($C128,OFFSET([1]quests!$A$1,0,0,COUNTA([1]quests!$A:$A),MATCH(E$1,[1]quests!$1:$1,0)-MATCH($C$1,[1]quests!$1:$1,0)+1),MATCH(E$1,[1]quests!$1:$1,0)-MATCH($C$1,[1]quests!$1:$1,0)+1,FALSE)</f>
        <v>試練の塔</v>
      </c>
      <c r="F128" s="6">
        <v>8</v>
      </c>
      <c r="G128" s="4" t="str">
        <f ca="1">VLOOKUP($C128&amp;"_"&amp;$F128,OFFSET([1]stages!$A$1,0,0,COUNTA([1]stages!$A:$A),MATCH(G$1,[1]stages!$2:$2,0)-MATCH("temp_stage",[1]stages!$2:$2,0)+1),MATCH(G$1,[1]stages!$2:$2,0)-MATCH("temp_stage",[1]stages!$2:$2,0)+1,FALSE)</f>
        <v>チャレンジタワー 8F</v>
      </c>
      <c r="H128" s="4" t="str">
        <f ca="1">VLOOKUP($C128&amp;"_"&amp;$F128,OFFSET([1]stages!$A$1,0,0,COUNTA([1]stages!$A:$A),MATCH(H$1,[1]stages!$2:$2,0)-MATCH("temp_stage",[1]stages!$2:$2,0)+1),MATCH(H$1,[1]stages!$2:$2,0)-MATCH("temp_stage",[1]stages!$2:$2,0)+1,FALSE)</f>
        <v>試練の塔</v>
      </c>
      <c r="I128" s="19">
        <v>0</v>
      </c>
      <c r="J128">
        <v>38</v>
      </c>
      <c r="K128" s="6" t="s">
        <v>33</v>
      </c>
      <c r="L128" s="32" t="str">
        <f>VLOOKUP(J128,[2]stage_hints!$A:$C,3,FALSE)</f>
        <v>お邪魔はフィーバーで落とせ！</v>
      </c>
      <c r="M128" s="33" t="str">
        <f>VLOOKUP(J128,[2]stage_hints!$A:$D,4,FALSE)</f>
        <v>消せない「お邪魔パネル」は_x000D_フィーバーで落としてしまいましょう</v>
      </c>
      <c r="N128" s="22" t="s">
        <v>42</v>
      </c>
      <c r="O128">
        <v>38</v>
      </c>
    </row>
    <row r="129" spans="1:15">
      <c r="A129" s="29" t="e">
        <f>C129&amp;"_"&amp;F129&amp;"_"&amp;#REF!</f>
        <v>#REF!</v>
      </c>
      <c r="B129" s="27" t="s">
        <v>32</v>
      </c>
      <c r="C129" s="5">
        <v>13001</v>
      </c>
      <c r="D129" s="4" t="str">
        <f ca="1">VLOOKUP($C129,OFFSET([1]quests!$A$1,0,0,COUNTA([1]quests!$A:$A),MATCH(D$1,[1]quests!$1:$1,0)-MATCH($C$1,[1]quests!$1:$1,0)+1),MATCH(D$1,[1]quests!$1:$1,0)-MATCH($C$1,[1]quests!$1:$1,0)+1,FALSE)</f>
        <v>チャレンジタワー(ソロ専用)</v>
      </c>
      <c r="E129" s="4" t="str">
        <f ca="1">VLOOKUP($C129,OFFSET([1]quests!$A$1,0,0,COUNTA([1]quests!$A:$A),MATCH(E$1,[1]quests!$1:$1,0)-MATCH($C$1,[1]quests!$1:$1,0)+1),MATCH(E$1,[1]quests!$1:$1,0)-MATCH($C$1,[1]quests!$1:$1,0)+1,FALSE)</f>
        <v>試練の塔</v>
      </c>
      <c r="F129" s="6">
        <v>9</v>
      </c>
      <c r="G129" s="4" t="str">
        <f ca="1">VLOOKUP($C129&amp;"_"&amp;$F129,OFFSET([1]stages!$A$1,0,0,COUNTA([1]stages!$A:$A),MATCH(G$1,[1]stages!$2:$2,0)-MATCH("temp_stage",[1]stages!$2:$2,0)+1),MATCH(G$1,[1]stages!$2:$2,0)-MATCH("temp_stage",[1]stages!$2:$2,0)+1,FALSE)</f>
        <v>チャレンジタワー 9F</v>
      </c>
      <c r="H129" s="4" t="str">
        <f ca="1">VLOOKUP($C129&amp;"_"&amp;$F129,OFFSET([1]stages!$A$1,0,0,COUNTA([1]stages!$A:$A),MATCH(H$1,[1]stages!$2:$2,0)-MATCH("temp_stage",[1]stages!$2:$2,0)+1),MATCH(H$1,[1]stages!$2:$2,0)-MATCH("temp_stage",[1]stages!$2:$2,0)+1,FALSE)</f>
        <v>試練の塔</v>
      </c>
      <c r="I129" s="19">
        <v>0</v>
      </c>
      <c r="J129">
        <v>3</v>
      </c>
      <c r="K129" s="6" t="s">
        <v>33</v>
      </c>
      <c r="L129" s="32" t="str">
        <f>VLOOKUP(J129,[2]stage_hints!$A:$C,3,FALSE)</f>
        <v>ターゲット</v>
      </c>
      <c r="M129" s="33" t="str">
        <f>VLOOKUP(J129,[2]stage_hints!$A:$D,4,FALSE)</f>
        <v>敵ユニットをタップすると_x000D_その敵を狙い撃ちできます</v>
      </c>
      <c r="N129" s="22" t="s">
        <v>39</v>
      </c>
      <c r="O129">
        <v>3</v>
      </c>
    </row>
    <row r="130" spans="1:15">
      <c r="A130" s="29" t="e">
        <f>C130&amp;"_"&amp;F130&amp;"_"&amp;#REF!</f>
        <v>#REF!</v>
      </c>
      <c r="B130" s="27" t="s">
        <v>32</v>
      </c>
      <c r="C130" s="5">
        <v>13001</v>
      </c>
      <c r="D130" s="4" t="str">
        <f ca="1">VLOOKUP($C130,OFFSET([1]quests!$A$1,0,0,COUNTA([1]quests!$A:$A),MATCH(D$1,[1]quests!$1:$1,0)-MATCH($C$1,[1]quests!$1:$1,0)+1),MATCH(D$1,[1]quests!$1:$1,0)-MATCH($C$1,[1]quests!$1:$1,0)+1,FALSE)</f>
        <v>チャレンジタワー(ソロ専用)</v>
      </c>
      <c r="E130" s="4" t="str">
        <f ca="1">VLOOKUP($C130,OFFSET([1]quests!$A$1,0,0,COUNTA([1]quests!$A:$A),MATCH(E$1,[1]quests!$1:$1,0)-MATCH($C$1,[1]quests!$1:$1,0)+1),MATCH(E$1,[1]quests!$1:$1,0)-MATCH($C$1,[1]quests!$1:$1,0)+1,FALSE)</f>
        <v>試練の塔</v>
      </c>
      <c r="F130" s="6">
        <v>9</v>
      </c>
      <c r="G130" s="4" t="str">
        <f ca="1">VLOOKUP($C130&amp;"_"&amp;$F130,OFFSET([1]stages!$A$1,0,0,COUNTA([1]stages!$A:$A),MATCH(G$1,[1]stages!$2:$2,0)-MATCH("temp_stage",[1]stages!$2:$2,0)+1),MATCH(G$1,[1]stages!$2:$2,0)-MATCH("temp_stage",[1]stages!$2:$2,0)+1,FALSE)</f>
        <v>チャレンジタワー 9F</v>
      </c>
      <c r="H130" s="4" t="str">
        <f ca="1">VLOOKUP($C130&amp;"_"&amp;$F130,OFFSET([1]stages!$A$1,0,0,COUNTA([1]stages!$A:$A),MATCH(H$1,[1]stages!$2:$2,0)-MATCH("temp_stage",[1]stages!$2:$2,0)+1),MATCH(H$1,[1]stages!$2:$2,0)-MATCH("temp_stage",[1]stages!$2:$2,0)+1,FALSE)</f>
        <v>試練の塔</v>
      </c>
      <c r="I130" s="19">
        <v>0</v>
      </c>
      <c r="J130">
        <v>5</v>
      </c>
      <c r="K130" s="6" t="s">
        <v>33</v>
      </c>
      <c r="L130" s="32" t="str">
        <f>VLOOKUP(J130,[2]stage_hints!$A:$C,3,FALSE)</f>
        <v>ユニット強化</v>
      </c>
      <c r="M130" s="33" t="str">
        <f>VLOOKUP(J130,[2]stage_hints!$A:$D,4,FALSE)</f>
        <v>「ユニット強化」でレベルアップすると_x000D_勝てない敵にも勝てるようになります</v>
      </c>
      <c r="N130" s="22" t="s">
        <v>84</v>
      </c>
      <c r="O130">
        <v>5</v>
      </c>
    </row>
    <row r="131" spans="1:15">
      <c r="A131" s="29" t="e">
        <f>C131&amp;"_"&amp;F131&amp;"_"&amp;#REF!</f>
        <v>#REF!</v>
      </c>
      <c r="B131" s="27" t="s">
        <v>32</v>
      </c>
      <c r="C131" s="5">
        <v>13001</v>
      </c>
      <c r="D131" s="4" t="str">
        <f ca="1">VLOOKUP($C131,OFFSET([1]quests!$A$1,0,0,COUNTA([1]quests!$A:$A),MATCH(D$1,[1]quests!$1:$1,0)-MATCH($C$1,[1]quests!$1:$1,0)+1),MATCH(D$1,[1]quests!$1:$1,0)-MATCH($C$1,[1]quests!$1:$1,0)+1,FALSE)</f>
        <v>チャレンジタワー(ソロ専用)</v>
      </c>
      <c r="E131" s="4" t="str">
        <f ca="1">VLOOKUP($C131,OFFSET([1]quests!$A$1,0,0,COUNTA([1]quests!$A:$A),MATCH(E$1,[1]quests!$1:$1,0)-MATCH($C$1,[1]quests!$1:$1,0)+1),MATCH(E$1,[1]quests!$1:$1,0)-MATCH($C$1,[1]quests!$1:$1,0)+1,FALSE)</f>
        <v>試練の塔</v>
      </c>
      <c r="F131" s="6">
        <v>9</v>
      </c>
      <c r="G131" s="4" t="str">
        <f ca="1">VLOOKUP($C131&amp;"_"&amp;$F131,OFFSET([1]stages!$A$1,0,0,COUNTA([1]stages!$A:$A),MATCH(G$1,[1]stages!$2:$2,0)-MATCH("temp_stage",[1]stages!$2:$2,0)+1),MATCH(G$1,[1]stages!$2:$2,0)-MATCH("temp_stage",[1]stages!$2:$2,0)+1,FALSE)</f>
        <v>チャレンジタワー 9F</v>
      </c>
      <c r="H131" s="4" t="str">
        <f ca="1">VLOOKUP($C131&amp;"_"&amp;$F131,OFFSET([1]stages!$A$1,0,0,COUNTA([1]stages!$A:$A),MATCH(H$1,[1]stages!$2:$2,0)-MATCH("temp_stage",[1]stages!$2:$2,0)+1),MATCH(H$1,[1]stages!$2:$2,0)-MATCH("temp_stage",[1]stages!$2:$2,0)+1,FALSE)</f>
        <v>試練の塔</v>
      </c>
      <c r="I131" s="19">
        <v>0</v>
      </c>
      <c r="J131">
        <v>6</v>
      </c>
      <c r="K131" s="6" t="s">
        <v>33</v>
      </c>
      <c r="L131" s="32" t="str">
        <f>VLOOKUP(J131,[2]stage_hints!$A:$C,3,FALSE)</f>
        <v>強化の属性ボーナス</v>
      </c>
      <c r="M131" s="33" t="str">
        <f>VLOOKUP(J131,[2]stage_hints!$A:$D,4,FALSE)</f>
        <v>同属性ユニットを強化素材にすると_x000D_経験値が多くもらえます</v>
      </c>
      <c r="N131" s="22" t="s">
        <v>84</v>
      </c>
      <c r="O131">
        <v>6</v>
      </c>
    </row>
    <row r="132" spans="1:15">
      <c r="A132" s="29" t="e">
        <f>C132&amp;"_"&amp;F132&amp;"_"&amp;#REF!</f>
        <v>#REF!</v>
      </c>
      <c r="B132" s="27" t="s">
        <v>32</v>
      </c>
      <c r="C132" s="5">
        <v>13001</v>
      </c>
      <c r="D132" s="4" t="str">
        <f ca="1">VLOOKUP($C132,OFFSET([1]quests!$A$1,0,0,COUNTA([1]quests!$A:$A),MATCH(D$1,[1]quests!$1:$1,0)-MATCH($C$1,[1]quests!$1:$1,0)+1),MATCH(D$1,[1]quests!$1:$1,0)-MATCH($C$1,[1]quests!$1:$1,0)+1,FALSE)</f>
        <v>チャレンジタワー(ソロ専用)</v>
      </c>
      <c r="E132" s="4" t="str">
        <f ca="1">VLOOKUP($C132,OFFSET([1]quests!$A$1,0,0,COUNTA([1]quests!$A:$A),MATCH(E$1,[1]quests!$1:$1,0)-MATCH($C$1,[1]quests!$1:$1,0)+1),MATCH(E$1,[1]quests!$1:$1,0)-MATCH($C$1,[1]quests!$1:$1,0)+1,FALSE)</f>
        <v>試練の塔</v>
      </c>
      <c r="F132" s="6">
        <v>9</v>
      </c>
      <c r="G132" s="4" t="str">
        <f ca="1">VLOOKUP($C132&amp;"_"&amp;$F132,OFFSET([1]stages!$A$1,0,0,COUNTA([1]stages!$A:$A),MATCH(G$1,[1]stages!$2:$2,0)-MATCH("temp_stage",[1]stages!$2:$2,0)+1),MATCH(G$1,[1]stages!$2:$2,0)-MATCH("temp_stage",[1]stages!$2:$2,0)+1,FALSE)</f>
        <v>チャレンジタワー 9F</v>
      </c>
      <c r="H132" s="4" t="str">
        <f ca="1">VLOOKUP($C132&amp;"_"&amp;$F132,OFFSET([1]stages!$A$1,0,0,COUNTA([1]stages!$A:$A),MATCH(H$1,[1]stages!$2:$2,0)-MATCH("temp_stage",[1]stages!$2:$2,0)+1),MATCH(H$1,[1]stages!$2:$2,0)-MATCH("temp_stage",[1]stages!$2:$2,0)+1,FALSE)</f>
        <v>試練の塔</v>
      </c>
      <c r="I132" s="19">
        <v>0</v>
      </c>
      <c r="J132">
        <v>7</v>
      </c>
      <c r="K132" s="6" t="s">
        <v>33</v>
      </c>
      <c r="L132" s="32" t="str">
        <f>VLOOKUP(J132,[2]stage_hints!$A:$C,3,FALSE)</f>
        <v>メタルダックをつかって強化しよう！</v>
      </c>
      <c r="M132" s="33" t="str">
        <f>VLOOKUP(J132,[2]stage_hints!$A:$D,4,FALSE)</f>
        <v>「メタルなアヒル」を強化素材にすると_x000D_大量の経験値がもらえます</v>
      </c>
      <c r="N132" s="22" t="s">
        <v>72</v>
      </c>
      <c r="O132">
        <v>7</v>
      </c>
    </row>
    <row r="133" spans="1:15">
      <c r="A133" s="29" t="e">
        <f>C133&amp;"_"&amp;F133&amp;"_"&amp;#REF!</f>
        <v>#REF!</v>
      </c>
      <c r="B133" s="27" t="s">
        <v>32</v>
      </c>
      <c r="C133" s="5">
        <v>13001</v>
      </c>
      <c r="D133" s="4" t="str">
        <f ca="1">VLOOKUP($C133,OFFSET([1]quests!$A$1,0,0,COUNTA([1]quests!$A:$A),MATCH(D$1,[1]quests!$1:$1,0)-MATCH($C$1,[1]quests!$1:$1,0)+1),MATCH(D$1,[1]quests!$1:$1,0)-MATCH($C$1,[1]quests!$1:$1,0)+1,FALSE)</f>
        <v>チャレンジタワー(ソロ専用)</v>
      </c>
      <c r="E133" s="4" t="str">
        <f ca="1">VLOOKUP($C133,OFFSET([1]quests!$A$1,0,0,COUNTA([1]quests!$A:$A),MATCH(E$1,[1]quests!$1:$1,0)-MATCH($C$1,[1]quests!$1:$1,0)+1),MATCH(E$1,[1]quests!$1:$1,0)-MATCH($C$1,[1]quests!$1:$1,0)+1,FALSE)</f>
        <v>試練の塔</v>
      </c>
      <c r="F133" s="6">
        <v>9</v>
      </c>
      <c r="G133" s="4" t="str">
        <f ca="1">VLOOKUP($C133&amp;"_"&amp;$F133,OFFSET([1]stages!$A$1,0,0,COUNTA([1]stages!$A:$A),MATCH(G$1,[1]stages!$2:$2,0)-MATCH("temp_stage",[1]stages!$2:$2,0)+1),MATCH(G$1,[1]stages!$2:$2,0)-MATCH("temp_stage",[1]stages!$2:$2,0)+1,FALSE)</f>
        <v>チャレンジタワー 9F</v>
      </c>
      <c r="H133" s="4" t="str">
        <f ca="1">VLOOKUP($C133&amp;"_"&amp;$F133,OFFSET([1]stages!$A$1,0,0,COUNTA([1]stages!$A:$A),MATCH(H$1,[1]stages!$2:$2,0)-MATCH("temp_stage",[1]stages!$2:$2,0)+1),MATCH(H$1,[1]stages!$2:$2,0)-MATCH("temp_stage",[1]stages!$2:$2,0)+1,FALSE)</f>
        <v>試練の塔</v>
      </c>
      <c r="I133" s="19">
        <v>0</v>
      </c>
      <c r="J133">
        <v>8</v>
      </c>
      <c r="K133" s="6" t="s">
        <v>33</v>
      </c>
      <c r="L133" s="32" t="str">
        <f>VLOOKUP(J133,[2]stage_hints!$A:$C,3,FALSE)</f>
        <v>ゲリラを見逃すな！</v>
      </c>
      <c r="M133" s="33" t="str">
        <f>VLOOKUP(J133,[2]stage_hints!$A:$D,4,FALSE)</f>
        <v>時間限定の「【緊急!!】アヒル捕獲作戦」では_x000D_経験値素材ユニットが多く手に入ります</v>
      </c>
      <c r="N133" s="22" t="s">
        <v>39</v>
      </c>
      <c r="O133">
        <v>8</v>
      </c>
    </row>
    <row r="134" spans="1:15">
      <c r="A134" s="29" t="e">
        <f>C134&amp;"_"&amp;F134&amp;"_"&amp;#REF!</f>
        <v>#REF!</v>
      </c>
      <c r="B134" s="27" t="s">
        <v>32</v>
      </c>
      <c r="C134" s="5">
        <v>13001</v>
      </c>
      <c r="D134" s="4" t="str">
        <f ca="1">VLOOKUP($C134,OFFSET([1]quests!$A$1,0,0,COUNTA([1]quests!$A:$A),MATCH(D$1,[1]quests!$1:$1,0)-MATCH($C$1,[1]quests!$1:$1,0)+1),MATCH(D$1,[1]quests!$1:$1,0)-MATCH($C$1,[1]quests!$1:$1,0)+1,FALSE)</f>
        <v>チャレンジタワー(ソロ専用)</v>
      </c>
      <c r="E134" s="4" t="str">
        <f ca="1">VLOOKUP($C134,OFFSET([1]quests!$A$1,0,0,COUNTA([1]quests!$A:$A),MATCH(E$1,[1]quests!$1:$1,0)-MATCH($C$1,[1]quests!$1:$1,0)+1),MATCH(E$1,[1]quests!$1:$1,0)-MATCH($C$1,[1]quests!$1:$1,0)+1,FALSE)</f>
        <v>試練の塔</v>
      </c>
      <c r="F134" s="6">
        <v>9</v>
      </c>
      <c r="G134" s="4" t="str">
        <f ca="1">VLOOKUP($C134&amp;"_"&amp;$F134,OFFSET([1]stages!$A$1,0,0,COUNTA([1]stages!$A:$A),MATCH(G$1,[1]stages!$2:$2,0)-MATCH("temp_stage",[1]stages!$2:$2,0)+1),MATCH(G$1,[1]stages!$2:$2,0)-MATCH("temp_stage",[1]stages!$2:$2,0)+1,FALSE)</f>
        <v>チャレンジタワー 9F</v>
      </c>
      <c r="H134" s="4" t="str">
        <f ca="1">VLOOKUP($C134&amp;"_"&amp;$F134,OFFSET([1]stages!$A$1,0,0,COUNTA([1]stages!$A:$A),MATCH(H$1,[1]stages!$2:$2,0)-MATCH("temp_stage",[1]stages!$2:$2,0)+1),MATCH(H$1,[1]stages!$2:$2,0)-MATCH("temp_stage",[1]stages!$2:$2,0)+1,FALSE)</f>
        <v>試練の塔</v>
      </c>
      <c r="I134" s="19">
        <v>0</v>
      </c>
      <c r="J134">
        <v>9</v>
      </c>
      <c r="K134" s="6" t="s">
        <v>33</v>
      </c>
      <c r="L134" s="32" t="str">
        <f>VLOOKUP(J134,[2]stage_hints!$A:$C,3,FALSE)</f>
        <v>ゴールドダックを売却すると大量ビット</v>
      </c>
      <c r="M134" s="33" t="str">
        <f>VLOOKUP(J134,[2]stage_hints!$A:$D,4,FALSE)</f>
        <v>「ゴールドなアヒル」を売却すると_x000D_大量のビットがもらえます</v>
      </c>
      <c r="N134" s="22" t="s">
        <v>41</v>
      </c>
      <c r="O134">
        <v>9</v>
      </c>
    </row>
    <row r="135" spans="1:15">
      <c r="A135" s="29" t="e">
        <f>C135&amp;"_"&amp;F135&amp;"_"&amp;#REF!</f>
        <v>#REF!</v>
      </c>
      <c r="B135" s="27" t="s">
        <v>32</v>
      </c>
      <c r="C135" s="5">
        <v>13001</v>
      </c>
      <c r="D135" s="4" t="str">
        <f ca="1">VLOOKUP($C135,OFFSET([1]quests!$A$1,0,0,COUNTA([1]quests!$A:$A),MATCH(D$1,[1]quests!$1:$1,0)-MATCH($C$1,[1]quests!$1:$1,0)+1),MATCH(D$1,[1]quests!$1:$1,0)-MATCH($C$1,[1]quests!$1:$1,0)+1,FALSE)</f>
        <v>チャレンジタワー(ソロ専用)</v>
      </c>
      <c r="E135" s="4" t="str">
        <f ca="1">VLOOKUP($C135,OFFSET([1]quests!$A$1,0,0,COUNTA([1]quests!$A:$A),MATCH(E$1,[1]quests!$1:$1,0)-MATCH($C$1,[1]quests!$1:$1,0)+1),MATCH(E$1,[1]quests!$1:$1,0)-MATCH($C$1,[1]quests!$1:$1,0)+1,FALSE)</f>
        <v>試練の塔</v>
      </c>
      <c r="F135" s="6">
        <v>9</v>
      </c>
      <c r="G135" s="4" t="str">
        <f ca="1">VLOOKUP($C135&amp;"_"&amp;$F135,OFFSET([1]stages!$A$1,0,0,COUNTA([1]stages!$A:$A),MATCH(G$1,[1]stages!$2:$2,0)-MATCH("temp_stage",[1]stages!$2:$2,0)+1),MATCH(G$1,[1]stages!$2:$2,0)-MATCH("temp_stage",[1]stages!$2:$2,0)+1,FALSE)</f>
        <v>チャレンジタワー 9F</v>
      </c>
      <c r="H135" s="4" t="str">
        <f ca="1">VLOOKUP($C135&amp;"_"&amp;$F135,OFFSET([1]stages!$A$1,0,0,COUNTA([1]stages!$A:$A),MATCH(H$1,[1]stages!$2:$2,0)-MATCH("temp_stage",[1]stages!$2:$2,0)+1),MATCH(H$1,[1]stages!$2:$2,0)-MATCH("temp_stage",[1]stages!$2:$2,0)+1,FALSE)</f>
        <v>試練の塔</v>
      </c>
      <c r="I135" s="19">
        <v>0</v>
      </c>
      <c r="J135">
        <v>10</v>
      </c>
      <c r="K135" s="6" t="s">
        <v>33</v>
      </c>
      <c r="L135" s="32" t="str">
        <f>VLOOKUP(J135,[2]stage_hints!$A:$C,3,FALSE)</f>
        <v>土日クエストで大量ビットをGET！！</v>
      </c>
      <c r="M135" s="33" t="str">
        <f>VLOOKUP(J135,[2]stage_hints!$A:$D,4,FALSE)</f>
        <v>土日限定の「ゴールドカジノ」では_x000D_売却素材ユニットが多く手に入ります</v>
      </c>
      <c r="N135" s="22" t="s">
        <v>34</v>
      </c>
      <c r="O135">
        <v>10</v>
      </c>
    </row>
    <row r="136" spans="1:15">
      <c r="A136" s="29" t="e">
        <f>C136&amp;"_"&amp;F136&amp;"_"&amp;#REF!</f>
        <v>#REF!</v>
      </c>
      <c r="B136" s="27" t="s">
        <v>32</v>
      </c>
      <c r="C136" s="5">
        <v>13001</v>
      </c>
      <c r="D136" s="4" t="str">
        <f ca="1">VLOOKUP($C136,OFFSET([1]quests!$A$1,0,0,COUNTA([1]quests!$A:$A),MATCH(D$1,[1]quests!$1:$1,0)-MATCH($C$1,[1]quests!$1:$1,0)+1),MATCH(D$1,[1]quests!$1:$1,0)-MATCH($C$1,[1]quests!$1:$1,0)+1,FALSE)</f>
        <v>チャレンジタワー(ソロ専用)</v>
      </c>
      <c r="E136" s="4" t="str">
        <f ca="1">VLOOKUP($C136,OFFSET([1]quests!$A$1,0,0,COUNTA([1]quests!$A:$A),MATCH(E$1,[1]quests!$1:$1,0)-MATCH($C$1,[1]quests!$1:$1,0)+1),MATCH(E$1,[1]quests!$1:$1,0)-MATCH($C$1,[1]quests!$1:$1,0)+1,FALSE)</f>
        <v>試練の塔</v>
      </c>
      <c r="F136" s="6">
        <v>9</v>
      </c>
      <c r="G136" s="4" t="str">
        <f ca="1">VLOOKUP($C136&amp;"_"&amp;$F136,OFFSET([1]stages!$A$1,0,0,COUNTA([1]stages!$A:$A),MATCH(G$1,[1]stages!$2:$2,0)-MATCH("temp_stage",[1]stages!$2:$2,0)+1),MATCH(G$1,[1]stages!$2:$2,0)-MATCH("temp_stage",[1]stages!$2:$2,0)+1,FALSE)</f>
        <v>チャレンジタワー 9F</v>
      </c>
      <c r="H136" s="4" t="str">
        <f ca="1">VLOOKUP($C136&amp;"_"&amp;$F136,OFFSET([1]stages!$A$1,0,0,COUNTA([1]stages!$A:$A),MATCH(H$1,[1]stages!$2:$2,0)-MATCH("temp_stage",[1]stages!$2:$2,0)+1),MATCH(H$1,[1]stages!$2:$2,0)-MATCH("temp_stage",[1]stages!$2:$2,0)+1,FALSE)</f>
        <v>試練の塔</v>
      </c>
      <c r="I136" s="19">
        <v>0</v>
      </c>
      <c r="J136">
        <v>11</v>
      </c>
      <c r="K136" s="6" t="s">
        <v>33</v>
      </c>
      <c r="L136" s="32" t="str">
        <f>VLOOKUP(J136,[2]stage_hints!$A:$C,3,FALSE)</f>
        <v>ランク開放クエスト</v>
      </c>
      <c r="M136" s="33" t="str">
        <f>VLOOKUP(J136,[2]stage_hints!$A:$D,4,FALSE)</f>
        <v>一定ランクに到達すると_x000D_報酬付きのランク開放クエストが現れます</v>
      </c>
      <c r="N136" s="22" t="s">
        <v>67</v>
      </c>
      <c r="O136">
        <v>11</v>
      </c>
    </row>
    <row r="137" spans="1:15">
      <c r="A137" s="29" t="e">
        <f>C137&amp;"_"&amp;F137&amp;"_"&amp;#REF!</f>
        <v>#REF!</v>
      </c>
      <c r="B137" s="27" t="s">
        <v>32</v>
      </c>
      <c r="C137" s="5">
        <v>13001</v>
      </c>
      <c r="D137" s="4" t="str">
        <f ca="1">VLOOKUP($C137,OFFSET([1]quests!$A$1,0,0,COUNTA([1]quests!$A:$A),MATCH(D$1,[1]quests!$1:$1,0)-MATCH($C$1,[1]quests!$1:$1,0)+1),MATCH(D$1,[1]quests!$1:$1,0)-MATCH($C$1,[1]quests!$1:$1,0)+1,FALSE)</f>
        <v>チャレンジタワー(ソロ専用)</v>
      </c>
      <c r="E137" s="4" t="str">
        <f ca="1">VLOOKUP($C137,OFFSET([1]quests!$A$1,0,0,COUNTA([1]quests!$A:$A),MATCH(E$1,[1]quests!$1:$1,0)-MATCH($C$1,[1]quests!$1:$1,0)+1),MATCH(E$1,[1]quests!$1:$1,0)-MATCH($C$1,[1]quests!$1:$1,0)+1,FALSE)</f>
        <v>試練の塔</v>
      </c>
      <c r="F137" s="6">
        <v>9</v>
      </c>
      <c r="G137" s="4" t="str">
        <f ca="1">VLOOKUP($C137&amp;"_"&amp;$F137,OFFSET([1]stages!$A$1,0,0,COUNTA([1]stages!$A:$A),MATCH(G$1,[1]stages!$2:$2,0)-MATCH("temp_stage",[1]stages!$2:$2,0)+1),MATCH(G$1,[1]stages!$2:$2,0)-MATCH("temp_stage",[1]stages!$2:$2,0)+1,FALSE)</f>
        <v>チャレンジタワー 9F</v>
      </c>
      <c r="H137" s="4" t="str">
        <f ca="1">VLOOKUP($C137&amp;"_"&amp;$F137,OFFSET([1]stages!$A$1,0,0,COUNTA([1]stages!$A:$A),MATCH(H$1,[1]stages!$2:$2,0)-MATCH("temp_stage",[1]stages!$2:$2,0)+1),MATCH(H$1,[1]stages!$2:$2,0)-MATCH("temp_stage",[1]stages!$2:$2,0)+1,FALSE)</f>
        <v>試練の塔</v>
      </c>
      <c r="I137" s="19">
        <v>0</v>
      </c>
      <c r="J137">
        <v>12</v>
      </c>
      <c r="K137" s="6" t="s">
        <v>33</v>
      </c>
      <c r="L137" s="32" t="str">
        <f>VLOOKUP(J137,[2]stage_hints!$A:$C,3,FALSE)</f>
        <v>お気に入り登録</v>
      </c>
      <c r="M137" s="33" t="str">
        <f>VLOOKUP(J137,[2]stage_hints!$A:$D,4,FALSE)</f>
        <v>大事なユニットは_x000D_フォルダから「お気に入り登録」しましょう</v>
      </c>
      <c r="N137" s="22" t="s">
        <v>34</v>
      </c>
      <c r="O137">
        <v>12</v>
      </c>
    </row>
    <row r="138" spans="1:15">
      <c r="A138" s="29" t="e">
        <f>C138&amp;"_"&amp;F138&amp;"_"&amp;#REF!</f>
        <v>#REF!</v>
      </c>
      <c r="B138" s="27" t="s">
        <v>32</v>
      </c>
      <c r="C138" s="5">
        <v>13001</v>
      </c>
      <c r="D138" s="4" t="str">
        <f ca="1">VLOOKUP($C138,OFFSET([1]quests!$A$1,0,0,COUNTA([1]quests!$A:$A),MATCH(D$1,[1]quests!$1:$1,0)-MATCH($C$1,[1]quests!$1:$1,0)+1),MATCH(D$1,[1]quests!$1:$1,0)-MATCH($C$1,[1]quests!$1:$1,0)+1,FALSE)</f>
        <v>チャレンジタワー(ソロ専用)</v>
      </c>
      <c r="E138" s="4" t="str">
        <f ca="1">VLOOKUP($C138,OFFSET([1]quests!$A$1,0,0,COUNTA([1]quests!$A:$A),MATCH(E$1,[1]quests!$1:$1,0)-MATCH($C$1,[1]quests!$1:$1,0)+1),MATCH(E$1,[1]quests!$1:$1,0)-MATCH($C$1,[1]quests!$1:$1,0)+1,FALSE)</f>
        <v>試練の塔</v>
      </c>
      <c r="F138" s="6">
        <v>9</v>
      </c>
      <c r="G138" s="4" t="str">
        <f ca="1">VLOOKUP($C138&amp;"_"&amp;$F138,OFFSET([1]stages!$A$1,0,0,COUNTA([1]stages!$A:$A),MATCH(G$1,[1]stages!$2:$2,0)-MATCH("temp_stage",[1]stages!$2:$2,0)+1),MATCH(G$1,[1]stages!$2:$2,0)-MATCH("temp_stage",[1]stages!$2:$2,0)+1,FALSE)</f>
        <v>チャレンジタワー 9F</v>
      </c>
      <c r="H138" s="4" t="str">
        <f ca="1">VLOOKUP($C138&amp;"_"&amp;$F138,OFFSET([1]stages!$A$1,0,0,COUNTA([1]stages!$A:$A),MATCH(H$1,[1]stages!$2:$2,0)-MATCH("temp_stage",[1]stages!$2:$2,0)+1),MATCH(H$1,[1]stages!$2:$2,0)-MATCH("temp_stage",[1]stages!$2:$2,0)+1,FALSE)</f>
        <v>試練の塔</v>
      </c>
      <c r="I138" s="19">
        <v>0</v>
      </c>
      <c r="J138">
        <v>13</v>
      </c>
      <c r="K138" s="6" t="s">
        <v>33</v>
      </c>
      <c r="L138" s="32" t="str">
        <f>VLOOKUP(J138,[2]stage_hints!$A:$C,3,FALSE)</f>
        <v>ユニットを覚醒させよう！</v>
      </c>
      <c r="M138" s="33" t="str">
        <f>VLOOKUP(J138,[2]stage_hints!$A:$D,4,FALSE)</f>
        <v>ユニットを覚醒させると_x000D_比べものにならない強さが手に入ります</v>
      </c>
      <c r="N138" s="22" t="s">
        <v>53</v>
      </c>
      <c r="O138">
        <v>13</v>
      </c>
    </row>
    <row r="139" spans="1:15">
      <c r="A139" s="29" t="e">
        <f>C139&amp;"_"&amp;F139&amp;"_"&amp;#REF!</f>
        <v>#REF!</v>
      </c>
      <c r="B139" s="27" t="s">
        <v>32</v>
      </c>
      <c r="C139" s="5">
        <v>13001</v>
      </c>
      <c r="D139" s="4" t="str">
        <f ca="1">VLOOKUP($C139,OFFSET([1]quests!$A$1,0,0,COUNTA([1]quests!$A:$A),MATCH(D$1,[1]quests!$1:$1,0)-MATCH($C$1,[1]quests!$1:$1,0)+1),MATCH(D$1,[1]quests!$1:$1,0)-MATCH($C$1,[1]quests!$1:$1,0)+1,FALSE)</f>
        <v>チャレンジタワー(ソロ専用)</v>
      </c>
      <c r="E139" s="4" t="str">
        <f ca="1">VLOOKUP($C139,OFFSET([1]quests!$A$1,0,0,COUNTA([1]quests!$A:$A),MATCH(E$1,[1]quests!$1:$1,0)-MATCH($C$1,[1]quests!$1:$1,0)+1),MATCH(E$1,[1]quests!$1:$1,0)-MATCH($C$1,[1]quests!$1:$1,0)+1,FALSE)</f>
        <v>試練の塔</v>
      </c>
      <c r="F139" s="6">
        <v>9</v>
      </c>
      <c r="G139" s="4" t="str">
        <f ca="1">VLOOKUP($C139&amp;"_"&amp;$F139,OFFSET([1]stages!$A$1,0,0,COUNTA([1]stages!$A:$A),MATCH(G$1,[1]stages!$2:$2,0)-MATCH("temp_stage",[1]stages!$2:$2,0)+1),MATCH(G$1,[1]stages!$2:$2,0)-MATCH("temp_stage",[1]stages!$2:$2,0)+1,FALSE)</f>
        <v>チャレンジタワー 9F</v>
      </c>
      <c r="H139" s="4" t="str">
        <f ca="1">VLOOKUP($C139&amp;"_"&amp;$F139,OFFSET([1]stages!$A$1,0,0,COUNTA([1]stages!$A:$A),MATCH(H$1,[1]stages!$2:$2,0)-MATCH("temp_stage",[1]stages!$2:$2,0)+1),MATCH(H$1,[1]stages!$2:$2,0)-MATCH("temp_stage",[1]stages!$2:$2,0)+1,FALSE)</f>
        <v>試練の塔</v>
      </c>
      <c r="I139" s="19">
        <v>0</v>
      </c>
      <c r="J139">
        <v>14</v>
      </c>
      <c r="K139" s="6" t="s">
        <v>33</v>
      </c>
      <c r="L139" s="32" t="str">
        <f>VLOOKUP(J139,[2]stage_hints!$A:$C,3,FALSE)</f>
        <v>覚醒するにはレベルをMAXに！</v>
      </c>
      <c r="M139" s="33" t="str">
        <f>VLOOKUP(J139,[2]stage_hints!$A:$D,4,FALSE)</f>
        <v>覚醒するにはユニットのレベルを_x000D_最大まで上げる必要があります</v>
      </c>
      <c r="N139" s="22" t="s">
        <v>34</v>
      </c>
      <c r="O139">
        <v>14</v>
      </c>
    </row>
    <row r="140" spans="1:15">
      <c r="A140" s="29" t="e">
        <f>C140&amp;"_"&amp;F140&amp;"_"&amp;#REF!</f>
        <v>#REF!</v>
      </c>
      <c r="B140" s="27" t="s">
        <v>32</v>
      </c>
      <c r="C140" s="5">
        <v>13001</v>
      </c>
      <c r="D140" s="4" t="str">
        <f ca="1">VLOOKUP($C140,OFFSET([1]quests!$A$1,0,0,COUNTA([1]quests!$A:$A),MATCH(D$1,[1]quests!$1:$1,0)-MATCH($C$1,[1]quests!$1:$1,0)+1),MATCH(D$1,[1]quests!$1:$1,0)-MATCH($C$1,[1]quests!$1:$1,0)+1,FALSE)</f>
        <v>チャレンジタワー(ソロ専用)</v>
      </c>
      <c r="E140" s="4" t="str">
        <f ca="1">VLOOKUP($C140,OFFSET([1]quests!$A$1,0,0,COUNTA([1]quests!$A:$A),MATCH(E$1,[1]quests!$1:$1,0)-MATCH($C$1,[1]quests!$1:$1,0)+1),MATCH(E$1,[1]quests!$1:$1,0)-MATCH($C$1,[1]quests!$1:$1,0)+1,FALSE)</f>
        <v>試練の塔</v>
      </c>
      <c r="F140" s="6">
        <v>9</v>
      </c>
      <c r="G140" s="4" t="str">
        <f ca="1">VLOOKUP($C140&amp;"_"&amp;$F140,OFFSET([1]stages!$A$1,0,0,COUNTA([1]stages!$A:$A),MATCH(G$1,[1]stages!$2:$2,0)-MATCH("temp_stage",[1]stages!$2:$2,0)+1),MATCH(G$1,[1]stages!$2:$2,0)-MATCH("temp_stage",[1]stages!$2:$2,0)+1,FALSE)</f>
        <v>チャレンジタワー 9F</v>
      </c>
      <c r="H140" s="4" t="str">
        <f ca="1">VLOOKUP($C140&amp;"_"&amp;$F140,OFFSET([1]stages!$A$1,0,0,COUNTA([1]stages!$A:$A),MATCH(H$1,[1]stages!$2:$2,0)-MATCH("temp_stage",[1]stages!$2:$2,0)+1),MATCH(H$1,[1]stages!$2:$2,0)-MATCH("temp_stage",[1]stages!$2:$2,0)+1,FALSE)</f>
        <v>試練の塔</v>
      </c>
      <c r="I140" s="19">
        <v>0</v>
      </c>
      <c r="J140">
        <v>15</v>
      </c>
      <c r="K140" s="6" t="s">
        <v>33</v>
      </c>
      <c r="L140" s="32" t="str">
        <f>VLOOKUP(J140,[2]stage_hints!$A:$C,3,FALSE)</f>
        <v>覚醒素材をGETしよう！</v>
      </c>
      <c r="M140" s="33" t="str">
        <f>VLOOKUP(J140,[2]stage_hints!$A:$D,4,FALSE)</f>
        <v>「曜日クエスト」では_x000D_覚醒に必要な覚醒素材が手に入ります</v>
      </c>
      <c r="N140" s="22" t="s">
        <v>110</v>
      </c>
      <c r="O140">
        <v>15</v>
      </c>
    </row>
    <row r="141" spans="1:15">
      <c r="A141" s="29" t="e">
        <f>C141&amp;"_"&amp;F141&amp;"_"&amp;#REF!</f>
        <v>#REF!</v>
      </c>
      <c r="B141" s="27" t="s">
        <v>32</v>
      </c>
      <c r="C141" s="5">
        <v>13001</v>
      </c>
      <c r="D141" s="4" t="str">
        <f ca="1">VLOOKUP($C141,OFFSET([1]quests!$A$1,0,0,COUNTA([1]quests!$A:$A),MATCH(D$1,[1]quests!$1:$1,0)-MATCH($C$1,[1]quests!$1:$1,0)+1),MATCH(D$1,[1]quests!$1:$1,0)-MATCH($C$1,[1]quests!$1:$1,0)+1,FALSE)</f>
        <v>チャレンジタワー(ソロ専用)</v>
      </c>
      <c r="E141" s="4" t="str">
        <f ca="1">VLOOKUP($C141,OFFSET([1]quests!$A$1,0,0,COUNTA([1]quests!$A:$A),MATCH(E$1,[1]quests!$1:$1,0)-MATCH($C$1,[1]quests!$1:$1,0)+1),MATCH(E$1,[1]quests!$1:$1,0)-MATCH($C$1,[1]quests!$1:$1,0)+1,FALSE)</f>
        <v>試練の塔</v>
      </c>
      <c r="F141" s="6">
        <v>9</v>
      </c>
      <c r="G141" s="4" t="str">
        <f ca="1">VLOOKUP($C141&amp;"_"&amp;$F141,OFFSET([1]stages!$A$1,0,0,COUNTA([1]stages!$A:$A),MATCH(G$1,[1]stages!$2:$2,0)-MATCH("temp_stage",[1]stages!$2:$2,0)+1),MATCH(G$1,[1]stages!$2:$2,0)-MATCH("temp_stage",[1]stages!$2:$2,0)+1,FALSE)</f>
        <v>チャレンジタワー 9F</v>
      </c>
      <c r="H141" s="4" t="str">
        <f ca="1">VLOOKUP($C141&amp;"_"&amp;$F141,OFFSET([1]stages!$A$1,0,0,COUNTA([1]stages!$A:$A),MATCH(H$1,[1]stages!$2:$2,0)-MATCH("temp_stage",[1]stages!$2:$2,0)+1),MATCH(H$1,[1]stages!$2:$2,0)-MATCH("temp_stage",[1]stages!$2:$2,0)+1,FALSE)</f>
        <v>試練の塔</v>
      </c>
      <c r="I141" s="19">
        <v>0</v>
      </c>
      <c r="J141">
        <v>16</v>
      </c>
      <c r="K141" s="6" t="s">
        <v>33</v>
      </c>
      <c r="L141" s="32" t="str">
        <f>VLOOKUP(J141,[2]stage_hints!$A:$C,3,FALSE)</f>
        <v>マルチプレイが熱い！　その1</v>
      </c>
      <c r="M141" s="33" t="str">
        <f>VLOOKUP(J141,[2]stage_hints!$A:$D,4,FALSE)</f>
        <v>マルチプレイをすると_x000D_初顔合わせボーナスで_x000D_100人までポリゴンがもらえます</v>
      </c>
      <c r="N141" s="22" t="s">
        <v>71</v>
      </c>
      <c r="O141">
        <v>16</v>
      </c>
    </row>
    <row r="142" spans="1:15">
      <c r="A142" s="29" t="e">
        <f>C142&amp;"_"&amp;F142&amp;"_"&amp;#REF!</f>
        <v>#REF!</v>
      </c>
      <c r="B142" s="27" t="s">
        <v>32</v>
      </c>
      <c r="C142" s="5">
        <v>13001</v>
      </c>
      <c r="D142" s="4" t="str">
        <f ca="1">VLOOKUP($C142,OFFSET([1]quests!$A$1,0,0,COUNTA([1]quests!$A:$A),MATCH(D$1,[1]quests!$1:$1,0)-MATCH($C$1,[1]quests!$1:$1,0)+1),MATCH(D$1,[1]quests!$1:$1,0)-MATCH($C$1,[1]quests!$1:$1,0)+1,FALSE)</f>
        <v>チャレンジタワー(ソロ専用)</v>
      </c>
      <c r="E142" s="4" t="str">
        <f ca="1">VLOOKUP($C142,OFFSET([1]quests!$A$1,0,0,COUNTA([1]quests!$A:$A),MATCH(E$1,[1]quests!$1:$1,0)-MATCH($C$1,[1]quests!$1:$1,0)+1),MATCH(E$1,[1]quests!$1:$1,0)-MATCH($C$1,[1]quests!$1:$1,0)+1,FALSE)</f>
        <v>試練の塔</v>
      </c>
      <c r="F142" s="6">
        <v>9</v>
      </c>
      <c r="G142" s="4" t="str">
        <f ca="1">VLOOKUP($C142&amp;"_"&amp;$F142,OFFSET([1]stages!$A$1,0,0,COUNTA([1]stages!$A:$A),MATCH(G$1,[1]stages!$2:$2,0)-MATCH("temp_stage",[1]stages!$2:$2,0)+1),MATCH(G$1,[1]stages!$2:$2,0)-MATCH("temp_stage",[1]stages!$2:$2,0)+1,FALSE)</f>
        <v>チャレンジタワー 9F</v>
      </c>
      <c r="H142" s="4" t="str">
        <f ca="1">VLOOKUP($C142&amp;"_"&amp;$F142,OFFSET([1]stages!$A$1,0,0,COUNTA([1]stages!$A:$A),MATCH(H$1,[1]stages!$2:$2,0)-MATCH("temp_stage",[1]stages!$2:$2,0)+1),MATCH(H$1,[1]stages!$2:$2,0)-MATCH("temp_stage",[1]stages!$2:$2,0)+1,FALSE)</f>
        <v>試練の塔</v>
      </c>
      <c r="I142" s="19">
        <v>0</v>
      </c>
      <c r="J142">
        <v>17</v>
      </c>
      <c r="K142" s="6" t="s">
        <v>33</v>
      </c>
      <c r="L142" s="32" t="str">
        <f>VLOOKUP(J142,[2]stage_hints!$A:$C,3,FALSE)</f>
        <v>リンクガチャを引いてみよう</v>
      </c>
      <c r="M142" s="33" t="str">
        <f>VLOOKUP(J142,[2]stage_hints!$A:$D,4,FALSE)</f>
        <v>リンクガチャを回して_x000D_メタルダックやゴールドダックを獲得しましょう</v>
      </c>
      <c r="N142" s="22" t="s">
        <v>70</v>
      </c>
      <c r="O142">
        <v>17</v>
      </c>
    </row>
    <row r="143" spans="1:15">
      <c r="A143" s="29" t="e">
        <f>C143&amp;"_"&amp;F143&amp;"_"&amp;#REF!</f>
        <v>#REF!</v>
      </c>
      <c r="B143" s="27" t="s">
        <v>32</v>
      </c>
      <c r="C143" s="5">
        <v>13001</v>
      </c>
      <c r="D143" s="4" t="str">
        <f ca="1">VLOOKUP($C143,OFFSET([1]quests!$A$1,0,0,COUNTA([1]quests!$A:$A),MATCH(D$1,[1]quests!$1:$1,0)-MATCH($C$1,[1]quests!$1:$1,0)+1),MATCH(D$1,[1]quests!$1:$1,0)-MATCH($C$1,[1]quests!$1:$1,0)+1,FALSE)</f>
        <v>チャレンジタワー(ソロ専用)</v>
      </c>
      <c r="E143" s="4" t="str">
        <f ca="1">VLOOKUP($C143,OFFSET([1]quests!$A$1,0,0,COUNTA([1]quests!$A:$A),MATCH(E$1,[1]quests!$1:$1,0)-MATCH($C$1,[1]quests!$1:$1,0)+1),MATCH(E$1,[1]quests!$1:$1,0)-MATCH($C$1,[1]quests!$1:$1,0)+1,FALSE)</f>
        <v>試練の塔</v>
      </c>
      <c r="F143" s="6">
        <v>9</v>
      </c>
      <c r="G143" s="4" t="str">
        <f ca="1">VLOOKUP($C143&amp;"_"&amp;$F143,OFFSET([1]stages!$A$1,0,0,COUNTA([1]stages!$A:$A),MATCH(G$1,[1]stages!$2:$2,0)-MATCH("temp_stage",[1]stages!$2:$2,0)+1),MATCH(G$1,[1]stages!$2:$2,0)-MATCH("temp_stage",[1]stages!$2:$2,0)+1,FALSE)</f>
        <v>チャレンジタワー 9F</v>
      </c>
      <c r="H143" s="4" t="str">
        <f ca="1">VLOOKUP($C143&amp;"_"&amp;$F143,OFFSET([1]stages!$A$1,0,0,COUNTA([1]stages!$A:$A),MATCH(H$1,[1]stages!$2:$2,0)-MATCH("temp_stage",[1]stages!$2:$2,0)+1),MATCH(H$1,[1]stages!$2:$2,0)-MATCH("temp_stage",[1]stages!$2:$2,0)+1,FALSE)</f>
        <v>試練の塔</v>
      </c>
      <c r="I143" s="19">
        <v>0</v>
      </c>
      <c r="J143">
        <v>18</v>
      </c>
      <c r="K143" s="6" t="s">
        <v>33</v>
      </c>
      <c r="L143" s="32" t="str">
        <f>VLOOKUP(J143,[2]stage_hints!$A:$C,3,FALSE)</f>
        <v>マルチプレイが熱い！　その2</v>
      </c>
      <c r="M143" s="33" t="str">
        <f>VLOOKUP(J143,[2]stage_hints!$A:$D,4,FALSE)</f>
        <v>マルチプレイなら_x000D_2倍のリンクがもらえます</v>
      </c>
      <c r="N143" s="22" t="s">
        <v>73</v>
      </c>
      <c r="O143">
        <v>18</v>
      </c>
    </row>
    <row r="144" spans="1:15">
      <c r="A144" s="29" t="e">
        <f>C144&amp;"_"&amp;F144&amp;"_"&amp;#REF!</f>
        <v>#REF!</v>
      </c>
      <c r="B144" s="27" t="s">
        <v>32</v>
      </c>
      <c r="C144" s="5">
        <v>13001</v>
      </c>
      <c r="D144" s="4" t="str">
        <f ca="1">VLOOKUP($C144,OFFSET([1]quests!$A$1,0,0,COUNTA([1]quests!$A:$A),MATCH(D$1,[1]quests!$1:$1,0)-MATCH($C$1,[1]quests!$1:$1,0)+1),MATCH(D$1,[1]quests!$1:$1,0)-MATCH($C$1,[1]quests!$1:$1,0)+1,FALSE)</f>
        <v>チャレンジタワー(ソロ専用)</v>
      </c>
      <c r="E144" s="4" t="str">
        <f ca="1">VLOOKUP($C144,OFFSET([1]quests!$A$1,0,0,COUNTA([1]quests!$A:$A),MATCH(E$1,[1]quests!$1:$1,0)-MATCH($C$1,[1]quests!$1:$1,0)+1),MATCH(E$1,[1]quests!$1:$1,0)-MATCH($C$1,[1]quests!$1:$1,0)+1,FALSE)</f>
        <v>試練の塔</v>
      </c>
      <c r="F144" s="6">
        <v>9</v>
      </c>
      <c r="G144" s="4" t="str">
        <f ca="1">VLOOKUP($C144&amp;"_"&amp;$F144,OFFSET([1]stages!$A$1,0,0,COUNTA([1]stages!$A:$A),MATCH(G$1,[1]stages!$2:$2,0)-MATCH("temp_stage",[1]stages!$2:$2,0)+1),MATCH(G$1,[1]stages!$2:$2,0)-MATCH("temp_stage",[1]stages!$2:$2,0)+1,FALSE)</f>
        <v>チャレンジタワー 9F</v>
      </c>
      <c r="H144" s="4" t="str">
        <f ca="1">VLOOKUP($C144&amp;"_"&amp;$F144,OFFSET([1]stages!$A$1,0,0,COUNTA([1]stages!$A:$A),MATCH(H$1,[1]stages!$2:$2,0)-MATCH("temp_stage",[1]stages!$2:$2,0)+1),MATCH(H$1,[1]stages!$2:$2,0)-MATCH("temp_stage",[1]stages!$2:$2,0)+1,FALSE)</f>
        <v>試練の塔</v>
      </c>
      <c r="I144" s="19">
        <v>0</v>
      </c>
      <c r="J144">
        <v>19</v>
      </c>
      <c r="K144" s="6" t="s">
        <v>33</v>
      </c>
      <c r="L144" s="32" t="str">
        <f>VLOOKUP(J144,[2]stage_hints!$A:$C,3,FALSE)</f>
        <v>チャレンジタワー</v>
      </c>
      <c r="M144" s="33" t="str">
        <f>VLOOKUP(J144,[2]stage_hints!$A:$D,4,FALSE)</f>
        <v>「チャレンジタワー」をクリアすると_x000D_各フロアごとに報酬がもらえます</v>
      </c>
      <c r="N144" s="22" t="s">
        <v>110</v>
      </c>
      <c r="O144">
        <v>19</v>
      </c>
    </row>
    <row r="145" spans="1:15">
      <c r="A145" s="29" t="e">
        <f>C145&amp;"_"&amp;F145&amp;"_"&amp;#REF!</f>
        <v>#REF!</v>
      </c>
      <c r="B145" s="27" t="s">
        <v>32</v>
      </c>
      <c r="C145" s="5">
        <v>13001</v>
      </c>
      <c r="D145" s="4" t="str">
        <f ca="1">VLOOKUP($C145,OFFSET([1]quests!$A$1,0,0,COUNTA([1]quests!$A:$A),MATCH(D$1,[1]quests!$1:$1,0)-MATCH($C$1,[1]quests!$1:$1,0)+1),MATCH(D$1,[1]quests!$1:$1,0)-MATCH($C$1,[1]quests!$1:$1,0)+1,FALSE)</f>
        <v>チャレンジタワー(ソロ専用)</v>
      </c>
      <c r="E145" s="4" t="str">
        <f ca="1">VLOOKUP($C145,OFFSET([1]quests!$A$1,0,0,COUNTA([1]quests!$A:$A),MATCH(E$1,[1]quests!$1:$1,0)-MATCH($C$1,[1]quests!$1:$1,0)+1),MATCH(E$1,[1]quests!$1:$1,0)-MATCH($C$1,[1]quests!$1:$1,0)+1,FALSE)</f>
        <v>試練の塔</v>
      </c>
      <c r="F145" s="6">
        <v>9</v>
      </c>
      <c r="G145" s="4" t="str">
        <f ca="1">VLOOKUP($C145&amp;"_"&amp;$F145,OFFSET([1]stages!$A$1,0,0,COUNTA([1]stages!$A:$A),MATCH(G$1,[1]stages!$2:$2,0)-MATCH("temp_stage",[1]stages!$2:$2,0)+1),MATCH(G$1,[1]stages!$2:$2,0)-MATCH("temp_stage",[1]stages!$2:$2,0)+1,FALSE)</f>
        <v>チャレンジタワー 9F</v>
      </c>
      <c r="H145" s="4" t="str">
        <f ca="1">VLOOKUP($C145&amp;"_"&amp;$F145,OFFSET([1]stages!$A$1,0,0,COUNTA([1]stages!$A:$A),MATCH(H$1,[1]stages!$2:$2,0)-MATCH("temp_stage",[1]stages!$2:$2,0)+1),MATCH(H$1,[1]stages!$2:$2,0)-MATCH("temp_stage",[1]stages!$2:$2,0)+1,FALSE)</f>
        <v>試練の塔</v>
      </c>
      <c r="I145" s="19">
        <v>0</v>
      </c>
      <c r="J145">
        <v>20</v>
      </c>
      <c r="K145" s="6" t="s">
        <v>33</v>
      </c>
      <c r="L145" s="32" t="str">
        <f>VLOOKUP(J145,[2]stage_hints!$A:$C,3,FALSE)</f>
        <v>マルチプレイが熱い！　その3</v>
      </c>
      <c r="M145" s="33" t="str">
        <f>VLOOKUP(J145,[2]stage_hints!$A:$D,4,FALSE)</f>
        <v>マルチプレイへの参加は_x000D_エナジー消費がありません</v>
      </c>
      <c r="N145" s="22" t="s">
        <v>110</v>
      </c>
      <c r="O145">
        <v>20</v>
      </c>
    </row>
    <row r="146" spans="1:15">
      <c r="A146" s="29" t="e">
        <f>C146&amp;"_"&amp;F146&amp;"_"&amp;#REF!</f>
        <v>#REF!</v>
      </c>
      <c r="B146" s="27" t="s">
        <v>32</v>
      </c>
      <c r="C146" s="5">
        <v>13001</v>
      </c>
      <c r="D146" s="4" t="str">
        <f ca="1">VLOOKUP($C146,OFFSET([1]quests!$A$1,0,0,COUNTA([1]quests!$A:$A),MATCH(D$1,[1]quests!$1:$1,0)-MATCH($C$1,[1]quests!$1:$1,0)+1),MATCH(D$1,[1]quests!$1:$1,0)-MATCH($C$1,[1]quests!$1:$1,0)+1,FALSE)</f>
        <v>チャレンジタワー(ソロ専用)</v>
      </c>
      <c r="E146" s="4" t="str">
        <f ca="1">VLOOKUP($C146,OFFSET([1]quests!$A$1,0,0,COUNTA([1]quests!$A:$A),MATCH(E$1,[1]quests!$1:$1,0)-MATCH($C$1,[1]quests!$1:$1,0)+1),MATCH(E$1,[1]quests!$1:$1,0)-MATCH($C$1,[1]quests!$1:$1,0)+1,FALSE)</f>
        <v>試練の塔</v>
      </c>
      <c r="F146" s="6">
        <v>9</v>
      </c>
      <c r="G146" s="4" t="str">
        <f ca="1">VLOOKUP($C146&amp;"_"&amp;$F146,OFFSET([1]stages!$A$1,0,0,COUNTA([1]stages!$A:$A),MATCH(G$1,[1]stages!$2:$2,0)-MATCH("temp_stage",[1]stages!$2:$2,0)+1),MATCH(G$1,[1]stages!$2:$2,0)-MATCH("temp_stage",[1]stages!$2:$2,0)+1,FALSE)</f>
        <v>チャレンジタワー 9F</v>
      </c>
      <c r="H146" s="4" t="str">
        <f ca="1">VLOOKUP($C146&amp;"_"&amp;$F146,OFFSET([1]stages!$A$1,0,0,COUNTA([1]stages!$A:$A),MATCH(H$1,[1]stages!$2:$2,0)-MATCH("temp_stage",[1]stages!$2:$2,0)+1),MATCH(H$1,[1]stages!$2:$2,0)-MATCH("temp_stage",[1]stages!$2:$2,0)+1,FALSE)</f>
        <v>試練の塔</v>
      </c>
      <c r="I146" s="19">
        <v>0</v>
      </c>
      <c r="J146">
        <v>21</v>
      </c>
      <c r="K146" s="6" t="s">
        <v>33</v>
      </c>
      <c r="L146" s="32" t="str">
        <f>VLOOKUP(J146,[2]stage_hints!$A:$C,3,FALSE)</f>
        <v>スキルを有効に使おう</v>
      </c>
      <c r="M146" s="33" t="str">
        <f>VLOOKUP(J146,[2]stage_hints!$A:$D,4,FALSE)</f>
        <v>ターン経過でユニットは_x000D_強力なスキルが使えるようになります</v>
      </c>
      <c r="N146" s="22" t="s">
        <v>78</v>
      </c>
      <c r="O146">
        <v>21</v>
      </c>
    </row>
    <row r="147" spans="1:15">
      <c r="A147" s="29" t="e">
        <f>C147&amp;"_"&amp;F147&amp;"_"&amp;#REF!</f>
        <v>#REF!</v>
      </c>
      <c r="B147" s="27" t="s">
        <v>32</v>
      </c>
      <c r="C147" s="5">
        <v>13001</v>
      </c>
      <c r="D147" s="4" t="str">
        <f ca="1">VLOOKUP($C147,OFFSET([1]quests!$A$1,0,0,COUNTA([1]quests!$A:$A),MATCH(D$1,[1]quests!$1:$1,0)-MATCH($C$1,[1]quests!$1:$1,0)+1),MATCH(D$1,[1]quests!$1:$1,0)-MATCH($C$1,[1]quests!$1:$1,0)+1,FALSE)</f>
        <v>チャレンジタワー(ソロ専用)</v>
      </c>
      <c r="E147" s="4" t="str">
        <f ca="1">VLOOKUP($C147,OFFSET([1]quests!$A$1,0,0,COUNTA([1]quests!$A:$A),MATCH(E$1,[1]quests!$1:$1,0)-MATCH($C$1,[1]quests!$1:$1,0)+1),MATCH(E$1,[1]quests!$1:$1,0)-MATCH($C$1,[1]quests!$1:$1,0)+1,FALSE)</f>
        <v>試練の塔</v>
      </c>
      <c r="F147" s="6">
        <v>9</v>
      </c>
      <c r="G147" s="4" t="str">
        <f ca="1">VLOOKUP($C147&amp;"_"&amp;$F147,OFFSET([1]stages!$A$1,0,0,COUNTA([1]stages!$A:$A),MATCH(G$1,[1]stages!$2:$2,0)-MATCH("temp_stage",[1]stages!$2:$2,0)+1),MATCH(G$1,[1]stages!$2:$2,0)-MATCH("temp_stage",[1]stages!$2:$2,0)+1,FALSE)</f>
        <v>チャレンジタワー 9F</v>
      </c>
      <c r="H147" s="4" t="str">
        <f ca="1">VLOOKUP($C147&amp;"_"&amp;$F147,OFFSET([1]stages!$A$1,0,0,COUNTA([1]stages!$A:$A),MATCH(H$1,[1]stages!$2:$2,0)-MATCH("temp_stage",[1]stages!$2:$2,0)+1),MATCH(H$1,[1]stages!$2:$2,0)-MATCH("temp_stage",[1]stages!$2:$2,0)+1,FALSE)</f>
        <v>試練の塔</v>
      </c>
      <c r="I147" s="19">
        <v>0</v>
      </c>
      <c r="J147">
        <v>22</v>
      </c>
      <c r="K147" s="6" t="s">
        <v>33</v>
      </c>
      <c r="L147" s="32" t="str">
        <f>VLOOKUP(J147,[2]stage_hints!$A:$C,3,FALSE)</f>
        <v>フィーバーを使って一発逆転</v>
      </c>
      <c r="M147" s="33" t="str">
        <f>VLOOKUP(J147,[2]stage_hints!$A:$D,4,FALSE)</f>
        <v>ピンチの時はフィーバーで_x000D_一発逆転を狙いましょう</v>
      </c>
      <c r="N147" s="22" t="s">
        <v>45</v>
      </c>
      <c r="O147">
        <v>22</v>
      </c>
    </row>
    <row r="148" spans="1:15">
      <c r="A148" s="29" t="e">
        <f>C148&amp;"_"&amp;F148&amp;"_"&amp;#REF!</f>
        <v>#REF!</v>
      </c>
      <c r="B148" s="27" t="s">
        <v>32</v>
      </c>
      <c r="C148" s="5">
        <v>13001</v>
      </c>
      <c r="D148" s="4" t="str">
        <f ca="1">VLOOKUP($C148,OFFSET([1]quests!$A$1,0,0,COUNTA([1]quests!$A:$A),MATCH(D$1,[1]quests!$1:$1,0)-MATCH($C$1,[1]quests!$1:$1,0)+1),MATCH(D$1,[1]quests!$1:$1,0)-MATCH($C$1,[1]quests!$1:$1,0)+1,FALSE)</f>
        <v>チャレンジタワー(ソロ専用)</v>
      </c>
      <c r="E148" s="4" t="str">
        <f ca="1">VLOOKUP($C148,OFFSET([1]quests!$A$1,0,0,COUNTA([1]quests!$A:$A),MATCH(E$1,[1]quests!$1:$1,0)-MATCH($C$1,[1]quests!$1:$1,0)+1),MATCH(E$1,[1]quests!$1:$1,0)-MATCH($C$1,[1]quests!$1:$1,0)+1,FALSE)</f>
        <v>試練の塔</v>
      </c>
      <c r="F148" s="6">
        <v>9</v>
      </c>
      <c r="G148" s="4" t="str">
        <f ca="1">VLOOKUP($C148&amp;"_"&amp;$F148,OFFSET([1]stages!$A$1,0,0,COUNTA([1]stages!$A:$A),MATCH(G$1,[1]stages!$2:$2,0)-MATCH("temp_stage",[1]stages!$2:$2,0)+1),MATCH(G$1,[1]stages!$2:$2,0)-MATCH("temp_stage",[1]stages!$2:$2,0)+1,FALSE)</f>
        <v>チャレンジタワー 9F</v>
      </c>
      <c r="H148" s="4" t="str">
        <f ca="1">VLOOKUP($C148&amp;"_"&amp;$F148,OFFSET([1]stages!$A$1,0,0,COUNTA([1]stages!$A:$A),MATCH(H$1,[1]stages!$2:$2,0)-MATCH("temp_stage",[1]stages!$2:$2,0)+1),MATCH(H$1,[1]stages!$2:$2,0)-MATCH("temp_stage",[1]stages!$2:$2,0)+1,FALSE)</f>
        <v>試練の塔</v>
      </c>
      <c r="I148" s="19">
        <v>0</v>
      </c>
      <c r="J148">
        <v>23</v>
      </c>
      <c r="K148" s="6" t="s">
        <v>33</v>
      </c>
      <c r="L148" s="32" t="str">
        <f>VLOOKUP(J148,[2]stage_hints!$A:$C,3,FALSE)</f>
        <v>フィーバーは虹パネルを狙おう！</v>
      </c>
      <c r="M148" s="33" t="str">
        <f>VLOOKUP(J148,[2]stage_hints!$A:$D,4,FALSE)</f>
        <v>フィーバー中は虹色のパネルを壊して_x000D_大ダメージを狙いましょう</v>
      </c>
      <c r="N148" s="22" t="s">
        <v>81</v>
      </c>
      <c r="O148">
        <v>23</v>
      </c>
    </row>
    <row r="149" spans="1:15">
      <c r="A149" s="29" t="e">
        <f>C149&amp;"_"&amp;F149&amp;"_"&amp;#REF!</f>
        <v>#REF!</v>
      </c>
      <c r="B149" s="27" t="s">
        <v>32</v>
      </c>
      <c r="C149" s="5">
        <v>13001</v>
      </c>
      <c r="D149" s="4" t="str">
        <f ca="1">VLOOKUP($C149,OFFSET([1]quests!$A$1,0,0,COUNTA([1]quests!$A:$A),MATCH(D$1,[1]quests!$1:$1,0)-MATCH($C$1,[1]quests!$1:$1,0)+1),MATCH(D$1,[1]quests!$1:$1,0)-MATCH($C$1,[1]quests!$1:$1,0)+1,FALSE)</f>
        <v>チャレンジタワー(ソロ専用)</v>
      </c>
      <c r="E149" s="4" t="str">
        <f ca="1">VLOOKUP($C149,OFFSET([1]quests!$A$1,0,0,COUNTA([1]quests!$A:$A),MATCH(E$1,[1]quests!$1:$1,0)-MATCH($C$1,[1]quests!$1:$1,0)+1),MATCH(E$1,[1]quests!$1:$1,0)-MATCH($C$1,[1]quests!$1:$1,0)+1,FALSE)</f>
        <v>試練の塔</v>
      </c>
      <c r="F149" s="6">
        <v>9</v>
      </c>
      <c r="G149" s="4" t="str">
        <f ca="1">VLOOKUP($C149&amp;"_"&amp;$F149,OFFSET([1]stages!$A$1,0,0,COUNTA([1]stages!$A:$A),MATCH(G$1,[1]stages!$2:$2,0)-MATCH("temp_stage",[1]stages!$2:$2,0)+1),MATCH(G$1,[1]stages!$2:$2,0)-MATCH("temp_stage",[1]stages!$2:$2,0)+1,FALSE)</f>
        <v>チャレンジタワー 9F</v>
      </c>
      <c r="H149" s="4" t="str">
        <f ca="1">VLOOKUP($C149&amp;"_"&amp;$F149,OFFSET([1]stages!$A$1,0,0,COUNTA([1]stages!$A:$A),MATCH(H$1,[1]stages!$2:$2,0)-MATCH("temp_stage",[1]stages!$2:$2,0)+1),MATCH(H$1,[1]stages!$2:$2,0)-MATCH("temp_stage",[1]stages!$2:$2,0)+1,FALSE)</f>
        <v>試練の塔</v>
      </c>
      <c r="I149" s="19">
        <v>0</v>
      </c>
      <c r="J149">
        <v>24</v>
      </c>
      <c r="K149" s="6" t="s">
        <v>33</v>
      </c>
      <c r="L149" s="32" t="str">
        <f>VLOOKUP(J149,[2]stage_hints!$A:$C,3,FALSE)</f>
        <v>リンゴをつかって限界突破！</v>
      </c>
      <c r="M149" s="33" t="str">
        <f>VLOOKUP(J149,[2]stage_hints!$A:$D,4,FALSE)</f>
        <v>赤りんご(攻撃力)、青りんご(回復力)、_x000D_緑りんご(体力)は_x000D_合計99個までステータスを上げられます</v>
      </c>
      <c r="N149" s="22" t="s">
        <v>95</v>
      </c>
      <c r="O149">
        <v>24</v>
      </c>
    </row>
    <row r="150" spans="1:15">
      <c r="A150" s="29" t="e">
        <f>C150&amp;"_"&amp;F150&amp;"_"&amp;#REF!</f>
        <v>#REF!</v>
      </c>
      <c r="B150" s="27" t="s">
        <v>32</v>
      </c>
      <c r="C150" s="5">
        <v>13001</v>
      </c>
      <c r="D150" s="4" t="str">
        <f ca="1">VLOOKUP($C150,OFFSET([1]quests!$A$1,0,0,COUNTA([1]quests!$A:$A),MATCH(D$1,[1]quests!$1:$1,0)-MATCH($C$1,[1]quests!$1:$1,0)+1),MATCH(D$1,[1]quests!$1:$1,0)-MATCH($C$1,[1]quests!$1:$1,0)+1,FALSE)</f>
        <v>チャレンジタワー(ソロ専用)</v>
      </c>
      <c r="E150" s="4" t="str">
        <f ca="1">VLOOKUP($C150,OFFSET([1]quests!$A$1,0,0,COUNTA([1]quests!$A:$A),MATCH(E$1,[1]quests!$1:$1,0)-MATCH($C$1,[1]quests!$1:$1,0)+1),MATCH(E$1,[1]quests!$1:$1,0)-MATCH($C$1,[1]quests!$1:$1,0)+1,FALSE)</f>
        <v>試練の塔</v>
      </c>
      <c r="F150" s="6">
        <v>9</v>
      </c>
      <c r="G150" s="4" t="str">
        <f ca="1">VLOOKUP($C150&amp;"_"&amp;$F150,OFFSET([1]stages!$A$1,0,0,COUNTA([1]stages!$A:$A),MATCH(G$1,[1]stages!$2:$2,0)-MATCH("temp_stage",[1]stages!$2:$2,0)+1),MATCH(G$1,[1]stages!$2:$2,0)-MATCH("temp_stage",[1]stages!$2:$2,0)+1,FALSE)</f>
        <v>チャレンジタワー 9F</v>
      </c>
      <c r="H150" s="4" t="str">
        <f ca="1">VLOOKUP($C150&amp;"_"&amp;$F150,OFFSET([1]stages!$A$1,0,0,COUNTA([1]stages!$A:$A),MATCH(H$1,[1]stages!$2:$2,0)-MATCH("temp_stage",[1]stages!$2:$2,0)+1),MATCH(H$1,[1]stages!$2:$2,0)-MATCH("temp_stage",[1]stages!$2:$2,0)+1,FALSE)</f>
        <v>試練の塔</v>
      </c>
      <c r="I150" s="19">
        <v>0</v>
      </c>
      <c r="J150">
        <v>25</v>
      </c>
      <c r="K150" s="6" t="s">
        <v>33</v>
      </c>
      <c r="L150" s="32" t="str">
        <f>VLOOKUP(J150,[2]stage_hints!$A:$C,3,FALSE)</f>
        <v>クリスタルリンゴはスキルLvUP！</v>
      </c>
      <c r="M150" s="33" t="str">
        <f>VLOOKUP(J150,[2]stage_hints!$A:$D,4,FALSE)</f>
        <v>「クリスタルのりんご」を強化に使うと_x000D_スキルLvを上げることができます</v>
      </c>
      <c r="N150" s="22" t="s">
        <v>110</v>
      </c>
      <c r="O150">
        <v>25</v>
      </c>
    </row>
    <row r="151" spans="1:15">
      <c r="A151" s="29" t="e">
        <f>C151&amp;"_"&amp;F151&amp;"_"&amp;#REF!</f>
        <v>#REF!</v>
      </c>
      <c r="B151" s="27" t="s">
        <v>32</v>
      </c>
      <c r="C151" s="5">
        <v>13001</v>
      </c>
      <c r="D151" s="4" t="str">
        <f ca="1">VLOOKUP($C151,OFFSET([1]quests!$A$1,0,0,COUNTA([1]quests!$A:$A),MATCH(D$1,[1]quests!$1:$1,0)-MATCH($C$1,[1]quests!$1:$1,0)+1),MATCH(D$1,[1]quests!$1:$1,0)-MATCH($C$1,[1]quests!$1:$1,0)+1,FALSE)</f>
        <v>チャレンジタワー(ソロ専用)</v>
      </c>
      <c r="E151" s="4" t="str">
        <f ca="1">VLOOKUP($C151,OFFSET([1]quests!$A$1,0,0,COUNTA([1]quests!$A:$A),MATCH(E$1,[1]quests!$1:$1,0)-MATCH($C$1,[1]quests!$1:$1,0)+1),MATCH(E$1,[1]quests!$1:$1,0)-MATCH($C$1,[1]quests!$1:$1,0)+1,FALSE)</f>
        <v>試練の塔</v>
      </c>
      <c r="F151" s="6">
        <v>9</v>
      </c>
      <c r="G151" s="4" t="str">
        <f ca="1">VLOOKUP($C151&amp;"_"&amp;$F151,OFFSET([1]stages!$A$1,0,0,COUNTA([1]stages!$A:$A),MATCH(G$1,[1]stages!$2:$2,0)-MATCH("temp_stage",[1]stages!$2:$2,0)+1),MATCH(G$1,[1]stages!$2:$2,0)-MATCH("temp_stage",[1]stages!$2:$2,0)+1,FALSE)</f>
        <v>チャレンジタワー 9F</v>
      </c>
      <c r="H151" s="4" t="str">
        <f ca="1">VLOOKUP($C151&amp;"_"&amp;$F151,OFFSET([1]stages!$A$1,0,0,COUNTA([1]stages!$A:$A),MATCH(H$1,[1]stages!$2:$2,0)-MATCH("temp_stage",[1]stages!$2:$2,0)+1),MATCH(H$1,[1]stages!$2:$2,0)-MATCH("temp_stage",[1]stages!$2:$2,0)+1,FALSE)</f>
        <v>試練の塔</v>
      </c>
      <c r="I151" s="19">
        <v>0</v>
      </c>
      <c r="J151">
        <v>26</v>
      </c>
      <c r="K151" s="6" t="s">
        <v>33</v>
      </c>
      <c r="L151" s="32" t="str">
        <f>VLOOKUP(J151,[2]stage_hints!$A:$C,3,FALSE)</f>
        <v>スキルLv</v>
      </c>
      <c r="M151" s="33" t="str">
        <f>VLOOKUP(J151,[2]stage_hints!$A:$D,4,FALSE)</f>
        <v>スキルLvが上がると_x000D_短いターンでスキルを使うことができます</v>
      </c>
      <c r="N151" s="22" t="s">
        <v>110</v>
      </c>
      <c r="O151">
        <v>26</v>
      </c>
    </row>
    <row r="152" spans="1:15">
      <c r="A152" s="29" t="e">
        <f>C152&amp;"_"&amp;F152&amp;"_"&amp;#REF!</f>
        <v>#REF!</v>
      </c>
      <c r="B152" s="27" t="s">
        <v>32</v>
      </c>
      <c r="C152" s="5">
        <v>13001</v>
      </c>
      <c r="D152" s="4" t="str">
        <f ca="1">VLOOKUP($C152,OFFSET([1]quests!$A$1,0,0,COUNTA([1]quests!$A:$A),MATCH(D$1,[1]quests!$1:$1,0)-MATCH($C$1,[1]quests!$1:$1,0)+1),MATCH(D$1,[1]quests!$1:$1,0)-MATCH($C$1,[1]quests!$1:$1,0)+1,FALSE)</f>
        <v>チャレンジタワー(ソロ専用)</v>
      </c>
      <c r="E152" s="4" t="str">
        <f ca="1">VLOOKUP($C152,OFFSET([1]quests!$A$1,0,0,COUNTA([1]quests!$A:$A),MATCH(E$1,[1]quests!$1:$1,0)-MATCH($C$1,[1]quests!$1:$1,0)+1),MATCH(E$1,[1]quests!$1:$1,0)-MATCH($C$1,[1]quests!$1:$1,0)+1,FALSE)</f>
        <v>試練の塔</v>
      </c>
      <c r="F152" s="6">
        <v>9</v>
      </c>
      <c r="G152" s="4" t="str">
        <f ca="1">VLOOKUP($C152&amp;"_"&amp;$F152,OFFSET([1]stages!$A$1,0,0,COUNTA([1]stages!$A:$A),MATCH(G$1,[1]stages!$2:$2,0)-MATCH("temp_stage",[1]stages!$2:$2,0)+1),MATCH(G$1,[1]stages!$2:$2,0)-MATCH("temp_stage",[1]stages!$2:$2,0)+1,FALSE)</f>
        <v>チャレンジタワー 9F</v>
      </c>
      <c r="H152" s="4" t="str">
        <f ca="1">VLOOKUP($C152&amp;"_"&amp;$F152,OFFSET([1]stages!$A$1,0,0,COUNTA([1]stages!$A:$A),MATCH(H$1,[1]stages!$2:$2,0)-MATCH("temp_stage",[1]stages!$2:$2,0)+1),MATCH(H$1,[1]stages!$2:$2,0)-MATCH("temp_stage",[1]stages!$2:$2,0)+1,FALSE)</f>
        <v>試練の塔</v>
      </c>
      <c r="I152" s="19">
        <v>0</v>
      </c>
      <c r="J152">
        <v>27</v>
      </c>
      <c r="K152" s="6" t="s">
        <v>33</v>
      </c>
      <c r="L152" s="32" t="str">
        <f>VLOOKUP(J152,[2]stage_hints!$A:$C,3,FALSE)</f>
        <v>ホーム画面からデッキを編成！</v>
      </c>
      <c r="M152" s="33" t="str">
        <f>VLOOKUP(J152,[2]stage_hints!$A:$D,4,FALSE)</f>
        <v>ホームでユニットを長押しすると_x000D_すぐにパーティ編成に移動できます</v>
      </c>
      <c r="N152" s="22" t="s">
        <v>110</v>
      </c>
      <c r="O152">
        <v>27</v>
      </c>
    </row>
    <row r="153" spans="1:15">
      <c r="A153" s="29" t="e">
        <f>C153&amp;"_"&amp;F153&amp;"_"&amp;#REF!</f>
        <v>#REF!</v>
      </c>
      <c r="B153" s="27" t="s">
        <v>32</v>
      </c>
      <c r="C153" s="5">
        <v>13001</v>
      </c>
      <c r="D153" s="4" t="str">
        <f ca="1">VLOOKUP($C153,OFFSET([1]quests!$A$1,0,0,COUNTA([1]quests!$A:$A),MATCH(D$1,[1]quests!$1:$1,0)-MATCH($C$1,[1]quests!$1:$1,0)+1),MATCH(D$1,[1]quests!$1:$1,0)-MATCH($C$1,[1]quests!$1:$1,0)+1,FALSE)</f>
        <v>チャレンジタワー(ソロ専用)</v>
      </c>
      <c r="E153" s="4" t="str">
        <f ca="1">VLOOKUP($C153,OFFSET([1]quests!$A$1,0,0,COUNTA([1]quests!$A:$A),MATCH(E$1,[1]quests!$1:$1,0)-MATCH($C$1,[1]quests!$1:$1,0)+1),MATCH(E$1,[1]quests!$1:$1,0)-MATCH($C$1,[1]quests!$1:$1,0)+1,FALSE)</f>
        <v>試練の塔</v>
      </c>
      <c r="F153" s="6">
        <v>9</v>
      </c>
      <c r="G153" s="4" t="str">
        <f ca="1">VLOOKUP($C153&amp;"_"&amp;$F153,OFFSET([1]stages!$A$1,0,0,COUNTA([1]stages!$A:$A),MATCH(G$1,[1]stages!$2:$2,0)-MATCH("temp_stage",[1]stages!$2:$2,0)+1),MATCH(G$1,[1]stages!$2:$2,0)-MATCH("temp_stage",[1]stages!$2:$2,0)+1,FALSE)</f>
        <v>チャレンジタワー 9F</v>
      </c>
      <c r="H153" s="4" t="str">
        <f ca="1">VLOOKUP($C153&amp;"_"&amp;$F153,OFFSET([1]stages!$A$1,0,0,COUNTA([1]stages!$A:$A),MATCH(H$1,[1]stages!$2:$2,0)-MATCH("temp_stage",[1]stages!$2:$2,0)+1),MATCH(H$1,[1]stages!$2:$2,0)-MATCH("temp_stage",[1]stages!$2:$2,0)+1,FALSE)</f>
        <v>試練の塔</v>
      </c>
      <c r="I153" s="19">
        <v>0</v>
      </c>
      <c r="J153">
        <v>28</v>
      </c>
      <c r="K153" s="6" t="s">
        <v>33</v>
      </c>
      <c r="L153" s="32" t="str">
        <f>VLOOKUP(J153,[2]stage_hints!$A:$C,3,FALSE)</f>
        <v>詳細情報は長押しで！</v>
      </c>
      <c r="M153" s="33" t="str">
        <f>VLOOKUP(J153,[2]stage_hints!$A:$D,4,FALSE)</f>
        <v>ユニットのアイコンを長押しすると_x000D_ステータス情報を見ることができます</v>
      </c>
      <c r="N153" s="22" t="s">
        <v>49</v>
      </c>
      <c r="O153">
        <v>28</v>
      </c>
    </row>
    <row r="154" spans="1:15">
      <c r="A154" s="29" t="e">
        <f>C154&amp;"_"&amp;F154&amp;"_"&amp;#REF!</f>
        <v>#REF!</v>
      </c>
      <c r="B154" s="27" t="s">
        <v>32</v>
      </c>
      <c r="C154" s="5">
        <v>13001</v>
      </c>
      <c r="D154" s="4" t="str">
        <f ca="1">VLOOKUP($C154,OFFSET([1]quests!$A$1,0,0,COUNTA([1]quests!$A:$A),MATCH(D$1,[1]quests!$1:$1,0)-MATCH($C$1,[1]quests!$1:$1,0)+1),MATCH(D$1,[1]quests!$1:$1,0)-MATCH($C$1,[1]quests!$1:$1,0)+1,FALSE)</f>
        <v>チャレンジタワー(ソロ専用)</v>
      </c>
      <c r="E154" s="4" t="str">
        <f ca="1">VLOOKUP($C154,OFFSET([1]quests!$A$1,0,0,COUNTA([1]quests!$A:$A),MATCH(E$1,[1]quests!$1:$1,0)-MATCH($C$1,[1]quests!$1:$1,0)+1),MATCH(E$1,[1]quests!$1:$1,0)-MATCH($C$1,[1]quests!$1:$1,0)+1,FALSE)</f>
        <v>試練の塔</v>
      </c>
      <c r="F154" s="6">
        <v>9</v>
      </c>
      <c r="G154" s="4" t="str">
        <f ca="1">VLOOKUP($C154&amp;"_"&amp;$F154,OFFSET([1]stages!$A$1,0,0,COUNTA([1]stages!$A:$A),MATCH(G$1,[1]stages!$2:$2,0)-MATCH("temp_stage",[1]stages!$2:$2,0)+1),MATCH(G$1,[1]stages!$2:$2,0)-MATCH("temp_stage",[1]stages!$2:$2,0)+1,FALSE)</f>
        <v>チャレンジタワー 9F</v>
      </c>
      <c r="H154" s="4" t="str">
        <f ca="1">VLOOKUP($C154&amp;"_"&amp;$F154,OFFSET([1]stages!$A$1,0,0,COUNTA([1]stages!$A:$A),MATCH(H$1,[1]stages!$2:$2,0)-MATCH("temp_stage",[1]stages!$2:$2,0)+1),MATCH(H$1,[1]stages!$2:$2,0)-MATCH("temp_stage",[1]stages!$2:$2,0)+1,FALSE)</f>
        <v>試練の塔</v>
      </c>
      <c r="I154" s="19">
        <v>0</v>
      </c>
      <c r="J154">
        <v>29</v>
      </c>
      <c r="K154" s="6" t="s">
        <v>33</v>
      </c>
      <c r="L154" s="32" t="str">
        <f>VLOOKUP(J154,[2]stage_hints!$A:$C,3,FALSE)</f>
        <v>ステータスのバグって何？</v>
      </c>
      <c r="M154" s="33" t="str">
        <f>VLOOKUP(J154,[2]stage_hints!$A:$D,4,FALSE)</f>
        <v>「バグ」を上げると_x000D_報酬をもらえる確率がアップします</v>
      </c>
      <c r="N154" s="22" t="s">
        <v>96</v>
      </c>
      <c r="O154">
        <v>29</v>
      </c>
    </row>
    <row r="155" spans="1:15">
      <c r="A155" s="29" t="e">
        <f>C155&amp;"_"&amp;F155&amp;"_"&amp;#REF!</f>
        <v>#REF!</v>
      </c>
      <c r="B155" s="27" t="s">
        <v>32</v>
      </c>
      <c r="C155" s="5">
        <v>13001</v>
      </c>
      <c r="D155" s="4" t="str">
        <f ca="1">VLOOKUP($C155,OFFSET([1]quests!$A$1,0,0,COUNTA([1]quests!$A:$A),MATCH(D$1,[1]quests!$1:$1,0)-MATCH($C$1,[1]quests!$1:$1,0)+1),MATCH(D$1,[1]quests!$1:$1,0)-MATCH($C$1,[1]quests!$1:$1,0)+1,FALSE)</f>
        <v>チャレンジタワー(ソロ専用)</v>
      </c>
      <c r="E155" s="4" t="str">
        <f ca="1">VLOOKUP($C155,OFFSET([1]quests!$A$1,0,0,COUNTA([1]quests!$A:$A),MATCH(E$1,[1]quests!$1:$1,0)-MATCH($C$1,[1]quests!$1:$1,0)+1),MATCH(E$1,[1]quests!$1:$1,0)-MATCH($C$1,[1]quests!$1:$1,0)+1,FALSE)</f>
        <v>試練の塔</v>
      </c>
      <c r="F155" s="6">
        <v>9</v>
      </c>
      <c r="G155" s="4" t="str">
        <f ca="1">VLOOKUP($C155&amp;"_"&amp;$F155,OFFSET([1]stages!$A$1,0,0,COUNTA([1]stages!$A:$A),MATCH(G$1,[1]stages!$2:$2,0)-MATCH("temp_stage",[1]stages!$2:$2,0)+1),MATCH(G$1,[1]stages!$2:$2,0)-MATCH("temp_stage",[1]stages!$2:$2,0)+1,FALSE)</f>
        <v>チャレンジタワー 9F</v>
      </c>
      <c r="H155" s="4" t="str">
        <f ca="1">VLOOKUP($C155&amp;"_"&amp;$F155,OFFSET([1]stages!$A$1,0,0,COUNTA([1]stages!$A:$A),MATCH(H$1,[1]stages!$2:$2,0)-MATCH("temp_stage",[1]stages!$2:$2,0)+1),MATCH(H$1,[1]stages!$2:$2,0)-MATCH("temp_stage",[1]stages!$2:$2,0)+1,FALSE)</f>
        <v>試練の塔</v>
      </c>
      <c r="I155" s="19">
        <v>0</v>
      </c>
      <c r="J155">
        <v>30</v>
      </c>
      <c r="K155" s="6" t="s">
        <v>33</v>
      </c>
      <c r="L155" s="32" t="str">
        <f>VLOOKUP(J155,[2]stage_hints!$A:$C,3,FALSE)</f>
        <v>ステータスのバグを増やす方法</v>
      </c>
      <c r="M155" s="33" t="str">
        <f>VLOOKUP(J155,[2]stage_hints!$A:$D,4,FALSE)</f>
        <v>同じユニット同士を強化すると_x000D_「バグ」を増やすことができます</v>
      </c>
      <c r="N155" s="22" t="s">
        <v>34</v>
      </c>
      <c r="O155">
        <v>30</v>
      </c>
    </row>
    <row r="156" spans="1:15">
      <c r="A156" s="29" t="e">
        <f>C156&amp;"_"&amp;F156&amp;"_"&amp;#REF!</f>
        <v>#REF!</v>
      </c>
      <c r="B156" s="27" t="s">
        <v>32</v>
      </c>
      <c r="C156" s="5">
        <v>13001</v>
      </c>
      <c r="D156" s="4" t="str">
        <f ca="1">VLOOKUP($C156,OFFSET([1]quests!$A$1,0,0,COUNTA([1]quests!$A:$A),MATCH(D$1,[1]quests!$1:$1,0)-MATCH($C$1,[1]quests!$1:$1,0)+1),MATCH(D$1,[1]quests!$1:$1,0)-MATCH($C$1,[1]quests!$1:$1,0)+1,FALSE)</f>
        <v>チャレンジタワー(ソロ専用)</v>
      </c>
      <c r="E156" s="4" t="str">
        <f ca="1">VLOOKUP($C156,OFFSET([1]quests!$A$1,0,0,COUNTA([1]quests!$A:$A),MATCH(E$1,[1]quests!$1:$1,0)-MATCH($C$1,[1]quests!$1:$1,0)+1),MATCH(E$1,[1]quests!$1:$1,0)-MATCH($C$1,[1]quests!$1:$1,0)+1,FALSE)</f>
        <v>試練の塔</v>
      </c>
      <c r="F156" s="6">
        <v>9</v>
      </c>
      <c r="G156" s="4" t="str">
        <f ca="1">VLOOKUP($C156&amp;"_"&amp;$F156,OFFSET([1]stages!$A$1,0,0,COUNTA([1]stages!$A:$A),MATCH(G$1,[1]stages!$2:$2,0)-MATCH("temp_stage",[1]stages!$2:$2,0)+1),MATCH(G$1,[1]stages!$2:$2,0)-MATCH("temp_stage",[1]stages!$2:$2,0)+1,FALSE)</f>
        <v>チャレンジタワー 9F</v>
      </c>
      <c r="H156" s="4" t="str">
        <f ca="1">VLOOKUP($C156&amp;"_"&amp;$F156,OFFSET([1]stages!$A$1,0,0,COUNTA([1]stages!$A:$A),MATCH(H$1,[1]stages!$2:$2,0)-MATCH("temp_stage",[1]stages!$2:$2,0)+1),MATCH(H$1,[1]stages!$2:$2,0)-MATCH("temp_stage",[1]stages!$2:$2,0)+1,FALSE)</f>
        <v>試練の塔</v>
      </c>
      <c r="I156" s="19">
        <v>0</v>
      </c>
      <c r="J156">
        <v>31</v>
      </c>
      <c r="K156" s="6" t="s">
        <v>33</v>
      </c>
      <c r="L156" s="32" t="str">
        <f>VLOOKUP(J156,[2]stage_hints!$A:$C,3,FALSE)</f>
        <v>イベントを見逃すな！</v>
      </c>
      <c r="M156" s="33" t="str">
        <f>VLOOKUP(J156,[2]stage_hints!$A:$D,4,FALSE)</f>
        <v>特定のイベントでしか入手できない_x000D_ユニットがいるようです</v>
      </c>
      <c r="N156" s="22" t="s">
        <v>94</v>
      </c>
      <c r="O156">
        <v>31</v>
      </c>
    </row>
    <row r="157" spans="1:15">
      <c r="A157" s="29" t="e">
        <f>C157&amp;"_"&amp;F157&amp;"_"&amp;#REF!</f>
        <v>#REF!</v>
      </c>
      <c r="B157" s="27" t="s">
        <v>32</v>
      </c>
      <c r="C157" s="5">
        <v>13001</v>
      </c>
      <c r="D157" s="4" t="str">
        <f ca="1">VLOOKUP($C157,OFFSET([1]quests!$A$1,0,0,COUNTA([1]quests!$A:$A),MATCH(D$1,[1]quests!$1:$1,0)-MATCH($C$1,[1]quests!$1:$1,0)+1),MATCH(D$1,[1]quests!$1:$1,0)-MATCH($C$1,[1]quests!$1:$1,0)+1,FALSE)</f>
        <v>チャレンジタワー(ソロ専用)</v>
      </c>
      <c r="E157" s="4" t="str">
        <f ca="1">VLOOKUP($C157,OFFSET([1]quests!$A$1,0,0,COUNTA([1]quests!$A:$A),MATCH(E$1,[1]quests!$1:$1,0)-MATCH($C$1,[1]quests!$1:$1,0)+1),MATCH(E$1,[1]quests!$1:$1,0)-MATCH($C$1,[1]quests!$1:$1,0)+1,FALSE)</f>
        <v>試練の塔</v>
      </c>
      <c r="F157" s="6">
        <v>9</v>
      </c>
      <c r="G157" s="4" t="str">
        <f ca="1">VLOOKUP($C157&amp;"_"&amp;$F157,OFFSET([1]stages!$A$1,0,0,COUNTA([1]stages!$A:$A),MATCH(G$1,[1]stages!$2:$2,0)-MATCH("temp_stage",[1]stages!$2:$2,0)+1),MATCH(G$1,[1]stages!$2:$2,0)-MATCH("temp_stage",[1]stages!$2:$2,0)+1,FALSE)</f>
        <v>チャレンジタワー 9F</v>
      </c>
      <c r="H157" s="4" t="str">
        <f ca="1">VLOOKUP($C157&amp;"_"&amp;$F157,OFFSET([1]stages!$A$1,0,0,COUNTA([1]stages!$A:$A),MATCH(H$1,[1]stages!$2:$2,0)-MATCH("temp_stage",[1]stages!$2:$2,0)+1),MATCH(H$1,[1]stages!$2:$2,0)-MATCH("temp_stage",[1]stages!$2:$2,0)+1,FALSE)</f>
        <v>試練の塔</v>
      </c>
      <c r="I157" s="19">
        <v>0</v>
      </c>
      <c r="J157">
        <v>38</v>
      </c>
      <c r="K157" s="6" t="s">
        <v>33</v>
      </c>
      <c r="L157" s="32" t="str">
        <f>VLOOKUP(J157,[2]stage_hints!$A:$C,3,FALSE)</f>
        <v>お邪魔はフィーバーで落とせ！</v>
      </c>
      <c r="M157" s="33" t="str">
        <f>VLOOKUP(J157,[2]stage_hints!$A:$D,4,FALSE)</f>
        <v>消せない「お邪魔パネル」は_x000D_フィーバーで落としてしまいましょう</v>
      </c>
      <c r="N157" s="22" t="s">
        <v>39</v>
      </c>
      <c r="O157">
        <v>38</v>
      </c>
    </row>
    <row r="158" spans="1:15">
      <c r="A158" s="29" t="e">
        <f>C158&amp;"_"&amp;F158&amp;"_"&amp;#REF!</f>
        <v>#REF!</v>
      </c>
      <c r="B158" s="27" t="s">
        <v>32</v>
      </c>
      <c r="C158" s="5">
        <v>13001</v>
      </c>
      <c r="D158" s="4" t="str">
        <f ca="1">VLOOKUP($C158,OFFSET([1]quests!$A$1,0,0,COUNTA([1]quests!$A:$A),MATCH(D$1,[1]quests!$1:$1,0)-MATCH($C$1,[1]quests!$1:$1,0)+1),MATCH(D$1,[1]quests!$1:$1,0)-MATCH($C$1,[1]quests!$1:$1,0)+1,FALSE)</f>
        <v>チャレンジタワー(ソロ専用)</v>
      </c>
      <c r="E158" s="4" t="str">
        <f ca="1">VLOOKUP($C158,OFFSET([1]quests!$A$1,0,0,COUNTA([1]quests!$A:$A),MATCH(E$1,[1]quests!$1:$1,0)-MATCH($C$1,[1]quests!$1:$1,0)+1),MATCH(E$1,[1]quests!$1:$1,0)-MATCH($C$1,[1]quests!$1:$1,0)+1,FALSE)</f>
        <v>試練の塔</v>
      </c>
      <c r="F158" s="6">
        <v>10</v>
      </c>
      <c r="G158" s="4" t="str">
        <f ca="1">VLOOKUP($C158&amp;"_"&amp;$F158,OFFSET([1]stages!$A$1,0,0,COUNTA([1]stages!$A:$A),MATCH(G$1,[1]stages!$2:$2,0)-MATCH("temp_stage",[1]stages!$2:$2,0)+1),MATCH(G$1,[1]stages!$2:$2,0)-MATCH("temp_stage",[1]stages!$2:$2,0)+1,FALSE)</f>
        <v>チャレンジタワー 10F</v>
      </c>
      <c r="H158" s="4" t="str">
        <f ca="1">VLOOKUP($C158&amp;"_"&amp;$F158,OFFSET([1]stages!$A$1,0,0,COUNTA([1]stages!$A:$A),MATCH(H$1,[1]stages!$2:$2,0)-MATCH("temp_stage",[1]stages!$2:$2,0)+1),MATCH(H$1,[1]stages!$2:$2,0)-MATCH("temp_stage",[1]stages!$2:$2,0)+1,FALSE)</f>
        <v>試練の塔</v>
      </c>
      <c r="I158" s="19">
        <v>0</v>
      </c>
      <c r="J158">
        <v>3</v>
      </c>
      <c r="K158" s="6" t="s">
        <v>115</v>
      </c>
      <c r="L158" s="32" t="str">
        <f>VLOOKUP(J158,[2]stage_hints!$A:$C,3,FALSE)</f>
        <v>ターゲット</v>
      </c>
      <c r="M158" s="33" t="str">
        <f>VLOOKUP(J158,[2]stage_hints!$A:$D,4,FALSE)</f>
        <v>敵ユニットをタップすると_x000D_その敵を狙い撃ちできます</v>
      </c>
      <c r="N158" s="22" t="s">
        <v>116</v>
      </c>
      <c r="O158">
        <v>3</v>
      </c>
    </row>
    <row r="159" spans="1:15">
      <c r="A159" s="29" t="e">
        <f>C159&amp;"_"&amp;F159&amp;"_"&amp;#REF!</f>
        <v>#REF!</v>
      </c>
      <c r="B159" s="27" t="s">
        <v>32</v>
      </c>
      <c r="C159" s="5">
        <v>13001</v>
      </c>
      <c r="D159" s="4" t="str">
        <f ca="1">VLOOKUP($C159,OFFSET([1]quests!$A$1,0,0,COUNTA([1]quests!$A:$A),MATCH(D$1,[1]quests!$1:$1,0)-MATCH($C$1,[1]quests!$1:$1,0)+1),MATCH(D$1,[1]quests!$1:$1,0)-MATCH($C$1,[1]quests!$1:$1,0)+1,FALSE)</f>
        <v>チャレンジタワー(ソロ専用)</v>
      </c>
      <c r="E159" s="4" t="str">
        <f ca="1">VLOOKUP($C159,OFFSET([1]quests!$A$1,0,0,COUNTA([1]quests!$A:$A),MATCH(E$1,[1]quests!$1:$1,0)-MATCH($C$1,[1]quests!$1:$1,0)+1),MATCH(E$1,[1]quests!$1:$1,0)-MATCH($C$1,[1]quests!$1:$1,0)+1,FALSE)</f>
        <v>試練の塔</v>
      </c>
      <c r="F159" s="6">
        <v>10</v>
      </c>
      <c r="G159" s="4" t="str">
        <f ca="1">VLOOKUP($C159&amp;"_"&amp;$F159,OFFSET([1]stages!$A$1,0,0,COUNTA([1]stages!$A:$A),MATCH(G$1,[1]stages!$2:$2,0)-MATCH("temp_stage",[1]stages!$2:$2,0)+1),MATCH(G$1,[1]stages!$2:$2,0)-MATCH("temp_stage",[1]stages!$2:$2,0)+1,FALSE)</f>
        <v>チャレンジタワー 10F</v>
      </c>
      <c r="H159" s="4" t="str">
        <f ca="1">VLOOKUP($C159&amp;"_"&amp;$F159,OFFSET([1]stages!$A$1,0,0,COUNTA([1]stages!$A:$A),MATCH(H$1,[1]stages!$2:$2,0)-MATCH("temp_stage",[1]stages!$2:$2,0)+1),MATCH(H$1,[1]stages!$2:$2,0)-MATCH("temp_stage",[1]stages!$2:$2,0)+1,FALSE)</f>
        <v>試練の塔</v>
      </c>
      <c r="I159" s="19">
        <v>0</v>
      </c>
      <c r="J159">
        <v>5</v>
      </c>
      <c r="K159" s="6" t="s">
        <v>33</v>
      </c>
      <c r="L159" s="32" t="str">
        <f>VLOOKUP(J159,[2]stage_hints!$A:$C,3,FALSE)</f>
        <v>ユニット強化</v>
      </c>
      <c r="M159" s="33" t="str">
        <f>VLOOKUP(J159,[2]stage_hints!$A:$D,4,FALSE)</f>
        <v>「ユニット強化」でレベルアップすると_x000D_勝てない敵にも勝てるようになります</v>
      </c>
      <c r="N159" s="22" t="s">
        <v>84</v>
      </c>
      <c r="O159">
        <v>5</v>
      </c>
    </row>
    <row r="160" spans="1:15">
      <c r="A160" s="29" t="e">
        <f>C160&amp;"_"&amp;F160&amp;"_"&amp;#REF!</f>
        <v>#REF!</v>
      </c>
      <c r="B160" s="27" t="s">
        <v>32</v>
      </c>
      <c r="C160" s="5">
        <v>13001</v>
      </c>
      <c r="D160" s="4" t="str">
        <f ca="1">VLOOKUP($C160,OFFSET([1]quests!$A$1,0,0,COUNTA([1]quests!$A:$A),MATCH(D$1,[1]quests!$1:$1,0)-MATCH($C$1,[1]quests!$1:$1,0)+1),MATCH(D$1,[1]quests!$1:$1,0)-MATCH($C$1,[1]quests!$1:$1,0)+1,FALSE)</f>
        <v>チャレンジタワー(ソロ専用)</v>
      </c>
      <c r="E160" s="4" t="str">
        <f ca="1">VLOOKUP($C160,OFFSET([1]quests!$A$1,0,0,COUNTA([1]quests!$A:$A),MATCH(E$1,[1]quests!$1:$1,0)-MATCH($C$1,[1]quests!$1:$1,0)+1),MATCH(E$1,[1]quests!$1:$1,0)-MATCH($C$1,[1]quests!$1:$1,0)+1,FALSE)</f>
        <v>試練の塔</v>
      </c>
      <c r="F160" s="6">
        <v>10</v>
      </c>
      <c r="G160" s="4" t="str">
        <f ca="1">VLOOKUP($C160&amp;"_"&amp;$F160,OFFSET([1]stages!$A$1,0,0,COUNTA([1]stages!$A:$A),MATCH(G$1,[1]stages!$2:$2,0)-MATCH("temp_stage",[1]stages!$2:$2,0)+1),MATCH(G$1,[1]stages!$2:$2,0)-MATCH("temp_stage",[1]stages!$2:$2,0)+1,FALSE)</f>
        <v>チャレンジタワー 10F</v>
      </c>
      <c r="H160" s="4" t="str">
        <f ca="1">VLOOKUP($C160&amp;"_"&amp;$F160,OFFSET([1]stages!$A$1,0,0,COUNTA([1]stages!$A:$A),MATCH(H$1,[1]stages!$2:$2,0)-MATCH("temp_stage",[1]stages!$2:$2,0)+1),MATCH(H$1,[1]stages!$2:$2,0)-MATCH("temp_stage",[1]stages!$2:$2,0)+1,FALSE)</f>
        <v>試練の塔</v>
      </c>
      <c r="I160" s="19">
        <v>0</v>
      </c>
      <c r="J160">
        <v>6</v>
      </c>
      <c r="K160" s="6" t="s">
        <v>115</v>
      </c>
      <c r="L160" s="32" t="str">
        <f>VLOOKUP(J160,[2]stage_hints!$A:$C,3,FALSE)</f>
        <v>強化の属性ボーナス</v>
      </c>
      <c r="M160" s="33" t="str">
        <f>VLOOKUP(J160,[2]stage_hints!$A:$D,4,FALSE)</f>
        <v>同属性ユニットを強化素材にすると_x000D_経験値が多くもらえます</v>
      </c>
      <c r="N160" s="22" t="s">
        <v>56</v>
      </c>
      <c r="O160">
        <v>6</v>
      </c>
    </row>
    <row r="161" spans="1:15">
      <c r="A161" s="29" t="e">
        <f>C161&amp;"_"&amp;F161&amp;"_"&amp;#REF!</f>
        <v>#REF!</v>
      </c>
      <c r="B161" s="27" t="s">
        <v>32</v>
      </c>
      <c r="C161" s="5">
        <v>13001</v>
      </c>
      <c r="D161" s="4" t="str">
        <f ca="1">VLOOKUP($C161,OFFSET([1]quests!$A$1,0,0,COUNTA([1]quests!$A:$A),MATCH(D$1,[1]quests!$1:$1,0)-MATCH($C$1,[1]quests!$1:$1,0)+1),MATCH(D$1,[1]quests!$1:$1,0)-MATCH($C$1,[1]quests!$1:$1,0)+1,FALSE)</f>
        <v>チャレンジタワー(ソロ専用)</v>
      </c>
      <c r="E161" s="4" t="str">
        <f ca="1">VLOOKUP($C161,OFFSET([1]quests!$A$1,0,0,COUNTA([1]quests!$A:$A),MATCH(E$1,[1]quests!$1:$1,0)-MATCH($C$1,[1]quests!$1:$1,0)+1),MATCH(E$1,[1]quests!$1:$1,0)-MATCH($C$1,[1]quests!$1:$1,0)+1,FALSE)</f>
        <v>試練の塔</v>
      </c>
      <c r="F161" s="6">
        <v>10</v>
      </c>
      <c r="G161" s="4" t="str">
        <f ca="1">VLOOKUP($C161&amp;"_"&amp;$F161,OFFSET([1]stages!$A$1,0,0,COUNTA([1]stages!$A:$A),MATCH(G$1,[1]stages!$2:$2,0)-MATCH("temp_stage",[1]stages!$2:$2,0)+1),MATCH(G$1,[1]stages!$2:$2,0)-MATCH("temp_stage",[1]stages!$2:$2,0)+1,FALSE)</f>
        <v>チャレンジタワー 10F</v>
      </c>
      <c r="H161" s="4" t="str">
        <f ca="1">VLOOKUP($C161&amp;"_"&amp;$F161,OFFSET([1]stages!$A$1,0,0,COUNTA([1]stages!$A:$A),MATCH(H$1,[1]stages!$2:$2,0)-MATCH("temp_stage",[1]stages!$2:$2,0)+1),MATCH(H$1,[1]stages!$2:$2,0)-MATCH("temp_stage",[1]stages!$2:$2,0)+1,FALSE)</f>
        <v>試練の塔</v>
      </c>
      <c r="I161" s="19">
        <v>0</v>
      </c>
      <c r="J161">
        <v>7</v>
      </c>
      <c r="K161" s="6" t="s">
        <v>33</v>
      </c>
      <c r="L161" s="32" t="str">
        <f>VLOOKUP(J161,[2]stage_hints!$A:$C,3,FALSE)</f>
        <v>メタルダックをつかって強化しよう！</v>
      </c>
      <c r="M161" s="33" t="str">
        <f>VLOOKUP(J161,[2]stage_hints!$A:$D,4,FALSE)</f>
        <v>「メタルなアヒル」を強化素材にすると_x000D_大量の経験値がもらえます</v>
      </c>
      <c r="N161" s="22" t="s">
        <v>59</v>
      </c>
      <c r="O161">
        <v>7</v>
      </c>
    </row>
    <row r="162" spans="1:15">
      <c r="A162" s="29" t="e">
        <f>C162&amp;"_"&amp;F162&amp;"_"&amp;#REF!</f>
        <v>#REF!</v>
      </c>
      <c r="B162" s="27" t="s">
        <v>32</v>
      </c>
      <c r="C162" s="5">
        <v>13001</v>
      </c>
      <c r="D162" s="4" t="str">
        <f ca="1">VLOOKUP($C162,OFFSET([1]quests!$A$1,0,0,COUNTA([1]quests!$A:$A),MATCH(D$1,[1]quests!$1:$1,0)-MATCH($C$1,[1]quests!$1:$1,0)+1),MATCH(D$1,[1]quests!$1:$1,0)-MATCH($C$1,[1]quests!$1:$1,0)+1,FALSE)</f>
        <v>チャレンジタワー(ソロ専用)</v>
      </c>
      <c r="E162" s="4" t="str">
        <f ca="1">VLOOKUP($C162,OFFSET([1]quests!$A$1,0,0,COUNTA([1]quests!$A:$A),MATCH(E$1,[1]quests!$1:$1,0)-MATCH($C$1,[1]quests!$1:$1,0)+1),MATCH(E$1,[1]quests!$1:$1,0)-MATCH($C$1,[1]quests!$1:$1,0)+1,FALSE)</f>
        <v>試練の塔</v>
      </c>
      <c r="F162" s="6">
        <v>10</v>
      </c>
      <c r="G162" s="4" t="str">
        <f ca="1">VLOOKUP($C162&amp;"_"&amp;$F162,OFFSET([1]stages!$A$1,0,0,COUNTA([1]stages!$A:$A),MATCH(G$1,[1]stages!$2:$2,0)-MATCH("temp_stage",[1]stages!$2:$2,0)+1),MATCH(G$1,[1]stages!$2:$2,0)-MATCH("temp_stage",[1]stages!$2:$2,0)+1,FALSE)</f>
        <v>チャレンジタワー 10F</v>
      </c>
      <c r="H162" s="4" t="str">
        <f ca="1">VLOOKUP($C162&amp;"_"&amp;$F162,OFFSET([1]stages!$A$1,0,0,COUNTA([1]stages!$A:$A),MATCH(H$1,[1]stages!$2:$2,0)-MATCH("temp_stage",[1]stages!$2:$2,0)+1),MATCH(H$1,[1]stages!$2:$2,0)-MATCH("temp_stage",[1]stages!$2:$2,0)+1,FALSE)</f>
        <v>試練の塔</v>
      </c>
      <c r="I162" s="19">
        <v>0</v>
      </c>
      <c r="J162">
        <v>8</v>
      </c>
      <c r="K162" s="6" t="s">
        <v>115</v>
      </c>
      <c r="L162" s="32" t="str">
        <f>VLOOKUP(J162,[2]stage_hints!$A:$C,3,FALSE)</f>
        <v>ゲリラを見逃すな！</v>
      </c>
      <c r="M162" s="33" t="str">
        <f>VLOOKUP(J162,[2]stage_hints!$A:$D,4,FALSE)</f>
        <v>時間限定の「【緊急!!】アヒル捕獲作戦」では_x000D_経験値素材ユニットが多く手に入ります</v>
      </c>
      <c r="N162" s="22" t="s">
        <v>42</v>
      </c>
      <c r="O162">
        <v>8</v>
      </c>
    </row>
    <row r="163" spans="1:15">
      <c r="A163" s="29" t="e">
        <f>C163&amp;"_"&amp;F163&amp;"_"&amp;#REF!</f>
        <v>#REF!</v>
      </c>
      <c r="B163" s="27" t="s">
        <v>32</v>
      </c>
      <c r="C163" s="5">
        <v>13001</v>
      </c>
      <c r="D163" s="4" t="str">
        <f ca="1">VLOOKUP($C163,OFFSET([1]quests!$A$1,0,0,COUNTA([1]quests!$A:$A),MATCH(D$1,[1]quests!$1:$1,0)-MATCH($C$1,[1]quests!$1:$1,0)+1),MATCH(D$1,[1]quests!$1:$1,0)-MATCH($C$1,[1]quests!$1:$1,0)+1,FALSE)</f>
        <v>チャレンジタワー(ソロ専用)</v>
      </c>
      <c r="E163" s="4" t="str">
        <f ca="1">VLOOKUP($C163,OFFSET([1]quests!$A$1,0,0,COUNTA([1]quests!$A:$A),MATCH(E$1,[1]quests!$1:$1,0)-MATCH($C$1,[1]quests!$1:$1,0)+1),MATCH(E$1,[1]quests!$1:$1,0)-MATCH($C$1,[1]quests!$1:$1,0)+1,FALSE)</f>
        <v>試練の塔</v>
      </c>
      <c r="F163" s="6">
        <v>10</v>
      </c>
      <c r="G163" s="4" t="str">
        <f ca="1">VLOOKUP($C163&amp;"_"&amp;$F163,OFFSET([1]stages!$A$1,0,0,COUNTA([1]stages!$A:$A),MATCH(G$1,[1]stages!$2:$2,0)-MATCH("temp_stage",[1]stages!$2:$2,0)+1),MATCH(G$1,[1]stages!$2:$2,0)-MATCH("temp_stage",[1]stages!$2:$2,0)+1,FALSE)</f>
        <v>チャレンジタワー 10F</v>
      </c>
      <c r="H163" s="4" t="str">
        <f ca="1">VLOOKUP($C163&amp;"_"&amp;$F163,OFFSET([1]stages!$A$1,0,0,COUNTA([1]stages!$A:$A),MATCH(H$1,[1]stages!$2:$2,0)-MATCH("temp_stage",[1]stages!$2:$2,0)+1),MATCH(H$1,[1]stages!$2:$2,0)-MATCH("temp_stage",[1]stages!$2:$2,0)+1,FALSE)</f>
        <v>試練の塔</v>
      </c>
      <c r="I163" s="19">
        <v>0</v>
      </c>
      <c r="J163">
        <v>9</v>
      </c>
      <c r="K163" s="6" t="s">
        <v>33</v>
      </c>
      <c r="L163" s="32" t="str">
        <f>VLOOKUP(J163,[2]stage_hints!$A:$C,3,FALSE)</f>
        <v>ゴールドダックを売却すると大量ビット</v>
      </c>
      <c r="M163" s="33" t="str">
        <f>VLOOKUP(J163,[2]stage_hints!$A:$D,4,FALSE)</f>
        <v>「ゴールドなアヒル」を売却すると_x000D_大量のビットがもらえます</v>
      </c>
      <c r="N163" s="22" t="s">
        <v>66</v>
      </c>
      <c r="O163">
        <v>9</v>
      </c>
    </row>
    <row r="164" spans="1:15">
      <c r="A164" s="29" t="e">
        <f>C164&amp;"_"&amp;F164&amp;"_"&amp;#REF!</f>
        <v>#REF!</v>
      </c>
      <c r="B164" s="27" t="s">
        <v>32</v>
      </c>
      <c r="C164" s="5">
        <v>13001</v>
      </c>
      <c r="D164" s="4" t="str">
        <f ca="1">VLOOKUP($C164,OFFSET([1]quests!$A$1,0,0,COUNTA([1]quests!$A:$A),MATCH(D$1,[1]quests!$1:$1,0)-MATCH($C$1,[1]quests!$1:$1,0)+1),MATCH(D$1,[1]quests!$1:$1,0)-MATCH($C$1,[1]quests!$1:$1,0)+1,FALSE)</f>
        <v>チャレンジタワー(ソロ専用)</v>
      </c>
      <c r="E164" s="4" t="str">
        <f ca="1">VLOOKUP($C164,OFFSET([1]quests!$A$1,0,0,COUNTA([1]quests!$A:$A),MATCH(E$1,[1]quests!$1:$1,0)-MATCH($C$1,[1]quests!$1:$1,0)+1),MATCH(E$1,[1]quests!$1:$1,0)-MATCH($C$1,[1]quests!$1:$1,0)+1,FALSE)</f>
        <v>試練の塔</v>
      </c>
      <c r="F164" s="6">
        <v>10</v>
      </c>
      <c r="G164" s="4" t="str">
        <f ca="1">VLOOKUP($C164&amp;"_"&amp;$F164,OFFSET([1]stages!$A$1,0,0,COUNTA([1]stages!$A:$A),MATCH(G$1,[1]stages!$2:$2,0)-MATCH("temp_stage",[1]stages!$2:$2,0)+1),MATCH(G$1,[1]stages!$2:$2,0)-MATCH("temp_stage",[1]stages!$2:$2,0)+1,FALSE)</f>
        <v>チャレンジタワー 10F</v>
      </c>
      <c r="H164" s="4" t="str">
        <f ca="1">VLOOKUP($C164&amp;"_"&amp;$F164,OFFSET([1]stages!$A$1,0,0,COUNTA([1]stages!$A:$A),MATCH(H$1,[1]stages!$2:$2,0)-MATCH("temp_stage",[1]stages!$2:$2,0)+1),MATCH(H$1,[1]stages!$2:$2,0)-MATCH("temp_stage",[1]stages!$2:$2,0)+1,FALSE)</f>
        <v>試練の塔</v>
      </c>
      <c r="I164" s="19">
        <v>0</v>
      </c>
      <c r="J164">
        <v>10</v>
      </c>
      <c r="K164" s="6" t="s">
        <v>115</v>
      </c>
      <c r="L164" s="32" t="str">
        <f>VLOOKUP(J164,[2]stage_hints!$A:$C,3,FALSE)</f>
        <v>土日クエストで大量ビットをGET！！</v>
      </c>
      <c r="M164" s="33" t="str">
        <f>VLOOKUP(J164,[2]stage_hints!$A:$D,4,FALSE)</f>
        <v>土日限定の「ゴールドカジノ」では_x000D_売却素材ユニットが多く手に入ります</v>
      </c>
      <c r="N164" s="22" t="s">
        <v>117</v>
      </c>
      <c r="O164">
        <v>10</v>
      </c>
    </row>
    <row r="165" spans="1:15">
      <c r="A165" s="29" t="e">
        <f>C165&amp;"_"&amp;F165&amp;"_"&amp;#REF!</f>
        <v>#REF!</v>
      </c>
      <c r="B165" s="27" t="s">
        <v>32</v>
      </c>
      <c r="C165" s="5">
        <v>13001</v>
      </c>
      <c r="D165" s="4" t="str">
        <f ca="1">VLOOKUP($C165,OFFSET([1]quests!$A$1,0,0,COUNTA([1]quests!$A:$A),MATCH(D$1,[1]quests!$1:$1,0)-MATCH($C$1,[1]quests!$1:$1,0)+1),MATCH(D$1,[1]quests!$1:$1,0)-MATCH($C$1,[1]quests!$1:$1,0)+1,FALSE)</f>
        <v>チャレンジタワー(ソロ専用)</v>
      </c>
      <c r="E165" s="4" t="str">
        <f ca="1">VLOOKUP($C165,OFFSET([1]quests!$A$1,0,0,COUNTA([1]quests!$A:$A),MATCH(E$1,[1]quests!$1:$1,0)-MATCH($C$1,[1]quests!$1:$1,0)+1),MATCH(E$1,[1]quests!$1:$1,0)-MATCH($C$1,[1]quests!$1:$1,0)+1,FALSE)</f>
        <v>試練の塔</v>
      </c>
      <c r="F165" s="6">
        <v>10</v>
      </c>
      <c r="G165" s="4" t="str">
        <f ca="1">VLOOKUP($C165&amp;"_"&amp;$F165,OFFSET([1]stages!$A$1,0,0,COUNTA([1]stages!$A:$A),MATCH(G$1,[1]stages!$2:$2,0)-MATCH("temp_stage",[1]stages!$2:$2,0)+1),MATCH(G$1,[1]stages!$2:$2,0)-MATCH("temp_stage",[1]stages!$2:$2,0)+1,FALSE)</f>
        <v>チャレンジタワー 10F</v>
      </c>
      <c r="H165" s="4" t="str">
        <f ca="1">VLOOKUP($C165&amp;"_"&amp;$F165,OFFSET([1]stages!$A$1,0,0,COUNTA([1]stages!$A:$A),MATCH(H$1,[1]stages!$2:$2,0)-MATCH("temp_stage",[1]stages!$2:$2,0)+1),MATCH(H$1,[1]stages!$2:$2,0)-MATCH("temp_stage",[1]stages!$2:$2,0)+1,FALSE)</f>
        <v>試練の塔</v>
      </c>
      <c r="I165" s="19">
        <v>0</v>
      </c>
      <c r="J165">
        <v>11</v>
      </c>
      <c r="K165" s="6" t="s">
        <v>33</v>
      </c>
      <c r="L165" s="32" t="str">
        <f>VLOOKUP(J165,[2]stage_hints!$A:$C,3,FALSE)</f>
        <v>ランク開放クエスト</v>
      </c>
      <c r="M165" s="33" t="str">
        <f>VLOOKUP(J165,[2]stage_hints!$A:$D,4,FALSE)</f>
        <v>一定ランクに到達すると_x000D_報酬付きのランク開放クエストが現れます</v>
      </c>
      <c r="N165" s="22" t="s">
        <v>52</v>
      </c>
      <c r="O165">
        <v>11</v>
      </c>
    </row>
    <row r="166" spans="1:15">
      <c r="A166" s="29" t="e">
        <f>C166&amp;"_"&amp;F166&amp;"_"&amp;#REF!</f>
        <v>#REF!</v>
      </c>
      <c r="B166" s="27" t="s">
        <v>32</v>
      </c>
      <c r="C166" s="5">
        <v>13001</v>
      </c>
      <c r="D166" s="4" t="str">
        <f ca="1">VLOOKUP($C166,OFFSET([1]quests!$A$1,0,0,COUNTA([1]quests!$A:$A),MATCH(D$1,[1]quests!$1:$1,0)-MATCH($C$1,[1]quests!$1:$1,0)+1),MATCH(D$1,[1]quests!$1:$1,0)-MATCH($C$1,[1]quests!$1:$1,0)+1,FALSE)</f>
        <v>チャレンジタワー(ソロ専用)</v>
      </c>
      <c r="E166" s="4" t="str">
        <f ca="1">VLOOKUP($C166,OFFSET([1]quests!$A$1,0,0,COUNTA([1]quests!$A:$A),MATCH(E$1,[1]quests!$1:$1,0)-MATCH($C$1,[1]quests!$1:$1,0)+1),MATCH(E$1,[1]quests!$1:$1,0)-MATCH($C$1,[1]quests!$1:$1,0)+1,FALSE)</f>
        <v>試練の塔</v>
      </c>
      <c r="F166" s="6">
        <v>10</v>
      </c>
      <c r="G166" s="4" t="str">
        <f ca="1">VLOOKUP($C166&amp;"_"&amp;$F166,OFFSET([1]stages!$A$1,0,0,COUNTA([1]stages!$A:$A),MATCH(G$1,[1]stages!$2:$2,0)-MATCH("temp_stage",[1]stages!$2:$2,0)+1),MATCH(G$1,[1]stages!$2:$2,0)-MATCH("temp_stage",[1]stages!$2:$2,0)+1,FALSE)</f>
        <v>チャレンジタワー 10F</v>
      </c>
      <c r="H166" s="4" t="str">
        <f ca="1">VLOOKUP($C166&amp;"_"&amp;$F166,OFFSET([1]stages!$A$1,0,0,COUNTA([1]stages!$A:$A),MATCH(H$1,[1]stages!$2:$2,0)-MATCH("temp_stage",[1]stages!$2:$2,0)+1),MATCH(H$1,[1]stages!$2:$2,0)-MATCH("temp_stage",[1]stages!$2:$2,0)+1,FALSE)</f>
        <v>試練の塔</v>
      </c>
      <c r="I166" s="19">
        <v>0</v>
      </c>
      <c r="J166">
        <v>12</v>
      </c>
      <c r="K166" s="6" t="s">
        <v>115</v>
      </c>
      <c r="L166" s="32" t="str">
        <f>VLOOKUP(J166,[2]stage_hints!$A:$C,3,FALSE)</f>
        <v>お気に入り登録</v>
      </c>
      <c r="M166" s="33" t="str">
        <f>VLOOKUP(J166,[2]stage_hints!$A:$D,4,FALSE)</f>
        <v>大事なユニットは_x000D_フォルダから「お気に入り登録」しましょう</v>
      </c>
      <c r="N166" s="22" t="s">
        <v>117</v>
      </c>
      <c r="O166">
        <v>12</v>
      </c>
    </row>
    <row r="167" spans="1:15">
      <c r="A167" s="29" t="e">
        <f>C167&amp;"_"&amp;F167&amp;"_"&amp;#REF!</f>
        <v>#REF!</v>
      </c>
      <c r="B167" s="27" t="s">
        <v>32</v>
      </c>
      <c r="C167" s="5">
        <v>13001</v>
      </c>
      <c r="D167" s="4" t="str">
        <f ca="1">VLOOKUP($C167,OFFSET([1]quests!$A$1,0,0,COUNTA([1]quests!$A:$A),MATCH(D$1,[1]quests!$1:$1,0)-MATCH($C$1,[1]quests!$1:$1,0)+1),MATCH(D$1,[1]quests!$1:$1,0)-MATCH($C$1,[1]quests!$1:$1,0)+1,FALSE)</f>
        <v>チャレンジタワー(ソロ専用)</v>
      </c>
      <c r="E167" s="4" t="str">
        <f ca="1">VLOOKUP($C167,OFFSET([1]quests!$A$1,0,0,COUNTA([1]quests!$A:$A),MATCH(E$1,[1]quests!$1:$1,0)-MATCH($C$1,[1]quests!$1:$1,0)+1),MATCH(E$1,[1]quests!$1:$1,0)-MATCH($C$1,[1]quests!$1:$1,0)+1,FALSE)</f>
        <v>試練の塔</v>
      </c>
      <c r="F167" s="6">
        <v>10</v>
      </c>
      <c r="G167" s="4" t="str">
        <f ca="1">VLOOKUP($C167&amp;"_"&amp;$F167,OFFSET([1]stages!$A$1,0,0,COUNTA([1]stages!$A:$A),MATCH(G$1,[1]stages!$2:$2,0)-MATCH("temp_stage",[1]stages!$2:$2,0)+1),MATCH(G$1,[1]stages!$2:$2,0)-MATCH("temp_stage",[1]stages!$2:$2,0)+1,FALSE)</f>
        <v>チャレンジタワー 10F</v>
      </c>
      <c r="H167" s="4" t="str">
        <f ca="1">VLOOKUP($C167&amp;"_"&amp;$F167,OFFSET([1]stages!$A$1,0,0,COUNTA([1]stages!$A:$A),MATCH(H$1,[1]stages!$2:$2,0)-MATCH("temp_stage",[1]stages!$2:$2,0)+1),MATCH(H$1,[1]stages!$2:$2,0)-MATCH("temp_stage",[1]stages!$2:$2,0)+1,FALSE)</f>
        <v>試練の塔</v>
      </c>
      <c r="I167" s="19">
        <v>0</v>
      </c>
      <c r="J167">
        <v>13</v>
      </c>
      <c r="K167" s="6" t="s">
        <v>33</v>
      </c>
      <c r="L167" s="32" t="str">
        <f>VLOOKUP(J167,[2]stage_hints!$A:$C,3,FALSE)</f>
        <v>ユニットを覚醒させよう！</v>
      </c>
      <c r="M167" s="33" t="str">
        <f>VLOOKUP(J167,[2]stage_hints!$A:$D,4,FALSE)</f>
        <v>ユニットを覚醒させると_x000D_比べものにならない強さが手に入ります</v>
      </c>
      <c r="N167" s="22" t="s">
        <v>55</v>
      </c>
      <c r="O167">
        <v>13</v>
      </c>
    </row>
    <row r="168" spans="1:15">
      <c r="A168" s="29" t="e">
        <f>C168&amp;"_"&amp;F168&amp;"_"&amp;#REF!</f>
        <v>#REF!</v>
      </c>
      <c r="B168" s="27" t="s">
        <v>32</v>
      </c>
      <c r="C168" s="5">
        <v>13001</v>
      </c>
      <c r="D168" s="4" t="str">
        <f ca="1">VLOOKUP($C168,OFFSET([1]quests!$A$1,0,0,COUNTA([1]quests!$A:$A),MATCH(D$1,[1]quests!$1:$1,0)-MATCH($C$1,[1]quests!$1:$1,0)+1),MATCH(D$1,[1]quests!$1:$1,0)-MATCH($C$1,[1]quests!$1:$1,0)+1,FALSE)</f>
        <v>チャレンジタワー(ソロ専用)</v>
      </c>
      <c r="E168" s="4" t="str">
        <f ca="1">VLOOKUP($C168,OFFSET([1]quests!$A$1,0,0,COUNTA([1]quests!$A:$A),MATCH(E$1,[1]quests!$1:$1,0)-MATCH($C$1,[1]quests!$1:$1,0)+1),MATCH(E$1,[1]quests!$1:$1,0)-MATCH($C$1,[1]quests!$1:$1,0)+1,FALSE)</f>
        <v>試練の塔</v>
      </c>
      <c r="F168" s="6">
        <v>10</v>
      </c>
      <c r="G168" s="4" t="str">
        <f ca="1">VLOOKUP($C168&amp;"_"&amp;$F168,OFFSET([1]stages!$A$1,0,0,COUNTA([1]stages!$A:$A),MATCH(G$1,[1]stages!$2:$2,0)-MATCH("temp_stage",[1]stages!$2:$2,0)+1),MATCH(G$1,[1]stages!$2:$2,0)-MATCH("temp_stage",[1]stages!$2:$2,0)+1,FALSE)</f>
        <v>チャレンジタワー 10F</v>
      </c>
      <c r="H168" s="4" t="str">
        <f ca="1">VLOOKUP($C168&amp;"_"&amp;$F168,OFFSET([1]stages!$A$1,0,0,COUNTA([1]stages!$A:$A),MATCH(H$1,[1]stages!$2:$2,0)-MATCH("temp_stage",[1]stages!$2:$2,0)+1),MATCH(H$1,[1]stages!$2:$2,0)-MATCH("temp_stage",[1]stages!$2:$2,0)+1,FALSE)</f>
        <v>試練の塔</v>
      </c>
      <c r="I168" s="19">
        <v>0</v>
      </c>
      <c r="J168">
        <v>14</v>
      </c>
      <c r="K168" s="6" t="s">
        <v>33</v>
      </c>
      <c r="L168" s="32" t="str">
        <f>VLOOKUP(J168,[2]stage_hints!$A:$C,3,FALSE)</f>
        <v>覚醒するにはレベルをMAXに！</v>
      </c>
      <c r="M168" s="33" t="str">
        <f>VLOOKUP(J168,[2]stage_hints!$A:$D,4,FALSE)</f>
        <v>覚醒するにはユニットのレベルを_x000D_最大まで上げる必要があります</v>
      </c>
      <c r="N168" s="22" t="s">
        <v>61</v>
      </c>
      <c r="O168">
        <v>14</v>
      </c>
    </row>
    <row r="169" spans="1:15">
      <c r="A169" s="29" t="e">
        <f>C169&amp;"_"&amp;F169&amp;"_"&amp;#REF!</f>
        <v>#REF!</v>
      </c>
      <c r="B169" s="27" t="s">
        <v>32</v>
      </c>
      <c r="C169" s="5">
        <v>13001</v>
      </c>
      <c r="D169" s="4" t="str">
        <f ca="1">VLOOKUP($C169,OFFSET([1]quests!$A$1,0,0,COUNTA([1]quests!$A:$A),MATCH(D$1,[1]quests!$1:$1,0)-MATCH($C$1,[1]quests!$1:$1,0)+1),MATCH(D$1,[1]quests!$1:$1,0)-MATCH($C$1,[1]quests!$1:$1,0)+1,FALSE)</f>
        <v>チャレンジタワー(ソロ専用)</v>
      </c>
      <c r="E169" s="4" t="str">
        <f ca="1">VLOOKUP($C169,OFFSET([1]quests!$A$1,0,0,COUNTA([1]quests!$A:$A),MATCH(E$1,[1]quests!$1:$1,0)-MATCH($C$1,[1]quests!$1:$1,0)+1),MATCH(E$1,[1]quests!$1:$1,0)-MATCH($C$1,[1]quests!$1:$1,0)+1,FALSE)</f>
        <v>試練の塔</v>
      </c>
      <c r="F169" s="6">
        <v>10</v>
      </c>
      <c r="G169" s="4" t="str">
        <f ca="1">VLOOKUP($C169&amp;"_"&amp;$F169,OFFSET([1]stages!$A$1,0,0,COUNTA([1]stages!$A:$A),MATCH(G$1,[1]stages!$2:$2,0)-MATCH("temp_stage",[1]stages!$2:$2,0)+1),MATCH(G$1,[1]stages!$2:$2,0)-MATCH("temp_stage",[1]stages!$2:$2,0)+1,FALSE)</f>
        <v>チャレンジタワー 10F</v>
      </c>
      <c r="H169" s="4" t="str">
        <f ca="1">VLOOKUP($C169&amp;"_"&amp;$F169,OFFSET([1]stages!$A$1,0,0,COUNTA([1]stages!$A:$A),MATCH(H$1,[1]stages!$2:$2,0)-MATCH("temp_stage",[1]stages!$2:$2,0)+1),MATCH(H$1,[1]stages!$2:$2,0)-MATCH("temp_stage",[1]stages!$2:$2,0)+1,FALSE)</f>
        <v>試練の塔</v>
      </c>
      <c r="I169" s="19">
        <v>0</v>
      </c>
      <c r="J169">
        <v>15</v>
      </c>
      <c r="K169" s="6" t="s">
        <v>33</v>
      </c>
      <c r="L169" s="32" t="str">
        <f>VLOOKUP(J169,[2]stage_hints!$A:$C,3,FALSE)</f>
        <v>覚醒素材をGETしよう！</v>
      </c>
      <c r="M169" s="33" t="str">
        <f>VLOOKUP(J169,[2]stage_hints!$A:$D,4,FALSE)</f>
        <v>「曜日クエスト」では_x000D_覚醒に必要な覚醒素材が手に入ります</v>
      </c>
      <c r="N169" s="22" t="s">
        <v>87</v>
      </c>
      <c r="O169">
        <v>15</v>
      </c>
    </row>
    <row r="170" spans="1:15">
      <c r="A170" s="29" t="e">
        <f>C170&amp;"_"&amp;F170&amp;"_"&amp;#REF!</f>
        <v>#REF!</v>
      </c>
      <c r="B170" s="27" t="s">
        <v>32</v>
      </c>
      <c r="C170" s="5">
        <v>13001</v>
      </c>
      <c r="D170" s="4" t="str">
        <f ca="1">VLOOKUP($C170,OFFSET([1]quests!$A$1,0,0,COUNTA([1]quests!$A:$A),MATCH(D$1,[1]quests!$1:$1,0)-MATCH($C$1,[1]quests!$1:$1,0)+1),MATCH(D$1,[1]quests!$1:$1,0)-MATCH($C$1,[1]quests!$1:$1,0)+1,FALSE)</f>
        <v>チャレンジタワー(ソロ専用)</v>
      </c>
      <c r="E170" s="4" t="str">
        <f ca="1">VLOOKUP($C170,OFFSET([1]quests!$A$1,0,0,COUNTA([1]quests!$A:$A),MATCH(E$1,[1]quests!$1:$1,0)-MATCH($C$1,[1]quests!$1:$1,0)+1),MATCH(E$1,[1]quests!$1:$1,0)-MATCH($C$1,[1]quests!$1:$1,0)+1,FALSE)</f>
        <v>試練の塔</v>
      </c>
      <c r="F170" s="6">
        <v>10</v>
      </c>
      <c r="G170" s="4" t="str">
        <f ca="1">VLOOKUP($C170&amp;"_"&amp;$F170,OFFSET([1]stages!$A$1,0,0,COUNTA([1]stages!$A:$A),MATCH(G$1,[1]stages!$2:$2,0)-MATCH("temp_stage",[1]stages!$2:$2,0)+1),MATCH(G$1,[1]stages!$2:$2,0)-MATCH("temp_stage",[1]stages!$2:$2,0)+1,FALSE)</f>
        <v>チャレンジタワー 10F</v>
      </c>
      <c r="H170" s="4" t="str">
        <f ca="1">VLOOKUP($C170&amp;"_"&amp;$F170,OFFSET([1]stages!$A$1,0,0,COUNTA([1]stages!$A:$A),MATCH(H$1,[1]stages!$2:$2,0)-MATCH("temp_stage",[1]stages!$2:$2,0)+1),MATCH(H$1,[1]stages!$2:$2,0)-MATCH("temp_stage",[1]stages!$2:$2,0)+1,FALSE)</f>
        <v>試練の塔</v>
      </c>
      <c r="I170" s="19">
        <v>0</v>
      </c>
      <c r="J170">
        <v>16</v>
      </c>
      <c r="K170" s="6" t="s">
        <v>33</v>
      </c>
      <c r="L170" s="32" t="str">
        <f>VLOOKUP(J170,[2]stage_hints!$A:$C,3,FALSE)</f>
        <v>マルチプレイが熱い！　その1</v>
      </c>
      <c r="M170" s="33" t="str">
        <f>VLOOKUP(J170,[2]stage_hints!$A:$D,4,FALSE)</f>
        <v>マルチプレイをすると_x000D_初顔合わせボーナスで_x000D_100人までポリゴンがもらえます</v>
      </c>
      <c r="N170" s="22" t="s">
        <v>85</v>
      </c>
      <c r="O170">
        <v>16</v>
      </c>
    </row>
    <row r="171" spans="1:15">
      <c r="A171" s="29" t="e">
        <f>C171&amp;"_"&amp;F171&amp;"_"&amp;#REF!</f>
        <v>#REF!</v>
      </c>
      <c r="B171" s="27" t="s">
        <v>32</v>
      </c>
      <c r="C171" s="5">
        <v>13001</v>
      </c>
      <c r="D171" s="4" t="str">
        <f ca="1">VLOOKUP($C171,OFFSET([1]quests!$A$1,0,0,COUNTA([1]quests!$A:$A),MATCH(D$1,[1]quests!$1:$1,0)-MATCH($C$1,[1]quests!$1:$1,0)+1),MATCH(D$1,[1]quests!$1:$1,0)-MATCH($C$1,[1]quests!$1:$1,0)+1,FALSE)</f>
        <v>チャレンジタワー(ソロ専用)</v>
      </c>
      <c r="E171" s="4" t="str">
        <f ca="1">VLOOKUP($C171,OFFSET([1]quests!$A$1,0,0,COUNTA([1]quests!$A:$A),MATCH(E$1,[1]quests!$1:$1,0)-MATCH($C$1,[1]quests!$1:$1,0)+1),MATCH(E$1,[1]quests!$1:$1,0)-MATCH($C$1,[1]quests!$1:$1,0)+1,FALSE)</f>
        <v>試練の塔</v>
      </c>
      <c r="F171" s="6">
        <v>10</v>
      </c>
      <c r="G171" s="4" t="str">
        <f ca="1">VLOOKUP($C171&amp;"_"&amp;$F171,OFFSET([1]stages!$A$1,0,0,COUNTA([1]stages!$A:$A),MATCH(G$1,[1]stages!$2:$2,0)-MATCH("temp_stage",[1]stages!$2:$2,0)+1),MATCH(G$1,[1]stages!$2:$2,0)-MATCH("temp_stage",[1]stages!$2:$2,0)+1,FALSE)</f>
        <v>チャレンジタワー 10F</v>
      </c>
      <c r="H171" s="4" t="str">
        <f ca="1">VLOOKUP($C171&amp;"_"&amp;$F171,OFFSET([1]stages!$A$1,0,0,COUNTA([1]stages!$A:$A),MATCH(H$1,[1]stages!$2:$2,0)-MATCH("temp_stage",[1]stages!$2:$2,0)+1),MATCH(H$1,[1]stages!$2:$2,0)-MATCH("temp_stage",[1]stages!$2:$2,0)+1,FALSE)</f>
        <v>試練の塔</v>
      </c>
      <c r="I171" s="19">
        <v>0</v>
      </c>
      <c r="J171">
        <v>17</v>
      </c>
      <c r="K171" s="6" t="s">
        <v>33</v>
      </c>
      <c r="L171" s="32" t="str">
        <f>VLOOKUP(J171,[2]stage_hints!$A:$C,3,FALSE)</f>
        <v>リンクガチャを引いてみよう</v>
      </c>
      <c r="M171" s="33" t="str">
        <f>VLOOKUP(J171,[2]stage_hints!$A:$D,4,FALSE)</f>
        <v>リンクガチャを回して_x000D_メタルダックやゴールドダックを獲得しましょう</v>
      </c>
      <c r="N171" s="22" t="s">
        <v>111</v>
      </c>
      <c r="O171">
        <v>17</v>
      </c>
    </row>
    <row r="172" spans="1:15">
      <c r="A172" s="29" t="e">
        <f>C172&amp;"_"&amp;F172&amp;"_"&amp;#REF!</f>
        <v>#REF!</v>
      </c>
      <c r="B172" s="27" t="s">
        <v>32</v>
      </c>
      <c r="C172" s="5">
        <v>13001</v>
      </c>
      <c r="D172" s="4" t="str">
        <f ca="1">VLOOKUP($C172,OFFSET([1]quests!$A$1,0,0,COUNTA([1]quests!$A:$A),MATCH(D$1,[1]quests!$1:$1,0)-MATCH($C$1,[1]quests!$1:$1,0)+1),MATCH(D$1,[1]quests!$1:$1,0)-MATCH($C$1,[1]quests!$1:$1,0)+1,FALSE)</f>
        <v>チャレンジタワー(ソロ専用)</v>
      </c>
      <c r="E172" s="4" t="str">
        <f ca="1">VLOOKUP($C172,OFFSET([1]quests!$A$1,0,0,COUNTA([1]quests!$A:$A),MATCH(E$1,[1]quests!$1:$1,0)-MATCH($C$1,[1]quests!$1:$1,0)+1),MATCH(E$1,[1]quests!$1:$1,0)-MATCH($C$1,[1]quests!$1:$1,0)+1,FALSE)</f>
        <v>試練の塔</v>
      </c>
      <c r="F172" s="6">
        <v>10</v>
      </c>
      <c r="G172" s="4" t="str">
        <f ca="1">VLOOKUP($C172&amp;"_"&amp;$F172,OFFSET([1]stages!$A$1,0,0,COUNTA([1]stages!$A:$A),MATCH(G$1,[1]stages!$2:$2,0)-MATCH("temp_stage",[1]stages!$2:$2,0)+1),MATCH(G$1,[1]stages!$2:$2,0)-MATCH("temp_stage",[1]stages!$2:$2,0)+1,FALSE)</f>
        <v>チャレンジタワー 10F</v>
      </c>
      <c r="H172" s="4" t="str">
        <f ca="1">VLOOKUP($C172&amp;"_"&amp;$F172,OFFSET([1]stages!$A$1,0,0,COUNTA([1]stages!$A:$A),MATCH(H$1,[1]stages!$2:$2,0)-MATCH("temp_stage",[1]stages!$2:$2,0)+1),MATCH(H$1,[1]stages!$2:$2,0)-MATCH("temp_stage",[1]stages!$2:$2,0)+1,FALSE)</f>
        <v>試練の塔</v>
      </c>
      <c r="I172" s="19">
        <v>0</v>
      </c>
      <c r="J172">
        <v>18</v>
      </c>
      <c r="K172" s="6" t="s">
        <v>33</v>
      </c>
      <c r="L172" s="32" t="str">
        <f>VLOOKUP(J172,[2]stage_hints!$A:$C,3,FALSE)</f>
        <v>マルチプレイが熱い！　その2</v>
      </c>
      <c r="M172" s="33" t="str">
        <f>VLOOKUP(J172,[2]stage_hints!$A:$D,4,FALSE)</f>
        <v>マルチプレイなら_x000D_2倍のリンクがもらえます</v>
      </c>
      <c r="N172" s="22" t="s">
        <v>39</v>
      </c>
      <c r="O172">
        <v>18</v>
      </c>
    </row>
    <row r="173" spans="1:15">
      <c r="A173" s="29" t="e">
        <f>C173&amp;"_"&amp;F173&amp;"_"&amp;#REF!</f>
        <v>#REF!</v>
      </c>
      <c r="B173" s="27" t="s">
        <v>32</v>
      </c>
      <c r="C173" s="5">
        <v>13001</v>
      </c>
      <c r="D173" s="4" t="str">
        <f ca="1">VLOOKUP($C173,OFFSET([1]quests!$A$1,0,0,COUNTA([1]quests!$A:$A),MATCH(D$1,[1]quests!$1:$1,0)-MATCH($C$1,[1]quests!$1:$1,0)+1),MATCH(D$1,[1]quests!$1:$1,0)-MATCH($C$1,[1]quests!$1:$1,0)+1,FALSE)</f>
        <v>チャレンジタワー(ソロ専用)</v>
      </c>
      <c r="E173" s="4" t="str">
        <f ca="1">VLOOKUP($C173,OFFSET([1]quests!$A$1,0,0,COUNTA([1]quests!$A:$A),MATCH(E$1,[1]quests!$1:$1,0)-MATCH($C$1,[1]quests!$1:$1,0)+1),MATCH(E$1,[1]quests!$1:$1,0)-MATCH($C$1,[1]quests!$1:$1,0)+1,FALSE)</f>
        <v>試練の塔</v>
      </c>
      <c r="F173" s="6">
        <v>10</v>
      </c>
      <c r="G173" s="4" t="str">
        <f ca="1">VLOOKUP($C173&amp;"_"&amp;$F173,OFFSET([1]stages!$A$1,0,0,COUNTA([1]stages!$A:$A),MATCH(G$1,[1]stages!$2:$2,0)-MATCH("temp_stage",[1]stages!$2:$2,0)+1),MATCH(G$1,[1]stages!$2:$2,0)-MATCH("temp_stage",[1]stages!$2:$2,0)+1,FALSE)</f>
        <v>チャレンジタワー 10F</v>
      </c>
      <c r="H173" s="4" t="str">
        <f ca="1">VLOOKUP($C173&amp;"_"&amp;$F173,OFFSET([1]stages!$A$1,0,0,COUNTA([1]stages!$A:$A),MATCH(H$1,[1]stages!$2:$2,0)-MATCH("temp_stage",[1]stages!$2:$2,0)+1),MATCH(H$1,[1]stages!$2:$2,0)-MATCH("temp_stage",[1]stages!$2:$2,0)+1,FALSE)</f>
        <v>試練の塔</v>
      </c>
      <c r="I173" s="19">
        <v>0</v>
      </c>
      <c r="J173">
        <v>19</v>
      </c>
      <c r="K173" s="6" t="s">
        <v>33</v>
      </c>
      <c r="L173" s="32" t="str">
        <f>VLOOKUP(J173,[2]stage_hints!$A:$C,3,FALSE)</f>
        <v>チャレンジタワー</v>
      </c>
      <c r="M173" s="33" t="str">
        <f>VLOOKUP(J173,[2]stage_hints!$A:$D,4,FALSE)</f>
        <v>「チャレンジタワー」をクリアすると_x000D_各フロアごとに報酬がもらえます</v>
      </c>
      <c r="N173" s="22" t="s">
        <v>45</v>
      </c>
      <c r="O173">
        <v>19</v>
      </c>
    </row>
    <row r="174" spans="1:15">
      <c r="A174" s="29" t="e">
        <f>C174&amp;"_"&amp;F174&amp;"_"&amp;#REF!</f>
        <v>#REF!</v>
      </c>
      <c r="B174" s="27" t="s">
        <v>32</v>
      </c>
      <c r="C174" s="5">
        <v>13001</v>
      </c>
      <c r="D174" s="4" t="str">
        <f ca="1">VLOOKUP($C174,OFFSET([1]quests!$A$1,0,0,COUNTA([1]quests!$A:$A),MATCH(D$1,[1]quests!$1:$1,0)-MATCH($C$1,[1]quests!$1:$1,0)+1),MATCH(D$1,[1]quests!$1:$1,0)-MATCH($C$1,[1]quests!$1:$1,0)+1,FALSE)</f>
        <v>チャレンジタワー(ソロ専用)</v>
      </c>
      <c r="E174" s="4" t="str">
        <f ca="1">VLOOKUP($C174,OFFSET([1]quests!$A$1,0,0,COUNTA([1]quests!$A:$A),MATCH(E$1,[1]quests!$1:$1,0)-MATCH($C$1,[1]quests!$1:$1,0)+1),MATCH(E$1,[1]quests!$1:$1,0)-MATCH($C$1,[1]quests!$1:$1,0)+1,FALSE)</f>
        <v>試練の塔</v>
      </c>
      <c r="F174" s="6">
        <v>10</v>
      </c>
      <c r="G174" s="4" t="str">
        <f ca="1">VLOOKUP($C174&amp;"_"&amp;$F174,OFFSET([1]stages!$A$1,0,0,COUNTA([1]stages!$A:$A),MATCH(G$1,[1]stages!$2:$2,0)-MATCH("temp_stage",[1]stages!$2:$2,0)+1),MATCH(G$1,[1]stages!$2:$2,0)-MATCH("temp_stage",[1]stages!$2:$2,0)+1,FALSE)</f>
        <v>チャレンジタワー 10F</v>
      </c>
      <c r="H174" s="4" t="str">
        <f ca="1">VLOOKUP($C174&amp;"_"&amp;$F174,OFFSET([1]stages!$A$1,0,0,COUNTA([1]stages!$A:$A),MATCH(H$1,[1]stages!$2:$2,0)-MATCH("temp_stage",[1]stages!$2:$2,0)+1),MATCH(H$1,[1]stages!$2:$2,0)-MATCH("temp_stage",[1]stages!$2:$2,0)+1,FALSE)</f>
        <v>試練の塔</v>
      </c>
      <c r="I174" s="19">
        <v>0</v>
      </c>
      <c r="J174">
        <v>20</v>
      </c>
      <c r="K174" s="6" t="s">
        <v>115</v>
      </c>
      <c r="L174" s="32" t="str">
        <f>VLOOKUP(J174,[2]stage_hints!$A:$C,3,FALSE)</f>
        <v>マルチプレイが熱い！　その3</v>
      </c>
      <c r="M174" s="33" t="str">
        <f>VLOOKUP(J174,[2]stage_hints!$A:$D,4,FALSE)</f>
        <v>マルチプレイへの参加は_x000D_エナジー消費がありません</v>
      </c>
      <c r="N174" s="22" t="s">
        <v>118</v>
      </c>
      <c r="O174">
        <v>20</v>
      </c>
    </row>
    <row r="175" spans="1:15">
      <c r="A175" s="29" t="e">
        <f>C175&amp;"_"&amp;F175&amp;"_"&amp;#REF!</f>
        <v>#REF!</v>
      </c>
      <c r="B175" s="27" t="s">
        <v>32</v>
      </c>
      <c r="C175" s="5">
        <v>13001</v>
      </c>
      <c r="D175" s="4" t="str">
        <f ca="1">VLOOKUP($C175,OFFSET([1]quests!$A$1,0,0,COUNTA([1]quests!$A:$A),MATCH(D$1,[1]quests!$1:$1,0)-MATCH($C$1,[1]quests!$1:$1,0)+1),MATCH(D$1,[1]quests!$1:$1,0)-MATCH($C$1,[1]quests!$1:$1,0)+1,FALSE)</f>
        <v>チャレンジタワー(ソロ専用)</v>
      </c>
      <c r="E175" s="4" t="str">
        <f ca="1">VLOOKUP($C175,OFFSET([1]quests!$A$1,0,0,COUNTA([1]quests!$A:$A),MATCH(E$1,[1]quests!$1:$1,0)-MATCH($C$1,[1]quests!$1:$1,0)+1),MATCH(E$1,[1]quests!$1:$1,0)-MATCH($C$1,[1]quests!$1:$1,0)+1,FALSE)</f>
        <v>試練の塔</v>
      </c>
      <c r="F175" s="6">
        <v>10</v>
      </c>
      <c r="G175" s="4" t="str">
        <f ca="1">VLOOKUP($C175&amp;"_"&amp;$F175,OFFSET([1]stages!$A$1,0,0,COUNTA([1]stages!$A:$A),MATCH(G$1,[1]stages!$2:$2,0)-MATCH("temp_stage",[1]stages!$2:$2,0)+1),MATCH(G$1,[1]stages!$2:$2,0)-MATCH("temp_stage",[1]stages!$2:$2,0)+1,FALSE)</f>
        <v>チャレンジタワー 10F</v>
      </c>
      <c r="H175" s="4" t="str">
        <f ca="1">VLOOKUP($C175&amp;"_"&amp;$F175,OFFSET([1]stages!$A$1,0,0,COUNTA([1]stages!$A:$A),MATCH(H$1,[1]stages!$2:$2,0)-MATCH("temp_stage",[1]stages!$2:$2,0)+1),MATCH(H$1,[1]stages!$2:$2,0)-MATCH("temp_stage",[1]stages!$2:$2,0)+1,FALSE)</f>
        <v>試練の塔</v>
      </c>
      <c r="I175" s="19">
        <v>0</v>
      </c>
      <c r="J175">
        <v>21</v>
      </c>
      <c r="K175" s="6" t="s">
        <v>119</v>
      </c>
      <c r="L175" s="32" t="str">
        <f>VLOOKUP(J175,[2]stage_hints!$A:$C,3,FALSE)</f>
        <v>スキルを有効に使おう</v>
      </c>
      <c r="M175" s="33" t="str">
        <f>VLOOKUP(J175,[2]stage_hints!$A:$D,4,FALSE)</f>
        <v>ターン経過でユニットは_x000D_強力なスキルが使えるようになります</v>
      </c>
      <c r="N175" s="22" t="s">
        <v>79</v>
      </c>
      <c r="O175">
        <v>21</v>
      </c>
    </row>
    <row r="176" spans="1:15">
      <c r="A176" s="29" t="e">
        <f>C176&amp;"_"&amp;F176&amp;"_"&amp;#REF!</f>
        <v>#REF!</v>
      </c>
      <c r="B176" s="27" t="s">
        <v>32</v>
      </c>
      <c r="C176" s="5">
        <v>13001</v>
      </c>
      <c r="D176" s="4" t="str">
        <f ca="1">VLOOKUP($C176,OFFSET([1]quests!$A$1,0,0,COUNTA([1]quests!$A:$A),MATCH(D$1,[1]quests!$1:$1,0)-MATCH($C$1,[1]quests!$1:$1,0)+1),MATCH(D$1,[1]quests!$1:$1,0)-MATCH($C$1,[1]quests!$1:$1,0)+1,FALSE)</f>
        <v>チャレンジタワー(ソロ専用)</v>
      </c>
      <c r="E176" s="4" t="str">
        <f ca="1">VLOOKUP($C176,OFFSET([1]quests!$A$1,0,0,COUNTA([1]quests!$A:$A),MATCH(E$1,[1]quests!$1:$1,0)-MATCH($C$1,[1]quests!$1:$1,0)+1),MATCH(E$1,[1]quests!$1:$1,0)-MATCH($C$1,[1]quests!$1:$1,0)+1,FALSE)</f>
        <v>試練の塔</v>
      </c>
      <c r="F176" s="6">
        <v>10</v>
      </c>
      <c r="G176" s="4" t="str">
        <f ca="1">VLOOKUP($C176&amp;"_"&amp;$F176,OFFSET([1]stages!$A$1,0,0,COUNTA([1]stages!$A:$A),MATCH(G$1,[1]stages!$2:$2,0)-MATCH("temp_stage",[1]stages!$2:$2,0)+1),MATCH(G$1,[1]stages!$2:$2,0)-MATCH("temp_stage",[1]stages!$2:$2,0)+1,FALSE)</f>
        <v>チャレンジタワー 10F</v>
      </c>
      <c r="H176" s="4" t="str">
        <f ca="1">VLOOKUP($C176&amp;"_"&amp;$F176,OFFSET([1]stages!$A$1,0,0,COUNTA([1]stages!$A:$A),MATCH(H$1,[1]stages!$2:$2,0)-MATCH("temp_stage",[1]stages!$2:$2,0)+1),MATCH(H$1,[1]stages!$2:$2,0)-MATCH("temp_stage",[1]stages!$2:$2,0)+1,FALSE)</f>
        <v>試練の塔</v>
      </c>
      <c r="I176" s="19">
        <v>0</v>
      </c>
      <c r="J176">
        <v>22</v>
      </c>
      <c r="K176" s="6" t="s">
        <v>33</v>
      </c>
      <c r="L176" s="32" t="str">
        <f>VLOOKUP(J176,[2]stage_hints!$A:$C,3,FALSE)</f>
        <v>フィーバーを使って一発逆転</v>
      </c>
      <c r="M176" s="33" t="str">
        <f>VLOOKUP(J176,[2]stage_hints!$A:$D,4,FALSE)</f>
        <v>ピンチの時はフィーバーで_x000D_一発逆転を狙いましょう</v>
      </c>
      <c r="N176" s="22" t="s">
        <v>66</v>
      </c>
      <c r="O176">
        <v>22</v>
      </c>
    </row>
    <row r="177" spans="1:15">
      <c r="A177" s="29" t="e">
        <f>C177&amp;"_"&amp;F177&amp;"_"&amp;#REF!</f>
        <v>#REF!</v>
      </c>
      <c r="B177" s="27" t="s">
        <v>32</v>
      </c>
      <c r="C177" s="5">
        <v>13001</v>
      </c>
      <c r="D177" s="4" t="str">
        <f ca="1">VLOOKUP($C177,OFFSET([1]quests!$A$1,0,0,COUNTA([1]quests!$A:$A),MATCH(D$1,[1]quests!$1:$1,0)-MATCH($C$1,[1]quests!$1:$1,0)+1),MATCH(D$1,[1]quests!$1:$1,0)-MATCH($C$1,[1]quests!$1:$1,0)+1,FALSE)</f>
        <v>チャレンジタワー(ソロ専用)</v>
      </c>
      <c r="E177" s="4" t="str">
        <f ca="1">VLOOKUP($C177,OFFSET([1]quests!$A$1,0,0,COUNTA([1]quests!$A:$A),MATCH(E$1,[1]quests!$1:$1,0)-MATCH($C$1,[1]quests!$1:$1,0)+1),MATCH(E$1,[1]quests!$1:$1,0)-MATCH($C$1,[1]quests!$1:$1,0)+1,FALSE)</f>
        <v>試練の塔</v>
      </c>
      <c r="F177" s="6">
        <v>10</v>
      </c>
      <c r="G177" s="4" t="str">
        <f ca="1">VLOOKUP($C177&amp;"_"&amp;$F177,OFFSET([1]stages!$A$1,0,0,COUNTA([1]stages!$A:$A),MATCH(G$1,[1]stages!$2:$2,0)-MATCH("temp_stage",[1]stages!$2:$2,0)+1),MATCH(G$1,[1]stages!$2:$2,0)-MATCH("temp_stage",[1]stages!$2:$2,0)+1,FALSE)</f>
        <v>チャレンジタワー 10F</v>
      </c>
      <c r="H177" s="4" t="str">
        <f ca="1">VLOOKUP($C177&amp;"_"&amp;$F177,OFFSET([1]stages!$A$1,0,0,COUNTA([1]stages!$A:$A),MATCH(H$1,[1]stages!$2:$2,0)-MATCH("temp_stage",[1]stages!$2:$2,0)+1),MATCH(H$1,[1]stages!$2:$2,0)-MATCH("temp_stage",[1]stages!$2:$2,0)+1,FALSE)</f>
        <v>試練の塔</v>
      </c>
      <c r="I177" s="19">
        <v>0</v>
      </c>
      <c r="J177">
        <v>23</v>
      </c>
      <c r="K177" s="6" t="s">
        <v>33</v>
      </c>
      <c r="L177" s="32" t="str">
        <f>VLOOKUP(J177,[2]stage_hints!$A:$C,3,FALSE)</f>
        <v>フィーバーは虹パネルを狙おう！</v>
      </c>
      <c r="M177" s="33" t="str">
        <f>VLOOKUP(J177,[2]stage_hints!$A:$D,4,FALSE)</f>
        <v>フィーバー中は虹色のパネルを壊して_x000D_大ダメージを狙いましょう</v>
      </c>
      <c r="N177" s="22" t="s">
        <v>97</v>
      </c>
      <c r="O177">
        <v>23</v>
      </c>
    </row>
    <row r="178" spans="1:15">
      <c r="A178" s="29" t="e">
        <f>C178&amp;"_"&amp;F178&amp;"_"&amp;#REF!</f>
        <v>#REF!</v>
      </c>
      <c r="B178" s="27" t="s">
        <v>32</v>
      </c>
      <c r="C178" s="5">
        <v>13001</v>
      </c>
      <c r="D178" s="4" t="str">
        <f ca="1">VLOOKUP($C178,OFFSET([1]quests!$A$1,0,0,COUNTA([1]quests!$A:$A),MATCH(D$1,[1]quests!$1:$1,0)-MATCH($C$1,[1]quests!$1:$1,0)+1),MATCH(D$1,[1]quests!$1:$1,0)-MATCH($C$1,[1]quests!$1:$1,0)+1,FALSE)</f>
        <v>チャレンジタワー(ソロ専用)</v>
      </c>
      <c r="E178" s="4" t="str">
        <f ca="1">VLOOKUP($C178,OFFSET([1]quests!$A$1,0,0,COUNTA([1]quests!$A:$A),MATCH(E$1,[1]quests!$1:$1,0)-MATCH($C$1,[1]quests!$1:$1,0)+1),MATCH(E$1,[1]quests!$1:$1,0)-MATCH($C$1,[1]quests!$1:$1,0)+1,FALSE)</f>
        <v>試練の塔</v>
      </c>
      <c r="F178" s="6">
        <v>10</v>
      </c>
      <c r="G178" s="4" t="str">
        <f ca="1">VLOOKUP($C178&amp;"_"&amp;$F178,OFFSET([1]stages!$A$1,0,0,COUNTA([1]stages!$A:$A),MATCH(G$1,[1]stages!$2:$2,0)-MATCH("temp_stage",[1]stages!$2:$2,0)+1),MATCH(G$1,[1]stages!$2:$2,0)-MATCH("temp_stage",[1]stages!$2:$2,0)+1,FALSE)</f>
        <v>チャレンジタワー 10F</v>
      </c>
      <c r="H178" s="4" t="str">
        <f ca="1">VLOOKUP($C178&amp;"_"&amp;$F178,OFFSET([1]stages!$A$1,0,0,COUNTA([1]stages!$A:$A),MATCH(H$1,[1]stages!$2:$2,0)-MATCH("temp_stage",[1]stages!$2:$2,0)+1),MATCH(H$1,[1]stages!$2:$2,0)-MATCH("temp_stage",[1]stages!$2:$2,0)+1,FALSE)</f>
        <v>試練の塔</v>
      </c>
      <c r="I178" s="19">
        <v>0</v>
      </c>
      <c r="J178">
        <v>24</v>
      </c>
      <c r="K178" s="6" t="s">
        <v>115</v>
      </c>
      <c r="L178" s="32" t="str">
        <f>VLOOKUP(J178,[2]stage_hints!$A:$C,3,FALSE)</f>
        <v>リンゴをつかって限界突破！</v>
      </c>
      <c r="M178" s="33" t="str">
        <f>VLOOKUP(J178,[2]stage_hints!$A:$D,4,FALSE)</f>
        <v>赤りんご(攻撃力)、青りんご(回復力)、_x000D_緑りんご(体力)は_x000D_合計99個までステータスを上げられます</v>
      </c>
      <c r="N178" s="22" t="s">
        <v>117</v>
      </c>
      <c r="O178">
        <v>24</v>
      </c>
    </row>
    <row r="179" spans="1:15">
      <c r="A179" s="29" t="e">
        <f>C179&amp;"_"&amp;F179&amp;"_"&amp;#REF!</f>
        <v>#REF!</v>
      </c>
      <c r="B179" s="27" t="s">
        <v>32</v>
      </c>
      <c r="C179" s="5">
        <v>13001</v>
      </c>
      <c r="D179" s="4" t="str">
        <f ca="1">VLOOKUP($C179,OFFSET([1]quests!$A$1,0,0,COUNTA([1]quests!$A:$A),MATCH(D$1,[1]quests!$1:$1,0)-MATCH($C$1,[1]quests!$1:$1,0)+1),MATCH(D$1,[1]quests!$1:$1,0)-MATCH($C$1,[1]quests!$1:$1,0)+1,FALSE)</f>
        <v>チャレンジタワー(ソロ専用)</v>
      </c>
      <c r="E179" s="4" t="str">
        <f ca="1">VLOOKUP($C179,OFFSET([1]quests!$A$1,0,0,COUNTA([1]quests!$A:$A),MATCH(E$1,[1]quests!$1:$1,0)-MATCH($C$1,[1]quests!$1:$1,0)+1),MATCH(E$1,[1]quests!$1:$1,0)-MATCH($C$1,[1]quests!$1:$1,0)+1,FALSE)</f>
        <v>試練の塔</v>
      </c>
      <c r="F179" s="6">
        <v>10</v>
      </c>
      <c r="G179" s="4" t="str">
        <f ca="1">VLOOKUP($C179&amp;"_"&amp;$F179,OFFSET([1]stages!$A$1,0,0,COUNTA([1]stages!$A:$A),MATCH(G$1,[1]stages!$2:$2,0)-MATCH("temp_stage",[1]stages!$2:$2,0)+1),MATCH(G$1,[1]stages!$2:$2,0)-MATCH("temp_stage",[1]stages!$2:$2,0)+1,FALSE)</f>
        <v>チャレンジタワー 10F</v>
      </c>
      <c r="H179" s="4" t="str">
        <f ca="1">VLOOKUP($C179&amp;"_"&amp;$F179,OFFSET([1]stages!$A$1,0,0,COUNTA([1]stages!$A:$A),MATCH(H$1,[1]stages!$2:$2,0)-MATCH("temp_stage",[1]stages!$2:$2,0)+1),MATCH(H$1,[1]stages!$2:$2,0)-MATCH("temp_stage",[1]stages!$2:$2,0)+1,FALSE)</f>
        <v>試練の塔</v>
      </c>
      <c r="I179" s="19">
        <v>0</v>
      </c>
      <c r="J179">
        <v>25</v>
      </c>
      <c r="K179" s="6" t="s">
        <v>33</v>
      </c>
      <c r="L179" s="32" t="str">
        <f>VLOOKUP(J179,[2]stage_hints!$A:$C,3,FALSE)</f>
        <v>クリスタルリンゴはスキルLvUP！</v>
      </c>
      <c r="M179" s="33" t="str">
        <f>VLOOKUP(J179,[2]stage_hints!$A:$D,4,FALSE)</f>
        <v>「クリスタルのりんご」を強化に使うと_x000D_スキルLvを上げることができます</v>
      </c>
      <c r="N179" s="22" t="s">
        <v>90</v>
      </c>
      <c r="O179">
        <v>25</v>
      </c>
    </row>
    <row r="180" spans="1:15">
      <c r="A180" s="29" t="e">
        <f>C180&amp;"_"&amp;F180&amp;"_"&amp;#REF!</f>
        <v>#REF!</v>
      </c>
      <c r="B180" s="27" t="s">
        <v>32</v>
      </c>
      <c r="C180" s="5">
        <v>13001</v>
      </c>
      <c r="D180" s="4" t="str">
        <f ca="1">VLOOKUP($C180,OFFSET([1]quests!$A$1,0,0,COUNTA([1]quests!$A:$A),MATCH(D$1,[1]quests!$1:$1,0)-MATCH($C$1,[1]quests!$1:$1,0)+1),MATCH(D$1,[1]quests!$1:$1,0)-MATCH($C$1,[1]quests!$1:$1,0)+1,FALSE)</f>
        <v>チャレンジタワー(ソロ専用)</v>
      </c>
      <c r="E180" s="4" t="str">
        <f ca="1">VLOOKUP($C180,OFFSET([1]quests!$A$1,0,0,COUNTA([1]quests!$A:$A),MATCH(E$1,[1]quests!$1:$1,0)-MATCH($C$1,[1]quests!$1:$1,0)+1),MATCH(E$1,[1]quests!$1:$1,0)-MATCH($C$1,[1]quests!$1:$1,0)+1,FALSE)</f>
        <v>試練の塔</v>
      </c>
      <c r="F180" s="6">
        <v>10</v>
      </c>
      <c r="G180" s="4" t="str">
        <f ca="1">VLOOKUP($C180&amp;"_"&amp;$F180,OFFSET([1]stages!$A$1,0,0,COUNTA([1]stages!$A:$A),MATCH(G$1,[1]stages!$2:$2,0)-MATCH("temp_stage",[1]stages!$2:$2,0)+1),MATCH(G$1,[1]stages!$2:$2,0)-MATCH("temp_stage",[1]stages!$2:$2,0)+1,FALSE)</f>
        <v>チャレンジタワー 10F</v>
      </c>
      <c r="H180" s="4" t="str">
        <f ca="1">VLOOKUP($C180&amp;"_"&amp;$F180,OFFSET([1]stages!$A$1,0,0,COUNTA([1]stages!$A:$A),MATCH(H$1,[1]stages!$2:$2,0)-MATCH("temp_stage",[1]stages!$2:$2,0)+1),MATCH(H$1,[1]stages!$2:$2,0)-MATCH("temp_stage",[1]stages!$2:$2,0)+1,FALSE)</f>
        <v>試練の塔</v>
      </c>
      <c r="I180" s="19">
        <v>0</v>
      </c>
      <c r="J180">
        <v>26</v>
      </c>
      <c r="K180" s="6" t="s">
        <v>33</v>
      </c>
      <c r="L180" s="32" t="str">
        <f>VLOOKUP(J180,[2]stage_hints!$A:$C,3,FALSE)</f>
        <v>スキルLv</v>
      </c>
      <c r="M180" s="33" t="str">
        <f>VLOOKUP(J180,[2]stage_hints!$A:$D,4,FALSE)</f>
        <v>スキルLvが上がると_x000D_短いターンでスキルを使うことができます</v>
      </c>
      <c r="N180" s="22" t="s">
        <v>62</v>
      </c>
      <c r="O180">
        <v>26</v>
      </c>
    </row>
    <row r="181" spans="1:15">
      <c r="A181" s="29" t="e">
        <f>C181&amp;"_"&amp;F181&amp;"_"&amp;#REF!</f>
        <v>#REF!</v>
      </c>
      <c r="B181" s="27" t="s">
        <v>32</v>
      </c>
      <c r="C181" s="5">
        <v>13001</v>
      </c>
      <c r="D181" s="4" t="str">
        <f ca="1">VLOOKUP($C181,OFFSET([1]quests!$A$1,0,0,COUNTA([1]quests!$A:$A),MATCH(D$1,[1]quests!$1:$1,0)-MATCH($C$1,[1]quests!$1:$1,0)+1),MATCH(D$1,[1]quests!$1:$1,0)-MATCH($C$1,[1]quests!$1:$1,0)+1,FALSE)</f>
        <v>チャレンジタワー(ソロ専用)</v>
      </c>
      <c r="E181" s="4" t="str">
        <f ca="1">VLOOKUP($C181,OFFSET([1]quests!$A$1,0,0,COUNTA([1]quests!$A:$A),MATCH(E$1,[1]quests!$1:$1,0)-MATCH($C$1,[1]quests!$1:$1,0)+1),MATCH(E$1,[1]quests!$1:$1,0)-MATCH($C$1,[1]quests!$1:$1,0)+1,FALSE)</f>
        <v>試練の塔</v>
      </c>
      <c r="F181" s="6">
        <v>10</v>
      </c>
      <c r="G181" s="4" t="str">
        <f ca="1">VLOOKUP($C181&amp;"_"&amp;$F181,OFFSET([1]stages!$A$1,0,0,COUNTA([1]stages!$A:$A),MATCH(G$1,[1]stages!$2:$2,0)-MATCH("temp_stage",[1]stages!$2:$2,0)+1),MATCH(G$1,[1]stages!$2:$2,0)-MATCH("temp_stage",[1]stages!$2:$2,0)+1,FALSE)</f>
        <v>チャレンジタワー 10F</v>
      </c>
      <c r="H181" s="4" t="str">
        <f ca="1">VLOOKUP($C181&amp;"_"&amp;$F181,OFFSET([1]stages!$A$1,0,0,COUNTA([1]stages!$A:$A),MATCH(H$1,[1]stages!$2:$2,0)-MATCH("temp_stage",[1]stages!$2:$2,0)+1),MATCH(H$1,[1]stages!$2:$2,0)-MATCH("temp_stage",[1]stages!$2:$2,0)+1,FALSE)</f>
        <v>試練の塔</v>
      </c>
      <c r="I181" s="19">
        <v>0</v>
      </c>
      <c r="J181">
        <v>27</v>
      </c>
      <c r="K181" s="6" t="s">
        <v>115</v>
      </c>
      <c r="L181" s="32" t="str">
        <f>VLOOKUP(J181,[2]stage_hints!$A:$C,3,FALSE)</f>
        <v>ホーム画面からデッキを編成！</v>
      </c>
      <c r="M181" s="33" t="str">
        <f>VLOOKUP(J181,[2]stage_hints!$A:$D,4,FALSE)</f>
        <v>ホームでユニットを長押しすると_x000D_すぐにパーティ編成に移動できます</v>
      </c>
      <c r="N181" s="22" t="s">
        <v>112</v>
      </c>
      <c r="O181">
        <v>27</v>
      </c>
    </row>
    <row r="182" spans="1:15">
      <c r="A182" s="29" t="e">
        <f>C182&amp;"_"&amp;F182&amp;"_"&amp;#REF!</f>
        <v>#REF!</v>
      </c>
      <c r="B182" s="27" t="s">
        <v>32</v>
      </c>
      <c r="C182" s="5">
        <v>13001</v>
      </c>
      <c r="D182" s="4" t="str">
        <f ca="1">VLOOKUP($C182,OFFSET([1]quests!$A$1,0,0,COUNTA([1]quests!$A:$A),MATCH(D$1,[1]quests!$1:$1,0)-MATCH($C$1,[1]quests!$1:$1,0)+1),MATCH(D$1,[1]quests!$1:$1,0)-MATCH($C$1,[1]quests!$1:$1,0)+1,FALSE)</f>
        <v>チャレンジタワー(ソロ専用)</v>
      </c>
      <c r="E182" s="4" t="str">
        <f ca="1">VLOOKUP($C182,OFFSET([1]quests!$A$1,0,0,COUNTA([1]quests!$A:$A),MATCH(E$1,[1]quests!$1:$1,0)-MATCH($C$1,[1]quests!$1:$1,0)+1),MATCH(E$1,[1]quests!$1:$1,0)-MATCH($C$1,[1]quests!$1:$1,0)+1,FALSE)</f>
        <v>試練の塔</v>
      </c>
      <c r="F182" s="6">
        <v>10</v>
      </c>
      <c r="G182" s="4" t="str">
        <f ca="1">VLOOKUP($C182&amp;"_"&amp;$F182,OFFSET([1]stages!$A$1,0,0,COUNTA([1]stages!$A:$A),MATCH(G$1,[1]stages!$2:$2,0)-MATCH("temp_stage",[1]stages!$2:$2,0)+1),MATCH(G$1,[1]stages!$2:$2,0)-MATCH("temp_stage",[1]stages!$2:$2,0)+1,FALSE)</f>
        <v>チャレンジタワー 10F</v>
      </c>
      <c r="H182" s="4" t="str">
        <f ca="1">VLOOKUP($C182&amp;"_"&amp;$F182,OFFSET([1]stages!$A$1,0,0,COUNTA([1]stages!$A:$A),MATCH(H$1,[1]stages!$2:$2,0)-MATCH("temp_stage",[1]stages!$2:$2,0)+1),MATCH(H$1,[1]stages!$2:$2,0)-MATCH("temp_stage",[1]stages!$2:$2,0)+1,FALSE)</f>
        <v>試練の塔</v>
      </c>
      <c r="I182" s="19">
        <v>0</v>
      </c>
      <c r="J182">
        <v>28</v>
      </c>
      <c r="K182" s="6" t="s">
        <v>33</v>
      </c>
      <c r="L182" s="32" t="str">
        <f>VLOOKUP(J182,[2]stage_hints!$A:$C,3,FALSE)</f>
        <v>詳細情報は長押しで！</v>
      </c>
      <c r="M182" s="33" t="str">
        <f>VLOOKUP(J182,[2]stage_hints!$A:$D,4,FALSE)</f>
        <v>ユニットのアイコンを長押しすると_x000D_ステータス情報を見ることができます</v>
      </c>
      <c r="N182" s="22" t="s">
        <v>105</v>
      </c>
      <c r="O182">
        <v>28</v>
      </c>
    </row>
    <row r="183" spans="1:15">
      <c r="A183" s="29" t="e">
        <f>C183&amp;"_"&amp;F183&amp;"_"&amp;#REF!</f>
        <v>#REF!</v>
      </c>
      <c r="B183" s="27" t="s">
        <v>32</v>
      </c>
      <c r="C183" s="5">
        <v>13001</v>
      </c>
      <c r="D183" s="4" t="str">
        <f ca="1">VLOOKUP($C183,OFFSET([1]quests!$A$1,0,0,COUNTA([1]quests!$A:$A),MATCH(D$1,[1]quests!$1:$1,0)-MATCH($C$1,[1]quests!$1:$1,0)+1),MATCH(D$1,[1]quests!$1:$1,0)-MATCH($C$1,[1]quests!$1:$1,0)+1,FALSE)</f>
        <v>チャレンジタワー(ソロ専用)</v>
      </c>
      <c r="E183" s="4" t="str">
        <f ca="1">VLOOKUP($C183,OFFSET([1]quests!$A$1,0,0,COUNTA([1]quests!$A:$A),MATCH(E$1,[1]quests!$1:$1,0)-MATCH($C$1,[1]quests!$1:$1,0)+1),MATCH(E$1,[1]quests!$1:$1,0)-MATCH($C$1,[1]quests!$1:$1,0)+1,FALSE)</f>
        <v>試練の塔</v>
      </c>
      <c r="F183" s="6">
        <v>10</v>
      </c>
      <c r="G183" s="4" t="str">
        <f ca="1">VLOOKUP($C183&amp;"_"&amp;$F183,OFFSET([1]stages!$A$1,0,0,COUNTA([1]stages!$A:$A),MATCH(G$1,[1]stages!$2:$2,0)-MATCH("temp_stage",[1]stages!$2:$2,0)+1),MATCH(G$1,[1]stages!$2:$2,0)-MATCH("temp_stage",[1]stages!$2:$2,0)+1,FALSE)</f>
        <v>チャレンジタワー 10F</v>
      </c>
      <c r="H183" s="4" t="str">
        <f ca="1">VLOOKUP($C183&amp;"_"&amp;$F183,OFFSET([1]stages!$A$1,0,0,COUNTA([1]stages!$A:$A),MATCH(H$1,[1]stages!$2:$2,0)-MATCH("temp_stage",[1]stages!$2:$2,0)+1),MATCH(H$1,[1]stages!$2:$2,0)-MATCH("temp_stage",[1]stages!$2:$2,0)+1,FALSE)</f>
        <v>試練の塔</v>
      </c>
      <c r="I183" s="19">
        <v>0</v>
      </c>
      <c r="J183">
        <v>29</v>
      </c>
      <c r="K183" s="6" t="s">
        <v>115</v>
      </c>
      <c r="L183" s="32" t="str">
        <f>VLOOKUP(J183,[2]stage_hints!$A:$C,3,FALSE)</f>
        <v>ステータスのバグって何？</v>
      </c>
      <c r="M183" s="33" t="str">
        <f>VLOOKUP(J183,[2]stage_hints!$A:$D,4,FALSE)</f>
        <v>「バグ」を上げると_x000D_報酬をもらえる確率がアップします</v>
      </c>
      <c r="N183" s="22" t="s">
        <v>83</v>
      </c>
      <c r="O183">
        <v>29</v>
      </c>
    </row>
    <row r="184" spans="1:15">
      <c r="A184" s="29" t="e">
        <f>C184&amp;"_"&amp;F184&amp;"_"&amp;#REF!</f>
        <v>#REF!</v>
      </c>
      <c r="B184" s="27" t="s">
        <v>32</v>
      </c>
      <c r="C184" s="5">
        <v>13001</v>
      </c>
      <c r="D184" s="4" t="str">
        <f ca="1">VLOOKUP($C184,OFFSET([1]quests!$A$1,0,0,COUNTA([1]quests!$A:$A),MATCH(D$1,[1]quests!$1:$1,0)-MATCH($C$1,[1]quests!$1:$1,0)+1),MATCH(D$1,[1]quests!$1:$1,0)-MATCH($C$1,[1]quests!$1:$1,0)+1,FALSE)</f>
        <v>チャレンジタワー(ソロ専用)</v>
      </c>
      <c r="E184" s="4" t="str">
        <f ca="1">VLOOKUP($C184,OFFSET([1]quests!$A$1,0,0,COUNTA([1]quests!$A:$A),MATCH(E$1,[1]quests!$1:$1,0)-MATCH($C$1,[1]quests!$1:$1,0)+1),MATCH(E$1,[1]quests!$1:$1,0)-MATCH($C$1,[1]quests!$1:$1,0)+1,FALSE)</f>
        <v>試練の塔</v>
      </c>
      <c r="F184" s="6">
        <v>10</v>
      </c>
      <c r="G184" s="4" t="str">
        <f ca="1">VLOOKUP($C184&amp;"_"&amp;$F184,OFFSET([1]stages!$A$1,0,0,COUNTA([1]stages!$A:$A),MATCH(G$1,[1]stages!$2:$2,0)-MATCH("temp_stage",[1]stages!$2:$2,0)+1),MATCH(G$1,[1]stages!$2:$2,0)-MATCH("temp_stage",[1]stages!$2:$2,0)+1,FALSE)</f>
        <v>チャレンジタワー 10F</v>
      </c>
      <c r="H184" s="4" t="str">
        <f ca="1">VLOOKUP($C184&amp;"_"&amp;$F184,OFFSET([1]stages!$A$1,0,0,COUNTA([1]stages!$A:$A),MATCH(H$1,[1]stages!$2:$2,0)-MATCH("temp_stage",[1]stages!$2:$2,0)+1),MATCH(H$1,[1]stages!$2:$2,0)-MATCH("temp_stage",[1]stages!$2:$2,0)+1,FALSE)</f>
        <v>試練の塔</v>
      </c>
      <c r="I184" s="19">
        <v>0</v>
      </c>
      <c r="J184">
        <v>30</v>
      </c>
      <c r="K184" s="6" t="s">
        <v>33</v>
      </c>
      <c r="L184" s="32" t="str">
        <f>VLOOKUP(J184,[2]stage_hints!$A:$C,3,FALSE)</f>
        <v>ステータスのバグを増やす方法</v>
      </c>
      <c r="M184" s="33" t="str">
        <f>VLOOKUP(J184,[2]stage_hints!$A:$D,4,FALSE)</f>
        <v>同じユニット同士を強化すると_x000D_「バグ」を増やすことができます</v>
      </c>
      <c r="N184" s="22" t="s">
        <v>120</v>
      </c>
      <c r="O184">
        <v>30</v>
      </c>
    </row>
    <row r="185" spans="1:15">
      <c r="A185" s="29" t="e">
        <f>C185&amp;"_"&amp;F185&amp;"_"&amp;#REF!</f>
        <v>#REF!</v>
      </c>
      <c r="B185" s="27" t="s">
        <v>32</v>
      </c>
      <c r="C185" s="5">
        <v>13001</v>
      </c>
      <c r="D185" s="4" t="str">
        <f ca="1">VLOOKUP($C185,OFFSET([1]quests!$A$1,0,0,COUNTA([1]quests!$A:$A),MATCH(D$1,[1]quests!$1:$1,0)-MATCH($C$1,[1]quests!$1:$1,0)+1),MATCH(D$1,[1]quests!$1:$1,0)-MATCH($C$1,[1]quests!$1:$1,0)+1,FALSE)</f>
        <v>チャレンジタワー(ソロ専用)</v>
      </c>
      <c r="E185" s="4" t="str">
        <f ca="1">VLOOKUP($C185,OFFSET([1]quests!$A$1,0,0,COUNTA([1]quests!$A:$A),MATCH(E$1,[1]quests!$1:$1,0)-MATCH($C$1,[1]quests!$1:$1,0)+1),MATCH(E$1,[1]quests!$1:$1,0)-MATCH($C$1,[1]quests!$1:$1,0)+1,FALSE)</f>
        <v>試練の塔</v>
      </c>
      <c r="F185" s="6">
        <v>10</v>
      </c>
      <c r="G185" s="4" t="str">
        <f ca="1">VLOOKUP($C185&amp;"_"&amp;$F185,OFFSET([1]stages!$A$1,0,0,COUNTA([1]stages!$A:$A),MATCH(G$1,[1]stages!$2:$2,0)-MATCH("temp_stage",[1]stages!$2:$2,0)+1),MATCH(G$1,[1]stages!$2:$2,0)-MATCH("temp_stage",[1]stages!$2:$2,0)+1,FALSE)</f>
        <v>チャレンジタワー 10F</v>
      </c>
      <c r="H185" s="4" t="str">
        <f ca="1">VLOOKUP($C185&amp;"_"&amp;$F185,OFFSET([1]stages!$A$1,0,0,COUNTA([1]stages!$A:$A),MATCH(H$1,[1]stages!$2:$2,0)-MATCH("temp_stage",[1]stages!$2:$2,0)+1),MATCH(H$1,[1]stages!$2:$2,0)-MATCH("temp_stage",[1]stages!$2:$2,0)+1,FALSE)</f>
        <v>試練の塔</v>
      </c>
      <c r="I185" s="19">
        <v>0</v>
      </c>
      <c r="J185">
        <v>31</v>
      </c>
      <c r="K185" s="6" t="s">
        <v>33</v>
      </c>
      <c r="L185" s="32" t="str">
        <f>VLOOKUP(J185,[2]stage_hints!$A:$C,3,FALSE)</f>
        <v>イベントを見逃すな！</v>
      </c>
      <c r="M185" s="33" t="str">
        <f>VLOOKUP(J185,[2]stage_hints!$A:$D,4,FALSE)</f>
        <v>特定のイベントでしか入手できない_x000D_ユニットがいるようです</v>
      </c>
      <c r="N185" s="22" t="s">
        <v>53</v>
      </c>
      <c r="O185">
        <v>31</v>
      </c>
    </row>
    <row r="186" spans="1:15">
      <c r="A186" s="29" t="e">
        <f>C186&amp;"_"&amp;F186&amp;"_"&amp;#REF!</f>
        <v>#REF!</v>
      </c>
      <c r="B186" s="27" t="s">
        <v>32</v>
      </c>
      <c r="C186" s="5">
        <v>13001</v>
      </c>
      <c r="D186" s="4" t="str">
        <f ca="1">VLOOKUP($C186,OFFSET([1]quests!$A$1,0,0,COUNTA([1]quests!$A:$A),MATCH(D$1,[1]quests!$1:$1,0)-MATCH($C$1,[1]quests!$1:$1,0)+1),MATCH(D$1,[1]quests!$1:$1,0)-MATCH($C$1,[1]quests!$1:$1,0)+1,FALSE)</f>
        <v>チャレンジタワー(ソロ専用)</v>
      </c>
      <c r="E186" s="4" t="str">
        <f ca="1">VLOOKUP($C186,OFFSET([1]quests!$A$1,0,0,COUNTA([1]quests!$A:$A),MATCH(E$1,[1]quests!$1:$1,0)-MATCH($C$1,[1]quests!$1:$1,0)+1),MATCH(E$1,[1]quests!$1:$1,0)-MATCH($C$1,[1]quests!$1:$1,0)+1,FALSE)</f>
        <v>試練の塔</v>
      </c>
      <c r="F186" s="6">
        <v>10</v>
      </c>
      <c r="G186" s="4" t="str">
        <f ca="1">VLOOKUP($C186&amp;"_"&amp;$F186,OFFSET([1]stages!$A$1,0,0,COUNTA([1]stages!$A:$A),MATCH(G$1,[1]stages!$2:$2,0)-MATCH("temp_stage",[1]stages!$2:$2,0)+1),MATCH(G$1,[1]stages!$2:$2,0)-MATCH("temp_stage",[1]stages!$2:$2,0)+1,FALSE)</f>
        <v>チャレンジタワー 10F</v>
      </c>
      <c r="H186" s="4" t="str">
        <f ca="1">VLOOKUP($C186&amp;"_"&amp;$F186,OFFSET([1]stages!$A$1,0,0,COUNTA([1]stages!$A:$A),MATCH(H$1,[1]stages!$2:$2,0)-MATCH("temp_stage",[1]stages!$2:$2,0)+1),MATCH(H$1,[1]stages!$2:$2,0)-MATCH("temp_stage",[1]stages!$2:$2,0)+1,FALSE)</f>
        <v>試練の塔</v>
      </c>
      <c r="I186" s="19">
        <v>0</v>
      </c>
      <c r="J186">
        <v>38</v>
      </c>
      <c r="K186" s="6" t="s">
        <v>33</v>
      </c>
      <c r="L186" s="32" t="str">
        <f>VLOOKUP(J186,[2]stage_hints!$A:$C,3,FALSE)</f>
        <v>お邪魔はフィーバーで落とせ！</v>
      </c>
      <c r="M186" s="33" t="str">
        <f>VLOOKUP(J186,[2]stage_hints!$A:$D,4,FALSE)</f>
        <v>消せない「お邪魔パネル」は_x000D_フィーバーで落としてしまいましょう</v>
      </c>
      <c r="N186" s="22" t="s">
        <v>39</v>
      </c>
      <c r="O186">
        <v>38</v>
      </c>
    </row>
    <row r="187" spans="1:15">
      <c r="A187" s="29" t="e">
        <f>C187&amp;"_"&amp;F187&amp;"_"&amp;#REF!</f>
        <v>#REF!</v>
      </c>
      <c r="B187" s="27" t="s">
        <v>32</v>
      </c>
      <c r="C187" s="5">
        <v>13001</v>
      </c>
      <c r="D187" s="4" t="str">
        <f ca="1">VLOOKUP($C187,OFFSET([1]quests!$A$1,0,0,COUNTA([1]quests!$A:$A),MATCH(D$1,[1]quests!$1:$1,0)-MATCH($C$1,[1]quests!$1:$1,0)+1),MATCH(D$1,[1]quests!$1:$1,0)-MATCH($C$1,[1]quests!$1:$1,0)+1,FALSE)</f>
        <v>チャレンジタワー(ソロ専用)</v>
      </c>
      <c r="E187" s="4" t="str">
        <f ca="1">VLOOKUP($C187,OFFSET([1]quests!$A$1,0,0,COUNTA([1]quests!$A:$A),MATCH(E$1,[1]quests!$1:$1,0)-MATCH($C$1,[1]quests!$1:$1,0)+1),MATCH(E$1,[1]quests!$1:$1,0)-MATCH($C$1,[1]quests!$1:$1,0)+1,FALSE)</f>
        <v>試練の塔</v>
      </c>
      <c r="F187" s="6">
        <v>11</v>
      </c>
      <c r="G187" s="4" t="str">
        <f ca="1">VLOOKUP($C187&amp;"_"&amp;$F187,OFFSET([1]stages!$A$1,0,0,COUNTA([1]stages!$A:$A),MATCH(G$1,[1]stages!$2:$2,0)-MATCH("temp_stage",[1]stages!$2:$2,0)+1),MATCH(G$1,[1]stages!$2:$2,0)-MATCH("temp_stage",[1]stages!$2:$2,0)+1,FALSE)</f>
        <v>チャレンジタワー 11F</v>
      </c>
      <c r="H187" s="4" t="str">
        <f ca="1">VLOOKUP($C187&amp;"_"&amp;$F187,OFFSET([1]stages!$A$1,0,0,COUNTA([1]stages!$A:$A),MATCH(H$1,[1]stages!$2:$2,0)-MATCH("temp_stage",[1]stages!$2:$2,0)+1),MATCH(H$1,[1]stages!$2:$2,0)-MATCH("temp_stage",[1]stages!$2:$2,0)+1,FALSE)</f>
        <v>試練の塔</v>
      </c>
      <c r="I187" s="19">
        <v>0</v>
      </c>
      <c r="J187">
        <v>3</v>
      </c>
      <c r="K187" s="6" t="s">
        <v>121</v>
      </c>
      <c r="L187" s="32" t="str">
        <f>VLOOKUP(J187,[2]stage_hints!$A:$C,3,FALSE)</f>
        <v>ターゲット</v>
      </c>
      <c r="M187" s="33" t="str">
        <f>VLOOKUP(J187,[2]stage_hints!$A:$D,4,FALSE)</f>
        <v>敵ユニットをタップすると_x000D_その敵を狙い撃ちできます</v>
      </c>
      <c r="N187" s="22" t="s">
        <v>57</v>
      </c>
      <c r="O187">
        <v>3</v>
      </c>
    </row>
    <row r="188" spans="1:15">
      <c r="A188" s="29" t="e">
        <f>C188&amp;"_"&amp;F188&amp;"_"&amp;#REF!</f>
        <v>#REF!</v>
      </c>
      <c r="B188" s="27" t="s">
        <v>32</v>
      </c>
      <c r="C188" s="5">
        <v>13001</v>
      </c>
      <c r="D188" s="4" t="str">
        <f ca="1">VLOOKUP($C188,OFFSET([1]quests!$A$1,0,0,COUNTA([1]quests!$A:$A),MATCH(D$1,[1]quests!$1:$1,0)-MATCH($C$1,[1]quests!$1:$1,0)+1),MATCH(D$1,[1]quests!$1:$1,0)-MATCH($C$1,[1]quests!$1:$1,0)+1,FALSE)</f>
        <v>チャレンジタワー(ソロ専用)</v>
      </c>
      <c r="E188" s="4" t="str">
        <f ca="1">VLOOKUP($C188,OFFSET([1]quests!$A$1,0,0,COUNTA([1]quests!$A:$A),MATCH(E$1,[1]quests!$1:$1,0)-MATCH($C$1,[1]quests!$1:$1,0)+1),MATCH(E$1,[1]quests!$1:$1,0)-MATCH($C$1,[1]quests!$1:$1,0)+1,FALSE)</f>
        <v>試練の塔</v>
      </c>
      <c r="F188" s="6">
        <v>11</v>
      </c>
      <c r="G188" s="4" t="str">
        <f ca="1">VLOOKUP($C188&amp;"_"&amp;$F188,OFFSET([1]stages!$A$1,0,0,COUNTA([1]stages!$A:$A),MATCH(G$1,[1]stages!$2:$2,0)-MATCH("temp_stage",[1]stages!$2:$2,0)+1),MATCH(G$1,[1]stages!$2:$2,0)-MATCH("temp_stage",[1]stages!$2:$2,0)+1,FALSE)</f>
        <v>チャレンジタワー 11F</v>
      </c>
      <c r="H188" s="4" t="str">
        <f ca="1">VLOOKUP($C188&amp;"_"&amp;$F188,OFFSET([1]stages!$A$1,0,0,COUNTA([1]stages!$A:$A),MATCH(H$1,[1]stages!$2:$2,0)-MATCH("temp_stage",[1]stages!$2:$2,0)+1),MATCH(H$1,[1]stages!$2:$2,0)-MATCH("temp_stage",[1]stages!$2:$2,0)+1,FALSE)</f>
        <v>試練の塔</v>
      </c>
      <c r="I188" s="19">
        <v>0</v>
      </c>
      <c r="J188">
        <v>5</v>
      </c>
      <c r="K188" s="6" t="s">
        <v>121</v>
      </c>
      <c r="L188" s="32" t="str">
        <f>VLOOKUP(J188,[2]stage_hints!$A:$C,3,FALSE)</f>
        <v>ユニット強化</v>
      </c>
      <c r="M188" s="33" t="str">
        <f>VLOOKUP(J188,[2]stage_hints!$A:$D,4,FALSE)</f>
        <v>「ユニット強化」でレベルアップすると_x000D_勝てない敵にも勝てるようになります</v>
      </c>
      <c r="N188" s="22" t="s">
        <v>84</v>
      </c>
      <c r="O188">
        <v>5</v>
      </c>
    </row>
    <row r="189" spans="1:15">
      <c r="A189" s="29" t="e">
        <f>C189&amp;"_"&amp;F189&amp;"_"&amp;#REF!</f>
        <v>#REF!</v>
      </c>
      <c r="B189" s="27" t="s">
        <v>32</v>
      </c>
      <c r="C189" s="5">
        <v>13001</v>
      </c>
      <c r="D189" s="4" t="str">
        <f ca="1">VLOOKUP($C189,OFFSET([1]quests!$A$1,0,0,COUNTA([1]quests!$A:$A),MATCH(D$1,[1]quests!$1:$1,0)-MATCH($C$1,[1]quests!$1:$1,0)+1),MATCH(D$1,[1]quests!$1:$1,0)-MATCH($C$1,[1]quests!$1:$1,0)+1,FALSE)</f>
        <v>チャレンジタワー(ソロ専用)</v>
      </c>
      <c r="E189" s="4" t="str">
        <f ca="1">VLOOKUP($C189,OFFSET([1]quests!$A$1,0,0,COUNTA([1]quests!$A:$A),MATCH(E$1,[1]quests!$1:$1,0)-MATCH($C$1,[1]quests!$1:$1,0)+1),MATCH(E$1,[1]quests!$1:$1,0)-MATCH($C$1,[1]quests!$1:$1,0)+1,FALSE)</f>
        <v>試練の塔</v>
      </c>
      <c r="F189" s="6">
        <v>11</v>
      </c>
      <c r="G189" s="4" t="str">
        <f ca="1">VLOOKUP($C189&amp;"_"&amp;$F189,OFFSET([1]stages!$A$1,0,0,COUNTA([1]stages!$A:$A),MATCH(G$1,[1]stages!$2:$2,0)-MATCH("temp_stage",[1]stages!$2:$2,0)+1),MATCH(G$1,[1]stages!$2:$2,0)-MATCH("temp_stage",[1]stages!$2:$2,0)+1,FALSE)</f>
        <v>チャレンジタワー 11F</v>
      </c>
      <c r="H189" s="4" t="str">
        <f ca="1">VLOOKUP($C189&amp;"_"&amp;$F189,OFFSET([1]stages!$A$1,0,0,COUNTA([1]stages!$A:$A),MATCH(H$1,[1]stages!$2:$2,0)-MATCH("temp_stage",[1]stages!$2:$2,0)+1),MATCH(H$1,[1]stages!$2:$2,0)-MATCH("temp_stage",[1]stages!$2:$2,0)+1,FALSE)</f>
        <v>試練の塔</v>
      </c>
      <c r="I189" s="19">
        <v>0</v>
      </c>
      <c r="J189">
        <v>6</v>
      </c>
      <c r="K189" s="6" t="s">
        <v>33</v>
      </c>
      <c r="L189" s="32" t="str">
        <f>VLOOKUP(J189,[2]stage_hints!$A:$C,3,FALSE)</f>
        <v>強化の属性ボーナス</v>
      </c>
      <c r="M189" s="33" t="str">
        <f>VLOOKUP(J189,[2]stage_hints!$A:$D,4,FALSE)</f>
        <v>同属性ユニットを強化素材にすると_x000D_経験値が多くもらえます</v>
      </c>
      <c r="N189" s="22" t="s">
        <v>84</v>
      </c>
      <c r="O189">
        <v>6</v>
      </c>
    </row>
    <row r="190" spans="1:15">
      <c r="A190" s="29" t="e">
        <f>C190&amp;"_"&amp;F190&amp;"_"&amp;#REF!</f>
        <v>#REF!</v>
      </c>
      <c r="B190" s="27" t="s">
        <v>32</v>
      </c>
      <c r="C190" s="5">
        <v>13001</v>
      </c>
      <c r="D190" s="4" t="str">
        <f ca="1">VLOOKUP($C190,OFFSET([1]quests!$A$1,0,0,COUNTA([1]quests!$A:$A),MATCH(D$1,[1]quests!$1:$1,0)-MATCH($C$1,[1]quests!$1:$1,0)+1),MATCH(D$1,[1]quests!$1:$1,0)-MATCH($C$1,[1]quests!$1:$1,0)+1,FALSE)</f>
        <v>チャレンジタワー(ソロ専用)</v>
      </c>
      <c r="E190" s="4" t="str">
        <f ca="1">VLOOKUP($C190,OFFSET([1]quests!$A$1,0,0,COUNTA([1]quests!$A:$A),MATCH(E$1,[1]quests!$1:$1,0)-MATCH($C$1,[1]quests!$1:$1,0)+1),MATCH(E$1,[1]quests!$1:$1,0)-MATCH($C$1,[1]quests!$1:$1,0)+1,FALSE)</f>
        <v>試練の塔</v>
      </c>
      <c r="F190" s="6">
        <v>11</v>
      </c>
      <c r="G190" s="4" t="str">
        <f ca="1">VLOOKUP($C190&amp;"_"&amp;$F190,OFFSET([1]stages!$A$1,0,0,COUNTA([1]stages!$A:$A),MATCH(G$1,[1]stages!$2:$2,0)-MATCH("temp_stage",[1]stages!$2:$2,0)+1),MATCH(G$1,[1]stages!$2:$2,0)-MATCH("temp_stage",[1]stages!$2:$2,0)+1,FALSE)</f>
        <v>チャレンジタワー 11F</v>
      </c>
      <c r="H190" s="4" t="str">
        <f ca="1">VLOOKUP($C190&amp;"_"&amp;$F190,OFFSET([1]stages!$A$1,0,0,COUNTA([1]stages!$A:$A),MATCH(H$1,[1]stages!$2:$2,0)-MATCH("temp_stage",[1]stages!$2:$2,0)+1),MATCH(H$1,[1]stages!$2:$2,0)-MATCH("temp_stage",[1]stages!$2:$2,0)+1,FALSE)</f>
        <v>試練の塔</v>
      </c>
      <c r="I190" s="19">
        <v>0</v>
      </c>
      <c r="J190">
        <v>7</v>
      </c>
      <c r="K190" s="6" t="s">
        <v>33</v>
      </c>
      <c r="L190" s="32" t="str">
        <f>VLOOKUP(J190,[2]stage_hints!$A:$C,3,FALSE)</f>
        <v>メタルダックをつかって強化しよう！</v>
      </c>
      <c r="M190" s="33" t="str">
        <f>VLOOKUP(J190,[2]stage_hints!$A:$D,4,FALSE)</f>
        <v>「メタルなアヒル」を強化素材にすると_x000D_大量の経験値がもらえます</v>
      </c>
      <c r="N190" s="22" t="s">
        <v>59</v>
      </c>
      <c r="O190">
        <v>7</v>
      </c>
    </row>
    <row r="191" spans="1:15">
      <c r="A191" s="29" t="e">
        <f>C191&amp;"_"&amp;F191&amp;"_"&amp;#REF!</f>
        <v>#REF!</v>
      </c>
      <c r="B191" s="27" t="s">
        <v>32</v>
      </c>
      <c r="C191" s="5">
        <v>13001</v>
      </c>
      <c r="D191" s="4" t="str">
        <f ca="1">VLOOKUP($C191,OFFSET([1]quests!$A$1,0,0,COUNTA([1]quests!$A:$A),MATCH(D$1,[1]quests!$1:$1,0)-MATCH($C$1,[1]quests!$1:$1,0)+1),MATCH(D$1,[1]quests!$1:$1,0)-MATCH($C$1,[1]quests!$1:$1,0)+1,FALSE)</f>
        <v>チャレンジタワー(ソロ専用)</v>
      </c>
      <c r="E191" s="4" t="str">
        <f ca="1">VLOOKUP($C191,OFFSET([1]quests!$A$1,0,0,COUNTA([1]quests!$A:$A),MATCH(E$1,[1]quests!$1:$1,0)-MATCH($C$1,[1]quests!$1:$1,0)+1),MATCH(E$1,[1]quests!$1:$1,0)-MATCH($C$1,[1]quests!$1:$1,0)+1,FALSE)</f>
        <v>試練の塔</v>
      </c>
      <c r="F191" s="6">
        <v>11</v>
      </c>
      <c r="G191" s="4" t="str">
        <f ca="1">VLOOKUP($C191&amp;"_"&amp;$F191,OFFSET([1]stages!$A$1,0,0,COUNTA([1]stages!$A:$A),MATCH(G$1,[1]stages!$2:$2,0)-MATCH("temp_stage",[1]stages!$2:$2,0)+1),MATCH(G$1,[1]stages!$2:$2,0)-MATCH("temp_stage",[1]stages!$2:$2,0)+1,FALSE)</f>
        <v>チャレンジタワー 11F</v>
      </c>
      <c r="H191" s="4" t="str">
        <f ca="1">VLOOKUP($C191&amp;"_"&amp;$F191,OFFSET([1]stages!$A$1,0,0,COUNTA([1]stages!$A:$A),MATCH(H$1,[1]stages!$2:$2,0)-MATCH("temp_stage",[1]stages!$2:$2,0)+1),MATCH(H$1,[1]stages!$2:$2,0)-MATCH("temp_stage",[1]stages!$2:$2,0)+1,FALSE)</f>
        <v>試練の塔</v>
      </c>
      <c r="I191" s="19">
        <v>0</v>
      </c>
      <c r="J191">
        <v>8</v>
      </c>
      <c r="K191" s="6" t="s">
        <v>33</v>
      </c>
      <c r="L191" s="32" t="str">
        <f>VLOOKUP(J191,[2]stage_hints!$A:$C,3,FALSE)</f>
        <v>ゲリラを見逃すな！</v>
      </c>
      <c r="M191" s="33" t="str">
        <f>VLOOKUP(J191,[2]stage_hints!$A:$D,4,FALSE)</f>
        <v>時間限定の「【緊急!!】アヒル捕獲作戦」では_x000D_経験値素材ユニットが多く手に入ります</v>
      </c>
      <c r="N191" s="22" t="s">
        <v>45</v>
      </c>
      <c r="O191">
        <v>8</v>
      </c>
    </row>
    <row r="192" spans="1:15">
      <c r="A192" s="29" t="e">
        <f>C192&amp;"_"&amp;F192&amp;"_"&amp;#REF!</f>
        <v>#REF!</v>
      </c>
      <c r="B192" s="27" t="s">
        <v>32</v>
      </c>
      <c r="C192" s="5">
        <v>13001</v>
      </c>
      <c r="D192" s="4" t="str">
        <f ca="1">VLOOKUP($C192,OFFSET([1]quests!$A$1,0,0,COUNTA([1]quests!$A:$A),MATCH(D$1,[1]quests!$1:$1,0)-MATCH($C$1,[1]quests!$1:$1,0)+1),MATCH(D$1,[1]quests!$1:$1,0)-MATCH($C$1,[1]quests!$1:$1,0)+1,FALSE)</f>
        <v>チャレンジタワー(ソロ専用)</v>
      </c>
      <c r="E192" s="4" t="str">
        <f ca="1">VLOOKUP($C192,OFFSET([1]quests!$A$1,0,0,COUNTA([1]quests!$A:$A),MATCH(E$1,[1]quests!$1:$1,0)-MATCH($C$1,[1]quests!$1:$1,0)+1),MATCH(E$1,[1]quests!$1:$1,0)-MATCH($C$1,[1]quests!$1:$1,0)+1,FALSE)</f>
        <v>試練の塔</v>
      </c>
      <c r="F192" s="6">
        <v>11</v>
      </c>
      <c r="G192" s="4" t="str">
        <f ca="1">VLOOKUP($C192&amp;"_"&amp;$F192,OFFSET([1]stages!$A$1,0,0,COUNTA([1]stages!$A:$A),MATCH(G$1,[1]stages!$2:$2,0)-MATCH("temp_stage",[1]stages!$2:$2,0)+1),MATCH(G$1,[1]stages!$2:$2,0)-MATCH("temp_stage",[1]stages!$2:$2,0)+1,FALSE)</f>
        <v>チャレンジタワー 11F</v>
      </c>
      <c r="H192" s="4" t="str">
        <f ca="1">VLOOKUP($C192&amp;"_"&amp;$F192,OFFSET([1]stages!$A$1,0,0,COUNTA([1]stages!$A:$A),MATCH(H$1,[1]stages!$2:$2,0)-MATCH("temp_stage",[1]stages!$2:$2,0)+1),MATCH(H$1,[1]stages!$2:$2,0)-MATCH("temp_stage",[1]stages!$2:$2,0)+1,FALSE)</f>
        <v>試練の塔</v>
      </c>
      <c r="I192" s="19">
        <v>0</v>
      </c>
      <c r="J192">
        <v>9</v>
      </c>
      <c r="K192" s="6" t="s">
        <v>58</v>
      </c>
      <c r="L192" s="32" t="str">
        <f>VLOOKUP(J192,[2]stage_hints!$A:$C,3,FALSE)</f>
        <v>ゴールドダックを売却すると大量ビット</v>
      </c>
      <c r="M192" s="33" t="str">
        <f>VLOOKUP(J192,[2]stage_hints!$A:$D,4,FALSE)</f>
        <v>「ゴールドなアヒル」を売却すると_x000D_大量のビットがもらえます</v>
      </c>
      <c r="N192" s="22" t="s">
        <v>66</v>
      </c>
      <c r="O192">
        <v>9</v>
      </c>
    </row>
    <row r="193" spans="1:15">
      <c r="A193" s="29" t="e">
        <f>C193&amp;"_"&amp;F193&amp;"_"&amp;#REF!</f>
        <v>#REF!</v>
      </c>
      <c r="B193" s="27" t="s">
        <v>32</v>
      </c>
      <c r="C193" s="5">
        <v>13001</v>
      </c>
      <c r="D193" s="4" t="str">
        <f ca="1">VLOOKUP($C193,OFFSET([1]quests!$A$1,0,0,COUNTA([1]quests!$A:$A),MATCH(D$1,[1]quests!$1:$1,0)-MATCH($C$1,[1]quests!$1:$1,0)+1),MATCH(D$1,[1]quests!$1:$1,0)-MATCH($C$1,[1]quests!$1:$1,0)+1,FALSE)</f>
        <v>チャレンジタワー(ソロ専用)</v>
      </c>
      <c r="E193" s="4" t="str">
        <f ca="1">VLOOKUP($C193,OFFSET([1]quests!$A$1,0,0,COUNTA([1]quests!$A:$A),MATCH(E$1,[1]quests!$1:$1,0)-MATCH($C$1,[1]quests!$1:$1,0)+1),MATCH(E$1,[1]quests!$1:$1,0)-MATCH($C$1,[1]quests!$1:$1,0)+1,FALSE)</f>
        <v>試練の塔</v>
      </c>
      <c r="F193" s="6">
        <v>11</v>
      </c>
      <c r="G193" s="4" t="str">
        <f ca="1">VLOOKUP($C193&amp;"_"&amp;$F193,OFFSET([1]stages!$A$1,0,0,COUNTA([1]stages!$A:$A),MATCH(G$1,[1]stages!$2:$2,0)-MATCH("temp_stage",[1]stages!$2:$2,0)+1),MATCH(G$1,[1]stages!$2:$2,0)-MATCH("temp_stage",[1]stages!$2:$2,0)+1,FALSE)</f>
        <v>チャレンジタワー 11F</v>
      </c>
      <c r="H193" s="4" t="str">
        <f ca="1">VLOOKUP($C193&amp;"_"&amp;$F193,OFFSET([1]stages!$A$1,0,0,COUNTA([1]stages!$A:$A),MATCH(H$1,[1]stages!$2:$2,0)-MATCH("temp_stage",[1]stages!$2:$2,0)+1),MATCH(H$1,[1]stages!$2:$2,0)-MATCH("temp_stage",[1]stages!$2:$2,0)+1,FALSE)</f>
        <v>試練の塔</v>
      </c>
      <c r="I193" s="19">
        <v>0</v>
      </c>
      <c r="J193">
        <v>10</v>
      </c>
      <c r="K193" s="6" t="s">
        <v>122</v>
      </c>
      <c r="L193" s="32" t="str">
        <f>VLOOKUP(J193,[2]stage_hints!$A:$C,3,FALSE)</f>
        <v>土日クエストで大量ビットをGET！！</v>
      </c>
      <c r="M193" s="33" t="str">
        <f>VLOOKUP(J193,[2]stage_hints!$A:$D,4,FALSE)</f>
        <v>土日限定の「ゴールドカジノ」では_x000D_売却素材ユニットが多く手に入ります</v>
      </c>
      <c r="N193" s="22" t="s">
        <v>45</v>
      </c>
      <c r="O193">
        <v>10</v>
      </c>
    </row>
    <row r="194" spans="1:15">
      <c r="A194" s="29" t="e">
        <f>C194&amp;"_"&amp;F194&amp;"_"&amp;#REF!</f>
        <v>#REF!</v>
      </c>
      <c r="B194" s="27" t="s">
        <v>32</v>
      </c>
      <c r="C194" s="5">
        <v>13001</v>
      </c>
      <c r="D194" s="4" t="str">
        <f ca="1">VLOOKUP($C194,OFFSET([1]quests!$A$1,0,0,COUNTA([1]quests!$A:$A),MATCH(D$1,[1]quests!$1:$1,0)-MATCH($C$1,[1]quests!$1:$1,0)+1),MATCH(D$1,[1]quests!$1:$1,0)-MATCH($C$1,[1]quests!$1:$1,0)+1,FALSE)</f>
        <v>チャレンジタワー(ソロ専用)</v>
      </c>
      <c r="E194" s="4" t="str">
        <f ca="1">VLOOKUP($C194,OFFSET([1]quests!$A$1,0,0,COUNTA([1]quests!$A:$A),MATCH(E$1,[1]quests!$1:$1,0)-MATCH($C$1,[1]quests!$1:$1,0)+1),MATCH(E$1,[1]quests!$1:$1,0)-MATCH($C$1,[1]quests!$1:$1,0)+1,FALSE)</f>
        <v>試練の塔</v>
      </c>
      <c r="F194" s="6">
        <v>11</v>
      </c>
      <c r="G194" s="4" t="str">
        <f ca="1">VLOOKUP($C194&amp;"_"&amp;$F194,OFFSET([1]stages!$A$1,0,0,COUNTA([1]stages!$A:$A),MATCH(G$1,[1]stages!$2:$2,0)-MATCH("temp_stage",[1]stages!$2:$2,0)+1),MATCH(G$1,[1]stages!$2:$2,0)-MATCH("temp_stage",[1]stages!$2:$2,0)+1,FALSE)</f>
        <v>チャレンジタワー 11F</v>
      </c>
      <c r="H194" s="4" t="str">
        <f ca="1">VLOOKUP($C194&amp;"_"&amp;$F194,OFFSET([1]stages!$A$1,0,0,COUNTA([1]stages!$A:$A),MATCH(H$1,[1]stages!$2:$2,0)-MATCH("temp_stage",[1]stages!$2:$2,0)+1),MATCH(H$1,[1]stages!$2:$2,0)-MATCH("temp_stage",[1]stages!$2:$2,0)+1,FALSE)</f>
        <v>試練の塔</v>
      </c>
      <c r="I194" s="19">
        <v>0</v>
      </c>
      <c r="J194">
        <v>11</v>
      </c>
      <c r="K194" s="6" t="s">
        <v>33</v>
      </c>
      <c r="L194" s="32" t="str">
        <f>VLOOKUP(J194,[2]stage_hints!$A:$C,3,FALSE)</f>
        <v>ランク開放クエスト</v>
      </c>
      <c r="M194" s="33" t="str">
        <f>VLOOKUP(J194,[2]stage_hints!$A:$D,4,FALSE)</f>
        <v>一定ランクに到達すると_x000D_報酬付きのランク開放クエストが現れます</v>
      </c>
      <c r="N194" s="22" t="s">
        <v>50</v>
      </c>
      <c r="O194">
        <v>11</v>
      </c>
    </row>
    <row r="195" spans="1:15">
      <c r="A195" s="29" t="e">
        <f>C195&amp;"_"&amp;F195&amp;"_"&amp;#REF!</f>
        <v>#REF!</v>
      </c>
      <c r="B195" s="27" t="s">
        <v>32</v>
      </c>
      <c r="C195" s="5">
        <v>13001</v>
      </c>
      <c r="D195" s="4" t="str">
        <f ca="1">VLOOKUP($C195,OFFSET([1]quests!$A$1,0,0,COUNTA([1]quests!$A:$A),MATCH(D$1,[1]quests!$1:$1,0)-MATCH($C$1,[1]quests!$1:$1,0)+1),MATCH(D$1,[1]quests!$1:$1,0)-MATCH($C$1,[1]quests!$1:$1,0)+1,FALSE)</f>
        <v>チャレンジタワー(ソロ専用)</v>
      </c>
      <c r="E195" s="4" t="str">
        <f ca="1">VLOOKUP($C195,OFFSET([1]quests!$A$1,0,0,COUNTA([1]quests!$A:$A),MATCH(E$1,[1]quests!$1:$1,0)-MATCH($C$1,[1]quests!$1:$1,0)+1),MATCH(E$1,[1]quests!$1:$1,0)-MATCH($C$1,[1]quests!$1:$1,0)+1,FALSE)</f>
        <v>試練の塔</v>
      </c>
      <c r="F195" s="6">
        <v>11</v>
      </c>
      <c r="G195" s="4" t="str">
        <f ca="1">VLOOKUP($C195&amp;"_"&amp;$F195,OFFSET([1]stages!$A$1,0,0,COUNTA([1]stages!$A:$A),MATCH(G$1,[1]stages!$2:$2,0)-MATCH("temp_stage",[1]stages!$2:$2,0)+1),MATCH(G$1,[1]stages!$2:$2,0)-MATCH("temp_stage",[1]stages!$2:$2,0)+1,FALSE)</f>
        <v>チャレンジタワー 11F</v>
      </c>
      <c r="H195" s="4" t="str">
        <f ca="1">VLOOKUP($C195&amp;"_"&amp;$F195,OFFSET([1]stages!$A$1,0,0,COUNTA([1]stages!$A:$A),MATCH(H$1,[1]stages!$2:$2,0)-MATCH("temp_stage",[1]stages!$2:$2,0)+1),MATCH(H$1,[1]stages!$2:$2,0)-MATCH("temp_stage",[1]stages!$2:$2,0)+1,FALSE)</f>
        <v>試練の塔</v>
      </c>
      <c r="I195" s="19">
        <v>0</v>
      </c>
      <c r="J195">
        <v>12</v>
      </c>
      <c r="K195" s="6" t="s">
        <v>58</v>
      </c>
      <c r="L195" s="32" t="str">
        <f>VLOOKUP(J195,[2]stage_hints!$A:$C,3,FALSE)</f>
        <v>お気に入り登録</v>
      </c>
      <c r="M195" s="33" t="str">
        <f>VLOOKUP(J195,[2]stage_hints!$A:$D,4,FALSE)</f>
        <v>大事なユニットは_x000D_フォルダから「お気に入り登録」しましょう</v>
      </c>
      <c r="N195" s="22" t="s">
        <v>123</v>
      </c>
      <c r="O195">
        <v>12</v>
      </c>
    </row>
    <row r="196" spans="1:15">
      <c r="A196" s="29" t="e">
        <f>C196&amp;"_"&amp;F196&amp;"_"&amp;#REF!</f>
        <v>#REF!</v>
      </c>
      <c r="B196" s="27" t="s">
        <v>32</v>
      </c>
      <c r="C196" s="5">
        <v>13001</v>
      </c>
      <c r="D196" s="4" t="str">
        <f ca="1">VLOOKUP($C196,OFFSET([1]quests!$A$1,0,0,COUNTA([1]quests!$A:$A),MATCH(D$1,[1]quests!$1:$1,0)-MATCH($C$1,[1]quests!$1:$1,0)+1),MATCH(D$1,[1]quests!$1:$1,0)-MATCH($C$1,[1]quests!$1:$1,0)+1,FALSE)</f>
        <v>チャレンジタワー(ソロ専用)</v>
      </c>
      <c r="E196" s="4" t="str">
        <f ca="1">VLOOKUP($C196,OFFSET([1]quests!$A$1,0,0,COUNTA([1]quests!$A:$A),MATCH(E$1,[1]quests!$1:$1,0)-MATCH($C$1,[1]quests!$1:$1,0)+1),MATCH(E$1,[1]quests!$1:$1,0)-MATCH($C$1,[1]quests!$1:$1,0)+1,FALSE)</f>
        <v>試練の塔</v>
      </c>
      <c r="F196" s="6">
        <v>11</v>
      </c>
      <c r="G196" s="4" t="str">
        <f ca="1">VLOOKUP($C196&amp;"_"&amp;$F196,OFFSET([1]stages!$A$1,0,0,COUNTA([1]stages!$A:$A),MATCH(G$1,[1]stages!$2:$2,0)-MATCH("temp_stage",[1]stages!$2:$2,0)+1),MATCH(G$1,[1]stages!$2:$2,0)-MATCH("temp_stage",[1]stages!$2:$2,0)+1,FALSE)</f>
        <v>チャレンジタワー 11F</v>
      </c>
      <c r="H196" s="4" t="str">
        <f ca="1">VLOOKUP($C196&amp;"_"&amp;$F196,OFFSET([1]stages!$A$1,0,0,COUNTA([1]stages!$A:$A),MATCH(H$1,[1]stages!$2:$2,0)-MATCH("temp_stage",[1]stages!$2:$2,0)+1),MATCH(H$1,[1]stages!$2:$2,0)-MATCH("temp_stage",[1]stages!$2:$2,0)+1,FALSE)</f>
        <v>試練の塔</v>
      </c>
      <c r="I196" s="19">
        <v>0</v>
      </c>
      <c r="J196">
        <v>13</v>
      </c>
      <c r="K196" s="6" t="s">
        <v>33</v>
      </c>
      <c r="L196" s="32" t="str">
        <f>VLOOKUP(J196,[2]stage_hints!$A:$C,3,FALSE)</f>
        <v>ユニットを覚醒させよう！</v>
      </c>
      <c r="M196" s="33" t="str">
        <f>VLOOKUP(J196,[2]stage_hints!$A:$D,4,FALSE)</f>
        <v>ユニットを覚醒させると_x000D_比べものにならない強さが手に入ります</v>
      </c>
      <c r="N196" s="22" t="s">
        <v>53</v>
      </c>
      <c r="O196">
        <v>13</v>
      </c>
    </row>
    <row r="197" spans="1:15">
      <c r="A197" s="29" t="e">
        <f>C197&amp;"_"&amp;F197&amp;"_"&amp;#REF!</f>
        <v>#REF!</v>
      </c>
      <c r="B197" s="27" t="s">
        <v>32</v>
      </c>
      <c r="C197" s="5">
        <v>13001</v>
      </c>
      <c r="D197" s="4" t="str">
        <f ca="1">VLOOKUP($C197,OFFSET([1]quests!$A$1,0,0,COUNTA([1]quests!$A:$A),MATCH(D$1,[1]quests!$1:$1,0)-MATCH($C$1,[1]quests!$1:$1,0)+1),MATCH(D$1,[1]quests!$1:$1,0)-MATCH($C$1,[1]quests!$1:$1,0)+1,FALSE)</f>
        <v>チャレンジタワー(ソロ専用)</v>
      </c>
      <c r="E197" s="4" t="str">
        <f ca="1">VLOOKUP($C197,OFFSET([1]quests!$A$1,0,0,COUNTA([1]quests!$A:$A),MATCH(E$1,[1]quests!$1:$1,0)-MATCH($C$1,[1]quests!$1:$1,0)+1),MATCH(E$1,[1]quests!$1:$1,0)-MATCH($C$1,[1]quests!$1:$1,0)+1,FALSE)</f>
        <v>試練の塔</v>
      </c>
      <c r="F197" s="6">
        <v>11</v>
      </c>
      <c r="G197" s="4" t="str">
        <f ca="1">VLOOKUP($C197&amp;"_"&amp;$F197,OFFSET([1]stages!$A$1,0,0,COUNTA([1]stages!$A:$A),MATCH(G$1,[1]stages!$2:$2,0)-MATCH("temp_stage",[1]stages!$2:$2,0)+1),MATCH(G$1,[1]stages!$2:$2,0)-MATCH("temp_stage",[1]stages!$2:$2,0)+1,FALSE)</f>
        <v>チャレンジタワー 11F</v>
      </c>
      <c r="H197" s="4" t="str">
        <f ca="1">VLOOKUP($C197&amp;"_"&amp;$F197,OFFSET([1]stages!$A$1,0,0,COUNTA([1]stages!$A:$A),MATCH(H$1,[1]stages!$2:$2,0)-MATCH("temp_stage",[1]stages!$2:$2,0)+1),MATCH(H$1,[1]stages!$2:$2,0)-MATCH("temp_stage",[1]stages!$2:$2,0)+1,FALSE)</f>
        <v>試練の塔</v>
      </c>
      <c r="I197" s="19">
        <v>0</v>
      </c>
      <c r="J197">
        <v>14</v>
      </c>
      <c r="K197" s="6" t="s">
        <v>69</v>
      </c>
      <c r="L197" s="32" t="str">
        <f>VLOOKUP(J197,[2]stage_hints!$A:$C,3,FALSE)</f>
        <v>覚醒するにはレベルをMAXに！</v>
      </c>
      <c r="M197" s="33" t="str">
        <f>VLOOKUP(J197,[2]stage_hints!$A:$D,4,FALSE)</f>
        <v>覚醒するにはユニットのレベルを_x000D_最大まで上げる必要があります</v>
      </c>
      <c r="N197" s="22" t="s">
        <v>59</v>
      </c>
      <c r="O197">
        <v>14</v>
      </c>
    </row>
    <row r="198" spans="1:15">
      <c r="A198" s="29" t="e">
        <f>C198&amp;"_"&amp;F198&amp;"_"&amp;#REF!</f>
        <v>#REF!</v>
      </c>
      <c r="B198" s="27" t="s">
        <v>32</v>
      </c>
      <c r="C198" s="5">
        <v>13001</v>
      </c>
      <c r="D198" s="4" t="str">
        <f ca="1">VLOOKUP($C198,OFFSET([1]quests!$A$1,0,0,COUNTA([1]quests!$A:$A),MATCH(D$1,[1]quests!$1:$1,0)-MATCH($C$1,[1]quests!$1:$1,0)+1),MATCH(D$1,[1]quests!$1:$1,0)-MATCH($C$1,[1]quests!$1:$1,0)+1,FALSE)</f>
        <v>チャレンジタワー(ソロ専用)</v>
      </c>
      <c r="E198" s="4" t="str">
        <f ca="1">VLOOKUP($C198,OFFSET([1]quests!$A$1,0,0,COUNTA([1]quests!$A:$A),MATCH(E$1,[1]quests!$1:$1,0)-MATCH($C$1,[1]quests!$1:$1,0)+1),MATCH(E$1,[1]quests!$1:$1,0)-MATCH($C$1,[1]quests!$1:$1,0)+1,FALSE)</f>
        <v>試練の塔</v>
      </c>
      <c r="F198" s="6">
        <v>11</v>
      </c>
      <c r="G198" s="4" t="str">
        <f ca="1">VLOOKUP($C198&amp;"_"&amp;$F198,OFFSET([1]stages!$A$1,0,0,COUNTA([1]stages!$A:$A),MATCH(G$1,[1]stages!$2:$2,0)-MATCH("temp_stage",[1]stages!$2:$2,0)+1),MATCH(G$1,[1]stages!$2:$2,0)-MATCH("temp_stage",[1]stages!$2:$2,0)+1,FALSE)</f>
        <v>チャレンジタワー 11F</v>
      </c>
      <c r="H198" s="4" t="str">
        <f ca="1">VLOOKUP($C198&amp;"_"&amp;$F198,OFFSET([1]stages!$A$1,0,0,COUNTA([1]stages!$A:$A),MATCH(H$1,[1]stages!$2:$2,0)-MATCH("temp_stage",[1]stages!$2:$2,0)+1),MATCH(H$1,[1]stages!$2:$2,0)-MATCH("temp_stage",[1]stages!$2:$2,0)+1,FALSE)</f>
        <v>試練の塔</v>
      </c>
      <c r="I198" s="19">
        <v>0</v>
      </c>
      <c r="J198">
        <v>15</v>
      </c>
      <c r="K198" s="6" t="s">
        <v>33</v>
      </c>
      <c r="L198" s="32" t="str">
        <f>VLOOKUP(J198,[2]stage_hints!$A:$C,3,FALSE)</f>
        <v>覚醒素材をGETしよう！</v>
      </c>
      <c r="M198" s="33" t="str">
        <f>VLOOKUP(J198,[2]stage_hints!$A:$D,4,FALSE)</f>
        <v>「曜日クエスト」では_x000D_覚醒に必要な覚醒素材が手に入ります</v>
      </c>
      <c r="N198" s="22" t="s">
        <v>124</v>
      </c>
      <c r="O198">
        <v>15</v>
      </c>
    </row>
    <row r="199" spans="1:15">
      <c r="A199" s="29" t="e">
        <f>C199&amp;"_"&amp;F199&amp;"_"&amp;#REF!</f>
        <v>#REF!</v>
      </c>
      <c r="B199" s="27" t="s">
        <v>32</v>
      </c>
      <c r="C199" s="5">
        <v>13001</v>
      </c>
      <c r="D199" s="4" t="str">
        <f ca="1">VLOOKUP($C199,OFFSET([1]quests!$A$1,0,0,COUNTA([1]quests!$A:$A),MATCH(D$1,[1]quests!$1:$1,0)-MATCH($C$1,[1]quests!$1:$1,0)+1),MATCH(D$1,[1]quests!$1:$1,0)-MATCH($C$1,[1]quests!$1:$1,0)+1,FALSE)</f>
        <v>チャレンジタワー(ソロ専用)</v>
      </c>
      <c r="E199" s="4" t="str">
        <f ca="1">VLOOKUP($C199,OFFSET([1]quests!$A$1,0,0,COUNTA([1]quests!$A:$A),MATCH(E$1,[1]quests!$1:$1,0)-MATCH($C$1,[1]quests!$1:$1,0)+1),MATCH(E$1,[1]quests!$1:$1,0)-MATCH($C$1,[1]quests!$1:$1,0)+1,FALSE)</f>
        <v>試練の塔</v>
      </c>
      <c r="F199" s="6">
        <v>11</v>
      </c>
      <c r="G199" s="4" t="str">
        <f ca="1">VLOOKUP($C199&amp;"_"&amp;$F199,OFFSET([1]stages!$A$1,0,0,COUNTA([1]stages!$A:$A),MATCH(G$1,[1]stages!$2:$2,0)-MATCH("temp_stage",[1]stages!$2:$2,0)+1),MATCH(G$1,[1]stages!$2:$2,0)-MATCH("temp_stage",[1]stages!$2:$2,0)+1,FALSE)</f>
        <v>チャレンジタワー 11F</v>
      </c>
      <c r="H199" s="4" t="str">
        <f ca="1">VLOOKUP($C199&amp;"_"&amp;$F199,OFFSET([1]stages!$A$1,0,0,COUNTA([1]stages!$A:$A),MATCH(H$1,[1]stages!$2:$2,0)-MATCH("temp_stage",[1]stages!$2:$2,0)+1),MATCH(H$1,[1]stages!$2:$2,0)-MATCH("temp_stage",[1]stages!$2:$2,0)+1,FALSE)</f>
        <v>試練の塔</v>
      </c>
      <c r="I199" s="19">
        <v>0</v>
      </c>
      <c r="J199">
        <v>16</v>
      </c>
      <c r="K199" s="6" t="s">
        <v>58</v>
      </c>
      <c r="L199" s="32" t="str">
        <f>VLOOKUP(J199,[2]stage_hints!$A:$C,3,FALSE)</f>
        <v>マルチプレイが熱い！　その1</v>
      </c>
      <c r="M199" s="33" t="str">
        <f>VLOOKUP(J199,[2]stage_hints!$A:$D,4,FALSE)</f>
        <v>マルチプレイをすると_x000D_初顔合わせボーナスで_x000D_100人までポリゴンがもらえます</v>
      </c>
      <c r="N199" s="22" t="s">
        <v>101</v>
      </c>
      <c r="O199">
        <v>16</v>
      </c>
    </row>
    <row r="200" spans="1:15">
      <c r="A200" s="29" t="e">
        <f>C200&amp;"_"&amp;F200&amp;"_"&amp;#REF!</f>
        <v>#REF!</v>
      </c>
      <c r="B200" s="27" t="s">
        <v>32</v>
      </c>
      <c r="C200" s="5">
        <v>13001</v>
      </c>
      <c r="D200" s="4" t="str">
        <f ca="1">VLOOKUP($C200,OFFSET([1]quests!$A$1,0,0,COUNTA([1]quests!$A:$A),MATCH(D$1,[1]quests!$1:$1,0)-MATCH($C$1,[1]quests!$1:$1,0)+1),MATCH(D$1,[1]quests!$1:$1,0)-MATCH($C$1,[1]quests!$1:$1,0)+1,FALSE)</f>
        <v>チャレンジタワー(ソロ専用)</v>
      </c>
      <c r="E200" s="4" t="str">
        <f ca="1">VLOOKUP($C200,OFFSET([1]quests!$A$1,0,0,COUNTA([1]quests!$A:$A),MATCH(E$1,[1]quests!$1:$1,0)-MATCH($C$1,[1]quests!$1:$1,0)+1),MATCH(E$1,[1]quests!$1:$1,0)-MATCH($C$1,[1]quests!$1:$1,0)+1,FALSE)</f>
        <v>試練の塔</v>
      </c>
      <c r="F200" s="6">
        <v>11</v>
      </c>
      <c r="G200" s="4" t="str">
        <f ca="1">VLOOKUP($C200&amp;"_"&amp;$F200,OFFSET([1]stages!$A$1,0,0,COUNTA([1]stages!$A:$A),MATCH(G$1,[1]stages!$2:$2,0)-MATCH("temp_stage",[1]stages!$2:$2,0)+1),MATCH(G$1,[1]stages!$2:$2,0)-MATCH("temp_stage",[1]stages!$2:$2,0)+1,FALSE)</f>
        <v>チャレンジタワー 11F</v>
      </c>
      <c r="H200" s="4" t="str">
        <f ca="1">VLOOKUP($C200&amp;"_"&amp;$F200,OFFSET([1]stages!$A$1,0,0,COUNTA([1]stages!$A:$A),MATCH(H$1,[1]stages!$2:$2,0)-MATCH("temp_stage",[1]stages!$2:$2,0)+1),MATCH(H$1,[1]stages!$2:$2,0)-MATCH("temp_stage",[1]stages!$2:$2,0)+1,FALSE)</f>
        <v>試練の塔</v>
      </c>
      <c r="I200" s="19">
        <v>0</v>
      </c>
      <c r="J200">
        <v>17</v>
      </c>
      <c r="K200" s="6" t="s">
        <v>125</v>
      </c>
      <c r="L200" s="32" t="str">
        <f>VLOOKUP(J200,[2]stage_hints!$A:$C,3,FALSE)</f>
        <v>リンクガチャを引いてみよう</v>
      </c>
      <c r="M200" s="33" t="str">
        <f>VLOOKUP(J200,[2]stage_hints!$A:$D,4,FALSE)</f>
        <v>リンクガチャを回して_x000D_メタルダックやゴールドダックを獲得しましょう</v>
      </c>
      <c r="N200" s="22" t="s">
        <v>67</v>
      </c>
      <c r="O200">
        <v>17</v>
      </c>
    </row>
    <row r="201" spans="1:15">
      <c r="A201" s="29" t="e">
        <f>C201&amp;"_"&amp;F201&amp;"_"&amp;#REF!</f>
        <v>#REF!</v>
      </c>
      <c r="B201" s="27" t="s">
        <v>32</v>
      </c>
      <c r="C201" s="5">
        <v>13001</v>
      </c>
      <c r="D201" s="4" t="str">
        <f ca="1">VLOOKUP($C201,OFFSET([1]quests!$A$1,0,0,COUNTA([1]quests!$A:$A),MATCH(D$1,[1]quests!$1:$1,0)-MATCH($C$1,[1]quests!$1:$1,0)+1),MATCH(D$1,[1]quests!$1:$1,0)-MATCH($C$1,[1]quests!$1:$1,0)+1,FALSE)</f>
        <v>チャレンジタワー(ソロ専用)</v>
      </c>
      <c r="E201" s="4" t="str">
        <f ca="1">VLOOKUP($C201,OFFSET([1]quests!$A$1,0,0,COUNTA([1]quests!$A:$A),MATCH(E$1,[1]quests!$1:$1,0)-MATCH($C$1,[1]quests!$1:$1,0)+1),MATCH(E$1,[1]quests!$1:$1,0)-MATCH($C$1,[1]quests!$1:$1,0)+1,FALSE)</f>
        <v>試練の塔</v>
      </c>
      <c r="F201" s="6">
        <v>11</v>
      </c>
      <c r="G201" s="4" t="str">
        <f ca="1">VLOOKUP($C201&amp;"_"&amp;$F201,OFFSET([1]stages!$A$1,0,0,COUNTA([1]stages!$A:$A),MATCH(G$1,[1]stages!$2:$2,0)-MATCH("temp_stage",[1]stages!$2:$2,0)+1),MATCH(G$1,[1]stages!$2:$2,0)-MATCH("temp_stage",[1]stages!$2:$2,0)+1,FALSE)</f>
        <v>チャレンジタワー 11F</v>
      </c>
      <c r="H201" s="4" t="str">
        <f ca="1">VLOOKUP($C201&amp;"_"&amp;$F201,OFFSET([1]stages!$A$1,0,0,COUNTA([1]stages!$A:$A),MATCH(H$1,[1]stages!$2:$2,0)-MATCH("temp_stage",[1]stages!$2:$2,0)+1),MATCH(H$1,[1]stages!$2:$2,0)-MATCH("temp_stage",[1]stages!$2:$2,0)+1,FALSE)</f>
        <v>試練の塔</v>
      </c>
      <c r="I201" s="19">
        <v>0</v>
      </c>
      <c r="J201">
        <v>18</v>
      </c>
      <c r="K201" s="6" t="s">
        <v>107</v>
      </c>
      <c r="L201" s="32" t="str">
        <f>VLOOKUP(J201,[2]stage_hints!$A:$C,3,FALSE)</f>
        <v>マルチプレイが熱い！　その2</v>
      </c>
      <c r="M201" s="33" t="str">
        <f>VLOOKUP(J201,[2]stage_hints!$A:$D,4,FALSE)</f>
        <v>マルチプレイなら_x000D_2倍のリンクがもらえます</v>
      </c>
      <c r="N201" s="22" t="s">
        <v>71</v>
      </c>
      <c r="O201">
        <v>18</v>
      </c>
    </row>
    <row r="202" spans="1:15">
      <c r="A202" s="29" t="e">
        <f>C202&amp;"_"&amp;F202&amp;"_"&amp;#REF!</f>
        <v>#REF!</v>
      </c>
      <c r="B202" s="27" t="s">
        <v>32</v>
      </c>
      <c r="C202" s="5">
        <v>13001</v>
      </c>
      <c r="D202" s="4" t="str">
        <f ca="1">VLOOKUP($C202,OFFSET([1]quests!$A$1,0,0,COUNTA([1]quests!$A:$A),MATCH(D$1,[1]quests!$1:$1,0)-MATCH($C$1,[1]quests!$1:$1,0)+1),MATCH(D$1,[1]quests!$1:$1,0)-MATCH($C$1,[1]quests!$1:$1,0)+1,FALSE)</f>
        <v>チャレンジタワー(ソロ専用)</v>
      </c>
      <c r="E202" s="4" t="str">
        <f ca="1">VLOOKUP($C202,OFFSET([1]quests!$A$1,0,0,COUNTA([1]quests!$A:$A),MATCH(E$1,[1]quests!$1:$1,0)-MATCH($C$1,[1]quests!$1:$1,0)+1),MATCH(E$1,[1]quests!$1:$1,0)-MATCH($C$1,[1]quests!$1:$1,0)+1,FALSE)</f>
        <v>試練の塔</v>
      </c>
      <c r="F202" s="6">
        <v>11</v>
      </c>
      <c r="G202" s="4" t="str">
        <f ca="1">VLOOKUP($C202&amp;"_"&amp;$F202,OFFSET([1]stages!$A$1,0,0,COUNTA([1]stages!$A:$A),MATCH(G$1,[1]stages!$2:$2,0)-MATCH("temp_stage",[1]stages!$2:$2,0)+1),MATCH(G$1,[1]stages!$2:$2,0)-MATCH("temp_stage",[1]stages!$2:$2,0)+1,FALSE)</f>
        <v>チャレンジタワー 11F</v>
      </c>
      <c r="H202" s="4" t="str">
        <f ca="1">VLOOKUP($C202&amp;"_"&amp;$F202,OFFSET([1]stages!$A$1,0,0,COUNTA([1]stages!$A:$A),MATCH(H$1,[1]stages!$2:$2,0)-MATCH("temp_stage",[1]stages!$2:$2,0)+1),MATCH(H$1,[1]stages!$2:$2,0)-MATCH("temp_stage",[1]stages!$2:$2,0)+1,FALSE)</f>
        <v>試練の塔</v>
      </c>
      <c r="I202" s="19">
        <v>0</v>
      </c>
      <c r="J202">
        <v>19</v>
      </c>
      <c r="K202" s="6" t="s">
        <v>126</v>
      </c>
      <c r="L202" s="32" t="str">
        <f>VLOOKUP(J202,[2]stage_hints!$A:$C,3,FALSE)</f>
        <v>チャレンジタワー</v>
      </c>
      <c r="M202" s="33" t="str">
        <f>VLOOKUP(J202,[2]stage_hints!$A:$D,4,FALSE)</f>
        <v>「チャレンジタワー」をクリアすると_x000D_各フロアごとに報酬がもらえます</v>
      </c>
      <c r="N202" s="22" t="s">
        <v>94</v>
      </c>
      <c r="O202">
        <v>19</v>
      </c>
    </row>
    <row r="203" spans="1:15">
      <c r="A203" s="29" t="e">
        <f>C203&amp;"_"&amp;F203&amp;"_"&amp;#REF!</f>
        <v>#REF!</v>
      </c>
      <c r="B203" s="27" t="s">
        <v>32</v>
      </c>
      <c r="C203" s="5">
        <v>13001</v>
      </c>
      <c r="D203" s="4" t="str">
        <f ca="1">VLOOKUP($C203,OFFSET([1]quests!$A$1,0,0,COUNTA([1]quests!$A:$A),MATCH(D$1,[1]quests!$1:$1,0)-MATCH($C$1,[1]quests!$1:$1,0)+1),MATCH(D$1,[1]quests!$1:$1,0)-MATCH($C$1,[1]quests!$1:$1,0)+1,FALSE)</f>
        <v>チャレンジタワー(ソロ専用)</v>
      </c>
      <c r="E203" s="4" t="str">
        <f ca="1">VLOOKUP($C203,OFFSET([1]quests!$A$1,0,0,COUNTA([1]quests!$A:$A),MATCH(E$1,[1]quests!$1:$1,0)-MATCH($C$1,[1]quests!$1:$1,0)+1),MATCH(E$1,[1]quests!$1:$1,0)-MATCH($C$1,[1]quests!$1:$1,0)+1,FALSE)</f>
        <v>試練の塔</v>
      </c>
      <c r="F203" s="6">
        <v>11</v>
      </c>
      <c r="G203" s="4" t="str">
        <f ca="1">VLOOKUP($C203&amp;"_"&amp;$F203,OFFSET([1]stages!$A$1,0,0,COUNTA([1]stages!$A:$A),MATCH(G$1,[1]stages!$2:$2,0)-MATCH("temp_stage",[1]stages!$2:$2,0)+1),MATCH(G$1,[1]stages!$2:$2,0)-MATCH("temp_stage",[1]stages!$2:$2,0)+1,FALSE)</f>
        <v>チャレンジタワー 11F</v>
      </c>
      <c r="H203" s="4" t="str">
        <f ca="1">VLOOKUP($C203&amp;"_"&amp;$F203,OFFSET([1]stages!$A$1,0,0,COUNTA([1]stages!$A:$A),MATCH(H$1,[1]stages!$2:$2,0)-MATCH("temp_stage",[1]stages!$2:$2,0)+1),MATCH(H$1,[1]stages!$2:$2,0)-MATCH("temp_stage",[1]stages!$2:$2,0)+1,FALSE)</f>
        <v>試練の塔</v>
      </c>
      <c r="I203" s="19">
        <v>0</v>
      </c>
      <c r="J203">
        <v>20</v>
      </c>
      <c r="K203" s="6" t="s">
        <v>33</v>
      </c>
      <c r="L203" s="32" t="str">
        <f>VLOOKUP(J203,[2]stage_hints!$A:$C,3,FALSE)</f>
        <v>マルチプレイが熱い！　その3</v>
      </c>
      <c r="M203" s="33" t="str">
        <f>VLOOKUP(J203,[2]stage_hints!$A:$D,4,FALSE)</f>
        <v>マルチプレイへの参加は_x000D_エナジー消費がありません</v>
      </c>
      <c r="N203" s="22" t="s">
        <v>39</v>
      </c>
      <c r="O203">
        <v>20</v>
      </c>
    </row>
    <row r="204" spans="1:15">
      <c r="A204" s="29" t="e">
        <f>C204&amp;"_"&amp;F204&amp;"_"&amp;#REF!</f>
        <v>#REF!</v>
      </c>
      <c r="B204" s="27" t="s">
        <v>32</v>
      </c>
      <c r="C204" s="5">
        <v>13001</v>
      </c>
      <c r="D204" s="4" t="str">
        <f ca="1">VLOOKUP($C204,OFFSET([1]quests!$A$1,0,0,COUNTA([1]quests!$A:$A),MATCH(D$1,[1]quests!$1:$1,0)-MATCH($C$1,[1]quests!$1:$1,0)+1),MATCH(D$1,[1]quests!$1:$1,0)-MATCH($C$1,[1]quests!$1:$1,0)+1,FALSE)</f>
        <v>チャレンジタワー(ソロ専用)</v>
      </c>
      <c r="E204" s="4" t="str">
        <f ca="1">VLOOKUP($C204,OFFSET([1]quests!$A$1,0,0,COUNTA([1]quests!$A:$A),MATCH(E$1,[1]quests!$1:$1,0)-MATCH($C$1,[1]quests!$1:$1,0)+1),MATCH(E$1,[1]quests!$1:$1,0)-MATCH($C$1,[1]quests!$1:$1,0)+1,FALSE)</f>
        <v>試練の塔</v>
      </c>
      <c r="F204" s="6">
        <v>11</v>
      </c>
      <c r="G204" s="4" t="str">
        <f ca="1">VLOOKUP($C204&amp;"_"&amp;$F204,OFFSET([1]stages!$A$1,0,0,COUNTA([1]stages!$A:$A),MATCH(G$1,[1]stages!$2:$2,0)-MATCH("temp_stage",[1]stages!$2:$2,0)+1),MATCH(G$1,[1]stages!$2:$2,0)-MATCH("temp_stage",[1]stages!$2:$2,0)+1,FALSE)</f>
        <v>チャレンジタワー 11F</v>
      </c>
      <c r="H204" s="4" t="str">
        <f ca="1">VLOOKUP($C204&amp;"_"&amp;$F204,OFFSET([1]stages!$A$1,0,0,COUNTA([1]stages!$A:$A),MATCH(H$1,[1]stages!$2:$2,0)-MATCH("temp_stage",[1]stages!$2:$2,0)+1),MATCH(H$1,[1]stages!$2:$2,0)-MATCH("temp_stage",[1]stages!$2:$2,0)+1,FALSE)</f>
        <v>試練の塔</v>
      </c>
      <c r="I204" s="19">
        <v>0</v>
      </c>
      <c r="J204">
        <v>21</v>
      </c>
      <c r="K204" s="6" t="s">
        <v>122</v>
      </c>
      <c r="L204" s="32" t="str">
        <f>VLOOKUP(J204,[2]stage_hints!$A:$C,3,FALSE)</f>
        <v>スキルを有効に使おう</v>
      </c>
      <c r="M204" s="33" t="str">
        <f>VLOOKUP(J204,[2]stage_hints!$A:$D,4,FALSE)</f>
        <v>ターン経過でユニットは_x000D_強力なスキルが使えるようになります</v>
      </c>
      <c r="N204" s="22" t="s">
        <v>39</v>
      </c>
      <c r="O204">
        <v>21</v>
      </c>
    </row>
    <row r="205" spans="1:15">
      <c r="A205" s="29" t="e">
        <f>C205&amp;"_"&amp;F205&amp;"_"&amp;#REF!</f>
        <v>#REF!</v>
      </c>
      <c r="B205" s="27" t="s">
        <v>32</v>
      </c>
      <c r="C205" s="5">
        <v>13001</v>
      </c>
      <c r="D205" s="4" t="str">
        <f ca="1">VLOOKUP($C205,OFFSET([1]quests!$A$1,0,0,COUNTA([1]quests!$A:$A),MATCH(D$1,[1]quests!$1:$1,0)-MATCH($C$1,[1]quests!$1:$1,0)+1),MATCH(D$1,[1]quests!$1:$1,0)-MATCH($C$1,[1]quests!$1:$1,0)+1,FALSE)</f>
        <v>チャレンジタワー(ソロ専用)</v>
      </c>
      <c r="E205" s="4" t="str">
        <f ca="1">VLOOKUP($C205,OFFSET([1]quests!$A$1,0,0,COUNTA([1]quests!$A:$A),MATCH(E$1,[1]quests!$1:$1,0)-MATCH($C$1,[1]quests!$1:$1,0)+1),MATCH(E$1,[1]quests!$1:$1,0)-MATCH($C$1,[1]quests!$1:$1,0)+1,FALSE)</f>
        <v>試練の塔</v>
      </c>
      <c r="F205" s="6">
        <v>11</v>
      </c>
      <c r="G205" s="4" t="str">
        <f ca="1">VLOOKUP($C205&amp;"_"&amp;$F205,OFFSET([1]stages!$A$1,0,0,COUNTA([1]stages!$A:$A),MATCH(G$1,[1]stages!$2:$2,0)-MATCH("temp_stage",[1]stages!$2:$2,0)+1),MATCH(G$1,[1]stages!$2:$2,0)-MATCH("temp_stage",[1]stages!$2:$2,0)+1,FALSE)</f>
        <v>チャレンジタワー 11F</v>
      </c>
      <c r="H205" s="4" t="str">
        <f ca="1">VLOOKUP($C205&amp;"_"&amp;$F205,OFFSET([1]stages!$A$1,0,0,COUNTA([1]stages!$A:$A),MATCH(H$1,[1]stages!$2:$2,0)-MATCH("temp_stage",[1]stages!$2:$2,0)+1),MATCH(H$1,[1]stages!$2:$2,0)-MATCH("temp_stage",[1]stages!$2:$2,0)+1,FALSE)</f>
        <v>試練の塔</v>
      </c>
      <c r="I205" s="19">
        <v>0</v>
      </c>
      <c r="J205">
        <v>22</v>
      </c>
      <c r="K205" s="6" t="s">
        <v>33</v>
      </c>
      <c r="L205" s="32" t="str">
        <f>VLOOKUP(J205,[2]stage_hints!$A:$C,3,FALSE)</f>
        <v>フィーバーを使って一発逆転</v>
      </c>
      <c r="M205" s="33" t="str">
        <f>VLOOKUP(J205,[2]stage_hints!$A:$D,4,FALSE)</f>
        <v>ピンチの時はフィーバーで_x000D_一発逆転を狙いましょう</v>
      </c>
      <c r="N205" s="22" t="s">
        <v>34</v>
      </c>
      <c r="O205">
        <v>22</v>
      </c>
    </row>
    <row r="206" spans="1:15">
      <c r="A206" s="29" t="e">
        <f>C206&amp;"_"&amp;F206&amp;"_"&amp;#REF!</f>
        <v>#REF!</v>
      </c>
      <c r="B206" s="27" t="s">
        <v>32</v>
      </c>
      <c r="C206" s="5">
        <v>13001</v>
      </c>
      <c r="D206" s="4" t="str">
        <f ca="1">VLOOKUP($C206,OFFSET([1]quests!$A$1,0,0,COUNTA([1]quests!$A:$A),MATCH(D$1,[1]quests!$1:$1,0)-MATCH($C$1,[1]quests!$1:$1,0)+1),MATCH(D$1,[1]quests!$1:$1,0)-MATCH($C$1,[1]quests!$1:$1,0)+1,FALSE)</f>
        <v>チャレンジタワー(ソロ専用)</v>
      </c>
      <c r="E206" s="4" t="str">
        <f ca="1">VLOOKUP($C206,OFFSET([1]quests!$A$1,0,0,COUNTA([1]quests!$A:$A),MATCH(E$1,[1]quests!$1:$1,0)-MATCH($C$1,[1]quests!$1:$1,0)+1),MATCH(E$1,[1]quests!$1:$1,0)-MATCH($C$1,[1]quests!$1:$1,0)+1,FALSE)</f>
        <v>試練の塔</v>
      </c>
      <c r="F206" s="6">
        <v>11</v>
      </c>
      <c r="G206" s="4" t="str">
        <f ca="1">VLOOKUP($C206&amp;"_"&amp;$F206,OFFSET([1]stages!$A$1,0,0,COUNTA([1]stages!$A:$A),MATCH(G$1,[1]stages!$2:$2,0)-MATCH("temp_stage",[1]stages!$2:$2,0)+1),MATCH(G$1,[1]stages!$2:$2,0)-MATCH("temp_stage",[1]stages!$2:$2,0)+1,FALSE)</f>
        <v>チャレンジタワー 11F</v>
      </c>
      <c r="H206" s="4" t="str">
        <f ca="1">VLOOKUP($C206&amp;"_"&amp;$F206,OFFSET([1]stages!$A$1,0,0,COUNTA([1]stages!$A:$A),MATCH(H$1,[1]stages!$2:$2,0)-MATCH("temp_stage",[1]stages!$2:$2,0)+1),MATCH(H$1,[1]stages!$2:$2,0)-MATCH("temp_stage",[1]stages!$2:$2,0)+1,FALSE)</f>
        <v>試練の塔</v>
      </c>
      <c r="I206" s="19">
        <v>0</v>
      </c>
      <c r="J206">
        <v>23</v>
      </c>
      <c r="K206" s="6" t="s">
        <v>86</v>
      </c>
      <c r="L206" s="32" t="str">
        <f>VLOOKUP(J206,[2]stage_hints!$A:$C,3,FALSE)</f>
        <v>フィーバーは虹パネルを狙おう！</v>
      </c>
      <c r="M206" s="33" t="str">
        <f>VLOOKUP(J206,[2]stage_hints!$A:$D,4,FALSE)</f>
        <v>フィーバー中は虹色のパネルを壊して_x000D_大ダメージを狙いましょう</v>
      </c>
      <c r="N206" s="22" t="s">
        <v>83</v>
      </c>
      <c r="O206">
        <v>23</v>
      </c>
    </row>
    <row r="207" spans="1:15">
      <c r="A207" s="29" t="e">
        <f>C207&amp;"_"&amp;F207&amp;"_"&amp;#REF!</f>
        <v>#REF!</v>
      </c>
      <c r="B207" s="27" t="s">
        <v>32</v>
      </c>
      <c r="C207" s="5">
        <v>13001</v>
      </c>
      <c r="D207" s="4" t="str">
        <f ca="1">VLOOKUP($C207,OFFSET([1]quests!$A$1,0,0,COUNTA([1]quests!$A:$A),MATCH(D$1,[1]quests!$1:$1,0)-MATCH($C$1,[1]quests!$1:$1,0)+1),MATCH(D$1,[1]quests!$1:$1,0)-MATCH($C$1,[1]quests!$1:$1,0)+1,FALSE)</f>
        <v>チャレンジタワー(ソロ専用)</v>
      </c>
      <c r="E207" s="4" t="str">
        <f ca="1">VLOOKUP($C207,OFFSET([1]quests!$A$1,0,0,COUNTA([1]quests!$A:$A),MATCH(E$1,[1]quests!$1:$1,0)-MATCH($C$1,[1]quests!$1:$1,0)+1),MATCH(E$1,[1]quests!$1:$1,0)-MATCH($C$1,[1]quests!$1:$1,0)+1,FALSE)</f>
        <v>試練の塔</v>
      </c>
      <c r="F207" s="6">
        <v>11</v>
      </c>
      <c r="G207" s="4" t="str">
        <f ca="1">VLOOKUP($C207&amp;"_"&amp;$F207,OFFSET([1]stages!$A$1,0,0,COUNTA([1]stages!$A:$A),MATCH(G$1,[1]stages!$2:$2,0)-MATCH("temp_stage",[1]stages!$2:$2,0)+1),MATCH(G$1,[1]stages!$2:$2,0)-MATCH("temp_stage",[1]stages!$2:$2,0)+1,FALSE)</f>
        <v>チャレンジタワー 11F</v>
      </c>
      <c r="H207" s="4" t="str">
        <f ca="1">VLOOKUP($C207&amp;"_"&amp;$F207,OFFSET([1]stages!$A$1,0,0,COUNTA([1]stages!$A:$A),MATCH(H$1,[1]stages!$2:$2,0)-MATCH("temp_stage",[1]stages!$2:$2,0)+1),MATCH(H$1,[1]stages!$2:$2,0)-MATCH("temp_stage",[1]stages!$2:$2,0)+1,FALSE)</f>
        <v>試練の塔</v>
      </c>
      <c r="I207" s="19">
        <v>0</v>
      </c>
      <c r="J207">
        <v>24</v>
      </c>
      <c r="K207" s="6" t="s">
        <v>33</v>
      </c>
      <c r="L207" s="32" t="str">
        <f>VLOOKUP(J207,[2]stage_hints!$A:$C,3,FALSE)</f>
        <v>リンゴをつかって限界突破！</v>
      </c>
      <c r="M207" s="33" t="str">
        <f>VLOOKUP(J207,[2]stage_hints!$A:$D,4,FALSE)</f>
        <v>赤りんご(攻撃力)、青りんご(回復力)、_x000D_緑りんご(体力)は_x000D_合計99個までステータスを上げられます</v>
      </c>
      <c r="N207" s="22" t="s">
        <v>104</v>
      </c>
      <c r="O207">
        <v>24</v>
      </c>
    </row>
    <row r="208" spans="1:15">
      <c r="A208" s="29" t="e">
        <f>C208&amp;"_"&amp;F208&amp;"_"&amp;#REF!</f>
        <v>#REF!</v>
      </c>
      <c r="B208" s="27" t="s">
        <v>32</v>
      </c>
      <c r="C208" s="5">
        <v>13001</v>
      </c>
      <c r="D208" s="4" t="str">
        <f ca="1">VLOOKUP($C208,OFFSET([1]quests!$A$1,0,0,COUNTA([1]quests!$A:$A),MATCH(D$1,[1]quests!$1:$1,0)-MATCH($C$1,[1]quests!$1:$1,0)+1),MATCH(D$1,[1]quests!$1:$1,0)-MATCH($C$1,[1]quests!$1:$1,0)+1,FALSE)</f>
        <v>チャレンジタワー(ソロ専用)</v>
      </c>
      <c r="E208" s="4" t="str">
        <f ca="1">VLOOKUP($C208,OFFSET([1]quests!$A$1,0,0,COUNTA([1]quests!$A:$A),MATCH(E$1,[1]quests!$1:$1,0)-MATCH($C$1,[1]quests!$1:$1,0)+1),MATCH(E$1,[1]quests!$1:$1,0)-MATCH($C$1,[1]quests!$1:$1,0)+1,FALSE)</f>
        <v>試練の塔</v>
      </c>
      <c r="F208" s="6">
        <v>11</v>
      </c>
      <c r="G208" s="4" t="str">
        <f ca="1">VLOOKUP($C208&amp;"_"&amp;$F208,OFFSET([1]stages!$A$1,0,0,COUNTA([1]stages!$A:$A),MATCH(G$1,[1]stages!$2:$2,0)-MATCH("temp_stage",[1]stages!$2:$2,0)+1),MATCH(G$1,[1]stages!$2:$2,0)-MATCH("temp_stage",[1]stages!$2:$2,0)+1,FALSE)</f>
        <v>チャレンジタワー 11F</v>
      </c>
      <c r="H208" s="4" t="str">
        <f ca="1">VLOOKUP($C208&amp;"_"&amp;$F208,OFFSET([1]stages!$A$1,0,0,COUNTA([1]stages!$A:$A),MATCH(H$1,[1]stages!$2:$2,0)-MATCH("temp_stage",[1]stages!$2:$2,0)+1),MATCH(H$1,[1]stages!$2:$2,0)-MATCH("temp_stage",[1]stages!$2:$2,0)+1,FALSE)</f>
        <v>試練の塔</v>
      </c>
      <c r="I208" s="19">
        <v>0</v>
      </c>
      <c r="J208">
        <v>25</v>
      </c>
      <c r="K208" s="6" t="s">
        <v>122</v>
      </c>
      <c r="L208" s="32" t="str">
        <f>VLOOKUP(J208,[2]stage_hints!$A:$C,3,FALSE)</f>
        <v>クリスタルリンゴはスキルLvUP！</v>
      </c>
      <c r="M208" s="33" t="str">
        <f>VLOOKUP(J208,[2]stage_hints!$A:$D,4,FALSE)</f>
        <v>「クリスタルのりんご」を強化に使うと_x000D_スキルLvを上げることができます</v>
      </c>
      <c r="N208" s="22" t="s">
        <v>106</v>
      </c>
      <c r="O208">
        <v>25</v>
      </c>
    </row>
    <row r="209" spans="1:15">
      <c r="A209" s="29" t="e">
        <f>C209&amp;"_"&amp;F209&amp;"_"&amp;#REF!</f>
        <v>#REF!</v>
      </c>
      <c r="B209" s="27" t="s">
        <v>32</v>
      </c>
      <c r="C209" s="5">
        <v>13001</v>
      </c>
      <c r="D209" s="4" t="str">
        <f ca="1">VLOOKUP($C209,OFFSET([1]quests!$A$1,0,0,COUNTA([1]quests!$A:$A),MATCH(D$1,[1]quests!$1:$1,0)-MATCH($C$1,[1]quests!$1:$1,0)+1),MATCH(D$1,[1]quests!$1:$1,0)-MATCH($C$1,[1]quests!$1:$1,0)+1,FALSE)</f>
        <v>チャレンジタワー(ソロ専用)</v>
      </c>
      <c r="E209" s="4" t="str">
        <f ca="1">VLOOKUP($C209,OFFSET([1]quests!$A$1,0,0,COUNTA([1]quests!$A:$A),MATCH(E$1,[1]quests!$1:$1,0)-MATCH($C$1,[1]quests!$1:$1,0)+1),MATCH(E$1,[1]quests!$1:$1,0)-MATCH($C$1,[1]quests!$1:$1,0)+1,FALSE)</f>
        <v>試練の塔</v>
      </c>
      <c r="F209" s="6">
        <v>11</v>
      </c>
      <c r="G209" s="4" t="str">
        <f ca="1">VLOOKUP($C209&amp;"_"&amp;$F209,OFFSET([1]stages!$A$1,0,0,COUNTA([1]stages!$A:$A),MATCH(G$1,[1]stages!$2:$2,0)-MATCH("temp_stage",[1]stages!$2:$2,0)+1),MATCH(G$1,[1]stages!$2:$2,0)-MATCH("temp_stage",[1]stages!$2:$2,0)+1,FALSE)</f>
        <v>チャレンジタワー 11F</v>
      </c>
      <c r="H209" s="4" t="str">
        <f ca="1">VLOOKUP($C209&amp;"_"&amp;$F209,OFFSET([1]stages!$A$1,0,0,COUNTA([1]stages!$A:$A),MATCH(H$1,[1]stages!$2:$2,0)-MATCH("temp_stage",[1]stages!$2:$2,0)+1),MATCH(H$1,[1]stages!$2:$2,0)-MATCH("temp_stage",[1]stages!$2:$2,0)+1,FALSE)</f>
        <v>試練の塔</v>
      </c>
      <c r="I209" s="19">
        <v>0</v>
      </c>
      <c r="J209">
        <v>26</v>
      </c>
      <c r="K209" s="6" t="s">
        <v>33</v>
      </c>
      <c r="L209" s="32" t="str">
        <f>VLOOKUP(J209,[2]stage_hints!$A:$C,3,FALSE)</f>
        <v>スキルLv</v>
      </c>
      <c r="M209" s="33" t="str">
        <f>VLOOKUP(J209,[2]stage_hints!$A:$D,4,FALSE)</f>
        <v>スキルLvが上がると_x000D_短いターンでスキルを使うことができます</v>
      </c>
      <c r="N209" s="22" t="s">
        <v>101</v>
      </c>
      <c r="O209">
        <v>26</v>
      </c>
    </row>
    <row r="210" spans="1:15">
      <c r="A210" s="29" t="e">
        <f>C210&amp;"_"&amp;F210&amp;"_"&amp;#REF!</f>
        <v>#REF!</v>
      </c>
      <c r="B210" s="27" t="s">
        <v>32</v>
      </c>
      <c r="C210" s="5">
        <v>13001</v>
      </c>
      <c r="D210" s="4" t="str">
        <f ca="1">VLOOKUP($C210,OFFSET([1]quests!$A$1,0,0,COUNTA([1]quests!$A:$A),MATCH(D$1,[1]quests!$1:$1,0)-MATCH($C$1,[1]quests!$1:$1,0)+1),MATCH(D$1,[1]quests!$1:$1,0)-MATCH($C$1,[1]quests!$1:$1,0)+1,FALSE)</f>
        <v>チャレンジタワー(ソロ専用)</v>
      </c>
      <c r="E210" s="4" t="str">
        <f ca="1">VLOOKUP($C210,OFFSET([1]quests!$A$1,0,0,COUNTA([1]quests!$A:$A),MATCH(E$1,[1]quests!$1:$1,0)-MATCH($C$1,[1]quests!$1:$1,0)+1),MATCH(E$1,[1]quests!$1:$1,0)-MATCH($C$1,[1]quests!$1:$1,0)+1,FALSE)</f>
        <v>試練の塔</v>
      </c>
      <c r="F210" s="6">
        <v>11</v>
      </c>
      <c r="G210" s="4" t="str">
        <f ca="1">VLOOKUP($C210&amp;"_"&amp;$F210,OFFSET([1]stages!$A$1,0,0,COUNTA([1]stages!$A:$A),MATCH(G$1,[1]stages!$2:$2,0)-MATCH("temp_stage",[1]stages!$2:$2,0)+1),MATCH(G$1,[1]stages!$2:$2,0)-MATCH("temp_stage",[1]stages!$2:$2,0)+1,FALSE)</f>
        <v>チャレンジタワー 11F</v>
      </c>
      <c r="H210" s="4" t="str">
        <f ca="1">VLOOKUP($C210&amp;"_"&amp;$F210,OFFSET([1]stages!$A$1,0,0,COUNTA([1]stages!$A:$A),MATCH(H$1,[1]stages!$2:$2,0)-MATCH("temp_stage",[1]stages!$2:$2,0)+1),MATCH(H$1,[1]stages!$2:$2,0)-MATCH("temp_stage",[1]stages!$2:$2,0)+1,FALSE)</f>
        <v>試練の塔</v>
      </c>
      <c r="I210" s="19">
        <v>0</v>
      </c>
      <c r="J210">
        <v>27</v>
      </c>
      <c r="K210" s="6" t="s">
        <v>33</v>
      </c>
      <c r="L210" s="32" t="str">
        <f>VLOOKUP(J210,[2]stage_hints!$A:$C,3,FALSE)</f>
        <v>ホーム画面からデッキを編成！</v>
      </c>
      <c r="M210" s="33" t="str">
        <f>VLOOKUP(J210,[2]stage_hints!$A:$D,4,FALSE)</f>
        <v>ホームでユニットを長押しすると_x000D_すぐにパーティ編成に移動できます</v>
      </c>
      <c r="N210" s="22" t="s">
        <v>51</v>
      </c>
      <c r="O210">
        <v>27</v>
      </c>
    </row>
    <row r="211" spans="1:15">
      <c r="A211" s="29" t="e">
        <f>C211&amp;"_"&amp;F211&amp;"_"&amp;#REF!</f>
        <v>#REF!</v>
      </c>
      <c r="B211" s="27" t="s">
        <v>32</v>
      </c>
      <c r="C211" s="5">
        <v>13001</v>
      </c>
      <c r="D211" s="4" t="str">
        <f ca="1">VLOOKUP($C211,OFFSET([1]quests!$A$1,0,0,COUNTA([1]quests!$A:$A),MATCH(D$1,[1]quests!$1:$1,0)-MATCH($C$1,[1]quests!$1:$1,0)+1),MATCH(D$1,[1]quests!$1:$1,0)-MATCH($C$1,[1]quests!$1:$1,0)+1,FALSE)</f>
        <v>チャレンジタワー(ソロ専用)</v>
      </c>
      <c r="E211" s="4" t="str">
        <f ca="1">VLOOKUP($C211,OFFSET([1]quests!$A$1,0,0,COUNTA([1]quests!$A:$A),MATCH(E$1,[1]quests!$1:$1,0)-MATCH($C$1,[1]quests!$1:$1,0)+1),MATCH(E$1,[1]quests!$1:$1,0)-MATCH($C$1,[1]quests!$1:$1,0)+1,FALSE)</f>
        <v>試練の塔</v>
      </c>
      <c r="F211" s="6">
        <v>11</v>
      </c>
      <c r="G211" s="4" t="str">
        <f ca="1">VLOOKUP($C211&amp;"_"&amp;$F211,OFFSET([1]stages!$A$1,0,0,COUNTA([1]stages!$A:$A),MATCH(G$1,[1]stages!$2:$2,0)-MATCH("temp_stage",[1]stages!$2:$2,0)+1),MATCH(G$1,[1]stages!$2:$2,0)-MATCH("temp_stage",[1]stages!$2:$2,0)+1,FALSE)</f>
        <v>チャレンジタワー 11F</v>
      </c>
      <c r="H211" s="4" t="str">
        <f ca="1">VLOOKUP($C211&amp;"_"&amp;$F211,OFFSET([1]stages!$A$1,0,0,COUNTA([1]stages!$A:$A),MATCH(H$1,[1]stages!$2:$2,0)-MATCH("temp_stage",[1]stages!$2:$2,0)+1),MATCH(H$1,[1]stages!$2:$2,0)-MATCH("temp_stage",[1]stages!$2:$2,0)+1,FALSE)</f>
        <v>試練の塔</v>
      </c>
      <c r="I211" s="19">
        <v>0</v>
      </c>
      <c r="J211">
        <v>28</v>
      </c>
      <c r="K211" s="6" t="s">
        <v>122</v>
      </c>
      <c r="L211" s="32" t="str">
        <f>VLOOKUP(J211,[2]stage_hints!$A:$C,3,FALSE)</f>
        <v>詳細情報は長押しで！</v>
      </c>
      <c r="M211" s="33" t="str">
        <f>VLOOKUP(J211,[2]stage_hints!$A:$D,4,FALSE)</f>
        <v>ユニットのアイコンを長押しすると_x000D_ステータス情報を見ることができます</v>
      </c>
      <c r="N211" s="22" t="s">
        <v>34</v>
      </c>
      <c r="O211">
        <v>28</v>
      </c>
    </row>
    <row r="212" spans="1:15">
      <c r="A212" s="29" t="e">
        <f>C212&amp;"_"&amp;F212&amp;"_"&amp;#REF!</f>
        <v>#REF!</v>
      </c>
      <c r="B212" s="27" t="s">
        <v>32</v>
      </c>
      <c r="C212" s="5">
        <v>13001</v>
      </c>
      <c r="D212" s="4" t="str">
        <f ca="1">VLOOKUP($C212,OFFSET([1]quests!$A$1,0,0,COUNTA([1]quests!$A:$A),MATCH(D$1,[1]quests!$1:$1,0)-MATCH($C$1,[1]quests!$1:$1,0)+1),MATCH(D$1,[1]quests!$1:$1,0)-MATCH($C$1,[1]quests!$1:$1,0)+1,FALSE)</f>
        <v>チャレンジタワー(ソロ専用)</v>
      </c>
      <c r="E212" s="4" t="str">
        <f ca="1">VLOOKUP($C212,OFFSET([1]quests!$A$1,0,0,COUNTA([1]quests!$A:$A),MATCH(E$1,[1]quests!$1:$1,0)-MATCH($C$1,[1]quests!$1:$1,0)+1),MATCH(E$1,[1]quests!$1:$1,0)-MATCH($C$1,[1]quests!$1:$1,0)+1,FALSE)</f>
        <v>試練の塔</v>
      </c>
      <c r="F212" s="6">
        <v>11</v>
      </c>
      <c r="G212" s="4" t="str">
        <f ca="1">VLOOKUP($C212&amp;"_"&amp;$F212,OFFSET([1]stages!$A$1,0,0,COUNTA([1]stages!$A:$A),MATCH(G$1,[1]stages!$2:$2,0)-MATCH("temp_stage",[1]stages!$2:$2,0)+1),MATCH(G$1,[1]stages!$2:$2,0)-MATCH("temp_stage",[1]stages!$2:$2,0)+1,FALSE)</f>
        <v>チャレンジタワー 11F</v>
      </c>
      <c r="H212" s="4" t="str">
        <f ca="1">VLOOKUP($C212&amp;"_"&amp;$F212,OFFSET([1]stages!$A$1,0,0,COUNTA([1]stages!$A:$A),MATCH(H$1,[1]stages!$2:$2,0)-MATCH("temp_stage",[1]stages!$2:$2,0)+1),MATCH(H$1,[1]stages!$2:$2,0)-MATCH("temp_stage",[1]stages!$2:$2,0)+1,FALSE)</f>
        <v>試練の塔</v>
      </c>
      <c r="I212" s="19">
        <v>0</v>
      </c>
      <c r="J212">
        <v>29</v>
      </c>
      <c r="K212" s="6" t="s">
        <v>58</v>
      </c>
      <c r="L212" s="32" t="str">
        <f>VLOOKUP(J212,[2]stage_hints!$A:$C,3,FALSE)</f>
        <v>ステータスのバグって何？</v>
      </c>
      <c r="M212" s="33" t="str">
        <f>VLOOKUP(J212,[2]stage_hints!$A:$D,4,FALSE)</f>
        <v>「バグ」を上げると_x000D_報酬をもらえる確率がアップします</v>
      </c>
      <c r="N212" s="22" t="s">
        <v>39</v>
      </c>
      <c r="O212">
        <v>29</v>
      </c>
    </row>
    <row r="213" spans="1:15">
      <c r="A213" s="29" t="e">
        <f>C213&amp;"_"&amp;F213&amp;"_"&amp;#REF!</f>
        <v>#REF!</v>
      </c>
      <c r="B213" s="27" t="s">
        <v>32</v>
      </c>
      <c r="C213" s="5">
        <v>13001</v>
      </c>
      <c r="D213" s="4" t="str">
        <f ca="1">VLOOKUP($C213,OFFSET([1]quests!$A$1,0,0,COUNTA([1]quests!$A:$A),MATCH(D$1,[1]quests!$1:$1,0)-MATCH($C$1,[1]quests!$1:$1,0)+1),MATCH(D$1,[1]quests!$1:$1,0)-MATCH($C$1,[1]quests!$1:$1,0)+1,FALSE)</f>
        <v>チャレンジタワー(ソロ専用)</v>
      </c>
      <c r="E213" s="4" t="str">
        <f ca="1">VLOOKUP($C213,OFFSET([1]quests!$A$1,0,0,COUNTA([1]quests!$A:$A),MATCH(E$1,[1]quests!$1:$1,0)-MATCH($C$1,[1]quests!$1:$1,0)+1),MATCH(E$1,[1]quests!$1:$1,0)-MATCH($C$1,[1]quests!$1:$1,0)+1,FALSE)</f>
        <v>試練の塔</v>
      </c>
      <c r="F213" s="6">
        <v>11</v>
      </c>
      <c r="G213" s="4" t="str">
        <f ca="1">VLOOKUP($C213&amp;"_"&amp;$F213,OFFSET([1]stages!$A$1,0,0,COUNTA([1]stages!$A:$A),MATCH(G$1,[1]stages!$2:$2,0)-MATCH("temp_stage",[1]stages!$2:$2,0)+1),MATCH(G$1,[1]stages!$2:$2,0)-MATCH("temp_stage",[1]stages!$2:$2,0)+1,FALSE)</f>
        <v>チャレンジタワー 11F</v>
      </c>
      <c r="H213" s="4" t="str">
        <f ca="1">VLOOKUP($C213&amp;"_"&amp;$F213,OFFSET([1]stages!$A$1,0,0,COUNTA([1]stages!$A:$A),MATCH(H$1,[1]stages!$2:$2,0)-MATCH("temp_stage",[1]stages!$2:$2,0)+1),MATCH(H$1,[1]stages!$2:$2,0)-MATCH("temp_stage",[1]stages!$2:$2,0)+1,FALSE)</f>
        <v>試練の塔</v>
      </c>
      <c r="I213" s="19">
        <v>0</v>
      </c>
      <c r="J213">
        <v>30</v>
      </c>
      <c r="K213" s="6" t="s">
        <v>33</v>
      </c>
      <c r="L213" s="32" t="str">
        <f>VLOOKUP(J213,[2]stage_hints!$A:$C,3,FALSE)</f>
        <v>ステータスのバグを増やす方法</v>
      </c>
      <c r="M213" s="33" t="str">
        <f>VLOOKUP(J213,[2]stage_hints!$A:$D,4,FALSE)</f>
        <v>同じユニット同士を強化すると_x000D_「バグ」を増やすことができます</v>
      </c>
      <c r="N213" s="22" t="s">
        <v>93</v>
      </c>
      <c r="O213">
        <v>30</v>
      </c>
    </row>
    <row r="214" spans="1:15">
      <c r="A214" s="29" t="e">
        <f>C214&amp;"_"&amp;F214&amp;"_"&amp;#REF!</f>
        <v>#REF!</v>
      </c>
      <c r="B214" s="27" t="s">
        <v>32</v>
      </c>
      <c r="C214" s="5">
        <v>13001</v>
      </c>
      <c r="D214" s="4" t="str">
        <f ca="1">VLOOKUP($C214,OFFSET([1]quests!$A$1,0,0,COUNTA([1]quests!$A:$A),MATCH(D$1,[1]quests!$1:$1,0)-MATCH($C$1,[1]quests!$1:$1,0)+1),MATCH(D$1,[1]quests!$1:$1,0)-MATCH($C$1,[1]quests!$1:$1,0)+1,FALSE)</f>
        <v>チャレンジタワー(ソロ専用)</v>
      </c>
      <c r="E214" s="4" t="str">
        <f ca="1">VLOOKUP($C214,OFFSET([1]quests!$A$1,0,0,COUNTA([1]quests!$A:$A),MATCH(E$1,[1]quests!$1:$1,0)-MATCH($C$1,[1]quests!$1:$1,0)+1),MATCH(E$1,[1]quests!$1:$1,0)-MATCH($C$1,[1]quests!$1:$1,0)+1,FALSE)</f>
        <v>試練の塔</v>
      </c>
      <c r="F214" s="6">
        <v>11</v>
      </c>
      <c r="G214" s="4" t="str">
        <f ca="1">VLOOKUP($C214&amp;"_"&amp;$F214,OFFSET([1]stages!$A$1,0,0,COUNTA([1]stages!$A:$A),MATCH(G$1,[1]stages!$2:$2,0)-MATCH("temp_stage",[1]stages!$2:$2,0)+1),MATCH(G$1,[1]stages!$2:$2,0)-MATCH("temp_stage",[1]stages!$2:$2,0)+1,FALSE)</f>
        <v>チャレンジタワー 11F</v>
      </c>
      <c r="H214" s="4" t="str">
        <f ca="1">VLOOKUP($C214&amp;"_"&amp;$F214,OFFSET([1]stages!$A$1,0,0,COUNTA([1]stages!$A:$A),MATCH(H$1,[1]stages!$2:$2,0)-MATCH("temp_stage",[1]stages!$2:$2,0)+1),MATCH(H$1,[1]stages!$2:$2,0)-MATCH("temp_stage",[1]stages!$2:$2,0)+1,FALSE)</f>
        <v>試練の塔</v>
      </c>
      <c r="I214" s="19">
        <v>0</v>
      </c>
      <c r="J214">
        <v>31</v>
      </c>
      <c r="K214" s="6" t="s">
        <v>33</v>
      </c>
      <c r="L214" s="32" t="str">
        <f>VLOOKUP(J214,[2]stage_hints!$A:$C,3,FALSE)</f>
        <v>イベントを見逃すな！</v>
      </c>
      <c r="M214" s="33" t="str">
        <f>VLOOKUP(J214,[2]stage_hints!$A:$D,4,FALSE)</f>
        <v>特定のイベントでしか入手できない_x000D_ユニットがいるようです</v>
      </c>
      <c r="N214" s="22" t="s">
        <v>94</v>
      </c>
      <c r="O214">
        <v>31</v>
      </c>
    </row>
    <row r="215" spans="1:15">
      <c r="A215" s="29" t="e">
        <f>C215&amp;"_"&amp;F215&amp;"_"&amp;#REF!</f>
        <v>#REF!</v>
      </c>
      <c r="B215" s="27" t="s">
        <v>32</v>
      </c>
      <c r="C215" s="5">
        <v>13001</v>
      </c>
      <c r="D215" s="4" t="str">
        <f ca="1">VLOOKUP($C215,OFFSET([1]quests!$A$1,0,0,COUNTA([1]quests!$A:$A),MATCH(D$1,[1]quests!$1:$1,0)-MATCH($C$1,[1]quests!$1:$1,0)+1),MATCH(D$1,[1]quests!$1:$1,0)-MATCH($C$1,[1]quests!$1:$1,0)+1,FALSE)</f>
        <v>チャレンジタワー(ソロ専用)</v>
      </c>
      <c r="E215" s="4" t="str">
        <f ca="1">VLOOKUP($C215,OFFSET([1]quests!$A$1,0,0,COUNTA([1]quests!$A:$A),MATCH(E$1,[1]quests!$1:$1,0)-MATCH($C$1,[1]quests!$1:$1,0)+1),MATCH(E$1,[1]quests!$1:$1,0)-MATCH($C$1,[1]quests!$1:$1,0)+1,FALSE)</f>
        <v>試練の塔</v>
      </c>
      <c r="F215" s="6">
        <v>11</v>
      </c>
      <c r="G215" s="4" t="str">
        <f ca="1">VLOOKUP($C215&amp;"_"&amp;$F215,OFFSET([1]stages!$A$1,0,0,COUNTA([1]stages!$A:$A),MATCH(G$1,[1]stages!$2:$2,0)-MATCH("temp_stage",[1]stages!$2:$2,0)+1),MATCH(G$1,[1]stages!$2:$2,0)-MATCH("temp_stage",[1]stages!$2:$2,0)+1,FALSE)</f>
        <v>チャレンジタワー 11F</v>
      </c>
      <c r="H215" s="4" t="str">
        <f ca="1">VLOOKUP($C215&amp;"_"&amp;$F215,OFFSET([1]stages!$A$1,0,0,COUNTA([1]stages!$A:$A),MATCH(H$1,[1]stages!$2:$2,0)-MATCH("temp_stage",[1]stages!$2:$2,0)+1),MATCH(H$1,[1]stages!$2:$2,0)-MATCH("temp_stage",[1]stages!$2:$2,0)+1,FALSE)</f>
        <v>試練の塔</v>
      </c>
      <c r="I215" s="19">
        <v>0</v>
      </c>
      <c r="J215">
        <v>38</v>
      </c>
      <c r="K215" s="6" t="s">
        <v>33</v>
      </c>
      <c r="L215" s="32" t="str">
        <f>VLOOKUP(J215,[2]stage_hints!$A:$C,3,FALSE)</f>
        <v>お邪魔はフィーバーで落とせ！</v>
      </c>
      <c r="M215" s="33" t="str">
        <f>VLOOKUP(J215,[2]stage_hints!$A:$D,4,FALSE)</f>
        <v>消せない「お邪魔パネル」は_x000D_フィーバーで落としてしまいましょう</v>
      </c>
      <c r="N215" s="22" t="s">
        <v>78</v>
      </c>
      <c r="O215">
        <v>38</v>
      </c>
    </row>
    <row r="216" spans="1:15">
      <c r="A216" s="29" t="e">
        <f>C216&amp;"_"&amp;F216&amp;"_"&amp;#REF!</f>
        <v>#REF!</v>
      </c>
      <c r="B216" s="27" t="s">
        <v>32</v>
      </c>
      <c r="C216" s="5">
        <v>13001</v>
      </c>
      <c r="D216" s="4" t="str">
        <f ca="1">VLOOKUP($C216,OFFSET([1]quests!$A$1,0,0,COUNTA([1]quests!$A:$A),MATCH(D$1,[1]quests!$1:$1,0)-MATCH($C$1,[1]quests!$1:$1,0)+1),MATCH(D$1,[1]quests!$1:$1,0)-MATCH($C$1,[1]quests!$1:$1,0)+1,FALSE)</f>
        <v>チャレンジタワー(ソロ専用)</v>
      </c>
      <c r="E216" s="4" t="str">
        <f ca="1">VLOOKUP($C216,OFFSET([1]quests!$A$1,0,0,COUNTA([1]quests!$A:$A),MATCH(E$1,[1]quests!$1:$1,0)-MATCH($C$1,[1]quests!$1:$1,0)+1),MATCH(E$1,[1]quests!$1:$1,0)-MATCH($C$1,[1]quests!$1:$1,0)+1,FALSE)</f>
        <v>試練の塔</v>
      </c>
      <c r="F216" s="6">
        <v>12</v>
      </c>
      <c r="G216" s="4" t="str">
        <f ca="1">VLOOKUP($C216&amp;"_"&amp;$F216,OFFSET([1]stages!$A$1,0,0,COUNTA([1]stages!$A:$A),MATCH(G$1,[1]stages!$2:$2,0)-MATCH("temp_stage",[1]stages!$2:$2,0)+1),MATCH(G$1,[1]stages!$2:$2,0)-MATCH("temp_stage",[1]stages!$2:$2,0)+1,FALSE)</f>
        <v>チャレンジタワー 12F</v>
      </c>
      <c r="H216" s="4" t="str">
        <f ca="1">VLOOKUP($C216&amp;"_"&amp;$F216,OFFSET([1]stages!$A$1,0,0,COUNTA([1]stages!$A:$A),MATCH(H$1,[1]stages!$2:$2,0)-MATCH("temp_stage",[1]stages!$2:$2,0)+1),MATCH(H$1,[1]stages!$2:$2,0)-MATCH("temp_stage",[1]stages!$2:$2,0)+1,FALSE)</f>
        <v>試練の塔</v>
      </c>
      <c r="I216" s="19">
        <v>0</v>
      </c>
      <c r="J216">
        <v>32</v>
      </c>
      <c r="K216" s="6" t="s">
        <v>33</v>
      </c>
      <c r="L216" s="32" t="str">
        <f>VLOOKUP(J216,[2]stage_hints!$A:$C,3,FALSE)</f>
        <v>連続攻撃をしてくる敵には</v>
      </c>
      <c r="M216" s="33" t="str">
        <f>VLOOKUP(J216,[2]stage_hints!$A:$D,4,FALSE)</f>
        <v>敵の連続攻撃には「カウンター」スキルが有効！_x000D_ダメージ回数分の攻撃を返せます</v>
      </c>
      <c r="N216" s="22" t="s">
        <v>39</v>
      </c>
      <c r="O216">
        <v>32</v>
      </c>
    </row>
    <row r="217" spans="1:15">
      <c r="A217" s="29" t="e">
        <f>C217&amp;"_"&amp;F217&amp;"_"&amp;#REF!</f>
        <v>#REF!</v>
      </c>
      <c r="B217" s="27" t="s">
        <v>32</v>
      </c>
      <c r="C217" s="5">
        <v>13001</v>
      </c>
      <c r="D217" s="4" t="str">
        <f ca="1">VLOOKUP($C217,OFFSET([1]quests!$A$1,0,0,COUNTA([1]quests!$A:$A),MATCH(D$1,[1]quests!$1:$1,0)-MATCH($C$1,[1]quests!$1:$1,0)+1),MATCH(D$1,[1]quests!$1:$1,0)-MATCH($C$1,[1]quests!$1:$1,0)+1,FALSE)</f>
        <v>チャレンジタワー(ソロ専用)</v>
      </c>
      <c r="E217" s="4" t="str">
        <f ca="1">VLOOKUP($C217,OFFSET([1]quests!$A$1,0,0,COUNTA([1]quests!$A:$A),MATCH(E$1,[1]quests!$1:$1,0)-MATCH($C$1,[1]quests!$1:$1,0)+1),MATCH(E$1,[1]quests!$1:$1,0)-MATCH($C$1,[1]quests!$1:$1,0)+1,FALSE)</f>
        <v>試練の塔</v>
      </c>
      <c r="F217" s="6">
        <v>12</v>
      </c>
      <c r="G217" s="4" t="str">
        <f ca="1">VLOOKUP($C217&amp;"_"&amp;$F217,OFFSET([1]stages!$A$1,0,0,COUNTA([1]stages!$A:$A),MATCH(G$1,[1]stages!$2:$2,0)-MATCH("temp_stage",[1]stages!$2:$2,0)+1),MATCH(G$1,[1]stages!$2:$2,0)-MATCH("temp_stage",[1]stages!$2:$2,0)+1,FALSE)</f>
        <v>チャレンジタワー 12F</v>
      </c>
      <c r="H217" s="4" t="str">
        <f ca="1">VLOOKUP($C217&amp;"_"&amp;$F217,OFFSET([1]stages!$A$1,0,0,COUNTA([1]stages!$A:$A),MATCH(H$1,[1]stages!$2:$2,0)-MATCH("temp_stage",[1]stages!$2:$2,0)+1),MATCH(H$1,[1]stages!$2:$2,0)-MATCH("temp_stage",[1]stages!$2:$2,0)+1,FALSE)</f>
        <v>試練の塔</v>
      </c>
      <c r="I217" s="19">
        <v>0</v>
      </c>
      <c r="J217">
        <v>34</v>
      </c>
      <c r="K217" s="6" t="s">
        <v>33</v>
      </c>
      <c r="L217" s="32" t="str">
        <f>VLOOKUP(J217,[2]stage_hints!$A:$C,3,FALSE)</f>
        <v>敵のDOWNを上書きしよう！</v>
      </c>
      <c r="M217" s="33" t="str">
        <f>VLOOKUP(J217,[2]stage_hints!$A:$D,4,FALSE)</f>
        <v>攻撃力ダウンを受けたときは_x000D_攻撃力アップスキルで効果を上書きできます</v>
      </c>
      <c r="N217" s="22" t="s">
        <v>109</v>
      </c>
      <c r="O217">
        <v>34</v>
      </c>
    </row>
    <row r="218" spans="1:15">
      <c r="A218" s="29" t="e">
        <f>C218&amp;"_"&amp;F218&amp;"_"&amp;#REF!</f>
        <v>#REF!</v>
      </c>
      <c r="B218" s="27" t="s">
        <v>32</v>
      </c>
      <c r="C218" s="5">
        <v>13001</v>
      </c>
      <c r="D218" s="4" t="str">
        <f ca="1">VLOOKUP($C218,OFFSET([1]quests!$A$1,0,0,COUNTA([1]quests!$A:$A),MATCH(D$1,[1]quests!$1:$1,0)-MATCH($C$1,[1]quests!$1:$1,0)+1),MATCH(D$1,[1]quests!$1:$1,0)-MATCH($C$1,[1]quests!$1:$1,0)+1,FALSE)</f>
        <v>チャレンジタワー(ソロ専用)</v>
      </c>
      <c r="E218" s="4" t="str">
        <f ca="1">VLOOKUP($C218,OFFSET([1]quests!$A$1,0,0,COUNTA([1]quests!$A:$A),MATCH(E$1,[1]quests!$1:$1,0)-MATCH($C$1,[1]quests!$1:$1,0)+1),MATCH(E$1,[1]quests!$1:$1,0)-MATCH($C$1,[1]quests!$1:$1,0)+1,FALSE)</f>
        <v>試練の塔</v>
      </c>
      <c r="F218" s="6">
        <v>12</v>
      </c>
      <c r="G218" s="4" t="str">
        <f ca="1">VLOOKUP($C218&amp;"_"&amp;$F218,OFFSET([1]stages!$A$1,0,0,COUNTA([1]stages!$A:$A),MATCH(G$1,[1]stages!$2:$2,0)-MATCH("temp_stage",[1]stages!$2:$2,0)+1),MATCH(G$1,[1]stages!$2:$2,0)-MATCH("temp_stage",[1]stages!$2:$2,0)+1,FALSE)</f>
        <v>チャレンジタワー 12F</v>
      </c>
      <c r="H218" s="4" t="str">
        <f ca="1">VLOOKUP($C218&amp;"_"&amp;$F218,OFFSET([1]stages!$A$1,0,0,COUNTA([1]stages!$A:$A),MATCH(H$1,[1]stages!$2:$2,0)-MATCH("temp_stage",[1]stages!$2:$2,0)+1),MATCH(H$1,[1]stages!$2:$2,0)-MATCH("temp_stage",[1]stages!$2:$2,0)+1,FALSE)</f>
        <v>試練の塔</v>
      </c>
      <c r="I218" s="19">
        <v>0</v>
      </c>
      <c r="J218">
        <v>35</v>
      </c>
      <c r="K218" s="6" t="s">
        <v>33</v>
      </c>
      <c r="L218" s="32" t="str">
        <f>VLOOKUP(J218,[2]stage_hints!$A:$C,3,FALSE)</f>
        <v>敵のUPを上書きしよう！</v>
      </c>
      <c r="M218" s="33" t="str">
        <f>VLOOKUP(J218,[2]stage_hints!$A:$D,4,FALSE)</f>
        <v>敵の攻撃力がアップしたときは_x000D_攻撃力ダウンスキルで効果を上書きできます</v>
      </c>
      <c r="N218" s="22" t="s">
        <v>34</v>
      </c>
      <c r="O218">
        <v>35</v>
      </c>
    </row>
    <row r="219" spans="1:15">
      <c r="A219" s="29" t="e">
        <f>C219&amp;"_"&amp;F219&amp;"_"&amp;#REF!</f>
        <v>#REF!</v>
      </c>
      <c r="B219" s="27" t="s">
        <v>32</v>
      </c>
      <c r="C219" s="5">
        <v>13001</v>
      </c>
      <c r="D219" s="4" t="str">
        <f ca="1">VLOOKUP($C219,OFFSET([1]quests!$A$1,0,0,COUNTA([1]quests!$A:$A),MATCH(D$1,[1]quests!$1:$1,0)-MATCH($C$1,[1]quests!$1:$1,0)+1),MATCH(D$1,[1]quests!$1:$1,0)-MATCH($C$1,[1]quests!$1:$1,0)+1,FALSE)</f>
        <v>チャレンジタワー(ソロ専用)</v>
      </c>
      <c r="E219" s="4" t="str">
        <f ca="1">VLOOKUP($C219,OFFSET([1]quests!$A$1,0,0,COUNTA([1]quests!$A:$A),MATCH(E$1,[1]quests!$1:$1,0)-MATCH($C$1,[1]quests!$1:$1,0)+1),MATCH(E$1,[1]quests!$1:$1,0)-MATCH($C$1,[1]quests!$1:$1,0)+1,FALSE)</f>
        <v>試練の塔</v>
      </c>
      <c r="F219" s="6">
        <v>12</v>
      </c>
      <c r="G219" s="4" t="str">
        <f ca="1">VLOOKUP($C219&amp;"_"&amp;$F219,OFFSET([1]stages!$A$1,0,0,COUNTA([1]stages!$A:$A),MATCH(G$1,[1]stages!$2:$2,0)-MATCH("temp_stage",[1]stages!$2:$2,0)+1),MATCH(G$1,[1]stages!$2:$2,0)-MATCH("temp_stage",[1]stages!$2:$2,0)+1,FALSE)</f>
        <v>チャレンジタワー 12F</v>
      </c>
      <c r="H219" s="4" t="str">
        <f ca="1">VLOOKUP($C219&amp;"_"&amp;$F219,OFFSET([1]stages!$A$1,0,0,COUNTA([1]stages!$A:$A),MATCH(H$1,[1]stages!$2:$2,0)-MATCH("temp_stage",[1]stages!$2:$2,0)+1),MATCH(H$1,[1]stages!$2:$2,0)-MATCH("temp_stage",[1]stages!$2:$2,0)+1,FALSE)</f>
        <v>試練の塔</v>
      </c>
      <c r="I219" s="19">
        <v>0</v>
      </c>
      <c r="J219">
        <v>36</v>
      </c>
      <c r="K219" s="6" t="s">
        <v>58</v>
      </c>
      <c r="L219" s="32" t="str">
        <f>VLOOKUP(J219,[2]stage_hints!$A:$C,3,FALSE)</f>
        <v>チャレンジタワーのボス</v>
      </c>
      <c r="M219" s="33" t="str">
        <f>VLOOKUP(J219,[2]stage_hints!$A:$D,4,FALSE)</f>
        <v>チャレンジタワー15F、20F、25Fのボスは_x000D_一定確率でドロップするようです</v>
      </c>
      <c r="N219" s="22" t="s">
        <v>54</v>
      </c>
      <c r="O219">
        <v>36</v>
      </c>
    </row>
    <row r="220" spans="1:15">
      <c r="A220" s="29" t="e">
        <f>C220&amp;"_"&amp;F220&amp;"_"&amp;#REF!</f>
        <v>#REF!</v>
      </c>
      <c r="B220" s="27" t="s">
        <v>32</v>
      </c>
      <c r="C220" s="5">
        <v>13001</v>
      </c>
      <c r="D220" s="4" t="str">
        <f ca="1">VLOOKUP($C220,OFFSET([1]quests!$A$1,0,0,COUNTA([1]quests!$A:$A),MATCH(D$1,[1]quests!$1:$1,0)-MATCH($C$1,[1]quests!$1:$1,0)+1),MATCH(D$1,[1]quests!$1:$1,0)-MATCH($C$1,[1]quests!$1:$1,0)+1,FALSE)</f>
        <v>チャレンジタワー(ソロ専用)</v>
      </c>
      <c r="E220" s="4" t="str">
        <f ca="1">VLOOKUP($C220,OFFSET([1]quests!$A$1,0,0,COUNTA([1]quests!$A:$A),MATCH(E$1,[1]quests!$1:$1,0)-MATCH($C$1,[1]quests!$1:$1,0)+1),MATCH(E$1,[1]quests!$1:$1,0)-MATCH($C$1,[1]quests!$1:$1,0)+1,FALSE)</f>
        <v>試練の塔</v>
      </c>
      <c r="F220" s="6">
        <v>12</v>
      </c>
      <c r="G220" s="4" t="str">
        <f ca="1">VLOOKUP($C220&amp;"_"&amp;$F220,OFFSET([1]stages!$A$1,0,0,COUNTA([1]stages!$A:$A),MATCH(G$1,[1]stages!$2:$2,0)-MATCH("temp_stage",[1]stages!$2:$2,0)+1),MATCH(G$1,[1]stages!$2:$2,0)-MATCH("temp_stage",[1]stages!$2:$2,0)+1,FALSE)</f>
        <v>チャレンジタワー 12F</v>
      </c>
      <c r="H220" s="4" t="str">
        <f ca="1">VLOOKUP($C220&amp;"_"&amp;$F220,OFFSET([1]stages!$A$1,0,0,COUNTA([1]stages!$A:$A),MATCH(H$1,[1]stages!$2:$2,0)-MATCH("temp_stage",[1]stages!$2:$2,0)+1),MATCH(H$1,[1]stages!$2:$2,0)-MATCH("temp_stage",[1]stages!$2:$2,0)+1,FALSE)</f>
        <v>試練の塔</v>
      </c>
      <c r="I220" s="19">
        <v>0</v>
      </c>
      <c r="J220">
        <v>37</v>
      </c>
      <c r="K220" s="6" t="s">
        <v>33</v>
      </c>
      <c r="L220" s="32" t="str">
        <f>VLOOKUP(J220,[2]stage_hints!$A:$C,3,FALSE)</f>
        <v>限界突破の引継</v>
      </c>
      <c r="M220" s="33" t="str">
        <f>VLOOKUP(J220,[2]stage_hints!$A:$D,4,FALSE)</f>
        <v>限界突破の+値は同じユニットなら_x000D_覚醒前後でも強化で引き継がれます</v>
      </c>
      <c r="N220" s="22" t="s">
        <v>127</v>
      </c>
      <c r="O220">
        <v>37</v>
      </c>
    </row>
    <row r="221" spans="1:15">
      <c r="A221" s="29" t="e">
        <f>C221&amp;"_"&amp;F221&amp;"_"&amp;#REF!</f>
        <v>#REF!</v>
      </c>
      <c r="B221" s="27" t="s">
        <v>32</v>
      </c>
      <c r="C221" s="5">
        <v>13001</v>
      </c>
      <c r="D221" s="4" t="str">
        <f ca="1">VLOOKUP($C221,OFFSET([1]quests!$A$1,0,0,COUNTA([1]quests!$A:$A),MATCH(D$1,[1]quests!$1:$1,0)-MATCH($C$1,[1]quests!$1:$1,0)+1),MATCH(D$1,[1]quests!$1:$1,0)-MATCH($C$1,[1]quests!$1:$1,0)+1,FALSE)</f>
        <v>チャレンジタワー(ソロ専用)</v>
      </c>
      <c r="E221" s="4" t="str">
        <f ca="1">VLOOKUP($C221,OFFSET([1]quests!$A$1,0,0,COUNTA([1]quests!$A:$A),MATCH(E$1,[1]quests!$1:$1,0)-MATCH($C$1,[1]quests!$1:$1,0)+1),MATCH(E$1,[1]quests!$1:$1,0)-MATCH($C$1,[1]quests!$1:$1,0)+1,FALSE)</f>
        <v>試練の塔</v>
      </c>
      <c r="F221" s="6">
        <v>13</v>
      </c>
      <c r="G221" s="4" t="str">
        <f ca="1">VLOOKUP($C221&amp;"_"&amp;$F221,OFFSET([1]stages!$A$1,0,0,COUNTA([1]stages!$A:$A),MATCH(G$1,[1]stages!$2:$2,0)-MATCH("temp_stage",[1]stages!$2:$2,0)+1),MATCH(G$1,[1]stages!$2:$2,0)-MATCH("temp_stage",[1]stages!$2:$2,0)+1,FALSE)</f>
        <v>チャレンジタワー 13F</v>
      </c>
      <c r="H221" s="4" t="str">
        <f ca="1">VLOOKUP($C221&amp;"_"&amp;$F221,OFFSET([1]stages!$A$1,0,0,COUNTA([1]stages!$A:$A),MATCH(H$1,[1]stages!$2:$2,0)-MATCH("temp_stage",[1]stages!$2:$2,0)+1),MATCH(H$1,[1]stages!$2:$2,0)-MATCH("temp_stage",[1]stages!$2:$2,0)+1,FALSE)</f>
        <v>試練の塔</v>
      </c>
      <c r="I221" s="19">
        <v>0</v>
      </c>
      <c r="J221">
        <v>32</v>
      </c>
      <c r="K221" s="6" t="s">
        <v>33</v>
      </c>
      <c r="L221" s="32" t="str">
        <f>VLOOKUP(J221,[2]stage_hints!$A:$C,3,FALSE)</f>
        <v>連続攻撃をしてくる敵には</v>
      </c>
      <c r="M221" s="33" t="str">
        <f>VLOOKUP(J221,[2]stage_hints!$A:$D,4,FALSE)</f>
        <v>敵の連続攻撃には「カウンター」スキルが有効！_x000D_ダメージ回数分の攻撃を返せます</v>
      </c>
      <c r="N221" s="22" t="s">
        <v>34</v>
      </c>
      <c r="O221">
        <v>32</v>
      </c>
    </row>
    <row r="222" spans="1:15">
      <c r="A222" s="29" t="e">
        <f>C222&amp;"_"&amp;F222&amp;"_"&amp;#REF!</f>
        <v>#REF!</v>
      </c>
      <c r="B222" s="27" t="s">
        <v>32</v>
      </c>
      <c r="C222" s="5">
        <v>13001</v>
      </c>
      <c r="D222" s="4" t="str">
        <f ca="1">VLOOKUP($C222,OFFSET([1]quests!$A$1,0,0,COUNTA([1]quests!$A:$A),MATCH(D$1,[1]quests!$1:$1,0)-MATCH($C$1,[1]quests!$1:$1,0)+1),MATCH(D$1,[1]quests!$1:$1,0)-MATCH($C$1,[1]quests!$1:$1,0)+1,FALSE)</f>
        <v>チャレンジタワー(ソロ専用)</v>
      </c>
      <c r="E222" s="4" t="str">
        <f ca="1">VLOOKUP($C222,OFFSET([1]quests!$A$1,0,0,COUNTA([1]quests!$A:$A),MATCH(E$1,[1]quests!$1:$1,0)-MATCH($C$1,[1]quests!$1:$1,0)+1),MATCH(E$1,[1]quests!$1:$1,0)-MATCH($C$1,[1]quests!$1:$1,0)+1,FALSE)</f>
        <v>試練の塔</v>
      </c>
      <c r="F222" s="6">
        <v>13</v>
      </c>
      <c r="G222" s="4" t="str">
        <f ca="1">VLOOKUP($C222&amp;"_"&amp;$F222,OFFSET([1]stages!$A$1,0,0,COUNTA([1]stages!$A:$A),MATCH(G$1,[1]stages!$2:$2,0)-MATCH("temp_stage",[1]stages!$2:$2,0)+1),MATCH(G$1,[1]stages!$2:$2,0)-MATCH("temp_stage",[1]stages!$2:$2,0)+1,FALSE)</f>
        <v>チャレンジタワー 13F</v>
      </c>
      <c r="H222" s="4" t="str">
        <f ca="1">VLOOKUP($C222&amp;"_"&amp;$F222,OFFSET([1]stages!$A$1,0,0,COUNTA([1]stages!$A:$A),MATCH(H$1,[1]stages!$2:$2,0)-MATCH("temp_stage",[1]stages!$2:$2,0)+1),MATCH(H$1,[1]stages!$2:$2,0)-MATCH("temp_stage",[1]stages!$2:$2,0)+1,FALSE)</f>
        <v>試練の塔</v>
      </c>
      <c r="I222" s="19">
        <v>0</v>
      </c>
      <c r="J222">
        <v>34</v>
      </c>
      <c r="K222" s="6" t="s">
        <v>33</v>
      </c>
      <c r="L222" s="32" t="str">
        <f>VLOOKUP(J222,[2]stage_hints!$A:$C,3,FALSE)</f>
        <v>敵のDOWNを上書きしよう！</v>
      </c>
      <c r="M222" s="33" t="str">
        <f>VLOOKUP(J222,[2]stage_hints!$A:$D,4,FALSE)</f>
        <v>攻撃力ダウンを受けたときは_x000D_攻撃力アップスキルで効果を上書きできます</v>
      </c>
      <c r="N222" s="22" t="s">
        <v>128</v>
      </c>
      <c r="O222">
        <v>34</v>
      </c>
    </row>
    <row r="223" spans="1:15">
      <c r="A223" s="29" t="e">
        <f>C223&amp;"_"&amp;F223&amp;"_"&amp;#REF!</f>
        <v>#REF!</v>
      </c>
      <c r="B223" s="27" t="s">
        <v>32</v>
      </c>
      <c r="C223" s="5">
        <v>13001</v>
      </c>
      <c r="D223" s="4" t="str">
        <f ca="1">VLOOKUP($C223,OFFSET([1]quests!$A$1,0,0,COUNTA([1]quests!$A:$A),MATCH(D$1,[1]quests!$1:$1,0)-MATCH($C$1,[1]quests!$1:$1,0)+1),MATCH(D$1,[1]quests!$1:$1,0)-MATCH($C$1,[1]quests!$1:$1,0)+1,FALSE)</f>
        <v>チャレンジタワー(ソロ専用)</v>
      </c>
      <c r="E223" s="4" t="str">
        <f ca="1">VLOOKUP($C223,OFFSET([1]quests!$A$1,0,0,COUNTA([1]quests!$A:$A),MATCH(E$1,[1]quests!$1:$1,0)-MATCH($C$1,[1]quests!$1:$1,0)+1),MATCH(E$1,[1]quests!$1:$1,0)-MATCH($C$1,[1]quests!$1:$1,0)+1,FALSE)</f>
        <v>試練の塔</v>
      </c>
      <c r="F223" s="6">
        <v>13</v>
      </c>
      <c r="G223" s="4" t="str">
        <f ca="1">VLOOKUP($C223&amp;"_"&amp;$F223,OFFSET([1]stages!$A$1,0,0,COUNTA([1]stages!$A:$A),MATCH(G$1,[1]stages!$2:$2,0)-MATCH("temp_stage",[1]stages!$2:$2,0)+1),MATCH(G$1,[1]stages!$2:$2,0)-MATCH("temp_stage",[1]stages!$2:$2,0)+1,FALSE)</f>
        <v>チャレンジタワー 13F</v>
      </c>
      <c r="H223" s="4" t="str">
        <f ca="1">VLOOKUP($C223&amp;"_"&amp;$F223,OFFSET([1]stages!$A$1,0,0,COUNTA([1]stages!$A:$A),MATCH(H$1,[1]stages!$2:$2,0)-MATCH("temp_stage",[1]stages!$2:$2,0)+1),MATCH(H$1,[1]stages!$2:$2,0)-MATCH("temp_stage",[1]stages!$2:$2,0)+1,FALSE)</f>
        <v>試練の塔</v>
      </c>
      <c r="I223" s="19">
        <v>0</v>
      </c>
      <c r="J223">
        <v>35</v>
      </c>
      <c r="K223" s="6" t="s">
        <v>33</v>
      </c>
      <c r="L223" s="32" t="str">
        <f>VLOOKUP(J223,[2]stage_hints!$A:$C,3,FALSE)</f>
        <v>敵のUPを上書きしよう！</v>
      </c>
      <c r="M223" s="33" t="str">
        <f>VLOOKUP(J223,[2]stage_hints!$A:$D,4,FALSE)</f>
        <v>敵の攻撃力がアップしたときは_x000D_攻撃力ダウンスキルで効果を上書きできます</v>
      </c>
      <c r="N223" s="22" t="s">
        <v>34</v>
      </c>
      <c r="O223">
        <v>35</v>
      </c>
    </row>
    <row r="224" spans="1:15">
      <c r="A224" s="29" t="e">
        <f>C224&amp;"_"&amp;F224&amp;"_"&amp;#REF!</f>
        <v>#REF!</v>
      </c>
      <c r="B224" s="27" t="s">
        <v>32</v>
      </c>
      <c r="C224" s="5">
        <v>13001</v>
      </c>
      <c r="D224" s="4" t="str">
        <f ca="1">VLOOKUP($C224,OFFSET([1]quests!$A$1,0,0,COUNTA([1]quests!$A:$A),MATCH(D$1,[1]quests!$1:$1,0)-MATCH($C$1,[1]quests!$1:$1,0)+1),MATCH(D$1,[1]quests!$1:$1,0)-MATCH($C$1,[1]quests!$1:$1,0)+1,FALSE)</f>
        <v>チャレンジタワー(ソロ専用)</v>
      </c>
      <c r="E224" s="4" t="str">
        <f ca="1">VLOOKUP($C224,OFFSET([1]quests!$A$1,0,0,COUNTA([1]quests!$A:$A),MATCH(E$1,[1]quests!$1:$1,0)-MATCH($C$1,[1]quests!$1:$1,0)+1),MATCH(E$1,[1]quests!$1:$1,0)-MATCH($C$1,[1]quests!$1:$1,0)+1,FALSE)</f>
        <v>試練の塔</v>
      </c>
      <c r="F224" s="6">
        <v>13</v>
      </c>
      <c r="G224" s="4" t="str">
        <f ca="1">VLOOKUP($C224&amp;"_"&amp;$F224,OFFSET([1]stages!$A$1,0,0,COUNTA([1]stages!$A:$A),MATCH(G$1,[1]stages!$2:$2,0)-MATCH("temp_stage",[1]stages!$2:$2,0)+1),MATCH(G$1,[1]stages!$2:$2,0)-MATCH("temp_stage",[1]stages!$2:$2,0)+1,FALSE)</f>
        <v>チャレンジタワー 13F</v>
      </c>
      <c r="H224" s="4" t="str">
        <f ca="1">VLOOKUP($C224&amp;"_"&amp;$F224,OFFSET([1]stages!$A$1,0,0,COUNTA([1]stages!$A:$A),MATCH(H$1,[1]stages!$2:$2,0)-MATCH("temp_stage",[1]stages!$2:$2,0)+1),MATCH(H$1,[1]stages!$2:$2,0)-MATCH("temp_stage",[1]stages!$2:$2,0)+1,FALSE)</f>
        <v>試練の塔</v>
      </c>
      <c r="I224" s="19">
        <v>0</v>
      </c>
      <c r="J224">
        <v>36</v>
      </c>
      <c r="K224" s="6" t="s">
        <v>33</v>
      </c>
      <c r="L224" s="32" t="str">
        <f>VLOOKUP(J224,[2]stage_hints!$A:$C,3,FALSE)</f>
        <v>チャレンジタワーのボス</v>
      </c>
      <c r="M224" s="33" t="str">
        <f>VLOOKUP(J224,[2]stage_hints!$A:$D,4,FALSE)</f>
        <v>チャレンジタワー15F、20F、25Fのボスは_x000D_一定確率でドロップするようです</v>
      </c>
      <c r="N224" s="22" t="s">
        <v>132</v>
      </c>
      <c r="O224">
        <v>36</v>
      </c>
    </row>
    <row r="225" spans="1:15">
      <c r="A225" s="29" t="e">
        <f>C225&amp;"_"&amp;F225&amp;"_"&amp;#REF!</f>
        <v>#REF!</v>
      </c>
      <c r="B225" s="27" t="s">
        <v>32</v>
      </c>
      <c r="C225" s="5">
        <v>13001</v>
      </c>
      <c r="D225" s="4" t="str">
        <f ca="1">VLOOKUP($C225,OFFSET([1]quests!$A$1,0,0,COUNTA([1]quests!$A:$A),MATCH(D$1,[1]quests!$1:$1,0)-MATCH($C$1,[1]quests!$1:$1,0)+1),MATCH(D$1,[1]quests!$1:$1,0)-MATCH($C$1,[1]quests!$1:$1,0)+1,FALSE)</f>
        <v>チャレンジタワー(ソロ専用)</v>
      </c>
      <c r="E225" s="4" t="str">
        <f ca="1">VLOOKUP($C225,OFFSET([1]quests!$A$1,0,0,COUNTA([1]quests!$A:$A),MATCH(E$1,[1]quests!$1:$1,0)-MATCH($C$1,[1]quests!$1:$1,0)+1),MATCH(E$1,[1]quests!$1:$1,0)-MATCH($C$1,[1]quests!$1:$1,0)+1,FALSE)</f>
        <v>試練の塔</v>
      </c>
      <c r="F225" s="6">
        <v>13</v>
      </c>
      <c r="G225" s="4" t="str">
        <f ca="1">VLOOKUP($C225&amp;"_"&amp;$F225,OFFSET([1]stages!$A$1,0,0,COUNTA([1]stages!$A:$A),MATCH(G$1,[1]stages!$2:$2,0)-MATCH("temp_stage",[1]stages!$2:$2,0)+1),MATCH(G$1,[1]stages!$2:$2,0)-MATCH("temp_stage",[1]stages!$2:$2,0)+1,FALSE)</f>
        <v>チャレンジタワー 13F</v>
      </c>
      <c r="H225" s="4" t="str">
        <f ca="1">VLOOKUP($C225&amp;"_"&amp;$F225,OFFSET([1]stages!$A$1,0,0,COUNTA([1]stages!$A:$A),MATCH(H$1,[1]stages!$2:$2,0)-MATCH("temp_stage",[1]stages!$2:$2,0)+1),MATCH(H$1,[1]stages!$2:$2,0)-MATCH("temp_stage",[1]stages!$2:$2,0)+1,FALSE)</f>
        <v>試練の塔</v>
      </c>
      <c r="I225" s="19">
        <v>0</v>
      </c>
      <c r="J225">
        <v>37</v>
      </c>
      <c r="K225" s="6" t="s">
        <v>33</v>
      </c>
      <c r="L225" s="32" t="str">
        <f>VLOOKUP(J225,[2]stage_hints!$A:$C,3,FALSE)</f>
        <v>限界突破の引継</v>
      </c>
      <c r="M225" s="33" t="str">
        <f>VLOOKUP(J225,[2]stage_hints!$A:$D,4,FALSE)</f>
        <v>限界突破の+値は同じユニットなら_x000D_覚醒前後でも強化で引き継がれます</v>
      </c>
      <c r="N225" s="22" t="s">
        <v>54</v>
      </c>
      <c r="O225">
        <v>37</v>
      </c>
    </row>
    <row r="226" spans="1:15">
      <c r="A226" s="29" t="e">
        <f>C226&amp;"_"&amp;F226&amp;"_"&amp;#REF!</f>
        <v>#REF!</v>
      </c>
      <c r="B226" s="27" t="s">
        <v>32</v>
      </c>
      <c r="C226" s="5">
        <v>13001</v>
      </c>
      <c r="D226" s="4" t="str">
        <f ca="1">VLOOKUP($C226,OFFSET([1]quests!$A$1,0,0,COUNTA([1]quests!$A:$A),MATCH(D$1,[1]quests!$1:$1,0)-MATCH($C$1,[1]quests!$1:$1,0)+1),MATCH(D$1,[1]quests!$1:$1,0)-MATCH($C$1,[1]quests!$1:$1,0)+1,FALSE)</f>
        <v>チャレンジタワー(ソロ専用)</v>
      </c>
      <c r="E226" s="4" t="str">
        <f ca="1">VLOOKUP($C226,OFFSET([1]quests!$A$1,0,0,COUNTA([1]quests!$A:$A),MATCH(E$1,[1]quests!$1:$1,0)-MATCH($C$1,[1]quests!$1:$1,0)+1),MATCH(E$1,[1]quests!$1:$1,0)-MATCH($C$1,[1]quests!$1:$1,0)+1,FALSE)</f>
        <v>試練の塔</v>
      </c>
      <c r="F226" s="6">
        <v>14</v>
      </c>
      <c r="G226" s="4" t="str">
        <f ca="1">VLOOKUP($C226&amp;"_"&amp;$F226,OFFSET([1]stages!$A$1,0,0,COUNTA([1]stages!$A:$A),MATCH(G$1,[1]stages!$2:$2,0)-MATCH("temp_stage",[1]stages!$2:$2,0)+1),MATCH(G$1,[1]stages!$2:$2,0)-MATCH("temp_stage",[1]stages!$2:$2,0)+1,FALSE)</f>
        <v>チャレンジタワー 14F</v>
      </c>
      <c r="H226" s="4" t="str">
        <f ca="1">VLOOKUP($C226&amp;"_"&amp;$F226,OFFSET([1]stages!$A$1,0,0,COUNTA([1]stages!$A:$A),MATCH(H$1,[1]stages!$2:$2,0)-MATCH("temp_stage",[1]stages!$2:$2,0)+1),MATCH(H$1,[1]stages!$2:$2,0)-MATCH("temp_stage",[1]stages!$2:$2,0)+1,FALSE)</f>
        <v>試練の塔</v>
      </c>
      <c r="I226" s="19">
        <v>0</v>
      </c>
      <c r="J226">
        <v>32</v>
      </c>
      <c r="K226" s="6" t="s">
        <v>33</v>
      </c>
      <c r="L226" s="32" t="str">
        <f>VLOOKUP(J226,[2]stage_hints!$A:$C,3,FALSE)</f>
        <v>連続攻撃をしてくる敵には</v>
      </c>
      <c r="M226" s="33" t="str">
        <f>VLOOKUP(J226,[2]stage_hints!$A:$D,4,FALSE)</f>
        <v>敵の連続攻撃には「カウンター」スキルが有効！_x000D_ダメージ回数分の攻撃を返せます</v>
      </c>
      <c r="N226" s="22" t="s">
        <v>34</v>
      </c>
      <c r="O226">
        <v>32</v>
      </c>
    </row>
    <row r="227" spans="1:15">
      <c r="A227" s="29" t="e">
        <f>C227&amp;"_"&amp;F227&amp;"_"&amp;#REF!</f>
        <v>#REF!</v>
      </c>
      <c r="B227" s="27" t="s">
        <v>32</v>
      </c>
      <c r="C227" s="5">
        <v>13001</v>
      </c>
      <c r="D227" s="4" t="str">
        <f ca="1">VLOOKUP($C227,OFFSET([1]quests!$A$1,0,0,COUNTA([1]quests!$A:$A),MATCH(D$1,[1]quests!$1:$1,0)-MATCH($C$1,[1]quests!$1:$1,0)+1),MATCH(D$1,[1]quests!$1:$1,0)-MATCH($C$1,[1]quests!$1:$1,0)+1,FALSE)</f>
        <v>チャレンジタワー(ソロ専用)</v>
      </c>
      <c r="E227" s="4" t="str">
        <f ca="1">VLOOKUP($C227,OFFSET([1]quests!$A$1,0,0,COUNTA([1]quests!$A:$A),MATCH(E$1,[1]quests!$1:$1,0)-MATCH($C$1,[1]quests!$1:$1,0)+1),MATCH(E$1,[1]quests!$1:$1,0)-MATCH($C$1,[1]quests!$1:$1,0)+1,FALSE)</f>
        <v>試練の塔</v>
      </c>
      <c r="F227" s="6">
        <v>14</v>
      </c>
      <c r="G227" s="4" t="str">
        <f ca="1">VLOOKUP($C227&amp;"_"&amp;$F227,OFFSET([1]stages!$A$1,0,0,COUNTA([1]stages!$A:$A),MATCH(G$1,[1]stages!$2:$2,0)-MATCH("temp_stage",[1]stages!$2:$2,0)+1),MATCH(G$1,[1]stages!$2:$2,0)-MATCH("temp_stage",[1]stages!$2:$2,0)+1,FALSE)</f>
        <v>チャレンジタワー 14F</v>
      </c>
      <c r="H227" s="4" t="str">
        <f ca="1">VLOOKUP($C227&amp;"_"&amp;$F227,OFFSET([1]stages!$A$1,0,0,COUNTA([1]stages!$A:$A),MATCH(H$1,[1]stages!$2:$2,0)-MATCH("temp_stage",[1]stages!$2:$2,0)+1),MATCH(H$1,[1]stages!$2:$2,0)-MATCH("temp_stage",[1]stages!$2:$2,0)+1,FALSE)</f>
        <v>試練の塔</v>
      </c>
      <c r="I227" s="19">
        <v>0</v>
      </c>
      <c r="J227">
        <v>34</v>
      </c>
      <c r="K227" s="6" t="s">
        <v>33</v>
      </c>
      <c r="L227" s="32" t="str">
        <f>VLOOKUP(J227,[2]stage_hints!$A:$C,3,FALSE)</f>
        <v>敵のDOWNを上書きしよう！</v>
      </c>
      <c r="M227" s="33" t="str">
        <f>VLOOKUP(J227,[2]stage_hints!$A:$D,4,FALSE)</f>
        <v>攻撃力ダウンを受けたときは_x000D_攻撃力アップスキルで効果を上書きできます</v>
      </c>
      <c r="N227" s="22" t="s">
        <v>128</v>
      </c>
      <c r="O227">
        <v>34</v>
      </c>
    </row>
    <row r="228" spans="1:15">
      <c r="A228" s="29" t="e">
        <f>C228&amp;"_"&amp;F228&amp;"_"&amp;#REF!</f>
        <v>#REF!</v>
      </c>
      <c r="B228" s="27" t="s">
        <v>32</v>
      </c>
      <c r="C228" s="5">
        <v>13001</v>
      </c>
      <c r="D228" s="4" t="str">
        <f ca="1">VLOOKUP($C228,OFFSET([1]quests!$A$1,0,0,COUNTA([1]quests!$A:$A),MATCH(D$1,[1]quests!$1:$1,0)-MATCH($C$1,[1]quests!$1:$1,0)+1),MATCH(D$1,[1]quests!$1:$1,0)-MATCH($C$1,[1]quests!$1:$1,0)+1,FALSE)</f>
        <v>チャレンジタワー(ソロ専用)</v>
      </c>
      <c r="E228" s="4" t="str">
        <f ca="1">VLOOKUP($C228,OFFSET([1]quests!$A$1,0,0,COUNTA([1]quests!$A:$A),MATCH(E$1,[1]quests!$1:$1,0)-MATCH($C$1,[1]quests!$1:$1,0)+1),MATCH(E$1,[1]quests!$1:$1,0)-MATCH($C$1,[1]quests!$1:$1,0)+1,FALSE)</f>
        <v>試練の塔</v>
      </c>
      <c r="F228" s="6">
        <v>14</v>
      </c>
      <c r="G228" s="4" t="str">
        <f ca="1">VLOOKUP($C228&amp;"_"&amp;$F228,OFFSET([1]stages!$A$1,0,0,COUNTA([1]stages!$A:$A),MATCH(G$1,[1]stages!$2:$2,0)-MATCH("temp_stage",[1]stages!$2:$2,0)+1),MATCH(G$1,[1]stages!$2:$2,0)-MATCH("temp_stage",[1]stages!$2:$2,0)+1,FALSE)</f>
        <v>チャレンジタワー 14F</v>
      </c>
      <c r="H228" s="4" t="str">
        <f ca="1">VLOOKUP($C228&amp;"_"&amp;$F228,OFFSET([1]stages!$A$1,0,0,COUNTA([1]stages!$A:$A),MATCH(H$1,[1]stages!$2:$2,0)-MATCH("temp_stage",[1]stages!$2:$2,0)+1),MATCH(H$1,[1]stages!$2:$2,0)-MATCH("temp_stage",[1]stages!$2:$2,0)+1,FALSE)</f>
        <v>試練の塔</v>
      </c>
      <c r="I228" s="19">
        <v>0</v>
      </c>
      <c r="J228">
        <v>35</v>
      </c>
      <c r="K228" s="6" t="s">
        <v>33</v>
      </c>
      <c r="L228" s="32" t="str">
        <f>VLOOKUP(J228,[2]stage_hints!$A:$C,3,FALSE)</f>
        <v>敵のUPを上書きしよう！</v>
      </c>
      <c r="M228" s="33" t="str">
        <f>VLOOKUP(J228,[2]stage_hints!$A:$D,4,FALSE)</f>
        <v>敵の攻撃力がアップしたときは_x000D_攻撃力ダウンスキルで効果を上書きできます</v>
      </c>
      <c r="N228" s="22" t="s">
        <v>34</v>
      </c>
      <c r="O228">
        <v>35</v>
      </c>
    </row>
    <row r="229" spans="1:15">
      <c r="A229" s="29" t="e">
        <f>C229&amp;"_"&amp;F229&amp;"_"&amp;#REF!</f>
        <v>#REF!</v>
      </c>
      <c r="B229" s="27" t="s">
        <v>32</v>
      </c>
      <c r="C229" s="5">
        <v>13001</v>
      </c>
      <c r="D229" s="4" t="str">
        <f ca="1">VLOOKUP($C229,OFFSET([1]quests!$A$1,0,0,COUNTA([1]quests!$A:$A),MATCH(D$1,[1]quests!$1:$1,0)-MATCH($C$1,[1]quests!$1:$1,0)+1),MATCH(D$1,[1]quests!$1:$1,0)-MATCH($C$1,[1]quests!$1:$1,0)+1,FALSE)</f>
        <v>チャレンジタワー(ソロ専用)</v>
      </c>
      <c r="E229" s="4" t="str">
        <f ca="1">VLOOKUP($C229,OFFSET([1]quests!$A$1,0,0,COUNTA([1]quests!$A:$A),MATCH(E$1,[1]quests!$1:$1,0)-MATCH($C$1,[1]quests!$1:$1,0)+1),MATCH(E$1,[1]quests!$1:$1,0)-MATCH($C$1,[1]quests!$1:$1,0)+1,FALSE)</f>
        <v>試練の塔</v>
      </c>
      <c r="F229" s="6">
        <v>14</v>
      </c>
      <c r="G229" s="4" t="str">
        <f ca="1">VLOOKUP($C229&amp;"_"&amp;$F229,OFFSET([1]stages!$A$1,0,0,COUNTA([1]stages!$A:$A),MATCH(G$1,[1]stages!$2:$2,0)-MATCH("temp_stage",[1]stages!$2:$2,0)+1),MATCH(G$1,[1]stages!$2:$2,0)-MATCH("temp_stage",[1]stages!$2:$2,0)+1,FALSE)</f>
        <v>チャレンジタワー 14F</v>
      </c>
      <c r="H229" s="4" t="str">
        <f ca="1">VLOOKUP($C229&amp;"_"&amp;$F229,OFFSET([1]stages!$A$1,0,0,COUNTA([1]stages!$A:$A),MATCH(H$1,[1]stages!$2:$2,0)-MATCH("temp_stage",[1]stages!$2:$2,0)+1),MATCH(H$1,[1]stages!$2:$2,0)-MATCH("temp_stage",[1]stages!$2:$2,0)+1,FALSE)</f>
        <v>試練の塔</v>
      </c>
      <c r="I229" s="19">
        <v>0</v>
      </c>
      <c r="J229">
        <v>36</v>
      </c>
      <c r="K229" s="6" t="s">
        <v>33</v>
      </c>
      <c r="L229" s="32" t="str">
        <f>VLOOKUP(J229,[2]stage_hints!$A:$C,3,FALSE)</f>
        <v>チャレンジタワーのボス</v>
      </c>
      <c r="M229" s="33" t="str">
        <f>VLOOKUP(J229,[2]stage_hints!$A:$D,4,FALSE)</f>
        <v>チャレンジタワー15F、20F、25Fのボスは_x000D_一定確率でドロップするようです</v>
      </c>
      <c r="N229" s="22" t="s">
        <v>132</v>
      </c>
      <c r="O229">
        <v>36</v>
      </c>
    </row>
    <row r="230" spans="1:15">
      <c r="A230" s="29" t="e">
        <f>C230&amp;"_"&amp;F230&amp;"_"&amp;#REF!</f>
        <v>#REF!</v>
      </c>
      <c r="B230" s="27" t="s">
        <v>32</v>
      </c>
      <c r="C230" s="5">
        <v>13001</v>
      </c>
      <c r="D230" s="4" t="str">
        <f ca="1">VLOOKUP($C230,OFFSET([1]quests!$A$1,0,0,COUNTA([1]quests!$A:$A),MATCH(D$1,[1]quests!$1:$1,0)-MATCH($C$1,[1]quests!$1:$1,0)+1),MATCH(D$1,[1]quests!$1:$1,0)-MATCH($C$1,[1]quests!$1:$1,0)+1,FALSE)</f>
        <v>チャレンジタワー(ソロ専用)</v>
      </c>
      <c r="E230" s="4" t="str">
        <f ca="1">VLOOKUP($C230,OFFSET([1]quests!$A$1,0,0,COUNTA([1]quests!$A:$A),MATCH(E$1,[1]quests!$1:$1,0)-MATCH($C$1,[1]quests!$1:$1,0)+1),MATCH(E$1,[1]quests!$1:$1,0)-MATCH($C$1,[1]quests!$1:$1,0)+1,FALSE)</f>
        <v>試練の塔</v>
      </c>
      <c r="F230" s="6">
        <v>14</v>
      </c>
      <c r="G230" s="4" t="str">
        <f ca="1">VLOOKUP($C230&amp;"_"&amp;$F230,OFFSET([1]stages!$A$1,0,0,COUNTA([1]stages!$A:$A),MATCH(G$1,[1]stages!$2:$2,0)-MATCH("temp_stage",[1]stages!$2:$2,0)+1),MATCH(G$1,[1]stages!$2:$2,0)-MATCH("temp_stage",[1]stages!$2:$2,0)+1,FALSE)</f>
        <v>チャレンジタワー 14F</v>
      </c>
      <c r="H230" s="4" t="str">
        <f ca="1">VLOOKUP($C230&amp;"_"&amp;$F230,OFFSET([1]stages!$A$1,0,0,COUNTA([1]stages!$A:$A),MATCH(H$1,[1]stages!$2:$2,0)-MATCH("temp_stage",[1]stages!$2:$2,0)+1),MATCH(H$1,[1]stages!$2:$2,0)-MATCH("temp_stage",[1]stages!$2:$2,0)+1,FALSE)</f>
        <v>試練の塔</v>
      </c>
      <c r="I230" s="19">
        <v>0</v>
      </c>
      <c r="J230">
        <v>37</v>
      </c>
      <c r="K230" s="6" t="s">
        <v>33</v>
      </c>
      <c r="L230" s="32" t="str">
        <f>VLOOKUP(J230,[2]stage_hints!$A:$C,3,FALSE)</f>
        <v>限界突破の引継</v>
      </c>
      <c r="M230" s="33" t="str">
        <f>VLOOKUP(J230,[2]stage_hints!$A:$D,4,FALSE)</f>
        <v>限界突破の+値は同じユニットなら_x000D_覚醒前後でも強化で引き継がれます</v>
      </c>
      <c r="N230" s="22" t="s">
        <v>54</v>
      </c>
      <c r="O230">
        <v>37</v>
      </c>
    </row>
    <row r="231" spans="1:15">
      <c r="A231" s="29" t="e">
        <f>C231&amp;"_"&amp;F231&amp;"_"&amp;#REF!</f>
        <v>#REF!</v>
      </c>
      <c r="B231" s="27" t="s">
        <v>32</v>
      </c>
      <c r="C231" s="5">
        <v>13001</v>
      </c>
      <c r="D231" s="4" t="str">
        <f ca="1">VLOOKUP($C231,OFFSET([1]quests!$A$1,0,0,COUNTA([1]quests!$A:$A),MATCH(D$1,[1]quests!$1:$1,0)-MATCH($C$1,[1]quests!$1:$1,0)+1),MATCH(D$1,[1]quests!$1:$1,0)-MATCH($C$1,[1]quests!$1:$1,0)+1,FALSE)</f>
        <v>チャレンジタワー(ソロ専用)</v>
      </c>
      <c r="E231" s="4" t="str">
        <f ca="1">VLOOKUP($C231,OFFSET([1]quests!$A$1,0,0,COUNTA([1]quests!$A:$A),MATCH(E$1,[1]quests!$1:$1,0)-MATCH($C$1,[1]quests!$1:$1,0)+1),MATCH(E$1,[1]quests!$1:$1,0)-MATCH($C$1,[1]quests!$1:$1,0)+1,FALSE)</f>
        <v>試練の塔</v>
      </c>
      <c r="F231" s="6">
        <v>15</v>
      </c>
      <c r="G231" s="4" t="str">
        <f ca="1">VLOOKUP($C231&amp;"_"&amp;$F231,OFFSET([1]stages!$A$1,0,0,COUNTA([1]stages!$A:$A),MATCH(G$1,[1]stages!$2:$2,0)-MATCH("temp_stage",[1]stages!$2:$2,0)+1),MATCH(G$1,[1]stages!$2:$2,0)-MATCH("temp_stage",[1]stages!$2:$2,0)+1,FALSE)</f>
        <v>チャレンジタワー 15F</v>
      </c>
      <c r="H231" s="4" t="str">
        <f ca="1">VLOOKUP($C231&amp;"_"&amp;$F231,OFFSET([1]stages!$A$1,0,0,COUNTA([1]stages!$A:$A),MATCH(H$1,[1]stages!$2:$2,0)-MATCH("temp_stage",[1]stages!$2:$2,0)+1),MATCH(H$1,[1]stages!$2:$2,0)-MATCH("temp_stage",[1]stages!$2:$2,0)+1,FALSE)</f>
        <v>試練の塔</v>
      </c>
      <c r="I231" s="19">
        <v>0</v>
      </c>
      <c r="J231">
        <v>32</v>
      </c>
      <c r="K231" s="6" t="s">
        <v>33</v>
      </c>
      <c r="L231" s="32" t="str">
        <f>VLOOKUP(J231,[2]stage_hints!$A:$C,3,FALSE)</f>
        <v>連続攻撃をしてくる敵には</v>
      </c>
      <c r="M231" s="33" t="str">
        <f>VLOOKUP(J231,[2]stage_hints!$A:$D,4,FALSE)</f>
        <v>敵の連続攻撃には「カウンター」スキルが有効！_x000D_ダメージ回数分の攻撃を返せます</v>
      </c>
      <c r="N231" s="22" t="s">
        <v>39</v>
      </c>
      <c r="O231">
        <v>32</v>
      </c>
    </row>
    <row r="232" spans="1:15">
      <c r="A232" s="29" t="e">
        <f>C232&amp;"_"&amp;F232&amp;"_"&amp;#REF!</f>
        <v>#REF!</v>
      </c>
      <c r="B232" s="27" t="s">
        <v>32</v>
      </c>
      <c r="C232" s="5">
        <v>13001</v>
      </c>
      <c r="D232" s="4" t="str">
        <f ca="1">VLOOKUP($C232,OFFSET([1]quests!$A$1,0,0,COUNTA([1]quests!$A:$A),MATCH(D$1,[1]quests!$1:$1,0)-MATCH($C$1,[1]quests!$1:$1,0)+1),MATCH(D$1,[1]quests!$1:$1,0)-MATCH($C$1,[1]quests!$1:$1,0)+1,FALSE)</f>
        <v>チャレンジタワー(ソロ専用)</v>
      </c>
      <c r="E232" s="4" t="str">
        <f ca="1">VLOOKUP($C232,OFFSET([1]quests!$A$1,0,0,COUNTA([1]quests!$A:$A),MATCH(E$1,[1]quests!$1:$1,0)-MATCH($C$1,[1]quests!$1:$1,0)+1),MATCH(E$1,[1]quests!$1:$1,0)-MATCH($C$1,[1]quests!$1:$1,0)+1,FALSE)</f>
        <v>試練の塔</v>
      </c>
      <c r="F232" s="6">
        <v>15</v>
      </c>
      <c r="G232" s="4" t="str">
        <f ca="1">VLOOKUP($C232&amp;"_"&amp;$F232,OFFSET([1]stages!$A$1,0,0,COUNTA([1]stages!$A:$A),MATCH(G$1,[1]stages!$2:$2,0)-MATCH("temp_stage",[1]stages!$2:$2,0)+1),MATCH(G$1,[1]stages!$2:$2,0)-MATCH("temp_stage",[1]stages!$2:$2,0)+1,FALSE)</f>
        <v>チャレンジタワー 15F</v>
      </c>
      <c r="H232" s="4" t="str">
        <f ca="1">VLOOKUP($C232&amp;"_"&amp;$F232,OFFSET([1]stages!$A$1,0,0,COUNTA([1]stages!$A:$A),MATCH(H$1,[1]stages!$2:$2,0)-MATCH("temp_stage",[1]stages!$2:$2,0)+1),MATCH(H$1,[1]stages!$2:$2,0)-MATCH("temp_stage",[1]stages!$2:$2,0)+1,FALSE)</f>
        <v>試練の塔</v>
      </c>
      <c r="I232" s="19">
        <v>0</v>
      </c>
      <c r="J232">
        <v>34</v>
      </c>
      <c r="K232" s="6" t="s">
        <v>134</v>
      </c>
      <c r="L232" s="32" t="str">
        <f>VLOOKUP(J232,[2]stage_hints!$A:$C,3,FALSE)</f>
        <v>敵のDOWNを上書きしよう！</v>
      </c>
      <c r="M232" s="33" t="str">
        <f>VLOOKUP(J232,[2]stage_hints!$A:$D,4,FALSE)</f>
        <v>攻撃力ダウンを受けたときは_x000D_攻撃力アップスキルで効果を上書きできます</v>
      </c>
      <c r="N232" s="22" t="s">
        <v>37</v>
      </c>
      <c r="O232">
        <v>34</v>
      </c>
    </row>
    <row r="233" spans="1:15">
      <c r="A233" s="29" t="e">
        <f>C233&amp;"_"&amp;F233&amp;"_"&amp;#REF!</f>
        <v>#REF!</v>
      </c>
      <c r="B233" s="27" t="s">
        <v>32</v>
      </c>
      <c r="C233" s="5">
        <v>13001</v>
      </c>
      <c r="D233" s="4" t="str">
        <f ca="1">VLOOKUP($C233,OFFSET([1]quests!$A$1,0,0,COUNTA([1]quests!$A:$A),MATCH(D$1,[1]quests!$1:$1,0)-MATCH($C$1,[1]quests!$1:$1,0)+1),MATCH(D$1,[1]quests!$1:$1,0)-MATCH($C$1,[1]quests!$1:$1,0)+1,FALSE)</f>
        <v>チャレンジタワー(ソロ専用)</v>
      </c>
      <c r="E233" s="4" t="str">
        <f ca="1">VLOOKUP($C233,OFFSET([1]quests!$A$1,0,0,COUNTA([1]quests!$A:$A),MATCH(E$1,[1]quests!$1:$1,0)-MATCH($C$1,[1]quests!$1:$1,0)+1),MATCH(E$1,[1]quests!$1:$1,0)-MATCH($C$1,[1]quests!$1:$1,0)+1,FALSE)</f>
        <v>試練の塔</v>
      </c>
      <c r="F233" s="6">
        <v>15</v>
      </c>
      <c r="G233" s="4" t="str">
        <f ca="1">VLOOKUP($C233&amp;"_"&amp;$F233,OFFSET([1]stages!$A$1,0,0,COUNTA([1]stages!$A:$A),MATCH(G$1,[1]stages!$2:$2,0)-MATCH("temp_stage",[1]stages!$2:$2,0)+1),MATCH(G$1,[1]stages!$2:$2,0)-MATCH("temp_stage",[1]stages!$2:$2,0)+1,FALSE)</f>
        <v>チャレンジタワー 15F</v>
      </c>
      <c r="H233" s="4" t="str">
        <f ca="1">VLOOKUP($C233&amp;"_"&amp;$F233,OFFSET([1]stages!$A$1,0,0,COUNTA([1]stages!$A:$A),MATCH(H$1,[1]stages!$2:$2,0)-MATCH("temp_stage",[1]stages!$2:$2,0)+1),MATCH(H$1,[1]stages!$2:$2,0)-MATCH("temp_stage",[1]stages!$2:$2,0)+1,FALSE)</f>
        <v>試練の塔</v>
      </c>
      <c r="I233" s="19">
        <v>0</v>
      </c>
      <c r="J233">
        <v>35</v>
      </c>
      <c r="K233" s="6" t="s">
        <v>44</v>
      </c>
      <c r="L233" s="32" t="str">
        <f>VLOOKUP(J233,[2]stage_hints!$A:$C,3,FALSE)</f>
        <v>敵のUPを上書きしよう！</v>
      </c>
      <c r="M233" s="33" t="str">
        <f>VLOOKUP(J233,[2]stage_hints!$A:$D,4,FALSE)</f>
        <v>敵の攻撃力がアップしたときは_x000D_攻撃力ダウンスキルで効果を上書きできます</v>
      </c>
      <c r="N233" s="22" t="s">
        <v>45</v>
      </c>
      <c r="O233">
        <v>35</v>
      </c>
    </row>
    <row r="234" spans="1:15">
      <c r="A234" s="29" t="e">
        <f>C234&amp;"_"&amp;F234&amp;"_"&amp;#REF!</f>
        <v>#REF!</v>
      </c>
      <c r="B234" s="27" t="s">
        <v>32</v>
      </c>
      <c r="C234" s="5">
        <v>13001</v>
      </c>
      <c r="D234" s="4" t="str">
        <f ca="1">VLOOKUP($C234,OFFSET([1]quests!$A$1,0,0,COUNTA([1]quests!$A:$A),MATCH(D$1,[1]quests!$1:$1,0)-MATCH($C$1,[1]quests!$1:$1,0)+1),MATCH(D$1,[1]quests!$1:$1,0)-MATCH($C$1,[1]quests!$1:$1,0)+1,FALSE)</f>
        <v>チャレンジタワー(ソロ専用)</v>
      </c>
      <c r="E234" s="4" t="str">
        <f ca="1">VLOOKUP($C234,OFFSET([1]quests!$A$1,0,0,COUNTA([1]quests!$A:$A),MATCH(E$1,[1]quests!$1:$1,0)-MATCH($C$1,[1]quests!$1:$1,0)+1),MATCH(E$1,[1]quests!$1:$1,0)-MATCH($C$1,[1]quests!$1:$1,0)+1,FALSE)</f>
        <v>試練の塔</v>
      </c>
      <c r="F234" s="6">
        <v>15</v>
      </c>
      <c r="G234" s="4" t="str">
        <f ca="1">VLOOKUP($C234&amp;"_"&amp;$F234,OFFSET([1]stages!$A$1,0,0,COUNTA([1]stages!$A:$A),MATCH(G$1,[1]stages!$2:$2,0)-MATCH("temp_stage",[1]stages!$2:$2,0)+1),MATCH(G$1,[1]stages!$2:$2,0)-MATCH("temp_stage",[1]stages!$2:$2,0)+1,FALSE)</f>
        <v>チャレンジタワー 15F</v>
      </c>
      <c r="H234" s="4" t="str">
        <f ca="1">VLOOKUP($C234&amp;"_"&amp;$F234,OFFSET([1]stages!$A$1,0,0,COUNTA([1]stages!$A:$A),MATCH(H$1,[1]stages!$2:$2,0)-MATCH("temp_stage",[1]stages!$2:$2,0)+1),MATCH(H$1,[1]stages!$2:$2,0)-MATCH("temp_stage",[1]stages!$2:$2,0)+1,FALSE)</f>
        <v>試練の塔</v>
      </c>
      <c r="I234" s="19">
        <v>0</v>
      </c>
      <c r="J234">
        <v>36</v>
      </c>
      <c r="K234" s="6" t="s">
        <v>58</v>
      </c>
      <c r="L234" s="32" t="str">
        <f>VLOOKUP(J234,[2]stage_hints!$A:$C,3,FALSE)</f>
        <v>チャレンジタワーのボス</v>
      </c>
      <c r="M234" s="33" t="str">
        <f>VLOOKUP(J234,[2]stage_hints!$A:$D,4,FALSE)</f>
        <v>チャレンジタワー15F、20F、25Fのボスは_x000D_一定確率でドロップするようです</v>
      </c>
      <c r="N234" s="22" t="s">
        <v>113</v>
      </c>
      <c r="O234">
        <v>36</v>
      </c>
    </row>
    <row r="235" spans="1:15">
      <c r="A235" s="29" t="e">
        <f>C235&amp;"_"&amp;F235&amp;"_"&amp;#REF!</f>
        <v>#REF!</v>
      </c>
      <c r="B235" s="27" t="s">
        <v>32</v>
      </c>
      <c r="C235" s="5">
        <v>13001</v>
      </c>
      <c r="D235" s="4" t="str">
        <f ca="1">VLOOKUP($C235,OFFSET([1]quests!$A$1,0,0,COUNTA([1]quests!$A:$A),MATCH(D$1,[1]quests!$1:$1,0)-MATCH($C$1,[1]quests!$1:$1,0)+1),MATCH(D$1,[1]quests!$1:$1,0)-MATCH($C$1,[1]quests!$1:$1,0)+1,FALSE)</f>
        <v>チャレンジタワー(ソロ専用)</v>
      </c>
      <c r="E235" s="4" t="str">
        <f ca="1">VLOOKUP($C235,OFFSET([1]quests!$A$1,0,0,COUNTA([1]quests!$A:$A),MATCH(E$1,[1]quests!$1:$1,0)-MATCH($C$1,[1]quests!$1:$1,0)+1),MATCH(E$1,[1]quests!$1:$1,0)-MATCH($C$1,[1]quests!$1:$1,0)+1,FALSE)</f>
        <v>試練の塔</v>
      </c>
      <c r="F235" s="6">
        <v>15</v>
      </c>
      <c r="G235" s="4" t="str">
        <f ca="1">VLOOKUP($C235&amp;"_"&amp;$F235,OFFSET([1]stages!$A$1,0,0,COUNTA([1]stages!$A:$A),MATCH(G$1,[1]stages!$2:$2,0)-MATCH("temp_stage",[1]stages!$2:$2,0)+1),MATCH(G$1,[1]stages!$2:$2,0)-MATCH("temp_stage",[1]stages!$2:$2,0)+1,FALSE)</f>
        <v>チャレンジタワー 15F</v>
      </c>
      <c r="H235" s="4" t="str">
        <f ca="1">VLOOKUP($C235&amp;"_"&amp;$F235,OFFSET([1]stages!$A$1,0,0,COUNTA([1]stages!$A:$A),MATCH(H$1,[1]stages!$2:$2,0)-MATCH("temp_stage",[1]stages!$2:$2,0)+1),MATCH(H$1,[1]stages!$2:$2,0)-MATCH("temp_stage",[1]stages!$2:$2,0)+1,FALSE)</f>
        <v>試練の塔</v>
      </c>
      <c r="I235" s="19">
        <v>0</v>
      </c>
      <c r="J235">
        <v>37</v>
      </c>
      <c r="K235" s="6" t="s">
        <v>58</v>
      </c>
      <c r="L235" s="32" t="str">
        <f>VLOOKUP(J235,[2]stage_hints!$A:$C,3,FALSE)</f>
        <v>限界突破の引継</v>
      </c>
      <c r="M235" s="33" t="str">
        <f>VLOOKUP(J235,[2]stage_hints!$A:$D,4,FALSE)</f>
        <v>限界突破の+値は同じユニットなら_x000D_覚醒前後でも強化で引き継がれます</v>
      </c>
      <c r="N235" s="22" t="s">
        <v>108</v>
      </c>
      <c r="O235">
        <v>37</v>
      </c>
    </row>
    <row r="236" spans="1:15">
      <c r="A236" s="29" t="e">
        <f>C236&amp;"_"&amp;F236&amp;"_"&amp;#REF!</f>
        <v>#REF!</v>
      </c>
      <c r="B236" s="27" t="s">
        <v>32</v>
      </c>
      <c r="C236" s="5">
        <v>13001</v>
      </c>
      <c r="D236" s="4" t="str">
        <f ca="1">VLOOKUP($C236,OFFSET([1]quests!$A$1,0,0,COUNTA([1]quests!$A:$A),MATCH(D$1,[1]quests!$1:$1,0)-MATCH($C$1,[1]quests!$1:$1,0)+1),MATCH(D$1,[1]quests!$1:$1,0)-MATCH($C$1,[1]quests!$1:$1,0)+1,FALSE)</f>
        <v>チャレンジタワー(ソロ専用)</v>
      </c>
      <c r="E236" s="4" t="str">
        <f ca="1">VLOOKUP($C236,OFFSET([1]quests!$A$1,0,0,COUNTA([1]quests!$A:$A),MATCH(E$1,[1]quests!$1:$1,0)-MATCH($C$1,[1]quests!$1:$1,0)+1),MATCH(E$1,[1]quests!$1:$1,0)-MATCH($C$1,[1]quests!$1:$1,0)+1,FALSE)</f>
        <v>試練の塔</v>
      </c>
      <c r="F236" s="6">
        <v>16</v>
      </c>
      <c r="G236" s="4" t="str">
        <f ca="1">VLOOKUP($C236&amp;"_"&amp;$F236,OFFSET([1]stages!$A$1,0,0,COUNTA([1]stages!$A:$A),MATCH(G$1,[1]stages!$2:$2,0)-MATCH("temp_stage",[1]stages!$2:$2,0)+1),MATCH(G$1,[1]stages!$2:$2,0)-MATCH("temp_stage",[1]stages!$2:$2,0)+1,FALSE)</f>
        <v>チャレンジタワー 16F</v>
      </c>
      <c r="H236" s="4" t="str">
        <f ca="1">VLOOKUP($C236&amp;"_"&amp;$F236,OFFSET([1]stages!$A$1,0,0,COUNTA([1]stages!$A:$A),MATCH(H$1,[1]stages!$2:$2,0)-MATCH("temp_stage",[1]stages!$2:$2,0)+1),MATCH(H$1,[1]stages!$2:$2,0)-MATCH("temp_stage",[1]stages!$2:$2,0)+1,FALSE)</f>
        <v>試練の塔</v>
      </c>
      <c r="I236" s="19">
        <v>0</v>
      </c>
      <c r="J236">
        <v>32</v>
      </c>
      <c r="K236" s="6" t="s">
        <v>33</v>
      </c>
      <c r="L236" s="32" t="str">
        <f>VLOOKUP(J236,[2]stage_hints!$A:$C,3,FALSE)</f>
        <v>連続攻撃をしてくる敵には</v>
      </c>
      <c r="M236" s="33" t="str">
        <f>VLOOKUP(J236,[2]stage_hints!$A:$D,4,FALSE)</f>
        <v>敵の連続攻撃には「カウンター」スキルが有効！_x000D_ダメージ回数分の攻撃を返せます</v>
      </c>
      <c r="N236" s="22" t="s">
        <v>129</v>
      </c>
      <c r="O236">
        <v>32</v>
      </c>
    </row>
    <row r="237" spans="1:15">
      <c r="A237" s="29" t="e">
        <f>C237&amp;"_"&amp;F237&amp;"_"&amp;#REF!</f>
        <v>#REF!</v>
      </c>
      <c r="B237" s="27" t="s">
        <v>32</v>
      </c>
      <c r="C237" s="5">
        <v>13001</v>
      </c>
      <c r="D237" s="4" t="str">
        <f ca="1">VLOOKUP($C237,OFFSET([1]quests!$A$1,0,0,COUNTA([1]quests!$A:$A),MATCH(D$1,[1]quests!$1:$1,0)-MATCH($C$1,[1]quests!$1:$1,0)+1),MATCH(D$1,[1]quests!$1:$1,0)-MATCH($C$1,[1]quests!$1:$1,0)+1,FALSE)</f>
        <v>チャレンジタワー(ソロ専用)</v>
      </c>
      <c r="E237" s="4" t="str">
        <f ca="1">VLOOKUP($C237,OFFSET([1]quests!$A$1,0,0,COUNTA([1]quests!$A:$A),MATCH(E$1,[1]quests!$1:$1,0)-MATCH($C$1,[1]quests!$1:$1,0)+1),MATCH(E$1,[1]quests!$1:$1,0)-MATCH($C$1,[1]quests!$1:$1,0)+1,FALSE)</f>
        <v>試練の塔</v>
      </c>
      <c r="F237" s="6">
        <v>16</v>
      </c>
      <c r="G237" s="4" t="str">
        <f ca="1">VLOOKUP($C237&amp;"_"&amp;$F237,OFFSET([1]stages!$A$1,0,0,COUNTA([1]stages!$A:$A),MATCH(G$1,[1]stages!$2:$2,0)-MATCH("temp_stage",[1]stages!$2:$2,0)+1),MATCH(G$1,[1]stages!$2:$2,0)-MATCH("temp_stage",[1]stages!$2:$2,0)+1,FALSE)</f>
        <v>チャレンジタワー 16F</v>
      </c>
      <c r="H237" s="4" t="str">
        <f ca="1">VLOOKUP($C237&amp;"_"&amp;$F237,OFFSET([1]stages!$A$1,0,0,COUNTA([1]stages!$A:$A),MATCH(H$1,[1]stages!$2:$2,0)-MATCH("temp_stage",[1]stages!$2:$2,0)+1),MATCH(H$1,[1]stages!$2:$2,0)-MATCH("temp_stage",[1]stages!$2:$2,0)+1,FALSE)</f>
        <v>試練の塔</v>
      </c>
      <c r="I237" s="19">
        <v>0</v>
      </c>
      <c r="J237">
        <v>34</v>
      </c>
      <c r="K237" s="6" t="s">
        <v>33</v>
      </c>
      <c r="L237" s="32" t="str">
        <f>VLOOKUP(J237,[2]stage_hints!$A:$C,3,FALSE)</f>
        <v>敵のDOWNを上書きしよう！</v>
      </c>
      <c r="M237" s="33" t="str">
        <f>VLOOKUP(J237,[2]stage_hints!$A:$D,4,FALSE)</f>
        <v>攻撃力ダウンを受けたときは_x000D_攻撃力アップスキルで効果を上書きできます</v>
      </c>
      <c r="N237" s="22" t="s">
        <v>51</v>
      </c>
      <c r="O237">
        <v>34</v>
      </c>
    </row>
    <row r="238" spans="1:15">
      <c r="A238" s="29" t="e">
        <f>C238&amp;"_"&amp;F238&amp;"_"&amp;#REF!</f>
        <v>#REF!</v>
      </c>
      <c r="B238" s="27" t="s">
        <v>32</v>
      </c>
      <c r="C238" s="5">
        <v>13001</v>
      </c>
      <c r="D238" s="4" t="str">
        <f ca="1">VLOOKUP($C238,OFFSET([1]quests!$A$1,0,0,COUNTA([1]quests!$A:$A),MATCH(D$1,[1]quests!$1:$1,0)-MATCH($C$1,[1]quests!$1:$1,0)+1),MATCH(D$1,[1]quests!$1:$1,0)-MATCH($C$1,[1]quests!$1:$1,0)+1,FALSE)</f>
        <v>チャレンジタワー(ソロ専用)</v>
      </c>
      <c r="E238" s="4" t="str">
        <f ca="1">VLOOKUP($C238,OFFSET([1]quests!$A$1,0,0,COUNTA([1]quests!$A:$A),MATCH(E$1,[1]quests!$1:$1,0)-MATCH($C$1,[1]quests!$1:$1,0)+1),MATCH(E$1,[1]quests!$1:$1,0)-MATCH($C$1,[1]quests!$1:$1,0)+1,FALSE)</f>
        <v>試練の塔</v>
      </c>
      <c r="F238" s="6">
        <v>16</v>
      </c>
      <c r="G238" s="4" t="str">
        <f ca="1">VLOOKUP($C238&amp;"_"&amp;$F238,OFFSET([1]stages!$A$1,0,0,COUNTA([1]stages!$A:$A),MATCH(G$1,[1]stages!$2:$2,0)-MATCH("temp_stage",[1]stages!$2:$2,0)+1),MATCH(G$1,[1]stages!$2:$2,0)-MATCH("temp_stage",[1]stages!$2:$2,0)+1,FALSE)</f>
        <v>チャレンジタワー 16F</v>
      </c>
      <c r="H238" s="4" t="str">
        <f ca="1">VLOOKUP($C238&amp;"_"&amp;$F238,OFFSET([1]stages!$A$1,0,0,COUNTA([1]stages!$A:$A),MATCH(H$1,[1]stages!$2:$2,0)-MATCH("temp_stage",[1]stages!$2:$2,0)+1),MATCH(H$1,[1]stages!$2:$2,0)-MATCH("temp_stage",[1]stages!$2:$2,0)+1,FALSE)</f>
        <v>試練の塔</v>
      </c>
      <c r="I238" s="19">
        <v>0</v>
      </c>
      <c r="J238">
        <v>35</v>
      </c>
      <c r="K238" s="6" t="s">
        <v>33</v>
      </c>
      <c r="L238" s="32" t="str">
        <f>VLOOKUP(J238,[2]stage_hints!$A:$C,3,FALSE)</f>
        <v>敵のUPを上書きしよう！</v>
      </c>
      <c r="M238" s="33" t="str">
        <f>VLOOKUP(J238,[2]stage_hints!$A:$D,4,FALSE)</f>
        <v>敵の攻撃力がアップしたときは_x000D_攻撃力ダウンスキルで効果を上書きできます</v>
      </c>
      <c r="N238" s="22" t="s">
        <v>130</v>
      </c>
      <c r="O238">
        <v>35</v>
      </c>
    </row>
    <row r="239" spans="1:15">
      <c r="A239" s="29" t="e">
        <f>C239&amp;"_"&amp;F239&amp;"_"&amp;#REF!</f>
        <v>#REF!</v>
      </c>
      <c r="B239" s="27" t="s">
        <v>32</v>
      </c>
      <c r="C239" s="5">
        <v>13001</v>
      </c>
      <c r="D239" s="4" t="str">
        <f ca="1">VLOOKUP($C239,OFFSET([1]quests!$A$1,0,0,COUNTA([1]quests!$A:$A),MATCH(D$1,[1]quests!$1:$1,0)-MATCH($C$1,[1]quests!$1:$1,0)+1),MATCH(D$1,[1]quests!$1:$1,0)-MATCH($C$1,[1]quests!$1:$1,0)+1,FALSE)</f>
        <v>チャレンジタワー(ソロ専用)</v>
      </c>
      <c r="E239" s="4" t="str">
        <f ca="1">VLOOKUP($C239,OFFSET([1]quests!$A$1,0,0,COUNTA([1]quests!$A:$A),MATCH(E$1,[1]quests!$1:$1,0)-MATCH($C$1,[1]quests!$1:$1,0)+1),MATCH(E$1,[1]quests!$1:$1,0)-MATCH($C$1,[1]quests!$1:$1,0)+1,FALSE)</f>
        <v>試練の塔</v>
      </c>
      <c r="F239" s="6">
        <v>16</v>
      </c>
      <c r="G239" s="4" t="str">
        <f ca="1">VLOOKUP($C239&amp;"_"&amp;$F239,OFFSET([1]stages!$A$1,0,0,COUNTA([1]stages!$A:$A),MATCH(G$1,[1]stages!$2:$2,0)-MATCH("temp_stage",[1]stages!$2:$2,0)+1),MATCH(G$1,[1]stages!$2:$2,0)-MATCH("temp_stage",[1]stages!$2:$2,0)+1,FALSE)</f>
        <v>チャレンジタワー 16F</v>
      </c>
      <c r="H239" s="4" t="str">
        <f ca="1">VLOOKUP($C239&amp;"_"&amp;$F239,OFFSET([1]stages!$A$1,0,0,COUNTA([1]stages!$A:$A),MATCH(H$1,[1]stages!$2:$2,0)-MATCH("temp_stage",[1]stages!$2:$2,0)+1),MATCH(H$1,[1]stages!$2:$2,0)-MATCH("temp_stage",[1]stages!$2:$2,0)+1,FALSE)</f>
        <v>試練の塔</v>
      </c>
      <c r="I239" s="19">
        <v>0</v>
      </c>
      <c r="J239">
        <v>36</v>
      </c>
      <c r="K239" s="6" t="s">
        <v>33</v>
      </c>
      <c r="L239" s="32" t="str">
        <f>VLOOKUP(J239,[2]stage_hints!$A:$C,3,FALSE)</f>
        <v>チャレンジタワーのボス</v>
      </c>
      <c r="M239" s="33" t="str">
        <f>VLOOKUP(J239,[2]stage_hints!$A:$D,4,FALSE)</f>
        <v>チャレンジタワー15F、20F、25Fのボスは_x000D_一定確率でドロップするようです</v>
      </c>
      <c r="N239" s="22" t="s">
        <v>131</v>
      </c>
      <c r="O239">
        <v>36</v>
      </c>
    </row>
    <row r="240" spans="1:15">
      <c r="A240" s="29" t="e">
        <f>C240&amp;"_"&amp;F240&amp;"_"&amp;#REF!</f>
        <v>#REF!</v>
      </c>
      <c r="B240" s="27" t="s">
        <v>32</v>
      </c>
      <c r="C240" s="5">
        <v>13001</v>
      </c>
      <c r="D240" s="4" t="str">
        <f ca="1">VLOOKUP($C240,OFFSET([1]quests!$A$1,0,0,COUNTA([1]quests!$A:$A),MATCH(D$1,[1]quests!$1:$1,0)-MATCH($C$1,[1]quests!$1:$1,0)+1),MATCH(D$1,[1]quests!$1:$1,0)-MATCH($C$1,[1]quests!$1:$1,0)+1,FALSE)</f>
        <v>チャレンジタワー(ソロ専用)</v>
      </c>
      <c r="E240" s="4" t="str">
        <f ca="1">VLOOKUP($C240,OFFSET([1]quests!$A$1,0,0,COUNTA([1]quests!$A:$A),MATCH(E$1,[1]quests!$1:$1,0)-MATCH($C$1,[1]quests!$1:$1,0)+1),MATCH(E$1,[1]quests!$1:$1,0)-MATCH($C$1,[1]quests!$1:$1,0)+1,FALSE)</f>
        <v>試練の塔</v>
      </c>
      <c r="F240" s="6">
        <v>16</v>
      </c>
      <c r="G240" s="4" t="str">
        <f ca="1">VLOOKUP($C240&amp;"_"&amp;$F240,OFFSET([1]stages!$A$1,0,0,COUNTA([1]stages!$A:$A),MATCH(G$1,[1]stages!$2:$2,0)-MATCH("temp_stage",[1]stages!$2:$2,0)+1),MATCH(G$1,[1]stages!$2:$2,0)-MATCH("temp_stage",[1]stages!$2:$2,0)+1,FALSE)</f>
        <v>チャレンジタワー 16F</v>
      </c>
      <c r="H240" s="4" t="str">
        <f ca="1">VLOOKUP($C240&amp;"_"&amp;$F240,OFFSET([1]stages!$A$1,0,0,COUNTA([1]stages!$A:$A),MATCH(H$1,[1]stages!$2:$2,0)-MATCH("temp_stage",[1]stages!$2:$2,0)+1),MATCH(H$1,[1]stages!$2:$2,0)-MATCH("temp_stage",[1]stages!$2:$2,0)+1,FALSE)</f>
        <v>試練の塔</v>
      </c>
      <c r="I240" s="19">
        <v>0</v>
      </c>
      <c r="J240">
        <v>37</v>
      </c>
      <c r="K240" s="6" t="s">
        <v>33</v>
      </c>
      <c r="L240" s="32" t="str">
        <f>VLOOKUP(J240,[2]stage_hints!$A:$C,3,FALSE)</f>
        <v>限界突破の引継</v>
      </c>
      <c r="M240" s="33" t="str">
        <f>VLOOKUP(J240,[2]stage_hints!$A:$D,4,FALSE)</f>
        <v>限界突破の+値は同じユニットなら_x000D_覚醒前後でも強化で引き継がれます</v>
      </c>
      <c r="N240" s="22" t="s">
        <v>127</v>
      </c>
      <c r="O240">
        <v>37</v>
      </c>
    </row>
    <row r="241" spans="1:15">
      <c r="A241" s="29" t="e">
        <f>C241&amp;"_"&amp;F241&amp;"_"&amp;#REF!</f>
        <v>#REF!</v>
      </c>
      <c r="B241" s="27" t="s">
        <v>32</v>
      </c>
      <c r="C241" s="5">
        <v>13001</v>
      </c>
      <c r="D241" s="4" t="str">
        <f ca="1">VLOOKUP($C241,OFFSET([1]quests!$A$1,0,0,COUNTA([1]quests!$A:$A),MATCH(D$1,[1]quests!$1:$1,0)-MATCH($C$1,[1]quests!$1:$1,0)+1),MATCH(D$1,[1]quests!$1:$1,0)-MATCH($C$1,[1]quests!$1:$1,0)+1,FALSE)</f>
        <v>チャレンジタワー(ソロ専用)</v>
      </c>
      <c r="E241" s="4" t="str">
        <f ca="1">VLOOKUP($C241,OFFSET([1]quests!$A$1,0,0,COUNTA([1]quests!$A:$A),MATCH(E$1,[1]quests!$1:$1,0)-MATCH($C$1,[1]quests!$1:$1,0)+1),MATCH(E$1,[1]quests!$1:$1,0)-MATCH($C$1,[1]quests!$1:$1,0)+1,FALSE)</f>
        <v>試練の塔</v>
      </c>
      <c r="F241" s="6">
        <v>17</v>
      </c>
      <c r="G241" s="4" t="str">
        <f ca="1">VLOOKUP($C241&amp;"_"&amp;$F241,OFFSET([1]stages!$A$1,0,0,COUNTA([1]stages!$A:$A),MATCH(G$1,[1]stages!$2:$2,0)-MATCH("temp_stage",[1]stages!$2:$2,0)+1),MATCH(G$1,[1]stages!$2:$2,0)-MATCH("temp_stage",[1]stages!$2:$2,0)+1,FALSE)</f>
        <v>チャレンジタワー 17F</v>
      </c>
      <c r="H241" s="4" t="str">
        <f ca="1">VLOOKUP($C241&amp;"_"&amp;$F241,OFFSET([1]stages!$A$1,0,0,COUNTA([1]stages!$A:$A),MATCH(H$1,[1]stages!$2:$2,0)-MATCH("temp_stage",[1]stages!$2:$2,0)+1),MATCH(H$1,[1]stages!$2:$2,0)-MATCH("temp_stage",[1]stages!$2:$2,0)+1,FALSE)</f>
        <v>試練の塔</v>
      </c>
      <c r="I241" s="19">
        <v>0</v>
      </c>
      <c r="J241">
        <v>32</v>
      </c>
      <c r="K241" s="6" t="s">
        <v>33</v>
      </c>
      <c r="L241" s="32" t="str">
        <f>VLOOKUP(J241,[2]stage_hints!$A:$C,3,FALSE)</f>
        <v>連続攻撃をしてくる敵には</v>
      </c>
      <c r="M241" s="33" t="str">
        <f>VLOOKUP(J241,[2]stage_hints!$A:$D,4,FALSE)</f>
        <v>敵の連続攻撃には「カウンター」スキルが有効！_x000D_ダメージ回数分の攻撃を返せます</v>
      </c>
      <c r="N241" s="22" t="s">
        <v>39</v>
      </c>
      <c r="O241">
        <v>32</v>
      </c>
    </row>
    <row r="242" spans="1:15">
      <c r="A242" s="29" t="e">
        <f>C242&amp;"_"&amp;F242&amp;"_"&amp;#REF!</f>
        <v>#REF!</v>
      </c>
      <c r="B242" s="27" t="s">
        <v>32</v>
      </c>
      <c r="C242" s="5">
        <v>13001</v>
      </c>
      <c r="D242" s="4" t="str">
        <f ca="1">VLOOKUP($C242,OFFSET([1]quests!$A$1,0,0,COUNTA([1]quests!$A:$A),MATCH(D$1,[1]quests!$1:$1,0)-MATCH($C$1,[1]quests!$1:$1,0)+1),MATCH(D$1,[1]quests!$1:$1,0)-MATCH($C$1,[1]quests!$1:$1,0)+1,FALSE)</f>
        <v>チャレンジタワー(ソロ専用)</v>
      </c>
      <c r="E242" s="4" t="str">
        <f ca="1">VLOOKUP($C242,OFFSET([1]quests!$A$1,0,0,COUNTA([1]quests!$A:$A),MATCH(E$1,[1]quests!$1:$1,0)-MATCH($C$1,[1]quests!$1:$1,0)+1),MATCH(E$1,[1]quests!$1:$1,0)-MATCH($C$1,[1]quests!$1:$1,0)+1,FALSE)</f>
        <v>試練の塔</v>
      </c>
      <c r="F242" s="6">
        <v>17</v>
      </c>
      <c r="G242" s="4" t="str">
        <f ca="1">VLOOKUP($C242&amp;"_"&amp;$F242,OFFSET([1]stages!$A$1,0,0,COUNTA([1]stages!$A:$A),MATCH(G$1,[1]stages!$2:$2,0)-MATCH("temp_stage",[1]stages!$2:$2,0)+1),MATCH(G$1,[1]stages!$2:$2,0)-MATCH("temp_stage",[1]stages!$2:$2,0)+1,FALSE)</f>
        <v>チャレンジタワー 17F</v>
      </c>
      <c r="H242" s="4" t="str">
        <f ca="1">VLOOKUP($C242&amp;"_"&amp;$F242,OFFSET([1]stages!$A$1,0,0,COUNTA([1]stages!$A:$A),MATCH(H$1,[1]stages!$2:$2,0)-MATCH("temp_stage",[1]stages!$2:$2,0)+1),MATCH(H$1,[1]stages!$2:$2,0)-MATCH("temp_stage",[1]stages!$2:$2,0)+1,FALSE)</f>
        <v>試練の塔</v>
      </c>
      <c r="I242" s="19">
        <v>0</v>
      </c>
      <c r="J242">
        <v>34</v>
      </c>
      <c r="K242" s="6" t="s">
        <v>58</v>
      </c>
      <c r="L242" s="32" t="str">
        <f>VLOOKUP(J242,[2]stage_hints!$A:$C,3,FALSE)</f>
        <v>敵のDOWNを上書きしよう！</v>
      </c>
      <c r="M242" s="33" t="str">
        <f>VLOOKUP(J242,[2]stage_hints!$A:$D,4,FALSE)</f>
        <v>攻撃力ダウンを受けたときは_x000D_攻撃力アップスキルで効果を上書きできます</v>
      </c>
      <c r="N242" s="22" t="s">
        <v>128</v>
      </c>
      <c r="O242">
        <v>34</v>
      </c>
    </row>
    <row r="243" spans="1:15">
      <c r="A243" s="29" t="e">
        <f>C243&amp;"_"&amp;F243&amp;"_"&amp;#REF!</f>
        <v>#REF!</v>
      </c>
      <c r="B243" s="27" t="s">
        <v>32</v>
      </c>
      <c r="C243" s="5">
        <v>13001</v>
      </c>
      <c r="D243" s="4" t="str">
        <f ca="1">VLOOKUP($C243,OFFSET([1]quests!$A$1,0,0,COUNTA([1]quests!$A:$A),MATCH(D$1,[1]quests!$1:$1,0)-MATCH($C$1,[1]quests!$1:$1,0)+1),MATCH(D$1,[1]quests!$1:$1,0)-MATCH($C$1,[1]quests!$1:$1,0)+1,FALSE)</f>
        <v>チャレンジタワー(ソロ専用)</v>
      </c>
      <c r="E243" s="4" t="str">
        <f ca="1">VLOOKUP($C243,OFFSET([1]quests!$A$1,0,0,COUNTA([1]quests!$A:$A),MATCH(E$1,[1]quests!$1:$1,0)-MATCH($C$1,[1]quests!$1:$1,0)+1),MATCH(E$1,[1]quests!$1:$1,0)-MATCH($C$1,[1]quests!$1:$1,0)+1,FALSE)</f>
        <v>試練の塔</v>
      </c>
      <c r="F243" s="6">
        <v>17</v>
      </c>
      <c r="G243" s="4" t="str">
        <f ca="1">VLOOKUP($C243&amp;"_"&amp;$F243,OFFSET([1]stages!$A$1,0,0,COUNTA([1]stages!$A:$A),MATCH(G$1,[1]stages!$2:$2,0)-MATCH("temp_stage",[1]stages!$2:$2,0)+1),MATCH(G$1,[1]stages!$2:$2,0)-MATCH("temp_stage",[1]stages!$2:$2,0)+1,FALSE)</f>
        <v>チャレンジタワー 17F</v>
      </c>
      <c r="H243" s="4" t="str">
        <f ca="1">VLOOKUP($C243&amp;"_"&amp;$F243,OFFSET([1]stages!$A$1,0,0,COUNTA([1]stages!$A:$A),MATCH(H$1,[1]stages!$2:$2,0)-MATCH("temp_stage",[1]stages!$2:$2,0)+1),MATCH(H$1,[1]stages!$2:$2,0)-MATCH("temp_stage",[1]stages!$2:$2,0)+1,FALSE)</f>
        <v>試練の塔</v>
      </c>
      <c r="I243" s="19">
        <v>0</v>
      </c>
      <c r="J243">
        <v>35</v>
      </c>
      <c r="K243" s="6" t="s">
        <v>58</v>
      </c>
      <c r="L243" s="32" t="str">
        <f>VLOOKUP(J243,[2]stage_hints!$A:$C,3,FALSE)</f>
        <v>敵のUPを上書きしよう！</v>
      </c>
      <c r="M243" s="33" t="str">
        <f>VLOOKUP(J243,[2]stage_hints!$A:$D,4,FALSE)</f>
        <v>敵の攻撃力がアップしたときは_x000D_攻撃力ダウンスキルで効果を上書きできます</v>
      </c>
      <c r="N243" s="22" t="s">
        <v>108</v>
      </c>
      <c r="O243">
        <v>35</v>
      </c>
    </row>
    <row r="244" spans="1:15">
      <c r="A244" s="29" t="e">
        <f>C244&amp;"_"&amp;F244&amp;"_"&amp;#REF!</f>
        <v>#REF!</v>
      </c>
      <c r="B244" s="27" t="s">
        <v>32</v>
      </c>
      <c r="C244" s="5">
        <v>13001</v>
      </c>
      <c r="D244" s="4" t="str">
        <f ca="1">VLOOKUP($C244,OFFSET([1]quests!$A$1,0,0,COUNTA([1]quests!$A:$A),MATCH(D$1,[1]quests!$1:$1,0)-MATCH($C$1,[1]quests!$1:$1,0)+1),MATCH(D$1,[1]quests!$1:$1,0)-MATCH($C$1,[1]quests!$1:$1,0)+1,FALSE)</f>
        <v>チャレンジタワー(ソロ専用)</v>
      </c>
      <c r="E244" s="4" t="str">
        <f ca="1">VLOOKUP($C244,OFFSET([1]quests!$A$1,0,0,COUNTA([1]quests!$A:$A),MATCH(E$1,[1]quests!$1:$1,0)-MATCH($C$1,[1]quests!$1:$1,0)+1),MATCH(E$1,[1]quests!$1:$1,0)-MATCH($C$1,[1]quests!$1:$1,0)+1,FALSE)</f>
        <v>試練の塔</v>
      </c>
      <c r="F244" s="6">
        <v>17</v>
      </c>
      <c r="G244" s="4" t="str">
        <f ca="1">VLOOKUP($C244&amp;"_"&amp;$F244,OFFSET([1]stages!$A$1,0,0,COUNTA([1]stages!$A:$A),MATCH(G$1,[1]stages!$2:$2,0)-MATCH("temp_stage",[1]stages!$2:$2,0)+1),MATCH(G$1,[1]stages!$2:$2,0)-MATCH("temp_stage",[1]stages!$2:$2,0)+1,FALSE)</f>
        <v>チャレンジタワー 17F</v>
      </c>
      <c r="H244" s="4" t="str">
        <f ca="1">VLOOKUP($C244&amp;"_"&amp;$F244,OFFSET([1]stages!$A$1,0,0,COUNTA([1]stages!$A:$A),MATCH(H$1,[1]stages!$2:$2,0)-MATCH("temp_stage",[1]stages!$2:$2,0)+1),MATCH(H$1,[1]stages!$2:$2,0)-MATCH("temp_stage",[1]stages!$2:$2,0)+1,FALSE)</f>
        <v>試練の塔</v>
      </c>
      <c r="I244" s="19">
        <v>0</v>
      </c>
      <c r="J244">
        <v>36</v>
      </c>
      <c r="K244" s="6" t="s">
        <v>135</v>
      </c>
      <c r="L244" s="32" t="str">
        <f>VLOOKUP(J244,[2]stage_hints!$A:$C,3,FALSE)</f>
        <v>チャレンジタワーのボス</v>
      </c>
      <c r="M244" s="33" t="str">
        <f>VLOOKUP(J244,[2]stage_hints!$A:$D,4,FALSE)</f>
        <v>チャレンジタワー15F、20F、25Fのボスは_x000D_一定確率でドロップするようです</v>
      </c>
      <c r="N244" s="22" t="s">
        <v>114</v>
      </c>
      <c r="O244">
        <v>36</v>
      </c>
    </row>
    <row r="245" spans="1:15">
      <c r="A245" s="29" t="e">
        <f>C245&amp;"_"&amp;F245&amp;"_"&amp;#REF!</f>
        <v>#REF!</v>
      </c>
      <c r="B245" s="27" t="s">
        <v>32</v>
      </c>
      <c r="C245" s="5">
        <v>13001</v>
      </c>
      <c r="D245" s="4" t="str">
        <f ca="1">VLOOKUP($C245,OFFSET([1]quests!$A$1,0,0,COUNTA([1]quests!$A:$A),MATCH(D$1,[1]quests!$1:$1,0)-MATCH($C$1,[1]quests!$1:$1,0)+1),MATCH(D$1,[1]quests!$1:$1,0)-MATCH($C$1,[1]quests!$1:$1,0)+1,FALSE)</f>
        <v>チャレンジタワー(ソロ専用)</v>
      </c>
      <c r="E245" s="4" t="str">
        <f ca="1">VLOOKUP($C245,OFFSET([1]quests!$A$1,0,0,COUNTA([1]quests!$A:$A),MATCH(E$1,[1]quests!$1:$1,0)-MATCH($C$1,[1]quests!$1:$1,0)+1),MATCH(E$1,[1]quests!$1:$1,0)-MATCH($C$1,[1]quests!$1:$1,0)+1,FALSE)</f>
        <v>試練の塔</v>
      </c>
      <c r="F245" s="6">
        <v>17</v>
      </c>
      <c r="G245" s="4" t="str">
        <f ca="1">VLOOKUP($C245&amp;"_"&amp;$F245,OFFSET([1]stages!$A$1,0,0,COUNTA([1]stages!$A:$A),MATCH(G$1,[1]stages!$2:$2,0)-MATCH("temp_stage",[1]stages!$2:$2,0)+1),MATCH(G$1,[1]stages!$2:$2,0)-MATCH("temp_stage",[1]stages!$2:$2,0)+1,FALSE)</f>
        <v>チャレンジタワー 17F</v>
      </c>
      <c r="H245" s="4" t="str">
        <f ca="1">VLOOKUP($C245&amp;"_"&amp;$F245,OFFSET([1]stages!$A$1,0,0,COUNTA([1]stages!$A:$A),MATCH(H$1,[1]stages!$2:$2,0)-MATCH("temp_stage",[1]stages!$2:$2,0)+1),MATCH(H$1,[1]stages!$2:$2,0)-MATCH("temp_stage",[1]stages!$2:$2,0)+1,FALSE)</f>
        <v>試練の塔</v>
      </c>
      <c r="I245" s="19">
        <v>0</v>
      </c>
      <c r="J245">
        <v>37</v>
      </c>
      <c r="K245" s="6" t="s">
        <v>58</v>
      </c>
      <c r="L245" s="32" t="str">
        <f>VLOOKUP(J245,[2]stage_hints!$A:$C,3,FALSE)</f>
        <v>限界突破の引継</v>
      </c>
      <c r="M245" s="33" t="str">
        <f>VLOOKUP(J245,[2]stage_hints!$A:$D,4,FALSE)</f>
        <v>限界突破の+値は同じユニットなら_x000D_覚醒前後でも強化で引き継がれます</v>
      </c>
      <c r="N245" s="22" t="s">
        <v>108</v>
      </c>
      <c r="O245">
        <v>37</v>
      </c>
    </row>
    <row r="246" spans="1:15">
      <c r="A246" s="29" t="e">
        <f>C246&amp;"_"&amp;F246&amp;"_"&amp;#REF!</f>
        <v>#REF!</v>
      </c>
      <c r="B246" s="27" t="s">
        <v>32</v>
      </c>
      <c r="C246" s="5">
        <v>13001</v>
      </c>
      <c r="D246" s="4" t="str">
        <f ca="1">VLOOKUP($C246,OFFSET([1]quests!$A$1,0,0,COUNTA([1]quests!$A:$A),MATCH(D$1,[1]quests!$1:$1,0)-MATCH($C$1,[1]quests!$1:$1,0)+1),MATCH(D$1,[1]quests!$1:$1,0)-MATCH($C$1,[1]quests!$1:$1,0)+1,FALSE)</f>
        <v>チャレンジタワー(ソロ専用)</v>
      </c>
      <c r="E246" s="4" t="str">
        <f ca="1">VLOOKUP($C246,OFFSET([1]quests!$A$1,0,0,COUNTA([1]quests!$A:$A),MATCH(E$1,[1]quests!$1:$1,0)-MATCH($C$1,[1]quests!$1:$1,0)+1),MATCH(E$1,[1]quests!$1:$1,0)-MATCH($C$1,[1]quests!$1:$1,0)+1,FALSE)</f>
        <v>試練の塔</v>
      </c>
      <c r="F246" s="6">
        <v>18</v>
      </c>
      <c r="G246" s="4" t="str">
        <f ca="1">VLOOKUP($C246&amp;"_"&amp;$F246,OFFSET([1]stages!$A$1,0,0,COUNTA([1]stages!$A:$A),MATCH(G$1,[1]stages!$2:$2,0)-MATCH("temp_stage",[1]stages!$2:$2,0)+1),MATCH(G$1,[1]stages!$2:$2,0)-MATCH("temp_stage",[1]stages!$2:$2,0)+1,FALSE)</f>
        <v>チャレンジタワー 18F</v>
      </c>
      <c r="H246" s="4" t="str">
        <f ca="1">VLOOKUP($C246&amp;"_"&amp;$F246,OFFSET([1]stages!$A$1,0,0,COUNTA([1]stages!$A:$A),MATCH(H$1,[1]stages!$2:$2,0)-MATCH("temp_stage",[1]stages!$2:$2,0)+1),MATCH(H$1,[1]stages!$2:$2,0)-MATCH("temp_stage",[1]stages!$2:$2,0)+1,FALSE)</f>
        <v>試練の塔</v>
      </c>
      <c r="I246" s="19">
        <v>0</v>
      </c>
      <c r="J246">
        <v>32</v>
      </c>
      <c r="K246" s="6" t="s">
        <v>33</v>
      </c>
      <c r="L246" s="32" t="str">
        <f>VLOOKUP(J246,[2]stage_hints!$A:$C,3,FALSE)</f>
        <v>連続攻撃をしてくる敵には</v>
      </c>
      <c r="M246" s="33" t="str">
        <f>VLOOKUP(J246,[2]stage_hints!$A:$D,4,FALSE)</f>
        <v>敵の連続攻撃には「カウンター」スキルが有効！_x000D_ダメージ回数分の攻撃を返せます</v>
      </c>
      <c r="N246" s="22" t="s">
        <v>41</v>
      </c>
      <c r="O246">
        <v>32</v>
      </c>
    </row>
    <row r="247" spans="1:15">
      <c r="A247" s="29" t="e">
        <f>C247&amp;"_"&amp;F247&amp;"_"&amp;#REF!</f>
        <v>#REF!</v>
      </c>
      <c r="B247" s="27" t="s">
        <v>32</v>
      </c>
      <c r="C247" s="5">
        <v>13001</v>
      </c>
      <c r="D247" s="4" t="str">
        <f ca="1">VLOOKUP($C247,OFFSET([1]quests!$A$1,0,0,COUNTA([1]quests!$A:$A),MATCH(D$1,[1]quests!$1:$1,0)-MATCH($C$1,[1]quests!$1:$1,0)+1),MATCH(D$1,[1]quests!$1:$1,0)-MATCH($C$1,[1]quests!$1:$1,0)+1,FALSE)</f>
        <v>チャレンジタワー(ソロ専用)</v>
      </c>
      <c r="E247" s="4" t="str">
        <f ca="1">VLOOKUP($C247,OFFSET([1]quests!$A$1,0,0,COUNTA([1]quests!$A:$A),MATCH(E$1,[1]quests!$1:$1,0)-MATCH($C$1,[1]quests!$1:$1,0)+1),MATCH(E$1,[1]quests!$1:$1,0)-MATCH($C$1,[1]quests!$1:$1,0)+1,FALSE)</f>
        <v>試練の塔</v>
      </c>
      <c r="F247" s="6">
        <v>18</v>
      </c>
      <c r="G247" s="4" t="str">
        <f ca="1">VLOOKUP($C247&amp;"_"&amp;$F247,OFFSET([1]stages!$A$1,0,0,COUNTA([1]stages!$A:$A),MATCH(G$1,[1]stages!$2:$2,0)-MATCH("temp_stage",[1]stages!$2:$2,0)+1),MATCH(G$1,[1]stages!$2:$2,0)-MATCH("temp_stage",[1]stages!$2:$2,0)+1,FALSE)</f>
        <v>チャレンジタワー 18F</v>
      </c>
      <c r="H247" s="4" t="str">
        <f ca="1">VLOOKUP($C247&amp;"_"&amp;$F247,OFFSET([1]stages!$A$1,0,0,COUNTA([1]stages!$A:$A),MATCH(H$1,[1]stages!$2:$2,0)-MATCH("temp_stage",[1]stages!$2:$2,0)+1),MATCH(H$1,[1]stages!$2:$2,0)-MATCH("temp_stage",[1]stages!$2:$2,0)+1,FALSE)</f>
        <v>試練の塔</v>
      </c>
      <c r="I247" s="19">
        <v>0</v>
      </c>
      <c r="J247">
        <v>34</v>
      </c>
      <c r="K247" s="6" t="s">
        <v>135</v>
      </c>
      <c r="L247" s="32" t="str">
        <f>VLOOKUP(J247,[2]stage_hints!$A:$C,3,FALSE)</f>
        <v>敵のDOWNを上書きしよう！</v>
      </c>
      <c r="M247" s="33" t="str">
        <f>VLOOKUP(J247,[2]stage_hints!$A:$D,4,FALSE)</f>
        <v>攻撃力ダウンを受けたときは_x000D_攻撃力アップスキルで効果を上書きできます</v>
      </c>
      <c r="N247" s="22" t="s">
        <v>37</v>
      </c>
      <c r="O247">
        <v>34</v>
      </c>
    </row>
    <row r="248" spans="1:15">
      <c r="A248" s="29" t="e">
        <f>C248&amp;"_"&amp;F248&amp;"_"&amp;#REF!</f>
        <v>#REF!</v>
      </c>
      <c r="B248" s="27" t="s">
        <v>32</v>
      </c>
      <c r="C248" s="5">
        <v>13001</v>
      </c>
      <c r="D248" s="4" t="str">
        <f ca="1">VLOOKUP($C248,OFFSET([1]quests!$A$1,0,0,COUNTA([1]quests!$A:$A),MATCH(D$1,[1]quests!$1:$1,0)-MATCH($C$1,[1]quests!$1:$1,0)+1),MATCH(D$1,[1]quests!$1:$1,0)-MATCH($C$1,[1]quests!$1:$1,0)+1,FALSE)</f>
        <v>チャレンジタワー(ソロ専用)</v>
      </c>
      <c r="E248" s="4" t="str">
        <f ca="1">VLOOKUP($C248,OFFSET([1]quests!$A$1,0,0,COUNTA([1]quests!$A:$A),MATCH(E$1,[1]quests!$1:$1,0)-MATCH($C$1,[1]quests!$1:$1,0)+1),MATCH(E$1,[1]quests!$1:$1,0)-MATCH($C$1,[1]quests!$1:$1,0)+1,FALSE)</f>
        <v>試練の塔</v>
      </c>
      <c r="F248" s="6">
        <v>18</v>
      </c>
      <c r="G248" s="4" t="str">
        <f ca="1">VLOOKUP($C248&amp;"_"&amp;$F248,OFFSET([1]stages!$A$1,0,0,COUNTA([1]stages!$A:$A),MATCH(G$1,[1]stages!$2:$2,0)-MATCH("temp_stage",[1]stages!$2:$2,0)+1),MATCH(G$1,[1]stages!$2:$2,0)-MATCH("temp_stage",[1]stages!$2:$2,0)+1,FALSE)</f>
        <v>チャレンジタワー 18F</v>
      </c>
      <c r="H248" s="4" t="str">
        <f ca="1">VLOOKUP($C248&amp;"_"&amp;$F248,OFFSET([1]stages!$A$1,0,0,COUNTA([1]stages!$A:$A),MATCH(H$1,[1]stages!$2:$2,0)-MATCH("temp_stage",[1]stages!$2:$2,0)+1),MATCH(H$1,[1]stages!$2:$2,0)-MATCH("temp_stage",[1]stages!$2:$2,0)+1,FALSE)</f>
        <v>試練の塔</v>
      </c>
      <c r="I248" s="19">
        <v>0</v>
      </c>
      <c r="J248">
        <v>35</v>
      </c>
      <c r="K248" s="6" t="s">
        <v>33</v>
      </c>
      <c r="L248" s="32" t="str">
        <f>VLOOKUP(J248,[2]stage_hints!$A:$C,3,FALSE)</f>
        <v>敵のUPを上書きしよう！</v>
      </c>
      <c r="M248" s="33" t="str">
        <f>VLOOKUP(J248,[2]stage_hints!$A:$D,4,FALSE)</f>
        <v>敵の攻撃力がアップしたときは_x000D_攻撃力ダウンスキルで効果を上書きできます</v>
      </c>
      <c r="N248" s="22" t="s">
        <v>34</v>
      </c>
      <c r="O248">
        <v>35</v>
      </c>
    </row>
    <row r="249" spans="1:15">
      <c r="A249" s="29" t="e">
        <f>C249&amp;"_"&amp;F249&amp;"_"&amp;#REF!</f>
        <v>#REF!</v>
      </c>
      <c r="B249" s="27" t="s">
        <v>32</v>
      </c>
      <c r="C249" s="5">
        <v>13001</v>
      </c>
      <c r="D249" s="4" t="str">
        <f ca="1">VLOOKUP($C249,OFFSET([1]quests!$A$1,0,0,COUNTA([1]quests!$A:$A),MATCH(D$1,[1]quests!$1:$1,0)-MATCH($C$1,[1]quests!$1:$1,0)+1),MATCH(D$1,[1]quests!$1:$1,0)-MATCH($C$1,[1]quests!$1:$1,0)+1,FALSE)</f>
        <v>チャレンジタワー(ソロ専用)</v>
      </c>
      <c r="E249" s="4" t="str">
        <f ca="1">VLOOKUP($C249,OFFSET([1]quests!$A$1,0,0,COUNTA([1]quests!$A:$A),MATCH(E$1,[1]quests!$1:$1,0)-MATCH($C$1,[1]quests!$1:$1,0)+1),MATCH(E$1,[1]quests!$1:$1,0)-MATCH($C$1,[1]quests!$1:$1,0)+1,FALSE)</f>
        <v>試練の塔</v>
      </c>
      <c r="F249" s="6">
        <v>18</v>
      </c>
      <c r="G249" s="4" t="str">
        <f ca="1">VLOOKUP($C249&amp;"_"&amp;$F249,OFFSET([1]stages!$A$1,0,0,COUNTA([1]stages!$A:$A),MATCH(G$1,[1]stages!$2:$2,0)-MATCH("temp_stage",[1]stages!$2:$2,0)+1),MATCH(G$1,[1]stages!$2:$2,0)-MATCH("temp_stage",[1]stages!$2:$2,0)+1,FALSE)</f>
        <v>チャレンジタワー 18F</v>
      </c>
      <c r="H249" s="4" t="str">
        <f ca="1">VLOOKUP($C249&amp;"_"&amp;$F249,OFFSET([1]stages!$A$1,0,0,COUNTA([1]stages!$A:$A),MATCH(H$1,[1]stages!$2:$2,0)-MATCH("temp_stage",[1]stages!$2:$2,0)+1),MATCH(H$1,[1]stages!$2:$2,0)-MATCH("temp_stage",[1]stages!$2:$2,0)+1,FALSE)</f>
        <v>試練の塔</v>
      </c>
      <c r="I249" s="19">
        <v>0</v>
      </c>
      <c r="J249">
        <v>36</v>
      </c>
      <c r="K249" s="6" t="s">
        <v>135</v>
      </c>
      <c r="L249" s="32" t="str">
        <f>VLOOKUP(J249,[2]stage_hints!$A:$C,3,FALSE)</f>
        <v>チャレンジタワーのボス</v>
      </c>
      <c r="M249" s="33" t="str">
        <f>VLOOKUP(J249,[2]stage_hints!$A:$D,4,FALSE)</f>
        <v>チャレンジタワー15F、20F、25Fのボスは_x000D_一定確率でドロップするようです</v>
      </c>
      <c r="N249" s="22" t="s">
        <v>48</v>
      </c>
      <c r="O249">
        <v>36</v>
      </c>
    </row>
    <row r="250" spans="1:15">
      <c r="A250" s="29" t="e">
        <f>C250&amp;"_"&amp;F250&amp;"_"&amp;#REF!</f>
        <v>#REF!</v>
      </c>
      <c r="B250" s="27" t="s">
        <v>32</v>
      </c>
      <c r="C250" s="5">
        <v>13001</v>
      </c>
      <c r="D250" s="4" t="str">
        <f ca="1">VLOOKUP($C250,OFFSET([1]quests!$A$1,0,0,COUNTA([1]quests!$A:$A),MATCH(D$1,[1]quests!$1:$1,0)-MATCH($C$1,[1]quests!$1:$1,0)+1),MATCH(D$1,[1]quests!$1:$1,0)-MATCH($C$1,[1]quests!$1:$1,0)+1,FALSE)</f>
        <v>チャレンジタワー(ソロ専用)</v>
      </c>
      <c r="E250" s="4" t="str">
        <f ca="1">VLOOKUP($C250,OFFSET([1]quests!$A$1,0,0,COUNTA([1]quests!$A:$A),MATCH(E$1,[1]quests!$1:$1,0)-MATCH($C$1,[1]quests!$1:$1,0)+1),MATCH(E$1,[1]quests!$1:$1,0)-MATCH($C$1,[1]quests!$1:$1,0)+1,FALSE)</f>
        <v>試練の塔</v>
      </c>
      <c r="F250" s="6">
        <v>18</v>
      </c>
      <c r="G250" s="4" t="str">
        <f ca="1">VLOOKUP($C250&amp;"_"&amp;$F250,OFFSET([1]stages!$A$1,0,0,COUNTA([1]stages!$A:$A),MATCH(G$1,[1]stages!$2:$2,0)-MATCH("temp_stage",[1]stages!$2:$2,0)+1),MATCH(G$1,[1]stages!$2:$2,0)-MATCH("temp_stage",[1]stages!$2:$2,0)+1,FALSE)</f>
        <v>チャレンジタワー 18F</v>
      </c>
      <c r="H250" s="4" t="str">
        <f ca="1">VLOOKUP($C250&amp;"_"&amp;$F250,OFFSET([1]stages!$A$1,0,0,COUNTA([1]stages!$A:$A),MATCH(H$1,[1]stages!$2:$2,0)-MATCH("temp_stage",[1]stages!$2:$2,0)+1),MATCH(H$1,[1]stages!$2:$2,0)-MATCH("temp_stage",[1]stages!$2:$2,0)+1,FALSE)</f>
        <v>試練の塔</v>
      </c>
      <c r="I250" s="19">
        <v>0</v>
      </c>
      <c r="J250">
        <v>37</v>
      </c>
      <c r="K250" s="6" t="s">
        <v>33</v>
      </c>
      <c r="L250" s="32" t="str">
        <f>VLOOKUP(J250,[2]stage_hints!$A:$C,3,FALSE)</f>
        <v>限界突破の引継</v>
      </c>
      <c r="M250" s="33" t="str">
        <f>VLOOKUP(J250,[2]stage_hints!$A:$D,4,FALSE)</f>
        <v>限界突破の+値は同じユニットなら_x000D_覚醒前後でも強化で引き継がれます</v>
      </c>
      <c r="N250" s="22" t="s">
        <v>54</v>
      </c>
      <c r="O250">
        <v>37</v>
      </c>
    </row>
    <row r="251" spans="1:15">
      <c r="A251" s="29" t="e">
        <f>C251&amp;"_"&amp;F251&amp;"_"&amp;#REF!</f>
        <v>#REF!</v>
      </c>
      <c r="B251" s="27" t="s">
        <v>32</v>
      </c>
      <c r="C251" s="5">
        <v>13001</v>
      </c>
      <c r="D251" s="4" t="str">
        <f ca="1">VLOOKUP($C251,OFFSET([1]quests!$A$1,0,0,COUNTA([1]quests!$A:$A),MATCH(D$1,[1]quests!$1:$1,0)-MATCH($C$1,[1]quests!$1:$1,0)+1),MATCH(D$1,[1]quests!$1:$1,0)-MATCH($C$1,[1]quests!$1:$1,0)+1,FALSE)</f>
        <v>チャレンジタワー(ソロ専用)</v>
      </c>
      <c r="E251" s="4" t="str">
        <f ca="1">VLOOKUP($C251,OFFSET([1]quests!$A$1,0,0,COUNTA([1]quests!$A:$A),MATCH(E$1,[1]quests!$1:$1,0)-MATCH($C$1,[1]quests!$1:$1,0)+1),MATCH(E$1,[1]quests!$1:$1,0)-MATCH($C$1,[1]quests!$1:$1,0)+1,FALSE)</f>
        <v>試練の塔</v>
      </c>
      <c r="F251" s="6">
        <v>19</v>
      </c>
      <c r="G251" s="4" t="str">
        <f ca="1">VLOOKUP($C251&amp;"_"&amp;$F251,OFFSET([1]stages!$A$1,0,0,COUNTA([1]stages!$A:$A),MATCH(G$1,[1]stages!$2:$2,0)-MATCH("temp_stage",[1]stages!$2:$2,0)+1),MATCH(G$1,[1]stages!$2:$2,0)-MATCH("temp_stage",[1]stages!$2:$2,0)+1,FALSE)</f>
        <v>チャレンジタワー 19F</v>
      </c>
      <c r="H251" s="4" t="str">
        <f ca="1">VLOOKUP($C251&amp;"_"&amp;$F251,OFFSET([1]stages!$A$1,0,0,COUNTA([1]stages!$A:$A),MATCH(H$1,[1]stages!$2:$2,0)-MATCH("temp_stage",[1]stages!$2:$2,0)+1),MATCH(H$1,[1]stages!$2:$2,0)-MATCH("temp_stage",[1]stages!$2:$2,0)+1,FALSE)</f>
        <v>試練の塔</v>
      </c>
      <c r="I251" s="19">
        <v>0</v>
      </c>
      <c r="J251">
        <v>32</v>
      </c>
      <c r="K251" s="6" t="s">
        <v>135</v>
      </c>
      <c r="L251" s="32" t="str">
        <f>VLOOKUP(J251,[2]stage_hints!$A:$C,3,FALSE)</f>
        <v>連続攻撃をしてくる敵には</v>
      </c>
      <c r="M251" s="33" t="str">
        <f>VLOOKUP(J251,[2]stage_hints!$A:$D,4,FALSE)</f>
        <v>敵の連続攻撃には「カウンター」スキルが有効！_x000D_ダメージ回数分の攻撃を返せます</v>
      </c>
      <c r="N251" s="22" t="s">
        <v>113</v>
      </c>
      <c r="O251">
        <v>32</v>
      </c>
    </row>
    <row r="252" spans="1:15">
      <c r="A252" s="29" t="e">
        <f>C252&amp;"_"&amp;F252&amp;"_"&amp;#REF!</f>
        <v>#REF!</v>
      </c>
      <c r="B252" s="27" t="s">
        <v>32</v>
      </c>
      <c r="C252" s="5">
        <v>13001</v>
      </c>
      <c r="D252" s="4" t="str">
        <f ca="1">VLOOKUP($C252,OFFSET([1]quests!$A$1,0,0,COUNTA([1]quests!$A:$A),MATCH(D$1,[1]quests!$1:$1,0)-MATCH($C$1,[1]quests!$1:$1,0)+1),MATCH(D$1,[1]quests!$1:$1,0)-MATCH($C$1,[1]quests!$1:$1,0)+1,FALSE)</f>
        <v>チャレンジタワー(ソロ専用)</v>
      </c>
      <c r="E252" s="4" t="str">
        <f ca="1">VLOOKUP($C252,OFFSET([1]quests!$A$1,0,0,COUNTA([1]quests!$A:$A),MATCH(E$1,[1]quests!$1:$1,0)-MATCH($C$1,[1]quests!$1:$1,0)+1),MATCH(E$1,[1]quests!$1:$1,0)-MATCH($C$1,[1]quests!$1:$1,0)+1,FALSE)</f>
        <v>試練の塔</v>
      </c>
      <c r="F252" s="6">
        <v>19</v>
      </c>
      <c r="G252" s="4" t="str">
        <f ca="1">VLOOKUP($C252&amp;"_"&amp;$F252,OFFSET([1]stages!$A$1,0,0,COUNTA([1]stages!$A:$A),MATCH(G$1,[1]stages!$2:$2,0)-MATCH("temp_stage",[1]stages!$2:$2,0)+1),MATCH(G$1,[1]stages!$2:$2,0)-MATCH("temp_stage",[1]stages!$2:$2,0)+1,FALSE)</f>
        <v>チャレンジタワー 19F</v>
      </c>
      <c r="H252" s="4" t="str">
        <f ca="1">VLOOKUP($C252&amp;"_"&amp;$F252,OFFSET([1]stages!$A$1,0,0,COUNTA([1]stages!$A:$A),MATCH(H$1,[1]stages!$2:$2,0)-MATCH("temp_stage",[1]stages!$2:$2,0)+1),MATCH(H$1,[1]stages!$2:$2,0)-MATCH("temp_stage",[1]stages!$2:$2,0)+1,FALSE)</f>
        <v>試練の塔</v>
      </c>
      <c r="I252" s="19">
        <v>0</v>
      </c>
      <c r="J252">
        <v>34</v>
      </c>
      <c r="K252" s="6" t="s">
        <v>33</v>
      </c>
      <c r="L252" s="32" t="str">
        <f>VLOOKUP(J252,[2]stage_hints!$A:$C,3,FALSE)</f>
        <v>敵のDOWNを上書きしよう！</v>
      </c>
      <c r="M252" s="33" t="str">
        <f>VLOOKUP(J252,[2]stage_hints!$A:$D,4,FALSE)</f>
        <v>攻撃力ダウンを受けたときは_x000D_攻撃力アップスキルで効果を上書きできます</v>
      </c>
      <c r="N252" s="22" t="s">
        <v>136</v>
      </c>
      <c r="O252">
        <v>34</v>
      </c>
    </row>
    <row r="253" spans="1:15">
      <c r="A253" s="29" t="e">
        <f>C253&amp;"_"&amp;F253&amp;"_"&amp;#REF!</f>
        <v>#REF!</v>
      </c>
      <c r="B253" s="27" t="s">
        <v>32</v>
      </c>
      <c r="C253" s="5">
        <v>13001</v>
      </c>
      <c r="D253" s="4" t="str">
        <f ca="1">VLOOKUP($C253,OFFSET([1]quests!$A$1,0,0,COUNTA([1]quests!$A:$A),MATCH(D$1,[1]quests!$1:$1,0)-MATCH($C$1,[1]quests!$1:$1,0)+1),MATCH(D$1,[1]quests!$1:$1,0)-MATCH($C$1,[1]quests!$1:$1,0)+1,FALSE)</f>
        <v>チャレンジタワー(ソロ専用)</v>
      </c>
      <c r="E253" s="4" t="str">
        <f ca="1">VLOOKUP($C253,OFFSET([1]quests!$A$1,0,0,COUNTA([1]quests!$A:$A),MATCH(E$1,[1]quests!$1:$1,0)-MATCH($C$1,[1]quests!$1:$1,0)+1),MATCH(E$1,[1]quests!$1:$1,0)-MATCH($C$1,[1]quests!$1:$1,0)+1,FALSE)</f>
        <v>試練の塔</v>
      </c>
      <c r="F253" s="6">
        <v>19</v>
      </c>
      <c r="G253" s="4" t="str">
        <f ca="1">VLOOKUP($C253&amp;"_"&amp;$F253,OFFSET([1]stages!$A$1,0,0,COUNTA([1]stages!$A:$A),MATCH(G$1,[1]stages!$2:$2,0)-MATCH("temp_stage",[1]stages!$2:$2,0)+1),MATCH(G$1,[1]stages!$2:$2,0)-MATCH("temp_stage",[1]stages!$2:$2,0)+1,FALSE)</f>
        <v>チャレンジタワー 19F</v>
      </c>
      <c r="H253" s="4" t="str">
        <f ca="1">VLOOKUP($C253&amp;"_"&amp;$F253,OFFSET([1]stages!$A$1,0,0,COUNTA([1]stages!$A:$A),MATCH(H$1,[1]stages!$2:$2,0)-MATCH("temp_stage",[1]stages!$2:$2,0)+1),MATCH(H$1,[1]stages!$2:$2,0)-MATCH("temp_stage",[1]stages!$2:$2,0)+1,FALSE)</f>
        <v>試練の塔</v>
      </c>
      <c r="I253" s="19">
        <v>0</v>
      </c>
      <c r="J253">
        <v>35</v>
      </c>
      <c r="K253" s="6" t="s">
        <v>33</v>
      </c>
      <c r="L253" s="32" t="str">
        <f>VLOOKUP(J253,[2]stage_hints!$A:$C,3,FALSE)</f>
        <v>敵のUPを上書きしよう！</v>
      </c>
      <c r="M253" s="33" t="str">
        <f>VLOOKUP(J253,[2]stage_hints!$A:$D,4,FALSE)</f>
        <v>敵の攻撃力がアップしたときは_x000D_攻撃力ダウンスキルで効果を上書きできます</v>
      </c>
      <c r="N253" s="22" t="s">
        <v>108</v>
      </c>
      <c r="O253">
        <v>35</v>
      </c>
    </row>
    <row r="254" spans="1:15">
      <c r="A254" s="29" t="e">
        <f>C254&amp;"_"&amp;F254&amp;"_"&amp;#REF!</f>
        <v>#REF!</v>
      </c>
      <c r="B254" s="27" t="s">
        <v>32</v>
      </c>
      <c r="C254" s="5">
        <v>13001</v>
      </c>
      <c r="D254" s="4" t="str">
        <f ca="1">VLOOKUP($C254,OFFSET([1]quests!$A$1,0,0,COUNTA([1]quests!$A:$A),MATCH(D$1,[1]quests!$1:$1,0)-MATCH($C$1,[1]quests!$1:$1,0)+1),MATCH(D$1,[1]quests!$1:$1,0)-MATCH($C$1,[1]quests!$1:$1,0)+1,FALSE)</f>
        <v>チャレンジタワー(ソロ専用)</v>
      </c>
      <c r="E254" s="4" t="str">
        <f ca="1">VLOOKUP($C254,OFFSET([1]quests!$A$1,0,0,COUNTA([1]quests!$A:$A),MATCH(E$1,[1]quests!$1:$1,0)-MATCH($C$1,[1]quests!$1:$1,0)+1),MATCH(E$1,[1]quests!$1:$1,0)-MATCH($C$1,[1]quests!$1:$1,0)+1,FALSE)</f>
        <v>試練の塔</v>
      </c>
      <c r="F254" s="6">
        <v>19</v>
      </c>
      <c r="G254" s="4" t="str">
        <f ca="1">VLOOKUP($C254&amp;"_"&amp;$F254,OFFSET([1]stages!$A$1,0,0,COUNTA([1]stages!$A:$A),MATCH(G$1,[1]stages!$2:$2,0)-MATCH("temp_stage",[1]stages!$2:$2,0)+1),MATCH(G$1,[1]stages!$2:$2,0)-MATCH("temp_stage",[1]stages!$2:$2,0)+1,FALSE)</f>
        <v>チャレンジタワー 19F</v>
      </c>
      <c r="H254" s="4" t="str">
        <f ca="1">VLOOKUP($C254&amp;"_"&amp;$F254,OFFSET([1]stages!$A$1,0,0,COUNTA([1]stages!$A:$A),MATCH(H$1,[1]stages!$2:$2,0)-MATCH("temp_stage",[1]stages!$2:$2,0)+1),MATCH(H$1,[1]stages!$2:$2,0)-MATCH("temp_stage",[1]stages!$2:$2,0)+1,FALSE)</f>
        <v>試練の塔</v>
      </c>
      <c r="I254" s="19">
        <v>0</v>
      </c>
      <c r="J254">
        <v>36</v>
      </c>
      <c r="K254" s="6" t="s">
        <v>33</v>
      </c>
      <c r="L254" s="32" t="str">
        <f>VLOOKUP(J254,[2]stage_hints!$A:$C,3,FALSE)</f>
        <v>チャレンジタワーのボス</v>
      </c>
      <c r="M254" s="33" t="str">
        <f>VLOOKUP(J254,[2]stage_hints!$A:$D,4,FALSE)</f>
        <v>チャレンジタワー15F、20F、25Fのボスは_x000D_一定確率でドロップするようです</v>
      </c>
      <c r="N254" s="22" t="s">
        <v>114</v>
      </c>
      <c r="O254">
        <v>36</v>
      </c>
    </row>
    <row r="255" spans="1:15">
      <c r="A255" s="29" t="e">
        <f>C255&amp;"_"&amp;F255&amp;"_"&amp;#REF!</f>
        <v>#REF!</v>
      </c>
      <c r="B255" s="27" t="s">
        <v>32</v>
      </c>
      <c r="C255" s="5">
        <v>13001</v>
      </c>
      <c r="D255" s="4" t="str">
        <f ca="1">VLOOKUP($C255,OFFSET([1]quests!$A$1,0,0,COUNTA([1]quests!$A:$A),MATCH(D$1,[1]quests!$1:$1,0)-MATCH($C$1,[1]quests!$1:$1,0)+1),MATCH(D$1,[1]quests!$1:$1,0)-MATCH($C$1,[1]quests!$1:$1,0)+1,FALSE)</f>
        <v>チャレンジタワー(ソロ専用)</v>
      </c>
      <c r="E255" s="4" t="str">
        <f ca="1">VLOOKUP($C255,OFFSET([1]quests!$A$1,0,0,COUNTA([1]quests!$A:$A),MATCH(E$1,[1]quests!$1:$1,0)-MATCH($C$1,[1]quests!$1:$1,0)+1),MATCH(E$1,[1]quests!$1:$1,0)-MATCH($C$1,[1]quests!$1:$1,0)+1,FALSE)</f>
        <v>試練の塔</v>
      </c>
      <c r="F255" s="6">
        <v>19</v>
      </c>
      <c r="G255" s="4" t="str">
        <f ca="1">VLOOKUP($C255&amp;"_"&amp;$F255,OFFSET([1]stages!$A$1,0,0,COUNTA([1]stages!$A:$A),MATCH(G$1,[1]stages!$2:$2,0)-MATCH("temp_stage",[1]stages!$2:$2,0)+1),MATCH(G$1,[1]stages!$2:$2,0)-MATCH("temp_stage",[1]stages!$2:$2,0)+1,FALSE)</f>
        <v>チャレンジタワー 19F</v>
      </c>
      <c r="H255" s="4" t="str">
        <f ca="1">VLOOKUP($C255&amp;"_"&amp;$F255,OFFSET([1]stages!$A$1,0,0,COUNTA([1]stages!$A:$A),MATCH(H$1,[1]stages!$2:$2,0)-MATCH("temp_stage",[1]stages!$2:$2,0)+1),MATCH(H$1,[1]stages!$2:$2,0)-MATCH("temp_stage",[1]stages!$2:$2,0)+1,FALSE)</f>
        <v>試練の塔</v>
      </c>
      <c r="I255" s="19">
        <v>0</v>
      </c>
      <c r="J255">
        <v>37</v>
      </c>
      <c r="K255" s="6" t="s">
        <v>33</v>
      </c>
      <c r="L255" s="32" t="str">
        <f>VLOOKUP(J255,[2]stage_hints!$A:$C,3,FALSE)</f>
        <v>限界突破の引継</v>
      </c>
      <c r="M255" s="33" t="str">
        <f>VLOOKUP(J255,[2]stage_hints!$A:$D,4,FALSE)</f>
        <v>限界突破の+値は同じユニットなら_x000D_覚醒前後でも強化で引き継がれます</v>
      </c>
      <c r="N255" s="22" t="s">
        <v>108</v>
      </c>
      <c r="O255">
        <v>37</v>
      </c>
    </row>
    <row r="256" spans="1:15">
      <c r="A256" s="29" t="e">
        <f>C256&amp;"_"&amp;F256&amp;"_"&amp;#REF!</f>
        <v>#REF!</v>
      </c>
      <c r="B256" s="27" t="s">
        <v>32</v>
      </c>
      <c r="C256" s="5">
        <v>13001</v>
      </c>
      <c r="D256" s="4" t="str">
        <f ca="1">VLOOKUP($C256,OFFSET([1]quests!$A$1,0,0,COUNTA([1]quests!$A:$A),MATCH(D$1,[1]quests!$1:$1,0)-MATCH($C$1,[1]quests!$1:$1,0)+1),MATCH(D$1,[1]quests!$1:$1,0)-MATCH($C$1,[1]quests!$1:$1,0)+1,FALSE)</f>
        <v>チャレンジタワー(ソロ専用)</v>
      </c>
      <c r="E256" s="4" t="str">
        <f ca="1">VLOOKUP($C256,OFFSET([1]quests!$A$1,0,0,COUNTA([1]quests!$A:$A),MATCH(E$1,[1]quests!$1:$1,0)-MATCH($C$1,[1]quests!$1:$1,0)+1),MATCH(E$1,[1]quests!$1:$1,0)-MATCH($C$1,[1]quests!$1:$1,0)+1,FALSE)</f>
        <v>試練の塔</v>
      </c>
      <c r="F256" s="6">
        <v>20</v>
      </c>
      <c r="G256" s="4" t="str">
        <f ca="1">VLOOKUP($C256&amp;"_"&amp;$F256,OFFSET([1]stages!$A$1,0,0,COUNTA([1]stages!$A:$A),MATCH(G$1,[1]stages!$2:$2,0)-MATCH("temp_stage",[1]stages!$2:$2,0)+1),MATCH(G$1,[1]stages!$2:$2,0)-MATCH("temp_stage",[1]stages!$2:$2,0)+1,FALSE)</f>
        <v>チャレンジタワー 20F</v>
      </c>
      <c r="H256" s="4" t="str">
        <f ca="1">VLOOKUP($C256&amp;"_"&amp;$F256,OFFSET([1]stages!$A$1,0,0,COUNTA([1]stages!$A:$A),MATCH(H$1,[1]stages!$2:$2,0)-MATCH("temp_stage",[1]stages!$2:$2,0)+1),MATCH(H$1,[1]stages!$2:$2,0)-MATCH("temp_stage",[1]stages!$2:$2,0)+1,FALSE)</f>
        <v>試練の塔</v>
      </c>
      <c r="I256" s="19">
        <v>0</v>
      </c>
      <c r="J256">
        <v>32</v>
      </c>
      <c r="K256" s="6" t="s">
        <v>33</v>
      </c>
      <c r="L256" s="32" t="str">
        <f>VLOOKUP(J256,[2]stage_hints!$A:$C,3,FALSE)</f>
        <v>連続攻撃をしてくる敵には</v>
      </c>
      <c r="M256" s="33" t="str">
        <f>VLOOKUP(J256,[2]stage_hints!$A:$D,4,FALSE)</f>
        <v>敵の連続攻撃には「カウンター」スキルが有効！_x000D_ダメージ回数分の攻撃を返せます</v>
      </c>
      <c r="N256" s="22" t="s">
        <v>39</v>
      </c>
      <c r="O256">
        <v>32</v>
      </c>
    </row>
    <row r="257" spans="1:15">
      <c r="A257" s="29" t="e">
        <f>C257&amp;"_"&amp;F257&amp;"_"&amp;#REF!</f>
        <v>#REF!</v>
      </c>
      <c r="B257" s="27" t="s">
        <v>32</v>
      </c>
      <c r="C257" s="5">
        <v>13001</v>
      </c>
      <c r="D257" s="4" t="str">
        <f ca="1">VLOOKUP($C257,OFFSET([1]quests!$A$1,0,0,COUNTA([1]quests!$A:$A),MATCH(D$1,[1]quests!$1:$1,0)-MATCH($C$1,[1]quests!$1:$1,0)+1),MATCH(D$1,[1]quests!$1:$1,0)-MATCH($C$1,[1]quests!$1:$1,0)+1,FALSE)</f>
        <v>チャレンジタワー(ソロ専用)</v>
      </c>
      <c r="E257" s="4" t="str">
        <f ca="1">VLOOKUP($C257,OFFSET([1]quests!$A$1,0,0,COUNTA([1]quests!$A:$A),MATCH(E$1,[1]quests!$1:$1,0)-MATCH($C$1,[1]quests!$1:$1,0)+1),MATCH(E$1,[1]quests!$1:$1,0)-MATCH($C$1,[1]quests!$1:$1,0)+1,FALSE)</f>
        <v>試練の塔</v>
      </c>
      <c r="F257" s="6">
        <v>20</v>
      </c>
      <c r="G257" s="4" t="str">
        <f ca="1">VLOOKUP($C257&amp;"_"&amp;$F257,OFFSET([1]stages!$A$1,0,0,COUNTA([1]stages!$A:$A),MATCH(G$1,[1]stages!$2:$2,0)-MATCH("temp_stage",[1]stages!$2:$2,0)+1),MATCH(G$1,[1]stages!$2:$2,0)-MATCH("temp_stage",[1]stages!$2:$2,0)+1,FALSE)</f>
        <v>チャレンジタワー 20F</v>
      </c>
      <c r="H257" s="4" t="str">
        <f ca="1">VLOOKUP($C257&amp;"_"&amp;$F257,OFFSET([1]stages!$A$1,0,0,COUNTA([1]stages!$A:$A),MATCH(H$1,[1]stages!$2:$2,0)-MATCH("temp_stage",[1]stages!$2:$2,0)+1),MATCH(H$1,[1]stages!$2:$2,0)-MATCH("temp_stage",[1]stages!$2:$2,0)+1,FALSE)</f>
        <v>試練の塔</v>
      </c>
      <c r="I257" s="19">
        <v>0</v>
      </c>
      <c r="J257">
        <v>34</v>
      </c>
      <c r="K257" s="6" t="s">
        <v>33</v>
      </c>
      <c r="L257" s="32" t="str">
        <f>VLOOKUP(J257,[2]stage_hints!$A:$C,3,FALSE)</f>
        <v>敵のDOWNを上書きしよう！</v>
      </c>
      <c r="M257" s="33" t="str">
        <f>VLOOKUP(J257,[2]stage_hints!$A:$D,4,FALSE)</f>
        <v>攻撃力ダウンを受けたときは_x000D_攻撃力アップスキルで効果を上書きできます</v>
      </c>
      <c r="N257" s="22" t="s">
        <v>128</v>
      </c>
      <c r="O257">
        <v>34</v>
      </c>
    </row>
    <row r="258" spans="1:15">
      <c r="A258" s="29" t="e">
        <f>C258&amp;"_"&amp;F258&amp;"_"&amp;#REF!</f>
        <v>#REF!</v>
      </c>
      <c r="B258" s="27" t="s">
        <v>32</v>
      </c>
      <c r="C258" s="5">
        <v>13001</v>
      </c>
      <c r="D258" s="4" t="str">
        <f ca="1">VLOOKUP($C258,OFFSET([1]quests!$A$1,0,0,COUNTA([1]quests!$A:$A),MATCH(D$1,[1]quests!$1:$1,0)-MATCH($C$1,[1]quests!$1:$1,0)+1),MATCH(D$1,[1]quests!$1:$1,0)-MATCH($C$1,[1]quests!$1:$1,0)+1,FALSE)</f>
        <v>チャレンジタワー(ソロ専用)</v>
      </c>
      <c r="E258" s="4" t="str">
        <f ca="1">VLOOKUP($C258,OFFSET([1]quests!$A$1,0,0,COUNTA([1]quests!$A:$A),MATCH(E$1,[1]quests!$1:$1,0)-MATCH($C$1,[1]quests!$1:$1,0)+1),MATCH(E$1,[1]quests!$1:$1,0)-MATCH($C$1,[1]quests!$1:$1,0)+1,FALSE)</f>
        <v>試練の塔</v>
      </c>
      <c r="F258" s="6">
        <v>20</v>
      </c>
      <c r="G258" s="4" t="str">
        <f ca="1">VLOOKUP($C258&amp;"_"&amp;$F258,OFFSET([1]stages!$A$1,0,0,COUNTA([1]stages!$A:$A),MATCH(G$1,[1]stages!$2:$2,0)-MATCH("temp_stage",[1]stages!$2:$2,0)+1),MATCH(G$1,[1]stages!$2:$2,0)-MATCH("temp_stage",[1]stages!$2:$2,0)+1,FALSE)</f>
        <v>チャレンジタワー 20F</v>
      </c>
      <c r="H258" s="4" t="str">
        <f ca="1">VLOOKUP($C258&amp;"_"&amp;$F258,OFFSET([1]stages!$A$1,0,0,COUNTA([1]stages!$A:$A),MATCH(H$1,[1]stages!$2:$2,0)-MATCH("temp_stage",[1]stages!$2:$2,0)+1),MATCH(H$1,[1]stages!$2:$2,0)-MATCH("temp_stage",[1]stages!$2:$2,0)+1,FALSE)</f>
        <v>試練の塔</v>
      </c>
      <c r="I258" s="19">
        <v>0</v>
      </c>
      <c r="J258">
        <v>35</v>
      </c>
      <c r="K258" s="6" t="s">
        <v>137</v>
      </c>
      <c r="L258" s="32" t="str">
        <f>VLOOKUP(J258,[2]stage_hints!$A:$C,3,FALSE)</f>
        <v>敵のUPを上書きしよう！</v>
      </c>
      <c r="M258" s="33" t="str">
        <f>VLOOKUP(J258,[2]stage_hints!$A:$D,4,FALSE)</f>
        <v>敵の攻撃力がアップしたときは_x000D_攻撃力ダウンスキルで効果を上書きできます</v>
      </c>
      <c r="N258" s="22" t="s">
        <v>114</v>
      </c>
      <c r="O258">
        <v>35</v>
      </c>
    </row>
    <row r="259" spans="1:15">
      <c r="A259" s="29" t="e">
        <f>C259&amp;"_"&amp;F259&amp;"_"&amp;#REF!</f>
        <v>#REF!</v>
      </c>
      <c r="B259" s="27" t="s">
        <v>32</v>
      </c>
      <c r="C259" s="5">
        <v>13001</v>
      </c>
      <c r="D259" s="4" t="str">
        <f ca="1">VLOOKUP($C259,OFFSET([1]quests!$A$1,0,0,COUNTA([1]quests!$A:$A),MATCH(D$1,[1]quests!$1:$1,0)-MATCH($C$1,[1]quests!$1:$1,0)+1),MATCH(D$1,[1]quests!$1:$1,0)-MATCH($C$1,[1]quests!$1:$1,0)+1,FALSE)</f>
        <v>チャレンジタワー(ソロ専用)</v>
      </c>
      <c r="E259" s="4" t="str">
        <f ca="1">VLOOKUP($C259,OFFSET([1]quests!$A$1,0,0,COUNTA([1]quests!$A:$A),MATCH(E$1,[1]quests!$1:$1,0)-MATCH($C$1,[1]quests!$1:$1,0)+1),MATCH(E$1,[1]quests!$1:$1,0)-MATCH($C$1,[1]quests!$1:$1,0)+1,FALSE)</f>
        <v>試練の塔</v>
      </c>
      <c r="F259" s="6">
        <v>20</v>
      </c>
      <c r="G259" s="4" t="str">
        <f ca="1">VLOOKUP($C259&amp;"_"&amp;$F259,OFFSET([1]stages!$A$1,0,0,COUNTA([1]stages!$A:$A),MATCH(G$1,[1]stages!$2:$2,0)-MATCH("temp_stage",[1]stages!$2:$2,0)+1),MATCH(G$1,[1]stages!$2:$2,0)-MATCH("temp_stage",[1]stages!$2:$2,0)+1,FALSE)</f>
        <v>チャレンジタワー 20F</v>
      </c>
      <c r="H259" s="4" t="str">
        <f ca="1">VLOOKUP($C259&amp;"_"&amp;$F259,OFFSET([1]stages!$A$1,0,0,COUNTA([1]stages!$A:$A),MATCH(H$1,[1]stages!$2:$2,0)-MATCH("temp_stage",[1]stages!$2:$2,0)+1),MATCH(H$1,[1]stages!$2:$2,0)-MATCH("temp_stage",[1]stages!$2:$2,0)+1,FALSE)</f>
        <v>試練の塔</v>
      </c>
      <c r="I259" s="19">
        <v>0</v>
      </c>
      <c r="J259">
        <v>36</v>
      </c>
      <c r="K259" s="6" t="s">
        <v>33</v>
      </c>
      <c r="L259" s="32" t="str">
        <f>VLOOKUP(J259,[2]stage_hints!$A:$C,3,FALSE)</f>
        <v>チャレンジタワーのボス</v>
      </c>
      <c r="M259" s="33" t="str">
        <f>VLOOKUP(J259,[2]stage_hints!$A:$D,4,FALSE)</f>
        <v>チャレンジタワー15F、20F、25Fのボスは_x000D_一定確率でドロップするようです</v>
      </c>
      <c r="N259" s="22" t="s">
        <v>113</v>
      </c>
      <c r="O259">
        <v>36</v>
      </c>
    </row>
    <row r="260" spans="1:15">
      <c r="A260" s="29" t="e">
        <f>C260&amp;"_"&amp;F260&amp;"_"&amp;#REF!</f>
        <v>#REF!</v>
      </c>
      <c r="B260" s="27" t="s">
        <v>32</v>
      </c>
      <c r="C260" s="5">
        <v>13001</v>
      </c>
      <c r="D260" s="4" t="str">
        <f ca="1">VLOOKUP($C260,OFFSET([1]quests!$A$1,0,0,COUNTA([1]quests!$A:$A),MATCH(D$1,[1]quests!$1:$1,0)-MATCH($C$1,[1]quests!$1:$1,0)+1),MATCH(D$1,[1]quests!$1:$1,0)-MATCH($C$1,[1]quests!$1:$1,0)+1,FALSE)</f>
        <v>チャレンジタワー(ソロ専用)</v>
      </c>
      <c r="E260" s="4" t="str">
        <f ca="1">VLOOKUP($C260,OFFSET([1]quests!$A$1,0,0,COUNTA([1]quests!$A:$A),MATCH(E$1,[1]quests!$1:$1,0)-MATCH($C$1,[1]quests!$1:$1,0)+1),MATCH(E$1,[1]quests!$1:$1,0)-MATCH($C$1,[1]quests!$1:$1,0)+1,FALSE)</f>
        <v>試練の塔</v>
      </c>
      <c r="F260" s="6">
        <v>20</v>
      </c>
      <c r="G260" s="4" t="str">
        <f ca="1">VLOOKUP($C260&amp;"_"&amp;$F260,OFFSET([1]stages!$A$1,0,0,COUNTA([1]stages!$A:$A),MATCH(G$1,[1]stages!$2:$2,0)-MATCH("temp_stage",[1]stages!$2:$2,0)+1),MATCH(G$1,[1]stages!$2:$2,0)-MATCH("temp_stage",[1]stages!$2:$2,0)+1,FALSE)</f>
        <v>チャレンジタワー 20F</v>
      </c>
      <c r="H260" s="4" t="str">
        <f ca="1">VLOOKUP($C260&amp;"_"&amp;$F260,OFFSET([1]stages!$A$1,0,0,COUNTA([1]stages!$A:$A),MATCH(H$1,[1]stages!$2:$2,0)-MATCH("temp_stage",[1]stages!$2:$2,0)+1),MATCH(H$1,[1]stages!$2:$2,0)-MATCH("temp_stage",[1]stages!$2:$2,0)+1,FALSE)</f>
        <v>試練の塔</v>
      </c>
      <c r="I260" s="19">
        <v>0</v>
      </c>
      <c r="J260">
        <v>37</v>
      </c>
      <c r="K260" s="6" t="s">
        <v>33</v>
      </c>
      <c r="L260" s="32" t="str">
        <f>VLOOKUP(J260,[2]stage_hints!$A:$C,3,FALSE)</f>
        <v>限界突破の引継</v>
      </c>
      <c r="M260" s="33" t="str">
        <f>VLOOKUP(J260,[2]stage_hints!$A:$D,4,FALSE)</f>
        <v>限界突破の+値は同じユニットなら_x000D_覚醒前後でも強化で引き継がれます</v>
      </c>
      <c r="N260" s="22" t="s">
        <v>54</v>
      </c>
      <c r="O260">
        <v>37</v>
      </c>
    </row>
    <row r="261" spans="1:15">
      <c r="A261" s="29" t="e">
        <f>C261&amp;"_"&amp;F261&amp;"_"&amp;#REF!</f>
        <v>#REF!</v>
      </c>
      <c r="B261" s="27" t="s">
        <v>32</v>
      </c>
      <c r="C261" s="5">
        <v>13001</v>
      </c>
      <c r="D261" s="4" t="str">
        <f ca="1">VLOOKUP($C261,OFFSET([1]quests!$A$1,0,0,COUNTA([1]quests!$A:$A),MATCH(D$1,[1]quests!$1:$1,0)-MATCH($C$1,[1]quests!$1:$1,0)+1),MATCH(D$1,[1]quests!$1:$1,0)-MATCH($C$1,[1]quests!$1:$1,0)+1,FALSE)</f>
        <v>チャレンジタワー(ソロ専用)</v>
      </c>
      <c r="E261" s="4" t="str">
        <f ca="1">VLOOKUP($C261,OFFSET([1]quests!$A$1,0,0,COUNTA([1]quests!$A:$A),MATCH(E$1,[1]quests!$1:$1,0)-MATCH($C$1,[1]quests!$1:$1,0)+1),MATCH(E$1,[1]quests!$1:$1,0)-MATCH($C$1,[1]quests!$1:$1,0)+1,FALSE)</f>
        <v>試練の塔</v>
      </c>
      <c r="F261" s="6">
        <v>21</v>
      </c>
      <c r="G261" s="4" t="str">
        <f ca="1">VLOOKUP($C261&amp;"_"&amp;$F261,OFFSET([1]stages!$A$1,0,0,COUNTA([1]stages!$A:$A),MATCH(G$1,[1]stages!$2:$2,0)-MATCH("temp_stage",[1]stages!$2:$2,0)+1),MATCH(G$1,[1]stages!$2:$2,0)-MATCH("temp_stage",[1]stages!$2:$2,0)+1,FALSE)</f>
        <v>チャレンジタワー 21F</v>
      </c>
      <c r="H261" s="4" t="str">
        <f ca="1">VLOOKUP($C261&amp;"_"&amp;$F261,OFFSET([1]stages!$A$1,0,0,COUNTA([1]stages!$A:$A),MATCH(H$1,[1]stages!$2:$2,0)-MATCH("temp_stage",[1]stages!$2:$2,0)+1),MATCH(H$1,[1]stages!$2:$2,0)-MATCH("temp_stage",[1]stages!$2:$2,0)+1,FALSE)</f>
        <v>試練の塔</v>
      </c>
      <c r="I261" s="19">
        <v>0</v>
      </c>
      <c r="J261">
        <v>32</v>
      </c>
      <c r="K261" s="6" t="s">
        <v>33</v>
      </c>
      <c r="L261" s="32" t="str">
        <f>VLOOKUP(J261,[2]stage_hints!$A:$C,3,FALSE)</f>
        <v>連続攻撃をしてくる敵には</v>
      </c>
      <c r="M261" s="33" t="str">
        <f>VLOOKUP(J261,[2]stage_hints!$A:$D,4,FALSE)</f>
        <v>敵の連続攻撃には「カウンター」スキルが有効！_x000D_ダメージ回数分の攻撃を返せます</v>
      </c>
      <c r="N261" s="22" t="s">
        <v>34</v>
      </c>
      <c r="O261">
        <v>32</v>
      </c>
    </row>
    <row r="262" spans="1:15">
      <c r="A262" s="29" t="e">
        <f>C262&amp;"_"&amp;F262&amp;"_"&amp;#REF!</f>
        <v>#REF!</v>
      </c>
      <c r="B262" s="27" t="s">
        <v>32</v>
      </c>
      <c r="C262" s="5">
        <v>13001</v>
      </c>
      <c r="D262" s="4" t="str">
        <f ca="1">VLOOKUP($C262,OFFSET([1]quests!$A$1,0,0,COUNTA([1]quests!$A:$A),MATCH(D$1,[1]quests!$1:$1,0)-MATCH($C$1,[1]quests!$1:$1,0)+1),MATCH(D$1,[1]quests!$1:$1,0)-MATCH($C$1,[1]quests!$1:$1,0)+1,FALSE)</f>
        <v>チャレンジタワー(ソロ専用)</v>
      </c>
      <c r="E262" s="4" t="str">
        <f ca="1">VLOOKUP($C262,OFFSET([1]quests!$A$1,0,0,COUNTA([1]quests!$A:$A),MATCH(E$1,[1]quests!$1:$1,0)-MATCH($C$1,[1]quests!$1:$1,0)+1),MATCH(E$1,[1]quests!$1:$1,0)-MATCH($C$1,[1]quests!$1:$1,0)+1,FALSE)</f>
        <v>試練の塔</v>
      </c>
      <c r="F262" s="6">
        <v>21</v>
      </c>
      <c r="G262" s="4" t="str">
        <f ca="1">VLOOKUP($C262&amp;"_"&amp;$F262,OFFSET([1]stages!$A$1,0,0,COUNTA([1]stages!$A:$A),MATCH(G$1,[1]stages!$2:$2,0)-MATCH("temp_stage",[1]stages!$2:$2,0)+1),MATCH(G$1,[1]stages!$2:$2,0)-MATCH("temp_stage",[1]stages!$2:$2,0)+1,FALSE)</f>
        <v>チャレンジタワー 21F</v>
      </c>
      <c r="H262" s="4" t="str">
        <f ca="1">VLOOKUP($C262&amp;"_"&amp;$F262,OFFSET([1]stages!$A$1,0,0,COUNTA([1]stages!$A:$A),MATCH(H$1,[1]stages!$2:$2,0)-MATCH("temp_stage",[1]stages!$2:$2,0)+1),MATCH(H$1,[1]stages!$2:$2,0)-MATCH("temp_stage",[1]stages!$2:$2,0)+1,FALSE)</f>
        <v>試練の塔</v>
      </c>
      <c r="I262" s="19">
        <v>0</v>
      </c>
      <c r="J262">
        <v>34</v>
      </c>
      <c r="K262" s="6" t="s">
        <v>119</v>
      </c>
      <c r="L262" s="32" t="str">
        <f>VLOOKUP(J262,[2]stage_hints!$A:$C,3,FALSE)</f>
        <v>敵のDOWNを上書きしよう！</v>
      </c>
      <c r="M262" s="33" t="str">
        <f>VLOOKUP(J262,[2]stage_hints!$A:$D,4,FALSE)</f>
        <v>攻撃力ダウンを受けたときは_x000D_攻撃力アップスキルで効果を上書きできます</v>
      </c>
      <c r="N262" s="22" t="s">
        <v>37</v>
      </c>
      <c r="O262">
        <v>34</v>
      </c>
    </row>
    <row r="263" spans="1:15">
      <c r="A263" s="29" t="e">
        <f>C263&amp;"_"&amp;F263&amp;"_"&amp;#REF!</f>
        <v>#REF!</v>
      </c>
      <c r="B263" s="27" t="s">
        <v>32</v>
      </c>
      <c r="C263" s="5">
        <v>13001</v>
      </c>
      <c r="D263" s="4" t="str">
        <f ca="1">VLOOKUP($C263,OFFSET([1]quests!$A$1,0,0,COUNTA([1]quests!$A:$A),MATCH(D$1,[1]quests!$1:$1,0)-MATCH($C$1,[1]quests!$1:$1,0)+1),MATCH(D$1,[1]quests!$1:$1,0)-MATCH($C$1,[1]quests!$1:$1,0)+1,FALSE)</f>
        <v>チャレンジタワー(ソロ専用)</v>
      </c>
      <c r="E263" s="4" t="str">
        <f ca="1">VLOOKUP($C263,OFFSET([1]quests!$A$1,0,0,COUNTA([1]quests!$A:$A),MATCH(E$1,[1]quests!$1:$1,0)-MATCH($C$1,[1]quests!$1:$1,0)+1),MATCH(E$1,[1]quests!$1:$1,0)-MATCH($C$1,[1]quests!$1:$1,0)+1,FALSE)</f>
        <v>試練の塔</v>
      </c>
      <c r="F263" s="6">
        <v>21</v>
      </c>
      <c r="G263" s="4" t="str">
        <f ca="1">VLOOKUP($C263&amp;"_"&amp;$F263,OFFSET([1]stages!$A$1,0,0,COUNTA([1]stages!$A:$A),MATCH(G$1,[1]stages!$2:$2,0)-MATCH("temp_stage",[1]stages!$2:$2,0)+1),MATCH(G$1,[1]stages!$2:$2,0)-MATCH("temp_stage",[1]stages!$2:$2,0)+1,FALSE)</f>
        <v>チャレンジタワー 21F</v>
      </c>
      <c r="H263" s="4" t="str">
        <f ca="1">VLOOKUP($C263&amp;"_"&amp;$F263,OFFSET([1]stages!$A$1,0,0,COUNTA([1]stages!$A:$A),MATCH(H$1,[1]stages!$2:$2,0)-MATCH("temp_stage",[1]stages!$2:$2,0)+1),MATCH(H$1,[1]stages!$2:$2,0)-MATCH("temp_stage",[1]stages!$2:$2,0)+1,FALSE)</f>
        <v>試練の塔</v>
      </c>
      <c r="I263" s="19">
        <v>0</v>
      </c>
      <c r="J263">
        <v>35</v>
      </c>
      <c r="K263" s="6" t="s">
        <v>33</v>
      </c>
      <c r="L263" s="32" t="str">
        <f>VLOOKUP(J263,[2]stage_hints!$A:$C,3,FALSE)</f>
        <v>敵のUPを上書きしよう！</v>
      </c>
      <c r="M263" s="33" t="str">
        <f>VLOOKUP(J263,[2]stage_hints!$A:$D,4,FALSE)</f>
        <v>敵の攻撃力がアップしたときは_x000D_攻撃力ダウンスキルで効果を上書きできます</v>
      </c>
      <c r="N263" s="22" t="s">
        <v>34</v>
      </c>
      <c r="O263">
        <v>35</v>
      </c>
    </row>
    <row r="264" spans="1:15">
      <c r="A264" s="29" t="e">
        <f>C264&amp;"_"&amp;F264&amp;"_"&amp;#REF!</f>
        <v>#REF!</v>
      </c>
      <c r="B264" s="27" t="s">
        <v>32</v>
      </c>
      <c r="C264" s="5">
        <v>13001</v>
      </c>
      <c r="D264" s="4" t="str">
        <f ca="1">VLOOKUP($C264,OFFSET([1]quests!$A$1,0,0,COUNTA([1]quests!$A:$A),MATCH(D$1,[1]quests!$1:$1,0)-MATCH($C$1,[1]quests!$1:$1,0)+1),MATCH(D$1,[1]quests!$1:$1,0)-MATCH($C$1,[1]quests!$1:$1,0)+1,FALSE)</f>
        <v>チャレンジタワー(ソロ専用)</v>
      </c>
      <c r="E264" s="4" t="str">
        <f ca="1">VLOOKUP($C264,OFFSET([1]quests!$A$1,0,0,COUNTA([1]quests!$A:$A),MATCH(E$1,[1]quests!$1:$1,0)-MATCH($C$1,[1]quests!$1:$1,0)+1),MATCH(E$1,[1]quests!$1:$1,0)-MATCH($C$1,[1]quests!$1:$1,0)+1,FALSE)</f>
        <v>試練の塔</v>
      </c>
      <c r="F264" s="6">
        <v>21</v>
      </c>
      <c r="G264" s="4" t="str">
        <f ca="1">VLOOKUP($C264&amp;"_"&amp;$F264,OFFSET([1]stages!$A$1,0,0,COUNTA([1]stages!$A:$A),MATCH(G$1,[1]stages!$2:$2,0)-MATCH("temp_stage",[1]stages!$2:$2,0)+1),MATCH(G$1,[1]stages!$2:$2,0)-MATCH("temp_stage",[1]stages!$2:$2,0)+1,FALSE)</f>
        <v>チャレンジタワー 21F</v>
      </c>
      <c r="H264" s="4" t="str">
        <f ca="1">VLOOKUP($C264&amp;"_"&amp;$F264,OFFSET([1]stages!$A$1,0,0,COUNTA([1]stages!$A:$A),MATCH(H$1,[1]stages!$2:$2,0)-MATCH("temp_stage",[1]stages!$2:$2,0)+1),MATCH(H$1,[1]stages!$2:$2,0)-MATCH("temp_stage",[1]stages!$2:$2,0)+1,FALSE)</f>
        <v>試練の塔</v>
      </c>
      <c r="I264" s="19">
        <v>0</v>
      </c>
      <c r="J264">
        <v>36</v>
      </c>
      <c r="K264" s="6" t="s">
        <v>119</v>
      </c>
      <c r="L264" s="32" t="str">
        <f>VLOOKUP(J264,[2]stage_hints!$A:$C,3,FALSE)</f>
        <v>チャレンジタワーのボス</v>
      </c>
      <c r="M264" s="33" t="str">
        <f>VLOOKUP(J264,[2]stage_hints!$A:$D,4,FALSE)</f>
        <v>チャレンジタワー15F、20F、25Fのボスは_x000D_一定確率でドロップするようです</v>
      </c>
      <c r="N264" s="22" t="s">
        <v>48</v>
      </c>
      <c r="O264">
        <v>36</v>
      </c>
    </row>
    <row r="265" spans="1:15">
      <c r="A265" s="29" t="e">
        <f>C265&amp;"_"&amp;F265&amp;"_"&amp;#REF!</f>
        <v>#REF!</v>
      </c>
      <c r="B265" s="27" t="s">
        <v>32</v>
      </c>
      <c r="C265" s="5">
        <v>13001</v>
      </c>
      <c r="D265" s="4" t="str">
        <f ca="1">VLOOKUP($C265,OFFSET([1]quests!$A$1,0,0,COUNTA([1]quests!$A:$A),MATCH(D$1,[1]quests!$1:$1,0)-MATCH($C$1,[1]quests!$1:$1,0)+1),MATCH(D$1,[1]quests!$1:$1,0)-MATCH($C$1,[1]quests!$1:$1,0)+1,FALSE)</f>
        <v>チャレンジタワー(ソロ専用)</v>
      </c>
      <c r="E265" s="4" t="str">
        <f ca="1">VLOOKUP($C265,OFFSET([1]quests!$A$1,0,0,COUNTA([1]quests!$A:$A),MATCH(E$1,[1]quests!$1:$1,0)-MATCH($C$1,[1]quests!$1:$1,0)+1),MATCH(E$1,[1]quests!$1:$1,0)-MATCH($C$1,[1]quests!$1:$1,0)+1,FALSE)</f>
        <v>試練の塔</v>
      </c>
      <c r="F265" s="6">
        <v>21</v>
      </c>
      <c r="G265" s="4" t="str">
        <f ca="1">VLOOKUP($C265&amp;"_"&amp;$F265,OFFSET([1]stages!$A$1,0,0,COUNTA([1]stages!$A:$A),MATCH(G$1,[1]stages!$2:$2,0)-MATCH("temp_stage",[1]stages!$2:$2,0)+1),MATCH(G$1,[1]stages!$2:$2,0)-MATCH("temp_stage",[1]stages!$2:$2,0)+1,FALSE)</f>
        <v>チャレンジタワー 21F</v>
      </c>
      <c r="H265" s="4" t="str">
        <f ca="1">VLOOKUP($C265&amp;"_"&amp;$F265,OFFSET([1]stages!$A$1,0,0,COUNTA([1]stages!$A:$A),MATCH(H$1,[1]stages!$2:$2,0)-MATCH("temp_stage",[1]stages!$2:$2,0)+1),MATCH(H$1,[1]stages!$2:$2,0)-MATCH("temp_stage",[1]stages!$2:$2,0)+1,FALSE)</f>
        <v>試練の塔</v>
      </c>
      <c r="I265" s="19">
        <v>0</v>
      </c>
      <c r="J265">
        <v>37</v>
      </c>
      <c r="K265" s="6" t="s">
        <v>33</v>
      </c>
      <c r="L265" s="32" t="str">
        <f>VLOOKUP(J265,[2]stage_hints!$A:$C,3,FALSE)</f>
        <v>限界突破の引継</v>
      </c>
      <c r="M265" s="33" t="str">
        <f>VLOOKUP(J265,[2]stage_hints!$A:$D,4,FALSE)</f>
        <v>限界突破の+値は同じユニットなら_x000D_覚醒前後でも強化で引き継がれます</v>
      </c>
      <c r="N265" s="22" t="s">
        <v>54</v>
      </c>
      <c r="O265">
        <v>37</v>
      </c>
    </row>
    <row r="266" spans="1:15">
      <c r="A266" s="29" t="e">
        <f>C266&amp;"_"&amp;F266&amp;"_"&amp;#REF!</f>
        <v>#REF!</v>
      </c>
      <c r="B266" s="27" t="s">
        <v>32</v>
      </c>
      <c r="C266" s="5">
        <v>13001</v>
      </c>
      <c r="D266" s="4" t="str">
        <f ca="1">VLOOKUP($C266,OFFSET([1]quests!$A$1,0,0,COUNTA([1]quests!$A:$A),MATCH(D$1,[1]quests!$1:$1,0)-MATCH($C$1,[1]quests!$1:$1,0)+1),MATCH(D$1,[1]quests!$1:$1,0)-MATCH($C$1,[1]quests!$1:$1,0)+1,FALSE)</f>
        <v>チャレンジタワー(ソロ専用)</v>
      </c>
      <c r="E266" s="4" t="str">
        <f ca="1">VLOOKUP($C266,OFFSET([1]quests!$A$1,0,0,COUNTA([1]quests!$A:$A),MATCH(E$1,[1]quests!$1:$1,0)-MATCH($C$1,[1]quests!$1:$1,0)+1),MATCH(E$1,[1]quests!$1:$1,0)-MATCH($C$1,[1]quests!$1:$1,0)+1,FALSE)</f>
        <v>試練の塔</v>
      </c>
      <c r="F266" s="6">
        <v>22</v>
      </c>
      <c r="G266" s="4" t="str">
        <f ca="1">VLOOKUP($C266&amp;"_"&amp;$F266,OFFSET([1]stages!$A$1,0,0,COUNTA([1]stages!$A:$A),MATCH(G$1,[1]stages!$2:$2,0)-MATCH("temp_stage",[1]stages!$2:$2,0)+1),MATCH(G$1,[1]stages!$2:$2,0)-MATCH("temp_stage",[1]stages!$2:$2,0)+1,FALSE)</f>
        <v>チャレンジタワー 22F</v>
      </c>
      <c r="H266" s="4" t="str">
        <f ca="1">VLOOKUP($C266&amp;"_"&amp;$F266,OFFSET([1]stages!$A$1,0,0,COUNTA([1]stages!$A:$A),MATCH(H$1,[1]stages!$2:$2,0)-MATCH("temp_stage",[1]stages!$2:$2,0)+1),MATCH(H$1,[1]stages!$2:$2,0)-MATCH("temp_stage",[1]stages!$2:$2,0)+1,FALSE)</f>
        <v>試練の塔</v>
      </c>
      <c r="I266" s="19">
        <v>0</v>
      </c>
      <c r="J266">
        <v>32</v>
      </c>
      <c r="K266" s="6" t="s">
        <v>33</v>
      </c>
      <c r="L266" s="32" t="str">
        <f>VLOOKUP(J266,[2]stage_hints!$A:$C,3,FALSE)</f>
        <v>連続攻撃をしてくる敵には</v>
      </c>
      <c r="M266" s="33" t="str">
        <f>VLOOKUP(J266,[2]stage_hints!$A:$D,4,FALSE)</f>
        <v>敵の連続攻撃には「カウンター」スキルが有効！_x000D_ダメージ回数分の攻撃を返せます</v>
      </c>
      <c r="N266" s="22" t="s">
        <v>39</v>
      </c>
      <c r="O266">
        <v>32</v>
      </c>
    </row>
    <row r="267" spans="1:15">
      <c r="A267" s="29" t="e">
        <f>C267&amp;"_"&amp;F267&amp;"_"&amp;#REF!</f>
        <v>#REF!</v>
      </c>
      <c r="B267" s="27" t="s">
        <v>32</v>
      </c>
      <c r="C267" s="5">
        <v>13001</v>
      </c>
      <c r="D267" s="4" t="str">
        <f ca="1">VLOOKUP($C267,OFFSET([1]quests!$A$1,0,0,COUNTA([1]quests!$A:$A),MATCH(D$1,[1]quests!$1:$1,0)-MATCH($C$1,[1]quests!$1:$1,0)+1),MATCH(D$1,[1]quests!$1:$1,0)-MATCH($C$1,[1]quests!$1:$1,0)+1,FALSE)</f>
        <v>チャレンジタワー(ソロ専用)</v>
      </c>
      <c r="E267" s="4" t="str">
        <f ca="1">VLOOKUP($C267,OFFSET([1]quests!$A$1,0,0,COUNTA([1]quests!$A:$A),MATCH(E$1,[1]quests!$1:$1,0)-MATCH($C$1,[1]quests!$1:$1,0)+1),MATCH(E$1,[1]quests!$1:$1,0)-MATCH($C$1,[1]quests!$1:$1,0)+1,FALSE)</f>
        <v>試練の塔</v>
      </c>
      <c r="F267" s="6">
        <v>22</v>
      </c>
      <c r="G267" s="4" t="str">
        <f ca="1">VLOOKUP($C267&amp;"_"&amp;$F267,OFFSET([1]stages!$A$1,0,0,COUNTA([1]stages!$A:$A),MATCH(G$1,[1]stages!$2:$2,0)-MATCH("temp_stage",[1]stages!$2:$2,0)+1),MATCH(G$1,[1]stages!$2:$2,0)-MATCH("temp_stage",[1]stages!$2:$2,0)+1,FALSE)</f>
        <v>チャレンジタワー 22F</v>
      </c>
      <c r="H267" s="4" t="str">
        <f ca="1">VLOOKUP($C267&amp;"_"&amp;$F267,OFFSET([1]stages!$A$1,0,0,COUNTA([1]stages!$A:$A),MATCH(H$1,[1]stages!$2:$2,0)-MATCH("temp_stage",[1]stages!$2:$2,0)+1),MATCH(H$1,[1]stages!$2:$2,0)-MATCH("temp_stage",[1]stages!$2:$2,0)+1,FALSE)</f>
        <v>試練の塔</v>
      </c>
      <c r="I267" s="19">
        <v>0</v>
      </c>
      <c r="J267">
        <v>34</v>
      </c>
      <c r="K267" s="6" t="s">
        <v>33</v>
      </c>
      <c r="L267" s="32" t="str">
        <f>VLOOKUP(J267,[2]stage_hints!$A:$C,3,FALSE)</f>
        <v>敵のDOWNを上書きしよう！</v>
      </c>
      <c r="M267" s="33" t="str">
        <f>VLOOKUP(J267,[2]stage_hints!$A:$D,4,FALSE)</f>
        <v>攻撃力ダウンを受けたときは_x000D_攻撃力アップスキルで効果を上書きできます</v>
      </c>
      <c r="N267" s="22" t="s">
        <v>34</v>
      </c>
      <c r="O267">
        <v>34</v>
      </c>
    </row>
    <row r="268" spans="1:15">
      <c r="A268" s="29" t="e">
        <f>C268&amp;"_"&amp;F268&amp;"_"&amp;#REF!</f>
        <v>#REF!</v>
      </c>
      <c r="B268" s="27" t="s">
        <v>32</v>
      </c>
      <c r="C268" s="5">
        <v>13001</v>
      </c>
      <c r="D268" s="4" t="str">
        <f ca="1">VLOOKUP($C268,OFFSET([1]quests!$A$1,0,0,COUNTA([1]quests!$A:$A),MATCH(D$1,[1]quests!$1:$1,0)-MATCH($C$1,[1]quests!$1:$1,0)+1),MATCH(D$1,[1]quests!$1:$1,0)-MATCH($C$1,[1]quests!$1:$1,0)+1,FALSE)</f>
        <v>チャレンジタワー(ソロ専用)</v>
      </c>
      <c r="E268" s="4" t="str">
        <f ca="1">VLOOKUP($C268,OFFSET([1]quests!$A$1,0,0,COUNTA([1]quests!$A:$A),MATCH(E$1,[1]quests!$1:$1,0)-MATCH($C$1,[1]quests!$1:$1,0)+1),MATCH(E$1,[1]quests!$1:$1,0)-MATCH($C$1,[1]quests!$1:$1,0)+1,FALSE)</f>
        <v>試練の塔</v>
      </c>
      <c r="F268" s="6">
        <v>22</v>
      </c>
      <c r="G268" s="4" t="str">
        <f ca="1">VLOOKUP($C268&amp;"_"&amp;$F268,OFFSET([1]stages!$A$1,0,0,COUNTA([1]stages!$A:$A),MATCH(G$1,[1]stages!$2:$2,0)-MATCH("temp_stage",[1]stages!$2:$2,0)+1),MATCH(G$1,[1]stages!$2:$2,0)-MATCH("temp_stage",[1]stages!$2:$2,0)+1,FALSE)</f>
        <v>チャレンジタワー 22F</v>
      </c>
      <c r="H268" s="4" t="str">
        <f ca="1">VLOOKUP($C268&amp;"_"&amp;$F268,OFFSET([1]stages!$A$1,0,0,COUNTA([1]stages!$A:$A),MATCH(H$1,[1]stages!$2:$2,0)-MATCH("temp_stage",[1]stages!$2:$2,0)+1),MATCH(H$1,[1]stages!$2:$2,0)-MATCH("temp_stage",[1]stages!$2:$2,0)+1,FALSE)</f>
        <v>試練の塔</v>
      </c>
      <c r="I268" s="19">
        <v>0</v>
      </c>
      <c r="J268">
        <v>35</v>
      </c>
      <c r="K268" s="6" t="s">
        <v>33</v>
      </c>
      <c r="L268" s="32" t="str">
        <f>VLOOKUP(J268,[2]stage_hints!$A:$C,3,FALSE)</f>
        <v>敵のUPを上書きしよう！</v>
      </c>
      <c r="M268" s="33" t="str">
        <f>VLOOKUP(J268,[2]stage_hints!$A:$D,4,FALSE)</f>
        <v>敵の攻撃力がアップしたときは_x000D_攻撃力ダウンスキルで効果を上書きできます</v>
      </c>
      <c r="N268" s="22" t="s">
        <v>108</v>
      </c>
      <c r="O268">
        <v>35</v>
      </c>
    </row>
    <row r="269" spans="1:15">
      <c r="A269" s="29" t="e">
        <f>C269&amp;"_"&amp;F269&amp;"_"&amp;#REF!</f>
        <v>#REF!</v>
      </c>
      <c r="B269" s="27" t="s">
        <v>32</v>
      </c>
      <c r="C269" s="5">
        <v>13001</v>
      </c>
      <c r="D269" s="4" t="str">
        <f ca="1">VLOOKUP($C269,OFFSET([1]quests!$A$1,0,0,COUNTA([1]quests!$A:$A),MATCH(D$1,[1]quests!$1:$1,0)-MATCH($C$1,[1]quests!$1:$1,0)+1),MATCH(D$1,[1]quests!$1:$1,0)-MATCH($C$1,[1]quests!$1:$1,0)+1,FALSE)</f>
        <v>チャレンジタワー(ソロ専用)</v>
      </c>
      <c r="E269" s="4" t="str">
        <f ca="1">VLOOKUP($C269,OFFSET([1]quests!$A$1,0,0,COUNTA([1]quests!$A:$A),MATCH(E$1,[1]quests!$1:$1,0)-MATCH($C$1,[1]quests!$1:$1,0)+1),MATCH(E$1,[1]quests!$1:$1,0)-MATCH($C$1,[1]quests!$1:$1,0)+1,FALSE)</f>
        <v>試練の塔</v>
      </c>
      <c r="F269" s="6">
        <v>22</v>
      </c>
      <c r="G269" s="4" t="str">
        <f ca="1">VLOOKUP($C269&amp;"_"&amp;$F269,OFFSET([1]stages!$A$1,0,0,COUNTA([1]stages!$A:$A),MATCH(G$1,[1]stages!$2:$2,0)-MATCH("temp_stage",[1]stages!$2:$2,0)+1),MATCH(G$1,[1]stages!$2:$2,0)-MATCH("temp_stage",[1]stages!$2:$2,0)+1,FALSE)</f>
        <v>チャレンジタワー 22F</v>
      </c>
      <c r="H269" s="4" t="str">
        <f ca="1">VLOOKUP($C269&amp;"_"&amp;$F269,OFFSET([1]stages!$A$1,0,0,COUNTA([1]stages!$A:$A),MATCH(H$1,[1]stages!$2:$2,0)-MATCH("temp_stage",[1]stages!$2:$2,0)+1),MATCH(H$1,[1]stages!$2:$2,0)-MATCH("temp_stage",[1]stages!$2:$2,0)+1,FALSE)</f>
        <v>試練の塔</v>
      </c>
      <c r="I269" s="19">
        <v>0</v>
      </c>
      <c r="J269">
        <v>36</v>
      </c>
      <c r="K269" s="6" t="s">
        <v>33</v>
      </c>
      <c r="L269" s="32" t="str">
        <f>VLOOKUP(J269,[2]stage_hints!$A:$C,3,FALSE)</f>
        <v>チャレンジタワーのボス</v>
      </c>
      <c r="M269" s="33" t="str">
        <f>VLOOKUP(J269,[2]stage_hints!$A:$D,4,FALSE)</f>
        <v>チャレンジタワー15F、20F、25Fのボスは_x000D_一定確率でドロップするようです</v>
      </c>
      <c r="N269" s="22" t="s">
        <v>114</v>
      </c>
      <c r="O269">
        <v>36</v>
      </c>
    </row>
    <row r="270" spans="1:15">
      <c r="A270" s="29" t="e">
        <f>C270&amp;"_"&amp;F270&amp;"_"&amp;#REF!</f>
        <v>#REF!</v>
      </c>
      <c r="B270" s="27" t="s">
        <v>32</v>
      </c>
      <c r="C270" s="5">
        <v>13001</v>
      </c>
      <c r="D270" s="4" t="str">
        <f ca="1">VLOOKUP($C270,OFFSET([1]quests!$A$1,0,0,COUNTA([1]quests!$A:$A),MATCH(D$1,[1]quests!$1:$1,0)-MATCH($C$1,[1]quests!$1:$1,0)+1),MATCH(D$1,[1]quests!$1:$1,0)-MATCH($C$1,[1]quests!$1:$1,0)+1,FALSE)</f>
        <v>チャレンジタワー(ソロ専用)</v>
      </c>
      <c r="E270" s="4" t="str">
        <f ca="1">VLOOKUP($C270,OFFSET([1]quests!$A$1,0,0,COUNTA([1]quests!$A:$A),MATCH(E$1,[1]quests!$1:$1,0)-MATCH($C$1,[1]quests!$1:$1,0)+1),MATCH(E$1,[1]quests!$1:$1,0)-MATCH($C$1,[1]quests!$1:$1,0)+1,FALSE)</f>
        <v>試練の塔</v>
      </c>
      <c r="F270" s="6">
        <v>22</v>
      </c>
      <c r="G270" s="4" t="str">
        <f ca="1">VLOOKUP($C270&amp;"_"&amp;$F270,OFFSET([1]stages!$A$1,0,0,COUNTA([1]stages!$A:$A),MATCH(G$1,[1]stages!$2:$2,0)-MATCH("temp_stage",[1]stages!$2:$2,0)+1),MATCH(G$1,[1]stages!$2:$2,0)-MATCH("temp_stage",[1]stages!$2:$2,0)+1,FALSE)</f>
        <v>チャレンジタワー 22F</v>
      </c>
      <c r="H270" s="4" t="str">
        <f ca="1">VLOOKUP($C270&amp;"_"&amp;$F270,OFFSET([1]stages!$A$1,0,0,COUNTA([1]stages!$A:$A),MATCH(H$1,[1]stages!$2:$2,0)-MATCH("temp_stage",[1]stages!$2:$2,0)+1),MATCH(H$1,[1]stages!$2:$2,0)-MATCH("temp_stage",[1]stages!$2:$2,0)+1,FALSE)</f>
        <v>試練の塔</v>
      </c>
      <c r="I270" s="19">
        <v>0</v>
      </c>
      <c r="J270">
        <v>37</v>
      </c>
      <c r="K270" s="6" t="s">
        <v>33</v>
      </c>
      <c r="L270" s="32" t="str">
        <f>VLOOKUP(J270,[2]stage_hints!$A:$C,3,FALSE)</f>
        <v>限界突破の引継</v>
      </c>
      <c r="M270" s="33" t="str">
        <f>VLOOKUP(J270,[2]stage_hints!$A:$D,4,FALSE)</f>
        <v>限界突破の+値は同じユニットなら_x000D_覚醒前後でも強化で引き継がれます</v>
      </c>
      <c r="N270" s="22" t="s">
        <v>108</v>
      </c>
      <c r="O270">
        <v>37</v>
      </c>
    </row>
    <row r="271" spans="1:15">
      <c r="A271" s="29" t="e">
        <f>C271&amp;"_"&amp;F271&amp;"_"&amp;#REF!</f>
        <v>#REF!</v>
      </c>
      <c r="B271" s="27" t="s">
        <v>32</v>
      </c>
      <c r="C271" s="5">
        <v>13001</v>
      </c>
      <c r="D271" s="4" t="str">
        <f ca="1">VLOOKUP($C271,OFFSET([1]quests!$A$1,0,0,COUNTA([1]quests!$A:$A),MATCH(D$1,[1]quests!$1:$1,0)-MATCH($C$1,[1]quests!$1:$1,0)+1),MATCH(D$1,[1]quests!$1:$1,0)-MATCH($C$1,[1]quests!$1:$1,0)+1,FALSE)</f>
        <v>チャレンジタワー(ソロ専用)</v>
      </c>
      <c r="E271" s="4" t="str">
        <f ca="1">VLOOKUP($C271,OFFSET([1]quests!$A$1,0,0,COUNTA([1]quests!$A:$A),MATCH(E$1,[1]quests!$1:$1,0)-MATCH($C$1,[1]quests!$1:$1,0)+1),MATCH(E$1,[1]quests!$1:$1,0)-MATCH($C$1,[1]quests!$1:$1,0)+1,FALSE)</f>
        <v>試練の塔</v>
      </c>
      <c r="F271" s="6">
        <v>23</v>
      </c>
      <c r="G271" s="4" t="str">
        <f ca="1">VLOOKUP($C271&amp;"_"&amp;$F271,OFFSET([1]stages!$A$1,0,0,COUNTA([1]stages!$A:$A),MATCH(G$1,[1]stages!$2:$2,0)-MATCH("temp_stage",[1]stages!$2:$2,0)+1),MATCH(G$1,[1]stages!$2:$2,0)-MATCH("temp_stage",[1]stages!$2:$2,0)+1,FALSE)</f>
        <v>チャレンジタワー 23F</v>
      </c>
      <c r="H271" s="4" t="str">
        <f ca="1">VLOOKUP($C271&amp;"_"&amp;$F271,OFFSET([1]stages!$A$1,0,0,COUNTA([1]stages!$A:$A),MATCH(H$1,[1]stages!$2:$2,0)-MATCH("temp_stage",[1]stages!$2:$2,0)+1),MATCH(H$1,[1]stages!$2:$2,0)-MATCH("temp_stage",[1]stages!$2:$2,0)+1,FALSE)</f>
        <v>試練の塔</v>
      </c>
      <c r="I271" s="19">
        <v>0</v>
      </c>
      <c r="J271">
        <v>32</v>
      </c>
      <c r="K271" s="6" t="s">
        <v>33</v>
      </c>
      <c r="L271" s="32" t="str">
        <f>VLOOKUP(J271,[2]stage_hints!$A:$C,3,FALSE)</f>
        <v>連続攻撃をしてくる敵には</v>
      </c>
      <c r="M271" s="33" t="str">
        <f>VLOOKUP(J271,[2]stage_hints!$A:$D,4,FALSE)</f>
        <v>敵の連続攻撃には「カウンター」スキルが有効！_x000D_ダメージ回数分の攻撃を返せます</v>
      </c>
      <c r="N271" s="22" t="s">
        <v>129</v>
      </c>
      <c r="O271">
        <v>32</v>
      </c>
    </row>
    <row r="272" spans="1:15">
      <c r="A272" s="29" t="e">
        <f>C272&amp;"_"&amp;F272&amp;"_"&amp;#REF!</f>
        <v>#REF!</v>
      </c>
      <c r="B272" s="27" t="s">
        <v>32</v>
      </c>
      <c r="C272" s="5">
        <v>13001</v>
      </c>
      <c r="D272" s="4" t="str">
        <f ca="1">VLOOKUP($C272,OFFSET([1]quests!$A$1,0,0,COUNTA([1]quests!$A:$A),MATCH(D$1,[1]quests!$1:$1,0)-MATCH($C$1,[1]quests!$1:$1,0)+1),MATCH(D$1,[1]quests!$1:$1,0)-MATCH($C$1,[1]quests!$1:$1,0)+1,FALSE)</f>
        <v>チャレンジタワー(ソロ専用)</v>
      </c>
      <c r="E272" s="4" t="str">
        <f ca="1">VLOOKUP($C272,OFFSET([1]quests!$A$1,0,0,COUNTA([1]quests!$A:$A),MATCH(E$1,[1]quests!$1:$1,0)-MATCH($C$1,[1]quests!$1:$1,0)+1),MATCH(E$1,[1]quests!$1:$1,0)-MATCH($C$1,[1]quests!$1:$1,0)+1,FALSE)</f>
        <v>試練の塔</v>
      </c>
      <c r="F272" s="6">
        <v>23</v>
      </c>
      <c r="G272" s="4" t="str">
        <f ca="1">VLOOKUP($C272&amp;"_"&amp;$F272,OFFSET([1]stages!$A$1,0,0,COUNTA([1]stages!$A:$A),MATCH(G$1,[1]stages!$2:$2,0)-MATCH("temp_stage",[1]stages!$2:$2,0)+1),MATCH(G$1,[1]stages!$2:$2,0)-MATCH("temp_stage",[1]stages!$2:$2,0)+1,FALSE)</f>
        <v>チャレンジタワー 23F</v>
      </c>
      <c r="H272" s="4" t="str">
        <f ca="1">VLOOKUP($C272&amp;"_"&amp;$F272,OFFSET([1]stages!$A$1,0,0,COUNTA([1]stages!$A:$A),MATCH(H$1,[1]stages!$2:$2,0)-MATCH("temp_stage",[1]stages!$2:$2,0)+1),MATCH(H$1,[1]stages!$2:$2,0)-MATCH("temp_stage",[1]stages!$2:$2,0)+1,FALSE)</f>
        <v>試練の塔</v>
      </c>
      <c r="I272" s="19">
        <v>0</v>
      </c>
      <c r="J272">
        <v>34</v>
      </c>
      <c r="K272" s="6" t="s">
        <v>138</v>
      </c>
      <c r="L272" s="32" t="str">
        <f>VLOOKUP(J272,[2]stage_hints!$A:$C,3,FALSE)</f>
        <v>敵のDOWNを上書きしよう！</v>
      </c>
      <c r="M272" s="33" t="str">
        <f>VLOOKUP(J272,[2]stage_hints!$A:$D,4,FALSE)</f>
        <v>攻撃力ダウンを受けたときは_x000D_攻撃力アップスキルで効果を上書きできます</v>
      </c>
      <c r="N272" s="22" t="s">
        <v>128</v>
      </c>
      <c r="O272">
        <v>34</v>
      </c>
    </row>
    <row r="273" spans="1:15">
      <c r="A273" s="29" t="e">
        <f>C273&amp;"_"&amp;F273&amp;"_"&amp;#REF!</f>
        <v>#REF!</v>
      </c>
      <c r="B273" s="27" t="s">
        <v>32</v>
      </c>
      <c r="C273" s="5">
        <v>13001</v>
      </c>
      <c r="D273" s="4" t="str">
        <f ca="1">VLOOKUP($C273,OFFSET([1]quests!$A$1,0,0,COUNTA([1]quests!$A:$A),MATCH(D$1,[1]quests!$1:$1,0)-MATCH($C$1,[1]quests!$1:$1,0)+1),MATCH(D$1,[1]quests!$1:$1,0)-MATCH($C$1,[1]quests!$1:$1,0)+1,FALSE)</f>
        <v>チャレンジタワー(ソロ専用)</v>
      </c>
      <c r="E273" s="4" t="str">
        <f ca="1">VLOOKUP($C273,OFFSET([1]quests!$A$1,0,0,COUNTA([1]quests!$A:$A),MATCH(E$1,[1]quests!$1:$1,0)-MATCH($C$1,[1]quests!$1:$1,0)+1),MATCH(E$1,[1]quests!$1:$1,0)-MATCH($C$1,[1]quests!$1:$1,0)+1,FALSE)</f>
        <v>試練の塔</v>
      </c>
      <c r="F273" s="6">
        <v>23</v>
      </c>
      <c r="G273" s="4" t="str">
        <f ca="1">VLOOKUP($C273&amp;"_"&amp;$F273,OFFSET([1]stages!$A$1,0,0,COUNTA([1]stages!$A:$A),MATCH(G$1,[1]stages!$2:$2,0)-MATCH("temp_stage",[1]stages!$2:$2,0)+1),MATCH(G$1,[1]stages!$2:$2,0)-MATCH("temp_stage",[1]stages!$2:$2,0)+1,FALSE)</f>
        <v>チャレンジタワー 23F</v>
      </c>
      <c r="H273" s="4" t="str">
        <f ca="1">VLOOKUP($C273&amp;"_"&amp;$F273,OFFSET([1]stages!$A$1,0,0,COUNTA([1]stages!$A:$A),MATCH(H$1,[1]stages!$2:$2,0)-MATCH("temp_stage",[1]stages!$2:$2,0)+1),MATCH(H$1,[1]stages!$2:$2,0)-MATCH("temp_stage",[1]stages!$2:$2,0)+1,FALSE)</f>
        <v>試練の塔</v>
      </c>
      <c r="I273" s="19">
        <v>0</v>
      </c>
      <c r="J273">
        <v>35</v>
      </c>
      <c r="K273" s="6" t="s">
        <v>33</v>
      </c>
      <c r="L273" s="32" t="str">
        <f>VLOOKUP(J273,[2]stage_hints!$A:$C,3,FALSE)</f>
        <v>敵のUPを上書きしよう！</v>
      </c>
      <c r="M273" s="33" t="str">
        <f>VLOOKUP(J273,[2]stage_hints!$A:$D,4,FALSE)</f>
        <v>敵の攻撃力がアップしたときは_x000D_攻撃力ダウンスキルで効果を上書きできます</v>
      </c>
      <c r="N273" s="22" t="s">
        <v>130</v>
      </c>
      <c r="O273">
        <v>35</v>
      </c>
    </row>
    <row r="274" spans="1:15">
      <c r="A274" s="29" t="e">
        <f>C274&amp;"_"&amp;F274&amp;"_"&amp;#REF!</f>
        <v>#REF!</v>
      </c>
      <c r="B274" s="27" t="s">
        <v>32</v>
      </c>
      <c r="C274" s="5">
        <v>13001</v>
      </c>
      <c r="D274" s="4" t="str">
        <f ca="1">VLOOKUP($C274,OFFSET([1]quests!$A$1,0,0,COUNTA([1]quests!$A:$A),MATCH(D$1,[1]quests!$1:$1,0)-MATCH($C$1,[1]quests!$1:$1,0)+1),MATCH(D$1,[1]quests!$1:$1,0)-MATCH($C$1,[1]quests!$1:$1,0)+1,FALSE)</f>
        <v>チャレンジタワー(ソロ専用)</v>
      </c>
      <c r="E274" s="4" t="str">
        <f ca="1">VLOOKUP($C274,OFFSET([1]quests!$A$1,0,0,COUNTA([1]quests!$A:$A),MATCH(E$1,[1]quests!$1:$1,0)-MATCH($C$1,[1]quests!$1:$1,0)+1),MATCH(E$1,[1]quests!$1:$1,0)-MATCH($C$1,[1]quests!$1:$1,0)+1,FALSE)</f>
        <v>試練の塔</v>
      </c>
      <c r="F274" s="6">
        <v>23</v>
      </c>
      <c r="G274" s="4" t="str">
        <f ca="1">VLOOKUP($C274&amp;"_"&amp;$F274,OFFSET([1]stages!$A$1,0,0,COUNTA([1]stages!$A:$A),MATCH(G$1,[1]stages!$2:$2,0)-MATCH("temp_stage",[1]stages!$2:$2,0)+1),MATCH(G$1,[1]stages!$2:$2,0)-MATCH("temp_stage",[1]stages!$2:$2,0)+1,FALSE)</f>
        <v>チャレンジタワー 23F</v>
      </c>
      <c r="H274" s="4" t="str">
        <f ca="1">VLOOKUP($C274&amp;"_"&amp;$F274,OFFSET([1]stages!$A$1,0,0,COUNTA([1]stages!$A:$A),MATCH(H$1,[1]stages!$2:$2,0)-MATCH("temp_stage",[1]stages!$2:$2,0)+1),MATCH(H$1,[1]stages!$2:$2,0)-MATCH("temp_stage",[1]stages!$2:$2,0)+1,FALSE)</f>
        <v>試練の塔</v>
      </c>
      <c r="I274" s="19">
        <v>0</v>
      </c>
      <c r="J274">
        <v>36</v>
      </c>
      <c r="K274" s="6" t="s">
        <v>138</v>
      </c>
      <c r="L274" s="32" t="str">
        <f>VLOOKUP(J274,[2]stage_hints!$A:$C,3,FALSE)</f>
        <v>チャレンジタワーのボス</v>
      </c>
      <c r="M274" s="33" t="str">
        <f>VLOOKUP(J274,[2]stage_hints!$A:$D,4,FALSE)</f>
        <v>チャレンジタワー15F、20F、25Fのボスは_x000D_一定確率でドロップするようです</v>
      </c>
      <c r="N274" s="22" t="s">
        <v>48</v>
      </c>
      <c r="O274">
        <v>36</v>
      </c>
    </row>
    <row r="275" spans="1:15">
      <c r="A275" s="29" t="e">
        <f>C275&amp;"_"&amp;F275&amp;"_"&amp;#REF!</f>
        <v>#REF!</v>
      </c>
      <c r="B275" s="27" t="s">
        <v>32</v>
      </c>
      <c r="C275" s="5">
        <v>13001</v>
      </c>
      <c r="D275" s="4" t="str">
        <f ca="1">VLOOKUP($C275,OFFSET([1]quests!$A$1,0,0,COUNTA([1]quests!$A:$A),MATCH(D$1,[1]quests!$1:$1,0)-MATCH($C$1,[1]quests!$1:$1,0)+1),MATCH(D$1,[1]quests!$1:$1,0)-MATCH($C$1,[1]quests!$1:$1,0)+1,FALSE)</f>
        <v>チャレンジタワー(ソロ専用)</v>
      </c>
      <c r="E275" s="4" t="str">
        <f ca="1">VLOOKUP($C275,OFFSET([1]quests!$A$1,0,0,COUNTA([1]quests!$A:$A),MATCH(E$1,[1]quests!$1:$1,0)-MATCH($C$1,[1]quests!$1:$1,0)+1),MATCH(E$1,[1]quests!$1:$1,0)-MATCH($C$1,[1]quests!$1:$1,0)+1,FALSE)</f>
        <v>試練の塔</v>
      </c>
      <c r="F275" s="6">
        <v>23</v>
      </c>
      <c r="G275" s="4" t="str">
        <f ca="1">VLOOKUP($C275&amp;"_"&amp;$F275,OFFSET([1]stages!$A$1,0,0,COUNTA([1]stages!$A:$A),MATCH(G$1,[1]stages!$2:$2,0)-MATCH("temp_stage",[1]stages!$2:$2,0)+1),MATCH(G$1,[1]stages!$2:$2,0)-MATCH("temp_stage",[1]stages!$2:$2,0)+1,FALSE)</f>
        <v>チャレンジタワー 23F</v>
      </c>
      <c r="H275" s="4" t="str">
        <f ca="1">VLOOKUP($C275&amp;"_"&amp;$F275,OFFSET([1]stages!$A$1,0,0,COUNTA([1]stages!$A:$A),MATCH(H$1,[1]stages!$2:$2,0)-MATCH("temp_stage",[1]stages!$2:$2,0)+1),MATCH(H$1,[1]stages!$2:$2,0)-MATCH("temp_stage",[1]stages!$2:$2,0)+1,FALSE)</f>
        <v>試練の塔</v>
      </c>
      <c r="I275" s="19">
        <v>0</v>
      </c>
      <c r="J275">
        <v>37</v>
      </c>
      <c r="K275" s="6" t="s">
        <v>33</v>
      </c>
      <c r="L275" s="32" t="str">
        <f>VLOOKUP(J275,[2]stage_hints!$A:$C,3,FALSE)</f>
        <v>限界突破の引継</v>
      </c>
      <c r="M275" s="33" t="str">
        <f>VLOOKUP(J275,[2]stage_hints!$A:$D,4,FALSE)</f>
        <v>限界突破の+値は同じユニットなら_x000D_覚醒前後でも強化で引き継がれます</v>
      </c>
      <c r="N275" s="22" t="s">
        <v>108</v>
      </c>
      <c r="O275">
        <v>37</v>
      </c>
    </row>
    <row r="276" spans="1:15">
      <c r="A276" s="29" t="e">
        <f>C276&amp;"_"&amp;F276&amp;"_"&amp;#REF!</f>
        <v>#REF!</v>
      </c>
      <c r="B276" s="27" t="s">
        <v>32</v>
      </c>
      <c r="C276" s="5">
        <v>13001</v>
      </c>
      <c r="D276" s="4" t="str">
        <f ca="1">VLOOKUP($C276,OFFSET([1]quests!$A$1,0,0,COUNTA([1]quests!$A:$A),MATCH(D$1,[1]quests!$1:$1,0)-MATCH($C$1,[1]quests!$1:$1,0)+1),MATCH(D$1,[1]quests!$1:$1,0)-MATCH($C$1,[1]quests!$1:$1,0)+1,FALSE)</f>
        <v>チャレンジタワー(ソロ専用)</v>
      </c>
      <c r="E276" s="4" t="str">
        <f ca="1">VLOOKUP($C276,OFFSET([1]quests!$A$1,0,0,COUNTA([1]quests!$A:$A),MATCH(E$1,[1]quests!$1:$1,0)-MATCH($C$1,[1]quests!$1:$1,0)+1),MATCH(E$1,[1]quests!$1:$1,0)-MATCH($C$1,[1]quests!$1:$1,0)+1,FALSE)</f>
        <v>試練の塔</v>
      </c>
      <c r="F276" s="6">
        <v>24</v>
      </c>
      <c r="G276" s="4" t="str">
        <f ca="1">VLOOKUP($C276&amp;"_"&amp;$F276,OFFSET([1]stages!$A$1,0,0,COUNTA([1]stages!$A:$A),MATCH(G$1,[1]stages!$2:$2,0)-MATCH("temp_stage",[1]stages!$2:$2,0)+1),MATCH(G$1,[1]stages!$2:$2,0)-MATCH("temp_stage",[1]stages!$2:$2,0)+1,FALSE)</f>
        <v>チャレンジタワー 24F</v>
      </c>
      <c r="H276" s="4" t="str">
        <f ca="1">VLOOKUP($C276&amp;"_"&amp;$F276,OFFSET([1]stages!$A$1,0,0,COUNTA([1]stages!$A:$A),MATCH(H$1,[1]stages!$2:$2,0)-MATCH("temp_stage",[1]stages!$2:$2,0)+1),MATCH(H$1,[1]stages!$2:$2,0)-MATCH("temp_stage",[1]stages!$2:$2,0)+1,FALSE)</f>
        <v>試練の塔</v>
      </c>
      <c r="I276" s="19">
        <v>0</v>
      </c>
      <c r="J276">
        <v>32</v>
      </c>
      <c r="K276" s="6" t="s">
        <v>33</v>
      </c>
      <c r="L276" s="32" t="str">
        <f>VLOOKUP(J276,[2]stage_hints!$A:$C,3,FALSE)</f>
        <v>連続攻撃をしてくる敵には</v>
      </c>
      <c r="M276" s="33" t="str">
        <f>VLOOKUP(J276,[2]stage_hints!$A:$D,4,FALSE)</f>
        <v>敵の連続攻撃には「カウンター」スキルが有効！_x000D_ダメージ回数分の攻撃を返せます</v>
      </c>
      <c r="N276" s="22" t="s">
        <v>39</v>
      </c>
      <c r="O276">
        <v>32</v>
      </c>
    </row>
    <row r="277" spans="1:15">
      <c r="A277" s="29" t="e">
        <f>C277&amp;"_"&amp;F277&amp;"_"&amp;#REF!</f>
        <v>#REF!</v>
      </c>
      <c r="B277" s="27" t="s">
        <v>32</v>
      </c>
      <c r="C277" s="5">
        <v>13001</v>
      </c>
      <c r="D277" s="4" t="str">
        <f ca="1">VLOOKUP($C277,OFFSET([1]quests!$A$1,0,0,COUNTA([1]quests!$A:$A),MATCH(D$1,[1]quests!$1:$1,0)-MATCH($C$1,[1]quests!$1:$1,0)+1),MATCH(D$1,[1]quests!$1:$1,0)-MATCH($C$1,[1]quests!$1:$1,0)+1,FALSE)</f>
        <v>チャレンジタワー(ソロ専用)</v>
      </c>
      <c r="E277" s="4" t="str">
        <f ca="1">VLOOKUP($C277,OFFSET([1]quests!$A$1,0,0,COUNTA([1]quests!$A:$A),MATCH(E$1,[1]quests!$1:$1,0)-MATCH($C$1,[1]quests!$1:$1,0)+1),MATCH(E$1,[1]quests!$1:$1,0)-MATCH($C$1,[1]quests!$1:$1,0)+1,FALSE)</f>
        <v>試練の塔</v>
      </c>
      <c r="F277" s="6">
        <v>24</v>
      </c>
      <c r="G277" s="4" t="str">
        <f ca="1">VLOOKUP($C277&amp;"_"&amp;$F277,OFFSET([1]stages!$A$1,0,0,COUNTA([1]stages!$A:$A),MATCH(G$1,[1]stages!$2:$2,0)-MATCH("temp_stage",[1]stages!$2:$2,0)+1),MATCH(G$1,[1]stages!$2:$2,0)-MATCH("temp_stage",[1]stages!$2:$2,0)+1,FALSE)</f>
        <v>チャレンジタワー 24F</v>
      </c>
      <c r="H277" s="4" t="str">
        <f ca="1">VLOOKUP($C277&amp;"_"&amp;$F277,OFFSET([1]stages!$A$1,0,0,COUNTA([1]stages!$A:$A),MATCH(H$1,[1]stages!$2:$2,0)-MATCH("temp_stage",[1]stages!$2:$2,0)+1),MATCH(H$1,[1]stages!$2:$2,0)-MATCH("temp_stage",[1]stages!$2:$2,0)+1,FALSE)</f>
        <v>試練の塔</v>
      </c>
      <c r="I277" s="19">
        <v>0</v>
      </c>
      <c r="J277">
        <v>34</v>
      </c>
      <c r="K277" s="6" t="s">
        <v>33</v>
      </c>
      <c r="L277" s="32" t="str">
        <f>VLOOKUP(J277,[2]stage_hints!$A:$C,3,FALSE)</f>
        <v>敵のDOWNを上書きしよう！</v>
      </c>
      <c r="M277" s="33" t="str">
        <f>VLOOKUP(J277,[2]stage_hints!$A:$D,4,FALSE)</f>
        <v>攻撃力ダウンを受けたときは_x000D_攻撃力アップスキルで効果を上書きできます</v>
      </c>
      <c r="N277" s="22" t="s">
        <v>128</v>
      </c>
      <c r="O277">
        <v>34</v>
      </c>
    </row>
    <row r="278" spans="1:15">
      <c r="A278" s="29" t="e">
        <f>C278&amp;"_"&amp;F278&amp;"_"&amp;#REF!</f>
        <v>#REF!</v>
      </c>
      <c r="B278" s="27" t="s">
        <v>32</v>
      </c>
      <c r="C278" s="5">
        <v>13001</v>
      </c>
      <c r="D278" s="4" t="str">
        <f ca="1">VLOOKUP($C278,OFFSET([1]quests!$A$1,0,0,COUNTA([1]quests!$A:$A),MATCH(D$1,[1]quests!$1:$1,0)-MATCH($C$1,[1]quests!$1:$1,0)+1),MATCH(D$1,[1]quests!$1:$1,0)-MATCH($C$1,[1]quests!$1:$1,0)+1,FALSE)</f>
        <v>チャレンジタワー(ソロ専用)</v>
      </c>
      <c r="E278" s="4" t="str">
        <f ca="1">VLOOKUP($C278,OFFSET([1]quests!$A$1,0,0,COUNTA([1]quests!$A:$A),MATCH(E$1,[1]quests!$1:$1,0)-MATCH($C$1,[1]quests!$1:$1,0)+1),MATCH(E$1,[1]quests!$1:$1,0)-MATCH($C$1,[1]quests!$1:$1,0)+1,FALSE)</f>
        <v>試練の塔</v>
      </c>
      <c r="F278" s="6">
        <v>24</v>
      </c>
      <c r="G278" s="4" t="str">
        <f ca="1">VLOOKUP($C278&amp;"_"&amp;$F278,OFFSET([1]stages!$A$1,0,0,COUNTA([1]stages!$A:$A),MATCH(G$1,[1]stages!$2:$2,0)-MATCH("temp_stage",[1]stages!$2:$2,0)+1),MATCH(G$1,[1]stages!$2:$2,0)-MATCH("temp_stage",[1]stages!$2:$2,0)+1,FALSE)</f>
        <v>チャレンジタワー 24F</v>
      </c>
      <c r="H278" s="4" t="str">
        <f ca="1">VLOOKUP($C278&amp;"_"&amp;$F278,OFFSET([1]stages!$A$1,0,0,COUNTA([1]stages!$A:$A),MATCH(H$1,[1]stages!$2:$2,0)-MATCH("temp_stage",[1]stages!$2:$2,0)+1),MATCH(H$1,[1]stages!$2:$2,0)-MATCH("temp_stage",[1]stages!$2:$2,0)+1,FALSE)</f>
        <v>試練の塔</v>
      </c>
      <c r="I278" s="19">
        <v>0</v>
      </c>
      <c r="J278">
        <v>35</v>
      </c>
      <c r="K278" s="6" t="s">
        <v>33</v>
      </c>
      <c r="L278" s="32" t="str">
        <f>VLOOKUP(J278,[2]stage_hints!$A:$C,3,FALSE)</f>
        <v>敵のUPを上書きしよう！</v>
      </c>
      <c r="M278" s="33" t="str">
        <f>VLOOKUP(J278,[2]stage_hints!$A:$D,4,FALSE)</f>
        <v>敵の攻撃力がアップしたときは_x000D_攻撃力ダウンスキルで効果を上書きできます</v>
      </c>
      <c r="N278" s="22" t="s">
        <v>108</v>
      </c>
      <c r="O278">
        <v>35</v>
      </c>
    </row>
    <row r="279" spans="1:15">
      <c r="A279" s="29" t="e">
        <f>C279&amp;"_"&amp;F279&amp;"_"&amp;#REF!</f>
        <v>#REF!</v>
      </c>
      <c r="B279" s="27" t="s">
        <v>32</v>
      </c>
      <c r="C279" s="5">
        <v>13001</v>
      </c>
      <c r="D279" s="4" t="str">
        <f ca="1">VLOOKUP($C279,OFFSET([1]quests!$A$1,0,0,COUNTA([1]quests!$A:$A),MATCH(D$1,[1]quests!$1:$1,0)-MATCH($C$1,[1]quests!$1:$1,0)+1),MATCH(D$1,[1]quests!$1:$1,0)-MATCH($C$1,[1]quests!$1:$1,0)+1,FALSE)</f>
        <v>チャレンジタワー(ソロ専用)</v>
      </c>
      <c r="E279" s="4" t="str">
        <f ca="1">VLOOKUP($C279,OFFSET([1]quests!$A$1,0,0,COUNTA([1]quests!$A:$A),MATCH(E$1,[1]quests!$1:$1,0)-MATCH($C$1,[1]quests!$1:$1,0)+1),MATCH(E$1,[1]quests!$1:$1,0)-MATCH($C$1,[1]quests!$1:$1,0)+1,FALSE)</f>
        <v>試練の塔</v>
      </c>
      <c r="F279" s="6">
        <v>24</v>
      </c>
      <c r="G279" s="4" t="str">
        <f ca="1">VLOOKUP($C279&amp;"_"&amp;$F279,OFFSET([1]stages!$A$1,0,0,COUNTA([1]stages!$A:$A),MATCH(G$1,[1]stages!$2:$2,0)-MATCH("temp_stage",[1]stages!$2:$2,0)+1),MATCH(G$1,[1]stages!$2:$2,0)-MATCH("temp_stage",[1]stages!$2:$2,0)+1,FALSE)</f>
        <v>チャレンジタワー 24F</v>
      </c>
      <c r="H279" s="4" t="str">
        <f ca="1">VLOOKUP($C279&amp;"_"&amp;$F279,OFFSET([1]stages!$A$1,0,0,COUNTA([1]stages!$A:$A),MATCH(H$1,[1]stages!$2:$2,0)-MATCH("temp_stage",[1]stages!$2:$2,0)+1),MATCH(H$1,[1]stages!$2:$2,0)-MATCH("temp_stage",[1]stages!$2:$2,0)+1,FALSE)</f>
        <v>試練の塔</v>
      </c>
      <c r="I279" s="19">
        <v>0</v>
      </c>
      <c r="J279">
        <v>36</v>
      </c>
      <c r="K279" s="6" t="s">
        <v>33</v>
      </c>
      <c r="L279" s="32" t="str">
        <f>VLOOKUP(J279,[2]stage_hints!$A:$C,3,FALSE)</f>
        <v>チャレンジタワーのボス</v>
      </c>
      <c r="M279" s="33" t="str">
        <f>VLOOKUP(J279,[2]stage_hints!$A:$D,4,FALSE)</f>
        <v>チャレンジタワー15F、20F、25Fのボスは_x000D_一定確率でドロップするようです</v>
      </c>
      <c r="N279" s="22" t="s">
        <v>133</v>
      </c>
      <c r="O279">
        <v>36</v>
      </c>
    </row>
    <row r="280" spans="1:15">
      <c r="A280" s="29" t="e">
        <f>C280&amp;"_"&amp;F280&amp;"_"&amp;#REF!</f>
        <v>#REF!</v>
      </c>
      <c r="B280" s="27" t="s">
        <v>32</v>
      </c>
      <c r="C280" s="5">
        <v>13001</v>
      </c>
      <c r="D280" s="4" t="str">
        <f ca="1">VLOOKUP($C280,OFFSET([1]quests!$A$1,0,0,COUNTA([1]quests!$A:$A),MATCH(D$1,[1]quests!$1:$1,0)-MATCH($C$1,[1]quests!$1:$1,0)+1),MATCH(D$1,[1]quests!$1:$1,0)-MATCH($C$1,[1]quests!$1:$1,0)+1,FALSE)</f>
        <v>チャレンジタワー(ソロ専用)</v>
      </c>
      <c r="E280" s="4" t="str">
        <f ca="1">VLOOKUP($C280,OFFSET([1]quests!$A$1,0,0,COUNTA([1]quests!$A:$A),MATCH(E$1,[1]quests!$1:$1,0)-MATCH($C$1,[1]quests!$1:$1,0)+1),MATCH(E$1,[1]quests!$1:$1,0)-MATCH($C$1,[1]quests!$1:$1,0)+1,FALSE)</f>
        <v>試練の塔</v>
      </c>
      <c r="F280" s="6">
        <v>24</v>
      </c>
      <c r="G280" s="4" t="str">
        <f ca="1">VLOOKUP($C280&amp;"_"&amp;$F280,OFFSET([1]stages!$A$1,0,0,COUNTA([1]stages!$A:$A),MATCH(G$1,[1]stages!$2:$2,0)-MATCH("temp_stage",[1]stages!$2:$2,0)+1),MATCH(G$1,[1]stages!$2:$2,0)-MATCH("temp_stage",[1]stages!$2:$2,0)+1,FALSE)</f>
        <v>チャレンジタワー 24F</v>
      </c>
      <c r="H280" s="4" t="str">
        <f ca="1">VLOOKUP($C280&amp;"_"&amp;$F280,OFFSET([1]stages!$A$1,0,0,COUNTA([1]stages!$A:$A),MATCH(H$1,[1]stages!$2:$2,0)-MATCH("temp_stage",[1]stages!$2:$2,0)+1),MATCH(H$1,[1]stages!$2:$2,0)-MATCH("temp_stage",[1]stages!$2:$2,0)+1,FALSE)</f>
        <v>試練の塔</v>
      </c>
      <c r="I280" s="19">
        <v>0</v>
      </c>
      <c r="J280">
        <v>37</v>
      </c>
      <c r="K280" s="6" t="s">
        <v>33</v>
      </c>
      <c r="L280" s="32" t="str">
        <f>VLOOKUP(J280,[2]stage_hints!$A:$C,3,FALSE)</f>
        <v>限界突破の引継</v>
      </c>
      <c r="M280" s="33" t="str">
        <f>VLOOKUP(J280,[2]stage_hints!$A:$D,4,FALSE)</f>
        <v>限界突破の+値は同じユニットなら_x000D_覚醒前後でも強化で引き継がれます</v>
      </c>
      <c r="N280" s="22" t="s">
        <v>108</v>
      </c>
      <c r="O280">
        <v>37</v>
      </c>
    </row>
    <row r="281" spans="1:15">
      <c r="A281" s="29" t="e">
        <f>C281&amp;"_"&amp;F281&amp;"_"&amp;#REF!</f>
        <v>#REF!</v>
      </c>
      <c r="B281" s="27" t="s">
        <v>32</v>
      </c>
      <c r="C281" s="5">
        <v>13001</v>
      </c>
      <c r="D281" s="4" t="str">
        <f ca="1">VLOOKUP($C281,OFFSET([1]quests!$A$1,0,0,COUNTA([1]quests!$A:$A),MATCH(D$1,[1]quests!$1:$1,0)-MATCH($C$1,[1]quests!$1:$1,0)+1),MATCH(D$1,[1]quests!$1:$1,0)-MATCH($C$1,[1]quests!$1:$1,0)+1,FALSE)</f>
        <v>チャレンジタワー(ソロ専用)</v>
      </c>
      <c r="E281" s="4" t="str">
        <f ca="1">VLOOKUP($C281,OFFSET([1]quests!$A$1,0,0,COUNTA([1]quests!$A:$A),MATCH(E$1,[1]quests!$1:$1,0)-MATCH($C$1,[1]quests!$1:$1,0)+1),MATCH(E$1,[1]quests!$1:$1,0)-MATCH($C$1,[1]quests!$1:$1,0)+1,FALSE)</f>
        <v>試練の塔</v>
      </c>
      <c r="F281" s="6">
        <v>25</v>
      </c>
      <c r="G281" s="4" t="str">
        <f ca="1">VLOOKUP($C281&amp;"_"&amp;$F281,OFFSET([1]stages!$A$1,0,0,COUNTA([1]stages!$A:$A),MATCH(G$1,[1]stages!$2:$2,0)-MATCH("temp_stage",[1]stages!$2:$2,0)+1),MATCH(G$1,[1]stages!$2:$2,0)-MATCH("temp_stage",[1]stages!$2:$2,0)+1,FALSE)</f>
        <v>チャレンジタワー 25F</v>
      </c>
      <c r="H281" s="4" t="str">
        <f ca="1">VLOOKUP($C281&amp;"_"&amp;$F281,OFFSET([1]stages!$A$1,0,0,COUNTA([1]stages!$A:$A),MATCH(H$1,[1]stages!$2:$2,0)-MATCH("temp_stage",[1]stages!$2:$2,0)+1),MATCH(H$1,[1]stages!$2:$2,0)-MATCH("temp_stage",[1]stages!$2:$2,0)+1,FALSE)</f>
        <v>試練の塔</v>
      </c>
      <c r="I281" s="19">
        <v>0</v>
      </c>
      <c r="J281">
        <v>32</v>
      </c>
      <c r="K281" s="6" t="s">
        <v>33</v>
      </c>
      <c r="L281" s="32" t="str">
        <f>VLOOKUP(J281,[2]stage_hints!$A:$C,3,FALSE)</f>
        <v>連続攻撃をしてくる敵には</v>
      </c>
      <c r="M281" s="33" t="str">
        <f>VLOOKUP(J281,[2]stage_hints!$A:$D,4,FALSE)</f>
        <v>敵の連続攻撃には「カウンター」スキルが有効！_x000D_ダメージ回数分の攻撃を返せます</v>
      </c>
      <c r="N281" s="22" t="s">
        <v>34</v>
      </c>
      <c r="O281">
        <v>32</v>
      </c>
    </row>
    <row r="282" spans="1:15">
      <c r="A282" s="29" t="e">
        <f>C282&amp;"_"&amp;F282&amp;"_"&amp;#REF!</f>
        <v>#REF!</v>
      </c>
      <c r="B282" s="27" t="s">
        <v>32</v>
      </c>
      <c r="C282" s="5">
        <v>13001</v>
      </c>
      <c r="D282" s="4" t="str">
        <f ca="1">VLOOKUP($C282,OFFSET([1]quests!$A$1,0,0,COUNTA([1]quests!$A:$A),MATCH(D$1,[1]quests!$1:$1,0)-MATCH($C$1,[1]quests!$1:$1,0)+1),MATCH(D$1,[1]quests!$1:$1,0)-MATCH($C$1,[1]quests!$1:$1,0)+1,FALSE)</f>
        <v>チャレンジタワー(ソロ専用)</v>
      </c>
      <c r="E282" s="4" t="str">
        <f ca="1">VLOOKUP($C282,OFFSET([1]quests!$A$1,0,0,COUNTA([1]quests!$A:$A),MATCH(E$1,[1]quests!$1:$1,0)-MATCH($C$1,[1]quests!$1:$1,0)+1),MATCH(E$1,[1]quests!$1:$1,0)-MATCH($C$1,[1]quests!$1:$1,0)+1,FALSE)</f>
        <v>試練の塔</v>
      </c>
      <c r="F282" s="6">
        <v>25</v>
      </c>
      <c r="G282" s="4" t="str">
        <f ca="1">VLOOKUP($C282&amp;"_"&amp;$F282,OFFSET([1]stages!$A$1,0,0,COUNTA([1]stages!$A:$A),MATCH(G$1,[1]stages!$2:$2,0)-MATCH("temp_stage",[1]stages!$2:$2,0)+1),MATCH(G$1,[1]stages!$2:$2,0)-MATCH("temp_stage",[1]stages!$2:$2,0)+1,FALSE)</f>
        <v>チャレンジタワー 25F</v>
      </c>
      <c r="H282" s="4" t="str">
        <f ca="1">VLOOKUP($C282&amp;"_"&amp;$F282,OFFSET([1]stages!$A$1,0,0,COUNTA([1]stages!$A:$A),MATCH(H$1,[1]stages!$2:$2,0)-MATCH("temp_stage",[1]stages!$2:$2,0)+1),MATCH(H$1,[1]stages!$2:$2,0)-MATCH("temp_stage",[1]stages!$2:$2,0)+1,FALSE)</f>
        <v>試練の塔</v>
      </c>
      <c r="I282" s="19">
        <v>0</v>
      </c>
      <c r="J282">
        <v>34</v>
      </c>
      <c r="K282" s="6" t="s">
        <v>139</v>
      </c>
      <c r="L282" s="32" t="str">
        <f>VLOOKUP(J282,[2]stage_hints!$A:$C,3,FALSE)</f>
        <v>敵のDOWNを上書きしよう！</v>
      </c>
      <c r="M282" s="33" t="str">
        <f>VLOOKUP(J282,[2]stage_hints!$A:$D,4,FALSE)</f>
        <v>攻撃力ダウンを受けたときは_x000D_攻撃力アップスキルで効果を上書きできます</v>
      </c>
      <c r="N282" s="22" t="s">
        <v>128</v>
      </c>
      <c r="O282">
        <v>34</v>
      </c>
    </row>
    <row r="283" spans="1:15">
      <c r="A283" s="29" t="e">
        <f>C283&amp;"_"&amp;F283&amp;"_"&amp;#REF!</f>
        <v>#REF!</v>
      </c>
      <c r="B283" s="27" t="s">
        <v>32</v>
      </c>
      <c r="C283" s="5">
        <v>13001</v>
      </c>
      <c r="D283" s="4" t="str">
        <f ca="1">VLOOKUP($C283,OFFSET([1]quests!$A$1,0,0,COUNTA([1]quests!$A:$A),MATCH(D$1,[1]quests!$1:$1,0)-MATCH($C$1,[1]quests!$1:$1,0)+1),MATCH(D$1,[1]quests!$1:$1,0)-MATCH($C$1,[1]quests!$1:$1,0)+1,FALSE)</f>
        <v>チャレンジタワー(ソロ専用)</v>
      </c>
      <c r="E283" s="4" t="str">
        <f ca="1">VLOOKUP($C283,OFFSET([1]quests!$A$1,0,0,COUNTA([1]quests!$A:$A),MATCH(E$1,[1]quests!$1:$1,0)-MATCH($C$1,[1]quests!$1:$1,0)+1),MATCH(E$1,[1]quests!$1:$1,0)-MATCH($C$1,[1]quests!$1:$1,0)+1,FALSE)</f>
        <v>試練の塔</v>
      </c>
      <c r="F283" s="6">
        <v>25</v>
      </c>
      <c r="G283" s="4" t="str">
        <f ca="1">VLOOKUP($C283&amp;"_"&amp;$F283,OFFSET([1]stages!$A$1,0,0,COUNTA([1]stages!$A:$A),MATCH(G$1,[1]stages!$2:$2,0)-MATCH("temp_stage",[1]stages!$2:$2,0)+1),MATCH(G$1,[1]stages!$2:$2,0)-MATCH("temp_stage",[1]stages!$2:$2,0)+1,FALSE)</f>
        <v>チャレンジタワー 25F</v>
      </c>
      <c r="H283" s="4" t="str">
        <f ca="1">VLOOKUP($C283&amp;"_"&amp;$F283,OFFSET([1]stages!$A$1,0,0,COUNTA([1]stages!$A:$A),MATCH(H$1,[1]stages!$2:$2,0)-MATCH("temp_stage",[1]stages!$2:$2,0)+1),MATCH(H$1,[1]stages!$2:$2,0)-MATCH("temp_stage",[1]stages!$2:$2,0)+1,FALSE)</f>
        <v>試練の塔</v>
      </c>
      <c r="I283" s="19">
        <v>0</v>
      </c>
      <c r="J283">
        <v>35</v>
      </c>
      <c r="K283" s="6" t="s">
        <v>33</v>
      </c>
      <c r="L283" s="32" t="str">
        <f>VLOOKUP(J283,[2]stage_hints!$A:$C,3,FALSE)</f>
        <v>敵のUPを上書きしよう！</v>
      </c>
      <c r="M283" s="33" t="str">
        <f>VLOOKUP(J283,[2]stage_hints!$A:$D,4,FALSE)</f>
        <v>敵の攻撃力がアップしたときは_x000D_攻撃力ダウンスキルで効果を上書きできます</v>
      </c>
      <c r="N283" s="22" t="s">
        <v>34</v>
      </c>
      <c r="O283">
        <v>35</v>
      </c>
    </row>
    <row r="284" spans="1:15">
      <c r="A284" s="29" t="e">
        <f>C284&amp;"_"&amp;F284&amp;"_"&amp;#REF!</f>
        <v>#REF!</v>
      </c>
      <c r="B284" s="27" t="s">
        <v>32</v>
      </c>
      <c r="C284" s="5">
        <v>13001</v>
      </c>
      <c r="D284" s="4" t="str">
        <f ca="1">VLOOKUP($C284,OFFSET([1]quests!$A$1,0,0,COUNTA([1]quests!$A:$A),MATCH(D$1,[1]quests!$1:$1,0)-MATCH($C$1,[1]quests!$1:$1,0)+1),MATCH(D$1,[1]quests!$1:$1,0)-MATCH($C$1,[1]quests!$1:$1,0)+1,FALSE)</f>
        <v>チャレンジタワー(ソロ専用)</v>
      </c>
      <c r="E284" s="4" t="str">
        <f ca="1">VLOOKUP($C284,OFFSET([1]quests!$A$1,0,0,COUNTA([1]quests!$A:$A),MATCH(E$1,[1]quests!$1:$1,0)-MATCH($C$1,[1]quests!$1:$1,0)+1),MATCH(E$1,[1]quests!$1:$1,0)-MATCH($C$1,[1]quests!$1:$1,0)+1,FALSE)</f>
        <v>試練の塔</v>
      </c>
      <c r="F284" s="6">
        <v>25</v>
      </c>
      <c r="G284" s="4" t="str">
        <f ca="1">VLOOKUP($C284&amp;"_"&amp;$F284,OFFSET([1]stages!$A$1,0,0,COUNTA([1]stages!$A:$A),MATCH(G$1,[1]stages!$2:$2,0)-MATCH("temp_stage",[1]stages!$2:$2,0)+1),MATCH(G$1,[1]stages!$2:$2,0)-MATCH("temp_stage",[1]stages!$2:$2,0)+1,FALSE)</f>
        <v>チャレンジタワー 25F</v>
      </c>
      <c r="H284" s="4" t="str">
        <f ca="1">VLOOKUP($C284&amp;"_"&amp;$F284,OFFSET([1]stages!$A$1,0,0,COUNTA([1]stages!$A:$A),MATCH(H$1,[1]stages!$2:$2,0)-MATCH("temp_stage",[1]stages!$2:$2,0)+1),MATCH(H$1,[1]stages!$2:$2,0)-MATCH("temp_stage",[1]stages!$2:$2,0)+1,FALSE)</f>
        <v>試練の塔</v>
      </c>
      <c r="I284" s="19">
        <v>0</v>
      </c>
      <c r="J284">
        <v>36</v>
      </c>
      <c r="K284" s="6" t="s">
        <v>139</v>
      </c>
      <c r="L284" s="32" t="str">
        <f>VLOOKUP(J284,[2]stage_hints!$A:$C,3,FALSE)</f>
        <v>チャレンジタワーのボス</v>
      </c>
      <c r="M284" s="33" t="str">
        <f>VLOOKUP(J284,[2]stage_hints!$A:$D,4,FALSE)</f>
        <v>チャレンジタワー15F、20F、25Fのボスは_x000D_一定確率でドロップするようです</v>
      </c>
      <c r="N284" s="22" t="s">
        <v>48</v>
      </c>
      <c r="O284">
        <v>36</v>
      </c>
    </row>
    <row r="285" spans="1:15">
      <c r="A285" s="29" t="e">
        <f>C285&amp;"_"&amp;F285&amp;"_"&amp;#REF!</f>
        <v>#REF!</v>
      </c>
      <c r="B285" s="27" t="s">
        <v>32</v>
      </c>
      <c r="C285" s="5">
        <v>13001</v>
      </c>
      <c r="D285" s="4" t="str">
        <f ca="1">VLOOKUP($C285,OFFSET([1]quests!$A$1,0,0,COUNTA([1]quests!$A:$A),MATCH(D$1,[1]quests!$1:$1,0)-MATCH($C$1,[1]quests!$1:$1,0)+1),MATCH(D$1,[1]quests!$1:$1,0)-MATCH($C$1,[1]quests!$1:$1,0)+1,FALSE)</f>
        <v>チャレンジタワー(ソロ専用)</v>
      </c>
      <c r="E285" s="4" t="str">
        <f ca="1">VLOOKUP($C285,OFFSET([1]quests!$A$1,0,0,COUNTA([1]quests!$A:$A),MATCH(E$1,[1]quests!$1:$1,0)-MATCH($C$1,[1]quests!$1:$1,0)+1),MATCH(E$1,[1]quests!$1:$1,0)-MATCH($C$1,[1]quests!$1:$1,0)+1,FALSE)</f>
        <v>試練の塔</v>
      </c>
      <c r="F285" s="6">
        <v>25</v>
      </c>
      <c r="G285" s="4" t="str">
        <f ca="1">VLOOKUP($C285&amp;"_"&amp;$F285,OFFSET([1]stages!$A$1,0,0,COUNTA([1]stages!$A:$A),MATCH(G$1,[1]stages!$2:$2,0)-MATCH("temp_stage",[1]stages!$2:$2,0)+1),MATCH(G$1,[1]stages!$2:$2,0)-MATCH("temp_stage",[1]stages!$2:$2,0)+1,FALSE)</f>
        <v>チャレンジタワー 25F</v>
      </c>
      <c r="H285" s="4" t="str">
        <f ca="1">VLOOKUP($C285&amp;"_"&amp;$F285,OFFSET([1]stages!$A$1,0,0,COUNTA([1]stages!$A:$A),MATCH(H$1,[1]stages!$2:$2,0)-MATCH("temp_stage",[1]stages!$2:$2,0)+1),MATCH(H$1,[1]stages!$2:$2,0)-MATCH("temp_stage",[1]stages!$2:$2,0)+1,FALSE)</f>
        <v>試練の塔</v>
      </c>
      <c r="I285" s="19">
        <v>0</v>
      </c>
      <c r="J285">
        <v>37</v>
      </c>
      <c r="K285" s="6" t="s">
        <v>33</v>
      </c>
      <c r="L285" s="32" t="str">
        <f>VLOOKUP(J285,[2]stage_hints!$A:$C,3,FALSE)</f>
        <v>限界突破の引継</v>
      </c>
      <c r="M285" s="33" t="str">
        <f>VLOOKUP(J285,[2]stage_hints!$A:$D,4,FALSE)</f>
        <v>限界突破の+値は同じユニットなら_x000D_覚醒前後でも強化で引き継がれます</v>
      </c>
      <c r="N285" s="22" t="s">
        <v>54</v>
      </c>
      <c r="O285">
        <v>37</v>
      </c>
    </row>
    <row r="286" spans="1:15">
      <c r="A286" s="31"/>
      <c r="B286" s="27"/>
      <c r="C286" s="5"/>
      <c r="D286" s="19"/>
      <c r="E286" s="19"/>
      <c r="F286" s="6"/>
      <c r="G286" s="19"/>
      <c r="H286" s="19"/>
      <c r="I286" s="19"/>
      <c r="J286" s="30"/>
      <c r="K286" s="6"/>
      <c r="L286" s="34"/>
      <c r="M286" s="35"/>
      <c r="N286" s="36"/>
    </row>
    <row r="287" spans="1:15">
      <c r="B287"/>
    </row>
    <row r="288" spans="1:15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</sheetData>
  <phoneticPr fontId="5"/>
  <dataValidations count="1">
    <dataValidation type="list" allowBlank="1" showInputMessage="1" showErrorMessage="1" sqref="B2:B28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加藤 雅大</cp:lastModifiedBy>
  <dcterms:created xsi:type="dcterms:W3CDTF">2013-10-07T08:00:17Z</dcterms:created>
  <dcterms:modified xsi:type="dcterms:W3CDTF">2015-12-24T10:01:11Z</dcterms:modified>
</cp:coreProperties>
</file>